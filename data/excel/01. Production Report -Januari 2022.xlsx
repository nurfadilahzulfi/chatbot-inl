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4558FD5C-9363-45F1-BD0F-49B74136BC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uari" sheetId="40" r:id="rId1"/>
    <sheet name="Sheet1" sheetId="42" state="hidden" r:id="rId2"/>
    <sheet name="Trace Quality" sheetId="4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57" i="40" l="1"/>
  <c r="AL121" i="40"/>
  <c r="H122" i="40"/>
  <c r="H123" i="40" s="1"/>
  <c r="AH122" i="40" l="1"/>
  <c r="AG122" i="40"/>
  <c r="AF122" i="40"/>
  <c r="AE122" i="40"/>
  <c r="AD122" i="40"/>
  <c r="AJ133" i="40"/>
  <c r="AJ132" i="40"/>
  <c r="AJ77" i="40"/>
  <c r="AL67" i="40"/>
  <c r="K156" i="40" l="1"/>
  <c r="AL25" i="40" l="1"/>
  <c r="D45" i="40" l="1"/>
  <c r="D39" i="40"/>
  <c r="D37" i="40"/>
  <c r="D44" i="40"/>
  <c r="D38" i="40"/>
  <c r="D34" i="40"/>
  <c r="D33" i="40"/>
  <c r="D32" i="40" s="1"/>
  <c r="D23" i="40"/>
  <c r="D42" i="40" l="1"/>
  <c r="H88" i="40" l="1"/>
  <c r="H89" i="40"/>
  <c r="H92" i="40"/>
  <c r="H95" i="40"/>
  <c r="H96" i="40" s="1"/>
  <c r="H101" i="40"/>
  <c r="H102" i="40"/>
  <c r="H103" i="40"/>
  <c r="H104" i="40"/>
  <c r="AL63" i="40" l="1"/>
  <c r="AL27" i="40"/>
  <c r="AL26" i="40"/>
  <c r="AJ32" i="40" l="1"/>
  <c r="AJ45" i="40"/>
  <c r="AJ44" i="40"/>
  <c r="AJ42" i="40" s="1"/>
  <c r="AJ30" i="40"/>
  <c r="AJ29" i="40"/>
  <c r="AJ23" i="40"/>
  <c r="AJ41" i="40" s="1"/>
  <c r="AL81" i="40"/>
  <c r="AL58" i="40" l="1"/>
  <c r="AI30" i="40"/>
  <c r="AI29" i="40"/>
  <c r="AI23" i="40"/>
  <c r="AH45" i="40"/>
  <c r="AH44" i="40"/>
  <c r="AH42" i="40" s="1"/>
  <c r="AH34" i="40"/>
  <c r="AH33" i="40"/>
  <c r="AH30" i="40"/>
  <c r="AH29" i="40"/>
  <c r="AH23" i="40"/>
  <c r="AH41" i="40" s="1"/>
  <c r="AI42" i="40"/>
  <c r="AG41" i="40"/>
  <c r="AG34" i="40"/>
  <c r="AG33" i="40"/>
  <c r="AI32" i="40"/>
  <c r="AG30" i="40"/>
  <c r="AG29" i="40"/>
  <c r="AG23" i="40"/>
  <c r="AI41" i="40"/>
  <c r="AF34" i="40"/>
  <c r="AF33" i="40"/>
  <c r="AF32" i="40" s="1"/>
  <c r="AF30" i="40"/>
  <c r="AF29" i="40"/>
  <c r="AG32" i="40" l="1"/>
  <c r="AH32" i="40"/>
  <c r="AE34" i="40"/>
  <c r="AE33" i="40"/>
  <c r="AE32" i="40" s="1"/>
  <c r="AE30" i="40"/>
  <c r="AE29" i="40"/>
  <c r="AE23" i="40"/>
  <c r="AP39" i="40"/>
  <c r="AP28" i="40"/>
  <c r="X45" i="40" l="1"/>
  <c r="X34" i="40" l="1"/>
  <c r="AD34" i="40" l="1"/>
  <c r="AD32" i="40" s="1"/>
  <c r="AD33" i="40"/>
  <c r="AD30" i="40"/>
  <c r="AD29" i="40"/>
  <c r="AD23" i="40"/>
  <c r="AA32" i="40"/>
  <c r="W32" i="40"/>
  <c r="V32" i="40"/>
  <c r="AJ122" i="40" l="1"/>
  <c r="AI122" i="40"/>
  <c r="AC34" i="40" l="1"/>
  <c r="AC33" i="40"/>
  <c r="AC30" i="40"/>
  <c r="AC29" i="40"/>
  <c r="AC23" i="40"/>
  <c r="AC32" i="40" l="1"/>
  <c r="AC122" i="40"/>
  <c r="AB122" i="40"/>
  <c r="AA122" i="40"/>
  <c r="Z122" i="40"/>
  <c r="V133" i="40"/>
  <c r="Y132" i="40"/>
  <c r="AC131" i="40"/>
  <c r="AB131" i="40"/>
  <c r="AA131" i="40"/>
  <c r="Z131" i="40"/>
  <c r="Y131" i="40"/>
  <c r="X131" i="40"/>
  <c r="AC130" i="40"/>
  <c r="AB130" i="40"/>
  <c r="AA130" i="40"/>
  <c r="Z130" i="40"/>
  <c r="Y130" i="40"/>
  <c r="X130" i="40"/>
  <c r="AC129" i="40"/>
  <c r="AB129" i="40"/>
  <c r="AA129" i="40"/>
  <c r="Z129" i="40"/>
  <c r="Y129" i="40"/>
  <c r="X129" i="40"/>
  <c r="AB34" i="40" l="1"/>
  <c r="AB33" i="40"/>
  <c r="Z34" i="40"/>
  <c r="Z33" i="40"/>
  <c r="Z30" i="40"/>
  <c r="Z29" i="40"/>
  <c r="Z23" i="40"/>
  <c r="Z32" i="40" l="1"/>
  <c r="AB32" i="40"/>
  <c r="AA30" i="40"/>
  <c r="AA29" i="40"/>
  <c r="AA23" i="40"/>
  <c r="AB30" i="40"/>
  <c r="AB29" i="40"/>
  <c r="AB23" i="40"/>
  <c r="X38" i="40" l="1"/>
  <c r="X33" i="40"/>
  <c r="X32" i="40" s="1"/>
  <c r="X30" i="40"/>
  <c r="X23" i="40"/>
  <c r="X29" i="40"/>
  <c r="AL22" i="40" l="1"/>
  <c r="Y64" i="40"/>
  <c r="Y122" i="40" l="1"/>
  <c r="X122" i="40"/>
  <c r="W122" i="40"/>
  <c r="V122" i="40"/>
  <c r="U122" i="40"/>
  <c r="T122" i="40"/>
  <c r="Y34" i="40" l="1"/>
  <c r="Y33" i="40"/>
  <c r="Y32" i="40" s="1"/>
  <c r="Y30" i="40"/>
  <c r="Y29" i="40"/>
  <c r="Y23" i="40"/>
  <c r="X133" i="40"/>
  <c r="X132" i="40"/>
  <c r="X42" i="40" l="1"/>
  <c r="X37" i="40"/>
  <c r="S122" i="40" l="1"/>
  <c r="P133" i="40"/>
  <c r="W130" i="40"/>
  <c r="V130" i="40"/>
  <c r="U130" i="40"/>
  <c r="T130" i="40"/>
  <c r="S130" i="40"/>
  <c r="R130" i="40"/>
  <c r="W131" i="40"/>
  <c r="V131" i="40"/>
  <c r="U131" i="40"/>
  <c r="T131" i="40"/>
  <c r="S131" i="40"/>
  <c r="R131" i="40"/>
  <c r="Q131" i="40"/>
  <c r="P131" i="40"/>
  <c r="O131" i="40"/>
  <c r="N131" i="40"/>
  <c r="M131" i="40"/>
  <c r="L131" i="40"/>
  <c r="K131" i="40"/>
  <c r="J131" i="40"/>
  <c r="I131" i="40"/>
  <c r="H131" i="40"/>
  <c r="G131" i="40"/>
  <c r="F131" i="40"/>
  <c r="AJ130" i="40"/>
  <c r="AI130" i="40"/>
  <c r="AH130" i="40"/>
  <c r="AG130" i="40"/>
  <c r="AF130" i="40"/>
  <c r="AE130" i="40"/>
  <c r="AD130" i="40"/>
  <c r="Q130" i="40"/>
  <c r="P130" i="40"/>
  <c r="O130" i="40"/>
  <c r="N130" i="40"/>
  <c r="M130" i="40"/>
  <c r="L130" i="40"/>
  <c r="K130" i="40"/>
  <c r="J130" i="40"/>
  <c r="I130" i="40"/>
  <c r="H130" i="40"/>
  <c r="G130" i="40"/>
  <c r="F130" i="40"/>
  <c r="AL126" i="40"/>
  <c r="AL130" i="40" s="1"/>
  <c r="H29" i="40" l="1"/>
  <c r="H30" i="40"/>
  <c r="W45" i="40"/>
  <c r="W44" i="40"/>
  <c r="W30" i="40"/>
  <c r="W29" i="40"/>
  <c r="W23" i="40"/>
  <c r="V42" i="40"/>
  <c r="V53" i="40" s="1"/>
  <c r="V30" i="40"/>
  <c r="V29" i="40"/>
  <c r="V23" i="40"/>
  <c r="V41" i="40" s="1"/>
  <c r="W42" i="40" l="1"/>
  <c r="U41" i="40"/>
  <c r="D29" i="40" l="1"/>
  <c r="S34" i="40"/>
  <c r="S32" i="40" s="1"/>
  <c r="S30" i="40"/>
  <c r="S29" i="40"/>
  <c r="T33" i="40"/>
  <c r="T32" i="40" s="1"/>
  <c r="T30" i="40"/>
  <c r="T29" i="40"/>
  <c r="T23" i="40"/>
  <c r="AJ57" i="40"/>
  <c r="AI57" i="40"/>
  <c r="AH57" i="40"/>
  <c r="AG57" i="40"/>
  <c r="AF57" i="40"/>
  <c r="AE57" i="40"/>
  <c r="AD57" i="40"/>
  <c r="AC57" i="40"/>
  <c r="AB57" i="40"/>
  <c r="AA57" i="40"/>
  <c r="Z57" i="40"/>
  <c r="Y57" i="40"/>
  <c r="X57" i="40"/>
  <c r="W57" i="40"/>
  <c r="V57" i="40"/>
  <c r="T57" i="40"/>
  <c r="S57" i="40"/>
  <c r="Q57" i="40"/>
  <c r="U59" i="40"/>
  <c r="U34" i="40"/>
  <c r="U33" i="40"/>
  <c r="U23" i="40"/>
  <c r="U57" i="40" s="1"/>
  <c r="H34" i="40"/>
  <c r="H33" i="40"/>
  <c r="I34" i="40"/>
  <c r="I32" i="40" s="1"/>
  <c r="J34" i="40"/>
  <c r="J33" i="40"/>
  <c r="J30" i="40"/>
  <c r="J29" i="40"/>
  <c r="K33" i="40"/>
  <c r="K32" i="40" s="1"/>
  <c r="K30" i="40"/>
  <c r="K29" i="40"/>
  <c r="L34" i="40"/>
  <c r="L33" i="40"/>
  <c r="L30" i="40"/>
  <c r="L29" i="40"/>
  <c r="M34" i="40"/>
  <c r="M33" i="40"/>
  <c r="M32" i="40" s="1"/>
  <c r="M30" i="40"/>
  <c r="M29" i="40"/>
  <c r="M23" i="40"/>
  <c r="N34" i="40"/>
  <c r="N33" i="40"/>
  <c r="N36" i="40"/>
  <c r="N30" i="40"/>
  <c r="O39" i="40"/>
  <c r="O34" i="40"/>
  <c r="O38" i="40"/>
  <c r="O33" i="40"/>
  <c r="O29" i="40"/>
  <c r="O23" i="40"/>
  <c r="O57" i="40" s="1"/>
  <c r="P33" i="40"/>
  <c r="P32" i="40" s="1"/>
  <c r="P29" i="40"/>
  <c r="P23" i="40"/>
  <c r="P57" i="40" s="1"/>
  <c r="Q33" i="40"/>
  <c r="Q32" i="40" s="1"/>
  <c r="Q30" i="40"/>
  <c r="Q29" i="40"/>
  <c r="R30" i="40"/>
  <c r="R23" i="40"/>
  <c r="R57" i="40" s="1"/>
  <c r="R34" i="40"/>
  <c r="R33" i="40"/>
  <c r="H32" i="40" l="1"/>
  <c r="R32" i="40"/>
  <c r="U32" i="40"/>
  <c r="L32" i="40"/>
  <c r="N32" i="40"/>
  <c r="J32" i="40"/>
  <c r="O32" i="40"/>
  <c r="AL23" i="40"/>
  <c r="AT57" i="40"/>
  <c r="AL29" i="40"/>
  <c r="AL30" i="40"/>
  <c r="AP23" i="40" l="1"/>
  <c r="AP27" i="40" s="1"/>
  <c r="AP29" i="40" s="1"/>
  <c r="AN23" i="40"/>
  <c r="AP25" i="40"/>
  <c r="N56" i="40"/>
  <c r="N57" i="40" s="1"/>
  <c r="O37" i="40" l="1"/>
  <c r="AL38" i="40"/>
  <c r="H149" i="40" l="1"/>
  <c r="D156" i="40"/>
  <c r="D160" i="40" s="1"/>
  <c r="N37" i="40"/>
  <c r="M37" i="40"/>
  <c r="L37" i="40"/>
  <c r="K37" i="40"/>
  <c r="J37" i="40"/>
  <c r="I37" i="40"/>
  <c r="H37" i="40"/>
  <c r="G37" i="40"/>
  <c r="F37" i="40"/>
  <c r="G32" i="40" l="1"/>
  <c r="F32" i="40"/>
  <c r="AL17" i="40" l="1"/>
  <c r="AJ19" i="40"/>
  <c r="AI19" i="40"/>
  <c r="AH19" i="40"/>
  <c r="AG19" i="40"/>
  <c r="AF19" i="40"/>
  <c r="AE19" i="40"/>
  <c r="AD19" i="40"/>
  <c r="AC19" i="40"/>
  <c r="AB19" i="40"/>
  <c r="AL13" i="40"/>
  <c r="AL9" i="40"/>
  <c r="AL19" i="40" l="1"/>
  <c r="AN19" i="40" s="1"/>
  <c r="AJ131" i="40"/>
  <c r="AI131" i="40"/>
  <c r="AH131" i="40"/>
  <c r="AG131" i="40"/>
  <c r="AF131" i="40"/>
  <c r="AE131" i="40"/>
  <c r="AD131" i="40"/>
  <c r="AJ129" i="40"/>
  <c r="AI129" i="40"/>
  <c r="AH129" i="40"/>
  <c r="AG129" i="40"/>
  <c r="AF129" i="40"/>
  <c r="AE129" i="40"/>
  <c r="AD129" i="40"/>
  <c r="AI132" i="40" l="1"/>
  <c r="AH132" i="40"/>
  <c r="AG132" i="40"/>
  <c r="AF132" i="40"/>
  <c r="AE132" i="40"/>
  <c r="AD132" i="40"/>
  <c r="AC132" i="40"/>
  <c r="AI95" i="40"/>
  <c r="AI104" i="40"/>
  <c r="AI78" i="40"/>
  <c r="AI68" i="40"/>
  <c r="AH133" i="40" l="1"/>
  <c r="AL44" i="40" l="1"/>
  <c r="AE10" i="40" l="1"/>
  <c r="AB132" i="40" l="1"/>
  <c r="AA132" i="40"/>
  <c r="Z132" i="40"/>
  <c r="AI187" i="40" l="1"/>
  <c r="AI180" i="40"/>
  <c r="AI173" i="40"/>
  <c r="AI168" i="40"/>
  <c r="AI160" i="40"/>
  <c r="AI161" i="40" s="1"/>
  <c r="AI154" i="40"/>
  <c r="AI153" i="40" s="1"/>
  <c r="AI144" i="40"/>
  <c r="AI143" i="40"/>
  <c r="AI133" i="40"/>
  <c r="AI147" i="40"/>
  <c r="AI146" i="40"/>
  <c r="AI123" i="40"/>
  <c r="AI115" i="40"/>
  <c r="AI114" i="40"/>
  <c r="AI103" i="40"/>
  <c r="AI102" i="40"/>
  <c r="AI118" i="40" s="1"/>
  <c r="AI101" i="40"/>
  <c r="AI117" i="40" s="1"/>
  <c r="AI96" i="40"/>
  <c r="AI89" i="40"/>
  <c r="AI88" i="40"/>
  <c r="AI77" i="40"/>
  <c r="AI76" i="40"/>
  <c r="AI92" i="40" s="1"/>
  <c r="AI75" i="40"/>
  <c r="AI91" i="40" s="1"/>
  <c r="AI69" i="40"/>
  <c r="AI64" i="40"/>
  <c r="AI62" i="40"/>
  <c r="AI61" i="40"/>
  <c r="AI59" i="40"/>
  <c r="AI54" i="40"/>
  <c r="AI53" i="40"/>
  <c r="AI52" i="40"/>
  <c r="AI51" i="40"/>
  <c r="AI50" i="40"/>
  <c r="AI49" i="40"/>
  <c r="AI48" i="40"/>
  <c r="AI47" i="40"/>
  <c r="AI18" i="40"/>
  <c r="AI14" i="40"/>
  <c r="AI10" i="40"/>
  <c r="W132" i="40" l="1"/>
  <c r="V132" i="40"/>
  <c r="U132" i="40"/>
  <c r="T132" i="40"/>
  <c r="S132" i="40"/>
  <c r="R132" i="40"/>
  <c r="Q132" i="40"/>
  <c r="P132" i="40"/>
  <c r="O132" i="40"/>
  <c r="N132" i="40"/>
  <c r="M132" i="40"/>
  <c r="L132" i="40"/>
  <c r="K132" i="40"/>
  <c r="J132" i="40"/>
  <c r="Y103" i="40"/>
  <c r="X103" i="40"/>
  <c r="W103" i="40"/>
  <c r="V103" i="40"/>
  <c r="U103" i="40"/>
  <c r="T103" i="40"/>
  <c r="S103" i="40"/>
  <c r="R103" i="40"/>
  <c r="Q103" i="40"/>
  <c r="P103" i="40"/>
  <c r="O103" i="40"/>
  <c r="N103" i="40"/>
  <c r="M103" i="40"/>
  <c r="L103" i="40"/>
  <c r="K103" i="40"/>
  <c r="J103" i="40"/>
  <c r="I103" i="40"/>
  <c r="Y77" i="40"/>
  <c r="X77" i="40"/>
  <c r="W77" i="40"/>
  <c r="V77" i="40"/>
  <c r="W129" i="40" l="1"/>
  <c r="V129" i="40"/>
  <c r="U129" i="40"/>
  <c r="T129" i="40"/>
  <c r="S129" i="40"/>
  <c r="R129" i="40"/>
  <c r="Q129" i="40"/>
  <c r="P129" i="40"/>
  <c r="O129" i="40" l="1"/>
  <c r="N129" i="40"/>
  <c r="M129" i="40"/>
  <c r="L129" i="40"/>
  <c r="K129" i="40"/>
  <c r="J129" i="40"/>
  <c r="Q122" i="40"/>
  <c r="P122" i="40"/>
  <c r="O122" i="40"/>
  <c r="N122" i="40"/>
  <c r="M122" i="40"/>
  <c r="L122" i="40"/>
  <c r="K122" i="40"/>
  <c r="J122" i="40"/>
  <c r="H59" i="40" l="1"/>
  <c r="J64" i="40"/>
  <c r="K57" i="40"/>
  <c r="I53" i="40" l="1"/>
  <c r="I54" i="40" l="1"/>
  <c r="K54" i="40"/>
  <c r="K53" i="40" l="1"/>
  <c r="K62" i="40"/>
  <c r="I122" i="40"/>
  <c r="G122" i="40"/>
  <c r="F122" i="40"/>
  <c r="I132" i="40"/>
  <c r="H132" i="40"/>
  <c r="G132" i="40"/>
  <c r="F132" i="40"/>
  <c r="I129" i="40"/>
  <c r="H129" i="40"/>
  <c r="G129" i="40"/>
  <c r="F129" i="40" l="1"/>
  <c r="G103" i="40"/>
  <c r="J54" i="40" l="1"/>
  <c r="AL42" i="40"/>
  <c r="J53" i="40"/>
  <c r="AJ103" i="40" l="1"/>
  <c r="AH77" i="40" l="1"/>
  <c r="AH103" i="40"/>
  <c r="AH62" i="40" l="1"/>
  <c r="AG103" i="40" l="1"/>
  <c r="AF103" i="40"/>
  <c r="AE103" i="40"/>
  <c r="AD103" i="40"/>
  <c r="AC103" i="40"/>
  <c r="AB103" i="40"/>
  <c r="AA103" i="40"/>
  <c r="Z103" i="40"/>
  <c r="AD77" i="40"/>
  <c r="AG77" i="40"/>
  <c r="AF77" i="40"/>
  <c r="AE77" i="40"/>
  <c r="AD62" i="40" l="1"/>
  <c r="AC77" i="40" l="1"/>
  <c r="AB77" i="40" l="1"/>
  <c r="AA77" i="40" l="1"/>
  <c r="Z77" i="40" l="1"/>
  <c r="U77" i="40" l="1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R122" i="40" l="1"/>
  <c r="AL122" i="40" s="1"/>
  <c r="AL120" i="40"/>
  <c r="S147" i="40" l="1"/>
  <c r="R147" i="40"/>
  <c r="AJ144" i="40"/>
  <c r="AH144" i="40"/>
  <c r="AG144" i="40"/>
  <c r="AF144" i="40"/>
  <c r="AE144" i="40"/>
  <c r="AD144" i="40"/>
  <c r="AC144" i="40"/>
  <c r="AB144" i="40"/>
  <c r="AA144" i="40"/>
  <c r="Z144" i="40"/>
  <c r="Y144" i="40"/>
  <c r="X144" i="40"/>
  <c r="W144" i="40"/>
  <c r="V144" i="40"/>
  <c r="U144" i="40"/>
  <c r="T144" i="40"/>
  <c r="S144" i="40"/>
  <c r="R144" i="40"/>
  <c r="Q144" i="40"/>
  <c r="P144" i="40"/>
  <c r="O144" i="40"/>
  <c r="N144" i="40"/>
  <c r="M144" i="40"/>
  <c r="L144" i="40"/>
  <c r="K144" i="40"/>
  <c r="J144" i="40"/>
  <c r="I144" i="40"/>
  <c r="H144" i="40"/>
  <c r="G144" i="40"/>
  <c r="F144" i="40"/>
  <c r="AJ143" i="40"/>
  <c r="AH143" i="40"/>
  <c r="AG143" i="40"/>
  <c r="AF143" i="40"/>
  <c r="AE143" i="40"/>
  <c r="AD143" i="40"/>
  <c r="AC143" i="40"/>
  <c r="AB143" i="40"/>
  <c r="AA143" i="40"/>
  <c r="Z143" i="40"/>
  <c r="Y143" i="40"/>
  <c r="X143" i="40"/>
  <c r="W143" i="40"/>
  <c r="V143" i="40"/>
  <c r="U143" i="40"/>
  <c r="T143" i="40"/>
  <c r="S143" i="40"/>
  <c r="R143" i="40"/>
  <c r="Q143" i="40"/>
  <c r="P143" i="40"/>
  <c r="O143" i="40"/>
  <c r="N143" i="40"/>
  <c r="M143" i="40"/>
  <c r="L143" i="40"/>
  <c r="K143" i="40"/>
  <c r="J143" i="40"/>
  <c r="I143" i="40"/>
  <c r="H143" i="40"/>
  <c r="G143" i="40"/>
  <c r="F143" i="40"/>
  <c r="AL140" i="40"/>
  <c r="AL139" i="40"/>
  <c r="AL137" i="40"/>
  <c r="AL136" i="40"/>
  <c r="AG133" i="40"/>
  <c r="AF133" i="40"/>
  <c r="AE133" i="40"/>
  <c r="AD133" i="40"/>
  <c r="AC133" i="40"/>
  <c r="AB133" i="40"/>
  <c r="AA133" i="40"/>
  <c r="Z133" i="40"/>
  <c r="Y133" i="40"/>
  <c r="W133" i="40"/>
  <c r="U133" i="40"/>
  <c r="T133" i="40"/>
  <c r="S133" i="40"/>
  <c r="R133" i="40"/>
  <c r="Q133" i="40"/>
  <c r="O133" i="40"/>
  <c r="N133" i="40"/>
  <c r="M133" i="40"/>
  <c r="L133" i="40"/>
  <c r="K133" i="40"/>
  <c r="J133" i="40"/>
  <c r="I133" i="40"/>
  <c r="H133" i="40"/>
  <c r="G133" i="40"/>
  <c r="F133" i="40"/>
  <c r="AL132" i="40"/>
  <c r="AJ147" i="40"/>
  <c r="AH147" i="40"/>
  <c r="AG147" i="40"/>
  <c r="AF147" i="40"/>
  <c r="AE147" i="40"/>
  <c r="AD147" i="40"/>
  <c r="AC147" i="40"/>
  <c r="AB147" i="40"/>
  <c r="AA147" i="40"/>
  <c r="Z147" i="40"/>
  <c r="Y147" i="40"/>
  <c r="X147" i="40"/>
  <c r="W147" i="40"/>
  <c r="V147" i="40"/>
  <c r="U147" i="40"/>
  <c r="T147" i="40"/>
  <c r="Q147" i="40"/>
  <c r="P147" i="40"/>
  <c r="O147" i="40"/>
  <c r="N147" i="40"/>
  <c r="M147" i="40"/>
  <c r="L147" i="40"/>
  <c r="K147" i="40"/>
  <c r="J147" i="40"/>
  <c r="I147" i="40"/>
  <c r="H147" i="40"/>
  <c r="G147" i="40"/>
  <c r="F147" i="40"/>
  <c r="AJ146" i="40"/>
  <c r="AH146" i="40"/>
  <c r="AG146" i="40"/>
  <c r="AF146" i="40"/>
  <c r="AE146" i="40"/>
  <c r="AD146" i="40"/>
  <c r="AC146" i="40"/>
  <c r="AB146" i="40"/>
  <c r="AA146" i="40"/>
  <c r="Z146" i="40"/>
  <c r="Y146" i="40"/>
  <c r="X146" i="40"/>
  <c r="W146" i="40"/>
  <c r="V146" i="40"/>
  <c r="U146" i="40"/>
  <c r="T146" i="40"/>
  <c r="S146" i="40"/>
  <c r="R146" i="40"/>
  <c r="Q146" i="40"/>
  <c r="P146" i="40"/>
  <c r="O146" i="40"/>
  <c r="N146" i="40"/>
  <c r="M146" i="40"/>
  <c r="L146" i="40"/>
  <c r="K146" i="40"/>
  <c r="J146" i="40"/>
  <c r="I146" i="40"/>
  <c r="H146" i="40"/>
  <c r="G146" i="40"/>
  <c r="F146" i="40"/>
  <c r="AL127" i="40"/>
  <c r="AL131" i="40" s="1"/>
  <c r="AL125" i="40"/>
  <c r="AL129" i="40" s="1"/>
  <c r="AJ123" i="40"/>
  <c r="AH123" i="40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Q123" i="40"/>
  <c r="P123" i="40"/>
  <c r="O123" i="40"/>
  <c r="N123" i="40"/>
  <c r="M123" i="40"/>
  <c r="L123" i="40"/>
  <c r="K123" i="40"/>
  <c r="J123" i="40"/>
  <c r="I123" i="40"/>
  <c r="G123" i="40"/>
  <c r="F123" i="40"/>
  <c r="Q95" i="40"/>
  <c r="AL123" i="40" l="1"/>
  <c r="AL133" i="40"/>
  <c r="AL144" i="40"/>
  <c r="AL143" i="40"/>
  <c r="AL146" i="40"/>
  <c r="AL147" i="40"/>
  <c r="AL103" i="40" l="1"/>
  <c r="J104" i="40"/>
  <c r="E38" i="41" l="1"/>
  <c r="D38" i="41"/>
  <c r="E37" i="41"/>
  <c r="D37" i="41"/>
  <c r="E36" i="41"/>
  <c r="D36" i="41"/>
  <c r="E35" i="41"/>
  <c r="E39" i="41" s="1"/>
  <c r="D35" i="4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D17" i="41"/>
  <c r="H13" i="41"/>
  <c r="G13" i="41"/>
  <c r="D12" i="41"/>
  <c r="D11" i="41"/>
  <c r="D10" i="41"/>
  <c r="D9" i="41"/>
  <c r="AJ187" i="40"/>
  <c r="AH187" i="40"/>
  <c r="AG187" i="40"/>
  <c r="AF187" i="40"/>
  <c r="AE187" i="40"/>
  <c r="AD187" i="40"/>
  <c r="AC187" i="40"/>
  <c r="AB187" i="40"/>
  <c r="AA187" i="40"/>
  <c r="Z187" i="40"/>
  <c r="Y187" i="40"/>
  <c r="X187" i="40"/>
  <c r="W187" i="40"/>
  <c r="V187" i="40"/>
  <c r="U187" i="40"/>
  <c r="T187" i="40"/>
  <c r="S187" i="40"/>
  <c r="R187" i="40"/>
  <c r="Q187" i="40"/>
  <c r="P187" i="40"/>
  <c r="O187" i="40"/>
  <c r="N187" i="40"/>
  <c r="M187" i="40"/>
  <c r="L187" i="40"/>
  <c r="K187" i="40"/>
  <c r="J187" i="40"/>
  <c r="I187" i="40"/>
  <c r="H187" i="40"/>
  <c r="G187" i="40"/>
  <c r="F187" i="40"/>
  <c r="AL186" i="40"/>
  <c r="AL185" i="40"/>
  <c r="AL184" i="40"/>
  <c r="AL183" i="40"/>
  <c r="AL182" i="40"/>
  <c r="AJ180" i="40"/>
  <c r="AH180" i="40"/>
  <c r="AG180" i="40"/>
  <c r="AF180" i="40"/>
  <c r="AE180" i="40"/>
  <c r="AD180" i="40"/>
  <c r="AC180" i="40"/>
  <c r="AB180" i="40"/>
  <c r="AA180" i="40"/>
  <c r="Z180" i="40"/>
  <c r="Y180" i="40"/>
  <c r="X180" i="40"/>
  <c r="W180" i="40"/>
  <c r="V180" i="40"/>
  <c r="U180" i="40"/>
  <c r="T180" i="40"/>
  <c r="S180" i="40"/>
  <c r="R180" i="40"/>
  <c r="Q180" i="40"/>
  <c r="P180" i="40"/>
  <c r="O180" i="40"/>
  <c r="N180" i="40"/>
  <c r="M180" i="40"/>
  <c r="L180" i="40"/>
  <c r="K180" i="40"/>
  <c r="J180" i="40"/>
  <c r="I180" i="40"/>
  <c r="H180" i="40"/>
  <c r="G180" i="40"/>
  <c r="F180" i="40"/>
  <c r="AL179" i="40"/>
  <c r="AL178" i="40"/>
  <c r="AL177" i="40"/>
  <c r="AL176" i="40"/>
  <c r="AL175" i="40"/>
  <c r="AJ173" i="40"/>
  <c r="AH173" i="40"/>
  <c r="AG173" i="40"/>
  <c r="AF173" i="40"/>
  <c r="AE173" i="40"/>
  <c r="AD173" i="40"/>
  <c r="AC173" i="40"/>
  <c r="AB173" i="40"/>
  <c r="AA173" i="40"/>
  <c r="Z173" i="40"/>
  <c r="Y173" i="40"/>
  <c r="X173" i="40"/>
  <c r="W173" i="40"/>
  <c r="V173" i="40"/>
  <c r="U173" i="40"/>
  <c r="T173" i="40"/>
  <c r="S173" i="40"/>
  <c r="R173" i="40"/>
  <c r="Q173" i="40"/>
  <c r="P173" i="40"/>
  <c r="O173" i="40"/>
  <c r="N173" i="40"/>
  <c r="M173" i="40"/>
  <c r="L173" i="40"/>
  <c r="K173" i="40"/>
  <c r="J173" i="40"/>
  <c r="I173" i="40"/>
  <c r="H173" i="40"/>
  <c r="G173" i="40"/>
  <c r="F173" i="40"/>
  <c r="AL172" i="40"/>
  <c r="AN172" i="40" s="1"/>
  <c r="AL169" i="40"/>
  <c r="AJ168" i="40"/>
  <c r="AH168" i="40"/>
  <c r="AG168" i="40"/>
  <c r="AF168" i="40"/>
  <c r="AE168" i="40"/>
  <c r="AD168" i="40"/>
  <c r="AC168" i="40"/>
  <c r="AB168" i="40"/>
  <c r="AA168" i="40"/>
  <c r="Z168" i="40"/>
  <c r="Y168" i="40"/>
  <c r="X168" i="40"/>
  <c r="W168" i="40"/>
  <c r="V168" i="40"/>
  <c r="U168" i="40"/>
  <c r="T168" i="40"/>
  <c r="S168" i="40"/>
  <c r="R168" i="40"/>
  <c r="Q168" i="40"/>
  <c r="P168" i="40"/>
  <c r="O168" i="40"/>
  <c r="N168" i="40"/>
  <c r="M168" i="40"/>
  <c r="L168" i="40"/>
  <c r="K168" i="40"/>
  <c r="J168" i="40"/>
  <c r="I168" i="40"/>
  <c r="H168" i="40"/>
  <c r="G168" i="40"/>
  <c r="F168" i="40"/>
  <c r="AL167" i="40"/>
  <c r="D167" i="40"/>
  <c r="D168" i="40" s="1"/>
  <c r="AL166" i="40"/>
  <c r="AL165" i="40"/>
  <c r="AL163" i="40"/>
  <c r="D161" i="40"/>
  <c r="AJ160" i="40"/>
  <c r="AJ161" i="40" s="1"/>
  <c r="AH160" i="40"/>
  <c r="AH161" i="40" s="1"/>
  <c r="AG160" i="40"/>
  <c r="AG161" i="40" s="1"/>
  <c r="AF160" i="40"/>
  <c r="AF161" i="40" s="1"/>
  <c r="AE160" i="40"/>
  <c r="AE161" i="40" s="1"/>
  <c r="AD160" i="40"/>
  <c r="AD161" i="40" s="1"/>
  <c r="AC160" i="40"/>
  <c r="AC161" i="40" s="1"/>
  <c r="AB160" i="40"/>
  <c r="AB161" i="40" s="1"/>
  <c r="AA160" i="40"/>
  <c r="AA161" i="40" s="1"/>
  <c r="Z160" i="40"/>
  <c r="Z161" i="40" s="1"/>
  <c r="Y160" i="40"/>
  <c r="Y161" i="40" s="1"/>
  <c r="X160" i="40"/>
  <c r="X161" i="40" s="1"/>
  <c r="W160" i="40"/>
  <c r="W161" i="40" s="1"/>
  <c r="V160" i="40"/>
  <c r="V161" i="40" s="1"/>
  <c r="U160" i="40"/>
  <c r="U161" i="40" s="1"/>
  <c r="T160" i="40"/>
  <c r="T161" i="40" s="1"/>
  <c r="S160" i="40"/>
  <c r="S161" i="40" s="1"/>
  <c r="R160" i="40"/>
  <c r="R161" i="40" s="1"/>
  <c r="Q160" i="40"/>
  <c r="Q161" i="40" s="1"/>
  <c r="P160" i="40"/>
  <c r="P161" i="40" s="1"/>
  <c r="O160" i="40"/>
  <c r="O161" i="40" s="1"/>
  <c r="N160" i="40"/>
  <c r="N161" i="40" s="1"/>
  <c r="M160" i="40"/>
  <c r="M161" i="40" s="1"/>
  <c r="L160" i="40"/>
  <c r="L161" i="40" s="1"/>
  <c r="K160" i="40"/>
  <c r="K161" i="40" s="1"/>
  <c r="J160" i="40"/>
  <c r="J161" i="40" s="1"/>
  <c r="I160" i="40"/>
  <c r="I161" i="40" s="1"/>
  <c r="H160" i="40"/>
  <c r="H161" i="40" s="1"/>
  <c r="G160" i="40"/>
  <c r="F160" i="40"/>
  <c r="F161" i="40" s="1"/>
  <c r="AL159" i="40"/>
  <c r="AL158" i="40"/>
  <c r="AL156" i="40"/>
  <c r="AN156" i="40" s="1"/>
  <c r="AJ154" i="40"/>
  <c r="AJ153" i="40" s="1"/>
  <c r="AH154" i="40"/>
  <c r="AH153" i="40" s="1"/>
  <c r="AG154" i="40"/>
  <c r="AG153" i="40" s="1"/>
  <c r="AF154" i="40"/>
  <c r="AF153" i="40" s="1"/>
  <c r="AE154" i="40"/>
  <c r="AE153" i="40" s="1"/>
  <c r="AD154" i="40"/>
  <c r="AD153" i="40" s="1"/>
  <c r="AC154" i="40"/>
  <c r="AC153" i="40" s="1"/>
  <c r="AB154" i="40"/>
  <c r="AB153" i="40" s="1"/>
  <c r="AA154" i="40"/>
  <c r="AA153" i="40" s="1"/>
  <c r="Z154" i="40"/>
  <c r="Z153" i="40" s="1"/>
  <c r="Y154" i="40"/>
  <c r="Y153" i="40" s="1"/>
  <c r="X154" i="40"/>
  <c r="X153" i="40" s="1"/>
  <c r="W154" i="40"/>
  <c r="W153" i="40" s="1"/>
  <c r="V154" i="40"/>
  <c r="V153" i="40" s="1"/>
  <c r="U154" i="40"/>
  <c r="U153" i="40" s="1"/>
  <c r="T154" i="40"/>
  <c r="T153" i="40" s="1"/>
  <c r="S154" i="40"/>
  <c r="S153" i="40" s="1"/>
  <c r="R154" i="40"/>
  <c r="R153" i="40" s="1"/>
  <c r="Q154" i="40"/>
  <c r="Q153" i="40" s="1"/>
  <c r="P154" i="40"/>
  <c r="P153" i="40" s="1"/>
  <c r="O154" i="40"/>
  <c r="O153" i="40" s="1"/>
  <c r="N154" i="40"/>
  <c r="N153" i="40" s="1"/>
  <c r="M154" i="40"/>
  <c r="M153" i="40" s="1"/>
  <c r="L154" i="40"/>
  <c r="L153" i="40" s="1"/>
  <c r="K154" i="40"/>
  <c r="K153" i="40" s="1"/>
  <c r="J154" i="40"/>
  <c r="J153" i="40" s="1"/>
  <c r="I154" i="40"/>
  <c r="I153" i="40" s="1"/>
  <c r="H154" i="40"/>
  <c r="H153" i="40" s="1"/>
  <c r="G154" i="40"/>
  <c r="G153" i="40" s="1"/>
  <c r="F154" i="40"/>
  <c r="F153" i="40" s="1"/>
  <c r="D154" i="40"/>
  <c r="AL152" i="40"/>
  <c r="AL150" i="40"/>
  <c r="AN150" i="40" s="1"/>
  <c r="AL149" i="40"/>
  <c r="AJ115" i="40"/>
  <c r="AH115" i="40"/>
  <c r="AG115" i="40"/>
  <c r="AF115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S115" i="40"/>
  <c r="R115" i="40"/>
  <c r="Q115" i="40"/>
  <c r="P115" i="40"/>
  <c r="O115" i="40"/>
  <c r="N115" i="40"/>
  <c r="M115" i="40"/>
  <c r="L115" i="40"/>
  <c r="K115" i="40"/>
  <c r="J115" i="40"/>
  <c r="I115" i="40"/>
  <c r="H115" i="40"/>
  <c r="G115" i="40"/>
  <c r="F115" i="40"/>
  <c r="AJ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L111" i="40"/>
  <c r="AL110" i="40"/>
  <c r="AL108" i="40"/>
  <c r="AL107" i="40"/>
  <c r="AJ104" i="40"/>
  <c r="AH104" i="40"/>
  <c r="AG104" i="40"/>
  <c r="AF104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S104" i="40"/>
  <c r="R104" i="40"/>
  <c r="Q104" i="40"/>
  <c r="P104" i="40"/>
  <c r="O104" i="40"/>
  <c r="N104" i="40"/>
  <c r="M104" i="40"/>
  <c r="L104" i="40"/>
  <c r="K104" i="40"/>
  <c r="I104" i="40"/>
  <c r="G104" i="40"/>
  <c r="F104" i="40"/>
  <c r="AJ102" i="40"/>
  <c r="AJ118" i="40" s="1"/>
  <c r="AH102" i="40"/>
  <c r="AH118" i="40" s="1"/>
  <c r="AG102" i="40"/>
  <c r="AG118" i="40" s="1"/>
  <c r="AF102" i="40"/>
  <c r="AF118" i="40" s="1"/>
  <c r="AE102" i="40"/>
  <c r="AE118" i="40" s="1"/>
  <c r="AD102" i="40"/>
  <c r="AD118" i="40" s="1"/>
  <c r="AC102" i="40"/>
  <c r="AC118" i="40" s="1"/>
  <c r="AB102" i="40"/>
  <c r="AB118" i="40" s="1"/>
  <c r="AA102" i="40"/>
  <c r="AA118" i="40" s="1"/>
  <c r="Z102" i="40"/>
  <c r="Z118" i="40" s="1"/>
  <c r="Y102" i="40"/>
  <c r="Y118" i="40" s="1"/>
  <c r="X102" i="40"/>
  <c r="X118" i="40" s="1"/>
  <c r="W102" i="40"/>
  <c r="W118" i="40" s="1"/>
  <c r="V102" i="40"/>
  <c r="V118" i="40" s="1"/>
  <c r="U102" i="40"/>
  <c r="U118" i="40" s="1"/>
  <c r="T102" i="40"/>
  <c r="T118" i="40" s="1"/>
  <c r="S102" i="40"/>
  <c r="S118" i="40" s="1"/>
  <c r="R102" i="40"/>
  <c r="R118" i="40" s="1"/>
  <c r="Q102" i="40"/>
  <c r="Q118" i="40" s="1"/>
  <c r="P102" i="40"/>
  <c r="P118" i="40" s="1"/>
  <c r="O102" i="40"/>
  <c r="O118" i="40" s="1"/>
  <c r="N102" i="40"/>
  <c r="N118" i="40" s="1"/>
  <c r="M102" i="40"/>
  <c r="M118" i="40" s="1"/>
  <c r="L102" i="40"/>
  <c r="L118" i="40" s="1"/>
  <c r="K102" i="40"/>
  <c r="K118" i="40" s="1"/>
  <c r="J102" i="40"/>
  <c r="J118" i="40" s="1"/>
  <c r="I102" i="40"/>
  <c r="I118" i="40" s="1"/>
  <c r="H118" i="40"/>
  <c r="G102" i="40"/>
  <c r="G118" i="40" s="1"/>
  <c r="F102" i="40"/>
  <c r="F118" i="40" s="1"/>
  <c r="AJ101" i="40"/>
  <c r="AJ117" i="40" s="1"/>
  <c r="AH101" i="40"/>
  <c r="AH117" i="40" s="1"/>
  <c r="AG101" i="40"/>
  <c r="AG117" i="40" s="1"/>
  <c r="AF101" i="40"/>
  <c r="AF117" i="40" s="1"/>
  <c r="AE101" i="40"/>
  <c r="AE117" i="40" s="1"/>
  <c r="AD101" i="40"/>
  <c r="AD117" i="40" s="1"/>
  <c r="AC101" i="40"/>
  <c r="AC117" i="40" s="1"/>
  <c r="AB101" i="40"/>
  <c r="AB117" i="40" s="1"/>
  <c r="AA101" i="40"/>
  <c r="AA117" i="40" s="1"/>
  <c r="Z101" i="40"/>
  <c r="Z117" i="40" s="1"/>
  <c r="Y101" i="40"/>
  <c r="Y117" i="40" s="1"/>
  <c r="X101" i="40"/>
  <c r="X117" i="40" s="1"/>
  <c r="W101" i="40"/>
  <c r="W117" i="40" s="1"/>
  <c r="V101" i="40"/>
  <c r="V117" i="40" s="1"/>
  <c r="U101" i="40"/>
  <c r="U117" i="40" s="1"/>
  <c r="T101" i="40"/>
  <c r="T117" i="40" s="1"/>
  <c r="S101" i="40"/>
  <c r="S117" i="40" s="1"/>
  <c r="R101" i="40"/>
  <c r="R117" i="40" s="1"/>
  <c r="Q101" i="40"/>
  <c r="Q117" i="40" s="1"/>
  <c r="P101" i="40"/>
  <c r="P117" i="40" s="1"/>
  <c r="O101" i="40"/>
  <c r="O117" i="40" s="1"/>
  <c r="N101" i="40"/>
  <c r="N117" i="40" s="1"/>
  <c r="M101" i="40"/>
  <c r="M117" i="40" s="1"/>
  <c r="L101" i="40"/>
  <c r="L117" i="40" s="1"/>
  <c r="K101" i="40"/>
  <c r="K117" i="40" s="1"/>
  <c r="J101" i="40"/>
  <c r="J117" i="40" s="1"/>
  <c r="I101" i="40"/>
  <c r="I117" i="40" s="1"/>
  <c r="H117" i="40"/>
  <c r="G101" i="40"/>
  <c r="G117" i="40" s="1"/>
  <c r="F101" i="40"/>
  <c r="F117" i="40" s="1"/>
  <c r="AL99" i="40"/>
  <c r="AL102" i="40" s="1"/>
  <c r="AL98" i="40"/>
  <c r="AL101" i="40" s="1"/>
  <c r="AJ95" i="40"/>
  <c r="AJ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T96" i="40" s="1"/>
  <c r="S95" i="40"/>
  <c r="S96" i="40" s="1"/>
  <c r="R95" i="40"/>
  <c r="R96" i="40" s="1"/>
  <c r="Q96" i="40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G95" i="40"/>
  <c r="G96" i="40" s="1"/>
  <c r="F95" i="40"/>
  <c r="F96" i="40" s="1"/>
  <c r="AJ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G89" i="40"/>
  <c r="F89" i="40"/>
  <c r="AJ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G88" i="40"/>
  <c r="F88" i="40"/>
  <c r="AL85" i="40"/>
  <c r="AL84" i="40"/>
  <c r="AL82" i="40"/>
  <c r="AJ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AL77" i="40"/>
  <c r="AJ76" i="40"/>
  <c r="AJ92" i="40" s="1"/>
  <c r="AH76" i="40"/>
  <c r="AH92" i="40" s="1"/>
  <c r="AG76" i="40"/>
  <c r="AG92" i="40" s="1"/>
  <c r="AF76" i="40"/>
  <c r="AF92" i="40" s="1"/>
  <c r="AE76" i="40"/>
  <c r="AE92" i="40" s="1"/>
  <c r="AD76" i="40"/>
  <c r="AD92" i="40" s="1"/>
  <c r="AC76" i="40"/>
  <c r="AC92" i="40" s="1"/>
  <c r="AB76" i="40"/>
  <c r="AB92" i="40" s="1"/>
  <c r="AA76" i="40"/>
  <c r="AA92" i="40" s="1"/>
  <c r="Z76" i="40"/>
  <c r="Z92" i="40" s="1"/>
  <c r="Y76" i="40"/>
  <c r="Y92" i="40" s="1"/>
  <c r="X76" i="40"/>
  <c r="X92" i="40" s="1"/>
  <c r="W76" i="40"/>
  <c r="W92" i="40" s="1"/>
  <c r="V76" i="40"/>
  <c r="V92" i="40" s="1"/>
  <c r="U76" i="40"/>
  <c r="U92" i="40" s="1"/>
  <c r="T76" i="40"/>
  <c r="T92" i="40" s="1"/>
  <c r="S76" i="40"/>
  <c r="S92" i="40" s="1"/>
  <c r="R76" i="40"/>
  <c r="R92" i="40" s="1"/>
  <c r="Q76" i="40"/>
  <c r="Q92" i="40" s="1"/>
  <c r="P76" i="40"/>
  <c r="P92" i="40" s="1"/>
  <c r="O76" i="40"/>
  <c r="O92" i="40" s="1"/>
  <c r="N76" i="40"/>
  <c r="N92" i="40" s="1"/>
  <c r="M76" i="40"/>
  <c r="M92" i="40" s="1"/>
  <c r="L76" i="40"/>
  <c r="L92" i="40" s="1"/>
  <c r="K76" i="40"/>
  <c r="K92" i="40" s="1"/>
  <c r="J76" i="40"/>
  <c r="J92" i="40" s="1"/>
  <c r="I76" i="40"/>
  <c r="I92" i="40" s="1"/>
  <c r="G76" i="40"/>
  <c r="G92" i="40" s="1"/>
  <c r="F76" i="40"/>
  <c r="F92" i="40" s="1"/>
  <c r="AJ75" i="40"/>
  <c r="AJ91" i="40" s="1"/>
  <c r="AH75" i="40"/>
  <c r="AH91" i="40" s="1"/>
  <c r="AG75" i="40"/>
  <c r="AG91" i="40" s="1"/>
  <c r="AF75" i="40"/>
  <c r="AF91" i="40" s="1"/>
  <c r="AE75" i="40"/>
  <c r="AE91" i="40" s="1"/>
  <c r="AD75" i="40"/>
  <c r="AD91" i="40" s="1"/>
  <c r="AC75" i="40"/>
  <c r="AC91" i="40" s="1"/>
  <c r="AB75" i="40"/>
  <c r="AB91" i="40" s="1"/>
  <c r="AA75" i="40"/>
  <c r="AA91" i="40" s="1"/>
  <c r="Z75" i="40"/>
  <c r="Z91" i="40" s="1"/>
  <c r="Y75" i="40"/>
  <c r="Y91" i="40" s="1"/>
  <c r="X75" i="40"/>
  <c r="X91" i="40" s="1"/>
  <c r="W75" i="40"/>
  <c r="W91" i="40" s="1"/>
  <c r="V75" i="40"/>
  <c r="V91" i="40" s="1"/>
  <c r="U75" i="40"/>
  <c r="U91" i="40" s="1"/>
  <c r="T75" i="40"/>
  <c r="T91" i="40" s="1"/>
  <c r="S75" i="40"/>
  <c r="S91" i="40" s="1"/>
  <c r="R75" i="40"/>
  <c r="R91" i="40" s="1"/>
  <c r="Q75" i="40"/>
  <c r="Q91" i="40" s="1"/>
  <c r="P75" i="40"/>
  <c r="P91" i="40" s="1"/>
  <c r="O75" i="40"/>
  <c r="O91" i="40" s="1"/>
  <c r="N75" i="40"/>
  <c r="N91" i="40" s="1"/>
  <c r="M75" i="40"/>
  <c r="M91" i="40" s="1"/>
  <c r="L75" i="40"/>
  <c r="L91" i="40" s="1"/>
  <c r="K75" i="40"/>
  <c r="K91" i="40" s="1"/>
  <c r="J75" i="40"/>
  <c r="J91" i="40" s="1"/>
  <c r="I75" i="40"/>
  <c r="I91" i="40" s="1"/>
  <c r="H75" i="40"/>
  <c r="H91" i="40" s="1"/>
  <c r="G75" i="40"/>
  <c r="G91" i="40" s="1"/>
  <c r="F75" i="40"/>
  <c r="F91" i="40" s="1"/>
  <c r="AL73" i="40"/>
  <c r="AL76" i="40" s="1"/>
  <c r="AL72" i="40"/>
  <c r="AL75" i="40" s="1"/>
  <c r="AL70" i="40"/>
  <c r="AJ68" i="40"/>
  <c r="AJ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Y69" i="40" s="1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I69" i="40" s="1"/>
  <c r="H68" i="40"/>
  <c r="H69" i="40" s="1"/>
  <c r="G68" i="40"/>
  <c r="G69" i="40" s="1"/>
  <c r="F68" i="40"/>
  <c r="F69" i="40" s="1"/>
  <c r="AL66" i="40"/>
  <c r="AJ64" i="40"/>
  <c r="AH64" i="40"/>
  <c r="AG64" i="40"/>
  <c r="AF64" i="40"/>
  <c r="AE64" i="40"/>
  <c r="AD64" i="40"/>
  <c r="AC64" i="40"/>
  <c r="AB64" i="40"/>
  <c r="AA64" i="40"/>
  <c r="Z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I64" i="40"/>
  <c r="H64" i="40"/>
  <c r="G64" i="40"/>
  <c r="F64" i="40"/>
  <c r="AJ62" i="40"/>
  <c r="AG62" i="40"/>
  <c r="AF62" i="40"/>
  <c r="AE62" i="40"/>
  <c r="AC62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P62" i="40"/>
  <c r="O62" i="40"/>
  <c r="N62" i="40"/>
  <c r="M62" i="40"/>
  <c r="L62" i="40"/>
  <c r="J62" i="40"/>
  <c r="I62" i="40"/>
  <c r="H62" i="40"/>
  <c r="G62" i="40"/>
  <c r="F62" i="40"/>
  <c r="AJ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L60" i="40"/>
  <c r="AJ59" i="40"/>
  <c r="AH59" i="40"/>
  <c r="AG59" i="40"/>
  <c r="AF59" i="40"/>
  <c r="AB59" i="40"/>
  <c r="AA59" i="40"/>
  <c r="Z59" i="40"/>
  <c r="Y59" i="40"/>
  <c r="X59" i="40"/>
  <c r="W59" i="40"/>
  <c r="V59" i="40"/>
  <c r="T59" i="40"/>
  <c r="S59" i="40"/>
  <c r="M59" i="40"/>
  <c r="I59" i="40"/>
  <c r="G59" i="40"/>
  <c r="F59" i="40"/>
  <c r="M57" i="40"/>
  <c r="I57" i="40"/>
  <c r="H57" i="40"/>
  <c r="G57" i="40"/>
  <c r="F57" i="40"/>
  <c r="AL56" i="40"/>
  <c r="AJ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AJ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U53" i="40"/>
  <c r="T53" i="40"/>
  <c r="S53" i="40"/>
  <c r="R53" i="40"/>
  <c r="Q53" i="40"/>
  <c r="P53" i="40"/>
  <c r="O53" i="40"/>
  <c r="N53" i="40"/>
  <c r="M53" i="40"/>
  <c r="L53" i="40"/>
  <c r="AJ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J51" i="40"/>
  <c r="AH51" i="40"/>
  <c r="AG51" i="40"/>
  <c r="AF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J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AJ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AJ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J47" i="40"/>
  <c r="AH47" i="40"/>
  <c r="AG47" i="40"/>
  <c r="AF47" i="40"/>
  <c r="AE47" i="40"/>
  <c r="AE51" i="40" s="1"/>
  <c r="AD47" i="40"/>
  <c r="AD51" i="40" s="1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AL36" i="40" s="1"/>
  <c r="M47" i="40"/>
  <c r="L47" i="40"/>
  <c r="L59" i="40" s="1"/>
  <c r="K47" i="40"/>
  <c r="J47" i="40"/>
  <c r="I47" i="40"/>
  <c r="H47" i="40"/>
  <c r="G47" i="40"/>
  <c r="F47" i="40"/>
  <c r="AL45" i="40"/>
  <c r="AL43" i="40"/>
  <c r="H54" i="40"/>
  <c r="G53" i="40"/>
  <c r="F53" i="40"/>
  <c r="AL39" i="40"/>
  <c r="AL37" i="40"/>
  <c r="AL51" i="40" s="1"/>
  <c r="AL34" i="40"/>
  <c r="AL33" i="40"/>
  <c r="H50" i="40"/>
  <c r="G49" i="40"/>
  <c r="F49" i="40"/>
  <c r="D30" i="40"/>
  <c r="AL24" i="40"/>
  <c r="AL62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J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L16" i="40"/>
  <c r="AJ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L12" i="40"/>
  <c r="AJ10" i="40"/>
  <c r="AH10" i="40"/>
  <c r="AG10" i="40"/>
  <c r="AF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L8" i="40"/>
  <c r="D21" i="41" l="1"/>
  <c r="D39" i="41"/>
  <c r="E21" i="41"/>
  <c r="AL114" i="40"/>
  <c r="N59" i="40"/>
  <c r="AL153" i="40"/>
  <c r="AL154" i="40" s="1"/>
  <c r="O59" i="40"/>
  <c r="P59" i="40"/>
  <c r="AD59" i="40"/>
  <c r="AE59" i="40"/>
  <c r="AC59" i="40"/>
  <c r="R59" i="40"/>
  <c r="Q59" i="40"/>
  <c r="J59" i="40"/>
  <c r="J57" i="40"/>
  <c r="K59" i="40"/>
  <c r="L57" i="40"/>
  <c r="AL52" i="40"/>
  <c r="AL64" i="40"/>
  <c r="AL32" i="40"/>
  <c r="AL104" i="40"/>
  <c r="H49" i="40"/>
  <c r="AL115" i="40"/>
  <c r="AL117" i="40"/>
  <c r="AL118" i="40"/>
  <c r="H53" i="40"/>
  <c r="AL18" i="40"/>
  <c r="AL14" i="40"/>
  <c r="AL160" i="40"/>
  <c r="AL161" i="40" s="1"/>
  <c r="AL168" i="40"/>
  <c r="AL173" i="40"/>
  <c r="AN157" i="40"/>
  <c r="AL89" i="40"/>
  <c r="AL78" i="40"/>
  <c r="AL91" i="40"/>
  <c r="AL88" i="40"/>
  <c r="AL180" i="40"/>
  <c r="AL187" i="40"/>
  <c r="AL10" i="40"/>
  <c r="AL48" i="40"/>
  <c r="AL61" i="40"/>
  <c r="AL69" i="40"/>
  <c r="AL68" i="40"/>
  <c r="AL96" i="40"/>
  <c r="AL92" i="40"/>
  <c r="AN163" i="40"/>
  <c r="G161" i="40"/>
  <c r="AL47" i="40"/>
  <c r="F50" i="40"/>
  <c r="F54" i="40"/>
  <c r="AL95" i="40"/>
  <c r="G50" i="40"/>
  <c r="G54" i="40"/>
  <c r="AP34" i="40" l="1"/>
  <c r="AP38" i="40" s="1"/>
  <c r="AP40" i="40" s="1"/>
  <c r="AL41" i="40"/>
  <c r="AL59" i="40" s="1"/>
  <c r="AN61" i="40"/>
  <c r="AL49" i="40"/>
  <c r="AL94" i="40"/>
  <c r="AL50" i="40"/>
  <c r="AL53" i="40"/>
  <c r="AL54" i="40"/>
  <c r="AP35" i="40" l="1"/>
  <c r="AN57" i="40"/>
  <c r="AN59" i="40"/>
</calcChain>
</file>

<file path=xl/sharedStrings.xml><?xml version="1.0" encoding="utf-8"?>
<sst xmlns="http://schemas.openxmlformats.org/spreadsheetml/2006/main" count="410" uniqueCount="143">
  <si>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</si>
  <si>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</si>
  <si>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</si>
  <si>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</si>
  <si>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</si>
  <si>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</si>
  <si>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</si>
  <si>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</si>
  <si>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</si>
  <si>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</si>
  <si>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</si>
  <si>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</si>
  <si>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</si>
  <si>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</si>
  <si>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</si>
  <si>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</si>
  <si>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</si>
  <si>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</si>
  <si>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</si>
  <si>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</si>
  <si>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</si>
  <si>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</si>
  <si>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</si>
  <si>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</si>
  <si>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</si>
  <si>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</si>
  <si>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</si>
  <si>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</si>
  <si>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</si>
  <si>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</si>
  <si>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</si>
  <si>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</si>
  <si>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</si>
  <si>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</si>
  <si>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</si>
  <si>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</si>
  <si>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</si>
  <si>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</si>
  <si>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</si>
  <si>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</si>
  <si>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</si>
  <si>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</si>
  <si>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</si>
  <si>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</si>
  <si>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</si>
  <si>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</si>
  <si>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</si>
  <si>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</si>
  <si>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</si>
  <si>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</si>
  <si>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</si>
  <si>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</si>
  <si>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</si>
  <si>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</si>
  <si>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</si>
  <si>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</si>
  <si>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</si>
  <si>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</si>
  <si>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</si>
  <si>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</si>
  <si>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</si>
  <si>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</si>
  <si>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</si>
  <si>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</si>
  <si>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</si>
  <si>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</si>
  <si>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</si>
  <si>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</si>
  <si>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</si>
  <si>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</si>
  <si>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</si>
  <si>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</si>
  <si>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</si>
  <si>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</si>
  <si>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</si>
  <si>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</si>
  <si>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</si>
  <si>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</si>
  <si>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</si>
  <si>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</si>
  <si>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</si>
  <si>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</si>
  <si>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</si>
  <si>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</si>
  <si>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</si>
  <si>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</si>
  <si>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</si>
  <si>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</si>
  <si>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</si>
  <si>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</si>
  <si>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</si>
  <si>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</si>
  <si>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</si>
  <si>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</si>
  <si>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</si>
  <si>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</si>
  <si>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</si>
  <si>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</si>
  <si>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</si>
  <si>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</si>
  <si>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</si>
  <si>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</si>
  <si>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</si>
  <si>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</si>
  <si>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</si>
  <si>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</si>
  <si>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</si>
  <si>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</si>
  <si>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</si>
  <si>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</si>
  <si>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</si>
  <si>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</si>
  <si>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</si>
  <si>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</si>
  <si>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</si>
  <si>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</si>
  <si>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</si>
  <si>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</si>
  <si>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</si>
  <si>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</si>
  <si>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</si>
  <si>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</si>
  <si>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</si>
  <si>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</si>
  <si>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</si>
  <si>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</si>
  <si>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</si>
  <si>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</si>
  <si>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</si>
  <si>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</si>
  <si>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</si>
  <si>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</si>
  <si>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</si>
  <si>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</si>
  <si>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</si>
  <si>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</si>
  <si>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</si>
  <si>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</si>
  <si>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</si>
  <si>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</si>
  <si>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</si>
  <si>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>Januari</t>
  </si>
  <si>
    <t xml:space="preserve">INL 1800 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</si>
</sst>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(* #,##0.0_);_(* \(#,##0.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13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166" fontId="3" fillId="0" borderId="4" xfId="1" applyFont="1" applyBorder="1"/>
    <xf numFmtId="0" fontId="3" fillId="0" borderId="5" xfId="0" applyFont="1" applyBorder="1"/>
    <xf numFmtId="166" fontId="3" fillId="0" borderId="5" xfId="1" applyFont="1" applyBorder="1"/>
    <xf numFmtId="166" fontId="3" fillId="4" borderId="5" xfId="1" applyFont="1" applyFill="1" applyBorder="1"/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6" fontId="3" fillId="5" borderId="0" xfId="0" applyNumberFormat="1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6" fontId="3" fillId="0" borderId="7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3" fillId="0" borderId="9" xfId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1" applyFont="1" applyAlignment="1">
      <alignment horizontal="center"/>
    </xf>
    <xf numFmtId="0" fontId="5" fillId="0" borderId="3" xfId="0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3" fillId="0" borderId="11" xfId="1" applyFont="1" applyBorder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6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vertical="center"/>
    </xf>
    <xf numFmtId="0" fontId="3" fillId="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166" fontId="7" fillId="0" borderId="7" xfId="1" applyNumberFormat="1" applyFon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164" fontId="3" fillId="5" borderId="13" xfId="1" applyNumberFormat="1" applyFont="1" applyFill="1" applyBorder="1"/>
    <xf numFmtId="0" fontId="5" fillId="0" borderId="7" xfId="0" applyFont="1" applyBorder="1" applyAlignment="1">
      <alignment horizontal="center"/>
    </xf>
    <xf numFmtId="0" fontId="8" fillId="0" borderId="13" xfId="0" applyFont="1" applyBorder="1" applyAlignment="1">
      <alignment vertical="center"/>
    </xf>
    <xf numFmtId="164" fontId="3" fillId="0" borderId="13" xfId="1" applyNumberFormat="1" applyFont="1" applyFill="1" applyBorder="1"/>
    <xf numFmtId="164" fontId="3" fillId="0" borderId="7" xfId="1" applyNumberFormat="1" applyFont="1" applyFill="1" applyBorder="1"/>
    <xf numFmtId="0" fontId="5" fillId="0" borderId="7" xfId="0" applyFont="1" applyFill="1" applyBorder="1" applyAlignment="1">
      <alignment horizontal="center"/>
    </xf>
    <xf numFmtId="0" fontId="3" fillId="8" borderId="7" xfId="0" applyFont="1" applyFill="1" applyBorder="1"/>
    <xf numFmtId="164" fontId="3" fillId="7" borderId="7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4" fontId="3" fillId="8" borderId="7" xfId="1" applyNumberFormat="1" applyFont="1" applyFill="1" applyBorder="1"/>
    <xf numFmtId="0" fontId="9" fillId="0" borderId="7" xfId="0" applyFont="1" applyFill="1" applyBorder="1" applyAlignment="1">
      <alignment horizontal="center"/>
    </xf>
    <xf numFmtId="166" fontId="4" fillId="7" borderId="7" xfId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68" fontId="3" fillId="0" borderId="7" xfId="2" applyNumberFormat="1" applyFont="1" applyFill="1" applyBorder="1"/>
    <xf numFmtId="166" fontId="3" fillId="7" borderId="7" xfId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166" fontId="3" fillId="7" borderId="7" xfId="1" applyFont="1" applyFill="1" applyBorder="1" applyAlignment="1">
      <alignment horizontal="right"/>
    </xf>
    <xf numFmtId="168" fontId="4" fillId="0" borderId="7" xfId="2" applyNumberFormat="1" applyFont="1" applyFill="1" applyBorder="1"/>
    <xf numFmtId="0" fontId="10" fillId="2" borderId="7" xfId="0" applyFont="1" applyFill="1" applyBorder="1"/>
    <xf numFmtId="0" fontId="3" fillId="7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13" xfId="0" applyFont="1" applyBorder="1"/>
    <xf numFmtId="0" fontId="11" fillId="7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 vertical="center"/>
    </xf>
    <xf numFmtId="0" fontId="5" fillId="5" borderId="13" xfId="0" applyFont="1" applyFill="1" applyBorder="1"/>
    <xf numFmtId="0" fontId="3" fillId="5" borderId="13" xfId="0" applyFont="1" applyFill="1" applyBorder="1" applyAlignment="1">
      <alignment horizontal="center"/>
    </xf>
    <xf numFmtId="0" fontId="3" fillId="2" borderId="7" xfId="0" applyFont="1" applyFill="1" applyBorder="1"/>
    <xf numFmtId="166" fontId="3" fillId="0" borderId="7" xfId="1" applyFont="1" applyFill="1" applyBorder="1"/>
    <xf numFmtId="166" fontId="3" fillId="0" borderId="7" xfId="1" applyNumberFormat="1" applyFont="1" applyFill="1" applyBorder="1"/>
    <xf numFmtId="0" fontId="3" fillId="0" borderId="7" xfId="0" applyFont="1" applyBorder="1"/>
    <xf numFmtId="166" fontId="3" fillId="7" borderId="14" xfId="1" applyFont="1" applyFill="1" applyBorder="1" applyAlignment="1">
      <alignment horizontal="center"/>
    </xf>
    <xf numFmtId="164" fontId="3" fillId="0" borderId="14" xfId="1" applyNumberFormat="1" applyFont="1" applyFill="1" applyBorder="1"/>
    <xf numFmtId="0" fontId="3" fillId="0" borderId="15" xfId="0" applyFont="1" applyBorder="1"/>
    <xf numFmtId="0" fontId="3" fillId="7" borderId="15" xfId="0" applyFont="1" applyFill="1" applyBorder="1" applyAlignment="1">
      <alignment horizontal="center"/>
    </xf>
    <xf numFmtId="166" fontId="3" fillId="0" borderId="15" xfId="1" applyFont="1" applyFill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9" fontId="3" fillId="0" borderId="7" xfId="1" applyNumberFormat="1" applyFont="1" applyFill="1" applyBorder="1"/>
    <xf numFmtId="0" fontId="5" fillId="2" borderId="13" xfId="0" applyFont="1" applyFill="1" applyBorder="1" applyAlignment="1">
      <alignment horizontal="center"/>
    </xf>
    <xf numFmtId="170" fontId="3" fillId="7" borderId="13" xfId="1" applyNumberFormat="1" applyFont="1" applyFill="1" applyBorder="1" applyAlignment="1">
      <alignment horizontal="center"/>
    </xf>
    <xf numFmtId="166" fontId="12" fillId="0" borderId="13" xfId="1" applyFont="1" applyFill="1" applyBorder="1"/>
    <xf numFmtId="171" fontId="3" fillId="7" borderId="7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0" borderId="13" xfId="1" applyNumberFormat="1" applyFont="1" applyFill="1" applyBorder="1"/>
    <xf numFmtId="166" fontId="3" fillId="0" borderId="15" xfId="1" applyNumberFormat="1" applyFont="1" applyFill="1" applyBorder="1"/>
    <xf numFmtId="164" fontId="5" fillId="0" borderId="13" xfId="1" applyNumberFormat="1" applyFont="1" applyFill="1" applyBorder="1"/>
    <xf numFmtId="164" fontId="5" fillId="2" borderId="13" xfId="1" applyNumberFormat="1" applyFont="1" applyFill="1" applyBorder="1"/>
    <xf numFmtId="164" fontId="3" fillId="0" borderId="16" xfId="1" applyNumberFormat="1" applyFont="1" applyFill="1" applyBorder="1"/>
    <xf numFmtId="164" fontId="3" fillId="5" borderId="13" xfId="1" applyNumberFormat="1" applyFont="1" applyFill="1" applyBorder="1" applyAlignment="1">
      <alignment horizontal="right" vertical="center"/>
    </xf>
    <xf numFmtId="164" fontId="5" fillId="0" borderId="13" xfId="1" applyNumberFormat="1" applyFont="1" applyFill="1" applyBorder="1" applyAlignment="1">
      <alignment horizontal="center"/>
    </xf>
    <xf numFmtId="164" fontId="3" fillId="9" borderId="7" xfId="1" applyNumberFormat="1" applyFont="1" applyFill="1" applyBorder="1" applyAlignment="1">
      <alignment horizontal="center" vertical="center"/>
    </xf>
    <xf numFmtId="169" fontId="4" fillId="0" borderId="7" xfId="1" applyNumberFormat="1" applyFont="1" applyFill="1" applyBorder="1"/>
    <xf numFmtId="164" fontId="3" fillId="0" borderId="0" xfId="0" applyNumberFormat="1" applyFont="1"/>
    <xf numFmtId="0" fontId="14" fillId="5" borderId="19" xfId="0" applyFont="1" applyFill="1" applyBorder="1" applyAlignment="1">
      <alignment vertical="center"/>
    </xf>
    <xf numFmtId="164" fontId="3" fillId="0" borderId="19" xfId="1" applyNumberFormat="1" applyFont="1" applyBorder="1"/>
    <xf numFmtId="172" fontId="15" fillId="0" borderId="19" xfId="0" applyNumberFormat="1" applyFont="1" applyBorder="1"/>
    <xf numFmtId="0" fontId="14" fillId="5" borderId="20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9" xfId="0" applyNumberFormat="1" applyFont="1" applyBorder="1"/>
    <xf numFmtId="164" fontId="5" fillId="0" borderId="21" xfId="1" applyNumberFormat="1" applyFont="1" applyBorder="1" applyAlignment="1">
      <alignment vertical="center"/>
    </xf>
    <xf numFmtId="0" fontId="10" fillId="0" borderId="19" xfId="0" applyFont="1" applyBorder="1"/>
    <xf numFmtId="164" fontId="3" fillId="0" borderId="19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9" xfId="0" applyNumberFormat="1" applyFont="1" applyFill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9" xfId="0" applyNumberFormat="1" applyFont="1" applyBorder="1"/>
    <xf numFmtId="0" fontId="16" fillId="0" borderId="0" xfId="0" applyFont="1"/>
    <xf numFmtId="164" fontId="10" fillId="0" borderId="19" xfId="0" applyNumberFormat="1" applyFont="1" applyBorder="1"/>
    <xf numFmtId="0" fontId="16" fillId="0" borderId="0" xfId="0" applyFont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9" xfId="1" applyNumberFormat="1" applyFont="1" applyBorder="1" applyAlignment="1">
      <alignment vertical="center"/>
    </xf>
    <xf numFmtId="0" fontId="16" fillId="0" borderId="0" xfId="0" applyFont="1" applyBorder="1"/>
    <xf numFmtId="0" fontId="5" fillId="5" borderId="20" xfId="0" applyFont="1" applyFill="1" applyBorder="1"/>
    <xf numFmtId="166" fontId="3" fillId="0" borderId="19" xfId="1" applyFont="1" applyBorder="1"/>
    <xf numFmtId="166" fontId="3" fillId="0" borderId="0" xfId="1" applyNumberFormat="1" applyFont="1" applyFill="1" applyBorder="1"/>
    <xf numFmtId="164" fontId="3" fillId="0" borderId="22" xfId="0" applyNumberFormat="1" applyFont="1" applyBorder="1"/>
    <xf numFmtId="166" fontId="3" fillId="0" borderId="23" xfId="1" applyFont="1" applyBorder="1"/>
    <xf numFmtId="169" fontId="3" fillId="0" borderId="19" xfId="1" applyNumberFormat="1" applyFont="1" applyBorder="1"/>
    <xf numFmtId="0" fontId="12" fillId="2" borderId="0" xfId="0" applyFont="1" applyFill="1" applyBorder="1"/>
    <xf numFmtId="166" fontId="12" fillId="0" borderId="20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9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4" fontId="5" fillId="0" borderId="7" xfId="1" applyNumberFormat="1" applyFont="1" applyFill="1" applyBorder="1"/>
    <xf numFmtId="0" fontId="5" fillId="7" borderId="7" xfId="0" applyFont="1" applyFill="1" applyBorder="1" applyAlignment="1">
      <alignment horizontal="center"/>
    </xf>
    <xf numFmtId="166" fontId="5" fillId="0" borderId="7" xfId="1" applyNumberFormat="1" applyFont="1" applyFill="1" applyBorder="1"/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vertical="center"/>
    </xf>
    <xf numFmtId="164" fontId="3" fillId="0" borderId="10" xfId="1" applyNumberFormat="1" applyFont="1" applyFill="1" applyBorder="1" applyAlignment="1">
      <alignment wrapText="1"/>
    </xf>
    <xf numFmtId="0" fontId="5" fillId="2" borderId="7" xfId="0" applyFont="1" applyFill="1" applyBorder="1" applyAlignment="1">
      <alignment horizontal="center"/>
    </xf>
    <xf numFmtId="173" fontId="13" fillId="0" borderId="7" xfId="1" applyNumberFormat="1" applyFont="1" applyFill="1" applyBorder="1"/>
    <xf numFmtId="170" fontId="3" fillId="7" borderId="7" xfId="1" applyNumberFormat="1" applyFont="1" applyFill="1" applyBorder="1" applyAlignment="1">
      <alignment horizontal="center"/>
    </xf>
    <xf numFmtId="173" fontId="3" fillId="0" borderId="7" xfId="1" applyNumberFormat="1" applyFont="1" applyFill="1" applyBorder="1"/>
    <xf numFmtId="164" fontId="3" fillId="0" borderId="7" xfId="1" applyNumberFormat="1" applyFont="1" applyBorder="1"/>
    <xf numFmtId="174" fontId="13" fillId="0" borderId="7" xfId="1" applyNumberFormat="1" applyFont="1" applyFill="1" applyBorder="1"/>
    <xf numFmtId="175" fontId="3" fillId="0" borderId="7" xfId="1" applyNumberFormat="1" applyFont="1" applyFill="1" applyBorder="1"/>
    <xf numFmtId="174" fontId="3" fillId="0" borderId="7" xfId="1" applyNumberFormat="1" applyFont="1" applyFill="1" applyBorder="1"/>
    <xf numFmtId="164" fontId="5" fillId="0" borderId="0" xfId="0" applyNumberFormat="1" applyFont="1" applyFill="1"/>
    <xf numFmtId="166" fontId="5" fillId="0" borderId="19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9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9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9" xfId="0" applyNumberFormat="1" applyFont="1" applyFill="1" applyBorder="1" applyAlignment="1">
      <alignment vertical="center"/>
    </xf>
    <xf numFmtId="174" fontId="3" fillId="0" borderId="19" xfId="0" applyNumberFormat="1" applyFont="1" applyFill="1" applyBorder="1"/>
    <xf numFmtId="174" fontId="5" fillId="0" borderId="19" xfId="0" applyNumberFormat="1" applyFont="1" applyFill="1" applyBorder="1"/>
    <xf numFmtId="0" fontId="5" fillId="0" borderId="9" xfId="0" applyFont="1" applyBorder="1" applyAlignment="1">
      <alignment horizontal="center"/>
    </xf>
    <xf numFmtId="166" fontId="5" fillId="7" borderId="9" xfId="1" applyFont="1" applyFill="1" applyBorder="1" applyAlignment="1">
      <alignment horizontal="center"/>
    </xf>
    <xf numFmtId="173" fontId="5" fillId="0" borderId="9" xfId="1" applyNumberFormat="1" applyFont="1" applyFill="1" applyBorder="1"/>
    <xf numFmtId="0" fontId="5" fillId="5" borderId="7" xfId="0" applyFont="1" applyFill="1" applyBorder="1" applyAlignment="1">
      <alignment horizontal="center"/>
    </xf>
    <xf numFmtId="174" fontId="5" fillId="5" borderId="7" xfId="1" applyNumberFormat="1" applyFont="1" applyFill="1" applyBorder="1"/>
    <xf numFmtId="164" fontId="5" fillId="7" borderId="7" xfId="1" applyNumberFormat="1" applyFont="1" applyFill="1" applyBorder="1" applyAlignment="1">
      <alignment horizontal="center"/>
    </xf>
    <xf numFmtId="166" fontId="3" fillId="7" borderId="7" xfId="1" applyFont="1" applyFill="1" applyBorder="1" applyAlignment="1">
      <alignment horizontal="center" vertical="center"/>
    </xf>
    <xf numFmtId="166" fontId="3" fillId="0" borderId="7" xfId="1" applyNumberFormat="1" applyFont="1" applyFill="1" applyBorder="1" applyAlignment="1">
      <alignment vertical="center"/>
    </xf>
    <xf numFmtId="166" fontId="3" fillId="7" borderId="7" xfId="1" applyFont="1" applyFill="1" applyBorder="1" applyAlignment="1">
      <alignment vertical="center"/>
    </xf>
    <xf numFmtId="0" fontId="3" fillId="7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4" fontId="13" fillId="0" borderId="7" xfId="1" applyNumberFormat="1" applyFont="1" applyFill="1" applyBorder="1"/>
    <xf numFmtId="0" fontId="3" fillId="5" borderId="13" xfId="0" applyFont="1" applyFill="1" applyBorder="1"/>
    <xf numFmtId="0" fontId="5" fillId="2" borderId="9" xfId="0" applyFont="1" applyFill="1" applyBorder="1"/>
    <xf numFmtId="0" fontId="5" fillId="7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0" borderId="9" xfId="1" applyNumberFormat="1" applyFont="1" applyBorder="1"/>
    <xf numFmtId="174" fontId="5" fillId="0" borderId="9" xfId="1" applyNumberFormat="1" applyFont="1" applyFill="1" applyBorder="1"/>
    <xf numFmtId="164" fontId="4" fillId="0" borderId="7" xfId="1" applyNumberFormat="1" applyFont="1" applyFill="1" applyBorder="1"/>
    <xf numFmtId="166" fontId="3" fillId="5" borderId="13" xfId="1" applyNumberFormat="1" applyFont="1" applyFill="1" applyBorder="1"/>
    <xf numFmtId="0" fontId="14" fillId="0" borderId="19" xfId="0" applyFont="1" applyBorder="1"/>
    <xf numFmtId="177" fontId="3" fillId="0" borderId="19" xfId="0" applyNumberFormat="1" applyFont="1" applyBorder="1"/>
    <xf numFmtId="0" fontId="17" fillId="0" borderId="0" xfId="0" applyFont="1"/>
    <xf numFmtId="174" fontId="5" fillId="0" borderId="18" xfId="0" applyNumberFormat="1" applyFont="1" applyBorder="1"/>
    <xf numFmtId="164" fontId="5" fillId="0" borderId="0" xfId="1" applyNumberFormat="1" applyFont="1"/>
    <xf numFmtId="166" fontId="5" fillId="5" borderId="20" xfId="1" applyNumberFormat="1" applyFont="1" applyFill="1" applyBorder="1"/>
    <xf numFmtId="164" fontId="5" fillId="0" borderId="19" xfId="0" applyNumberFormat="1" applyFont="1" applyBorder="1"/>
    <xf numFmtId="164" fontId="5" fillId="0" borderId="0" xfId="0" applyNumberFormat="1" applyFont="1"/>
    <xf numFmtId="165" fontId="14" fillId="0" borderId="19" xfId="0" applyNumberFormat="1" applyFont="1" applyBorder="1"/>
    <xf numFmtId="166" fontId="5" fillId="0" borderId="19" xfId="1" applyFont="1" applyBorder="1" applyAlignment="1">
      <alignment vertical="center"/>
    </xf>
    <xf numFmtId="164" fontId="14" fillId="0" borderId="19" xfId="0" applyNumberFormat="1" applyFont="1" applyBorder="1" applyAlignment="1">
      <alignment vertical="center"/>
    </xf>
    <xf numFmtId="166" fontId="3" fillId="0" borderId="19" xfId="1" applyFont="1" applyBorder="1" applyAlignment="1">
      <alignment vertical="center"/>
    </xf>
    <xf numFmtId="164" fontId="5" fillId="5" borderId="20" xfId="1" applyNumberFormat="1" applyFont="1" applyFill="1" applyBorder="1"/>
    <xf numFmtId="0" fontId="10" fillId="5" borderId="20" xfId="0" applyFont="1" applyFill="1" applyBorder="1"/>
    <xf numFmtId="164" fontId="5" fillId="0" borderId="18" xfId="0" applyNumberFormat="1" applyFont="1" applyBorder="1"/>
    <xf numFmtId="0" fontId="10" fillId="5" borderId="19" xfId="0" applyFont="1" applyFill="1" applyBorder="1"/>
    <xf numFmtId="164" fontId="5" fillId="0" borderId="24" xfId="0" applyNumberFormat="1" applyFont="1" applyBorder="1"/>
    <xf numFmtId="0" fontId="5" fillId="5" borderId="19" xfId="0" quotePrefix="1" applyFont="1" applyFill="1" applyBorder="1"/>
    <xf numFmtId="0" fontId="4" fillId="0" borderId="7" xfId="0" quotePrefix="1" applyFont="1" applyFill="1" applyBorder="1"/>
    <xf numFmtId="0" fontId="3" fillId="0" borderId="7" xfId="0" quotePrefix="1" applyFont="1" applyFill="1" applyBorder="1"/>
    <xf numFmtId="0" fontId="3" fillId="8" borderId="7" xfId="0" quotePrefix="1" applyFont="1" applyFill="1" applyBorder="1"/>
    <xf numFmtId="0" fontId="3" fillId="8" borderId="7" xfId="0" quotePrefix="1" applyFont="1" applyFill="1" applyBorder="1" applyAlignment="1">
      <alignment horizontal="center"/>
    </xf>
    <xf numFmtId="0" fontId="5" fillId="5" borderId="13" xfId="0" quotePrefix="1" applyFont="1" applyFill="1" applyBorder="1"/>
    <xf numFmtId="0" fontId="5" fillId="5" borderId="20" xfId="0" quotePrefix="1" applyFont="1" applyFill="1" applyBorder="1"/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7" xfId="0" quotePrefix="1" applyFont="1" applyBorder="1"/>
    <xf numFmtId="0" fontId="3" fillId="0" borderId="7" xfId="0" quotePrefix="1" applyFont="1" applyBorder="1" applyAlignment="1">
      <alignment horizontal="center"/>
    </xf>
    <xf numFmtId="0" fontId="3" fillId="0" borderId="14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15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5" fillId="2" borderId="13" xfId="0" quotePrefix="1" applyFont="1" applyFill="1" applyBorder="1"/>
    <xf numFmtId="0" fontId="3" fillId="2" borderId="13" xfId="0" quotePrefix="1" applyFont="1" applyFill="1" applyBorder="1" applyAlignment="1">
      <alignment horizontal="center"/>
    </xf>
    <xf numFmtId="0" fontId="3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5" fillId="0" borderId="7" xfId="0" quotePrefix="1" applyFont="1" applyFill="1" applyBorder="1"/>
    <xf numFmtId="0" fontId="5" fillId="0" borderId="7" xfId="0" quotePrefix="1" applyFont="1" applyFill="1" applyBorder="1" applyAlignment="1">
      <alignment horizontal="center"/>
    </xf>
    <xf numFmtId="0" fontId="14" fillId="0" borderId="7" xfId="0" quotePrefix="1" applyFont="1" applyFill="1" applyBorder="1"/>
    <xf numFmtId="0" fontId="3" fillId="0" borderId="7" xfId="0" quotePrefix="1" applyFont="1" applyFill="1" applyBorder="1" applyAlignment="1">
      <alignment horizontal="center"/>
    </xf>
    <xf numFmtId="0" fontId="3" fillId="0" borderId="7" xfId="0" quotePrefix="1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/>
    <xf numFmtId="0" fontId="5" fillId="0" borderId="9" xfId="0" quotePrefix="1" applyFont="1" applyBorder="1"/>
    <xf numFmtId="0" fontId="5" fillId="0" borderId="9" xfId="0" quotePrefix="1" applyFont="1" applyBorder="1" applyAlignment="1">
      <alignment horizontal="center"/>
    </xf>
    <xf numFmtId="0" fontId="5" fillId="5" borderId="7" xfId="0" quotePrefix="1" applyFont="1" applyFill="1" applyBorder="1"/>
    <xf numFmtId="0" fontId="14" fillId="0" borderId="7" xfId="0" quotePrefix="1" applyFont="1" applyBorder="1"/>
    <xf numFmtId="0" fontId="3" fillId="0" borderId="7" xfId="0" quotePrefix="1" applyFont="1" applyBorder="1" applyAlignment="1">
      <alignment vertical="center"/>
    </xf>
    <xf numFmtId="0" fontId="3" fillId="0" borderId="7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vertical="center"/>
    </xf>
    <xf numFmtId="0" fontId="5" fillId="2" borderId="7" xfId="0" quotePrefix="1" applyFont="1" applyFill="1" applyBorder="1"/>
    <xf numFmtId="0" fontId="5" fillId="2" borderId="7" xfId="0" quotePrefix="1" applyFont="1" applyFill="1" applyBorder="1" applyAlignment="1">
      <alignment horizontal="center"/>
    </xf>
    <xf numFmtId="164" fontId="22" fillId="0" borderId="7" xfId="1" applyNumberFormat="1" applyFont="1" applyFill="1" applyBorder="1"/>
    <xf numFmtId="41" fontId="3" fillId="0" borderId="0" xfId="2" applyFont="1" applyFill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13" xfId="1" applyNumberFormat="1" applyFont="1" applyFill="1" applyBorder="1"/>
    <xf numFmtId="164" fontId="3" fillId="0" borderId="9" xfId="1" applyNumberFormat="1" applyFont="1" applyFill="1" applyBorder="1" applyAlignment="1">
      <alignment vertical="center"/>
    </xf>
    <xf numFmtId="168" fontId="3" fillId="0" borderId="7" xfId="2" applyNumberFormat="1" applyFont="1" applyBorder="1"/>
    <xf numFmtId="168" fontId="3" fillId="0" borderId="7" xfId="2" applyNumberFormat="1" applyFont="1" applyFill="1" applyBorder="1" applyAlignment="1">
      <alignment vertical="center"/>
    </xf>
    <xf numFmtId="41" fontId="3" fillId="0" borderId="7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164" fontId="3" fillId="0" borderId="9" xfId="1" applyNumberFormat="1" applyFont="1" applyFill="1" applyBorder="1"/>
    <xf numFmtId="175" fontId="13" fillId="0" borderId="7" xfId="1" applyNumberFormat="1" applyFont="1" applyFill="1" applyBorder="1"/>
    <xf numFmtId="43" fontId="3" fillId="2" borderId="0" xfId="0" applyNumberFormat="1" applyFont="1" applyFill="1"/>
    <xf numFmtId="166" fontId="3" fillId="0" borderId="0" xfId="1" applyNumberFormat="1" applyFont="1" applyFill="1"/>
    <xf numFmtId="168" fontId="3" fillId="0" borderId="7" xfId="1" applyNumberFormat="1" applyFont="1" applyFill="1" applyBorder="1"/>
    <xf numFmtId="176" fontId="3" fillId="0" borderId="7" xfId="1" applyNumberFormat="1" applyFont="1" applyFill="1" applyBorder="1"/>
    <xf numFmtId="164" fontId="3" fillId="9" borderId="7" xfId="1" applyNumberFormat="1" applyFont="1" applyFill="1" applyBorder="1"/>
    <xf numFmtId="179" fontId="3" fillId="0" borderId="7" xfId="1" applyNumberFormat="1" applyFont="1" applyFill="1" applyBorder="1"/>
    <xf numFmtId="166" fontId="5" fillId="0" borderId="9" xfId="1" applyNumberFormat="1" applyFont="1" applyFill="1" applyBorder="1"/>
    <xf numFmtId="41" fontId="3" fillId="2" borderId="7" xfId="2" applyFont="1" applyFill="1" applyBorder="1"/>
    <xf numFmtId="41" fontId="3" fillId="0" borderId="0" xfId="2" applyFont="1"/>
    <xf numFmtId="43" fontId="3" fillId="0" borderId="0" xfId="0" applyNumberFormat="1" applyFont="1"/>
    <xf numFmtId="164" fontId="3" fillId="0" borderId="0" xfId="0" applyNumberFormat="1" applyFont="1" applyFill="1"/>
    <xf numFmtId="166" fontId="4" fillId="0" borderId="0" xfId="0" applyNumberFormat="1" applyFont="1"/>
    <xf numFmtId="41" fontId="3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13" xfId="1" applyNumberFormat="1" applyFont="1" applyFill="1" applyBorder="1" applyAlignment="1">
      <alignment horizontal="center"/>
    </xf>
    <xf numFmtId="164" fontId="3" fillId="2" borderId="7" xfId="1" applyNumberFormat="1" applyFont="1" applyFill="1" applyBorder="1"/>
    <xf numFmtId="164" fontId="3" fillId="8" borderId="9" xfId="1" applyNumberFormat="1" applyFont="1" applyFill="1" applyBorder="1"/>
    <xf numFmtId="168" fontId="13" fillId="0" borderId="7" xfId="2" applyNumberFormat="1" applyFont="1" applyFill="1" applyBorder="1"/>
    <xf numFmtId="166" fontId="13" fillId="0" borderId="7" xfId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41" fontId="3" fillId="7" borderId="7" xfId="2" applyFont="1" applyFill="1" applyBorder="1" applyAlignment="1">
      <alignment horizontal="center"/>
    </xf>
    <xf numFmtId="41" fontId="11" fillId="7" borderId="13" xfId="2" applyFont="1" applyFill="1" applyBorder="1" applyAlignment="1">
      <alignment horizontal="center"/>
    </xf>
    <xf numFmtId="41" fontId="11" fillId="7" borderId="7" xfId="2" applyFont="1" applyFill="1" applyBorder="1" applyAlignment="1">
      <alignment horizontal="center" vertical="center"/>
    </xf>
    <xf numFmtId="178" fontId="3" fillId="2" borderId="0" xfId="0" applyNumberFormat="1" applyFont="1" applyFill="1"/>
    <xf numFmtId="168" fontId="4" fillId="0" borderId="0" xfId="2" applyNumberFormat="1" applyFont="1"/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O191"/>
  <sheetViews>
    <sheetView showGridLines="0" tabSelected="1" topLeftCell="A4" zoomScale="90" zoomScaleNormal="90" workbookViewId="0">
      <pane xSplit="5" ySplit="3" topLeftCell="AG47" activePane="bottomRight" state="frozen"/>
      <selection pane="topRight"/>
      <selection pane="bottomLeft"/>
      <selection pane="bottomRight" activeCell="BZ54" sqref="BZ54"/>
    </sheetView>
  </sheetViews>
  <sheetFormatPr defaultColWidth="9" defaultRowHeight="15"/>
  <cols>
    <col min="1" max="1" width="1.5703125" style="3" customWidth="1"/>
    <col min="2" max="2" width="4.7109375" style="17" customWidth="1"/>
    <col min="3" max="3" width="40.7109375" style="3" customWidth="1"/>
    <col min="4" max="4" width="14" style="3" customWidth="1"/>
    <col min="5" max="5" width="8.140625" style="3" bestFit="1" customWidth="1"/>
    <col min="6" max="23" width="14" style="3" customWidth="1"/>
    <col min="24" max="25" width="13.7109375" style="3" bestFit="1" customWidth="1"/>
    <col min="26" max="27" width="14.5703125" style="3" customWidth="1"/>
    <col min="28" max="32" width="13.7109375" style="3" bestFit="1" customWidth="1"/>
    <col min="33" max="34" width="15.140625" style="3" customWidth="1"/>
    <col min="35" max="35" width="13.7109375" style="3" bestFit="1" customWidth="1"/>
    <col min="36" max="36" width="13.7109375" style="3" customWidth="1"/>
    <col min="37" max="37" width="9.42578125" style="3" customWidth="1"/>
    <col min="38" max="38" width="19.28515625" style="3" bestFit="1" customWidth="1"/>
    <col min="39" max="39" width="13.7109375" style="3" bestFit="1" customWidth="1"/>
    <col min="40" max="40" width="11.28515625" style="33" bestFit="1" customWidth="1"/>
    <col min="41" max="41" width="7" style="3" hidden="1" customWidth="1"/>
    <col min="42" max="42" width="9.42578125" style="3" hidden="1" customWidth="1"/>
    <col min="43" max="45" width="11.28515625" style="3" hidden="1" customWidth="1"/>
    <col min="46" max="46" width="7" style="3" hidden="1" customWidth="1"/>
    <col min="47" max="50" width="11.28515625" style="3" hidden="1" customWidth="1"/>
    <col min="51" max="76" width="8.140625" style="3" hidden="1" customWidth="1"/>
    <col min="77" max="77" width="18.28515625" style="3" hidden="1" customWidth="1"/>
    <col min="78" max="78" width="15" style="3" customWidth="1"/>
    <col min="79" max="95" width="8.140625" style="3" customWidth="1"/>
    <col min="96" max="15090" width="9.140625" style="3"/>
    <col min="15091" max="15092" width="9" style="3"/>
    <col min="15093" max="15094" width="9.140625"/>
  </cols>
  <sheetData>
    <row r="1" spans="2:38">
      <c r="B1" s="34"/>
    </row>
    <row r="2" spans="2:38" ht="18">
      <c r="B2" s="298" t="s">
        <v>0</v>
      </c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35"/>
    </row>
    <row r="3" spans="2:38">
      <c r="B3" s="36"/>
    </row>
    <row r="4" spans="2:38" ht="15.75" thickBot="1">
      <c r="C4" s="37"/>
      <c r="D4" s="33"/>
      <c r="Z4" s="115"/>
      <c r="AB4" s="115"/>
    </row>
    <row r="5" spans="2:38">
      <c r="B5" s="301" t="s">
        <v>1</v>
      </c>
      <c r="C5" s="301" t="s">
        <v>2</v>
      </c>
      <c r="D5" s="302" t="s">
        <v>3</v>
      </c>
      <c r="E5" s="304" t="s">
        <v>4</v>
      </c>
      <c r="F5" s="299" t="s">
        <v>141</v>
      </c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  <c r="AJ5" s="300"/>
      <c r="AL5" s="296" t="s">
        <v>5</v>
      </c>
    </row>
    <row r="6" spans="2:38">
      <c r="B6" s="301"/>
      <c r="C6" s="301"/>
      <c r="D6" s="303"/>
      <c r="E6" s="305"/>
      <c r="F6" s="38">
        <v>1</v>
      </c>
      <c r="G6" s="38">
        <v>2</v>
      </c>
      <c r="H6" s="38">
        <v>3</v>
      </c>
      <c r="I6" s="38">
        <v>4</v>
      </c>
      <c r="J6" s="38">
        <v>5</v>
      </c>
      <c r="K6" s="38">
        <v>6</v>
      </c>
      <c r="L6" s="38">
        <v>7</v>
      </c>
      <c r="M6" s="38">
        <v>8</v>
      </c>
      <c r="N6" s="38">
        <v>9</v>
      </c>
      <c r="O6" s="38">
        <v>10</v>
      </c>
      <c r="P6" s="38">
        <v>11</v>
      </c>
      <c r="Q6" s="38">
        <v>12</v>
      </c>
      <c r="R6" s="38">
        <v>13</v>
      </c>
      <c r="S6" s="38">
        <v>14</v>
      </c>
      <c r="T6" s="38">
        <v>15</v>
      </c>
      <c r="U6" s="38">
        <v>16</v>
      </c>
      <c r="V6" s="38">
        <v>17</v>
      </c>
      <c r="W6" s="38">
        <v>18</v>
      </c>
      <c r="X6" s="38">
        <v>19</v>
      </c>
      <c r="Y6" s="38">
        <v>20</v>
      </c>
      <c r="Z6" s="38">
        <v>21</v>
      </c>
      <c r="AA6" s="38">
        <v>22</v>
      </c>
      <c r="AB6" s="38">
        <v>23</v>
      </c>
      <c r="AC6" s="38">
        <v>24</v>
      </c>
      <c r="AD6" s="38">
        <v>25</v>
      </c>
      <c r="AE6" s="38">
        <v>26</v>
      </c>
      <c r="AF6" s="38">
        <v>27</v>
      </c>
      <c r="AG6" s="38">
        <v>28</v>
      </c>
      <c r="AH6" s="38">
        <v>29</v>
      </c>
      <c r="AI6" s="38">
        <v>30</v>
      </c>
      <c r="AJ6" s="38">
        <v>31</v>
      </c>
      <c r="AL6" s="297"/>
    </row>
    <row r="7" spans="2:38">
      <c r="B7" s="39">
        <v>1</v>
      </c>
      <c r="C7" s="40" t="s">
        <v>6</v>
      </c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115"/>
      <c r="AL7" s="116" t="s">
        <v>7</v>
      </c>
    </row>
    <row r="8" spans="2:38">
      <c r="B8" s="39"/>
      <c r="C8" s="44" t="s">
        <v>8</v>
      </c>
      <c r="D8" s="45"/>
      <c r="E8" s="46" t="s">
        <v>9</v>
      </c>
      <c r="F8" s="47">
        <v>0</v>
      </c>
      <c r="G8" s="47">
        <v>0</v>
      </c>
      <c r="H8" s="47">
        <v>0</v>
      </c>
      <c r="I8" s="47">
        <v>337860</v>
      </c>
      <c r="J8" s="47">
        <v>1051860</v>
      </c>
      <c r="K8" s="47">
        <v>1410140</v>
      </c>
      <c r="L8" s="47">
        <v>1408250</v>
      </c>
      <c r="M8" s="47">
        <v>1173300</v>
      </c>
      <c r="N8" s="47">
        <v>346130</v>
      </c>
      <c r="O8" s="47">
        <v>1092470</v>
      </c>
      <c r="P8" s="47">
        <v>1182310</v>
      </c>
      <c r="Q8" s="47">
        <v>857330</v>
      </c>
      <c r="R8" s="47">
        <v>1250330</v>
      </c>
      <c r="S8" s="47">
        <v>898080</v>
      </c>
      <c r="T8" s="47">
        <v>796550</v>
      </c>
      <c r="U8" s="47">
        <v>127880</v>
      </c>
      <c r="V8" s="47">
        <v>828590</v>
      </c>
      <c r="W8" s="47">
        <v>1039450</v>
      </c>
      <c r="X8" s="47">
        <v>1013990</v>
      </c>
      <c r="Y8" s="47">
        <v>891240</v>
      </c>
      <c r="Z8" s="47">
        <v>1862270</v>
      </c>
      <c r="AA8" s="47">
        <v>1261810</v>
      </c>
      <c r="AB8" s="47">
        <v>1066340</v>
      </c>
      <c r="AC8" s="47">
        <v>978460</v>
      </c>
      <c r="AD8" s="47">
        <v>1631710</v>
      </c>
      <c r="AE8" s="47">
        <v>1563130</v>
      </c>
      <c r="AF8" s="47">
        <v>1359550</v>
      </c>
      <c r="AG8" s="47">
        <v>1714710</v>
      </c>
      <c r="AH8" s="47">
        <v>1510610</v>
      </c>
      <c r="AI8" s="47">
        <v>596200</v>
      </c>
      <c r="AJ8" s="47">
        <v>1194440</v>
      </c>
      <c r="AK8" s="115"/>
      <c r="AL8" s="117">
        <f>SUM(F8:AJ8)</f>
        <v>30444990</v>
      </c>
    </row>
    <row r="9" spans="2:38">
      <c r="B9" s="39"/>
      <c r="C9" s="44" t="s">
        <v>10</v>
      </c>
      <c r="D9" s="45"/>
      <c r="E9" s="46" t="s">
        <v>9</v>
      </c>
      <c r="F9" s="47">
        <v>0</v>
      </c>
      <c r="G9" s="47">
        <v>0</v>
      </c>
      <c r="H9" s="47">
        <v>0</v>
      </c>
      <c r="I9" s="47">
        <v>338080</v>
      </c>
      <c r="J9" s="47">
        <v>1050140</v>
      </c>
      <c r="K9" s="47">
        <v>1408760</v>
      </c>
      <c r="L9" s="47">
        <v>1406760</v>
      </c>
      <c r="M9" s="47">
        <v>1172090</v>
      </c>
      <c r="N9" s="47">
        <v>345800</v>
      </c>
      <c r="O9" s="47">
        <v>1091340</v>
      </c>
      <c r="P9" s="47">
        <v>1181110</v>
      </c>
      <c r="Q9" s="47">
        <v>856880</v>
      </c>
      <c r="R9" s="47">
        <v>1249200</v>
      </c>
      <c r="S9" s="47">
        <v>897560</v>
      </c>
      <c r="T9" s="47">
        <v>795630</v>
      </c>
      <c r="U9" s="47">
        <v>127750</v>
      </c>
      <c r="V9" s="47">
        <v>827640</v>
      </c>
      <c r="W9" s="47">
        <v>1038620</v>
      </c>
      <c r="X9" s="47">
        <v>1012620</v>
      </c>
      <c r="Y9" s="47">
        <v>890150</v>
      </c>
      <c r="Z9" s="47">
        <v>1859760</v>
      </c>
      <c r="AA9" s="47">
        <v>1260120</v>
      </c>
      <c r="AB9" s="47">
        <v>1064760</v>
      </c>
      <c r="AC9" s="47">
        <v>977720</v>
      </c>
      <c r="AD9" s="47">
        <v>1630430</v>
      </c>
      <c r="AE9" s="47">
        <v>1562580</v>
      </c>
      <c r="AF9" s="47">
        <v>1358120</v>
      </c>
      <c r="AG9" s="47">
        <v>1712100</v>
      </c>
      <c r="AH9" s="47">
        <v>1509150</v>
      </c>
      <c r="AI9" s="47">
        <v>595770</v>
      </c>
      <c r="AJ9" s="47">
        <v>1192890</v>
      </c>
      <c r="AK9" s="115"/>
      <c r="AL9" s="117">
        <f>SUM(F9:AJ9)</f>
        <v>30413530</v>
      </c>
    </row>
    <row r="10" spans="2:38">
      <c r="B10" s="39"/>
      <c r="C10" s="48" t="s">
        <v>11</v>
      </c>
      <c r="D10" s="49"/>
      <c r="E10" s="50" t="s">
        <v>12</v>
      </c>
      <c r="F10" s="51" t="e">
        <f t="shared" ref="F10:AJ10" si="0">((F9-F8)/F8)*100</f>
        <v>#DIV/0!</v>
      </c>
      <c r="G10" s="51" t="e">
        <f t="shared" si="0"/>
        <v>#DIV/0!</v>
      </c>
      <c r="H10" s="51" t="e">
        <f t="shared" si="0"/>
        <v>#DIV/0!</v>
      </c>
      <c r="I10" s="51">
        <f t="shared" si="0"/>
        <v>6.5115728408216417E-2</v>
      </c>
      <c r="J10" s="51">
        <f t="shared" si="0"/>
        <v>-0.16351986005742208</v>
      </c>
      <c r="K10" s="51">
        <f t="shared" si="0"/>
        <v>-9.7862623569290985E-2</v>
      </c>
      <c r="L10" s="51">
        <f t="shared" si="0"/>
        <v>-0.10580507722350435</v>
      </c>
      <c r="M10" s="51">
        <f t="shared" si="0"/>
        <v>-0.10312792977073212</v>
      </c>
      <c r="N10" s="51">
        <f t="shared" si="0"/>
        <v>-9.5339901193193299E-2</v>
      </c>
      <c r="O10" s="51">
        <f t="shared" si="0"/>
        <v>-0.10343533460873068</v>
      </c>
      <c r="P10" s="51">
        <f t="shared" si="0"/>
        <v>-0.10149622349468414</v>
      </c>
      <c r="Q10" s="51">
        <f t="shared" si="0"/>
        <v>-5.2488540002099536E-2</v>
      </c>
      <c r="R10" s="51">
        <f t="shared" si="0"/>
        <v>-9.0376140698855509E-2</v>
      </c>
      <c r="S10" s="51">
        <f t="shared" si="0"/>
        <v>-5.7901300552289328E-2</v>
      </c>
      <c r="T10" s="51">
        <f t="shared" si="0"/>
        <v>-0.11549808549369155</v>
      </c>
      <c r="U10" s="51">
        <f t="shared" si="0"/>
        <v>-0.10165780419142947</v>
      </c>
      <c r="V10" s="51">
        <f t="shared" si="0"/>
        <v>-0.11465260261407935</v>
      </c>
      <c r="W10" s="51">
        <f t="shared" si="0"/>
        <v>-7.984992063110298E-2</v>
      </c>
      <c r="X10" s="51">
        <f t="shared" si="0"/>
        <v>-0.13510981370624958</v>
      </c>
      <c r="Y10" s="51">
        <f t="shared" si="0"/>
        <v>-0.12230151249943899</v>
      </c>
      <c r="Z10" s="51">
        <f t="shared" si="0"/>
        <v>-0.13478174485976793</v>
      </c>
      <c r="AA10" s="51">
        <f t="shared" si="0"/>
        <v>-0.13393458603117744</v>
      </c>
      <c r="AB10" s="51">
        <f t="shared" si="0"/>
        <v>-0.14817037717801076</v>
      </c>
      <c r="AC10" s="51">
        <f t="shared" si="0"/>
        <v>-7.5629049731210263E-2</v>
      </c>
      <c r="AD10" s="51">
        <f t="shared" si="0"/>
        <v>-7.8445311973328602E-2</v>
      </c>
      <c r="AE10" s="51">
        <f>((AE9-AE8)/AE8)*100</f>
        <v>-3.5185813080166078E-2</v>
      </c>
      <c r="AF10" s="51">
        <f t="shared" si="0"/>
        <v>-0.10518186164539738</v>
      </c>
      <c r="AG10" s="51">
        <f t="shared" si="0"/>
        <v>-0.15221232744895638</v>
      </c>
      <c r="AH10" s="51">
        <f t="shared" si="0"/>
        <v>-9.6649697804198312E-2</v>
      </c>
      <c r="AI10" s="51">
        <f t="shared" ref="AI10" si="1">((AI9-AI8)/AI8)*100</f>
        <v>-7.2123448507212348E-2</v>
      </c>
      <c r="AJ10" s="51">
        <f t="shared" si="0"/>
        <v>-0.12976792471785942</v>
      </c>
      <c r="AK10" s="115"/>
      <c r="AL10" s="118">
        <f>((AL9-AL8)/AL8)*100</f>
        <v>-0.10333391470977654</v>
      </c>
    </row>
    <row r="11" spans="2:38">
      <c r="B11" s="39"/>
      <c r="C11" s="40" t="s">
        <v>13</v>
      </c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115"/>
      <c r="AL11" s="116" t="s">
        <v>7</v>
      </c>
    </row>
    <row r="12" spans="2:38">
      <c r="B12" s="39"/>
      <c r="C12" s="44" t="s">
        <v>14</v>
      </c>
      <c r="D12" s="45"/>
      <c r="E12" s="46" t="s">
        <v>9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305725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555332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234703</v>
      </c>
      <c r="AI12" s="47">
        <v>0</v>
      </c>
      <c r="AJ12" s="47">
        <v>399114</v>
      </c>
      <c r="AK12" s="115"/>
      <c r="AL12" s="117">
        <f>SUM(F12:AJ12)</f>
        <v>1494874</v>
      </c>
    </row>
    <row r="13" spans="2:38">
      <c r="B13" s="39"/>
      <c r="C13" s="44" t="s">
        <v>15</v>
      </c>
      <c r="D13" s="45"/>
      <c r="E13" s="46" t="s">
        <v>9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305503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556528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236855</v>
      </c>
      <c r="AI13" s="47">
        <v>0</v>
      </c>
      <c r="AJ13" s="47">
        <v>406481</v>
      </c>
      <c r="AK13" s="115"/>
      <c r="AL13" s="117">
        <f>SUM(F13:AJ13)</f>
        <v>1505367</v>
      </c>
    </row>
    <row r="14" spans="2:38">
      <c r="B14" s="39"/>
      <c r="C14" s="48" t="s">
        <v>16</v>
      </c>
      <c r="D14" s="49"/>
      <c r="E14" s="50" t="s">
        <v>12</v>
      </c>
      <c r="F14" s="51" t="e">
        <f t="shared" ref="F14:AJ14" si="2">((F13-F12)/F12)*100</f>
        <v>#DIV/0!</v>
      </c>
      <c r="G14" s="51" t="e">
        <f t="shared" si="2"/>
        <v>#DIV/0!</v>
      </c>
      <c r="H14" s="51" t="e">
        <f t="shared" si="2"/>
        <v>#DIV/0!</v>
      </c>
      <c r="I14" s="51" t="e">
        <f t="shared" si="2"/>
        <v>#DIV/0!</v>
      </c>
      <c r="J14" s="51" t="e">
        <f t="shared" si="2"/>
        <v>#DIV/0!</v>
      </c>
      <c r="K14" s="51" t="e">
        <f t="shared" si="2"/>
        <v>#DIV/0!</v>
      </c>
      <c r="L14" s="51" t="e">
        <f t="shared" si="2"/>
        <v>#DIV/0!</v>
      </c>
      <c r="M14" s="51" t="e">
        <f t="shared" si="2"/>
        <v>#DIV/0!</v>
      </c>
      <c r="N14" s="51" t="e">
        <f t="shared" si="2"/>
        <v>#DIV/0!</v>
      </c>
      <c r="O14" s="51" t="e">
        <f t="shared" si="2"/>
        <v>#DIV/0!</v>
      </c>
      <c r="P14" s="51" t="e">
        <f t="shared" si="2"/>
        <v>#DIV/0!</v>
      </c>
      <c r="Q14" s="51" t="e">
        <f t="shared" si="2"/>
        <v>#DIV/0!</v>
      </c>
      <c r="R14" s="51" t="e">
        <f t="shared" si="2"/>
        <v>#DIV/0!</v>
      </c>
      <c r="S14" s="51" t="e">
        <f t="shared" si="2"/>
        <v>#DIV/0!</v>
      </c>
      <c r="T14" s="51">
        <f t="shared" si="2"/>
        <v>-7.2614277537002198E-2</v>
      </c>
      <c r="U14" s="51" t="e">
        <f t="shared" si="2"/>
        <v>#DIV/0!</v>
      </c>
      <c r="V14" s="51" t="e">
        <f t="shared" si="2"/>
        <v>#DIV/0!</v>
      </c>
      <c r="W14" s="51" t="e">
        <f t="shared" si="2"/>
        <v>#DIV/0!</v>
      </c>
      <c r="X14" s="51" t="e">
        <f t="shared" si="2"/>
        <v>#DIV/0!</v>
      </c>
      <c r="Y14" s="51" t="e">
        <f t="shared" si="2"/>
        <v>#DIV/0!</v>
      </c>
      <c r="Z14" s="51" t="e">
        <f t="shared" si="2"/>
        <v>#DIV/0!</v>
      </c>
      <c r="AA14" s="51">
        <f t="shared" si="2"/>
        <v>0.21536666354541067</v>
      </c>
      <c r="AB14" s="51" t="e">
        <f t="shared" si="2"/>
        <v>#DIV/0!</v>
      </c>
      <c r="AC14" s="51" t="e">
        <f t="shared" si="2"/>
        <v>#DIV/0!</v>
      </c>
      <c r="AD14" s="51" t="e">
        <f t="shared" si="2"/>
        <v>#DIV/0!</v>
      </c>
      <c r="AE14" s="51" t="e">
        <f t="shared" si="2"/>
        <v>#DIV/0!</v>
      </c>
      <c r="AF14" s="51" t="e">
        <f t="shared" si="2"/>
        <v>#DIV/0!</v>
      </c>
      <c r="AG14" s="51" t="e">
        <f t="shared" si="2"/>
        <v>#DIV/0!</v>
      </c>
      <c r="AH14" s="51">
        <f t="shared" si="2"/>
        <v>0.91690349079474909</v>
      </c>
      <c r="AI14" s="51" t="e">
        <f t="shared" ref="AI14" si="3">((AI13-AI12)/AI12)*100</f>
        <v>#DIV/0!</v>
      </c>
      <c r="AJ14" s="51">
        <f t="shared" si="2"/>
        <v>1.8458385323491533</v>
      </c>
      <c r="AK14" s="115"/>
      <c r="AL14" s="118">
        <f>((AL13-AL12)/AL12)*100</f>
        <v>0.70193206919111573</v>
      </c>
    </row>
    <row r="15" spans="2:38">
      <c r="B15" s="39"/>
      <c r="C15" s="52" t="s">
        <v>17</v>
      </c>
      <c r="D15" s="45"/>
      <c r="E15" s="46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115"/>
      <c r="AL15" s="119" t="s">
        <v>18</v>
      </c>
    </row>
    <row r="16" spans="2:38">
      <c r="B16" s="39"/>
      <c r="C16" s="44" t="s">
        <v>8</v>
      </c>
      <c r="D16" s="45"/>
      <c r="E16" s="46" t="s">
        <v>9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34460</v>
      </c>
      <c r="AC16" s="47">
        <v>36310</v>
      </c>
      <c r="AD16" s="47">
        <v>65600</v>
      </c>
      <c r="AE16" s="47">
        <v>27950</v>
      </c>
      <c r="AF16" s="47">
        <v>36370</v>
      </c>
      <c r="AG16" s="47">
        <v>59410</v>
      </c>
      <c r="AH16" s="47">
        <v>109670</v>
      </c>
      <c r="AI16" s="47">
        <v>81930</v>
      </c>
      <c r="AJ16" s="47">
        <v>0</v>
      </c>
      <c r="AK16" s="115"/>
      <c r="AL16" s="117">
        <f>SUM(F16:AJ16)</f>
        <v>451700</v>
      </c>
    </row>
    <row r="17" spans="1:15140">
      <c r="B17" s="39"/>
      <c r="C17" s="44" t="s">
        <v>10</v>
      </c>
      <c r="D17" s="45"/>
      <c r="E17" s="46" t="s">
        <v>9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34250</v>
      </c>
      <c r="AC17" s="47">
        <v>36210</v>
      </c>
      <c r="AD17" s="47">
        <v>65350</v>
      </c>
      <c r="AE17" s="47">
        <v>27820</v>
      </c>
      <c r="AF17" s="47">
        <v>36470</v>
      </c>
      <c r="AG17" s="47">
        <v>59230</v>
      </c>
      <c r="AH17" s="47">
        <v>109390</v>
      </c>
      <c r="AI17" s="47">
        <v>81870</v>
      </c>
      <c r="AJ17" s="47">
        <v>0</v>
      </c>
      <c r="AK17" s="115"/>
      <c r="AL17" s="117">
        <f>SUM(F17:AJ17)</f>
        <v>450590</v>
      </c>
    </row>
    <row r="18" spans="1:15140">
      <c r="B18" s="39"/>
      <c r="C18" s="44" t="s">
        <v>11</v>
      </c>
      <c r="D18" s="45"/>
      <c r="E18" s="46" t="s">
        <v>12</v>
      </c>
      <c r="F18" s="53" t="e">
        <f t="shared" ref="F18:AJ18" si="4">((F17-F16)/F16)*100</f>
        <v>#DIV/0!</v>
      </c>
      <c r="G18" s="53" t="e">
        <f t="shared" si="4"/>
        <v>#DIV/0!</v>
      </c>
      <c r="H18" s="53" t="e">
        <f t="shared" si="4"/>
        <v>#DIV/0!</v>
      </c>
      <c r="I18" s="53" t="e">
        <f t="shared" si="4"/>
        <v>#DIV/0!</v>
      </c>
      <c r="J18" s="53" t="e">
        <f t="shared" si="4"/>
        <v>#DIV/0!</v>
      </c>
      <c r="K18" s="53" t="e">
        <f t="shared" si="4"/>
        <v>#DIV/0!</v>
      </c>
      <c r="L18" s="53" t="e">
        <f t="shared" si="4"/>
        <v>#DIV/0!</v>
      </c>
      <c r="M18" s="53" t="e">
        <f t="shared" si="4"/>
        <v>#DIV/0!</v>
      </c>
      <c r="N18" s="53" t="e">
        <f t="shared" si="4"/>
        <v>#DIV/0!</v>
      </c>
      <c r="O18" s="53" t="e">
        <f t="shared" si="4"/>
        <v>#DIV/0!</v>
      </c>
      <c r="P18" s="53" t="e">
        <f t="shared" si="4"/>
        <v>#DIV/0!</v>
      </c>
      <c r="Q18" s="53" t="e">
        <f t="shared" si="4"/>
        <v>#DIV/0!</v>
      </c>
      <c r="R18" s="53" t="e">
        <f t="shared" si="4"/>
        <v>#DIV/0!</v>
      </c>
      <c r="S18" s="53" t="e">
        <f t="shared" si="4"/>
        <v>#DIV/0!</v>
      </c>
      <c r="T18" s="53" t="e">
        <f t="shared" si="4"/>
        <v>#DIV/0!</v>
      </c>
      <c r="U18" s="53" t="e">
        <f t="shared" si="4"/>
        <v>#DIV/0!</v>
      </c>
      <c r="V18" s="53" t="e">
        <f t="shared" si="4"/>
        <v>#DIV/0!</v>
      </c>
      <c r="W18" s="53" t="e">
        <f t="shared" si="4"/>
        <v>#DIV/0!</v>
      </c>
      <c r="X18" s="53" t="e">
        <f t="shared" si="4"/>
        <v>#DIV/0!</v>
      </c>
      <c r="Y18" s="53" t="e">
        <f t="shared" si="4"/>
        <v>#DIV/0!</v>
      </c>
      <c r="Z18" s="53" t="e">
        <f t="shared" si="4"/>
        <v>#DIV/0!</v>
      </c>
      <c r="AA18" s="53" t="e">
        <f t="shared" si="4"/>
        <v>#DIV/0!</v>
      </c>
      <c r="AB18" s="53">
        <f t="shared" si="4"/>
        <v>-0.60940220545560064</v>
      </c>
      <c r="AC18" s="53">
        <f t="shared" si="4"/>
        <v>-0.27540622418066646</v>
      </c>
      <c r="AD18" s="53">
        <f t="shared" si="4"/>
        <v>-0.38109756097560976</v>
      </c>
      <c r="AE18" s="53">
        <f t="shared" si="4"/>
        <v>-0.46511627906976744</v>
      </c>
      <c r="AF18" s="53">
        <f t="shared" si="4"/>
        <v>0.27495188342040144</v>
      </c>
      <c r="AG18" s="53">
        <f t="shared" si="4"/>
        <v>-0.30297929641474497</v>
      </c>
      <c r="AH18" s="53">
        <f t="shared" si="4"/>
        <v>-0.25531138871158932</v>
      </c>
      <c r="AI18" s="53">
        <f t="shared" ref="AI18" si="5">((AI17-AI16)/AI16)*100</f>
        <v>-7.3233247894544135E-2</v>
      </c>
      <c r="AJ18" s="53" t="e">
        <f t="shared" si="4"/>
        <v>#DIV/0!</v>
      </c>
      <c r="AK18" s="120"/>
      <c r="AL18" s="121">
        <f>((AL17-AL16)/AL16)*100</f>
        <v>-0.24573832189506312</v>
      </c>
    </row>
    <row r="19" spans="1:15140">
      <c r="B19" s="39"/>
      <c r="C19" s="54" t="s">
        <v>19</v>
      </c>
      <c r="D19" s="55"/>
      <c r="E19" s="56" t="s">
        <v>9</v>
      </c>
      <c r="F19" s="57">
        <f t="shared" ref="F19:AA19" si="6">SUM(F9,F13,F17)</f>
        <v>0</v>
      </c>
      <c r="G19" s="57">
        <f t="shared" si="6"/>
        <v>0</v>
      </c>
      <c r="H19" s="57">
        <f t="shared" si="6"/>
        <v>0</v>
      </c>
      <c r="I19" s="57">
        <f t="shared" si="6"/>
        <v>338080</v>
      </c>
      <c r="J19" s="57">
        <f t="shared" si="6"/>
        <v>1050140</v>
      </c>
      <c r="K19" s="57">
        <f t="shared" si="6"/>
        <v>1408760</v>
      </c>
      <c r="L19" s="57">
        <f t="shared" si="6"/>
        <v>1406760</v>
      </c>
      <c r="M19" s="57">
        <f t="shared" si="6"/>
        <v>1172090</v>
      </c>
      <c r="N19" s="57">
        <f t="shared" si="6"/>
        <v>345800</v>
      </c>
      <c r="O19" s="57">
        <f t="shared" si="6"/>
        <v>1091340</v>
      </c>
      <c r="P19" s="57">
        <f t="shared" si="6"/>
        <v>1181110</v>
      </c>
      <c r="Q19" s="57">
        <f t="shared" si="6"/>
        <v>856880</v>
      </c>
      <c r="R19" s="57">
        <f t="shared" si="6"/>
        <v>1249200</v>
      </c>
      <c r="S19" s="57">
        <f t="shared" si="6"/>
        <v>897560</v>
      </c>
      <c r="T19" s="57">
        <f t="shared" si="6"/>
        <v>1101133</v>
      </c>
      <c r="U19" s="57">
        <f t="shared" si="6"/>
        <v>127750</v>
      </c>
      <c r="V19" s="57">
        <f t="shared" si="6"/>
        <v>827640</v>
      </c>
      <c r="W19" s="57">
        <f t="shared" si="6"/>
        <v>1038620</v>
      </c>
      <c r="X19" s="57">
        <f t="shared" si="6"/>
        <v>1012620</v>
      </c>
      <c r="Y19" s="57">
        <f t="shared" si="6"/>
        <v>890150</v>
      </c>
      <c r="Z19" s="57">
        <f t="shared" si="6"/>
        <v>1859760</v>
      </c>
      <c r="AA19" s="57">
        <f t="shared" si="6"/>
        <v>1816648</v>
      </c>
      <c r="AB19" s="57">
        <f>SUM(AB9,AB13,AB17)</f>
        <v>1099010</v>
      </c>
      <c r="AC19" s="57">
        <f t="shared" ref="AC19:AJ19" si="7">SUM(AC9,AC13,AC17)</f>
        <v>1013930</v>
      </c>
      <c r="AD19" s="57">
        <f t="shared" si="7"/>
        <v>1695780</v>
      </c>
      <c r="AE19" s="57">
        <f t="shared" si="7"/>
        <v>1590400</v>
      </c>
      <c r="AF19" s="57">
        <f t="shared" si="7"/>
        <v>1394590</v>
      </c>
      <c r="AG19" s="57">
        <f t="shared" si="7"/>
        <v>1771330</v>
      </c>
      <c r="AH19" s="57">
        <f t="shared" si="7"/>
        <v>1855395</v>
      </c>
      <c r="AI19" s="57">
        <f t="shared" si="7"/>
        <v>677640</v>
      </c>
      <c r="AJ19" s="57">
        <f t="shared" si="7"/>
        <v>1599371</v>
      </c>
      <c r="AK19" s="115"/>
      <c r="AL19" s="122">
        <f>SUM(AL9,AL13,AL17)</f>
        <v>32369487</v>
      </c>
      <c r="AM19" s="115"/>
      <c r="AN19" s="33">
        <f>AL19/AL22/1000</f>
        <v>1156.053107142857</v>
      </c>
    </row>
    <row r="20" spans="1:15140">
      <c r="B20" s="58">
        <v>2</v>
      </c>
      <c r="C20" s="40" t="s">
        <v>20</v>
      </c>
      <c r="D20" s="59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111"/>
      <c r="AD20" s="60"/>
      <c r="AE20" s="60"/>
      <c r="AF20" s="60"/>
      <c r="AG20" s="60"/>
      <c r="AH20" s="111"/>
      <c r="AI20" s="111"/>
      <c r="AJ20" s="111"/>
      <c r="AK20" s="115"/>
      <c r="AL20" s="217" t="s">
        <v>21</v>
      </c>
    </row>
    <row r="21" spans="1:15140">
      <c r="B21" s="61"/>
      <c r="C21" s="62" t="s">
        <v>22</v>
      </c>
      <c r="D21" s="41"/>
      <c r="E21" s="42"/>
      <c r="F21" s="63"/>
      <c r="G21" s="257"/>
      <c r="H21" s="63"/>
      <c r="I21" s="63"/>
      <c r="J21" s="108"/>
      <c r="K21" s="63"/>
      <c r="L21" s="63"/>
      <c r="M21" s="63"/>
      <c r="N21" s="63"/>
      <c r="O21" s="63"/>
      <c r="P21" s="63"/>
      <c r="Q21" s="63"/>
      <c r="R21" s="63"/>
      <c r="S21" s="63"/>
      <c r="T21" s="108"/>
      <c r="U21" s="109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115"/>
      <c r="AL21" s="123" t="s">
        <v>22</v>
      </c>
    </row>
    <row r="22" spans="1:15140">
      <c r="B22" s="61"/>
      <c r="C22" s="44" t="s">
        <v>23</v>
      </c>
      <c r="D22" s="45"/>
      <c r="E22" s="46" t="s">
        <v>24</v>
      </c>
      <c r="F22" s="64">
        <v>0</v>
      </c>
      <c r="G22" s="64">
        <v>0</v>
      </c>
      <c r="H22" s="64">
        <v>0</v>
      </c>
      <c r="I22" s="64">
        <v>1</v>
      </c>
      <c r="J22" s="64">
        <v>1</v>
      </c>
      <c r="K22" s="64">
        <v>1</v>
      </c>
      <c r="L22" s="64">
        <v>1</v>
      </c>
      <c r="M22" s="64">
        <v>1</v>
      </c>
      <c r="N22" s="64">
        <v>1</v>
      </c>
      <c r="O22" s="64">
        <v>1</v>
      </c>
      <c r="P22" s="64">
        <v>1</v>
      </c>
      <c r="Q22" s="64">
        <v>1</v>
      </c>
      <c r="R22" s="64">
        <v>1</v>
      </c>
      <c r="S22" s="64">
        <v>1</v>
      </c>
      <c r="T22" s="64">
        <v>1</v>
      </c>
      <c r="U22" s="64">
        <v>1</v>
      </c>
      <c r="V22" s="64">
        <v>1</v>
      </c>
      <c r="W22" s="64">
        <v>1</v>
      </c>
      <c r="X22" s="64">
        <v>1</v>
      </c>
      <c r="Y22" s="64">
        <v>1</v>
      </c>
      <c r="Z22" s="64">
        <v>1</v>
      </c>
      <c r="AA22" s="64">
        <v>1</v>
      </c>
      <c r="AB22" s="64">
        <v>1</v>
      </c>
      <c r="AC22" s="64">
        <v>1</v>
      </c>
      <c r="AD22" s="64">
        <v>1</v>
      </c>
      <c r="AE22" s="64">
        <v>1</v>
      </c>
      <c r="AF22" s="64">
        <v>1</v>
      </c>
      <c r="AG22" s="64">
        <v>1</v>
      </c>
      <c r="AH22" s="64">
        <v>1</v>
      </c>
      <c r="AI22" s="64">
        <v>1</v>
      </c>
      <c r="AJ22" s="64">
        <v>1</v>
      </c>
      <c r="AK22" s="115"/>
      <c r="AL22" s="124">
        <f>SUM(F22:AJ22)</f>
        <v>28</v>
      </c>
      <c r="AM22" s="33"/>
      <c r="AP22" s="277">
        <v>55689</v>
      </c>
    </row>
    <row r="23" spans="1:15140" s="1" customFormat="1">
      <c r="B23" s="65"/>
      <c r="C23" s="66" t="s">
        <v>25</v>
      </c>
      <c r="D23" s="67">
        <f>1796.40718562874*1000</f>
        <v>1796407.1856287401</v>
      </c>
      <c r="E23" s="68" t="s">
        <v>9</v>
      </c>
      <c r="F23" s="69">
        <v>0</v>
      </c>
      <c r="G23" s="69">
        <v>0</v>
      </c>
      <c r="H23" s="69">
        <v>0</v>
      </c>
      <c r="I23" s="273">
        <v>1141003</v>
      </c>
      <c r="J23" s="273">
        <v>2075800</v>
      </c>
      <c r="K23" s="273">
        <v>1697300</v>
      </c>
      <c r="L23" s="273">
        <v>2010000</v>
      </c>
      <c r="M23" s="273">
        <f>1921.39999999999*1000</f>
        <v>1921399.99999999</v>
      </c>
      <c r="N23" s="273">
        <v>2003800</v>
      </c>
      <c r="O23" s="273">
        <f>2103.39999999999*1000</f>
        <v>2103399.9999999902</v>
      </c>
      <c r="P23" s="273">
        <f>2115.90000000001*1000</f>
        <v>2115900.0000000102</v>
      </c>
      <c r="Q23" s="69">
        <v>2011000</v>
      </c>
      <c r="R23" s="69">
        <f>1853.5*1000</f>
        <v>1853500</v>
      </c>
      <c r="S23" s="69">
        <v>1554200</v>
      </c>
      <c r="T23" s="69">
        <f>1595.60000000001*1000</f>
        <v>1595600.00000001</v>
      </c>
      <c r="U23" s="69">
        <f>1508.29999999999*1000</f>
        <v>1508299.99999999</v>
      </c>
      <c r="V23" s="273">
        <f>1560.33*1000</f>
        <v>1560330</v>
      </c>
      <c r="W23" s="273">
        <f>1336.12*1000</f>
        <v>1336120</v>
      </c>
      <c r="X23" s="69">
        <f>1316.89999999999*1000</f>
        <v>1316899.99999999</v>
      </c>
      <c r="Y23" s="69">
        <f>1043.81000000001*1000</f>
        <v>1043810.0000000099</v>
      </c>
      <c r="Z23" s="69">
        <f>1242.59999999999*1000</f>
        <v>1242599.99999999</v>
      </c>
      <c r="AA23" s="69">
        <f>1320.31*1000</f>
        <v>1320310</v>
      </c>
      <c r="AB23" s="69">
        <f>1303.49000000001*1000</f>
        <v>1303490.00000001</v>
      </c>
      <c r="AC23" s="69">
        <f>1315.83*1000</f>
        <v>1315830</v>
      </c>
      <c r="AD23" s="69">
        <f>1329.22*1000</f>
        <v>1329220</v>
      </c>
      <c r="AE23" s="69">
        <f>1428.91*1000</f>
        <v>1428910</v>
      </c>
      <c r="AF23" s="69">
        <v>1316360</v>
      </c>
      <c r="AG23" s="69">
        <f>1550.9*1000</f>
        <v>1550900</v>
      </c>
      <c r="AH23" s="69">
        <f>1457.99000000001*1000</f>
        <v>1457990.00000001</v>
      </c>
      <c r="AI23" s="69">
        <f>1542.15999999999*1000</f>
        <v>1542159.99999999</v>
      </c>
      <c r="AJ23" s="69">
        <f>1382.91*1000</f>
        <v>1382910</v>
      </c>
      <c r="AK23" s="125"/>
      <c r="AL23" s="124">
        <f>SUM(F23:AJ23)</f>
        <v>44039042.999999993</v>
      </c>
      <c r="AM23" s="126"/>
      <c r="AN23" s="126">
        <f>AL23/1000/AL22</f>
        <v>1572.8229642857139</v>
      </c>
      <c r="AP23" s="279">
        <f>AL23/1000</f>
        <v>44039.042999999991</v>
      </c>
      <c r="CP23" s="254"/>
    </row>
    <row r="24" spans="1:15140" s="1" customFormat="1" hidden="1">
      <c r="B24" s="65"/>
      <c r="C24" s="66" t="s">
        <v>26</v>
      </c>
      <c r="D24" s="67"/>
      <c r="E24" s="68" t="s">
        <v>9</v>
      </c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125"/>
      <c r="AL24" s="117">
        <f>SUM(F24:AJ24)</f>
        <v>0</v>
      </c>
      <c r="AM24" s="126"/>
      <c r="AN24" s="126"/>
    </row>
    <row r="25" spans="1:15140" s="2" customFormat="1">
      <c r="A25" s="21"/>
      <c r="B25" s="70"/>
      <c r="C25" s="218" t="s">
        <v>27</v>
      </c>
      <c r="D25" s="71">
        <v>5</v>
      </c>
      <c r="E25" s="72" t="s">
        <v>12</v>
      </c>
      <c r="F25" s="73">
        <v>0</v>
      </c>
      <c r="G25" s="73">
        <v>0</v>
      </c>
      <c r="H25" s="73">
        <v>0</v>
      </c>
      <c r="I25" s="73">
        <v>4.4000000000000004</v>
      </c>
      <c r="J25" s="73">
        <v>4.05</v>
      </c>
      <c r="K25" s="73">
        <v>4.29</v>
      </c>
      <c r="L25" s="73">
        <v>4.3499999999999996</v>
      </c>
      <c r="M25" s="73">
        <v>4.04</v>
      </c>
      <c r="N25" s="73">
        <v>3.91</v>
      </c>
      <c r="O25" s="73">
        <v>4.37</v>
      </c>
      <c r="P25" s="73">
        <v>4.43</v>
      </c>
      <c r="Q25" s="73">
        <v>4.32</v>
      </c>
      <c r="R25" s="73">
        <v>4.3499999999999996</v>
      </c>
      <c r="S25" s="73">
        <v>4.3600000000000003</v>
      </c>
      <c r="T25" s="73">
        <v>4.38</v>
      </c>
      <c r="U25" s="73">
        <v>4.3</v>
      </c>
      <c r="V25" s="73">
        <v>4.32</v>
      </c>
      <c r="W25" s="73">
        <v>4.3899999999999997</v>
      </c>
      <c r="X25" s="73">
        <v>4.43</v>
      </c>
      <c r="Y25" s="73">
        <v>4.41</v>
      </c>
      <c r="Z25" s="73">
        <v>4.37</v>
      </c>
      <c r="AA25" s="287">
        <v>5.28</v>
      </c>
      <c r="AB25" s="287">
        <v>5.96</v>
      </c>
      <c r="AC25" s="287">
        <v>5.75</v>
      </c>
      <c r="AD25" s="73">
        <v>4.3600000000000003</v>
      </c>
      <c r="AE25" s="73">
        <v>4.3899999999999997</v>
      </c>
      <c r="AF25" s="73">
        <v>4.3</v>
      </c>
      <c r="AG25" s="73">
        <v>4.28</v>
      </c>
      <c r="AH25" s="73">
        <v>4.3</v>
      </c>
      <c r="AI25" s="73">
        <v>4.13</v>
      </c>
      <c r="AJ25" s="73">
        <v>4.0999999999999996</v>
      </c>
      <c r="AL25" s="127">
        <f>AVERAGE(I25:AJ25)</f>
        <v>4.4399999999999995</v>
      </c>
      <c r="AM25" s="295"/>
      <c r="AN25" s="128"/>
      <c r="AO25" s="21"/>
      <c r="AP25" s="280">
        <f>AP23/AP22*100</f>
        <v>79.080326455853026</v>
      </c>
      <c r="AQ25" s="289"/>
      <c r="AR25" s="21"/>
      <c r="AS25" s="21"/>
      <c r="AT25" s="289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  <c r="UZQ25" s="21"/>
      <c r="UZR25" s="21"/>
      <c r="UZS25" s="21"/>
      <c r="UZT25" s="21"/>
      <c r="UZU25" s="21"/>
      <c r="UZV25" s="21"/>
      <c r="UZW25" s="21"/>
      <c r="UZX25" s="21"/>
      <c r="UZY25" s="21"/>
      <c r="UZZ25" s="21"/>
      <c r="VAA25" s="21"/>
      <c r="VAB25" s="21"/>
      <c r="VAC25" s="21"/>
      <c r="VAD25" s="21"/>
      <c r="VAE25" s="21"/>
      <c r="VAF25" s="21"/>
      <c r="VAG25" s="21"/>
      <c r="VAH25" s="21"/>
      <c r="VAI25" s="21"/>
      <c r="VAJ25" s="21"/>
      <c r="VAK25" s="21"/>
      <c r="VAL25" s="21"/>
      <c r="VAM25" s="21"/>
      <c r="VAN25" s="21"/>
      <c r="VAO25" s="21"/>
      <c r="VAP25" s="21"/>
      <c r="VAQ25" s="21"/>
      <c r="VAR25" s="21"/>
      <c r="VAS25" s="21"/>
      <c r="VAT25" s="21"/>
      <c r="VAU25" s="21"/>
      <c r="VAV25" s="21"/>
      <c r="VAW25" s="21"/>
      <c r="VAX25" s="21"/>
      <c r="VAY25" s="21"/>
      <c r="VAZ25" s="21"/>
      <c r="VBA25" s="21"/>
      <c r="VBB25" s="21"/>
      <c r="VBC25" s="21"/>
      <c r="VBD25" s="21"/>
      <c r="VBE25" s="21"/>
      <c r="VBF25" s="21"/>
      <c r="VBG25" s="21"/>
      <c r="VBH25" s="21"/>
      <c r="VBI25" s="21"/>
      <c r="VBJ25" s="21"/>
      <c r="VBK25" s="21"/>
      <c r="VBL25" s="21"/>
      <c r="VBM25" s="21"/>
      <c r="VBN25" s="21"/>
      <c r="VBO25" s="21"/>
      <c r="VBP25" s="21"/>
      <c r="VBQ25" s="21"/>
      <c r="VBR25" s="21"/>
      <c r="VBS25" s="21"/>
      <c r="VBT25" s="21"/>
      <c r="VBU25" s="21"/>
      <c r="VBV25" s="21"/>
      <c r="VBW25" s="21"/>
      <c r="VBX25" s="21"/>
      <c r="VBY25" s="21"/>
      <c r="VBZ25" s="21"/>
      <c r="VCA25" s="21"/>
      <c r="VCB25" s="21"/>
      <c r="VCC25" s="21"/>
      <c r="VCD25" s="21"/>
      <c r="VCE25" s="21"/>
      <c r="VCF25" s="21"/>
      <c r="VCG25" s="21"/>
      <c r="VCH25" s="21"/>
      <c r="VCI25" s="21"/>
      <c r="VCJ25" s="21"/>
      <c r="VCK25" s="21"/>
      <c r="VCL25" s="21"/>
      <c r="VCM25" s="21"/>
      <c r="VCN25" s="21"/>
      <c r="VCO25" s="21"/>
      <c r="VCP25" s="21"/>
      <c r="VCQ25" s="21"/>
      <c r="VCR25" s="21"/>
      <c r="VCS25" s="21"/>
      <c r="VCT25" s="21"/>
      <c r="VCU25" s="21"/>
      <c r="VCV25" s="21"/>
      <c r="VCW25" s="21"/>
      <c r="VCX25" s="21"/>
      <c r="VCY25" s="21"/>
      <c r="VCZ25" s="21"/>
      <c r="VDA25" s="21"/>
      <c r="VDB25" s="21"/>
      <c r="VDC25" s="21"/>
      <c r="VDD25" s="21"/>
      <c r="VDE25" s="21"/>
      <c r="VDF25" s="21"/>
      <c r="VDG25" s="21"/>
      <c r="VDH25" s="21"/>
      <c r="VDI25" s="21"/>
      <c r="VDJ25" s="21"/>
      <c r="VDK25" s="21"/>
      <c r="VDL25" s="21"/>
      <c r="VDM25" s="21"/>
      <c r="VDN25" s="21"/>
      <c r="VDO25" s="21"/>
      <c r="VDP25" s="21"/>
      <c r="VDQ25" s="21"/>
      <c r="VDR25" s="21"/>
      <c r="VDS25" s="21"/>
      <c r="VDT25" s="21"/>
      <c r="VDU25" s="21"/>
      <c r="VDV25" s="21"/>
      <c r="VDW25" s="21"/>
      <c r="VDX25" s="21"/>
      <c r="VDY25" s="21"/>
      <c r="VDZ25" s="21"/>
      <c r="VEA25" s="21"/>
      <c r="VEB25" s="21"/>
      <c r="VEC25" s="21"/>
      <c r="VED25" s="21"/>
      <c r="VEE25" s="21"/>
      <c r="VEF25" s="21"/>
      <c r="VEG25" s="21"/>
      <c r="VEH25" s="21"/>
      <c r="VEI25" s="21"/>
      <c r="VEJ25" s="21"/>
      <c r="VEK25" s="21"/>
      <c r="VEL25" s="21"/>
      <c r="VEM25" s="21"/>
      <c r="VEN25" s="21"/>
      <c r="VEO25" s="21"/>
      <c r="VEP25" s="21"/>
      <c r="VEQ25" s="21"/>
      <c r="VER25" s="21"/>
      <c r="VES25" s="21"/>
      <c r="VET25" s="21"/>
      <c r="VEU25" s="21"/>
      <c r="VEV25" s="21"/>
      <c r="VEW25" s="21"/>
      <c r="VEX25" s="21"/>
      <c r="VEY25" s="21"/>
      <c r="VEZ25" s="21"/>
      <c r="VFA25" s="21"/>
      <c r="VFB25" s="21"/>
      <c r="VFC25" s="21"/>
      <c r="VFD25" s="21"/>
      <c r="VFE25" s="21"/>
      <c r="VFF25" s="21"/>
      <c r="VFG25" s="21"/>
      <c r="VFH25" s="21"/>
      <c r="VFI25" s="21"/>
      <c r="VFJ25" s="21"/>
      <c r="VFK25" s="21"/>
      <c r="VFL25" s="21"/>
      <c r="VFM25" s="21"/>
      <c r="VFN25" s="21"/>
      <c r="VFO25" s="21"/>
      <c r="VFP25" s="21"/>
      <c r="VFQ25" s="21"/>
      <c r="VFR25" s="21"/>
      <c r="VFS25" s="21"/>
      <c r="VFT25" s="21"/>
      <c r="VFU25" s="21"/>
      <c r="VFV25" s="21"/>
      <c r="VFW25" s="21"/>
      <c r="VFX25" s="21"/>
      <c r="VFY25" s="21"/>
      <c r="VFZ25" s="21"/>
      <c r="VGA25" s="21"/>
      <c r="VGB25" s="21"/>
      <c r="VGC25" s="21"/>
      <c r="VGD25" s="21"/>
      <c r="VGE25" s="21"/>
      <c r="VGF25" s="21"/>
      <c r="VGG25" s="21"/>
      <c r="VGH25" s="21"/>
      <c r="VGI25" s="21"/>
      <c r="VGJ25" s="21"/>
      <c r="VGK25" s="21"/>
      <c r="VGL25" s="21"/>
      <c r="VGM25" s="21"/>
      <c r="VGN25" s="21"/>
      <c r="VGO25" s="21"/>
      <c r="VGP25" s="21"/>
      <c r="VGQ25" s="21"/>
      <c r="VGR25" s="21"/>
      <c r="VGS25" s="21"/>
      <c r="VGT25" s="21"/>
      <c r="VGU25" s="21"/>
      <c r="VGV25" s="21"/>
      <c r="VGW25" s="21"/>
      <c r="VGX25" s="21"/>
      <c r="VGY25" s="21"/>
      <c r="VGZ25" s="21"/>
      <c r="VHA25" s="21"/>
      <c r="VHB25" s="21"/>
      <c r="VHC25" s="21"/>
      <c r="VHD25" s="21"/>
      <c r="VHE25" s="21"/>
      <c r="VHF25" s="21"/>
      <c r="VHG25" s="21"/>
      <c r="VHH25" s="21"/>
      <c r="VHI25" s="21"/>
      <c r="VHJ25" s="21"/>
      <c r="VHK25" s="21"/>
      <c r="VHL25" s="21"/>
    </row>
    <row r="26" spans="1:15140" s="1" customFormat="1">
      <c r="B26" s="65"/>
      <c r="C26" s="219" t="s">
        <v>28</v>
      </c>
      <c r="D26" s="74">
        <v>0.5</v>
      </c>
      <c r="E26" s="75" t="s">
        <v>12</v>
      </c>
      <c r="F26" s="73">
        <v>0</v>
      </c>
      <c r="G26" s="73">
        <v>0</v>
      </c>
      <c r="H26" s="73">
        <v>0</v>
      </c>
      <c r="I26" s="73">
        <v>0.37</v>
      </c>
      <c r="J26" s="73">
        <v>0.37</v>
      </c>
      <c r="K26" s="73">
        <v>0.37</v>
      </c>
      <c r="L26" s="73">
        <v>0.36</v>
      </c>
      <c r="M26" s="73">
        <v>0.37</v>
      </c>
      <c r="N26" s="73">
        <v>0.36</v>
      </c>
      <c r="O26" s="73">
        <v>0.37</v>
      </c>
      <c r="P26" s="73">
        <v>0.38</v>
      </c>
      <c r="Q26" s="73">
        <v>0.37</v>
      </c>
      <c r="R26" s="73">
        <v>0.38</v>
      </c>
      <c r="S26" s="73">
        <v>0.36</v>
      </c>
      <c r="T26" s="73">
        <v>0.37</v>
      </c>
      <c r="U26" s="73">
        <v>0.37</v>
      </c>
      <c r="V26" s="73">
        <v>0.36</v>
      </c>
      <c r="W26" s="73">
        <v>0.37</v>
      </c>
      <c r="X26" s="73">
        <v>0.37</v>
      </c>
      <c r="Y26" s="73">
        <v>0.36</v>
      </c>
      <c r="Z26" s="73">
        <v>0.38</v>
      </c>
      <c r="AA26" s="73">
        <v>0.37</v>
      </c>
      <c r="AB26" s="73">
        <v>0.39</v>
      </c>
      <c r="AC26" s="73">
        <v>0.42499999999999999</v>
      </c>
      <c r="AD26" s="73">
        <v>0.37</v>
      </c>
      <c r="AE26" s="73">
        <v>0.37</v>
      </c>
      <c r="AF26" s="73">
        <v>0.38</v>
      </c>
      <c r="AG26" s="73">
        <v>0.37</v>
      </c>
      <c r="AH26" s="73">
        <v>0.37</v>
      </c>
      <c r="AI26" s="73">
        <v>0.37</v>
      </c>
      <c r="AJ26" s="73">
        <v>0.37</v>
      </c>
      <c r="AK26" s="125"/>
      <c r="AL26" s="127">
        <f t="shared" ref="AL26:AL27" si="8">AVERAGE(I26:AJ26)</f>
        <v>0.37232142857142847</v>
      </c>
      <c r="AM26" s="295"/>
      <c r="AN26" s="126"/>
      <c r="AT26" s="289"/>
      <c r="CP26" s="254"/>
    </row>
    <row r="27" spans="1:15140" s="1" customFormat="1">
      <c r="B27" s="65"/>
      <c r="C27" s="219" t="s">
        <v>29</v>
      </c>
      <c r="D27" s="76" t="s">
        <v>30</v>
      </c>
      <c r="E27" s="75" t="s">
        <v>12</v>
      </c>
      <c r="F27" s="73">
        <v>0</v>
      </c>
      <c r="G27" s="73">
        <v>0</v>
      </c>
      <c r="H27" s="73">
        <v>0</v>
      </c>
      <c r="I27" s="73">
        <v>2.2400000000000002</v>
      </c>
      <c r="J27" s="73">
        <v>2.23</v>
      </c>
      <c r="K27" s="77">
        <v>2.23</v>
      </c>
      <c r="L27" s="77">
        <v>2.2200000000000002</v>
      </c>
      <c r="M27" s="73">
        <v>2.23</v>
      </c>
      <c r="N27" s="73">
        <v>2.2200000000000002</v>
      </c>
      <c r="O27" s="77">
        <v>2.23</v>
      </c>
      <c r="P27" s="77">
        <v>2.23</v>
      </c>
      <c r="Q27" s="77">
        <v>2.23</v>
      </c>
      <c r="R27" s="73">
        <v>2.21</v>
      </c>
      <c r="S27" s="73">
        <v>2.23</v>
      </c>
      <c r="T27" s="73">
        <v>2.2200000000000002</v>
      </c>
      <c r="U27" s="77">
        <v>2.23</v>
      </c>
      <c r="V27" s="73">
        <v>2.23</v>
      </c>
      <c r="W27" s="73">
        <v>2.2400000000000002</v>
      </c>
      <c r="X27" s="73">
        <v>2.2400000000000002</v>
      </c>
      <c r="Y27" s="73">
        <v>2.25</v>
      </c>
      <c r="Z27" s="73">
        <v>2.23</v>
      </c>
      <c r="AA27" s="73">
        <v>2.2200000000000002</v>
      </c>
      <c r="AB27" s="73">
        <v>2.21</v>
      </c>
      <c r="AC27" s="73">
        <v>2.206</v>
      </c>
      <c r="AD27" s="73">
        <v>2.21</v>
      </c>
      <c r="AE27" s="73">
        <v>2.23</v>
      </c>
      <c r="AF27" s="73">
        <v>2.25</v>
      </c>
      <c r="AG27" s="73">
        <v>2.2400000000000002</v>
      </c>
      <c r="AH27" s="73">
        <v>2.2400000000000002</v>
      </c>
      <c r="AI27" s="73">
        <v>2.25</v>
      </c>
      <c r="AJ27" s="73">
        <v>2.23</v>
      </c>
      <c r="AK27" s="125"/>
      <c r="AL27" s="127">
        <f t="shared" si="8"/>
        <v>2.2295000000000003</v>
      </c>
      <c r="AM27" s="295"/>
      <c r="AN27" s="126"/>
      <c r="AP27" s="254">
        <f>AP22-AP23</f>
        <v>11649.957000000009</v>
      </c>
      <c r="AQ27" s="289"/>
      <c r="AT27" s="289"/>
    </row>
    <row r="28" spans="1:15140" s="1" customFormat="1">
      <c r="B28" s="65"/>
      <c r="C28" s="78" t="s">
        <v>31</v>
      </c>
      <c r="D28" s="79"/>
      <c r="E28" s="8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129"/>
      <c r="AL28" s="130" t="s">
        <v>31</v>
      </c>
      <c r="AM28" s="126"/>
      <c r="AN28" s="126"/>
      <c r="AP28" s="253">
        <f>31-26</f>
        <v>5</v>
      </c>
    </row>
    <row r="29" spans="1:15140" s="3" customFormat="1">
      <c r="B29" s="81"/>
      <c r="C29" s="220" t="s">
        <v>32</v>
      </c>
      <c r="D29" s="67">
        <f>D47%*D23</f>
        <v>1692215.5688622734</v>
      </c>
      <c r="E29" s="221" t="s">
        <v>9</v>
      </c>
      <c r="F29" s="69">
        <v>0</v>
      </c>
      <c r="G29" s="69">
        <v>0</v>
      </c>
      <c r="H29" s="69">
        <f>0.0999999999912689*1000</f>
        <v>99.999999991268908</v>
      </c>
      <c r="I29" s="273">
        <v>1061500</v>
      </c>
      <c r="J29" s="273">
        <f>1978.23*1000</f>
        <v>1978230</v>
      </c>
      <c r="K29" s="273">
        <f>1608.47*1000</f>
        <v>1608470</v>
      </c>
      <c r="L29" s="273">
        <f>1905.07000000001*1000</f>
        <v>1905070.00000001</v>
      </c>
      <c r="M29" s="273">
        <f>1825.33*1000</f>
        <v>1825330</v>
      </c>
      <c r="N29" s="273">
        <v>1905600</v>
      </c>
      <c r="O29" s="273">
        <f>1998.59999999999*1000</f>
        <v>1998599.99999999</v>
      </c>
      <c r="P29" s="273">
        <f>2002.8*1000</f>
        <v>2002800</v>
      </c>
      <c r="Q29" s="69">
        <f>1904.10000000001*1000</f>
        <v>1904100.00000001</v>
      </c>
      <c r="R29" s="69">
        <v>1763000</v>
      </c>
      <c r="S29" s="69">
        <f>1488.39999999999*1000</f>
        <v>1488399.99999999</v>
      </c>
      <c r="T29" s="69">
        <f>1517.39999999999*1000</f>
        <v>1517399.99999999</v>
      </c>
      <c r="U29" s="69">
        <v>1427000</v>
      </c>
      <c r="V29" s="69">
        <f>1480.3*1000</f>
        <v>1480300</v>
      </c>
      <c r="W29" s="69">
        <f>1267.59*1000</f>
        <v>1267590</v>
      </c>
      <c r="X29" s="69">
        <f>1250.93999999999*1000</f>
        <v>1250939.99999999</v>
      </c>
      <c r="Y29" s="69">
        <f>995.12000000001*1000</f>
        <v>995120.00000001001</v>
      </c>
      <c r="Z29" s="69">
        <f>1181.3*1000</f>
        <v>1181300</v>
      </c>
      <c r="AA29" s="69">
        <f>1236.98*1000</f>
        <v>1236980</v>
      </c>
      <c r="AB29" s="69">
        <f>1211.71000000001*1000</f>
        <v>1211710.00000001</v>
      </c>
      <c r="AC29" s="69">
        <f>1226.75999999999*1000</f>
        <v>1226759.99999999</v>
      </c>
      <c r="AD29" s="69">
        <f>1262.48999999999*1000</f>
        <v>1262489.99999999</v>
      </c>
      <c r="AE29" s="69">
        <f>1355.70000000001*1000</f>
        <v>1355700.00000001</v>
      </c>
      <c r="AF29" s="69">
        <f>1254.84999999999*1000</f>
        <v>1254849.99999999</v>
      </c>
      <c r="AG29" s="69">
        <f>1477.98000000001*1000</f>
        <v>1477980.00000001</v>
      </c>
      <c r="AH29" s="69">
        <f>1386.39*1000</f>
        <v>1386390</v>
      </c>
      <c r="AI29" s="69">
        <f>1467.99999999999*1000</f>
        <v>1467999.99999999</v>
      </c>
      <c r="AJ29" s="69">
        <f>1317.79000000001*1000</f>
        <v>1317790.00000001</v>
      </c>
      <c r="AK29" s="131"/>
      <c r="AL29" s="124">
        <f>SUM(F29:AJ29)</f>
        <v>41759499.999999978</v>
      </c>
      <c r="AM29" s="33"/>
      <c r="AN29" s="33"/>
      <c r="AP29" s="281">
        <f>AP27/AP28</f>
        <v>2329.9914000000017</v>
      </c>
      <c r="BK29" s="115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</row>
    <row r="30" spans="1:15140" s="3" customFormat="1">
      <c r="B30" s="81"/>
      <c r="C30" s="220" t="s">
        <v>33</v>
      </c>
      <c r="D30" s="67">
        <f>D48%*D23</f>
        <v>89820.359281437006</v>
      </c>
      <c r="E30" s="221" t="s">
        <v>9</v>
      </c>
      <c r="F30" s="69">
        <v>0</v>
      </c>
      <c r="G30" s="69">
        <v>0</v>
      </c>
      <c r="H30" s="69">
        <f>5.80000000000018*1000</f>
        <v>5800.0000000001801</v>
      </c>
      <c r="I30" s="273">
        <v>61500</v>
      </c>
      <c r="J30" s="273">
        <f>84.6999999999998*1000</f>
        <v>84699.999999999811</v>
      </c>
      <c r="K30" s="273">
        <f>77.4000000000001*1000</f>
        <v>77400.000000000102</v>
      </c>
      <c r="L30" s="273">
        <f>91.6999999999998*1000</f>
        <v>91699.999999999811</v>
      </c>
      <c r="M30" s="273">
        <f>80.6900000000001*1000</f>
        <v>80690.000000000102</v>
      </c>
      <c r="N30" s="273">
        <f>83.0999999999999*1000</f>
        <v>83099.999999999898</v>
      </c>
      <c r="O30" s="273">
        <v>90300</v>
      </c>
      <c r="P30" s="273">
        <v>98500</v>
      </c>
      <c r="Q30" s="69">
        <f>93.9000000000001*1000</f>
        <v>93900.000000000102</v>
      </c>
      <c r="R30" s="69">
        <f>77.0599999999999*1000</f>
        <v>77059.999999999898</v>
      </c>
      <c r="S30" s="69">
        <f>54.75*1000</f>
        <v>54750</v>
      </c>
      <c r="T30" s="69">
        <f>67.1999999999998*1000</f>
        <v>67199.999999999811</v>
      </c>
      <c r="U30" s="69">
        <v>71000</v>
      </c>
      <c r="V30" s="69">
        <f>69.6900000000005*1000</f>
        <v>69690.000000000495</v>
      </c>
      <c r="W30" s="69">
        <f>59.96*1000</f>
        <v>59960</v>
      </c>
      <c r="X30" s="69">
        <f>57.7699999999995*1000</f>
        <v>57769.999999999498</v>
      </c>
      <c r="Y30" s="69">
        <f>42.0300000000007*1000</f>
        <v>42030.000000000698</v>
      </c>
      <c r="Z30" s="69">
        <f>52.7799999999997*1000</f>
        <v>52779.999999999702</v>
      </c>
      <c r="AA30" s="69">
        <f>73.29*1000</f>
        <v>73290</v>
      </c>
      <c r="AB30" s="69">
        <f>81.6999999999998*1000</f>
        <v>81699.999999999811</v>
      </c>
      <c r="AC30" s="69">
        <f>78.8400000000001*1000</f>
        <v>78840.000000000102</v>
      </c>
      <c r="AD30" s="69">
        <f>56.8299999999999*1000</f>
        <v>56829.999999999898</v>
      </c>
      <c r="AE30" s="69">
        <f>62.2700000000004*1000</f>
        <v>62270.0000000004</v>
      </c>
      <c r="AF30" s="69">
        <f>53.5999999999995*1000</f>
        <v>53599.999999999498</v>
      </c>
      <c r="AG30" s="69">
        <f>63.5600000000004*1000</f>
        <v>63560.0000000004</v>
      </c>
      <c r="AH30" s="69">
        <f>62.8000000000002*1000</f>
        <v>62800.000000000204</v>
      </c>
      <c r="AI30" s="69">
        <f>64.8199999999997*1000</f>
        <v>64819.999999999694</v>
      </c>
      <c r="AJ30" s="69">
        <f>56.7799999999997*1000</f>
        <v>56779.999999999702</v>
      </c>
      <c r="AK30" s="131"/>
      <c r="AL30" s="124">
        <f>SUM(F30:AJ30)</f>
        <v>1974320.0000000002</v>
      </c>
      <c r="AM30" s="33"/>
      <c r="AN30" s="33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</row>
    <row r="31" spans="1:15140">
      <c r="B31" s="81"/>
      <c r="C31" s="82" t="s">
        <v>34</v>
      </c>
      <c r="D31" s="83"/>
      <c r="E31" s="84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131"/>
      <c r="AL31" s="132" t="s">
        <v>35</v>
      </c>
      <c r="AM31" s="33"/>
      <c r="BY31" s="115"/>
    </row>
    <row r="32" spans="1:15140" s="1" customFormat="1" ht="14.25">
      <c r="B32" s="75"/>
      <c r="C32" s="220" t="s">
        <v>36</v>
      </c>
      <c r="D32" s="291">
        <f>SUM(D33:D34)</f>
        <v>39640824.376159139</v>
      </c>
      <c r="E32" s="221" t="s">
        <v>9</v>
      </c>
      <c r="F32" s="69">
        <f>SUM(F33:F34)</f>
        <v>0</v>
      </c>
      <c r="G32" s="69">
        <f t="shared" ref="G32" si="9">SUM(G33:G34)</f>
        <v>0</v>
      </c>
      <c r="H32" s="69">
        <f>SUM(H33:H34)</f>
        <v>336399.99999996542</v>
      </c>
      <c r="I32" s="69">
        <f t="shared" ref="I32:AI32" si="10">SUM(I33:I34)</f>
        <v>1205800.000000017</v>
      </c>
      <c r="J32" s="69">
        <f t="shared" si="10"/>
        <v>2105500.0000000582</v>
      </c>
      <c r="K32" s="69">
        <f t="shared" si="10"/>
        <v>1878299.9999999299</v>
      </c>
      <c r="L32" s="69">
        <f t="shared" si="10"/>
        <v>1897800.000000102</v>
      </c>
      <c r="M32" s="69">
        <f t="shared" si="10"/>
        <v>1831899.999999936</v>
      </c>
      <c r="N32" s="69">
        <f t="shared" si="10"/>
        <v>1509499.999999997</v>
      </c>
      <c r="O32" s="69">
        <f t="shared" si="10"/>
        <v>971499.9999999709</v>
      </c>
      <c r="P32" s="69">
        <f>SUM(P33:P34)</f>
        <v>2089500</v>
      </c>
      <c r="Q32" s="69">
        <f t="shared" si="10"/>
        <v>2089500</v>
      </c>
      <c r="R32" s="69">
        <f t="shared" si="10"/>
        <v>1846899.9999999679</v>
      </c>
      <c r="S32" s="69">
        <f t="shared" si="10"/>
        <v>1662200.0000000121</v>
      </c>
      <c r="T32" s="69">
        <f t="shared" si="10"/>
        <v>1417700.0000000701</v>
      </c>
      <c r="U32" s="69">
        <f t="shared" si="10"/>
        <v>1183899.9999999648</v>
      </c>
      <c r="V32" s="69">
        <f t="shared" si="10"/>
        <v>0</v>
      </c>
      <c r="W32" s="69">
        <f t="shared" si="10"/>
        <v>0</v>
      </c>
      <c r="X32" s="69">
        <f t="shared" si="10"/>
        <v>535200.00000004051</v>
      </c>
      <c r="Y32" s="69">
        <f t="shared" si="10"/>
        <v>1538799.999999963</v>
      </c>
      <c r="Z32" s="69">
        <f t="shared" si="10"/>
        <v>1783999.9999999418</v>
      </c>
      <c r="AA32" s="69">
        <f t="shared" si="10"/>
        <v>1751000</v>
      </c>
      <c r="AB32" s="69">
        <f t="shared" si="10"/>
        <v>1048800.0000000759</v>
      </c>
      <c r="AC32" s="69">
        <f t="shared" si="10"/>
        <v>1302500.0000000261</v>
      </c>
      <c r="AD32" s="69">
        <f t="shared" si="10"/>
        <v>1317499.9999998771</v>
      </c>
      <c r="AE32" s="69">
        <f t="shared" si="10"/>
        <v>1386100.0000000931</v>
      </c>
      <c r="AF32" s="69">
        <f t="shared" si="10"/>
        <v>1387499.9999999739</v>
      </c>
      <c r="AG32" s="69">
        <f t="shared" si="10"/>
        <v>968300.000000017</v>
      </c>
      <c r="AH32" s="69">
        <f t="shared" si="10"/>
        <v>299800.00000001717</v>
      </c>
      <c r="AI32" s="69">
        <f t="shared" si="10"/>
        <v>0</v>
      </c>
      <c r="AJ32" s="69">
        <f t="shared" ref="AJ32" si="11">SUM(AJ33:AJ34)</f>
        <v>0</v>
      </c>
      <c r="AK32" s="125"/>
      <c r="AL32" s="124">
        <f>SUM(F32:AJ32)</f>
        <v>35345900.000000015</v>
      </c>
      <c r="AM32" s="126"/>
      <c r="AN32" s="126"/>
      <c r="BY32" s="279"/>
    </row>
    <row r="33" spans="1:15092">
      <c r="B33" s="81"/>
      <c r="C33" s="220" t="s">
        <v>37</v>
      </c>
      <c r="D33" s="291">
        <f>32505.4759884505*1000</f>
        <v>32505475.988450501</v>
      </c>
      <c r="E33" s="221" t="s">
        <v>9</v>
      </c>
      <c r="F33" s="69">
        <v>0</v>
      </c>
      <c r="G33" s="69">
        <v>0</v>
      </c>
      <c r="H33" s="69">
        <f>307.599999999977*1000</f>
        <v>307599.99999997701</v>
      </c>
      <c r="I33" s="273">
        <v>1010000</v>
      </c>
      <c r="J33" s="273">
        <f>1767.20000000007*1000</f>
        <v>1767200.0000000701</v>
      </c>
      <c r="K33" s="273">
        <f>1572.29999999993*1000</f>
        <v>1572299.9999999299</v>
      </c>
      <c r="L33" s="273">
        <f>1599.60000000009*1000</f>
        <v>1599600.0000000899</v>
      </c>
      <c r="M33" s="273">
        <f>1548.29999999993*1000</f>
        <v>1548299.9999999299</v>
      </c>
      <c r="N33" s="273">
        <f>1246.90000000002*1000</f>
        <v>1246900.00000002</v>
      </c>
      <c r="O33" s="273">
        <f>810.099999999977*1000</f>
        <v>810099.99999997695</v>
      </c>
      <c r="P33" s="273">
        <f>1738.5*1000</f>
        <v>1738500</v>
      </c>
      <c r="Q33" s="273">
        <f>1736.5*1000</f>
        <v>1736500</v>
      </c>
      <c r="R33" s="69">
        <f>1533.59999999998*1000</f>
        <v>1533599.99999998</v>
      </c>
      <c r="S33" s="69">
        <v>1374000</v>
      </c>
      <c r="T33" s="69">
        <f>1174.20000000007*1000</f>
        <v>1174200.0000000701</v>
      </c>
      <c r="U33" s="69">
        <f>972.599999999977*1000</f>
        <v>972599.99999997695</v>
      </c>
      <c r="V33" s="69">
        <v>0</v>
      </c>
      <c r="W33" s="69">
        <v>0</v>
      </c>
      <c r="X33" s="69">
        <f>456.400000000023*1000</f>
        <v>456400.00000002299</v>
      </c>
      <c r="Y33" s="69">
        <f>1270.09999999998*1000</f>
        <v>1270099.99999998</v>
      </c>
      <c r="Z33" s="69">
        <f>1495.29999999993*1000</f>
        <v>1495299.9999999299</v>
      </c>
      <c r="AA33" s="69">
        <v>1455000</v>
      </c>
      <c r="AB33" s="69">
        <f>891.70000000007*1000</f>
        <v>891700.00000006997</v>
      </c>
      <c r="AC33" s="69">
        <f>1021.40000000002*1000</f>
        <v>1021400.00000002</v>
      </c>
      <c r="AD33" s="69">
        <f>1066.3999999999*1000</f>
        <v>1066399.9999999001</v>
      </c>
      <c r="AE33" s="69">
        <f>1126.20000000007*1000</f>
        <v>1126200.0000000701</v>
      </c>
      <c r="AF33" s="69">
        <f>1153.09999999998*1000</f>
        <v>1153099.99999998</v>
      </c>
      <c r="AG33" s="69">
        <f>803.400000000023*1000</f>
        <v>803400.00000002305</v>
      </c>
      <c r="AH33" s="69">
        <f>252.400000000023*1000</f>
        <v>252400.00000002299</v>
      </c>
      <c r="AI33" s="69">
        <v>0</v>
      </c>
      <c r="AJ33" s="69">
        <v>0</v>
      </c>
      <c r="AK33" s="131"/>
      <c r="AL33" s="124">
        <f>SUM(F33:AJ33)</f>
        <v>29382800.000000041</v>
      </c>
      <c r="AM33" s="277"/>
      <c r="AP33" s="277">
        <v>44459</v>
      </c>
      <c r="BY33" s="115"/>
    </row>
    <row r="34" spans="1:15092">
      <c r="B34" s="81"/>
      <c r="C34" s="220" t="s">
        <v>38</v>
      </c>
      <c r="D34" s="291">
        <f>7135.34838770864*1000</f>
        <v>7135348.3877086397</v>
      </c>
      <c r="E34" s="221" t="s">
        <v>9</v>
      </c>
      <c r="F34" s="69">
        <v>0</v>
      </c>
      <c r="G34" s="69">
        <v>0</v>
      </c>
      <c r="H34" s="69">
        <f>28.7999999999884*1000</f>
        <v>28799.999999988402</v>
      </c>
      <c r="I34" s="273">
        <f>195.800000000017*1000</f>
        <v>195800.000000017</v>
      </c>
      <c r="J34" s="273">
        <f>338.299999999988*1000</f>
        <v>338299.99999998801</v>
      </c>
      <c r="K34" s="273">
        <v>306000</v>
      </c>
      <c r="L34" s="273">
        <f>298.200000000012*1000</f>
        <v>298200.00000001199</v>
      </c>
      <c r="M34" s="273">
        <f>283.600000000006*1000</f>
        <v>283600.000000006</v>
      </c>
      <c r="N34" s="273">
        <f>262.599999999977*1000</f>
        <v>262599.99999997701</v>
      </c>
      <c r="O34" s="273">
        <f>161.399999999994*1000</f>
        <v>161399.999999994</v>
      </c>
      <c r="P34" s="273">
        <v>351000</v>
      </c>
      <c r="Q34" s="273">
        <v>353000</v>
      </c>
      <c r="R34" s="69">
        <f>313.299999999988*1000</f>
        <v>313299.99999998801</v>
      </c>
      <c r="S34" s="69">
        <f>288.200000000012*1000</f>
        <v>288200.00000001199</v>
      </c>
      <c r="T34" s="69">
        <v>243500</v>
      </c>
      <c r="U34" s="69">
        <f>211.299999999988*1000</f>
        <v>211299.99999998798</v>
      </c>
      <c r="V34" s="69">
        <v>0</v>
      </c>
      <c r="W34" s="69">
        <v>0</v>
      </c>
      <c r="X34" s="69">
        <f>78.8000000000175*1000</f>
        <v>78800.000000017506</v>
      </c>
      <c r="Y34" s="69">
        <f>268.699999999983*1000</f>
        <v>268699.999999983</v>
      </c>
      <c r="Z34" s="69">
        <f>288.700000000012*1000</f>
        <v>288700.00000001199</v>
      </c>
      <c r="AA34" s="286">
        <v>296000</v>
      </c>
      <c r="AB34" s="69">
        <f>157.100000000006*1000</f>
        <v>157100.000000006</v>
      </c>
      <c r="AC34" s="69">
        <f>281.100000000006*1000</f>
        <v>281100.000000006</v>
      </c>
      <c r="AD34" s="69">
        <f>251.099999999977*1000</f>
        <v>251099.99999997701</v>
      </c>
      <c r="AE34" s="69">
        <f>259.900000000023*1000</f>
        <v>259900.00000002299</v>
      </c>
      <c r="AF34" s="69">
        <f>234.399999999994*1000</f>
        <v>234399.999999994</v>
      </c>
      <c r="AG34" s="69">
        <f>164.899999999994*1000</f>
        <v>164899.999999994</v>
      </c>
      <c r="AH34" s="69">
        <f>47.3999999999942*1000</f>
        <v>47399.999999994201</v>
      </c>
      <c r="AI34" s="69">
        <v>0</v>
      </c>
      <c r="AJ34" s="69">
        <v>0</v>
      </c>
      <c r="AK34" s="131"/>
      <c r="AL34" s="124">
        <f>SUM(F34:AJ34)</f>
        <v>5963099.9999999776</v>
      </c>
      <c r="AM34" s="277"/>
      <c r="AP34" s="115">
        <f>SUM(AL32,AL37,AL42)/1000</f>
        <v>40695.000000000065</v>
      </c>
    </row>
    <row r="35" spans="1:15092">
      <c r="B35" s="81"/>
      <c r="C35" s="82" t="s">
        <v>39</v>
      </c>
      <c r="D35" s="292"/>
      <c r="E35" s="84"/>
      <c r="F35" s="63"/>
      <c r="G35" s="63"/>
      <c r="H35" s="63"/>
      <c r="I35" s="106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112"/>
      <c r="Z35" s="284"/>
      <c r="AA35" s="285"/>
      <c r="AB35" s="112"/>
      <c r="AC35" s="112"/>
      <c r="AD35" s="112"/>
      <c r="AE35" s="112"/>
      <c r="AF35" s="112"/>
      <c r="AG35" s="112"/>
      <c r="AH35" s="112"/>
      <c r="AI35" s="112"/>
      <c r="AJ35" s="112"/>
      <c r="AK35" s="131"/>
      <c r="AL35" s="132" t="s">
        <v>40</v>
      </c>
      <c r="AM35" s="277"/>
      <c r="AP35" s="282">
        <f>AP34/AP33*100</f>
        <v>91.533772689444362</v>
      </c>
    </row>
    <row r="36" spans="1:15092" s="4" customFormat="1">
      <c r="A36" s="9"/>
      <c r="B36" s="46"/>
      <c r="C36" s="85" t="s">
        <v>25</v>
      </c>
      <c r="D36" s="293"/>
      <c r="E36" s="86" t="s">
        <v>9</v>
      </c>
      <c r="F36" s="69"/>
      <c r="G36" s="69"/>
      <c r="H36" s="69"/>
      <c r="I36" s="69"/>
      <c r="J36" s="69"/>
      <c r="K36" s="69"/>
      <c r="L36" s="69"/>
      <c r="M36" s="69"/>
      <c r="N36" s="69">
        <f>706.6*1000</f>
        <v>706600</v>
      </c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113"/>
      <c r="AD36" s="113"/>
      <c r="AE36" s="113"/>
      <c r="AF36" s="113"/>
      <c r="AG36" s="113"/>
      <c r="AH36" s="113"/>
      <c r="AI36" s="113"/>
      <c r="AJ36" s="113"/>
      <c r="AK36" s="133"/>
      <c r="AL36" s="134">
        <f t="shared" ref="AL36:AL39" si="12">SUM(F36:AJ36)</f>
        <v>706600</v>
      </c>
      <c r="AM36" s="262"/>
      <c r="AN36" s="135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</row>
    <row r="37" spans="1:15092" s="1" customFormat="1" ht="14.25">
      <c r="B37" s="75"/>
      <c r="C37" s="220" t="s">
        <v>41</v>
      </c>
      <c r="D37" s="291">
        <f>SUM(D38:D39)</f>
        <v>1128336.1585714291</v>
      </c>
      <c r="E37" s="221" t="s">
        <v>9</v>
      </c>
      <c r="F37" s="69">
        <f>SUM(F38:F39)</f>
        <v>0</v>
      </c>
      <c r="G37" s="69">
        <f t="shared" ref="G37:O37" si="13">SUM(G38:G39)</f>
        <v>0</v>
      </c>
      <c r="H37" s="69">
        <f t="shared" si="13"/>
        <v>0</v>
      </c>
      <c r="I37" s="69">
        <f t="shared" si="13"/>
        <v>0</v>
      </c>
      <c r="J37" s="69">
        <f t="shared" si="13"/>
        <v>0</v>
      </c>
      <c r="K37" s="69">
        <f t="shared" si="13"/>
        <v>0</v>
      </c>
      <c r="L37" s="69">
        <f t="shared" si="13"/>
        <v>0</v>
      </c>
      <c r="M37" s="69">
        <f t="shared" si="13"/>
        <v>0</v>
      </c>
      <c r="N37" s="69">
        <f t="shared" si="13"/>
        <v>0</v>
      </c>
      <c r="O37" s="69">
        <f t="shared" si="13"/>
        <v>672000.00000008696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f>SUM(X38:X39)</f>
        <v>339799.99999997701</v>
      </c>
      <c r="Y37" s="69">
        <v>0</v>
      </c>
      <c r="Z37" s="69">
        <v>0</v>
      </c>
      <c r="AA37" s="69">
        <v>0</v>
      </c>
      <c r="AB37" s="69">
        <v>0</v>
      </c>
      <c r="AC37" s="69">
        <v>0</v>
      </c>
      <c r="AD37" s="69">
        <v>0</v>
      </c>
      <c r="AE37" s="69">
        <v>0</v>
      </c>
      <c r="AF37" s="69">
        <v>0</v>
      </c>
      <c r="AG37" s="69">
        <v>0</v>
      </c>
      <c r="AH37" s="69">
        <v>0</v>
      </c>
      <c r="AI37" s="69">
        <v>0</v>
      </c>
      <c r="AJ37" s="69">
        <v>0</v>
      </c>
      <c r="AK37" s="125"/>
      <c r="AL37" s="134">
        <f t="shared" si="12"/>
        <v>1011800.000000064</v>
      </c>
      <c r="AM37" s="253"/>
      <c r="AN37" s="126"/>
    </row>
    <row r="38" spans="1:15092" s="1" customFormat="1" ht="14.25">
      <c r="B38" s="75"/>
      <c r="C38" s="220" t="s">
        <v>42</v>
      </c>
      <c r="D38" s="291">
        <f>789.835311*1000</f>
        <v>789835.3110000001</v>
      </c>
      <c r="E38" s="221" t="s">
        <v>9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f>536.70000000007*1000</f>
        <v>536700.00000006997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f>259.599999999977*1000</f>
        <v>259599.99999997701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69">
        <v>0</v>
      </c>
      <c r="AK38" s="125"/>
      <c r="AL38" s="136">
        <f>SUM(F38:AJ38)</f>
        <v>796300.00000004703</v>
      </c>
      <c r="AM38" s="253"/>
      <c r="AN38" s="126"/>
      <c r="AP38" s="254">
        <f>AP33-AP34</f>
        <v>3763.9999999999345</v>
      </c>
    </row>
    <row r="39" spans="1:15092" s="1" customFormat="1" ht="14.25">
      <c r="B39" s="75"/>
      <c r="C39" s="66" t="s">
        <v>38</v>
      </c>
      <c r="D39" s="291">
        <f>338.500847571429*1000</f>
        <v>338500.84757142898</v>
      </c>
      <c r="E39" s="221" t="s">
        <v>9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f>135.300000000017*1000</f>
        <v>135300.000000017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80200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69">
        <v>0</v>
      </c>
      <c r="AK39" s="125"/>
      <c r="AL39" s="134">
        <f t="shared" si="12"/>
        <v>215500.000000017</v>
      </c>
      <c r="AM39" s="256"/>
      <c r="AN39" s="126"/>
      <c r="AP39" s="253">
        <f>31-26</f>
        <v>5</v>
      </c>
    </row>
    <row r="40" spans="1:15092">
      <c r="B40" s="81"/>
      <c r="C40" s="82" t="s">
        <v>43</v>
      </c>
      <c r="D40" s="292"/>
      <c r="E40" s="84"/>
      <c r="F40" s="63"/>
      <c r="G40" s="63"/>
      <c r="H40" s="63"/>
      <c r="I40" s="106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112"/>
      <c r="AE40" s="112"/>
      <c r="AF40" s="112"/>
      <c r="AG40" s="112"/>
      <c r="AH40" s="112"/>
      <c r="AI40" s="112"/>
      <c r="AJ40" s="112"/>
      <c r="AK40" s="131"/>
      <c r="AL40" s="132" t="s">
        <v>44</v>
      </c>
      <c r="AP40" s="281">
        <f>AP38/AP39</f>
        <v>752.79999999998688</v>
      </c>
    </row>
    <row r="41" spans="1:15092" s="4" customFormat="1">
      <c r="A41" s="9"/>
      <c r="B41" s="46"/>
      <c r="C41" s="85" t="s">
        <v>25</v>
      </c>
      <c r="D41" s="293"/>
      <c r="E41" s="86" t="s">
        <v>9</v>
      </c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>
        <f>1183.29999999999*1000</f>
        <v>1183299.99999999</v>
      </c>
      <c r="V41" s="69">
        <f>V23</f>
        <v>1560330</v>
      </c>
      <c r="W41" s="69"/>
      <c r="X41" s="69"/>
      <c r="Y41" s="69"/>
      <c r="Z41" s="69"/>
      <c r="AA41" s="69"/>
      <c r="AB41" s="69"/>
      <c r="AC41" s="69"/>
      <c r="AD41" s="113"/>
      <c r="AE41" s="113"/>
      <c r="AF41" s="113"/>
      <c r="AG41" s="113">
        <f>441.2*1000</f>
        <v>441200</v>
      </c>
      <c r="AH41" s="113">
        <f>AH23</f>
        <v>1457990.00000001</v>
      </c>
      <c r="AI41" s="113">
        <f>AI23</f>
        <v>1542159.99999999</v>
      </c>
      <c r="AJ41" s="113">
        <f>AJ23</f>
        <v>1382910</v>
      </c>
      <c r="AK41" s="133"/>
      <c r="AL41" s="134">
        <f>SUM(F41:AJ41)</f>
        <v>7567889.9999999898</v>
      </c>
      <c r="AM41" s="9"/>
      <c r="AN41" s="135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262"/>
      <c r="BL41" s="262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255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</row>
    <row r="42" spans="1:15092" s="1" customFormat="1" ht="14.25">
      <c r="B42" s="75"/>
      <c r="C42" s="220" t="s">
        <v>41</v>
      </c>
      <c r="D42" s="291">
        <f>SUM(D44:D45)</f>
        <v>3689522.0999999996</v>
      </c>
      <c r="E42" s="221" t="s">
        <v>9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f>SUM(V44:V45)</f>
        <v>737500</v>
      </c>
      <c r="W42" s="69">
        <f>SUM(W44:W45)</f>
        <v>883699.99999995297</v>
      </c>
      <c r="X42" s="69">
        <f>SUM(X44:X45)</f>
        <v>456000.00000008714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f>SUM(AH44:AH45)</f>
        <v>492599.99999994697</v>
      </c>
      <c r="AI42" s="69">
        <f>SUM(AI44:AI45)</f>
        <v>867000</v>
      </c>
      <c r="AJ42" s="69">
        <f>SUM(AJ44:AJ45)</f>
        <v>900500</v>
      </c>
      <c r="AK42" s="125"/>
      <c r="AL42" s="124">
        <f>SUM(F42:AJ42)</f>
        <v>4337299.999999987</v>
      </c>
      <c r="AN42" s="126"/>
      <c r="BK42" s="253"/>
      <c r="BL42" s="262"/>
      <c r="CP42" s="256"/>
    </row>
    <row r="43" spans="1:15092" s="1" customFormat="1" ht="14.25" hidden="1">
      <c r="B43" s="75"/>
      <c r="C43" s="220" t="s">
        <v>45</v>
      </c>
      <c r="D43" s="291"/>
      <c r="E43" s="221" t="s">
        <v>9</v>
      </c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>
        <v>0</v>
      </c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125"/>
      <c r="AL43" s="124">
        <f>SUM(F43:AJ43)</f>
        <v>0</v>
      </c>
      <c r="AN43" s="126"/>
      <c r="BK43" s="253"/>
      <c r="BL43" s="253"/>
    </row>
    <row r="44" spans="1:15092" s="1" customFormat="1">
      <c r="B44" s="75"/>
      <c r="C44" s="220" t="s">
        <v>46</v>
      </c>
      <c r="D44" s="291">
        <f>2213.71326*1000</f>
        <v>2213713.2599999998</v>
      </c>
      <c r="E44" s="221" t="s">
        <v>9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456000</v>
      </c>
      <c r="W44" s="69">
        <f>518.79999999993*1000</f>
        <v>518799.99999993003</v>
      </c>
      <c r="X44" s="69">
        <v>279600.00000009313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f>293.29999999993*1000</f>
        <v>293299.99999992998</v>
      </c>
      <c r="AI44" s="69">
        <v>527000</v>
      </c>
      <c r="AJ44" s="69">
        <f>574.900000000023*1000</f>
        <v>574900.00000002305</v>
      </c>
      <c r="AK44" s="125"/>
      <c r="AL44" s="124">
        <f>SUM(F44:AJ44)</f>
        <v>2649599.9999999763</v>
      </c>
      <c r="AN44" s="126"/>
      <c r="BK44" s="253"/>
      <c r="BL44" s="265"/>
      <c r="CP44" s="253"/>
    </row>
    <row r="45" spans="1:15092" s="1" customFormat="1" ht="14.25">
      <c r="B45" s="75"/>
      <c r="C45" s="220" t="s">
        <v>47</v>
      </c>
      <c r="D45" s="291">
        <f>1475.80884*1000</f>
        <v>1475808.8399999999</v>
      </c>
      <c r="E45" s="221" t="s">
        <v>9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281500</v>
      </c>
      <c r="W45" s="69">
        <f>364.900000000023*1000</f>
        <v>364900.00000002299</v>
      </c>
      <c r="X45" s="69">
        <f>176.399999999994*1000</f>
        <v>176399.999999994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f>199.300000000017*1000</f>
        <v>199300.000000017</v>
      </c>
      <c r="AI45" s="69">
        <v>340000</v>
      </c>
      <c r="AJ45" s="69">
        <f>325.599999999977*1000</f>
        <v>325599.99999997701</v>
      </c>
      <c r="AK45" s="125"/>
      <c r="AL45" s="124">
        <f>SUM(F45:AJ45)</f>
        <v>1687700.0000000109</v>
      </c>
      <c r="AN45" s="126"/>
    </row>
    <row r="46" spans="1:15092">
      <c r="B46" s="61"/>
      <c r="C46" s="222" t="s">
        <v>48</v>
      </c>
      <c r="D46" s="88"/>
      <c r="E46" s="88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137"/>
      <c r="AL46" s="223" t="s">
        <v>49</v>
      </c>
    </row>
    <row r="47" spans="1:15092">
      <c r="B47" s="81"/>
      <c r="C47" s="224" t="s">
        <v>50</v>
      </c>
      <c r="D47" s="74">
        <v>94.2</v>
      </c>
      <c r="E47" s="225" t="s">
        <v>12</v>
      </c>
      <c r="F47" s="90" t="e">
        <f t="shared" ref="F47:AJ47" si="14">(F29/(F23+F24))*100</f>
        <v>#DIV/0!</v>
      </c>
      <c r="G47" s="90" t="e">
        <f t="shared" si="14"/>
        <v>#DIV/0!</v>
      </c>
      <c r="H47" s="90" t="e">
        <f t="shared" si="14"/>
        <v>#DIV/0!</v>
      </c>
      <c r="I47" s="90">
        <f t="shared" si="14"/>
        <v>93.032183088037456</v>
      </c>
      <c r="J47" s="90">
        <f t="shared" si="14"/>
        <v>95.299643510935539</v>
      </c>
      <c r="K47" s="90">
        <f t="shared" si="14"/>
        <v>94.766393684086495</v>
      </c>
      <c r="L47" s="90">
        <f t="shared" si="14"/>
        <v>94.779601990050239</v>
      </c>
      <c r="M47" s="90">
        <f t="shared" si="14"/>
        <v>95.000000000000497</v>
      </c>
      <c r="N47" s="90">
        <f t="shared" si="14"/>
        <v>95.099311308513819</v>
      </c>
      <c r="O47" s="90">
        <f t="shared" si="14"/>
        <v>95.017590567652348</v>
      </c>
      <c r="P47" s="90">
        <f t="shared" si="14"/>
        <v>94.654756841060077</v>
      </c>
      <c r="Q47" s="90">
        <f t="shared" si="14"/>
        <v>94.684236698160618</v>
      </c>
      <c r="R47" s="90">
        <f t="shared" si="14"/>
        <v>95.117345562449415</v>
      </c>
      <c r="S47" s="90">
        <f t="shared" si="14"/>
        <v>95.766310642130364</v>
      </c>
      <c r="T47" s="90">
        <f t="shared" si="14"/>
        <v>95.099022311355014</v>
      </c>
      <c r="U47" s="90">
        <f t="shared" si="14"/>
        <v>94.609825631506297</v>
      </c>
      <c r="V47" s="90">
        <f t="shared" si="14"/>
        <v>94.870956784782706</v>
      </c>
      <c r="W47" s="90">
        <f t="shared" si="14"/>
        <v>94.870969673382632</v>
      </c>
      <c r="X47" s="90">
        <f t="shared" si="14"/>
        <v>94.991267370339401</v>
      </c>
      <c r="Y47" s="90">
        <f t="shared" si="14"/>
        <v>95.335357967446228</v>
      </c>
      <c r="Z47" s="90">
        <f t="shared" si="14"/>
        <v>95.066795428940083</v>
      </c>
      <c r="AA47" s="90">
        <f t="shared" si="14"/>
        <v>93.688603434042008</v>
      </c>
      <c r="AB47" s="90">
        <f t="shared" si="14"/>
        <v>92.958902638301851</v>
      </c>
      <c r="AC47" s="90">
        <f t="shared" si="14"/>
        <v>93.230888488633795</v>
      </c>
      <c r="AD47" s="90">
        <f t="shared" si="14"/>
        <v>94.979762567520041</v>
      </c>
      <c r="AE47" s="90">
        <f t="shared" si="14"/>
        <v>94.876514266119628</v>
      </c>
      <c r="AF47" s="90">
        <f t="shared" si="14"/>
        <v>95.327266097419397</v>
      </c>
      <c r="AG47" s="90">
        <f t="shared" si="14"/>
        <v>95.29821394029338</v>
      </c>
      <c r="AH47" s="90">
        <f t="shared" si="14"/>
        <v>95.089129555071736</v>
      </c>
      <c r="AI47" s="90">
        <f t="shared" ref="AI47" si="15">(AI29/(AI23+AI24))*100</f>
        <v>95.191160450277508</v>
      </c>
      <c r="AJ47" s="90">
        <f t="shared" si="14"/>
        <v>95.29108908027348</v>
      </c>
      <c r="AK47" s="129"/>
      <c r="AL47" s="139">
        <f>AL29/(SUM(AL23:AL24))*100</f>
        <v>94.823813496582986</v>
      </c>
      <c r="AM47" s="278"/>
    </row>
    <row r="48" spans="1:15092">
      <c r="B48" s="81"/>
      <c r="C48" s="224" t="s">
        <v>33</v>
      </c>
      <c r="D48" s="74">
        <v>5</v>
      </c>
      <c r="E48" s="225" t="s">
        <v>12</v>
      </c>
      <c r="F48" s="90" t="e">
        <f t="shared" ref="F48:AJ48" si="16">(F30/(F23+F24))*100</f>
        <v>#DIV/0!</v>
      </c>
      <c r="G48" s="90" t="e">
        <f t="shared" si="16"/>
        <v>#DIV/0!</v>
      </c>
      <c r="H48" s="90" t="e">
        <f t="shared" si="16"/>
        <v>#DIV/0!</v>
      </c>
      <c r="I48" s="90">
        <f t="shared" si="16"/>
        <v>5.3899945924769694</v>
      </c>
      <c r="J48" s="90">
        <f t="shared" si="16"/>
        <v>4.0803545620965318</v>
      </c>
      <c r="K48" s="90">
        <f t="shared" si="16"/>
        <v>4.5601838213633474</v>
      </c>
      <c r="L48" s="90">
        <f t="shared" si="16"/>
        <v>4.5621890547263586</v>
      </c>
      <c r="M48" s="90">
        <f t="shared" si="16"/>
        <v>4.1995420006245716</v>
      </c>
      <c r="N48" s="90">
        <f t="shared" si="16"/>
        <v>4.1471204711048957</v>
      </c>
      <c r="O48" s="90">
        <f t="shared" si="16"/>
        <v>4.2930493486735966</v>
      </c>
      <c r="P48" s="90">
        <f t="shared" si="16"/>
        <v>4.6552294531877463</v>
      </c>
      <c r="Q48" s="90">
        <f t="shared" si="16"/>
        <v>4.669318746892098</v>
      </c>
      <c r="R48" s="90">
        <f t="shared" si="16"/>
        <v>4.1575397895872621</v>
      </c>
      <c r="S48" s="90">
        <f t="shared" si="16"/>
        <v>3.5227126495946468</v>
      </c>
      <c r="T48" s="90">
        <f t="shared" si="16"/>
        <v>4.2115818500877023</v>
      </c>
      <c r="U48" s="90">
        <f t="shared" si="16"/>
        <v>4.7072863488696193</v>
      </c>
      <c r="V48" s="90">
        <f t="shared" si="16"/>
        <v>4.4663628847744068</v>
      </c>
      <c r="W48" s="90">
        <f t="shared" si="16"/>
        <v>4.4876208723767324</v>
      </c>
      <c r="X48" s="90">
        <f t="shared" si="16"/>
        <v>4.3868175260080449</v>
      </c>
      <c r="Y48" s="90">
        <f t="shared" si="16"/>
        <v>4.0265948783782779</v>
      </c>
      <c r="Z48" s="90">
        <f t="shared" si="16"/>
        <v>4.2475454691775409</v>
      </c>
      <c r="AA48" s="90">
        <f t="shared" si="16"/>
        <v>5.5509690905923605</v>
      </c>
      <c r="AB48" s="90">
        <f t="shared" si="16"/>
        <v>6.2677887824225103</v>
      </c>
      <c r="AC48" s="90">
        <f t="shared" si="16"/>
        <v>5.991655457011932</v>
      </c>
      <c r="AD48" s="90">
        <f t="shared" si="16"/>
        <v>4.2754397315718915</v>
      </c>
      <c r="AE48" s="90">
        <f t="shared" si="16"/>
        <v>4.3578671854770699</v>
      </c>
      <c r="AF48" s="90">
        <f t="shared" si="16"/>
        <v>4.0718344525813226</v>
      </c>
      <c r="AG48" s="90">
        <f t="shared" si="16"/>
        <v>4.0982655232445939</v>
      </c>
      <c r="AH48" s="90">
        <f t="shared" si="16"/>
        <v>4.3072997757186107</v>
      </c>
      <c r="AI48" s="90">
        <f t="shared" ref="AI48" si="17">(AI30/(AI23+AI24))*100</f>
        <v>4.2031955179747964</v>
      </c>
      <c r="AJ48" s="90">
        <f t="shared" si="16"/>
        <v>4.1058347976368452</v>
      </c>
      <c r="AK48" s="129"/>
      <c r="AL48" s="139">
        <f>AL30/(AL23+AL24)*100</f>
        <v>4.483112859650471</v>
      </c>
    </row>
    <row r="49" spans="2:64 15093:15106">
      <c r="B49" s="81"/>
      <c r="C49" s="224" t="s">
        <v>35</v>
      </c>
      <c r="D49" s="74">
        <v>82</v>
      </c>
      <c r="E49" s="225" t="s">
        <v>12</v>
      </c>
      <c r="F49" s="91" t="e">
        <f t="shared" ref="F49:AJ49" si="18">(F33/F32)*100</f>
        <v>#DIV/0!</v>
      </c>
      <c r="G49" s="91" t="e">
        <f t="shared" si="18"/>
        <v>#DIV/0!</v>
      </c>
      <c r="H49" s="91">
        <f t="shared" si="18"/>
        <v>91.438763376934787</v>
      </c>
      <c r="I49" s="91">
        <f t="shared" si="18"/>
        <v>83.761817880244308</v>
      </c>
      <c r="J49" s="91">
        <f t="shared" si="18"/>
        <v>83.932557587272441</v>
      </c>
      <c r="K49" s="91">
        <f t="shared" si="18"/>
        <v>83.708672735984052</v>
      </c>
      <c r="L49" s="91">
        <f t="shared" si="18"/>
        <v>84.287069238065342</v>
      </c>
      <c r="M49" s="91">
        <f t="shared" si="18"/>
        <v>84.518805611659147</v>
      </c>
      <c r="N49" s="91">
        <f t="shared" si="18"/>
        <v>82.603511096391031</v>
      </c>
      <c r="O49" s="91">
        <f t="shared" si="18"/>
        <v>83.386515697375316</v>
      </c>
      <c r="P49" s="91">
        <f t="shared" si="18"/>
        <v>83.201722900215358</v>
      </c>
      <c r="Q49" s="91">
        <f t="shared" si="18"/>
        <v>83.10600622158411</v>
      </c>
      <c r="R49" s="91">
        <f t="shared" si="18"/>
        <v>83.036439439060402</v>
      </c>
      <c r="S49" s="91">
        <f t="shared" si="18"/>
        <v>82.661532908193351</v>
      </c>
      <c r="T49" s="91">
        <f t="shared" si="18"/>
        <v>82.824292868731902</v>
      </c>
      <c r="U49" s="91">
        <f t="shared" si="18"/>
        <v>82.152208801419533</v>
      </c>
      <c r="V49" s="91" t="e">
        <f t="shared" si="18"/>
        <v>#DIV/0!</v>
      </c>
      <c r="W49" s="91" t="e">
        <f t="shared" si="18"/>
        <v>#DIV/0!</v>
      </c>
      <c r="X49" s="91">
        <f t="shared" si="18"/>
        <v>85.276532137516526</v>
      </c>
      <c r="Y49" s="91">
        <f t="shared" si="18"/>
        <v>82.538341564856424</v>
      </c>
      <c r="Z49" s="91">
        <f t="shared" si="18"/>
        <v>83.817264573989831</v>
      </c>
      <c r="AA49" s="91">
        <f t="shared" si="18"/>
        <v>83.095374071958886</v>
      </c>
      <c r="AB49" s="91">
        <f t="shared" si="18"/>
        <v>85.020976353928816</v>
      </c>
      <c r="AC49" s="91">
        <f t="shared" si="18"/>
        <v>78.418426103646794</v>
      </c>
      <c r="AD49" s="91">
        <f t="shared" si="18"/>
        <v>80.941176470588204</v>
      </c>
      <c r="AE49" s="91">
        <f t="shared" si="18"/>
        <v>81.249549094581525</v>
      </c>
      <c r="AF49" s="91">
        <f t="shared" si="18"/>
        <v>83.106306306306422</v>
      </c>
      <c r="AG49" s="91">
        <f t="shared" si="18"/>
        <v>82.970153877931324</v>
      </c>
      <c r="AH49" s="91">
        <f t="shared" si="18"/>
        <v>84.189459639762688</v>
      </c>
      <c r="AI49" s="91" t="e">
        <f t="shared" ref="AI49" si="19">(AI33/AI32)*100</f>
        <v>#DIV/0!</v>
      </c>
      <c r="AJ49" s="91" t="e">
        <f t="shared" si="18"/>
        <v>#DIV/0!</v>
      </c>
      <c r="AK49" s="129"/>
      <c r="AL49" s="139">
        <f>AL33/AL32*100</f>
        <v>83.129302125564848</v>
      </c>
    </row>
    <row r="50" spans="2:64 15093:15106">
      <c r="B50" s="81"/>
      <c r="C50" s="224" t="s">
        <v>51</v>
      </c>
      <c r="D50" s="74">
        <v>18</v>
      </c>
      <c r="E50" s="225" t="s">
        <v>12</v>
      </c>
      <c r="F50" s="91" t="e">
        <f t="shared" ref="F50:AJ50" si="20">(F34/F32)*100</f>
        <v>#DIV/0!</v>
      </c>
      <c r="G50" s="91" t="e">
        <f t="shared" si="20"/>
        <v>#DIV/0!</v>
      </c>
      <c r="H50" s="91">
        <f t="shared" si="20"/>
        <v>8.5612366230652093</v>
      </c>
      <c r="I50" s="91">
        <f t="shared" si="20"/>
        <v>16.238182119755702</v>
      </c>
      <c r="J50" s="91">
        <f t="shared" si="20"/>
        <v>16.067442412727555</v>
      </c>
      <c r="K50" s="91">
        <f t="shared" si="20"/>
        <v>16.291327264015941</v>
      </c>
      <c r="L50" s="91">
        <f t="shared" si="20"/>
        <v>15.712930761934659</v>
      </c>
      <c r="M50" s="91">
        <f t="shared" si="20"/>
        <v>15.481194388340844</v>
      </c>
      <c r="N50" s="91">
        <f t="shared" si="20"/>
        <v>17.396488903608979</v>
      </c>
      <c r="O50" s="91">
        <f t="shared" si="20"/>
        <v>16.613484302624688</v>
      </c>
      <c r="P50" s="91">
        <f t="shared" si="20"/>
        <v>16.798277099784638</v>
      </c>
      <c r="Q50" s="91">
        <f t="shared" si="20"/>
        <v>16.89399377841589</v>
      </c>
      <c r="R50" s="91">
        <f t="shared" si="20"/>
        <v>16.963560560939602</v>
      </c>
      <c r="S50" s="91">
        <f t="shared" si="20"/>
        <v>17.338467091806635</v>
      </c>
      <c r="T50" s="91">
        <f t="shared" si="20"/>
        <v>17.175707131268108</v>
      </c>
      <c r="U50" s="91">
        <f t="shared" si="20"/>
        <v>17.847791198580477</v>
      </c>
      <c r="V50" s="91" t="e">
        <f t="shared" si="20"/>
        <v>#DIV/0!</v>
      </c>
      <c r="W50" s="91" t="e">
        <f t="shared" si="20"/>
        <v>#DIV/0!</v>
      </c>
      <c r="X50" s="91">
        <f t="shared" si="20"/>
        <v>14.723467862483473</v>
      </c>
      <c r="Y50" s="91">
        <f t="shared" si="20"/>
        <v>17.461658435143583</v>
      </c>
      <c r="Z50" s="91">
        <f t="shared" si="20"/>
        <v>16.182735426010169</v>
      </c>
      <c r="AA50" s="91">
        <f t="shared" si="20"/>
        <v>16.904625928041121</v>
      </c>
      <c r="AB50" s="91">
        <f t="shared" si="20"/>
        <v>14.979023646071187</v>
      </c>
      <c r="AC50" s="91">
        <f t="shared" si="20"/>
        <v>21.581573896353195</v>
      </c>
      <c r="AD50" s="91">
        <f t="shared" si="20"/>
        <v>19.058823529411796</v>
      </c>
      <c r="AE50" s="91">
        <f t="shared" si="20"/>
        <v>18.750450905418479</v>
      </c>
      <c r="AF50" s="91">
        <f t="shared" si="20"/>
        <v>16.893693693693578</v>
      </c>
      <c r="AG50" s="91">
        <f t="shared" si="20"/>
        <v>17.02984612206869</v>
      </c>
      <c r="AH50" s="91">
        <f t="shared" si="20"/>
        <v>15.81054036023732</v>
      </c>
      <c r="AI50" s="91" t="e">
        <f t="shared" ref="AI50" si="21">(AI34/AI32)*100</f>
        <v>#DIV/0!</v>
      </c>
      <c r="AJ50" s="91" t="e">
        <f t="shared" si="20"/>
        <v>#DIV/0!</v>
      </c>
      <c r="AK50" s="129"/>
      <c r="AL50" s="139">
        <f>AL34/AL32*100</f>
        <v>16.870697874435152</v>
      </c>
    </row>
    <row r="51" spans="2:64 15093:15106">
      <c r="B51" s="81"/>
      <c r="C51" s="224" t="s">
        <v>40</v>
      </c>
      <c r="D51" s="74">
        <v>70</v>
      </c>
      <c r="E51" s="225" t="s">
        <v>12</v>
      </c>
      <c r="F51" s="91" t="e">
        <f t="shared" ref="F51:AC51" si="22">F38/F37*100</f>
        <v>#DIV/0!</v>
      </c>
      <c r="G51" s="91" t="e">
        <f t="shared" si="22"/>
        <v>#DIV/0!</v>
      </c>
      <c r="H51" s="91" t="e">
        <f t="shared" si="22"/>
        <v>#DIV/0!</v>
      </c>
      <c r="I51" s="91" t="e">
        <f t="shared" si="22"/>
        <v>#DIV/0!</v>
      </c>
      <c r="J51" s="91" t="e">
        <f t="shared" si="22"/>
        <v>#DIV/0!</v>
      </c>
      <c r="K51" s="91" t="e">
        <f t="shared" si="22"/>
        <v>#DIV/0!</v>
      </c>
      <c r="L51" s="91" t="e">
        <f t="shared" si="22"/>
        <v>#DIV/0!</v>
      </c>
      <c r="M51" s="91" t="e">
        <f t="shared" si="22"/>
        <v>#DIV/0!</v>
      </c>
      <c r="N51" s="91" t="e">
        <f t="shared" si="22"/>
        <v>#DIV/0!</v>
      </c>
      <c r="O51" s="91">
        <f t="shared" si="22"/>
        <v>79.866071428571502</v>
      </c>
      <c r="P51" s="91" t="e">
        <f t="shared" si="22"/>
        <v>#DIV/0!</v>
      </c>
      <c r="Q51" s="91" t="e">
        <f t="shared" si="22"/>
        <v>#DIV/0!</v>
      </c>
      <c r="R51" s="91" t="e">
        <f t="shared" si="22"/>
        <v>#DIV/0!</v>
      </c>
      <c r="S51" s="91" t="e">
        <f t="shared" si="22"/>
        <v>#DIV/0!</v>
      </c>
      <c r="T51" s="91" t="e">
        <f t="shared" si="22"/>
        <v>#DIV/0!</v>
      </c>
      <c r="U51" s="91" t="e">
        <f t="shared" si="22"/>
        <v>#DIV/0!</v>
      </c>
      <c r="V51" s="91" t="e">
        <f t="shared" si="22"/>
        <v>#DIV/0!</v>
      </c>
      <c r="W51" s="91" t="e">
        <f t="shared" si="22"/>
        <v>#DIV/0!</v>
      </c>
      <c r="X51" s="91">
        <f t="shared" si="22"/>
        <v>76.397881106531656</v>
      </c>
      <c r="Y51" s="91" t="e">
        <f t="shared" si="22"/>
        <v>#DIV/0!</v>
      </c>
      <c r="Z51" s="91" t="e">
        <f t="shared" si="22"/>
        <v>#DIV/0!</v>
      </c>
      <c r="AA51" s="91" t="e">
        <f t="shared" si="22"/>
        <v>#DIV/0!</v>
      </c>
      <c r="AB51" s="91" t="e">
        <f t="shared" si="22"/>
        <v>#DIV/0!</v>
      </c>
      <c r="AC51" s="91" t="e">
        <f t="shared" si="22"/>
        <v>#DIV/0!</v>
      </c>
      <c r="AD51" s="91" t="e">
        <f t="shared" ref="AD51:AJ51" si="23">AD41/AD40*100</f>
        <v>#DIV/0!</v>
      </c>
      <c r="AE51" s="91" t="e">
        <f t="shared" si="23"/>
        <v>#DIV/0!</v>
      </c>
      <c r="AF51" s="91" t="e">
        <f t="shared" si="23"/>
        <v>#DIV/0!</v>
      </c>
      <c r="AG51" s="91" t="e">
        <f t="shared" si="23"/>
        <v>#DIV/0!</v>
      </c>
      <c r="AH51" s="91" t="e">
        <f t="shared" si="23"/>
        <v>#DIV/0!</v>
      </c>
      <c r="AI51" s="91" t="e">
        <f t="shared" ref="AI51" si="24">AI41/AI40*100</f>
        <v>#DIV/0!</v>
      </c>
      <c r="AJ51" s="91" t="e">
        <f t="shared" si="23"/>
        <v>#DIV/0!</v>
      </c>
      <c r="AK51" s="129"/>
      <c r="AL51" s="139">
        <f>AL38/AL37*100</f>
        <v>78.701324372405281</v>
      </c>
    </row>
    <row r="52" spans="2:64 15093:15106">
      <c r="B52" s="81"/>
      <c r="C52" s="224" t="s">
        <v>51</v>
      </c>
      <c r="D52" s="74">
        <v>30</v>
      </c>
      <c r="E52" s="225" t="s">
        <v>12</v>
      </c>
      <c r="F52" s="91" t="e">
        <f t="shared" ref="F52:AC52" si="25">F39/F37*100</f>
        <v>#DIV/0!</v>
      </c>
      <c r="G52" s="91" t="e">
        <f t="shared" si="25"/>
        <v>#DIV/0!</v>
      </c>
      <c r="H52" s="91" t="e">
        <f t="shared" si="25"/>
        <v>#DIV/0!</v>
      </c>
      <c r="I52" s="91" t="e">
        <f t="shared" si="25"/>
        <v>#DIV/0!</v>
      </c>
      <c r="J52" s="91" t="e">
        <f t="shared" si="25"/>
        <v>#DIV/0!</v>
      </c>
      <c r="K52" s="91" t="e">
        <f t="shared" si="25"/>
        <v>#DIV/0!</v>
      </c>
      <c r="L52" s="91" t="e">
        <f t="shared" si="25"/>
        <v>#DIV/0!</v>
      </c>
      <c r="M52" s="91" t="e">
        <f t="shared" si="25"/>
        <v>#DIV/0!</v>
      </c>
      <c r="N52" s="91" t="e">
        <f t="shared" si="25"/>
        <v>#DIV/0!</v>
      </c>
      <c r="O52" s="91">
        <f t="shared" si="25"/>
        <v>20.133928571428495</v>
      </c>
      <c r="P52" s="91" t="e">
        <f t="shared" si="25"/>
        <v>#DIV/0!</v>
      </c>
      <c r="Q52" s="91" t="e">
        <f t="shared" si="25"/>
        <v>#DIV/0!</v>
      </c>
      <c r="R52" s="91" t="e">
        <f t="shared" si="25"/>
        <v>#DIV/0!</v>
      </c>
      <c r="S52" s="91" t="e">
        <f t="shared" si="25"/>
        <v>#DIV/0!</v>
      </c>
      <c r="T52" s="91" t="e">
        <f t="shared" si="25"/>
        <v>#DIV/0!</v>
      </c>
      <c r="U52" s="91" t="e">
        <f t="shared" si="25"/>
        <v>#DIV/0!</v>
      </c>
      <c r="V52" s="91" t="e">
        <f t="shared" si="25"/>
        <v>#DIV/0!</v>
      </c>
      <c r="W52" s="91" t="e">
        <f t="shared" si="25"/>
        <v>#DIV/0!</v>
      </c>
      <c r="X52" s="91">
        <f t="shared" si="25"/>
        <v>23.602118893468344</v>
      </c>
      <c r="Y52" s="91" t="e">
        <f t="shared" si="25"/>
        <v>#DIV/0!</v>
      </c>
      <c r="Z52" s="91" t="e">
        <f t="shared" si="25"/>
        <v>#DIV/0!</v>
      </c>
      <c r="AA52" s="91" t="e">
        <f t="shared" si="25"/>
        <v>#DIV/0!</v>
      </c>
      <c r="AB52" s="91" t="e">
        <f t="shared" si="25"/>
        <v>#DIV/0!</v>
      </c>
      <c r="AC52" s="91" t="e">
        <f t="shared" si="25"/>
        <v>#DIV/0!</v>
      </c>
      <c r="AD52" s="91" t="e">
        <f t="shared" ref="AD52:AJ52" si="26">AD42/AD40*100</f>
        <v>#DIV/0!</v>
      </c>
      <c r="AE52" s="91" t="e">
        <f t="shared" si="26"/>
        <v>#DIV/0!</v>
      </c>
      <c r="AF52" s="91" t="e">
        <f t="shared" si="26"/>
        <v>#DIV/0!</v>
      </c>
      <c r="AG52" s="91" t="e">
        <f t="shared" si="26"/>
        <v>#DIV/0!</v>
      </c>
      <c r="AH52" s="91" t="e">
        <f t="shared" si="26"/>
        <v>#DIV/0!</v>
      </c>
      <c r="AI52" s="91" t="e">
        <f t="shared" ref="AI52" si="27">AI42/AI40*100</f>
        <v>#DIV/0!</v>
      </c>
      <c r="AJ52" s="91" t="e">
        <f t="shared" si="26"/>
        <v>#DIV/0!</v>
      </c>
      <c r="AK52" s="140"/>
      <c r="AL52" s="139">
        <f>AL39/AL37*100</f>
        <v>21.298675627594719</v>
      </c>
    </row>
    <row r="53" spans="2:64 15093:15106">
      <c r="B53" s="81"/>
      <c r="C53" s="224" t="s">
        <v>44</v>
      </c>
      <c r="D53" s="74">
        <v>60</v>
      </c>
      <c r="E53" s="225" t="s">
        <v>12</v>
      </c>
      <c r="F53" s="91" t="e">
        <f t="shared" ref="F53:AJ53" si="28">F44/F42*100</f>
        <v>#DIV/0!</v>
      </c>
      <c r="G53" s="91" t="e">
        <f t="shared" si="28"/>
        <v>#DIV/0!</v>
      </c>
      <c r="H53" s="91" t="e">
        <f t="shared" si="28"/>
        <v>#DIV/0!</v>
      </c>
      <c r="I53" s="91" t="e">
        <f>I44/I42*100</f>
        <v>#DIV/0!</v>
      </c>
      <c r="J53" s="91" t="e">
        <f>J44/J42*100</f>
        <v>#DIV/0!</v>
      </c>
      <c r="K53" s="91" t="e">
        <f>K44/K42*100</f>
        <v>#DIV/0!</v>
      </c>
      <c r="L53" s="91" t="e">
        <f t="shared" si="28"/>
        <v>#DIV/0!</v>
      </c>
      <c r="M53" s="91" t="e">
        <f t="shared" si="28"/>
        <v>#DIV/0!</v>
      </c>
      <c r="N53" s="91" t="e">
        <f t="shared" si="28"/>
        <v>#DIV/0!</v>
      </c>
      <c r="O53" s="91" t="e">
        <f t="shared" si="28"/>
        <v>#DIV/0!</v>
      </c>
      <c r="P53" s="91" t="e">
        <f t="shared" si="28"/>
        <v>#DIV/0!</v>
      </c>
      <c r="Q53" s="91" t="e">
        <f t="shared" si="28"/>
        <v>#DIV/0!</v>
      </c>
      <c r="R53" s="91" t="e">
        <f t="shared" si="28"/>
        <v>#DIV/0!</v>
      </c>
      <c r="S53" s="91" t="e">
        <f t="shared" si="28"/>
        <v>#DIV/0!</v>
      </c>
      <c r="T53" s="91" t="e">
        <f t="shared" ref="T53:W53" si="29">(T44+T43)/T42*100</f>
        <v>#DIV/0!</v>
      </c>
      <c r="U53" s="91" t="e">
        <f t="shared" si="29"/>
        <v>#DIV/0!</v>
      </c>
      <c r="V53" s="91">
        <f>(V44+V43)/V42*100</f>
        <v>61.830508474576277</v>
      </c>
      <c r="W53" s="91">
        <f t="shared" si="29"/>
        <v>58.707706235142886</v>
      </c>
      <c r="X53" s="91">
        <f t="shared" si="28"/>
        <v>61.315789473692917</v>
      </c>
      <c r="Y53" s="91" t="e">
        <f t="shared" si="28"/>
        <v>#DIV/0!</v>
      </c>
      <c r="Z53" s="91" t="e">
        <f t="shared" si="28"/>
        <v>#DIV/0!</v>
      </c>
      <c r="AA53" s="91" t="e">
        <f t="shared" si="28"/>
        <v>#DIV/0!</v>
      </c>
      <c r="AB53" s="91" t="e">
        <f t="shared" si="28"/>
        <v>#DIV/0!</v>
      </c>
      <c r="AC53" s="91" t="e">
        <f t="shared" si="28"/>
        <v>#DIV/0!</v>
      </c>
      <c r="AD53" s="91" t="e">
        <f t="shared" si="28"/>
        <v>#DIV/0!</v>
      </c>
      <c r="AE53" s="91" t="e">
        <f t="shared" si="28"/>
        <v>#DIV/0!</v>
      </c>
      <c r="AF53" s="91" t="e">
        <f t="shared" si="28"/>
        <v>#DIV/0!</v>
      </c>
      <c r="AG53" s="91" t="e">
        <f t="shared" si="28"/>
        <v>#DIV/0!</v>
      </c>
      <c r="AH53" s="91">
        <f t="shared" si="28"/>
        <v>59.541209906610135</v>
      </c>
      <c r="AI53" s="91">
        <f t="shared" ref="AI53" si="30">AI44/AI42*100</f>
        <v>60.784313725490193</v>
      </c>
      <c r="AJ53" s="91">
        <f t="shared" si="28"/>
        <v>63.842309827875965</v>
      </c>
      <c r="AK53" s="129"/>
      <c r="AL53" s="139">
        <f>(AL44+AL43)/AL42*100</f>
        <v>61.088695732367704</v>
      </c>
    </row>
    <row r="54" spans="2:64 15093:15106">
      <c r="B54" s="81"/>
      <c r="C54" s="224" t="s">
        <v>52</v>
      </c>
      <c r="D54" s="74">
        <v>40</v>
      </c>
      <c r="E54" s="225" t="s">
        <v>12</v>
      </c>
      <c r="F54" s="91" t="e">
        <f t="shared" ref="F54:AJ54" si="31">F45/F42*100</f>
        <v>#DIV/0!</v>
      </c>
      <c r="G54" s="91" t="e">
        <f t="shared" si="31"/>
        <v>#DIV/0!</v>
      </c>
      <c r="H54" s="91" t="e">
        <f t="shared" si="31"/>
        <v>#DIV/0!</v>
      </c>
      <c r="I54" s="91" t="e">
        <f>I45/I42*100</f>
        <v>#DIV/0!</v>
      </c>
      <c r="J54" s="91" t="e">
        <f>J45/J42*100</f>
        <v>#DIV/0!</v>
      </c>
      <c r="K54" s="91" t="e">
        <f>K45/K42*100</f>
        <v>#DIV/0!</v>
      </c>
      <c r="L54" s="91" t="e">
        <f t="shared" si="31"/>
        <v>#DIV/0!</v>
      </c>
      <c r="M54" s="91" t="e">
        <f t="shared" si="31"/>
        <v>#DIV/0!</v>
      </c>
      <c r="N54" s="91" t="e">
        <f t="shared" si="31"/>
        <v>#DIV/0!</v>
      </c>
      <c r="O54" s="91" t="e">
        <f t="shared" si="31"/>
        <v>#DIV/0!</v>
      </c>
      <c r="P54" s="91" t="e">
        <f t="shared" si="31"/>
        <v>#DIV/0!</v>
      </c>
      <c r="Q54" s="91" t="e">
        <f t="shared" si="31"/>
        <v>#DIV/0!</v>
      </c>
      <c r="R54" s="91" t="e">
        <f t="shared" si="31"/>
        <v>#DIV/0!</v>
      </c>
      <c r="S54" s="91" t="e">
        <f t="shared" si="31"/>
        <v>#DIV/0!</v>
      </c>
      <c r="T54" s="91" t="e">
        <f t="shared" si="31"/>
        <v>#DIV/0!</v>
      </c>
      <c r="U54" s="91" t="e">
        <f t="shared" si="31"/>
        <v>#DIV/0!</v>
      </c>
      <c r="V54" s="91">
        <f t="shared" si="31"/>
        <v>38.169491525423723</v>
      </c>
      <c r="W54" s="91">
        <f t="shared" si="31"/>
        <v>41.292293764857121</v>
      </c>
      <c r="X54" s="91">
        <f t="shared" si="31"/>
        <v>38.684210526307083</v>
      </c>
      <c r="Y54" s="91" t="e">
        <f t="shared" si="31"/>
        <v>#DIV/0!</v>
      </c>
      <c r="Z54" s="91" t="e">
        <f t="shared" si="31"/>
        <v>#DIV/0!</v>
      </c>
      <c r="AA54" s="91" t="e">
        <f t="shared" si="31"/>
        <v>#DIV/0!</v>
      </c>
      <c r="AB54" s="91" t="e">
        <f t="shared" si="31"/>
        <v>#DIV/0!</v>
      </c>
      <c r="AC54" s="91" t="e">
        <f t="shared" si="31"/>
        <v>#DIV/0!</v>
      </c>
      <c r="AD54" s="91" t="e">
        <f t="shared" si="31"/>
        <v>#DIV/0!</v>
      </c>
      <c r="AE54" s="91" t="e">
        <f t="shared" si="31"/>
        <v>#DIV/0!</v>
      </c>
      <c r="AF54" s="91" t="e">
        <f t="shared" si="31"/>
        <v>#DIV/0!</v>
      </c>
      <c r="AG54" s="91" t="e">
        <f t="shared" si="31"/>
        <v>#DIV/0!</v>
      </c>
      <c r="AH54" s="91">
        <f t="shared" si="31"/>
        <v>40.458790093389865</v>
      </c>
      <c r="AI54" s="91">
        <f t="shared" ref="AI54" si="32">AI45/AI42*100</f>
        <v>39.215686274509807</v>
      </c>
      <c r="AJ54" s="91">
        <f t="shared" si="31"/>
        <v>36.157690172124042</v>
      </c>
      <c r="AK54" s="140"/>
      <c r="AL54" s="139">
        <f>AL45/AL42*100</f>
        <v>38.91130426763231</v>
      </c>
    </row>
    <row r="55" spans="2:64 15093:15106">
      <c r="B55" s="58">
        <v>3</v>
      </c>
      <c r="C55" s="87" t="s">
        <v>53</v>
      </c>
      <c r="D55" s="88"/>
      <c r="E55" s="88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131"/>
      <c r="AL55" s="138" t="s">
        <v>54</v>
      </c>
    </row>
    <row r="56" spans="2:64 15093:15106">
      <c r="B56" s="61"/>
      <c r="C56" s="226" t="s">
        <v>55</v>
      </c>
      <c r="D56" s="74">
        <v>9</v>
      </c>
      <c r="E56" s="227" t="s">
        <v>56</v>
      </c>
      <c r="F56" s="64"/>
      <c r="G56" s="64">
        <v>0</v>
      </c>
      <c r="H56" s="64">
        <v>2460</v>
      </c>
      <c r="I56" s="64">
        <v>15048</v>
      </c>
      <c r="J56" s="64">
        <v>16445</v>
      </c>
      <c r="K56" s="64">
        <v>12844</v>
      </c>
      <c r="L56" s="64">
        <v>14782</v>
      </c>
      <c r="M56" s="64">
        <v>13956</v>
      </c>
      <c r="N56" s="64">
        <f>20852-N58</f>
        <v>10073</v>
      </c>
      <c r="O56" s="64">
        <v>17689</v>
      </c>
      <c r="P56" s="64">
        <v>16287</v>
      </c>
      <c r="Q56" s="64">
        <v>16388</v>
      </c>
      <c r="R56" s="64">
        <v>12420</v>
      </c>
      <c r="S56" s="64">
        <v>12604</v>
      </c>
      <c r="T56" s="64">
        <v>11943</v>
      </c>
      <c r="U56" s="64">
        <v>2570</v>
      </c>
      <c r="V56" s="64">
        <v>0</v>
      </c>
      <c r="W56" s="64">
        <v>10752</v>
      </c>
      <c r="X56" s="64">
        <v>10208</v>
      </c>
      <c r="Y56" s="64">
        <v>7506</v>
      </c>
      <c r="Z56" s="64">
        <v>9664</v>
      </c>
      <c r="AA56" s="64">
        <v>15810</v>
      </c>
      <c r="AB56" s="64">
        <v>15980</v>
      </c>
      <c r="AC56" s="64">
        <v>12343</v>
      </c>
      <c r="AD56" s="64">
        <v>8755</v>
      </c>
      <c r="AE56" s="64">
        <v>9469</v>
      </c>
      <c r="AF56" s="64">
        <v>7972</v>
      </c>
      <c r="AG56" s="64">
        <v>6732</v>
      </c>
      <c r="AH56" s="64">
        <v>0</v>
      </c>
      <c r="AI56" s="64">
        <v>0</v>
      </c>
      <c r="AJ56" s="64">
        <v>0</v>
      </c>
      <c r="AK56" s="131"/>
      <c r="AL56" s="117">
        <f>SUM(F56:AJ56)</f>
        <v>290700</v>
      </c>
      <c r="AM56" s="115"/>
      <c r="BL56" s="115"/>
    </row>
    <row r="57" spans="2:64 15093:15106">
      <c r="B57" s="81"/>
      <c r="C57" s="92"/>
      <c r="D57" s="79"/>
      <c r="E57" s="227" t="s">
        <v>12</v>
      </c>
      <c r="F57" s="90" t="e">
        <f>F56/F23*100</f>
        <v>#DIV/0!</v>
      </c>
      <c r="G57" s="90" t="e">
        <f>G56/(G23-G41)*100</f>
        <v>#DIV/0!</v>
      </c>
      <c r="H57" s="90" t="e">
        <f t="shared" ref="H57" si="33">H56/((H23+H24)-H41)*100</f>
        <v>#DIV/0!</v>
      </c>
      <c r="I57" s="91">
        <f t="shared" ref="I57:M57" si="34">I56/((I23+I24)-I41)*100</f>
        <v>1.3188396524811943</v>
      </c>
      <c r="J57" s="90">
        <f t="shared" si="34"/>
        <v>0.79222468445900374</v>
      </c>
      <c r="K57" s="90">
        <f>K56/((K23+K24)-K41)*100</f>
        <v>0.7567312790903199</v>
      </c>
      <c r="L57" s="90">
        <f t="shared" si="34"/>
        <v>0.73542288557213931</v>
      </c>
      <c r="M57" s="90">
        <f t="shared" si="34"/>
        <v>0.72634537316540404</v>
      </c>
      <c r="N57" s="90">
        <f>N56/((N23+N24)-(N41+N36))*100</f>
        <v>0.7765186555658341</v>
      </c>
      <c r="O57" s="90">
        <f t="shared" ref="O57:AJ57" si="35">O56/((O23+O24)-(O41+O36))*100</f>
        <v>0.84097176000761054</v>
      </c>
      <c r="P57" s="90">
        <f t="shared" si="35"/>
        <v>0.76974337161491191</v>
      </c>
      <c r="Q57" s="90">
        <f t="shared" si="35"/>
        <v>0.81491795126802591</v>
      </c>
      <c r="R57" s="90">
        <f t="shared" si="35"/>
        <v>0.67008362557323975</v>
      </c>
      <c r="S57" s="90">
        <f t="shared" si="35"/>
        <v>0.81096383991764254</v>
      </c>
      <c r="T57" s="90">
        <f t="shared" si="35"/>
        <v>0.74849586362496401</v>
      </c>
      <c r="U57" s="90">
        <f t="shared" si="35"/>
        <v>0.79076923076923078</v>
      </c>
      <c r="V57" s="90" t="e">
        <f t="shared" si="35"/>
        <v>#DIV/0!</v>
      </c>
      <c r="W57" s="90">
        <f t="shared" si="35"/>
        <v>0.80471813908930334</v>
      </c>
      <c r="X57" s="90">
        <f t="shared" si="35"/>
        <v>0.77515377021794196</v>
      </c>
      <c r="Y57" s="90">
        <f t="shared" si="35"/>
        <v>0.71909638727353919</v>
      </c>
      <c r="Z57" s="90">
        <f t="shared" si="35"/>
        <v>0.7777241268308448</v>
      </c>
      <c r="AA57" s="288">
        <f t="shared" si="35"/>
        <v>1.1974460543357242</v>
      </c>
      <c r="AB57" s="288">
        <f t="shared" si="35"/>
        <v>1.2259395929389467</v>
      </c>
      <c r="AC57" s="288">
        <f t="shared" si="35"/>
        <v>0.93803910839546145</v>
      </c>
      <c r="AD57" s="90">
        <f t="shared" si="35"/>
        <v>0.65865695671145486</v>
      </c>
      <c r="AE57" s="90">
        <f t="shared" si="35"/>
        <v>0.66267294651167674</v>
      </c>
      <c r="AF57" s="90">
        <f t="shared" si="35"/>
        <v>0.60560940776079497</v>
      </c>
      <c r="AG57" s="90">
        <f t="shared" si="35"/>
        <v>0.60665044606650442</v>
      </c>
      <c r="AH57" s="90" t="e">
        <f t="shared" si="35"/>
        <v>#DIV/0!</v>
      </c>
      <c r="AI57" s="90" t="e">
        <f t="shared" si="35"/>
        <v>#DIV/0!</v>
      </c>
      <c r="AJ57" s="90" t="e">
        <f t="shared" si="35"/>
        <v>#DIV/0!</v>
      </c>
      <c r="AK57" s="131"/>
      <c r="AL57" s="139">
        <f>AL56/(((AL23)+265025+191172)-(AL36+AL41))*100</f>
        <v>0.80257863241374083</v>
      </c>
      <c r="AM57" s="19"/>
      <c r="AN57" s="18">
        <f>AL57*10</f>
        <v>8.0257863241374086</v>
      </c>
      <c r="AT57" s="19">
        <f>AVERAGE(AA57:AC57)</f>
        <v>1.1204749185567107</v>
      </c>
    </row>
    <row r="58" spans="2:64 15093:15106" s="3" customFormat="1">
      <c r="B58" s="61"/>
      <c r="C58" s="228" t="s">
        <v>57</v>
      </c>
      <c r="D58" s="93">
        <v>14</v>
      </c>
      <c r="E58" s="229" t="s">
        <v>56</v>
      </c>
      <c r="F58" s="94"/>
      <c r="G58" s="94">
        <v>0</v>
      </c>
      <c r="H58" s="94">
        <v>0</v>
      </c>
      <c r="I58" s="94"/>
      <c r="J58" s="94">
        <v>0</v>
      </c>
      <c r="K58" s="94"/>
      <c r="L58" s="94"/>
      <c r="M58" s="94"/>
      <c r="N58" s="94">
        <v>10779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17744</v>
      </c>
      <c r="V58" s="110">
        <v>17630</v>
      </c>
      <c r="W58" s="110">
        <v>0</v>
      </c>
      <c r="X58" s="110">
        <v>0</v>
      </c>
      <c r="Y58" s="110">
        <v>0</v>
      </c>
      <c r="Z58" s="110">
        <v>0</v>
      </c>
      <c r="AA58" s="94">
        <v>0</v>
      </c>
      <c r="AB58" s="94">
        <v>0</v>
      </c>
      <c r="AC58" s="94">
        <v>0</v>
      </c>
      <c r="AD58" s="94">
        <v>0</v>
      </c>
      <c r="AE58" s="94">
        <v>0</v>
      </c>
      <c r="AF58" s="94">
        <v>0</v>
      </c>
      <c r="AG58" s="94">
        <v>5950</v>
      </c>
      <c r="AH58" s="94">
        <v>18735</v>
      </c>
      <c r="AI58" s="94">
        <v>19252</v>
      </c>
      <c r="AJ58" s="94">
        <v>18020</v>
      </c>
      <c r="AK58" s="131"/>
      <c r="AL58" s="141">
        <f>SUM(F58:AJ58)</f>
        <v>108110</v>
      </c>
      <c r="AM58" s="278"/>
      <c r="AN58" s="18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</row>
    <row r="59" spans="2:64 15093:15106" s="3" customFormat="1">
      <c r="B59" s="81"/>
      <c r="C59" s="95"/>
      <c r="D59" s="96"/>
      <c r="E59" s="230" t="s">
        <v>12</v>
      </c>
      <c r="F59" s="97" t="e">
        <f>F58/F41*100</f>
        <v>#DIV/0!</v>
      </c>
      <c r="G59" s="97" t="e">
        <f>G58/G41*100</f>
        <v>#DIV/0!</v>
      </c>
      <c r="H59" s="97" t="e">
        <f t="shared" ref="H59:S59" si="36">H58/H41*100</f>
        <v>#DIV/0!</v>
      </c>
      <c r="I59" s="97" t="e">
        <f t="shared" si="36"/>
        <v>#DIV/0!</v>
      </c>
      <c r="J59" s="97" t="e">
        <f t="shared" si="36"/>
        <v>#DIV/0!</v>
      </c>
      <c r="K59" s="97" t="e">
        <f t="shared" si="36"/>
        <v>#DIV/0!</v>
      </c>
      <c r="L59" s="107" t="e">
        <f t="shared" si="36"/>
        <v>#DIV/0!</v>
      </c>
      <c r="M59" s="107" t="e">
        <f t="shared" si="36"/>
        <v>#DIV/0!</v>
      </c>
      <c r="N59" s="107">
        <f>N58/(N36+N41)*100</f>
        <v>1.5254741013303141</v>
      </c>
      <c r="O59" s="107" t="e">
        <f t="shared" si="36"/>
        <v>#DIV/0!</v>
      </c>
      <c r="P59" s="107" t="e">
        <f>P58/(P41+P36)*100</f>
        <v>#DIV/0!</v>
      </c>
      <c r="Q59" s="107" t="e">
        <f>Q58/Q41*100</f>
        <v>#DIV/0!</v>
      </c>
      <c r="R59" s="107" t="e">
        <f>R58/R41*100</f>
        <v>#DIV/0!</v>
      </c>
      <c r="S59" s="107" t="e">
        <f t="shared" si="36"/>
        <v>#DIV/0!</v>
      </c>
      <c r="T59" s="107" t="e">
        <f>T58/(T41+T36)*100</f>
        <v>#DIV/0!</v>
      </c>
      <c r="U59" s="107">
        <f>U58/U41*100</f>
        <v>1.499535198174609</v>
      </c>
      <c r="V59" s="107">
        <f t="shared" ref="V59:AB59" si="37">V58/V41*100</f>
        <v>1.1298891901072208</v>
      </c>
      <c r="W59" s="107" t="e">
        <f t="shared" si="37"/>
        <v>#DIV/0!</v>
      </c>
      <c r="X59" s="107" t="e">
        <f t="shared" si="37"/>
        <v>#DIV/0!</v>
      </c>
      <c r="Y59" s="107" t="e">
        <f t="shared" si="37"/>
        <v>#DIV/0!</v>
      </c>
      <c r="Z59" s="107" t="e">
        <f t="shared" si="37"/>
        <v>#DIV/0!</v>
      </c>
      <c r="AA59" s="107" t="e">
        <f t="shared" si="37"/>
        <v>#DIV/0!</v>
      </c>
      <c r="AB59" s="107" t="e">
        <f t="shared" si="37"/>
        <v>#DIV/0!</v>
      </c>
      <c r="AC59" s="97" t="e">
        <f>AC58/(AC41)*100</f>
        <v>#DIV/0!</v>
      </c>
      <c r="AD59" s="107" t="e">
        <f t="shared" ref="AD59:AJ59" si="38">AD58/AD41*100</f>
        <v>#DIV/0!</v>
      </c>
      <c r="AE59" s="107" t="e">
        <f t="shared" si="38"/>
        <v>#DIV/0!</v>
      </c>
      <c r="AF59" s="107" t="e">
        <f t="shared" si="38"/>
        <v>#DIV/0!</v>
      </c>
      <c r="AG59" s="107">
        <f t="shared" si="38"/>
        <v>1.3485947416137807</v>
      </c>
      <c r="AH59" s="107">
        <f t="shared" si="38"/>
        <v>1.2849882372306993</v>
      </c>
      <c r="AI59" s="107">
        <f t="shared" ref="AI59" si="39">AI58/AI41*100</f>
        <v>1.2483788971313046</v>
      </c>
      <c r="AJ59" s="107">
        <f t="shared" si="38"/>
        <v>1.3030493669146943</v>
      </c>
      <c r="AK59" s="131"/>
      <c r="AL59" s="142">
        <f>AL58/(AL41+AL36)*100</f>
        <v>1.306545781069288</v>
      </c>
      <c r="AM59" s="19"/>
      <c r="AN59" s="18">
        <f>AL59*10</f>
        <v>13.06545781069288</v>
      </c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</row>
    <row r="60" spans="2:64 15093:15106">
      <c r="B60" s="81"/>
      <c r="C60" s="226" t="s">
        <v>58</v>
      </c>
      <c r="D60" s="74">
        <v>0.55000000000000004</v>
      </c>
      <c r="E60" s="227" t="s">
        <v>9</v>
      </c>
      <c r="F60" s="64"/>
      <c r="G60" s="64">
        <v>0</v>
      </c>
      <c r="H60" s="64">
        <v>106.5</v>
      </c>
      <c r="I60" s="64">
        <v>741.6</v>
      </c>
      <c r="J60" s="64">
        <v>915.4</v>
      </c>
      <c r="K60" s="64">
        <v>839.5</v>
      </c>
      <c r="L60" s="64">
        <v>1006.2</v>
      </c>
      <c r="M60" s="64">
        <v>951.5</v>
      </c>
      <c r="N60" s="64">
        <v>983</v>
      </c>
      <c r="O60" s="64">
        <v>1055.2</v>
      </c>
      <c r="P60" s="64">
        <v>1080.8</v>
      </c>
      <c r="Q60" s="64">
        <v>1062.2</v>
      </c>
      <c r="R60" s="64">
        <v>829.1</v>
      </c>
      <c r="S60" s="64">
        <v>790.5</v>
      </c>
      <c r="T60" s="64">
        <v>726.4</v>
      </c>
      <c r="U60" s="64">
        <v>760.2</v>
      </c>
      <c r="V60" s="64">
        <v>781.2</v>
      </c>
      <c r="W60" s="64">
        <v>643.70000000000005</v>
      </c>
      <c r="X60" s="64">
        <v>622.61</v>
      </c>
      <c r="Y60" s="64">
        <v>516</v>
      </c>
      <c r="Z60" s="64">
        <v>641.29999999999995</v>
      </c>
      <c r="AA60" s="64">
        <v>696.1</v>
      </c>
      <c r="AB60" s="64">
        <v>712.4</v>
      </c>
      <c r="AC60" s="64">
        <v>683.4</v>
      </c>
      <c r="AD60" s="64">
        <v>629.70000000000005</v>
      </c>
      <c r="AE60" s="64">
        <v>691.5</v>
      </c>
      <c r="AF60" s="64">
        <v>646</v>
      </c>
      <c r="AG60" s="64">
        <v>742.8</v>
      </c>
      <c r="AH60" s="64">
        <v>704.30000000000007</v>
      </c>
      <c r="AI60" s="64">
        <v>760.2</v>
      </c>
      <c r="AJ60" s="64">
        <v>658.8</v>
      </c>
      <c r="AK60" s="131"/>
      <c r="AL60" s="141">
        <f>SUM(F60:AJ60)</f>
        <v>21978.110000000004</v>
      </c>
    </row>
    <row r="61" spans="2:64 15093:15106">
      <c r="B61" s="98"/>
      <c r="C61" s="99"/>
      <c r="D61" s="79"/>
      <c r="E61" s="231" t="s">
        <v>12</v>
      </c>
      <c r="F61" s="100" t="e">
        <f t="shared" ref="F61:AJ61" si="40">F60/(F23+F24)*100</f>
        <v>#DIV/0!</v>
      </c>
      <c r="G61" s="100" t="e">
        <f t="shared" si="40"/>
        <v>#DIV/0!</v>
      </c>
      <c r="H61" s="100" t="e">
        <f t="shared" si="40"/>
        <v>#DIV/0!</v>
      </c>
      <c r="I61" s="114">
        <f t="shared" si="40"/>
        <v>6.4995446988307656E-2</v>
      </c>
      <c r="J61" s="100">
        <f t="shared" si="40"/>
        <v>4.4098660757298389E-2</v>
      </c>
      <c r="K61" s="100">
        <f t="shared" si="40"/>
        <v>4.9460908501738052E-2</v>
      </c>
      <c r="L61" s="100">
        <f t="shared" si="40"/>
        <v>5.0059701492537322E-2</v>
      </c>
      <c r="M61" s="100">
        <f t="shared" si="40"/>
        <v>4.9521182471115067E-2</v>
      </c>
      <c r="N61" s="100">
        <f t="shared" si="40"/>
        <v>4.9056792095019459E-2</v>
      </c>
      <c r="O61" s="100">
        <f t="shared" si="40"/>
        <v>5.0166397261576727E-2</v>
      </c>
      <c r="P61" s="100">
        <f t="shared" si="40"/>
        <v>5.1079918710713865E-2</v>
      </c>
      <c r="Q61" s="100">
        <f t="shared" si="40"/>
        <v>5.2819492789656891E-2</v>
      </c>
      <c r="R61" s="100">
        <f t="shared" si="40"/>
        <v>4.4731588885891557E-2</v>
      </c>
      <c r="S61" s="100">
        <f t="shared" si="40"/>
        <v>5.0862179899626811E-2</v>
      </c>
      <c r="T61" s="100">
        <f t="shared" si="40"/>
        <v>4.5525194284281485E-2</v>
      </c>
      <c r="U61" s="100">
        <f t="shared" si="40"/>
        <v>5.0401113836770213E-2</v>
      </c>
      <c r="V61" s="100">
        <f t="shared" si="40"/>
        <v>5.0066332122051103E-2</v>
      </c>
      <c r="W61" s="100">
        <f t="shared" si="40"/>
        <v>4.8176810466125798E-2</v>
      </c>
      <c r="X61" s="100">
        <f t="shared" si="40"/>
        <v>4.7278456982307294E-2</v>
      </c>
      <c r="Y61" s="100">
        <f t="shared" si="40"/>
        <v>4.9434284017205732E-2</v>
      </c>
      <c r="Z61" s="100">
        <f t="shared" si="40"/>
        <v>5.1609528408176814E-2</v>
      </c>
      <c r="AA61" s="100">
        <f t="shared" si="40"/>
        <v>5.2722466693428054E-2</v>
      </c>
      <c r="AB61" s="100">
        <f t="shared" si="40"/>
        <v>5.4653276971821381E-2</v>
      </c>
      <c r="AC61" s="100">
        <f t="shared" si="40"/>
        <v>5.1936800346549329E-2</v>
      </c>
      <c r="AD61" s="114">
        <f t="shared" si="40"/>
        <v>4.7373647703164261E-2</v>
      </c>
      <c r="AE61" s="114">
        <f t="shared" si="40"/>
        <v>4.8393530733216228E-2</v>
      </c>
      <c r="AF61" s="100">
        <f t="shared" si="40"/>
        <v>4.9074721200887295E-2</v>
      </c>
      <c r="AG61" s="100">
        <f t="shared" si="40"/>
        <v>4.7894770778257788E-2</v>
      </c>
      <c r="AH61" s="114">
        <f t="shared" si="40"/>
        <v>4.8306229809531975E-2</v>
      </c>
      <c r="AI61" s="100">
        <f t="shared" ref="AI61" si="41">AI60/(AI23+AI24)*100</f>
        <v>4.9294496031540506E-2</v>
      </c>
      <c r="AJ61" s="100">
        <f t="shared" si="40"/>
        <v>4.7638674968002254E-2</v>
      </c>
      <c r="AK61" s="21"/>
      <c r="AL61" s="143">
        <f>AL60/(AL23)*100</f>
        <v>4.9905966394410535E-2</v>
      </c>
      <c r="AN61" s="18">
        <f>AL61*10</f>
        <v>0.49905966394410534</v>
      </c>
    </row>
    <row r="62" spans="2:64 15093:15106" s="5" customFormat="1">
      <c r="B62" s="101">
        <v>4</v>
      </c>
      <c r="C62" s="232" t="s">
        <v>59</v>
      </c>
      <c r="D62" s="102">
        <v>0.8</v>
      </c>
      <c r="E62" s="233" t="s">
        <v>12</v>
      </c>
      <c r="F62" s="103" t="e">
        <f t="shared" ref="F62:AJ62" si="42">((SUM(F29:F30))-(SUM(F23:F24)))/(SUM(F23:F24))*100</f>
        <v>#DIV/0!</v>
      </c>
      <c r="G62" s="103" t="e">
        <f t="shared" si="42"/>
        <v>#DIV/0!</v>
      </c>
      <c r="H62" s="103" t="e">
        <f t="shared" si="42"/>
        <v>#DIV/0!</v>
      </c>
      <c r="I62" s="103">
        <f t="shared" si="42"/>
        <v>-1.5778223194855754</v>
      </c>
      <c r="J62" s="103">
        <f t="shared" si="42"/>
        <v>-0.62000192696792722</v>
      </c>
      <c r="K62" s="103">
        <f>((SUM(K29:K30))-(SUM(K23:K24)))/(SUM(K23:K24))*100</f>
        <v>-0.67342249455016789</v>
      </c>
      <c r="L62" s="103">
        <f t="shared" si="42"/>
        <v>-0.65820895522339407</v>
      </c>
      <c r="M62" s="103">
        <f t="shared" si="42"/>
        <v>-0.80045799937493844</v>
      </c>
      <c r="N62" s="103">
        <f t="shared" si="42"/>
        <v>-0.75356822038127558</v>
      </c>
      <c r="O62" s="103">
        <f t="shared" si="42"/>
        <v>-0.68936008367406587</v>
      </c>
      <c r="P62" s="103">
        <f t="shared" si="42"/>
        <v>-0.69001370575217047</v>
      </c>
      <c r="Q62" s="103">
        <f t="shared" si="42"/>
        <v>-0.64644455494728936</v>
      </c>
      <c r="R62" s="103">
        <f t="shared" si="42"/>
        <v>-0.72511464796331271</v>
      </c>
      <c r="S62" s="103">
        <f t="shared" si="42"/>
        <v>-0.71097670827499759</v>
      </c>
      <c r="T62" s="103">
        <f t="shared" si="42"/>
        <v>-0.68939583855729425</v>
      </c>
      <c r="U62" s="103">
        <f t="shared" si="42"/>
        <v>-0.68288801962408385</v>
      </c>
      <c r="V62" s="103">
        <f t="shared" si="42"/>
        <v>-0.66268033044288932</v>
      </c>
      <c r="W62" s="103">
        <f t="shared" si="42"/>
        <v>-0.64140945424063711</v>
      </c>
      <c r="X62" s="103">
        <f t="shared" si="42"/>
        <v>-0.62191510365255731</v>
      </c>
      <c r="Y62" s="103">
        <f t="shared" si="42"/>
        <v>-0.63804715417548419</v>
      </c>
      <c r="Z62" s="103">
        <f t="shared" si="42"/>
        <v>-0.68565910188236678</v>
      </c>
      <c r="AA62" s="103">
        <f t="shared" si="42"/>
        <v>-0.76042747536563382</v>
      </c>
      <c r="AB62" s="103">
        <f t="shared" si="42"/>
        <v>-0.77330857927564889</v>
      </c>
      <c r="AC62" s="103">
        <f t="shared" si="42"/>
        <v>-0.77745605435428677</v>
      </c>
      <c r="AD62" s="103">
        <f>((SUM(AD29:AD30))-(SUM(AD23:AD24)))/(SUM(AD23:AD24))*100</f>
        <v>-0.7447977009080522</v>
      </c>
      <c r="AE62" s="103">
        <f t="shared" si="42"/>
        <v>-0.76561854840329502</v>
      </c>
      <c r="AF62" s="103">
        <f t="shared" si="42"/>
        <v>-0.60089944999927658</v>
      </c>
      <c r="AG62" s="103">
        <f t="shared" si="42"/>
        <v>-0.60352053646202353</v>
      </c>
      <c r="AH62" s="103">
        <f>((SUM(AH29:AH30))-(SUM(AH23:AH24)))/(SUM(AH23:AH24))*100</f>
        <v>-0.60357066920964608</v>
      </c>
      <c r="AI62" s="103">
        <f t="shared" ref="AI62" si="43">((SUM(AI29:AI30))-(SUM(AI23:AI24)))/(SUM(AI23:AI24))*100</f>
        <v>-0.60564403174769754</v>
      </c>
      <c r="AJ62" s="103">
        <f t="shared" si="42"/>
        <v>-0.60307612208966754</v>
      </c>
      <c r="AK62" s="144"/>
      <c r="AL62" s="145">
        <f>((SUM(AL29:AL30))-(SUM(AL23:AL24)))/(SUM(AL23:AL24))*100</f>
        <v>-0.69307364376654357</v>
      </c>
      <c r="AN62" s="146"/>
    </row>
    <row r="63" spans="2:64 15093:15106" s="5" customFormat="1" ht="14.25">
      <c r="B63" s="80"/>
      <c r="C63" s="224" t="s">
        <v>60</v>
      </c>
      <c r="D63" s="104">
        <v>22</v>
      </c>
      <c r="E63" s="225" t="s">
        <v>12</v>
      </c>
      <c r="F63" s="91">
        <v>0</v>
      </c>
      <c r="G63" s="91">
        <v>0</v>
      </c>
      <c r="H63" s="91">
        <v>0</v>
      </c>
      <c r="I63" s="91">
        <v>21.33</v>
      </c>
      <c r="J63" s="91">
        <v>21.36</v>
      </c>
      <c r="K63" s="91">
        <v>21.35</v>
      </c>
      <c r="L63" s="91">
        <v>21.37</v>
      </c>
      <c r="M63" s="91">
        <v>21.36</v>
      </c>
      <c r="N63" s="91">
        <v>21.34</v>
      </c>
      <c r="O63" s="91">
        <v>21.28</v>
      </c>
      <c r="P63" s="91">
        <v>21.3</v>
      </c>
      <c r="Q63" s="91">
        <v>21.29</v>
      </c>
      <c r="R63" s="91">
        <v>21.28</v>
      </c>
      <c r="S63" s="91">
        <v>21.31</v>
      </c>
      <c r="T63" s="91">
        <v>21.28</v>
      </c>
      <c r="U63" s="91">
        <v>21.31</v>
      </c>
      <c r="V63" s="91">
        <v>21.32</v>
      </c>
      <c r="W63" s="91">
        <v>21.31</v>
      </c>
      <c r="X63" s="91">
        <v>21.33</v>
      </c>
      <c r="Y63" s="91">
        <v>21.34</v>
      </c>
      <c r="Z63" s="91">
        <v>21.31</v>
      </c>
      <c r="AA63" s="91">
        <v>21.33</v>
      </c>
      <c r="AB63" s="91">
        <v>21.33</v>
      </c>
      <c r="AC63" s="91">
        <v>21.36</v>
      </c>
      <c r="AD63" s="91">
        <v>21.34</v>
      </c>
      <c r="AE63" s="91">
        <v>21.36</v>
      </c>
      <c r="AF63" s="91">
        <v>21.35</v>
      </c>
      <c r="AG63" s="91">
        <v>21.36</v>
      </c>
      <c r="AH63" s="91">
        <v>21.34</v>
      </c>
      <c r="AI63" s="91">
        <v>21.36</v>
      </c>
      <c r="AJ63" s="91">
        <v>21.37</v>
      </c>
      <c r="AK63" s="147"/>
      <c r="AL63" s="148">
        <f>AVERAGE(I63:AJ63)</f>
        <v>21.331071428571427</v>
      </c>
      <c r="AN63" s="146"/>
    </row>
    <row r="64" spans="2:64 15093:15106" s="5" customFormat="1" ht="14.25">
      <c r="B64" s="105"/>
      <c r="C64" s="234" t="s">
        <v>61</v>
      </c>
      <c r="D64" s="79"/>
      <c r="E64" s="235" t="s">
        <v>9</v>
      </c>
      <c r="F64" s="91">
        <f t="shared" ref="F64:AJ64" si="44">SUM(F56,F58)+(F63%*SUM(F56,F58))</f>
        <v>0</v>
      </c>
      <c r="G64" s="91">
        <f t="shared" si="44"/>
        <v>0</v>
      </c>
      <c r="H64" s="91">
        <f t="shared" si="44"/>
        <v>2460</v>
      </c>
      <c r="I64" s="91">
        <f t="shared" si="44"/>
        <v>18257.738399999998</v>
      </c>
      <c r="J64" s="91">
        <f>SUM(J56,J58)+(J63%*SUM(J56,J58))</f>
        <v>19957.651999999998</v>
      </c>
      <c r="K64" s="91">
        <f t="shared" si="44"/>
        <v>15586.194</v>
      </c>
      <c r="L64" s="91">
        <f t="shared" si="44"/>
        <v>17940.913400000001</v>
      </c>
      <c r="M64" s="91">
        <f t="shared" si="44"/>
        <v>16937.0016</v>
      </c>
      <c r="N64" s="91">
        <f t="shared" si="44"/>
        <v>25301.816800000001</v>
      </c>
      <c r="O64" s="91">
        <f t="shared" si="44"/>
        <v>21453.2192</v>
      </c>
      <c r="P64" s="91">
        <f t="shared" si="44"/>
        <v>19756.131000000001</v>
      </c>
      <c r="Q64" s="91">
        <f t="shared" si="44"/>
        <v>19877.0052</v>
      </c>
      <c r="R64" s="91">
        <f t="shared" si="44"/>
        <v>15062.976000000001</v>
      </c>
      <c r="S64" s="91">
        <f t="shared" si="44"/>
        <v>15289.912399999999</v>
      </c>
      <c r="T64" s="91">
        <f t="shared" si="44"/>
        <v>14484.4704</v>
      </c>
      <c r="U64" s="91">
        <f t="shared" si="44"/>
        <v>24642.913399999998</v>
      </c>
      <c r="V64" s="91">
        <f t="shared" si="44"/>
        <v>21388.716</v>
      </c>
      <c r="W64" s="91">
        <f t="shared" si="44"/>
        <v>13043.251199999999</v>
      </c>
      <c r="X64" s="91">
        <f t="shared" si="44"/>
        <v>12385.366399999999</v>
      </c>
      <c r="Y64" s="91">
        <f>SUM(Y56,Y58)+(Y63%*SUM(Y56,Y58))</f>
        <v>9107.7803999999996</v>
      </c>
      <c r="Z64" s="91">
        <f t="shared" si="44"/>
        <v>11723.3984</v>
      </c>
      <c r="AA64" s="91">
        <f t="shared" si="44"/>
        <v>19182.273000000001</v>
      </c>
      <c r="AB64" s="91">
        <f t="shared" si="44"/>
        <v>19388.534</v>
      </c>
      <c r="AC64" s="91">
        <f t="shared" si="44"/>
        <v>14979.4648</v>
      </c>
      <c r="AD64" s="91">
        <f t="shared" si="44"/>
        <v>10623.316999999999</v>
      </c>
      <c r="AE64" s="91">
        <f t="shared" si="44"/>
        <v>11491.5784</v>
      </c>
      <c r="AF64" s="91">
        <f t="shared" si="44"/>
        <v>9674.0220000000008</v>
      </c>
      <c r="AG64" s="91">
        <f t="shared" si="44"/>
        <v>15390.8752</v>
      </c>
      <c r="AH64" s="91">
        <f t="shared" si="44"/>
        <v>22733.048999999999</v>
      </c>
      <c r="AI64" s="91">
        <f t="shared" ref="AI64" si="45">SUM(AI56,AI58)+(AI63%*SUM(AI56,AI58))</f>
        <v>23364.227200000001</v>
      </c>
      <c r="AJ64" s="91">
        <f t="shared" si="44"/>
        <v>21870.874</v>
      </c>
      <c r="AK64" s="147"/>
      <c r="AL64" s="148">
        <f>SUM(AL56,AL58)+(AL63%*SUM(AL56,AL58))</f>
        <v>483880.4459642857</v>
      </c>
      <c r="AM64" s="269"/>
      <c r="AN64" s="146"/>
    </row>
    <row r="65" spans="2:81">
      <c r="B65" s="58">
        <v>5</v>
      </c>
      <c r="C65" s="40" t="s">
        <v>62</v>
      </c>
      <c r="D65" s="59"/>
      <c r="E65" s="59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11"/>
      <c r="AD65" s="60"/>
      <c r="AE65" s="60"/>
      <c r="AF65" s="60"/>
      <c r="AG65" s="60"/>
      <c r="AH65" s="111"/>
      <c r="AI65" s="111"/>
      <c r="AJ65" s="111"/>
      <c r="AK65" s="115"/>
      <c r="AL65" s="223" t="s">
        <v>63</v>
      </c>
    </row>
    <row r="66" spans="2:81" s="6" customFormat="1">
      <c r="B66" s="65"/>
      <c r="C66" s="150" t="s">
        <v>64</v>
      </c>
      <c r="D66" s="151"/>
      <c r="E66" s="152" t="s">
        <v>9</v>
      </c>
      <c r="F66" s="153">
        <v>0</v>
      </c>
      <c r="G66" s="153">
        <v>0</v>
      </c>
      <c r="H66" s="153">
        <v>98005</v>
      </c>
      <c r="I66" s="153">
        <v>115062</v>
      </c>
      <c r="J66" s="153">
        <v>113938</v>
      </c>
      <c r="K66" s="153">
        <v>118467</v>
      </c>
      <c r="L66" s="153">
        <v>98715</v>
      </c>
      <c r="M66" s="153">
        <v>135626</v>
      </c>
      <c r="N66" s="153">
        <v>76047</v>
      </c>
      <c r="O66" s="153"/>
      <c r="P66" s="153">
        <v>114028</v>
      </c>
      <c r="Q66" s="153">
        <v>87114</v>
      </c>
      <c r="R66" s="153">
        <v>130666</v>
      </c>
      <c r="S66" s="153">
        <v>103605</v>
      </c>
      <c r="T66" s="153">
        <v>52746</v>
      </c>
      <c r="U66" s="153">
        <v>45335</v>
      </c>
      <c r="V66" s="153">
        <v>95256</v>
      </c>
      <c r="W66" s="153">
        <v>123360</v>
      </c>
      <c r="X66" s="153">
        <v>102834</v>
      </c>
      <c r="Y66" s="153">
        <v>122993</v>
      </c>
      <c r="Z66" s="153">
        <v>102734</v>
      </c>
      <c r="AA66" s="153">
        <v>101901</v>
      </c>
      <c r="AB66" s="153">
        <v>88060</v>
      </c>
      <c r="AC66" s="153">
        <v>74744</v>
      </c>
      <c r="AD66" s="153">
        <v>108463</v>
      </c>
      <c r="AE66" s="153">
        <v>119968</v>
      </c>
      <c r="AF66" s="153">
        <v>128579</v>
      </c>
      <c r="AG66" s="153">
        <v>99584</v>
      </c>
      <c r="AH66" s="153">
        <v>96573</v>
      </c>
      <c r="AI66" s="153">
        <v>95373</v>
      </c>
      <c r="AJ66" s="153">
        <v>84391</v>
      </c>
      <c r="AK66" s="168"/>
      <c r="AL66" s="169">
        <f>SUM(F66:AJ66)</f>
        <v>2834167</v>
      </c>
      <c r="AN66" s="170"/>
      <c r="CC66" s="168"/>
    </row>
    <row r="67" spans="2:81" s="1" customFormat="1">
      <c r="B67" s="75"/>
      <c r="C67" s="236" t="s">
        <v>65</v>
      </c>
      <c r="D67" s="154"/>
      <c r="E67" s="237" t="s">
        <v>9</v>
      </c>
      <c r="F67" s="276">
        <v>0</v>
      </c>
      <c r="G67" s="259">
        <v>0</v>
      </c>
      <c r="H67" s="261">
        <v>91763.385000000009</v>
      </c>
      <c r="I67" s="73">
        <v>115667.155</v>
      </c>
      <c r="J67" s="261">
        <v>115678.015</v>
      </c>
      <c r="K67" s="73">
        <v>112810.97500000001</v>
      </c>
      <c r="L67" s="73">
        <v>0</v>
      </c>
      <c r="M67" s="73">
        <v>76829.974999999991</v>
      </c>
      <c r="N67" s="260">
        <v>51056.479999999996</v>
      </c>
      <c r="O67" s="260">
        <v>77123.194999999992</v>
      </c>
      <c r="P67" s="73">
        <v>115687.965</v>
      </c>
      <c r="Q67" s="73">
        <v>115699.735</v>
      </c>
      <c r="R67" s="73">
        <v>115080.715</v>
      </c>
      <c r="S67" s="261">
        <v>0</v>
      </c>
      <c r="T67" s="73">
        <v>77111.429999999993</v>
      </c>
      <c r="U67" s="259">
        <v>0</v>
      </c>
      <c r="V67" s="73">
        <v>115710.595</v>
      </c>
      <c r="W67" s="73">
        <v>115667.155</v>
      </c>
      <c r="X67" s="73">
        <v>114982.97500000001</v>
      </c>
      <c r="Y67" s="73">
        <v>115353.125</v>
      </c>
      <c r="Z67" s="73">
        <v>111616.375</v>
      </c>
      <c r="AA67" s="73">
        <v>77122.289999999994</v>
      </c>
      <c r="AB67" s="259">
        <v>76590.154999999999</v>
      </c>
      <c r="AC67" s="73">
        <v>102731.985</v>
      </c>
      <c r="AD67" s="73">
        <v>115678.015</v>
      </c>
      <c r="AE67" s="73">
        <v>115688.875</v>
      </c>
      <c r="AF67" s="73">
        <v>113495.155</v>
      </c>
      <c r="AG67" s="73">
        <v>0</v>
      </c>
      <c r="AH67" s="73">
        <v>77122.289999999994</v>
      </c>
      <c r="AI67" s="259">
        <v>48870</v>
      </c>
      <c r="AJ67" s="259">
        <v>115373.92499999999</v>
      </c>
      <c r="AK67" s="171"/>
      <c r="AL67" s="169">
        <f>SUM(F67:AJ67)</f>
        <v>2480511.94</v>
      </c>
      <c r="AM67" s="266"/>
      <c r="AN67" s="126"/>
    </row>
    <row r="68" spans="2:81" s="1" customFormat="1" ht="14.25">
      <c r="B68" s="75"/>
      <c r="C68" s="238" t="s">
        <v>66</v>
      </c>
      <c r="D68" s="79"/>
      <c r="E68" s="239" t="s">
        <v>9</v>
      </c>
      <c r="F68" s="91">
        <f t="shared" ref="F68:AJ68" si="46">SUM(F72:F73)*10.86</f>
        <v>0</v>
      </c>
      <c r="G68" s="91">
        <f t="shared" si="46"/>
        <v>0</v>
      </c>
      <c r="H68" s="91">
        <f t="shared" si="46"/>
        <v>91756.14</v>
      </c>
      <c r="I68" s="91">
        <f t="shared" si="46"/>
        <v>115659</v>
      </c>
      <c r="J68" s="91">
        <f t="shared" si="46"/>
        <v>115669.86</v>
      </c>
      <c r="K68" s="91">
        <f t="shared" si="46"/>
        <v>112802.81999999999</v>
      </c>
      <c r="L68" s="91">
        <f t="shared" si="46"/>
        <v>0</v>
      </c>
      <c r="M68" s="91">
        <f t="shared" si="46"/>
        <v>76823.64</v>
      </c>
      <c r="N68" s="91">
        <f t="shared" si="46"/>
        <v>51052.86</v>
      </c>
      <c r="O68" s="91">
        <f t="shared" si="46"/>
        <v>77116.86</v>
      </c>
      <c r="P68" s="91">
        <f t="shared" si="46"/>
        <v>115680.72</v>
      </c>
      <c r="Q68" s="91">
        <f t="shared" si="46"/>
        <v>115691.57999999999</v>
      </c>
      <c r="R68" s="91">
        <f t="shared" si="46"/>
        <v>115072.56</v>
      </c>
      <c r="S68" s="91">
        <f t="shared" si="46"/>
        <v>0</v>
      </c>
      <c r="T68" s="91">
        <f t="shared" si="46"/>
        <v>77106</v>
      </c>
      <c r="U68" s="91">
        <f t="shared" si="46"/>
        <v>0</v>
      </c>
      <c r="V68" s="91">
        <f t="shared" si="46"/>
        <v>115702.43999999999</v>
      </c>
      <c r="W68" s="91">
        <f t="shared" si="46"/>
        <v>115659</v>
      </c>
      <c r="X68" s="91">
        <f t="shared" si="46"/>
        <v>114974.81999999999</v>
      </c>
      <c r="Y68" s="91">
        <f t="shared" si="46"/>
        <v>115344.06</v>
      </c>
      <c r="Z68" s="91">
        <f t="shared" si="46"/>
        <v>111608.22</v>
      </c>
      <c r="AA68" s="91">
        <f t="shared" si="46"/>
        <v>77116.86</v>
      </c>
      <c r="AB68" s="91">
        <f t="shared" si="46"/>
        <v>76584.72</v>
      </c>
      <c r="AC68" s="91">
        <f t="shared" si="46"/>
        <v>102724.73999999999</v>
      </c>
      <c r="AD68" s="91">
        <f t="shared" si="46"/>
        <v>115669.86</v>
      </c>
      <c r="AE68" s="91">
        <f t="shared" si="46"/>
        <v>115680.72</v>
      </c>
      <c r="AF68" s="271">
        <f t="shared" si="46"/>
        <v>113487</v>
      </c>
      <c r="AG68" s="91">
        <f t="shared" si="46"/>
        <v>0</v>
      </c>
      <c r="AH68" s="91">
        <f t="shared" si="46"/>
        <v>77116.86</v>
      </c>
      <c r="AI68" s="91">
        <f>SUM(AI72:AI73)*10.86</f>
        <v>48870</v>
      </c>
      <c r="AJ68" s="91">
        <f t="shared" si="46"/>
        <v>115365.78</v>
      </c>
      <c r="AK68" s="125"/>
      <c r="AL68" s="127">
        <f>SUM(F68:AJ68)</f>
        <v>2480337.12</v>
      </c>
      <c r="AM68" s="172"/>
      <c r="AN68" s="126"/>
    </row>
    <row r="69" spans="2:81" s="1" customFormat="1" ht="14.25">
      <c r="B69" s="75"/>
      <c r="C69" s="238" t="s">
        <v>67</v>
      </c>
      <c r="D69" s="79"/>
      <c r="E69" s="239" t="s">
        <v>9</v>
      </c>
      <c r="F69" s="91">
        <f>F67-F68</f>
        <v>0</v>
      </c>
      <c r="G69" s="91">
        <f t="shared" ref="G69:AJ69" si="47">G67-G68</f>
        <v>0</v>
      </c>
      <c r="H69" s="91">
        <f t="shared" si="47"/>
        <v>7.2450000000098953</v>
      </c>
      <c r="I69" s="91">
        <f t="shared" si="47"/>
        <v>8.1549999999988358</v>
      </c>
      <c r="J69" s="91">
        <f t="shared" si="47"/>
        <v>8.1549999999988358</v>
      </c>
      <c r="K69" s="91">
        <f t="shared" si="47"/>
        <v>8.1550000000133878</v>
      </c>
      <c r="L69" s="91">
        <f t="shared" si="47"/>
        <v>0</v>
      </c>
      <c r="M69" s="91">
        <f t="shared" si="47"/>
        <v>6.3349999999918509</v>
      </c>
      <c r="N69" s="91">
        <f t="shared" si="47"/>
        <v>3.6199999999953434</v>
      </c>
      <c r="O69" s="91">
        <f t="shared" si="47"/>
        <v>6.3349999999918509</v>
      </c>
      <c r="P69" s="91">
        <f t="shared" si="47"/>
        <v>7.2449999999953434</v>
      </c>
      <c r="Q69" s="91">
        <f t="shared" si="47"/>
        <v>8.1550000000133878</v>
      </c>
      <c r="R69" s="91">
        <f t="shared" si="47"/>
        <v>8.1549999999988358</v>
      </c>
      <c r="S69" s="91">
        <f t="shared" si="47"/>
        <v>0</v>
      </c>
      <c r="T69" s="91">
        <f t="shared" si="47"/>
        <v>5.4299999999930151</v>
      </c>
      <c r="U69" s="91">
        <f t="shared" si="47"/>
        <v>0</v>
      </c>
      <c r="V69" s="91">
        <f t="shared" si="47"/>
        <v>8.1550000000133878</v>
      </c>
      <c r="W69" s="91">
        <f t="shared" si="47"/>
        <v>8.1549999999988358</v>
      </c>
      <c r="X69" s="91">
        <f t="shared" si="47"/>
        <v>8.1550000000133878</v>
      </c>
      <c r="Y69" s="91">
        <f t="shared" si="47"/>
        <v>9.0650000000023283</v>
      </c>
      <c r="Z69" s="91">
        <f t="shared" si="47"/>
        <v>8.1549999999988358</v>
      </c>
      <c r="AA69" s="91">
        <f t="shared" si="47"/>
        <v>5.4299999999930151</v>
      </c>
      <c r="AB69" s="91">
        <f t="shared" si="47"/>
        <v>5.4349999999976717</v>
      </c>
      <c r="AC69" s="91">
        <f t="shared" si="47"/>
        <v>7.2450000000098953</v>
      </c>
      <c r="AD69" s="91">
        <f t="shared" si="47"/>
        <v>8.1549999999988358</v>
      </c>
      <c r="AE69" s="91">
        <f t="shared" si="47"/>
        <v>8.1549999999988358</v>
      </c>
      <c r="AF69" s="91">
        <f t="shared" si="47"/>
        <v>8.1549999999988358</v>
      </c>
      <c r="AG69" s="91">
        <f t="shared" si="47"/>
        <v>0</v>
      </c>
      <c r="AH69" s="91">
        <f t="shared" si="47"/>
        <v>5.4299999999930151</v>
      </c>
      <c r="AI69" s="91">
        <f t="shared" ref="AI69" si="48">AI67-AI68</f>
        <v>0</v>
      </c>
      <c r="AJ69" s="91">
        <f t="shared" si="47"/>
        <v>8.1449999999895226</v>
      </c>
      <c r="AK69" s="125"/>
      <c r="AL69" s="127">
        <f>SUM(F69:AJ69)</f>
        <v>174.82000000000698</v>
      </c>
      <c r="AN69" s="126"/>
    </row>
    <row r="70" spans="2:81" s="1" customFormat="1" ht="14.25" hidden="1">
      <c r="B70" s="75"/>
      <c r="C70" s="238" t="s">
        <v>139</v>
      </c>
      <c r="D70" s="79"/>
      <c r="E70" s="75" t="s">
        <v>9</v>
      </c>
      <c r="F70" s="91">
        <v>0</v>
      </c>
      <c r="G70" s="91">
        <v>102.26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6.56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460</v>
      </c>
      <c r="AF70" s="91">
        <v>0</v>
      </c>
      <c r="AG70" s="91">
        <v>0</v>
      </c>
      <c r="AH70" s="91">
        <v>0</v>
      </c>
      <c r="AI70" s="91">
        <v>0</v>
      </c>
      <c r="AJ70" s="91">
        <v>0</v>
      </c>
      <c r="AK70" s="125"/>
      <c r="AL70" s="127">
        <f>SUM(F70:AJ70)</f>
        <v>568.82000000000005</v>
      </c>
      <c r="AN70" s="126"/>
    </row>
    <row r="71" spans="2:81" s="1" customFormat="1" ht="14.25">
      <c r="B71" s="75"/>
      <c r="C71" s="238" t="s">
        <v>68</v>
      </c>
      <c r="D71" s="79"/>
      <c r="E71" s="75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125"/>
      <c r="AL71" s="173" t="s">
        <v>68</v>
      </c>
      <c r="AN71" s="126"/>
    </row>
    <row r="72" spans="2:81" s="7" customFormat="1" ht="14.25">
      <c r="B72" s="156"/>
      <c r="C72" s="240" t="s">
        <v>69</v>
      </c>
      <c r="D72" s="45"/>
      <c r="E72" s="241" t="s">
        <v>70</v>
      </c>
      <c r="F72" s="158">
        <v>0</v>
      </c>
      <c r="G72" s="158">
        <v>0</v>
      </c>
      <c r="H72" s="158">
        <v>2816</v>
      </c>
      <c r="I72" s="158">
        <v>3550</v>
      </c>
      <c r="J72" s="158">
        <v>3551</v>
      </c>
      <c r="K72" s="158">
        <v>3552</v>
      </c>
      <c r="L72" s="158">
        <v>0</v>
      </c>
      <c r="M72" s="158">
        <v>7074</v>
      </c>
      <c r="N72" s="158">
        <v>4701</v>
      </c>
      <c r="O72" s="158">
        <v>7101</v>
      </c>
      <c r="P72" s="158">
        <v>3550</v>
      </c>
      <c r="Q72" s="158">
        <v>3550</v>
      </c>
      <c r="R72" s="158">
        <v>3491</v>
      </c>
      <c r="S72" s="158">
        <v>0</v>
      </c>
      <c r="T72" s="158">
        <v>7100</v>
      </c>
      <c r="U72" s="158">
        <v>0</v>
      </c>
      <c r="V72" s="158">
        <v>3550</v>
      </c>
      <c r="W72" s="158">
        <v>3550</v>
      </c>
      <c r="X72" s="158">
        <v>3487</v>
      </c>
      <c r="Y72" s="158">
        <v>3521</v>
      </c>
      <c r="Z72" s="158">
        <v>3426</v>
      </c>
      <c r="AA72" s="158">
        <v>7101</v>
      </c>
      <c r="AB72" s="158">
        <v>2350</v>
      </c>
      <c r="AC72" s="158">
        <v>3550</v>
      </c>
      <c r="AD72" s="158">
        <v>3550</v>
      </c>
      <c r="AE72" s="158">
        <v>3550</v>
      </c>
      <c r="AF72" s="158">
        <v>3550</v>
      </c>
      <c r="AG72" s="158">
        <v>0</v>
      </c>
      <c r="AH72" s="158">
        <v>7101</v>
      </c>
      <c r="AI72" s="158">
        <v>0</v>
      </c>
      <c r="AJ72" s="158">
        <v>3521</v>
      </c>
      <c r="AK72" s="174"/>
      <c r="AL72" s="175">
        <f>SUM(F72:AJ72)</f>
        <v>101843</v>
      </c>
      <c r="AN72" s="176"/>
    </row>
    <row r="73" spans="2:81" s="7" customFormat="1" ht="14.25">
      <c r="B73" s="156"/>
      <c r="C73" s="240" t="s">
        <v>71</v>
      </c>
      <c r="D73" s="45"/>
      <c r="E73" s="241" t="s">
        <v>70</v>
      </c>
      <c r="F73" s="158">
        <v>0</v>
      </c>
      <c r="G73" s="158">
        <v>0</v>
      </c>
      <c r="H73" s="158">
        <v>5633</v>
      </c>
      <c r="I73" s="158">
        <v>7100</v>
      </c>
      <c r="J73" s="158">
        <v>7100</v>
      </c>
      <c r="K73" s="158">
        <v>6835</v>
      </c>
      <c r="L73" s="158">
        <v>0</v>
      </c>
      <c r="M73" s="158">
        <v>0</v>
      </c>
      <c r="N73" s="158">
        <v>0</v>
      </c>
      <c r="O73" s="158">
        <v>0</v>
      </c>
      <c r="P73" s="158">
        <v>7102</v>
      </c>
      <c r="Q73" s="158">
        <v>7103</v>
      </c>
      <c r="R73" s="158">
        <v>7105</v>
      </c>
      <c r="S73" s="158">
        <v>0</v>
      </c>
      <c r="T73" s="158">
        <v>0</v>
      </c>
      <c r="U73" s="158">
        <v>0</v>
      </c>
      <c r="V73" s="158">
        <v>7104</v>
      </c>
      <c r="W73" s="158">
        <v>7100</v>
      </c>
      <c r="X73" s="158">
        <v>7100</v>
      </c>
      <c r="Y73" s="158">
        <v>7100</v>
      </c>
      <c r="Z73" s="158">
        <v>6851</v>
      </c>
      <c r="AA73" s="158">
        <v>0</v>
      </c>
      <c r="AB73" s="158">
        <v>4702</v>
      </c>
      <c r="AC73" s="158">
        <v>5909</v>
      </c>
      <c r="AD73" s="158">
        <v>7101</v>
      </c>
      <c r="AE73" s="158">
        <v>7102</v>
      </c>
      <c r="AF73" s="158">
        <v>6900</v>
      </c>
      <c r="AG73" s="158">
        <v>0</v>
      </c>
      <c r="AH73" s="158">
        <v>0</v>
      </c>
      <c r="AI73" s="158">
        <v>4500</v>
      </c>
      <c r="AJ73" s="158">
        <v>7102</v>
      </c>
      <c r="AK73" s="174"/>
      <c r="AL73" s="175">
        <f>SUM(F73:AJ73)</f>
        <v>126549</v>
      </c>
      <c r="AN73" s="176"/>
    </row>
    <row r="74" spans="2:81" s="1" customFormat="1" ht="14.25">
      <c r="B74" s="75"/>
      <c r="C74" s="238" t="s">
        <v>72</v>
      </c>
      <c r="D74" s="79"/>
      <c r="E74" s="75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125"/>
      <c r="AL74" s="173" t="s">
        <v>72</v>
      </c>
      <c r="AN74" s="126"/>
    </row>
    <row r="75" spans="2:81" s="1" customFormat="1" ht="14.25">
      <c r="B75" s="75"/>
      <c r="C75" s="219" t="s">
        <v>69</v>
      </c>
      <c r="D75" s="79"/>
      <c r="E75" s="239" t="s">
        <v>72</v>
      </c>
      <c r="F75" s="64">
        <f t="shared" ref="F75:AJ75" si="49">F72*12</f>
        <v>0</v>
      </c>
      <c r="G75" s="64">
        <f t="shared" si="49"/>
        <v>0</v>
      </c>
      <c r="H75" s="64">
        <f t="shared" si="49"/>
        <v>33792</v>
      </c>
      <c r="I75" s="64">
        <f t="shared" si="49"/>
        <v>42600</v>
      </c>
      <c r="J75" s="64">
        <f t="shared" si="49"/>
        <v>42612</v>
      </c>
      <c r="K75" s="64">
        <f t="shared" si="49"/>
        <v>42624</v>
      </c>
      <c r="L75" s="64">
        <f t="shared" si="49"/>
        <v>0</v>
      </c>
      <c r="M75" s="64">
        <f t="shared" si="49"/>
        <v>84888</v>
      </c>
      <c r="N75" s="64">
        <f t="shared" si="49"/>
        <v>56412</v>
      </c>
      <c r="O75" s="64">
        <f t="shared" si="49"/>
        <v>85212</v>
      </c>
      <c r="P75" s="64">
        <f t="shared" si="49"/>
        <v>42600</v>
      </c>
      <c r="Q75" s="64">
        <f t="shared" si="49"/>
        <v>42600</v>
      </c>
      <c r="R75" s="64">
        <f t="shared" si="49"/>
        <v>41892</v>
      </c>
      <c r="S75" s="64">
        <f t="shared" si="49"/>
        <v>0</v>
      </c>
      <c r="T75" s="64">
        <f t="shared" si="49"/>
        <v>85200</v>
      </c>
      <c r="U75" s="64">
        <f t="shared" si="49"/>
        <v>0</v>
      </c>
      <c r="V75" s="64">
        <f t="shared" si="49"/>
        <v>42600</v>
      </c>
      <c r="W75" s="64">
        <f t="shared" si="49"/>
        <v>42600</v>
      </c>
      <c r="X75" s="64">
        <f t="shared" si="49"/>
        <v>41844</v>
      </c>
      <c r="Y75" s="64">
        <f t="shared" si="49"/>
        <v>42252</v>
      </c>
      <c r="Z75" s="64">
        <f t="shared" si="49"/>
        <v>41112</v>
      </c>
      <c r="AA75" s="64">
        <f t="shared" si="49"/>
        <v>85212</v>
      </c>
      <c r="AB75" s="64">
        <f t="shared" si="49"/>
        <v>28200</v>
      </c>
      <c r="AC75" s="64">
        <f t="shared" si="49"/>
        <v>42600</v>
      </c>
      <c r="AD75" s="64">
        <f t="shared" si="49"/>
        <v>42600</v>
      </c>
      <c r="AE75" s="64">
        <f t="shared" si="49"/>
        <v>42600</v>
      </c>
      <c r="AF75" s="64">
        <f t="shared" si="49"/>
        <v>42600</v>
      </c>
      <c r="AG75" s="64">
        <f t="shared" si="49"/>
        <v>0</v>
      </c>
      <c r="AH75" s="64">
        <f t="shared" si="49"/>
        <v>85212</v>
      </c>
      <c r="AI75" s="64">
        <f t="shared" ref="AI75" si="50">AI72*12</f>
        <v>0</v>
      </c>
      <c r="AJ75" s="64">
        <f t="shared" si="49"/>
        <v>42252</v>
      </c>
      <c r="AK75" s="125"/>
      <c r="AL75" s="175">
        <f>AL72*12</f>
        <v>1222116</v>
      </c>
      <c r="AN75" s="126"/>
    </row>
    <row r="76" spans="2:81" s="1" customFormat="1" ht="14.25">
      <c r="B76" s="75"/>
      <c r="C76" s="219" t="s">
        <v>71</v>
      </c>
      <c r="D76" s="79"/>
      <c r="E76" s="239" t="s">
        <v>72</v>
      </c>
      <c r="F76" s="64">
        <f t="shared" ref="F76:AJ76" si="51">F73*6</f>
        <v>0</v>
      </c>
      <c r="G76" s="64">
        <f t="shared" si="51"/>
        <v>0</v>
      </c>
      <c r="H76" s="64">
        <v>0</v>
      </c>
      <c r="I76" s="64">
        <f t="shared" si="51"/>
        <v>42600</v>
      </c>
      <c r="J76" s="64">
        <f t="shared" si="51"/>
        <v>42600</v>
      </c>
      <c r="K76" s="64">
        <f t="shared" si="51"/>
        <v>41010</v>
      </c>
      <c r="L76" s="64">
        <f t="shared" si="51"/>
        <v>0</v>
      </c>
      <c r="M76" s="64">
        <f t="shared" si="51"/>
        <v>0</v>
      </c>
      <c r="N76" s="64">
        <f t="shared" si="51"/>
        <v>0</v>
      </c>
      <c r="O76" s="64">
        <f t="shared" si="51"/>
        <v>0</v>
      </c>
      <c r="P76" s="64">
        <f t="shared" si="51"/>
        <v>42612</v>
      </c>
      <c r="Q76" s="64">
        <f t="shared" si="51"/>
        <v>42618</v>
      </c>
      <c r="R76" s="64">
        <f t="shared" si="51"/>
        <v>42630</v>
      </c>
      <c r="S76" s="64">
        <f t="shared" si="51"/>
        <v>0</v>
      </c>
      <c r="T76" s="64">
        <f t="shared" si="51"/>
        <v>0</v>
      </c>
      <c r="U76" s="64">
        <f t="shared" si="51"/>
        <v>0</v>
      </c>
      <c r="V76" s="64">
        <f t="shared" si="51"/>
        <v>42624</v>
      </c>
      <c r="W76" s="64">
        <f t="shared" si="51"/>
        <v>42600</v>
      </c>
      <c r="X76" s="64">
        <f t="shared" si="51"/>
        <v>42600</v>
      </c>
      <c r="Y76" s="64">
        <f t="shared" si="51"/>
        <v>42600</v>
      </c>
      <c r="Z76" s="64">
        <f t="shared" si="51"/>
        <v>41106</v>
      </c>
      <c r="AA76" s="64">
        <f t="shared" si="51"/>
        <v>0</v>
      </c>
      <c r="AB76" s="64">
        <f t="shared" si="51"/>
        <v>28212</v>
      </c>
      <c r="AC76" s="64">
        <f t="shared" si="51"/>
        <v>35454</v>
      </c>
      <c r="AD76" s="64">
        <f t="shared" si="51"/>
        <v>42606</v>
      </c>
      <c r="AE76" s="64">
        <f t="shared" si="51"/>
        <v>42612</v>
      </c>
      <c r="AF76" s="64">
        <f t="shared" si="51"/>
        <v>41400</v>
      </c>
      <c r="AG76" s="64">
        <f t="shared" si="51"/>
        <v>0</v>
      </c>
      <c r="AH76" s="64">
        <f t="shared" si="51"/>
        <v>0</v>
      </c>
      <c r="AI76" s="64">
        <f t="shared" ref="AI76" si="52">AI73*6</f>
        <v>27000</v>
      </c>
      <c r="AJ76" s="64">
        <f t="shared" si="51"/>
        <v>42612</v>
      </c>
      <c r="AK76" s="125"/>
      <c r="AL76" s="175">
        <f>AL73*6</f>
        <v>759294</v>
      </c>
      <c r="AN76" s="126"/>
    </row>
    <row r="77" spans="2:81" s="1" customFormat="1" ht="14.25">
      <c r="B77" s="75"/>
      <c r="C77" s="238" t="s">
        <v>73</v>
      </c>
      <c r="D77" s="79"/>
      <c r="E77" s="239" t="s">
        <v>74</v>
      </c>
      <c r="F77" s="159">
        <f>(F67*45)/1700</f>
        <v>0</v>
      </c>
      <c r="G77" s="159">
        <f>(G67*45)/1700</f>
        <v>0</v>
      </c>
      <c r="H77" s="159">
        <f t="shared" ref="H77:AH77" si="53">(H67*45)/1700</f>
        <v>2429.0307794117648</v>
      </c>
      <c r="I77" s="159">
        <f t="shared" si="53"/>
        <v>3061.7776323529411</v>
      </c>
      <c r="J77" s="159">
        <f t="shared" si="53"/>
        <v>3062.0651029411765</v>
      </c>
      <c r="K77" s="159">
        <f t="shared" si="53"/>
        <v>2986.1728676470589</v>
      </c>
      <c r="L77" s="159">
        <f t="shared" si="53"/>
        <v>0</v>
      </c>
      <c r="M77" s="159">
        <f t="shared" si="53"/>
        <v>2033.7346323529409</v>
      </c>
      <c r="N77" s="159">
        <f t="shared" si="53"/>
        <v>1351.4950588235292</v>
      </c>
      <c r="O77" s="159">
        <f t="shared" si="53"/>
        <v>2041.4963382352937</v>
      </c>
      <c r="P77" s="159">
        <f t="shared" si="53"/>
        <v>3062.3284852941174</v>
      </c>
      <c r="Q77" s="159">
        <f t="shared" si="53"/>
        <v>3062.640044117647</v>
      </c>
      <c r="R77" s="159">
        <f t="shared" si="53"/>
        <v>3046.2542205882351</v>
      </c>
      <c r="S77" s="159">
        <f t="shared" si="53"/>
        <v>0</v>
      </c>
      <c r="T77" s="159">
        <f t="shared" si="53"/>
        <v>2041.1849117647057</v>
      </c>
      <c r="U77" s="159">
        <f t="shared" si="53"/>
        <v>0</v>
      </c>
      <c r="V77" s="159">
        <f t="shared" si="53"/>
        <v>3062.9275147058825</v>
      </c>
      <c r="W77" s="159">
        <f t="shared" si="53"/>
        <v>3061.7776323529411</v>
      </c>
      <c r="X77" s="159">
        <f t="shared" si="53"/>
        <v>3043.6669852941177</v>
      </c>
      <c r="Y77" s="159">
        <f t="shared" si="53"/>
        <v>3053.4650735294117</v>
      </c>
      <c r="Z77" s="159">
        <f t="shared" si="53"/>
        <v>2954.5511029411764</v>
      </c>
      <c r="AA77" s="159">
        <f t="shared" si="53"/>
        <v>2041.4723823529412</v>
      </c>
      <c r="AB77" s="159">
        <f t="shared" si="53"/>
        <v>2027.3864558823529</v>
      </c>
      <c r="AC77" s="159">
        <f t="shared" si="53"/>
        <v>2719.3760735294118</v>
      </c>
      <c r="AD77" s="159">
        <f>(AD67*45)/1700</f>
        <v>3062.0651029411765</v>
      </c>
      <c r="AE77" s="159">
        <f t="shared" si="53"/>
        <v>3062.352573529412</v>
      </c>
      <c r="AF77" s="159">
        <f t="shared" si="53"/>
        <v>3004.2835147058822</v>
      </c>
      <c r="AG77" s="159">
        <f t="shared" si="53"/>
        <v>0</v>
      </c>
      <c r="AH77" s="159">
        <f t="shared" si="53"/>
        <v>2041.4723823529412</v>
      </c>
      <c r="AI77" s="159">
        <f t="shared" ref="AI77" si="54">(AI67*45)/1700</f>
        <v>1293.6176470588234</v>
      </c>
      <c r="AJ77" s="159">
        <f>(AJ67*45)/1700</f>
        <v>3054.0156617647053</v>
      </c>
      <c r="AK77" s="125"/>
      <c r="AL77" s="175">
        <f>SUM(F77:AJ77)</f>
        <v>65660.610176470596</v>
      </c>
      <c r="AN77" s="126"/>
    </row>
    <row r="78" spans="2:81" s="1" customFormat="1" ht="14.25">
      <c r="B78" s="75"/>
      <c r="C78" s="238" t="s">
        <v>75</v>
      </c>
      <c r="D78" s="79"/>
      <c r="E78" s="239" t="s">
        <v>76</v>
      </c>
      <c r="F78" s="64">
        <f t="shared" ref="F78:AJ78" si="55">SUM(F72:F73)/500</f>
        <v>0</v>
      </c>
      <c r="G78" s="64">
        <f t="shared" si="55"/>
        <v>0</v>
      </c>
      <c r="H78" s="64">
        <f t="shared" si="55"/>
        <v>16.898</v>
      </c>
      <c r="I78" s="64">
        <f t="shared" si="55"/>
        <v>21.3</v>
      </c>
      <c r="J78" s="64">
        <f t="shared" si="55"/>
        <v>21.302</v>
      </c>
      <c r="K78" s="64">
        <f t="shared" si="55"/>
        <v>20.774000000000001</v>
      </c>
      <c r="L78" s="64">
        <f t="shared" si="55"/>
        <v>0</v>
      </c>
      <c r="M78" s="64">
        <f t="shared" si="55"/>
        <v>14.148</v>
      </c>
      <c r="N78" s="64">
        <f t="shared" si="55"/>
        <v>9.4019999999999992</v>
      </c>
      <c r="O78" s="64">
        <f t="shared" si="55"/>
        <v>14.202</v>
      </c>
      <c r="P78" s="64">
        <f t="shared" si="55"/>
        <v>21.303999999999998</v>
      </c>
      <c r="Q78" s="64">
        <f t="shared" si="55"/>
        <v>21.306000000000001</v>
      </c>
      <c r="R78" s="64">
        <f t="shared" si="55"/>
        <v>21.192</v>
      </c>
      <c r="S78" s="64">
        <f t="shared" si="55"/>
        <v>0</v>
      </c>
      <c r="T78" s="64">
        <f t="shared" si="55"/>
        <v>14.2</v>
      </c>
      <c r="U78" s="64">
        <f t="shared" si="55"/>
        <v>0</v>
      </c>
      <c r="V78" s="64">
        <f t="shared" si="55"/>
        <v>21.308</v>
      </c>
      <c r="W78" s="64">
        <f t="shared" si="55"/>
        <v>21.3</v>
      </c>
      <c r="X78" s="64">
        <f t="shared" si="55"/>
        <v>21.173999999999999</v>
      </c>
      <c r="Y78" s="64">
        <f t="shared" si="55"/>
        <v>21.242000000000001</v>
      </c>
      <c r="Z78" s="64">
        <f t="shared" si="55"/>
        <v>20.553999999999998</v>
      </c>
      <c r="AA78" s="64">
        <f t="shared" si="55"/>
        <v>14.202</v>
      </c>
      <c r="AB78" s="64">
        <f t="shared" si="55"/>
        <v>14.103999999999999</v>
      </c>
      <c r="AC78" s="64">
        <f t="shared" si="55"/>
        <v>18.917999999999999</v>
      </c>
      <c r="AD78" s="64">
        <f t="shared" si="55"/>
        <v>21.302</v>
      </c>
      <c r="AE78" s="64">
        <f t="shared" si="55"/>
        <v>21.303999999999998</v>
      </c>
      <c r="AF78" s="64">
        <f t="shared" si="55"/>
        <v>20.9</v>
      </c>
      <c r="AG78" s="64">
        <f t="shared" si="55"/>
        <v>0</v>
      </c>
      <c r="AH78" s="64">
        <f t="shared" si="55"/>
        <v>14.202</v>
      </c>
      <c r="AI78" s="64">
        <f>SUM(AI72:AI73)/500</f>
        <v>9</v>
      </c>
      <c r="AJ78" s="64">
        <f t="shared" si="55"/>
        <v>21.245999999999999</v>
      </c>
      <c r="AK78" s="125"/>
      <c r="AL78" s="175">
        <f>SUM(F78:AJ78)</f>
        <v>456.78399999999993</v>
      </c>
      <c r="AN78" s="126"/>
    </row>
    <row r="79" spans="2:81">
      <c r="B79" s="61"/>
      <c r="C79" s="40" t="s">
        <v>77</v>
      </c>
      <c r="D79" s="59"/>
      <c r="E79" s="59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111"/>
      <c r="AD79" s="60"/>
      <c r="AE79" s="60"/>
      <c r="AF79" s="60"/>
      <c r="AG79" s="60"/>
      <c r="AH79" s="111"/>
      <c r="AI79" s="111"/>
      <c r="AJ79" s="111"/>
      <c r="AK79" s="115"/>
      <c r="AL79" s="223" t="s">
        <v>78</v>
      </c>
    </row>
    <row r="80" spans="2:81" s="1" customFormat="1" ht="14.25">
      <c r="B80" s="75"/>
      <c r="C80" s="238" t="s">
        <v>68</v>
      </c>
      <c r="D80" s="79"/>
      <c r="E80" s="75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125"/>
      <c r="AL80" s="173" t="s">
        <v>68</v>
      </c>
      <c r="AN80" s="126"/>
    </row>
    <row r="81" spans="1:15485" s="1" customFormat="1" ht="14.25">
      <c r="B81" s="75"/>
      <c r="C81" s="219" t="s">
        <v>69</v>
      </c>
      <c r="D81" s="79"/>
      <c r="E81" s="239" t="s">
        <v>70</v>
      </c>
      <c r="F81" s="64">
        <v>0</v>
      </c>
      <c r="G81" s="64">
        <v>0</v>
      </c>
      <c r="H81" s="64">
        <v>5</v>
      </c>
      <c r="I81" s="64">
        <v>5</v>
      </c>
      <c r="J81" s="64">
        <v>3</v>
      </c>
      <c r="K81" s="64">
        <v>0</v>
      </c>
      <c r="L81" s="64">
        <v>0</v>
      </c>
      <c r="M81" s="64">
        <v>9</v>
      </c>
      <c r="N81" s="64">
        <v>3</v>
      </c>
      <c r="O81" s="64">
        <v>11</v>
      </c>
      <c r="P81" s="64">
        <v>3</v>
      </c>
      <c r="Q81" s="64">
        <v>2</v>
      </c>
      <c r="R81" s="64">
        <v>0</v>
      </c>
      <c r="S81" s="64">
        <v>0</v>
      </c>
      <c r="T81" s="64">
        <v>4</v>
      </c>
      <c r="U81" s="64"/>
      <c r="V81" s="64">
        <v>2</v>
      </c>
      <c r="W81" s="64">
        <v>7</v>
      </c>
      <c r="X81" s="64">
        <v>3</v>
      </c>
      <c r="Y81" s="64">
        <v>4</v>
      </c>
      <c r="Z81" s="64">
        <v>8</v>
      </c>
      <c r="AA81" s="64">
        <v>11</v>
      </c>
      <c r="AB81" s="64">
        <v>13</v>
      </c>
      <c r="AC81" s="64">
        <v>7</v>
      </c>
      <c r="AD81" s="64">
        <v>10</v>
      </c>
      <c r="AE81" s="64">
        <v>13</v>
      </c>
      <c r="AF81" s="64">
        <v>4</v>
      </c>
      <c r="AG81" s="64">
        <v>0</v>
      </c>
      <c r="AH81" s="64">
        <v>5</v>
      </c>
      <c r="AI81" s="64">
        <v>0</v>
      </c>
      <c r="AJ81" s="64">
        <v>0</v>
      </c>
      <c r="AK81" s="125"/>
      <c r="AL81" s="175">
        <f>SUM(F81:AJ81)</f>
        <v>132</v>
      </c>
      <c r="AN81" s="126"/>
    </row>
    <row r="82" spans="1:15485" s="1" customFormat="1" ht="14.25">
      <c r="B82" s="75"/>
      <c r="C82" s="219" t="s">
        <v>71</v>
      </c>
      <c r="D82" s="79"/>
      <c r="E82" s="239" t="s">
        <v>70</v>
      </c>
      <c r="F82" s="64">
        <v>0</v>
      </c>
      <c r="G82" s="64">
        <v>0</v>
      </c>
      <c r="H82" s="64">
        <v>6</v>
      </c>
      <c r="I82" s="64">
        <v>9</v>
      </c>
      <c r="J82" s="64">
        <v>15</v>
      </c>
      <c r="K82" s="64">
        <v>7</v>
      </c>
      <c r="L82" s="64">
        <v>0</v>
      </c>
      <c r="M82" s="64">
        <v>0</v>
      </c>
      <c r="N82" s="64">
        <v>0</v>
      </c>
      <c r="O82" s="64">
        <v>0</v>
      </c>
      <c r="P82" s="64">
        <v>8</v>
      </c>
      <c r="Q82" s="64">
        <v>7</v>
      </c>
      <c r="R82" s="64">
        <v>0</v>
      </c>
      <c r="S82" s="64">
        <v>0</v>
      </c>
      <c r="T82" s="64">
        <v>0</v>
      </c>
      <c r="U82" s="64">
        <v>0</v>
      </c>
      <c r="V82" s="64">
        <v>5</v>
      </c>
      <c r="W82" s="64">
        <v>2</v>
      </c>
      <c r="X82" s="64">
        <v>7</v>
      </c>
      <c r="Y82" s="64">
        <v>2</v>
      </c>
      <c r="Z82" s="64">
        <v>9</v>
      </c>
      <c r="AA82" s="64">
        <v>0</v>
      </c>
      <c r="AB82" s="64">
        <v>11</v>
      </c>
      <c r="AC82" s="64">
        <v>7</v>
      </c>
      <c r="AD82" s="64">
        <v>18</v>
      </c>
      <c r="AE82" s="64">
        <v>9</v>
      </c>
      <c r="AF82" s="64">
        <v>4</v>
      </c>
      <c r="AG82" s="64">
        <v>0</v>
      </c>
      <c r="AH82" s="64">
        <v>0</v>
      </c>
      <c r="AI82" s="64">
        <v>2</v>
      </c>
      <c r="AJ82" s="64">
        <v>2</v>
      </c>
      <c r="AK82" s="125"/>
      <c r="AL82" s="175">
        <f>SUM(F82:AJ82)</f>
        <v>130</v>
      </c>
      <c r="AN82" s="126"/>
    </row>
    <row r="83" spans="1:15485" s="1" customFormat="1" ht="14.25">
      <c r="B83" s="75"/>
      <c r="C83" s="238" t="s">
        <v>72</v>
      </c>
      <c r="D83" s="79"/>
      <c r="E83" s="75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125"/>
      <c r="AL83" s="173" t="s">
        <v>72</v>
      </c>
      <c r="AN83" s="126"/>
    </row>
    <row r="84" spans="1:15485" s="1" customFormat="1" ht="14.25">
      <c r="B84" s="75"/>
      <c r="C84" s="219" t="s">
        <v>69</v>
      </c>
      <c r="D84" s="79"/>
      <c r="E84" s="239" t="s">
        <v>72</v>
      </c>
      <c r="F84" s="64">
        <v>0</v>
      </c>
      <c r="G84" s="64">
        <v>0</v>
      </c>
      <c r="H84" s="158">
        <v>5</v>
      </c>
      <c r="I84" s="64">
        <v>14</v>
      </c>
      <c r="J84" s="64">
        <v>8</v>
      </c>
      <c r="K84" s="64">
        <v>3</v>
      </c>
      <c r="L84" s="64">
        <v>0</v>
      </c>
      <c r="M84" s="64">
        <v>33</v>
      </c>
      <c r="N84" s="164">
        <v>37</v>
      </c>
      <c r="O84" s="64">
        <v>41</v>
      </c>
      <c r="P84" s="64">
        <v>8</v>
      </c>
      <c r="Q84" s="64">
        <v>14</v>
      </c>
      <c r="R84" s="64">
        <v>13</v>
      </c>
      <c r="S84" s="64">
        <v>0</v>
      </c>
      <c r="T84" s="64">
        <v>37</v>
      </c>
      <c r="U84" s="164"/>
      <c r="V84" s="64">
        <v>20</v>
      </c>
      <c r="W84" s="64">
        <v>23</v>
      </c>
      <c r="X84" s="64">
        <v>21</v>
      </c>
      <c r="Y84" s="64">
        <v>38</v>
      </c>
      <c r="Z84" s="64">
        <v>25</v>
      </c>
      <c r="AA84" s="64">
        <v>35</v>
      </c>
      <c r="AB84" s="164">
        <v>6</v>
      </c>
      <c r="AC84" s="64">
        <v>28</v>
      </c>
      <c r="AD84" s="64">
        <v>45</v>
      </c>
      <c r="AE84" s="64">
        <v>15</v>
      </c>
      <c r="AF84" s="64">
        <v>19</v>
      </c>
      <c r="AG84" s="158">
        <v>0</v>
      </c>
      <c r="AH84" s="158">
        <v>51</v>
      </c>
      <c r="AI84" s="158">
        <v>0</v>
      </c>
      <c r="AJ84" s="64">
        <v>22</v>
      </c>
      <c r="AK84" s="125"/>
      <c r="AL84" s="175">
        <f>SUM(F84:AJ84)</f>
        <v>561</v>
      </c>
      <c r="AN84" s="126"/>
    </row>
    <row r="85" spans="1:15485" s="1" customFormat="1" ht="14.25">
      <c r="B85" s="75"/>
      <c r="C85" s="219" t="s">
        <v>71</v>
      </c>
      <c r="D85" s="79"/>
      <c r="E85" s="239" t="s">
        <v>72</v>
      </c>
      <c r="F85" s="267">
        <v>0</v>
      </c>
      <c r="G85" s="267">
        <v>0</v>
      </c>
      <c r="H85" s="158">
        <v>8</v>
      </c>
      <c r="I85" s="158">
        <v>12</v>
      </c>
      <c r="J85" s="158">
        <v>6</v>
      </c>
      <c r="K85" s="64">
        <v>12</v>
      </c>
      <c r="L85" s="64">
        <v>0</v>
      </c>
      <c r="M85" s="64">
        <v>0</v>
      </c>
      <c r="N85" s="64">
        <v>0</v>
      </c>
      <c r="O85" s="64">
        <v>0</v>
      </c>
      <c r="P85" s="64">
        <v>7</v>
      </c>
      <c r="Q85" s="64">
        <v>7</v>
      </c>
      <c r="R85" s="64">
        <v>10</v>
      </c>
      <c r="S85" s="64"/>
      <c r="T85" s="64"/>
      <c r="U85" s="164"/>
      <c r="V85" s="64">
        <v>17</v>
      </c>
      <c r="W85" s="64">
        <v>11</v>
      </c>
      <c r="X85" s="64">
        <v>15</v>
      </c>
      <c r="Y85" s="64">
        <v>17</v>
      </c>
      <c r="Z85" s="64">
        <v>10</v>
      </c>
      <c r="AA85" s="64"/>
      <c r="AB85" s="164">
        <v>5</v>
      </c>
      <c r="AC85" s="64">
        <v>35</v>
      </c>
      <c r="AD85" s="64">
        <v>29</v>
      </c>
      <c r="AE85" s="64">
        <v>21</v>
      </c>
      <c r="AF85" s="64">
        <v>14</v>
      </c>
      <c r="AG85" s="258">
        <v>0</v>
      </c>
      <c r="AH85" s="158">
        <v>0</v>
      </c>
      <c r="AI85" s="158">
        <v>6</v>
      </c>
      <c r="AJ85" s="64">
        <v>20</v>
      </c>
      <c r="AK85" s="125"/>
      <c r="AL85" s="175">
        <f>SUM(F85:AJ85)</f>
        <v>262</v>
      </c>
      <c r="AN85" s="126"/>
    </row>
    <row r="86" spans="1:15485">
      <c r="B86" s="61"/>
      <c r="C86" s="40" t="s">
        <v>79</v>
      </c>
      <c r="D86" s="59"/>
      <c r="E86" s="59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111"/>
      <c r="AD86" s="60"/>
      <c r="AE86" s="60"/>
      <c r="AF86" s="60"/>
      <c r="AG86" s="60"/>
      <c r="AH86" s="111"/>
      <c r="AI86" s="111"/>
      <c r="AJ86" s="111"/>
      <c r="AK86" s="115"/>
      <c r="AL86" s="223" t="s">
        <v>78</v>
      </c>
    </row>
    <row r="87" spans="1:15485" s="1" customFormat="1" ht="14.25">
      <c r="B87" s="75"/>
      <c r="C87" s="238" t="s">
        <v>68</v>
      </c>
      <c r="D87" s="79"/>
      <c r="E87" s="75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125"/>
      <c r="AL87" s="173" t="s">
        <v>68</v>
      </c>
      <c r="AN87" s="126"/>
    </row>
    <row r="88" spans="1:15485" s="1" customFormat="1" ht="14.25">
      <c r="B88" s="75"/>
      <c r="C88" s="219" t="s">
        <v>69</v>
      </c>
      <c r="D88" s="74">
        <v>0.3</v>
      </c>
      <c r="E88" s="239" t="s">
        <v>12</v>
      </c>
      <c r="F88" s="91" t="e">
        <f t="shared" ref="F88:AJ88" si="56">F81/F72*100</f>
        <v>#DIV/0!</v>
      </c>
      <c r="G88" s="91" t="e">
        <f t="shared" si="56"/>
        <v>#DIV/0!</v>
      </c>
      <c r="H88" s="91">
        <f t="shared" si="56"/>
        <v>0.17755681818181818</v>
      </c>
      <c r="I88" s="91">
        <f t="shared" si="56"/>
        <v>0.14084507042253522</v>
      </c>
      <c r="J88" s="91">
        <f t="shared" si="56"/>
        <v>8.4483244156575613E-2</v>
      </c>
      <c r="K88" s="91">
        <f t="shared" si="56"/>
        <v>0</v>
      </c>
      <c r="L88" s="91" t="e">
        <f t="shared" si="56"/>
        <v>#DIV/0!</v>
      </c>
      <c r="M88" s="91">
        <f t="shared" si="56"/>
        <v>0.1272264631043257</v>
      </c>
      <c r="N88" s="91">
        <f t="shared" si="56"/>
        <v>6.381620931716657E-2</v>
      </c>
      <c r="O88" s="91">
        <f t="shared" si="56"/>
        <v>0.15490775947049712</v>
      </c>
      <c r="P88" s="91">
        <f t="shared" si="56"/>
        <v>8.4507042253521125E-2</v>
      </c>
      <c r="Q88" s="91">
        <f t="shared" si="56"/>
        <v>5.6338028169014086E-2</v>
      </c>
      <c r="R88" s="91">
        <f t="shared" si="56"/>
        <v>0</v>
      </c>
      <c r="S88" s="91" t="e">
        <f t="shared" si="56"/>
        <v>#DIV/0!</v>
      </c>
      <c r="T88" s="91">
        <f t="shared" si="56"/>
        <v>5.6338028169014086E-2</v>
      </c>
      <c r="U88" s="91" t="e">
        <f t="shared" si="56"/>
        <v>#DIV/0!</v>
      </c>
      <c r="V88" s="91">
        <f t="shared" si="56"/>
        <v>5.6338028169014086E-2</v>
      </c>
      <c r="W88" s="91">
        <f t="shared" si="56"/>
        <v>0.19718309859154928</v>
      </c>
      <c r="X88" s="91">
        <f t="shared" si="56"/>
        <v>8.6033839977057644E-2</v>
      </c>
      <c r="Y88" s="91">
        <f t="shared" si="56"/>
        <v>0.11360408974723089</v>
      </c>
      <c r="Z88" s="91">
        <f t="shared" si="56"/>
        <v>0.23350846468184472</v>
      </c>
      <c r="AA88" s="91">
        <f t="shared" si="56"/>
        <v>0.15490775947049712</v>
      </c>
      <c r="AB88" s="91">
        <f t="shared" si="56"/>
        <v>0.55319148936170215</v>
      </c>
      <c r="AC88" s="91">
        <f t="shared" si="56"/>
        <v>0.19718309859154928</v>
      </c>
      <c r="AD88" s="91">
        <f t="shared" si="56"/>
        <v>0.28169014084507044</v>
      </c>
      <c r="AE88" s="91">
        <f t="shared" si="56"/>
        <v>0.36619718309859156</v>
      </c>
      <c r="AF88" s="91">
        <f t="shared" si="56"/>
        <v>0.11267605633802817</v>
      </c>
      <c r="AG88" s="91" t="e">
        <f t="shared" si="56"/>
        <v>#DIV/0!</v>
      </c>
      <c r="AH88" s="91">
        <f t="shared" si="56"/>
        <v>7.0412617941135042E-2</v>
      </c>
      <c r="AI88" s="91" t="e">
        <f t="shared" ref="AI88" si="57">AI81/AI72*100</f>
        <v>#DIV/0!</v>
      </c>
      <c r="AJ88" s="91">
        <f t="shared" si="56"/>
        <v>0</v>
      </c>
      <c r="AK88" s="125"/>
      <c r="AL88" s="127">
        <f>AL81/AL72*100</f>
        <v>0.12961126439716034</v>
      </c>
      <c r="AN88" s="126"/>
    </row>
    <row r="89" spans="1:15485" s="1" customFormat="1" ht="14.25">
      <c r="B89" s="75"/>
      <c r="C89" s="219" t="s">
        <v>71</v>
      </c>
      <c r="D89" s="74">
        <v>0.3</v>
      </c>
      <c r="E89" s="239" t="s">
        <v>12</v>
      </c>
      <c r="F89" s="91" t="e">
        <f t="shared" ref="F89:AJ89" si="58">F82/F73*100</f>
        <v>#DIV/0!</v>
      </c>
      <c r="G89" s="91" t="e">
        <f t="shared" si="58"/>
        <v>#DIV/0!</v>
      </c>
      <c r="H89" s="91">
        <f t="shared" si="58"/>
        <v>0.10651517841292384</v>
      </c>
      <c r="I89" s="91">
        <f t="shared" si="58"/>
        <v>0.12676056338028169</v>
      </c>
      <c r="J89" s="91">
        <f t="shared" si="58"/>
        <v>0.21126760563380279</v>
      </c>
      <c r="K89" s="91">
        <f t="shared" si="58"/>
        <v>0.10241404535479151</v>
      </c>
      <c r="L89" s="91" t="e">
        <f t="shared" si="58"/>
        <v>#DIV/0!</v>
      </c>
      <c r="M89" s="91" t="e">
        <f t="shared" si="58"/>
        <v>#DIV/0!</v>
      </c>
      <c r="N89" s="91" t="e">
        <f t="shared" si="58"/>
        <v>#DIV/0!</v>
      </c>
      <c r="O89" s="91" t="e">
        <f t="shared" si="58"/>
        <v>#DIV/0!</v>
      </c>
      <c r="P89" s="91">
        <f t="shared" si="58"/>
        <v>0.11264432554210081</v>
      </c>
      <c r="Q89" s="91">
        <f t="shared" si="58"/>
        <v>9.8549908489370674E-2</v>
      </c>
      <c r="R89" s="91">
        <f t="shared" si="58"/>
        <v>0</v>
      </c>
      <c r="S89" s="91" t="e">
        <f t="shared" si="58"/>
        <v>#DIV/0!</v>
      </c>
      <c r="T89" s="91" t="e">
        <f t="shared" si="58"/>
        <v>#DIV/0!</v>
      </c>
      <c r="U89" s="91" t="e">
        <f t="shared" si="58"/>
        <v>#DIV/0!</v>
      </c>
      <c r="V89" s="91">
        <f t="shared" si="58"/>
        <v>7.0382882882882886E-2</v>
      </c>
      <c r="W89" s="91">
        <f t="shared" si="58"/>
        <v>2.8169014084507043E-2</v>
      </c>
      <c r="X89" s="91">
        <f t="shared" si="58"/>
        <v>9.8591549295774641E-2</v>
      </c>
      <c r="Y89" s="91">
        <f t="shared" si="58"/>
        <v>2.8169014084507043E-2</v>
      </c>
      <c r="Z89" s="91">
        <f t="shared" si="58"/>
        <v>0.13136768354984674</v>
      </c>
      <c r="AA89" s="91" t="e">
        <f t="shared" si="58"/>
        <v>#DIV/0!</v>
      </c>
      <c r="AB89" s="91">
        <f t="shared" si="58"/>
        <v>0.23394300297745638</v>
      </c>
      <c r="AC89" s="91">
        <f t="shared" si="58"/>
        <v>0.11846336097478423</v>
      </c>
      <c r="AD89" s="91">
        <f t="shared" si="58"/>
        <v>0.25348542458808615</v>
      </c>
      <c r="AE89" s="91">
        <f t="shared" si="58"/>
        <v>0.12672486623486343</v>
      </c>
      <c r="AF89" s="91">
        <f t="shared" si="58"/>
        <v>5.7971014492753624E-2</v>
      </c>
      <c r="AG89" s="91" t="e">
        <f t="shared" si="58"/>
        <v>#DIV/0!</v>
      </c>
      <c r="AH89" s="91" t="e">
        <f t="shared" si="58"/>
        <v>#DIV/0!</v>
      </c>
      <c r="AI89" s="91">
        <f t="shared" ref="AI89" si="59">AI82/AI73*100</f>
        <v>4.4444444444444446E-2</v>
      </c>
      <c r="AJ89" s="91">
        <f t="shared" si="58"/>
        <v>2.8161081385525203E-2</v>
      </c>
      <c r="AK89" s="125"/>
      <c r="AL89" s="127">
        <f>AL82/AL73*100</f>
        <v>0.10272700693012193</v>
      </c>
      <c r="AN89" s="126"/>
    </row>
    <row r="90" spans="1:15485" s="1" customFormat="1" ht="14.25">
      <c r="B90" s="75"/>
      <c r="C90" s="238" t="s">
        <v>72</v>
      </c>
      <c r="D90" s="74"/>
      <c r="E90" s="75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125"/>
      <c r="AL90" s="173" t="s">
        <v>72</v>
      </c>
      <c r="AN90" s="126"/>
    </row>
    <row r="91" spans="1:15485" s="1" customFormat="1" ht="14.25">
      <c r="B91" s="75"/>
      <c r="C91" s="219" t="s">
        <v>69</v>
      </c>
      <c r="D91" s="74">
        <v>0.5</v>
      </c>
      <c r="E91" s="239" t="s">
        <v>12</v>
      </c>
      <c r="F91" s="91" t="e">
        <f t="shared" ref="F91:AJ91" si="60">F84/F75*100</f>
        <v>#DIV/0!</v>
      </c>
      <c r="G91" s="91" t="e">
        <f t="shared" si="60"/>
        <v>#DIV/0!</v>
      </c>
      <c r="H91" s="91">
        <f t="shared" si="60"/>
        <v>1.4796401515151516E-2</v>
      </c>
      <c r="I91" s="91">
        <f t="shared" si="60"/>
        <v>3.2863849765258211E-2</v>
      </c>
      <c r="J91" s="91">
        <f t="shared" si="60"/>
        <v>1.8774054257016802E-2</v>
      </c>
      <c r="K91" s="91">
        <f t="shared" si="60"/>
        <v>7.0382882882882884E-3</v>
      </c>
      <c r="L91" s="91" t="e">
        <f t="shared" si="60"/>
        <v>#DIV/0!</v>
      </c>
      <c r="M91" s="91">
        <f t="shared" si="60"/>
        <v>3.8874752615210631E-2</v>
      </c>
      <c r="N91" s="91">
        <f t="shared" si="60"/>
        <v>6.5588881798198967E-2</v>
      </c>
      <c r="O91" s="91">
        <f t="shared" si="60"/>
        <v>4.8115288926442283E-2</v>
      </c>
      <c r="P91" s="91">
        <f t="shared" si="60"/>
        <v>1.8779342723004695E-2</v>
      </c>
      <c r="Q91" s="91">
        <f t="shared" si="60"/>
        <v>3.2863849765258211E-2</v>
      </c>
      <c r="R91" s="91">
        <f t="shared" si="60"/>
        <v>3.1032177981476176E-2</v>
      </c>
      <c r="S91" s="91" t="e">
        <f t="shared" si="60"/>
        <v>#DIV/0!</v>
      </c>
      <c r="T91" s="91">
        <f t="shared" si="60"/>
        <v>4.3427230046948359E-2</v>
      </c>
      <c r="U91" s="91" t="e">
        <f t="shared" si="60"/>
        <v>#DIV/0!</v>
      </c>
      <c r="V91" s="91">
        <f t="shared" si="60"/>
        <v>4.6948356807511735E-2</v>
      </c>
      <c r="W91" s="91">
        <f t="shared" si="60"/>
        <v>5.39906103286385E-2</v>
      </c>
      <c r="X91" s="91">
        <f t="shared" si="60"/>
        <v>5.0186406653283631E-2</v>
      </c>
      <c r="Y91" s="91">
        <f t="shared" si="60"/>
        <v>8.9936571049891126E-2</v>
      </c>
      <c r="Z91" s="91">
        <f t="shared" si="60"/>
        <v>6.0809496010897066E-2</v>
      </c>
      <c r="AA91" s="91">
        <f t="shared" si="60"/>
        <v>4.1074027132328786E-2</v>
      </c>
      <c r="AB91" s="91">
        <f t="shared" si="60"/>
        <v>2.1276595744680851E-2</v>
      </c>
      <c r="AC91" s="91">
        <f t="shared" si="60"/>
        <v>6.5727699530516423E-2</v>
      </c>
      <c r="AD91" s="91">
        <f t="shared" si="60"/>
        <v>0.10563380281690139</v>
      </c>
      <c r="AE91" s="91">
        <f t="shared" si="60"/>
        <v>3.5211267605633804E-2</v>
      </c>
      <c r="AF91" s="91">
        <f t="shared" si="60"/>
        <v>4.4600938967136149E-2</v>
      </c>
      <c r="AG91" s="91" t="e">
        <f t="shared" si="60"/>
        <v>#DIV/0!</v>
      </c>
      <c r="AH91" s="91">
        <f t="shared" si="60"/>
        <v>5.9850725249964792E-2</v>
      </c>
      <c r="AI91" s="91" t="e">
        <f t="shared" ref="AI91" si="61">AI84/AI75*100</f>
        <v>#DIV/0!</v>
      </c>
      <c r="AJ91" s="91">
        <f t="shared" si="60"/>
        <v>5.2068541134147502E-2</v>
      </c>
      <c r="AK91" s="125"/>
      <c r="AL91" s="127">
        <f>AL84/AL75*100</f>
        <v>4.5903989473994287E-2</v>
      </c>
      <c r="AN91" s="126"/>
    </row>
    <row r="92" spans="1:15485" s="1" customFormat="1" ht="14.25">
      <c r="B92" s="75"/>
      <c r="C92" s="219" t="s">
        <v>71</v>
      </c>
      <c r="D92" s="74">
        <v>0.5</v>
      </c>
      <c r="E92" s="239" t="s">
        <v>12</v>
      </c>
      <c r="F92" s="91" t="e">
        <f t="shared" ref="F92:AJ92" si="62">F85/F76*100</f>
        <v>#DIV/0!</v>
      </c>
      <c r="G92" s="91" t="e">
        <f t="shared" si="62"/>
        <v>#DIV/0!</v>
      </c>
      <c r="H92" s="91" t="e">
        <f t="shared" si="62"/>
        <v>#DIV/0!</v>
      </c>
      <c r="I92" s="91">
        <f t="shared" si="62"/>
        <v>2.8169014084507043E-2</v>
      </c>
      <c r="J92" s="91">
        <f t="shared" si="62"/>
        <v>1.4084507042253521E-2</v>
      </c>
      <c r="K92" s="91">
        <f t="shared" si="62"/>
        <v>2.9261155815654721E-2</v>
      </c>
      <c r="L92" s="91" t="e">
        <f t="shared" si="62"/>
        <v>#DIV/0!</v>
      </c>
      <c r="M92" s="91" t="e">
        <f t="shared" si="62"/>
        <v>#DIV/0!</v>
      </c>
      <c r="N92" s="91" t="e">
        <f t="shared" si="62"/>
        <v>#DIV/0!</v>
      </c>
      <c r="O92" s="91" t="e">
        <f t="shared" si="62"/>
        <v>#DIV/0!</v>
      </c>
      <c r="P92" s="91">
        <f t="shared" si="62"/>
        <v>1.6427297474889701E-2</v>
      </c>
      <c r="Q92" s="91">
        <f t="shared" si="62"/>
        <v>1.6424984748228448E-2</v>
      </c>
      <c r="R92" s="91">
        <f t="shared" si="62"/>
        <v>2.3457658925639221E-2</v>
      </c>
      <c r="S92" s="91" t="e">
        <f t="shared" si="62"/>
        <v>#DIV/0!</v>
      </c>
      <c r="T92" s="91" t="e">
        <f t="shared" si="62"/>
        <v>#DIV/0!</v>
      </c>
      <c r="U92" s="91" t="e">
        <f t="shared" si="62"/>
        <v>#DIV/0!</v>
      </c>
      <c r="V92" s="91">
        <f t="shared" si="62"/>
        <v>3.9883633633633633E-2</v>
      </c>
      <c r="W92" s="91">
        <f t="shared" si="62"/>
        <v>2.5821596244131453E-2</v>
      </c>
      <c r="X92" s="91">
        <f t="shared" si="62"/>
        <v>3.5211267605633804E-2</v>
      </c>
      <c r="Y92" s="91">
        <f t="shared" si="62"/>
        <v>3.9906103286384977E-2</v>
      </c>
      <c r="Z92" s="91">
        <f t="shared" si="62"/>
        <v>2.4327348805527175E-2</v>
      </c>
      <c r="AA92" s="91" t="e">
        <f t="shared" si="62"/>
        <v>#DIV/0!</v>
      </c>
      <c r="AB92" s="91">
        <f t="shared" si="62"/>
        <v>1.7722954771019424E-2</v>
      </c>
      <c r="AC92" s="91">
        <f t="shared" si="62"/>
        <v>9.8719467478986855E-2</v>
      </c>
      <c r="AD92" s="91">
        <f t="shared" si="62"/>
        <v>6.806553067643055E-2</v>
      </c>
      <c r="AE92" s="91">
        <f t="shared" si="62"/>
        <v>4.9281892424669113E-2</v>
      </c>
      <c r="AF92" s="91">
        <f t="shared" si="62"/>
        <v>3.3816425120772951E-2</v>
      </c>
      <c r="AG92" s="91" t="e">
        <f t="shared" si="62"/>
        <v>#DIV/0!</v>
      </c>
      <c r="AH92" s="91" t="e">
        <f t="shared" si="62"/>
        <v>#DIV/0!</v>
      </c>
      <c r="AI92" s="91">
        <f t="shared" ref="AI92" si="63">AI85/AI76*100</f>
        <v>2.2222222222222223E-2</v>
      </c>
      <c r="AJ92" s="91">
        <f t="shared" si="62"/>
        <v>4.6935135642542009E-2</v>
      </c>
      <c r="AK92" s="125"/>
      <c r="AL92" s="127">
        <f>AL85/AL76*100</f>
        <v>3.450573822524608E-2</v>
      </c>
      <c r="AN92" s="126"/>
    </row>
    <row r="93" spans="1:15485" s="1" customFormat="1">
      <c r="A93" s="3"/>
      <c r="B93" s="58">
        <v>6</v>
      </c>
      <c r="C93" s="40" t="s">
        <v>80</v>
      </c>
      <c r="D93" s="59"/>
      <c r="E93" s="59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111"/>
      <c r="AD93" s="60"/>
      <c r="AE93" s="60"/>
      <c r="AF93" s="60"/>
      <c r="AG93" s="60"/>
      <c r="AH93" s="111"/>
      <c r="AI93" s="111"/>
      <c r="AJ93" s="111"/>
      <c r="AK93" s="115"/>
      <c r="AL93" s="223" t="s">
        <v>63</v>
      </c>
      <c r="AM93" s="3"/>
      <c r="AN93" s="3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  <c r="BCX93" s="3"/>
      <c r="BCY93" s="3"/>
      <c r="BCZ93" s="3"/>
      <c r="BDA93" s="3"/>
      <c r="BDB93" s="3"/>
      <c r="BDC93" s="3"/>
      <c r="BDD93" s="3"/>
      <c r="BDE93" s="3"/>
      <c r="BDF93" s="3"/>
      <c r="BDG93" s="3"/>
      <c r="BDH93" s="3"/>
      <c r="BDI93" s="3"/>
      <c r="BDJ93" s="3"/>
      <c r="BDK93" s="3"/>
      <c r="BDL93" s="3"/>
      <c r="BDM93" s="3"/>
      <c r="BDN93" s="3"/>
      <c r="BDO93" s="3"/>
      <c r="BDP93" s="3"/>
      <c r="BDQ93" s="3"/>
      <c r="BDR93" s="3"/>
      <c r="BDS93" s="3"/>
      <c r="BDT93" s="3"/>
      <c r="BDU93" s="3"/>
      <c r="BDV93" s="3"/>
      <c r="BDW93" s="3"/>
      <c r="BDX93" s="3"/>
      <c r="BDY93" s="3"/>
      <c r="BDZ93" s="3"/>
      <c r="BEA93" s="3"/>
      <c r="BEB93" s="3"/>
      <c r="BEC93" s="3"/>
      <c r="BED93" s="3"/>
      <c r="BEE93" s="3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3"/>
      <c r="BGV93" s="3"/>
      <c r="BGW93" s="3"/>
      <c r="BGX93" s="3"/>
      <c r="BGY93" s="3"/>
      <c r="BGZ93" s="3"/>
      <c r="BHA93" s="3"/>
      <c r="BHB93" s="3"/>
      <c r="BHC93" s="3"/>
      <c r="BHD93" s="3"/>
      <c r="BHE93" s="3"/>
      <c r="BHF93" s="3"/>
      <c r="BHG93" s="3"/>
      <c r="BHH93" s="3"/>
      <c r="BHI93" s="3"/>
      <c r="BHJ93" s="3"/>
      <c r="BHK93" s="3"/>
      <c r="BHL93" s="3"/>
      <c r="BHM93" s="3"/>
      <c r="BHN93" s="3"/>
      <c r="BHO93" s="3"/>
      <c r="BHP93" s="3"/>
      <c r="BHQ93" s="3"/>
      <c r="BHR93" s="3"/>
      <c r="BHS93" s="3"/>
      <c r="BHT93" s="3"/>
      <c r="BHU93" s="3"/>
      <c r="BHV93" s="3"/>
      <c r="BHW93" s="3"/>
      <c r="BHX93" s="3"/>
      <c r="BHY93" s="3"/>
      <c r="BHZ93" s="3"/>
      <c r="BIA93" s="3"/>
      <c r="BIB93" s="3"/>
      <c r="BIC93" s="3"/>
      <c r="BID93" s="3"/>
      <c r="BIE93" s="3"/>
      <c r="BIF93" s="3"/>
      <c r="BIG93" s="3"/>
      <c r="BIH93" s="3"/>
      <c r="BII93" s="3"/>
      <c r="BIJ93" s="3"/>
      <c r="BIK93" s="3"/>
      <c r="BIL93" s="3"/>
      <c r="BIM93" s="3"/>
      <c r="BIN93" s="3"/>
      <c r="BIO93" s="3"/>
      <c r="BIP93" s="3"/>
      <c r="BIQ93" s="3"/>
      <c r="BIR93" s="3"/>
      <c r="BIS93" s="3"/>
      <c r="BIT93" s="3"/>
      <c r="BIU93" s="3"/>
      <c r="BIV93" s="3"/>
      <c r="BIW93" s="3"/>
      <c r="BIX93" s="3"/>
      <c r="BIY93" s="3"/>
      <c r="BIZ93" s="3"/>
      <c r="BJA93" s="3"/>
      <c r="BJB93" s="3"/>
      <c r="BJC93" s="3"/>
      <c r="BJD93" s="3"/>
      <c r="BJE93" s="3"/>
      <c r="BJF93" s="3"/>
      <c r="BJG93" s="3"/>
      <c r="BJH93" s="3"/>
      <c r="BJI93" s="3"/>
      <c r="BJJ93" s="3"/>
      <c r="BJK93" s="3"/>
      <c r="BJL93" s="3"/>
      <c r="BJM93" s="3"/>
      <c r="BJN93" s="3"/>
      <c r="BJO93" s="3"/>
      <c r="BJP93" s="3"/>
      <c r="BJQ93" s="3"/>
      <c r="BJR93" s="3"/>
      <c r="BJS93" s="3"/>
      <c r="BJT93" s="3"/>
      <c r="BJU93" s="3"/>
      <c r="BJV93" s="3"/>
      <c r="BJW93" s="3"/>
      <c r="BJX93" s="3"/>
      <c r="BJY93" s="3"/>
      <c r="BJZ93" s="3"/>
      <c r="BKA93" s="3"/>
      <c r="BKB93" s="3"/>
      <c r="BKC93" s="3"/>
      <c r="BKD93" s="3"/>
      <c r="BKE93" s="3"/>
      <c r="BKF93" s="3"/>
      <c r="BKG93" s="3"/>
      <c r="BKH93" s="3"/>
      <c r="BKI93" s="3"/>
      <c r="BKJ93" s="3"/>
      <c r="BKK93" s="3"/>
      <c r="BKL93" s="3"/>
      <c r="BKM93" s="3"/>
      <c r="BKN93" s="3"/>
      <c r="BKO93" s="3"/>
      <c r="BKP93" s="3"/>
      <c r="BKQ93" s="3"/>
      <c r="BKR93" s="3"/>
      <c r="BKS93" s="3"/>
      <c r="BKT93" s="3"/>
      <c r="BKU93" s="3"/>
      <c r="BKV93" s="3"/>
      <c r="BKW93" s="3"/>
      <c r="BKX93" s="3"/>
      <c r="BKY93" s="3"/>
      <c r="BKZ93" s="3"/>
      <c r="BLA93" s="3"/>
      <c r="BLB93" s="3"/>
      <c r="BLC93" s="3"/>
      <c r="BLD93" s="3"/>
      <c r="BLE93" s="3"/>
      <c r="BLF93" s="3"/>
      <c r="BLG93" s="3"/>
      <c r="BLH93" s="3"/>
      <c r="BLI93" s="3"/>
      <c r="BLJ93" s="3"/>
      <c r="BLK93" s="3"/>
      <c r="BLL93" s="3"/>
      <c r="BLM93" s="3"/>
      <c r="BLN93" s="3"/>
      <c r="BLO93" s="3"/>
      <c r="BLP93" s="3"/>
      <c r="BLQ93" s="3"/>
      <c r="BLR93" s="3"/>
      <c r="BLS93" s="3"/>
      <c r="BLT93" s="3"/>
      <c r="BLU93" s="3"/>
      <c r="BLV93" s="3"/>
      <c r="BLW93" s="3"/>
      <c r="BLX93" s="3"/>
      <c r="BLY93" s="3"/>
      <c r="BLZ93" s="3"/>
      <c r="BMA93" s="3"/>
      <c r="BMB93" s="3"/>
      <c r="BMC93" s="3"/>
      <c r="BMD93" s="3"/>
      <c r="BME93" s="3"/>
      <c r="BMF93" s="3"/>
      <c r="BMG93" s="3"/>
      <c r="BMH93" s="3"/>
      <c r="BMI93" s="3"/>
      <c r="BMJ93" s="3"/>
      <c r="BMK93" s="3"/>
      <c r="BML93" s="3"/>
      <c r="BMM93" s="3"/>
      <c r="BMN93" s="3"/>
      <c r="BMO93" s="3"/>
      <c r="BMP93" s="3"/>
      <c r="BMQ93" s="3"/>
      <c r="BMR93" s="3"/>
      <c r="BMS93" s="3"/>
      <c r="BMT93" s="3"/>
      <c r="BMU93" s="3"/>
      <c r="BMV93" s="3"/>
      <c r="BMW93" s="3"/>
      <c r="BMX93" s="3"/>
      <c r="BMY93" s="3"/>
      <c r="BMZ93" s="3"/>
      <c r="BNA93" s="3"/>
      <c r="BNB93" s="3"/>
      <c r="BNC93" s="3"/>
      <c r="BND93" s="3"/>
      <c r="BNE93" s="3"/>
      <c r="BNF93" s="3"/>
      <c r="BNG93" s="3"/>
      <c r="BNH93" s="3"/>
      <c r="BNI93" s="3"/>
      <c r="BNJ93" s="3"/>
      <c r="BNK93" s="3"/>
      <c r="BNL93" s="3"/>
      <c r="BNM93" s="3"/>
      <c r="BNN93" s="3"/>
      <c r="BNO93" s="3"/>
      <c r="BNP93" s="3"/>
      <c r="BNQ93" s="3"/>
      <c r="BNR93" s="3"/>
      <c r="BNS93" s="3"/>
      <c r="BNT93" s="3"/>
      <c r="BNU93" s="3"/>
      <c r="BNV93" s="3"/>
      <c r="BNW93" s="3"/>
      <c r="BNX93" s="3"/>
      <c r="BNY93" s="3"/>
      <c r="BNZ93" s="3"/>
      <c r="BOA93" s="3"/>
      <c r="BOB93" s="3"/>
      <c r="BOC93" s="3"/>
      <c r="BOD93" s="3"/>
      <c r="BOE93" s="3"/>
      <c r="BOF93" s="3"/>
      <c r="BOG93" s="3"/>
      <c r="BOH93" s="3"/>
      <c r="BOI93" s="3"/>
      <c r="BOJ93" s="3"/>
      <c r="BOK93" s="3"/>
      <c r="BOL93" s="3"/>
      <c r="BOM93" s="3"/>
      <c r="BON93" s="3"/>
      <c r="BOO93" s="3"/>
      <c r="BOP93" s="3"/>
      <c r="BOQ93" s="3"/>
      <c r="BOR93" s="3"/>
      <c r="BOS93" s="3"/>
      <c r="BOT93" s="3"/>
      <c r="BOU93" s="3"/>
      <c r="BOV93" s="3"/>
      <c r="BOW93" s="3"/>
      <c r="BOX93" s="3"/>
      <c r="BOY93" s="3"/>
      <c r="BOZ93" s="3"/>
      <c r="BPA93" s="3"/>
      <c r="BPB93" s="3"/>
      <c r="BPC93" s="3"/>
      <c r="BPD93" s="3"/>
      <c r="BPE93" s="3"/>
      <c r="BPF93" s="3"/>
      <c r="BPG93" s="3"/>
      <c r="BPH93" s="3"/>
      <c r="BPI93" s="3"/>
      <c r="BPJ93" s="3"/>
      <c r="BPK93" s="3"/>
      <c r="BPL93" s="3"/>
      <c r="BPM93" s="3"/>
      <c r="BPN93" s="3"/>
      <c r="BPO93" s="3"/>
      <c r="BPP93" s="3"/>
      <c r="BPQ93" s="3"/>
      <c r="BPR93" s="3"/>
      <c r="BPS93" s="3"/>
      <c r="BPT93" s="3"/>
      <c r="BPU93" s="3"/>
      <c r="BPV93" s="3"/>
      <c r="BPW93" s="3"/>
      <c r="BPX93" s="3"/>
      <c r="BPY93" s="3"/>
      <c r="BPZ93" s="3"/>
      <c r="BQA93" s="3"/>
      <c r="BQB93" s="3"/>
      <c r="BQC93" s="3"/>
      <c r="BQD93" s="3"/>
      <c r="BQE93" s="3"/>
      <c r="BQF93" s="3"/>
      <c r="BQG93" s="3"/>
      <c r="BQH93" s="3"/>
      <c r="BQI93" s="3"/>
      <c r="BQJ93" s="3"/>
      <c r="BQK93" s="3"/>
      <c r="BQL93" s="3"/>
      <c r="BQM93" s="3"/>
      <c r="BQN93" s="3"/>
      <c r="BQO93" s="3"/>
      <c r="BQP93" s="3"/>
      <c r="BQQ93" s="3"/>
      <c r="BQR93" s="3"/>
      <c r="BQS93" s="3"/>
      <c r="BQT93" s="3"/>
      <c r="BQU93" s="3"/>
      <c r="BQV93" s="3"/>
      <c r="BQW93" s="3"/>
      <c r="BQX93" s="3"/>
      <c r="BQY93" s="3"/>
      <c r="BQZ93" s="3"/>
      <c r="BRA93" s="3"/>
      <c r="BRB93" s="3"/>
      <c r="BRC93" s="3"/>
      <c r="BRD93" s="3"/>
      <c r="BRE93" s="3"/>
      <c r="BRF93" s="3"/>
      <c r="BRG93" s="3"/>
      <c r="BRH93" s="3"/>
      <c r="BRI93" s="3"/>
      <c r="BRJ93" s="3"/>
      <c r="BRK93" s="3"/>
      <c r="BRL93" s="3"/>
      <c r="BRM93" s="3"/>
      <c r="BRN93" s="3"/>
      <c r="BRO93" s="3"/>
      <c r="BRP93" s="3"/>
      <c r="BRQ93" s="3"/>
      <c r="BRR93" s="3"/>
      <c r="BRS93" s="3"/>
      <c r="BRT93" s="3"/>
      <c r="BRU93" s="3"/>
      <c r="BRV93" s="3"/>
      <c r="BRW93" s="3"/>
      <c r="BRX93" s="3"/>
      <c r="BRY93" s="3"/>
      <c r="BRZ93" s="3"/>
      <c r="BSA93" s="3"/>
      <c r="BSB93" s="3"/>
      <c r="BSC93" s="3"/>
      <c r="BSD93" s="3"/>
      <c r="BSE93" s="3"/>
      <c r="BSF93" s="3"/>
      <c r="BSG93" s="3"/>
      <c r="BSH93" s="3"/>
      <c r="BSI93" s="3"/>
      <c r="BSJ93" s="3"/>
      <c r="BSK93" s="3"/>
      <c r="BSL93" s="3"/>
      <c r="BSM93" s="3"/>
      <c r="BSN93" s="3"/>
      <c r="BSO93" s="3"/>
      <c r="BSP93" s="3"/>
      <c r="BSQ93" s="3"/>
      <c r="BSR93" s="3"/>
      <c r="BSS93" s="3"/>
      <c r="BST93" s="3"/>
      <c r="BSU93" s="3"/>
      <c r="BSV93" s="3"/>
      <c r="BSW93" s="3"/>
      <c r="BSX93" s="3"/>
      <c r="BSY93" s="3"/>
      <c r="BSZ93" s="3"/>
      <c r="BTA93" s="3"/>
      <c r="BTB93" s="3"/>
      <c r="BTC93" s="3"/>
      <c r="BTD93" s="3"/>
      <c r="BTE93" s="3"/>
      <c r="BTF93" s="3"/>
      <c r="BTG93" s="3"/>
      <c r="BTH93" s="3"/>
      <c r="BTI93" s="3"/>
      <c r="BTJ93" s="3"/>
      <c r="BTK93" s="3"/>
      <c r="BTL93" s="3"/>
      <c r="BTM93" s="3"/>
      <c r="BTN93" s="3"/>
      <c r="BTO93" s="3"/>
      <c r="BTP93" s="3"/>
      <c r="BTQ93" s="3"/>
      <c r="BTR93" s="3"/>
      <c r="BTS93" s="3"/>
      <c r="BTT93" s="3"/>
      <c r="BTU93" s="3"/>
      <c r="BTV93" s="3"/>
      <c r="BTW93" s="3"/>
      <c r="BTX93" s="3"/>
      <c r="BTY93" s="3"/>
      <c r="BTZ93" s="3"/>
      <c r="BUA93" s="3"/>
      <c r="BUB93" s="3"/>
      <c r="BUC93" s="3"/>
      <c r="BUD93" s="3"/>
      <c r="BUE93" s="3"/>
      <c r="BUF93" s="3"/>
      <c r="BUG93" s="3"/>
      <c r="BUH93" s="3"/>
      <c r="BUI93" s="3"/>
      <c r="BUJ93" s="3"/>
      <c r="BUK93" s="3"/>
      <c r="BUL93" s="3"/>
      <c r="BUM93" s="3"/>
      <c r="BUN93" s="3"/>
      <c r="BUO93" s="3"/>
      <c r="BUP93" s="3"/>
      <c r="BUQ93" s="3"/>
      <c r="BUR93" s="3"/>
      <c r="BUS93" s="3"/>
      <c r="BUT93" s="3"/>
      <c r="BUU93" s="3"/>
      <c r="BUV93" s="3"/>
      <c r="BUW93" s="3"/>
      <c r="BUX93" s="3"/>
      <c r="BUY93" s="3"/>
      <c r="BUZ93" s="3"/>
      <c r="BVA93" s="3"/>
      <c r="BVB93" s="3"/>
      <c r="BVC93" s="3"/>
      <c r="BVD93" s="3"/>
      <c r="BVE93" s="3"/>
      <c r="BVF93" s="3"/>
      <c r="BVG93" s="3"/>
      <c r="BVH93" s="3"/>
      <c r="BVI93" s="3"/>
      <c r="BVJ93" s="3"/>
      <c r="BVK93" s="3"/>
      <c r="BVL93" s="3"/>
      <c r="BVM93" s="3"/>
      <c r="BVN93" s="3"/>
      <c r="BVO93" s="3"/>
      <c r="BVP93" s="3"/>
      <c r="BVQ93" s="3"/>
      <c r="BVR93" s="3"/>
      <c r="BVS93" s="3"/>
      <c r="BVT93" s="3"/>
      <c r="BVU93" s="3"/>
      <c r="BVV93" s="3"/>
      <c r="BVW93" s="3"/>
      <c r="BVX93" s="3"/>
      <c r="BVY93" s="3"/>
      <c r="BVZ93" s="3"/>
      <c r="BWA93" s="3"/>
      <c r="BWB93" s="3"/>
      <c r="BWC93" s="3"/>
      <c r="BWD93" s="3"/>
      <c r="BWE93" s="3"/>
      <c r="BWF93" s="3"/>
      <c r="BWG93" s="3"/>
      <c r="BWH93" s="3"/>
      <c r="BWI93" s="3"/>
      <c r="BWJ93" s="3"/>
      <c r="BWK93" s="3"/>
      <c r="BWL93" s="3"/>
      <c r="BWM93" s="3"/>
      <c r="BWN93" s="3"/>
      <c r="BWO93" s="3"/>
      <c r="BWP93" s="3"/>
      <c r="BWQ93" s="3"/>
      <c r="BWR93" s="3"/>
      <c r="BWS93" s="3"/>
      <c r="BWT93" s="3"/>
      <c r="BWU93" s="3"/>
      <c r="BWV93" s="3"/>
      <c r="BWW93" s="3"/>
      <c r="BWX93" s="3"/>
      <c r="BWY93" s="3"/>
      <c r="BWZ93" s="3"/>
      <c r="BXA93" s="3"/>
      <c r="BXB93" s="3"/>
      <c r="BXC93" s="3"/>
      <c r="BXD93" s="3"/>
      <c r="BXE93" s="3"/>
      <c r="BXF93" s="3"/>
      <c r="BXG93" s="3"/>
      <c r="BXH93" s="3"/>
      <c r="BXI93" s="3"/>
      <c r="BXJ93" s="3"/>
      <c r="BXK93" s="3"/>
      <c r="BXL93" s="3"/>
      <c r="BXM93" s="3"/>
      <c r="BXN93" s="3"/>
      <c r="BXO93" s="3"/>
      <c r="BXP93" s="3"/>
      <c r="BXQ93" s="3"/>
      <c r="BXR93" s="3"/>
      <c r="BXS93" s="3"/>
      <c r="BXT93" s="3"/>
      <c r="BXU93" s="3"/>
      <c r="BXV93" s="3"/>
      <c r="BXW93" s="3"/>
      <c r="BXX93" s="3"/>
      <c r="BXY93" s="3"/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3"/>
      <c r="CAG93" s="3"/>
      <c r="CAH93" s="3"/>
      <c r="CAI93" s="3"/>
      <c r="CAJ93" s="3"/>
      <c r="CAK93" s="3"/>
      <c r="CAL93" s="3"/>
      <c r="CAM93" s="3"/>
      <c r="CAN93" s="3"/>
      <c r="CAO93" s="3"/>
      <c r="CAP93" s="3"/>
      <c r="CAQ93" s="3"/>
      <c r="CAR93" s="3"/>
      <c r="CAS93" s="3"/>
      <c r="CAT93" s="3"/>
      <c r="CAU93" s="3"/>
      <c r="CAV93" s="3"/>
      <c r="CAW93" s="3"/>
      <c r="CAX93" s="3"/>
      <c r="CAY93" s="3"/>
      <c r="CAZ93" s="3"/>
      <c r="CBA93" s="3"/>
      <c r="CBB93" s="3"/>
      <c r="CBC93" s="3"/>
      <c r="CBD93" s="3"/>
      <c r="CBE93" s="3"/>
      <c r="CBF93" s="3"/>
      <c r="CBG93" s="3"/>
      <c r="CBH93" s="3"/>
      <c r="CBI93" s="3"/>
      <c r="CBJ93" s="3"/>
      <c r="CBK93" s="3"/>
      <c r="CBL93" s="3"/>
      <c r="CBM93" s="3"/>
      <c r="CBN93" s="3"/>
      <c r="CBO93" s="3"/>
      <c r="CBP93" s="3"/>
      <c r="CBQ93" s="3"/>
      <c r="CBR93" s="3"/>
      <c r="CBS93" s="3"/>
      <c r="CBT93" s="3"/>
      <c r="CBU93" s="3"/>
      <c r="CBV93" s="3"/>
      <c r="CBW93" s="3"/>
      <c r="CBX93" s="3"/>
      <c r="CBY93" s="3"/>
      <c r="CBZ93" s="3"/>
      <c r="CCA93" s="3"/>
      <c r="CCB93" s="3"/>
      <c r="CCC93" s="3"/>
      <c r="CCD93" s="3"/>
      <c r="CCE93" s="3"/>
      <c r="CCF93" s="3"/>
      <c r="CCG93" s="3"/>
      <c r="CCH93" s="3"/>
      <c r="CCI93" s="3"/>
      <c r="CCJ93" s="3"/>
      <c r="CCK93" s="3"/>
      <c r="CCL93" s="3"/>
      <c r="CCM93" s="3"/>
      <c r="CCN93" s="3"/>
      <c r="CCO93" s="3"/>
      <c r="CCP93" s="3"/>
      <c r="CCQ93" s="3"/>
      <c r="CCR93" s="3"/>
      <c r="CCS93" s="3"/>
      <c r="CCT93" s="3"/>
      <c r="CCU93" s="3"/>
      <c r="CCV93" s="3"/>
      <c r="CCW93" s="3"/>
      <c r="CCX93" s="3"/>
      <c r="CCY93" s="3"/>
      <c r="CCZ93" s="3"/>
      <c r="CDA93" s="3"/>
      <c r="CDB93" s="3"/>
      <c r="CDC93" s="3"/>
      <c r="CDD93" s="3"/>
      <c r="CDE93" s="3"/>
      <c r="CDF93" s="3"/>
      <c r="CDG93" s="3"/>
      <c r="CDH93" s="3"/>
      <c r="CDI93" s="3"/>
      <c r="CDJ93" s="3"/>
      <c r="CDK93" s="3"/>
      <c r="CDL93" s="3"/>
      <c r="CDM93" s="3"/>
      <c r="CDN93" s="3"/>
      <c r="CDO93" s="3"/>
      <c r="CDP93" s="3"/>
      <c r="CDQ93" s="3"/>
      <c r="CDR93" s="3"/>
      <c r="CDS93" s="3"/>
      <c r="CDT93" s="3"/>
      <c r="CDU93" s="3"/>
      <c r="CDV93" s="3"/>
      <c r="CDW93" s="3"/>
      <c r="CDX93" s="3"/>
      <c r="CDY93" s="3"/>
      <c r="CDZ93" s="3"/>
      <c r="CEA93" s="3"/>
      <c r="CEB93" s="3"/>
      <c r="CEC93" s="3"/>
      <c r="CED93" s="3"/>
      <c r="CEE93" s="3"/>
      <c r="CEF93" s="3"/>
      <c r="CEG93" s="3"/>
      <c r="CEH93" s="3"/>
      <c r="CEI93" s="3"/>
      <c r="CEJ93" s="3"/>
      <c r="CEK93" s="3"/>
      <c r="CEL93" s="3"/>
      <c r="CEM93" s="3"/>
      <c r="CEN93" s="3"/>
      <c r="CEO93" s="3"/>
      <c r="CEP93" s="3"/>
      <c r="CEQ93" s="3"/>
      <c r="CER93" s="3"/>
      <c r="CES93" s="3"/>
      <c r="CET93" s="3"/>
      <c r="CEU93" s="3"/>
      <c r="CEV93" s="3"/>
      <c r="CEW93" s="3"/>
      <c r="CEX93" s="3"/>
      <c r="CEY93" s="3"/>
      <c r="CEZ93" s="3"/>
      <c r="CFA93" s="3"/>
      <c r="CFB93" s="3"/>
      <c r="CFC93" s="3"/>
      <c r="CFD93" s="3"/>
      <c r="CFE93" s="3"/>
      <c r="CFF93" s="3"/>
      <c r="CFG93" s="3"/>
      <c r="CFH93" s="3"/>
      <c r="CFI93" s="3"/>
      <c r="CFJ93" s="3"/>
      <c r="CFK93" s="3"/>
      <c r="CFL93" s="3"/>
      <c r="CFM93" s="3"/>
      <c r="CFN93" s="3"/>
      <c r="CFO93" s="3"/>
      <c r="CFP93" s="3"/>
      <c r="CFQ93" s="3"/>
      <c r="CFR93" s="3"/>
      <c r="CFS93" s="3"/>
      <c r="CFT93" s="3"/>
      <c r="CFU93" s="3"/>
      <c r="CFV93" s="3"/>
      <c r="CFW93" s="3"/>
      <c r="CFX93" s="3"/>
      <c r="CFY93" s="3"/>
      <c r="CFZ93" s="3"/>
      <c r="CGA93" s="3"/>
      <c r="CGB93" s="3"/>
      <c r="CGC93" s="3"/>
      <c r="CGD93" s="3"/>
      <c r="CGE93" s="3"/>
      <c r="CGF93" s="3"/>
      <c r="CGG93" s="3"/>
      <c r="CGH93" s="3"/>
      <c r="CGI93" s="3"/>
      <c r="CGJ93" s="3"/>
      <c r="CGK93" s="3"/>
      <c r="CGL93" s="3"/>
      <c r="CGM93" s="3"/>
      <c r="CGN93" s="3"/>
      <c r="CGO93" s="3"/>
      <c r="CGP93" s="3"/>
      <c r="CGQ93" s="3"/>
      <c r="CGR93" s="3"/>
      <c r="CGS93" s="3"/>
      <c r="CGT93" s="3"/>
      <c r="CGU93" s="3"/>
      <c r="CGV93" s="3"/>
      <c r="CGW93" s="3"/>
      <c r="CGX93" s="3"/>
      <c r="CGY93" s="3"/>
      <c r="CGZ93" s="3"/>
      <c r="CHA93" s="3"/>
      <c r="CHB93" s="3"/>
      <c r="CHC93" s="3"/>
      <c r="CHD93" s="3"/>
      <c r="CHE93" s="3"/>
      <c r="CHF93" s="3"/>
      <c r="CHG93" s="3"/>
      <c r="CHH93" s="3"/>
      <c r="CHI93" s="3"/>
      <c r="CHJ93" s="3"/>
      <c r="CHK93" s="3"/>
      <c r="CHL93" s="3"/>
      <c r="CHM93" s="3"/>
      <c r="CHN93" s="3"/>
      <c r="CHO93" s="3"/>
      <c r="CHP93" s="3"/>
      <c r="CHQ93" s="3"/>
      <c r="CHR93" s="3"/>
      <c r="CHS93" s="3"/>
      <c r="CHT93" s="3"/>
      <c r="CHU93" s="3"/>
      <c r="CHV93" s="3"/>
      <c r="CHW93" s="3"/>
      <c r="CHX93" s="3"/>
      <c r="CHY93" s="3"/>
      <c r="CHZ93" s="3"/>
      <c r="CIA93" s="3"/>
      <c r="CIB93" s="3"/>
      <c r="CIC93" s="3"/>
      <c r="CID93" s="3"/>
      <c r="CIE93" s="3"/>
      <c r="CIF93" s="3"/>
      <c r="CIG93" s="3"/>
      <c r="CIH93" s="3"/>
      <c r="CII93" s="3"/>
      <c r="CIJ93" s="3"/>
      <c r="CIK93" s="3"/>
      <c r="CIL93" s="3"/>
      <c r="CIM93" s="3"/>
      <c r="CIN93" s="3"/>
      <c r="CIO93" s="3"/>
      <c r="CIP93" s="3"/>
      <c r="CIQ93" s="3"/>
      <c r="CIR93" s="3"/>
      <c r="CIS93" s="3"/>
      <c r="CIT93" s="3"/>
      <c r="CIU93" s="3"/>
      <c r="CIV93" s="3"/>
      <c r="CIW93" s="3"/>
      <c r="CIX93" s="3"/>
      <c r="CIY93" s="3"/>
      <c r="CIZ93" s="3"/>
      <c r="CJA93" s="3"/>
      <c r="CJB93" s="3"/>
      <c r="CJC93" s="3"/>
      <c r="CJD93" s="3"/>
      <c r="CJE93" s="3"/>
      <c r="CJF93" s="3"/>
      <c r="CJG93" s="3"/>
      <c r="CJH93" s="3"/>
      <c r="CJI93" s="3"/>
      <c r="CJJ93" s="3"/>
      <c r="CJK93" s="3"/>
      <c r="CJL93" s="3"/>
      <c r="CJM93" s="3"/>
      <c r="CJN93" s="3"/>
      <c r="CJO93" s="3"/>
      <c r="CJP93" s="3"/>
      <c r="CJQ93" s="3"/>
      <c r="CJR93" s="3"/>
      <c r="CJS93" s="3"/>
      <c r="CJT93" s="3"/>
      <c r="CJU93" s="3"/>
      <c r="CJV93" s="3"/>
      <c r="CJW93" s="3"/>
      <c r="CJX93" s="3"/>
      <c r="CJY93" s="3"/>
      <c r="CJZ93" s="3"/>
      <c r="CKA93" s="3"/>
      <c r="CKB93" s="3"/>
      <c r="CKC93" s="3"/>
      <c r="CKD93" s="3"/>
      <c r="CKE93" s="3"/>
      <c r="CKF93" s="3"/>
      <c r="CKG93" s="3"/>
      <c r="CKH93" s="3"/>
      <c r="CKI93" s="3"/>
      <c r="CKJ93" s="3"/>
      <c r="CKK93" s="3"/>
      <c r="CKL93" s="3"/>
      <c r="CKM93" s="3"/>
      <c r="CKN93" s="3"/>
      <c r="CKO93" s="3"/>
      <c r="CKP93" s="3"/>
      <c r="CKQ93" s="3"/>
      <c r="CKR93" s="3"/>
      <c r="CKS93" s="3"/>
      <c r="CKT93" s="3"/>
      <c r="CKU93" s="3"/>
      <c r="CKV93" s="3"/>
      <c r="CKW93" s="3"/>
      <c r="CKX93" s="3"/>
      <c r="CKY93" s="3"/>
      <c r="CKZ93" s="3"/>
      <c r="CLA93" s="3"/>
      <c r="CLB93" s="3"/>
      <c r="CLC93" s="3"/>
      <c r="CLD93" s="3"/>
      <c r="CLE93" s="3"/>
      <c r="CLF93" s="3"/>
      <c r="CLG93" s="3"/>
      <c r="CLH93" s="3"/>
      <c r="CLI93" s="3"/>
      <c r="CLJ93" s="3"/>
      <c r="CLK93" s="3"/>
      <c r="CLL93" s="3"/>
      <c r="CLM93" s="3"/>
      <c r="CLN93" s="3"/>
      <c r="CLO93" s="3"/>
      <c r="CLP93" s="3"/>
      <c r="CLQ93" s="3"/>
      <c r="CLR93" s="3"/>
      <c r="CLS93" s="3"/>
      <c r="CLT93" s="3"/>
      <c r="CLU93" s="3"/>
      <c r="CLV93" s="3"/>
      <c r="CLW93" s="3"/>
      <c r="CLX93" s="3"/>
      <c r="CLY93" s="3"/>
      <c r="CLZ93" s="3"/>
      <c r="CMA93" s="3"/>
      <c r="CMB93" s="3"/>
      <c r="CMC93" s="3"/>
      <c r="CMD93" s="3"/>
      <c r="CME93" s="3"/>
      <c r="CMF93" s="3"/>
      <c r="CMG93" s="3"/>
      <c r="CMH93" s="3"/>
      <c r="CMI93" s="3"/>
      <c r="CMJ93" s="3"/>
      <c r="CMK93" s="3"/>
      <c r="CML93" s="3"/>
      <c r="CMM93" s="3"/>
      <c r="CMN93" s="3"/>
      <c r="CMO93" s="3"/>
      <c r="CMP93" s="3"/>
      <c r="CMQ93" s="3"/>
      <c r="CMR93" s="3"/>
      <c r="CMS93" s="3"/>
      <c r="CMT93" s="3"/>
      <c r="CMU93" s="3"/>
      <c r="CMV93" s="3"/>
      <c r="CMW93" s="3"/>
      <c r="CMX93" s="3"/>
      <c r="CMY93" s="3"/>
      <c r="CMZ93" s="3"/>
      <c r="CNA93" s="3"/>
      <c r="CNB93" s="3"/>
      <c r="CNC93" s="3"/>
      <c r="CND93" s="3"/>
      <c r="CNE93" s="3"/>
      <c r="CNF93" s="3"/>
      <c r="CNG93" s="3"/>
      <c r="CNH93" s="3"/>
      <c r="CNI93" s="3"/>
      <c r="CNJ93" s="3"/>
      <c r="CNK93" s="3"/>
      <c r="CNL93" s="3"/>
      <c r="CNM93" s="3"/>
      <c r="CNN93" s="3"/>
      <c r="CNO93" s="3"/>
      <c r="CNP93" s="3"/>
      <c r="CNQ93" s="3"/>
      <c r="CNR93" s="3"/>
      <c r="CNS93" s="3"/>
      <c r="CNT93" s="3"/>
      <c r="CNU93" s="3"/>
      <c r="CNV93" s="3"/>
      <c r="CNW93" s="3"/>
      <c r="CNX93" s="3"/>
      <c r="CNY93" s="3"/>
      <c r="CNZ93" s="3"/>
      <c r="COA93" s="3"/>
      <c r="COB93" s="3"/>
      <c r="COC93" s="3"/>
      <c r="COD93" s="3"/>
      <c r="COE93" s="3"/>
      <c r="COF93" s="3"/>
      <c r="COG93" s="3"/>
      <c r="COH93" s="3"/>
      <c r="COI93" s="3"/>
      <c r="COJ93" s="3"/>
      <c r="COK93" s="3"/>
      <c r="COL93" s="3"/>
      <c r="COM93" s="3"/>
      <c r="CON93" s="3"/>
      <c r="COO93" s="3"/>
      <c r="COP93" s="3"/>
      <c r="COQ93" s="3"/>
      <c r="COR93" s="3"/>
      <c r="COS93" s="3"/>
      <c r="COT93" s="3"/>
      <c r="COU93" s="3"/>
      <c r="COV93" s="3"/>
      <c r="COW93" s="3"/>
      <c r="COX93" s="3"/>
      <c r="COY93" s="3"/>
      <c r="COZ93" s="3"/>
      <c r="CPA93" s="3"/>
      <c r="CPB93" s="3"/>
      <c r="CPC93" s="3"/>
      <c r="CPD93" s="3"/>
      <c r="CPE93" s="3"/>
      <c r="CPF93" s="3"/>
      <c r="CPG93" s="3"/>
      <c r="CPH93" s="3"/>
      <c r="CPI93" s="3"/>
      <c r="CPJ93" s="3"/>
      <c r="CPK93" s="3"/>
      <c r="CPL93" s="3"/>
      <c r="CPM93" s="3"/>
      <c r="CPN93" s="3"/>
      <c r="CPO93" s="3"/>
      <c r="CPP93" s="3"/>
      <c r="CPQ93" s="3"/>
      <c r="CPR93" s="3"/>
      <c r="CPS93" s="3"/>
      <c r="CPT93" s="3"/>
      <c r="CPU93" s="3"/>
      <c r="CPV93" s="3"/>
      <c r="CPW93" s="3"/>
      <c r="CPX93" s="3"/>
      <c r="CPY93" s="3"/>
      <c r="CPZ93" s="3"/>
      <c r="CQA93" s="3"/>
      <c r="CQB93" s="3"/>
      <c r="CQC93" s="3"/>
      <c r="CQD93" s="3"/>
      <c r="CQE93" s="3"/>
      <c r="CQF93" s="3"/>
      <c r="CQG93" s="3"/>
      <c r="CQH93" s="3"/>
      <c r="CQI93" s="3"/>
      <c r="CQJ93" s="3"/>
      <c r="CQK93" s="3"/>
      <c r="CQL93" s="3"/>
      <c r="CQM93" s="3"/>
      <c r="CQN93" s="3"/>
      <c r="CQO93" s="3"/>
      <c r="CQP93" s="3"/>
      <c r="CQQ93" s="3"/>
      <c r="CQR93" s="3"/>
      <c r="CQS93" s="3"/>
      <c r="CQT93" s="3"/>
      <c r="CQU93" s="3"/>
      <c r="CQV93" s="3"/>
      <c r="CQW93" s="3"/>
      <c r="CQX93" s="3"/>
      <c r="CQY93" s="3"/>
      <c r="CQZ93" s="3"/>
      <c r="CRA93" s="3"/>
      <c r="CRB93" s="3"/>
      <c r="CRC93" s="3"/>
      <c r="CRD93" s="3"/>
      <c r="CRE93" s="3"/>
      <c r="CRF93" s="3"/>
      <c r="CRG93" s="3"/>
      <c r="CRH93" s="3"/>
      <c r="CRI93" s="3"/>
      <c r="CRJ93" s="3"/>
      <c r="CRK93" s="3"/>
      <c r="CRL93" s="3"/>
      <c r="CRM93" s="3"/>
      <c r="CRN93" s="3"/>
      <c r="CRO93" s="3"/>
      <c r="CRP93" s="3"/>
      <c r="CRQ93" s="3"/>
      <c r="CRR93" s="3"/>
      <c r="CRS93" s="3"/>
      <c r="CRT93" s="3"/>
      <c r="CRU93" s="3"/>
      <c r="CRV93" s="3"/>
      <c r="CRW93" s="3"/>
      <c r="CRX93" s="3"/>
      <c r="CRY93" s="3"/>
      <c r="CRZ93" s="3"/>
      <c r="CSA93" s="3"/>
      <c r="CSB93" s="3"/>
      <c r="CSC93" s="3"/>
      <c r="CSD93" s="3"/>
      <c r="CSE93" s="3"/>
      <c r="CSF93" s="3"/>
      <c r="CSG93" s="3"/>
      <c r="CSH93" s="3"/>
      <c r="CSI93" s="3"/>
      <c r="CSJ93" s="3"/>
      <c r="CSK93" s="3"/>
      <c r="CSL93" s="3"/>
      <c r="CSM93" s="3"/>
      <c r="CSN93" s="3"/>
      <c r="CSO93" s="3"/>
      <c r="CSP93" s="3"/>
      <c r="CSQ93" s="3"/>
      <c r="CSR93" s="3"/>
      <c r="CSS93" s="3"/>
      <c r="CST93" s="3"/>
      <c r="CSU93" s="3"/>
      <c r="CSV93" s="3"/>
      <c r="CSW93" s="3"/>
      <c r="CSX93" s="3"/>
      <c r="CSY93" s="3"/>
      <c r="CSZ93" s="3"/>
      <c r="CTA93" s="3"/>
      <c r="CTB93" s="3"/>
      <c r="CTC93" s="3"/>
      <c r="CTD93" s="3"/>
      <c r="CTE93" s="3"/>
      <c r="CTF93" s="3"/>
      <c r="CTG93" s="3"/>
      <c r="CTH93" s="3"/>
      <c r="CTI93" s="3"/>
      <c r="CTJ93" s="3"/>
      <c r="CTK93" s="3"/>
      <c r="CTL93" s="3"/>
      <c r="CTM93" s="3"/>
      <c r="CTN93" s="3"/>
      <c r="CTO93" s="3"/>
      <c r="CTP93" s="3"/>
      <c r="CTQ93" s="3"/>
      <c r="CTR93" s="3"/>
      <c r="CTS93" s="3"/>
      <c r="CTT93" s="3"/>
      <c r="CTU93" s="3"/>
      <c r="CTV93" s="3"/>
      <c r="CTW93" s="3"/>
      <c r="CTX93" s="3"/>
      <c r="CTY93" s="3"/>
      <c r="CTZ93" s="3"/>
      <c r="CUA93" s="3"/>
      <c r="CUB93" s="3"/>
      <c r="CUC93" s="3"/>
      <c r="CUD93" s="3"/>
      <c r="CUE93" s="3"/>
      <c r="CUF93" s="3"/>
      <c r="CUG93" s="3"/>
      <c r="CUH93" s="3"/>
      <c r="CUI93" s="3"/>
      <c r="CUJ93" s="3"/>
      <c r="CUK93" s="3"/>
      <c r="CUL93" s="3"/>
      <c r="CUM93" s="3"/>
      <c r="CUN93" s="3"/>
      <c r="CUO93" s="3"/>
      <c r="CUP93" s="3"/>
      <c r="CUQ93" s="3"/>
      <c r="CUR93" s="3"/>
      <c r="CUS93" s="3"/>
      <c r="CUT93" s="3"/>
      <c r="CUU93" s="3"/>
      <c r="CUV93" s="3"/>
      <c r="CUW93" s="3"/>
      <c r="CUX93" s="3"/>
      <c r="CUY93" s="3"/>
      <c r="CUZ93" s="3"/>
      <c r="CVA93" s="3"/>
      <c r="CVB93" s="3"/>
      <c r="CVC93" s="3"/>
      <c r="CVD93" s="3"/>
      <c r="CVE93" s="3"/>
      <c r="CVF93" s="3"/>
      <c r="CVG93" s="3"/>
      <c r="CVH93" s="3"/>
      <c r="CVI93" s="3"/>
      <c r="CVJ93" s="3"/>
      <c r="CVK93" s="3"/>
      <c r="CVL93" s="3"/>
      <c r="CVM93" s="3"/>
      <c r="CVN93" s="3"/>
      <c r="CVO93" s="3"/>
      <c r="CVP93" s="3"/>
      <c r="CVQ93" s="3"/>
      <c r="CVR93" s="3"/>
      <c r="CVS93" s="3"/>
      <c r="CVT93" s="3"/>
      <c r="CVU93" s="3"/>
      <c r="CVV93" s="3"/>
      <c r="CVW93" s="3"/>
      <c r="CVX93" s="3"/>
      <c r="CVY93" s="3"/>
      <c r="CVZ93" s="3"/>
      <c r="CWA93" s="3"/>
      <c r="CWB93" s="3"/>
      <c r="CWC93" s="3"/>
      <c r="CWD93" s="3"/>
      <c r="CWE93" s="3"/>
      <c r="CWF93" s="3"/>
      <c r="CWG93" s="3"/>
      <c r="CWH93" s="3"/>
      <c r="CWI93" s="3"/>
      <c r="CWJ93" s="3"/>
      <c r="CWK93" s="3"/>
      <c r="CWL93" s="3"/>
      <c r="CWM93" s="3"/>
      <c r="CWN93" s="3"/>
      <c r="CWO93" s="3"/>
      <c r="CWP93" s="3"/>
      <c r="CWQ93" s="3"/>
      <c r="CWR93" s="3"/>
      <c r="CWS93" s="3"/>
      <c r="CWT93" s="3"/>
      <c r="CWU93" s="3"/>
      <c r="CWV93" s="3"/>
      <c r="CWW93" s="3"/>
      <c r="CWX93" s="3"/>
      <c r="CWY93" s="3"/>
      <c r="CWZ93" s="3"/>
      <c r="CXA93" s="3"/>
      <c r="CXB93" s="3"/>
      <c r="CXC93" s="3"/>
      <c r="CXD93" s="3"/>
      <c r="CXE93" s="3"/>
      <c r="CXF93" s="3"/>
      <c r="CXG93" s="3"/>
      <c r="CXH93" s="3"/>
      <c r="CXI93" s="3"/>
      <c r="CXJ93" s="3"/>
      <c r="CXK93" s="3"/>
      <c r="CXL93" s="3"/>
      <c r="CXM93" s="3"/>
      <c r="CXN93" s="3"/>
      <c r="CXO93" s="3"/>
      <c r="CXP93" s="3"/>
      <c r="CXQ93" s="3"/>
      <c r="CXR93" s="3"/>
      <c r="CXS93" s="3"/>
      <c r="CXT93" s="3"/>
      <c r="CXU93" s="3"/>
      <c r="CXV93" s="3"/>
      <c r="CXW93" s="3"/>
      <c r="CXX93" s="3"/>
      <c r="CXY93" s="3"/>
      <c r="CXZ93" s="3"/>
      <c r="CYA93" s="3"/>
      <c r="CYB93" s="3"/>
      <c r="CYC93" s="3"/>
      <c r="CYD93" s="3"/>
      <c r="CYE93" s="3"/>
      <c r="CYF93" s="3"/>
      <c r="CYG93" s="3"/>
      <c r="CYH93" s="3"/>
      <c r="CYI93" s="3"/>
      <c r="CYJ93" s="3"/>
      <c r="CYK93" s="3"/>
      <c r="CYL93" s="3"/>
      <c r="CYM93" s="3"/>
      <c r="CYN93" s="3"/>
      <c r="CYO93" s="3"/>
      <c r="CYP93" s="3"/>
      <c r="CYQ93" s="3"/>
      <c r="CYR93" s="3"/>
      <c r="CYS93" s="3"/>
      <c r="CYT93" s="3"/>
      <c r="CYU93" s="3"/>
      <c r="CYV93" s="3"/>
      <c r="CYW93" s="3"/>
      <c r="CYX93" s="3"/>
      <c r="CYY93" s="3"/>
      <c r="CYZ93" s="3"/>
      <c r="CZA93" s="3"/>
      <c r="CZB93" s="3"/>
      <c r="CZC93" s="3"/>
      <c r="CZD93" s="3"/>
      <c r="CZE93" s="3"/>
      <c r="CZF93" s="3"/>
      <c r="CZG93" s="3"/>
      <c r="CZH93" s="3"/>
      <c r="CZI93" s="3"/>
      <c r="CZJ93" s="3"/>
      <c r="CZK93" s="3"/>
      <c r="CZL93" s="3"/>
      <c r="CZM93" s="3"/>
      <c r="CZN93" s="3"/>
      <c r="CZO93" s="3"/>
      <c r="CZP93" s="3"/>
      <c r="CZQ93" s="3"/>
      <c r="CZR93" s="3"/>
      <c r="CZS93" s="3"/>
      <c r="CZT93" s="3"/>
      <c r="CZU93" s="3"/>
      <c r="CZV93" s="3"/>
      <c r="CZW93" s="3"/>
      <c r="CZX93" s="3"/>
      <c r="CZY93" s="3"/>
      <c r="CZZ93" s="3"/>
      <c r="DAA93" s="3"/>
      <c r="DAB93" s="3"/>
      <c r="DAC93" s="3"/>
      <c r="DAD93" s="3"/>
      <c r="DAE93" s="3"/>
      <c r="DAF93" s="3"/>
      <c r="DAG93" s="3"/>
      <c r="DAH93" s="3"/>
      <c r="DAI93" s="3"/>
      <c r="DAJ93" s="3"/>
      <c r="DAK93" s="3"/>
      <c r="DAL93" s="3"/>
      <c r="DAM93" s="3"/>
      <c r="DAN93" s="3"/>
      <c r="DAO93" s="3"/>
      <c r="DAP93" s="3"/>
      <c r="DAQ93" s="3"/>
      <c r="DAR93" s="3"/>
      <c r="DAS93" s="3"/>
      <c r="DAT93" s="3"/>
      <c r="DAU93" s="3"/>
      <c r="DAV93" s="3"/>
      <c r="DAW93" s="3"/>
      <c r="DAX93" s="3"/>
      <c r="DAY93" s="3"/>
      <c r="DAZ93" s="3"/>
      <c r="DBA93" s="3"/>
      <c r="DBB93" s="3"/>
      <c r="DBC93" s="3"/>
      <c r="DBD93" s="3"/>
      <c r="DBE93" s="3"/>
      <c r="DBF93" s="3"/>
      <c r="DBG93" s="3"/>
      <c r="DBH93" s="3"/>
      <c r="DBI93" s="3"/>
      <c r="DBJ93" s="3"/>
      <c r="DBK93" s="3"/>
      <c r="DBL93" s="3"/>
      <c r="DBM93" s="3"/>
      <c r="DBN93" s="3"/>
      <c r="DBO93" s="3"/>
      <c r="DBP93" s="3"/>
      <c r="DBQ93" s="3"/>
      <c r="DBR93" s="3"/>
      <c r="DBS93" s="3"/>
      <c r="DBT93" s="3"/>
      <c r="DBU93" s="3"/>
      <c r="DBV93" s="3"/>
      <c r="DBW93" s="3"/>
      <c r="DBX93" s="3"/>
      <c r="DBY93" s="3"/>
      <c r="DBZ93" s="3"/>
      <c r="DCA93" s="3"/>
      <c r="DCB93" s="3"/>
      <c r="DCC93" s="3"/>
      <c r="DCD93" s="3"/>
      <c r="DCE93" s="3"/>
      <c r="DCF93" s="3"/>
      <c r="DCG93" s="3"/>
      <c r="DCH93" s="3"/>
      <c r="DCI93" s="3"/>
      <c r="DCJ93" s="3"/>
      <c r="DCK93" s="3"/>
      <c r="DCL93" s="3"/>
      <c r="DCM93" s="3"/>
      <c r="DCN93" s="3"/>
      <c r="DCO93" s="3"/>
      <c r="DCP93" s="3"/>
      <c r="DCQ93" s="3"/>
      <c r="DCR93" s="3"/>
      <c r="DCS93" s="3"/>
      <c r="DCT93" s="3"/>
      <c r="DCU93" s="3"/>
      <c r="DCV93" s="3"/>
      <c r="DCW93" s="3"/>
      <c r="DCX93" s="3"/>
      <c r="DCY93" s="3"/>
      <c r="DCZ93" s="3"/>
      <c r="DDA93" s="3"/>
      <c r="DDB93" s="3"/>
      <c r="DDC93" s="3"/>
      <c r="DDD93" s="3"/>
      <c r="DDE93" s="3"/>
      <c r="DDF93" s="3"/>
      <c r="DDG93" s="3"/>
      <c r="DDH93" s="3"/>
      <c r="DDI93" s="3"/>
      <c r="DDJ93" s="3"/>
      <c r="DDK93" s="3"/>
      <c r="DDL93" s="3"/>
      <c r="DDM93" s="3"/>
      <c r="DDN93" s="3"/>
      <c r="DDO93" s="3"/>
      <c r="DDP93" s="3"/>
      <c r="DDQ93" s="3"/>
      <c r="DDR93" s="3"/>
      <c r="DDS93" s="3"/>
      <c r="DDT93" s="3"/>
      <c r="DDU93" s="3"/>
      <c r="DDV93" s="3"/>
      <c r="DDW93" s="3"/>
      <c r="DDX93" s="3"/>
      <c r="DDY93" s="3"/>
      <c r="DDZ93" s="3"/>
      <c r="DEA93" s="3"/>
      <c r="DEB93" s="3"/>
      <c r="DEC93" s="3"/>
      <c r="DED93" s="3"/>
      <c r="DEE93" s="3"/>
      <c r="DEF93" s="3"/>
      <c r="DEG93" s="3"/>
      <c r="DEH93" s="3"/>
      <c r="DEI93" s="3"/>
      <c r="DEJ93" s="3"/>
      <c r="DEK93" s="3"/>
      <c r="DEL93" s="3"/>
      <c r="DEM93" s="3"/>
      <c r="DEN93" s="3"/>
      <c r="DEO93" s="3"/>
      <c r="DEP93" s="3"/>
      <c r="DEQ93" s="3"/>
      <c r="DER93" s="3"/>
      <c r="DES93" s="3"/>
      <c r="DET93" s="3"/>
      <c r="DEU93" s="3"/>
      <c r="DEV93" s="3"/>
      <c r="DEW93" s="3"/>
      <c r="DEX93" s="3"/>
      <c r="DEY93" s="3"/>
      <c r="DEZ93" s="3"/>
      <c r="DFA93" s="3"/>
      <c r="DFB93" s="3"/>
      <c r="DFC93" s="3"/>
      <c r="DFD93" s="3"/>
      <c r="DFE93" s="3"/>
      <c r="DFF93" s="3"/>
      <c r="DFG93" s="3"/>
      <c r="DFH93" s="3"/>
      <c r="DFI93" s="3"/>
      <c r="DFJ93" s="3"/>
      <c r="DFK93" s="3"/>
      <c r="DFL93" s="3"/>
      <c r="DFM93" s="3"/>
      <c r="DFN93" s="3"/>
      <c r="DFO93" s="3"/>
      <c r="DFP93" s="3"/>
      <c r="DFQ93" s="3"/>
      <c r="DFR93" s="3"/>
      <c r="DFS93" s="3"/>
      <c r="DFT93" s="3"/>
      <c r="DFU93" s="3"/>
      <c r="DFV93" s="3"/>
      <c r="DFW93" s="3"/>
      <c r="DFX93" s="3"/>
      <c r="DFY93" s="3"/>
      <c r="DFZ93" s="3"/>
      <c r="DGA93" s="3"/>
      <c r="DGB93" s="3"/>
      <c r="DGC93" s="3"/>
      <c r="DGD93" s="3"/>
      <c r="DGE93" s="3"/>
      <c r="DGF93" s="3"/>
      <c r="DGG93" s="3"/>
      <c r="DGH93" s="3"/>
      <c r="DGI93" s="3"/>
      <c r="DGJ93" s="3"/>
      <c r="DGK93" s="3"/>
      <c r="DGL93" s="3"/>
      <c r="DGM93" s="3"/>
      <c r="DGN93" s="3"/>
      <c r="DGO93" s="3"/>
      <c r="DGP93" s="3"/>
      <c r="DGQ93" s="3"/>
      <c r="DGR93" s="3"/>
      <c r="DGS93" s="3"/>
      <c r="DGT93" s="3"/>
      <c r="DGU93" s="3"/>
      <c r="DGV93" s="3"/>
      <c r="DGW93" s="3"/>
      <c r="DGX93" s="3"/>
      <c r="DGY93" s="3"/>
      <c r="DGZ93" s="3"/>
      <c r="DHA93" s="3"/>
      <c r="DHB93" s="3"/>
      <c r="DHC93" s="3"/>
      <c r="DHD93" s="3"/>
      <c r="DHE93" s="3"/>
      <c r="DHF93" s="3"/>
      <c r="DHG93" s="3"/>
      <c r="DHH93" s="3"/>
      <c r="DHI93" s="3"/>
      <c r="DHJ93" s="3"/>
      <c r="DHK93" s="3"/>
      <c r="DHL93" s="3"/>
      <c r="DHM93" s="3"/>
      <c r="DHN93" s="3"/>
      <c r="DHO93" s="3"/>
      <c r="DHP93" s="3"/>
      <c r="DHQ93" s="3"/>
      <c r="DHR93" s="3"/>
      <c r="DHS93" s="3"/>
      <c r="DHT93" s="3"/>
      <c r="DHU93" s="3"/>
      <c r="DHV93" s="3"/>
      <c r="DHW93" s="3"/>
      <c r="DHX93" s="3"/>
      <c r="DHY93" s="3"/>
      <c r="DHZ93" s="3"/>
      <c r="DIA93" s="3"/>
      <c r="DIB93" s="3"/>
      <c r="DIC93" s="3"/>
      <c r="DID93" s="3"/>
      <c r="DIE93" s="3"/>
      <c r="DIF93" s="3"/>
      <c r="DIG93" s="3"/>
      <c r="DIH93" s="3"/>
      <c r="DII93" s="3"/>
      <c r="DIJ93" s="3"/>
      <c r="DIK93" s="3"/>
      <c r="DIL93" s="3"/>
      <c r="DIM93" s="3"/>
      <c r="DIN93" s="3"/>
      <c r="DIO93" s="3"/>
      <c r="DIP93" s="3"/>
      <c r="DIQ93" s="3"/>
      <c r="DIR93" s="3"/>
      <c r="DIS93" s="3"/>
      <c r="DIT93" s="3"/>
      <c r="DIU93" s="3"/>
      <c r="DIV93" s="3"/>
      <c r="DIW93" s="3"/>
      <c r="DIX93" s="3"/>
      <c r="DIY93" s="3"/>
      <c r="DIZ93" s="3"/>
      <c r="DJA93" s="3"/>
      <c r="DJB93" s="3"/>
      <c r="DJC93" s="3"/>
      <c r="DJD93" s="3"/>
      <c r="DJE93" s="3"/>
      <c r="DJF93" s="3"/>
      <c r="DJG93" s="3"/>
      <c r="DJH93" s="3"/>
      <c r="DJI93" s="3"/>
      <c r="DJJ93" s="3"/>
      <c r="DJK93" s="3"/>
      <c r="DJL93" s="3"/>
      <c r="DJM93" s="3"/>
      <c r="DJN93" s="3"/>
      <c r="DJO93" s="3"/>
      <c r="DJP93" s="3"/>
      <c r="DJQ93" s="3"/>
      <c r="DJR93" s="3"/>
      <c r="DJS93" s="3"/>
      <c r="DJT93" s="3"/>
      <c r="DJU93" s="3"/>
      <c r="DJV93" s="3"/>
      <c r="DJW93" s="3"/>
      <c r="DJX93" s="3"/>
      <c r="DJY93" s="3"/>
      <c r="DJZ93" s="3"/>
      <c r="DKA93" s="3"/>
      <c r="DKB93" s="3"/>
      <c r="DKC93" s="3"/>
      <c r="DKD93" s="3"/>
      <c r="DKE93" s="3"/>
      <c r="DKF93" s="3"/>
      <c r="DKG93" s="3"/>
      <c r="DKH93" s="3"/>
      <c r="DKI93" s="3"/>
      <c r="DKJ93" s="3"/>
      <c r="DKK93" s="3"/>
      <c r="DKL93" s="3"/>
      <c r="DKM93" s="3"/>
      <c r="DKN93" s="3"/>
      <c r="DKO93" s="3"/>
      <c r="DKP93" s="3"/>
      <c r="DKQ93" s="3"/>
      <c r="DKR93" s="3"/>
      <c r="DKS93" s="3"/>
      <c r="DKT93" s="3"/>
      <c r="DKU93" s="3"/>
      <c r="DKV93" s="3"/>
      <c r="DKW93" s="3"/>
      <c r="DKX93" s="3"/>
      <c r="DKY93" s="3"/>
      <c r="DKZ93" s="3"/>
      <c r="DLA93" s="3"/>
      <c r="DLB93" s="3"/>
      <c r="DLC93" s="3"/>
      <c r="DLD93" s="3"/>
      <c r="DLE93" s="3"/>
      <c r="DLF93" s="3"/>
      <c r="DLG93" s="3"/>
      <c r="DLH93" s="3"/>
      <c r="DLI93" s="3"/>
      <c r="DLJ93" s="3"/>
      <c r="DLK93" s="3"/>
      <c r="DLL93" s="3"/>
      <c r="DLM93" s="3"/>
      <c r="DLN93" s="3"/>
      <c r="DLO93" s="3"/>
      <c r="DLP93" s="3"/>
      <c r="DLQ93" s="3"/>
      <c r="DLR93" s="3"/>
      <c r="DLS93" s="3"/>
      <c r="DLT93" s="3"/>
      <c r="DLU93" s="3"/>
      <c r="DLV93" s="3"/>
      <c r="DLW93" s="3"/>
      <c r="DLX93" s="3"/>
      <c r="DLY93" s="3"/>
      <c r="DLZ93" s="3"/>
      <c r="DMA93" s="3"/>
      <c r="DMB93" s="3"/>
      <c r="DMC93" s="3"/>
      <c r="DMD93" s="3"/>
      <c r="DME93" s="3"/>
      <c r="DMF93" s="3"/>
      <c r="DMG93" s="3"/>
      <c r="DMH93" s="3"/>
      <c r="DMI93" s="3"/>
      <c r="DMJ93" s="3"/>
      <c r="DMK93" s="3"/>
      <c r="DML93" s="3"/>
      <c r="DMM93" s="3"/>
      <c r="DMN93" s="3"/>
      <c r="DMO93" s="3"/>
      <c r="DMP93" s="3"/>
      <c r="DMQ93" s="3"/>
      <c r="DMR93" s="3"/>
      <c r="DMS93" s="3"/>
      <c r="DMT93" s="3"/>
      <c r="DMU93" s="3"/>
      <c r="DMV93" s="3"/>
      <c r="DMW93" s="3"/>
      <c r="DMX93" s="3"/>
      <c r="DMY93" s="3"/>
      <c r="DMZ93" s="3"/>
      <c r="DNA93" s="3"/>
      <c r="DNB93" s="3"/>
      <c r="DNC93" s="3"/>
      <c r="DND93" s="3"/>
      <c r="DNE93" s="3"/>
      <c r="DNF93" s="3"/>
      <c r="DNG93" s="3"/>
      <c r="DNH93" s="3"/>
      <c r="DNI93" s="3"/>
      <c r="DNJ93" s="3"/>
      <c r="DNK93" s="3"/>
      <c r="DNL93" s="3"/>
      <c r="DNM93" s="3"/>
      <c r="DNN93" s="3"/>
      <c r="DNO93" s="3"/>
      <c r="DNP93" s="3"/>
      <c r="DNQ93" s="3"/>
      <c r="DNR93" s="3"/>
      <c r="DNS93" s="3"/>
      <c r="DNT93" s="3"/>
      <c r="DNU93" s="3"/>
      <c r="DNV93" s="3"/>
      <c r="DNW93" s="3"/>
      <c r="DNX93" s="3"/>
      <c r="DNY93" s="3"/>
      <c r="DNZ93" s="3"/>
      <c r="DOA93" s="3"/>
      <c r="DOB93" s="3"/>
      <c r="DOC93" s="3"/>
      <c r="DOD93" s="3"/>
      <c r="DOE93" s="3"/>
      <c r="DOF93" s="3"/>
      <c r="DOG93" s="3"/>
      <c r="DOH93" s="3"/>
      <c r="DOI93" s="3"/>
      <c r="DOJ93" s="3"/>
      <c r="DOK93" s="3"/>
      <c r="DOL93" s="3"/>
      <c r="DOM93" s="3"/>
      <c r="DON93" s="3"/>
      <c r="DOO93" s="3"/>
      <c r="DOP93" s="3"/>
      <c r="DOQ93" s="3"/>
      <c r="DOR93" s="3"/>
      <c r="DOS93" s="3"/>
      <c r="DOT93" s="3"/>
      <c r="DOU93" s="3"/>
      <c r="DOV93" s="3"/>
      <c r="DOW93" s="3"/>
      <c r="DOX93" s="3"/>
      <c r="DOY93" s="3"/>
      <c r="DOZ93" s="3"/>
      <c r="DPA93" s="3"/>
      <c r="DPB93" s="3"/>
      <c r="DPC93" s="3"/>
      <c r="DPD93" s="3"/>
      <c r="DPE93" s="3"/>
      <c r="DPF93" s="3"/>
      <c r="DPG93" s="3"/>
      <c r="DPH93" s="3"/>
      <c r="DPI93" s="3"/>
      <c r="DPJ93" s="3"/>
      <c r="DPK93" s="3"/>
      <c r="DPL93" s="3"/>
      <c r="DPM93" s="3"/>
      <c r="DPN93" s="3"/>
      <c r="DPO93" s="3"/>
      <c r="DPP93" s="3"/>
      <c r="DPQ93" s="3"/>
      <c r="DPR93" s="3"/>
      <c r="DPS93" s="3"/>
      <c r="DPT93" s="3"/>
      <c r="DPU93" s="3"/>
      <c r="DPV93" s="3"/>
      <c r="DPW93" s="3"/>
      <c r="DPX93" s="3"/>
      <c r="DPY93" s="3"/>
      <c r="DPZ93" s="3"/>
      <c r="DQA93" s="3"/>
      <c r="DQB93" s="3"/>
      <c r="DQC93" s="3"/>
      <c r="DQD93" s="3"/>
      <c r="DQE93" s="3"/>
      <c r="DQF93" s="3"/>
      <c r="DQG93" s="3"/>
      <c r="DQH93" s="3"/>
      <c r="DQI93" s="3"/>
      <c r="DQJ93" s="3"/>
      <c r="DQK93" s="3"/>
      <c r="DQL93" s="3"/>
      <c r="DQM93" s="3"/>
      <c r="DQN93" s="3"/>
      <c r="DQO93" s="3"/>
      <c r="DQP93" s="3"/>
      <c r="DQQ93" s="3"/>
      <c r="DQR93" s="3"/>
      <c r="DQS93" s="3"/>
      <c r="DQT93" s="3"/>
      <c r="DQU93" s="3"/>
      <c r="DQV93" s="3"/>
      <c r="DQW93" s="3"/>
      <c r="DQX93" s="3"/>
      <c r="DQY93" s="3"/>
      <c r="DQZ93" s="3"/>
      <c r="DRA93" s="3"/>
      <c r="DRB93" s="3"/>
      <c r="DRC93" s="3"/>
      <c r="DRD93" s="3"/>
      <c r="DRE93" s="3"/>
      <c r="DRF93" s="3"/>
      <c r="DRG93" s="3"/>
      <c r="DRH93" s="3"/>
      <c r="DRI93" s="3"/>
      <c r="DRJ93" s="3"/>
      <c r="DRK93" s="3"/>
      <c r="DRL93" s="3"/>
      <c r="DRM93" s="3"/>
      <c r="DRN93" s="3"/>
      <c r="DRO93" s="3"/>
      <c r="DRP93" s="3"/>
      <c r="DRQ93" s="3"/>
      <c r="DRR93" s="3"/>
      <c r="DRS93" s="3"/>
      <c r="DRT93" s="3"/>
      <c r="DRU93" s="3"/>
      <c r="DRV93" s="3"/>
      <c r="DRW93" s="3"/>
      <c r="DRX93" s="3"/>
      <c r="DRY93" s="3"/>
      <c r="DRZ93" s="3"/>
      <c r="DSA93" s="3"/>
      <c r="DSB93" s="3"/>
      <c r="DSC93" s="3"/>
      <c r="DSD93" s="3"/>
      <c r="DSE93" s="3"/>
      <c r="DSF93" s="3"/>
      <c r="DSG93" s="3"/>
      <c r="DSH93" s="3"/>
      <c r="DSI93" s="3"/>
      <c r="DSJ93" s="3"/>
      <c r="DSK93" s="3"/>
      <c r="DSL93" s="3"/>
      <c r="DSM93" s="3"/>
      <c r="DSN93" s="3"/>
      <c r="DSO93" s="3"/>
      <c r="DSP93" s="3"/>
      <c r="DSQ93" s="3"/>
      <c r="DSR93" s="3"/>
      <c r="DSS93" s="3"/>
      <c r="DST93" s="3"/>
      <c r="DSU93" s="3"/>
      <c r="DSV93" s="3"/>
      <c r="DSW93" s="3"/>
      <c r="DSX93" s="3"/>
      <c r="DSY93" s="3"/>
      <c r="DSZ93" s="3"/>
      <c r="DTA93" s="3"/>
      <c r="DTB93" s="3"/>
      <c r="DTC93" s="3"/>
      <c r="DTD93" s="3"/>
      <c r="DTE93" s="3"/>
      <c r="DTF93" s="3"/>
      <c r="DTG93" s="3"/>
      <c r="DTH93" s="3"/>
      <c r="DTI93" s="3"/>
      <c r="DTJ93" s="3"/>
      <c r="DTK93" s="3"/>
      <c r="DTL93" s="3"/>
      <c r="DTM93" s="3"/>
      <c r="DTN93" s="3"/>
      <c r="DTO93" s="3"/>
      <c r="DTP93" s="3"/>
      <c r="DTQ93" s="3"/>
      <c r="DTR93" s="3"/>
      <c r="DTS93" s="3"/>
      <c r="DTT93" s="3"/>
      <c r="DTU93" s="3"/>
      <c r="DTV93" s="3"/>
      <c r="DTW93" s="3"/>
      <c r="DTX93" s="3"/>
      <c r="DTY93" s="3"/>
      <c r="DTZ93" s="3"/>
      <c r="DUA93" s="3"/>
      <c r="DUB93" s="3"/>
      <c r="DUC93" s="3"/>
      <c r="DUD93" s="3"/>
      <c r="DUE93" s="3"/>
      <c r="DUF93" s="3"/>
      <c r="DUG93" s="3"/>
      <c r="DUH93" s="3"/>
      <c r="DUI93" s="3"/>
      <c r="DUJ93" s="3"/>
      <c r="DUK93" s="3"/>
      <c r="DUL93" s="3"/>
      <c r="DUM93" s="3"/>
      <c r="DUN93" s="3"/>
      <c r="DUO93" s="3"/>
      <c r="DUP93" s="3"/>
      <c r="DUQ93" s="3"/>
      <c r="DUR93" s="3"/>
      <c r="DUS93" s="3"/>
      <c r="DUT93" s="3"/>
      <c r="DUU93" s="3"/>
      <c r="DUV93" s="3"/>
      <c r="DUW93" s="3"/>
      <c r="DUX93" s="3"/>
      <c r="DUY93" s="3"/>
      <c r="DUZ93" s="3"/>
      <c r="DVA93" s="3"/>
      <c r="DVB93" s="3"/>
      <c r="DVC93" s="3"/>
      <c r="DVD93" s="3"/>
      <c r="DVE93" s="3"/>
      <c r="DVF93" s="3"/>
      <c r="DVG93" s="3"/>
      <c r="DVH93" s="3"/>
      <c r="DVI93" s="3"/>
      <c r="DVJ93" s="3"/>
      <c r="DVK93" s="3"/>
      <c r="DVL93" s="3"/>
      <c r="DVM93" s="3"/>
      <c r="DVN93" s="3"/>
      <c r="DVO93" s="3"/>
      <c r="DVP93" s="3"/>
      <c r="DVQ93" s="3"/>
      <c r="DVR93" s="3"/>
      <c r="DVS93" s="3"/>
      <c r="DVT93" s="3"/>
      <c r="DVU93" s="3"/>
      <c r="DVV93" s="3"/>
      <c r="DVW93" s="3"/>
      <c r="DVX93" s="3"/>
      <c r="DVY93" s="3"/>
      <c r="DVZ93" s="3"/>
      <c r="DWA93" s="3"/>
      <c r="DWB93" s="3"/>
      <c r="DWC93" s="3"/>
      <c r="DWD93" s="3"/>
      <c r="DWE93" s="3"/>
      <c r="DWF93" s="3"/>
      <c r="DWG93" s="3"/>
      <c r="DWH93" s="3"/>
      <c r="DWI93" s="3"/>
      <c r="DWJ93" s="3"/>
      <c r="DWK93" s="3"/>
      <c r="DWL93" s="3"/>
      <c r="DWM93" s="3"/>
      <c r="DWN93" s="3"/>
      <c r="DWO93" s="3"/>
      <c r="DWP93" s="3"/>
      <c r="DWQ93" s="3"/>
      <c r="DWR93" s="3"/>
      <c r="DWS93" s="3"/>
      <c r="DWT93" s="3"/>
      <c r="DWU93" s="3"/>
      <c r="DWV93" s="3"/>
      <c r="DWW93" s="3"/>
      <c r="DWX93" s="3"/>
      <c r="DWY93" s="3"/>
      <c r="DWZ93" s="3"/>
      <c r="DXA93" s="3"/>
      <c r="DXB93" s="3"/>
      <c r="DXC93" s="3"/>
      <c r="DXD93" s="3"/>
      <c r="DXE93" s="3"/>
      <c r="DXF93" s="3"/>
      <c r="DXG93" s="3"/>
      <c r="DXH93" s="3"/>
      <c r="DXI93" s="3"/>
      <c r="DXJ93" s="3"/>
      <c r="DXK93" s="3"/>
      <c r="DXL93" s="3"/>
      <c r="DXM93" s="3"/>
      <c r="DXN93" s="3"/>
      <c r="DXO93" s="3"/>
      <c r="DXP93" s="3"/>
      <c r="DXQ93" s="3"/>
      <c r="DXR93" s="3"/>
      <c r="DXS93" s="3"/>
      <c r="DXT93" s="3"/>
      <c r="DXU93" s="3"/>
      <c r="DXV93" s="3"/>
      <c r="DXW93" s="3"/>
      <c r="DXX93" s="3"/>
      <c r="DXY93" s="3"/>
      <c r="DXZ93" s="3"/>
      <c r="DYA93" s="3"/>
      <c r="DYB93" s="3"/>
      <c r="DYC93" s="3"/>
      <c r="DYD93" s="3"/>
      <c r="DYE93" s="3"/>
      <c r="DYF93" s="3"/>
      <c r="DYG93" s="3"/>
      <c r="DYH93" s="3"/>
      <c r="DYI93" s="3"/>
      <c r="DYJ93" s="3"/>
      <c r="DYK93" s="3"/>
      <c r="DYL93" s="3"/>
      <c r="DYM93" s="3"/>
      <c r="DYN93" s="3"/>
      <c r="DYO93" s="3"/>
      <c r="DYP93" s="3"/>
      <c r="DYQ93" s="3"/>
      <c r="DYR93" s="3"/>
      <c r="DYS93" s="3"/>
      <c r="DYT93" s="3"/>
      <c r="DYU93" s="3"/>
      <c r="DYV93" s="3"/>
      <c r="DYW93" s="3"/>
      <c r="DYX93" s="3"/>
      <c r="DYY93" s="3"/>
      <c r="DYZ93" s="3"/>
      <c r="DZA93" s="3"/>
      <c r="DZB93" s="3"/>
      <c r="DZC93" s="3"/>
      <c r="DZD93" s="3"/>
      <c r="DZE93" s="3"/>
      <c r="DZF93" s="3"/>
      <c r="DZG93" s="3"/>
      <c r="DZH93" s="3"/>
      <c r="DZI93" s="3"/>
      <c r="DZJ93" s="3"/>
      <c r="DZK93" s="3"/>
      <c r="DZL93" s="3"/>
      <c r="DZM93" s="3"/>
      <c r="DZN93" s="3"/>
      <c r="DZO93" s="3"/>
      <c r="DZP93" s="3"/>
      <c r="DZQ93" s="3"/>
      <c r="DZR93" s="3"/>
      <c r="DZS93" s="3"/>
      <c r="DZT93" s="3"/>
      <c r="DZU93" s="3"/>
      <c r="DZV93" s="3"/>
      <c r="DZW93" s="3"/>
      <c r="DZX93" s="3"/>
      <c r="DZY93" s="3"/>
      <c r="DZZ93" s="3"/>
      <c r="EAA93" s="3"/>
      <c r="EAB93" s="3"/>
      <c r="EAC93" s="3"/>
      <c r="EAD93" s="3"/>
      <c r="EAE93" s="3"/>
      <c r="EAF93" s="3"/>
      <c r="EAG93" s="3"/>
      <c r="EAH93" s="3"/>
      <c r="EAI93" s="3"/>
      <c r="EAJ93" s="3"/>
      <c r="EAK93" s="3"/>
      <c r="EAL93" s="3"/>
      <c r="EAM93" s="3"/>
      <c r="EAN93" s="3"/>
      <c r="EAO93" s="3"/>
      <c r="EAP93" s="3"/>
      <c r="EAQ93" s="3"/>
      <c r="EAR93" s="3"/>
      <c r="EAS93" s="3"/>
      <c r="EAT93" s="3"/>
      <c r="EAU93" s="3"/>
      <c r="EAV93" s="3"/>
      <c r="EAW93" s="3"/>
      <c r="EAX93" s="3"/>
      <c r="EAY93" s="3"/>
      <c r="EAZ93" s="3"/>
      <c r="EBA93" s="3"/>
      <c r="EBB93" s="3"/>
      <c r="EBC93" s="3"/>
      <c r="EBD93" s="3"/>
      <c r="EBE93" s="3"/>
      <c r="EBF93" s="3"/>
      <c r="EBG93" s="3"/>
      <c r="EBH93" s="3"/>
      <c r="EBI93" s="3"/>
      <c r="EBJ93" s="3"/>
      <c r="EBK93" s="3"/>
      <c r="EBL93" s="3"/>
      <c r="EBM93" s="3"/>
      <c r="EBN93" s="3"/>
      <c r="EBO93" s="3"/>
      <c r="EBP93" s="3"/>
      <c r="EBQ93" s="3"/>
      <c r="EBR93" s="3"/>
      <c r="EBS93" s="3"/>
      <c r="EBT93" s="3"/>
      <c r="EBU93" s="3"/>
      <c r="EBV93" s="3"/>
      <c r="EBW93" s="3"/>
      <c r="EBX93" s="3"/>
      <c r="EBY93" s="3"/>
      <c r="EBZ93" s="3"/>
      <c r="ECA93" s="3"/>
      <c r="ECB93" s="3"/>
      <c r="ECC93" s="3"/>
      <c r="ECD93" s="3"/>
      <c r="ECE93" s="3"/>
      <c r="ECF93" s="3"/>
      <c r="ECG93" s="3"/>
      <c r="ECH93" s="3"/>
      <c r="ECI93" s="3"/>
      <c r="ECJ93" s="3"/>
      <c r="ECK93" s="3"/>
      <c r="ECL93" s="3"/>
      <c r="ECM93" s="3"/>
      <c r="ECN93" s="3"/>
      <c r="ECO93" s="3"/>
      <c r="ECP93" s="3"/>
      <c r="ECQ93" s="3"/>
      <c r="ECR93" s="3"/>
      <c r="ECS93" s="3"/>
      <c r="ECT93" s="3"/>
      <c r="ECU93" s="3"/>
      <c r="ECV93" s="3"/>
      <c r="ECW93" s="3"/>
      <c r="ECX93" s="3"/>
      <c r="ECY93" s="3"/>
      <c r="ECZ93" s="3"/>
      <c r="EDA93" s="3"/>
      <c r="EDB93" s="3"/>
      <c r="EDC93" s="3"/>
      <c r="EDD93" s="3"/>
      <c r="EDE93" s="3"/>
      <c r="EDF93" s="3"/>
      <c r="EDG93" s="3"/>
      <c r="EDH93" s="3"/>
      <c r="EDI93" s="3"/>
      <c r="EDJ93" s="3"/>
      <c r="EDK93" s="3"/>
      <c r="EDL93" s="3"/>
      <c r="EDM93" s="3"/>
      <c r="EDN93" s="3"/>
      <c r="EDO93" s="3"/>
      <c r="EDP93" s="3"/>
      <c r="EDQ93" s="3"/>
      <c r="EDR93" s="3"/>
      <c r="EDS93" s="3"/>
      <c r="EDT93" s="3"/>
      <c r="EDU93" s="3"/>
      <c r="EDV93" s="3"/>
      <c r="EDW93" s="3"/>
      <c r="EDX93" s="3"/>
      <c r="EDY93" s="3"/>
      <c r="EDZ93" s="3"/>
      <c r="EEA93" s="3"/>
      <c r="EEB93" s="3"/>
      <c r="EEC93" s="3"/>
      <c r="EED93" s="3"/>
      <c r="EEE93" s="3"/>
      <c r="EEF93" s="3"/>
      <c r="EEG93" s="3"/>
      <c r="EEH93" s="3"/>
      <c r="EEI93" s="3"/>
      <c r="EEJ93" s="3"/>
      <c r="EEK93" s="3"/>
      <c r="EEL93" s="3"/>
      <c r="EEM93" s="3"/>
      <c r="EEN93" s="3"/>
      <c r="EEO93" s="3"/>
      <c r="EEP93" s="3"/>
      <c r="EEQ93" s="3"/>
      <c r="EER93" s="3"/>
      <c r="EES93" s="3"/>
      <c r="EET93" s="3"/>
      <c r="EEU93" s="3"/>
      <c r="EEV93" s="3"/>
      <c r="EEW93" s="3"/>
      <c r="EEX93" s="3"/>
      <c r="EEY93" s="3"/>
      <c r="EEZ93" s="3"/>
      <c r="EFA93" s="3"/>
      <c r="EFB93" s="3"/>
      <c r="EFC93" s="3"/>
      <c r="EFD93" s="3"/>
      <c r="EFE93" s="3"/>
      <c r="EFF93" s="3"/>
      <c r="EFG93" s="3"/>
      <c r="EFH93" s="3"/>
      <c r="EFI93" s="3"/>
      <c r="EFJ93" s="3"/>
      <c r="EFK93" s="3"/>
      <c r="EFL93" s="3"/>
      <c r="EFM93" s="3"/>
      <c r="EFN93" s="3"/>
      <c r="EFO93" s="3"/>
      <c r="EFP93" s="3"/>
      <c r="EFQ93" s="3"/>
      <c r="EFR93" s="3"/>
      <c r="EFS93" s="3"/>
      <c r="EFT93" s="3"/>
      <c r="EFU93" s="3"/>
      <c r="EFV93" s="3"/>
      <c r="EFW93" s="3"/>
      <c r="EFX93" s="3"/>
      <c r="EFY93" s="3"/>
      <c r="EFZ93" s="3"/>
      <c r="EGA93" s="3"/>
      <c r="EGB93" s="3"/>
      <c r="EGC93" s="3"/>
      <c r="EGD93" s="3"/>
      <c r="EGE93" s="3"/>
      <c r="EGF93" s="3"/>
      <c r="EGG93" s="3"/>
      <c r="EGH93" s="3"/>
      <c r="EGI93" s="3"/>
      <c r="EGJ93" s="3"/>
      <c r="EGK93" s="3"/>
      <c r="EGL93" s="3"/>
      <c r="EGM93" s="3"/>
      <c r="EGN93" s="3"/>
      <c r="EGO93" s="3"/>
      <c r="EGP93" s="3"/>
      <c r="EGQ93" s="3"/>
      <c r="EGR93" s="3"/>
      <c r="EGS93" s="3"/>
      <c r="EGT93" s="3"/>
      <c r="EGU93" s="3"/>
      <c r="EGV93" s="3"/>
      <c r="EGW93" s="3"/>
      <c r="EGX93" s="3"/>
      <c r="EGY93" s="3"/>
      <c r="EGZ93" s="3"/>
      <c r="EHA93" s="3"/>
      <c r="EHB93" s="3"/>
      <c r="EHC93" s="3"/>
      <c r="EHD93" s="3"/>
      <c r="EHE93" s="3"/>
      <c r="EHF93" s="3"/>
      <c r="EHG93" s="3"/>
      <c r="EHH93" s="3"/>
      <c r="EHI93" s="3"/>
      <c r="EHJ93" s="3"/>
      <c r="EHK93" s="3"/>
      <c r="EHL93" s="3"/>
      <c r="EHM93" s="3"/>
      <c r="EHN93" s="3"/>
      <c r="EHO93" s="3"/>
      <c r="EHP93" s="3"/>
      <c r="EHQ93" s="3"/>
      <c r="EHR93" s="3"/>
      <c r="EHS93" s="3"/>
      <c r="EHT93" s="3"/>
      <c r="EHU93" s="3"/>
      <c r="EHV93" s="3"/>
      <c r="EHW93" s="3"/>
      <c r="EHX93" s="3"/>
      <c r="EHY93" s="3"/>
      <c r="EHZ93" s="3"/>
      <c r="EIA93" s="3"/>
      <c r="EIB93" s="3"/>
      <c r="EIC93" s="3"/>
      <c r="EID93" s="3"/>
      <c r="EIE93" s="3"/>
      <c r="EIF93" s="3"/>
      <c r="EIG93" s="3"/>
      <c r="EIH93" s="3"/>
      <c r="EII93" s="3"/>
      <c r="EIJ93" s="3"/>
      <c r="EIK93" s="3"/>
      <c r="EIL93" s="3"/>
      <c r="EIM93" s="3"/>
      <c r="EIN93" s="3"/>
      <c r="EIO93" s="3"/>
      <c r="EIP93" s="3"/>
      <c r="EIQ93" s="3"/>
      <c r="EIR93" s="3"/>
      <c r="EIS93" s="3"/>
      <c r="EIT93" s="3"/>
      <c r="EIU93" s="3"/>
      <c r="EIV93" s="3"/>
      <c r="EIW93" s="3"/>
      <c r="EIX93" s="3"/>
      <c r="EIY93" s="3"/>
      <c r="EIZ93" s="3"/>
      <c r="EJA93" s="3"/>
      <c r="EJB93" s="3"/>
      <c r="EJC93" s="3"/>
      <c r="EJD93" s="3"/>
      <c r="EJE93" s="3"/>
      <c r="EJF93" s="3"/>
      <c r="EJG93" s="3"/>
      <c r="EJH93" s="3"/>
      <c r="EJI93" s="3"/>
      <c r="EJJ93" s="3"/>
      <c r="EJK93" s="3"/>
      <c r="EJL93" s="3"/>
      <c r="EJM93" s="3"/>
      <c r="EJN93" s="3"/>
      <c r="EJO93" s="3"/>
      <c r="EJP93" s="3"/>
      <c r="EJQ93" s="3"/>
      <c r="EJR93" s="3"/>
      <c r="EJS93" s="3"/>
      <c r="EJT93" s="3"/>
      <c r="EJU93" s="3"/>
      <c r="EJV93" s="3"/>
      <c r="EJW93" s="3"/>
      <c r="EJX93" s="3"/>
      <c r="EJY93" s="3"/>
      <c r="EJZ93" s="3"/>
      <c r="EKA93" s="3"/>
      <c r="EKB93" s="3"/>
      <c r="EKC93" s="3"/>
      <c r="EKD93" s="3"/>
      <c r="EKE93" s="3"/>
      <c r="EKF93" s="3"/>
      <c r="EKG93" s="3"/>
      <c r="EKH93" s="3"/>
      <c r="EKI93" s="3"/>
      <c r="EKJ93" s="3"/>
      <c r="EKK93" s="3"/>
      <c r="EKL93" s="3"/>
      <c r="EKM93" s="3"/>
      <c r="EKN93" s="3"/>
      <c r="EKO93" s="3"/>
      <c r="EKP93" s="3"/>
      <c r="EKQ93" s="3"/>
      <c r="EKR93" s="3"/>
      <c r="EKS93" s="3"/>
      <c r="EKT93" s="3"/>
      <c r="EKU93" s="3"/>
      <c r="EKV93" s="3"/>
      <c r="EKW93" s="3"/>
      <c r="EKX93" s="3"/>
      <c r="EKY93" s="3"/>
      <c r="EKZ93" s="3"/>
      <c r="ELA93" s="3"/>
      <c r="ELB93" s="3"/>
      <c r="ELC93" s="3"/>
      <c r="ELD93" s="3"/>
      <c r="ELE93" s="3"/>
      <c r="ELF93" s="3"/>
      <c r="ELG93" s="3"/>
      <c r="ELH93" s="3"/>
      <c r="ELI93" s="3"/>
      <c r="ELJ93" s="3"/>
      <c r="ELK93" s="3"/>
      <c r="ELL93" s="3"/>
      <c r="ELM93" s="3"/>
      <c r="ELN93" s="3"/>
      <c r="ELO93" s="3"/>
      <c r="ELP93" s="3"/>
      <c r="ELQ93" s="3"/>
      <c r="ELR93" s="3"/>
      <c r="ELS93" s="3"/>
      <c r="ELT93" s="3"/>
      <c r="ELU93" s="3"/>
      <c r="ELV93" s="3"/>
      <c r="ELW93" s="3"/>
      <c r="ELX93" s="3"/>
      <c r="ELY93" s="3"/>
      <c r="ELZ93" s="3"/>
      <c r="EMA93" s="3"/>
      <c r="EMB93" s="3"/>
      <c r="EMC93" s="3"/>
      <c r="EMD93" s="3"/>
      <c r="EME93" s="3"/>
      <c r="EMF93" s="3"/>
      <c r="EMG93" s="3"/>
      <c r="EMH93" s="3"/>
      <c r="EMI93" s="3"/>
      <c r="EMJ93" s="3"/>
      <c r="EMK93" s="3"/>
      <c r="EML93" s="3"/>
      <c r="EMM93" s="3"/>
      <c r="EMN93" s="3"/>
      <c r="EMO93" s="3"/>
      <c r="EMP93" s="3"/>
      <c r="EMQ93" s="3"/>
      <c r="EMR93" s="3"/>
      <c r="EMS93" s="3"/>
      <c r="EMT93" s="3"/>
      <c r="EMU93" s="3"/>
      <c r="EMV93" s="3"/>
      <c r="EMW93" s="3"/>
      <c r="EMX93" s="3"/>
      <c r="EMY93" s="3"/>
      <c r="EMZ93" s="3"/>
      <c r="ENA93" s="3"/>
      <c r="ENB93" s="3"/>
      <c r="ENC93" s="3"/>
      <c r="END93" s="3"/>
      <c r="ENE93" s="3"/>
      <c r="ENF93" s="3"/>
      <c r="ENG93" s="3"/>
      <c r="ENH93" s="3"/>
      <c r="ENI93" s="3"/>
      <c r="ENJ93" s="3"/>
      <c r="ENK93" s="3"/>
      <c r="ENL93" s="3"/>
      <c r="ENM93" s="3"/>
      <c r="ENN93" s="3"/>
      <c r="ENO93" s="3"/>
      <c r="ENP93" s="3"/>
      <c r="ENQ93" s="3"/>
      <c r="ENR93" s="3"/>
      <c r="ENS93" s="3"/>
      <c r="ENT93" s="3"/>
      <c r="ENU93" s="3"/>
      <c r="ENV93" s="3"/>
      <c r="ENW93" s="3"/>
      <c r="ENX93" s="3"/>
      <c r="ENY93" s="3"/>
      <c r="ENZ93" s="3"/>
      <c r="EOA93" s="3"/>
      <c r="EOB93" s="3"/>
      <c r="EOC93" s="3"/>
      <c r="EOD93" s="3"/>
      <c r="EOE93" s="3"/>
      <c r="EOF93" s="3"/>
      <c r="EOG93" s="3"/>
      <c r="EOH93" s="3"/>
      <c r="EOI93" s="3"/>
      <c r="EOJ93" s="3"/>
      <c r="EOK93" s="3"/>
      <c r="EOL93" s="3"/>
      <c r="EOM93" s="3"/>
      <c r="EON93" s="3"/>
      <c r="EOO93" s="3"/>
      <c r="EOP93" s="3"/>
      <c r="EOQ93" s="3"/>
      <c r="EOR93" s="3"/>
      <c r="EOS93" s="3"/>
      <c r="EOT93" s="3"/>
      <c r="EOU93" s="3"/>
      <c r="EOV93" s="3"/>
      <c r="EOW93" s="3"/>
      <c r="EOX93" s="3"/>
      <c r="EOY93" s="3"/>
      <c r="EOZ93" s="3"/>
      <c r="EPA93" s="3"/>
      <c r="EPB93" s="3"/>
      <c r="EPC93" s="3"/>
      <c r="EPD93" s="3"/>
      <c r="EPE93" s="3"/>
      <c r="EPF93" s="3"/>
      <c r="EPG93" s="3"/>
      <c r="EPH93" s="3"/>
      <c r="EPI93" s="3"/>
      <c r="EPJ93" s="3"/>
      <c r="EPK93" s="3"/>
      <c r="EPL93" s="3"/>
      <c r="EPM93" s="3"/>
      <c r="EPN93" s="3"/>
      <c r="EPO93" s="3"/>
      <c r="EPP93" s="3"/>
      <c r="EPQ93" s="3"/>
      <c r="EPR93" s="3"/>
      <c r="EPS93" s="3"/>
      <c r="EPT93" s="3"/>
      <c r="EPU93" s="3"/>
      <c r="EPV93" s="3"/>
      <c r="EPW93" s="3"/>
      <c r="EPX93" s="3"/>
      <c r="EPY93" s="3"/>
      <c r="EPZ93" s="3"/>
      <c r="EQA93" s="3"/>
      <c r="EQB93" s="3"/>
      <c r="EQC93" s="3"/>
      <c r="EQD93" s="3"/>
      <c r="EQE93" s="3"/>
      <c r="EQF93" s="3"/>
      <c r="EQG93" s="3"/>
      <c r="EQH93" s="3"/>
      <c r="EQI93" s="3"/>
      <c r="EQJ93" s="3"/>
      <c r="EQK93" s="3"/>
      <c r="EQL93" s="3"/>
      <c r="EQM93" s="3"/>
      <c r="EQN93" s="3"/>
      <c r="EQO93" s="3"/>
      <c r="EQP93" s="3"/>
      <c r="EQQ93" s="3"/>
      <c r="EQR93" s="3"/>
      <c r="EQS93" s="3"/>
      <c r="EQT93" s="3"/>
      <c r="EQU93" s="3"/>
      <c r="EQV93" s="3"/>
      <c r="EQW93" s="3"/>
      <c r="EQX93" s="3"/>
      <c r="EQY93" s="3"/>
      <c r="EQZ93" s="3"/>
      <c r="ERA93" s="3"/>
      <c r="ERB93" s="3"/>
      <c r="ERC93" s="3"/>
      <c r="ERD93" s="3"/>
      <c r="ERE93" s="3"/>
      <c r="ERF93" s="3"/>
      <c r="ERG93" s="3"/>
      <c r="ERH93" s="3"/>
      <c r="ERI93" s="3"/>
      <c r="ERJ93" s="3"/>
      <c r="ERK93" s="3"/>
      <c r="ERL93" s="3"/>
      <c r="ERM93" s="3"/>
      <c r="ERN93" s="3"/>
      <c r="ERO93" s="3"/>
      <c r="ERP93" s="3"/>
      <c r="ERQ93" s="3"/>
      <c r="ERR93" s="3"/>
      <c r="ERS93" s="3"/>
      <c r="ERT93" s="3"/>
      <c r="ERU93" s="3"/>
      <c r="ERV93" s="3"/>
      <c r="ERW93" s="3"/>
      <c r="ERX93" s="3"/>
      <c r="ERY93" s="3"/>
      <c r="ERZ93" s="3"/>
      <c r="ESA93" s="3"/>
      <c r="ESB93" s="3"/>
      <c r="ESC93" s="3"/>
      <c r="ESD93" s="3"/>
      <c r="ESE93" s="3"/>
      <c r="ESF93" s="3"/>
      <c r="ESG93" s="3"/>
      <c r="ESH93" s="3"/>
      <c r="ESI93" s="3"/>
      <c r="ESJ93" s="3"/>
      <c r="ESK93" s="3"/>
      <c r="ESL93" s="3"/>
      <c r="ESM93" s="3"/>
      <c r="ESN93" s="3"/>
      <c r="ESO93" s="3"/>
      <c r="ESP93" s="3"/>
      <c r="ESQ93" s="3"/>
      <c r="ESR93" s="3"/>
      <c r="ESS93" s="3"/>
      <c r="EST93" s="3"/>
      <c r="ESU93" s="3"/>
      <c r="ESV93" s="3"/>
      <c r="ESW93" s="3"/>
      <c r="ESX93" s="3"/>
      <c r="ESY93" s="3"/>
      <c r="ESZ93" s="3"/>
      <c r="ETA93" s="3"/>
      <c r="ETB93" s="3"/>
      <c r="ETC93" s="3"/>
      <c r="ETD93" s="3"/>
      <c r="ETE93" s="3"/>
      <c r="ETF93" s="3"/>
      <c r="ETG93" s="3"/>
      <c r="ETH93" s="3"/>
      <c r="ETI93" s="3"/>
      <c r="ETJ93" s="3"/>
      <c r="ETK93" s="3"/>
      <c r="ETL93" s="3"/>
      <c r="ETM93" s="3"/>
      <c r="ETN93" s="3"/>
      <c r="ETO93" s="3"/>
      <c r="ETP93" s="3"/>
      <c r="ETQ93" s="3"/>
      <c r="ETR93" s="3"/>
      <c r="ETS93" s="3"/>
      <c r="ETT93" s="3"/>
      <c r="ETU93" s="3"/>
      <c r="ETV93" s="3"/>
      <c r="ETW93" s="3"/>
      <c r="ETX93" s="3"/>
      <c r="ETY93" s="3"/>
      <c r="ETZ93" s="3"/>
      <c r="EUA93" s="3"/>
      <c r="EUB93" s="3"/>
      <c r="EUC93" s="3"/>
      <c r="EUD93" s="3"/>
      <c r="EUE93" s="3"/>
      <c r="EUF93" s="3"/>
      <c r="EUG93" s="3"/>
      <c r="EUH93" s="3"/>
      <c r="EUI93" s="3"/>
      <c r="EUJ93" s="3"/>
      <c r="EUK93" s="3"/>
      <c r="EUL93" s="3"/>
      <c r="EUM93" s="3"/>
      <c r="EUN93" s="3"/>
      <c r="EUO93" s="3"/>
      <c r="EUP93" s="3"/>
      <c r="EUQ93" s="3"/>
      <c r="EUR93" s="3"/>
      <c r="EUS93" s="3"/>
      <c r="EUT93" s="3"/>
      <c r="EUU93" s="3"/>
      <c r="EUV93" s="3"/>
      <c r="EUW93" s="3"/>
      <c r="EUX93" s="3"/>
      <c r="EUY93" s="3"/>
      <c r="EUZ93" s="3"/>
      <c r="EVA93" s="3"/>
      <c r="EVB93" s="3"/>
      <c r="EVC93" s="3"/>
      <c r="EVD93" s="3"/>
      <c r="EVE93" s="3"/>
      <c r="EVF93" s="3"/>
      <c r="EVG93" s="3"/>
      <c r="EVH93" s="3"/>
      <c r="EVI93" s="3"/>
      <c r="EVJ93" s="3"/>
      <c r="EVK93" s="3"/>
      <c r="EVL93" s="3"/>
      <c r="EVM93" s="3"/>
      <c r="EVN93" s="3"/>
      <c r="EVO93" s="3"/>
      <c r="EVP93" s="3"/>
      <c r="EVQ93" s="3"/>
      <c r="EVR93" s="3"/>
      <c r="EVS93" s="3"/>
      <c r="EVT93" s="3"/>
      <c r="EVU93" s="3"/>
      <c r="EVV93" s="3"/>
      <c r="EVW93" s="3"/>
      <c r="EVX93" s="3"/>
      <c r="EVY93" s="3"/>
      <c r="EVZ93" s="3"/>
      <c r="EWA93" s="3"/>
      <c r="EWB93" s="3"/>
      <c r="EWC93" s="3"/>
      <c r="EWD93" s="3"/>
      <c r="EWE93" s="3"/>
      <c r="EWF93" s="3"/>
      <c r="EWG93" s="3"/>
      <c r="EWH93" s="3"/>
      <c r="EWI93" s="3"/>
      <c r="EWJ93" s="3"/>
      <c r="EWK93" s="3"/>
      <c r="EWL93" s="3"/>
      <c r="EWM93" s="3"/>
      <c r="EWN93" s="3"/>
      <c r="EWO93" s="3"/>
      <c r="EWP93" s="3"/>
      <c r="EWQ93" s="3"/>
      <c r="EWR93" s="3"/>
      <c r="EWS93" s="3"/>
      <c r="EWT93" s="3"/>
      <c r="EWU93" s="3"/>
      <c r="EWV93" s="3"/>
      <c r="EWW93" s="3"/>
      <c r="EWX93" s="3"/>
      <c r="EWY93" s="3"/>
      <c r="EWZ93" s="3"/>
      <c r="EXA93" s="3"/>
      <c r="EXB93" s="3"/>
      <c r="EXC93" s="3"/>
      <c r="EXD93" s="3"/>
      <c r="EXE93" s="3"/>
      <c r="EXF93" s="3"/>
      <c r="EXG93" s="3"/>
      <c r="EXH93" s="3"/>
      <c r="EXI93" s="3"/>
      <c r="EXJ93" s="3"/>
      <c r="EXK93" s="3"/>
      <c r="EXL93" s="3"/>
      <c r="EXM93" s="3"/>
      <c r="EXN93" s="3"/>
      <c r="EXO93" s="3"/>
      <c r="EXP93" s="3"/>
      <c r="EXQ93" s="3"/>
      <c r="EXR93" s="3"/>
      <c r="EXS93" s="3"/>
      <c r="EXT93" s="3"/>
      <c r="EXU93" s="3"/>
      <c r="EXV93" s="3"/>
      <c r="EXW93" s="3"/>
      <c r="EXX93" s="3"/>
      <c r="EXY93" s="3"/>
      <c r="EXZ93" s="3"/>
      <c r="EYA93" s="3"/>
      <c r="EYB93" s="3"/>
      <c r="EYC93" s="3"/>
      <c r="EYD93" s="3"/>
      <c r="EYE93" s="3"/>
      <c r="EYF93" s="3"/>
      <c r="EYG93" s="3"/>
      <c r="EYH93" s="3"/>
      <c r="EYI93" s="3"/>
      <c r="EYJ93" s="3"/>
      <c r="EYK93" s="3"/>
      <c r="EYL93" s="3"/>
      <c r="EYM93" s="3"/>
      <c r="EYN93" s="3"/>
      <c r="EYO93" s="3"/>
      <c r="EYP93" s="3"/>
      <c r="EYQ93" s="3"/>
      <c r="EYR93" s="3"/>
      <c r="EYS93" s="3"/>
      <c r="EYT93" s="3"/>
      <c r="EYU93" s="3"/>
      <c r="EYV93" s="3"/>
      <c r="EYW93" s="3"/>
      <c r="EYX93" s="3"/>
      <c r="EYY93" s="3"/>
      <c r="EYZ93" s="3"/>
      <c r="EZA93" s="3"/>
      <c r="EZB93" s="3"/>
      <c r="EZC93" s="3"/>
      <c r="EZD93" s="3"/>
      <c r="EZE93" s="3"/>
      <c r="EZF93" s="3"/>
      <c r="EZG93" s="3"/>
      <c r="EZH93" s="3"/>
      <c r="EZI93" s="3"/>
      <c r="EZJ93" s="3"/>
      <c r="EZK93" s="3"/>
      <c r="EZL93" s="3"/>
      <c r="EZM93" s="3"/>
      <c r="EZN93" s="3"/>
      <c r="EZO93" s="3"/>
      <c r="EZP93" s="3"/>
      <c r="EZQ93" s="3"/>
      <c r="EZR93" s="3"/>
      <c r="EZS93" s="3"/>
      <c r="EZT93" s="3"/>
      <c r="EZU93" s="3"/>
      <c r="EZV93" s="3"/>
      <c r="EZW93" s="3"/>
      <c r="EZX93" s="3"/>
      <c r="EZY93" s="3"/>
      <c r="EZZ93" s="3"/>
      <c r="FAA93" s="3"/>
      <c r="FAB93" s="3"/>
      <c r="FAC93" s="3"/>
      <c r="FAD93" s="3"/>
      <c r="FAE93" s="3"/>
      <c r="FAF93" s="3"/>
      <c r="FAG93" s="3"/>
      <c r="FAH93" s="3"/>
      <c r="FAI93" s="3"/>
      <c r="FAJ93" s="3"/>
      <c r="FAK93" s="3"/>
      <c r="FAL93" s="3"/>
      <c r="FAM93" s="3"/>
      <c r="FAN93" s="3"/>
      <c r="FAO93" s="3"/>
      <c r="FAP93" s="3"/>
      <c r="FAQ93" s="3"/>
      <c r="FAR93" s="3"/>
      <c r="FAS93" s="3"/>
      <c r="FAT93" s="3"/>
      <c r="FAU93" s="3"/>
      <c r="FAV93" s="3"/>
      <c r="FAW93" s="3"/>
      <c r="FAX93" s="3"/>
      <c r="FAY93" s="3"/>
      <c r="FAZ93" s="3"/>
      <c r="FBA93" s="3"/>
      <c r="FBB93" s="3"/>
      <c r="FBC93" s="3"/>
      <c r="FBD93" s="3"/>
      <c r="FBE93" s="3"/>
      <c r="FBF93" s="3"/>
      <c r="FBG93" s="3"/>
      <c r="FBH93" s="3"/>
      <c r="FBI93" s="3"/>
      <c r="FBJ93" s="3"/>
      <c r="FBK93" s="3"/>
      <c r="FBL93" s="3"/>
      <c r="FBM93" s="3"/>
      <c r="FBN93" s="3"/>
      <c r="FBO93" s="3"/>
      <c r="FBP93" s="3"/>
      <c r="FBQ93" s="3"/>
      <c r="FBR93" s="3"/>
      <c r="FBS93" s="3"/>
      <c r="FBT93" s="3"/>
      <c r="FBU93" s="3"/>
      <c r="FBV93" s="3"/>
      <c r="FBW93" s="3"/>
      <c r="FBX93" s="3"/>
      <c r="FBY93" s="3"/>
      <c r="FBZ93" s="3"/>
      <c r="FCA93" s="3"/>
      <c r="FCB93" s="3"/>
      <c r="FCC93" s="3"/>
      <c r="FCD93" s="3"/>
      <c r="FCE93" s="3"/>
      <c r="FCF93" s="3"/>
      <c r="FCG93" s="3"/>
      <c r="FCH93" s="3"/>
      <c r="FCI93" s="3"/>
      <c r="FCJ93" s="3"/>
      <c r="FCK93" s="3"/>
      <c r="FCL93" s="3"/>
      <c r="FCM93" s="3"/>
      <c r="FCN93" s="3"/>
      <c r="FCO93" s="3"/>
      <c r="FCP93" s="3"/>
      <c r="FCQ93" s="3"/>
      <c r="FCR93" s="3"/>
      <c r="FCS93" s="3"/>
      <c r="FCT93" s="3"/>
      <c r="FCU93" s="3"/>
      <c r="FCV93" s="3"/>
      <c r="FCW93" s="3"/>
      <c r="FCX93" s="3"/>
      <c r="FCY93" s="3"/>
      <c r="FCZ93" s="3"/>
      <c r="FDA93" s="3"/>
      <c r="FDB93" s="3"/>
      <c r="FDC93" s="3"/>
      <c r="FDD93" s="3"/>
      <c r="FDE93" s="3"/>
      <c r="FDF93" s="3"/>
      <c r="FDG93" s="3"/>
      <c r="FDH93" s="3"/>
      <c r="FDI93" s="3"/>
      <c r="FDJ93" s="3"/>
      <c r="FDK93" s="3"/>
      <c r="FDL93" s="3"/>
      <c r="FDM93" s="3"/>
      <c r="FDN93" s="3"/>
      <c r="FDO93" s="3"/>
      <c r="FDP93" s="3"/>
      <c r="FDQ93" s="3"/>
      <c r="FDR93" s="3"/>
      <c r="FDS93" s="3"/>
      <c r="FDT93" s="3"/>
      <c r="FDU93" s="3"/>
      <c r="FDV93" s="3"/>
      <c r="FDW93" s="3"/>
      <c r="FDX93" s="3"/>
      <c r="FDY93" s="3"/>
      <c r="FDZ93" s="3"/>
      <c r="FEA93" s="3"/>
      <c r="FEB93" s="3"/>
      <c r="FEC93" s="3"/>
      <c r="FED93" s="3"/>
      <c r="FEE93" s="3"/>
      <c r="FEF93" s="3"/>
      <c r="FEG93" s="3"/>
      <c r="FEH93" s="3"/>
      <c r="FEI93" s="3"/>
      <c r="FEJ93" s="3"/>
      <c r="FEK93" s="3"/>
      <c r="FEL93" s="3"/>
      <c r="FEM93" s="3"/>
      <c r="FEN93" s="3"/>
      <c r="FEO93" s="3"/>
      <c r="FEP93" s="3"/>
      <c r="FEQ93" s="3"/>
      <c r="FER93" s="3"/>
      <c r="FES93" s="3"/>
      <c r="FET93" s="3"/>
      <c r="FEU93" s="3"/>
      <c r="FEV93" s="3"/>
      <c r="FEW93" s="3"/>
      <c r="FEX93" s="3"/>
      <c r="FEY93" s="3"/>
      <c r="FEZ93" s="3"/>
      <c r="FFA93" s="3"/>
      <c r="FFB93" s="3"/>
      <c r="FFC93" s="3"/>
      <c r="FFD93" s="3"/>
      <c r="FFE93" s="3"/>
      <c r="FFF93" s="3"/>
      <c r="FFG93" s="3"/>
      <c r="FFH93" s="3"/>
      <c r="FFI93" s="3"/>
      <c r="FFJ93" s="3"/>
      <c r="FFK93" s="3"/>
      <c r="FFL93" s="3"/>
      <c r="FFM93" s="3"/>
      <c r="FFN93" s="3"/>
      <c r="FFO93" s="3"/>
      <c r="FFP93" s="3"/>
      <c r="FFQ93" s="3"/>
      <c r="FFR93" s="3"/>
      <c r="FFS93" s="3"/>
      <c r="FFT93" s="3"/>
      <c r="FFU93" s="3"/>
      <c r="FFV93" s="3"/>
      <c r="FFW93" s="3"/>
      <c r="FFX93" s="3"/>
      <c r="FFY93" s="3"/>
      <c r="FFZ93" s="3"/>
      <c r="FGA93" s="3"/>
      <c r="FGB93" s="3"/>
      <c r="FGC93" s="3"/>
      <c r="FGD93" s="3"/>
      <c r="FGE93" s="3"/>
      <c r="FGF93" s="3"/>
      <c r="FGG93" s="3"/>
      <c r="FGH93" s="3"/>
      <c r="FGI93" s="3"/>
      <c r="FGJ93" s="3"/>
      <c r="FGK93" s="3"/>
      <c r="FGL93" s="3"/>
      <c r="FGM93" s="3"/>
      <c r="FGN93" s="3"/>
      <c r="FGO93" s="3"/>
      <c r="FGP93" s="3"/>
      <c r="FGQ93" s="3"/>
      <c r="FGR93" s="3"/>
      <c r="FGS93" s="3"/>
      <c r="FGT93" s="3"/>
      <c r="FGU93" s="3"/>
      <c r="FGV93" s="3"/>
      <c r="FGW93" s="3"/>
      <c r="FGX93" s="3"/>
      <c r="FGY93" s="3"/>
      <c r="FGZ93" s="3"/>
      <c r="FHA93" s="3"/>
      <c r="FHB93" s="3"/>
      <c r="FHC93" s="3"/>
      <c r="FHD93" s="3"/>
      <c r="FHE93" s="3"/>
      <c r="FHF93" s="3"/>
      <c r="FHG93" s="3"/>
      <c r="FHH93" s="3"/>
      <c r="FHI93" s="3"/>
      <c r="FHJ93" s="3"/>
      <c r="FHK93" s="3"/>
      <c r="FHL93" s="3"/>
      <c r="FHM93" s="3"/>
      <c r="FHN93" s="3"/>
      <c r="FHO93" s="3"/>
      <c r="FHP93" s="3"/>
      <c r="FHQ93" s="3"/>
      <c r="FHR93" s="3"/>
      <c r="FHS93" s="3"/>
      <c r="FHT93" s="3"/>
      <c r="FHU93" s="3"/>
      <c r="FHV93" s="3"/>
      <c r="FHW93" s="3"/>
      <c r="FHX93" s="3"/>
      <c r="FHY93" s="3"/>
      <c r="FHZ93" s="3"/>
      <c r="FIA93" s="3"/>
      <c r="FIB93" s="3"/>
      <c r="FIC93" s="3"/>
      <c r="FID93" s="3"/>
      <c r="FIE93" s="3"/>
      <c r="FIF93" s="3"/>
      <c r="FIG93" s="3"/>
      <c r="FIH93" s="3"/>
      <c r="FII93" s="3"/>
      <c r="FIJ93" s="3"/>
      <c r="FIK93" s="3"/>
      <c r="FIL93" s="3"/>
      <c r="FIM93" s="3"/>
      <c r="FIN93" s="3"/>
      <c r="FIO93" s="3"/>
      <c r="FIP93" s="3"/>
      <c r="FIQ93" s="3"/>
      <c r="FIR93" s="3"/>
      <c r="FIS93" s="3"/>
      <c r="FIT93" s="3"/>
      <c r="FIU93" s="3"/>
      <c r="FIV93" s="3"/>
      <c r="FIW93" s="3"/>
      <c r="FIX93" s="3"/>
      <c r="FIY93" s="3"/>
      <c r="FIZ93" s="3"/>
      <c r="FJA93" s="3"/>
      <c r="FJB93" s="3"/>
      <c r="FJC93" s="3"/>
      <c r="FJD93" s="3"/>
      <c r="FJE93" s="3"/>
      <c r="FJF93" s="3"/>
      <c r="FJG93" s="3"/>
      <c r="FJH93" s="3"/>
      <c r="FJI93" s="3"/>
      <c r="FJJ93" s="3"/>
      <c r="FJK93" s="3"/>
      <c r="FJL93" s="3"/>
      <c r="FJM93" s="3"/>
      <c r="FJN93" s="3"/>
      <c r="FJO93" s="3"/>
      <c r="FJP93" s="3"/>
      <c r="FJQ93" s="3"/>
      <c r="FJR93" s="3"/>
      <c r="FJS93" s="3"/>
      <c r="FJT93" s="3"/>
      <c r="FJU93" s="3"/>
      <c r="FJV93" s="3"/>
      <c r="FJW93" s="3"/>
      <c r="FJX93" s="3"/>
      <c r="FJY93" s="3"/>
      <c r="FJZ93" s="3"/>
      <c r="FKA93" s="3"/>
      <c r="FKB93" s="3"/>
      <c r="FKC93" s="3"/>
      <c r="FKD93" s="3"/>
      <c r="FKE93" s="3"/>
      <c r="FKF93" s="3"/>
      <c r="FKG93" s="3"/>
      <c r="FKH93" s="3"/>
      <c r="FKI93" s="3"/>
      <c r="FKJ93" s="3"/>
      <c r="FKK93" s="3"/>
      <c r="FKL93" s="3"/>
      <c r="FKM93" s="3"/>
      <c r="FKN93" s="3"/>
      <c r="FKO93" s="3"/>
      <c r="FKP93" s="3"/>
      <c r="FKQ93" s="3"/>
      <c r="FKR93" s="3"/>
      <c r="FKS93" s="3"/>
      <c r="FKT93" s="3"/>
      <c r="FKU93" s="3"/>
      <c r="FKV93" s="3"/>
      <c r="FKW93" s="3"/>
      <c r="FKX93" s="3"/>
      <c r="FKY93" s="3"/>
      <c r="FKZ93" s="3"/>
      <c r="FLA93" s="3"/>
      <c r="FLB93" s="3"/>
      <c r="FLC93" s="3"/>
      <c r="FLD93" s="3"/>
      <c r="FLE93" s="3"/>
      <c r="FLF93" s="3"/>
      <c r="FLG93" s="3"/>
      <c r="FLH93" s="3"/>
      <c r="FLI93" s="3"/>
      <c r="FLJ93" s="3"/>
      <c r="FLK93" s="3"/>
      <c r="FLL93" s="3"/>
      <c r="FLM93" s="3"/>
      <c r="FLN93" s="3"/>
      <c r="FLO93" s="3"/>
      <c r="FLP93" s="3"/>
      <c r="FLQ93" s="3"/>
      <c r="FLR93" s="3"/>
      <c r="FLS93" s="3"/>
      <c r="FLT93" s="3"/>
      <c r="FLU93" s="3"/>
      <c r="FLV93" s="3"/>
      <c r="FLW93" s="3"/>
      <c r="FLX93" s="3"/>
      <c r="FLY93" s="3"/>
      <c r="FLZ93" s="3"/>
      <c r="FMA93" s="3"/>
      <c r="FMB93" s="3"/>
      <c r="FMC93" s="3"/>
      <c r="FMD93" s="3"/>
      <c r="FME93" s="3"/>
      <c r="FMF93" s="3"/>
      <c r="FMG93" s="3"/>
      <c r="FMH93" s="3"/>
      <c r="FMI93" s="3"/>
      <c r="FMJ93" s="3"/>
      <c r="FMK93" s="3"/>
      <c r="FML93" s="3"/>
      <c r="FMM93" s="3"/>
      <c r="FMN93" s="3"/>
      <c r="FMO93" s="3"/>
      <c r="FMP93" s="3"/>
      <c r="FMQ93" s="3"/>
      <c r="FMR93" s="3"/>
      <c r="FMS93" s="3"/>
      <c r="FMT93" s="3"/>
      <c r="FMU93" s="3"/>
      <c r="FMV93" s="3"/>
      <c r="FMW93" s="3"/>
      <c r="FMX93" s="3"/>
      <c r="FMY93" s="3"/>
      <c r="FMZ93" s="3"/>
      <c r="FNA93" s="3"/>
      <c r="FNB93" s="3"/>
      <c r="FNC93" s="3"/>
      <c r="FND93" s="3"/>
      <c r="FNE93" s="3"/>
      <c r="FNF93" s="3"/>
      <c r="FNG93" s="3"/>
      <c r="FNH93" s="3"/>
      <c r="FNI93" s="3"/>
      <c r="FNJ93" s="3"/>
      <c r="FNK93" s="3"/>
      <c r="FNL93" s="3"/>
      <c r="FNM93" s="3"/>
      <c r="FNN93" s="3"/>
      <c r="FNO93" s="3"/>
      <c r="FNP93" s="3"/>
      <c r="FNQ93" s="3"/>
      <c r="FNR93" s="3"/>
      <c r="FNS93" s="3"/>
      <c r="FNT93" s="3"/>
      <c r="FNU93" s="3"/>
      <c r="FNV93" s="3"/>
      <c r="FNW93" s="3"/>
      <c r="FNX93" s="3"/>
      <c r="FNY93" s="3"/>
      <c r="FNZ93" s="3"/>
      <c r="FOA93" s="3"/>
      <c r="FOB93" s="3"/>
      <c r="FOC93" s="3"/>
      <c r="FOD93" s="3"/>
      <c r="FOE93" s="3"/>
      <c r="FOF93" s="3"/>
      <c r="FOG93" s="3"/>
      <c r="FOH93" s="3"/>
      <c r="FOI93" s="3"/>
      <c r="FOJ93" s="3"/>
      <c r="FOK93" s="3"/>
      <c r="FOL93" s="3"/>
      <c r="FOM93" s="3"/>
      <c r="FON93" s="3"/>
      <c r="FOO93" s="3"/>
      <c r="FOP93" s="3"/>
      <c r="FOQ93" s="3"/>
      <c r="FOR93" s="3"/>
      <c r="FOS93" s="3"/>
      <c r="FOT93" s="3"/>
      <c r="FOU93" s="3"/>
      <c r="FOV93" s="3"/>
      <c r="FOW93" s="3"/>
      <c r="FOX93" s="3"/>
      <c r="FOY93" s="3"/>
      <c r="FOZ93" s="3"/>
      <c r="FPA93" s="3"/>
      <c r="FPB93" s="3"/>
      <c r="FPC93" s="3"/>
      <c r="FPD93" s="3"/>
      <c r="FPE93" s="3"/>
      <c r="FPF93" s="3"/>
      <c r="FPG93" s="3"/>
      <c r="FPH93" s="3"/>
      <c r="FPI93" s="3"/>
      <c r="FPJ93" s="3"/>
      <c r="FPK93" s="3"/>
      <c r="FPL93" s="3"/>
      <c r="FPM93" s="3"/>
      <c r="FPN93" s="3"/>
      <c r="FPO93" s="3"/>
      <c r="FPP93" s="3"/>
      <c r="FPQ93" s="3"/>
      <c r="FPR93" s="3"/>
      <c r="FPS93" s="3"/>
      <c r="FPT93" s="3"/>
      <c r="FPU93" s="3"/>
      <c r="FPV93" s="3"/>
      <c r="FPW93" s="3"/>
      <c r="FPX93" s="3"/>
      <c r="FPY93" s="3"/>
      <c r="FPZ93" s="3"/>
      <c r="FQA93" s="3"/>
      <c r="FQB93" s="3"/>
      <c r="FQC93" s="3"/>
      <c r="FQD93" s="3"/>
      <c r="FQE93" s="3"/>
      <c r="FQF93" s="3"/>
      <c r="FQG93" s="3"/>
      <c r="FQH93" s="3"/>
      <c r="FQI93" s="3"/>
      <c r="FQJ93" s="3"/>
      <c r="FQK93" s="3"/>
      <c r="FQL93" s="3"/>
      <c r="FQM93" s="3"/>
      <c r="FQN93" s="3"/>
      <c r="FQO93" s="3"/>
      <c r="FQP93" s="3"/>
      <c r="FQQ93" s="3"/>
      <c r="FQR93" s="3"/>
      <c r="FQS93" s="3"/>
      <c r="FQT93" s="3"/>
      <c r="FQU93" s="3"/>
      <c r="FQV93" s="3"/>
      <c r="FQW93" s="3"/>
      <c r="FQX93" s="3"/>
      <c r="FQY93" s="3"/>
      <c r="FQZ93" s="3"/>
      <c r="FRA93" s="3"/>
      <c r="FRB93" s="3"/>
      <c r="FRC93" s="3"/>
      <c r="FRD93" s="3"/>
      <c r="FRE93" s="3"/>
      <c r="FRF93" s="3"/>
      <c r="FRG93" s="3"/>
      <c r="FRH93" s="3"/>
      <c r="FRI93" s="3"/>
      <c r="FRJ93" s="3"/>
      <c r="FRK93" s="3"/>
      <c r="FRL93" s="3"/>
      <c r="FRM93" s="3"/>
      <c r="FRN93" s="3"/>
      <c r="FRO93" s="3"/>
      <c r="FRP93" s="3"/>
      <c r="FRQ93" s="3"/>
      <c r="FRR93" s="3"/>
      <c r="FRS93" s="3"/>
      <c r="FRT93" s="3"/>
      <c r="FRU93" s="3"/>
      <c r="FRV93" s="3"/>
      <c r="FRW93" s="3"/>
      <c r="FRX93" s="3"/>
      <c r="FRY93" s="3"/>
      <c r="FRZ93" s="3"/>
      <c r="FSA93" s="3"/>
      <c r="FSB93" s="3"/>
      <c r="FSC93" s="3"/>
      <c r="FSD93" s="3"/>
      <c r="FSE93" s="3"/>
      <c r="FSF93" s="3"/>
      <c r="FSG93" s="3"/>
      <c r="FSH93" s="3"/>
      <c r="FSI93" s="3"/>
      <c r="FSJ93" s="3"/>
      <c r="FSK93" s="3"/>
      <c r="FSL93" s="3"/>
      <c r="FSM93" s="3"/>
      <c r="FSN93" s="3"/>
      <c r="FSO93" s="3"/>
      <c r="FSP93" s="3"/>
      <c r="FSQ93" s="3"/>
      <c r="FSR93" s="3"/>
      <c r="FSS93" s="3"/>
      <c r="FST93" s="3"/>
      <c r="FSU93" s="3"/>
      <c r="FSV93" s="3"/>
      <c r="FSW93" s="3"/>
      <c r="FSX93" s="3"/>
      <c r="FSY93" s="3"/>
      <c r="FSZ93" s="3"/>
      <c r="FTA93" s="3"/>
      <c r="FTB93" s="3"/>
      <c r="FTC93" s="3"/>
      <c r="FTD93" s="3"/>
      <c r="FTE93" s="3"/>
      <c r="FTF93" s="3"/>
      <c r="FTG93" s="3"/>
      <c r="FTH93" s="3"/>
      <c r="FTI93" s="3"/>
      <c r="FTJ93" s="3"/>
      <c r="FTK93" s="3"/>
      <c r="FTL93" s="3"/>
      <c r="FTM93" s="3"/>
      <c r="FTN93" s="3"/>
      <c r="FTO93" s="3"/>
      <c r="FTP93" s="3"/>
      <c r="FTQ93" s="3"/>
      <c r="FTR93" s="3"/>
      <c r="FTS93" s="3"/>
      <c r="FTT93" s="3"/>
      <c r="FTU93" s="3"/>
      <c r="FTV93" s="3"/>
      <c r="FTW93" s="3"/>
      <c r="FTX93" s="3"/>
      <c r="FTY93" s="3"/>
      <c r="FTZ93" s="3"/>
      <c r="FUA93" s="3"/>
      <c r="FUB93" s="3"/>
      <c r="FUC93" s="3"/>
      <c r="FUD93" s="3"/>
      <c r="FUE93" s="3"/>
      <c r="FUF93" s="3"/>
      <c r="FUG93" s="3"/>
      <c r="FUH93" s="3"/>
      <c r="FUI93" s="3"/>
      <c r="FUJ93" s="3"/>
      <c r="FUK93" s="3"/>
      <c r="FUL93" s="3"/>
      <c r="FUM93" s="3"/>
      <c r="FUN93" s="3"/>
      <c r="FUO93" s="3"/>
      <c r="FUP93" s="3"/>
      <c r="FUQ93" s="3"/>
      <c r="FUR93" s="3"/>
      <c r="FUS93" s="3"/>
      <c r="FUT93" s="3"/>
      <c r="FUU93" s="3"/>
      <c r="FUV93" s="3"/>
      <c r="FUW93" s="3"/>
      <c r="FUX93" s="3"/>
      <c r="FUY93" s="3"/>
      <c r="FUZ93" s="3"/>
      <c r="FVA93" s="3"/>
      <c r="FVB93" s="3"/>
      <c r="FVC93" s="3"/>
      <c r="FVD93" s="3"/>
      <c r="FVE93" s="3"/>
      <c r="FVF93" s="3"/>
      <c r="FVG93" s="3"/>
      <c r="FVH93" s="3"/>
      <c r="FVI93" s="3"/>
      <c r="FVJ93" s="3"/>
      <c r="FVK93" s="3"/>
      <c r="FVL93" s="3"/>
      <c r="FVM93" s="3"/>
      <c r="FVN93" s="3"/>
      <c r="FVO93" s="3"/>
      <c r="FVP93" s="3"/>
      <c r="FVQ93" s="3"/>
      <c r="FVR93" s="3"/>
      <c r="FVS93" s="3"/>
      <c r="FVT93" s="3"/>
      <c r="FVU93" s="3"/>
      <c r="FVV93" s="3"/>
      <c r="FVW93" s="3"/>
      <c r="FVX93" s="3"/>
      <c r="FVY93" s="3"/>
      <c r="FVZ93" s="3"/>
      <c r="FWA93" s="3"/>
      <c r="FWB93" s="3"/>
      <c r="FWC93" s="3"/>
      <c r="FWD93" s="3"/>
      <c r="FWE93" s="3"/>
      <c r="FWF93" s="3"/>
      <c r="FWG93" s="3"/>
      <c r="FWH93" s="3"/>
      <c r="FWI93" s="3"/>
      <c r="FWJ93" s="3"/>
      <c r="FWK93" s="3"/>
      <c r="FWL93" s="3"/>
      <c r="FWM93" s="3"/>
      <c r="FWN93" s="3"/>
      <c r="FWO93" s="3"/>
      <c r="FWP93" s="3"/>
      <c r="FWQ93" s="3"/>
      <c r="FWR93" s="3"/>
      <c r="FWS93" s="3"/>
      <c r="FWT93" s="3"/>
      <c r="FWU93" s="3"/>
      <c r="FWV93" s="3"/>
      <c r="FWW93" s="3"/>
      <c r="FWX93" s="3"/>
      <c r="FWY93" s="3"/>
      <c r="FWZ93" s="3"/>
      <c r="FXA93" s="3"/>
      <c r="FXB93" s="3"/>
      <c r="FXC93" s="3"/>
      <c r="FXD93" s="3"/>
      <c r="FXE93" s="3"/>
      <c r="FXF93" s="3"/>
      <c r="FXG93" s="3"/>
      <c r="FXH93" s="3"/>
      <c r="FXI93" s="3"/>
      <c r="FXJ93" s="3"/>
      <c r="FXK93" s="3"/>
      <c r="FXL93" s="3"/>
      <c r="FXM93" s="3"/>
      <c r="FXN93" s="3"/>
      <c r="FXO93" s="3"/>
      <c r="FXP93" s="3"/>
      <c r="FXQ93" s="3"/>
      <c r="FXR93" s="3"/>
      <c r="FXS93" s="3"/>
      <c r="FXT93" s="3"/>
      <c r="FXU93" s="3"/>
      <c r="FXV93" s="3"/>
      <c r="FXW93" s="3"/>
      <c r="FXX93" s="3"/>
      <c r="FXY93" s="3"/>
      <c r="FXZ93" s="3"/>
      <c r="FYA93" s="3"/>
      <c r="FYB93" s="3"/>
      <c r="FYC93" s="3"/>
      <c r="FYD93" s="3"/>
      <c r="FYE93" s="3"/>
      <c r="FYF93" s="3"/>
      <c r="FYG93" s="3"/>
      <c r="FYH93" s="3"/>
      <c r="FYI93" s="3"/>
      <c r="FYJ93" s="3"/>
      <c r="FYK93" s="3"/>
      <c r="FYL93" s="3"/>
      <c r="FYM93" s="3"/>
      <c r="FYN93" s="3"/>
      <c r="FYO93" s="3"/>
      <c r="FYP93" s="3"/>
      <c r="FYQ93" s="3"/>
      <c r="FYR93" s="3"/>
      <c r="FYS93" s="3"/>
      <c r="FYT93" s="3"/>
      <c r="FYU93" s="3"/>
      <c r="FYV93" s="3"/>
      <c r="FYW93" s="3"/>
      <c r="FYX93" s="3"/>
      <c r="FYY93" s="3"/>
      <c r="FYZ93" s="3"/>
      <c r="FZA93" s="3"/>
      <c r="FZB93" s="3"/>
      <c r="FZC93" s="3"/>
      <c r="FZD93" s="3"/>
      <c r="FZE93" s="3"/>
      <c r="FZF93" s="3"/>
      <c r="FZG93" s="3"/>
      <c r="FZH93" s="3"/>
      <c r="FZI93" s="3"/>
      <c r="FZJ93" s="3"/>
      <c r="FZK93" s="3"/>
      <c r="FZL93" s="3"/>
      <c r="FZM93" s="3"/>
      <c r="FZN93" s="3"/>
      <c r="FZO93" s="3"/>
      <c r="FZP93" s="3"/>
      <c r="FZQ93" s="3"/>
      <c r="FZR93" s="3"/>
      <c r="FZS93" s="3"/>
      <c r="FZT93" s="3"/>
      <c r="FZU93" s="3"/>
      <c r="FZV93" s="3"/>
      <c r="FZW93" s="3"/>
      <c r="FZX93" s="3"/>
      <c r="FZY93" s="3"/>
      <c r="FZZ93" s="3"/>
      <c r="GAA93" s="3"/>
      <c r="GAB93" s="3"/>
      <c r="GAC93" s="3"/>
      <c r="GAD93" s="3"/>
      <c r="GAE93" s="3"/>
      <c r="GAF93" s="3"/>
      <c r="GAG93" s="3"/>
      <c r="GAH93" s="3"/>
      <c r="GAI93" s="3"/>
      <c r="GAJ93" s="3"/>
      <c r="GAK93" s="3"/>
      <c r="GAL93" s="3"/>
      <c r="GAM93" s="3"/>
      <c r="GAN93" s="3"/>
      <c r="GAO93" s="3"/>
      <c r="GAP93" s="3"/>
      <c r="GAQ93" s="3"/>
      <c r="GAR93" s="3"/>
      <c r="GAS93" s="3"/>
      <c r="GAT93" s="3"/>
      <c r="GAU93" s="3"/>
      <c r="GAV93" s="3"/>
      <c r="GAW93" s="3"/>
      <c r="GAX93" s="3"/>
      <c r="GAY93" s="3"/>
      <c r="GAZ93" s="3"/>
      <c r="GBA93" s="3"/>
      <c r="GBB93" s="3"/>
      <c r="GBC93" s="3"/>
      <c r="GBD93" s="3"/>
      <c r="GBE93" s="3"/>
      <c r="GBF93" s="3"/>
      <c r="GBG93" s="3"/>
      <c r="GBH93" s="3"/>
      <c r="GBI93" s="3"/>
      <c r="GBJ93" s="3"/>
      <c r="GBK93" s="3"/>
      <c r="GBL93" s="3"/>
      <c r="GBM93" s="3"/>
      <c r="GBN93" s="3"/>
      <c r="GBO93" s="3"/>
      <c r="GBP93" s="3"/>
      <c r="GBQ93" s="3"/>
      <c r="GBR93" s="3"/>
      <c r="GBS93" s="3"/>
      <c r="GBT93" s="3"/>
      <c r="GBU93" s="3"/>
      <c r="GBV93" s="3"/>
      <c r="GBW93" s="3"/>
      <c r="GBX93" s="3"/>
      <c r="GBY93" s="3"/>
      <c r="GBZ93" s="3"/>
      <c r="GCA93" s="3"/>
      <c r="GCB93" s="3"/>
      <c r="GCC93" s="3"/>
      <c r="GCD93" s="3"/>
      <c r="GCE93" s="3"/>
      <c r="GCF93" s="3"/>
      <c r="GCG93" s="3"/>
      <c r="GCH93" s="3"/>
      <c r="GCI93" s="3"/>
      <c r="GCJ93" s="3"/>
      <c r="GCK93" s="3"/>
      <c r="GCL93" s="3"/>
      <c r="GCM93" s="3"/>
      <c r="GCN93" s="3"/>
      <c r="GCO93" s="3"/>
      <c r="GCP93" s="3"/>
      <c r="GCQ93" s="3"/>
      <c r="GCR93" s="3"/>
      <c r="GCS93" s="3"/>
      <c r="GCT93" s="3"/>
      <c r="GCU93" s="3"/>
      <c r="GCV93" s="3"/>
      <c r="GCW93" s="3"/>
      <c r="GCX93" s="3"/>
      <c r="GCY93" s="3"/>
      <c r="GCZ93" s="3"/>
      <c r="GDA93" s="3"/>
      <c r="GDB93" s="3"/>
      <c r="GDC93" s="3"/>
      <c r="GDD93" s="3"/>
      <c r="GDE93" s="3"/>
      <c r="GDF93" s="3"/>
      <c r="GDG93" s="3"/>
      <c r="GDH93" s="3"/>
      <c r="GDI93" s="3"/>
      <c r="GDJ93" s="3"/>
      <c r="GDK93" s="3"/>
      <c r="GDL93" s="3"/>
      <c r="GDM93" s="3"/>
      <c r="GDN93" s="3"/>
      <c r="GDO93" s="3"/>
      <c r="GDP93" s="3"/>
      <c r="GDQ93" s="3"/>
      <c r="GDR93" s="3"/>
      <c r="GDS93" s="3"/>
      <c r="GDT93" s="3"/>
      <c r="GDU93" s="3"/>
      <c r="GDV93" s="3"/>
      <c r="GDW93" s="3"/>
      <c r="GDX93" s="3"/>
      <c r="GDY93" s="3"/>
      <c r="GDZ93" s="3"/>
      <c r="GEA93" s="3"/>
      <c r="GEB93" s="3"/>
      <c r="GEC93" s="3"/>
      <c r="GED93" s="3"/>
      <c r="GEE93" s="3"/>
      <c r="GEF93" s="3"/>
      <c r="GEG93" s="3"/>
      <c r="GEH93" s="3"/>
      <c r="GEI93" s="3"/>
      <c r="GEJ93" s="3"/>
      <c r="GEK93" s="3"/>
      <c r="GEL93" s="3"/>
      <c r="GEM93" s="3"/>
      <c r="GEN93" s="3"/>
      <c r="GEO93" s="3"/>
      <c r="GEP93" s="3"/>
      <c r="GEQ93" s="3"/>
      <c r="GER93" s="3"/>
      <c r="GES93" s="3"/>
      <c r="GET93" s="3"/>
      <c r="GEU93" s="3"/>
      <c r="GEV93" s="3"/>
      <c r="GEW93" s="3"/>
      <c r="GEX93" s="3"/>
      <c r="GEY93" s="3"/>
      <c r="GEZ93" s="3"/>
      <c r="GFA93" s="3"/>
      <c r="GFB93" s="3"/>
      <c r="GFC93" s="3"/>
      <c r="GFD93" s="3"/>
      <c r="GFE93" s="3"/>
      <c r="GFF93" s="3"/>
      <c r="GFG93" s="3"/>
      <c r="GFH93" s="3"/>
      <c r="GFI93" s="3"/>
      <c r="GFJ93" s="3"/>
      <c r="GFK93" s="3"/>
      <c r="GFL93" s="3"/>
      <c r="GFM93" s="3"/>
      <c r="GFN93" s="3"/>
      <c r="GFO93" s="3"/>
      <c r="GFP93" s="3"/>
      <c r="GFQ93" s="3"/>
      <c r="GFR93" s="3"/>
      <c r="GFS93" s="3"/>
      <c r="GFT93" s="3"/>
      <c r="GFU93" s="3"/>
      <c r="GFV93" s="3"/>
      <c r="GFW93" s="3"/>
      <c r="GFX93" s="3"/>
      <c r="GFY93" s="3"/>
      <c r="GFZ93" s="3"/>
      <c r="GGA93" s="3"/>
      <c r="GGB93" s="3"/>
      <c r="GGC93" s="3"/>
      <c r="GGD93" s="3"/>
      <c r="GGE93" s="3"/>
      <c r="GGF93" s="3"/>
      <c r="GGG93" s="3"/>
      <c r="GGH93" s="3"/>
      <c r="GGI93" s="3"/>
      <c r="GGJ93" s="3"/>
      <c r="GGK93" s="3"/>
      <c r="GGL93" s="3"/>
      <c r="GGM93" s="3"/>
      <c r="GGN93" s="3"/>
      <c r="GGO93" s="3"/>
      <c r="GGP93" s="3"/>
      <c r="GGQ93" s="3"/>
      <c r="GGR93" s="3"/>
      <c r="GGS93" s="3"/>
      <c r="GGT93" s="3"/>
      <c r="GGU93" s="3"/>
      <c r="GGV93" s="3"/>
      <c r="GGW93" s="3"/>
      <c r="GGX93" s="3"/>
      <c r="GGY93" s="3"/>
      <c r="GGZ93" s="3"/>
      <c r="GHA93" s="3"/>
      <c r="GHB93" s="3"/>
      <c r="GHC93" s="3"/>
      <c r="GHD93" s="3"/>
      <c r="GHE93" s="3"/>
      <c r="GHF93" s="3"/>
      <c r="GHG93" s="3"/>
      <c r="GHH93" s="3"/>
      <c r="GHI93" s="3"/>
      <c r="GHJ93" s="3"/>
      <c r="GHK93" s="3"/>
      <c r="GHL93" s="3"/>
      <c r="GHM93" s="3"/>
      <c r="GHN93" s="3"/>
      <c r="GHO93" s="3"/>
      <c r="GHP93" s="3"/>
      <c r="GHQ93" s="3"/>
      <c r="GHR93" s="3"/>
      <c r="GHS93" s="3"/>
      <c r="GHT93" s="3"/>
      <c r="GHU93" s="3"/>
      <c r="GHV93" s="3"/>
      <c r="GHW93" s="3"/>
      <c r="GHX93" s="3"/>
      <c r="GHY93" s="3"/>
      <c r="GHZ93" s="3"/>
      <c r="GIA93" s="3"/>
      <c r="GIB93" s="3"/>
      <c r="GIC93" s="3"/>
      <c r="GID93" s="3"/>
      <c r="GIE93" s="3"/>
      <c r="GIF93" s="3"/>
      <c r="GIG93" s="3"/>
      <c r="GIH93" s="3"/>
      <c r="GII93" s="3"/>
      <c r="GIJ93" s="3"/>
      <c r="GIK93" s="3"/>
      <c r="GIL93" s="3"/>
      <c r="GIM93" s="3"/>
      <c r="GIN93" s="3"/>
      <c r="GIO93" s="3"/>
      <c r="GIP93" s="3"/>
      <c r="GIQ93" s="3"/>
      <c r="GIR93" s="3"/>
      <c r="GIS93" s="3"/>
      <c r="GIT93" s="3"/>
      <c r="GIU93" s="3"/>
      <c r="GIV93" s="3"/>
      <c r="GIW93" s="3"/>
      <c r="GIX93" s="3"/>
      <c r="GIY93" s="3"/>
      <c r="GIZ93" s="3"/>
      <c r="GJA93" s="3"/>
      <c r="GJB93" s="3"/>
      <c r="GJC93" s="3"/>
      <c r="GJD93" s="3"/>
      <c r="GJE93" s="3"/>
      <c r="GJF93" s="3"/>
      <c r="GJG93" s="3"/>
      <c r="GJH93" s="3"/>
      <c r="GJI93" s="3"/>
      <c r="GJJ93" s="3"/>
      <c r="GJK93" s="3"/>
      <c r="GJL93" s="3"/>
      <c r="GJM93" s="3"/>
      <c r="GJN93" s="3"/>
      <c r="GJO93" s="3"/>
      <c r="GJP93" s="3"/>
      <c r="GJQ93" s="3"/>
      <c r="GJR93" s="3"/>
      <c r="GJS93" s="3"/>
      <c r="GJT93" s="3"/>
      <c r="GJU93" s="3"/>
      <c r="GJV93" s="3"/>
      <c r="GJW93" s="3"/>
      <c r="GJX93" s="3"/>
      <c r="GJY93" s="3"/>
      <c r="GJZ93" s="3"/>
      <c r="GKA93" s="3"/>
      <c r="GKB93" s="3"/>
      <c r="GKC93" s="3"/>
      <c r="GKD93" s="3"/>
      <c r="GKE93" s="3"/>
      <c r="GKF93" s="3"/>
      <c r="GKG93" s="3"/>
      <c r="GKH93" s="3"/>
      <c r="GKI93" s="3"/>
      <c r="GKJ93" s="3"/>
      <c r="GKK93" s="3"/>
      <c r="GKL93" s="3"/>
      <c r="GKM93" s="3"/>
      <c r="GKN93" s="3"/>
      <c r="GKO93" s="3"/>
      <c r="GKP93" s="3"/>
      <c r="GKQ93" s="3"/>
      <c r="GKR93" s="3"/>
      <c r="GKS93" s="3"/>
      <c r="GKT93" s="3"/>
      <c r="GKU93" s="3"/>
      <c r="GKV93" s="3"/>
      <c r="GKW93" s="3"/>
      <c r="GKX93" s="3"/>
      <c r="GKY93" s="3"/>
      <c r="GKZ93" s="3"/>
      <c r="GLA93" s="3"/>
      <c r="GLB93" s="3"/>
      <c r="GLC93" s="3"/>
      <c r="GLD93" s="3"/>
      <c r="GLE93" s="3"/>
      <c r="GLF93" s="3"/>
      <c r="GLG93" s="3"/>
      <c r="GLH93" s="3"/>
      <c r="GLI93" s="3"/>
      <c r="GLJ93" s="3"/>
      <c r="GLK93" s="3"/>
      <c r="GLL93" s="3"/>
      <c r="GLM93" s="3"/>
      <c r="GLN93" s="3"/>
      <c r="GLO93" s="3"/>
      <c r="GLP93" s="3"/>
      <c r="GLQ93" s="3"/>
      <c r="GLR93" s="3"/>
      <c r="GLS93" s="3"/>
      <c r="GLT93" s="3"/>
      <c r="GLU93" s="3"/>
      <c r="GLV93" s="3"/>
      <c r="GLW93" s="3"/>
      <c r="GLX93" s="3"/>
      <c r="GLY93" s="3"/>
      <c r="GLZ93" s="3"/>
      <c r="GMA93" s="3"/>
      <c r="GMB93" s="3"/>
      <c r="GMC93" s="3"/>
      <c r="GMD93" s="3"/>
      <c r="GME93" s="3"/>
      <c r="GMF93" s="3"/>
      <c r="GMG93" s="3"/>
      <c r="GMH93" s="3"/>
      <c r="GMI93" s="3"/>
      <c r="GMJ93" s="3"/>
      <c r="GMK93" s="3"/>
      <c r="GML93" s="3"/>
      <c r="GMM93" s="3"/>
      <c r="GMN93" s="3"/>
      <c r="GMO93" s="3"/>
      <c r="GMP93" s="3"/>
      <c r="GMQ93" s="3"/>
      <c r="GMR93" s="3"/>
      <c r="GMS93" s="3"/>
      <c r="GMT93" s="3"/>
      <c r="GMU93" s="3"/>
      <c r="GMV93" s="3"/>
      <c r="GMW93" s="3"/>
      <c r="GMX93" s="3"/>
      <c r="GMY93" s="3"/>
      <c r="GMZ93" s="3"/>
      <c r="GNA93" s="3"/>
      <c r="GNB93" s="3"/>
      <c r="GNC93" s="3"/>
      <c r="GND93" s="3"/>
      <c r="GNE93" s="3"/>
      <c r="GNF93" s="3"/>
      <c r="GNG93" s="3"/>
      <c r="GNH93" s="3"/>
      <c r="GNI93" s="3"/>
      <c r="GNJ93" s="3"/>
      <c r="GNK93" s="3"/>
      <c r="GNL93" s="3"/>
      <c r="GNM93" s="3"/>
      <c r="GNN93" s="3"/>
      <c r="GNO93" s="3"/>
      <c r="GNP93" s="3"/>
      <c r="GNQ93" s="3"/>
      <c r="GNR93" s="3"/>
      <c r="GNS93" s="3"/>
      <c r="GNT93" s="3"/>
      <c r="GNU93" s="3"/>
      <c r="GNV93" s="3"/>
      <c r="GNW93" s="3"/>
      <c r="GNX93" s="3"/>
      <c r="GNY93" s="3"/>
      <c r="GNZ93" s="3"/>
      <c r="GOA93" s="3"/>
      <c r="GOB93" s="3"/>
      <c r="GOC93" s="3"/>
      <c r="GOD93" s="3"/>
      <c r="GOE93" s="3"/>
      <c r="GOF93" s="3"/>
      <c r="GOG93" s="3"/>
      <c r="GOH93" s="3"/>
      <c r="GOI93" s="3"/>
      <c r="GOJ93" s="3"/>
      <c r="GOK93" s="3"/>
      <c r="GOL93" s="3"/>
      <c r="GOM93" s="3"/>
      <c r="GON93" s="3"/>
      <c r="GOO93" s="3"/>
      <c r="GOP93" s="3"/>
      <c r="GOQ93" s="3"/>
      <c r="GOR93" s="3"/>
      <c r="GOS93" s="3"/>
      <c r="GOT93" s="3"/>
      <c r="GOU93" s="3"/>
      <c r="GOV93" s="3"/>
      <c r="GOW93" s="3"/>
      <c r="GOX93" s="3"/>
      <c r="GOY93" s="3"/>
      <c r="GOZ93" s="3"/>
      <c r="GPA93" s="3"/>
      <c r="GPB93" s="3"/>
      <c r="GPC93" s="3"/>
      <c r="GPD93" s="3"/>
      <c r="GPE93" s="3"/>
      <c r="GPF93" s="3"/>
      <c r="GPG93" s="3"/>
      <c r="GPH93" s="3"/>
      <c r="GPI93" s="3"/>
      <c r="GPJ93" s="3"/>
      <c r="GPK93" s="3"/>
      <c r="GPL93" s="3"/>
      <c r="GPM93" s="3"/>
      <c r="GPN93" s="3"/>
      <c r="GPO93" s="3"/>
      <c r="GPP93" s="3"/>
      <c r="GPQ93" s="3"/>
      <c r="GPR93" s="3"/>
      <c r="GPS93" s="3"/>
      <c r="GPT93" s="3"/>
      <c r="GPU93" s="3"/>
      <c r="GPV93" s="3"/>
      <c r="GPW93" s="3"/>
      <c r="GPX93" s="3"/>
      <c r="GPY93" s="3"/>
      <c r="GPZ93" s="3"/>
      <c r="GQA93" s="3"/>
      <c r="GQB93" s="3"/>
      <c r="GQC93" s="3"/>
      <c r="GQD93" s="3"/>
      <c r="GQE93" s="3"/>
      <c r="GQF93" s="3"/>
      <c r="GQG93" s="3"/>
      <c r="GQH93" s="3"/>
      <c r="GQI93" s="3"/>
      <c r="GQJ93" s="3"/>
      <c r="GQK93" s="3"/>
      <c r="GQL93" s="3"/>
      <c r="GQM93" s="3"/>
      <c r="GQN93" s="3"/>
      <c r="GQO93" s="3"/>
      <c r="GQP93" s="3"/>
      <c r="GQQ93" s="3"/>
      <c r="GQR93" s="3"/>
      <c r="GQS93" s="3"/>
      <c r="GQT93" s="3"/>
      <c r="GQU93" s="3"/>
      <c r="GQV93" s="3"/>
      <c r="GQW93" s="3"/>
      <c r="GQX93" s="3"/>
      <c r="GQY93" s="3"/>
      <c r="GQZ93" s="3"/>
      <c r="GRA93" s="3"/>
      <c r="GRB93" s="3"/>
      <c r="GRC93" s="3"/>
      <c r="GRD93" s="3"/>
      <c r="GRE93" s="3"/>
      <c r="GRF93" s="3"/>
      <c r="GRG93" s="3"/>
      <c r="GRH93" s="3"/>
      <c r="GRI93" s="3"/>
      <c r="GRJ93" s="3"/>
      <c r="GRK93" s="3"/>
      <c r="GRL93" s="3"/>
      <c r="GRM93" s="3"/>
      <c r="GRN93" s="3"/>
      <c r="GRO93" s="3"/>
      <c r="GRP93" s="3"/>
      <c r="GRQ93" s="3"/>
      <c r="GRR93" s="3"/>
      <c r="GRS93" s="3"/>
      <c r="GRT93" s="3"/>
      <c r="GRU93" s="3"/>
      <c r="GRV93" s="3"/>
      <c r="GRW93" s="3"/>
      <c r="GRX93" s="3"/>
      <c r="GRY93" s="3"/>
      <c r="GRZ93" s="3"/>
      <c r="GSA93" s="3"/>
      <c r="GSB93" s="3"/>
      <c r="GSC93" s="3"/>
      <c r="GSD93" s="3"/>
      <c r="GSE93" s="3"/>
      <c r="GSF93" s="3"/>
      <c r="GSG93" s="3"/>
      <c r="GSH93" s="3"/>
      <c r="GSI93" s="3"/>
      <c r="GSJ93" s="3"/>
      <c r="GSK93" s="3"/>
      <c r="GSL93" s="3"/>
      <c r="GSM93" s="3"/>
      <c r="GSN93" s="3"/>
      <c r="GSO93" s="3"/>
      <c r="GSP93" s="3"/>
      <c r="GSQ93" s="3"/>
      <c r="GSR93" s="3"/>
      <c r="GSS93" s="3"/>
      <c r="GST93" s="3"/>
      <c r="GSU93" s="3"/>
      <c r="GSV93" s="3"/>
      <c r="GSW93" s="3"/>
      <c r="GSX93" s="3"/>
      <c r="GSY93" s="3"/>
      <c r="GSZ93" s="3"/>
      <c r="GTA93" s="3"/>
      <c r="GTB93" s="3"/>
      <c r="GTC93" s="3"/>
      <c r="GTD93" s="3"/>
      <c r="GTE93" s="3"/>
      <c r="GTF93" s="3"/>
      <c r="GTG93" s="3"/>
      <c r="GTH93" s="3"/>
      <c r="GTI93" s="3"/>
      <c r="GTJ93" s="3"/>
      <c r="GTK93" s="3"/>
      <c r="GTL93" s="3"/>
      <c r="GTM93" s="3"/>
      <c r="GTN93" s="3"/>
      <c r="GTO93" s="3"/>
      <c r="GTP93" s="3"/>
      <c r="GTQ93" s="3"/>
      <c r="GTR93" s="3"/>
      <c r="GTS93" s="3"/>
      <c r="GTT93" s="3"/>
      <c r="GTU93" s="3"/>
      <c r="GTV93" s="3"/>
      <c r="GTW93" s="3"/>
      <c r="GTX93" s="3"/>
      <c r="GTY93" s="3"/>
      <c r="GTZ93" s="3"/>
      <c r="GUA93" s="3"/>
      <c r="GUB93" s="3"/>
      <c r="GUC93" s="3"/>
      <c r="GUD93" s="3"/>
      <c r="GUE93" s="3"/>
      <c r="GUF93" s="3"/>
      <c r="GUG93" s="3"/>
      <c r="GUH93" s="3"/>
      <c r="GUI93" s="3"/>
      <c r="GUJ93" s="3"/>
      <c r="GUK93" s="3"/>
      <c r="GUL93" s="3"/>
      <c r="GUM93" s="3"/>
      <c r="GUN93" s="3"/>
      <c r="GUO93" s="3"/>
      <c r="GUP93" s="3"/>
      <c r="GUQ93" s="3"/>
      <c r="GUR93" s="3"/>
      <c r="GUS93" s="3"/>
      <c r="GUT93" s="3"/>
      <c r="GUU93" s="3"/>
      <c r="GUV93" s="3"/>
      <c r="GUW93" s="3"/>
      <c r="GUX93" s="3"/>
      <c r="GUY93" s="3"/>
      <c r="GUZ93" s="3"/>
      <c r="GVA93" s="3"/>
      <c r="GVB93" s="3"/>
      <c r="GVC93" s="3"/>
      <c r="GVD93" s="3"/>
      <c r="GVE93" s="3"/>
      <c r="GVF93" s="3"/>
      <c r="GVG93" s="3"/>
      <c r="GVH93" s="3"/>
      <c r="GVI93" s="3"/>
      <c r="GVJ93" s="3"/>
      <c r="GVK93" s="3"/>
      <c r="GVL93" s="3"/>
      <c r="GVM93" s="3"/>
      <c r="GVN93" s="3"/>
      <c r="GVO93" s="3"/>
      <c r="GVP93" s="3"/>
      <c r="GVQ93" s="3"/>
      <c r="GVR93" s="3"/>
      <c r="GVS93" s="3"/>
      <c r="GVT93" s="3"/>
      <c r="GVU93" s="3"/>
      <c r="GVV93" s="3"/>
      <c r="GVW93" s="3"/>
      <c r="GVX93" s="3"/>
      <c r="GVY93" s="3"/>
      <c r="GVZ93" s="3"/>
      <c r="GWA93" s="3"/>
      <c r="GWB93" s="3"/>
      <c r="GWC93" s="3"/>
      <c r="GWD93" s="3"/>
      <c r="GWE93" s="3"/>
      <c r="GWF93" s="3"/>
      <c r="GWG93" s="3"/>
      <c r="GWH93" s="3"/>
      <c r="GWI93" s="3"/>
      <c r="GWJ93" s="3"/>
      <c r="GWK93" s="3"/>
      <c r="GWL93" s="3"/>
      <c r="GWM93" s="3"/>
      <c r="GWN93" s="3"/>
      <c r="GWO93" s="3"/>
      <c r="GWP93" s="3"/>
      <c r="GWQ93" s="3"/>
      <c r="GWR93" s="3"/>
      <c r="GWS93" s="3"/>
      <c r="GWT93" s="3"/>
      <c r="GWU93" s="3"/>
      <c r="GWV93" s="3"/>
      <c r="GWW93" s="3"/>
      <c r="GWX93" s="3"/>
      <c r="GWY93" s="3"/>
      <c r="GWZ93" s="3"/>
      <c r="GXA93" s="3"/>
      <c r="GXB93" s="3"/>
      <c r="GXC93" s="3"/>
      <c r="GXD93" s="3"/>
      <c r="GXE93" s="3"/>
      <c r="GXF93" s="3"/>
      <c r="GXG93" s="3"/>
      <c r="GXH93" s="3"/>
      <c r="GXI93" s="3"/>
      <c r="GXJ93" s="3"/>
      <c r="GXK93" s="3"/>
      <c r="GXL93" s="3"/>
      <c r="GXM93" s="3"/>
      <c r="GXN93" s="3"/>
      <c r="GXO93" s="3"/>
      <c r="GXP93" s="3"/>
      <c r="GXQ93" s="3"/>
      <c r="GXR93" s="3"/>
      <c r="GXS93" s="3"/>
      <c r="GXT93" s="3"/>
      <c r="GXU93" s="3"/>
      <c r="GXV93" s="3"/>
      <c r="GXW93" s="3"/>
      <c r="GXX93" s="3"/>
      <c r="GXY93" s="3"/>
      <c r="GXZ93" s="3"/>
      <c r="GYA93" s="3"/>
      <c r="GYB93" s="3"/>
      <c r="GYC93" s="3"/>
      <c r="GYD93" s="3"/>
      <c r="GYE93" s="3"/>
      <c r="GYF93" s="3"/>
      <c r="GYG93" s="3"/>
      <c r="GYH93" s="3"/>
      <c r="GYI93" s="3"/>
      <c r="GYJ93" s="3"/>
      <c r="GYK93" s="3"/>
      <c r="GYL93" s="3"/>
      <c r="GYM93" s="3"/>
      <c r="GYN93" s="3"/>
      <c r="GYO93" s="3"/>
      <c r="GYP93" s="3"/>
      <c r="GYQ93" s="3"/>
      <c r="GYR93" s="3"/>
      <c r="GYS93" s="3"/>
      <c r="GYT93" s="3"/>
      <c r="GYU93" s="3"/>
      <c r="GYV93" s="3"/>
      <c r="GYW93" s="3"/>
      <c r="GYX93" s="3"/>
      <c r="GYY93" s="3"/>
      <c r="GYZ93" s="3"/>
      <c r="GZA93" s="3"/>
      <c r="GZB93" s="3"/>
      <c r="GZC93" s="3"/>
      <c r="GZD93" s="3"/>
      <c r="GZE93" s="3"/>
      <c r="GZF93" s="3"/>
      <c r="GZG93" s="3"/>
      <c r="GZH93" s="3"/>
      <c r="GZI93" s="3"/>
      <c r="GZJ93" s="3"/>
      <c r="GZK93" s="3"/>
      <c r="GZL93" s="3"/>
      <c r="GZM93" s="3"/>
      <c r="GZN93" s="3"/>
      <c r="GZO93" s="3"/>
      <c r="GZP93" s="3"/>
      <c r="GZQ93" s="3"/>
      <c r="GZR93" s="3"/>
      <c r="GZS93" s="3"/>
      <c r="GZT93" s="3"/>
      <c r="GZU93" s="3"/>
      <c r="GZV93" s="3"/>
      <c r="GZW93" s="3"/>
      <c r="GZX93" s="3"/>
      <c r="GZY93" s="3"/>
      <c r="GZZ93" s="3"/>
      <c r="HAA93" s="3"/>
      <c r="HAB93" s="3"/>
      <c r="HAC93" s="3"/>
      <c r="HAD93" s="3"/>
      <c r="HAE93" s="3"/>
      <c r="HAF93" s="3"/>
      <c r="HAG93" s="3"/>
      <c r="HAH93" s="3"/>
      <c r="HAI93" s="3"/>
      <c r="HAJ93" s="3"/>
      <c r="HAK93" s="3"/>
      <c r="HAL93" s="3"/>
      <c r="HAM93" s="3"/>
      <c r="HAN93" s="3"/>
      <c r="HAO93" s="3"/>
      <c r="HAP93" s="3"/>
      <c r="HAQ93" s="3"/>
      <c r="HAR93" s="3"/>
      <c r="HAS93" s="3"/>
      <c r="HAT93" s="3"/>
      <c r="HAU93" s="3"/>
      <c r="HAV93" s="3"/>
      <c r="HAW93" s="3"/>
      <c r="HAX93" s="3"/>
      <c r="HAY93" s="3"/>
      <c r="HAZ93" s="3"/>
      <c r="HBA93" s="3"/>
      <c r="HBB93" s="3"/>
      <c r="HBC93" s="3"/>
      <c r="HBD93" s="3"/>
      <c r="HBE93" s="3"/>
      <c r="HBF93" s="3"/>
      <c r="HBG93" s="3"/>
      <c r="HBH93" s="3"/>
      <c r="HBI93" s="3"/>
      <c r="HBJ93" s="3"/>
      <c r="HBK93" s="3"/>
      <c r="HBL93" s="3"/>
      <c r="HBM93" s="3"/>
      <c r="HBN93" s="3"/>
      <c r="HBO93" s="3"/>
      <c r="HBP93" s="3"/>
      <c r="HBQ93" s="3"/>
      <c r="HBR93" s="3"/>
      <c r="HBS93" s="3"/>
      <c r="HBT93" s="3"/>
      <c r="HBU93" s="3"/>
      <c r="HBV93" s="3"/>
      <c r="HBW93" s="3"/>
      <c r="HBX93" s="3"/>
      <c r="HBY93" s="3"/>
      <c r="HBZ93" s="3"/>
      <c r="HCA93" s="3"/>
      <c r="HCB93" s="3"/>
      <c r="HCC93" s="3"/>
      <c r="HCD93" s="3"/>
      <c r="HCE93" s="3"/>
      <c r="HCF93" s="3"/>
      <c r="HCG93" s="3"/>
      <c r="HCH93" s="3"/>
      <c r="HCI93" s="3"/>
      <c r="HCJ93" s="3"/>
      <c r="HCK93" s="3"/>
      <c r="HCL93" s="3"/>
      <c r="HCM93" s="3"/>
      <c r="HCN93" s="3"/>
      <c r="HCO93" s="3"/>
      <c r="HCP93" s="3"/>
      <c r="HCQ93" s="3"/>
      <c r="HCR93" s="3"/>
      <c r="HCS93" s="3"/>
      <c r="HCT93" s="3"/>
      <c r="HCU93" s="3"/>
      <c r="HCV93" s="3"/>
      <c r="HCW93" s="3"/>
      <c r="HCX93" s="3"/>
      <c r="HCY93" s="3"/>
      <c r="HCZ93" s="3"/>
      <c r="HDA93" s="3"/>
      <c r="HDB93" s="3"/>
      <c r="HDC93" s="3"/>
      <c r="HDD93" s="3"/>
      <c r="HDE93" s="3"/>
      <c r="HDF93" s="3"/>
      <c r="HDG93" s="3"/>
      <c r="HDH93" s="3"/>
      <c r="HDI93" s="3"/>
      <c r="HDJ93" s="3"/>
      <c r="HDK93" s="3"/>
      <c r="HDL93" s="3"/>
      <c r="HDM93" s="3"/>
      <c r="HDN93" s="3"/>
      <c r="HDO93" s="3"/>
      <c r="HDP93" s="3"/>
      <c r="HDQ93" s="3"/>
      <c r="HDR93" s="3"/>
      <c r="HDS93" s="3"/>
      <c r="HDT93" s="3"/>
      <c r="HDU93" s="3"/>
      <c r="HDV93" s="3"/>
      <c r="HDW93" s="3"/>
      <c r="HDX93" s="3"/>
      <c r="HDY93" s="3"/>
      <c r="HDZ93" s="3"/>
      <c r="HEA93" s="3"/>
      <c r="HEB93" s="3"/>
      <c r="HEC93" s="3"/>
      <c r="HED93" s="3"/>
      <c r="HEE93" s="3"/>
      <c r="HEF93" s="3"/>
      <c r="HEG93" s="3"/>
      <c r="HEH93" s="3"/>
      <c r="HEI93" s="3"/>
      <c r="HEJ93" s="3"/>
      <c r="HEK93" s="3"/>
      <c r="HEL93" s="3"/>
      <c r="HEM93" s="3"/>
      <c r="HEN93" s="3"/>
      <c r="HEO93" s="3"/>
      <c r="HEP93" s="3"/>
      <c r="HEQ93" s="3"/>
      <c r="HER93" s="3"/>
      <c r="HES93" s="3"/>
      <c r="HET93" s="3"/>
      <c r="HEU93" s="3"/>
      <c r="HEV93" s="3"/>
      <c r="HEW93" s="3"/>
      <c r="HEX93" s="3"/>
      <c r="HEY93" s="3"/>
      <c r="HEZ93" s="3"/>
      <c r="HFA93" s="3"/>
      <c r="HFB93" s="3"/>
      <c r="HFC93" s="3"/>
      <c r="HFD93" s="3"/>
      <c r="HFE93" s="3"/>
      <c r="HFF93" s="3"/>
      <c r="HFG93" s="3"/>
      <c r="HFH93" s="3"/>
      <c r="HFI93" s="3"/>
      <c r="HFJ93" s="3"/>
      <c r="HFK93" s="3"/>
      <c r="HFL93" s="3"/>
      <c r="HFM93" s="3"/>
      <c r="HFN93" s="3"/>
      <c r="HFO93" s="3"/>
      <c r="HFP93" s="3"/>
      <c r="HFQ93" s="3"/>
      <c r="HFR93" s="3"/>
      <c r="HFS93" s="3"/>
      <c r="HFT93" s="3"/>
      <c r="HFU93" s="3"/>
      <c r="HFV93" s="3"/>
      <c r="HFW93" s="3"/>
      <c r="HFX93" s="3"/>
      <c r="HFY93" s="3"/>
      <c r="HFZ93" s="3"/>
      <c r="HGA93" s="3"/>
      <c r="HGB93" s="3"/>
      <c r="HGC93" s="3"/>
      <c r="HGD93" s="3"/>
      <c r="HGE93" s="3"/>
      <c r="HGF93" s="3"/>
      <c r="HGG93" s="3"/>
      <c r="HGH93" s="3"/>
      <c r="HGI93" s="3"/>
      <c r="HGJ93" s="3"/>
      <c r="HGK93" s="3"/>
      <c r="HGL93" s="3"/>
      <c r="HGM93" s="3"/>
      <c r="HGN93" s="3"/>
      <c r="HGO93" s="3"/>
      <c r="HGP93" s="3"/>
      <c r="HGQ93" s="3"/>
      <c r="HGR93" s="3"/>
      <c r="HGS93" s="3"/>
      <c r="HGT93" s="3"/>
      <c r="HGU93" s="3"/>
      <c r="HGV93" s="3"/>
      <c r="HGW93" s="3"/>
      <c r="HGX93" s="3"/>
      <c r="HGY93" s="3"/>
      <c r="HGZ93" s="3"/>
      <c r="HHA93" s="3"/>
      <c r="HHB93" s="3"/>
      <c r="HHC93" s="3"/>
      <c r="HHD93" s="3"/>
      <c r="HHE93" s="3"/>
      <c r="HHF93" s="3"/>
      <c r="HHG93" s="3"/>
      <c r="HHH93" s="3"/>
      <c r="HHI93" s="3"/>
      <c r="HHJ93" s="3"/>
      <c r="HHK93" s="3"/>
      <c r="HHL93" s="3"/>
      <c r="HHM93" s="3"/>
      <c r="HHN93" s="3"/>
      <c r="HHO93" s="3"/>
      <c r="HHP93" s="3"/>
      <c r="HHQ93" s="3"/>
      <c r="HHR93" s="3"/>
      <c r="HHS93" s="3"/>
      <c r="HHT93" s="3"/>
      <c r="HHU93" s="3"/>
      <c r="HHV93" s="3"/>
      <c r="HHW93" s="3"/>
      <c r="HHX93" s="3"/>
      <c r="HHY93" s="3"/>
      <c r="HHZ93" s="3"/>
      <c r="HIA93" s="3"/>
      <c r="HIB93" s="3"/>
      <c r="HIC93" s="3"/>
      <c r="HID93" s="3"/>
      <c r="HIE93" s="3"/>
      <c r="HIF93" s="3"/>
      <c r="HIG93" s="3"/>
      <c r="HIH93" s="3"/>
      <c r="HII93" s="3"/>
      <c r="HIJ93" s="3"/>
      <c r="HIK93" s="3"/>
      <c r="HIL93" s="3"/>
      <c r="HIM93" s="3"/>
      <c r="HIN93" s="3"/>
      <c r="HIO93" s="3"/>
      <c r="HIP93" s="3"/>
      <c r="HIQ93" s="3"/>
      <c r="HIR93" s="3"/>
      <c r="HIS93" s="3"/>
      <c r="HIT93" s="3"/>
      <c r="HIU93" s="3"/>
      <c r="HIV93" s="3"/>
      <c r="HIW93" s="3"/>
      <c r="HIX93" s="3"/>
      <c r="HIY93" s="3"/>
      <c r="HIZ93" s="3"/>
      <c r="HJA93" s="3"/>
      <c r="HJB93" s="3"/>
      <c r="HJC93" s="3"/>
      <c r="HJD93" s="3"/>
      <c r="HJE93" s="3"/>
      <c r="HJF93" s="3"/>
      <c r="HJG93" s="3"/>
      <c r="HJH93" s="3"/>
      <c r="HJI93" s="3"/>
      <c r="HJJ93" s="3"/>
      <c r="HJK93" s="3"/>
      <c r="HJL93" s="3"/>
      <c r="HJM93" s="3"/>
      <c r="HJN93" s="3"/>
      <c r="HJO93" s="3"/>
      <c r="HJP93" s="3"/>
      <c r="HJQ93" s="3"/>
      <c r="HJR93" s="3"/>
      <c r="HJS93" s="3"/>
      <c r="HJT93" s="3"/>
      <c r="HJU93" s="3"/>
      <c r="HJV93" s="3"/>
      <c r="HJW93" s="3"/>
      <c r="HJX93" s="3"/>
      <c r="HJY93" s="3"/>
      <c r="HJZ93" s="3"/>
      <c r="HKA93" s="3"/>
      <c r="HKB93" s="3"/>
      <c r="HKC93" s="3"/>
      <c r="HKD93" s="3"/>
      <c r="HKE93" s="3"/>
      <c r="HKF93" s="3"/>
      <c r="HKG93" s="3"/>
      <c r="HKH93" s="3"/>
      <c r="HKI93" s="3"/>
      <c r="HKJ93" s="3"/>
      <c r="HKK93" s="3"/>
      <c r="HKL93" s="3"/>
      <c r="HKM93" s="3"/>
      <c r="HKN93" s="3"/>
      <c r="HKO93" s="3"/>
      <c r="HKP93" s="3"/>
      <c r="HKQ93" s="3"/>
      <c r="HKR93" s="3"/>
      <c r="HKS93" s="3"/>
      <c r="HKT93" s="3"/>
      <c r="HKU93" s="3"/>
      <c r="HKV93" s="3"/>
      <c r="HKW93" s="3"/>
      <c r="HKX93" s="3"/>
      <c r="HKY93" s="3"/>
      <c r="HKZ93" s="3"/>
      <c r="HLA93" s="3"/>
      <c r="HLB93" s="3"/>
      <c r="HLC93" s="3"/>
      <c r="HLD93" s="3"/>
      <c r="HLE93" s="3"/>
      <c r="HLF93" s="3"/>
      <c r="HLG93" s="3"/>
      <c r="HLH93" s="3"/>
      <c r="HLI93" s="3"/>
      <c r="HLJ93" s="3"/>
      <c r="HLK93" s="3"/>
      <c r="HLL93" s="3"/>
      <c r="HLM93" s="3"/>
      <c r="HLN93" s="3"/>
      <c r="HLO93" s="3"/>
      <c r="HLP93" s="3"/>
      <c r="HLQ93" s="3"/>
      <c r="HLR93" s="3"/>
      <c r="HLS93" s="3"/>
      <c r="HLT93" s="3"/>
      <c r="HLU93" s="3"/>
      <c r="HLV93" s="3"/>
      <c r="HLW93" s="3"/>
      <c r="HLX93" s="3"/>
      <c r="HLY93" s="3"/>
      <c r="HLZ93" s="3"/>
      <c r="HMA93" s="3"/>
      <c r="HMB93" s="3"/>
      <c r="HMC93" s="3"/>
      <c r="HMD93" s="3"/>
      <c r="HME93" s="3"/>
      <c r="HMF93" s="3"/>
      <c r="HMG93" s="3"/>
      <c r="HMH93" s="3"/>
      <c r="HMI93" s="3"/>
      <c r="HMJ93" s="3"/>
      <c r="HMK93" s="3"/>
      <c r="HML93" s="3"/>
      <c r="HMM93" s="3"/>
      <c r="HMN93" s="3"/>
      <c r="HMO93" s="3"/>
      <c r="HMP93" s="3"/>
      <c r="HMQ93" s="3"/>
      <c r="HMR93" s="3"/>
      <c r="HMS93" s="3"/>
      <c r="HMT93" s="3"/>
      <c r="HMU93" s="3"/>
      <c r="HMV93" s="3"/>
      <c r="HMW93" s="3"/>
      <c r="HMX93" s="3"/>
      <c r="HMY93" s="3"/>
      <c r="HMZ93" s="3"/>
      <c r="HNA93" s="3"/>
      <c r="HNB93" s="3"/>
      <c r="HNC93" s="3"/>
      <c r="HND93" s="3"/>
      <c r="HNE93" s="3"/>
      <c r="HNF93" s="3"/>
      <c r="HNG93" s="3"/>
      <c r="HNH93" s="3"/>
      <c r="HNI93" s="3"/>
      <c r="HNJ93" s="3"/>
      <c r="HNK93" s="3"/>
      <c r="HNL93" s="3"/>
      <c r="HNM93" s="3"/>
      <c r="HNN93" s="3"/>
      <c r="HNO93" s="3"/>
      <c r="HNP93" s="3"/>
      <c r="HNQ93" s="3"/>
      <c r="HNR93" s="3"/>
      <c r="HNS93" s="3"/>
      <c r="HNT93" s="3"/>
      <c r="HNU93" s="3"/>
      <c r="HNV93" s="3"/>
      <c r="HNW93" s="3"/>
      <c r="HNX93" s="3"/>
      <c r="HNY93" s="3"/>
      <c r="HNZ93" s="3"/>
      <c r="HOA93" s="3"/>
      <c r="HOB93" s="3"/>
      <c r="HOC93" s="3"/>
      <c r="HOD93" s="3"/>
      <c r="HOE93" s="3"/>
      <c r="HOF93" s="3"/>
      <c r="HOG93" s="3"/>
      <c r="HOH93" s="3"/>
      <c r="HOI93" s="3"/>
      <c r="HOJ93" s="3"/>
      <c r="HOK93" s="3"/>
      <c r="HOL93" s="3"/>
      <c r="HOM93" s="3"/>
      <c r="HON93" s="3"/>
      <c r="HOO93" s="3"/>
      <c r="HOP93" s="3"/>
      <c r="HOQ93" s="3"/>
      <c r="HOR93" s="3"/>
      <c r="HOS93" s="3"/>
      <c r="HOT93" s="3"/>
      <c r="HOU93" s="3"/>
      <c r="HOV93" s="3"/>
      <c r="HOW93" s="3"/>
      <c r="HOX93" s="3"/>
      <c r="HOY93" s="3"/>
      <c r="HOZ93" s="3"/>
      <c r="HPA93" s="3"/>
      <c r="HPB93" s="3"/>
      <c r="HPC93" s="3"/>
      <c r="HPD93" s="3"/>
      <c r="HPE93" s="3"/>
      <c r="HPF93" s="3"/>
      <c r="HPG93" s="3"/>
      <c r="HPH93" s="3"/>
      <c r="HPI93" s="3"/>
      <c r="HPJ93" s="3"/>
      <c r="HPK93" s="3"/>
      <c r="HPL93" s="3"/>
      <c r="HPM93" s="3"/>
      <c r="HPN93" s="3"/>
      <c r="HPO93" s="3"/>
      <c r="HPP93" s="3"/>
      <c r="HPQ93" s="3"/>
      <c r="HPR93" s="3"/>
      <c r="HPS93" s="3"/>
      <c r="HPT93" s="3"/>
      <c r="HPU93" s="3"/>
      <c r="HPV93" s="3"/>
      <c r="HPW93" s="3"/>
      <c r="HPX93" s="3"/>
      <c r="HPY93" s="3"/>
      <c r="HPZ93" s="3"/>
      <c r="HQA93" s="3"/>
      <c r="HQB93" s="3"/>
      <c r="HQC93" s="3"/>
      <c r="HQD93" s="3"/>
      <c r="HQE93" s="3"/>
      <c r="HQF93" s="3"/>
      <c r="HQG93" s="3"/>
      <c r="HQH93" s="3"/>
      <c r="HQI93" s="3"/>
      <c r="HQJ93" s="3"/>
      <c r="HQK93" s="3"/>
      <c r="HQL93" s="3"/>
      <c r="HQM93" s="3"/>
      <c r="HQN93" s="3"/>
      <c r="HQO93" s="3"/>
      <c r="HQP93" s="3"/>
      <c r="HQQ93" s="3"/>
      <c r="HQR93" s="3"/>
      <c r="HQS93" s="3"/>
      <c r="HQT93" s="3"/>
      <c r="HQU93" s="3"/>
      <c r="HQV93" s="3"/>
      <c r="HQW93" s="3"/>
      <c r="HQX93" s="3"/>
      <c r="HQY93" s="3"/>
      <c r="HQZ93" s="3"/>
      <c r="HRA93" s="3"/>
      <c r="HRB93" s="3"/>
      <c r="HRC93" s="3"/>
      <c r="HRD93" s="3"/>
      <c r="HRE93" s="3"/>
      <c r="HRF93" s="3"/>
      <c r="HRG93" s="3"/>
      <c r="HRH93" s="3"/>
      <c r="HRI93" s="3"/>
      <c r="HRJ93" s="3"/>
      <c r="HRK93" s="3"/>
      <c r="HRL93" s="3"/>
      <c r="HRM93" s="3"/>
      <c r="HRN93" s="3"/>
      <c r="HRO93" s="3"/>
      <c r="HRP93" s="3"/>
      <c r="HRQ93" s="3"/>
      <c r="HRR93" s="3"/>
      <c r="HRS93" s="3"/>
      <c r="HRT93" s="3"/>
      <c r="HRU93" s="3"/>
      <c r="HRV93" s="3"/>
      <c r="HRW93" s="3"/>
      <c r="HRX93" s="3"/>
      <c r="HRY93" s="3"/>
      <c r="HRZ93" s="3"/>
      <c r="HSA93" s="3"/>
      <c r="HSB93" s="3"/>
      <c r="HSC93" s="3"/>
      <c r="HSD93" s="3"/>
      <c r="HSE93" s="3"/>
      <c r="HSF93" s="3"/>
      <c r="HSG93" s="3"/>
      <c r="HSH93" s="3"/>
      <c r="HSI93" s="3"/>
      <c r="HSJ93" s="3"/>
      <c r="HSK93" s="3"/>
      <c r="HSL93" s="3"/>
      <c r="HSM93" s="3"/>
      <c r="HSN93" s="3"/>
      <c r="HSO93" s="3"/>
      <c r="HSP93" s="3"/>
      <c r="HSQ93" s="3"/>
      <c r="HSR93" s="3"/>
      <c r="HSS93" s="3"/>
      <c r="HST93" s="3"/>
      <c r="HSU93" s="3"/>
      <c r="HSV93" s="3"/>
      <c r="HSW93" s="3"/>
      <c r="HSX93" s="3"/>
      <c r="HSY93" s="3"/>
      <c r="HSZ93" s="3"/>
      <c r="HTA93" s="3"/>
      <c r="HTB93" s="3"/>
      <c r="HTC93" s="3"/>
      <c r="HTD93" s="3"/>
      <c r="HTE93" s="3"/>
      <c r="HTF93" s="3"/>
      <c r="HTG93" s="3"/>
      <c r="HTH93" s="3"/>
      <c r="HTI93" s="3"/>
      <c r="HTJ93" s="3"/>
      <c r="HTK93" s="3"/>
      <c r="HTL93" s="3"/>
      <c r="HTM93" s="3"/>
      <c r="HTN93" s="3"/>
      <c r="HTO93" s="3"/>
      <c r="HTP93" s="3"/>
      <c r="HTQ93" s="3"/>
      <c r="HTR93" s="3"/>
      <c r="HTS93" s="3"/>
      <c r="HTT93" s="3"/>
      <c r="HTU93" s="3"/>
      <c r="HTV93" s="3"/>
      <c r="HTW93" s="3"/>
      <c r="HTX93" s="3"/>
      <c r="HTY93" s="3"/>
      <c r="HTZ93" s="3"/>
      <c r="HUA93" s="3"/>
      <c r="HUB93" s="3"/>
      <c r="HUC93" s="3"/>
      <c r="HUD93" s="3"/>
      <c r="HUE93" s="3"/>
      <c r="HUF93" s="3"/>
      <c r="HUG93" s="3"/>
      <c r="HUH93" s="3"/>
      <c r="HUI93" s="3"/>
      <c r="HUJ93" s="3"/>
      <c r="HUK93" s="3"/>
      <c r="HUL93" s="3"/>
      <c r="HUM93" s="3"/>
      <c r="HUN93" s="3"/>
      <c r="HUO93" s="3"/>
      <c r="HUP93" s="3"/>
      <c r="HUQ93" s="3"/>
      <c r="HUR93" s="3"/>
      <c r="HUS93" s="3"/>
      <c r="HUT93" s="3"/>
      <c r="HUU93" s="3"/>
      <c r="HUV93" s="3"/>
      <c r="HUW93" s="3"/>
      <c r="HUX93" s="3"/>
      <c r="HUY93" s="3"/>
      <c r="HUZ93" s="3"/>
      <c r="HVA93" s="3"/>
      <c r="HVB93" s="3"/>
      <c r="HVC93" s="3"/>
      <c r="HVD93" s="3"/>
      <c r="HVE93" s="3"/>
      <c r="HVF93" s="3"/>
      <c r="HVG93" s="3"/>
      <c r="HVH93" s="3"/>
      <c r="HVI93" s="3"/>
      <c r="HVJ93" s="3"/>
      <c r="HVK93" s="3"/>
      <c r="HVL93" s="3"/>
      <c r="HVM93" s="3"/>
      <c r="HVN93" s="3"/>
      <c r="HVO93" s="3"/>
      <c r="HVP93" s="3"/>
      <c r="HVQ93" s="3"/>
      <c r="HVR93" s="3"/>
      <c r="HVS93" s="3"/>
      <c r="HVT93" s="3"/>
      <c r="HVU93" s="3"/>
      <c r="HVV93" s="3"/>
      <c r="HVW93" s="3"/>
      <c r="HVX93" s="3"/>
      <c r="HVY93" s="3"/>
      <c r="HVZ93" s="3"/>
      <c r="HWA93" s="3"/>
      <c r="HWB93" s="3"/>
      <c r="HWC93" s="3"/>
      <c r="HWD93" s="3"/>
      <c r="HWE93" s="3"/>
      <c r="HWF93" s="3"/>
      <c r="HWG93" s="3"/>
      <c r="HWH93" s="3"/>
      <c r="HWI93" s="3"/>
      <c r="HWJ93" s="3"/>
      <c r="HWK93" s="3"/>
      <c r="HWL93" s="3"/>
      <c r="HWM93" s="3"/>
      <c r="HWN93" s="3"/>
      <c r="HWO93" s="3"/>
      <c r="HWP93" s="3"/>
      <c r="HWQ93" s="3"/>
      <c r="HWR93" s="3"/>
      <c r="HWS93" s="3"/>
      <c r="HWT93" s="3"/>
      <c r="HWU93" s="3"/>
      <c r="HWV93" s="3"/>
      <c r="HWW93" s="3"/>
      <c r="HWX93" s="3"/>
      <c r="HWY93" s="3"/>
      <c r="HWZ93" s="3"/>
      <c r="HXA93" s="3"/>
      <c r="HXB93" s="3"/>
      <c r="HXC93" s="3"/>
      <c r="HXD93" s="3"/>
      <c r="HXE93" s="3"/>
      <c r="HXF93" s="3"/>
      <c r="HXG93" s="3"/>
      <c r="HXH93" s="3"/>
      <c r="HXI93" s="3"/>
      <c r="HXJ93" s="3"/>
      <c r="HXK93" s="3"/>
      <c r="HXL93" s="3"/>
      <c r="HXM93" s="3"/>
      <c r="HXN93" s="3"/>
      <c r="HXO93" s="3"/>
      <c r="HXP93" s="3"/>
      <c r="HXQ93" s="3"/>
      <c r="HXR93" s="3"/>
      <c r="HXS93" s="3"/>
      <c r="HXT93" s="3"/>
      <c r="HXU93" s="3"/>
      <c r="HXV93" s="3"/>
      <c r="HXW93" s="3"/>
      <c r="HXX93" s="3"/>
      <c r="HXY93" s="3"/>
      <c r="HXZ93" s="3"/>
      <c r="HYA93" s="3"/>
      <c r="HYB93" s="3"/>
      <c r="HYC93" s="3"/>
      <c r="HYD93" s="3"/>
      <c r="HYE93" s="3"/>
      <c r="HYF93" s="3"/>
      <c r="HYG93" s="3"/>
      <c r="HYH93" s="3"/>
      <c r="HYI93" s="3"/>
      <c r="HYJ93" s="3"/>
      <c r="HYK93" s="3"/>
      <c r="HYL93" s="3"/>
      <c r="HYM93" s="3"/>
      <c r="HYN93" s="3"/>
      <c r="HYO93" s="3"/>
      <c r="HYP93" s="3"/>
      <c r="HYQ93" s="3"/>
      <c r="HYR93" s="3"/>
      <c r="HYS93" s="3"/>
      <c r="HYT93" s="3"/>
      <c r="HYU93" s="3"/>
      <c r="HYV93" s="3"/>
      <c r="HYW93" s="3"/>
      <c r="HYX93" s="3"/>
      <c r="HYY93" s="3"/>
      <c r="HYZ93" s="3"/>
      <c r="HZA93" s="3"/>
      <c r="HZB93" s="3"/>
      <c r="HZC93" s="3"/>
      <c r="HZD93" s="3"/>
      <c r="HZE93" s="3"/>
      <c r="HZF93" s="3"/>
      <c r="HZG93" s="3"/>
      <c r="HZH93" s="3"/>
      <c r="HZI93" s="3"/>
      <c r="HZJ93" s="3"/>
      <c r="HZK93" s="3"/>
      <c r="HZL93" s="3"/>
      <c r="HZM93" s="3"/>
      <c r="HZN93" s="3"/>
      <c r="HZO93" s="3"/>
      <c r="HZP93" s="3"/>
      <c r="HZQ93" s="3"/>
      <c r="HZR93" s="3"/>
      <c r="HZS93" s="3"/>
      <c r="HZT93" s="3"/>
      <c r="HZU93" s="3"/>
      <c r="HZV93" s="3"/>
      <c r="HZW93" s="3"/>
      <c r="HZX93" s="3"/>
      <c r="HZY93" s="3"/>
      <c r="HZZ93" s="3"/>
      <c r="IAA93" s="3"/>
      <c r="IAB93" s="3"/>
      <c r="IAC93" s="3"/>
      <c r="IAD93" s="3"/>
      <c r="IAE93" s="3"/>
      <c r="IAF93" s="3"/>
      <c r="IAG93" s="3"/>
      <c r="IAH93" s="3"/>
      <c r="IAI93" s="3"/>
      <c r="IAJ93" s="3"/>
      <c r="IAK93" s="3"/>
      <c r="IAL93" s="3"/>
      <c r="IAM93" s="3"/>
      <c r="IAN93" s="3"/>
      <c r="IAO93" s="3"/>
      <c r="IAP93" s="3"/>
      <c r="IAQ93" s="3"/>
      <c r="IAR93" s="3"/>
      <c r="IAS93" s="3"/>
      <c r="IAT93" s="3"/>
      <c r="IAU93" s="3"/>
      <c r="IAV93" s="3"/>
      <c r="IAW93" s="3"/>
      <c r="IAX93" s="3"/>
      <c r="IAY93" s="3"/>
      <c r="IAZ93" s="3"/>
      <c r="IBA93" s="3"/>
      <c r="IBB93" s="3"/>
      <c r="IBC93" s="3"/>
      <c r="IBD93" s="3"/>
      <c r="IBE93" s="3"/>
      <c r="IBF93" s="3"/>
      <c r="IBG93" s="3"/>
      <c r="IBH93" s="3"/>
      <c r="IBI93" s="3"/>
      <c r="IBJ93" s="3"/>
      <c r="IBK93" s="3"/>
      <c r="IBL93" s="3"/>
      <c r="IBM93" s="3"/>
      <c r="IBN93" s="3"/>
      <c r="IBO93" s="3"/>
      <c r="IBP93" s="3"/>
      <c r="IBQ93" s="3"/>
      <c r="IBR93" s="3"/>
      <c r="IBS93" s="3"/>
      <c r="IBT93" s="3"/>
      <c r="IBU93" s="3"/>
      <c r="IBV93" s="3"/>
      <c r="IBW93" s="3"/>
      <c r="IBX93" s="3"/>
      <c r="IBY93" s="3"/>
      <c r="IBZ93" s="3"/>
      <c r="ICA93" s="3"/>
      <c r="ICB93" s="3"/>
      <c r="ICC93" s="3"/>
      <c r="ICD93" s="3"/>
      <c r="ICE93" s="3"/>
      <c r="ICF93" s="3"/>
      <c r="ICG93" s="3"/>
      <c r="ICH93" s="3"/>
      <c r="ICI93" s="3"/>
      <c r="ICJ93" s="3"/>
      <c r="ICK93" s="3"/>
      <c r="ICL93" s="3"/>
      <c r="ICM93" s="3"/>
      <c r="ICN93" s="3"/>
      <c r="ICO93" s="3"/>
      <c r="ICP93" s="3"/>
      <c r="ICQ93" s="3"/>
      <c r="ICR93" s="3"/>
      <c r="ICS93" s="3"/>
      <c r="ICT93" s="3"/>
      <c r="ICU93" s="3"/>
      <c r="ICV93" s="3"/>
      <c r="ICW93" s="3"/>
      <c r="ICX93" s="3"/>
      <c r="ICY93" s="3"/>
      <c r="ICZ93" s="3"/>
      <c r="IDA93" s="3"/>
      <c r="IDB93" s="3"/>
      <c r="IDC93" s="3"/>
      <c r="IDD93" s="3"/>
      <c r="IDE93" s="3"/>
      <c r="IDF93" s="3"/>
      <c r="IDG93" s="3"/>
      <c r="IDH93" s="3"/>
      <c r="IDI93" s="3"/>
      <c r="IDJ93" s="3"/>
      <c r="IDK93" s="3"/>
      <c r="IDL93" s="3"/>
      <c r="IDM93" s="3"/>
      <c r="IDN93" s="3"/>
      <c r="IDO93" s="3"/>
      <c r="IDP93" s="3"/>
      <c r="IDQ93" s="3"/>
      <c r="IDR93" s="3"/>
      <c r="IDS93" s="3"/>
      <c r="IDT93" s="3"/>
      <c r="IDU93" s="3"/>
      <c r="IDV93" s="3"/>
      <c r="IDW93" s="3"/>
      <c r="IDX93" s="3"/>
      <c r="IDY93" s="3"/>
      <c r="IDZ93" s="3"/>
      <c r="IEA93" s="3"/>
      <c r="IEB93" s="3"/>
      <c r="IEC93" s="3"/>
      <c r="IED93" s="3"/>
      <c r="IEE93" s="3"/>
      <c r="IEF93" s="3"/>
      <c r="IEG93" s="3"/>
      <c r="IEH93" s="3"/>
      <c r="IEI93" s="3"/>
      <c r="IEJ93" s="3"/>
      <c r="IEK93" s="3"/>
      <c r="IEL93" s="3"/>
      <c r="IEM93" s="3"/>
      <c r="IEN93" s="3"/>
      <c r="IEO93" s="3"/>
      <c r="IEP93" s="3"/>
      <c r="IEQ93" s="3"/>
      <c r="IER93" s="3"/>
      <c r="IES93" s="3"/>
      <c r="IET93" s="3"/>
      <c r="IEU93" s="3"/>
      <c r="IEV93" s="3"/>
      <c r="IEW93" s="3"/>
      <c r="IEX93" s="3"/>
      <c r="IEY93" s="3"/>
      <c r="IEZ93" s="3"/>
      <c r="IFA93" s="3"/>
      <c r="IFB93" s="3"/>
      <c r="IFC93" s="3"/>
      <c r="IFD93" s="3"/>
      <c r="IFE93" s="3"/>
      <c r="IFF93" s="3"/>
      <c r="IFG93" s="3"/>
      <c r="IFH93" s="3"/>
      <c r="IFI93" s="3"/>
      <c r="IFJ93" s="3"/>
      <c r="IFK93" s="3"/>
      <c r="IFL93" s="3"/>
      <c r="IFM93" s="3"/>
      <c r="IFN93" s="3"/>
      <c r="IFO93" s="3"/>
      <c r="IFP93" s="3"/>
      <c r="IFQ93" s="3"/>
      <c r="IFR93" s="3"/>
      <c r="IFS93" s="3"/>
      <c r="IFT93" s="3"/>
      <c r="IFU93" s="3"/>
      <c r="IFV93" s="3"/>
      <c r="IFW93" s="3"/>
      <c r="IFX93" s="3"/>
      <c r="IFY93" s="3"/>
      <c r="IFZ93" s="3"/>
      <c r="IGA93" s="3"/>
      <c r="IGB93" s="3"/>
      <c r="IGC93" s="3"/>
      <c r="IGD93" s="3"/>
      <c r="IGE93" s="3"/>
      <c r="IGF93" s="3"/>
      <c r="IGG93" s="3"/>
      <c r="IGH93" s="3"/>
      <c r="IGI93" s="3"/>
      <c r="IGJ93" s="3"/>
      <c r="IGK93" s="3"/>
      <c r="IGL93" s="3"/>
      <c r="IGM93" s="3"/>
      <c r="IGN93" s="3"/>
      <c r="IGO93" s="3"/>
      <c r="IGP93" s="3"/>
      <c r="IGQ93" s="3"/>
      <c r="IGR93" s="3"/>
      <c r="IGS93" s="3"/>
      <c r="IGT93" s="3"/>
      <c r="IGU93" s="3"/>
      <c r="IGV93" s="3"/>
      <c r="IGW93" s="3"/>
      <c r="IGX93" s="3"/>
      <c r="IGY93" s="3"/>
      <c r="IGZ93" s="3"/>
      <c r="IHA93" s="3"/>
      <c r="IHB93" s="3"/>
      <c r="IHC93" s="3"/>
      <c r="IHD93" s="3"/>
      <c r="IHE93" s="3"/>
      <c r="IHF93" s="3"/>
      <c r="IHG93" s="3"/>
      <c r="IHH93" s="3"/>
      <c r="IHI93" s="3"/>
      <c r="IHJ93" s="3"/>
      <c r="IHK93" s="3"/>
      <c r="IHL93" s="3"/>
      <c r="IHM93" s="3"/>
      <c r="IHN93" s="3"/>
      <c r="IHO93" s="3"/>
      <c r="IHP93" s="3"/>
      <c r="IHQ93" s="3"/>
      <c r="IHR93" s="3"/>
      <c r="IHS93" s="3"/>
      <c r="IHT93" s="3"/>
      <c r="IHU93" s="3"/>
      <c r="IHV93" s="3"/>
      <c r="IHW93" s="3"/>
      <c r="IHX93" s="3"/>
      <c r="IHY93" s="3"/>
      <c r="IHZ93" s="3"/>
      <c r="IIA93" s="3"/>
      <c r="IIB93" s="3"/>
      <c r="IIC93" s="3"/>
      <c r="IID93" s="3"/>
      <c r="IIE93" s="3"/>
      <c r="IIF93" s="3"/>
      <c r="IIG93" s="3"/>
      <c r="IIH93" s="3"/>
      <c r="III93" s="3"/>
      <c r="IIJ93" s="3"/>
      <c r="IIK93" s="3"/>
      <c r="IIL93" s="3"/>
      <c r="IIM93" s="3"/>
      <c r="IIN93" s="3"/>
      <c r="IIO93" s="3"/>
      <c r="IIP93" s="3"/>
      <c r="IIQ93" s="3"/>
      <c r="IIR93" s="3"/>
      <c r="IIS93" s="3"/>
      <c r="IIT93" s="3"/>
      <c r="IIU93" s="3"/>
      <c r="IIV93" s="3"/>
      <c r="IIW93" s="3"/>
      <c r="IIX93" s="3"/>
      <c r="IIY93" s="3"/>
      <c r="IIZ93" s="3"/>
      <c r="IJA93" s="3"/>
      <c r="IJB93" s="3"/>
      <c r="IJC93" s="3"/>
      <c r="IJD93" s="3"/>
      <c r="IJE93" s="3"/>
      <c r="IJF93" s="3"/>
      <c r="IJG93" s="3"/>
      <c r="IJH93" s="3"/>
      <c r="IJI93" s="3"/>
      <c r="IJJ93" s="3"/>
      <c r="IJK93" s="3"/>
      <c r="IJL93" s="3"/>
      <c r="IJM93" s="3"/>
      <c r="IJN93" s="3"/>
      <c r="IJO93" s="3"/>
      <c r="IJP93" s="3"/>
      <c r="IJQ93" s="3"/>
      <c r="IJR93" s="3"/>
      <c r="IJS93" s="3"/>
      <c r="IJT93" s="3"/>
      <c r="IJU93" s="3"/>
      <c r="IJV93" s="3"/>
      <c r="IJW93" s="3"/>
      <c r="IJX93" s="3"/>
      <c r="IJY93" s="3"/>
      <c r="IJZ93" s="3"/>
      <c r="IKA93" s="3"/>
      <c r="IKB93" s="3"/>
      <c r="IKC93" s="3"/>
      <c r="IKD93" s="3"/>
      <c r="IKE93" s="3"/>
      <c r="IKF93" s="3"/>
      <c r="IKG93" s="3"/>
      <c r="IKH93" s="3"/>
      <c r="IKI93" s="3"/>
      <c r="IKJ93" s="3"/>
      <c r="IKK93" s="3"/>
      <c r="IKL93" s="3"/>
      <c r="IKM93" s="3"/>
      <c r="IKN93" s="3"/>
      <c r="IKO93" s="3"/>
      <c r="IKP93" s="3"/>
      <c r="IKQ93" s="3"/>
      <c r="IKR93" s="3"/>
      <c r="IKS93" s="3"/>
      <c r="IKT93" s="3"/>
      <c r="IKU93" s="3"/>
      <c r="IKV93" s="3"/>
      <c r="IKW93" s="3"/>
      <c r="IKX93" s="3"/>
      <c r="IKY93" s="3"/>
      <c r="IKZ93" s="3"/>
      <c r="ILA93" s="3"/>
      <c r="ILB93" s="3"/>
      <c r="ILC93" s="3"/>
      <c r="ILD93" s="3"/>
      <c r="ILE93" s="3"/>
      <c r="ILF93" s="3"/>
      <c r="ILG93" s="3"/>
      <c r="ILH93" s="3"/>
      <c r="ILI93" s="3"/>
      <c r="ILJ93" s="3"/>
      <c r="ILK93" s="3"/>
      <c r="ILL93" s="3"/>
      <c r="ILM93" s="3"/>
      <c r="ILN93" s="3"/>
      <c r="ILO93" s="3"/>
      <c r="ILP93" s="3"/>
      <c r="ILQ93" s="3"/>
      <c r="ILR93" s="3"/>
      <c r="ILS93" s="3"/>
      <c r="ILT93" s="3"/>
      <c r="ILU93" s="3"/>
      <c r="ILV93" s="3"/>
      <c r="ILW93" s="3"/>
      <c r="ILX93" s="3"/>
      <c r="ILY93" s="3"/>
      <c r="ILZ93" s="3"/>
      <c r="IMA93" s="3"/>
      <c r="IMB93" s="3"/>
      <c r="IMC93" s="3"/>
      <c r="IMD93" s="3"/>
      <c r="IME93" s="3"/>
      <c r="IMF93" s="3"/>
      <c r="IMG93" s="3"/>
      <c r="IMH93" s="3"/>
      <c r="IMI93" s="3"/>
      <c r="IMJ93" s="3"/>
      <c r="IMK93" s="3"/>
      <c r="IML93" s="3"/>
      <c r="IMM93" s="3"/>
      <c r="IMN93" s="3"/>
      <c r="IMO93" s="3"/>
      <c r="IMP93" s="3"/>
      <c r="IMQ93" s="3"/>
      <c r="IMR93" s="3"/>
      <c r="IMS93" s="3"/>
      <c r="IMT93" s="3"/>
      <c r="IMU93" s="3"/>
      <c r="IMV93" s="3"/>
      <c r="IMW93" s="3"/>
      <c r="IMX93" s="3"/>
      <c r="IMY93" s="3"/>
      <c r="IMZ93" s="3"/>
      <c r="INA93" s="3"/>
      <c r="INB93" s="3"/>
      <c r="INC93" s="3"/>
      <c r="IND93" s="3"/>
      <c r="INE93" s="3"/>
      <c r="INF93" s="3"/>
      <c r="ING93" s="3"/>
      <c r="INH93" s="3"/>
      <c r="INI93" s="3"/>
      <c r="INJ93" s="3"/>
      <c r="INK93" s="3"/>
      <c r="INL93" s="3"/>
      <c r="INM93" s="3"/>
      <c r="INN93" s="3"/>
      <c r="INO93" s="3"/>
      <c r="INP93" s="3"/>
      <c r="INQ93" s="3"/>
      <c r="INR93" s="3"/>
      <c r="INS93" s="3"/>
      <c r="INT93" s="3"/>
      <c r="INU93" s="3"/>
      <c r="INV93" s="3"/>
      <c r="INW93" s="3"/>
      <c r="INX93" s="3"/>
      <c r="INY93" s="3"/>
      <c r="INZ93" s="3"/>
      <c r="IOA93" s="3"/>
      <c r="IOB93" s="3"/>
      <c r="IOC93" s="3"/>
      <c r="IOD93" s="3"/>
      <c r="IOE93" s="3"/>
      <c r="IOF93" s="3"/>
      <c r="IOG93" s="3"/>
      <c r="IOH93" s="3"/>
      <c r="IOI93" s="3"/>
      <c r="IOJ93" s="3"/>
      <c r="IOK93" s="3"/>
      <c r="IOL93" s="3"/>
      <c r="IOM93" s="3"/>
      <c r="ION93" s="3"/>
      <c r="IOO93" s="3"/>
      <c r="IOP93" s="3"/>
      <c r="IOQ93" s="3"/>
      <c r="IOR93" s="3"/>
      <c r="IOS93" s="3"/>
      <c r="IOT93" s="3"/>
      <c r="IOU93" s="3"/>
      <c r="IOV93" s="3"/>
      <c r="IOW93" s="3"/>
      <c r="IOX93" s="3"/>
      <c r="IOY93" s="3"/>
      <c r="IOZ93" s="3"/>
      <c r="IPA93" s="3"/>
      <c r="IPB93" s="3"/>
      <c r="IPC93" s="3"/>
      <c r="IPD93" s="3"/>
      <c r="IPE93" s="3"/>
      <c r="IPF93" s="3"/>
      <c r="IPG93" s="3"/>
      <c r="IPH93" s="3"/>
      <c r="IPI93" s="3"/>
      <c r="IPJ93" s="3"/>
      <c r="IPK93" s="3"/>
      <c r="IPL93" s="3"/>
      <c r="IPM93" s="3"/>
      <c r="IPN93" s="3"/>
      <c r="IPO93" s="3"/>
      <c r="IPP93" s="3"/>
      <c r="IPQ93" s="3"/>
      <c r="IPR93" s="3"/>
      <c r="IPS93" s="3"/>
      <c r="IPT93" s="3"/>
      <c r="IPU93" s="3"/>
      <c r="IPV93" s="3"/>
      <c r="IPW93" s="3"/>
      <c r="IPX93" s="3"/>
      <c r="IPY93" s="3"/>
      <c r="IPZ93" s="3"/>
      <c r="IQA93" s="3"/>
      <c r="IQB93" s="3"/>
      <c r="IQC93" s="3"/>
      <c r="IQD93" s="3"/>
      <c r="IQE93" s="3"/>
      <c r="IQF93" s="3"/>
      <c r="IQG93" s="3"/>
      <c r="IQH93" s="3"/>
      <c r="IQI93" s="3"/>
      <c r="IQJ93" s="3"/>
      <c r="IQK93" s="3"/>
      <c r="IQL93" s="3"/>
      <c r="IQM93" s="3"/>
      <c r="IQN93" s="3"/>
      <c r="IQO93" s="3"/>
      <c r="IQP93" s="3"/>
      <c r="IQQ93" s="3"/>
      <c r="IQR93" s="3"/>
      <c r="IQS93" s="3"/>
      <c r="IQT93" s="3"/>
      <c r="IQU93" s="3"/>
      <c r="IQV93" s="3"/>
      <c r="IQW93" s="3"/>
      <c r="IQX93" s="3"/>
      <c r="IQY93" s="3"/>
      <c r="IQZ93" s="3"/>
      <c r="IRA93" s="3"/>
      <c r="IRB93" s="3"/>
      <c r="IRC93" s="3"/>
      <c r="IRD93" s="3"/>
      <c r="IRE93" s="3"/>
      <c r="IRF93" s="3"/>
      <c r="IRG93" s="3"/>
      <c r="IRH93" s="3"/>
      <c r="IRI93" s="3"/>
      <c r="IRJ93" s="3"/>
      <c r="IRK93" s="3"/>
      <c r="IRL93" s="3"/>
      <c r="IRM93" s="3"/>
      <c r="IRN93" s="3"/>
      <c r="IRO93" s="3"/>
      <c r="IRP93" s="3"/>
      <c r="IRQ93" s="3"/>
      <c r="IRR93" s="3"/>
      <c r="IRS93" s="3"/>
      <c r="IRT93" s="3"/>
      <c r="IRU93" s="3"/>
      <c r="IRV93" s="3"/>
      <c r="IRW93" s="3"/>
      <c r="IRX93" s="3"/>
      <c r="IRY93" s="3"/>
      <c r="IRZ93" s="3"/>
      <c r="ISA93" s="3"/>
      <c r="ISB93" s="3"/>
      <c r="ISC93" s="3"/>
      <c r="ISD93" s="3"/>
      <c r="ISE93" s="3"/>
      <c r="ISF93" s="3"/>
      <c r="ISG93" s="3"/>
      <c r="ISH93" s="3"/>
      <c r="ISI93" s="3"/>
      <c r="ISJ93" s="3"/>
      <c r="ISK93" s="3"/>
      <c r="ISL93" s="3"/>
      <c r="ISM93" s="3"/>
      <c r="ISN93" s="3"/>
      <c r="ISO93" s="3"/>
      <c r="ISP93" s="3"/>
      <c r="ISQ93" s="3"/>
      <c r="ISR93" s="3"/>
      <c r="ISS93" s="3"/>
      <c r="IST93" s="3"/>
      <c r="ISU93" s="3"/>
      <c r="ISV93" s="3"/>
      <c r="ISW93" s="3"/>
      <c r="ISX93" s="3"/>
      <c r="ISY93" s="3"/>
      <c r="ISZ93" s="3"/>
      <c r="ITA93" s="3"/>
      <c r="ITB93" s="3"/>
      <c r="ITC93" s="3"/>
      <c r="ITD93" s="3"/>
      <c r="ITE93" s="3"/>
      <c r="ITF93" s="3"/>
      <c r="ITG93" s="3"/>
      <c r="ITH93" s="3"/>
      <c r="ITI93" s="3"/>
      <c r="ITJ93" s="3"/>
      <c r="ITK93" s="3"/>
      <c r="ITL93" s="3"/>
      <c r="ITM93" s="3"/>
      <c r="ITN93" s="3"/>
      <c r="ITO93" s="3"/>
      <c r="ITP93" s="3"/>
      <c r="ITQ93" s="3"/>
      <c r="ITR93" s="3"/>
      <c r="ITS93" s="3"/>
      <c r="ITT93" s="3"/>
      <c r="ITU93" s="3"/>
      <c r="ITV93" s="3"/>
      <c r="ITW93" s="3"/>
      <c r="ITX93" s="3"/>
      <c r="ITY93" s="3"/>
      <c r="ITZ93" s="3"/>
      <c r="IUA93" s="3"/>
      <c r="IUB93" s="3"/>
      <c r="IUC93" s="3"/>
      <c r="IUD93" s="3"/>
      <c r="IUE93" s="3"/>
      <c r="IUF93" s="3"/>
      <c r="IUG93" s="3"/>
      <c r="IUH93" s="3"/>
      <c r="IUI93" s="3"/>
      <c r="IUJ93" s="3"/>
      <c r="IUK93" s="3"/>
      <c r="IUL93" s="3"/>
      <c r="IUM93" s="3"/>
      <c r="IUN93" s="3"/>
      <c r="IUO93" s="3"/>
      <c r="IUP93" s="3"/>
      <c r="IUQ93" s="3"/>
      <c r="IUR93" s="3"/>
      <c r="IUS93" s="3"/>
      <c r="IUT93" s="3"/>
      <c r="IUU93" s="3"/>
      <c r="IUV93" s="3"/>
      <c r="IUW93" s="3"/>
      <c r="IUX93" s="3"/>
      <c r="IUY93" s="3"/>
      <c r="IUZ93" s="3"/>
      <c r="IVA93" s="3"/>
      <c r="IVB93" s="3"/>
      <c r="IVC93" s="3"/>
      <c r="IVD93" s="3"/>
      <c r="IVE93" s="3"/>
      <c r="IVF93" s="3"/>
      <c r="IVG93" s="3"/>
      <c r="IVH93" s="3"/>
      <c r="IVI93" s="3"/>
      <c r="IVJ93" s="3"/>
      <c r="IVK93" s="3"/>
      <c r="IVL93" s="3"/>
      <c r="IVM93" s="3"/>
      <c r="IVN93" s="3"/>
      <c r="IVO93" s="3"/>
      <c r="IVP93" s="3"/>
      <c r="IVQ93" s="3"/>
      <c r="IVR93" s="3"/>
      <c r="IVS93" s="3"/>
      <c r="IVT93" s="3"/>
      <c r="IVU93" s="3"/>
      <c r="IVV93" s="3"/>
      <c r="IVW93" s="3"/>
      <c r="IVX93" s="3"/>
      <c r="IVY93" s="3"/>
      <c r="IVZ93" s="3"/>
      <c r="IWA93" s="3"/>
      <c r="IWB93" s="3"/>
      <c r="IWC93" s="3"/>
      <c r="IWD93" s="3"/>
      <c r="IWE93" s="3"/>
      <c r="IWF93" s="3"/>
      <c r="IWG93" s="3"/>
      <c r="IWH93" s="3"/>
      <c r="IWI93" s="3"/>
      <c r="IWJ93" s="3"/>
      <c r="IWK93" s="3"/>
      <c r="IWL93" s="3"/>
      <c r="IWM93" s="3"/>
      <c r="IWN93" s="3"/>
      <c r="IWO93" s="3"/>
      <c r="IWP93" s="3"/>
      <c r="IWQ93" s="3"/>
      <c r="IWR93" s="3"/>
      <c r="IWS93" s="3"/>
      <c r="IWT93" s="3"/>
      <c r="IWU93" s="3"/>
      <c r="IWV93" s="3"/>
      <c r="IWW93" s="3"/>
      <c r="IWX93" s="3"/>
      <c r="IWY93" s="3"/>
      <c r="IWZ93" s="3"/>
      <c r="IXA93" s="3"/>
      <c r="IXB93" s="3"/>
      <c r="IXC93" s="3"/>
      <c r="IXD93" s="3"/>
      <c r="IXE93" s="3"/>
      <c r="IXF93" s="3"/>
      <c r="IXG93" s="3"/>
      <c r="IXH93" s="3"/>
      <c r="IXI93" s="3"/>
      <c r="IXJ93" s="3"/>
      <c r="IXK93" s="3"/>
      <c r="IXL93" s="3"/>
      <c r="IXM93" s="3"/>
      <c r="IXN93" s="3"/>
      <c r="IXO93" s="3"/>
      <c r="IXP93" s="3"/>
      <c r="IXQ93" s="3"/>
      <c r="IXR93" s="3"/>
      <c r="IXS93" s="3"/>
      <c r="IXT93" s="3"/>
      <c r="IXU93" s="3"/>
      <c r="IXV93" s="3"/>
      <c r="IXW93" s="3"/>
      <c r="IXX93" s="3"/>
      <c r="IXY93" s="3"/>
      <c r="IXZ93" s="3"/>
      <c r="IYA93" s="3"/>
      <c r="IYB93" s="3"/>
      <c r="IYC93" s="3"/>
      <c r="IYD93" s="3"/>
      <c r="IYE93" s="3"/>
      <c r="IYF93" s="3"/>
      <c r="IYG93" s="3"/>
      <c r="IYH93" s="3"/>
      <c r="IYI93" s="3"/>
      <c r="IYJ93" s="3"/>
      <c r="IYK93" s="3"/>
      <c r="IYL93" s="3"/>
      <c r="IYM93" s="3"/>
      <c r="IYN93" s="3"/>
      <c r="IYO93" s="3"/>
      <c r="IYP93" s="3"/>
      <c r="IYQ93" s="3"/>
      <c r="IYR93" s="3"/>
      <c r="IYS93" s="3"/>
      <c r="IYT93" s="3"/>
      <c r="IYU93" s="3"/>
      <c r="IYV93" s="3"/>
      <c r="IYW93" s="3"/>
      <c r="IYX93" s="3"/>
      <c r="IYY93" s="3"/>
      <c r="IYZ93" s="3"/>
      <c r="IZA93" s="3"/>
      <c r="IZB93" s="3"/>
      <c r="IZC93" s="3"/>
      <c r="IZD93" s="3"/>
      <c r="IZE93" s="3"/>
      <c r="IZF93" s="3"/>
      <c r="IZG93" s="3"/>
      <c r="IZH93" s="3"/>
      <c r="IZI93" s="3"/>
      <c r="IZJ93" s="3"/>
      <c r="IZK93" s="3"/>
      <c r="IZL93" s="3"/>
      <c r="IZM93" s="3"/>
      <c r="IZN93" s="3"/>
      <c r="IZO93" s="3"/>
      <c r="IZP93" s="3"/>
      <c r="IZQ93" s="3"/>
      <c r="IZR93" s="3"/>
      <c r="IZS93" s="3"/>
      <c r="IZT93" s="3"/>
      <c r="IZU93" s="3"/>
      <c r="IZV93" s="3"/>
      <c r="IZW93" s="3"/>
      <c r="IZX93" s="3"/>
      <c r="IZY93" s="3"/>
      <c r="IZZ93" s="3"/>
      <c r="JAA93" s="3"/>
      <c r="JAB93" s="3"/>
      <c r="JAC93" s="3"/>
      <c r="JAD93" s="3"/>
      <c r="JAE93" s="3"/>
      <c r="JAF93" s="3"/>
      <c r="JAG93" s="3"/>
      <c r="JAH93" s="3"/>
      <c r="JAI93" s="3"/>
      <c r="JAJ93" s="3"/>
      <c r="JAK93" s="3"/>
      <c r="JAL93" s="3"/>
      <c r="JAM93" s="3"/>
      <c r="JAN93" s="3"/>
      <c r="JAO93" s="3"/>
      <c r="JAP93" s="3"/>
      <c r="JAQ93" s="3"/>
      <c r="JAR93" s="3"/>
      <c r="JAS93" s="3"/>
      <c r="JAT93" s="3"/>
      <c r="JAU93" s="3"/>
      <c r="JAV93" s="3"/>
      <c r="JAW93" s="3"/>
      <c r="JAX93" s="3"/>
      <c r="JAY93" s="3"/>
      <c r="JAZ93" s="3"/>
      <c r="JBA93" s="3"/>
      <c r="JBB93" s="3"/>
      <c r="JBC93" s="3"/>
      <c r="JBD93" s="3"/>
      <c r="JBE93" s="3"/>
      <c r="JBF93" s="3"/>
      <c r="JBG93" s="3"/>
      <c r="JBH93" s="3"/>
      <c r="JBI93" s="3"/>
      <c r="JBJ93" s="3"/>
      <c r="JBK93" s="3"/>
      <c r="JBL93" s="3"/>
      <c r="JBM93" s="3"/>
      <c r="JBN93" s="3"/>
      <c r="JBO93" s="3"/>
      <c r="JBP93" s="3"/>
      <c r="JBQ93" s="3"/>
      <c r="JBR93" s="3"/>
      <c r="JBS93" s="3"/>
      <c r="JBT93" s="3"/>
      <c r="JBU93" s="3"/>
      <c r="JBV93" s="3"/>
      <c r="JBW93" s="3"/>
      <c r="JBX93" s="3"/>
      <c r="JBY93" s="3"/>
      <c r="JBZ93" s="3"/>
      <c r="JCA93" s="3"/>
      <c r="JCB93" s="3"/>
      <c r="JCC93" s="3"/>
      <c r="JCD93" s="3"/>
      <c r="JCE93" s="3"/>
      <c r="JCF93" s="3"/>
      <c r="JCG93" s="3"/>
      <c r="JCH93" s="3"/>
      <c r="JCI93" s="3"/>
      <c r="JCJ93" s="3"/>
      <c r="JCK93" s="3"/>
      <c r="JCL93" s="3"/>
      <c r="JCM93" s="3"/>
      <c r="JCN93" s="3"/>
      <c r="JCO93" s="3"/>
      <c r="JCP93" s="3"/>
      <c r="JCQ93" s="3"/>
      <c r="JCR93" s="3"/>
      <c r="JCS93" s="3"/>
      <c r="JCT93" s="3"/>
      <c r="JCU93" s="3"/>
      <c r="JCV93" s="3"/>
      <c r="JCW93" s="3"/>
      <c r="JCX93" s="3"/>
      <c r="JCY93" s="3"/>
      <c r="JCZ93" s="3"/>
      <c r="JDA93" s="3"/>
      <c r="JDB93" s="3"/>
      <c r="JDC93" s="3"/>
      <c r="JDD93" s="3"/>
      <c r="JDE93" s="3"/>
      <c r="JDF93" s="3"/>
      <c r="JDG93" s="3"/>
      <c r="JDH93" s="3"/>
      <c r="JDI93" s="3"/>
      <c r="JDJ93" s="3"/>
      <c r="JDK93" s="3"/>
      <c r="JDL93" s="3"/>
      <c r="JDM93" s="3"/>
      <c r="JDN93" s="3"/>
      <c r="JDO93" s="3"/>
      <c r="JDP93" s="3"/>
      <c r="JDQ93" s="3"/>
      <c r="JDR93" s="3"/>
      <c r="JDS93" s="3"/>
      <c r="JDT93" s="3"/>
      <c r="JDU93" s="3"/>
      <c r="JDV93" s="3"/>
      <c r="JDW93" s="3"/>
      <c r="JDX93" s="3"/>
      <c r="JDY93" s="3"/>
      <c r="JDZ93" s="3"/>
      <c r="JEA93" s="3"/>
      <c r="JEB93" s="3"/>
      <c r="JEC93" s="3"/>
      <c r="JED93" s="3"/>
      <c r="JEE93" s="3"/>
      <c r="JEF93" s="3"/>
      <c r="JEG93" s="3"/>
      <c r="JEH93" s="3"/>
      <c r="JEI93" s="3"/>
      <c r="JEJ93" s="3"/>
      <c r="JEK93" s="3"/>
      <c r="JEL93" s="3"/>
      <c r="JEM93" s="3"/>
      <c r="JEN93" s="3"/>
      <c r="JEO93" s="3"/>
      <c r="JEP93" s="3"/>
      <c r="JEQ93" s="3"/>
      <c r="JER93" s="3"/>
      <c r="JES93" s="3"/>
      <c r="JET93" s="3"/>
      <c r="JEU93" s="3"/>
      <c r="JEV93" s="3"/>
      <c r="JEW93" s="3"/>
      <c r="JEX93" s="3"/>
      <c r="JEY93" s="3"/>
      <c r="JEZ93" s="3"/>
      <c r="JFA93" s="3"/>
      <c r="JFB93" s="3"/>
      <c r="JFC93" s="3"/>
      <c r="JFD93" s="3"/>
      <c r="JFE93" s="3"/>
      <c r="JFF93" s="3"/>
      <c r="JFG93" s="3"/>
      <c r="JFH93" s="3"/>
      <c r="JFI93" s="3"/>
      <c r="JFJ93" s="3"/>
      <c r="JFK93" s="3"/>
      <c r="JFL93" s="3"/>
      <c r="JFM93" s="3"/>
      <c r="JFN93" s="3"/>
      <c r="JFO93" s="3"/>
      <c r="JFP93" s="3"/>
      <c r="JFQ93" s="3"/>
      <c r="JFR93" s="3"/>
      <c r="JFS93" s="3"/>
      <c r="JFT93" s="3"/>
      <c r="JFU93" s="3"/>
      <c r="JFV93" s="3"/>
      <c r="JFW93" s="3"/>
      <c r="JFX93" s="3"/>
      <c r="JFY93" s="3"/>
      <c r="JFZ93" s="3"/>
      <c r="JGA93" s="3"/>
      <c r="JGB93" s="3"/>
      <c r="JGC93" s="3"/>
      <c r="JGD93" s="3"/>
      <c r="JGE93" s="3"/>
      <c r="JGF93" s="3"/>
      <c r="JGG93" s="3"/>
      <c r="JGH93" s="3"/>
      <c r="JGI93" s="3"/>
      <c r="JGJ93" s="3"/>
      <c r="JGK93" s="3"/>
      <c r="JGL93" s="3"/>
      <c r="JGM93" s="3"/>
      <c r="JGN93" s="3"/>
      <c r="JGO93" s="3"/>
      <c r="JGP93" s="3"/>
      <c r="JGQ93" s="3"/>
      <c r="JGR93" s="3"/>
      <c r="JGS93" s="3"/>
      <c r="JGT93" s="3"/>
      <c r="JGU93" s="3"/>
      <c r="JGV93" s="3"/>
      <c r="JGW93" s="3"/>
      <c r="JGX93" s="3"/>
      <c r="JGY93" s="3"/>
      <c r="JGZ93" s="3"/>
      <c r="JHA93" s="3"/>
      <c r="JHB93" s="3"/>
      <c r="JHC93" s="3"/>
      <c r="JHD93" s="3"/>
      <c r="JHE93" s="3"/>
      <c r="JHF93" s="3"/>
      <c r="JHG93" s="3"/>
      <c r="JHH93" s="3"/>
      <c r="JHI93" s="3"/>
      <c r="JHJ93" s="3"/>
      <c r="JHK93" s="3"/>
      <c r="JHL93" s="3"/>
      <c r="JHM93" s="3"/>
      <c r="JHN93" s="3"/>
      <c r="JHO93" s="3"/>
      <c r="JHP93" s="3"/>
      <c r="JHQ93" s="3"/>
      <c r="JHR93" s="3"/>
      <c r="JHS93" s="3"/>
      <c r="JHT93" s="3"/>
      <c r="JHU93" s="3"/>
      <c r="JHV93" s="3"/>
      <c r="JHW93" s="3"/>
      <c r="JHX93" s="3"/>
      <c r="JHY93" s="3"/>
      <c r="JHZ93" s="3"/>
      <c r="JIA93" s="3"/>
      <c r="JIB93" s="3"/>
      <c r="JIC93" s="3"/>
      <c r="JID93" s="3"/>
      <c r="JIE93" s="3"/>
      <c r="JIF93" s="3"/>
      <c r="JIG93" s="3"/>
      <c r="JIH93" s="3"/>
      <c r="JII93" s="3"/>
      <c r="JIJ93" s="3"/>
      <c r="JIK93" s="3"/>
      <c r="JIL93" s="3"/>
      <c r="JIM93" s="3"/>
      <c r="JIN93" s="3"/>
      <c r="JIO93" s="3"/>
      <c r="JIP93" s="3"/>
      <c r="JIQ93" s="3"/>
      <c r="JIR93" s="3"/>
      <c r="JIS93" s="3"/>
      <c r="JIT93" s="3"/>
      <c r="JIU93" s="3"/>
      <c r="JIV93" s="3"/>
      <c r="JIW93" s="3"/>
      <c r="JIX93" s="3"/>
      <c r="JIY93" s="3"/>
      <c r="JIZ93" s="3"/>
      <c r="JJA93" s="3"/>
      <c r="JJB93" s="3"/>
      <c r="JJC93" s="3"/>
      <c r="JJD93" s="3"/>
      <c r="JJE93" s="3"/>
      <c r="JJF93" s="3"/>
      <c r="JJG93" s="3"/>
      <c r="JJH93" s="3"/>
      <c r="JJI93" s="3"/>
      <c r="JJJ93" s="3"/>
      <c r="JJK93" s="3"/>
      <c r="JJL93" s="3"/>
      <c r="JJM93" s="3"/>
      <c r="JJN93" s="3"/>
      <c r="JJO93" s="3"/>
      <c r="JJP93" s="3"/>
      <c r="JJQ93" s="3"/>
      <c r="JJR93" s="3"/>
      <c r="JJS93" s="3"/>
      <c r="JJT93" s="3"/>
      <c r="JJU93" s="3"/>
      <c r="JJV93" s="3"/>
      <c r="JJW93" s="3"/>
      <c r="JJX93" s="3"/>
      <c r="JJY93" s="3"/>
      <c r="JJZ93" s="3"/>
      <c r="JKA93" s="3"/>
      <c r="JKB93" s="3"/>
      <c r="JKC93" s="3"/>
      <c r="JKD93" s="3"/>
      <c r="JKE93" s="3"/>
      <c r="JKF93" s="3"/>
      <c r="JKG93" s="3"/>
      <c r="JKH93" s="3"/>
      <c r="JKI93" s="3"/>
      <c r="JKJ93" s="3"/>
      <c r="JKK93" s="3"/>
      <c r="JKL93" s="3"/>
      <c r="JKM93" s="3"/>
      <c r="JKN93" s="3"/>
      <c r="JKO93" s="3"/>
      <c r="JKP93" s="3"/>
      <c r="JKQ93" s="3"/>
      <c r="JKR93" s="3"/>
      <c r="JKS93" s="3"/>
      <c r="JKT93" s="3"/>
      <c r="JKU93" s="3"/>
      <c r="JKV93" s="3"/>
      <c r="JKW93" s="3"/>
      <c r="JKX93" s="3"/>
      <c r="JKY93" s="3"/>
      <c r="JKZ93" s="3"/>
      <c r="JLA93" s="3"/>
      <c r="JLB93" s="3"/>
      <c r="JLC93" s="3"/>
      <c r="JLD93" s="3"/>
      <c r="JLE93" s="3"/>
      <c r="JLF93" s="3"/>
      <c r="JLG93" s="3"/>
      <c r="JLH93" s="3"/>
      <c r="JLI93" s="3"/>
      <c r="JLJ93" s="3"/>
      <c r="JLK93" s="3"/>
      <c r="JLL93" s="3"/>
      <c r="JLM93" s="3"/>
      <c r="JLN93" s="3"/>
      <c r="JLO93" s="3"/>
      <c r="JLP93" s="3"/>
      <c r="JLQ93" s="3"/>
      <c r="JLR93" s="3"/>
      <c r="JLS93" s="3"/>
      <c r="JLT93" s="3"/>
      <c r="JLU93" s="3"/>
      <c r="JLV93" s="3"/>
      <c r="JLW93" s="3"/>
      <c r="JLX93" s="3"/>
      <c r="JLY93" s="3"/>
      <c r="JLZ93" s="3"/>
      <c r="JMA93" s="3"/>
      <c r="JMB93" s="3"/>
      <c r="JMC93" s="3"/>
      <c r="JMD93" s="3"/>
      <c r="JME93" s="3"/>
      <c r="JMF93" s="3"/>
      <c r="JMG93" s="3"/>
      <c r="JMH93" s="3"/>
      <c r="JMI93" s="3"/>
      <c r="JMJ93" s="3"/>
      <c r="JMK93" s="3"/>
      <c r="JML93" s="3"/>
      <c r="JMM93" s="3"/>
      <c r="JMN93" s="3"/>
      <c r="JMO93" s="3"/>
      <c r="JMP93" s="3"/>
      <c r="JMQ93" s="3"/>
      <c r="JMR93" s="3"/>
      <c r="JMS93" s="3"/>
      <c r="JMT93" s="3"/>
      <c r="JMU93" s="3"/>
      <c r="JMV93" s="3"/>
      <c r="JMW93" s="3"/>
      <c r="JMX93" s="3"/>
      <c r="JMY93" s="3"/>
      <c r="JMZ93" s="3"/>
      <c r="JNA93" s="3"/>
      <c r="JNB93" s="3"/>
      <c r="JNC93" s="3"/>
      <c r="JND93" s="3"/>
      <c r="JNE93" s="3"/>
      <c r="JNF93" s="3"/>
      <c r="JNG93" s="3"/>
      <c r="JNH93" s="3"/>
      <c r="JNI93" s="3"/>
      <c r="JNJ93" s="3"/>
      <c r="JNK93" s="3"/>
      <c r="JNL93" s="3"/>
      <c r="JNM93" s="3"/>
      <c r="JNN93" s="3"/>
      <c r="JNO93" s="3"/>
      <c r="JNP93" s="3"/>
      <c r="JNQ93" s="3"/>
      <c r="JNR93" s="3"/>
      <c r="JNS93" s="3"/>
      <c r="JNT93" s="3"/>
      <c r="JNU93" s="3"/>
      <c r="JNV93" s="3"/>
      <c r="JNW93" s="3"/>
      <c r="JNX93" s="3"/>
      <c r="JNY93" s="3"/>
      <c r="JNZ93" s="3"/>
      <c r="JOA93" s="3"/>
      <c r="JOB93" s="3"/>
      <c r="JOC93" s="3"/>
      <c r="JOD93" s="3"/>
      <c r="JOE93" s="3"/>
      <c r="JOF93" s="3"/>
      <c r="JOG93" s="3"/>
      <c r="JOH93" s="3"/>
      <c r="JOI93" s="3"/>
      <c r="JOJ93" s="3"/>
      <c r="JOK93" s="3"/>
      <c r="JOL93" s="3"/>
      <c r="JOM93" s="3"/>
      <c r="JON93" s="3"/>
      <c r="JOO93" s="3"/>
      <c r="JOP93" s="3"/>
      <c r="JOQ93" s="3"/>
      <c r="JOR93" s="3"/>
      <c r="JOS93" s="3"/>
      <c r="JOT93" s="3"/>
      <c r="JOU93" s="3"/>
      <c r="JOV93" s="3"/>
      <c r="JOW93" s="3"/>
      <c r="JOX93" s="3"/>
      <c r="JOY93" s="3"/>
      <c r="JOZ93" s="3"/>
      <c r="JPA93" s="3"/>
      <c r="JPB93" s="3"/>
      <c r="JPC93" s="3"/>
      <c r="JPD93" s="3"/>
      <c r="JPE93" s="3"/>
      <c r="JPF93" s="3"/>
      <c r="JPG93" s="3"/>
      <c r="JPH93" s="3"/>
      <c r="JPI93" s="3"/>
      <c r="JPJ93" s="3"/>
      <c r="JPK93" s="3"/>
      <c r="JPL93" s="3"/>
      <c r="JPM93" s="3"/>
      <c r="JPN93" s="3"/>
      <c r="JPO93" s="3"/>
      <c r="JPP93" s="3"/>
      <c r="JPQ93" s="3"/>
      <c r="JPR93" s="3"/>
      <c r="JPS93" s="3"/>
      <c r="JPT93" s="3"/>
      <c r="JPU93" s="3"/>
      <c r="JPV93" s="3"/>
      <c r="JPW93" s="3"/>
      <c r="JPX93" s="3"/>
      <c r="JPY93" s="3"/>
      <c r="JPZ93" s="3"/>
      <c r="JQA93" s="3"/>
      <c r="JQB93" s="3"/>
      <c r="JQC93" s="3"/>
      <c r="JQD93" s="3"/>
      <c r="JQE93" s="3"/>
      <c r="JQF93" s="3"/>
      <c r="JQG93" s="3"/>
      <c r="JQH93" s="3"/>
      <c r="JQI93" s="3"/>
      <c r="JQJ93" s="3"/>
      <c r="JQK93" s="3"/>
      <c r="JQL93" s="3"/>
      <c r="JQM93" s="3"/>
      <c r="JQN93" s="3"/>
      <c r="JQO93" s="3"/>
      <c r="JQP93" s="3"/>
      <c r="JQQ93" s="3"/>
      <c r="JQR93" s="3"/>
      <c r="JQS93" s="3"/>
      <c r="JQT93" s="3"/>
      <c r="JQU93" s="3"/>
      <c r="JQV93" s="3"/>
      <c r="JQW93" s="3"/>
      <c r="JQX93" s="3"/>
      <c r="JQY93" s="3"/>
      <c r="JQZ93" s="3"/>
      <c r="JRA93" s="3"/>
      <c r="JRB93" s="3"/>
      <c r="JRC93" s="3"/>
      <c r="JRD93" s="3"/>
      <c r="JRE93" s="3"/>
      <c r="JRF93" s="3"/>
      <c r="JRG93" s="3"/>
      <c r="JRH93" s="3"/>
      <c r="JRI93" s="3"/>
      <c r="JRJ93" s="3"/>
      <c r="JRK93" s="3"/>
      <c r="JRL93" s="3"/>
      <c r="JRM93" s="3"/>
      <c r="JRN93" s="3"/>
      <c r="JRO93" s="3"/>
      <c r="JRP93" s="3"/>
      <c r="JRQ93" s="3"/>
      <c r="JRR93" s="3"/>
      <c r="JRS93" s="3"/>
      <c r="JRT93" s="3"/>
      <c r="JRU93" s="3"/>
      <c r="JRV93" s="3"/>
      <c r="JRW93" s="3"/>
      <c r="JRX93" s="3"/>
      <c r="JRY93" s="3"/>
      <c r="JRZ93" s="3"/>
      <c r="JSA93" s="3"/>
      <c r="JSB93" s="3"/>
      <c r="JSC93" s="3"/>
      <c r="JSD93" s="3"/>
      <c r="JSE93" s="3"/>
      <c r="JSF93" s="3"/>
      <c r="JSG93" s="3"/>
      <c r="JSH93" s="3"/>
      <c r="JSI93" s="3"/>
      <c r="JSJ93" s="3"/>
      <c r="JSK93" s="3"/>
      <c r="JSL93" s="3"/>
      <c r="JSM93" s="3"/>
      <c r="JSN93" s="3"/>
      <c r="JSO93" s="3"/>
      <c r="JSP93" s="3"/>
      <c r="JSQ93" s="3"/>
      <c r="JSR93" s="3"/>
      <c r="JSS93" s="3"/>
      <c r="JST93" s="3"/>
      <c r="JSU93" s="3"/>
      <c r="JSV93" s="3"/>
      <c r="JSW93" s="3"/>
      <c r="JSX93" s="3"/>
      <c r="JSY93" s="3"/>
      <c r="JSZ93" s="3"/>
      <c r="JTA93" s="3"/>
      <c r="JTB93" s="3"/>
      <c r="JTC93" s="3"/>
      <c r="JTD93" s="3"/>
      <c r="JTE93" s="3"/>
      <c r="JTF93" s="3"/>
      <c r="JTG93" s="3"/>
      <c r="JTH93" s="3"/>
      <c r="JTI93" s="3"/>
      <c r="JTJ93" s="3"/>
      <c r="JTK93" s="3"/>
      <c r="JTL93" s="3"/>
      <c r="JTM93" s="3"/>
      <c r="JTN93" s="3"/>
      <c r="JTO93" s="3"/>
      <c r="JTP93" s="3"/>
      <c r="JTQ93" s="3"/>
      <c r="JTR93" s="3"/>
      <c r="JTS93" s="3"/>
      <c r="JTT93" s="3"/>
      <c r="JTU93" s="3"/>
      <c r="JTV93" s="3"/>
      <c r="JTW93" s="3"/>
      <c r="JTX93" s="3"/>
      <c r="JTY93" s="3"/>
      <c r="JTZ93" s="3"/>
      <c r="JUA93" s="3"/>
      <c r="JUB93" s="3"/>
      <c r="JUC93" s="3"/>
      <c r="JUD93" s="3"/>
      <c r="JUE93" s="3"/>
      <c r="JUF93" s="3"/>
      <c r="JUG93" s="3"/>
      <c r="JUH93" s="3"/>
      <c r="JUI93" s="3"/>
      <c r="JUJ93" s="3"/>
      <c r="JUK93" s="3"/>
      <c r="JUL93" s="3"/>
      <c r="JUM93" s="3"/>
      <c r="JUN93" s="3"/>
      <c r="JUO93" s="3"/>
      <c r="JUP93" s="3"/>
      <c r="JUQ93" s="3"/>
      <c r="JUR93" s="3"/>
      <c r="JUS93" s="3"/>
      <c r="JUT93" s="3"/>
      <c r="JUU93" s="3"/>
      <c r="JUV93" s="3"/>
      <c r="JUW93" s="3"/>
      <c r="JUX93" s="3"/>
      <c r="JUY93" s="3"/>
      <c r="JUZ93" s="3"/>
      <c r="JVA93" s="3"/>
      <c r="JVB93" s="3"/>
      <c r="JVC93" s="3"/>
      <c r="JVD93" s="3"/>
      <c r="JVE93" s="3"/>
      <c r="JVF93" s="3"/>
      <c r="JVG93" s="3"/>
      <c r="JVH93" s="3"/>
      <c r="JVI93" s="3"/>
      <c r="JVJ93" s="3"/>
      <c r="JVK93" s="3"/>
      <c r="JVL93" s="3"/>
      <c r="JVM93" s="3"/>
      <c r="JVN93" s="3"/>
      <c r="JVO93" s="3"/>
      <c r="JVP93" s="3"/>
      <c r="JVQ93" s="3"/>
      <c r="JVR93" s="3"/>
      <c r="JVS93" s="3"/>
      <c r="JVT93" s="3"/>
      <c r="JVU93" s="3"/>
      <c r="JVV93" s="3"/>
      <c r="JVW93" s="3"/>
      <c r="JVX93" s="3"/>
      <c r="JVY93" s="3"/>
      <c r="JVZ93" s="3"/>
      <c r="JWA93" s="3"/>
      <c r="JWB93" s="3"/>
      <c r="JWC93" s="3"/>
      <c r="JWD93" s="3"/>
      <c r="JWE93" s="3"/>
      <c r="JWF93" s="3"/>
      <c r="JWG93" s="3"/>
      <c r="JWH93" s="3"/>
      <c r="JWI93" s="3"/>
      <c r="JWJ93" s="3"/>
      <c r="JWK93" s="3"/>
      <c r="JWL93" s="3"/>
      <c r="JWM93" s="3"/>
      <c r="JWN93" s="3"/>
      <c r="JWO93" s="3"/>
      <c r="JWP93" s="3"/>
      <c r="JWQ93" s="3"/>
      <c r="JWR93" s="3"/>
      <c r="JWS93" s="3"/>
      <c r="JWT93" s="3"/>
      <c r="JWU93" s="3"/>
      <c r="JWV93" s="3"/>
      <c r="JWW93" s="3"/>
      <c r="JWX93" s="3"/>
      <c r="JWY93" s="3"/>
      <c r="JWZ93" s="3"/>
      <c r="JXA93" s="3"/>
      <c r="JXB93" s="3"/>
      <c r="JXC93" s="3"/>
      <c r="JXD93" s="3"/>
      <c r="JXE93" s="3"/>
      <c r="JXF93" s="3"/>
      <c r="JXG93" s="3"/>
      <c r="JXH93" s="3"/>
      <c r="JXI93" s="3"/>
      <c r="JXJ93" s="3"/>
      <c r="JXK93" s="3"/>
      <c r="JXL93" s="3"/>
      <c r="JXM93" s="3"/>
      <c r="JXN93" s="3"/>
      <c r="JXO93" s="3"/>
      <c r="JXP93" s="3"/>
      <c r="JXQ93" s="3"/>
      <c r="JXR93" s="3"/>
      <c r="JXS93" s="3"/>
      <c r="JXT93" s="3"/>
      <c r="JXU93" s="3"/>
      <c r="JXV93" s="3"/>
      <c r="JXW93" s="3"/>
      <c r="JXX93" s="3"/>
      <c r="JXY93" s="3"/>
      <c r="JXZ93" s="3"/>
      <c r="JYA93" s="3"/>
      <c r="JYB93" s="3"/>
      <c r="JYC93" s="3"/>
      <c r="JYD93" s="3"/>
      <c r="JYE93" s="3"/>
      <c r="JYF93" s="3"/>
      <c r="JYG93" s="3"/>
      <c r="JYH93" s="3"/>
      <c r="JYI93" s="3"/>
      <c r="JYJ93" s="3"/>
      <c r="JYK93" s="3"/>
      <c r="JYL93" s="3"/>
      <c r="JYM93" s="3"/>
      <c r="JYN93" s="3"/>
      <c r="JYO93" s="3"/>
      <c r="JYP93" s="3"/>
      <c r="JYQ93" s="3"/>
      <c r="JYR93" s="3"/>
      <c r="JYS93" s="3"/>
      <c r="JYT93" s="3"/>
      <c r="JYU93" s="3"/>
      <c r="JYV93" s="3"/>
      <c r="JYW93" s="3"/>
      <c r="JYX93" s="3"/>
      <c r="JYY93" s="3"/>
      <c r="JYZ93" s="3"/>
      <c r="JZA93" s="3"/>
      <c r="JZB93" s="3"/>
      <c r="JZC93" s="3"/>
      <c r="JZD93" s="3"/>
      <c r="JZE93" s="3"/>
      <c r="JZF93" s="3"/>
      <c r="JZG93" s="3"/>
      <c r="JZH93" s="3"/>
      <c r="JZI93" s="3"/>
      <c r="JZJ93" s="3"/>
      <c r="JZK93" s="3"/>
      <c r="JZL93" s="3"/>
      <c r="JZM93" s="3"/>
      <c r="JZN93" s="3"/>
      <c r="JZO93" s="3"/>
      <c r="JZP93" s="3"/>
      <c r="JZQ93" s="3"/>
      <c r="JZR93" s="3"/>
      <c r="JZS93" s="3"/>
      <c r="JZT93" s="3"/>
      <c r="JZU93" s="3"/>
      <c r="JZV93" s="3"/>
      <c r="JZW93" s="3"/>
      <c r="JZX93" s="3"/>
      <c r="JZY93" s="3"/>
      <c r="JZZ93" s="3"/>
      <c r="KAA93" s="3"/>
      <c r="KAB93" s="3"/>
      <c r="KAC93" s="3"/>
      <c r="KAD93" s="3"/>
      <c r="KAE93" s="3"/>
      <c r="KAF93" s="3"/>
      <c r="KAG93" s="3"/>
      <c r="KAH93" s="3"/>
      <c r="KAI93" s="3"/>
      <c r="KAJ93" s="3"/>
      <c r="KAK93" s="3"/>
      <c r="KAL93" s="3"/>
      <c r="KAM93" s="3"/>
      <c r="KAN93" s="3"/>
      <c r="KAO93" s="3"/>
      <c r="KAP93" s="3"/>
      <c r="KAQ93" s="3"/>
      <c r="KAR93" s="3"/>
      <c r="KAS93" s="3"/>
      <c r="KAT93" s="3"/>
      <c r="KAU93" s="3"/>
      <c r="KAV93" s="3"/>
      <c r="KAW93" s="3"/>
      <c r="KAX93" s="3"/>
      <c r="KAY93" s="3"/>
      <c r="KAZ93" s="3"/>
      <c r="KBA93" s="3"/>
      <c r="KBB93" s="3"/>
      <c r="KBC93" s="3"/>
      <c r="KBD93" s="3"/>
      <c r="KBE93" s="3"/>
      <c r="KBF93" s="3"/>
      <c r="KBG93" s="3"/>
      <c r="KBH93" s="3"/>
      <c r="KBI93" s="3"/>
      <c r="KBJ93" s="3"/>
      <c r="KBK93" s="3"/>
      <c r="KBL93" s="3"/>
      <c r="KBM93" s="3"/>
      <c r="KBN93" s="3"/>
      <c r="KBO93" s="3"/>
      <c r="KBP93" s="3"/>
      <c r="KBQ93" s="3"/>
      <c r="KBR93" s="3"/>
      <c r="KBS93" s="3"/>
      <c r="KBT93" s="3"/>
      <c r="KBU93" s="3"/>
      <c r="KBV93" s="3"/>
      <c r="KBW93" s="3"/>
      <c r="KBX93" s="3"/>
      <c r="KBY93" s="3"/>
      <c r="KBZ93" s="3"/>
      <c r="KCA93" s="3"/>
      <c r="KCB93" s="3"/>
      <c r="KCC93" s="3"/>
      <c r="KCD93" s="3"/>
      <c r="KCE93" s="3"/>
      <c r="KCF93" s="3"/>
      <c r="KCG93" s="3"/>
      <c r="KCH93" s="3"/>
      <c r="KCI93" s="3"/>
      <c r="KCJ93" s="3"/>
      <c r="KCK93" s="3"/>
      <c r="KCL93" s="3"/>
      <c r="KCM93" s="3"/>
      <c r="KCN93" s="3"/>
      <c r="KCO93" s="3"/>
      <c r="KCP93" s="3"/>
      <c r="KCQ93" s="3"/>
      <c r="KCR93" s="3"/>
      <c r="KCS93" s="3"/>
      <c r="KCT93" s="3"/>
      <c r="KCU93" s="3"/>
      <c r="KCV93" s="3"/>
      <c r="KCW93" s="3"/>
      <c r="KCX93" s="3"/>
      <c r="KCY93" s="3"/>
      <c r="KCZ93" s="3"/>
      <c r="KDA93" s="3"/>
      <c r="KDB93" s="3"/>
      <c r="KDC93" s="3"/>
      <c r="KDD93" s="3"/>
      <c r="KDE93" s="3"/>
      <c r="KDF93" s="3"/>
      <c r="KDG93" s="3"/>
      <c r="KDH93" s="3"/>
      <c r="KDI93" s="3"/>
      <c r="KDJ93" s="3"/>
      <c r="KDK93" s="3"/>
      <c r="KDL93" s="3"/>
      <c r="KDM93" s="3"/>
      <c r="KDN93" s="3"/>
      <c r="KDO93" s="3"/>
      <c r="KDP93" s="3"/>
      <c r="KDQ93" s="3"/>
      <c r="KDR93" s="3"/>
      <c r="KDS93" s="3"/>
      <c r="KDT93" s="3"/>
      <c r="KDU93" s="3"/>
      <c r="KDV93" s="3"/>
      <c r="KDW93" s="3"/>
      <c r="KDX93" s="3"/>
      <c r="KDY93" s="3"/>
      <c r="KDZ93" s="3"/>
      <c r="KEA93" s="3"/>
      <c r="KEB93" s="3"/>
      <c r="KEC93" s="3"/>
      <c r="KED93" s="3"/>
      <c r="KEE93" s="3"/>
      <c r="KEF93" s="3"/>
      <c r="KEG93" s="3"/>
      <c r="KEH93" s="3"/>
      <c r="KEI93" s="3"/>
      <c r="KEJ93" s="3"/>
      <c r="KEK93" s="3"/>
      <c r="KEL93" s="3"/>
      <c r="KEM93" s="3"/>
      <c r="KEN93" s="3"/>
      <c r="KEO93" s="3"/>
      <c r="KEP93" s="3"/>
      <c r="KEQ93" s="3"/>
      <c r="KER93" s="3"/>
      <c r="KES93" s="3"/>
      <c r="KET93" s="3"/>
      <c r="KEU93" s="3"/>
      <c r="KEV93" s="3"/>
      <c r="KEW93" s="3"/>
      <c r="KEX93" s="3"/>
      <c r="KEY93" s="3"/>
      <c r="KEZ93" s="3"/>
      <c r="KFA93" s="3"/>
      <c r="KFB93" s="3"/>
      <c r="KFC93" s="3"/>
      <c r="KFD93" s="3"/>
      <c r="KFE93" s="3"/>
      <c r="KFF93" s="3"/>
      <c r="KFG93" s="3"/>
      <c r="KFH93" s="3"/>
      <c r="KFI93" s="3"/>
      <c r="KFJ93" s="3"/>
      <c r="KFK93" s="3"/>
      <c r="KFL93" s="3"/>
      <c r="KFM93" s="3"/>
      <c r="KFN93" s="3"/>
      <c r="KFO93" s="3"/>
      <c r="KFP93" s="3"/>
      <c r="KFQ93" s="3"/>
      <c r="KFR93" s="3"/>
      <c r="KFS93" s="3"/>
      <c r="KFT93" s="3"/>
      <c r="KFU93" s="3"/>
      <c r="KFV93" s="3"/>
      <c r="KFW93" s="3"/>
      <c r="KFX93" s="3"/>
      <c r="KFY93" s="3"/>
      <c r="KFZ93" s="3"/>
      <c r="KGA93" s="3"/>
      <c r="KGB93" s="3"/>
      <c r="KGC93" s="3"/>
      <c r="KGD93" s="3"/>
      <c r="KGE93" s="3"/>
      <c r="KGF93" s="3"/>
      <c r="KGG93" s="3"/>
      <c r="KGH93" s="3"/>
      <c r="KGI93" s="3"/>
      <c r="KGJ93" s="3"/>
      <c r="KGK93" s="3"/>
      <c r="KGL93" s="3"/>
      <c r="KGM93" s="3"/>
      <c r="KGN93" s="3"/>
      <c r="KGO93" s="3"/>
      <c r="KGP93" s="3"/>
      <c r="KGQ93" s="3"/>
      <c r="KGR93" s="3"/>
      <c r="KGS93" s="3"/>
      <c r="KGT93" s="3"/>
      <c r="KGU93" s="3"/>
      <c r="KGV93" s="3"/>
      <c r="KGW93" s="3"/>
      <c r="KGX93" s="3"/>
      <c r="KGY93" s="3"/>
      <c r="KGZ93" s="3"/>
      <c r="KHA93" s="3"/>
      <c r="KHB93" s="3"/>
      <c r="KHC93" s="3"/>
      <c r="KHD93" s="3"/>
      <c r="KHE93" s="3"/>
      <c r="KHF93" s="3"/>
      <c r="KHG93" s="3"/>
      <c r="KHH93" s="3"/>
      <c r="KHI93" s="3"/>
      <c r="KHJ93" s="3"/>
      <c r="KHK93" s="3"/>
      <c r="KHL93" s="3"/>
      <c r="KHM93" s="3"/>
      <c r="KHN93" s="3"/>
      <c r="KHO93" s="3"/>
      <c r="KHP93" s="3"/>
      <c r="KHQ93" s="3"/>
      <c r="KHR93" s="3"/>
      <c r="KHS93" s="3"/>
      <c r="KHT93" s="3"/>
      <c r="KHU93" s="3"/>
      <c r="KHV93" s="3"/>
      <c r="KHW93" s="3"/>
      <c r="KHX93" s="3"/>
      <c r="KHY93" s="3"/>
      <c r="KHZ93" s="3"/>
      <c r="KIA93" s="3"/>
      <c r="KIB93" s="3"/>
      <c r="KIC93" s="3"/>
      <c r="KID93" s="3"/>
      <c r="KIE93" s="3"/>
      <c r="KIF93" s="3"/>
      <c r="KIG93" s="3"/>
      <c r="KIH93" s="3"/>
      <c r="KII93" s="3"/>
      <c r="KIJ93" s="3"/>
      <c r="KIK93" s="3"/>
      <c r="KIL93" s="3"/>
      <c r="KIM93" s="3"/>
      <c r="KIN93" s="3"/>
      <c r="KIO93" s="3"/>
      <c r="KIP93" s="3"/>
      <c r="KIQ93" s="3"/>
      <c r="KIR93" s="3"/>
      <c r="KIS93" s="3"/>
      <c r="KIT93" s="3"/>
      <c r="KIU93" s="3"/>
      <c r="KIV93" s="3"/>
      <c r="KIW93" s="3"/>
      <c r="KIX93" s="3"/>
      <c r="KIY93" s="3"/>
      <c r="KIZ93" s="3"/>
      <c r="KJA93" s="3"/>
      <c r="KJB93" s="3"/>
      <c r="KJC93" s="3"/>
      <c r="KJD93" s="3"/>
      <c r="KJE93" s="3"/>
      <c r="KJF93" s="3"/>
      <c r="KJG93" s="3"/>
      <c r="KJH93" s="3"/>
      <c r="KJI93" s="3"/>
      <c r="KJJ93" s="3"/>
      <c r="KJK93" s="3"/>
      <c r="KJL93" s="3"/>
      <c r="KJM93" s="3"/>
      <c r="KJN93" s="3"/>
      <c r="KJO93" s="3"/>
      <c r="KJP93" s="3"/>
      <c r="KJQ93" s="3"/>
      <c r="KJR93" s="3"/>
      <c r="KJS93" s="3"/>
      <c r="KJT93" s="3"/>
      <c r="KJU93" s="3"/>
      <c r="KJV93" s="3"/>
      <c r="KJW93" s="3"/>
      <c r="KJX93" s="3"/>
      <c r="KJY93" s="3"/>
      <c r="KJZ93" s="3"/>
      <c r="KKA93" s="3"/>
      <c r="KKB93" s="3"/>
      <c r="KKC93" s="3"/>
      <c r="KKD93" s="3"/>
      <c r="KKE93" s="3"/>
      <c r="KKF93" s="3"/>
      <c r="KKG93" s="3"/>
      <c r="KKH93" s="3"/>
      <c r="KKI93" s="3"/>
      <c r="KKJ93" s="3"/>
      <c r="KKK93" s="3"/>
      <c r="KKL93" s="3"/>
      <c r="KKM93" s="3"/>
      <c r="KKN93" s="3"/>
      <c r="KKO93" s="3"/>
      <c r="KKP93" s="3"/>
      <c r="KKQ93" s="3"/>
      <c r="KKR93" s="3"/>
      <c r="KKS93" s="3"/>
      <c r="KKT93" s="3"/>
      <c r="KKU93" s="3"/>
      <c r="KKV93" s="3"/>
      <c r="KKW93" s="3"/>
      <c r="KKX93" s="3"/>
      <c r="KKY93" s="3"/>
      <c r="KKZ93" s="3"/>
      <c r="KLA93" s="3"/>
      <c r="KLB93" s="3"/>
      <c r="KLC93" s="3"/>
      <c r="KLD93" s="3"/>
      <c r="KLE93" s="3"/>
      <c r="KLF93" s="3"/>
      <c r="KLG93" s="3"/>
      <c r="KLH93" s="3"/>
      <c r="KLI93" s="3"/>
      <c r="KLJ93" s="3"/>
      <c r="KLK93" s="3"/>
      <c r="KLL93" s="3"/>
      <c r="KLM93" s="3"/>
      <c r="KLN93" s="3"/>
      <c r="KLO93" s="3"/>
      <c r="KLP93" s="3"/>
      <c r="KLQ93" s="3"/>
      <c r="KLR93" s="3"/>
      <c r="KLS93" s="3"/>
      <c r="KLT93" s="3"/>
      <c r="KLU93" s="3"/>
      <c r="KLV93" s="3"/>
      <c r="KLW93" s="3"/>
      <c r="KLX93" s="3"/>
      <c r="KLY93" s="3"/>
      <c r="KLZ93" s="3"/>
      <c r="KMA93" s="3"/>
      <c r="KMB93" s="3"/>
      <c r="KMC93" s="3"/>
      <c r="KMD93" s="3"/>
      <c r="KME93" s="3"/>
      <c r="KMF93" s="3"/>
      <c r="KMG93" s="3"/>
      <c r="KMH93" s="3"/>
      <c r="KMI93" s="3"/>
      <c r="KMJ93" s="3"/>
      <c r="KMK93" s="3"/>
      <c r="KML93" s="3"/>
      <c r="KMM93" s="3"/>
      <c r="KMN93" s="3"/>
      <c r="KMO93" s="3"/>
      <c r="KMP93" s="3"/>
      <c r="KMQ93" s="3"/>
      <c r="KMR93" s="3"/>
      <c r="KMS93" s="3"/>
      <c r="KMT93" s="3"/>
      <c r="KMU93" s="3"/>
      <c r="KMV93" s="3"/>
      <c r="KMW93" s="3"/>
      <c r="KMX93" s="3"/>
      <c r="KMY93" s="3"/>
      <c r="KMZ93" s="3"/>
      <c r="KNA93" s="3"/>
      <c r="KNB93" s="3"/>
      <c r="KNC93" s="3"/>
      <c r="KND93" s="3"/>
      <c r="KNE93" s="3"/>
      <c r="KNF93" s="3"/>
      <c r="KNG93" s="3"/>
      <c r="KNH93" s="3"/>
      <c r="KNI93" s="3"/>
      <c r="KNJ93" s="3"/>
      <c r="KNK93" s="3"/>
      <c r="KNL93" s="3"/>
      <c r="KNM93" s="3"/>
      <c r="KNN93" s="3"/>
      <c r="KNO93" s="3"/>
      <c r="KNP93" s="3"/>
      <c r="KNQ93" s="3"/>
      <c r="KNR93" s="3"/>
      <c r="KNS93" s="3"/>
      <c r="KNT93" s="3"/>
      <c r="KNU93" s="3"/>
      <c r="KNV93" s="3"/>
      <c r="KNW93" s="3"/>
      <c r="KNX93" s="3"/>
      <c r="KNY93" s="3"/>
      <c r="KNZ93" s="3"/>
      <c r="KOA93" s="3"/>
      <c r="KOB93" s="3"/>
      <c r="KOC93" s="3"/>
      <c r="KOD93" s="3"/>
      <c r="KOE93" s="3"/>
      <c r="KOF93" s="3"/>
      <c r="KOG93" s="3"/>
      <c r="KOH93" s="3"/>
      <c r="KOI93" s="3"/>
      <c r="KOJ93" s="3"/>
      <c r="KOK93" s="3"/>
      <c r="KOL93" s="3"/>
      <c r="KOM93" s="3"/>
      <c r="KON93" s="3"/>
      <c r="KOO93" s="3"/>
      <c r="KOP93" s="3"/>
      <c r="KOQ93" s="3"/>
      <c r="KOR93" s="3"/>
      <c r="KOS93" s="3"/>
      <c r="KOT93" s="3"/>
      <c r="KOU93" s="3"/>
      <c r="KOV93" s="3"/>
      <c r="KOW93" s="3"/>
      <c r="KOX93" s="3"/>
      <c r="KOY93" s="3"/>
      <c r="KOZ93" s="3"/>
      <c r="KPA93" s="3"/>
      <c r="KPB93" s="3"/>
      <c r="KPC93" s="3"/>
      <c r="KPD93" s="3"/>
      <c r="KPE93" s="3"/>
      <c r="KPF93" s="3"/>
      <c r="KPG93" s="3"/>
      <c r="KPH93" s="3"/>
      <c r="KPI93" s="3"/>
      <c r="KPJ93" s="3"/>
      <c r="KPK93" s="3"/>
      <c r="KPL93" s="3"/>
      <c r="KPM93" s="3"/>
      <c r="KPN93" s="3"/>
      <c r="KPO93" s="3"/>
      <c r="KPP93" s="3"/>
      <c r="KPQ93" s="3"/>
      <c r="KPR93" s="3"/>
      <c r="KPS93" s="3"/>
      <c r="KPT93" s="3"/>
      <c r="KPU93" s="3"/>
      <c r="KPV93" s="3"/>
      <c r="KPW93" s="3"/>
      <c r="KPX93" s="3"/>
      <c r="KPY93" s="3"/>
      <c r="KPZ93" s="3"/>
      <c r="KQA93" s="3"/>
      <c r="KQB93" s="3"/>
      <c r="KQC93" s="3"/>
      <c r="KQD93" s="3"/>
      <c r="KQE93" s="3"/>
      <c r="KQF93" s="3"/>
      <c r="KQG93" s="3"/>
      <c r="KQH93" s="3"/>
      <c r="KQI93" s="3"/>
      <c r="KQJ93" s="3"/>
      <c r="KQK93" s="3"/>
      <c r="KQL93" s="3"/>
      <c r="KQM93" s="3"/>
      <c r="KQN93" s="3"/>
      <c r="KQO93" s="3"/>
      <c r="KQP93" s="3"/>
      <c r="KQQ93" s="3"/>
      <c r="KQR93" s="3"/>
      <c r="KQS93" s="3"/>
      <c r="KQT93" s="3"/>
      <c r="KQU93" s="3"/>
      <c r="KQV93" s="3"/>
      <c r="KQW93" s="3"/>
      <c r="KQX93" s="3"/>
      <c r="KQY93" s="3"/>
      <c r="KQZ93" s="3"/>
      <c r="KRA93" s="3"/>
      <c r="KRB93" s="3"/>
      <c r="KRC93" s="3"/>
      <c r="KRD93" s="3"/>
      <c r="KRE93" s="3"/>
      <c r="KRF93" s="3"/>
      <c r="KRG93" s="3"/>
      <c r="KRH93" s="3"/>
      <c r="KRI93" s="3"/>
      <c r="KRJ93" s="3"/>
      <c r="KRK93" s="3"/>
      <c r="KRL93" s="3"/>
      <c r="KRM93" s="3"/>
      <c r="KRN93" s="3"/>
      <c r="KRO93" s="3"/>
      <c r="KRP93" s="3"/>
      <c r="KRQ93" s="3"/>
      <c r="KRR93" s="3"/>
      <c r="KRS93" s="3"/>
      <c r="KRT93" s="3"/>
      <c r="KRU93" s="3"/>
      <c r="KRV93" s="3"/>
      <c r="KRW93" s="3"/>
      <c r="KRX93" s="3"/>
      <c r="KRY93" s="3"/>
      <c r="KRZ93" s="3"/>
      <c r="KSA93" s="3"/>
      <c r="KSB93" s="3"/>
      <c r="KSC93" s="3"/>
      <c r="KSD93" s="3"/>
      <c r="KSE93" s="3"/>
      <c r="KSF93" s="3"/>
      <c r="KSG93" s="3"/>
      <c r="KSH93" s="3"/>
      <c r="KSI93" s="3"/>
      <c r="KSJ93" s="3"/>
      <c r="KSK93" s="3"/>
      <c r="KSL93" s="3"/>
      <c r="KSM93" s="3"/>
      <c r="KSN93" s="3"/>
      <c r="KSO93" s="3"/>
      <c r="KSP93" s="3"/>
      <c r="KSQ93" s="3"/>
      <c r="KSR93" s="3"/>
      <c r="KSS93" s="3"/>
      <c r="KST93" s="3"/>
      <c r="KSU93" s="3"/>
      <c r="KSV93" s="3"/>
      <c r="KSW93" s="3"/>
      <c r="KSX93" s="3"/>
      <c r="KSY93" s="3"/>
      <c r="KSZ93" s="3"/>
      <c r="KTA93" s="3"/>
      <c r="KTB93" s="3"/>
      <c r="KTC93" s="3"/>
      <c r="KTD93" s="3"/>
      <c r="KTE93" s="3"/>
      <c r="KTF93" s="3"/>
      <c r="KTG93" s="3"/>
      <c r="KTH93" s="3"/>
      <c r="KTI93" s="3"/>
      <c r="KTJ93" s="3"/>
      <c r="KTK93" s="3"/>
      <c r="KTL93" s="3"/>
      <c r="KTM93" s="3"/>
      <c r="KTN93" s="3"/>
      <c r="KTO93" s="3"/>
      <c r="KTP93" s="3"/>
      <c r="KTQ93" s="3"/>
      <c r="KTR93" s="3"/>
      <c r="KTS93" s="3"/>
      <c r="KTT93" s="3"/>
      <c r="KTU93" s="3"/>
      <c r="KTV93" s="3"/>
      <c r="KTW93" s="3"/>
      <c r="KTX93" s="3"/>
      <c r="KTY93" s="3"/>
      <c r="KTZ93" s="3"/>
      <c r="KUA93" s="3"/>
      <c r="KUB93" s="3"/>
      <c r="KUC93" s="3"/>
      <c r="KUD93" s="3"/>
      <c r="KUE93" s="3"/>
      <c r="KUF93" s="3"/>
      <c r="KUG93" s="3"/>
      <c r="KUH93" s="3"/>
      <c r="KUI93" s="3"/>
      <c r="KUJ93" s="3"/>
      <c r="KUK93" s="3"/>
      <c r="KUL93" s="3"/>
      <c r="KUM93" s="3"/>
      <c r="KUN93" s="3"/>
      <c r="KUO93" s="3"/>
      <c r="KUP93" s="3"/>
      <c r="KUQ93" s="3"/>
      <c r="KUR93" s="3"/>
      <c r="KUS93" s="3"/>
      <c r="KUT93" s="3"/>
      <c r="KUU93" s="3"/>
      <c r="KUV93" s="3"/>
      <c r="KUW93" s="3"/>
      <c r="KUX93" s="3"/>
      <c r="KUY93" s="3"/>
      <c r="KUZ93" s="3"/>
      <c r="KVA93" s="3"/>
      <c r="KVB93" s="3"/>
      <c r="KVC93" s="3"/>
      <c r="KVD93" s="3"/>
      <c r="KVE93" s="3"/>
      <c r="KVF93" s="3"/>
      <c r="KVG93" s="3"/>
      <c r="KVH93" s="3"/>
      <c r="KVI93" s="3"/>
      <c r="KVJ93" s="3"/>
      <c r="KVK93" s="3"/>
      <c r="KVL93" s="3"/>
      <c r="KVM93" s="3"/>
      <c r="KVN93" s="3"/>
      <c r="KVO93" s="3"/>
      <c r="KVP93" s="3"/>
      <c r="KVQ93" s="3"/>
      <c r="KVR93" s="3"/>
      <c r="KVS93" s="3"/>
      <c r="KVT93" s="3"/>
      <c r="KVU93" s="3"/>
      <c r="KVV93" s="3"/>
      <c r="KVW93" s="3"/>
      <c r="KVX93" s="3"/>
      <c r="KVY93" s="3"/>
      <c r="KVZ93" s="3"/>
      <c r="KWA93" s="3"/>
      <c r="KWB93" s="3"/>
      <c r="KWC93" s="3"/>
      <c r="KWD93" s="3"/>
      <c r="KWE93" s="3"/>
      <c r="KWF93" s="3"/>
      <c r="KWG93" s="3"/>
      <c r="KWH93" s="3"/>
      <c r="KWI93" s="3"/>
      <c r="KWJ93" s="3"/>
      <c r="KWK93" s="3"/>
      <c r="KWL93" s="3"/>
      <c r="KWM93" s="3"/>
      <c r="KWN93" s="3"/>
      <c r="KWO93" s="3"/>
      <c r="KWP93" s="3"/>
      <c r="KWQ93" s="3"/>
      <c r="KWR93" s="3"/>
      <c r="KWS93" s="3"/>
      <c r="KWT93" s="3"/>
      <c r="KWU93" s="3"/>
      <c r="KWV93" s="3"/>
      <c r="KWW93" s="3"/>
      <c r="KWX93" s="3"/>
      <c r="KWY93" s="3"/>
      <c r="KWZ93" s="3"/>
      <c r="KXA93" s="3"/>
      <c r="KXB93" s="3"/>
      <c r="KXC93" s="3"/>
      <c r="KXD93" s="3"/>
      <c r="KXE93" s="3"/>
      <c r="KXF93" s="3"/>
      <c r="KXG93" s="3"/>
      <c r="KXH93" s="3"/>
      <c r="KXI93" s="3"/>
      <c r="KXJ93" s="3"/>
      <c r="KXK93" s="3"/>
      <c r="KXL93" s="3"/>
      <c r="KXM93" s="3"/>
      <c r="KXN93" s="3"/>
      <c r="KXO93" s="3"/>
      <c r="KXP93" s="3"/>
      <c r="KXQ93" s="3"/>
      <c r="KXR93" s="3"/>
      <c r="KXS93" s="3"/>
      <c r="KXT93" s="3"/>
      <c r="KXU93" s="3"/>
      <c r="KXV93" s="3"/>
      <c r="KXW93" s="3"/>
      <c r="KXX93" s="3"/>
      <c r="KXY93" s="3"/>
      <c r="KXZ93" s="3"/>
      <c r="KYA93" s="3"/>
      <c r="KYB93" s="3"/>
      <c r="KYC93" s="3"/>
      <c r="KYD93" s="3"/>
      <c r="KYE93" s="3"/>
      <c r="KYF93" s="3"/>
      <c r="KYG93" s="3"/>
      <c r="KYH93" s="3"/>
      <c r="KYI93" s="3"/>
      <c r="KYJ93" s="3"/>
      <c r="KYK93" s="3"/>
      <c r="KYL93" s="3"/>
      <c r="KYM93" s="3"/>
      <c r="KYN93" s="3"/>
      <c r="KYO93" s="3"/>
      <c r="KYP93" s="3"/>
      <c r="KYQ93" s="3"/>
      <c r="KYR93" s="3"/>
      <c r="KYS93" s="3"/>
      <c r="KYT93" s="3"/>
      <c r="KYU93" s="3"/>
      <c r="KYV93" s="3"/>
      <c r="KYW93" s="3"/>
      <c r="KYX93" s="3"/>
      <c r="KYY93" s="3"/>
      <c r="KYZ93" s="3"/>
      <c r="KZA93" s="3"/>
      <c r="KZB93" s="3"/>
      <c r="KZC93" s="3"/>
      <c r="KZD93" s="3"/>
      <c r="KZE93" s="3"/>
      <c r="KZF93" s="3"/>
      <c r="KZG93" s="3"/>
      <c r="KZH93" s="3"/>
      <c r="KZI93" s="3"/>
      <c r="KZJ93" s="3"/>
      <c r="KZK93" s="3"/>
      <c r="KZL93" s="3"/>
      <c r="KZM93" s="3"/>
      <c r="KZN93" s="3"/>
      <c r="KZO93" s="3"/>
      <c r="KZP93" s="3"/>
      <c r="KZQ93" s="3"/>
      <c r="KZR93" s="3"/>
      <c r="KZS93" s="3"/>
      <c r="KZT93" s="3"/>
      <c r="KZU93" s="3"/>
      <c r="KZV93" s="3"/>
      <c r="KZW93" s="3"/>
      <c r="KZX93" s="3"/>
      <c r="KZY93" s="3"/>
      <c r="KZZ93" s="3"/>
      <c r="LAA93" s="3"/>
      <c r="LAB93" s="3"/>
      <c r="LAC93" s="3"/>
      <c r="LAD93" s="3"/>
      <c r="LAE93" s="3"/>
      <c r="LAF93" s="3"/>
      <c r="LAG93" s="3"/>
      <c r="LAH93" s="3"/>
      <c r="LAI93" s="3"/>
      <c r="LAJ93" s="3"/>
      <c r="LAK93" s="3"/>
      <c r="LAL93" s="3"/>
      <c r="LAM93" s="3"/>
      <c r="LAN93" s="3"/>
      <c r="LAO93" s="3"/>
      <c r="LAP93" s="3"/>
      <c r="LAQ93" s="3"/>
      <c r="LAR93" s="3"/>
      <c r="LAS93" s="3"/>
      <c r="LAT93" s="3"/>
      <c r="LAU93" s="3"/>
      <c r="LAV93" s="3"/>
      <c r="LAW93" s="3"/>
      <c r="LAX93" s="3"/>
      <c r="LAY93" s="3"/>
      <c r="LAZ93" s="3"/>
      <c r="LBA93" s="3"/>
      <c r="LBB93" s="3"/>
      <c r="LBC93" s="3"/>
      <c r="LBD93" s="3"/>
      <c r="LBE93" s="3"/>
      <c r="LBF93" s="3"/>
      <c r="LBG93" s="3"/>
      <c r="LBH93" s="3"/>
      <c r="LBI93" s="3"/>
      <c r="LBJ93" s="3"/>
      <c r="LBK93" s="3"/>
      <c r="LBL93" s="3"/>
      <c r="LBM93" s="3"/>
      <c r="LBN93" s="3"/>
      <c r="LBO93" s="3"/>
      <c r="LBP93" s="3"/>
      <c r="LBQ93" s="3"/>
      <c r="LBR93" s="3"/>
      <c r="LBS93" s="3"/>
      <c r="LBT93" s="3"/>
      <c r="LBU93" s="3"/>
      <c r="LBV93" s="3"/>
      <c r="LBW93" s="3"/>
      <c r="LBX93" s="3"/>
      <c r="LBY93" s="3"/>
      <c r="LBZ93" s="3"/>
      <c r="LCA93" s="3"/>
      <c r="LCB93" s="3"/>
      <c r="LCC93" s="3"/>
      <c r="LCD93" s="3"/>
      <c r="LCE93" s="3"/>
      <c r="LCF93" s="3"/>
      <c r="LCG93" s="3"/>
      <c r="LCH93" s="3"/>
      <c r="LCI93" s="3"/>
      <c r="LCJ93" s="3"/>
      <c r="LCK93" s="3"/>
      <c r="LCL93" s="3"/>
      <c r="LCM93" s="3"/>
      <c r="LCN93" s="3"/>
      <c r="LCO93" s="3"/>
      <c r="LCP93" s="3"/>
      <c r="LCQ93" s="3"/>
      <c r="LCR93" s="3"/>
      <c r="LCS93" s="3"/>
      <c r="LCT93" s="3"/>
      <c r="LCU93" s="3"/>
      <c r="LCV93" s="3"/>
      <c r="LCW93" s="3"/>
      <c r="LCX93" s="3"/>
      <c r="LCY93" s="3"/>
      <c r="LCZ93" s="3"/>
      <c r="LDA93" s="3"/>
      <c r="LDB93" s="3"/>
      <c r="LDC93" s="3"/>
      <c r="LDD93" s="3"/>
      <c r="LDE93" s="3"/>
      <c r="LDF93" s="3"/>
      <c r="LDG93" s="3"/>
      <c r="LDH93" s="3"/>
      <c r="LDI93" s="3"/>
      <c r="LDJ93" s="3"/>
      <c r="LDK93" s="3"/>
      <c r="LDL93" s="3"/>
      <c r="LDM93" s="3"/>
      <c r="LDN93" s="3"/>
      <c r="LDO93" s="3"/>
      <c r="LDP93" s="3"/>
      <c r="LDQ93" s="3"/>
      <c r="LDR93" s="3"/>
      <c r="LDS93" s="3"/>
      <c r="LDT93" s="3"/>
      <c r="LDU93" s="3"/>
      <c r="LDV93" s="3"/>
      <c r="LDW93" s="3"/>
      <c r="LDX93" s="3"/>
      <c r="LDY93" s="3"/>
      <c r="LDZ93" s="3"/>
      <c r="LEA93" s="3"/>
      <c r="LEB93" s="3"/>
      <c r="LEC93" s="3"/>
      <c r="LED93" s="3"/>
      <c r="LEE93" s="3"/>
      <c r="LEF93" s="3"/>
      <c r="LEG93" s="3"/>
      <c r="LEH93" s="3"/>
      <c r="LEI93" s="3"/>
      <c r="LEJ93" s="3"/>
      <c r="LEK93" s="3"/>
      <c r="LEL93" s="3"/>
      <c r="LEM93" s="3"/>
      <c r="LEN93" s="3"/>
      <c r="LEO93" s="3"/>
      <c r="LEP93" s="3"/>
      <c r="LEQ93" s="3"/>
      <c r="LER93" s="3"/>
      <c r="LES93" s="3"/>
      <c r="LET93" s="3"/>
      <c r="LEU93" s="3"/>
      <c r="LEV93" s="3"/>
      <c r="LEW93" s="3"/>
      <c r="LEX93" s="3"/>
      <c r="LEY93" s="3"/>
      <c r="LEZ93" s="3"/>
      <c r="LFA93" s="3"/>
      <c r="LFB93" s="3"/>
      <c r="LFC93" s="3"/>
      <c r="LFD93" s="3"/>
      <c r="LFE93" s="3"/>
      <c r="LFF93" s="3"/>
      <c r="LFG93" s="3"/>
      <c r="LFH93" s="3"/>
      <c r="LFI93" s="3"/>
      <c r="LFJ93" s="3"/>
      <c r="LFK93" s="3"/>
      <c r="LFL93" s="3"/>
      <c r="LFM93" s="3"/>
      <c r="LFN93" s="3"/>
      <c r="LFO93" s="3"/>
      <c r="LFP93" s="3"/>
      <c r="LFQ93" s="3"/>
      <c r="LFR93" s="3"/>
      <c r="LFS93" s="3"/>
      <c r="LFT93" s="3"/>
      <c r="LFU93" s="3"/>
      <c r="LFV93" s="3"/>
      <c r="LFW93" s="3"/>
      <c r="LFX93" s="3"/>
      <c r="LFY93" s="3"/>
      <c r="LFZ93" s="3"/>
      <c r="LGA93" s="3"/>
      <c r="LGB93" s="3"/>
      <c r="LGC93" s="3"/>
      <c r="LGD93" s="3"/>
      <c r="LGE93" s="3"/>
      <c r="LGF93" s="3"/>
      <c r="LGG93" s="3"/>
      <c r="LGH93" s="3"/>
      <c r="LGI93" s="3"/>
      <c r="LGJ93" s="3"/>
      <c r="LGK93" s="3"/>
      <c r="LGL93" s="3"/>
      <c r="LGM93" s="3"/>
      <c r="LGN93" s="3"/>
      <c r="LGO93" s="3"/>
      <c r="LGP93" s="3"/>
      <c r="LGQ93" s="3"/>
      <c r="LGR93" s="3"/>
      <c r="LGS93" s="3"/>
      <c r="LGT93" s="3"/>
      <c r="LGU93" s="3"/>
      <c r="LGV93" s="3"/>
      <c r="LGW93" s="3"/>
      <c r="LGX93" s="3"/>
      <c r="LGY93" s="3"/>
      <c r="LGZ93" s="3"/>
      <c r="LHA93" s="3"/>
      <c r="LHB93" s="3"/>
      <c r="LHC93" s="3"/>
      <c r="LHD93" s="3"/>
      <c r="LHE93" s="3"/>
      <c r="LHF93" s="3"/>
      <c r="LHG93" s="3"/>
      <c r="LHH93" s="3"/>
      <c r="LHI93" s="3"/>
      <c r="LHJ93" s="3"/>
      <c r="LHK93" s="3"/>
      <c r="LHL93" s="3"/>
      <c r="LHM93" s="3"/>
      <c r="LHN93" s="3"/>
      <c r="LHO93" s="3"/>
      <c r="LHP93" s="3"/>
      <c r="LHQ93" s="3"/>
      <c r="LHR93" s="3"/>
      <c r="LHS93" s="3"/>
      <c r="LHT93" s="3"/>
      <c r="LHU93" s="3"/>
      <c r="LHV93" s="3"/>
      <c r="LHW93" s="3"/>
      <c r="LHX93" s="3"/>
      <c r="LHY93" s="3"/>
      <c r="LHZ93" s="3"/>
      <c r="LIA93" s="3"/>
      <c r="LIB93" s="3"/>
      <c r="LIC93" s="3"/>
      <c r="LID93" s="3"/>
      <c r="LIE93" s="3"/>
      <c r="LIF93" s="3"/>
      <c r="LIG93" s="3"/>
      <c r="LIH93" s="3"/>
      <c r="LII93" s="3"/>
      <c r="LIJ93" s="3"/>
      <c r="LIK93" s="3"/>
      <c r="LIL93" s="3"/>
      <c r="LIM93" s="3"/>
      <c r="LIN93" s="3"/>
      <c r="LIO93" s="3"/>
      <c r="LIP93" s="3"/>
      <c r="LIQ93" s="3"/>
      <c r="LIR93" s="3"/>
      <c r="LIS93" s="3"/>
      <c r="LIT93" s="3"/>
      <c r="LIU93" s="3"/>
      <c r="LIV93" s="3"/>
      <c r="LIW93" s="3"/>
      <c r="LIX93" s="3"/>
      <c r="LIY93" s="3"/>
      <c r="LIZ93" s="3"/>
      <c r="LJA93" s="3"/>
      <c r="LJB93" s="3"/>
      <c r="LJC93" s="3"/>
      <c r="LJD93" s="3"/>
      <c r="LJE93" s="3"/>
      <c r="LJF93" s="3"/>
      <c r="LJG93" s="3"/>
      <c r="LJH93" s="3"/>
      <c r="LJI93" s="3"/>
      <c r="LJJ93" s="3"/>
      <c r="LJK93" s="3"/>
      <c r="LJL93" s="3"/>
      <c r="LJM93" s="3"/>
      <c r="LJN93" s="3"/>
      <c r="LJO93" s="3"/>
      <c r="LJP93" s="3"/>
      <c r="LJQ93" s="3"/>
      <c r="LJR93" s="3"/>
      <c r="LJS93" s="3"/>
      <c r="LJT93" s="3"/>
      <c r="LJU93" s="3"/>
      <c r="LJV93" s="3"/>
      <c r="LJW93" s="3"/>
      <c r="LJX93" s="3"/>
      <c r="LJY93" s="3"/>
      <c r="LJZ93" s="3"/>
      <c r="LKA93" s="3"/>
      <c r="LKB93" s="3"/>
      <c r="LKC93" s="3"/>
      <c r="LKD93" s="3"/>
      <c r="LKE93" s="3"/>
      <c r="LKF93" s="3"/>
      <c r="LKG93" s="3"/>
      <c r="LKH93" s="3"/>
      <c r="LKI93" s="3"/>
      <c r="LKJ93" s="3"/>
      <c r="LKK93" s="3"/>
      <c r="LKL93" s="3"/>
      <c r="LKM93" s="3"/>
      <c r="LKN93" s="3"/>
      <c r="LKO93" s="3"/>
      <c r="LKP93" s="3"/>
      <c r="LKQ93" s="3"/>
      <c r="LKR93" s="3"/>
      <c r="LKS93" s="3"/>
      <c r="LKT93" s="3"/>
      <c r="LKU93" s="3"/>
      <c r="LKV93" s="3"/>
      <c r="LKW93" s="3"/>
      <c r="LKX93" s="3"/>
      <c r="LKY93" s="3"/>
      <c r="LKZ93" s="3"/>
      <c r="LLA93" s="3"/>
      <c r="LLB93" s="3"/>
      <c r="LLC93" s="3"/>
      <c r="LLD93" s="3"/>
      <c r="LLE93" s="3"/>
      <c r="LLF93" s="3"/>
      <c r="LLG93" s="3"/>
      <c r="LLH93" s="3"/>
      <c r="LLI93" s="3"/>
      <c r="LLJ93" s="3"/>
      <c r="LLK93" s="3"/>
      <c r="LLL93" s="3"/>
      <c r="LLM93" s="3"/>
      <c r="LLN93" s="3"/>
      <c r="LLO93" s="3"/>
      <c r="LLP93" s="3"/>
      <c r="LLQ93" s="3"/>
      <c r="LLR93" s="3"/>
      <c r="LLS93" s="3"/>
      <c r="LLT93" s="3"/>
      <c r="LLU93" s="3"/>
      <c r="LLV93" s="3"/>
      <c r="LLW93" s="3"/>
      <c r="LLX93" s="3"/>
      <c r="LLY93" s="3"/>
      <c r="LLZ93" s="3"/>
      <c r="LMA93" s="3"/>
      <c r="LMB93" s="3"/>
      <c r="LMC93" s="3"/>
      <c r="LMD93" s="3"/>
      <c r="LME93" s="3"/>
      <c r="LMF93" s="3"/>
      <c r="LMG93" s="3"/>
      <c r="LMH93" s="3"/>
      <c r="LMI93" s="3"/>
      <c r="LMJ93" s="3"/>
      <c r="LMK93" s="3"/>
      <c r="LML93" s="3"/>
      <c r="LMM93" s="3"/>
      <c r="LMN93" s="3"/>
      <c r="LMO93" s="3"/>
      <c r="LMP93" s="3"/>
      <c r="LMQ93" s="3"/>
      <c r="LMR93" s="3"/>
      <c r="LMS93" s="3"/>
      <c r="LMT93" s="3"/>
      <c r="LMU93" s="3"/>
      <c r="LMV93" s="3"/>
      <c r="LMW93" s="3"/>
      <c r="LMX93" s="3"/>
      <c r="LMY93" s="3"/>
      <c r="LMZ93" s="3"/>
      <c r="LNA93" s="3"/>
      <c r="LNB93" s="3"/>
      <c r="LNC93" s="3"/>
      <c r="LND93" s="3"/>
      <c r="LNE93" s="3"/>
      <c r="LNF93" s="3"/>
      <c r="LNG93" s="3"/>
      <c r="LNH93" s="3"/>
      <c r="LNI93" s="3"/>
      <c r="LNJ93" s="3"/>
      <c r="LNK93" s="3"/>
      <c r="LNL93" s="3"/>
      <c r="LNM93" s="3"/>
      <c r="LNN93" s="3"/>
      <c r="LNO93" s="3"/>
      <c r="LNP93" s="3"/>
      <c r="LNQ93" s="3"/>
      <c r="LNR93" s="3"/>
      <c r="LNS93" s="3"/>
      <c r="LNT93" s="3"/>
      <c r="LNU93" s="3"/>
      <c r="LNV93" s="3"/>
      <c r="LNW93" s="3"/>
      <c r="LNX93" s="3"/>
      <c r="LNY93" s="3"/>
      <c r="LNZ93" s="3"/>
      <c r="LOA93" s="3"/>
      <c r="LOB93" s="3"/>
      <c r="LOC93" s="3"/>
      <c r="LOD93" s="3"/>
      <c r="LOE93" s="3"/>
      <c r="LOF93" s="3"/>
      <c r="LOG93" s="3"/>
      <c r="LOH93" s="3"/>
      <c r="LOI93" s="3"/>
      <c r="LOJ93" s="3"/>
      <c r="LOK93" s="3"/>
      <c r="LOL93" s="3"/>
      <c r="LOM93" s="3"/>
      <c r="LON93" s="3"/>
      <c r="LOO93" s="3"/>
      <c r="LOP93" s="3"/>
      <c r="LOQ93" s="3"/>
      <c r="LOR93" s="3"/>
      <c r="LOS93" s="3"/>
      <c r="LOT93" s="3"/>
      <c r="LOU93" s="3"/>
      <c r="LOV93" s="3"/>
      <c r="LOW93" s="3"/>
      <c r="LOX93" s="3"/>
      <c r="LOY93" s="3"/>
      <c r="LOZ93" s="3"/>
      <c r="LPA93" s="3"/>
      <c r="LPB93" s="3"/>
      <c r="LPC93" s="3"/>
      <c r="LPD93" s="3"/>
      <c r="LPE93" s="3"/>
      <c r="LPF93" s="3"/>
      <c r="LPG93" s="3"/>
      <c r="LPH93" s="3"/>
      <c r="LPI93" s="3"/>
      <c r="LPJ93" s="3"/>
      <c r="LPK93" s="3"/>
      <c r="LPL93" s="3"/>
      <c r="LPM93" s="3"/>
      <c r="LPN93" s="3"/>
      <c r="LPO93" s="3"/>
      <c r="LPP93" s="3"/>
      <c r="LPQ93" s="3"/>
      <c r="LPR93" s="3"/>
      <c r="LPS93" s="3"/>
      <c r="LPT93" s="3"/>
      <c r="LPU93" s="3"/>
      <c r="LPV93" s="3"/>
      <c r="LPW93" s="3"/>
      <c r="LPX93" s="3"/>
      <c r="LPY93" s="3"/>
      <c r="LPZ93" s="3"/>
      <c r="LQA93" s="3"/>
      <c r="LQB93" s="3"/>
      <c r="LQC93" s="3"/>
      <c r="LQD93" s="3"/>
      <c r="LQE93" s="3"/>
      <c r="LQF93" s="3"/>
      <c r="LQG93" s="3"/>
      <c r="LQH93" s="3"/>
      <c r="LQI93" s="3"/>
      <c r="LQJ93" s="3"/>
      <c r="LQK93" s="3"/>
      <c r="LQL93" s="3"/>
      <c r="LQM93" s="3"/>
      <c r="LQN93" s="3"/>
      <c r="LQO93" s="3"/>
      <c r="LQP93" s="3"/>
      <c r="LQQ93" s="3"/>
      <c r="LQR93" s="3"/>
      <c r="LQS93" s="3"/>
      <c r="LQT93" s="3"/>
      <c r="LQU93" s="3"/>
      <c r="LQV93" s="3"/>
      <c r="LQW93" s="3"/>
      <c r="LQX93" s="3"/>
      <c r="LQY93" s="3"/>
      <c r="LQZ93" s="3"/>
      <c r="LRA93" s="3"/>
      <c r="LRB93" s="3"/>
      <c r="LRC93" s="3"/>
      <c r="LRD93" s="3"/>
      <c r="LRE93" s="3"/>
      <c r="LRF93" s="3"/>
      <c r="LRG93" s="3"/>
      <c r="LRH93" s="3"/>
      <c r="LRI93" s="3"/>
      <c r="LRJ93" s="3"/>
      <c r="LRK93" s="3"/>
      <c r="LRL93" s="3"/>
      <c r="LRM93" s="3"/>
      <c r="LRN93" s="3"/>
      <c r="LRO93" s="3"/>
      <c r="LRP93" s="3"/>
      <c r="LRQ93" s="3"/>
      <c r="LRR93" s="3"/>
      <c r="LRS93" s="3"/>
      <c r="LRT93" s="3"/>
      <c r="LRU93" s="3"/>
      <c r="LRV93" s="3"/>
      <c r="LRW93" s="3"/>
      <c r="LRX93" s="3"/>
      <c r="LRY93" s="3"/>
      <c r="LRZ93" s="3"/>
      <c r="LSA93" s="3"/>
      <c r="LSB93" s="3"/>
      <c r="LSC93" s="3"/>
      <c r="LSD93" s="3"/>
      <c r="LSE93" s="3"/>
      <c r="LSF93" s="3"/>
      <c r="LSG93" s="3"/>
      <c r="LSH93" s="3"/>
      <c r="LSI93" s="3"/>
      <c r="LSJ93" s="3"/>
      <c r="LSK93" s="3"/>
      <c r="LSL93" s="3"/>
      <c r="LSM93" s="3"/>
      <c r="LSN93" s="3"/>
      <c r="LSO93" s="3"/>
      <c r="LSP93" s="3"/>
      <c r="LSQ93" s="3"/>
      <c r="LSR93" s="3"/>
      <c r="LSS93" s="3"/>
      <c r="LST93" s="3"/>
      <c r="LSU93" s="3"/>
      <c r="LSV93" s="3"/>
      <c r="LSW93" s="3"/>
      <c r="LSX93" s="3"/>
      <c r="LSY93" s="3"/>
      <c r="LSZ93" s="3"/>
      <c r="LTA93" s="3"/>
      <c r="LTB93" s="3"/>
      <c r="LTC93" s="3"/>
      <c r="LTD93" s="3"/>
      <c r="LTE93" s="3"/>
      <c r="LTF93" s="3"/>
      <c r="LTG93" s="3"/>
      <c r="LTH93" s="3"/>
      <c r="LTI93" s="3"/>
      <c r="LTJ93" s="3"/>
      <c r="LTK93" s="3"/>
      <c r="LTL93" s="3"/>
      <c r="LTM93" s="3"/>
      <c r="LTN93" s="3"/>
      <c r="LTO93" s="3"/>
      <c r="LTP93" s="3"/>
      <c r="LTQ93" s="3"/>
      <c r="LTR93" s="3"/>
      <c r="LTS93" s="3"/>
      <c r="LTT93" s="3"/>
      <c r="LTU93" s="3"/>
      <c r="LTV93" s="3"/>
      <c r="LTW93" s="3"/>
      <c r="LTX93" s="3"/>
      <c r="LTY93" s="3"/>
      <c r="LTZ93" s="3"/>
      <c r="LUA93" s="3"/>
      <c r="LUB93" s="3"/>
      <c r="LUC93" s="3"/>
      <c r="LUD93" s="3"/>
      <c r="LUE93" s="3"/>
      <c r="LUF93" s="3"/>
      <c r="LUG93" s="3"/>
      <c r="LUH93" s="3"/>
      <c r="LUI93" s="3"/>
      <c r="LUJ93" s="3"/>
      <c r="LUK93" s="3"/>
      <c r="LUL93" s="3"/>
      <c r="LUM93" s="3"/>
      <c r="LUN93" s="3"/>
      <c r="LUO93" s="3"/>
      <c r="LUP93" s="3"/>
      <c r="LUQ93" s="3"/>
      <c r="LUR93" s="3"/>
      <c r="LUS93" s="3"/>
      <c r="LUT93" s="3"/>
      <c r="LUU93" s="3"/>
      <c r="LUV93" s="3"/>
      <c r="LUW93" s="3"/>
      <c r="LUX93" s="3"/>
      <c r="LUY93" s="3"/>
      <c r="LUZ93" s="3"/>
      <c r="LVA93" s="3"/>
      <c r="LVB93" s="3"/>
      <c r="LVC93" s="3"/>
      <c r="LVD93" s="3"/>
      <c r="LVE93" s="3"/>
      <c r="LVF93" s="3"/>
      <c r="LVG93" s="3"/>
      <c r="LVH93" s="3"/>
      <c r="LVI93" s="3"/>
      <c r="LVJ93" s="3"/>
      <c r="LVK93" s="3"/>
      <c r="LVL93" s="3"/>
      <c r="LVM93" s="3"/>
      <c r="LVN93" s="3"/>
      <c r="LVO93" s="3"/>
      <c r="LVP93" s="3"/>
      <c r="LVQ93" s="3"/>
      <c r="LVR93" s="3"/>
      <c r="LVS93" s="3"/>
      <c r="LVT93" s="3"/>
      <c r="LVU93" s="3"/>
      <c r="LVV93" s="3"/>
      <c r="LVW93" s="3"/>
      <c r="LVX93" s="3"/>
      <c r="LVY93" s="3"/>
      <c r="LVZ93" s="3"/>
      <c r="LWA93" s="3"/>
      <c r="LWB93" s="3"/>
      <c r="LWC93" s="3"/>
      <c r="LWD93" s="3"/>
      <c r="LWE93" s="3"/>
      <c r="LWF93" s="3"/>
      <c r="LWG93" s="3"/>
      <c r="LWH93" s="3"/>
      <c r="LWI93" s="3"/>
      <c r="LWJ93" s="3"/>
      <c r="LWK93" s="3"/>
      <c r="LWL93" s="3"/>
      <c r="LWM93" s="3"/>
      <c r="LWN93" s="3"/>
      <c r="LWO93" s="3"/>
      <c r="LWP93" s="3"/>
      <c r="LWQ93" s="3"/>
      <c r="LWR93" s="3"/>
      <c r="LWS93" s="3"/>
      <c r="LWT93" s="3"/>
      <c r="LWU93" s="3"/>
      <c r="LWV93" s="3"/>
      <c r="LWW93" s="3"/>
      <c r="LWX93" s="3"/>
      <c r="LWY93" s="3"/>
      <c r="LWZ93" s="3"/>
      <c r="LXA93" s="3"/>
      <c r="LXB93" s="3"/>
      <c r="LXC93" s="3"/>
      <c r="LXD93" s="3"/>
      <c r="LXE93" s="3"/>
      <c r="LXF93" s="3"/>
      <c r="LXG93" s="3"/>
      <c r="LXH93" s="3"/>
      <c r="LXI93" s="3"/>
      <c r="LXJ93" s="3"/>
      <c r="LXK93" s="3"/>
      <c r="LXL93" s="3"/>
      <c r="LXM93" s="3"/>
      <c r="LXN93" s="3"/>
      <c r="LXO93" s="3"/>
      <c r="LXP93" s="3"/>
      <c r="LXQ93" s="3"/>
      <c r="LXR93" s="3"/>
      <c r="LXS93" s="3"/>
      <c r="LXT93" s="3"/>
      <c r="LXU93" s="3"/>
      <c r="LXV93" s="3"/>
      <c r="LXW93" s="3"/>
      <c r="LXX93" s="3"/>
      <c r="LXY93" s="3"/>
      <c r="LXZ93" s="3"/>
      <c r="LYA93" s="3"/>
      <c r="LYB93" s="3"/>
      <c r="LYC93" s="3"/>
      <c r="LYD93" s="3"/>
      <c r="LYE93" s="3"/>
      <c r="LYF93" s="3"/>
      <c r="LYG93" s="3"/>
      <c r="LYH93" s="3"/>
      <c r="LYI93" s="3"/>
      <c r="LYJ93" s="3"/>
      <c r="LYK93" s="3"/>
      <c r="LYL93" s="3"/>
      <c r="LYM93" s="3"/>
      <c r="LYN93" s="3"/>
      <c r="LYO93" s="3"/>
      <c r="LYP93" s="3"/>
      <c r="LYQ93" s="3"/>
      <c r="LYR93" s="3"/>
      <c r="LYS93" s="3"/>
      <c r="LYT93" s="3"/>
      <c r="LYU93" s="3"/>
      <c r="LYV93" s="3"/>
      <c r="LYW93" s="3"/>
      <c r="LYX93" s="3"/>
      <c r="LYY93" s="3"/>
      <c r="LYZ93" s="3"/>
      <c r="LZA93" s="3"/>
      <c r="LZB93" s="3"/>
      <c r="LZC93" s="3"/>
      <c r="LZD93" s="3"/>
      <c r="LZE93" s="3"/>
      <c r="LZF93" s="3"/>
      <c r="LZG93" s="3"/>
      <c r="LZH93" s="3"/>
      <c r="LZI93" s="3"/>
      <c r="LZJ93" s="3"/>
      <c r="LZK93" s="3"/>
      <c r="LZL93" s="3"/>
      <c r="LZM93" s="3"/>
      <c r="LZN93" s="3"/>
      <c r="LZO93" s="3"/>
      <c r="LZP93" s="3"/>
      <c r="LZQ93" s="3"/>
      <c r="LZR93" s="3"/>
      <c r="LZS93" s="3"/>
      <c r="LZT93" s="3"/>
      <c r="LZU93" s="3"/>
      <c r="LZV93" s="3"/>
      <c r="LZW93" s="3"/>
      <c r="LZX93" s="3"/>
      <c r="LZY93" s="3"/>
      <c r="LZZ93" s="3"/>
      <c r="MAA93" s="3"/>
      <c r="MAB93" s="3"/>
      <c r="MAC93" s="3"/>
      <c r="MAD93" s="3"/>
      <c r="MAE93" s="3"/>
      <c r="MAF93" s="3"/>
      <c r="MAG93" s="3"/>
      <c r="MAH93" s="3"/>
      <c r="MAI93" s="3"/>
      <c r="MAJ93" s="3"/>
      <c r="MAK93" s="3"/>
      <c r="MAL93" s="3"/>
      <c r="MAM93" s="3"/>
      <c r="MAN93" s="3"/>
      <c r="MAO93" s="3"/>
      <c r="MAP93" s="3"/>
      <c r="MAQ93" s="3"/>
      <c r="MAR93" s="3"/>
      <c r="MAS93" s="3"/>
      <c r="MAT93" s="3"/>
      <c r="MAU93" s="3"/>
      <c r="MAV93" s="3"/>
      <c r="MAW93" s="3"/>
      <c r="MAX93" s="3"/>
      <c r="MAY93" s="3"/>
      <c r="MAZ93" s="3"/>
      <c r="MBA93" s="3"/>
      <c r="MBB93" s="3"/>
      <c r="MBC93" s="3"/>
      <c r="MBD93" s="3"/>
      <c r="MBE93" s="3"/>
      <c r="MBF93" s="3"/>
      <c r="MBG93" s="3"/>
      <c r="MBH93" s="3"/>
      <c r="MBI93" s="3"/>
      <c r="MBJ93" s="3"/>
      <c r="MBK93" s="3"/>
      <c r="MBL93" s="3"/>
      <c r="MBM93" s="3"/>
      <c r="MBN93" s="3"/>
      <c r="MBO93" s="3"/>
      <c r="MBP93" s="3"/>
      <c r="MBQ93" s="3"/>
      <c r="MBR93" s="3"/>
      <c r="MBS93" s="3"/>
      <c r="MBT93" s="3"/>
      <c r="MBU93" s="3"/>
      <c r="MBV93" s="3"/>
      <c r="MBW93" s="3"/>
      <c r="MBX93" s="3"/>
      <c r="MBY93" s="3"/>
      <c r="MBZ93" s="3"/>
      <c r="MCA93" s="3"/>
      <c r="MCB93" s="3"/>
      <c r="MCC93" s="3"/>
      <c r="MCD93" s="3"/>
      <c r="MCE93" s="3"/>
      <c r="MCF93" s="3"/>
      <c r="MCG93" s="3"/>
      <c r="MCH93" s="3"/>
      <c r="MCI93" s="3"/>
      <c r="MCJ93" s="3"/>
      <c r="MCK93" s="3"/>
      <c r="MCL93" s="3"/>
      <c r="MCM93" s="3"/>
      <c r="MCN93" s="3"/>
      <c r="MCO93" s="3"/>
      <c r="MCP93" s="3"/>
      <c r="MCQ93" s="3"/>
      <c r="MCR93" s="3"/>
      <c r="MCS93" s="3"/>
      <c r="MCT93" s="3"/>
      <c r="MCU93" s="3"/>
      <c r="MCV93" s="3"/>
      <c r="MCW93" s="3"/>
      <c r="MCX93" s="3"/>
      <c r="MCY93" s="3"/>
      <c r="MCZ93" s="3"/>
      <c r="MDA93" s="3"/>
      <c r="MDB93" s="3"/>
      <c r="MDC93" s="3"/>
      <c r="MDD93" s="3"/>
      <c r="MDE93" s="3"/>
      <c r="MDF93" s="3"/>
      <c r="MDG93" s="3"/>
      <c r="MDH93" s="3"/>
      <c r="MDI93" s="3"/>
      <c r="MDJ93" s="3"/>
      <c r="MDK93" s="3"/>
      <c r="MDL93" s="3"/>
      <c r="MDM93" s="3"/>
      <c r="MDN93" s="3"/>
      <c r="MDO93" s="3"/>
      <c r="MDP93" s="3"/>
      <c r="MDQ93" s="3"/>
      <c r="MDR93" s="3"/>
      <c r="MDS93" s="3"/>
      <c r="MDT93" s="3"/>
      <c r="MDU93" s="3"/>
      <c r="MDV93" s="3"/>
      <c r="MDW93" s="3"/>
      <c r="MDX93" s="3"/>
      <c r="MDY93" s="3"/>
      <c r="MDZ93" s="3"/>
      <c r="MEA93" s="3"/>
      <c r="MEB93" s="3"/>
      <c r="MEC93" s="3"/>
      <c r="MED93" s="3"/>
      <c r="MEE93" s="3"/>
      <c r="MEF93" s="3"/>
      <c r="MEG93" s="3"/>
      <c r="MEH93" s="3"/>
      <c r="MEI93" s="3"/>
      <c r="MEJ93" s="3"/>
      <c r="MEK93" s="3"/>
      <c r="MEL93" s="3"/>
      <c r="MEM93" s="3"/>
      <c r="MEN93" s="3"/>
      <c r="MEO93" s="3"/>
      <c r="MEP93" s="3"/>
      <c r="MEQ93" s="3"/>
      <c r="MER93" s="3"/>
      <c r="MES93" s="3"/>
      <c r="MET93" s="3"/>
      <c r="MEU93" s="3"/>
      <c r="MEV93" s="3"/>
      <c r="MEW93" s="3"/>
      <c r="MEX93" s="3"/>
      <c r="MEY93" s="3"/>
      <c r="MEZ93" s="3"/>
      <c r="MFA93" s="3"/>
      <c r="MFB93" s="3"/>
      <c r="MFC93" s="3"/>
      <c r="MFD93" s="3"/>
      <c r="MFE93" s="3"/>
      <c r="MFF93" s="3"/>
      <c r="MFG93" s="3"/>
      <c r="MFH93" s="3"/>
      <c r="MFI93" s="3"/>
      <c r="MFJ93" s="3"/>
      <c r="MFK93" s="3"/>
      <c r="MFL93" s="3"/>
      <c r="MFM93" s="3"/>
      <c r="MFN93" s="3"/>
      <c r="MFO93" s="3"/>
      <c r="MFP93" s="3"/>
      <c r="MFQ93" s="3"/>
      <c r="MFR93" s="3"/>
      <c r="MFS93" s="3"/>
      <c r="MFT93" s="3"/>
      <c r="MFU93" s="3"/>
      <c r="MFV93" s="3"/>
      <c r="MFW93" s="3"/>
      <c r="MFX93" s="3"/>
      <c r="MFY93" s="3"/>
      <c r="MFZ93" s="3"/>
      <c r="MGA93" s="3"/>
      <c r="MGB93" s="3"/>
      <c r="MGC93" s="3"/>
      <c r="MGD93" s="3"/>
      <c r="MGE93" s="3"/>
      <c r="MGF93" s="3"/>
      <c r="MGG93" s="3"/>
      <c r="MGH93" s="3"/>
      <c r="MGI93" s="3"/>
      <c r="MGJ93" s="3"/>
      <c r="MGK93" s="3"/>
      <c r="MGL93" s="3"/>
      <c r="MGM93" s="3"/>
      <c r="MGN93" s="3"/>
      <c r="MGO93" s="3"/>
      <c r="MGP93" s="3"/>
      <c r="MGQ93" s="3"/>
      <c r="MGR93" s="3"/>
      <c r="MGS93" s="3"/>
      <c r="MGT93" s="3"/>
      <c r="MGU93" s="3"/>
      <c r="MGV93" s="3"/>
      <c r="MGW93" s="3"/>
      <c r="MGX93" s="3"/>
      <c r="MGY93" s="3"/>
      <c r="MGZ93" s="3"/>
      <c r="MHA93" s="3"/>
      <c r="MHB93" s="3"/>
      <c r="MHC93" s="3"/>
      <c r="MHD93" s="3"/>
      <c r="MHE93" s="3"/>
      <c r="MHF93" s="3"/>
      <c r="MHG93" s="3"/>
      <c r="MHH93" s="3"/>
      <c r="MHI93" s="3"/>
      <c r="MHJ93" s="3"/>
      <c r="MHK93" s="3"/>
      <c r="MHL93" s="3"/>
      <c r="MHM93" s="3"/>
      <c r="MHN93" s="3"/>
      <c r="MHO93" s="3"/>
      <c r="MHP93" s="3"/>
      <c r="MHQ93" s="3"/>
      <c r="MHR93" s="3"/>
      <c r="MHS93" s="3"/>
      <c r="MHT93" s="3"/>
      <c r="MHU93" s="3"/>
      <c r="MHV93" s="3"/>
      <c r="MHW93" s="3"/>
      <c r="MHX93" s="3"/>
      <c r="MHY93" s="3"/>
      <c r="MHZ93" s="3"/>
      <c r="MIA93" s="3"/>
      <c r="MIB93" s="3"/>
      <c r="MIC93" s="3"/>
      <c r="MID93" s="3"/>
      <c r="MIE93" s="3"/>
      <c r="MIF93" s="3"/>
      <c r="MIG93" s="3"/>
      <c r="MIH93" s="3"/>
      <c r="MII93" s="3"/>
      <c r="MIJ93" s="3"/>
      <c r="MIK93" s="3"/>
      <c r="MIL93" s="3"/>
      <c r="MIM93" s="3"/>
      <c r="MIN93" s="3"/>
      <c r="MIO93" s="3"/>
      <c r="MIP93" s="3"/>
      <c r="MIQ93" s="3"/>
      <c r="MIR93" s="3"/>
      <c r="MIS93" s="3"/>
      <c r="MIT93" s="3"/>
      <c r="MIU93" s="3"/>
      <c r="MIV93" s="3"/>
      <c r="MIW93" s="3"/>
      <c r="MIX93" s="3"/>
      <c r="MIY93" s="3"/>
      <c r="MIZ93" s="3"/>
      <c r="MJA93" s="3"/>
      <c r="MJB93" s="3"/>
      <c r="MJC93" s="3"/>
      <c r="MJD93" s="3"/>
      <c r="MJE93" s="3"/>
      <c r="MJF93" s="3"/>
      <c r="MJG93" s="3"/>
      <c r="MJH93" s="3"/>
      <c r="MJI93" s="3"/>
      <c r="MJJ93" s="3"/>
      <c r="MJK93" s="3"/>
      <c r="MJL93" s="3"/>
      <c r="MJM93" s="3"/>
      <c r="MJN93" s="3"/>
      <c r="MJO93" s="3"/>
      <c r="MJP93" s="3"/>
      <c r="MJQ93" s="3"/>
      <c r="MJR93" s="3"/>
      <c r="MJS93" s="3"/>
      <c r="MJT93" s="3"/>
      <c r="MJU93" s="3"/>
      <c r="MJV93" s="3"/>
      <c r="MJW93" s="3"/>
      <c r="MJX93" s="3"/>
      <c r="MJY93" s="3"/>
      <c r="MJZ93" s="3"/>
      <c r="MKA93" s="3"/>
      <c r="MKB93" s="3"/>
      <c r="MKC93" s="3"/>
      <c r="MKD93" s="3"/>
      <c r="MKE93" s="3"/>
      <c r="MKF93" s="3"/>
      <c r="MKG93" s="3"/>
      <c r="MKH93" s="3"/>
      <c r="MKI93" s="3"/>
      <c r="MKJ93" s="3"/>
      <c r="MKK93" s="3"/>
      <c r="MKL93" s="3"/>
      <c r="MKM93" s="3"/>
      <c r="MKN93" s="3"/>
      <c r="MKO93" s="3"/>
      <c r="MKP93" s="3"/>
      <c r="MKQ93" s="3"/>
      <c r="MKR93" s="3"/>
      <c r="MKS93" s="3"/>
      <c r="MKT93" s="3"/>
      <c r="MKU93" s="3"/>
      <c r="MKV93" s="3"/>
      <c r="MKW93" s="3"/>
      <c r="MKX93" s="3"/>
      <c r="MKY93" s="3"/>
      <c r="MKZ93" s="3"/>
      <c r="MLA93" s="3"/>
      <c r="MLB93" s="3"/>
      <c r="MLC93" s="3"/>
      <c r="MLD93" s="3"/>
      <c r="MLE93" s="3"/>
      <c r="MLF93" s="3"/>
      <c r="MLG93" s="3"/>
      <c r="MLH93" s="3"/>
      <c r="MLI93" s="3"/>
      <c r="MLJ93" s="3"/>
      <c r="MLK93" s="3"/>
      <c r="MLL93" s="3"/>
      <c r="MLM93" s="3"/>
      <c r="MLN93" s="3"/>
      <c r="MLO93" s="3"/>
      <c r="MLP93" s="3"/>
      <c r="MLQ93" s="3"/>
      <c r="MLR93" s="3"/>
      <c r="MLS93" s="3"/>
      <c r="MLT93" s="3"/>
      <c r="MLU93" s="3"/>
      <c r="MLV93" s="3"/>
      <c r="MLW93" s="3"/>
      <c r="MLX93" s="3"/>
      <c r="MLY93" s="3"/>
      <c r="MLZ93" s="3"/>
      <c r="MMA93" s="3"/>
      <c r="MMB93" s="3"/>
      <c r="MMC93" s="3"/>
      <c r="MMD93" s="3"/>
      <c r="MME93" s="3"/>
      <c r="MMF93" s="3"/>
      <c r="MMG93" s="3"/>
      <c r="MMH93" s="3"/>
      <c r="MMI93" s="3"/>
      <c r="MMJ93" s="3"/>
      <c r="MMK93" s="3"/>
      <c r="MML93" s="3"/>
      <c r="MMM93" s="3"/>
      <c r="MMN93" s="3"/>
      <c r="MMO93" s="3"/>
      <c r="MMP93" s="3"/>
      <c r="MMQ93" s="3"/>
      <c r="MMR93" s="3"/>
      <c r="MMS93" s="3"/>
      <c r="MMT93" s="3"/>
      <c r="MMU93" s="3"/>
      <c r="MMV93" s="3"/>
      <c r="MMW93" s="3"/>
      <c r="MMX93" s="3"/>
      <c r="MMY93" s="3"/>
      <c r="MMZ93" s="3"/>
      <c r="MNA93" s="3"/>
      <c r="MNB93" s="3"/>
      <c r="MNC93" s="3"/>
      <c r="MND93" s="3"/>
      <c r="MNE93" s="3"/>
      <c r="MNF93" s="3"/>
      <c r="MNG93" s="3"/>
      <c r="MNH93" s="3"/>
      <c r="MNI93" s="3"/>
      <c r="MNJ93" s="3"/>
      <c r="MNK93" s="3"/>
      <c r="MNL93" s="3"/>
      <c r="MNM93" s="3"/>
      <c r="MNN93" s="3"/>
      <c r="MNO93" s="3"/>
      <c r="MNP93" s="3"/>
      <c r="MNQ93" s="3"/>
      <c r="MNR93" s="3"/>
      <c r="MNS93" s="3"/>
      <c r="MNT93" s="3"/>
      <c r="MNU93" s="3"/>
      <c r="MNV93" s="3"/>
      <c r="MNW93" s="3"/>
      <c r="MNX93" s="3"/>
      <c r="MNY93" s="3"/>
      <c r="MNZ93" s="3"/>
      <c r="MOA93" s="3"/>
      <c r="MOB93" s="3"/>
      <c r="MOC93" s="3"/>
      <c r="MOD93" s="3"/>
      <c r="MOE93" s="3"/>
      <c r="MOF93" s="3"/>
      <c r="MOG93" s="3"/>
      <c r="MOH93" s="3"/>
      <c r="MOI93" s="3"/>
      <c r="MOJ93" s="3"/>
      <c r="MOK93" s="3"/>
      <c r="MOL93" s="3"/>
      <c r="MOM93" s="3"/>
      <c r="MON93" s="3"/>
      <c r="MOO93" s="3"/>
      <c r="MOP93" s="3"/>
      <c r="MOQ93" s="3"/>
      <c r="MOR93" s="3"/>
      <c r="MOS93" s="3"/>
      <c r="MOT93" s="3"/>
      <c r="MOU93" s="3"/>
      <c r="MOV93" s="3"/>
      <c r="MOW93" s="3"/>
      <c r="MOX93" s="3"/>
      <c r="MOY93" s="3"/>
      <c r="MOZ93" s="3"/>
      <c r="MPA93" s="3"/>
      <c r="MPB93" s="3"/>
      <c r="MPC93" s="3"/>
      <c r="MPD93" s="3"/>
      <c r="MPE93" s="3"/>
      <c r="MPF93" s="3"/>
      <c r="MPG93" s="3"/>
      <c r="MPH93" s="3"/>
      <c r="MPI93" s="3"/>
      <c r="MPJ93" s="3"/>
      <c r="MPK93" s="3"/>
      <c r="MPL93" s="3"/>
      <c r="MPM93" s="3"/>
      <c r="MPN93" s="3"/>
      <c r="MPO93" s="3"/>
      <c r="MPP93" s="3"/>
      <c r="MPQ93" s="3"/>
      <c r="MPR93" s="3"/>
      <c r="MPS93" s="3"/>
      <c r="MPT93" s="3"/>
      <c r="MPU93" s="3"/>
      <c r="MPV93" s="3"/>
      <c r="MPW93" s="3"/>
      <c r="MPX93" s="3"/>
      <c r="MPY93" s="3"/>
      <c r="MPZ93" s="3"/>
      <c r="MQA93" s="3"/>
      <c r="MQB93" s="3"/>
      <c r="MQC93" s="3"/>
      <c r="MQD93" s="3"/>
      <c r="MQE93" s="3"/>
      <c r="MQF93" s="3"/>
      <c r="MQG93" s="3"/>
      <c r="MQH93" s="3"/>
      <c r="MQI93" s="3"/>
      <c r="MQJ93" s="3"/>
      <c r="MQK93" s="3"/>
      <c r="MQL93" s="3"/>
      <c r="MQM93" s="3"/>
      <c r="MQN93" s="3"/>
      <c r="MQO93" s="3"/>
      <c r="MQP93" s="3"/>
      <c r="MQQ93" s="3"/>
      <c r="MQR93" s="3"/>
      <c r="MQS93" s="3"/>
      <c r="MQT93" s="3"/>
      <c r="MQU93" s="3"/>
      <c r="MQV93" s="3"/>
      <c r="MQW93" s="3"/>
      <c r="MQX93" s="3"/>
      <c r="MQY93" s="3"/>
      <c r="MQZ93" s="3"/>
      <c r="MRA93" s="3"/>
      <c r="MRB93" s="3"/>
      <c r="MRC93" s="3"/>
      <c r="MRD93" s="3"/>
      <c r="MRE93" s="3"/>
      <c r="MRF93" s="3"/>
      <c r="MRG93" s="3"/>
      <c r="MRH93" s="3"/>
      <c r="MRI93" s="3"/>
      <c r="MRJ93" s="3"/>
      <c r="MRK93" s="3"/>
      <c r="MRL93" s="3"/>
      <c r="MRM93" s="3"/>
      <c r="MRN93" s="3"/>
      <c r="MRO93" s="3"/>
      <c r="MRP93" s="3"/>
      <c r="MRQ93" s="3"/>
      <c r="MRR93" s="3"/>
      <c r="MRS93" s="3"/>
      <c r="MRT93" s="3"/>
      <c r="MRU93" s="3"/>
      <c r="MRV93" s="3"/>
      <c r="MRW93" s="3"/>
      <c r="MRX93" s="3"/>
      <c r="MRY93" s="3"/>
      <c r="MRZ93" s="3"/>
      <c r="MSA93" s="3"/>
      <c r="MSB93" s="3"/>
      <c r="MSC93" s="3"/>
      <c r="MSD93" s="3"/>
      <c r="MSE93" s="3"/>
      <c r="MSF93" s="3"/>
      <c r="MSG93" s="3"/>
      <c r="MSH93" s="3"/>
      <c r="MSI93" s="3"/>
      <c r="MSJ93" s="3"/>
      <c r="MSK93" s="3"/>
      <c r="MSL93" s="3"/>
      <c r="MSM93" s="3"/>
      <c r="MSN93" s="3"/>
      <c r="MSO93" s="3"/>
      <c r="MSP93" s="3"/>
      <c r="MSQ93" s="3"/>
      <c r="MSR93" s="3"/>
      <c r="MSS93" s="3"/>
      <c r="MST93" s="3"/>
      <c r="MSU93" s="3"/>
      <c r="MSV93" s="3"/>
      <c r="MSW93" s="3"/>
      <c r="MSX93" s="3"/>
      <c r="MSY93" s="3"/>
      <c r="MSZ93" s="3"/>
      <c r="MTA93" s="3"/>
      <c r="MTB93" s="3"/>
      <c r="MTC93" s="3"/>
      <c r="MTD93" s="3"/>
      <c r="MTE93" s="3"/>
      <c r="MTF93" s="3"/>
      <c r="MTG93" s="3"/>
      <c r="MTH93" s="3"/>
      <c r="MTI93" s="3"/>
      <c r="MTJ93" s="3"/>
      <c r="MTK93" s="3"/>
      <c r="MTL93" s="3"/>
      <c r="MTM93" s="3"/>
      <c r="MTN93" s="3"/>
      <c r="MTO93" s="3"/>
      <c r="MTP93" s="3"/>
      <c r="MTQ93" s="3"/>
      <c r="MTR93" s="3"/>
      <c r="MTS93" s="3"/>
      <c r="MTT93" s="3"/>
      <c r="MTU93" s="3"/>
      <c r="MTV93" s="3"/>
      <c r="MTW93" s="3"/>
      <c r="MTX93" s="3"/>
      <c r="MTY93" s="3"/>
      <c r="MTZ93" s="3"/>
      <c r="MUA93" s="3"/>
      <c r="MUB93" s="3"/>
      <c r="MUC93" s="3"/>
      <c r="MUD93" s="3"/>
      <c r="MUE93" s="3"/>
      <c r="MUF93" s="3"/>
      <c r="MUG93" s="3"/>
      <c r="MUH93" s="3"/>
      <c r="MUI93" s="3"/>
      <c r="MUJ93" s="3"/>
      <c r="MUK93" s="3"/>
      <c r="MUL93" s="3"/>
      <c r="MUM93" s="3"/>
      <c r="MUN93" s="3"/>
      <c r="MUO93" s="3"/>
      <c r="MUP93" s="3"/>
      <c r="MUQ93" s="3"/>
      <c r="MUR93" s="3"/>
      <c r="MUS93" s="3"/>
      <c r="MUT93" s="3"/>
      <c r="MUU93" s="3"/>
      <c r="MUV93" s="3"/>
      <c r="MUW93" s="3"/>
      <c r="MUX93" s="3"/>
      <c r="MUY93" s="3"/>
      <c r="MUZ93" s="3"/>
      <c r="MVA93" s="3"/>
      <c r="MVB93" s="3"/>
      <c r="MVC93" s="3"/>
      <c r="MVD93" s="3"/>
      <c r="MVE93" s="3"/>
      <c r="MVF93" s="3"/>
      <c r="MVG93" s="3"/>
      <c r="MVH93" s="3"/>
      <c r="MVI93" s="3"/>
      <c r="MVJ93" s="3"/>
      <c r="MVK93" s="3"/>
      <c r="MVL93" s="3"/>
      <c r="MVM93" s="3"/>
      <c r="MVN93" s="3"/>
      <c r="MVO93" s="3"/>
      <c r="MVP93" s="3"/>
      <c r="MVQ93" s="3"/>
      <c r="MVR93" s="3"/>
      <c r="MVS93" s="3"/>
      <c r="MVT93" s="3"/>
      <c r="MVU93" s="3"/>
      <c r="MVV93" s="3"/>
      <c r="MVW93" s="3"/>
      <c r="MVX93" s="3"/>
      <c r="MVY93" s="3"/>
      <c r="MVZ93" s="3"/>
      <c r="MWA93" s="3"/>
      <c r="MWB93" s="3"/>
      <c r="MWC93" s="3"/>
      <c r="MWD93" s="3"/>
      <c r="MWE93" s="3"/>
      <c r="MWF93" s="3"/>
      <c r="MWG93" s="3"/>
      <c r="MWH93" s="3"/>
      <c r="MWI93" s="3"/>
      <c r="MWJ93" s="3"/>
      <c r="MWK93" s="3"/>
      <c r="MWL93" s="3"/>
      <c r="MWM93" s="3"/>
      <c r="MWN93" s="3"/>
      <c r="MWO93" s="3"/>
      <c r="MWP93" s="3"/>
      <c r="MWQ93" s="3"/>
      <c r="MWR93" s="3"/>
      <c r="MWS93" s="3"/>
      <c r="MWT93" s="3"/>
      <c r="MWU93" s="3"/>
      <c r="MWV93" s="3"/>
      <c r="MWW93" s="3"/>
      <c r="MWX93" s="3"/>
      <c r="MWY93" s="3"/>
      <c r="MWZ93" s="3"/>
      <c r="MXA93" s="3"/>
      <c r="MXB93" s="3"/>
      <c r="MXC93" s="3"/>
      <c r="MXD93" s="3"/>
      <c r="MXE93" s="3"/>
      <c r="MXF93" s="3"/>
      <c r="MXG93" s="3"/>
      <c r="MXH93" s="3"/>
      <c r="MXI93" s="3"/>
      <c r="MXJ93" s="3"/>
      <c r="MXK93" s="3"/>
      <c r="MXL93" s="3"/>
      <c r="MXM93" s="3"/>
      <c r="MXN93" s="3"/>
      <c r="MXO93" s="3"/>
      <c r="MXP93" s="3"/>
      <c r="MXQ93" s="3"/>
      <c r="MXR93" s="3"/>
      <c r="MXS93" s="3"/>
      <c r="MXT93" s="3"/>
      <c r="MXU93" s="3"/>
      <c r="MXV93" s="3"/>
      <c r="MXW93" s="3"/>
      <c r="MXX93" s="3"/>
      <c r="MXY93" s="3"/>
      <c r="MXZ93" s="3"/>
      <c r="MYA93" s="3"/>
      <c r="MYB93" s="3"/>
      <c r="MYC93" s="3"/>
      <c r="MYD93" s="3"/>
      <c r="MYE93" s="3"/>
      <c r="MYF93" s="3"/>
      <c r="MYG93" s="3"/>
      <c r="MYH93" s="3"/>
      <c r="MYI93" s="3"/>
      <c r="MYJ93" s="3"/>
      <c r="MYK93" s="3"/>
      <c r="MYL93" s="3"/>
      <c r="MYM93" s="3"/>
      <c r="MYN93" s="3"/>
      <c r="MYO93" s="3"/>
      <c r="MYP93" s="3"/>
      <c r="MYQ93" s="3"/>
      <c r="MYR93" s="3"/>
      <c r="MYS93" s="3"/>
      <c r="MYT93" s="3"/>
      <c r="MYU93" s="3"/>
      <c r="MYV93" s="3"/>
      <c r="MYW93" s="3"/>
      <c r="MYX93" s="3"/>
      <c r="MYY93" s="3"/>
      <c r="MYZ93" s="3"/>
      <c r="MZA93" s="3"/>
      <c r="MZB93" s="3"/>
      <c r="MZC93" s="3"/>
      <c r="MZD93" s="3"/>
      <c r="MZE93" s="3"/>
      <c r="MZF93" s="3"/>
      <c r="MZG93" s="3"/>
      <c r="MZH93" s="3"/>
      <c r="MZI93" s="3"/>
      <c r="MZJ93" s="3"/>
      <c r="MZK93" s="3"/>
      <c r="MZL93" s="3"/>
      <c r="MZM93" s="3"/>
      <c r="MZN93" s="3"/>
      <c r="MZO93" s="3"/>
      <c r="MZP93" s="3"/>
      <c r="MZQ93" s="3"/>
      <c r="MZR93" s="3"/>
      <c r="MZS93" s="3"/>
      <c r="MZT93" s="3"/>
      <c r="MZU93" s="3"/>
      <c r="MZV93" s="3"/>
      <c r="MZW93" s="3"/>
      <c r="MZX93" s="3"/>
      <c r="MZY93" s="3"/>
      <c r="MZZ93" s="3"/>
      <c r="NAA93" s="3"/>
      <c r="NAB93" s="3"/>
      <c r="NAC93" s="3"/>
      <c r="NAD93" s="3"/>
      <c r="NAE93" s="3"/>
      <c r="NAF93" s="3"/>
      <c r="NAG93" s="3"/>
      <c r="NAH93" s="3"/>
      <c r="NAI93" s="3"/>
      <c r="NAJ93" s="3"/>
      <c r="NAK93" s="3"/>
      <c r="NAL93" s="3"/>
      <c r="NAM93" s="3"/>
      <c r="NAN93" s="3"/>
      <c r="NAO93" s="3"/>
      <c r="NAP93" s="3"/>
      <c r="NAQ93" s="3"/>
      <c r="NAR93" s="3"/>
      <c r="NAS93" s="3"/>
      <c r="NAT93" s="3"/>
      <c r="NAU93" s="3"/>
      <c r="NAV93" s="3"/>
      <c r="NAW93" s="3"/>
      <c r="NAX93" s="3"/>
      <c r="NAY93" s="3"/>
      <c r="NAZ93" s="3"/>
      <c r="NBA93" s="3"/>
      <c r="NBB93" s="3"/>
      <c r="NBC93" s="3"/>
      <c r="NBD93" s="3"/>
      <c r="NBE93" s="3"/>
      <c r="NBF93" s="3"/>
      <c r="NBG93" s="3"/>
      <c r="NBH93" s="3"/>
      <c r="NBI93" s="3"/>
      <c r="NBJ93" s="3"/>
      <c r="NBK93" s="3"/>
      <c r="NBL93" s="3"/>
      <c r="NBM93" s="3"/>
      <c r="NBN93" s="3"/>
      <c r="NBO93" s="3"/>
      <c r="NBP93" s="3"/>
      <c r="NBQ93" s="3"/>
      <c r="NBR93" s="3"/>
      <c r="NBS93" s="3"/>
      <c r="NBT93" s="3"/>
      <c r="NBU93" s="3"/>
      <c r="NBV93" s="3"/>
      <c r="NBW93" s="3"/>
      <c r="NBX93" s="3"/>
      <c r="NBY93" s="3"/>
      <c r="NBZ93" s="3"/>
      <c r="NCA93" s="3"/>
      <c r="NCB93" s="3"/>
      <c r="NCC93" s="3"/>
      <c r="NCD93" s="3"/>
      <c r="NCE93" s="3"/>
      <c r="NCF93" s="3"/>
      <c r="NCG93" s="3"/>
      <c r="NCH93" s="3"/>
      <c r="NCI93" s="3"/>
      <c r="NCJ93" s="3"/>
      <c r="NCK93" s="3"/>
      <c r="NCL93" s="3"/>
      <c r="NCM93" s="3"/>
      <c r="NCN93" s="3"/>
      <c r="NCO93" s="3"/>
      <c r="NCP93" s="3"/>
      <c r="NCQ93" s="3"/>
      <c r="NCR93" s="3"/>
      <c r="NCS93" s="3"/>
      <c r="NCT93" s="3"/>
      <c r="NCU93" s="3"/>
      <c r="NCV93" s="3"/>
      <c r="NCW93" s="3"/>
      <c r="NCX93" s="3"/>
      <c r="NCY93" s="3"/>
      <c r="NCZ93" s="3"/>
      <c r="NDA93" s="3"/>
      <c r="NDB93" s="3"/>
      <c r="NDC93" s="3"/>
      <c r="NDD93" s="3"/>
      <c r="NDE93" s="3"/>
      <c r="NDF93" s="3"/>
      <c r="NDG93" s="3"/>
      <c r="NDH93" s="3"/>
      <c r="NDI93" s="3"/>
      <c r="NDJ93" s="3"/>
      <c r="NDK93" s="3"/>
      <c r="NDL93" s="3"/>
      <c r="NDM93" s="3"/>
      <c r="NDN93" s="3"/>
      <c r="NDO93" s="3"/>
      <c r="NDP93" s="3"/>
      <c r="NDQ93" s="3"/>
      <c r="NDR93" s="3"/>
      <c r="NDS93" s="3"/>
      <c r="NDT93" s="3"/>
      <c r="NDU93" s="3"/>
      <c r="NDV93" s="3"/>
      <c r="NDW93" s="3"/>
      <c r="NDX93" s="3"/>
      <c r="NDY93" s="3"/>
      <c r="NDZ93" s="3"/>
      <c r="NEA93" s="3"/>
      <c r="NEB93" s="3"/>
      <c r="NEC93" s="3"/>
      <c r="NED93" s="3"/>
      <c r="NEE93" s="3"/>
      <c r="NEF93" s="3"/>
      <c r="NEG93" s="3"/>
      <c r="NEH93" s="3"/>
      <c r="NEI93" s="3"/>
      <c r="NEJ93" s="3"/>
      <c r="NEK93" s="3"/>
      <c r="NEL93" s="3"/>
      <c r="NEM93" s="3"/>
      <c r="NEN93" s="3"/>
      <c r="NEO93" s="3"/>
      <c r="NEP93" s="3"/>
      <c r="NEQ93" s="3"/>
      <c r="NER93" s="3"/>
      <c r="NES93" s="3"/>
      <c r="NET93" s="3"/>
      <c r="NEU93" s="3"/>
      <c r="NEV93" s="3"/>
      <c r="NEW93" s="3"/>
      <c r="NEX93" s="3"/>
      <c r="NEY93" s="3"/>
      <c r="NEZ93" s="3"/>
      <c r="NFA93" s="3"/>
      <c r="NFB93" s="3"/>
      <c r="NFC93" s="3"/>
      <c r="NFD93" s="3"/>
      <c r="NFE93" s="3"/>
      <c r="NFF93" s="3"/>
      <c r="NFG93" s="3"/>
      <c r="NFH93" s="3"/>
      <c r="NFI93" s="3"/>
      <c r="NFJ93" s="3"/>
      <c r="NFK93" s="3"/>
      <c r="NFL93" s="3"/>
      <c r="NFM93" s="3"/>
      <c r="NFN93" s="3"/>
      <c r="NFO93" s="3"/>
      <c r="NFP93" s="3"/>
      <c r="NFQ93" s="3"/>
      <c r="NFR93" s="3"/>
      <c r="NFS93" s="3"/>
      <c r="NFT93" s="3"/>
      <c r="NFU93" s="3"/>
      <c r="NFV93" s="3"/>
      <c r="NFW93" s="3"/>
      <c r="NFX93" s="3"/>
      <c r="NFY93" s="3"/>
      <c r="NFZ93" s="3"/>
      <c r="NGA93" s="3"/>
      <c r="NGB93" s="3"/>
      <c r="NGC93" s="3"/>
      <c r="NGD93" s="3"/>
      <c r="NGE93" s="3"/>
      <c r="NGF93" s="3"/>
      <c r="NGG93" s="3"/>
      <c r="NGH93" s="3"/>
      <c r="NGI93" s="3"/>
      <c r="NGJ93" s="3"/>
      <c r="NGK93" s="3"/>
      <c r="NGL93" s="3"/>
      <c r="NGM93" s="3"/>
      <c r="NGN93" s="3"/>
      <c r="NGO93" s="3"/>
      <c r="NGP93" s="3"/>
      <c r="NGQ93" s="3"/>
      <c r="NGR93" s="3"/>
      <c r="NGS93" s="3"/>
      <c r="NGT93" s="3"/>
      <c r="NGU93" s="3"/>
      <c r="NGV93" s="3"/>
      <c r="NGW93" s="3"/>
      <c r="NGX93" s="3"/>
      <c r="NGY93" s="3"/>
      <c r="NGZ93" s="3"/>
      <c r="NHA93" s="3"/>
      <c r="NHB93" s="3"/>
      <c r="NHC93" s="3"/>
      <c r="NHD93" s="3"/>
      <c r="NHE93" s="3"/>
      <c r="NHF93" s="3"/>
      <c r="NHG93" s="3"/>
      <c r="NHH93" s="3"/>
      <c r="NHI93" s="3"/>
      <c r="NHJ93" s="3"/>
      <c r="NHK93" s="3"/>
      <c r="NHL93" s="3"/>
      <c r="NHM93" s="3"/>
      <c r="NHN93" s="3"/>
      <c r="NHO93" s="3"/>
      <c r="NHP93" s="3"/>
      <c r="NHQ93" s="3"/>
      <c r="NHR93" s="3"/>
      <c r="NHS93" s="3"/>
      <c r="NHT93" s="3"/>
      <c r="NHU93" s="3"/>
      <c r="NHV93" s="3"/>
      <c r="NHW93" s="3"/>
      <c r="NHX93" s="3"/>
      <c r="NHY93" s="3"/>
      <c r="NHZ93" s="3"/>
      <c r="NIA93" s="3"/>
      <c r="NIB93" s="3"/>
      <c r="NIC93" s="3"/>
      <c r="NID93" s="3"/>
      <c r="NIE93" s="3"/>
      <c r="NIF93" s="3"/>
      <c r="NIG93" s="3"/>
      <c r="NIH93" s="3"/>
      <c r="NII93" s="3"/>
      <c r="NIJ93" s="3"/>
      <c r="NIK93" s="3"/>
      <c r="NIL93" s="3"/>
      <c r="NIM93" s="3"/>
      <c r="NIN93" s="3"/>
      <c r="NIO93" s="3"/>
      <c r="NIP93" s="3"/>
      <c r="NIQ93" s="3"/>
      <c r="NIR93" s="3"/>
      <c r="NIS93" s="3"/>
      <c r="NIT93" s="3"/>
      <c r="NIU93" s="3"/>
      <c r="NIV93" s="3"/>
      <c r="NIW93" s="3"/>
      <c r="NIX93" s="3"/>
      <c r="NIY93" s="3"/>
      <c r="NIZ93" s="3"/>
      <c r="NJA93" s="3"/>
      <c r="NJB93" s="3"/>
      <c r="NJC93" s="3"/>
      <c r="NJD93" s="3"/>
      <c r="NJE93" s="3"/>
      <c r="NJF93" s="3"/>
      <c r="NJG93" s="3"/>
      <c r="NJH93" s="3"/>
      <c r="NJI93" s="3"/>
      <c r="NJJ93" s="3"/>
      <c r="NJK93" s="3"/>
      <c r="NJL93" s="3"/>
      <c r="NJM93" s="3"/>
      <c r="NJN93" s="3"/>
      <c r="NJO93" s="3"/>
      <c r="NJP93" s="3"/>
      <c r="NJQ93" s="3"/>
      <c r="NJR93" s="3"/>
      <c r="NJS93" s="3"/>
      <c r="NJT93" s="3"/>
      <c r="NJU93" s="3"/>
      <c r="NJV93" s="3"/>
      <c r="NJW93" s="3"/>
      <c r="NJX93" s="3"/>
      <c r="NJY93" s="3"/>
      <c r="NJZ93" s="3"/>
      <c r="NKA93" s="3"/>
      <c r="NKB93" s="3"/>
      <c r="NKC93" s="3"/>
      <c r="NKD93" s="3"/>
      <c r="NKE93" s="3"/>
      <c r="NKF93" s="3"/>
      <c r="NKG93" s="3"/>
      <c r="NKH93" s="3"/>
      <c r="NKI93" s="3"/>
      <c r="NKJ93" s="3"/>
      <c r="NKK93" s="3"/>
      <c r="NKL93" s="3"/>
      <c r="NKM93" s="3"/>
      <c r="NKN93" s="3"/>
      <c r="NKO93" s="3"/>
      <c r="NKP93" s="3"/>
      <c r="NKQ93" s="3"/>
      <c r="NKR93" s="3"/>
      <c r="NKS93" s="3"/>
      <c r="NKT93" s="3"/>
      <c r="NKU93" s="3"/>
      <c r="NKV93" s="3"/>
      <c r="NKW93" s="3"/>
      <c r="NKX93" s="3"/>
      <c r="NKY93" s="3"/>
      <c r="NKZ93" s="3"/>
      <c r="NLA93" s="3"/>
      <c r="NLB93" s="3"/>
      <c r="NLC93" s="3"/>
      <c r="NLD93" s="3"/>
      <c r="NLE93" s="3"/>
      <c r="NLF93" s="3"/>
      <c r="NLG93" s="3"/>
      <c r="NLH93" s="3"/>
      <c r="NLI93" s="3"/>
      <c r="NLJ93" s="3"/>
      <c r="NLK93" s="3"/>
      <c r="NLL93" s="3"/>
      <c r="NLM93" s="3"/>
      <c r="NLN93" s="3"/>
      <c r="NLO93" s="3"/>
      <c r="NLP93" s="3"/>
      <c r="NLQ93" s="3"/>
      <c r="NLR93" s="3"/>
      <c r="NLS93" s="3"/>
      <c r="NLT93" s="3"/>
      <c r="NLU93" s="3"/>
      <c r="NLV93" s="3"/>
      <c r="NLW93" s="3"/>
      <c r="NLX93" s="3"/>
      <c r="NLY93" s="3"/>
      <c r="NLZ93" s="3"/>
      <c r="NMA93" s="3"/>
      <c r="NMB93" s="3"/>
      <c r="NMC93" s="3"/>
      <c r="NMD93" s="3"/>
      <c r="NME93" s="3"/>
      <c r="NMF93" s="3"/>
      <c r="NMG93" s="3"/>
      <c r="NMH93" s="3"/>
      <c r="NMI93" s="3"/>
      <c r="NMJ93" s="3"/>
      <c r="NMK93" s="3"/>
      <c r="NML93" s="3"/>
      <c r="NMM93" s="3"/>
      <c r="NMN93" s="3"/>
      <c r="NMO93" s="3"/>
      <c r="NMP93" s="3"/>
      <c r="NMQ93" s="3"/>
      <c r="NMR93" s="3"/>
      <c r="NMS93" s="3"/>
      <c r="NMT93" s="3"/>
      <c r="NMU93" s="3"/>
      <c r="NMV93" s="3"/>
      <c r="NMW93" s="3"/>
      <c r="NMX93" s="3"/>
      <c r="NMY93" s="3"/>
      <c r="NMZ93" s="3"/>
      <c r="NNA93" s="3"/>
      <c r="NNB93" s="3"/>
      <c r="NNC93" s="3"/>
      <c r="NND93" s="3"/>
      <c r="NNE93" s="3"/>
      <c r="NNF93" s="3"/>
      <c r="NNG93" s="3"/>
      <c r="NNH93" s="3"/>
      <c r="NNI93" s="3"/>
      <c r="NNJ93" s="3"/>
      <c r="NNK93" s="3"/>
      <c r="NNL93" s="3"/>
      <c r="NNM93" s="3"/>
      <c r="NNN93" s="3"/>
      <c r="NNO93" s="3"/>
      <c r="NNP93" s="3"/>
      <c r="NNQ93" s="3"/>
      <c r="NNR93" s="3"/>
      <c r="NNS93" s="3"/>
      <c r="NNT93" s="3"/>
      <c r="NNU93" s="3"/>
      <c r="NNV93" s="3"/>
      <c r="NNW93" s="3"/>
      <c r="NNX93" s="3"/>
      <c r="NNY93" s="3"/>
      <c r="NNZ93" s="3"/>
      <c r="NOA93" s="3"/>
      <c r="NOB93" s="3"/>
      <c r="NOC93" s="3"/>
      <c r="NOD93" s="3"/>
      <c r="NOE93" s="3"/>
      <c r="NOF93" s="3"/>
      <c r="NOG93" s="3"/>
      <c r="NOH93" s="3"/>
      <c r="NOI93" s="3"/>
      <c r="NOJ93" s="3"/>
      <c r="NOK93" s="3"/>
      <c r="NOL93" s="3"/>
      <c r="NOM93" s="3"/>
      <c r="NON93" s="3"/>
      <c r="NOO93" s="3"/>
      <c r="NOP93" s="3"/>
      <c r="NOQ93" s="3"/>
      <c r="NOR93" s="3"/>
      <c r="NOS93" s="3"/>
      <c r="NOT93" s="3"/>
      <c r="NOU93" s="3"/>
      <c r="NOV93" s="3"/>
      <c r="NOW93" s="3"/>
      <c r="NOX93" s="3"/>
      <c r="NOY93" s="3"/>
      <c r="NOZ93" s="3"/>
      <c r="NPA93" s="3"/>
      <c r="NPB93" s="3"/>
      <c r="NPC93" s="3"/>
      <c r="NPD93" s="3"/>
      <c r="NPE93" s="3"/>
      <c r="NPF93" s="3"/>
      <c r="NPG93" s="3"/>
      <c r="NPH93" s="3"/>
      <c r="NPI93" s="3"/>
      <c r="NPJ93" s="3"/>
      <c r="NPK93" s="3"/>
      <c r="NPL93" s="3"/>
      <c r="NPM93" s="3"/>
      <c r="NPN93" s="3"/>
      <c r="NPO93" s="3"/>
      <c r="NPP93" s="3"/>
      <c r="NPQ93" s="3"/>
      <c r="NPR93" s="3"/>
      <c r="NPS93" s="3"/>
      <c r="NPT93" s="3"/>
      <c r="NPU93" s="3"/>
      <c r="NPV93" s="3"/>
      <c r="NPW93" s="3"/>
      <c r="NPX93" s="3"/>
      <c r="NPY93" s="3"/>
      <c r="NPZ93" s="3"/>
      <c r="NQA93" s="3"/>
      <c r="NQB93" s="3"/>
      <c r="NQC93" s="3"/>
      <c r="NQD93" s="3"/>
      <c r="NQE93" s="3"/>
      <c r="NQF93" s="3"/>
      <c r="NQG93" s="3"/>
      <c r="NQH93" s="3"/>
      <c r="NQI93" s="3"/>
      <c r="NQJ93" s="3"/>
      <c r="NQK93" s="3"/>
      <c r="NQL93" s="3"/>
      <c r="NQM93" s="3"/>
      <c r="NQN93" s="3"/>
      <c r="NQO93" s="3"/>
      <c r="NQP93" s="3"/>
      <c r="NQQ93" s="3"/>
      <c r="NQR93" s="3"/>
      <c r="NQS93" s="3"/>
      <c r="NQT93" s="3"/>
      <c r="NQU93" s="3"/>
      <c r="NQV93" s="3"/>
      <c r="NQW93" s="3"/>
      <c r="NQX93" s="3"/>
      <c r="NQY93" s="3"/>
      <c r="NQZ93" s="3"/>
      <c r="NRA93" s="3"/>
      <c r="NRB93" s="3"/>
      <c r="NRC93" s="3"/>
      <c r="NRD93" s="3"/>
      <c r="NRE93" s="3"/>
      <c r="NRF93" s="3"/>
      <c r="NRG93" s="3"/>
      <c r="NRH93" s="3"/>
      <c r="NRI93" s="3"/>
      <c r="NRJ93" s="3"/>
      <c r="NRK93" s="3"/>
      <c r="NRL93" s="3"/>
      <c r="NRM93" s="3"/>
      <c r="NRN93" s="3"/>
      <c r="NRO93" s="3"/>
      <c r="NRP93" s="3"/>
      <c r="NRQ93" s="3"/>
      <c r="NRR93" s="3"/>
      <c r="NRS93" s="3"/>
      <c r="NRT93" s="3"/>
      <c r="NRU93" s="3"/>
      <c r="NRV93" s="3"/>
      <c r="NRW93" s="3"/>
      <c r="NRX93" s="3"/>
      <c r="NRY93" s="3"/>
      <c r="NRZ93" s="3"/>
      <c r="NSA93" s="3"/>
      <c r="NSB93" s="3"/>
      <c r="NSC93" s="3"/>
      <c r="NSD93" s="3"/>
      <c r="NSE93" s="3"/>
      <c r="NSF93" s="3"/>
      <c r="NSG93" s="3"/>
      <c r="NSH93" s="3"/>
      <c r="NSI93" s="3"/>
      <c r="NSJ93" s="3"/>
      <c r="NSK93" s="3"/>
      <c r="NSL93" s="3"/>
      <c r="NSM93" s="3"/>
      <c r="NSN93" s="3"/>
      <c r="NSO93" s="3"/>
      <c r="NSP93" s="3"/>
      <c r="NSQ93" s="3"/>
      <c r="NSR93" s="3"/>
      <c r="NSS93" s="3"/>
      <c r="NST93" s="3"/>
      <c r="NSU93" s="3"/>
      <c r="NSV93" s="3"/>
      <c r="NSW93" s="3"/>
      <c r="NSX93" s="3"/>
      <c r="NSY93" s="3"/>
      <c r="NSZ93" s="3"/>
      <c r="NTA93" s="3"/>
      <c r="NTB93" s="3"/>
      <c r="NTC93" s="3"/>
      <c r="NTD93" s="3"/>
      <c r="NTE93" s="3"/>
      <c r="NTF93" s="3"/>
      <c r="NTG93" s="3"/>
      <c r="NTH93" s="3"/>
      <c r="NTI93" s="3"/>
      <c r="NTJ93" s="3"/>
      <c r="NTK93" s="3"/>
      <c r="NTL93" s="3"/>
      <c r="NTM93" s="3"/>
      <c r="NTN93" s="3"/>
      <c r="NTO93" s="3"/>
      <c r="NTP93" s="3"/>
      <c r="NTQ93" s="3"/>
      <c r="NTR93" s="3"/>
      <c r="NTS93" s="3"/>
      <c r="NTT93" s="3"/>
      <c r="NTU93" s="3"/>
      <c r="NTV93" s="3"/>
      <c r="NTW93" s="3"/>
      <c r="NTX93" s="3"/>
      <c r="NTY93" s="3"/>
      <c r="NTZ93" s="3"/>
      <c r="NUA93" s="3"/>
      <c r="NUB93" s="3"/>
      <c r="NUC93" s="3"/>
      <c r="NUD93" s="3"/>
      <c r="NUE93" s="3"/>
      <c r="NUF93" s="3"/>
      <c r="NUG93" s="3"/>
      <c r="NUH93" s="3"/>
      <c r="NUI93" s="3"/>
      <c r="NUJ93" s="3"/>
      <c r="NUK93" s="3"/>
      <c r="NUL93" s="3"/>
      <c r="NUM93" s="3"/>
      <c r="NUN93" s="3"/>
      <c r="NUO93" s="3"/>
      <c r="NUP93" s="3"/>
      <c r="NUQ93" s="3"/>
      <c r="NUR93" s="3"/>
      <c r="NUS93" s="3"/>
      <c r="NUT93" s="3"/>
      <c r="NUU93" s="3"/>
      <c r="NUV93" s="3"/>
      <c r="NUW93" s="3"/>
      <c r="NUX93" s="3"/>
      <c r="NUY93" s="3"/>
      <c r="NUZ93" s="3"/>
      <c r="NVA93" s="3"/>
      <c r="NVB93" s="3"/>
      <c r="NVC93" s="3"/>
      <c r="NVD93" s="3"/>
      <c r="NVE93" s="3"/>
      <c r="NVF93" s="3"/>
      <c r="NVG93" s="3"/>
      <c r="NVH93" s="3"/>
      <c r="NVI93" s="3"/>
      <c r="NVJ93" s="3"/>
      <c r="NVK93" s="3"/>
      <c r="NVL93" s="3"/>
      <c r="NVM93" s="3"/>
      <c r="NVN93" s="3"/>
      <c r="NVO93" s="3"/>
      <c r="NVP93" s="3"/>
      <c r="NVQ93" s="3"/>
      <c r="NVR93" s="3"/>
      <c r="NVS93" s="3"/>
      <c r="NVT93" s="3"/>
      <c r="NVU93" s="3"/>
      <c r="NVV93" s="3"/>
      <c r="NVW93" s="3"/>
      <c r="NVX93" s="3"/>
      <c r="NVY93" s="3"/>
      <c r="NVZ93" s="3"/>
      <c r="NWA93" s="3"/>
      <c r="NWB93" s="3"/>
      <c r="NWC93" s="3"/>
      <c r="NWD93" s="3"/>
      <c r="NWE93" s="3"/>
      <c r="NWF93" s="3"/>
      <c r="NWG93" s="3"/>
      <c r="NWH93" s="3"/>
      <c r="NWI93" s="3"/>
      <c r="NWJ93" s="3"/>
      <c r="NWK93" s="3"/>
      <c r="NWL93" s="3"/>
      <c r="NWM93" s="3"/>
      <c r="NWN93" s="3"/>
      <c r="NWO93" s="3"/>
      <c r="NWP93" s="3"/>
      <c r="NWQ93" s="3"/>
      <c r="NWR93" s="3"/>
      <c r="NWS93" s="3"/>
      <c r="NWT93" s="3"/>
      <c r="NWU93" s="3"/>
      <c r="NWV93" s="3"/>
      <c r="NWW93" s="3"/>
      <c r="NWX93" s="3"/>
      <c r="NWY93" s="3"/>
      <c r="NWZ93" s="3"/>
      <c r="NXA93" s="3"/>
      <c r="NXB93" s="3"/>
      <c r="NXC93" s="3"/>
      <c r="NXD93" s="3"/>
      <c r="NXE93" s="3"/>
      <c r="NXF93" s="3"/>
      <c r="NXG93" s="3"/>
      <c r="NXH93" s="3"/>
      <c r="NXI93" s="3"/>
      <c r="NXJ93" s="3"/>
      <c r="NXK93" s="3"/>
      <c r="NXL93" s="3"/>
      <c r="NXM93" s="3"/>
      <c r="NXN93" s="3"/>
      <c r="NXO93" s="3"/>
      <c r="NXP93" s="3"/>
      <c r="NXQ93" s="3"/>
      <c r="NXR93" s="3"/>
      <c r="NXS93" s="3"/>
      <c r="NXT93" s="3"/>
      <c r="NXU93" s="3"/>
      <c r="NXV93" s="3"/>
      <c r="NXW93" s="3"/>
      <c r="NXX93" s="3"/>
      <c r="NXY93" s="3"/>
      <c r="NXZ93" s="3"/>
      <c r="NYA93" s="3"/>
      <c r="NYB93" s="3"/>
      <c r="NYC93" s="3"/>
      <c r="NYD93" s="3"/>
      <c r="NYE93" s="3"/>
      <c r="NYF93" s="3"/>
      <c r="NYG93" s="3"/>
      <c r="NYH93" s="3"/>
      <c r="NYI93" s="3"/>
      <c r="NYJ93" s="3"/>
      <c r="NYK93" s="3"/>
      <c r="NYL93" s="3"/>
      <c r="NYM93" s="3"/>
      <c r="NYN93" s="3"/>
      <c r="NYO93" s="3"/>
      <c r="NYP93" s="3"/>
      <c r="NYQ93" s="3"/>
      <c r="NYR93" s="3"/>
      <c r="NYS93" s="3"/>
      <c r="NYT93" s="3"/>
      <c r="NYU93" s="3"/>
      <c r="NYV93" s="3"/>
      <c r="NYW93" s="3"/>
      <c r="NYX93" s="3"/>
      <c r="NYY93" s="3"/>
      <c r="NYZ93" s="3"/>
      <c r="NZA93" s="3"/>
      <c r="NZB93" s="3"/>
      <c r="NZC93" s="3"/>
      <c r="NZD93" s="3"/>
      <c r="NZE93" s="3"/>
      <c r="NZF93" s="3"/>
      <c r="NZG93" s="3"/>
      <c r="NZH93" s="3"/>
      <c r="NZI93" s="3"/>
      <c r="NZJ93" s="3"/>
      <c r="NZK93" s="3"/>
      <c r="NZL93" s="3"/>
      <c r="NZM93" s="3"/>
      <c r="NZN93" s="3"/>
      <c r="NZO93" s="3"/>
      <c r="NZP93" s="3"/>
      <c r="NZQ93" s="3"/>
      <c r="NZR93" s="3"/>
      <c r="NZS93" s="3"/>
      <c r="NZT93" s="3"/>
      <c r="NZU93" s="3"/>
      <c r="NZV93" s="3"/>
      <c r="NZW93" s="3"/>
      <c r="NZX93" s="3"/>
      <c r="NZY93" s="3"/>
      <c r="NZZ93" s="3"/>
      <c r="OAA93" s="3"/>
      <c r="OAB93" s="3"/>
      <c r="OAC93" s="3"/>
      <c r="OAD93" s="3"/>
      <c r="OAE93" s="3"/>
      <c r="OAF93" s="3"/>
      <c r="OAG93" s="3"/>
      <c r="OAH93" s="3"/>
      <c r="OAI93" s="3"/>
      <c r="OAJ93" s="3"/>
      <c r="OAK93" s="3"/>
      <c r="OAL93" s="3"/>
      <c r="OAM93" s="3"/>
      <c r="OAN93" s="3"/>
      <c r="OAO93" s="3"/>
      <c r="OAP93" s="3"/>
      <c r="OAQ93" s="3"/>
      <c r="OAR93" s="3"/>
      <c r="OAS93" s="3"/>
      <c r="OAT93" s="3"/>
      <c r="OAU93" s="3"/>
      <c r="OAV93" s="3"/>
      <c r="OAW93" s="3"/>
      <c r="OAX93" s="3"/>
      <c r="OAY93" s="3"/>
      <c r="OAZ93" s="3"/>
      <c r="OBA93" s="3"/>
      <c r="OBB93" s="3"/>
      <c r="OBC93" s="3"/>
      <c r="OBD93" s="3"/>
      <c r="OBE93" s="3"/>
      <c r="OBF93" s="3"/>
      <c r="OBG93" s="3"/>
      <c r="OBH93" s="3"/>
      <c r="OBI93" s="3"/>
      <c r="OBJ93" s="3"/>
      <c r="OBK93" s="3"/>
      <c r="OBL93" s="3"/>
      <c r="OBM93" s="3"/>
      <c r="OBN93" s="3"/>
      <c r="OBO93" s="3"/>
      <c r="OBP93" s="3"/>
      <c r="OBQ93" s="3"/>
      <c r="OBR93" s="3"/>
      <c r="OBS93" s="3"/>
      <c r="OBT93" s="3"/>
      <c r="OBU93" s="3"/>
      <c r="OBV93" s="3"/>
      <c r="OBW93" s="3"/>
      <c r="OBX93" s="3"/>
      <c r="OBY93" s="3"/>
      <c r="OBZ93" s="3"/>
      <c r="OCA93" s="3"/>
      <c r="OCB93" s="3"/>
      <c r="OCC93" s="3"/>
      <c r="OCD93" s="3"/>
      <c r="OCE93" s="3"/>
      <c r="OCF93" s="3"/>
      <c r="OCG93" s="3"/>
      <c r="OCH93" s="3"/>
      <c r="OCI93" s="3"/>
      <c r="OCJ93" s="3"/>
      <c r="OCK93" s="3"/>
      <c r="OCL93" s="3"/>
      <c r="OCM93" s="3"/>
      <c r="OCN93" s="3"/>
      <c r="OCO93" s="3"/>
      <c r="OCP93" s="3"/>
      <c r="OCQ93" s="3"/>
      <c r="OCR93" s="3"/>
      <c r="OCS93" s="3"/>
      <c r="OCT93" s="3"/>
      <c r="OCU93" s="3"/>
      <c r="OCV93" s="3"/>
      <c r="OCW93" s="3"/>
      <c r="OCX93" s="3"/>
      <c r="OCY93" s="3"/>
      <c r="OCZ93" s="3"/>
      <c r="ODA93" s="3"/>
      <c r="ODB93" s="3"/>
      <c r="ODC93" s="3"/>
      <c r="ODD93" s="3"/>
      <c r="ODE93" s="3"/>
      <c r="ODF93" s="3"/>
      <c r="ODG93" s="3"/>
      <c r="ODH93" s="3"/>
      <c r="ODI93" s="3"/>
      <c r="ODJ93" s="3"/>
      <c r="ODK93" s="3"/>
      <c r="ODL93" s="3"/>
      <c r="ODM93" s="3"/>
      <c r="ODN93" s="3"/>
      <c r="ODO93" s="3"/>
      <c r="ODP93" s="3"/>
      <c r="ODQ93" s="3"/>
      <c r="ODR93" s="3"/>
      <c r="ODS93" s="3"/>
      <c r="ODT93" s="3"/>
      <c r="ODU93" s="3"/>
      <c r="ODV93" s="3"/>
      <c r="ODW93" s="3"/>
      <c r="ODX93" s="3"/>
      <c r="ODY93" s="3"/>
      <c r="ODZ93" s="3"/>
      <c r="OEA93" s="3"/>
      <c r="OEB93" s="3"/>
      <c r="OEC93" s="3"/>
      <c r="OED93" s="3"/>
      <c r="OEE93" s="3"/>
      <c r="OEF93" s="3"/>
      <c r="OEG93" s="3"/>
      <c r="OEH93" s="3"/>
      <c r="OEI93" s="3"/>
      <c r="OEJ93" s="3"/>
      <c r="OEK93" s="3"/>
      <c r="OEL93" s="3"/>
      <c r="OEM93" s="3"/>
      <c r="OEN93" s="3"/>
      <c r="OEO93" s="3"/>
      <c r="OEP93" s="3"/>
      <c r="OEQ93" s="3"/>
      <c r="OER93" s="3"/>
      <c r="OES93" s="3"/>
      <c r="OET93" s="3"/>
      <c r="OEU93" s="3"/>
      <c r="OEV93" s="3"/>
      <c r="OEW93" s="3"/>
      <c r="OEX93" s="3"/>
      <c r="OEY93" s="3"/>
      <c r="OEZ93" s="3"/>
      <c r="OFA93" s="3"/>
      <c r="OFB93" s="3"/>
      <c r="OFC93" s="3"/>
      <c r="OFD93" s="3"/>
      <c r="OFE93" s="3"/>
      <c r="OFF93" s="3"/>
      <c r="OFG93" s="3"/>
      <c r="OFH93" s="3"/>
      <c r="OFI93" s="3"/>
      <c r="OFJ93" s="3"/>
      <c r="OFK93" s="3"/>
      <c r="OFL93" s="3"/>
      <c r="OFM93" s="3"/>
      <c r="OFN93" s="3"/>
      <c r="OFO93" s="3"/>
      <c r="OFP93" s="3"/>
      <c r="OFQ93" s="3"/>
      <c r="OFR93" s="3"/>
      <c r="OFS93" s="3"/>
      <c r="OFT93" s="3"/>
      <c r="OFU93" s="3"/>
      <c r="OFV93" s="3"/>
      <c r="OFW93" s="3"/>
      <c r="OFX93" s="3"/>
      <c r="OFY93" s="3"/>
      <c r="OFZ93" s="3"/>
      <c r="OGA93" s="3"/>
      <c r="OGB93" s="3"/>
      <c r="OGC93" s="3"/>
      <c r="OGD93" s="3"/>
      <c r="OGE93" s="3"/>
      <c r="OGF93" s="3"/>
      <c r="OGG93" s="3"/>
      <c r="OGH93" s="3"/>
      <c r="OGI93" s="3"/>
      <c r="OGJ93" s="3"/>
      <c r="OGK93" s="3"/>
      <c r="OGL93" s="3"/>
      <c r="OGM93" s="3"/>
      <c r="OGN93" s="3"/>
      <c r="OGO93" s="3"/>
      <c r="OGP93" s="3"/>
      <c r="OGQ93" s="3"/>
      <c r="OGR93" s="3"/>
      <c r="OGS93" s="3"/>
      <c r="OGT93" s="3"/>
      <c r="OGU93" s="3"/>
      <c r="OGV93" s="3"/>
      <c r="OGW93" s="3"/>
      <c r="OGX93" s="3"/>
      <c r="OGY93" s="3"/>
      <c r="OGZ93" s="3"/>
      <c r="OHA93" s="3"/>
      <c r="OHB93" s="3"/>
      <c r="OHC93" s="3"/>
      <c r="OHD93" s="3"/>
      <c r="OHE93" s="3"/>
      <c r="OHF93" s="3"/>
      <c r="OHG93" s="3"/>
      <c r="OHH93" s="3"/>
      <c r="OHI93" s="3"/>
      <c r="OHJ93" s="3"/>
      <c r="OHK93" s="3"/>
      <c r="OHL93" s="3"/>
      <c r="OHM93" s="3"/>
      <c r="OHN93" s="3"/>
      <c r="OHO93" s="3"/>
      <c r="OHP93" s="3"/>
      <c r="OHQ93" s="3"/>
      <c r="OHR93" s="3"/>
      <c r="OHS93" s="3"/>
      <c r="OHT93" s="3"/>
      <c r="OHU93" s="3"/>
      <c r="OHV93" s="3"/>
      <c r="OHW93" s="3"/>
      <c r="OHX93" s="3"/>
      <c r="OHY93" s="3"/>
      <c r="OHZ93" s="3"/>
      <c r="OIA93" s="3"/>
      <c r="OIB93" s="3"/>
      <c r="OIC93" s="3"/>
      <c r="OID93" s="3"/>
      <c r="OIE93" s="3"/>
      <c r="OIF93" s="3"/>
      <c r="OIG93" s="3"/>
      <c r="OIH93" s="3"/>
      <c r="OII93" s="3"/>
      <c r="OIJ93" s="3"/>
      <c r="OIK93" s="3"/>
      <c r="OIL93" s="3"/>
      <c r="OIM93" s="3"/>
      <c r="OIN93" s="3"/>
      <c r="OIO93" s="3"/>
      <c r="OIP93" s="3"/>
      <c r="OIQ93" s="3"/>
      <c r="OIR93" s="3"/>
      <c r="OIS93" s="3"/>
      <c r="OIT93" s="3"/>
      <c r="OIU93" s="3"/>
      <c r="OIV93" s="3"/>
      <c r="OIW93" s="3"/>
      <c r="OIX93" s="3"/>
      <c r="OIY93" s="3"/>
      <c r="OIZ93" s="3"/>
      <c r="OJA93" s="3"/>
      <c r="OJB93" s="3"/>
      <c r="OJC93" s="3"/>
      <c r="OJD93" s="3"/>
      <c r="OJE93" s="3"/>
      <c r="OJF93" s="3"/>
      <c r="OJG93" s="3"/>
      <c r="OJH93" s="3"/>
      <c r="OJI93" s="3"/>
      <c r="OJJ93" s="3"/>
      <c r="OJK93" s="3"/>
      <c r="OJL93" s="3"/>
      <c r="OJM93" s="3"/>
      <c r="OJN93" s="3"/>
      <c r="OJO93" s="3"/>
      <c r="OJP93" s="3"/>
      <c r="OJQ93" s="3"/>
      <c r="OJR93" s="3"/>
      <c r="OJS93" s="3"/>
      <c r="OJT93" s="3"/>
      <c r="OJU93" s="3"/>
      <c r="OJV93" s="3"/>
      <c r="OJW93" s="3"/>
      <c r="OJX93" s="3"/>
      <c r="OJY93" s="3"/>
      <c r="OJZ93" s="3"/>
      <c r="OKA93" s="3"/>
      <c r="OKB93" s="3"/>
      <c r="OKC93" s="3"/>
      <c r="OKD93" s="3"/>
      <c r="OKE93" s="3"/>
      <c r="OKF93" s="3"/>
      <c r="OKG93" s="3"/>
      <c r="OKH93" s="3"/>
      <c r="OKI93" s="3"/>
      <c r="OKJ93" s="3"/>
      <c r="OKK93" s="3"/>
      <c r="OKL93" s="3"/>
      <c r="OKM93" s="3"/>
      <c r="OKN93" s="3"/>
      <c r="OKO93" s="3"/>
      <c r="OKP93" s="3"/>
      <c r="OKQ93" s="3"/>
      <c r="OKR93" s="3"/>
      <c r="OKS93" s="3"/>
      <c r="OKT93" s="3"/>
      <c r="OKU93" s="3"/>
      <c r="OKV93" s="3"/>
      <c r="OKW93" s="3"/>
      <c r="OKX93" s="3"/>
      <c r="OKY93" s="3"/>
      <c r="OKZ93" s="3"/>
      <c r="OLA93" s="3"/>
      <c r="OLB93" s="3"/>
      <c r="OLC93" s="3"/>
      <c r="OLD93" s="3"/>
      <c r="OLE93" s="3"/>
      <c r="OLF93" s="3"/>
      <c r="OLG93" s="3"/>
      <c r="OLH93" s="3"/>
      <c r="OLI93" s="3"/>
      <c r="OLJ93" s="3"/>
      <c r="OLK93" s="3"/>
      <c r="OLL93" s="3"/>
      <c r="OLM93" s="3"/>
      <c r="OLN93" s="3"/>
      <c r="OLO93" s="3"/>
      <c r="OLP93" s="3"/>
      <c r="OLQ93" s="3"/>
      <c r="OLR93" s="3"/>
      <c r="OLS93" s="3"/>
      <c r="OLT93" s="3"/>
      <c r="OLU93" s="3"/>
      <c r="OLV93" s="3"/>
      <c r="OLW93" s="3"/>
      <c r="OLX93" s="3"/>
      <c r="OLY93" s="3"/>
      <c r="OLZ93" s="3"/>
      <c r="OMA93" s="3"/>
      <c r="OMB93" s="3"/>
      <c r="OMC93" s="3"/>
      <c r="OMD93" s="3"/>
      <c r="OME93" s="3"/>
      <c r="OMF93" s="3"/>
      <c r="OMG93" s="3"/>
      <c r="OMH93" s="3"/>
      <c r="OMI93" s="3"/>
      <c r="OMJ93" s="3"/>
      <c r="OMK93" s="3"/>
      <c r="OML93" s="3"/>
      <c r="OMM93" s="3"/>
      <c r="OMN93" s="3"/>
      <c r="OMO93" s="3"/>
      <c r="OMP93" s="3"/>
      <c r="OMQ93" s="3"/>
      <c r="OMR93" s="3"/>
      <c r="OMS93" s="3"/>
      <c r="OMT93" s="3"/>
      <c r="OMU93" s="3"/>
      <c r="OMV93" s="3"/>
      <c r="OMW93" s="3"/>
      <c r="OMX93" s="3"/>
      <c r="OMY93" s="3"/>
      <c r="OMZ93" s="3"/>
      <c r="ONA93" s="3"/>
      <c r="ONB93" s="3"/>
      <c r="ONC93" s="3"/>
      <c r="OND93" s="3"/>
      <c r="ONE93" s="3"/>
      <c r="ONF93" s="3"/>
      <c r="ONG93" s="3"/>
      <c r="ONH93" s="3"/>
      <c r="ONI93" s="3"/>
      <c r="ONJ93" s="3"/>
      <c r="ONK93" s="3"/>
      <c r="ONL93" s="3"/>
      <c r="ONM93" s="3"/>
      <c r="ONN93" s="3"/>
      <c r="ONO93" s="3"/>
      <c r="ONP93" s="3"/>
      <c r="ONQ93" s="3"/>
      <c r="ONR93" s="3"/>
      <c r="ONS93" s="3"/>
      <c r="ONT93" s="3"/>
      <c r="ONU93" s="3"/>
      <c r="ONV93" s="3"/>
      <c r="ONW93" s="3"/>
      <c r="ONX93" s="3"/>
      <c r="ONY93" s="3"/>
      <c r="ONZ93" s="3"/>
      <c r="OOA93" s="3"/>
      <c r="OOB93" s="3"/>
      <c r="OOC93" s="3"/>
      <c r="OOD93" s="3"/>
      <c r="OOE93" s="3"/>
      <c r="OOF93" s="3"/>
      <c r="OOG93" s="3"/>
      <c r="OOH93" s="3"/>
      <c r="OOI93" s="3"/>
      <c r="OOJ93" s="3"/>
      <c r="OOK93" s="3"/>
      <c r="OOL93" s="3"/>
      <c r="OOM93" s="3"/>
      <c r="OON93" s="3"/>
      <c r="OOO93" s="3"/>
      <c r="OOP93" s="3"/>
      <c r="OOQ93" s="3"/>
      <c r="OOR93" s="3"/>
      <c r="OOS93" s="3"/>
      <c r="OOT93" s="3"/>
      <c r="OOU93" s="3"/>
      <c r="OOV93" s="3"/>
      <c r="OOW93" s="3"/>
      <c r="OOX93" s="3"/>
      <c r="OOY93" s="3"/>
      <c r="OOZ93" s="3"/>
      <c r="OPA93" s="3"/>
      <c r="OPB93" s="3"/>
      <c r="OPC93" s="3"/>
      <c r="OPD93" s="3"/>
      <c r="OPE93" s="3"/>
      <c r="OPF93" s="3"/>
      <c r="OPG93" s="3"/>
      <c r="OPH93" s="3"/>
      <c r="OPI93" s="3"/>
      <c r="OPJ93" s="3"/>
      <c r="OPK93" s="3"/>
      <c r="OPL93" s="3"/>
      <c r="OPM93" s="3"/>
      <c r="OPN93" s="3"/>
      <c r="OPO93" s="3"/>
      <c r="OPP93" s="3"/>
      <c r="OPQ93" s="3"/>
      <c r="OPR93" s="3"/>
      <c r="OPS93" s="3"/>
      <c r="OPT93" s="3"/>
      <c r="OPU93" s="3"/>
      <c r="OPV93" s="3"/>
      <c r="OPW93" s="3"/>
      <c r="OPX93" s="3"/>
      <c r="OPY93" s="3"/>
      <c r="OPZ93" s="3"/>
      <c r="OQA93" s="3"/>
      <c r="OQB93" s="3"/>
      <c r="OQC93" s="3"/>
      <c r="OQD93" s="3"/>
      <c r="OQE93" s="3"/>
      <c r="OQF93" s="3"/>
      <c r="OQG93" s="3"/>
      <c r="OQH93" s="3"/>
      <c r="OQI93" s="3"/>
      <c r="OQJ93" s="3"/>
      <c r="OQK93" s="3"/>
      <c r="OQL93" s="3"/>
      <c r="OQM93" s="3"/>
      <c r="OQN93" s="3"/>
      <c r="OQO93" s="3"/>
      <c r="OQP93" s="3"/>
      <c r="OQQ93" s="3"/>
      <c r="OQR93" s="3"/>
      <c r="OQS93" s="3"/>
      <c r="OQT93" s="3"/>
      <c r="OQU93" s="3"/>
      <c r="OQV93" s="3"/>
      <c r="OQW93" s="3"/>
      <c r="OQX93" s="3"/>
      <c r="OQY93" s="3"/>
      <c r="OQZ93" s="3"/>
      <c r="ORA93" s="3"/>
      <c r="ORB93" s="3"/>
      <c r="ORC93" s="3"/>
      <c r="ORD93" s="3"/>
      <c r="ORE93" s="3"/>
      <c r="ORF93" s="3"/>
      <c r="ORG93" s="3"/>
      <c r="ORH93" s="3"/>
      <c r="ORI93" s="3"/>
      <c r="ORJ93" s="3"/>
      <c r="ORK93" s="3"/>
      <c r="ORL93" s="3"/>
      <c r="ORM93" s="3"/>
      <c r="ORN93" s="3"/>
      <c r="ORO93" s="3"/>
      <c r="ORP93" s="3"/>
      <c r="ORQ93" s="3"/>
      <c r="ORR93" s="3"/>
      <c r="ORS93" s="3"/>
      <c r="ORT93" s="3"/>
      <c r="ORU93" s="3"/>
      <c r="ORV93" s="3"/>
      <c r="ORW93" s="3"/>
      <c r="ORX93" s="3"/>
      <c r="ORY93" s="3"/>
      <c r="ORZ93" s="3"/>
      <c r="OSA93" s="3"/>
      <c r="OSB93" s="3"/>
      <c r="OSC93" s="3"/>
      <c r="OSD93" s="3"/>
      <c r="OSE93" s="3"/>
      <c r="OSF93" s="3"/>
      <c r="OSG93" s="3"/>
      <c r="OSH93" s="3"/>
      <c r="OSI93" s="3"/>
      <c r="OSJ93" s="3"/>
      <c r="OSK93" s="3"/>
      <c r="OSL93" s="3"/>
      <c r="OSM93" s="3"/>
      <c r="OSN93" s="3"/>
      <c r="OSO93" s="3"/>
      <c r="OSP93" s="3"/>
      <c r="OSQ93" s="3"/>
      <c r="OSR93" s="3"/>
      <c r="OSS93" s="3"/>
      <c r="OST93" s="3"/>
      <c r="OSU93" s="3"/>
      <c r="OSV93" s="3"/>
      <c r="OSW93" s="3"/>
      <c r="OSX93" s="3"/>
      <c r="OSY93" s="3"/>
      <c r="OSZ93" s="3"/>
      <c r="OTA93" s="3"/>
      <c r="OTB93" s="3"/>
      <c r="OTC93" s="3"/>
      <c r="OTD93" s="3"/>
      <c r="OTE93" s="3"/>
      <c r="OTF93" s="3"/>
      <c r="OTG93" s="3"/>
      <c r="OTH93" s="3"/>
      <c r="OTI93" s="3"/>
      <c r="OTJ93" s="3"/>
      <c r="OTK93" s="3"/>
      <c r="OTL93" s="3"/>
      <c r="OTM93" s="3"/>
      <c r="OTN93" s="3"/>
      <c r="OTO93" s="3"/>
      <c r="OTP93" s="3"/>
      <c r="OTQ93" s="3"/>
      <c r="OTR93" s="3"/>
      <c r="OTS93" s="3"/>
      <c r="OTT93" s="3"/>
      <c r="OTU93" s="3"/>
      <c r="OTV93" s="3"/>
      <c r="OTW93" s="3"/>
      <c r="OTX93" s="3"/>
      <c r="OTY93" s="3"/>
      <c r="OTZ93" s="3"/>
      <c r="OUA93" s="3"/>
      <c r="OUB93" s="3"/>
      <c r="OUC93" s="3"/>
      <c r="OUD93" s="3"/>
      <c r="OUE93" s="3"/>
      <c r="OUF93" s="3"/>
      <c r="OUG93" s="3"/>
      <c r="OUH93" s="3"/>
      <c r="OUI93" s="3"/>
      <c r="OUJ93" s="3"/>
      <c r="OUK93" s="3"/>
      <c r="OUL93" s="3"/>
      <c r="OUM93" s="3"/>
      <c r="OUN93" s="3"/>
      <c r="OUO93" s="3"/>
      <c r="OUP93" s="3"/>
      <c r="OUQ93" s="3"/>
      <c r="OUR93" s="3"/>
      <c r="OUS93" s="3"/>
      <c r="OUT93" s="3"/>
      <c r="OUU93" s="3"/>
      <c r="OUV93" s="3"/>
      <c r="OUW93" s="3"/>
      <c r="OUX93" s="3"/>
      <c r="OUY93" s="3"/>
      <c r="OUZ93" s="3"/>
      <c r="OVA93" s="3"/>
      <c r="OVB93" s="3"/>
      <c r="OVC93" s="3"/>
      <c r="OVD93" s="3"/>
      <c r="OVE93" s="3"/>
      <c r="OVF93" s="3"/>
      <c r="OVG93" s="3"/>
      <c r="OVH93" s="3"/>
      <c r="OVI93" s="3"/>
      <c r="OVJ93" s="3"/>
      <c r="OVK93" s="3"/>
      <c r="OVL93" s="3"/>
      <c r="OVM93" s="3"/>
      <c r="OVN93" s="3"/>
      <c r="OVO93" s="3"/>
      <c r="OVP93" s="3"/>
      <c r="OVQ93" s="3"/>
      <c r="OVR93" s="3"/>
      <c r="OVS93" s="3"/>
      <c r="OVT93" s="3"/>
      <c r="OVU93" s="3"/>
      <c r="OVV93" s="3"/>
      <c r="OVW93" s="3"/>
      <c r="OVX93" s="3"/>
      <c r="OVY93" s="3"/>
      <c r="OVZ93" s="3"/>
      <c r="OWA93" s="3"/>
      <c r="OWB93" s="3"/>
      <c r="OWC93" s="3"/>
      <c r="OWD93" s="3"/>
      <c r="OWE93" s="3"/>
      <c r="OWF93" s="3"/>
      <c r="OWG93" s="3"/>
      <c r="OWH93" s="3"/>
      <c r="OWI93" s="3"/>
      <c r="OWJ93" s="3"/>
      <c r="OWK93" s="3"/>
      <c r="OWL93" s="3"/>
      <c r="OWM93" s="3"/>
      <c r="OWN93" s="3"/>
      <c r="OWO93" s="3"/>
      <c r="OWP93" s="3"/>
      <c r="OWQ93" s="3"/>
      <c r="OWR93" s="3"/>
      <c r="OWS93" s="3"/>
      <c r="OWT93" s="3"/>
      <c r="OWU93" s="3"/>
      <c r="OWV93" s="3"/>
      <c r="OWW93" s="3"/>
      <c r="OWX93" s="3"/>
      <c r="OWY93" s="3"/>
      <c r="OWZ93" s="3"/>
      <c r="OXA93" s="3"/>
      <c r="OXB93" s="3"/>
      <c r="OXC93" s="3"/>
      <c r="OXD93" s="3"/>
      <c r="OXE93" s="3"/>
      <c r="OXF93" s="3"/>
      <c r="OXG93" s="3"/>
      <c r="OXH93" s="3"/>
      <c r="OXI93" s="3"/>
      <c r="OXJ93" s="3"/>
      <c r="OXK93" s="3"/>
      <c r="OXL93" s="3"/>
      <c r="OXM93" s="3"/>
      <c r="OXN93" s="3"/>
      <c r="OXO93" s="3"/>
      <c r="OXP93" s="3"/>
      <c r="OXQ93" s="3"/>
      <c r="OXR93" s="3"/>
      <c r="OXS93" s="3"/>
      <c r="OXT93" s="3"/>
      <c r="OXU93" s="3"/>
      <c r="OXV93" s="3"/>
      <c r="OXW93" s="3"/>
      <c r="OXX93" s="3"/>
      <c r="OXY93" s="3"/>
      <c r="OXZ93" s="3"/>
      <c r="OYA93" s="3"/>
      <c r="OYB93" s="3"/>
      <c r="OYC93" s="3"/>
      <c r="OYD93" s="3"/>
      <c r="OYE93" s="3"/>
      <c r="OYF93" s="3"/>
      <c r="OYG93" s="3"/>
      <c r="OYH93" s="3"/>
      <c r="OYI93" s="3"/>
      <c r="OYJ93" s="3"/>
      <c r="OYK93" s="3"/>
      <c r="OYL93" s="3"/>
      <c r="OYM93" s="3"/>
      <c r="OYN93" s="3"/>
      <c r="OYO93" s="3"/>
      <c r="OYP93" s="3"/>
      <c r="OYQ93" s="3"/>
      <c r="OYR93" s="3"/>
      <c r="OYS93" s="3"/>
      <c r="OYT93" s="3"/>
      <c r="OYU93" s="3"/>
      <c r="OYV93" s="3"/>
      <c r="OYW93" s="3"/>
      <c r="OYX93" s="3"/>
      <c r="OYY93" s="3"/>
      <c r="OYZ93" s="3"/>
      <c r="OZA93" s="3"/>
      <c r="OZB93" s="3"/>
      <c r="OZC93" s="3"/>
      <c r="OZD93" s="3"/>
      <c r="OZE93" s="3"/>
      <c r="OZF93" s="3"/>
      <c r="OZG93" s="3"/>
      <c r="OZH93" s="3"/>
      <c r="OZI93" s="3"/>
      <c r="OZJ93" s="3"/>
      <c r="OZK93" s="3"/>
      <c r="OZL93" s="3"/>
      <c r="OZM93" s="3"/>
      <c r="OZN93" s="3"/>
      <c r="OZO93" s="3"/>
      <c r="OZP93" s="3"/>
      <c r="OZQ93" s="3"/>
      <c r="OZR93" s="3"/>
      <c r="OZS93" s="3"/>
      <c r="OZT93" s="3"/>
      <c r="OZU93" s="3"/>
      <c r="OZV93" s="3"/>
      <c r="OZW93" s="3"/>
      <c r="OZX93" s="3"/>
      <c r="OZY93" s="3"/>
      <c r="OZZ93" s="3"/>
      <c r="PAA93" s="3"/>
      <c r="PAB93" s="3"/>
      <c r="PAC93" s="3"/>
      <c r="PAD93" s="3"/>
      <c r="PAE93" s="3"/>
      <c r="PAF93" s="3"/>
      <c r="PAG93" s="3"/>
      <c r="PAH93" s="3"/>
      <c r="PAI93" s="3"/>
      <c r="PAJ93" s="3"/>
      <c r="PAK93" s="3"/>
      <c r="PAL93" s="3"/>
      <c r="PAM93" s="3"/>
      <c r="PAN93" s="3"/>
      <c r="PAO93" s="3"/>
      <c r="PAP93" s="3"/>
      <c r="PAQ93" s="3"/>
      <c r="PAR93" s="3"/>
      <c r="PAS93" s="3"/>
      <c r="PAT93" s="3"/>
      <c r="PAU93" s="3"/>
      <c r="PAV93" s="3"/>
      <c r="PAW93" s="3"/>
      <c r="PAX93" s="3"/>
      <c r="PAY93" s="3"/>
      <c r="PAZ93" s="3"/>
      <c r="PBA93" s="3"/>
      <c r="PBB93" s="3"/>
      <c r="PBC93" s="3"/>
      <c r="PBD93" s="3"/>
      <c r="PBE93" s="3"/>
      <c r="PBF93" s="3"/>
      <c r="PBG93" s="3"/>
      <c r="PBH93" s="3"/>
      <c r="PBI93" s="3"/>
      <c r="PBJ93" s="3"/>
      <c r="PBK93" s="3"/>
      <c r="PBL93" s="3"/>
      <c r="PBM93" s="3"/>
      <c r="PBN93" s="3"/>
      <c r="PBO93" s="3"/>
      <c r="PBP93" s="3"/>
      <c r="PBQ93" s="3"/>
      <c r="PBR93" s="3"/>
      <c r="PBS93" s="3"/>
      <c r="PBT93" s="3"/>
      <c r="PBU93" s="3"/>
      <c r="PBV93" s="3"/>
      <c r="PBW93" s="3"/>
      <c r="PBX93" s="3"/>
      <c r="PBY93" s="3"/>
      <c r="PBZ93" s="3"/>
      <c r="PCA93" s="3"/>
      <c r="PCB93" s="3"/>
      <c r="PCC93" s="3"/>
      <c r="PCD93" s="3"/>
      <c r="PCE93" s="3"/>
      <c r="PCF93" s="3"/>
      <c r="PCG93" s="3"/>
      <c r="PCH93" s="3"/>
      <c r="PCI93" s="3"/>
      <c r="PCJ93" s="3"/>
      <c r="PCK93" s="3"/>
      <c r="PCL93" s="3"/>
      <c r="PCM93" s="3"/>
      <c r="PCN93" s="3"/>
      <c r="PCO93" s="3"/>
      <c r="PCP93" s="3"/>
      <c r="PCQ93" s="3"/>
      <c r="PCR93" s="3"/>
      <c r="PCS93" s="3"/>
      <c r="PCT93" s="3"/>
      <c r="PCU93" s="3"/>
      <c r="PCV93" s="3"/>
      <c r="PCW93" s="3"/>
      <c r="PCX93" s="3"/>
      <c r="PCY93" s="3"/>
      <c r="PCZ93" s="3"/>
      <c r="PDA93" s="3"/>
      <c r="PDB93" s="3"/>
      <c r="PDC93" s="3"/>
      <c r="PDD93" s="3"/>
      <c r="PDE93" s="3"/>
      <c r="PDF93" s="3"/>
      <c r="PDG93" s="3"/>
      <c r="PDH93" s="3"/>
      <c r="PDI93" s="3"/>
      <c r="PDJ93" s="3"/>
      <c r="PDK93" s="3"/>
      <c r="PDL93" s="3"/>
      <c r="PDM93" s="3"/>
      <c r="PDN93" s="3"/>
      <c r="PDO93" s="3"/>
      <c r="PDP93" s="3"/>
      <c r="PDQ93" s="3"/>
      <c r="PDR93" s="3"/>
      <c r="PDS93" s="3"/>
      <c r="PDT93" s="3"/>
      <c r="PDU93" s="3"/>
      <c r="PDV93" s="3"/>
      <c r="PDW93" s="3"/>
      <c r="PDX93" s="3"/>
      <c r="PDY93" s="3"/>
      <c r="PDZ93" s="3"/>
      <c r="PEA93" s="3"/>
      <c r="PEB93" s="3"/>
      <c r="PEC93" s="3"/>
      <c r="PED93" s="3"/>
      <c r="PEE93" s="3"/>
      <c r="PEF93" s="3"/>
      <c r="PEG93" s="3"/>
      <c r="PEH93" s="3"/>
      <c r="PEI93" s="3"/>
      <c r="PEJ93" s="3"/>
      <c r="PEK93" s="3"/>
      <c r="PEL93" s="3"/>
      <c r="PEM93" s="3"/>
      <c r="PEN93" s="3"/>
      <c r="PEO93" s="3"/>
      <c r="PEP93" s="3"/>
      <c r="PEQ93" s="3"/>
      <c r="PER93" s="3"/>
      <c r="PES93" s="3"/>
      <c r="PET93" s="3"/>
      <c r="PEU93" s="3"/>
      <c r="PEV93" s="3"/>
      <c r="PEW93" s="3"/>
      <c r="PEX93" s="3"/>
      <c r="PEY93" s="3"/>
      <c r="PEZ93" s="3"/>
      <c r="PFA93" s="3"/>
      <c r="PFB93" s="3"/>
      <c r="PFC93" s="3"/>
      <c r="PFD93" s="3"/>
      <c r="PFE93" s="3"/>
      <c r="PFF93" s="3"/>
      <c r="PFG93" s="3"/>
      <c r="PFH93" s="3"/>
      <c r="PFI93" s="3"/>
      <c r="PFJ93" s="3"/>
      <c r="PFK93" s="3"/>
      <c r="PFL93" s="3"/>
      <c r="PFM93" s="3"/>
      <c r="PFN93" s="3"/>
      <c r="PFO93" s="3"/>
      <c r="PFP93" s="3"/>
      <c r="PFQ93" s="3"/>
      <c r="PFR93" s="3"/>
      <c r="PFS93" s="3"/>
      <c r="PFT93" s="3"/>
      <c r="PFU93" s="3"/>
      <c r="PFV93" s="3"/>
      <c r="PFW93" s="3"/>
      <c r="PFX93" s="3"/>
      <c r="PFY93" s="3"/>
      <c r="PFZ93" s="3"/>
      <c r="PGA93" s="3"/>
      <c r="PGB93" s="3"/>
      <c r="PGC93" s="3"/>
      <c r="PGD93" s="3"/>
      <c r="PGE93" s="3"/>
      <c r="PGF93" s="3"/>
      <c r="PGG93" s="3"/>
      <c r="PGH93" s="3"/>
      <c r="PGI93" s="3"/>
      <c r="PGJ93" s="3"/>
      <c r="PGK93" s="3"/>
      <c r="PGL93" s="3"/>
      <c r="PGM93" s="3"/>
      <c r="PGN93" s="3"/>
      <c r="PGO93" s="3"/>
      <c r="PGP93" s="3"/>
      <c r="PGQ93" s="3"/>
      <c r="PGR93" s="3"/>
      <c r="PGS93" s="3"/>
      <c r="PGT93" s="3"/>
      <c r="PGU93" s="3"/>
      <c r="PGV93" s="3"/>
      <c r="PGW93" s="3"/>
      <c r="PGX93" s="3"/>
      <c r="PGY93" s="3"/>
      <c r="PGZ93" s="3"/>
      <c r="PHA93" s="3"/>
      <c r="PHB93" s="3"/>
      <c r="PHC93" s="3"/>
      <c r="PHD93" s="3"/>
      <c r="PHE93" s="3"/>
      <c r="PHF93" s="3"/>
      <c r="PHG93" s="3"/>
      <c r="PHH93" s="3"/>
      <c r="PHI93" s="3"/>
      <c r="PHJ93" s="3"/>
      <c r="PHK93" s="3"/>
      <c r="PHL93" s="3"/>
      <c r="PHM93" s="3"/>
      <c r="PHN93" s="3"/>
      <c r="PHO93" s="3"/>
      <c r="PHP93" s="3"/>
      <c r="PHQ93" s="3"/>
      <c r="PHR93" s="3"/>
      <c r="PHS93" s="3"/>
      <c r="PHT93" s="3"/>
      <c r="PHU93" s="3"/>
      <c r="PHV93" s="3"/>
      <c r="PHW93" s="3"/>
      <c r="PHX93" s="3"/>
      <c r="PHY93" s="3"/>
      <c r="PHZ93" s="3"/>
      <c r="PIA93" s="3"/>
      <c r="PIB93" s="3"/>
      <c r="PIC93" s="3"/>
      <c r="PID93" s="3"/>
      <c r="PIE93" s="3"/>
      <c r="PIF93" s="3"/>
      <c r="PIG93" s="3"/>
      <c r="PIH93" s="3"/>
      <c r="PII93" s="3"/>
      <c r="PIJ93" s="3"/>
      <c r="PIK93" s="3"/>
      <c r="PIL93" s="3"/>
      <c r="PIM93" s="3"/>
      <c r="PIN93" s="3"/>
      <c r="PIO93" s="3"/>
      <c r="PIP93" s="3"/>
      <c r="PIQ93" s="3"/>
      <c r="PIR93" s="3"/>
      <c r="PIS93" s="3"/>
      <c r="PIT93" s="3"/>
      <c r="PIU93" s="3"/>
      <c r="PIV93" s="3"/>
      <c r="PIW93" s="3"/>
      <c r="PIX93" s="3"/>
      <c r="PIY93" s="3"/>
      <c r="PIZ93" s="3"/>
      <c r="PJA93" s="3"/>
      <c r="PJB93" s="3"/>
      <c r="PJC93" s="3"/>
      <c r="PJD93" s="3"/>
      <c r="PJE93" s="3"/>
      <c r="PJF93" s="3"/>
      <c r="PJG93" s="3"/>
      <c r="PJH93" s="3"/>
      <c r="PJI93" s="3"/>
      <c r="PJJ93" s="3"/>
      <c r="PJK93" s="3"/>
      <c r="PJL93" s="3"/>
      <c r="PJM93" s="3"/>
      <c r="PJN93" s="3"/>
      <c r="PJO93" s="3"/>
      <c r="PJP93" s="3"/>
      <c r="PJQ93" s="3"/>
      <c r="PJR93" s="3"/>
      <c r="PJS93" s="3"/>
      <c r="PJT93" s="3"/>
      <c r="PJU93" s="3"/>
      <c r="PJV93" s="3"/>
      <c r="PJW93" s="3"/>
      <c r="PJX93" s="3"/>
      <c r="PJY93" s="3"/>
      <c r="PJZ93" s="3"/>
      <c r="PKA93" s="3"/>
      <c r="PKB93" s="3"/>
      <c r="PKC93" s="3"/>
      <c r="PKD93" s="3"/>
      <c r="PKE93" s="3"/>
      <c r="PKF93" s="3"/>
      <c r="PKG93" s="3"/>
      <c r="PKH93" s="3"/>
      <c r="PKI93" s="3"/>
      <c r="PKJ93" s="3"/>
      <c r="PKK93" s="3"/>
      <c r="PKL93" s="3"/>
      <c r="PKM93" s="3"/>
      <c r="PKN93" s="3"/>
      <c r="PKO93" s="3"/>
      <c r="PKP93" s="3"/>
      <c r="PKQ93" s="3"/>
      <c r="PKR93" s="3"/>
      <c r="PKS93" s="3"/>
      <c r="PKT93" s="3"/>
      <c r="PKU93" s="3"/>
      <c r="PKV93" s="3"/>
      <c r="PKW93" s="3"/>
      <c r="PKX93" s="3"/>
      <c r="PKY93" s="3"/>
      <c r="PKZ93" s="3"/>
      <c r="PLA93" s="3"/>
      <c r="PLB93" s="3"/>
      <c r="PLC93" s="3"/>
      <c r="PLD93" s="3"/>
      <c r="PLE93" s="3"/>
      <c r="PLF93" s="3"/>
      <c r="PLG93" s="3"/>
      <c r="PLH93" s="3"/>
      <c r="PLI93" s="3"/>
      <c r="PLJ93" s="3"/>
      <c r="PLK93" s="3"/>
      <c r="PLL93" s="3"/>
      <c r="PLM93" s="3"/>
      <c r="PLN93" s="3"/>
      <c r="PLO93" s="3"/>
      <c r="PLP93" s="3"/>
      <c r="PLQ93" s="3"/>
      <c r="PLR93" s="3"/>
      <c r="PLS93" s="3"/>
      <c r="PLT93" s="3"/>
      <c r="PLU93" s="3"/>
      <c r="PLV93" s="3"/>
      <c r="PLW93" s="3"/>
      <c r="PLX93" s="3"/>
      <c r="PLY93" s="3"/>
      <c r="PLZ93" s="3"/>
      <c r="PMA93" s="3"/>
      <c r="PMB93" s="3"/>
      <c r="PMC93" s="3"/>
      <c r="PMD93" s="3"/>
      <c r="PME93" s="3"/>
      <c r="PMF93" s="3"/>
      <c r="PMG93" s="3"/>
      <c r="PMH93" s="3"/>
      <c r="PMI93" s="3"/>
      <c r="PMJ93" s="3"/>
      <c r="PMK93" s="3"/>
      <c r="PML93" s="3"/>
      <c r="PMM93" s="3"/>
      <c r="PMN93" s="3"/>
      <c r="PMO93" s="3"/>
      <c r="PMP93" s="3"/>
      <c r="PMQ93" s="3"/>
      <c r="PMR93" s="3"/>
      <c r="PMS93" s="3"/>
      <c r="PMT93" s="3"/>
      <c r="PMU93" s="3"/>
      <c r="PMV93" s="3"/>
      <c r="PMW93" s="3"/>
      <c r="PMX93" s="3"/>
      <c r="PMY93" s="3"/>
      <c r="PMZ93" s="3"/>
      <c r="PNA93" s="3"/>
      <c r="PNB93" s="3"/>
      <c r="PNC93" s="3"/>
      <c r="PND93" s="3"/>
      <c r="PNE93" s="3"/>
      <c r="PNF93" s="3"/>
      <c r="PNG93" s="3"/>
      <c r="PNH93" s="3"/>
      <c r="PNI93" s="3"/>
      <c r="PNJ93" s="3"/>
      <c r="PNK93" s="3"/>
      <c r="PNL93" s="3"/>
      <c r="PNM93" s="3"/>
      <c r="PNN93" s="3"/>
      <c r="PNO93" s="3"/>
      <c r="PNP93" s="3"/>
      <c r="PNQ93" s="3"/>
      <c r="PNR93" s="3"/>
      <c r="PNS93" s="3"/>
      <c r="PNT93" s="3"/>
      <c r="PNU93" s="3"/>
      <c r="PNV93" s="3"/>
      <c r="PNW93" s="3"/>
      <c r="PNX93" s="3"/>
      <c r="PNY93" s="3"/>
      <c r="PNZ93" s="3"/>
      <c r="POA93" s="3"/>
      <c r="POB93" s="3"/>
      <c r="POC93" s="3"/>
      <c r="POD93" s="3"/>
      <c r="POE93" s="3"/>
      <c r="POF93" s="3"/>
      <c r="POG93" s="3"/>
      <c r="POH93" s="3"/>
      <c r="POI93" s="3"/>
      <c r="POJ93" s="3"/>
      <c r="POK93" s="3"/>
      <c r="POL93" s="3"/>
      <c r="POM93" s="3"/>
      <c r="PON93" s="3"/>
      <c r="POO93" s="3"/>
      <c r="POP93" s="3"/>
      <c r="POQ93" s="3"/>
      <c r="POR93" s="3"/>
      <c r="POS93" s="3"/>
      <c r="POT93" s="3"/>
      <c r="POU93" s="3"/>
      <c r="POV93" s="3"/>
      <c r="POW93" s="3"/>
      <c r="POX93" s="3"/>
      <c r="POY93" s="3"/>
      <c r="POZ93" s="3"/>
      <c r="PPA93" s="3"/>
      <c r="PPB93" s="3"/>
      <c r="PPC93" s="3"/>
      <c r="PPD93" s="3"/>
      <c r="PPE93" s="3"/>
      <c r="PPF93" s="3"/>
      <c r="PPG93" s="3"/>
      <c r="PPH93" s="3"/>
      <c r="PPI93" s="3"/>
      <c r="PPJ93" s="3"/>
      <c r="PPK93" s="3"/>
      <c r="PPL93" s="3"/>
      <c r="PPM93" s="3"/>
      <c r="PPN93" s="3"/>
      <c r="PPO93" s="3"/>
      <c r="PPP93" s="3"/>
      <c r="PPQ93" s="3"/>
      <c r="PPR93" s="3"/>
      <c r="PPS93" s="3"/>
      <c r="PPT93" s="3"/>
      <c r="PPU93" s="3"/>
      <c r="PPV93" s="3"/>
      <c r="PPW93" s="3"/>
      <c r="PPX93" s="3"/>
      <c r="PPY93" s="3"/>
      <c r="PPZ93" s="3"/>
      <c r="PQA93" s="3"/>
      <c r="PQB93" s="3"/>
      <c r="PQC93" s="3"/>
      <c r="PQD93" s="3"/>
      <c r="PQE93" s="3"/>
      <c r="PQF93" s="3"/>
      <c r="PQG93" s="3"/>
      <c r="PQH93" s="3"/>
      <c r="PQI93" s="3"/>
      <c r="PQJ93" s="3"/>
      <c r="PQK93" s="3"/>
      <c r="PQL93" s="3"/>
      <c r="PQM93" s="3"/>
      <c r="PQN93" s="3"/>
      <c r="PQO93" s="3"/>
      <c r="PQP93" s="3"/>
      <c r="PQQ93" s="3"/>
      <c r="PQR93" s="3"/>
      <c r="PQS93" s="3"/>
      <c r="PQT93" s="3"/>
      <c r="PQU93" s="3"/>
      <c r="PQV93" s="3"/>
      <c r="PQW93" s="3"/>
      <c r="PQX93" s="3"/>
      <c r="PQY93" s="3"/>
      <c r="PQZ93" s="3"/>
      <c r="PRA93" s="3"/>
      <c r="PRB93" s="3"/>
      <c r="PRC93" s="3"/>
      <c r="PRD93" s="3"/>
      <c r="PRE93" s="3"/>
      <c r="PRF93" s="3"/>
      <c r="PRG93" s="3"/>
      <c r="PRH93" s="3"/>
      <c r="PRI93" s="3"/>
      <c r="PRJ93" s="3"/>
      <c r="PRK93" s="3"/>
      <c r="PRL93" s="3"/>
      <c r="PRM93" s="3"/>
      <c r="PRN93" s="3"/>
      <c r="PRO93" s="3"/>
      <c r="PRP93" s="3"/>
      <c r="PRQ93" s="3"/>
      <c r="PRR93" s="3"/>
      <c r="PRS93" s="3"/>
      <c r="PRT93" s="3"/>
      <c r="PRU93" s="3"/>
      <c r="PRV93" s="3"/>
      <c r="PRW93" s="3"/>
      <c r="PRX93" s="3"/>
      <c r="PRY93" s="3"/>
      <c r="PRZ93" s="3"/>
      <c r="PSA93" s="3"/>
      <c r="PSB93" s="3"/>
      <c r="PSC93" s="3"/>
      <c r="PSD93" s="3"/>
      <c r="PSE93" s="3"/>
      <c r="PSF93" s="3"/>
      <c r="PSG93" s="3"/>
      <c r="PSH93" s="3"/>
      <c r="PSI93" s="3"/>
      <c r="PSJ93" s="3"/>
      <c r="PSK93" s="3"/>
      <c r="PSL93" s="3"/>
      <c r="PSM93" s="3"/>
      <c r="PSN93" s="3"/>
      <c r="PSO93" s="3"/>
      <c r="PSP93" s="3"/>
      <c r="PSQ93" s="3"/>
      <c r="PSR93" s="3"/>
      <c r="PSS93" s="3"/>
      <c r="PST93" s="3"/>
      <c r="PSU93" s="3"/>
      <c r="PSV93" s="3"/>
      <c r="PSW93" s="3"/>
      <c r="PSX93" s="3"/>
      <c r="PSY93" s="3"/>
      <c r="PSZ93" s="3"/>
      <c r="PTA93" s="3"/>
      <c r="PTB93" s="3"/>
      <c r="PTC93" s="3"/>
      <c r="PTD93" s="3"/>
      <c r="PTE93" s="3"/>
      <c r="PTF93" s="3"/>
      <c r="PTG93" s="3"/>
      <c r="PTH93" s="3"/>
      <c r="PTI93" s="3"/>
      <c r="PTJ93" s="3"/>
      <c r="PTK93" s="3"/>
      <c r="PTL93" s="3"/>
      <c r="PTM93" s="3"/>
      <c r="PTN93" s="3"/>
      <c r="PTO93" s="3"/>
      <c r="PTP93" s="3"/>
      <c r="PTQ93" s="3"/>
      <c r="PTR93" s="3"/>
      <c r="PTS93" s="3"/>
      <c r="PTT93" s="3"/>
      <c r="PTU93" s="3"/>
      <c r="PTV93" s="3"/>
      <c r="PTW93" s="3"/>
      <c r="PTX93" s="3"/>
      <c r="PTY93" s="3"/>
      <c r="PTZ93" s="3"/>
      <c r="PUA93" s="3"/>
      <c r="PUB93" s="3"/>
      <c r="PUC93" s="3"/>
      <c r="PUD93" s="3"/>
      <c r="PUE93" s="3"/>
      <c r="PUF93" s="3"/>
      <c r="PUG93" s="3"/>
      <c r="PUH93" s="3"/>
      <c r="PUI93" s="3"/>
      <c r="PUJ93" s="3"/>
      <c r="PUK93" s="3"/>
      <c r="PUL93" s="3"/>
      <c r="PUM93" s="3"/>
      <c r="PUN93" s="3"/>
      <c r="PUO93" s="3"/>
      <c r="PUP93" s="3"/>
      <c r="PUQ93" s="3"/>
      <c r="PUR93" s="3"/>
      <c r="PUS93" s="3"/>
      <c r="PUT93" s="3"/>
      <c r="PUU93" s="3"/>
      <c r="PUV93" s="3"/>
      <c r="PUW93" s="3"/>
      <c r="PUX93" s="3"/>
      <c r="PUY93" s="3"/>
      <c r="PUZ93" s="3"/>
      <c r="PVA93" s="3"/>
      <c r="PVB93" s="3"/>
      <c r="PVC93" s="3"/>
      <c r="PVD93" s="3"/>
      <c r="PVE93" s="3"/>
      <c r="PVF93" s="3"/>
      <c r="PVG93" s="3"/>
      <c r="PVH93" s="3"/>
      <c r="PVI93" s="3"/>
      <c r="PVJ93" s="3"/>
      <c r="PVK93" s="3"/>
      <c r="PVL93" s="3"/>
      <c r="PVM93" s="3"/>
      <c r="PVN93" s="3"/>
      <c r="PVO93" s="3"/>
      <c r="PVP93" s="3"/>
      <c r="PVQ93" s="3"/>
      <c r="PVR93" s="3"/>
      <c r="PVS93" s="3"/>
      <c r="PVT93" s="3"/>
      <c r="PVU93" s="3"/>
      <c r="PVV93" s="3"/>
      <c r="PVW93" s="3"/>
      <c r="PVX93" s="3"/>
      <c r="PVY93" s="3"/>
      <c r="PVZ93" s="3"/>
      <c r="PWA93" s="3"/>
      <c r="PWB93" s="3"/>
      <c r="PWC93" s="3"/>
      <c r="PWD93" s="3"/>
      <c r="PWE93" s="3"/>
      <c r="PWF93" s="3"/>
      <c r="PWG93" s="3"/>
      <c r="PWH93" s="3"/>
      <c r="PWI93" s="3"/>
      <c r="PWJ93" s="3"/>
      <c r="PWK93" s="3"/>
      <c r="PWL93" s="3"/>
      <c r="PWM93" s="3"/>
      <c r="PWN93" s="3"/>
      <c r="PWO93" s="3"/>
      <c r="PWP93" s="3"/>
      <c r="PWQ93" s="3"/>
      <c r="PWR93" s="3"/>
      <c r="PWS93" s="3"/>
      <c r="PWT93" s="3"/>
      <c r="PWU93" s="3"/>
      <c r="PWV93" s="3"/>
      <c r="PWW93" s="3"/>
      <c r="PWX93" s="3"/>
      <c r="PWY93" s="3"/>
      <c r="PWZ93" s="3"/>
      <c r="PXA93" s="3"/>
      <c r="PXB93" s="3"/>
      <c r="PXC93" s="3"/>
      <c r="PXD93" s="3"/>
      <c r="PXE93" s="3"/>
      <c r="PXF93" s="3"/>
      <c r="PXG93" s="3"/>
      <c r="PXH93" s="3"/>
      <c r="PXI93" s="3"/>
      <c r="PXJ93" s="3"/>
      <c r="PXK93" s="3"/>
      <c r="PXL93" s="3"/>
      <c r="PXM93" s="3"/>
      <c r="PXN93" s="3"/>
      <c r="PXO93" s="3"/>
      <c r="PXP93" s="3"/>
      <c r="PXQ93" s="3"/>
      <c r="PXR93" s="3"/>
      <c r="PXS93" s="3"/>
      <c r="PXT93" s="3"/>
      <c r="PXU93" s="3"/>
      <c r="PXV93" s="3"/>
      <c r="PXW93" s="3"/>
      <c r="PXX93" s="3"/>
      <c r="PXY93" s="3"/>
      <c r="PXZ93" s="3"/>
      <c r="PYA93" s="3"/>
      <c r="PYB93" s="3"/>
      <c r="PYC93" s="3"/>
      <c r="PYD93" s="3"/>
      <c r="PYE93" s="3"/>
      <c r="PYF93" s="3"/>
      <c r="PYG93" s="3"/>
      <c r="PYH93" s="3"/>
      <c r="PYI93" s="3"/>
      <c r="PYJ93" s="3"/>
      <c r="PYK93" s="3"/>
      <c r="PYL93" s="3"/>
      <c r="PYM93" s="3"/>
      <c r="PYN93" s="3"/>
      <c r="PYO93" s="3"/>
      <c r="PYP93" s="3"/>
      <c r="PYQ93" s="3"/>
      <c r="PYR93" s="3"/>
      <c r="PYS93" s="3"/>
      <c r="PYT93" s="3"/>
      <c r="PYU93" s="3"/>
      <c r="PYV93" s="3"/>
      <c r="PYW93" s="3"/>
      <c r="PYX93" s="3"/>
      <c r="PYY93" s="3"/>
      <c r="PYZ93" s="3"/>
      <c r="PZA93" s="3"/>
      <c r="PZB93" s="3"/>
      <c r="PZC93" s="3"/>
      <c r="PZD93" s="3"/>
      <c r="PZE93" s="3"/>
      <c r="PZF93" s="3"/>
      <c r="PZG93" s="3"/>
      <c r="PZH93" s="3"/>
      <c r="PZI93" s="3"/>
      <c r="PZJ93" s="3"/>
      <c r="PZK93" s="3"/>
      <c r="PZL93" s="3"/>
      <c r="PZM93" s="3"/>
      <c r="PZN93" s="3"/>
      <c r="PZO93" s="3"/>
      <c r="PZP93" s="3"/>
      <c r="PZQ93" s="3"/>
      <c r="PZR93" s="3"/>
      <c r="PZS93" s="3"/>
      <c r="PZT93" s="3"/>
      <c r="PZU93" s="3"/>
      <c r="PZV93" s="3"/>
      <c r="PZW93" s="3"/>
      <c r="PZX93" s="3"/>
      <c r="PZY93" s="3"/>
      <c r="PZZ93" s="3"/>
      <c r="QAA93" s="3"/>
      <c r="QAB93" s="3"/>
      <c r="QAC93" s="3"/>
      <c r="QAD93" s="3"/>
      <c r="QAE93" s="3"/>
      <c r="QAF93" s="3"/>
      <c r="QAG93" s="3"/>
      <c r="QAH93" s="3"/>
      <c r="QAI93" s="3"/>
      <c r="QAJ93" s="3"/>
      <c r="QAK93" s="3"/>
      <c r="QAL93" s="3"/>
      <c r="QAM93" s="3"/>
      <c r="QAN93" s="3"/>
      <c r="QAO93" s="3"/>
      <c r="QAP93" s="3"/>
      <c r="QAQ93" s="3"/>
      <c r="QAR93" s="3"/>
      <c r="QAS93" s="3"/>
      <c r="QAT93" s="3"/>
      <c r="QAU93" s="3"/>
      <c r="QAV93" s="3"/>
      <c r="QAW93" s="3"/>
      <c r="QAX93" s="3"/>
      <c r="QAY93" s="3"/>
      <c r="QAZ93" s="3"/>
      <c r="QBA93" s="3"/>
      <c r="QBB93" s="3"/>
      <c r="QBC93" s="3"/>
      <c r="QBD93" s="3"/>
      <c r="QBE93" s="3"/>
      <c r="QBF93" s="3"/>
      <c r="QBG93" s="3"/>
      <c r="QBH93" s="3"/>
      <c r="QBI93" s="3"/>
      <c r="QBJ93" s="3"/>
      <c r="QBK93" s="3"/>
      <c r="QBL93" s="3"/>
      <c r="QBM93" s="3"/>
      <c r="QBN93" s="3"/>
      <c r="QBO93" s="3"/>
      <c r="QBP93" s="3"/>
      <c r="QBQ93" s="3"/>
      <c r="QBR93" s="3"/>
      <c r="QBS93" s="3"/>
      <c r="QBT93" s="3"/>
      <c r="QBU93" s="3"/>
      <c r="QBV93" s="3"/>
      <c r="QBW93" s="3"/>
      <c r="QBX93" s="3"/>
      <c r="QBY93" s="3"/>
      <c r="QBZ93" s="3"/>
      <c r="QCA93" s="3"/>
      <c r="QCB93" s="3"/>
      <c r="QCC93" s="3"/>
      <c r="QCD93" s="3"/>
      <c r="QCE93" s="3"/>
      <c r="QCF93" s="3"/>
      <c r="QCG93" s="3"/>
      <c r="QCH93" s="3"/>
      <c r="QCI93" s="3"/>
      <c r="QCJ93" s="3"/>
      <c r="QCK93" s="3"/>
      <c r="QCL93" s="3"/>
      <c r="QCM93" s="3"/>
      <c r="QCN93" s="3"/>
      <c r="QCO93" s="3"/>
      <c r="QCP93" s="3"/>
      <c r="QCQ93" s="3"/>
      <c r="QCR93" s="3"/>
      <c r="QCS93" s="3"/>
      <c r="QCT93" s="3"/>
      <c r="QCU93" s="3"/>
      <c r="QCV93" s="3"/>
      <c r="QCW93" s="3"/>
      <c r="QCX93" s="3"/>
      <c r="QCY93" s="3"/>
      <c r="QCZ93" s="3"/>
      <c r="QDA93" s="3"/>
      <c r="QDB93" s="3"/>
      <c r="QDC93" s="3"/>
      <c r="QDD93" s="3"/>
      <c r="QDE93" s="3"/>
      <c r="QDF93" s="3"/>
      <c r="QDG93" s="3"/>
      <c r="QDH93" s="3"/>
      <c r="QDI93" s="3"/>
      <c r="QDJ93" s="3"/>
      <c r="QDK93" s="3"/>
      <c r="QDL93" s="3"/>
      <c r="QDM93" s="3"/>
      <c r="QDN93" s="3"/>
      <c r="QDO93" s="3"/>
      <c r="QDP93" s="3"/>
      <c r="QDQ93" s="3"/>
      <c r="QDR93" s="3"/>
      <c r="QDS93" s="3"/>
      <c r="QDT93" s="3"/>
      <c r="QDU93" s="3"/>
      <c r="QDV93" s="3"/>
      <c r="QDW93" s="3"/>
      <c r="QDX93" s="3"/>
      <c r="QDY93" s="3"/>
      <c r="QDZ93" s="3"/>
      <c r="QEA93" s="3"/>
      <c r="QEB93" s="3"/>
      <c r="QEC93" s="3"/>
      <c r="QED93" s="3"/>
      <c r="QEE93" s="3"/>
      <c r="QEF93" s="3"/>
      <c r="QEG93" s="3"/>
      <c r="QEH93" s="3"/>
      <c r="QEI93" s="3"/>
      <c r="QEJ93" s="3"/>
      <c r="QEK93" s="3"/>
      <c r="QEL93" s="3"/>
      <c r="QEM93" s="3"/>
      <c r="QEN93" s="3"/>
      <c r="QEO93" s="3"/>
      <c r="QEP93" s="3"/>
      <c r="QEQ93" s="3"/>
      <c r="QER93" s="3"/>
      <c r="QES93" s="3"/>
      <c r="QET93" s="3"/>
      <c r="QEU93" s="3"/>
      <c r="QEV93" s="3"/>
      <c r="QEW93" s="3"/>
      <c r="QEX93" s="3"/>
      <c r="QEY93" s="3"/>
      <c r="QEZ93" s="3"/>
      <c r="QFA93" s="3"/>
      <c r="QFB93" s="3"/>
      <c r="QFC93" s="3"/>
      <c r="QFD93" s="3"/>
      <c r="QFE93" s="3"/>
      <c r="QFF93" s="3"/>
      <c r="QFG93" s="3"/>
      <c r="QFH93" s="3"/>
      <c r="QFI93" s="3"/>
      <c r="QFJ93" s="3"/>
      <c r="QFK93" s="3"/>
      <c r="QFL93" s="3"/>
      <c r="QFM93" s="3"/>
      <c r="QFN93" s="3"/>
      <c r="QFO93" s="3"/>
      <c r="QFP93" s="3"/>
      <c r="QFQ93" s="3"/>
      <c r="QFR93" s="3"/>
      <c r="QFS93" s="3"/>
      <c r="QFT93" s="3"/>
      <c r="QFU93" s="3"/>
      <c r="QFV93" s="3"/>
      <c r="QFW93" s="3"/>
      <c r="QFX93" s="3"/>
      <c r="QFY93" s="3"/>
      <c r="QFZ93" s="3"/>
      <c r="QGA93" s="3"/>
      <c r="QGB93" s="3"/>
      <c r="QGC93" s="3"/>
      <c r="QGD93" s="3"/>
      <c r="QGE93" s="3"/>
      <c r="QGF93" s="3"/>
      <c r="QGG93" s="3"/>
      <c r="QGH93" s="3"/>
      <c r="QGI93" s="3"/>
      <c r="QGJ93" s="3"/>
      <c r="QGK93" s="3"/>
      <c r="QGL93" s="3"/>
      <c r="QGM93" s="3"/>
      <c r="QGN93" s="3"/>
      <c r="QGO93" s="3"/>
      <c r="QGP93" s="3"/>
      <c r="QGQ93" s="3"/>
      <c r="QGR93" s="3"/>
      <c r="QGS93" s="3"/>
      <c r="QGT93" s="3"/>
      <c r="QGU93" s="3"/>
      <c r="QGV93" s="3"/>
      <c r="QGW93" s="3"/>
      <c r="QGX93" s="3"/>
      <c r="QGY93" s="3"/>
      <c r="QGZ93" s="3"/>
      <c r="QHA93" s="3"/>
      <c r="QHB93" s="3"/>
      <c r="QHC93" s="3"/>
      <c r="QHD93" s="3"/>
      <c r="QHE93" s="3"/>
      <c r="QHF93" s="3"/>
      <c r="QHG93" s="3"/>
      <c r="QHH93" s="3"/>
      <c r="QHI93" s="3"/>
      <c r="QHJ93" s="3"/>
      <c r="QHK93" s="3"/>
      <c r="QHL93" s="3"/>
      <c r="QHM93" s="3"/>
      <c r="QHN93" s="3"/>
      <c r="QHO93" s="3"/>
      <c r="QHP93" s="3"/>
      <c r="QHQ93" s="3"/>
      <c r="QHR93" s="3"/>
      <c r="QHS93" s="3"/>
      <c r="QHT93" s="3"/>
      <c r="QHU93" s="3"/>
      <c r="QHV93" s="3"/>
      <c r="QHW93" s="3"/>
      <c r="QHX93" s="3"/>
      <c r="QHY93" s="3"/>
      <c r="QHZ93" s="3"/>
      <c r="QIA93" s="3"/>
      <c r="QIB93" s="3"/>
      <c r="QIC93" s="3"/>
      <c r="QID93" s="3"/>
      <c r="QIE93" s="3"/>
      <c r="QIF93" s="3"/>
      <c r="QIG93" s="3"/>
      <c r="QIH93" s="3"/>
      <c r="QII93" s="3"/>
      <c r="QIJ93" s="3"/>
      <c r="QIK93" s="3"/>
      <c r="QIL93" s="3"/>
      <c r="QIM93" s="3"/>
      <c r="QIN93" s="3"/>
      <c r="QIO93" s="3"/>
      <c r="QIP93" s="3"/>
      <c r="QIQ93" s="3"/>
      <c r="QIR93" s="3"/>
      <c r="QIS93" s="3"/>
      <c r="QIT93" s="3"/>
      <c r="QIU93" s="3"/>
      <c r="QIV93" s="3"/>
      <c r="QIW93" s="3"/>
      <c r="QIX93" s="3"/>
      <c r="QIY93" s="3"/>
      <c r="QIZ93" s="3"/>
      <c r="QJA93" s="3"/>
      <c r="QJB93" s="3"/>
      <c r="QJC93" s="3"/>
      <c r="QJD93" s="3"/>
      <c r="QJE93" s="3"/>
      <c r="QJF93" s="3"/>
      <c r="QJG93" s="3"/>
      <c r="QJH93" s="3"/>
      <c r="QJI93" s="3"/>
      <c r="QJJ93" s="3"/>
      <c r="QJK93" s="3"/>
      <c r="QJL93" s="3"/>
      <c r="QJM93" s="3"/>
      <c r="QJN93" s="3"/>
      <c r="QJO93" s="3"/>
      <c r="QJP93" s="3"/>
      <c r="QJQ93" s="3"/>
      <c r="QJR93" s="3"/>
      <c r="QJS93" s="3"/>
      <c r="QJT93" s="3"/>
      <c r="QJU93" s="3"/>
      <c r="QJV93" s="3"/>
      <c r="QJW93" s="3"/>
      <c r="QJX93" s="3"/>
      <c r="QJY93" s="3"/>
      <c r="QJZ93" s="3"/>
      <c r="QKA93" s="3"/>
      <c r="QKB93" s="3"/>
      <c r="QKC93" s="3"/>
      <c r="QKD93" s="3"/>
      <c r="QKE93" s="3"/>
      <c r="QKF93" s="3"/>
      <c r="QKG93" s="3"/>
      <c r="QKH93" s="3"/>
      <c r="QKI93" s="3"/>
      <c r="QKJ93" s="3"/>
      <c r="QKK93" s="3"/>
      <c r="QKL93" s="3"/>
      <c r="QKM93" s="3"/>
      <c r="QKN93" s="3"/>
      <c r="QKO93" s="3"/>
      <c r="QKP93" s="3"/>
      <c r="QKQ93" s="3"/>
      <c r="QKR93" s="3"/>
      <c r="QKS93" s="3"/>
      <c r="QKT93" s="3"/>
      <c r="QKU93" s="3"/>
      <c r="QKV93" s="3"/>
      <c r="QKW93" s="3"/>
      <c r="QKX93" s="3"/>
      <c r="QKY93" s="3"/>
      <c r="QKZ93" s="3"/>
      <c r="QLA93" s="3"/>
      <c r="QLB93" s="3"/>
      <c r="QLC93" s="3"/>
      <c r="QLD93" s="3"/>
      <c r="QLE93" s="3"/>
      <c r="QLF93" s="3"/>
      <c r="QLG93" s="3"/>
      <c r="QLH93" s="3"/>
      <c r="QLI93" s="3"/>
      <c r="QLJ93" s="3"/>
      <c r="QLK93" s="3"/>
      <c r="QLL93" s="3"/>
      <c r="QLM93" s="3"/>
      <c r="QLN93" s="3"/>
      <c r="QLO93" s="3"/>
      <c r="QLP93" s="3"/>
      <c r="QLQ93" s="3"/>
      <c r="QLR93" s="3"/>
      <c r="QLS93" s="3"/>
      <c r="QLT93" s="3"/>
      <c r="QLU93" s="3"/>
      <c r="QLV93" s="3"/>
      <c r="QLW93" s="3"/>
      <c r="QLX93" s="3"/>
      <c r="QLY93" s="3"/>
      <c r="QLZ93" s="3"/>
      <c r="QMA93" s="3"/>
      <c r="QMB93" s="3"/>
      <c r="QMC93" s="3"/>
      <c r="QMD93" s="3"/>
      <c r="QME93" s="3"/>
      <c r="QMF93" s="3"/>
      <c r="QMG93" s="3"/>
      <c r="QMH93" s="3"/>
      <c r="QMI93" s="3"/>
      <c r="QMJ93" s="3"/>
      <c r="QMK93" s="3"/>
      <c r="QML93" s="3"/>
      <c r="QMM93" s="3"/>
      <c r="QMN93" s="3"/>
      <c r="QMO93" s="3"/>
      <c r="QMP93" s="3"/>
      <c r="QMQ93" s="3"/>
      <c r="QMR93" s="3"/>
      <c r="QMS93" s="3"/>
      <c r="QMT93" s="3"/>
      <c r="QMU93" s="3"/>
      <c r="QMV93" s="3"/>
      <c r="QMW93" s="3"/>
      <c r="QMX93" s="3"/>
      <c r="QMY93" s="3"/>
      <c r="QMZ93" s="3"/>
      <c r="QNA93" s="3"/>
      <c r="QNB93" s="3"/>
      <c r="QNC93" s="3"/>
      <c r="QND93" s="3"/>
      <c r="QNE93" s="3"/>
      <c r="QNF93" s="3"/>
      <c r="QNG93" s="3"/>
      <c r="QNH93" s="3"/>
      <c r="QNI93" s="3"/>
      <c r="QNJ93" s="3"/>
      <c r="QNK93" s="3"/>
      <c r="QNL93" s="3"/>
      <c r="QNM93" s="3"/>
      <c r="QNN93" s="3"/>
      <c r="QNO93" s="3"/>
      <c r="QNP93" s="3"/>
      <c r="QNQ93" s="3"/>
      <c r="QNR93" s="3"/>
      <c r="QNS93" s="3"/>
      <c r="QNT93" s="3"/>
      <c r="QNU93" s="3"/>
      <c r="QNV93" s="3"/>
      <c r="QNW93" s="3"/>
      <c r="QNX93" s="3"/>
      <c r="QNY93" s="3"/>
      <c r="QNZ93" s="3"/>
      <c r="QOA93" s="3"/>
      <c r="QOB93" s="3"/>
      <c r="QOC93" s="3"/>
      <c r="QOD93" s="3"/>
      <c r="QOE93" s="3"/>
      <c r="QOF93" s="3"/>
      <c r="QOG93" s="3"/>
      <c r="QOH93" s="3"/>
      <c r="QOI93" s="3"/>
      <c r="QOJ93" s="3"/>
      <c r="QOK93" s="3"/>
      <c r="QOL93" s="3"/>
      <c r="QOM93" s="3"/>
      <c r="QON93" s="3"/>
      <c r="QOO93" s="3"/>
      <c r="QOP93" s="3"/>
      <c r="QOQ93" s="3"/>
      <c r="QOR93" s="3"/>
      <c r="QOS93" s="3"/>
      <c r="QOT93" s="3"/>
      <c r="QOU93" s="3"/>
      <c r="QOV93" s="3"/>
      <c r="QOW93" s="3"/>
      <c r="QOX93" s="3"/>
      <c r="QOY93" s="3"/>
      <c r="QOZ93" s="3"/>
      <c r="QPA93" s="3"/>
      <c r="QPB93" s="3"/>
      <c r="QPC93" s="3"/>
      <c r="QPD93" s="3"/>
      <c r="QPE93" s="3"/>
      <c r="QPF93" s="3"/>
      <c r="QPG93" s="3"/>
      <c r="QPH93" s="3"/>
      <c r="QPI93" s="3"/>
      <c r="QPJ93" s="3"/>
      <c r="QPK93" s="3"/>
      <c r="QPL93" s="3"/>
      <c r="QPM93" s="3"/>
      <c r="QPN93" s="3"/>
      <c r="QPO93" s="3"/>
      <c r="QPP93" s="3"/>
      <c r="QPQ93" s="3"/>
      <c r="QPR93" s="3"/>
      <c r="QPS93" s="3"/>
      <c r="QPT93" s="3"/>
      <c r="QPU93" s="3"/>
      <c r="QPV93" s="3"/>
      <c r="QPW93" s="3"/>
      <c r="QPX93" s="3"/>
      <c r="QPY93" s="3"/>
      <c r="QPZ93" s="3"/>
      <c r="QQA93" s="3"/>
      <c r="QQB93" s="3"/>
      <c r="QQC93" s="3"/>
      <c r="QQD93" s="3"/>
      <c r="QQE93" s="3"/>
      <c r="QQF93" s="3"/>
      <c r="QQG93" s="3"/>
      <c r="QQH93" s="3"/>
      <c r="QQI93" s="3"/>
      <c r="QQJ93" s="3"/>
      <c r="QQK93" s="3"/>
      <c r="QQL93" s="3"/>
      <c r="QQM93" s="3"/>
      <c r="QQN93" s="3"/>
      <c r="QQO93" s="3"/>
      <c r="QQP93" s="3"/>
      <c r="QQQ93" s="3"/>
      <c r="QQR93" s="3"/>
      <c r="QQS93" s="3"/>
      <c r="QQT93" s="3"/>
      <c r="QQU93" s="3"/>
      <c r="QQV93" s="3"/>
      <c r="QQW93" s="3"/>
      <c r="QQX93" s="3"/>
      <c r="QQY93" s="3"/>
      <c r="QQZ93" s="3"/>
      <c r="QRA93" s="3"/>
      <c r="QRB93" s="3"/>
      <c r="QRC93" s="3"/>
      <c r="QRD93" s="3"/>
      <c r="QRE93" s="3"/>
      <c r="QRF93" s="3"/>
      <c r="QRG93" s="3"/>
      <c r="QRH93" s="3"/>
      <c r="QRI93" s="3"/>
      <c r="QRJ93" s="3"/>
      <c r="QRK93" s="3"/>
      <c r="QRL93" s="3"/>
      <c r="QRM93" s="3"/>
      <c r="QRN93" s="3"/>
      <c r="QRO93" s="3"/>
      <c r="QRP93" s="3"/>
      <c r="QRQ93" s="3"/>
      <c r="QRR93" s="3"/>
      <c r="QRS93" s="3"/>
      <c r="QRT93" s="3"/>
      <c r="QRU93" s="3"/>
      <c r="QRV93" s="3"/>
      <c r="QRW93" s="3"/>
      <c r="QRX93" s="3"/>
      <c r="QRY93" s="3"/>
      <c r="QRZ93" s="3"/>
      <c r="QSA93" s="3"/>
      <c r="QSB93" s="3"/>
      <c r="QSC93" s="3"/>
      <c r="QSD93" s="3"/>
      <c r="QSE93" s="3"/>
      <c r="QSF93" s="3"/>
      <c r="QSG93" s="3"/>
      <c r="QSH93" s="3"/>
      <c r="QSI93" s="3"/>
      <c r="QSJ93" s="3"/>
      <c r="QSK93" s="3"/>
      <c r="QSL93" s="3"/>
      <c r="QSM93" s="3"/>
      <c r="QSN93" s="3"/>
      <c r="QSO93" s="3"/>
      <c r="QSP93" s="3"/>
      <c r="QSQ93" s="3"/>
      <c r="QSR93" s="3"/>
      <c r="QSS93" s="3"/>
      <c r="QST93" s="3"/>
      <c r="QSU93" s="3"/>
      <c r="QSV93" s="3"/>
      <c r="QSW93" s="3"/>
      <c r="QSX93" s="3"/>
      <c r="QSY93" s="3"/>
      <c r="QSZ93" s="3"/>
      <c r="QTA93" s="3"/>
      <c r="QTB93" s="3"/>
      <c r="QTC93" s="3"/>
      <c r="QTD93" s="3"/>
      <c r="QTE93" s="3"/>
      <c r="QTF93" s="3"/>
      <c r="QTG93" s="3"/>
      <c r="QTH93" s="3"/>
      <c r="QTI93" s="3"/>
      <c r="QTJ93" s="3"/>
      <c r="QTK93" s="3"/>
      <c r="QTL93" s="3"/>
      <c r="QTM93" s="3"/>
      <c r="QTN93" s="3"/>
      <c r="QTO93" s="3"/>
      <c r="QTP93" s="3"/>
      <c r="QTQ93" s="3"/>
      <c r="QTR93" s="3"/>
      <c r="QTS93" s="3"/>
      <c r="QTT93" s="3"/>
      <c r="QTU93" s="3"/>
      <c r="QTV93" s="3"/>
      <c r="QTW93" s="3"/>
      <c r="QTX93" s="3"/>
      <c r="QTY93" s="3"/>
      <c r="QTZ93" s="3"/>
      <c r="QUA93" s="3"/>
      <c r="QUB93" s="3"/>
      <c r="QUC93" s="3"/>
      <c r="QUD93" s="3"/>
      <c r="QUE93" s="3"/>
      <c r="QUF93" s="3"/>
      <c r="QUG93" s="3"/>
      <c r="QUH93" s="3"/>
      <c r="QUI93" s="3"/>
      <c r="QUJ93" s="3"/>
      <c r="QUK93" s="3"/>
      <c r="QUL93" s="3"/>
      <c r="QUM93" s="3"/>
      <c r="QUN93" s="3"/>
      <c r="QUO93" s="3"/>
      <c r="QUP93" s="3"/>
      <c r="QUQ93" s="3"/>
      <c r="QUR93" s="3"/>
      <c r="QUS93" s="3"/>
      <c r="QUT93" s="3"/>
      <c r="QUU93" s="3"/>
      <c r="QUV93" s="3"/>
      <c r="QUW93" s="3"/>
      <c r="QUX93" s="3"/>
      <c r="QUY93" s="3"/>
      <c r="QUZ93" s="3"/>
      <c r="QVA93" s="3"/>
      <c r="QVB93" s="3"/>
      <c r="QVC93" s="3"/>
      <c r="QVD93" s="3"/>
      <c r="QVE93" s="3"/>
      <c r="QVF93" s="3"/>
      <c r="QVG93" s="3"/>
      <c r="QVH93" s="3"/>
      <c r="QVI93" s="3"/>
      <c r="QVJ93" s="3"/>
      <c r="QVK93" s="3"/>
      <c r="QVL93" s="3"/>
      <c r="QVM93" s="3"/>
      <c r="QVN93" s="3"/>
      <c r="QVO93" s="3"/>
      <c r="QVP93" s="3"/>
      <c r="QVQ93" s="3"/>
      <c r="QVR93" s="3"/>
      <c r="QVS93" s="3"/>
      <c r="QVT93" s="3"/>
      <c r="QVU93" s="3"/>
      <c r="QVV93" s="3"/>
      <c r="QVW93" s="3"/>
      <c r="QVX93" s="3"/>
      <c r="QVY93" s="3"/>
      <c r="QVZ93" s="3"/>
      <c r="QWA93" s="3"/>
      <c r="QWB93" s="3"/>
      <c r="QWC93" s="3"/>
      <c r="QWD93" s="3"/>
      <c r="QWE93" s="3"/>
      <c r="QWF93" s="3"/>
      <c r="QWG93" s="3"/>
      <c r="QWH93" s="3"/>
      <c r="QWI93" s="3"/>
      <c r="QWJ93" s="3"/>
      <c r="QWK93" s="3"/>
      <c r="QWL93" s="3"/>
      <c r="QWM93" s="3"/>
      <c r="QWN93" s="3"/>
      <c r="QWO93" s="3"/>
      <c r="QWP93" s="3"/>
      <c r="QWQ93" s="3"/>
      <c r="QWR93" s="3"/>
      <c r="QWS93" s="3"/>
      <c r="QWT93" s="3"/>
      <c r="QWU93" s="3"/>
      <c r="QWV93" s="3"/>
      <c r="QWW93" s="3"/>
      <c r="QWX93" s="3"/>
      <c r="QWY93" s="3"/>
      <c r="QWZ93" s="3"/>
      <c r="QXA93" s="3"/>
      <c r="QXB93" s="3"/>
      <c r="QXC93" s="3"/>
      <c r="QXD93" s="3"/>
      <c r="QXE93" s="3"/>
      <c r="QXF93" s="3"/>
      <c r="QXG93" s="3"/>
      <c r="QXH93" s="3"/>
      <c r="QXI93" s="3"/>
      <c r="QXJ93" s="3"/>
      <c r="QXK93" s="3"/>
      <c r="QXL93" s="3"/>
      <c r="QXM93" s="3"/>
      <c r="QXN93" s="3"/>
      <c r="QXO93" s="3"/>
      <c r="QXP93" s="3"/>
      <c r="QXQ93" s="3"/>
      <c r="QXR93" s="3"/>
      <c r="QXS93" s="3"/>
      <c r="QXT93" s="3"/>
      <c r="QXU93" s="3"/>
      <c r="QXV93" s="3"/>
      <c r="QXW93" s="3"/>
      <c r="QXX93" s="3"/>
      <c r="QXY93" s="3"/>
      <c r="QXZ93" s="3"/>
      <c r="QYA93" s="3"/>
      <c r="QYB93" s="3"/>
      <c r="QYC93" s="3"/>
      <c r="QYD93" s="3"/>
      <c r="QYE93" s="3"/>
      <c r="QYF93" s="3"/>
      <c r="QYG93" s="3"/>
      <c r="QYH93" s="3"/>
      <c r="QYI93" s="3"/>
      <c r="QYJ93" s="3"/>
      <c r="QYK93" s="3"/>
      <c r="QYL93" s="3"/>
      <c r="QYM93" s="3"/>
      <c r="QYN93" s="3"/>
      <c r="QYO93" s="3"/>
      <c r="QYP93" s="3"/>
      <c r="QYQ93" s="3"/>
      <c r="QYR93" s="3"/>
      <c r="QYS93" s="3"/>
      <c r="QYT93" s="3"/>
      <c r="QYU93" s="3"/>
      <c r="QYV93" s="3"/>
      <c r="QYW93" s="3"/>
      <c r="QYX93" s="3"/>
      <c r="QYY93" s="3"/>
      <c r="QYZ93" s="3"/>
      <c r="QZA93" s="3"/>
      <c r="QZB93" s="3"/>
      <c r="QZC93" s="3"/>
      <c r="QZD93" s="3"/>
      <c r="QZE93" s="3"/>
      <c r="QZF93" s="3"/>
      <c r="QZG93" s="3"/>
      <c r="QZH93" s="3"/>
      <c r="QZI93" s="3"/>
      <c r="QZJ93" s="3"/>
      <c r="QZK93" s="3"/>
      <c r="QZL93" s="3"/>
      <c r="QZM93" s="3"/>
      <c r="QZN93" s="3"/>
      <c r="QZO93" s="3"/>
      <c r="QZP93" s="3"/>
      <c r="QZQ93" s="3"/>
      <c r="QZR93" s="3"/>
      <c r="QZS93" s="3"/>
      <c r="QZT93" s="3"/>
      <c r="QZU93" s="3"/>
      <c r="QZV93" s="3"/>
      <c r="QZW93" s="3"/>
      <c r="QZX93" s="3"/>
      <c r="QZY93" s="3"/>
      <c r="QZZ93" s="3"/>
      <c r="RAA93" s="3"/>
      <c r="RAB93" s="3"/>
      <c r="RAC93" s="3"/>
      <c r="RAD93" s="3"/>
      <c r="RAE93" s="3"/>
      <c r="RAF93" s="3"/>
      <c r="RAG93" s="3"/>
      <c r="RAH93" s="3"/>
      <c r="RAI93" s="3"/>
      <c r="RAJ93" s="3"/>
      <c r="RAK93" s="3"/>
      <c r="RAL93" s="3"/>
      <c r="RAM93" s="3"/>
      <c r="RAN93" s="3"/>
      <c r="RAO93" s="3"/>
      <c r="RAP93" s="3"/>
      <c r="RAQ93" s="3"/>
      <c r="RAR93" s="3"/>
      <c r="RAS93" s="3"/>
      <c r="RAT93" s="3"/>
      <c r="RAU93" s="3"/>
      <c r="RAV93" s="3"/>
      <c r="RAW93" s="3"/>
      <c r="RAX93" s="3"/>
      <c r="RAY93" s="3"/>
      <c r="RAZ93" s="3"/>
      <c r="RBA93" s="3"/>
      <c r="RBB93" s="3"/>
      <c r="RBC93" s="3"/>
      <c r="RBD93" s="3"/>
      <c r="RBE93" s="3"/>
      <c r="RBF93" s="3"/>
      <c r="RBG93" s="3"/>
      <c r="RBH93" s="3"/>
      <c r="RBI93" s="3"/>
      <c r="RBJ93" s="3"/>
      <c r="RBK93" s="3"/>
      <c r="RBL93" s="3"/>
      <c r="RBM93" s="3"/>
      <c r="RBN93" s="3"/>
      <c r="RBO93" s="3"/>
      <c r="RBP93" s="3"/>
      <c r="RBQ93" s="3"/>
      <c r="RBR93" s="3"/>
      <c r="RBS93" s="3"/>
      <c r="RBT93" s="3"/>
      <c r="RBU93" s="3"/>
      <c r="RBV93" s="3"/>
      <c r="RBW93" s="3"/>
      <c r="RBX93" s="3"/>
      <c r="RBY93" s="3"/>
      <c r="RBZ93" s="3"/>
      <c r="RCA93" s="3"/>
      <c r="RCB93" s="3"/>
      <c r="RCC93" s="3"/>
      <c r="RCD93" s="3"/>
      <c r="RCE93" s="3"/>
      <c r="RCF93" s="3"/>
      <c r="RCG93" s="3"/>
      <c r="RCH93" s="3"/>
      <c r="RCI93" s="3"/>
      <c r="RCJ93" s="3"/>
      <c r="RCK93" s="3"/>
      <c r="RCL93" s="3"/>
      <c r="RCM93" s="3"/>
      <c r="RCN93" s="3"/>
      <c r="RCO93" s="3"/>
      <c r="RCP93" s="3"/>
      <c r="RCQ93" s="3"/>
      <c r="RCR93" s="3"/>
      <c r="RCS93" s="3"/>
      <c r="RCT93" s="3"/>
      <c r="RCU93" s="3"/>
      <c r="RCV93" s="3"/>
      <c r="RCW93" s="3"/>
      <c r="RCX93" s="3"/>
      <c r="RCY93" s="3"/>
      <c r="RCZ93" s="3"/>
      <c r="RDA93" s="3"/>
      <c r="RDB93" s="3"/>
      <c r="RDC93" s="3"/>
      <c r="RDD93" s="3"/>
      <c r="RDE93" s="3"/>
      <c r="RDF93" s="3"/>
      <c r="RDG93" s="3"/>
      <c r="RDH93" s="3"/>
      <c r="RDI93" s="3"/>
      <c r="RDJ93" s="3"/>
      <c r="RDK93" s="3"/>
      <c r="RDL93" s="3"/>
      <c r="RDM93" s="3"/>
      <c r="RDN93" s="3"/>
      <c r="RDO93" s="3"/>
      <c r="RDP93" s="3"/>
      <c r="RDQ93" s="3"/>
      <c r="RDR93" s="3"/>
      <c r="RDS93" s="3"/>
      <c r="RDT93" s="3"/>
      <c r="RDU93" s="3"/>
      <c r="RDV93" s="3"/>
      <c r="RDW93" s="3"/>
      <c r="RDX93" s="3"/>
      <c r="RDY93" s="3"/>
      <c r="RDZ93" s="3"/>
      <c r="REA93" s="3"/>
      <c r="REB93" s="3"/>
      <c r="REC93" s="3"/>
      <c r="RED93" s="3"/>
      <c r="REE93" s="3"/>
      <c r="REF93" s="3"/>
      <c r="REG93" s="3"/>
      <c r="REH93" s="3"/>
      <c r="REI93" s="3"/>
      <c r="REJ93" s="3"/>
      <c r="REK93" s="3"/>
      <c r="REL93" s="3"/>
      <c r="REM93" s="3"/>
      <c r="REN93" s="3"/>
      <c r="REO93" s="3"/>
      <c r="REP93" s="3"/>
      <c r="REQ93" s="3"/>
      <c r="RER93" s="3"/>
      <c r="RES93" s="3"/>
      <c r="RET93" s="3"/>
      <c r="REU93" s="3"/>
      <c r="REV93" s="3"/>
      <c r="REW93" s="3"/>
      <c r="REX93" s="3"/>
      <c r="REY93" s="3"/>
      <c r="REZ93" s="3"/>
      <c r="RFA93" s="3"/>
      <c r="RFB93" s="3"/>
      <c r="RFC93" s="3"/>
      <c r="RFD93" s="3"/>
      <c r="RFE93" s="3"/>
      <c r="RFF93" s="3"/>
      <c r="RFG93" s="3"/>
      <c r="RFH93" s="3"/>
      <c r="RFI93" s="3"/>
      <c r="RFJ93" s="3"/>
      <c r="RFK93" s="3"/>
      <c r="RFL93" s="3"/>
      <c r="RFM93" s="3"/>
      <c r="RFN93" s="3"/>
      <c r="RFO93" s="3"/>
      <c r="RFP93" s="3"/>
      <c r="RFQ93" s="3"/>
      <c r="RFR93" s="3"/>
      <c r="RFS93" s="3"/>
      <c r="RFT93" s="3"/>
      <c r="RFU93" s="3"/>
      <c r="RFV93" s="3"/>
      <c r="RFW93" s="3"/>
      <c r="RFX93" s="3"/>
      <c r="RFY93" s="3"/>
      <c r="RFZ93" s="3"/>
      <c r="RGA93" s="3"/>
      <c r="RGB93" s="3"/>
      <c r="RGC93" s="3"/>
      <c r="RGD93" s="3"/>
      <c r="RGE93" s="3"/>
      <c r="RGF93" s="3"/>
      <c r="RGG93" s="3"/>
      <c r="RGH93" s="3"/>
      <c r="RGI93" s="3"/>
      <c r="RGJ93" s="3"/>
      <c r="RGK93" s="3"/>
      <c r="RGL93" s="3"/>
      <c r="RGM93" s="3"/>
      <c r="RGN93" s="3"/>
      <c r="RGO93" s="3"/>
      <c r="RGP93" s="3"/>
      <c r="RGQ93" s="3"/>
      <c r="RGR93" s="3"/>
      <c r="RGS93" s="3"/>
      <c r="RGT93" s="3"/>
      <c r="RGU93" s="3"/>
      <c r="RGV93" s="3"/>
      <c r="RGW93" s="3"/>
      <c r="RGX93" s="3"/>
      <c r="RGY93" s="3"/>
      <c r="RGZ93" s="3"/>
      <c r="RHA93" s="3"/>
      <c r="RHB93" s="3"/>
      <c r="RHC93" s="3"/>
      <c r="RHD93" s="3"/>
      <c r="RHE93" s="3"/>
      <c r="RHF93" s="3"/>
      <c r="RHG93" s="3"/>
      <c r="RHH93" s="3"/>
      <c r="RHI93" s="3"/>
      <c r="RHJ93" s="3"/>
      <c r="RHK93" s="3"/>
      <c r="RHL93" s="3"/>
      <c r="RHM93" s="3"/>
      <c r="RHN93" s="3"/>
      <c r="RHO93" s="3"/>
      <c r="RHP93" s="3"/>
      <c r="RHQ93" s="3"/>
      <c r="RHR93" s="3"/>
      <c r="RHS93" s="3"/>
      <c r="RHT93" s="3"/>
      <c r="RHU93" s="3"/>
      <c r="RHV93" s="3"/>
      <c r="RHW93" s="3"/>
      <c r="RHX93" s="3"/>
      <c r="RHY93" s="3"/>
      <c r="RHZ93" s="3"/>
      <c r="RIA93" s="3"/>
      <c r="RIB93" s="3"/>
      <c r="RIC93" s="3"/>
      <c r="RID93" s="3"/>
      <c r="RIE93" s="3"/>
      <c r="RIF93" s="3"/>
      <c r="RIG93" s="3"/>
      <c r="RIH93" s="3"/>
      <c r="RII93" s="3"/>
      <c r="RIJ93" s="3"/>
      <c r="RIK93" s="3"/>
      <c r="RIL93" s="3"/>
      <c r="RIM93" s="3"/>
      <c r="RIN93" s="3"/>
      <c r="RIO93" s="3"/>
      <c r="RIP93" s="3"/>
      <c r="RIQ93" s="3"/>
      <c r="RIR93" s="3"/>
      <c r="RIS93" s="3"/>
      <c r="RIT93" s="3"/>
      <c r="RIU93" s="3"/>
      <c r="RIV93" s="3"/>
      <c r="RIW93" s="3"/>
      <c r="RIX93" s="3"/>
      <c r="RIY93" s="3"/>
      <c r="RIZ93" s="3"/>
      <c r="RJA93" s="3"/>
      <c r="RJB93" s="3"/>
      <c r="RJC93" s="3"/>
      <c r="RJD93" s="3"/>
      <c r="RJE93" s="3"/>
      <c r="RJF93" s="3"/>
      <c r="RJG93" s="3"/>
      <c r="RJH93" s="3"/>
      <c r="RJI93" s="3"/>
      <c r="RJJ93" s="3"/>
      <c r="RJK93" s="3"/>
      <c r="RJL93" s="3"/>
      <c r="RJM93" s="3"/>
      <c r="RJN93" s="3"/>
      <c r="RJO93" s="3"/>
      <c r="RJP93" s="3"/>
      <c r="RJQ93" s="3"/>
      <c r="RJR93" s="3"/>
      <c r="RJS93" s="3"/>
      <c r="RJT93" s="3"/>
      <c r="RJU93" s="3"/>
      <c r="RJV93" s="3"/>
      <c r="RJW93" s="3"/>
      <c r="RJX93" s="3"/>
      <c r="RJY93" s="3"/>
      <c r="RJZ93" s="3"/>
      <c r="RKA93" s="3"/>
      <c r="RKB93" s="3"/>
      <c r="RKC93" s="3"/>
      <c r="RKD93" s="3"/>
      <c r="RKE93" s="3"/>
      <c r="RKF93" s="3"/>
      <c r="RKG93" s="3"/>
      <c r="RKH93" s="3"/>
      <c r="RKI93" s="3"/>
      <c r="RKJ93" s="3"/>
      <c r="RKK93" s="3"/>
      <c r="RKL93" s="3"/>
      <c r="RKM93" s="3"/>
      <c r="RKN93" s="3"/>
      <c r="RKO93" s="3"/>
      <c r="RKP93" s="3"/>
      <c r="RKQ93" s="3"/>
      <c r="RKR93" s="3"/>
      <c r="RKS93" s="3"/>
      <c r="RKT93" s="3"/>
      <c r="RKU93" s="3"/>
      <c r="RKV93" s="3"/>
      <c r="RKW93" s="3"/>
      <c r="RKX93" s="3"/>
      <c r="RKY93" s="3"/>
      <c r="RKZ93" s="3"/>
      <c r="RLA93" s="3"/>
      <c r="RLB93" s="3"/>
      <c r="RLC93" s="3"/>
      <c r="RLD93" s="3"/>
      <c r="RLE93" s="3"/>
      <c r="RLF93" s="3"/>
      <c r="RLG93" s="3"/>
      <c r="RLH93" s="3"/>
      <c r="RLI93" s="3"/>
      <c r="RLJ93" s="3"/>
      <c r="RLK93" s="3"/>
      <c r="RLL93" s="3"/>
      <c r="RLM93" s="3"/>
      <c r="RLN93" s="3"/>
      <c r="RLO93" s="3"/>
      <c r="RLP93" s="3"/>
      <c r="RLQ93" s="3"/>
      <c r="RLR93" s="3"/>
      <c r="RLS93" s="3"/>
      <c r="RLT93" s="3"/>
      <c r="RLU93" s="3"/>
      <c r="RLV93" s="3"/>
      <c r="RLW93" s="3"/>
      <c r="RLX93" s="3"/>
      <c r="RLY93" s="3"/>
      <c r="RLZ93" s="3"/>
      <c r="RMA93" s="3"/>
      <c r="RMB93" s="3"/>
      <c r="RMC93" s="3"/>
      <c r="RMD93" s="3"/>
      <c r="RME93" s="3"/>
      <c r="RMF93" s="3"/>
      <c r="RMG93" s="3"/>
      <c r="RMH93" s="3"/>
      <c r="RMI93" s="3"/>
      <c r="RMJ93" s="3"/>
      <c r="RMK93" s="3"/>
      <c r="RML93" s="3"/>
      <c r="RMM93" s="3"/>
      <c r="RMN93" s="3"/>
      <c r="RMO93" s="3"/>
      <c r="RMP93" s="3"/>
      <c r="RMQ93" s="3"/>
      <c r="RMR93" s="3"/>
      <c r="RMS93" s="3"/>
      <c r="RMT93" s="3"/>
      <c r="RMU93" s="3"/>
      <c r="RMV93" s="3"/>
      <c r="RMW93" s="3"/>
      <c r="RMX93" s="3"/>
      <c r="RMY93" s="3"/>
      <c r="RMZ93" s="3"/>
      <c r="RNA93" s="3"/>
      <c r="RNB93" s="3"/>
      <c r="RNC93" s="3"/>
      <c r="RND93" s="3"/>
      <c r="RNE93" s="3"/>
      <c r="RNF93" s="3"/>
      <c r="RNG93" s="3"/>
      <c r="RNH93" s="3"/>
      <c r="RNI93" s="3"/>
      <c r="RNJ93" s="3"/>
      <c r="RNK93" s="3"/>
      <c r="RNL93" s="3"/>
      <c r="RNM93" s="3"/>
      <c r="RNN93" s="3"/>
      <c r="RNO93" s="3"/>
      <c r="RNP93" s="3"/>
      <c r="RNQ93" s="3"/>
      <c r="RNR93" s="3"/>
      <c r="RNS93" s="3"/>
      <c r="RNT93" s="3"/>
      <c r="RNU93" s="3"/>
      <c r="RNV93" s="3"/>
      <c r="RNW93" s="3"/>
      <c r="RNX93" s="3"/>
      <c r="RNY93" s="3"/>
      <c r="RNZ93" s="3"/>
      <c r="ROA93" s="3"/>
      <c r="ROB93" s="3"/>
      <c r="ROC93" s="3"/>
      <c r="ROD93" s="3"/>
      <c r="ROE93" s="3"/>
      <c r="ROF93" s="3"/>
      <c r="ROG93" s="3"/>
      <c r="ROH93" s="3"/>
      <c r="ROI93" s="3"/>
      <c r="ROJ93" s="3"/>
      <c r="ROK93" s="3"/>
      <c r="ROL93" s="3"/>
      <c r="ROM93" s="3"/>
      <c r="RON93" s="3"/>
      <c r="ROO93" s="3"/>
      <c r="ROP93" s="3"/>
      <c r="ROQ93" s="3"/>
      <c r="ROR93" s="3"/>
      <c r="ROS93" s="3"/>
      <c r="ROT93" s="3"/>
      <c r="ROU93" s="3"/>
      <c r="ROV93" s="3"/>
      <c r="ROW93" s="3"/>
      <c r="ROX93" s="3"/>
      <c r="ROY93" s="3"/>
      <c r="ROZ93" s="3"/>
      <c r="RPA93" s="3"/>
      <c r="RPB93" s="3"/>
      <c r="RPC93" s="3"/>
      <c r="RPD93" s="3"/>
      <c r="RPE93" s="3"/>
      <c r="RPF93" s="3"/>
      <c r="RPG93" s="3"/>
      <c r="RPH93" s="3"/>
      <c r="RPI93" s="3"/>
      <c r="RPJ93" s="3"/>
      <c r="RPK93" s="3"/>
      <c r="RPL93" s="3"/>
      <c r="RPM93" s="3"/>
      <c r="RPN93" s="3"/>
      <c r="RPO93" s="3"/>
      <c r="RPP93" s="3"/>
      <c r="RPQ93" s="3"/>
      <c r="RPR93" s="3"/>
      <c r="RPS93" s="3"/>
      <c r="RPT93" s="3"/>
      <c r="RPU93" s="3"/>
      <c r="RPV93" s="3"/>
      <c r="RPW93" s="3"/>
      <c r="RPX93" s="3"/>
      <c r="RPY93" s="3"/>
      <c r="RPZ93" s="3"/>
      <c r="RQA93" s="3"/>
      <c r="RQB93" s="3"/>
      <c r="RQC93" s="3"/>
      <c r="RQD93" s="3"/>
      <c r="RQE93" s="3"/>
      <c r="RQF93" s="3"/>
      <c r="RQG93" s="3"/>
      <c r="RQH93" s="3"/>
      <c r="RQI93" s="3"/>
      <c r="RQJ93" s="3"/>
      <c r="RQK93" s="3"/>
      <c r="RQL93" s="3"/>
      <c r="RQM93" s="3"/>
      <c r="RQN93" s="3"/>
      <c r="RQO93" s="3"/>
      <c r="RQP93" s="3"/>
      <c r="RQQ93" s="3"/>
      <c r="RQR93" s="3"/>
      <c r="RQS93" s="3"/>
      <c r="RQT93" s="3"/>
      <c r="RQU93" s="3"/>
      <c r="RQV93" s="3"/>
      <c r="RQW93" s="3"/>
      <c r="RQX93" s="3"/>
      <c r="RQY93" s="3"/>
      <c r="RQZ93" s="3"/>
      <c r="RRA93" s="3"/>
      <c r="RRB93" s="3"/>
      <c r="RRC93" s="3"/>
      <c r="RRD93" s="3"/>
      <c r="RRE93" s="3"/>
      <c r="RRF93" s="3"/>
      <c r="RRG93" s="3"/>
      <c r="RRH93" s="3"/>
      <c r="RRI93" s="3"/>
      <c r="RRJ93" s="3"/>
      <c r="RRK93" s="3"/>
      <c r="RRL93" s="3"/>
      <c r="RRM93" s="3"/>
      <c r="RRN93" s="3"/>
      <c r="RRO93" s="3"/>
      <c r="RRP93" s="3"/>
      <c r="RRQ93" s="3"/>
      <c r="RRR93" s="3"/>
      <c r="RRS93" s="3"/>
      <c r="RRT93" s="3"/>
      <c r="RRU93" s="3"/>
      <c r="RRV93" s="3"/>
      <c r="RRW93" s="3"/>
      <c r="RRX93" s="3"/>
      <c r="RRY93" s="3"/>
      <c r="RRZ93" s="3"/>
      <c r="RSA93" s="3"/>
      <c r="RSB93" s="3"/>
      <c r="RSC93" s="3"/>
      <c r="RSD93" s="3"/>
      <c r="RSE93" s="3"/>
      <c r="RSF93" s="3"/>
      <c r="RSG93" s="3"/>
      <c r="RSH93" s="3"/>
      <c r="RSI93" s="3"/>
      <c r="RSJ93" s="3"/>
      <c r="RSK93" s="3"/>
      <c r="RSL93" s="3"/>
      <c r="RSM93" s="3"/>
      <c r="RSN93" s="3"/>
      <c r="RSO93" s="3"/>
      <c r="RSP93" s="3"/>
      <c r="RSQ93" s="3"/>
      <c r="RSR93" s="3"/>
      <c r="RSS93" s="3"/>
      <c r="RST93" s="3"/>
      <c r="RSU93" s="3"/>
      <c r="RSV93" s="3"/>
      <c r="RSW93" s="3"/>
      <c r="RSX93" s="3"/>
      <c r="RSY93" s="3"/>
      <c r="RSZ93" s="3"/>
      <c r="RTA93" s="3"/>
      <c r="RTB93" s="3"/>
      <c r="RTC93" s="3"/>
      <c r="RTD93" s="3"/>
      <c r="RTE93" s="3"/>
      <c r="RTF93" s="3"/>
      <c r="RTG93" s="3"/>
      <c r="RTH93" s="3"/>
      <c r="RTI93" s="3"/>
      <c r="RTJ93" s="3"/>
      <c r="RTK93" s="3"/>
      <c r="RTL93" s="3"/>
      <c r="RTM93" s="3"/>
      <c r="RTN93" s="3"/>
      <c r="RTO93" s="3"/>
      <c r="RTP93" s="3"/>
      <c r="RTQ93" s="3"/>
      <c r="RTR93" s="3"/>
      <c r="RTS93" s="3"/>
      <c r="RTT93" s="3"/>
      <c r="RTU93" s="3"/>
      <c r="RTV93" s="3"/>
      <c r="RTW93" s="3"/>
      <c r="RTX93" s="3"/>
      <c r="RTY93" s="3"/>
      <c r="RTZ93" s="3"/>
      <c r="RUA93" s="3"/>
      <c r="RUB93" s="3"/>
      <c r="RUC93" s="3"/>
      <c r="RUD93" s="3"/>
      <c r="RUE93" s="3"/>
      <c r="RUF93" s="3"/>
      <c r="RUG93" s="3"/>
      <c r="RUH93" s="3"/>
      <c r="RUI93" s="3"/>
      <c r="RUJ93" s="3"/>
      <c r="RUK93" s="3"/>
      <c r="RUL93" s="3"/>
      <c r="RUM93" s="3"/>
      <c r="RUN93" s="3"/>
      <c r="RUO93" s="3"/>
      <c r="RUP93" s="3"/>
      <c r="RUQ93" s="3"/>
      <c r="RUR93" s="3"/>
      <c r="RUS93" s="3"/>
      <c r="RUT93" s="3"/>
      <c r="RUU93" s="3"/>
      <c r="RUV93" s="3"/>
      <c r="RUW93" s="3"/>
      <c r="RUX93" s="3"/>
      <c r="RUY93" s="3"/>
      <c r="RUZ93" s="3"/>
      <c r="RVA93" s="3"/>
      <c r="RVB93" s="3"/>
      <c r="RVC93" s="3"/>
      <c r="RVD93" s="3"/>
      <c r="RVE93" s="3"/>
      <c r="RVF93" s="3"/>
      <c r="RVG93" s="3"/>
      <c r="RVH93" s="3"/>
      <c r="RVI93" s="3"/>
      <c r="RVJ93" s="3"/>
      <c r="RVK93" s="3"/>
      <c r="RVL93" s="3"/>
      <c r="RVM93" s="3"/>
      <c r="RVN93" s="3"/>
      <c r="RVO93" s="3"/>
      <c r="RVP93" s="3"/>
      <c r="RVQ93" s="3"/>
      <c r="RVR93" s="3"/>
      <c r="RVS93" s="3"/>
      <c r="RVT93" s="3"/>
      <c r="RVU93" s="3"/>
      <c r="RVV93" s="3"/>
      <c r="RVW93" s="3"/>
      <c r="RVX93" s="3"/>
      <c r="RVY93" s="3"/>
      <c r="RVZ93" s="3"/>
      <c r="RWA93" s="3"/>
      <c r="RWB93" s="3"/>
      <c r="RWC93" s="3"/>
      <c r="RWD93" s="3"/>
      <c r="RWE93" s="3"/>
      <c r="RWF93" s="3"/>
      <c r="RWG93" s="3"/>
      <c r="RWH93" s="3"/>
      <c r="RWI93" s="3"/>
      <c r="RWJ93" s="3"/>
      <c r="RWK93" s="3"/>
      <c r="RWL93" s="3"/>
      <c r="RWM93" s="3"/>
      <c r="RWN93" s="3"/>
      <c r="RWO93" s="3"/>
      <c r="RWP93" s="3"/>
      <c r="RWQ93" s="3"/>
      <c r="RWR93" s="3"/>
      <c r="RWS93" s="3"/>
      <c r="RWT93" s="3"/>
      <c r="RWU93" s="3"/>
      <c r="RWV93" s="3"/>
      <c r="RWW93" s="3"/>
      <c r="RWX93" s="3"/>
      <c r="RWY93" s="3"/>
      <c r="RWZ93" s="3"/>
      <c r="RXA93" s="3"/>
      <c r="RXB93" s="3"/>
      <c r="RXC93" s="3"/>
      <c r="RXD93" s="3"/>
      <c r="RXE93" s="3"/>
      <c r="RXF93" s="3"/>
      <c r="RXG93" s="3"/>
      <c r="RXH93" s="3"/>
      <c r="RXI93" s="3"/>
      <c r="RXJ93" s="3"/>
      <c r="RXK93" s="3"/>
      <c r="RXL93" s="3"/>
      <c r="RXM93" s="3"/>
      <c r="RXN93" s="3"/>
      <c r="RXO93" s="3"/>
      <c r="RXP93" s="3"/>
      <c r="RXQ93" s="3"/>
      <c r="RXR93" s="3"/>
      <c r="RXS93" s="3"/>
      <c r="RXT93" s="3"/>
      <c r="RXU93" s="3"/>
      <c r="RXV93" s="3"/>
      <c r="RXW93" s="3"/>
      <c r="RXX93" s="3"/>
      <c r="RXY93" s="3"/>
      <c r="RXZ93" s="3"/>
      <c r="RYA93" s="3"/>
      <c r="RYB93" s="3"/>
      <c r="RYC93" s="3"/>
      <c r="RYD93" s="3"/>
      <c r="RYE93" s="3"/>
      <c r="RYF93" s="3"/>
      <c r="RYG93" s="3"/>
      <c r="RYH93" s="3"/>
      <c r="RYI93" s="3"/>
      <c r="RYJ93" s="3"/>
      <c r="RYK93" s="3"/>
      <c r="RYL93" s="3"/>
      <c r="RYM93" s="3"/>
      <c r="RYN93" s="3"/>
      <c r="RYO93" s="3"/>
      <c r="RYP93" s="3"/>
      <c r="RYQ93" s="3"/>
      <c r="RYR93" s="3"/>
      <c r="RYS93" s="3"/>
      <c r="RYT93" s="3"/>
      <c r="RYU93" s="3"/>
      <c r="RYV93" s="3"/>
      <c r="RYW93" s="3"/>
      <c r="RYX93" s="3"/>
      <c r="RYY93" s="3"/>
      <c r="RYZ93" s="3"/>
      <c r="RZA93" s="3"/>
      <c r="RZB93" s="3"/>
      <c r="RZC93" s="3"/>
      <c r="RZD93" s="3"/>
      <c r="RZE93" s="3"/>
      <c r="RZF93" s="3"/>
      <c r="RZG93" s="3"/>
      <c r="RZH93" s="3"/>
      <c r="RZI93" s="3"/>
      <c r="RZJ93" s="3"/>
      <c r="RZK93" s="3"/>
      <c r="RZL93" s="3"/>
      <c r="RZM93" s="3"/>
      <c r="RZN93" s="3"/>
      <c r="RZO93" s="3"/>
      <c r="RZP93" s="3"/>
      <c r="RZQ93" s="3"/>
      <c r="RZR93" s="3"/>
      <c r="RZS93" s="3"/>
      <c r="RZT93" s="3"/>
      <c r="RZU93" s="3"/>
      <c r="RZV93" s="3"/>
      <c r="RZW93" s="3"/>
      <c r="RZX93" s="3"/>
      <c r="RZY93" s="3"/>
      <c r="RZZ93" s="3"/>
      <c r="SAA93" s="3"/>
      <c r="SAB93" s="3"/>
      <c r="SAC93" s="3"/>
      <c r="SAD93" s="3"/>
      <c r="SAE93" s="3"/>
      <c r="SAF93" s="3"/>
      <c r="SAG93" s="3"/>
      <c r="SAH93" s="3"/>
      <c r="SAI93" s="3"/>
      <c r="SAJ93" s="3"/>
      <c r="SAK93" s="3"/>
      <c r="SAL93" s="3"/>
      <c r="SAM93" s="3"/>
      <c r="SAN93" s="3"/>
      <c r="SAO93" s="3"/>
      <c r="SAP93" s="3"/>
      <c r="SAQ93" s="3"/>
      <c r="SAR93" s="3"/>
      <c r="SAS93" s="3"/>
      <c r="SAT93" s="3"/>
      <c r="SAU93" s="3"/>
      <c r="SAV93" s="3"/>
      <c r="SAW93" s="3"/>
      <c r="SAX93" s="3"/>
      <c r="SAY93" s="3"/>
      <c r="SAZ93" s="3"/>
      <c r="SBA93" s="3"/>
      <c r="SBB93" s="3"/>
      <c r="SBC93" s="3"/>
      <c r="SBD93" s="3"/>
      <c r="SBE93" s="3"/>
      <c r="SBF93" s="3"/>
      <c r="SBG93" s="3"/>
      <c r="SBH93" s="3"/>
      <c r="SBI93" s="3"/>
      <c r="SBJ93" s="3"/>
      <c r="SBK93" s="3"/>
      <c r="SBL93" s="3"/>
      <c r="SBM93" s="3"/>
      <c r="SBN93" s="3"/>
      <c r="SBO93" s="3"/>
      <c r="SBP93" s="3"/>
      <c r="SBQ93" s="3"/>
      <c r="SBR93" s="3"/>
      <c r="SBS93" s="3"/>
      <c r="SBT93" s="3"/>
      <c r="SBU93" s="3"/>
      <c r="SBV93" s="3"/>
      <c r="SBW93" s="3"/>
      <c r="SBX93" s="3"/>
      <c r="SBY93" s="3"/>
      <c r="SBZ93" s="3"/>
      <c r="SCA93" s="3"/>
      <c r="SCB93" s="3"/>
      <c r="SCC93" s="3"/>
      <c r="SCD93" s="3"/>
      <c r="SCE93" s="3"/>
      <c r="SCF93" s="3"/>
      <c r="SCG93" s="3"/>
      <c r="SCH93" s="3"/>
      <c r="SCI93" s="3"/>
      <c r="SCJ93" s="3"/>
      <c r="SCK93" s="3"/>
      <c r="SCL93" s="3"/>
      <c r="SCM93" s="3"/>
      <c r="SCN93" s="3"/>
      <c r="SCO93" s="3"/>
      <c r="SCP93" s="3"/>
      <c r="SCQ93" s="3"/>
      <c r="SCR93" s="3"/>
      <c r="SCS93" s="3"/>
      <c r="SCT93" s="3"/>
      <c r="SCU93" s="3"/>
      <c r="SCV93" s="3"/>
      <c r="SCW93" s="3"/>
      <c r="SCX93" s="3"/>
      <c r="SCY93" s="3"/>
      <c r="SCZ93" s="3"/>
      <c r="SDA93" s="3"/>
      <c r="SDB93" s="3"/>
      <c r="SDC93" s="3"/>
      <c r="SDD93" s="3"/>
      <c r="SDE93" s="3"/>
      <c r="SDF93" s="3"/>
      <c r="SDG93" s="3"/>
      <c r="SDH93" s="3"/>
      <c r="SDI93" s="3"/>
      <c r="SDJ93" s="3"/>
      <c r="SDK93" s="3"/>
      <c r="SDL93" s="3"/>
      <c r="SDM93" s="3"/>
      <c r="SDN93" s="3"/>
      <c r="SDO93" s="3"/>
      <c r="SDP93" s="3"/>
      <c r="SDQ93" s="3"/>
      <c r="SDR93" s="3"/>
      <c r="SDS93" s="3"/>
      <c r="SDT93" s="3"/>
      <c r="SDU93" s="3"/>
      <c r="SDV93" s="3"/>
      <c r="SDW93" s="3"/>
      <c r="SDX93" s="3"/>
      <c r="SDY93" s="3"/>
      <c r="SDZ93" s="3"/>
      <c r="SEA93" s="3"/>
      <c r="SEB93" s="3"/>
      <c r="SEC93" s="3"/>
      <c r="SED93" s="3"/>
      <c r="SEE93" s="3"/>
      <c r="SEF93" s="3"/>
      <c r="SEG93" s="3"/>
      <c r="SEH93" s="3"/>
      <c r="SEI93" s="3"/>
      <c r="SEJ93" s="3"/>
      <c r="SEK93" s="3"/>
      <c r="SEL93" s="3"/>
      <c r="SEM93" s="3"/>
      <c r="SEN93" s="3"/>
      <c r="SEO93" s="3"/>
      <c r="SEP93" s="3"/>
      <c r="SEQ93" s="3"/>
      <c r="SER93" s="3"/>
      <c r="SES93" s="3"/>
      <c r="SET93" s="3"/>
      <c r="SEU93" s="3"/>
      <c r="SEV93" s="3"/>
      <c r="SEW93" s="3"/>
      <c r="SEX93" s="3"/>
      <c r="SEY93" s="3"/>
      <c r="SEZ93" s="3"/>
      <c r="SFA93" s="3"/>
      <c r="SFB93" s="3"/>
      <c r="SFC93" s="3"/>
      <c r="SFD93" s="3"/>
      <c r="SFE93" s="3"/>
      <c r="SFF93" s="3"/>
      <c r="SFG93" s="3"/>
      <c r="SFH93" s="3"/>
      <c r="SFI93" s="3"/>
      <c r="SFJ93" s="3"/>
      <c r="SFK93" s="3"/>
      <c r="SFL93" s="3"/>
      <c r="SFM93" s="3"/>
      <c r="SFN93" s="3"/>
      <c r="SFO93" s="3"/>
      <c r="SFP93" s="3"/>
      <c r="SFQ93" s="3"/>
      <c r="SFR93" s="3"/>
      <c r="SFS93" s="3"/>
      <c r="SFT93" s="3"/>
      <c r="SFU93" s="3"/>
      <c r="SFV93" s="3"/>
      <c r="SFW93" s="3"/>
      <c r="SFX93" s="3"/>
      <c r="SFY93" s="3"/>
      <c r="SFZ93" s="3"/>
      <c r="SGA93" s="3"/>
      <c r="SGB93" s="3"/>
      <c r="SGC93" s="3"/>
      <c r="SGD93" s="3"/>
      <c r="SGE93" s="3"/>
      <c r="SGF93" s="3"/>
      <c r="SGG93" s="3"/>
      <c r="SGH93" s="3"/>
      <c r="SGI93" s="3"/>
      <c r="SGJ93" s="3"/>
      <c r="SGK93" s="3"/>
      <c r="SGL93" s="3"/>
      <c r="SGM93" s="3"/>
      <c r="SGN93" s="3"/>
      <c r="SGO93" s="3"/>
      <c r="SGP93" s="3"/>
      <c r="SGQ93" s="3"/>
      <c r="SGR93" s="3"/>
      <c r="SGS93" s="3"/>
      <c r="SGT93" s="3"/>
      <c r="SGU93" s="3"/>
      <c r="SGV93" s="3"/>
      <c r="SGW93" s="3"/>
      <c r="SGX93" s="3"/>
      <c r="SGY93" s="3"/>
      <c r="SGZ93" s="3"/>
      <c r="SHA93" s="3"/>
      <c r="SHB93" s="3"/>
      <c r="SHC93" s="3"/>
      <c r="SHD93" s="3"/>
      <c r="SHE93" s="3"/>
      <c r="SHF93" s="3"/>
      <c r="SHG93" s="3"/>
      <c r="SHH93" s="3"/>
      <c r="SHI93" s="3"/>
      <c r="SHJ93" s="3"/>
      <c r="SHK93" s="3"/>
      <c r="SHL93" s="3"/>
      <c r="SHM93" s="3"/>
      <c r="SHN93" s="3"/>
      <c r="SHO93" s="3"/>
      <c r="SHP93" s="3"/>
      <c r="SHQ93" s="3"/>
      <c r="SHR93" s="3"/>
      <c r="SHS93" s="3"/>
      <c r="SHT93" s="3"/>
      <c r="SHU93" s="3"/>
      <c r="SHV93" s="3"/>
      <c r="SHW93" s="3"/>
      <c r="SHX93" s="3"/>
      <c r="SHY93" s="3"/>
      <c r="SHZ93" s="3"/>
      <c r="SIA93" s="3"/>
      <c r="SIB93" s="3"/>
      <c r="SIC93" s="3"/>
      <c r="SID93" s="3"/>
      <c r="SIE93" s="3"/>
      <c r="SIF93" s="3"/>
      <c r="SIG93" s="3"/>
      <c r="SIH93" s="3"/>
      <c r="SII93" s="3"/>
      <c r="SIJ93" s="3"/>
      <c r="SIK93" s="3"/>
      <c r="SIL93" s="3"/>
      <c r="SIM93" s="3"/>
      <c r="SIN93" s="3"/>
      <c r="SIO93" s="3"/>
      <c r="SIP93" s="3"/>
      <c r="SIQ93" s="3"/>
      <c r="SIR93" s="3"/>
      <c r="SIS93" s="3"/>
      <c r="SIT93" s="3"/>
      <c r="SIU93" s="3"/>
      <c r="SIV93" s="3"/>
      <c r="SIW93" s="3"/>
      <c r="SIX93" s="3"/>
      <c r="SIY93" s="3"/>
      <c r="SIZ93" s="3"/>
      <c r="SJA93" s="3"/>
      <c r="SJB93" s="3"/>
      <c r="SJC93" s="3"/>
      <c r="SJD93" s="3"/>
      <c r="SJE93" s="3"/>
      <c r="SJF93" s="3"/>
      <c r="SJG93" s="3"/>
      <c r="SJH93" s="3"/>
      <c r="SJI93" s="3"/>
      <c r="SJJ93" s="3"/>
      <c r="SJK93" s="3"/>
      <c r="SJL93" s="3"/>
      <c r="SJM93" s="3"/>
      <c r="SJN93" s="3"/>
      <c r="SJO93" s="3"/>
      <c r="SJP93" s="3"/>
      <c r="SJQ93" s="3"/>
      <c r="SJR93" s="3"/>
      <c r="SJS93" s="3"/>
      <c r="SJT93" s="3"/>
      <c r="SJU93" s="3"/>
      <c r="SJV93" s="3"/>
      <c r="SJW93" s="3"/>
      <c r="SJX93" s="3"/>
      <c r="SJY93" s="3"/>
      <c r="SJZ93" s="3"/>
      <c r="SKA93" s="3"/>
      <c r="SKB93" s="3"/>
      <c r="SKC93" s="3"/>
      <c r="SKD93" s="3"/>
      <c r="SKE93" s="3"/>
      <c r="SKF93" s="3"/>
      <c r="SKG93" s="3"/>
      <c r="SKH93" s="3"/>
      <c r="SKI93" s="3"/>
      <c r="SKJ93" s="3"/>
      <c r="SKK93" s="3"/>
      <c r="SKL93" s="3"/>
      <c r="SKM93" s="3"/>
      <c r="SKN93" s="3"/>
      <c r="SKO93" s="3"/>
      <c r="SKP93" s="3"/>
      <c r="SKQ93" s="3"/>
      <c r="SKR93" s="3"/>
      <c r="SKS93" s="3"/>
      <c r="SKT93" s="3"/>
      <c r="SKU93" s="3"/>
      <c r="SKV93" s="3"/>
      <c r="SKW93" s="3"/>
      <c r="SKX93" s="3"/>
      <c r="SKY93" s="3"/>
      <c r="SKZ93" s="3"/>
      <c r="SLA93" s="3"/>
      <c r="SLB93" s="3"/>
      <c r="SLC93" s="3"/>
      <c r="SLD93" s="3"/>
      <c r="SLE93" s="3"/>
      <c r="SLF93" s="3"/>
      <c r="SLG93" s="3"/>
      <c r="SLH93" s="3"/>
      <c r="SLI93" s="3"/>
      <c r="SLJ93" s="3"/>
      <c r="SLK93" s="3"/>
      <c r="SLL93" s="3"/>
      <c r="SLM93" s="3"/>
      <c r="SLN93" s="3"/>
      <c r="SLO93" s="3"/>
      <c r="SLP93" s="3"/>
      <c r="SLQ93" s="3"/>
      <c r="SLR93" s="3"/>
      <c r="SLS93" s="3"/>
      <c r="SLT93" s="3"/>
      <c r="SLU93" s="3"/>
      <c r="SLV93" s="3"/>
      <c r="SLW93" s="3"/>
      <c r="SLX93" s="3"/>
      <c r="SLY93" s="3"/>
      <c r="SLZ93" s="3"/>
      <c r="SMA93" s="3"/>
      <c r="SMB93" s="3"/>
      <c r="SMC93" s="3"/>
      <c r="SMD93" s="3"/>
      <c r="SME93" s="3"/>
      <c r="SMF93" s="3"/>
      <c r="SMG93" s="3"/>
      <c r="SMH93" s="3"/>
      <c r="SMI93" s="3"/>
      <c r="SMJ93" s="3"/>
      <c r="SMK93" s="3"/>
      <c r="SML93" s="3"/>
      <c r="SMM93" s="3"/>
      <c r="SMN93" s="3"/>
      <c r="SMO93" s="3"/>
      <c r="SMP93" s="3"/>
      <c r="SMQ93" s="3"/>
      <c r="SMR93" s="3"/>
      <c r="SMS93" s="3"/>
      <c r="SMT93" s="3"/>
      <c r="SMU93" s="3"/>
      <c r="SMV93" s="3"/>
      <c r="SMW93" s="3"/>
      <c r="SMX93" s="3"/>
      <c r="SMY93" s="3"/>
      <c r="SMZ93" s="3"/>
      <c r="SNA93" s="3"/>
      <c r="SNB93" s="3"/>
      <c r="SNC93" s="3"/>
      <c r="SND93" s="3"/>
      <c r="SNE93" s="3"/>
      <c r="SNF93" s="3"/>
      <c r="SNG93" s="3"/>
      <c r="SNH93" s="3"/>
      <c r="SNI93" s="3"/>
      <c r="SNJ93" s="3"/>
      <c r="SNK93" s="3"/>
      <c r="SNL93" s="3"/>
      <c r="SNM93" s="3"/>
      <c r="SNN93" s="3"/>
      <c r="SNO93" s="3"/>
      <c r="SNP93" s="3"/>
      <c r="SNQ93" s="3"/>
      <c r="SNR93" s="3"/>
      <c r="SNS93" s="3"/>
      <c r="SNT93" s="3"/>
      <c r="SNU93" s="3"/>
      <c r="SNV93" s="3"/>
      <c r="SNW93" s="3"/>
      <c r="SNX93" s="3"/>
      <c r="SNY93" s="3"/>
      <c r="SNZ93" s="3"/>
      <c r="SOA93" s="3"/>
      <c r="SOB93" s="3"/>
      <c r="SOC93" s="3"/>
      <c r="SOD93" s="3"/>
      <c r="SOE93" s="3"/>
      <c r="SOF93" s="3"/>
      <c r="SOG93" s="3"/>
      <c r="SOH93" s="3"/>
      <c r="SOI93" s="3"/>
      <c r="SOJ93" s="3"/>
      <c r="SOK93" s="3"/>
      <c r="SOL93" s="3"/>
      <c r="SOM93" s="3"/>
      <c r="SON93" s="3"/>
      <c r="SOO93" s="3"/>
      <c r="SOP93" s="3"/>
      <c r="SOQ93" s="3"/>
      <c r="SOR93" s="3"/>
      <c r="SOS93" s="3"/>
      <c r="SOT93" s="3"/>
      <c r="SOU93" s="3"/>
      <c r="SOV93" s="3"/>
      <c r="SOW93" s="3"/>
      <c r="SOX93" s="3"/>
      <c r="SOY93" s="3"/>
      <c r="SOZ93" s="3"/>
      <c r="SPA93" s="3"/>
      <c r="SPB93" s="3"/>
      <c r="SPC93" s="3"/>
      <c r="SPD93" s="3"/>
      <c r="SPE93" s="3"/>
      <c r="SPF93" s="3"/>
      <c r="SPG93" s="3"/>
      <c r="SPH93" s="3"/>
      <c r="SPI93" s="3"/>
      <c r="SPJ93" s="3"/>
      <c r="SPK93" s="3"/>
      <c r="SPL93" s="3"/>
      <c r="SPM93" s="3"/>
      <c r="SPN93" s="3"/>
      <c r="SPO93" s="3"/>
      <c r="SPP93" s="3"/>
      <c r="SPQ93" s="3"/>
      <c r="SPR93" s="3"/>
      <c r="SPS93" s="3"/>
      <c r="SPT93" s="3"/>
      <c r="SPU93" s="3"/>
      <c r="SPV93" s="3"/>
      <c r="SPW93" s="3"/>
      <c r="SPX93" s="3"/>
      <c r="SPY93" s="3"/>
      <c r="SPZ93" s="3"/>
      <c r="SQA93" s="3"/>
      <c r="SQB93" s="3"/>
      <c r="SQC93" s="3"/>
      <c r="SQD93" s="3"/>
      <c r="SQE93" s="3"/>
      <c r="SQF93" s="3"/>
      <c r="SQG93" s="3"/>
      <c r="SQH93" s="3"/>
      <c r="SQI93" s="3"/>
      <c r="SQJ93" s="3"/>
      <c r="SQK93" s="3"/>
      <c r="SQL93" s="3"/>
      <c r="SQM93" s="3"/>
      <c r="SQN93" s="3"/>
      <c r="SQO93" s="3"/>
      <c r="SQP93" s="3"/>
      <c r="SQQ93" s="3"/>
      <c r="SQR93" s="3"/>
      <c r="SQS93" s="3"/>
      <c r="SQT93" s="3"/>
      <c r="SQU93" s="3"/>
      <c r="SQV93" s="3"/>
      <c r="SQW93" s="3"/>
      <c r="SQX93" s="3"/>
      <c r="SQY93" s="3"/>
      <c r="SQZ93" s="3"/>
      <c r="SRA93" s="3"/>
      <c r="SRB93" s="3"/>
      <c r="SRC93" s="3"/>
      <c r="SRD93" s="3"/>
      <c r="SRE93" s="3"/>
      <c r="SRF93" s="3"/>
      <c r="SRG93" s="3"/>
      <c r="SRH93" s="3"/>
      <c r="SRI93" s="3"/>
      <c r="SRJ93" s="3"/>
      <c r="SRK93" s="3"/>
      <c r="SRL93" s="3"/>
      <c r="SRM93" s="3"/>
      <c r="SRN93" s="3"/>
      <c r="SRO93" s="3"/>
      <c r="SRP93" s="3"/>
      <c r="SRQ93" s="3"/>
      <c r="SRR93" s="3"/>
      <c r="SRS93" s="3"/>
      <c r="SRT93" s="3"/>
      <c r="SRU93" s="3"/>
      <c r="SRV93" s="3"/>
      <c r="SRW93" s="3"/>
      <c r="SRX93" s="3"/>
      <c r="SRY93" s="3"/>
      <c r="SRZ93" s="3"/>
      <c r="SSA93" s="3"/>
      <c r="SSB93" s="3"/>
      <c r="SSC93" s="3"/>
      <c r="SSD93" s="3"/>
      <c r="SSE93" s="3"/>
      <c r="SSF93" s="3"/>
      <c r="SSG93" s="3"/>
      <c r="SSH93" s="3"/>
      <c r="SSI93" s="3"/>
      <c r="SSJ93" s="3"/>
      <c r="SSK93" s="3"/>
      <c r="SSL93" s="3"/>
      <c r="SSM93" s="3"/>
      <c r="SSN93" s="3"/>
      <c r="SSO93" s="3"/>
      <c r="SSP93" s="3"/>
      <c r="SSQ93" s="3"/>
      <c r="SSR93" s="3"/>
      <c r="SSS93" s="3"/>
      <c r="SST93" s="3"/>
      <c r="SSU93" s="3"/>
      <c r="SSV93" s="3"/>
      <c r="SSW93" s="3"/>
      <c r="SSX93" s="3"/>
      <c r="SSY93" s="3"/>
      <c r="SSZ93" s="3"/>
      <c r="STA93" s="3"/>
      <c r="STB93" s="3"/>
      <c r="STC93" s="3"/>
      <c r="STD93" s="3"/>
      <c r="STE93" s="3"/>
      <c r="STF93" s="3"/>
      <c r="STG93" s="3"/>
      <c r="STH93" s="3"/>
      <c r="STI93" s="3"/>
      <c r="STJ93" s="3"/>
      <c r="STK93" s="3"/>
      <c r="STL93" s="3"/>
      <c r="STM93" s="3"/>
      <c r="STN93" s="3"/>
      <c r="STO93" s="3"/>
      <c r="STP93" s="3"/>
      <c r="STQ93" s="3"/>
      <c r="STR93" s="3"/>
      <c r="STS93" s="3"/>
      <c r="STT93" s="3"/>
      <c r="STU93" s="3"/>
      <c r="STV93" s="3"/>
      <c r="STW93" s="3"/>
      <c r="STX93" s="3"/>
      <c r="STY93" s="3"/>
      <c r="STZ93" s="3"/>
      <c r="SUA93" s="3"/>
      <c r="SUB93" s="3"/>
      <c r="SUC93" s="3"/>
      <c r="SUD93" s="3"/>
      <c r="SUE93" s="3"/>
      <c r="SUF93" s="3"/>
      <c r="SUG93" s="3"/>
      <c r="SUH93" s="3"/>
      <c r="SUI93" s="3"/>
      <c r="SUJ93" s="3"/>
      <c r="SUK93" s="3"/>
      <c r="SUL93" s="3"/>
      <c r="SUM93" s="3"/>
      <c r="SUN93" s="3"/>
      <c r="SUO93" s="3"/>
      <c r="SUP93" s="3"/>
      <c r="SUQ93" s="3"/>
      <c r="SUR93" s="3"/>
      <c r="SUS93" s="3"/>
      <c r="SUT93" s="3"/>
      <c r="SUU93" s="3"/>
      <c r="SUV93" s="3"/>
      <c r="SUW93" s="3"/>
      <c r="SUX93" s="3"/>
      <c r="SUY93" s="3"/>
      <c r="SUZ93" s="3"/>
      <c r="SVA93" s="3"/>
      <c r="SVB93" s="3"/>
      <c r="SVC93" s="3"/>
      <c r="SVD93" s="3"/>
      <c r="SVE93" s="3"/>
      <c r="SVF93" s="3"/>
      <c r="SVG93" s="3"/>
      <c r="SVH93" s="3"/>
      <c r="SVI93" s="3"/>
      <c r="SVJ93" s="3"/>
      <c r="SVK93" s="3"/>
      <c r="SVL93" s="3"/>
      <c r="SVM93" s="3"/>
      <c r="SVN93" s="3"/>
      <c r="SVO93" s="3"/>
      <c r="SVP93" s="3"/>
      <c r="SVQ93" s="3"/>
      <c r="SVR93" s="3"/>
      <c r="SVS93" s="3"/>
      <c r="SVT93" s="3"/>
      <c r="SVU93" s="3"/>
      <c r="SVV93" s="3"/>
      <c r="SVW93" s="3"/>
      <c r="SVX93" s="3"/>
      <c r="SVY93" s="3"/>
      <c r="SVZ93" s="3"/>
      <c r="SWA93" s="3"/>
      <c r="SWB93" s="3"/>
      <c r="SWC93" s="3"/>
      <c r="SWD93" s="3"/>
      <c r="SWE93" s="3"/>
      <c r="SWF93" s="3"/>
      <c r="SWG93" s="3"/>
      <c r="SWH93" s="3"/>
      <c r="SWI93" s="3"/>
      <c r="SWJ93" s="3"/>
      <c r="SWK93" s="3"/>
      <c r="SWL93" s="3"/>
      <c r="SWM93" s="3"/>
      <c r="SWN93" s="3"/>
      <c r="SWO93" s="3"/>
      <c r="SWP93" s="3"/>
      <c r="SWQ93" s="3"/>
      <c r="SWR93" s="3"/>
      <c r="SWS93" s="3"/>
      <c r="SWT93" s="3"/>
      <c r="SWU93" s="3"/>
      <c r="SWV93" s="3"/>
      <c r="SWW93" s="3"/>
      <c r="SWX93" s="3"/>
      <c r="SWY93" s="3"/>
      <c r="SWZ93" s="3"/>
      <c r="SXA93" s="3"/>
      <c r="SXB93" s="3"/>
      <c r="SXC93" s="3"/>
      <c r="SXD93" s="3"/>
      <c r="SXE93" s="3"/>
      <c r="SXF93" s="3"/>
      <c r="SXG93" s="3"/>
      <c r="SXH93" s="3"/>
      <c r="SXI93" s="3"/>
      <c r="SXJ93" s="3"/>
      <c r="SXK93" s="3"/>
      <c r="SXL93" s="3"/>
      <c r="SXM93" s="3"/>
      <c r="SXN93" s="3"/>
      <c r="SXO93" s="3"/>
      <c r="SXP93" s="3"/>
      <c r="SXQ93" s="3"/>
      <c r="SXR93" s="3"/>
      <c r="SXS93" s="3"/>
      <c r="SXT93" s="3"/>
      <c r="SXU93" s="3"/>
      <c r="SXV93" s="3"/>
      <c r="SXW93" s="3"/>
      <c r="SXX93" s="3"/>
      <c r="SXY93" s="3"/>
      <c r="SXZ93" s="3"/>
      <c r="SYA93" s="3"/>
      <c r="SYB93" s="3"/>
      <c r="SYC93" s="3"/>
      <c r="SYD93" s="3"/>
      <c r="SYE93" s="3"/>
      <c r="SYF93" s="3"/>
      <c r="SYG93" s="3"/>
      <c r="SYH93" s="3"/>
      <c r="SYI93" s="3"/>
      <c r="SYJ93" s="3"/>
      <c r="SYK93" s="3"/>
      <c r="SYL93" s="3"/>
      <c r="SYM93" s="3"/>
      <c r="SYN93" s="3"/>
      <c r="SYO93" s="3"/>
      <c r="SYP93" s="3"/>
      <c r="SYQ93" s="3"/>
      <c r="SYR93" s="3"/>
      <c r="SYS93" s="3"/>
      <c r="SYT93" s="3"/>
      <c r="SYU93" s="3"/>
      <c r="SYV93" s="3"/>
      <c r="SYW93" s="3"/>
      <c r="SYX93" s="3"/>
      <c r="SYY93" s="3"/>
      <c r="SYZ93" s="3"/>
      <c r="SZA93" s="3"/>
      <c r="SZB93" s="3"/>
      <c r="SZC93" s="3"/>
      <c r="SZD93" s="3"/>
      <c r="SZE93" s="3"/>
      <c r="SZF93" s="3"/>
      <c r="SZG93" s="3"/>
      <c r="SZH93" s="3"/>
      <c r="SZI93" s="3"/>
      <c r="SZJ93" s="3"/>
      <c r="SZK93" s="3"/>
      <c r="SZL93" s="3"/>
      <c r="SZM93" s="3"/>
      <c r="SZN93" s="3"/>
      <c r="SZO93" s="3"/>
      <c r="SZP93" s="3"/>
      <c r="SZQ93" s="3"/>
      <c r="SZR93" s="3"/>
      <c r="SZS93" s="3"/>
      <c r="SZT93" s="3"/>
      <c r="SZU93" s="3"/>
      <c r="SZV93" s="3"/>
      <c r="SZW93" s="3"/>
      <c r="SZX93" s="3"/>
      <c r="SZY93" s="3"/>
      <c r="SZZ93" s="3"/>
      <c r="TAA93" s="3"/>
      <c r="TAB93" s="3"/>
      <c r="TAC93" s="3"/>
      <c r="TAD93" s="3"/>
      <c r="TAE93" s="3"/>
      <c r="TAF93" s="3"/>
      <c r="TAG93" s="3"/>
      <c r="TAH93" s="3"/>
      <c r="TAI93" s="3"/>
      <c r="TAJ93" s="3"/>
      <c r="TAK93" s="3"/>
      <c r="TAL93" s="3"/>
      <c r="TAM93" s="3"/>
      <c r="TAN93" s="3"/>
      <c r="TAO93" s="3"/>
      <c r="TAP93" s="3"/>
      <c r="TAQ93" s="3"/>
      <c r="TAR93" s="3"/>
      <c r="TAS93" s="3"/>
      <c r="TAT93" s="3"/>
      <c r="TAU93" s="3"/>
      <c r="TAV93" s="3"/>
      <c r="TAW93" s="3"/>
      <c r="TAX93" s="3"/>
      <c r="TAY93" s="3"/>
      <c r="TAZ93" s="3"/>
      <c r="TBA93" s="3"/>
      <c r="TBB93" s="3"/>
      <c r="TBC93" s="3"/>
      <c r="TBD93" s="3"/>
      <c r="TBE93" s="3"/>
      <c r="TBF93" s="3"/>
      <c r="TBG93" s="3"/>
      <c r="TBH93" s="3"/>
      <c r="TBI93" s="3"/>
      <c r="TBJ93" s="3"/>
      <c r="TBK93" s="3"/>
      <c r="TBL93" s="3"/>
      <c r="TBM93" s="3"/>
      <c r="TBN93" s="3"/>
      <c r="TBO93" s="3"/>
      <c r="TBP93" s="3"/>
      <c r="TBQ93" s="3"/>
      <c r="TBR93" s="3"/>
      <c r="TBS93" s="3"/>
      <c r="TBT93" s="3"/>
      <c r="TBU93" s="3"/>
      <c r="TBV93" s="3"/>
      <c r="TBW93" s="3"/>
      <c r="TBX93" s="3"/>
      <c r="TBY93" s="3"/>
      <c r="TBZ93" s="3"/>
      <c r="TCA93" s="3"/>
      <c r="TCB93" s="3"/>
      <c r="TCC93" s="3"/>
      <c r="TCD93" s="3"/>
      <c r="TCE93" s="3"/>
      <c r="TCF93" s="3"/>
      <c r="TCG93" s="3"/>
      <c r="TCH93" s="3"/>
      <c r="TCI93" s="3"/>
      <c r="TCJ93" s="3"/>
      <c r="TCK93" s="3"/>
      <c r="TCL93" s="3"/>
      <c r="TCM93" s="3"/>
      <c r="TCN93" s="3"/>
      <c r="TCO93" s="3"/>
      <c r="TCP93" s="3"/>
      <c r="TCQ93" s="3"/>
      <c r="TCR93" s="3"/>
      <c r="TCS93" s="3"/>
      <c r="TCT93" s="3"/>
      <c r="TCU93" s="3"/>
      <c r="TCV93" s="3"/>
      <c r="TCW93" s="3"/>
      <c r="TCX93" s="3"/>
      <c r="TCY93" s="3"/>
      <c r="TCZ93" s="3"/>
      <c r="TDA93" s="3"/>
      <c r="TDB93" s="3"/>
      <c r="TDC93" s="3"/>
      <c r="TDD93" s="3"/>
      <c r="TDE93" s="3"/>
      <c r="TDF93" s="3"/>
      <c r="TDG93" s="3"/>
      <c r="TDH93" s="3"/>
      <c r="TDI93" s="3"/>
      <c r="TDJ93" s="3"/>
      <c r="TDK93" s="3"/>
      <c r="TDL93" s="3"/>
      <c r="TDM93" s="3"/>
      <c r="TDN93" s="3"/>
      <c r="TDO93" s="3"/>
      <c r="TDP93" s="3"/>
      <c r="TDQ93" s="3"/>
      <c r="TDR93" s="3"/>
      <c r="TDS93" s="3"/>
      <c r="TDT93" s="3"/>
      <c r="TDU93" s="3"/>
      <c r="TDV93" s="3"/>
      <c r="TDW93" s="3"/>
      <c r="TDX93" s="3"/>
      <c r="TDY93" s="3"/>
      <c r="TDZ93" s="3"/>
      <c r="TEA93" s="3"/>
      <c r="TEB93" s="3"/>
      <c r="TEC93" s="3"/>
      <c r="TED93" s="3"/>
      <c r="TEE93" s="3"/>
      <c r="TEF93" s="3"/>
      <c r="TEG93" s="3"/>
      <c r="TEH93" s="3"/>
      <c r="TEI93" s="3"/>
      <c r="TEJ93" s="3"/>
      <c r="TEK93" s="3"/>
      <c r="TEL93" s="3"/>
      <c r="TEM93" s="3"/>
      <c r="TEN93" s="3"/>
      <c r="TEO93" s="3"/>
      <c r="TEP93" s="3"/>
      <c r="TEQ93" s="3"/>
      <c r="TER93" s="3"/>
      <c r="TES93" s="3"/>
      <c r="TET93" s="3"/>
      <c r="TEU93" s="3"/>
      <c r="TEV93" s="3"/>
      <c r="TEW93" s="3"/>
      <c r="TEX93" s="3"/>
      <c r="TEY93" s="3"/>
      <c r="TEZ93" s="3"/>
      <c r="TFA93" s="3"/>
      <c r="TFB93" s="3"/>
      <c r="TFC93" s="3"/>
      <c r="TFD93" s="3"/>
      <c r="TFE93" s="3"/>
      <c r="TFF93" s="3"/>
      <c r="TFG93" s="3"/>
      <c r="TFH93" s="3"/>
      <c r="TFI93" s="3"/>
      <c r="TFJ93" s="3"/>
      <c r="TFK93" s="3"/>
      <c r="TFL93" s="3"/>
      <c r="TFM93" s="3"/>
      <c r="TFN93" s="3"/>
      <c r="TFO93" s="3"/>
      <c r="TFP93" s="3"/>
      <c r="TFQ93" s="3"/>
      <c r="TFR93" s="3"/>
      <c r="TFS93" s="3"/>
      <c r="TFT93" s="3"/>
      <c r="TFU93" s="3"/>
      <c r="TFV93" s="3"/>
      <c r="TFW93" s="3"/>
      <c r="TFX93" s="3"/>
      <c r="TFY93" s="3"/>
      <c r="TFZ93" s="3"/>
      <c r="TGA93" s="3"/>
      <c r="TGB93" s="3"/>
      <c r="TGC93" s="3"/>
      <c r="TGD93" s="3"/>
      <c r="TGE93" s="3"/>
      <c r="TGF93" s="3"/>
      <c r="TGG93" s="3"/>
      <c r="TGH93" s="3"/>
      <c r="TGI93" s="3"/>
      <c r="TGJ93" s="3"/>
      <c r="TGK93" s="3"/>
      <c r="TGL93" s="3"/>
      <c r="TGM93" s="3"/>
      <c r="TGN93" s="3"/>
      <c r="TGO93" s="3"/>
      <c r="TGP93" s="3"/>
      <c r="TGQ93" s="3"/>
      <c r="TGR93" s="3"/>
      <c r="TGS93" s="3"/>
      <c r="TGT93" s="3"/>
      <c r="TGU93" s="3"/>
      <c r="TGV93" s="3"/>
      <c r="TGW93" s="3"/>
      <c r="TGX93" s="3"/>
      <c r="TGY93" s="3"/>
      <c r="TGZ93" s="3"/>
      <c r="THA93" s="3"/>
      <c r="THB93" s="3"/>
      <c r="THC93" s="3"/>
      <c r="THD93" s="3"/>
      <c r="THE93" s="3"/>
      <c r="THF93" s="3"/>
      <c r="THG93" s="3"/>
      <c r="THH93" s="3"/>
      <c r="THI93" s="3"/>
      <c r="THJ93" s="3"/>
      <c r="THK93" s="3"/>
      <c r="THL93" s="3"/>
      <c r="THM93" s="3"/>
      <c r="THN93" s="3"/>
      <c r="THO93" s="3"/>
      <c r="THP93" s="3"/>
      <c r="THQ93" s="3"/>
      <c r="THR93" s="3"/>
      <c r="THS93" s="3"/>
      <c r="THT93" s="3"/>
      <c r="THU93" s="3"/>
      <c r="THV93" s="3"/>
      <c r="THW93" s="3"/>
      <c r="THX93" s="3"/>
      <c r="THY93" s="3"/>
      <c r="THZ93" s="3"/>
      <c r="TIA93" s="3"/>
      <c r="TIB93" s="3"/>
      <c r="TIC93" s="3"/>
      <c r="TID93" s="3"/>
      <c r="TIE93" s="3"/>
      <c r="TIF93" s="3"/>
      <c r="TIG93" s="3"/>
      <c r="TIH93" s="3"/>
      <c r="TII93" s="3"/>
      <c r="TIJ93" s="3"/>
      <c r="TIK93" s="3"/>
      <c r="TIL93" s="3"/>
      <c r="TIM93" s="3"/>
      <c r="TIN93" s="3"/>
      <c r="TIO93" s="3"/>
      <c r="TIP93" s="3"/>
      <c r="TIQ93" s="3"/>
      <c r="TIR93" s="3"/>
      <c r="TIS93" s="3"/>
      <c r="TIT93" s="3"/>
      <c r="TIU93" s="3"/>
      <c r="TIV93" s="3"/>
      <c r="TIW93" s="3"/>
      <c r="TIX93" s="3"/>
      <c r="TIY93" s="3"/>
      <c r="TIZ93" s="3"/>
      <c r="TJA93" s="3"/>
      <c r="TJB93" s="3"/>
      <c r="TJC93" s="3"/>
      <c r="TJD93" s="3"/>
      <c r="TJE93" s="3"/>
      <c r="TJF93" s="3"/>
      <c r="TJG93" s="3"/>
      <c r="TJH93" s="3"/>
      <c r="TJI93" s="3"/>
      <c r="TJJ93" s="3"/>
      <c r="TJK93" s="3"/>
      <c r="TJL93" s="3"/>
      <c r="TJM93" s="3"/>
      <c r="TJN93" s="3"/>
      <c r="TJO93" s="3"/>
      <c r="TJP93" s="3"/>
      <c r="TJQ93" s="3"/>
      <c r="TJR93" s="3"/>
      <c r="TJS93" s="3"/>
      <c r="TJT93" s="3"/>
      <c r="TJU93" s="3"/>
      <c r="TJV93" s="3"/>
      <c r="TJW93" s="3"/>
      <c r="TJX93" s="3"/>
      <c r="TJY93" s="3"/>
      <c r="TJZ93" s="3"/>
      <c r="TKA93" s="3"/>
      <c r="TKB93" s="3"/>
      <c r="TKC93" s="3"/>
      <c r="TKD93" s="3"/>
      <c r="TKE93" s="3"/>
      <c r="TKF93" s="3"/>
      <c r="TKG93" s="3"/>
      <c r="TKH93" s="3"/>
      <c r="TKI93" s="3"/>
      <c r="TKJ93" s="3"/>
      <c r="TKK93" s="3"/>
      <c r="TKL93" s="3"/>
      <c r="TKM93" s="3"/>
      <c r="TKN93" s="3"/>
      <c r="TKO93" s="3"/>
      <c r="TKP93" s="3"/>
      <c r="TKQ93" s="3"/>
      <c r="TKR93" s="3"/>
      <c r="TKS93" s="3"/>
      <c r="TKT93" s="3"/>
      <c r="TKU93" s="3"/>
      <c r="TKV93" s="3"/>
      <c r="TKW93" s="3"/>
      <c r="TKX93" s="3"/>
      <c r="TKY93" s="3"/>
      <c r="TKZ93" s="3"/>
      <c r="TLA93" s="3"/>
      <c r="TLB93" s="3"/>
      <c r="TLC93" s="3"/>
      <c r="TLD93" s="3"/>
      <c r="TLE93" s="3"/>
      <c r="TLF93" s="3"/>
      <c r="TLG93" s="3"/>
      <c r="TLH93" s="3"/>
      <c r="TLI93" s="3"/>
      <c r="TLJ93" s="3"/>
      <c r="TLK93" s="3"/>
      <c r="TLL93" s="3"/>
      <c r="TLM93" s="3"/>
      <c r="TLN93" s="3"/>
      <c r="TLO93" s="3"/>
      <c r="TLP93" s="3"/>
      <c r="TLQ93" s="3"/>
      <c r="TLR93" s="3"/>
      <c r="TLS93" s="3"/>
      <c r="TLT93" s="3"/>
      <c r="TLU93" s="3"/>
      <c r="TLV93" s="3"/>
      <c r="TLW93" s="3"/>
      <c r="TLX93" s="3"/>
      <c r="TLY93" s="3"/>
      <c r="TLZ93" s="3"/>
      <c r="TMA93" s="3"/>
      <c r="TMB93" s="3"/>
      <c r="TMC93" s="3"/>
      <c r="TMD93" s="3"/>
      <c r="TME93" s="3"/>
      <c r="TMF93" s="3"/>
      <c r="TMG93" s="3"/>
      <c r="TMH93" s="3"/>
      <c r="TMI93" s="3"/>
      <c r="TMJ93" s="3"/>
      <c r="TMK93" s="3"/>
      <c r="TML93" s="3"/>
      <c r="TMM93" s="3"/>
      <c r="TMN93" s="3"/>
      <c r="TMO93" s="3"/>
      <c r="TMP93" s="3"/>
      <c r="TMQ93" s="3"/>
      <c r="TMR93" s="3"/>
      <c r="TMS93" s="3"/>
      <c r="TMT93" s="3"/>
      <c r="TMU93" s="3"/>
      <c r="TMV93" s="3"/>
      <c r="TMW93" s="3"/>
      <c r="TMX93" s="3"/>
      <c r="TMY93" s="3"/>
      <c r="TMZ93" s="3"/>
      <c r="TNA93" s="3"/>
      <c r="TNB93" s="3"/>
      <c r="TNC93" s="3"/>
      <c r="TND93" s="3"/>
      <c r="TNE93" s="3"/>
      <c r="TNF93" s="3"/>
      <c r="TNG93" s="3"/>
      <c r="TNH93" s="3"/>
      <c r="TNI93" s="3"/>
      <c r="TNJ93" s="3"/>
      <c r="TNK93" s="3"/>
      <c r="TNL93" s="3"/>
      <c r="TNM93" s="3"/>
      <c r="TNN93" s="3"/>
      <c r="TNO93" s="3"/>
      <c r="TNP93" s="3"/>
      <c r="TNQ93" s="3"/>
      <c r="TNR93" s="3"/>
      <c r="TNS93" s="3"/>
      <c r="TNT93" s="3"/>
      <c r="TNU93" s="3"/>
      <c r="TNV93" s="3"/>
      <c r="TNW93" s="3"/>
      <c r="TNX93" s="3"/>
      <c r="TNY93" s="3"/>
      <c r="TNZ93" s="3"/>
      <c r="TOA93" s="3"/>
      <c r="TOB93" s="3"/>
      <c r="TOC93" s="3"/>
      <c r="TOD93" s="3"/>
      <c r="TOE93" s="3"/>
      <c r="TOF93" s="3"/>
      <c r="TOG93" s="3"/>
      <c r="TOH93" s="3"/>
      <c r="TOI93" s="3"/>
      <c r="TOJ93" s="3"/>
      <c r="TOK93" s="3"/>
      <c r="TOL93" s="3"/>
      <c r="TOM93" s="3"/>
      <c r="TON93" s="3"/>
      <c r="TOO93" s="3"/>
      <c r="TOP93" s="3"/>
      <c r="TOQ93" s="3"/>
      <c r="TOR93" s="3"/>
      <c r="TOS93" s="3"/>
      <c r="TOT93" s="3"/>
      <c r="TOU93" s="3"/>
      <c r="TOV93" s="3"/>
      <c r="TOW93" s="3"/>
      <c r="TOX93" s="3"/>
      <c r="TOY93" s="3"/>
      <c r="TOZ93" s="3"/>
      <c r="TPA93" s="3"/>
      <c r="TPB93" s="3"/>
      <c r="TPC93" s="3"/>
      <c r="TPD93" s="3"/>
      <c r="TPE93" s="3"/>
      <c r="TPF93" s="3"/>
      <c r="TPG93" s="3"/>
      <c r="TPH93" s="3"/>
      <c r="TPI93" s="3"/>
      <c r="TPJ93" s="3"/>
      <c r="TPK93" s="3"/>
      <c r="TPL93" s="3"/>
      <c r="TPM93" s="3"/>
      <c r="TPN93" s="3"/>
      <c r="TPO93" s="3"/>
      <c r="TPP93" s="3"/>
      <c r="TPQ93" s="3"/>
      <c r="TPR93" s="3"/>
      <c r="TPS93" s="3"/>
      <c r="TPT93" s="3"/>
      <c r="TPU93" s="3"/>
      <c r="TPV93" s="3"/>
      <c r="TPW93" s="3"/>
      <c r="TPX93" s="3"/>
      <c r="TPY93" s="3"/>
      <c r="TPZ93" s="3"/>
      <c r="TQA93" s="3"/>
      <c r="TQB93" s="3"/>
      <c r="TQC93" s="3"/>
      <c r="TQD93" s="3"/>
      <c r="TQE93" s="3"/>
      <c r="TQF93" s="3"/>
      <c r="TQG93" s="3"/>
      <c r="TQH93" s="3"/>
      <c r="TQI93" s="3"/>
      <c r="TQJ93" s="3"/>
      <c r="TQK93" s="3"/>
      <c r="TQL93" s="3"/>
      <c r="TQM93" s="3"/>
      <c r="TQN93" s="3"/>
      <c r="TQO93" s="3"/>
      <c r="TQP93" s="3"/>
      <c r="TQQ93" s="3"/>
      <c r="TQR93" s="3"/>
      <c r="TQS93" s="3"/>
      <c r="TQT93" s="3"/>
      <c r="TQU93" s="3"/>
      <c r="TQV93" s="3"/>
      <c r="TQW93" s="3"/>
      <c r="TQX93" s="3"/>
      <c r="TQY93" s="3"/>
      <c r="TQZ93" s="3"/>
      <c r="TRA93" s="3"/>
      <c r="TRB93" s="3"/>
      <c r="TRC93" s="3"/>
      <c r="TRD93" s="3"/>
      <c r="TRE93" s="3"/>
      <c r="TRF93" s="3"/>
      <c r="TRG93" s="3"/>
      <c r="TRH93" s="3"/>
      <c r="TRI93" s="3"/>
      <c r="TRJ93" s="3"/>
      <c r="TRK93" s="3"/>
      <c r="TRL93" s="3"/>
      <c r="TRM93" s="3"/>
      <c r="TRN93" s="3"/>
      <c r="TRO93" s="3"/>
      <c r="TRP93" s="3"/>
      <c r="TRQ93" s="3"/>
      <c r="TRR93" s="3"/>
      <c r="TRS93" s="3"/>
      <c r="TRT93" s="3"/>
      <c r="TRU93" s="3"/>
      <c r="TRV93" s="3"/>
      <c r="TRW93" s="3"/>
      <c r="TRX93" s="3"/>
      <c r="TRY93" s="3"/>
      <c r="TRZ93" s="3"/>
      <c r="TSA93" s="3"/>
      <c r="TSB93" s="3"/>
      <c r="TSC93" s="3"/>
      <c r="TSD93" s="3"/>
      <c r="TSE93" s="3"/>
      <c r="TSF93" s="3"/>
      <c r="TSG93" s="3"/>
      <c r="TSH93" s="3"/>
      <c r="TSI93" s="3"/>
      <c r="TSJ93" s="3"/>
      <c r="TSK93" s="3"/>
      <c r="TSL93" s="3"/>
      <c r="TSM93" s="3"/>
      <c r="TSN93" s="3"/>
      <c r="TSO93" s="3"/>
      <c r="TSP93" s="3"/>
      <c r="TSQ93" s="3"/>
      <c r="TSR93" s="3"/>
      <c r="TSS93" s="3"/>
      <c r="TST93" s="3"/>
      <c r="TSU93" s="3"/>
      <c r="TSV93" s="3"/>
      <c r="TSW93" s="3"/>
      <c r="TSX93" s="3"/>
      <c r="TSY93" s="3"/>
      <c r="TSZ93" s="3"/>
      <c r="TTA93" s="3"/>
      <c r="TTB93" s="3"/>
      <c r="TTC93" s="3"/>
      <c r="TTD93" s="3"/>
      <c r="TTE93" s="3"/>
      <c r="TTF93" s="3"/>
      <c r="TTG93" s="3"/>
      <c r="TTH93" s="3"/>
      <c r="TTI93" s="3"/>
      <c r="TTJ93" s="3"/>
      <c r="TTK93" s="3"/>
      <c r="TTL93" s="3"/>
      <c r="TTM93" s="3"/>
      <c r="TTN93" s="3"/>
      <c r="TTO93" s="3"/>
      <c r="TTP93" s="3"/>
      <c r="TTQ93" s="3"/>
      <c r="TTR93" s="3"/>
      <c r="TTS93" s="3"/>
      <c r="TTT93" s="3"/>
      <c r="TTU93" s="3"/>
      <c r="TTV93" s="3"/>
      <c r="TTW93" s="3"/>
      <c r="TTX93" s="3"/>
      <c r="TTY93" s="3"/>
      <c r="TTZ93" s="3"/>
      <c r="TUA93" s="3"/>
      <c r="TUB93" s="3"/>
      <c r="TUC93" s="3"/>
      <c r="TUD93" s="3"/>
      <c r="TUE93" s="3"/>
      <c r="TUF93" s="3"/>
      <c r="TUG93" s="3"/>
      <c r="TUH93" s="3"/>
      <c r="TUI93" s="3"/>
      <c r="TUJ93" s="3"/>
      <c r="TUK93" s="3"/>
      <c r="TUL93" s="3"/>
      <c r="TUM93" s="3"/>
      <c r="TUN93" s="3"/>
      <c r="TUO93" s="3"/>
      <c r="TUP93" s="3"/>
      <c r="TUQ93" s="3"/>
      <c r="TUR93" s="3"/>
      <c r="TUS93" s="3"/>
      <c r="TUT93" s="3"/>
      <c r="TUU93" s="3"/>
      <c r="TUV93" s="3"/>
      <c r="TUW93" s="3"/>
      <c r="TUX93" s="3"/>
      <c r="TUY93" s="3"/>
      <c r="TUZ93" s="3"/>
      <c r="TVA93" s="3"/>
      <c r="TVB93" s="3"/>
      <c r="TVC93" s="3"/>
      <c r="TVD93" s="3"/>
      <c r="TVE93" s="3"/>
      <c r="TVF93" s="3"/>
      <c r="TVG93" s="3"/>
      <c r="TVH93" s="3"/>
      <c r="TVI93" s="3"/>
      <c r="TVJ93" s="3"/>
      <c r="TVK93" s="3"/>
      <c r="TVL93" s="3"/>
      <c r="TVM93" s="3"/>
      <c r="TVN93" s="3"/>
      <c r="TVO93" s="3"/>
      <c r="TVP93" s="3"/>
      <c r="TVQ93" s="3"/>
      <c r="TVR93" s="3"/>
      <c r="TVS93" s="3"/>
      <c r="TVT93" s="3"/>
      <c r="TVU93" s="3"/>
      <c r="TVV93" s="3"/>
      <c r="TVW93" s="3"/>
      <c r="TVX93" s="3"/>
      <c r="TVY93" s="3"/>
      <c r="TVZ93" s="3"/>
      <c r="TWA93" s="3"/>
      <c r="TWB93" s="3"/>
      <c r="TWC93" s="3"/>
      <c r="TWD93" s="3"/>
      <c r="TWE93" s="3"/>
      <c r="TWF93" s="3"/>
      <c r="TWG93" s="3"/>
      <c r="TWH93" s="3"/>
      <c r="TWI93" s="3"/>
      <c r="TWJ93" s="3"/>
      <c r="TWK93" s="3"/>
      <c r="TWL93" s="3"/>
      <c r="TWM93" s="3"/>
      <c r="TWN93" s="3"/>
      <c r="TWO93" s="3"/>
      <c r="TWP93" s="3"/>
      <c r="TWQ93" s="3"/>
      <c r="TWR93" s="3"/>
      <c r="TWS93" s="3"/>
      <c r="TWT93" s="3"/>
      <c r="TWU93" s="3"/>
      <c r="TWV93" s="3"/>
      <c r="TWW93" s="3"/>
      <c r="TWX93" s="3"/>
      <c r="TWY93" s="3"/>
      <c r="TWZ93" s="3"/>
      <c r="TXA93" s="3"/>
      <c r="TXB93" s="3"/>
      <c r="TXC93" s="3"/>
      <c r="TXD93" s="3"/>
      <c r="TXE93" s="3"/>
      <c r="TXF93" s="3"/>
      <c r="TXG93" s="3"/>
      <c r="TXH93" s="3"/>
      <c r="TXI93" s="3"/>
      <c r="TXJ93" s="3"/>
      <c r="TXK93" s="3"/>
      <c r="TXL93" s="3"/>
      <c r="TXM93" s="3"/>
      <c r="TXN93" s="3"/>
      <c r="TXO93" s="3"/>
      <c r="TXP93" s="3"/>
      <c r="TXQ93" s="3"/>
      <c r="TXR93" s="3"/>
      <c r="TXS93" s="3"/>
      <c r="TXT93" s="3"/>
      <c r="TXU93" s="3"/>
      <c r="TXV93" s="3"/>
      <c r="TXW93" s="3"/>
      <c r="TXX93" s="3"/>
      <c r="TXY93" s="3"/>
      <c r="TXZ93" s="3"/>
      <c r="TYA93" s="3"/>
      <c r="TYB93" s="3"/>
      <c r="TYC93" s="3"/>
      <c r="TYD93" s="3"/>
      <c r="TYE93" s="3"/>
      <c r="TYF93" s="3"/>
      <c r="TYG93" s="3"/>
      <c r="TYH93" s="3"/>
      <c r="TYI93" s="3"/>
      <c r="TYJ93" s="3"/>
      <c r="TYK93" s="3"/>
      <c r="TYL93" s="3"/>
      <c r="TYM93" s="3"/>
      <c r="TYN93" s="3"/>
      <c r="TYO93" s="3"/>
      <c r="TYP93" s="3"/>
      <c r="TYQ93" s="3"/>
      <c r="TYR93" s="3"/>
      <c r="TYS93" s="3"/>
      <c r="TYT93" s="3"/>
      <c r="TYU93" s="3"/>
      <c r="TYV93" s="3"/>
      <c r="TYW93" s="3"/>
      <c r="TYX93" s="3"/>
      <c r="TYY93" s="3"/>
      <c r="TYZ93" s="3"/>
      <c r="TZA93" s="3"/>
      <c r="TZB93" s="3"/>
      <c r="TZC93" s="3"/>
      <c r="TZD93" s="3"/>
      <c r="TZE93" s="3"/>
      <c r="TZF93" s="3"/>
      <c r="TZG93" s="3"/>
      <c r="TZH93" s="3"/>
      <c r="TZI93" s="3"/>
      <c r="TZJ93" s="3"/>
      <c r="TZK93" s="3"/>
      <c r="TZL93" s="3"/>
      <c r="TZM93" s="3"/>
      <c r="TZN93" s="3"/>
      <c r="TZO93" s="3"/>
      <c r="TZP93" s="3"/>
      <c r="TZQ93" s="3"/>
      <c r="TZR93" s="3"/>
      <c r="TZS93" s="3"/>
      <c r="TZT93" s="3"/>
      <c r="TZU93" s="3"/>
      <c r="TZV93" s="3"/>
      <c r="TZW93" s="3"/>
      <c r="TZX93" s="3"/>
      <c r="TZY93" s="3"/>
      <c r="TZZ93" s="3"/>
      <c r="UAA93" s="3"/>
      <c r="UAB93" s="3"/>
      <c r="UAC93" s="3"/>
      <c r="UAD93" s="3"/>
      <c r="UAE93" s="3"/>
      <c r="UAF93" s="3"/>
      <c r="UAG93" s="3"/>
      <c r="UAH93" s="3"/>
      <c r="UAI93" s="3"/>
      <c r="UAJ93" s="3"/>
      <c r="UAK93" s="3"/>
      <c r="UAL93" s="3"/>
      <c r="UAM93" s="3"/>
      <c r="UAN93" s="3"/>
      <c r="UAO93" s="3"/>
      <c r="UAP93" s="3"/>
      <c r="UAQ93" s="3"/>
      <c r="UAR93" s="3"/>
      <c r="UAS93" s="3"/>
      <c r="UAT93" s="3"/>
      <c r="UAU93" s="3"/>
      <c r="UAV93" s="3"/>
      <c r="UAW93" s="3"/>
      <c r="UAX93" s="3"/>
      <c r="UAY93" s="3"/>
      <c r="UAZ93" s="3"/>
      <c r="UBA93" s="3"/>
      <c r="UBB93" s="3"/>
      <c r="UBC93" s="3"/>
      <c r="UBD93" s="3"/>
      <c r="UBE93" s="3"/>
      <c r="UBF93" s="3"/>
      <c r="UBG93" s="3"/>
      <c r="UBH93" s="3"/>
      <c r="UBI93" s="3"/>
      <c r="UBJ93" s="3"/>
      <c r="UBK93" s="3"/>
      <c r="UBL93" s="3"/>
      <c r="UBM93" s="3"/>
      <c r="UBN93" s="3"/>
      <c r="UBO93" s="3"/>
      <c r="UBP93" s="3"/>
      <c r="UBQ93" s="3"/>
      <c r="UBR93" s="3"/>
      <c r="UBS93" s="3"/>
      <c r="UBT93" s="3"/>
      <c r="UBU93" s="3"/>
      <c r="UBV93" s="3"/>
      <c r="UBW93" s="3"/>
      <c r="UBX93" s="3"/>
      <c r="UBY93" s="3"/>
      <c r="UBZ93" s="3"/>
      <c r="UCA93" s="3"/>
      <c r="UCB93" s="3"/>
      <c r="UCC93" s="3"/>
      <c r="UCD93" s="3"/>
      <c r="UCE93" s="3"/>
      <c r="UCF93" s="3"/>
      <c r="UCG93" s="3"/>
      <c r="UCH93" s="3"/>
      <c r="UCI93" s="3"/>
      <c r="UCJ93" s="3"/>
      <c r="UCK93" s="3"/>
      <c r="UCL93" s="3"/>
      <c r="UCM93" s="3"/>
      <c r="UCN93" s="3"/>
      <c r="UCO93" s="3"/>
      <c r="UCP93" s="3"/>
      <c r="UCQ93" s="3"/>
      <c r="UCR93" s="3"/>
      <c r="UCS93" s="3"/>
      <c r="UCT93" s="3"/>
      <c r="UCU93" s="3"/>
      <c r="UCV93" s="3"/>
      <c r="UCW93" s="3"/>
      <c r="UCX93" s="3"/>
      <c r="UCY93" s="3"/>
      <c r="UCZ93" s="3"/>
      <c r="UDA93" s="3"/>
      <c r="UDB93" s="3"/>
      <c r="UDC93" s="3"/>
      <c r="UDD93" s="3"/>
      <c r="UDE93" s="3"/>
      <c r="UDF93" s="3"/>
      <c r="UDG93" s="3"/>
      <c r="UDH93" s="3"/>
      <c r="UDI93" s="3"/>
      <c r="UDJ93" s="3"/>
      <c r="UDK93" s="3"/>
      <c r="UDL93" s="3"/>
      <c r="UDM93" s="3"/>
      <c r="UDN93" s="3"/>
      <c r="UDO93" s="3"/>
      <c r="UDP93" s="3"/>
      <c r="UDQ93" s="3"/>
      <c r="UDR93" s="3"/>
      <c r="UDS93" s="3"/>
      <c r="UDT93" s="3"/>
      <c r="UDU93" s="3"/>
      <c r="UDV93" s="3"/>
      <c r="UDW93" s="3"/>
      <c r="UDX93" s="3"/>
      <c r="UDY93" s="3"/>
      <c r="UDZ93" s="3"/>
      <c r="UEA93" s="3"/>
      <c r="UEB93" s="3"/>
      <c r="UEC93" s="3"/>
      <c r="UED93" s="3"/>
      <c r="UEE93" s="3"/>
      <c r="UEF93" s="3"/>
      <c r="UEG93" s="3"/>
      <c r="UEH93" s="3"/>
      <c r="UEI93" s="3"/>
      <c r="UEJ93" s="3"/>
      <c r="UEK93" s="3"/>
      <c r="UEL93" s="3"/>
      <c r="UEM93" s="3"/>
      <c r="UEN93" s="3"/>
      <c r="UEO93" s="3"/>
      <c r="UEP93" s="3"/>
      <c r="UEQ93" s="3"/>
      <c r="UER93" s="3"/>
      <c r="UES93" s="3"/>
      <c r="UET93" s="3"/>
      <c r="UEU93" s="3"/>
      <c r="UEV93" s="3"/>
      <c r="UEW93" s="3"/>
      <c r="UEX93" s="3"/>
      <c r="UEY93" s="3"/>
      <c r="UEZ93" s="3"/>
      <c r="UFA93" s="3"/>
      <c r="UFB93" s="3"/>
      <c r="UFC93" s="3"/>
      <c r="UFD93" s="3"/>
      <c r="UFE93" s="3"/>
      <c r="UFF93" s="3"/>
      <c r="UFG93" s="3"/>
      <c r="UFH93" s="3"/>
      <c r="UFI93" s="3"/>
      <c r="UFJ93" s="3"/>
      <c r="UFK93" s="3"/>
      <c r="UFL93" s="3"/>
      <c r="UFM93" s="3"/>
      <c r="UFN93" s="3"/>
      <c r="UFO93" s="3"/>
      <c r="UFP93" s="3"/>
      <c r="UFQ93" s="3"/>
      <c r="UFR93" s="3"/>
      <c r="UFS93" s="3"/>
      <c r="UFT93" s="3"/>
      <c r="UFU93" s="3"/>
      <c r="UFV93" s="3"/>
      <c r="UFW93" s="3"/>
      <c r="UFX93" s="3"/>
      <c r="UFY93" s="3"/>
      <c r="UFZ93" s="3"/>
      <c r="UGA93" s="3"/>
      <c r="UGB93" s="3"/>
      <c r="UGC93" s="3"/>
      <c r="UGD93" s="3"/>
      <c r="UGE93" s="3"/>
      <c r="UGF93" s="3"/>
      <c r="UGG93" s="3"/>
      <c r="UGH93" s="3"/>
      <c r="UGI93" s="3"/>
      <c r="UGJ93" s="3"/>
      <c r="UGK93" s="3"/>
      <c r="UGL93" s="3"/>
      <c r="UGM93" s="3"/>
      <c r="UGN93" s="3"/>
      <c r="UGO93" s="3"/>
      <c r="UGP93" s="3"/>
      <c r="UGQ93" s="3"/>
      <c r="UGR93" s="3"/>
      <c r="UGS93" s="3"/>
      <c r="UGT93" s="3"/>
      <c r="UGU93" s="3"/>
      <c r="UGV93" s="3"/>
      <c r="UGW93" s="3"/>
      <c r="UGX93" s="3"/>
      <c r="UGY93" s="3"/>
      <c r="UGZ93" s="3"/>
      <c r="UHA93" s="3"/>
      <c r="UHB93" s="3"/>
      <c r="UHC93" s="3"/>
      <c r="UHD93" s="3"/>
      <c r="UHE93" s="3"/>
      <c r="UHF93" s="3"/>
      <c r="UHG93" s="3"/>
      <c r="UHH93" s="3"/>
      <c r="UHI93" s="3"/>
      <c r="UHJ93" s="3"/>
      <c r="UHK93" s="3"/>
      <c r="UHL93" s="3"/>
      <c r="UHM93" s="3"/>
      <c r="UHN93" s="3"/>
      <c r="UHO93" s="3"/>
      <c r="UHP93" s="3"/>
      <c r="UHQ93" s="3"/>
      <c r="UHR93" s="3"/>
      <c r="UHS93" s="3"/>
      <c r="UHT93" s="3"/>
      <c r="UHU93" s="3"/>
      <c r="UHV93" s="3"/>
      <c r="UHW93" s="3"/>
      <c r="UHX93" s="3"/>
      <c r="UHY93" s="3"/>
      <c r="UHZ93" s="3"/>
      <c r="UIA93" s="3"/>
      <c r="UIB93" s="3"/>
      <c r="UIC93" s="3"/>
      <c r="UID93" s="3"/>
      <c r="UIE93" s="3"/>
      <c r="UIF93" s="3"/>
      <c r="UIG93" s="3"/>
      <c r="UIH93" s="3"/>
      <c r="UII93" s="3"/>
      <c r="UIJ93" s="3"/>
      <c r="UIK93" s="3"/>
      <c r="UIL93" s="3"/>
      <c r="UIM93" s="3"/>
      <c r="UIN93" s="3"/>
      <c r="UIO93" s="3"/>
      <c r="UIP93" s="3"/>
      <c r="UIQ93" s="3"/>
      <c r="UIR93" s="3"/>
      <c r="UIS93" s="3"/>
      <c r="UIT93" s="3"/>
      <c r="UIU93" s="3"/>
      <c r="UIV93" s="3"/>
      <c r="UIW93" s="3"/>
      <c r="UIX93" s="3"/>
      <c r="UIY93" s="3"/>
      <c r="UIZ93" s="3"/>
      <c r="UJA93" s="3"/>
      <c r="UJB93" s="3"/>
      <c r="UJC93" s="3"/>
      <c r="UJD93" s="3"/>
      <c r="UJE93" s="3"/>
      <c r="UJF93" s="3"/>
      <c r="UJG93" s="3"/>
      <c r="UJH93" s="3"/>
      <c r="UJI93" s="3"/>
      <c r="UJJ93" s="3"/>
      <c r="UJK93" s="3"/>
      <c r="UJL93" s="3"/>
      <c r="UJM93" s="3"/>
      <c r="UJN93" s="3"/>
      <c r="UJO93" s="3"/>
      <c r="UJP93" s="3"/>
      <c r="UJQ93" s="3"/>
      <c r="UJR93" s="3"/>
      <c r="UJS93" s="3"/>
      <c r="UJT93" s="3"/>
      <c r="UJU93" s="3"/>
      <c r="UJV93" s="3"/>
      <c r="UJW93" s="3"/>
      <c r="UJX93" s="3"/>
      <c r="UJY93" s="3"/>
      <c r="UJZ93" s="3"/>
      <c r="UKA93" s="3"/>
      <c r="UKB93" s="3"/>
      <c r="UKC93" s="3"/>
      <c r="UKD93" s="3"/>
      <c r="UKE93" s="3"/>
      <c r="UKF93" s="3"/>
      <c r="UKG93" s="3"/>
      <c r="UKH93" s="3"/>
      <c r="UKI93" s="3"/>
      <c r="UKJ93" s="3"/>
      <c r="UKK93" s="3"/>
      <c r="UKL93" s="3"/>
      <c r="UKM93" s="3"/>
      <c r="UKN93" s="3"/>
      <c r="UKO93" s="3"/>
      <c r="UKP93" s="3"/>
      <c r="UKQ93" s="3"/>
      <c r="UKR93" s="3"/>
      <c r="UKS93" s="3"/>
      <c r="UKT93" s="3"/>
      <c r="UKU93" s="3"/>
      <c r="UKV93" s="3"/>
      <c r="UKW93" s="3"/>
      <c r="UKX93" s="3"/>
      <c r="UKY93" s="3"/>
      <c r="UKZ93" s="3"/>
      <c r="ULA93" s="3"/>
      <c r="ULB93" s="3"/>
      <c r="ULC93" s="3"/>
      <c r="ULD93" s="3"/>
      <c r="ULE93" s="3"/>
      <c r="ULF93" s="3"/>
      <c r="ULG93" s="3"/>
      <c r="ULH93" s="3"/>
      <c r="ULI93" s="3"/>
      <c r="ULJ93" s="3"/>
      <c r="ULK93" s="3"/>
      <c r="ULL93" s="3"/>
      <c r="ULM93" s="3"/>
      <c r="ULN93" s="3"/>
      <c r="ULO93" s="3"/>
      <c r="ULP93" s="3"/>
      <c r="ULQ93" s="3"/>
      <c r="ULR93" s="3"/>
      <c r="ULS93" s="3"/>
      <c r="ULT93" s="3"/>
      <c r="ULU93" s="3"/>
      <c r="ULV93" s="3"/>
      <c r="ULW93" s="3"/>
      <c r="ULX93" s="3"/>
      <c r="ULY93" s="3"/>
      <c r="ULZ93" s="3"/>
      <c r="UMA93" s="3"/>
      <c r="UMB93" s="3"/>
      <c r="UMC93" s="3"/>
      <c r="UMD93" s="3"/>
      <c r="UME93" s="3"/>
      <c r="UMF93" s="3"/>
      <c r="UMG93" s="3"/>
      <c r="UMH93" s="3"/>
      <c r="UMI93" s="3"/>
      <c r="UMJ93" s="3"/>
      <c r="UMK93" s="3"/>
      <c r="UML93" s="3"/>
      <c r="UMM93" s="3"/>
      <c r="UMN93" s="3"/>
      <c r="UMO93" s="3"/>
      <c r="UMP93" s="3"/>
      <c r="UMQ93" s="3"/>
      <c r="UMR93" s="3"/>
      <c r="UMS93" s="3"/>
      <c r="UMT93" s="3"/>
      <c r="UMU93" s="3"/>
      <c r="UMV93" s="3"/>
      <c r="UMW93" s="3"/>
      <c r="UMX93" s="3"/>
      <c r="UMY93" s="3"/>
      <c r="UMZ93" s="3"/>
      <c r="UNA93" s="3"/>
      <c r="UNB93" s="3"/>
      <c r="UNC93" s="3"/>
      <c r="UND93" s="3"/>
      <c r="UNE93" s="3"/>
      <c r="UNF93" s="3"/>
      <c r="UNG93" s="3"/>
      <c r="UNH93" s="3"/>
      <c r="UNI93" s="3"/>
      <c r="UNJ93" s="3"/>
      <c r="UNK93" s="3"/>
      <c r="UNL93" s="3"/>
      <c r="UNM93" s="3"/>
      <c r="UNN93" s="3"/>
      <c r="UNO93" s="3"/>
      <c r="UNP93" s="3"/>
      <c r="UNQ93" s="3"/>
      <c r="UNR93" s="3"/>
      <c r="UNS93" s="3"/>
      <c r="UNT93" s="3"/>
      <c r="UNU93" s="3"/>
      <c r="UNV93" s="3"/>
      <c r="UNW93" s="3"/>
      <c r="UNX93" s="3"/>
      <c r="UNY93" s="3"/>
      <c r="UNZ93" s="3"/>
      <c r="UOA93" s="3"/>
      <c r="UOB93" s="3"/>
      <c r="UOC93" s="3"/>
      <c r="UOD93" s="3"/>
      <c r="UOE93" s="3"/>
      <c r="UOF93" s="3"/>
      <c r="UOG93" s="3"/>
      <c r="UOH93" s="3"/>
      <c r="UOI93" s="3"/>
      <c r="UOJ93" s="3"/>
      <c r="UOK93" s="3"/>
      <c r="UOL93" s="3"/>
      <c r="UOM93" s="3"/>
      <c r="UON93" s="3"/>
      <c r="UOO93" s="3"/>
      <c r="UOP93" s="3"/>
      <c r="UOQ93" s="3"/>
      <c r="UOR93" s="3"/>
      <c r="UOS93" s="3"/>
      <c r="UOT93" s="3"/>
      <c r="UOU93" s="3"/>
      <c r="UOV93" s="3"/>
      <c r="UOW93" s="3"/>
      <c r="UOX93" s="3"/>
      <c r="UOY93" s="3"/>
      <c r="UOZ93" s="3"/>
      <c r="UPA93" s="3"/>
      <c r="UPB93" s="3"/>
      <c r="UPC93" s="3"/>
      <c r="UPD93" s="3"/>
      <c r="UPE93" s="3"/>
      <c r="UPF93" s="3"/>
      <c r="UPG93" s="3"/>
      <c r="UPH93" s="3"/>
      <c r="UPI93" s="3"/>
      <c r="UPJ93" s="3"/>
      <c r="UPK93" s="3"/>
      <c r="UPL93" s="3"/>
      <c r="UPM93" s="3"/>
      <c r="UPN93" s="3"/>
      <c r="UPO93" s="3"/>
      <c r="UPP93" s="3"/>
      <c r="UPQ93" s="3"/>
      <c r="UPR93" s="3"/>
      <c r="UPS93" s="3"/>
      <c r="UPT93" s="3"/>
      <c r="UPU93" s="3"/>
      <c r="UPV93" s="3"/>
      <c r="UPW93" s="3"/>
      <c r="UPX93" s="3"/>
      <c r="UPY93" s="3"/>
      <c r="UPZ93" s="3"/>
      <c r="UQA93" s="3"/>
      <c r="UQB93" s="3"/>
      <c r="UQC93" s="3"/>
      <c r="UQD93" s="3"/>
      <c r="UQE93" s="3"/>
      <c r="UQF93" s="3"/>
      <c r="UQG93" s="3"/>
      <c r="UQH93" s="3"/>
      <c r="UQI93" s="3"/>
      <c r="UQJ93" s="3"/>
      <c r="UQK93" s="3"/>
      <c r="UQL93" s="3"/>
      <c r="UQM93" s="3"/>
      <c r="UQN93" s="3"/>
      <c r="UQO93" s="3"/>
      <c r="UQP93" s="3"/>
      <c r="UQQ93" s="3"/>
      <c r="UQR93" s="3"/>
      <c r="UQS93" s="3"/>
      <c r="UQT93" s="3"/>
      <c r="UQU93" s="3"/>
      <c r="UQV93" s="3"/>
      <c r="UQW93" s="3"/>
      <c r="UQX93" s="3"/>
      <c r="UQY93" s="3"/>
      <c r="UQZ93" s="3"/>
      <c r="URA93" s="3"/>
      <c r="URB93" s="3"/>
      <c r="URC93" s="3"/>
      <c r="URD93" s="3"/>
      <c r="URE93" s="3"/>
      <c r="URF93" s="3"/>
      <c r="URG93" s="3"/>
      <c r="URH93" s="3"/>
      <c r="URI93" s="3"/>
      <c r="URJ93" s="3"/>
      <c r="URK93" s="3"/>
      <c r="URL93" s="3"/>
      <c r="URM93" s="3"/>
      <c r="URN93" s="3"/>
      <c r="URO93" s="3"/>
      <c r="URP93" s="3"/>
      <c r="URQ93" s="3"/>
      <c r="URR93" s="3"/>
      <c r="URS93" s="3"/>
      <c r="URT93" s="3"/>
      <c r="URU93" s="3"/>
      <c r="URV93" s="3"/>
      <c r="URW93" s="3"/>
      <c r="URX93" s="3"/>
      <c r="URY93" s="3"/>
      <c r="URZ93" s="3"/>
      <c r="USA93" s="3"/>
      <c r="USB93" s="3"/>
      <c r="USC93" s="3"/>
      <c r="USD93" s="3"/>
      <c r="USE93" s="3"/>
      <c r="USF93" s="3"/>
      <c r="USG93" s="3"/>
      <c r="USH93" s="3"/>
      <c r="USI93" s="3"/>
      <c r="USJ93" s="3"/>
      <c r="USK93" s="3"/>
      <c r="USL93" s="3"/>
      <c r="USM93" s="3"/>
      <c r="USN93" s="3"/>
      <c r="USO93" s="3"/>
      <c r="USP93" s="3"/>
      <c r="USQ93" s="3"/>
      <c r="USR93" s="3"/>
      <c r="USS93" s="3"/>
      <c r="UST93" s="3"/>
      <c r="USU93" s="3"/>
      <c r="USV93" s="3"/>
      <c r="USW93" s="3"/>
      <c r="USX93" s="3"/>
      <c r="USY93" s="3"/>
      <c r="USZ93" s="3"/>
      <c r="UTA93" s="3"/>
      <c r="UTB93" s="3"/>
      <c r="UTC93" s="3"/>
      <c r="UTD93" s="3"/>
      <c r="UTE93" s="3"/>
      <c r="UTF93" s="3"/>
      <c r="UTG93" s="3"/>
      <c r="UTH93" s="3"/>
      <c r="UTI93" s="3"/>
      <c r="UTJ93" s="3"/>
      <c r="UTK93" s="3"/>
      <c r="UTL93" s="3"/>
      <c r="UTM93" s="3"/>
      <c r="UTN93" s="3"/>
      <c r="UTO93" s="3"/>
      <c r="UTP93" s="3"/>
      <c r="UTQ93" s="3"/>
      <c r="UTR93" s="3"/>
      <c r="UTS93" s="3"/>
      <c r="UTT93" s="3"/>
      <c r="UTU93" s="3"/>
      <c r="UTV93" s="3"/>
      <c r="UTW93" s="3"/>
      <c r="UTX93" s="3"/>
      <c r="UTY93" s="3"/>
      <c r="UTZ93" s="3"/>
      <c r="UUA93" s="3"/>
      <c r="UUB93" s="3"/>
      <c r="UUC93" s="3"/>
      <c r="UUD93" s="3"/>
      <c r="UUE93" s="3"/>
      <c r="UUF93" s="3"/>
      <c r="UUG93" s="3"/>
      <c r="UUH93" s="3"/>
      <c r="UUI93" s="3"/>
      <c r="UUJ93" s="3"/>
      <c r="UUK93" s="3"/>
      <c r="UUL93" s="3"/>
      <c r="UUM93" s="3"/>
      <c r="UUN93" s="3"/>
      <c r="UUO93" s="3"/>
      <c r="UUP93" s="3"/>
      <c r="UUQ93" s="3"/>
      <c r="UUR93" s="3"/>
      <c r="UUS93" s="3"/>
      <c r="UUT93" s="3"/>
      <c r="UUU93" s="3"/>
      <c r="UUV93" s="3"/>
      <c r="UUW93" s="3"/>
      <c r="UUX93" s="3"/>
      <c r="UUY93" s="3"/>
      <c r="UUZ93" s="3"/>
      <c r="UVA93" s="3"/>
      <c r="UVB93" s="3"/>
      <c r="UVC93" s="3"/>
      <c r="UVD93" s="3"/>
      <c r="UVE93" s="3"/>
      <c r="UVF93" s="3"/>
      <c r="UVG93" s="3"/>
      <c r="UVH93" s="3"/>
      <c r="UVI93" s="3"/>
      <c r="UVJ93" s="3"/>
      <c r="UVK93" s="3"/>
      <c r="UVL93" s="3"/>
      <c r="UVM93" s="3"/>
      <c r="UVN93" s="3"/>
      <c r="UVO93" s="3"/>
      <c r="UVP93" s="3"/>
      <c r="UVQ93" s="3"/>
      <c r="UVR93" s="3"/>
      <c r="UVS93" s="3"/>
      <c r="UVT93" s="3"/>
      <c r="UVU93" s="3"/>
      <c r="UVV93" s="3"/>
      <c r="UVW93" s="3"/>
      <c r="UVX93" s="3"/>
      <c r="UVY93" s="3"/>
      <c r="UVZ93" s="3"/>
      <c r="UWA93" s="3"/>
      <c r="UWB93" s="3"/>
      <c r="UWC93" s="3"/>
      <c r="UWD93" s="3"/>
      <c r="UWE93" s="3"/>
      <c r="UWF93" s="3"/>
      <c r="UWG93" s="3"/>
      <c r="UWH93" s="3"/>
      <c r="UWI93" s="3"/>
      <c r="UWJ93" s="3"/>
      <c r="UWK93" s="3"/>
      <c r="UWL93" s="3"/>
      <c r="UWM93" s="3"/>
      <c r="UWN93" s="3"/>
      <c r="UWO93" s="3"/>
      <c r="UWP93" s="3"/>
      <c r="UWQ93" s="3"/>
      <c r="UWR93" s="3"/>
      <c r="UWS93" s="3"/>
      <c r="UWT93" s="3"/>
      <c r="UWU93" s="3"/>
      <c r="UWV93" s="3"/>
      <c r="UWW93" s="3"/>
      <c r="UWX93" s="3"/>
      <c r="UWY93" s="3"/>
      <c r="UWZ93" s="3"/>
      <c r="UXA93" s="3"/>
      <c r="UXB93" s="3"/>
      <c r="UXC93" s="3"/>
      <c r="UXD93" s="3"/>
      <c r="UXE93" s="3"/>
      <c r="UXF93" s="3"/>
      <c r="UXG93" s="3"/>
      <c r="UXH93" s="3"/>
      <c r="UXI93" s="3"/>
      <c r="UXJ93" s="3"/>
      <c r="UXK93" s="3"/>
      <c r="UXL93" s="3"/>
      <c r="UXM93" s="3"/>
      <c r="UXN93" s="3"/>
      <c r="UXO93" s="3"/>
      <c r="UXP93" s="3"/>
      <c r="UXQ93" s="3"/>
      <c r="UXR93" s="3"/>
      <c r="UXS93" s="3"/>
      <c r="UXT93" s="3"/>
      <c r="UXU93" s="3"/>
      <c r="UXV93" s="3"/>
      <c r="UXW93" s="3"/>
      <c r="UXX93" s="3"/>
      <c r="UXY93" s="3"/>
      <c r="UXZ93" s="3"/>
      <c r="UYA93" s="3"/>
      <c r="UYB93" s="3"/>
      <c r="UYC93" s="3"/>
      <c r="UYD93" s="3"/>
      <c r="UYE93" s="3"/>
      <c r="UYF93" s="3"/>
      <c r="UYG93" s="3"/>
      <c r="UYH93" s="3"/>
      <c r="UYI93" s="3"/>
      <c r="UYJ93" s="3"/>
      <c r="UYK93" s="3"/>
      <c r="UYL93" s="3"/>
      <c r="UYM93" s="3"/>
      <c r="UYN93" s="3"/>
      <c r="UYO93" s="3"/>
      <c r="UYP93" s="3"/>
      <c r="UYQ93" s="3"/>
      <c r="UYR93" s="3"/>
      <c r="UYS93" s="3"/>
      <c r="UYT93" s="3"/>
      <c r="UYU93" s="3"/>
      <c r="UYV93" s="3"/>
      <c r="UYW93" s="3"/>
      <c r="UYX93" s="3"/>
      <c r="UYY93" s="3"/>
      <c r="UYZ93" s="3"/>
      <c r="UZA93" s="3"/>
      <c r="UZB93" s="3"/>
      <c r="UZC93" s="3"/>
      <c r="UZD93" s="3"/>
      <c r="UZE93" s="3"/>
      <c r="UZF93" s="3"/>
      <c r="UZG93" s="3"/>
      <c r="UZH93" s="3"/>
      <c r="UZI93" s="3"/>
      <c r="UZJ93" s="3"/>
      <c r="UZK93" s="3"/>
      <c r="UZL93" s="3"/>
      <c r="UZM93" s="3"/>
      <c r="UZN93" s="3"/>
      <c r="UZO93" s="3"/>
      <c r="UZP93" s="3"/>
      <c r="UZQ93" s="3"/>
      <c r="UZR93" s="3"/>
      <c r="UZS93" s="3"/>
      <c r="UZT93" s="3"/>
      <c r="UZU93" s="3"/>
      <c r="UZV93" s="3"/>
      <c r="UZW93" s="3"/>
      <c r="UZX93" s="3"/>
      <c r="UZY93" s="3"/>
      <c r="UZZ93" s="3"/>
      <c r="VAA93" s="3"/>
      <c r="VAB93" s="3"/>
      <c r="VAC93" s="3"/>
      <c r="VAD93" s="3"/>
      <c r="VAE93" s="3"/>
      <c r="VAF93" s="3"/>
      <c r="VAG93" s="3"/>
      <c r="VAH93" s="3"/>
      <c r="VAI93" s="3"/>
      <c r="VAJ93" s="3"/>
      <c r="VAK93" s="3"/>
      <c r="VAL93" s="3"/>
      <c r="VAM93" s="3"/>
      <c r="VAN93" s="3"/>
      <c r="VAO93" s="3"/>
      <c r="VAP93" s="3"/>
      <c r="VAQ93" s="3"/>
      <c r="VAR93" s="3"/>
      <c r="VAS93" s="3"/>
      <c r="VAT93" s="3"/>
      <c r="VAU93" s="3"/>
      <c r="VAV93" s="3"/>
      <c r="VAW93" s="3"/>
      <c r="VAX93" s="3"/>
      <c r="VAY93" s="3"/>
      <c r="VAZ93" s="3"/>
      <c r="VBA93" s="3"/>
      <c r="VBB93" s="3"/>
      <c r="VBC93" s="3"/>
      <c r="VBD93" s="3"/>
      <c r="VBE93" s="3"/>
      <c r="VBF93" s="3"/>
      <c r="VBG93" s="3"/>
      <c r="VBH93" s="3"/>
      <c r="VBI93" s="3"/>
      <c r="VBJ93" s="3"/>
      <c r="VBK93" s="3"/>
      <c r="VBL93" s="3"/>
      <c r="VBM93" s="3"/>
      <c r="VBN93" s="3"/>
      <c r="VBO93" s="3"/>
      <c r="VBP93" s="3"/>
      <c r="VBQ93" s="3"/>
      <c r="VBR93" s="3"/>
      <c r="VBS93" s="3"/>
      <c r="VBT93" s="3"/>
      <c r="VBU93" s="3"/>
      <c r="VBV93" s="3"/>
      <c r="VBW93" s="3"/>
      <c r="VBX93" s="3"/>
      <c r="VBY93" s="3"/>
      <c r="VBZ93" s="3"/>
      <c r="VCA93" s="3"/>
      <c r="VCB93" s="3"/>
      <c r="VCC93" s="3"/>
      <c r="VCD93" s="3"/>
      <c r="VCE93" s="3"/>
      <c r="VCF93" s="3"/>
      <c r="VCG93" s="3"/>
      <c r="VCH93" s="3"/>
      <c r="VCI93" s="3"/>
      <c r="VCJ93" s="3"/>
      <c r="VCK93" s="3"/>
      <c r="VCL93" s="3"/>
      <c r="VCM93" s="3"/>
      <c r="VCN93" s="3"/>
      <c r="VCO93" s="3"/>
      <c r="VCP93" s="3"/>
      <c r="VCQ93" s="3"/>
      <c r="VCR93" s="3"/>
      <c r="VCS93" s="3"/>
      <c r="VCT93" s="3"/>
      <c r="VCU93" s="3"/>
      <c r="VCV93" s="3"/>
      <c r="VCW93" s="3"/>
      <c r="VCX93" s="3"/>
      <c r="VCY93" s="3"/>
      <c r="VCZ93" s="3"/>
      <c r="VDA93" s="3"/>
      <c r="VDB93" s="3"/>
      <c r="VDC93" s="3"/>
      <c r="VDD93" s="3"/>
      <c r="VDE93" s="3"/>
      <c r="VDF93" s="3"/>
      <c r="VDG93" s="3"/>
      <c r="VDH93" s="3"/>
      <c r="VDI93" s="3"/>
      <c r="VDJ93" s="3"/>
      <c r="VDK93" s="3"/>
      <c r="VDL93" s="3"/>
      <c r="VDM93" s="3"/>
      <c r="VDN93" s="3"/>
      <c r="VDO93" s="3"/>
      <c r="VDP93" s="3"/>
      <c r="VDQ93" s="3"/>
      <c r="VDR93" s="3"/>
      <c r="VDS93" s="3"/>
      <c r="VDT93" s="3"/>
      <c r="VDU93" s="3"/>
      <c r="VDV93" s="3"/>
      <c r="VDW93" s="3"/>
      <c r="VDX93" s="3"/>
      <c r="VDY93" s="3"/>
      <c r="VDZ93" s="3"/>
      <c r="VEA93" s="3"/>
      <c r="VEB93" s="3"/>
      <c r="VEC93" s="3"/>
      <c r="VED93" s="3"/>
      <c r="VEE93" s="3"/>
      <c r="VEF93" s="3"/>
      <c r="VEG93" s="3"/>
      <c r="VEH93" s="3"/>
      <c r="VEI93" s="3"/>
      <c r="VEJ93" s="3"/>
      <c r="VEK93" s="3"/>
      <c r="VEL93" s="3"/>
      <c r="VEM93" s="3"/>
      <c r="VEN93" s="3"/>
      <c r="VEO93" s="3"/>
      <c r="VEP93" s="3"/>
      <c r="VEQ93" s="3"/>
      <c r="VER93" s="3"/>
      <c r="VES93" s="3"/>
      <c r="VET93" s="3"/>
      <c r="VEU93" s="3"/>
      <c r="VEV93" s="3"/>
      <c r="VEW93" s="3"/>
      <c r="VEX93" s="3"/>
      <c r="VEY93" s="3"/>
      <c r="VEZ93" s="3"/>
      <c r="VFA93" s="3"/>
      <c r="VFB93" s="3"/>
      <c r="VFC93" s="3"/>
      <c r="VFD93" s="3"/>
      <c r="VFE93" s="3"/>
      <c r="VFF93" s="3"/>
      <c r="VFG93" s="3"/>
      <c r="VFH93" s="3"/>
      <c r="VFI93" s="3"/>
      <c r="VFJ93" s="3"/>
      <c r="VFK93" s="3"/>
      <c r="VFL93" s="3"/>
      <c r="VFM93" s="3"/>
      <c r="VFN93" s="3"/>
      <c r="VFO93" s="3"/>
      <c r="VFP93" s="3"/>
      <c r="VFQ93" s="3"/>
      <c r="VFR93" s="3"/>
      <c r="VFS93" s="3"/>
      <c r="VFT93" s="3"/>
      <c r="VFU93" s="3"/>
      <c r="VFV93" s="3"/>
      <c r="VFW93" s="3"/>
      <c r="VFX93" s="3"/>
      <c r="VFY93" s="3"/>
      <c r="VFZ93" s="3"/>
      <c r="VGA93" s="3"/>
      <c r="VGB93" s="3"/>
      <c r="VGC93" s="3"/>
      <c r="VGD93" s="3"/>
      <c r="VGE93" s="3"/>
      <c r="VGF93" s="3"/>
      <c r="VGG93" s="3"/>
      <c r="VGH93" s="3"/>
      <c r="VGI93" s="3"/>
      <c r="VGJ93" s="3"/>
      <c r="VGK93" s="3"/>
      <c r="VGL93" s="3"/>
      <c r="VGM93" s="3"/>
      <c r="VGN93" s="3"/>
      <c r="VGO93" s="3"/>
      <c r="VGP93" s="3"/>
      <c r="VGQ93" s="3"/>
      <c r="VGR93" s="3"/>
      <c r="VGS93" s="3"/>
      <c r="VGT93" s="3"/>
      <c r="VGU93" s="3"/>
      <c r="VGV93" s="3"/>
      <c r="VGW93" s="3"/>
      <c r="VGX93" s="3"/>
      <c r="VGY93" s="3"/>
      <c r="VGZ93" s="3"/>
      <c r="VHA93" s="3"/>
      <c r="VHB93" s="3"/>
      <c r="VHC93" s="3"/>
      <c r="VHD93" s="3"/>
      <c r="VHE93" s="3"/>
      <c r="VHF93" s="3"/>
      <c r="VHG93" s="3"/>
      <c r="VHH93" s="3"/>
      <c r="VHI93" s="3"/>
      <c r="VHJ93" s="3"/>
      <c r="VHK93" s="3"/>
      <c r="VHL93" s="3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</row>
    <row r="94" spans="1:15485" s="1" customFormat="1">
      <c r="B94" s="75"/>
      <c r="C94" s="236" t="s">
        <v>65</v>
      </c>
      <c r="D94" s="154"/>
      <c r="E94" s="237" t="s">
        <v>9</v>
      </c>
      <c r="F94" s="155">
        <v>0</v>
      </c>
      <c r="G94" s="155">
        <v>0</v>
      </c>
      <c r="H94" s="155">
        <v>0</v>
      </c>
      <c r="I94" s="155">
        <v>0</v>
      </c>
      <c r="J94" s="155">
        <v>0</v>
      </c>
      <c r="K94" s="155">
        <v>0</v>
      </c>
      <c r="L94" s="155">
        <v>111604.605</v>
      </c>
      <c r="M94" s="155">
        <v>0</v>
      </c>
      <c r="N94" s="155">
        <v>0</v>
      </c>
      <c r="O94" s="155">
        <v>0</v>
      </c>
      <c r="P94" s="155">
        <v>0</v>
      </c>
      <c r="Q94" s="155">
        <v>0</v>
      </c>
      <c r="R94" s="155">
        <v>0</v>
      </c>
      <c r="S94" s="155">
        <v>111605.515</v>
      </c>
      <c r="T94" s="155">
        <v>0</v>
      </c>
      <c r="U94" s="155">
        <v>0</v>
      </c>
      <c r="V94" s="155">
        <v>0</v>
      </c>
      <c r="W94" s="155">
        <v>0</v>
      </c>
      <c r="X94" s="155">
        <v>0</v>
      </c>
      <c r="Y94" s="155">
        <v>0</v>
      </c>
      <c r="Z94" s="155">
        <v>0</v>
      </c>
      <c r="AA94" s="155">
        <v>0</v>
      </c>
      <c r="AB94" s="155">
        <v>0</v>
      </c>
      <c r="AC94" s="155">
        <v>0</v>
      </c>
      <c r="AD94" s="155">
        <v>0</v>
      </c>
      <c r="AE94" s="155">
        <v>0</v>
      </c>
      <c r="AF94" s="155">
        <v>2172</v>
      </c>
      <c r="AG94" s="155">
        <v>112430.875</v>
      </c>
      <c r="AH94" s="155">
        <v>0</v>
      </c>
      <c r="AI94" s="155">
        <v>27699.344999999998</v>
      </c>
      <c r="AJ94" s="155">
        <v>0</v>
      </c>
      <c r="AK94" s="171"/>
      <c r="AL94" s="169">
        <f>SUM(AL95:AL96)</f>
        <v>365512.33999999997</v>
      </c>
      <c r="AN94" s="126"/>
    </row>
    <row r="95" spans="1:15485" s="1" customFormat="1" ht="14.25">
      <c r="B95" s="75"/>
      <c r="C95" s="238" t="s">
        <v>66</v>
      </c>
      <c r="D95" s="79"/>
      <c r="E95" s="239" t="s">
        <v>9</v>
      </c>
      <c r="F95" s="91">
        <f t="shared" ref="F95:AJ95" si="64">SUM(F98:F99)*10.86</f>
        <v>0</v>
      </c>
      <c r="G95" s="91">
        <f t="shared" si="64"/>
        <v>0</v>
      </c>
      <c r="H95" s="91">
        <f t="shared" si="64"/>
        <v>0</v>
      </c>
      <c r="I95" s="91">
        <f t="shared" si="64"/>
        <v>0</v>
      </c>
      <c r="J95" s="91">
        <f t="shared" si="64"/>
        <v>0</v>
      </c>
      <c r="K95" s="91">
        <f t="shared" si="64"/>
        <v>0</v>
      </c>
      <c r="L95" s="91">
        <f t="shared" si="64"/>
        <v>111597.36</v>
      </c>
      <c r="M95" s="91">
        <f t="shared" si="64"/>
        <v>0</v>
      </c>
      <c r="N95" s="91">
        <f t="shared" si="64"/>
        <v>0</v>
      </c>
      <c r="O95" s="91">
        <f t="shared" si="64"/>
        <v>0</v>
      </c>
      <c r="P95" s="91">
        <f t="shared" si="64"/>
        <v>0</v>
      </c>
      <c r="Q95" s="91">
        <f>SUM(Q98:Q99)*10.86</f>
        <v>0</v>
      </c>
      <c r="R95" s="91">
        <f t="shared" si="64"/>
        <v>0</v>
      </c>
      <c r="S95" s="91">
        <f t="shared" si="64"/>
        <v>111597.36</v>
      </c>
      <c r="T95" s="91">
        <f t="shared" si="64"/>
        <v>0</v>
      </c>
      <c r="U95" s="91">
        <f t="shared" si="64"/>
        <v>0</v>
      </c>
      <c r="V95" s="91">
        <f t="shared" si="64"/>
        <v>0</v>
      </c>
      <c r="W95" s="91">
        <f t="shared" si="64"/>
        <v>0</v>
      </c>
      <c r="X95" s="91">
        <f t="shared" si="64"/>
        <v>0</v>
      </c>
      <c r="Y95" s="91">
        <f t="shared" si="64"/>
        <v>0</v>
      </c>
      <c r="Z95" s="91">
        <f t="shared" si="64"/>
        <v>0</v>
      </c>
      <c r="AA95" s="91">
        <f t="shared" si="64"/>
        <v>0</v>
      </c>
      <c r="AB95" s="91">
        <f t="shared" si="64"/>
        <v>0</v>
      </c>
      <c r="AC95" s="91">
        <f t="shared" si="64"/>
        <v>0</v>
      </c>
      <c r="AD95" s="91">
        <f t="shared" si="64"/>
        <v>0</v>
      </c>
      <c r="AE95" s="91">
        <f t="shared" si="64"/>
        <v>0</v>
      </c>
      <c r="AF95" s="91">
        <f t="shared" si="64"/>
        <v>2172</v>
      </c>
      <c r="AG95" s="91">
        <f t="shared" si="64"/>
        <v>112422.72</v>
      </c>
      <c r="AH95" s="91">
        <f t="shared" si="64"/>
        <v>0</v>
      </c>
      <c r="AI95" s="91">
        <f>SUM(AI98:AI99)*10.86</f>
        <v>27693</v>
      </c>
      <c r="AJ95" s="91">
        <f t="shared" si="64"/>
        <v>0</v>
      </c>
      <c r="AK95" s="125"/>
      <c r="AL95" s="127">
        <f>SUM(F95:AJ95)</f>
        <v>365482.44</v>
      </c>
      <c r="AN95" s="126"/>
    </row>
    <row r="96" spans="1:15485" s="1" customFormat="1" ht="14.25">
      <c r="B96" s="75"/>
      <c r="C96" s="238" t="s">
        <v>67</v>
      </c>
      <c r="D96" s="79"/>
      <c r="E96" s="239" t="s">
        <v>9</v>
      </c>
      <c r="F96" s="91">
        <f t="shared" ref="F96:AJ96" si="65">F94-F95</f>
        <v>0</v>
      </c>
      <c r="G96" s="91">
        <f t="shared" si="65"/>
        <v>0</v>
      </c>
      <c r="H96" s="91">
        <f t="shared" si="65"/>
        <v>0</v>
      </c>
      <c r="I96" s="91">
        <f t="shared" si="65"/>
        <v>0</v>
      </c>
      <c r="J96" s="91">
        <f t="shared" si="65"/>
        <v>0</v>
      </c>
      <c r="K96" s="91">
        <f t="shared" si="65"/>
        <v>0</v>
      </c>
      <c r="L96" s="91">
        <f t="shared" si="65"/>
        <v>7.2449999999953434</v>
      </c>
      <c r="M96" s="91">
        <f t="shared" si="65"/>
        <v>0</v>
      </c>
      <c r="N96" s="91">
        <f t="shared" si="65"/>
        <v>0</v>
      </c>
      <c r="O96" s="91">
        <f t="shared" si="65"/>
        <v>0</v>
      </c>
      <c r="P96" s="91">
        <f t="shared" si="65"/>
        <v>0</v>
      </c>
      <c r="Q96" s="91">
        <f t="shared" si="65"/>
        <v>0</v>
      </c>
      <c r="R96" s="91">
        <f t="shared" si="65"/>
        <v>0</v>
      </c>
      <c r="S96" s="91">
        <f t="shared" si="65"/>
        <v>8.1549999999988358</v>
      </c>
      <c r="T96" s="91">
        <f t="shared" si="65"/>
        <v>0</v>
      </c>
      <c r="U96" s="91">
        <f t="shared" si="65"/>
        <v>0</v>
      </c>
      <c r="V96" s="91">
        <f t="shared" si="65"/>
        <v>0</v>
      </c>
      <c r="W96" s="91">
        <f t="shared" si="65"/>
        <v>0</v>
      </c>
      <c r="X96" s="91">
        <f t="shared" si="65"/>
        <v>0</v>
      </c>
      <c r="Y96" s="91">
        <f t="shared" si="65"/>
        <v>0</v>
      </c>
      <c r="Z96" s="91">
        <f t="shared" si="65"/>
        <v>0</v>
      </c>
      <c r="AA96" s="91">
        <f t="shared" si="65"/>
        <v>0</v>
      </c>
      <c r="AB96" s="91">
        <f t="shared" si="65"/>
        <v>0</v>
      </c>
      <c r="AC96" s="91">
        <f t="shared" si="65"/>
        <v>0</v>
      </c>
      <c r="AD96" s="91">
        <f t="shared" si="65"/>
        <v>0</v>
      </c>
      <c r="AE96" s="91">
        <f t="shared" si="65"/>
        <v>0</v>
      </c>
      <c r="AF96" s="91">
        <f t="shared" si="65"/>
        <v>0</v>
      </c>
      <c r="AG96" s="91">
        <f t="shared" si="65"/>
        <v>8.1549999999988358</v>
      </c>
      <c r="AH96" s="91">
        <f t="shared" si="65"/>
        <v>0</v>
      </c>
      <c r="AI96" s="91">
        <f t="shared" ref="AI96" si="66">AI94-AI95</f>
        <v>6.3449999999975262</v>
      </c>
      <c r="AJ96" s="91">
        <f t="shared" si="65"/>
        <v>0</v>
      </c>
      <c r="AK96" s="125"/>
      <c r="AL96" s="127">
        <f>SUM(F96:AJ96)</f>
        <v>29.899999999990541</v>
      </c>
      <c r="AN96" s="126"/>
    </row>
    <row r="97" spans="1:15485" s="1" customFormat="1" ht="14.25">
      <c r="B97" s="75"/>
      <c r="C97" s="238" t="s">
        <v>68</v>
      </c>
      <c r="D97" s="79"/>
      <c r="E97" s="75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125"/>
      <c r="AL97" s="173" t="s">
        <v>68</v>
      </c>
      <c r="AN97" s="126"/>
    </row>
    <row r="98" spans="1:15485" s="7" customFormat="1" ht="14.25">
      <c r="B98" s="156"/>
      <c r="C98" s="157" t="s">
        <v>81</v>
      </c>
      <c r="D98" s="45"/>
      <c r="E98" s="241" t="s">
        <v>70</v>
      </c>
      <c r="F98" s="158">
        <v>0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3426</v>
      </c>
      <c r="M98" s="158">
        <v>0</v>
      </c>
      <c r="N98" s="158">
        <v>0</v>
      </c>
      <c r="O98" s="158">
        <v>0</v>
      </c>
      <c r="P98" s="158">
        <v>0</v>
      </c>
      <c r="Q98" s="158">
        <v>0</v>
      </c>
      <c r="R98" s="158">
        <v>0</v>
      </c>
      <c r="S98" s="158">
        <v>3426</v>
      </c>
      <c r="T98" s="158">
        <v>0</v>
      </c>
      <c r="U98" s="158">
        <v>0</v>
      </c>
      <c r="V98" s="158">
        <v>0</v>
      </c>
      <c r="W98" s="158">
        <v>0</v>
      </c>
      <c r="X98" s="158">
        <v>0</v>
      </c>
      <c r="Y98" s="158">
        <v>0</v>
      </c>
      <c r="Z98" s="158">
        <v>0</v>
      </c>
      <c r="AA98" s="158">
        <v>0</v>
      </c>
      <c r="AB98" s="158">
        <v>0</v>
      </c>
      <c r="AC98" s="158">
        <v>0</v>
      </c>
      <c r="AD98" s="158">
        <v>0</v>
      </c>
      <c r="AE98" s="158">
        <v>0</v>
      </c>
      <c r="AF98" s="158">
        <v>0</v>
      </c>
      <c r="AG98" s="158">
        <v>3760</v>
      </c>
      <c r="AH98" s="158">
        <v>0</v>
      </c>
      <c r="AI98" s="158">
        <v>2350</v>
      </c>
      <c r="AJ98" s="158">
        <v>0</v>
      </c>
      <c r="AK98" s="174"/>
      <c r="AL98" s="177">
        <f>SUM(F98:AJ98)</f>
        <v>12962</v>
      </c>
      <c r="AN98" s="176"/>
    </row>
    <row r="99" spans="1:15485" s="7" customFormat="1" ht="14.25">
      <c r="B99" s="156"/>
      <c r="C99" s="157" t="s">
        <v>82</v>
      </c>
      <c r="D99" s="45"/>
      <c r="E99" s="241" t="s">
        <v>70</v>
      </c>
      <c r="F99" s="158">
        <v>0</v>
      </c>
      <c r="G99" s="158">
        <v>0</v>
      </c>
      <c r="H99" s="158">
        <v>0</v>
      </c>
      <c r="I99" s="158">
        <v>0</v>
      </c>
      <c r="J99" s="158">
        <v>0</v>
      </c>
      <c r="K99" s="158">
        <v>0</v>
      </c>
      <c r="L99" s="158">
        <v>6850</v>
      </c>
      <c r="M99" s="158">
        <v>0</v>
      </c>
      <c r="N99" s="158">
        <v>0</v>
      </c>
      <c r="O99" s="158">
        <v>0</v>
      </c>
      <c r="P99" s="158">
        <v>0</v>
      </c>
      <c r="Q99" s="158">
        <v>0</v>
      </c>
      <c r="R99" s="158">
        <v>0</v>
      </c>
      <c r="S99" s="158">
        <v>6850</v>
      </c>
      <c r="T99" s="158">
        <v>0</v>
      </c>
      <c r="U99" s="158">
        <v>0</v>
      </c>
      <c r="V99" s="158">
        <v>0</v>
      </c>
      <c r="W99" s="158">
        <v>0</v>
      </c>
      <c r="X99" s="158">
        <v>0</v>
      </c>
      <c r="Y99" s="158">
        <v>0</v>
      </c>
      <c r="Z99" s="158">
        <v>0</v>
      </c>
      <c r="AA99" s="158">
        <v>0</v>
      </c>
      <c r="AB99" s="158">
        <v>0</v>
      </c>
      <c r="AC99" s="158">
        <v>0</v>
      </c>
      <c r="AD99" s="158">
        <v>0</v>
      </c>
      <c r="AE99" s="158">
        <v>0</v>
      </c>
      <c r="AF99" s="158">
        <v>200</v>
      </c>
      <c r="AG99" s="158">
        <v>6592</v>
      </c>
      <c r="AH99" s="158">
        <v>0</v>
      </c>
      <c r="AI99" s="158">
        <v>200</v>
      </c>
      <c r="AJ99" s="158">
        <v>0</v>
      </c>
      <c r="AK99" s="174"/>
      <c r="AL99" s="177">
        <f>SUM(F99:AJ99)</f>
        <v>20692</v>
      </c>
      <c r="AN99" s="176"/>
    </row>
    <row r="100" spans="1:15485" s="1" customFormat="1" ht="14.25">
      <c r="B100" s="75"/>
      <c r="C100" s="238" t="s">
        <v>72</v>
      </c>
      <c r="D100" s="79"/>
      <c r="E100" s="75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125"/>
      <c r="AL100" s="173" t="s">
        <v>72</v>
      </c>
      <c r="AN100" s="126"/>
    </row>
    <row r="101" spans="1:15485" s="1" customFormat="1" ht="14.25">
      <c r="B101" s="75"/>
      <c r="C101" s="157" t="s">
        <v>81</v>
      </c>
      <c r="D101" s="79"/>
      <c r="E101" s="239" t="s">
        <v>72</v>
      </c>
      <c r="F101" s="64">
        <f t="shared" ref="F101:AJ101" si="67">F98*12</f>
        <v>0</v>
      </c>
      <c r="G101" s="64">
        <f t="shared" si="67"/>
        <v>0</v>
      </c>
      <c r="H101" s="64">
        <f t="shared" si="67"/>
        <v>0</v>
      </c>
      <c r="I101" s="64">
        <f t="shared" si="67"/>
        <v>0</v>
      </c>
      <c r="J101" s="64">
        <f t="shared" si="67"/>
        <v>0</v>
      </c>
      <c r="K101" s="64">
        <f t="shared" si="67"/>
        <v>0</v>
      </c>
      <c r="L101" s="64">
        <f t="shared" si="67"/>
        <v>41112</v>
      </c>
      <c r="M101" s="64">
        <f t="shared" si="67"/>
        <v>0</v>
      </c>
      <c r="N101" s="64">
        <f t="shared" si="67"/>
        <v>0</v>
      </c>
      <c r="O101" s="64">
        <f t="shared" si="67"/>
        <v>0</v>
      </c>
      <c r="P101" s="64">
        <f t="shared" si="67"/>
        <v>0</v>
      </c>
      <c r="Q101" s="64">
        <f t="shared" si="67"/>
        <v>0</v>
      </c>
      <c r="R101" s="64">
        <f t="shared" si="67"/>
        <v>0</v>
      </c>
      <c r="S101" s="64">
        <f t="shared" si="67"/>
        <v>41112</v>
      </c>
      <c r="T101" s="64">
        <f t="shared" si="67"/>
        <v>0</v>
      </c>
      <c r="U101" s="64">
        <f t="shared" si="67"/>
        <v>0</v>
      </c>
      <c r="V101" s="64">
        <f t="shared" si="67"/>
        <v>0</v>
      </c>
      <c r="W101" s="64">
        <f t="shared" si="67"/>
        <v>0</v>
      </c>
      <c r="X101" s="64">
        <f t="shared" si="67"/>
        <v>0</v>
      </c>
      <c r="Y101" s="64">
        <f t="shared" si="67"/>
        <v>0</v>
      </c>
      <c r="Z101" s="64">
        <f t="shared" si="67"/>
        <v>0</v>
      </c>
      <c r="AA101" s="64">
        <f t="shared" si="67"/>
        <v>0</v>
      </c>
      <c r="AB101" s="64">
        <f t="shared" si="67"/>
        <v>0</v>
      </c>
      <c r="AC101" s="64">
        <f t="shared" si="67"/>
        <v>0</v>
      </c>
      <c r="AD101" s="64">
        <f t="shared" si="67"/>
        <v>0</v>
      </c>
      <c r="AE101" s="64">
        <f t="shared" si="67"/>
        <v>0</v>
      </c>
      <c r="AF101" s="64">
        <f t="shared" si="67"/>
        <v>0</v>
      </c>
      <c r="AG101" s="64">
        <f t="shared" si="67"/>
        <v>45120</v>
      </c>
      <c r="AH101" s="64">
        <f t="shared" si="67"/>
        <v>0</v>
      </c>
      <c r="AI101" s="64">
        <f t="shared" ref="AI101" si="68">AI98*12</f>
        <v>28200</v>
      </c>
      <c r="AJ101" s="64">
        <f t="shared" si="67"/>
        <v>0</v>
      </c>
      <c r="AK101" s="125"/>
      <c r="AL101" s="175">
        <f>AL98*12</f>
        <v>155544</v>
      </c>
      <c r="AN101" s="126"/>
    </row>
    <row r="102" spans="1:15485" s="1" customFormat="1" ht="14.25">
      <c r="B102" s="75"/>
      <c r="C102" s="157" t="s">
        <v>82</v>
      </c>
      <c r="D102" s="79"/>
      <c r="E102" s="239" t="s">
        <v>72</v>
      </c>
      <c r="F102" s="64">
        <f t="shared" ref="F102:AJ102" si="69">F99*6</f>
        <v>0</v>
      </c>
      <c r="G102" s="64">
        <f t="shared" si="69"/>
        <v>0</v>
      </c>
      <c r="H102" s="64">
        <f t="shared" si="69"/>
        <v>0</v>
      </c>
      <c r="I102" s="64">
        <f t="shared" si="69"/>
        <v>0</v>
      </c>
      <c r="J102" s="64">
        <f t="shared" si="69"/>
        <v>0</v>
      </c>
      <c r="K102" s="64">
        <f t="shared" si="69"/>
        <v>0</v>
      </c>
      <c r="L102" s="64">
        <f t="shared" si="69"/>
        <v>41100</v>
      </c>
      <c r="M102" s="64">
        <f t="shared" si="69"/>
        <v>0</v>
      </c>
      <c r="N102" s="64">
        <f t="shared" si="69"/>
        <v>0</v>
      </c>
      <c r="O102" s="64">
        <f t="shared" si="69"/>
        <v>0</v>
      </c>
      <c r="P102" s="64">
        <f t="shared" si="69"/>
        <v>0</v>
      </c>
      <c r="Q102" s="64">
        <f t="shared" si="69"/>
        <v>0</v>
      </c>
      <c r="R102" s="64">
        <f t="shared" si="69"/>
        <v>0</v>
      </c>
      <c r="S102" s="64">
        <f t="shared" si="69"/>
        <v>41100</v>
      </c>
      <c r="T102" s="64">
        <f t="shared" si="69"/>
        <v>0</v>
      </c>
      <c r="U102" s="64">
        <f t="shared" si="69"/>
        <v>0</v>
      </c>
      <c r="V102" s="64">
        <f t="shared" si="69"/>
        <v>0</v>
      </c>
      <c r="W102" s="64">
        <f t="shared" si="69"/>
        <v>0</v>
      </c>
      <c r="X102" s="64">
        <f t="shared" si="69"/>
        <v>0</v>
      </c>
      <c r="Y102" s="64">
        <f t="shared" si="69"/>
        <v>0</v>
      </c>
      <c r="Z102" s="64">
        <f t="shared" si="69"/>
        <v>0</v>
      </c>
      <c r="AA102" s="64">
        <f t="shared" si="69"/>
        <v>0</v>
      </c>
      <c r="AB102" s="64">
        <f t="shared" si="69"/>
        <v>0</v>
      </c>
      <c r="AC102" s="64">
        <f t="shared" si="69"/>
        <v>0</v>
      </c>
      <c r="AD102" s="64">
        <f t="shared" si="69"/>
        <v>0</v>
      </c>
      <c r="AE102" s="64">
        <f t="shared" si="69"/>
        <v>0</v>
      </c>
      <c r="AF102" s="64">
        <f t="shared" si="69"/>
        <v>1200</v>
      </c>
      <c r="AG102" s="64">
        <f t="shared" si="69"/>
        <v>39552</v>
      </c>
      <c r="AH102" s="64">
        <f t="shared" si="69"/>
        <v>0</v>
      </c>
      <c r="AI102" s="64">
        <f t="shared" ref="AI102" si="70">AI99*6</f>
        <v>1200</v>
      </c>
      <c r="AJ102" s="64">
        <f t="shared" si="69"/>
        <v>0</v>
      </c>
      <c r="AK102" s="125"/>
      <c r="AL102" s="175">
        <f>AL99*6</f>
        <v>124152</v>
      </c>
      <c r="AN102" s="126"/>
    </row>
    <row r="103" spans="1:15485" s="1" customFormat="1" ht="14.25">
      <c r="B103" s="75"/>
      <c r="C103" s="238" t="s">
        <v>73</v>
      </c>
      <c r="D103" s="79"/>
      <c r="E103" s="239" t="s">
        <v>74</v>
      </c>
      <c r="F103" s="64">
        <v>0</v>
      </c>
      <c r="G103" s="64">
        <f>(G94*45)/1700</f>
        <v>0</v>
      </c>
      <c r="H103" s="64">
        <f t="shared" ref="H103:Y103" si="71">(H94*45)/1700</f>
        <v>0</v>
      </c>
      <c r="I103" s="64">
        <f t="shared" si="71"/>
        <v>0</v>
      </c>
      <c r="J103" s="64">
        <f t="shared" si="71"/>
        <v>0</v>
      </c>
      <c r="K103" s="64">
        <f t="shared" si="71"/>
        <v>0</v>
      </c>
      <c r="L103" s="64">
        <f t="shared" si="71"/>
        <v>2954.2395441176468</v>
      </c>
      <c r="M103" s="64">
        <f t="shared" si="71"/>
        <v>0</v>
      </c>
      <c r="N103" s="64">
        <f t="shared" si="71"/>
        <v>0</v>
      </c>
      <c r="O103" s="64">
        <f t="shared" si="71"/>
        <v>0</v>
      </c>
      <c r="P103" s="64">
        <f t="shared" si="71"/>
        <v>0</v>
      </c>
      <c r="Q103" s="64">
        <f t="shared" si="71"/>
        <v>0</v>
      </c>
      <c r="R103" s="64">
        <f t="shared" si="71"/>
        <v>0</v>
      </c>
      <c r="S103" s="64">
        <f t="shared" si="71"/>
        <v>2954.2636323529409</v>
      </c>
      <c r="T103" s="64">
        <f t="shared" si="71"/>
        <v>0</v>
      </c>
      <c r="U103" s="64">
        <f t="shared" si="71"/>
        <v>0</v>
      </c>
      <c r="V103" s="64">
        <f t="shared" si="71"/>
        <v>0</v>
      </c>
      <c r="W103" s="64">
        <f t="shared" si="71"/>
        <v>0</v>
      </c>
      <c r="X103" s="64">
        <f t="shared" si="71"/>
        <v>0</v>
      </c>
      <c r="Y103" s="64">
        <f t="shared" si="71"/>
        <v>0</v>
      </c>
      <c r="Z103" s="64">
        <f t="shared" ref="Z103:AJ103" si="72">Z94*45/1700</f>
        <v>0</v>
      </c>
      <c r="AA103" s="64">
        <f t="shared" si="72"/>
        <v>0</v>
      </c>
      <c r="AB103" s="64">
        <f t="shared" si="72"/>
        <v>0</v>
      </c>
      <c r="AC103" s="64">
        <f t="shared" si="72"/>
        <v>0</v>
      </c>
      <c r="AD103" s="64">
        <f t="shared" si="72"/>
        <v>0</v>
      </c>
      <c r="AE103" s="64">
        <f t="shared" si="72"/>
        <v>0</v>
      </c>
      <c r="AF103" s="64">
        <f t="shared" si="72"/>
        <v>57.494117647058822</v>
      </c>
      <c r="AG103" s="64">
        <f t="shared" si="72"/>
        <v>2976.1113970588235</v>
      </c>
      <c r="AH103" s="64">
        <f t="shared" si="72"/>
        <v>0</v>
      </c>
      <c r="AI103" s="64">
        <f t="shared" ref="AI103" si="73">AI94*45/1700</f>
        <v>733.21795588235284</v>
      </c>
      <c r="AJ103" s="64">
        <f t="shared" si="72"/>
        <v>0</v>
      </c>
      <c r="AK103" s="125"/>
      <c r="AL103" s="175">
        <f>SUM(F103:AJ103)</f>
        <v>9675.3266470588223</v>
      </c>
      <c r="AN103" s="126"/>
    </row>
    <row r="104" spans="1:15485" s="1" customFormat="1" ht="14.25">
      <c r="B104" s="75"/>
      <c r="C104" s="238" t="s">
        <v>75</v>
      </c>
      <c r="D104" s="79"/>
      <c r="E104" s="239" t="s">
        <v>76</v>
      </c>
      <c r="F104" s="64">
        <f t="shared" ref="F104:AJ104" si="74">SUM(F98:F99)/500</f>
        <v>0</v>
      </c>
      <c r="G104" s="64">
        <f t="shared" si="74"/>
        <v>0</v>
      </c>
      <c r="H104" s="64">
        <f t="shared" si="74"/>
        <v>0</v>
      </c>
      <c r="I104" s="64">
        <f t="shared" si="74"/>
        <v>0</v>
      </c>
      <c r="J104" s="64">
        <f t="shared" si="74"/>
        <v>0</v>
      </c>
      <c r="K104" s="64">
        <f t="shared" si="74"/>
        <v>0</v>
      </c>
      <c r="L104" s="64">
        <f t="shared" si="74"/>
        <v>20.552</v>
      </c>
      <c r="M104" s="64">
        <f t="shared" si="74"/>
        <v>0</v>
      </c>
      <c r="N104" s="64">
        <f t="shared" si="74"/>
        <v>0</v>
      </c>
      <c r="O104" s="64">
        <f t="shared" si="74"/>
        <v>0</v>
      </c>
      <c r="P104" s="64">
        <f t="shared" si="74"/>
        <v>0</v>
      </c>
      <c r="Q104" s="64">
        <f t="shared" si="74"/>
        <v>0</v>
      </c>
      <c r="R104" s="64">
        <f t="shared" si="74"/>
        <v>0</v>
      </c>
      <c r="S104" s="64">
        <f t="shared" si="74"/>
        <v>20.552</v>
      </c>
      <c r="T104" s="64">
        <f t="shared" si="74"/>
        <v>0</v>
      </c>
      <c r="U104" s="64">
        <f t="shared" si="74"/>
        <v>0</v>
      </c>
      <c r="V104" s="64">
        <f t="shared" si="74"/>
        <v>0</v>
      </c>
      <c r="W104" s="64">
        <f t="shared" si="74"/>
        <v>0</v>
      </c>
      <c r="X104" s="64">
        <f t="shared" si="74"/>
        <v>0</v>
      </c>
      <c r="Y104" s="64">
        <f t="shared" si="74"/>
        <v>0</v>
      </c>
      <c r="Z104" s="64">
        <f t="shared" si="74"/>
        <v>0</v>
      </c>
      <c r="AA104" s="64">
        <f t="shared" si="74"/>
        <v>0</v>
      </c>
      <c r="AB104" s="64">
        <f t="shared" si="74"/>
        <v>0</v>
      </c>
      <c r="AC104" s="64">
        <f t="shared" si="74"/>
        <v>0</v>
      </c>
      <c r="AD104" s="64">
        <f t="shared" si="74"/>
        <v>0</v>
      </c>
      <c r="AE104" s="64">
        <f t="shared" si="74"/>
        <v>0</v>
      </c>
      <c r="AF104" s="261">
        <f t="shared" si="74"/>
        <v>0.4</v>
      </c>
      <c r="AG104" s="64">
        <f t="shared" si="74"/>
        <v>20.704000000000001</v>
      </c>
      <c r="AH104" s="64">
        <f t="shared" si="74"/>
        <v>0</v>
      </c>
      <c r="AI104" s="64">
        <f>SUM(AI98:AI99)/500</f>
        <v>5.0999999999999996</v>
      </c>
      <c r="AJ104" s="64">
        <f t="shared" si="74"/>
        <v>0</v>
      </c>
      <c r="AK104" s="125"/>
      <c r="AL104" s="175">
        <f>SUM(F104:AJ104)</f>
        <v>67.307999999999993</v>
      </c>
      <c r="AN104" s="126"/>
    </row>
    <row r="105" spans="1:15485" s="1" customFormat="1">
      <c r="A105" s="3"/>
      <c r="B105" s="61"/>
      <c r="C105" s="40" t="s">
        <v>77</v>
      </c>
      <c r="D105" s="59"/>
      <c r="E105" s="59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111"/>
      <c r="AD105" s="60"/>
      <c r="AE105" s="60"/>
      <c r="AF105" s="60"/>
      <c r="AG105" s="60"/>
      <c r="AH105" s="60"/>
      <c r="AI105" s="111"/>
      <c r="AJ105" s="111"/>
      <c r="AK105" s="115"/>
      <c r="AL105" s="223" t="s">
        <v>78</v>
      </c>
      <c r="AM105" s="3"/>
      <c r="AN105" s="3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  <c r="AMG105" s="3"/>
      <c r="AMH105" s="3"/>
      <c r="AMI105" s="3"/>
      <c r="AMJ105" s="3"/>
      <c r="AMK105" s="3"/>
      <c r="AML105" s="3"/>
      <c r="AMM105" s="3"/>
      <c r="AMN105" s="3"/>
      <c r="AMO105" s="3"/>
      <c r="AMP105" s="3"/>
      <c r="AMQ105" s="3"/>
      <c r="AMR105" s="3"/>
      <c r="AMS105" s="3"/>
      <c r="AMT105" s="3"/>
      <c r="AMU105" s="3"/>
      <c r="AMV105" s="3"/>
      <c r="AMW105" s="3"/>
      <c r="AMX105" s="3"/>
      <c r="AMY105" s="3"/>
      <c r="AMZ105" s="3"/>
      <c r="ANA105" s="3"/>
      <c r="ANB105" s="3"/>
      <c r="ANC105" s="3"/>
      <c r="AND105" s="3"/>
      <c r="ANE105" s="3"/>
      <c r="ANF105" s="3"/>
      <c r="ANG105" s="3"/>
      <c r="ANH105" s="3"/>
      <c r="ANI105" s="3"/>
      <c r="ANJ105" s="3"/>
      <c r="ANK105" s="3"/>
      <c r="ANL105" s="3"/>
      <c r="ANM105" s="3"/>
      <c r="ANN105" s="3"/>
      <c r="ANO105" s="3"/>
      <c r="ANP105" s="3"/>
      <c r="ANQ105" s="3"/>
      <c r="ANR105" s="3"/>
      <c r="ANS105" s="3"/>
      <c r="ANT105" s="3"/>
      <c r="ANU105" s="3"/>
      <c r="ANV105" s="3"/>
      <c r="ANW105" s="3"/>
      <c r="ANX105" s="3"/>
      <c r="ANY105" s="3"/>
      <c r="ANZ105" s="3"/>
      <c r="AOA105" s="3"/>
      <c r="AOB105" s="3"/>
      <c r="AOC105" s="3"/>
      <c r="AOD105" s="3"/>
      <c r="AOE105" s="3"/>
      <c r="AOF105" s="3"/>
      <c r="AOG105" s="3"/>
      <c r="AOH105" s="3"/>
      <c r="AOI105" s="3"/>
      <c r="AOJ105" s="3"/>
      <c r="AOK105" s="3"/>
      <c r="AOL105" s="3"/>
      <c r="AOM105" s="3"/>
      <c r="AON105" s="3"/>
      <c r="AOO105" s="3"/>
      <c r="AOP105" s="3"/>
      <c r="AOQ105" s="3"/>
      <c r="AOR105" s="3"/>
      <c r="AOS105" s="3"/>
      <c r="AOT105" s="3"/>
      <c r="AOU105" s="3"/>
      <c r="AOV105" s="3"/>
      <c r="AOW105" s="3"/>
      <c r="AOX105" s="3"/>
      <c r="AOY105" s="3"/>
      <c r="AOZ105" s="3"/>
      <c r="APA105" s="3"/>
      <c r="APB105" s="3"/>
      <c r="APC105" s="3"/>
      <c r="APD105" s="3"/>
      <c r="APE105" s="3"/>
      <c r="APF105" s="3"/>
      <c r="APG105" s="3"/>
      <c r="APH105" s="3"/>
      <c r="API105" s="3"/>
      <c r="APJ105" s="3"/>
      <c r="APK105" s="3"/>
      <c r="APL105" s="3"/>
      <c r="APM105" s="3"/>
      <c r="APN105" s="3"/>
      <c r="APO105" s="3"/>
      <c r="APP105" s="3"/>
      <c r="APQ105" s="3"/>
      <c r="APR105" s="3"/>
      <c r="APS105" s="3"/>
      <c r="APT105" s="3"/>
      <c r="APU105" s="3"/>
      <c r="APV105" s="3"/>
      <c r="APW105" s="3"/>
      <c r="APX105" s="3"/>
      <c r="APY105" s="3"/>
      <c r="APZ105" s="3"/>
      <c r="AQA105" s="3"/>
      <c r="AQB105" s="3"/>
      <c r="AQC105" s="3"/>
      <c r="AQD105" s="3"/>
      <c r="AQE105" s="3"/>
      <c r="AQF105" s="3"/>
      <c r="AQG105" s="3"/>
      <c r="AQH105" s="3"/>
      <c r="AQI105" s="3"/>
      <c r="AQJ105" s="3"/>
      <c r="AQK105" s="3"/>
      <c r="AQL105" s="3"/>
      <c r="AQM105" s="3"/>
      <c r="AQN105" s="3"/>
      <c r="AQO105" s="3"/>
      <c r="AQP105" s="3"/>
      <c r="AQQ105" s="3"/>
      <c r="AQR105" s="3"/>
      <c r="AQS105" s="3"/>
      <c r="AQT105" s="3"/>
      <c r="AQU105" s="3"/>
      <c r="AQV105" s="3"/>
      <c r="AQW105" s="3"/>
      <c r="AQX105" s="3"/>
      <c r="AQY105" s="3"/>
      <c r="AQZ105" s="3"/>
      <c r="ARA105" s="3"/>
      <c r="ARB105" s="3"/>
      <c r="ARC105" s="3"/>
      <c r="ARD105" s="3"/>
      <c r="ARE105" s="3"/>
      <c r="ARF105" s="3"/>
      <c r="ARG105" s="3"/>
      <c r="ARH105" s="3"/>
      <c r="ARI105" s="3"/>
      <c r="ARJ105" s="3"/>
      <c r="ARK105" s="3"/>
      <c r="ARL105" s="3"/>
      <c r="ARM105" s="3"/>
      <c r="ARN105" s="3"/>
      <c r="ARO105" s="3"/>
      <c r="ARP105" s="3"/>
      <c r="ARQ105" s="3"/>
      <c r="ARR105" s="3"/>
      <c r="ARS105" s="3"/>
      <c r="ART105" s="3"/>
      <c r="ARU105" s="3"/>
      <c r="ARV105" s="3"/>
      <c r="ARW105" s="3"/>
      <c r="ARX105" s="3"/>
      <c r="ARY105" s="3"/>
      <c r="ARZ105" s="3"/>
      <c r="ASA105" s="3"/>
      <c r="ASB105" s="3"/>
      <c r="ASC105" s="3"/>
      <c r="ASD105" s="3"/>
      <c r="ASE105" s="3"/>
      <c r="ASF105" s="3"/>
      <c r="ASG105" s="3"/>
      <c r="ASH105" s="3"/>
      <c r="ASI105" s="3"/>
      <c r="ASJ105" s="3"/>
      <c r="ASK105" s="3"/>
      <c r="ASL105" s="3"/>
      <c r="ASM105" s="3"/>
      <c r="ASN105" s="3"/>
      <c r="ASO105" s="3"/>
      <c r="ASP105" s="3"/>
      <c r="ASQ105" s="3"/>
      <c r="ASR105" s="3"/>
      <c r="ASS105" s="3"/>
      <c r="AST105" s="3"/>
      <c r="ASU105" s="3"/>
      <c r="ASV105" s="3"/>
      <c r="ASW105" s="3"/>
      <c r="ASX105" s="3"/>
      <c r="ASY105" s="3"/>
      <c r="ASZ105" s="3"/>
      <c r="ATA105" s="3"/>
      <c r="ATB105" s="3"/>
      <c r="ATC105" s="3"/>
      <c r="ATD105" s="3"/>
      <c r="ATE105" s="3"/>
      <c r="ATF105" s="3"/>
      <c r="ATG105" s="3"/>
      <c r="ATH105" s="3"/>
      <c r="ATI105" s="3"/>
      <c r="ATJ105" s="3"/>
      <c r="ATK105" s="3"/>
      <c r="ATL105" s="3"/>
      <c r="ATM105" s="3"/>
      <c r="ATN105" s="3"/>
      <c r="ATO105" s="3"/>
      <c r="ATP105" s="3"/>
      <c r="ATQ105" s="3"/>
      <c r="ATR105" s="3"/>
      <c r="ATS105" s="3"/>
      <c r="ATT105" s="3"/>
      <c r="ATU105" s="3"/>
      <c r="ATV105" s="3"/>
      <c r="ATW105" s="3"/>
      <c r="ATX105" s="3"/>
      <c r="ATY105" s="3"/>
      <c r="ATZ105" s="3"/>
      <c r="AUA105" s="3"/>
      <c r="AUB105" s="3"/>
      <c r="AUC105" s="3"/>
      <c r="AUD105" s="3"/>
      <c r="AUE105" s="3"/>
      <c r="AUF105" s="3"/>
      <c r="AUG105" s="3"/>
      <c r="AUH105" s="3"/>
      <c r="AUI105" s="3"/>
      <c r="AUJ105" s="3"/>
      <c r="AUK105" s="3"/>
      <c r="AUL105" s="3"/>
      <c r="AUM105" s="3"/>
      <c r="AUN105" s="3"/>
      <c r="AUO105" s="3"/>
      <c r="AUP105" s="3"/>
      <c r="AUQ105" s="3"/>
      <c r="AUR105" s="3"/>
      <c r="AUS105" s="3"/>
      <c r="AUT105" s="3"/>
      <c r="AUU105" s="3"/>
      <c r="AUV105" s="3"/>
      <c r="AUW105" s="3"/>
      <c r="AUX105" s="3"/>
      <c r="AUY105" s="3"/>
      <c r="AUZ105" s="3"/>
      <c r="AVA105" s="3"/>
      <c r="AVB105" s="3"/>
      <c r="AVC105" s="3"/>
      <c r="AVD105" s="3"/>
      <c r="AVE105" s="3"/>
      <c r="AVF105" s="3"/>
      <c r="AVG105" s="3"/>
      <c r="AVH105" s="3"/>
      <c r="AVI105" s="3"/>
      <c r="AVJ105" s="3"/>
      <c r="AVK105" s="3"/>
      <c r="AVL105" s="3"/>
      <c r="AVM105" s="3"/>
      <c r="AVN105" s="3"/>
      <c r="AVO105" s="3"/>
      <c r="AVP105" s="3"/>
      <c r="AVQ105" s="3"/>
      <c r="AVR105" s="3"/>
      <c r="AVS105" s="3"/>
      <c r="AVT105" s="3"/>
      <c r="AVU105" s="3"/>
      <c r="AVV105" s="3"/>
      <c r="AVW105" s="3"/>
      <c r="AVX105" s="3"/>
      <c r="AVY105" s="3"/>
      <c r="AVZ105" s="3"/>
      <c r="AWA105" s="3"/>
      <c r="AWB105" s="3"/>
      <c r="AWC105" s="3"/>
      <c r="AWD105" s="3"/>
      <c r="AWE105" s="3"/>
      <c r="AWF105" s="3"/>
      <c r="AWG105" s="3"/>
      <c r="AWH105" s="3"/>
      <c r="AWI105" s="3"/>
      <c r="AWJ105" s="3"/>
      <c r="AWK105" s="3"/>
      <c r="AWL105" s="3"/>
      <c r="AWM105" s="3"/>
      <c r="AWN105" s="3"/>
      <c r="AWO105" s="3"/>
      <c r="AWP105" s="3"/>
      <c r="AWQ105" s="3"/>
      <c r="AWR105" s="3"/>
      <c r="AWS105" s="3"/>
      <c r="AWT105" s="3"/>
      <c r="AWU105" s="3"/>
      <c r="AWV105" s="3"/>
      <c r="AWW105" s="3"/>
      <c r="AWX105" s="3"/>
      <c r="AWY105" s="3"/>
      <c r="AWZ105" s="3"/>
      <c r="AXA105" s="3"/>
      <c r="AXB105" s="3"/>
      <c r="AXC105" s="3"/>
      <c r="AXD105" s="3"/>
      <c r="AXE105" s="3"/>
      <c r="AXF105" s="3"/>
      <c r="AXG105" s="3"/>
      <c r="AXH105" s="3"/>
      <c r="AXI105" s="3"/>
      <c r="AXJ105" s="3"/>
      <c r="AXK105" s="3"/>
      <c r="AXL105" s="3"/>
      <c r="AXM105" s="3"/>
      <c r="AXN105" s="3"/>
      <c r="AXO105" s="3"/>
      <c r="AXP105" s="3"/>
      <c r="AXQ105" s="3"/>
      <c r="AXR105" s="3"/>
      <c r="AXS105" s="3"/>
      <c r="AXT105" s="3"/>
      <c r="AXU105" s="3"/>
      <c r="AXV105" s="3"/>
      <c r="AXW105" s="3"/>
      <c r="AXX105" s="3"/>
      <c r="AXY105" s="3"/>
      <c r="AXZ105" s="3"/>
      <c r="AYA105" s="3"/>
      <c r="AYB105" s="3"/>
      <c r="AYC105" s="3"/>
      <c r="AYD105" s="3"/>
      <c r="AYE105" s="3"/>
      <c r="AYF105" s="3"/>
      <c r="AYG105" s="3"/>
      <c r="AYH105" s="3"/>
      <c r="AYI105" s="3"/>
      <c r="AYJ105" s="3"/>
      <c r="AYK105" s="3"/>
      <c r="AYL105" s="3"/>
      <c r="AYM105" s="3"/>
      <c r="AYN105" s="3"/>
      <c r="AYO105" s="3"/>
      <c r="AYP105" s="3"/>
      <c r="AYQ105" s="3"/>
      <c r="AYR105" s="3"/>
      <c r="AYS105" s="3"/>
      <c r="AYT105" s="3"/>
      <c r="AYU105" s="3"/>
      <c r="AYV105" s="3"/>
      <c r="AYW105" s="3"/>
      <c r="AYX105" s="3"/>
      <c r="AYY105" s="3"/>
      <c r="AYZ105" s="3"/>
      <c r="AZA105" s="3"/>
      <c r="AZB105" s="3"/>
      <c r="AZC105" s="3"/>
      <c r="AZD105" s="3"/>
      <c r="AZE105" s="3"/>
      <c r="AZF105" s="3"/>
      <c r="AZG105" s="3"/>
      <c r="AZH105" s="3"/>
      <c r="AZI105" s="3"/>
      <c r="AZJ105" s="3"/>
      <c r="AZK105" s="3"/>
      <c r="AZL105" s="3"/>
      <c r="AZM105" s="3"/>
      <c r="AZN105" s="3"/>
      <c r="AZO105" s="3"/>
      <c r="AZP105" s="3"/>
      <c r="AZQ105" s="3"/>
      <c r="AZR105" s="3"/>
      <c r="AZS105" s="3"/>
      <c r="AZT105" s="3"/>
      <c r="AZU105" s="3"/>
      <c r="AZV105" s="3"/>
      <c r="AZW105" s="3"/>
      <c r="AZX105" s="3"/>
      <c r="AZY105" s="3"/>
      <c r="AZZ105" s="3"/>
      <c r="BAA105" s="3"/>
      <c r="BAB105" s="3"/>
      <c r="BAC105" s="3"/>
      <c r="BAD105" s="3"/>
      <c r="BAE105" s="3"/>
      <c r="BAF105" s="3"/>
      <c r="BAG105" s="3"/>
      <c r="BAH105" s="3"/>
      <c r="BAI105" s="3"/>
      <c r="BAJ105" s="3"/>
      <c r="BAK105" s="3"/>
      <c r="BAL105" s="3"/>
      <c r="BAM105" s="3"/>
      <c r="BAN105" s="3"/>
      <c r="BAO105" s="3"/>
      <c r="BAP105" s="3"/>
      <c r="BAQ105" s="3"/>
      <c r="BAR105" s="3"/>
      <c r="BAS105" s="3"/>
      <c r="BAT105" s="3"/>
      <c r="BAU105" s="3"/>
      <c r="BAV105" s="3"/>
      <c r="BAW105" s="3"/>
      <c r="BAX105" s="3"/>
      <c r="BAY105" s="3"/>
      <c r="BAZ105" s="3"/>
      <c r="BBA105" s="3"/>
      <c r="BBB105" s="3"/>
      <c r="BBC105" s="3"/>
      <c r="BBD105" s="3"/>
      <c r="BBE105" s="3"/>
      <c r="BBF105" s="3"/>
      <c r="BBG105" s="3"/>
      <c r="BBH105" s="3"/>
      <c r="BBI105" s="3"/>
      <c r="BBJ105" s="3"/>
      <c r="BBK105" s="3"/>
      <c r="BBL105" s="3"/>
      <c r="BBM105" s="3"/>
      <c r="BBN105" s="3"/>
      <c r="BBO105" s="3"/>
      <c r="BBP105" s="3"/>
      <c r="BBQ105" s="3"/>
      <c r="BBR105" s="3"/>
      <c r="BBS105" s="3"/>
      <c r="BBT105" s="3"/>
      <c r="BBU105" s="3"/>
      <c r="BBV105" s="3"/>
      <c r="BBW105" s="3"/>
      <c r="BBX105" s="3"/>
      <c r="BBY105" s="3"/>
      <c r="BBZ105" s="3"/>
      <c r="BCA105" s="3"/>
      <c r="BCB105" s="3"/>
      <c r="BCC105" s="3"/>
      <c r="BCD105" s="3"/>
      <c r="BCE105" s="3"/>
      <c r="BCF105" s="3"/>
      <c r="BCG105" s="3"/>
      <c r="BCH105" s="3"/>
      <c r="BCI105" s="3"/>
      <c r="BCJ105" s="3"/>
      <c r="BCK105" s="3"/>
      <c r="BCL105" s="3"/>
      <c r="BCM105" s="3"/>
      <c r="BCN105" s="3"/>
      <c r="BCO105" s="3"/>
      <c r="BCP105" s="3"/>
      <c r="BCQ105" s="3"/>
      <c r="BCR105" s="3"/>
      <c r="BCS105" s="3"/>
      <c r="BCT105" s="3"/>
      <c r="BCU105" s="3"/>
      <c r="BCV105" s="3"/>
      <c r="BCW105" s="3"/>
      <c r="BCX105" s="3"/>
      <c r="BCY105" s="3"/>
      <c r="BCZ105" s="3"/>
      <c r="BDA105" s="3"/>
      <c r="BDB105" s="3"/>
      <c r="BDC105" s="3"/>
      <c r="BDD105" s="3"/>
      <c r="BDE105" s="3"/>
      <c r="BDF105" s="3"/>
      <c r="BDG105" s="3"/>
      <c r="BDH105" s="3"/>
      <c r="BDI105" s="3"/>
      <c r="BDJ105" s="3"/>
      <c r="BDK105" s="3"/>
      <c r="BDL105" s="3"/>
      <c r="BDM105" s="3"/>
      <c r="BDN105" s="3"/>
      <c r="BDO105" s="3"/>
      <c r="BDP105" s="3"/>
      <c r="BDQ105" s="3"/>
      <c r="BDR105" s="3"/>
      <c r="BDS105" s="3"/>
      <c r="BDT105" s="3"/>
      <c r="BDU105" s="3"/>
      <c r="BDV105" s="3"/>
      <c r="BDW105" s="3"/>
      <c r="BDX105" s="3"/>
      <c r="BDY105" s="3"/>
      <c r="BDZ105" s="3"/>
      <c r="BEA105" s="3"/>
      <c r="BEB105" s="3"/>
      <c r="BEC105" s="3"/>
      <c r="BED105" s="3"/>
      <c r="BEE105" s="3"/>
      <c r="BEF105" s="3"/>
      <c r="BEG105" s="3"/>
      <c r="BEH105" s="3"/>
      <c r="BEI105" s="3"/>
      <c r="BEJ105" s="3"/>
      <c r="BEK105" s="3"/>
      <c r="BEL105" s="3"/>
      <c r="BEM105" s="3"/>
      <c r="BEN105" s="3"/>
      <c r="BEO105" s="3"/>
      <c r="BEP105" s="3"/>
      <c r="BEQ105" s="3"/>
      <c r="BER105" s="3"/>
      <c r="BES105" s="3"/>
      <c r="BET105" s="3"/>
      <c r="BEU105" s="3"/>
      <c r="BEV105" s="3"/>
      <c r="BEW105" s="3"/>
      <c r="BEX105" s="3"/>
      <c r="BEY105" s="3"/>
      <c r="BEZ105" s="3"/>
      <c r="BFA105" s="3"/>
      <c r="BFB105" s="3"/>
      <c r="BFC105" s="3"/>
      <c r="BFD105" s="3"/>
      <c r="BFE105" s="3"/>
      <c r="BFF105" s="3"/>
      <c r="BFG105" s="3"/>
      <c r="BFH105" s="3"/>
      <c r="BFI105" s="3"/>
      <c r="BFJ105" s="3"/>
      <c r="BFK105" s="3"/>
      <c r="BFL105" s="3"/>
      <c r="BFM105" s="3"/>
      <c r="BFN105" s="3"/>
      <c r="BFO105" s="3"/>
      <c r="BFP105" s="3"/>
      <c r="BFQ105" s="3"/>
      <c r="BFR105" s="3"/>
      <c r="BFS105" s="3"/>
      <c r="BFT105" s="3"/>
      <c r="BFU105" s="3"/>
      <c r="BFV105" s="3"/>
      <c r="BFW105" s="3"/>
      <c r="BFX105" s="3"/>
      <c r="BFY105" s="3"/>
      <c r="BFZ105" s="3"/>
      <c r="BGA105" s="3"/>
      <c r="BGB105" s="3"/>
      <c r="BGC105" s="3"/>
      <c r="BGD105" s="3"/>
      <c r="BGE105" s="3"/>
      <c r="BGF105" s="3"/>
      <c r="BGG105" s="3"/>
      <c r="BGH105" s="3"/>
      <c r="BGI105" s="3"/>
      <c r="BGJ105" s="3"/>
      <c r="BGK105" s="3"/>
      <c r="BGL105" s="3"/>
      <c r="BGM105" s="3"/>
      <c r="BGN105" s="3"/>
      <c r="BGO105" s="3"/>
      <c r="BGP105" s="3"/>
      <c r="BGQ105" s="3"/>
      <c r="BGR105" s="3"/>
      <c r="BGS105" s="3"/>
      <c r="BGT105" s="3"/>
      <c r="BGU105" s="3"/>
      <c r="BGV105" s="3"/>
      <c r="BGW105" s="3"/>
      <c r="BGX105" s="3"/>
      <c r="BGY105" s="3"/>
      <c r="BGZ105" s="3"/>
      <c r="BHA105" s="3"/>
      <c r="BHB105" s="3"/>
      <c r="BHC105" s="3"/>
      <c r="BHD105" s="3"/>
      <c r="BHE105" s="3"/>
      <c r="BHF105" s="3"/>
      <c r="BHG105" s="3"/>
      <c r="BHH105" s="3"/>
      <c r="BHI105" s="3"/>
      <c r="BHJ105" s="3"/>
      <c r="BHK105" s="3"/>
      <c r="BHL105" s="3"/>
      <c r="BHM105" s="3"/>
      <c r="BHN105" s="3"/>
      <c r="BHO105" s="3"/>
      <c r="BHP105" s="3"/>
      <c r="BHQ105" s="3"/>
      <c r="BHR105" s="3"/>
      <c r="BHS105" s="3"/>
      <c r="BHT105" s="3"/>
      <c r="BHU105" s="3"/>
      <c r="BHV105" s="3"/>
      <c r="BHW105" s="3"/>
      <c r="BHX105" s="3"/>
      <c r="BHY105" s="3"/>
      <c r="BHZ105" s="3"/>
      <c r="BIA105" s="3"/>
      <c r="BIB105" s="3"/>
      <c r="BIC105" s="3"/>
      <c r="BID105" s="3"/>
      <c r="BIE105" s="3"/>
      <c r="BIF105" s="3"/>
      <c r="BIG105" s="3"/>
      <c r="BIH105" s="3"/>
      <c r="BII105" s="3"/>
      <c r="BIJ105" s="3"/>
      <c r="BIK105" s="3"/>
      <c r="BIL105" s="3"/>
      <c r="BIM105" s="3"/>
      <c r="BIN105" s="3"/>
      <c r="BIO105" s="3"/>
      <c r="BIP105" s="3"/>
      <c r="BIQ105" s="3"/>
      <c r="BIR105" s="3"/>
      <c r="BIS105" s="3"/>
      <c r="BIT105" s="3"/>
      <c r="BIU105" s="3"/>
      <c r="BIV105" s="3"/>
      <c r="BIW105" s="3"/>
      <c r="BIX105" s="3"/>
      <c r="BIY105" s="3"/>
      <c r="BIZ105" s="3"/>
      <c r="BJA105" s="3"/>
      <c r="BJB105" s="3"/>
      <c r="BJC105" s="3"/>
      <c r="BJD105" s="3"/>
      <c r="BJE105" s="3"/>
      <c r="BJF105" s="3"/>
      <c r="BJG105" s="3"/>
      <c r="BJH105" s="3"/>
      <c r="BJI105" s="3"/>
      <c r="BJJ105" s="3"/>
      <c r="BJK105" s="3"/>
      <c r="BJL105" s="3"/>
      <c r="BJM105" s="3"/>
      <c r="BJN105" s="3"/>
      <c r="BJO105" s="3"/>
      <c r="BJP105" s="3"/>
      <c r="BJQ105" s="3"/>
      <c r="BJR105" s="3"/>
      <c r="BJS105" s="3"/>
      <c r="BJT105" s="3"/>
      <c r="BJU105" s="3"/>
      <c r="BJV105" s="3"/>
      <c r="BJW105" s="3"/>
      <c r="BJX105" s="3"/>
      <c r="BJY105" s="3"/>
      <c r="BJZ105" s="3"/>
      <c r="BKA105" s="3"/>
      <c r="BKB105" s="3"/>
      <c r="BKC105" s="3"/>
      <c r="BKD105" s="3"/>
      <c r="BKE105" s="3"/>
      <c r="BKF105" s="3"/>
      <c r="BKG105" s="3"/>
      <c r="BKH105" s="3"/>
      <c r="BKI105" s="3"/>
      <c r="BKJ105" s="3"/>
      <c r="BKK105" s="3"/>
      <c r="BKL105" s="3"/>
      <c r="BKM105" s="3"/>
      <c r="BKN105" s="3"/>
      <c r="BKO105" s="3"/>
      <c r="BKP105" s="3"/>
      <c r="BKQ105" s="3"/>
      <c r="BKR105" s="3"/>
      <c r="BKS105" s="3"/>
      <c r="BKT105" s="3"/>
      <c r="BKU105" s="3"/>
      <c r="BKV105" s="3"/>
      <c r="BKW105" s="3"/>
      <c r="BKX105" s="3"/>
      <c r="BKY105" s="3"/>
      <c r="BKZ105" s="3"/>
      <c r="BLA105" s="3"/>
      <c r="BLB105" s="3"/>
      <c r="BLC105" s="3"/>
      <c r="BLD105" s="3"/>
      <c r="BLE105" s="3"/>
      <c r="BLF105" s="3"/>
      <c r="BLG105" s="3"/>
      <c r="BLH105" s="3"/>
      <c r="BLI105" s="3"/>
      <c r="BLJ105" s="3"/>
      <c r="BLK105" s="3"/>
      <c r="BLL105" s="3"/>
      <c r="BLM105" s="3"/>
      <c r="BLN105" s="3"/>
      <c r="BLO105" s="3"/>
      <c r="BLP105" s="3"/>
      <c r="BLQ105" s="3"/>
      <c r="BLR105" s="3"/>
      <c r="BLS105" s="3"/>
      <c r="BLT105" s="3"/>
      <c r="BLU105" s="3"/>
      <c r="BLV105" s="3"/>
      <c r="BLW105" s="3"/>
      <c r="BLX105" s="3"/>
      <c r="BLY105" s="3"/>
      <c r="BLZ105" s="3"/>
      <c r="BMA105" s="3"/>
      <c r="BMB105" s="3"/>
      <c r="BMC105" s="3"/>
      <c r="BMD105" s="3"/>
      <c r="BME105" s="3"/>
      <c r="BMF105" s="3"/>
      <c r="BMG105" s="3"/>
      <c r="BMH105" s="3"/>
      <c r="BMI105" s="3"/>
      <c r="BMJ105" s="3"/>
      <c r="BMK105" s="3"/>
      <c r="BML105" s="3"/>
      <c r="BMM105" s="3"/>
      <c r="BMN105" s="3"/>
      <c r="BMO105" s="3"/>
      <c r="BMP105" s="3"/>
      <c r="BMQ105" s="3"/>
      <c r="BMR105" s="3"/>
      <c r="BMS105" s="3"/>
      <c r="BMT105" s="3"/>
      <c r="BMU105" s="3"/>
      <c r="BMV105" s="3"/>
      <c r="BMW105" s="3"/>
      <c r="BMX105" s="3"/>
      <c r="BMY105" s="3"/>
      <c r="BMZ105" s="3"/>
      <c r="BNA105" s="3"/>
      <c r="BNB105" s="3"/>
      <c r="BNC105" s="3"/>
      <c r="BND105" s="3"/>
      <c r="BNE105" s="3"/>
      <c r="BNF105" s="3"/>
      <c r="BNG105" s="3"/>
      <c r="BNH105" s="3"/>
      <c r="BNI105" s="3"/>
      <c r="BNJ105" s="3"/>
      <c r="BNK105" s="3"/>
      <c r="BNL105" s="3"/>
      <c r="BNM105" s="3"/>
      <c r="BNN105" s="3"/>
      <c r="BNO105" s="3"/>
      <c r="BNP105" s="3"/>
      <c r="BNQ105" s="3"/>
      <c r="BNR105" s="3"/>
      <c r="BNS105" s="3"/>
      <c r="BNT105" s="3"/>
      <c r="BNU105" s="3"/>
      <c r="BNV105" s="3"/>
      <c r="BNW105" s="3"/>
      <c r="BNX105" s="3"/>
      <c r="BNY105" s="3"/>
      <c r="BNZ105" s="3"/>
      <c r="BOA105" s="3"/>
      <c r="BOB105" s="3"/>
      <c r="BOC105" s="3"/>
      <c r="BOD105" s="3"/>
      <c r="BOE105" s="3"/>
      <c r="BOF105" s="3"/>
      <c r="BOG105" s="3"/>
      <c r="BOH105" s="3"/>
      <c r="BOI105" s="3"/>
      <c r="BOJ105" s="3"/>
      <c r="BOK105" s="3"/>
      <c r="BOL105" s="3"/>
      <c r="BOM105" s="3"/>
      <c r="BON105" s="3"/>
      <c r="BOO105" s="3"/>
      <c r="BOP105" s="3"/>
      <c r="BOQ105" s="3"/>
      <c r="BOR105" s="3"/>
      <c r="BOS105" s="3"/>
      <c r="BOT105" s="3"/>
      <c r="BOU105" s="3"/>
      <c r="BOV105" s="3"/>
      <c r="BOW105" s="3"/>
      <c r="BOX105" s="3"/>
      <c r="BOY105" s="3"/>
      <c r="BOZ105" s="3"/>
      <c r="BPA105" s="3"/>
      <c r="BPB105" s="3"/>
      <c r="BPC105" s="3"/>
      <c r="BPD105" s="3"/>
      <c r="BPE105" s="3"/>
      <c r="BPF105" s="3"/>
      <c r="BPG105" s="3"/>
      <c r="BPH105" s="3"/>
      <c r="BPI105" s="3"/>
      <c r="BPJ105" s="3"/>
      <c r="BPK105" s="3"/>
      <c r="BPL105" s="3"/>
      <c r="BPM105" s="3"/>
      <c r="BPN105" s="3"/>
      <c r="BPO105" s="3"/>
      <c r="BPP105" s="3"/>
      <c r="BPQ105" s="3"/>
      <c r="BPR105" s="3"/>
      <c r="BPS105" s="3"/>
      <c r="BPT105" s="3"/>
      <c r="BPU105" s="3"/>
      <c r="BPV105" s="3"/>
      <c r="BPW105" s="3"/>
      <c r="BPX105" s="3"/>
      <c r="BPY105" s="3"/>
      <c r="BPZ105" s="3"/>
      <c r="BQA105" s="3"/>
      <c r="BQB105" s="3"/>
      <c r="BQC105" s="3"/>
      <c r="BQD105" s="3"/>
      <c r="BQE105" s="3"/>
      <c r="BQF105" s="3"/>
      <c r="BQG105" s="3"/>
      <c r="BQH105" s="3"/>
      <c r="BQI105" s="3"/>
      <c r="BQJ105" s="3"/>
      <c r="BQK105" s="3"/>
      <c r="BQL105" s="3"/>
      <c r="BQM105" s="3"/>
      <c r="BQN105" s="3"/>
      <c r="BQO105" s="3"/>
      <c r="BQP105" s="3"/>
      <c r="BQQ105" s="3"/>
      <c r="BQR105" s="3"/>
      <c r="BQS105" s="3"/>
      <c r="BQT105" s="3"/>
      <c r="BQU105" s="3"/>
      <c r="BQV105" s="3"/>
      <c r="BQW105" s="3"/>
      <c r="BQX105" s="3"/>
      <c r="BQY105" s="3"/>
      <c r="BQZ105" s="3"/>
      <c r="BRA105" s="3"/>
      <c r="BRB105" s="3"/>
      <c r="BRC105" s="3"/>
      <c r="BRD105" s="3"/>
      <c r="BRE105" s="3"/>
      <c r="BRF105" s="3"/>
      <c r="BRG105" s="3"/>
      <c r="BRH105" s="3"/>
      <c r="BRI105" s="3"/>
      <c r="BRJ105" s="3"/>
      <c r="BRK105" s="3"/>
      <c r="BRL105" s="3"/>
      <c r="BRM105" s="3"/>
      <c r="BRN105" s="3"/>
      <c r="BRO105" s="3"/>
      <c r="BRP105" s="3"/>
      <c r="BRQ105" s="3"/>
      <c r="BRR105" s="3"/>
      <c r="BRS105" s="3"/>
      <c r="BRT105" s="3"/>
      <c r="BRU105" s="3"/>
      <c r="BRV105" s="3"/>
      <c r="BRW105" s="3"/>
      <c r="BRX105" s="3"/>
      <c r="BRY105" s="3"/>
      <c r="BRZ105" s="3"/>
      <c r="BSA105" s="3"/>
      <c r="BSB105" s="3"/>
      <c r="BSC105" s="3"/>
      <c r="BSD105" s="3"/>
      <c r="BSE105" s="3"/>
      <c r="BSF105" s="3"/>
      <c r="BSG105" s="3"/>
      <c r="BSH105" s="3"/>
      <c r="BSI105" s="3"/>
      <c r="BSJ105" s="3"/>
      <c r="BSK105" s="3"/>
      <c r="BSL105" s="3"/>
      <c r="BSM105" s="3"/>
      <c r="BSN105" s="3"/>
      <c r="BSO105" s="3"/>
      <c r="BSP105" s="3"/>
      <c r="BSQ105" s="3"/>
      <c r="BSR105" s="3"/>
      <c r="BSS105" s="3"/>
      <c r="BST105" s="3"/>
      <c r="BSU105" s="3"/>
      <c r="BSV105" s="3"/>
      <c r="BSW105" s="3"/>
      <c r="BSX105" s="3"/>
      <c r="BSY105" s="3"/>
      <c r="BSZ105" s="3"/>
      <c r="BTA105" s="3"/>
      <c r="BTB105" s="3"/>
      <c r="BTC105" s="3"/>
      <c r="BTD105" s="3"/>
      <c r="BTE105" s="3"/>
      <c r="BTF105" s="3"/>
      <c r="BTG105" s="3"/>
      <c r="BTH105" s="3"/>
      <c r="BTI105" s="3"/>
      <c r="BTJ105" s="3"/>
      <c r="BTK105" s="3"/>
      <c r="BTL105" s="3"/>
      <c r="BTM105" s="3"/>
      <c r="BTN105" s="3"/>
      <c r="BTO105" s="3"/>
      <c r="BTP105" s="3"/>
      <c r="BTQ105" s="3"/>
      <c r="BTR105" s="3"/>
      <c r="BTS105" s="3"/>
      <c r="BTT105" s="3"/>
      <c r="BTU105" s="3"/>
      <c r="BTV105" s="3"/>
      <c r="BTW105" s="3"/>
      <c r="BTX105" s="3"/>
      <c r="BTY105" s="3"/>
      <c r="BTZ105" s="3"/>
      <c r="BUA105" s="3"/>
      <c r="BUB105" s="3"/>
      <c r="BUC105" s="3"/>
      <c r="BUD105" s="3"/>
      <c r="BUE105" s="3"/>
      <c r="BUF105" s="3"/>
      <c r="BUG105" s="3"/>
      <c r="BUH105" s="3"/>
      <c r="BUI105" s="3"/>
      <c r="BUJ105" s="3"/>
      <c r="BUK105" s="3"/>
      <c r="BUL105" s="3"/>
      <c r="BUM105" s="3"/>
      <c r="BUN105" s="3"/>
      <c r="BUO105" s="3"/>
      <c r="BUP105" s="3"/>
      <c r="BUQ105" s="3"/>
      <c r="BUR105" s="3"/>
      <c r="BUS105" s="3"/>
      <c r="BUT105" s="3"/>
      <c r="BUU105" s="3"/>
      <c r="BUV105" s="3"/>
      <c r="BUW105" s="3"/>
      <c r="BUX105" s="3"/>
      <c r="BUY105" s="3"/>
      <c r="BUZ105" s="3"/>
      <c r="BVA105" s="3"/>
      <c r="BVB105" s="3"/>
      <c r="BVC105" s="3"/>
      <c r="BVD105" s="3"/>
      <c r="BVE105" s="3"/>
      <c r="BVF105" s="3"/>
      <c r="BVG105" s="3"/>
      <c r="BVH105" s="3"/>
      <c r="BVI105" s="3"/>
      <c r="BVJ105" s="3"/>
      <c r="BVK105" s="3"/>
      <c r="BVL105" s="3"/>
      <c r="BVM105" s="3"/>
      <c r="BVN105" s="3"/>
      <c r="BVO105" s="3"/>
      <c r="BVP105" s="3"/>
      <c r="BVQ105" s="3"/>
      <c r="BVR105" s="3"/>
      <c r="BVS105" s="3"/>
      <c r="BVT105" s="3"/>
      <c r="BVU105" s="3"/>
      <c r="BVV105" s="3"/>
      <c r="BVW105" s="3"/>
      <c r="BVX105" s="3"/>
      <c r="BVY105" s="3"/>
      <c r="BVZ105" s="3"/>
      <c r="BWA105" s="3"/>
      <c r="BWB105" s="3"/>
      <c r="BWC105" s="3"/>
      <c r="BWD105" s="3"/>
      <c r="BWE105" s="3"/>
      <c r="BWF105" s="3"/>
      <c r="BWG105" s="3"/>
      <c r="BWH105" s="3"/>
      <c r="BWI105" s="3"/>
      <c r="BWJ105" s="3"/>
      <c r="BWK105" s="3"/>
      <c r="BWL105" s="3"/>
      <c r="BWM105" s="3"/>
      <c r="BWN105" s="3"/>
      <c r="BWO105" s="3"/>
      <c r="BWP105" s="3"/>
      <c r="BWQ105" s="3"/>
      <c r="BWR105" s="3"/>
      <c r="BWS105" s="3"/>
      <c r="BWT105" s="3"/>
      <c r="BWU105" s="3"/>
      <c r="BWV105" s="3"/>
      <c r="BWW105" s="3"/>
      <c r="BWX105" s="3"/>
      <c r="BWY105" s="3"/>
      <c r="BWZ105" s="3"/>
      <c r="BXA105" s="3"/>
      <c r="BXB105" s="3"/>
      <c r="BXC105" s="3"/>
      <c r="BXD105" s="3"/>
      <c r="BXE105" s="3"/>
      <c r="BXF105" s="3"/>
      <c r="BXG105" s="3"/>
      <c r="BXH105" s="3"/>
      <c r="BXI105" s="3"/>
      <c r="BXJ105" s="3"/>
      <c r="BXK105" s="3"/>
      <c r="BXL105" s="3"/>
      <c r="BXM105" s="3"/>
      <c r="BXN105" s="3"/>
      <c r="BXO105" s="3"/>
      <c r="BXP105" s="3"/>
      <c r="BXQ105" s="3"/>
      <c r="BXR105" s="3"/>
      <c r="BXS105" s="3"/>
      <c r="BXT105" s="3"/>
      <c r="BXU105" s="3"/>
      <c r="BXV105" s="3"/>
      <c r="BXW105" s="3"/>
      <c r="BXX105" s="3"/>
      <c r="BXY105" s="3"/>
      <c r="BXZ105" s="3"/>
      <c r="BYA105" s="3"/>
      <c r="BYB105" s="3"/>
      <c r="BYC105" s="3"/>
      <c r="BYD105" s="3"/>
      <c r="BYE105" s="3"/>
      <c r="BYF105" s="3"/>
      <c r="BYG105" s="3"/>
      <c r="BYH105" s="3"/>
      <c r="BYI105" s="3"/>
      <c r="BYJ105" s="3"/>
      <c r="BYK105" s="3"/>
      <c r="BYL105" s="3"/>
      <c r="BYM105" s="3"/>
      <c r="BYN105" s="3"/>
      <c r="BYO105" s="3"/>
      <c r="BYP105" s="3"/>
      <c r="BYQ105" s="3"/>
      <c r="BYR105" s="3"/>
      <c r="BYS105" s="3"/>
      <c r="BYT105" s="3"/>
      <c r="BYU105" s="3"/>
      <c r="BYV105" s="3"/>
      <c r="BYW105" s="3"/>
      <c r="BYX105" s="3"/>
      <c r="BYY105" s="3"/>
      <c r="BYZ105" s="3"/>
      <c r="BZA105" s="3"/>
      <c r="BZB105" s="3"/>
      <c r="BZC105" s="3"/>
      <c r="BZD105" s="3"/>
      <c r="BZE105" s="3"/>
      <c r="BZF105" s="3"/>
      <c r="BZG105" s="3"/>
      <c r="BZH105" s="3"/>
      <c r="BZI105" s="3"/>
      <c r="BZJ105" s="3"/>
      <c r="BZK105" s="3"/>
      <c r="BZL105" s="3"/>
      <c r="BZM105" s="3"/>
      <c r="BZN105" s="3"/>
      <c r="BZO105" s="3"/>
      <c r="BZP105" s="3"/>
      <c r="BZQ105" s="3"/>
      <c r="BZR105" s="3"/>
      <c r="BZS105" s="3"/>
      <c r="BZT105" s="3"/>
      <c r="BZU105" s="3"/>
      <c r="BZV105" s="3"/>
      <c r="BZW105" s="3"/>
      <c r="BZX105" s="3"/>
      <c r="BZY105" s="3"/>
      <c r="BZZ105" s="3"/>
      <c r="CAA105" s="3"/>
      <c r="CAB105" s="3"/>
      <c r="CAC105" s="3"/>
      <c r="CAD105" s="3"/>
      <c r="CAE105" s="3"/>
      <c r="CAF105" s="3"/>
      <c r="CAG105" s="3"/>
      <c r="CAH105" s="3"/>
      <c r="CAI105" s="3"/>
      <c r="CAJ105" s="3"/>
      <c r="CAK105" s="3"/>
      <c r="CAL105" s="3"/>
      <c r="CAM105" s="3"/>
      <c r="CAN105" s="3"/>
      <c r="CAO105" s="3"/>
      <c r="CAP105" s="3"/>
      <c r="CAQ105" s="3"/>
      <c r="CAR105" s="3"/>
      <c r="CAS105" s="3"/>
      <c r="CAT105" s="3"/>
      <c r="CAU105" s="3"/>
      <c r="CAV105" s="3"/>
      <c r="CAW105" s="3"/>
      <c r="CAX105" s="3"/>
      <c r="CAY105" s="3"/>
      <c r="CAZ105" s="3"/>
      <c r="CBA105" s="3"/>
      <c r="CBB105" s="3"/>
      <c r="CBC105" s="3"/>
      <c r="CBD105" s="3"/>
      <c r="CBE105" s="3"/>
      <c r="CBF105" s="3"/>
      <c r="CBG105" s="3"/>
      <c r="CBH105" s="3"/>
      <c r="CBI105" s="3"/>
      <c r="CBJ105" s="3"/>
      <c r="CBK105" s="3"/>
      <c r="CBL105" s="3"/>
      <c r="CBM105" s="3"/>
      <c r="CBN105" s="3"/>
      <c r="CBO105" s="3"/>
      <c r="CBP105" s="3"/>
      <c r="CBQ105" s="3"/>
      <c r="CBR105" s="3"/>
      <c r="CBS105" s="3"/>
      <c r="CBT105" s="3"/>
      <c r="CBU105" s="3"/>
      <c r="CBV105" s="3"/>
      <c r="CBW105" s="3"/>
      <c r="CBX105" s="3"/>
      <c r="CBY105" s="3"/>
      <c r="CBZ105" s="3"/>
      <c r="CCA105" s="3"/>
      <c r="CCB105" s="3"/>
      <c r="CCC105" s="3"/>
      <c r="CCD105" s="3"/>
      <c r="CCE105" s="3"/>
      <c r="CCF105" s="3"/>
      <c r="CCG105" s="3"/>
      <c r="CCH105" s="3"/>
      <c r="CCI105" s="3"/>
      <c r="CCJ105" s="3"/>
      <c r="CCK105" s="3"/>
      <c r="CCL105" s="3"/>
      <c r="CCM105" s="3"/>
      <c r="CCN105" s="3"/>
      <c r="CCO105" s="3"/>
      <c r="CCP105" s="3"/>
      <c r="CCQ105" s="3"/>
      <c r="CCR105" s="3"/>
      <c r="CCS105" s="3"/>
      <c r="CCT105" s="3"/>
      <c r="CCU105" s="3"/>
      <c r="CCV105" s="3"/>
      <c r="CCW105" s="3"/>
      <c r="CCX105" s="3"/>
      <c r="CCY105" s="3"/>
      <c r="CCZ105" s="3"/>
      <c r="CDA105" s="3"/>
      <c r="CDB105" s="3"/>
      <c r="CDC105" s="3"/>
      <c r="CDD105" s="3"/>
      <c r="CDE105" s="3"/>
      <c r="CDF105" s="3"/>
      <c r="CDG105" s="3"/>
      <c r="CDH105" s="3"/>
      <c r="CDI105" s="3"/>
      <c r="CDJ105" s="3"/>
      <c r="CDK105" s="3"/>
      <c r="CDL105" s="3"/>
      <c r="CDM105" s="3"/>
      <c r="CDN105" s="3"/>
      <c r="CDO105" s="3"/>
      <c r="CDP105" s="3"/>
      <c r="CDQ105" s="3"/>
      <c r="CDR105" s="3"/>
      <c r="CDS105" s="3"/>
      <c r="CDT105" s="3"/>
      <c r="CDU105" s="3"/>
      <c r="CDV105" s="3"/>
      <c r="CDW105" s="3"/>
      <c r="CDX105" s="3"/>
      <c r="CDY105" s="3"/>
      <c r="CDZ105" s="3"/>
      <c r="CEA105" s="3"/>
      <c r="CEB105" s="3"/>
      <c r="CEC105" s="3"/>
      <c r="CED105" s="3"/>
      <c r="CEE105" s="3"/>
      <c r="CEF105" s="3"/>
      <c r="CEG105" s="3"/>
      <c r="CEH105" s="3"/>
      <c r="CEI105" s="3"/>
      <c r="CEJ105" s="3"/>
      <c r="CEK105" s="3"/>
      <c r="CEL105" s="3"/>
      <c r="CEM105" s="3"/>
      <c r="CEN105" s="3"/>
      <c r="CEO105" s="3"/>
      <c r="CEP105" s="3"/>
      <c r="CEQ105" s="3"/>
      <c r="CER105" s="3"/>
      <c r="CES105" s="3"/>
      <c r="CET105" s="3"/>
      <c r="CEU105" s="3"/>
      <c r="CEV105" s="3"/>
      <c r="CEW105" s="3"/>
      <c r="CEX105" s="3"/>
      <c r="CEY105" s="3"/>
      <c r="CEZ105" s="3"/>
      <c r="CFA105" s="3"/>
      <c r="CFB105" s="3"/>
      <c r="CFC105" s="3"/>
      <c r="CFD105" s="3"/>
      <c r="CFE105" s="3"/>
      <c r="CFF105" s="3"/>
      <c r="CFG105" s="3"/>
      <c r="CFH105" s="3"/>
      <c r="CFI105" s="3"/>
      <c r="CFJ105" s="3"/>
      <c r="CFK105" s="3"/>
      <c r="CFL105" s="3"/>
      <c r="CFM105" s="3"/>
      <c r="CFN105" s="3"/>
      <c r="CFO105" s="3"/>
      <c r="CFP105" s="3"/>
      <c r="CFQ105" s="3"/>
      <c r="CFR105" s="3"/>
      <c r="CFS105" s="3"/>
      <c r="CFT105" s="3"/>
      <c r="CFU105" s="3"/>
      <c r="CFV105" s="3"/>
      <c r="CFW105" s="3"/>
      <c r="CFX105" s="3"/>
      <c r="CFY105" s="3"/>
      <c r="CFZ105" s="3"/>
      <c r="CGA105" s="3"/>
      <c r="CGB105" s="3"/>
      <c r="CGC105" s="3"/>
      <c r="CGD105" s="3"/>
      <c r="CGE105" s="3"/>
      <c r="CGF105" s="3"/>
      <c r="CGG105" s="3"/>
      <c r="CGH105" s="3"/>
      <c r="CGI105" s="3"/>
      <c r="CGJ105" s="3"/>
      <c r="CGK105" s="3"/>
      <c r="CGL105" s="3"/>
      <c r="CGM105" s="3"/>
      <c r="CGN105" s="3"/>
      <c r="CGO105" s="3"/>
      <c r="CGP105" s="3"/>
      <c r="CGQ105" s="3"/>
      <c r="CGR105" s="3"/>
      <c r="CGS105" s="3"/>
      <c r="CGT105" s="3"/>
      <c r="CGU105" s="3"/>
      <c r="CGV105" s="3"/>
      <c r="CGW105" s="3"/>
      <c r="CGX105" s="3"/>
      <c r="CGY105" s="3"/>
      <c r="CGZ105" s="3"/>
      <c r="CHA105" s="3"/>
      <c r="CHB105" s="3"/>
      <c r="CHC105" s="3"/>
      <c r="CHD105" s="3"/>
      <c r="CHE105" s="3"/>
      <c r="CHF105" s="3"/>
      <c r="CHG105" s="3"/>
      <c r="CHH105" s="3"/>
      <c r="CHI105" s="3"/>
      <c r="CHJ105" s="3"/>
      <c r="CHK105" s="3"/>
      <c r="CHL105" s="3"/>
      <c r="CHM105" s="3"/>
      <c r="CHN105" s="3"/>
      <c r="CHO105" s="3"/>
      <c r="CHP105" s="3"/>
      <c r="CHQ105" s="3"/>
      <c r="CHR105" s="3"/>
      <c r="CHS105" s="3"/>
      <c r="CHT105" s="3"/>
      <c r="CHU105" s="3"/>
      <c r="CHV105" s="3"/>
      <c r="CHW105" s="3"/>
      <c r="CHX105" s="3"/>
      <c r="CHY105" s="3"/>
      <c r="CHZ105" s="3"/>
      <c r="CIA105" s="3"/>
      <c r="CIB105" s="3"/>
      <c r="CIC105" s="3"/>
      <c r="CID105" s="3"/>
      <c r="CIE105" s="3"/>
      <c r="CIF105" s="3"/>
      <c r="CIG105" s="3"/>
      <c r="CIH105" s="3"/>
      <c r="CII105" s="3"/>
      <c r="CIJ105" s="3"/>
      <c r="CIK105" s="3"/>
      <c r="CIL105" s="3"/>
      <c r="CIM105" s="3"/>
      <c r="CIN105" s="3"/>
      <c r="CIO105" s="3"/>
      <c r="CIP105" s="3"/>
      <c r="CIQ105" s="3"/>
      <c r="CIR105" s="3"/>
      <c r="CIS105" s="3"/>
      <c r="CIT105" s="3"/>
      <c r="CIU105" s="3"/>
      <c r="CIV105" s="3"/>
      <c r="CIW105" s="3"/>
      <c r="CIX105" s="3"/>
      <c r="CIY105" s="3"/>
      <c r="CIZ105" s="3"/>
      <c r="CJA105" s="3"/>
      <c r="CJB105" s="3"/>
      <c r="CJC105" s="3"/>
      <c r="CJD105" s="3"/>
      <c r="CJE105" s="3"/>
      <c r="CJF105" s="3"/>
      <c r="CJG105" s="3"/>
      <c r="CJH105" s="3"/>
      <c r="CJI105" s="3"/>
      <c r="CJJ105" s="3"/>
      <c r="CJK105" s="3"/>
      <c r="CJL105" s="3"/>
      <c r="CJM105" s="3"/>
      <c r="CJN105" s="3"/>
      <c r="CJO105" s="3"/>
      <c r="CJP105" s="3"/>
      <c r="CJQ105" s="3"/>
      <c r="CJR105" s="3"/>
      <c r="CJS105" s="3"/>
      <c r="CJT105" s="3"/>
      <c r="CJU105" s="3"/>
      <c r="CJV105" s="3"/>
      <c r="CJW105" s="3"/>
      <c r="CJX105" s="3"/>
      <c r="CJY105" s="3"/>
      <c r="CJZ105" s="3"/>
      <c r="CKA105" s="3"/>
      <c r="CKB105" s="3"/>
      <c r="CKC105" s="3"/>
      <c r="CKD105" s="3"/>
      <c r="CKE105" s="3"/>
      <c r="CKF105" s="3"/>
      <c r="CKG105" s="3"/>
      <c r="CKH105" s="3"/>
      <c r="CKI105" s="3"/>
      <c r="CKJ105" s="3"/>
      <c r="CKK105" s="3"/>
      <c r="CKL105" s="3"/>
      <c r="CKM105" s="3"/>
      <c r="CKN105" s="3"/>
      <c r="CKO105" s="3"/>
      <c r="CKP105" s="3"/>
      <c r="CKQ105" s="3"/>
      <c r="CKR105" s="3"/>
      <c r="CKS105" s="3"/>
      <c r="CKT105" s="3"/>
      <c r="CKU105" s="3"/>
      <c r="CKV105" s="3"/>
      <c r="CKW105" s="3"/>
      <c r="CKX105" s="3"/>
      <c r="CKY105" s="3"/>
      <c r="CKZ105" s="3"/>
      <c r="CLA105" s="3"/>
      <c r="CLB105" s="3"/>
      <c r="CLC105" s="3"/>
      <c r="CLD105" s="3"/>
      <c r="CLE105" s="3"/>
      <c r="CLF105" s="3"/>
      <c r="CLG105" s="3"/>
      <c r="CLH105" s="3"/>
      <c r="CLI105" s="3"/>
      <c r="CLJ105" s="3"/>
      <c r="CLK105" s="3"/>
      <c r="CLL105" s="3"/>
      <c r="CLM105" s="3"/>
      <c r="CLN105" s="3"/>
      <c r="CLO105" s="3"/>
      <c r="CLP105" s="3"/>
      <c r="CLQ105" s="3"/>
      <c r="CLR105" s="3"/>
      <c r="CLS105" s="3"/>
      <c r="CLT105" s="3"/>
      <c r="CLU105" s="3"/>
      <c r="CLV105" s="3"/>
      <c r="CLW105" s="3"/>
      <c r="CLX105" s="3"/>
      <c r="CLY105" s="3"/>
      <c r="CLZ105" s="3"/>
      <c r="CMA105" s="3"/>
      <c r="CMB105" s="3"/>
      <c r="CMC105" s="3"/>
      <c r="CMD105" s="3"/>
      <c r="CME105" s="3"/>
      <c r="CMF105" s="3"/>
      <c r="CMG105" s="3"/>
      <c r="CMH105" s="3"/>
      <c r="CMI105" s="3"/>
      <c r="CMJ105" s="3"/>
      <c r="CMK105" s="3"/>
      <c r="CML105" s="3"/>
      <c r="CMM105" s="3"/>
      <c r="CMN105" s="3"/>
      <c r="CMO105" s="3"/>
      <c r="CMP105" s="3"/>
      <c r="CMQ105" s="3"/>
      <c r="CMR105" s="3"/>
      <c r="CMS105" s="3"/>
      <c r="CMT105" s="3"/>
      <c r="CMU105" s="3"/>
      <c r="CMV105" s="3"/>
      <c r="CMW105" s="3"/>
      <c r="CMX105" s="3"/>
      <c r="CMY105" s="3"/>
      <c r="CMZ105" s="3"/>
      <c r="CNA105" s="3"/>
      <c r="CNB105" s="3"/>
      <c r="CNC105" s="3"/>
      <c r="CND105" s="3"/>
      <c r="CNE105" s="3"/>
      <c r="CNF105" s="3"/>
      <c r="CNG105" s="3"/>
      <c r="CNH105" s="3"/>
      <c r="CNI105" s="3"/>
      <c r="CNJ105" s="3"/>
      <c r="CNK105" s="3"/>
      <c r="CNL105" s="3"/>
      <c r="CNM105" s="3"/>
      <c r="CNN105" s="3"/>
      <c r="CNO105" s="3"/>
      <c r="CNP105" s="3"/>
      <c r="CNQ105" s="3"/>
      <c r="CNR105" s="3"/>
      <c r="CNS105" s="3"/>
      <c r="CNT105" s="3"/>
      <c r="CNU105" s="3"/>
      <c r="CNV105" s="3"/>
      <c r="CNW105" s="3"/>
      <c r="CNX105" s="3"/>
      <c r="CNY105" s="3"/>
      <c r="CNZ105" s="3"/>
      <c r="COA105" s="3"/>
      <c r="COB105" s="3"/>
      <c r="COC105" s="3"/>
      <c r="COD105" s="3"/>
      <c r="COE105" s="3"/>
      <c r="COF105" s="3"/>
      <c r="COG105" s="3"/>
      <c r="COH105" s="3"/>
      <c r="COI105" s="3"/>
      <c r="COJ105" s="3"/>
      <c r="COK105" s="3"/>
      <c r="COL105" s="3"/>
      <c r="COM105" s="3"/>
      <c r="CON105" s="3"/>
      <c r="COO105" s="3"/>
      <c r="COP105" s="3"/>
      <c r="COQ105" s="3"/>
      <c r="COR105" s="3"/>
      <c r="COS105" s="3"/>
      <c r="COT105" s="3"/>
      <c r="COU105" s="3"/>
      <c r="COV105" s="3"/>
      <c r="COW105" s="3"/>
      <c r="COX105" s="3"/>
      <c r="COY105" s="3"/>
      <c r="COZ105" s="3"/>
      <c r="CPA105" s="3"/>
      <c r="CPB105" s="3"/>
      <c r="CPC105" s="3"/>
      <c r="CPD105" s="3"/>
      <c r="CPE105" s="3"/>
      <c r="CPF105" s="3"/>
      <c r="CPG105" s="3"/>
      <c r="CPH105" s="3"/>
      <c r="CPI105" s="3"/>
      <c r="CPJ105" s="3"/>
      <c r="CPK105" s="3"/>
      <c r="CPL105" s="3"/>
      <c r="CPM105" s="3"/>
      <c r="CPN105" s="3"/>
      <c r="CPO105" s="3"/>
      <c r="CPP105" s="3"/>
      <c r="CPQ105" s="3"/>
      <c r="CPR105" s="3"/>
      <c r="CPS105" s="3"/>
      <c r="CPT105" s="3"/>
      <c r="CPU105" s="3"/>
      <c r="CPV105" s="3"/>
      <c r="CPW105" s="3"/>
      <c r="CPX105" s="3"/>
      <c r="CPY105" s="3"/>
      <c r="CPZ105" s="3"/>
      <c r="CQA105" s="3"/>
      <c r="CQB105" s="3"/>
      <c r="CQC105" s="3"/>
      <c r="CQD105" s="3"/>
      <c r="CQE105" s="3"/>
      <c r="CQF105" s="3"/>
      <c r="CQG105" s="3"/>
      <c r="CQH105" s="3"/>
      <c r="CQI105" s="3"/>
      <c r="CQJ105" s="3"/>
      <c r="CQK105" s="3"/>
      <c r="CQL105" s="3"/>
      <c r="CQM105" s="3"/>
      <c r="CQN105" s="3"/>
      <c r="CQO105" s="3"/>
      <c r="CQP105" s="3"/>
      <c r="CQQ105" s="3"/>
      <c r="CQR105" s="3"/>
      <c r="CQS105" s="3"/>
      <c r="CQT105" s="3"/>
      <c r="CQU105" s="3"/>
      <c r="CQV105" s="3"/>
      <c r="CQW105" s="3"/>
      <c r="CQX105" s="3"/>
      <c r="CQY105" s="3"/>
      <c r="CQZ105" s="3"/>
      <c r="CRA105" s="3"/>
      <c r="CRB105" s="3"/>
      <c r="CRC105" s="3"/>
      <c r="CRD105" s="3"/>
      <c r="CRE105" s="3"/>
      <c r="CRF105" s="3"/>
      <c r="CRG105" s="3"/>
      <c r="CRH105" s="3"/>
      <c r="CRI105" s="3"/>
      <c r="CRJ105" s="3"/>
      <c r="CRK105" s="3"/>
      <c r="CRL105" s="3"/>
      <c r="CRM105" s="3"/>
      <c r="CRN105" s="3"/>
      <c r="CRO105" s="3"/>
      <c r="CRP105" s="3"/>
      <c r="CRQ105" s="3"/>
      <c r="CRR105" s="3"/>
      <c r="CRS105" s="3"/>
      <c r="CRT105" s="3"/>
      <c r="CRU105" s="3"/>
      <c r="CRV105" s="3"/>
      <c r="CRW105" s="3"/>
      <c r="CRX105" s="3"/>
      <c r="CRY105" s="3"/>
      <c r="CRZ105" s="3"/>
      <c r="CSA105" s="3"/>
      <c r="CSB105" s="3"/>
      <c r="CSC105" s="3"/>
      <c r="CSD105" s="3"/>
      <c r="CSE105" s="3"/>
      <c r="CSF105" s="3"/>
      <c r="CSG105" s="3"/>
      <c r="CSH105" s="3"/>
      <c r="CSI105" s="3"/>
      <c r="CSJ105" s="3"/>
      <c r="CSK105" s="3"/>
      <c r="CSL105" s="3"/>
      <c r="CSM105" s="3"/>
      <c r="CSN105" s="3"/>
      <c r="CSO105" s="3"/>
      <c r="CSP105" s="3"/>
      <c r="CSQ105" s="3"/>
      <c r="CSR105" s="3"/>
      <c r="CSS105" s="3"/>
      <c r="CST105" s="3"/>
      <c r="CSU105" s="3"/>
      <c r="CSV105" s="3"/>
      <c r="CSW105" s="3"/>
      <c r="CSX105" s="3"/>
      <c r="CSY105" s="3"/>
      <c r="CSZ105" s="3"/>
      <c r="CTA105" s="3"/>
      <c r="CTB105" s="3"/>
      <c r="CTC105" s="3"/>
      <c r="CTD105" s="3"/>
      <c r="CTE105" s="3"/>
      <c r="CTF105" s="3"/>
      <c r="CTG105" s="3"/>
      <c r="CTH105" s="3"/>
      <c r="CTI105" s="3"/>
      <c r="CTJ105" s="3"/>
      <c r="CTK105" s="3"/>
      <c r="CTL105" s="3"/>
      <c r="CTM105" s="3"/>
      <c r="CTN105" s="3"/>
      <c r="CTO105" s="3"/>
      <c r="CTP105" s="3"/>
      <c r="CTQ105" s="3"/>
      <c r="CTR105" s="3"/>
      <c r="CTS105" s="3"/>
      <c r="CTT105" s="3"/>
      <c r="CTU105" s="3"/>
      <c r="CTV105" s="3"/>
      <c r="CTW105" s="3"/>
      <c r="CTX105" s="3"/>
      <c r="CTY105" s="3"/>
      <c r="CTZ105" s="3"/>
      <c r="CUA105" s="3"/>
      <c r="CUB105" s="3"/>
      <c r="CUC105" s="3"/>
      <c r="CUD105" s="3"/>
      <c r="CUE105" s="3"/>
      <c r="CUF105" s="3"/>
      <c r="CUG105" s="3"/>
      <c r="CUH105" s="3"/>
      <c r="CUI105" s="3"/>
      <c r="CUJ105" s="3"/>
      <c r="CUK105" s="3"/>
      <c r="CUL105" s="3"/>
      <c r="CUM105" s="3"/>
      <c r="CUN105" s="3"/>
      <c r="CUO105" s="3"/>
      <c r="CUP105" s="3"/>
      <c r="CUQ105" s="3"/>
      <c r="CUR105" s="3"/>
      <c r="CUS105" s="3"/>
      <c r="CUT105" s="3"/>
      <c r="CUU105" s="3"/>
      <c r="CUV105" s="3"/>
      <c r="CUW105" s="3"/>
      <c r="CUX105" s="3"/>
      <c r="CUY105" s="3"/>
      <c r="CUZ105" s="3"/>
      <c r="CVA105" s="3"/>
      <c r="CVB105" s="3"/>
      <c r="CVC105" s="3"/>
      <c r="CVD105" s="3"/>
      <c r="CVE105" s="3"/>
      <c r="CVF105" s="3"/>
      <c r="CVG105" s="3"/>
      <c r="CVH105" s="3"/>
      <c r="CVI105" s="3"/>
      <c r="CVJ105" s="3"/>
      <c r="CVK105" s="3"/>
      <c r="CVL105" s="3"/>
      <c r="CVM105" s="3"/>
      <c r="CVN105" s="3"/>
      <c r="CVO105" s="3"/>
      <c r="CVP105" s="3"/>
      <c r="CVQ105" s="3"/>
      <c r="CVR105" s="3"/>
      <c r="CVS105" s="3"/>
      <c r="CVT105" s="3"/>
      <c r="CVU105" s="3"/>
      <c r="CVV105" s="3"/>
      <c r="CVW105" s="3"/>
      <c r="CVX105" s="3"/>
      <c r="CVY105" s="3"/>
      <c r="CVZ105" s="3"/>
      <c r="CWA105" s="3"/>
      <c r="CWB105" s="3"/>
      <c r="CWC105" s="3"/>
      <c r="CWD105" s="3"/>
      <c r="CWE105" s="3"/>
      <c r="CWF105" s="3"/>
      <c r="CWG105" s="3"/>
      <c r="CWH105" s="3"/>
      <c r="CWI105" s="3"/>
      <c r="CWJ105" s="3"/>
      <c r="CWK105" s="3"/>
      <c r="CWL105" s="3"/>
      <c r="CWM105" s="3"/>
      <c r="CWN105" s="3"/>
      <c r="CWO105" s="3"/>
      <c r="CWP105" s="3"/>
      <c r="CWQ105" s="3"/>
      <c r="CWR105" s="3"/>
      <c r="CWS105" s="3"/>
      <c r="CWT105" s="3"/>
      <c r="CWU105" s="3"/>
      <c r="CWV105" s="3"/>
      <c r="CWW105" s="3"/>
      <c r="CWX105" s="3"/>
      <c r="CWY105" s="3"/>
      <c r="CWZ105" s="3"/>
      <c r="CXA105" s="3"/>
      <c r="CXB105" s="3"/>
      <c r="CXC105" s="3"/>
      <c r="CXD105" s="3"/>
      <c r="CXE105" s="3"/>
      <c r="CXF105" s="3"/>
      <c r="CXG105" s="3"/>
      <c r="CXH105" s="3"/>
      <c r="CXI105" s="3"/>
      <c r="CXJ105" s="3"/>
      <c r="CXK105" s="3"/>
      <c r="CXL105" s="3"/>
      <c r="CXM105" s="3"/>
      <c r="CXN105" s="3"/>
      <c r="CXO105" s="3"/>
      <c r="CXP105" s="3"/>
      <c r="CXQ105" s="3"/>
      <c r="CXR105" s="3"/>
      <c r="CXS105" s="3"/>
      <c r="CXT105" s="3"/>
      <c r="CXU105" s="3"/>
      <c r="CXV105" s="3"/>
      <c r="CXW105" s="3"/>
      <c r="CXX105" s="3"/>
      <c r="CXY105" s="3"/>
      <c r="CXZ105" s="3"/>
      <c r="CYA105" s="3"/>
      <c r="CYB105" s="3"/>
      <c r="CYC105" s="3"/>
      <c r="CYD105" s="3"/>
      <c r="CYE105" s="3"/>
      <c r="CYF105" s="3"/>
      <c r="CYG105" s="3"/>
      <c r="CYH105" s="3"/>
      <c r="CYI105" s="3"/>
      <c r="CYJ105" s="3"/>
      <c r="CYK105" s="3"/>
      <c r="CYL105" s="3"/>
      <c r="CYM105" s="3"/>
      <c r="CYN105" s="3"/>
      <c r="CYO105" s="3"/>
      <c r="CYP105" s="3"/>
      <c r="CYQ105" s="3"/>
      <c r="CYR105" s="3"/>
      <c r="CYS105" s="3"/>
      <c r="CYT105" s="3"/>
      <c r="CYU105" s="3"/>
      <c r="CYV105" s="3"/>
      <c r="CYW105" s="3"/>
      <c r="CYX105" s="3"/>
      <c r="CYY105" s="3"/>
      <c r="CYZ105" s="3"/>
      <c r="CZA105" s="3"/>
      <c r="CZB105" s="3"/>
      <c r="CZC105" s="3"/>
      <c r="CZD105" s="3"/>
      <c r="CZE105" s="3"/>
      <c r="CZF105" s="3"/>
      <c r="CZG105" s="3"/>
      <c r="CZH105" s="3"/>
      <c r="CZI105" s="3"/>
      <c r="CZJ105" s="3"/>
      <c r="CZK105" s="3"/>
      <c r="CZL105" s="3"/>
      <c r="CZM105" s="3"/>
      <c r="CZN105" s="3"/>
      <c r="CZO105" s="3"/>
      <c r="CZP105" s="3"/>
      <c r="CZQ105" s="3"/>
      <c r="CZR105" s="3"/>
      <c r="CZS105" s="3"/>
      <c r="CZT105" s="3"/>
      <c r="CZU105" s="3"/>
      <c r="CZV105" s="3"/>
      <c r="CZW105" s="3"/>
      <c r="CZX105" s="3"/>
      <c r="CZY105" s="3"/>
      <c r="CZZ105" s="3"/>
      <c r="DAA105" s="3"/>
      <c r="DAB105" s="3"/>
      <c r="DAC105" s="3"/>
      <c r="DAD105" s="3"/>
      <c r="DAE105" s="3"/>
      <c r="DAF105" s="3"/>
      <c r="DAG105" s="3"/>
      <c r="DAH105" s="3"/>
      <c r="DAI105" s="3"/>
      <c r="DAJ105" s="3"/>
      <c r="DAK105" s="3"/>
      <c r="DAL105" s="3"/>
      <c r="DAM105" s="3"/>
      <c r="DAN105" s="3"/>
      <c r="DAO105" s="3"/>
      <c r="DAP105" s="3"/>
      <c r="DAQ105" s="3"/>
      <c r="DAR105" s="3"/>
      <c r="DAS105" s="3"/>
      <c r="DAT105" s="3"/>
      <c r="DAU105" s="3"/>
      <c r="DAV105" s="3"/>
      <c r="DAW105" s="3"/>
      <c r="DAX105" s="3"/>
      <c r="DAY105" s="3"/>
      <c r="DAZ105" s="3"/>
      <c r="DBA105" s="3"/>
      <c r="DBB105" s="3"/>
      <c r="DBC105" s="3"/>
      <c r="DBD105" s="3"/>
      <c r="DBE105" s="3"/>
      <c r="DBF105" s="3"/>
      <c r="DBG105" s="3"/>
      <c r="DBH105" s="3"/>
      <c r="DBI105" s="3"/>
      <c r="DBJ105" s="3"/>
      <c r="DBK105" s="3"/>
      <c r="DBL105" s="3"/>
      <c r="DBM105" s="3"/>
      <c r="DBN105" s="3"/>
      <c r="DBO105" s="3"/>
      <c r="DBP105" s="3"/>
      <c r="DBQ105" s="3"/>
      <c r="DBR105" s="3"/>
      <c r="DBS105" s="3"/>
      <c r="DBT105" s="3"/>
      <c r="DBU105" s="3"/>
      <c r="DBV105" s="3"/>
      <c r="DBW105" s="3"/>
      <c r="DBX105" s="3"/>
      <c r="DBY105" s="3"/>
      <c r="DBZ105" s="3"/>
      <c r="DCA105" s="3"/>
      <c r="DCB105" s="3"/>
      <c r="DCC105" s="3"/>
      <c r="DCD105" s="3"/>
      <c r="DCE105" s="3"/>
      <c r="DCF105" s="3"/>
      <c r="DCG105" s="3"/>
      <c r="DCH105" s="3"/>
      <c r="DCI105" s="3"/>
      <c r="DCJ105" s="3"/>
      <c r="DCK105" s="3"/>
      <c r="DCL105" s="3"/>
      <c r="DCM105" s="3"/>
      <c r="DCN105" s="3"/>
      <c r="DCO105" s="3"/>
      <c r="DCP105" s="3"/>
      <c r="DCQ105" s="3"/>
      <c r="DCR105" s="3"/>
      <c r="DCS105" s="3"/>
      <c r="DCT105" s="3"/>
      <c r="DCU105" s="3"/>
      <c r="DCV105" s="3"/>
      <c r="DCW105" s="3"/>
      <c r="DCX105" s="3"/>
      <c r="DCY105" s="3"/>
      <c r="DCZ105" s="3"/>
      <c r="DDA105" s="3"/>
      <c r="DDB105" s="3"/>
      <c r="DDC105" s="3"/>
      <c r="DDD105" s="3"/>
      <c r="DDE105" s="3"/>
      <c r="DDF105" s="3"/>
      <c r="DDG105" s="3"/>
      <c r="DDH105" s="3"/>
      <c r="DDI105" s="3"/>
      <c r="DDJ105" s="3"/>
      <c r="DDK105" s="3"/>
      <c r="DDL105" s="3"/>
      <c r="DDM105" s="3"/>
      <c r="DDN105" s="3"/>
      <c r="DDO105" s="3"/>
      <c r="DDP105" s="3"/>
      <c r="DDQ105" s="3"/>
      <c r="DDR105" s="3"/>
      <c r="DDS105" s="3"/>
      <c r="DDT105" s="3"/>
      <c r="DDU105" s="3"/>
      <c r="DDV105" s="3"/>
      <c r="DDW105" s="3"/>
      <c r="DDX105" s="3"/>
      <c r="DDY105" s="3"/>
      <c r="DDZ105" s="3"/>
      <c r="DEA105" s="3"/>
      <c r="DEB105" s="3"/>
      <c r="DEC105" s="3"/>
      <c r="DED105" s="3"/>
      <c r="DEE105" s="3"/>
      <c r="DEF105" s="3"/>
      <c r="DEG105" s="3"/>
      <c r="DEH105" s="3"/>
      <c r="DEI105" s="3"/>
      <c r="DEJ105" s="3"/>
      <c r="DEK105" s="3"/>
      <c r="DEL105" s="3"/>
      <c r="DEM105" s="3"/>
      <c r="DEN105" s="3"/>
      <c r="DEO105" s="3"/>
      <c r="DEP105" s="3"/>
      <c r="DEQ105" s="3"/>
      <c r="DER105" s="3"/>
      <c r="DES105" s="3"/>
      <c r="DET105" s="3"/>
      <c r="DEU105" s="3"/>
      <c r="DEV105" s="3"/>
      <c r="DEW105" s="3"/>
      <c r="DEX105" s="3"/>
      <c r="DEY105" s="3"/>
      <c r="DEZ105" s="3"/>
      <c r="DFA105" s="3"/>
      <c r="DFB105" s="3"/>
      <c r="DFC105" s="3"/>
      <c r="DFD105" s="3"/>
      <c r="DFE105" s="3"/>
      <c r="DFF105" s="3"/>
      <c r="DFG105" s="3"/>
      <c r="DFH105" s="3"/>
      <c r="DFI105" s="3"/>
      <c r="DFJ105" s="3"/>
      <c r="DFK105" s="3"/>
      <c r="DFL105" s="3"/>
      <c r="DFM105" s="3"/>
      <c r="DFN105" s="3"/>
      <c r="DFO105" s="3"/>
      <c r="DFP105" s="3"/>
      <c r="DFQ105" s="3"/>
      <c r="DFR105" s="3"/>
      <c r="DFS105" s="3"/>
      <c r="DFT105" s="3"/>
      <c r="DFU105" s="3"/>
      <c r="DFV105" s="3"/>
      <c r="DFW105" s="3"/>
      <c r="DFX105" s="3"/>
      <c r="DFY105" s="3"/>
      <c r="DFZ105" s="3"/>
      <c r="DGA105" s="3"/>
      <c r="DGB105" s="3"/>
      <c r="DGC105" s="3"/>
      <c r="DGD105" s="3"/>
      <c r="DGE105" s="3"/>
      <c r="DGF105" s="3"/>
      <c r="DGG105" s="3"/>
      <c r="DGH105" s="3"/>
      <c r="DGI105" s="3"/>
      <c r="DGJ105" s="3"/>
      <c r="DGK105" s="3"/>
      <c r="DGL105" s="3"/>
      <c r="DGM105" s="3"/>
      <c r="DGN105" s="3"/>
      <c r="DGO105" s="3"/>
      <c r="DGP105" s="3"/>
      <c r="DGQ105" s="3"/>
      <c r="DGR105" s="3"/>
      <c r="DGS105" s="3"/>
      <c r="DGT105" s="3"/>
      <c r="DGU105" s="3"/>
      <c r="DGV105" s="3"/>
      <c r="DGW105" s="3"/>
      <c r="DGX105" s="3"/>
      <c r="DGY105" s="3"/>
      <c r="DGZ105" s="3"/>
      <c r="DHA105" s="3"/>
      <c r="DHB105" s="3"/>
      <c r="DHC105" s="3"/>
      <c r="DHD105" s="3"/>
      <c r="DHE105" s="3"/>
      <c r="DHF105" s="3"/>
      <c r="DHG105" s="3"/>
      <c r="DHH105" s="3"/>
      <c r="DHI105" s="3"/>
      <c r="DHJ105" s="3"/>
      <c r="DHK105" s="3"/>
      <c r="DHL105" s="3"/>
      <c r="DHM105" s="3"/>
      <c r="DHN105" s="3"/>
      <c r="DHO105" s="3"/>
      <c r="DHP105" s="3"/>
      <c r="DHQ105" s="3"/>
      <c r="DHR105" s="3"/>
      <c r="DHS105" s="3"/>
      <c r="DHT105" s="3"/>
      <c r="DHU105" s="3"/>
      <c r="DHV105" s="3"/>
      <c r="DHW105" s="3"/>
      <c r="DHX105" s="3"/>
      <c r="DHY105" s="3"/>
      <c r="DHZ105" s="3"/>
      <c r="DIA105" s="3"/>
      <c r="DIB105" s="3"/>
      <c r="DIC105" s="3"/>
      <c r="DID105" s="3"/>
      <c r="DIE105" s="3"/>
      <c r="DIF105" s="3"/>
      <c r="DIG105" s="3"/>
      <c r="DIH105" s="3"/>
      <c r="DII105" s="3"/>
      <c r="DIJ105" s="3"/>
      <c r="DIK105" s="3"/>
      <c r="DIL105" s="3"/>
      <c r="DIM105" s="3"/>
      <c r="DIN105" s="3"/>
      <c r="DIO105" s="3"/>
      <c r="DIP105" s="3"/>
      <c r="DIQ105" s="3"/>
      <c r="DIR105" s="3"/>
      <c r="DIS105" s="3"/>
      <c r="DIT105" s="3"/>
      <c r="DIU105" s="3"/>
      <c r="DIV105" s="3"/>
      <c r="DIW105" s="3"/>
      <c r="DIX105" s="3"/>
      <c r="DIY105" s="3"/>
      <c r="DIZ105" s="3"/>
      <c r="DJA105" s="3"/>
      <c r="DJB105" s="3"/>
      <c r="DJC105" s="3"/>
      <c r="DJD105" s="3"/>
      <c r="DJE105" s="3"/>
      <c r="DJF105" s="3"/>
      <c r="DJG105" s="3"/>
      <c r="DJH105" s="3"/>
      <c r="DJI105" s="3"/>
      <c r="DJJ105" s="3"/>
      <c r="DJK105" s="3"/>
      <c r="DJL105" s="3"/>
      <c r="DJM105" s="3"/>
      <c r="DJN105" s="3"/>
      <c r="DJO105" s="3"/>
      <c r="DJP105" s="3"/>
      <c r="DJQ105" s="3"/>
      <c r="DJR105" s="3"/>
      <c r="DJS105" s="3"/>
      <c r="DJT105" s="3"/>
      <c r="DJU105" s="3"/>
      <c r="DJV105" s="3"/>
      <c r="DJW105" s="3"/>
      <c r="DJX105" s="3"/>
      <c r="DJY105" s="3"/>
      <c r="DJZ105" s="3"/>
      <c r="DKA105" s="3"/>
      <c r="DKB105" s="3"/>
      <c r="DKC105" s="3"/>
      <c r="DKD105" s="3"/>
      <c r="DKE105" s="3"/>
      <c r="DKF105" s="3"/>
      <c r="DKG105" s="3"/>
      <c r="DKH105" s="3"/>
      <c r="DKI105" s="3"/>
      <c r="DKJ105" s="3"/>
      <c r="DKK105" s="3"/>
      <c r="DKL105" s="3"/>
      <c r="DKM105" s="3"/>
      <c r="DKN105" s="3"/>
      <c r="DKO105" s="3"/>
      <c r="DKP105" s="3"/>
      <c r="DKQ105" s="3"/>
      <c r="DKR105" s="3"/>
      <c r="DKS105" s="3"/>
      <c r="DKT105" s="3"/>
      <c r="DKU105" s="3"/>
      <c r="DKV105" s="3"/>
      <c r="DKW105" s="3"/>
      <c r="DKX105" s="3"/>
      <c r="DKY105" s="3"/>
      <c r="DKZ105" s="3"/>
      <c r="DLA105" s="3"/>
      <c r="DLB105" s="3"/>
      <c r="DLC105" s="3"/>
      <c r="DLD105" s="3"/>
      <c r="DLE105" s="3"/>
      <c r="DLF105" s="3"/>
      <c r="DLG105" s="3"/>
      <c r="DLH105" s="3"/>
      <c r="DLI105" s="3"/>
      <c r="DLJ105" s="3"/>
      <c r="DLK105" s="3"/>
      <c r="DLL105" s="3"/>
      <c r="DLM105" s="3"/>
      <c r="DLN105" s="3"/>
      <c r="DLO105" s="3"/>
      <c r="DLP105" s="3"/>
      <c r="DLQ105" s="3"/>
      <c r="DLR105" s="3"/>
      <c r="DLS105" s="3"/>
      <c r="DLT105" s="3"/>
      <c r="DLU105" s="3"/>
      <c r="DLV105" s="3"/>
      <c r="DLW105" s="3"/>
      <c r="DLX105" s="3"/>
      <c r="DLY105" s="3"/>
      <c r="DLZ105" s="3"/>
      <c r="DMA105" s="3"/>
      <c r="DMB105" s="3"/>
      <c r="DMC105" s="3"/>
      <c r="DMD105" s="3"/>
      <c r="DME105" s="3"/>
      <c r="DMF105" s="3"/>
      <c r="DMG105" s="3"/>
      <c r="DMH105" s="3"/>
      <c r="DMI105" s="3"/>
      <c r="DMJ105" s="3"/>
      <c r="DMK105" s="3"/>
      <c r="DML105" s="3"/>
      <c r="DMM105" s="3"/>
      <c r="DMN105" s="3"/>
      <c r="DMO105" s="3"/>
      <c r="DMP105" s="3"/>
      <c r="DMQ105" s="3"/>
      <c r="DMR105" s="3"/>
      <c r="DMS105" s="3"/>
      <c r="DMT105" s="3"/>
      <c r="DMU105" s="3"/>
      <c r="DMV105" s="3"/>
      <c r="DMW105" s="3"/>
      <c r="DMX105" s="3"/>
      <c r="DMY105" s="3"/>
      <c r="DMZ105" s="3"/>
      <c r="DNA105" s="3"/>
      <c r="DNB105" s="3"/>
      <c r="DNC105" s="3"/>
      <c r="DND105" s="3"/>
      <c r="DNE105" s="3"/>
      <c r="DNF105" s="3"/>
      <c r="DNG105" s="3"/>
      <c r="DNH105" s="3"/>
      <c r="DNI105" s="3"/>
      <c r="DNJ105" s="3"/>
      <c r="DNK105" s="3"/>
      <c r="DNL105" s="3"/>
      <c r="DNM105" s="3"/>
      <c r="DNN105" s="3"/>
      <c r="DNO105" s="3"/>
      <c r="DNP105" s="3"/>
      <c r="DNQ105" s="3"/>
      <c r="DNR105" s="3"/>
      <c r="DNS105" s="3"/>
      <c r="DNT105" s="3"/>
      <c r="DNU105" s="3"/>
      <c r="DNV105" s="3"/>
      <c r="DNW105" s="3"/>
      <c r="DNX105" s="3"/>
      <c r="DNY105" s="3"/>
      <c r="DNZ105" s="3"/>
      <c r="DOA105" s="3"/>
      <c r="DOB105" s="3"/>
      <c r="DOC105" s="3"/>
      <c r="DOD105" s="3"/>
      <c r="DOE105" s="3"/>
      <c r="DOF105" s="3"/>
      <c r="DOG105" s="3"/>
      <c r="DOH105" s="3"/>
      <c r="DOI105" s="3"/>
      <c r="DOJ105" s="3"/>
      <c r="DOK105" s="3"/>
      <c r="DOL105" s="3"/>
      <c r="DOM105" s="3"/>
      <c r="DON105" s="3"/>
      <c r="DOO105" s="3"/>
      <c r="DOP105" s="3"/>
      <c r="DOQ105" s="3"/>
      <c r="DOR105" s="3"/>
      <c r="DOS105" s="3"/>
      <c r="DOT105" s="3"/>
      <c r="DOU105" s="3"/>
      <c r="DOV105" s="3"/>
      <c r="DOW105" s="3"/>
      <c r="DOX105" s="3"/>
      <c r="DOY105" s="3"/>
      <c r="DOZ105" s="3"/>
      <c r="DPA105" s="3"/>
      <c r="DPB105" s="3"/>
      <c r="DPC105" s="3"/>
      <c r="DPD105" s="3"/>
      <c r="DPE105" s="3"/>
      <c r="DPF105" s="3"/>
      <c r="DPG105" s="3"/>
      <c r="DPH105" s="3"/>
      <c r="DPI105" s="3"/>
      <c r="DPJ105" s="3"/>
      <c r="DPK105" s="3"/>
      <c r="DPL105" s="3"/>
      <c r="DPM105" s="3"/>
      <c r="DPN105" s="3"/>
      <c r="DPO105" s="3"/>
      <c r="DPP105" s="3"/>
      <c r="DPQ105" s="3"/>
      <c r="DPR105" s="3"/>
      <c r="DPS105" s="3"/>
      <c r="DPT105" s="3"/>
      <c r="DPU105" s="3"/>
      <c r="DPV105" s="3"/>
      <c r="DPW105" s="3"/>
      <c r="DPX105" s="3"/>
      <c r="DPY105" s="3"/>
      <c r="DPZ105" s="3"/>
      <c r="DQA105" s="3"/>
      <c r="DQB105" s="3"/>
      <c r="DQC105" s="3"/>
      <c r="DQD105" s="3"/>
      <c r="DQE105" s="3"/>
      <c r="DQF105" s="3"/>
      <c r="DQG105" s="3"/>
      <c r="DQH105" s="3"/>
      <c r="DQI105" s="3"/>
      <c r="DQJ105" s="3"/>
      <c r="DQK105" s="3"/>
      <c r="DQL105" s="3"/>
      <c r="DQM105" s="3"/>
      <c r="DQN105" s="3"/>
      <c r="DQO105" s="3"/>
      <c r="DQP105" s="3"/>
      <c r="DQQ105" s="3"/>
      <c r="DQR105" s="3"/>
      <c r="DQS105" s="3"/>
      <c r="DQT105" s="3"/>
      <c r="DQU105" s="3"/>
      <c r="DQV105" s="3"/>
      <c r="DQW105" s="3"/>
      <c r="DQX105" s="3"/>
      <c r="DQY105" s="3"/>
      <c r="DQZ105" s="3"/>
      <c r="DRA105" s="3"/>
      <c r="DRB105" s="3"/>
      <c r="DRC105" s="3"/>
      <c r="DRD105" s="3"/>
      <c r="DRE105" s="3"/>
      <c r="DRF105" s="3"/>
      <c r="DRG105" s="3"/>
      <c r="DRH105" s="3"/>
      <c r="DRI105" s="3"/>
      <c r="DRJ105" s="3"/>
      <c r="DRK105" s="3"/>
      <c r="DRL105" s="3"/>
      <c r="DRM105" s="3"/>
      <c r="DRN105" s="3"/>
      <c r="DRO105" s="3"/>
      <c r="DRP105" s="3"/>
      <c r="DRQ105" s="3"/>
      <c r="DRR105" s="3"/>
      <c r="DRS105" s="3"/>
      <c r="DRT105" s="3"/>
      <c r="DRU105" s="3"/>
      <c r="DRV105" s="3"/>
      <c r="DRW105" s="3"/>
      <c r="DRX105" s="3"/>
      <c r="DRY105" s="3"/>
      <c r="DRZ105" s="3"/>
      <c r="DSA105" s="3"/>
      <c r="DSB105" s="3"/>
      <c r="DSC105" s="3"/>
      <c r="DSD105" s="3"/>
      <c r="DSE105" s="3"/>
      <c r="DSF105" s="3"/>
      <c r="DSG105" s="3"/>
      <c r="DSH105" s="3"/>
      <c r="DSI105" s="3"/>
      <c r="DSJ105" s="3"/>
      <c r="DSK105" s="3"/>
      <c r="DSL105" s="3"/>
      <c r="DSM105" s="3"/>
      <c r="DSN105" s="3"/>
      <c r="DSO105" s="3"/>
      <c r="DSP105" s="3"/>
      <c r="DSQ105" s="3"/>
      <c r="DSR105" s="3"/>
      <c r="DSS105" s="3"/>
      <c r="DST105" s="3"/>
      <c r="DSU105" s="3"/>
      <c r="DSV105" s="3"/>
      <c r="DSW105" s="3"/>
      <c r="DSX105" s="3"/>
      <c r="DSY105" s="3"/>
      <c r="DSZ105" s="3"/>
      <c r="DTA105" s="3"/>
      <c r="DTB105" s="3"/>
      <c r="DTC105" s="3"/>
      <c r="DTD105" s="3"/>
      <c r="DTE105" s="3"/>
      <c r="DTF105" s="3"/>
      <c r="DTG105" s="3"/>
      <c r="DTH105" s="3"/>
      <c r="DTI105" s="3"/>
      <c r="DTJ105" s="3"/>
      <c r="DTK105" s="3"/>
      <c r="DTL105" s="3"/>
      <c r="DTM105" s="3"/>
      <c r="DTN105" s="3"/>
      <c r="DTO105" s="3"/>
      <c r="DTP105" s="3"/>
      <c r="DTQ105" s="3"/>
      <c r="DTR105" s="3"/>
      <c r="DTS105" s="3"/>
      <c r="DTT105" s="3"/>
      <c r="DTU105" s="3"/>
      <c r="DTV105" s="3"/>
      <c r="DTW105" s="3"/>
      <c r="DTX105" s="3"/>
      <c r="DTY105" s="3"/>
      <c r="DTZ105" s="3"/>
      <c r="DUA105" s="3"/>
      <c r="DUB105" s="3"/>
      <c r="DUC105" s="3"/>
      <c r="DUD105" s="3"/>
      <c r="DUE105" s="3"/>
      <c r="DUF105" s="3"/>
      <c r="DUG105" s="3"/>
      <c r="DUH105" s="3"/>
      <c r="DUI105" s="3"/>
      <c r="DUJ105" s="3"/>
      <c r="DUK105" s="3"/>
      <c r="DUL105" s="3"/>
      <c r="DUM105" s="3"/>
      <c r="DUN105" s="3"/>
      <c r="DUO105" s="3"/>
      <c r="DUP105" s="3"/>
      <c r="DUQ105" s="3"/>
      <c r="DUR105" s="3"/>
      <c r="DUS105" s="3"/>
      <c r="DUT105" s="3"/>
      <c r="DUU105" s="3"/>
      <c r="DUV105" s="3"/>
      <c r="DUW105" s="3"/>
      <c r="DUX105" s="3"/>
      <c r="DUY105" s="3"/>
      <c r="DUZ105" s="3"/>
      <c r="DVA105" s="3"/>
      <c r="DVB105" s="3"/>
      <c r="DVC105" s="3"/>
      <c r="DVD105" s="3"/>
      <c r="DVE105" s="3"/>
      <c r="DVF105" s="3"/>
      <c r="DVG105" s="3"/>
      <c r="DVH105" s="3"/>
      <c r="DVI105" s="3"/>
      <c r="DVJ105" s="3"/>
      <c r="DVK105" s="3"/>
      <c r="DVL105" s="3"/>
      <c r="DVM105" s="3"/>
      <c r="DVN105" s="3"/>
      <c r="DVO105" s="3"/>
      <c r="DVP105" s="3"/>
      <c r="DVQ105" s="3"/>
      <c r="DVR105" s="3"/>
      <c r="DVS105" s="3"/>
      <c r="DVT105" s="3"/>
      <c r="DVU105" s="3"/>
      <c r="DVV105" s="3"/>
      <c r="DVW105" s="3"/>
      <c r="DVX105" s="3"/>
      <c r="DVY105" s="3"/>
      <c r="DVZ105" s="3"/>
      <c r="DWA105" s="3"/>
      <c r="DWB105" s="3"/>
      <c r="DWC105" s="3"/>
      <c r="DWD105" s="3"/>
      <c r="DWE105" s="3"/>
      <c r="DWF105" s="3"/>
      <c r="DWG105" s="3"/>
      <c r="DWH105" s="3"/>
      <c r="DWI105" s="3"/>
      <c r="DWJ105" s="3"/>
      <c r="DWK105" s="3"/>
      <c r="DWL105" s="3"/>
      <c r="DWM105" s="3"/>
      <c r="DWN105" s="3"/>
      <c r="DWO105" s="3"/>
      <c r="DWP105" s="3"/>
      <c r="DWQ105" s="3"/>
      <c r="DWR105" s="3"/>
      <c r="DWS105" s="3"/>
      <c r="DWT105" s="3"/>
      <c r="DWU105" s="3"/>
      <c r="DWV105" s="3"/>
      <c r="DWW105" s="3"/>
      <c r="DWX105" s="3"/>
      <c r="DWY105" s="3"/>
      <c r="DWZ105" s="3"/>
      <c r="DXA105" s="3"/>
      <c r="DXB105" s="3"/>
      <c r="DXC105" s="3"/>
      <c r="DXD105" s="3"/>
      <c r="DXE105" s="3"/>
      <c r="DXF105" s="3"/>
      <c r="DXG105" s="3"/>
      <c r="DXH105" s="3"/>
      <c r="DXI105" s="3"/>
      <c r="DXJ105" s="3"/>
      <c r="DXK105" s="3"/>
      <c r="DXL105" s="3"/>
      <c r="DXM105" s="3"/>
      <c r="DXN105" s="3"/>
      <c r="DXO105" s="3"/>
      <c r="DXP105" s="3"/>
      <c r="DXQ105" s="3"/>
      <c r="DXR105" s="3"/>
      <c r="DXS105" s="3"/>
      <c r="DXT105" s="3"/>
      <c r="DXU105" s="3"/>
      <c r="DXV105" s="3"/>
      <c r="DXW105" s="3"/>
      <c r="DXX105" s="3"/>
      <c r="DXY105" s="3"/>
      <c r="DXZ105" s="3"/>
      <c r="DYA105" s="3"/>
      <c r="DYB105" s="3"/>
      <c r="DYC105" s="3"/>
      <c r="DYD105" s="3"/>
      <c r="DYE105" s="3"/>
      <c r="DYF105" s="3"/>
      <c r="DYG105" s="3"/>
      <c r="DYH105" s="3"/>
      <c r="DYI105" s="3"/>
      <c r="DYJ105" s="3"/>
      <c r="DYK105" s="3"/>
      <c r="DYL105" s="3"/>
      <c r="DYM105" s="3"/>
      <c r="DYN105" s="3"/>
      <c r="DYO105" s="3"/>
      <c r="DYP105" s="3"/>
      <c r="DYQ105" s="3"/>
      <c r="DYR105" s="3"/>
      <c r="DYS105" s="3"/>
      <c r="DYT105" s="3"/>
      <c r="DYU105" s="3"/>
      <c r="DYV105" s="3"/>
      <c r="DYW105" s="3"/>
      <c r="DYX105" s="3"/>
      <c r="DYY105" s="3"/>
      <c r="DYZ105" s="3"/>
      <c r="DZA105" s="3"/>
      <c r="DZB105" s="3"/>
      <c r="DZC105" s="3"/>
      <c r="DZD105" s="3"/>
      <c r="DZE105" s="3"/>
      <c r="DZF105" s="3"/>
      <c r="DZG105" s="3"/>
      <c r="DZH105" s="3"/>
      <c r="DZI105" s="3"/>
      <c r="DZJ105" s="3"/>
      <c r="DZK105" s="3"/>
      <c r="DZL105" s="3"/>
      <c r="DZM105" s="3"/>
      <c r="DZN105" s="3"/>
      <c r="DZO105" s="3"/>
      <c r="DZP105" s="3"/>
      <c r="DZQ105" s="3"/>
      <c r="DZR105" s="3"/>
      <c r="DZS105" s="3"/>
      <c r="DZT105" s="3"/>
      <c r="DZU105" s="3"/>
      <c r="DZV105" s="3"/>
      <c r="DZW105" s="3"/>
      <c r="DZX105" s="3"/>
      <c r="DZY105" s="3"/>
      <c r="DZZ105" s="3"/>
      <c r="EAA105" s="3"/>
      <c r="EAB105" s="3"/>
      <c r="EAC105" s="3"/>
      <c r="EAD105" s="3"/>
      <c r="EAE105" s="3"/>
      <c r="EAF105" s="3"/>
      <c r="EAG105" s="3"/>
      <c r="EAH105" s="3"/>
      <c r="EAI105" s="3"/>
      <c r="EAJ105" s="3"/>
      <c r="EAK105" s="3"/>
      <c r="EAL105" s="3"/>
      <c r="EAM105" s="3"/>
      <c r="EAN105" s="3"/>
      <c r="EAO105" s="3"/>
      <c r="EAP105" s="3"/>
      <c r="EAQ105" s="3"/>
      <c r="EAR105" s="3"/>
      <c r="EAS105" s="3"/>
      <c r="EAT105" s="3"/>
      <c r="EAU105" s="3"/>
      <c r="EAV105" s="3"/>
      <c r="EAW105" s="3"/>
      <c r="EAX105" s="3"/>
      <c r="EAY105" s="3"/>
      <c r="EAZ105" s="3"/>
      <c r="EBA105" s="3"/>
      <c r="EBB105" s="3"/>
      <c r="EBC105" s="3"/>
      <c r="EBD105" s="3"/>
      <c r="EBE105" s="3"/>
      <c r="EBF105" s="3"/>
      <c r="EBG105" s="3"/>
      <c r="EBH105" s="3"/>
      <c r="EBI105" s="3"/>
      <c r="EBJ105" s="3"/>
      <c r="EBK105" s="3"/>
      <c r="EBL105" s="3"/>
      <c r="EBM105" s="3"/>
      <c r="EBN105" s="3"/>
      <c r="EBO105" s="3"/>
      <c r="EBP105" s="3"/>
      <c r="EBQ105" s="3"/>
      <c r="EBR105" s="3"/>
      <c r="EBS105" s="3"/>
      <c r="EBT105" s="3"/>
      <c r="EBU105" s="3"/>
      <c r="EBV105" s="3"/>
      <c r="EBW105" s="3"/>
      <c r="EBX105" s="3"/>
      <c r="EBY105" s="3"/>
      <c r="EBZ105" s="3"/>
      <c r="ECA105" s="3"/>
      <c r="ECB105" s="3"/>
      <c r="ECC105" s="3"/>
      <c r="ECD105" s="3"/>
      <c r="ECE105" s="3"/>
      <c r="ECF105" s="3"/>
      <c r="ECG105" s="3"/>
      <c r="ECH105" s="3"/>
      <c r="ECI105" s="3"/>
      <c r="ECJ105" s="3"/>
      <c r="ECK105" s="3"/>
      <c r="ECL105" s="3"/>
      <c r="ECM105" s="3"/>
      <c r="ECN105" s="3"/>
      <c r="ECO105" s="3"/>
      <c r="ECP105" s="3"/>
      <c r="ECQ105" s="3"/>
      <c r="ECR105" s="3"/>
      <c r="ECS105" s="3"/>
      <c r="ECT105" s="3"/>
      <c r="ECU105" s="3"/>
      <c r="ECV105" s="3"/>
      <c r="ECW105" s="3"/>
      <c r="ECX105" s="3"/>
      <c r="ECY105" s="3"/>
      <c r="ECZ105" s="3"/>
      <c r="EDA105" s="3"/>
      <c r="EDB105" s="3"/>
      <c r="EDC105" s="3"/>
      <c r="EDD105" s="3"/>
      <c r="EDE105" s="3"/>
      <c r="EDF105" s="3"/>
      <c r="EDG105" s="3"/>
      <c r="EDH105" s="3"/>
      <c r="EDI105" s="3"/>
      <c r="EDJ105" s="3"/>
      <c r="EDK105" s="3"/>
      <c r="EDL105" s="3"/>
      <c r="EDM105" s="3"/>
      <c r="EDN105" s="3"/>
      <c r="EDO105" s="3"/>
      <c r="EDP105" s="3"/>
      <c r="EDQ105" s="3"/>
      <c r="EDR105" s="3"/>
      <c r="EDS105" s="3"/>
      <c r="EDT105" s="3"/>
      <c r="EDU105" s="3"/>
      <c r="EDV105" s="3"/>
      <c r="EDW105" s="3"/>
      <c r="EDX105" s="3"/>
      <c r="EDY105" s="3"/>
      <c r="EDZ105" s="3"/>
      <c r="EEA105" s="3"/>
      <c r="EEB105" s="3"/>
      <c r="EEC105" s="3"/>
      <c r="EED105" s="3"/>
      <c r="EEE105" s="3"/>
      <c r="EEF105" s="3"/>
      <c r="EEG105" s="3"/>
      <c r="EEH105" s="3"/>
      <c r="EEI105" s="3"/>
      <c r="EEJ105" s="3"/>
      <c r="EEK105" s="3"/>
      <c r="EEL105" s="3"/>
      <c r="EEM105" s="3"/>
      <c r="EEN105" s="3"/>
      <c r="EEO105" s="3"/>
      <c r="EEP105" s="3"/>
      <c r="EEQ105" s="3"/>
      <c r="EER105" s="3"/>
      <c r="EES105" s="3"/>
      <c r="EET105" s="3"/>
      <c r="EEU105" s="3"/>
      <c r="EEV105" s="3"/>
      <c r="EEW105" s="3"/>
      <c r="EEX105" s="3"/>
      <c r="EEY105" s="3"/>
      <c r="EEZ105" s="3"/>
      <c r="EFA105" s="3"/>
      <c r="EFB105" s="3"/>
      <c r="EFC105" s="3"/>
      <c r="EFD105" s="3"/>
      <c r="EFE105" s="3"/>
      <c r="EFF105" s="3"/>
      <c r="EFG105" s="3"/>
      <c r="EFH105" s="3"/>
      <c r="EFI105" s="3"/>
      <c r="EFJ105" s="3"/>
      <c r="EFK105" s="3"/>
      <c r="EFL105" s="3"/>
      <c r="EFM105" s="3"/>
      <c r="EFN105" s="3"/>
      <c r="EFO105" s="3"/>
      <c r="EFP105" s="3"/>
      <c r="EFQ105" s="3"/>
      <c r="EFR105" s="3"/>
      <c r="EFS105" s="3"/>
      <c r="EFT105" s="3"/>
      <c r="EFU105" s="3"/>
      <c r="EFV105" s="3"/>
      <c r="EFW105" s="3"/>
      <c r="EFX105" s="3"/>
      <c r="EFY105" s="3"/>
      <c r="EFZ105" s="3"/>
      <c r="EGA105" s="3"/>
      <c r="EGB105" s="3"/>
      <c r="EGC105" s="3"/>
      <c r="EGD105" s="3"/>
      <c r="EGE105" s="3"/>
      <c r="EGF105" s="3"/>
      <c r="EGG105" s="3"/>
      <c r="EGH105" s="3"/>
      <c r="EGI105" s="3"/>
      <c r="EGJ105" s="3"/>
      <c r="EGK105" s="3"/>
      <c r="EGL105" s="3"/>
      <c r="EGM105" s="3"/>
      <c r="EGN105" s="3"/>
      <c r="EGO105" s="3"/>
      <c r="EGP105" s="3"/>
      <c r="EGQ105" s="3"/>
      <c r="EGR105" s="3"/>
      <c r="EGS105" s="3"/>
      <c r="EGT105" s="3"/>
      <c r="EGU105" s="3"/>
      <c r="EGV105" s="3"/>
      <c r="EGW105" s="3"/>
      <c r="EGX105" s="3"/>
      <c r="EGY105" s="3"/>
      <c r="EGZ105" s="3"/>
      <c r="EHA105" s="3"/>
      <c r="EHB105" s="3"/>
      <c r="EHC105" s="3"/>
      <c r="EHD105" s="3"/>
      <c r="EHE105" s="3"/>
      <c r="EHF105" s="3"/>
      <c r="EHG105" s="3"/>
      <c r="EHH105" s="3"/>
      <c r="EHI105" s="3"/>
      <c r="EHJ105" s="3"/>
      <c r="EHK105" s="3"/>
      <c r="EHL105" s="3"/>
      <c r="EHM105" s="3"/>
      <c r="EHN105" s="3"/>
      <c r="EHO105" s="3"/>
      <c r="EHP105" s="3"/>
      <c r="EHQ105" s="3"/>
      <c r="EHR105" s="3"/>
      <c r="EHS105" s="3"/>
      <c r="EHT105" s="3"/>
      <c r="EHU105" s="3"/>
      <c r="EHV105" s="3"/>
      <c r="EHW105" s="3"/>
      <c r="EHX105" s="3"/>
      <c r="EHY105" s="3"/>
      <c r="EHZ105" s="3"/>
      <c r="EIA105" s="3"/>
      <c r="EIB105" s="3"/>
      <c r="EIC105" s="3"/>
      <c r="EID105" s="3"/>
      <c r="EIE105" s="3"/>
      <c r="EIF105" s="3"/>
      <c r="EIG105" s="3"/>
      <c r="EIH105" s="3"/>
      <c r="EII105" s="3"/>
      <c r="EIJ105" s="3"/>
      <c r="EIK105" s="3"/>
      <c r="EIL105" s="3"/>
      <c r="EIM105" s="3"/>
      <c r="EIN105" s="3"/>
      <c r="EIO105" s="3"/>
      <c r="EIP105" s="3"/>
      <c r="EIQ105" s="3"/>
      <c r="EIR105" s="3"/>
      <c r="EIS105" s="3"/>
      <c r="EIT105" s="3"/>
      <c r="EIU105" s="3"/>
      <c r="EIV105" s="3"/>
      <c r="EIW105" s="3"/>
      <c r="EIX105" s="3"/>
      <c r="EIY105" s="3"/>
      <c r="EIZ105" s="3"/>
      <c r="EJA105" s="3"/>
      <c r="EJB105" s="3"/>
      <c r="EJC105" s="3"/>
      <c r="EJD105" s="3"/>
      <c r="EJE105" s="3"/>
      <c r="EJF105" s="3"/>
      <c r="EJG105" s="3"/>
      <c r="EJH105" s="3"/>
      <c r="EJI105" s="3"/>
      <c r="EJJ105" s="3"/>
      <c r="EJK105" s="3"/>
      <c r="EJL105" s="3"/>
      <c r="EJM105" s="3"/>
      <c r="EJN105" s="3"/>
      <c r="EJO105" s="3"/>
      <c r="EJP105" s="3"/>
      <c r="EJQ105" s="3"/>
      <c r="EJR105" s="3"/>
      <c r="EJS105" s="3"/>
      <c r="EJT105" s="3"/>
      <c r="EJU105" s="3"/>
      <c r="EJV105" s="3"/>
      <c r="EJW105" s="3"/>
      <c r="EJX105" s="3"/>
      <c r="EJY105" s="3"/>
      <c r="EJZ105" s="3"/>
      <c r="EKA105" s="3"/>
      <c r="EKB105" s="3"/>
      <c r="EKC105" s="3"/>
      <c r="EKD105" s="3"/>
      <c r="EKE105" s="3"/>
      <c r="EKF105" s="3"/>
      <c r="EKG105" s="3"/>
      <c r="EKH105" s="3"/>
      <c r="EKI105" s="3"/>
      <c r="EKJ105" s="3"/>
      <c r="EKK105" s="3"/>
      <c r="EKL105" s="3"/>
      <c r="EKM105" s="3"/>
      <c r="EKN105" s="3"/>
      <c r="EKO105" s="3"/>
      <c r="EKP105" s="3"/>
      <c r="EKQ105" s="3"/>
      <c r="EKR105" s="3"/>
      <c r="EKS105" s="3"/>
      <c r="EKT105" s="3"/>
      <c r="EKU105" s="3"/>
      <c r="EKV105" s="3"/>
      <c r="EKW105" s="3"/>
      <c r="EKX105" s="3"/>
      <c r="EKY105" s="3"/>
      <c r="EKZ105" s="3"/>
      <c r="ELA105" s="3"/>
      <c r="ELB105" s="3"/>
      <c r="ELC105" s="3"/>
      <c r="ELD105" s="3"/>
      <c r="ELE105" s="3"/>
      <c r="ELF105" s="3"/>
      <c r="ELG105" s="3"/>
      <c r="ELH105" s="3"/>
      <c r="ELI105" s="3"/>
      <c r="ELJ105" s="3"/>
      <c r="ELK105" s="3"/>
      <c r="ELL105" s="3"/>
      <c r="ELM105" s="3"/>
      <c r="ELN105" s="3"/>
      <c r="ELO105" s="3"/>
      <c r="ELP105" s="3"/>
      <c r="ELQ105" s="3"/>
      <c r="ELR105" s="3"/>
      <c r="ELS105" s="3"/>
      <c r="ELT105" s="3"/>
      <c r="ELU105" s="3"/>
      <c r="ELV105" s="3"/>
      <c r="ELW105" s="3"/>
      <c r="ELX105" s="3"/>
      <c r="ELY105" s="3"/>
      <c r="ELZ105" s="3"/>
      <c r="EMA105" s="3"/>
      <c r="EMB105" s="3"/>
      <c r="EMC105" s="3"/>
      <c r="EMD105" s="3"/>
      <c r="EME105" s="3"/>
      <c r="EMF105" s="3"/>
      <c r="EMG105" s="3"/>
      <c r="EMH105" s="3"/>
      <c r="EMI105" s="3"/>
      <c r="EMJ105" s="3"/>
      <c r="EMK105" s="3"/>
      <c r="EML105" s="3"/>
      <c r="EMM105" s="3"/>
      <c r="EMN105" s="3"/>
      <c r="EMO105" s="3"/>
      <c r="EMP105" s="3"/>
      <c r="EMQ105" s="3"/>
      <c r="EMR105" s="3"/>
      <c r="EMS105" s="3"/>
      <c r="EMT105" s="3"/>
      <c r="EMU105" s="3"/>
      <c r="EMV105" s="3"/>
      <c r="EMW105" s="3"/>
      <c r="EMX105" s="3"/>
      <c r="EMY105" s="3"/>
      <c r="EMZ105" s="3"/>
      <c r="ENA105" s="3"/>
      <c r="ENB105" s="3"/>
      <c r="ENC105" s="3"/>
      <c r="END105" s="3"/>
      <c r="ENE105" s="3"/>
      <c r="ENF105" s="3"/>
      <c r="ENG105" s="3"/>
      <c r="ENH105" s="3"/>
      <c r="ENI105" s="3"/>
      <c r="ENJ105" s="3"/>
      <c r="ENK105" s="3"/>
      <c r="ENL105" s="3"/>
      <c r="ENM105" s="3"/>
      <c r="ENN105" s="3"/>
      <c r="ENO105" s="3"/>
      <c r="ENP105" s="3"/>
      <c r="ENQ105" s="3"/>
      <c r="ENR105" s="3"/>
      <c r="ENS105" s="3"/>
      <c r="ENT105" s="3"/>
      <c r="ENU105" s="3"/>
      <c r="ENV105" s="3"/>
      <c r="ENW105" s="3"/>
      <c r="ENX105" s="3"/>
      <c r="ENY105" s="3"/>
      <c r="ENZ105" s="3"/>
      <c r="EOA105" s="3"/>
      <c r="EOB105" s="3"/>
      <c r="EOC105" s="3"/>
      <c r="EOD105" s="3"/>
      <c r="EOE105" s="3"/>
      <c r="EOF105" s="3"/>
      <c r="EOG105" s="3"/>
      <c r="EOH105" s="3"/>
      <c r="EOI105" s="3"/>
      <c r="EOJ105" s="3"/>
      <c r="EOK105" s="3"/>
      <c r="EOL105" s="3"/>
      <c r="EOM105" s="3"/>
      <c r="EON105" s="3"/>
      <c r="EOO105" s="3"/>
      <c r="EOP105" s="3"/>
      <c r="EOQ105" s="3"/>
      <c r="EOR105" s="3"/>
      <c r="EOS105" s="3"/>
      <c r="EOT105" s="3"/>
      <c r="EOU105" s="3"/>
      <c r="EOV105" s="3"/>
      <c r="EOW105" s="3"/>
      <c r="EOX105" s="3"/>
      <c r="EOY105" s="3"/>
      <c r="EOZ105" s="3"/>
      <c r="EPA105" s="3"/>
      <c r="EPB105" s="3"/>
      <c r="EPC105" s="3"/>
      <c r="EPD105" s="3"/>
      <c r="EPE105" s="3"/>
      <c r="EPF105" s="3"/>
      <c r="EPG105" s="3"/>
      <c r="EPH105" s="3"/>
      <c r="EPI105" s="3"/>
      <c r="EPJ105" s="3"/>
      <c r="EPK105" s="3"/>
      <c r="EPL105" s="3"/>
      <c r="EPM105" s="3"/>
      <c r="EPN105" s="3"/>
      <c r="EPO105" s="3"/>
      <c r="EPP105" s="3"/>
      <c r="EPQ105" s="3"/>
      <c r="EPR105" s="3"/>
      <c r="EPS105" s="3"/>
      <c r="EPT105" s="3"/>
      <c r="EPU105" s="3"/>
      <c r="EPV105" s="3"/>
      <c r="EPW105" s="3"/>
      <c r="EPX105" s="3"/>
      <c r="EPY105" s="3"/>
      <c r="EPZ105" s="3"/>
      <c r="EQA105" s="3"/>
      <c r="EQB105" s="3"/>
      <c r="EQC105" s="3"/>
      <c r="EQD105" s="3"/>
      <c r="EQE105" s="3"/>
      <c r="EQF105" s="3"/>
      <c r="EQG105" s="3"/>
      <c r="EQH105" s="3"/>
      <c r="EQI105" s="3"/>
      <c r="EQJ105" s="3"/>
      <c r="EQK105" s="3"/>
      <c r="EQL105" s="3"/>
      <c r="EQM105" s="3"/>
      <c r="EQN105" s="3"/>
      <c r="EQO105" s="3"/>
      <c r="EQP105" s="3"/>
      <c r="EQQ105" s="3"/>
      <c r="EQR105" s="3"/>
      <c r="EQS105" s="3"/>
      <c r="EQT105" s="3"/>
      <c r="EQU105" s="3"/>
      <c r="EQV105" s="3"/>
      <c r="EQW105" s="3"/>
      <c r="EQX105" s="3"/>
      <c r="EQY105" s="3"/>
      <c r="EQZ105" s="3"/>
      <c r="ERA105" s="3"/>
      <c r="ERB105" s="3"/>
      <c r="ERC105" s="3"/>
      <c r="ERD105" s="3"/>
      <c r="ERE105" s="3"/>
      <c r="ERF105" s="3"/>
      <c r="ERG105" s="3"/>
      <c r="ERH105" s="3"/>
      <c r="ERI105" s="3"/>
      <c r="ERJ105" s="3"/>
      <c r="ERK105" s="3"/>
      <c r="ERL105" s="3"/>
      <c r="ERM105" s="3"/>
      <c r="ERN105" s="3"/>
      <c r="ERO105" s="3"/>
      <c r="ERP105" s="3"/>
      <c r="ERQ105" s="3"/>
      <c r="ERR105" s="3"/>
      <c r="ERS105" s="3"/>
      <c r="ERT105" s="3"/>
      <c r="ERU105" s="3"/>
      <c r="ERV105" s="3"/>
      <c r="ERW105" s="3"/>
      <c r="ERX105" s="3"/>
      <c r="ERY105" s="3"/>
      <c r="ERZ105" s="3"/>
      <c r="ESA105" s="3"/>
      <c r="ESB105" s="3"/>
      <c r="ESC105" s="3"/>
      <c r="ESD105" s="3"/>
      <c r="ESE105" s="3"/>
      <c r="ESF105" s="3"/>
      <c r="ESG105" s="3"/>
      <c r="ESH105" s="3"/>
      <c r="ESI105" s="3"/>
      <c r="ESJ105" s="3"/>
      <c r="ESK105" s="3"/>
      <c r="ESL105" s="3"/>
      <c r="ESM105" s="3"/>
      <c r="ESN105" s="3"/>
      <c r="ESO105" s="3"/>
      <c r="ESP105" s="3"/>
      <c r="ESQ105" s="3"/>
      <c r="ESR105" s="3"/>
      <c r="ESS105" s="3"/>
      <c r="EST105" s="3"/>
      <c r="ESU105" s="3"/>
      <c r="ESV105" s="3"/>
      <c r="ESW105" s="3"/>
      <c r="ESX105" s="3"/>
      <c r="ESY105" s="3"/>
      <c r="ESZ105" s="3"/>
      <c r="ETA105" s="3"/>
      <c r="ETB105" s="3"/>
      <c r="ETC105" s="3"/>
      <c r="ETD105" s="3"/>
      <c r="ETE105" s="3"/>
      <c r="ETF105" s="3"/>
      <c r="ETG105" s="3"/>
      <c r="ETH105" s="3"/>
      <c r="ETI105" s="3"/>
      <c r="ETJ105" s="3"/>
      <c r="ETK105" s="3"/>
      <c r="ETL105" s="3"/>
      <c r="ETM105" s="3"/>
      <c r="ETN105" s="3"/>
      <c r="ETO105" s="3"/>
      <c r="ETP105" s="3"/>
      <c r="ETQ105" s="3"/>
      <c r="ETR105" s="3"/>
      <c r="ETS105" s="3"/>
      <c r="ETT105" s="3"/>
      <c r="ETU105" s="3"/>
      <c r="ETV105" s="3"/>
      <c r="ETW105" s="3"/>
      <c r="ETX105" s="3"/>
      <c r="ETY105" s="3"/>
      <c r="ETZ105" s="3"/>
      <c r="EUA105" s="3"/>
      <c r="EUB105" s="3"/>
      <c r="EUC105" s="3"/>
      <c r="EUD105" s="3"/>
      <c r="EUE105" s="3"/>
      <c r="EUF105" s="3"/>
      <c r="EUG105" s="3"/>
      <c r="EUH105" s="3"/>
      <c r="EUI105" s="3"/>
      <c r="EUJ105" s="3"/>
      <c r="EUK105" s="3"/>
      <c r="EUL105" s="3"/>
      <c r="EUM105" s="3"/>
      <c r="EUN105" s="3"/>
      <c r="EUO105" s="3"/>
      <c r="EUP105" s="3"/>
      <c r="EUQ105" s="3"/>
      <c r="EUR105" s="3"/>
      <c r="EUS105" s="3"/>
      <c r="EUT105" s="3"/>
      <c r="EUU105" s="3"/>
      <c r="EUV105" s="3"/>
      <c r="EUW105" s="3"/>
      <c r="EUX105" s="3"/>
      <c r="EUY105" s="3"/>
      <c r="EUZ105" s="3"/>
      <c r="EVA105" s="3"/>
      <c r="EVB105" s="3"/>
      <c r="EVC105" s="3"/>
      <c r="EVD105" s="3"/>
      <c r="EVE105" s="3"/>
      <c r="EVF105" s="3"/>
      <c r="EVG105" s="3"/>
      <c r="EVH105" s="3"/>
      <c r="EVI105" s="3"/>
      <c r="EVJ105" s="3"/>
      <c r="EVK105" s="3"/>
      <c r="EVL105" s="3"/>
      <c r="EVM105" s="3"/>
      <c r="EVN105" s="3"/>
      <c r="EVO105" s="3"/>
      <c r="EVP105" s="3"/>
      <c r="EVQ105" s="3"/>
      <c r="EVR105" s="3"/>
      <c r="EVS105" s="3"/>
      <c r="EVT105" s="3"/>
      <c r="EVU105" s="3"/>
      <c r="EVV105" s="3"/>
      <c r="EVW105" s="3"/>
      <c r="EVX105" s="3"/>
      <c r="EVY105" s="3"/>
      <c r="EVZ105" s="3"/>
      <c r="EWA105" s="3"/>
      <c r="EWB105" s="3"/>
      <c r="EWC105" s="3"/>
      <c r="EWD105" s="3"/>
      <c r="EWE105" s="3"/>
      <c r="EWF105" s="3"/>
      <c r="EWG105" s="3"/>
      <c r="EWH105" s="3"/>
      <c r="EWI105" s="3"/>
      <c r="EWJ105" s="3"/>
      <c r="EWK105" s="3"/>
      <c r="EWL105" s="3"/>
      <c r="EWM105" s="3"/>
      <c r="EWN105" s="3"/>
      <c r="EWO105" s="3"/>
      <c r="EWP105" s="3"/>
      <c r="EWQ105" s="3"/>
      <c r="EWR105" s="3"/>
      <c r="EWS105" s="3"/>
      <c r="EWT105" s="3"/>
      <c r="EWU105" s="3"/>
      <c r="EWV105" s="3"/>
      <c r="EWW105" s="3"/>
      <c r="EWX105" s="3"/>
      <c r="EWY105" s="3"/>
      <c r="EWZ105" s="3"/>
      <c r="EXA105" s="3"/>
      <c r="EXB105" s="3"/>
      <c r="EXC105" s="3"/>
      <c r="EXD105" s="3"/>
      <c r="EXE105" s="3"/>
      <c r="EXF105" s="3"/>
      <c r="EXG105" s="3"/>
      <c r="EXH105" s="3"/>
      <c r="EXI105" s="3"/>
      <c r="EXJ105" s="3"/>
      <c r="EXK105" s="3"/>
      <c r="EXL105" s="3"/>
      <c r="EXM105" s="3"/>
      <c r="EXN105" s="3"/>
      <c r="EXO105" s="3"/>
      <c r="EXP105" s="3"/>
      <c r="EXQ105" s="3"/>
      <c r="EXR105" s="3"/>
      <c r="EXS105" s="3"/>
      <c r="EXT105" s="3"/>
      <c r="EXU105" s="3"/>
      <c r="EXV105" s="3"/>
      <c r="EXW105" s="3"/>
      <c r="EXX105" s="3"/>
      <c r="EXY105" s="3"/>
      <c r="EXZ105" s="3"/>
      <c r="EYA105" s="3"/>
      <c r="EYB105" s="3"/>
      <c r="EYC105" s="3"/>
      <c r="EYD105" s="3"/>
      <c r="EYE105" s="3"/>
      <c r="EYF105" s="3"/>
      <c r="EYG105" s="3"/>
      <c r="EYH105" s="3"/>
      <c r="EYI105" s="3"/>
      <c r="EYJ105" s="3"/>
      <c r="EYK105" s="3"/>
      <c r="EYL105" s="3"/>
      <c r="EYM105" s="3"/>
      <c r="EYN105" s="3"/>
      <c r="EYO105" s="3"/>
      <c r="EYP105" s="3"/>
      <c r="EYQ105" s="3"/>
      <c r="EYR105" s="3"/>
      <c r="EYS105" s="3"/>
      <c r="EYT105" s="3"/>
      <c r="EYU105" s="3"/>
      <c r="EYV105" s="3"/>
      <c r="EYW105" s="3"/>
      <c r="EYX105" s="3"/>
      <c r="EYY105" s="3"/>
      <c r="EYZ105" s="3"/>
      <c r="EZA105" s="3"/>
      <c r="EZB105" s="3"/>
      <c r="EZC105" s="3"/>
      <c r="EZD105" s="3"/>
      <c r="EZE105" s="3"/>
      <c r="EZF105" s="3"/>
      <c r="EZG105" s="3"/>
      <c r="EZH105" s="3"/>
      <c r="EZI105" s="3"/>
      <c r="EZJ105" s="3"/>
      <c r="EZK105" s="3"/>
      <c r="EZL105" s="3"/>
      <c r="EZM105" s="3"/>
      <c r="EZN105" s="3"/>
      <c r="EZO105" s="3"/>
      <c r="EZP105" s="3"/>
      <c r="EZQ105" s="3"/>
      <c r="EZR105" s="3"/>
      <c r="EZS105" s="3"/>
      <c r="EZT105" s="3"/>
      <c r="EZU105" s="3"/>
      <c r="EZV105" s="3"/>
      <c r="EZW105" s="3"/>
      <c r="EZX105" s="3"/>
      <c r="EZY105" s="3"/>
      <c r="EZZ105" s="3"/>
      <c r="FAA105" s="3"/>
      <c r="FAB105" s="3"/>
      <c r="FAC105" s="3"/>
      <c r="FAD105" s="3"/>
      <c r="FAE105" s="3"/>
      <c r="FAF105" s="3"/>
      <c r="FAG105" s="3"/>
      <c r="FAH105" s="3"/>
      <c r="FAI105" s="3"/>
      <c r="FAJ105" s="3"/>
      <c r="FAK105" s="3"/>
      <c r="FAL105" s="3"/>
      <c r="FAM105" s="3"/>
      <c r="FAN105" s="3"/>
      <c r="FAO105" s="3"/>
      <c r="FAP105" s="3"/>
      <c r="FAQ105" s="3"/>
      <c r="FAR105" s="3"/>
      <c r="FAS105" s="3"/>
      <c r="FAT105" s="3"/>
      <c r="FAU105" s="3"/>
      <c r="FAV105" s="3"/>
      <c r="FAW105" s="3"/>
      <c r="FAX105" s="3"/>
      <c r="FAY105" s="3"/>
      <c r="FAZ105" s="3"/>
      <c r="FBA105" s="3"/>
      <c r="FBB105" s="3"/>
      <c r="FBC105" s="3"/>
      <c r="FBD105" s="3"/>
      <c r="FBE105" s="3"/>
      <c r="FBF105" s="3"/>
      <c r="FBG105" s="3"/>
      <c r="FBH105" s="3"/>
      <c r="FBI105" s="3"/>
      <c r="FBJ105" s="3"/>
      <c r="FBK105" s="3"/>
      <c r="FBL105" s="3"/>
      <c r="FBM105" s="3"/>
      <c r="FBN105" s="3"/>
      <c r="FBO105" s="3"/>
      <c r="FBP105" s="3"/>
      <c r="FBQ105" s="3"/>
      <c r="FBR105" s="3"/>
      <c r="FBS105" s="3"/>
      <c r="FBT105" s="3"/>
      <c r="FBU105" s="3"/>
      <c r="FBV105" s="3"/>
      <c r="FBW105" s="3"/>
      <c r="FBX105" s="3"/>
      <c r="FBY105" s="3"/>
      <c r="FBZ105" s="3"/>
      <c r="FCA105" s="3"/>
      <c r="FCB105" s="3"/>
      <c r="FCC105" s="3"/>
      <c r="FCD105" s="3"/>
      <c r="FCE105" s="3"/>
      <c r="FCF105" s="3"/>
      <c r="FCG105" s="3"/>
      <c r="FCH105" s="3"/>
      <c r="FCI105" s="3"/>
      <c r="FCJ105" s="3"/>
      <c r="FCK105" s="3"/>
      <c r="FCL105" s="3"/>
      <c r="FCM105" s="3"/>
      <c r="FCN105" s="3"/>
      <c r="FCO105" s="3"/>
      <c r="FCP105" s="3"/>
      <c r="FCQ105" s="3"/>
      <c r="FCR105" s="3"/>
      <c r="FCS105" s="3"/>
      <c r="FCT105" s="3"/>
      <c r="FCU105" s="3"/>
      <c r="FCV105" s="3"/>
      <c r="FCW105" s="3"/>
      <c r="FCX105" s="3"/>
      <c r="FCY105" s="3"/>
      <c r="FCZ105" s="3"/>
      <c r="FDA105" s="3"/>
      <c r="FDB105" s="3"/>
      <c r="FDC105" s="3"/>
      <c r="FDD105" s="3"/>
      <c r="FDE105" s="3"/>
      <c r="FDF105" s="3"/>
      <c r="FDG105" s="3"/>
      <c r="FDH105" s="3"/>
      <c r="FDI105" s="3"/>
      <c r="FDJ105" s="3"/>
      <c r="FDK105" s="3"/>
      <c r="FDL105" s="3"/>
      <c r="FDM105" s="3"/>
      <c r="FDN105" s="3"/>
      <c r="FDO105" s="3"/>
      <c r="FDP105" s="3"/>
      <c r="FDQ105" s="3"/>
      <c r="FDR105" s="3"/>
      <c r="FDS105" s="3"/>
      <c r="FDT105" s="3"/>
      <c r="FDU105" s="3"/>
      <c r="FDV105" s="3"/>
      <c r="FDW105" s="3"/>
      <c r="FDX105" s="3"/>
      <c r="FDY105" s="3"/>
      <c r="FDZ105" s="3"/>
      <c r="FEA105" s="3"/>
      <c r="FEB105" s="3"/>
      <c r="FEC105" s="3"/>
      <c r="FED105" s="3"/>
      <c r="FEE105" s="3"/>
      <c r="FEF105" s="3"/>
      <c r="FEG105" s="3"/>
      <c r="FEH105" s="3"/>
      <c r="FEI105" s="3"/>
      <c r="FEJ105" s="3"/>
      <c r="FEK105" s="3"/>
      <c r="FEL105" s="3"/>
      <c r="FEM105" s="3"/>
      <c r="FEN105" s="3"/>
      <c r="FEO105" s="3"/>
      <c r="FEP105" s="3"/>
      <c r="FEQ105" s="3"/>
      <c r="FER105" s="3"/>
      <c r="FES105" s="3"/>
      <c r="FET105" s="3"/>
      <c r="FEU105" s="3"/>
      <c r="FEV105" s="3"/>
      <c r="FEW105" s="3"/>
      <c r="FEX105" s="3"/>
      <c r="FEY105" s="3"/>
      <c r="FEZ105" s="3"/>
      <c r="FFA105" s="3"/>
      <c r="FFB105" s="3"/>
      <c r="FFC105" s="3"/>
      <c r="FFD105" s="3"/>
      <c r="FFE105" s="3"/>
      <c r="FFF105" s="3"/>
      <c r="FFG105" s="3"/>
      <c r="FFH105" s="3"/>
      <c r="FFI105" s="3"/>
      <c r="FFJ105" s="3"/>
      <c r="FFK105" s="3"/>
      <c r="FFL105" s="3"/>
      <c r="FFM105" s="3"/>
      <c r="FFN105" s="3"/>
      <c r="FFO105" s="3"/>
      <c r="FFP105" s="3"/>
      <c r="FFQ105" s="3"/>
      <c r="FFR105" s="3"/>
      <c r="FFS105" s="3"/>
      <c r="FFT105" s="3"/>
      <c r="FFU105" s="3"/>
      <c r="FFV105" s="3"/>
      <c r="FFW105" s="3"/>
      <c r="FFX105" s="3"/>
      <c r="FFY105" s="3"/>
      <c r="FFZ105" s="3"/>
      <c r="FGA105" s="3"/>
      <c r="FGB105" s="3"/>
      <c r="FGC105" s="3"/>
      <c r="FGD105" s="3"/>
      <c r="FGE105" s="3"/>
      <c r="FGF105" s="3"/>
      <c r="FGG105" s="3"/>
      <c r="FGH105" s="3"/>
      <c r="FGI105" s="3"/>
      <c r="FGJ105" s="3"/>
      <c r="FGK105" s="3"/>
      <c r="FGL105" s="3"/>
      <c r="FGM105" s="3"/>
      <c r="FGN105" s="3"/>
      <c r="FGO105" s="3"/>
      <c r="FGP105" s="3"/>
      <c r="FGQ105" s="3"/>
      <c r="FGR105" s="3"/>
      <c r="FGS105" s="3"/>
      <c r="FGT105" s="3"/>
      <c r="FGU105" s="3"/>
      <c r="FGV105" s="3"/>
      <c r="FGW105" s="3"/>
      <c r="FGX105" s="3"/>
      <c r="FGY105" s="3"/>
      <c r="FGZ105" s="3"/>
      <c r="FHA105" s="3"/>
      <c r="FHB105" s="3"/>
      <c r="FHC105" s="3"/>
      <c r="FHD105" s="3"/>
      <c r="FHE105" s="3"/>
      <c r="FHF105" s="3"/>
      <c r="FHG105" s="3"/>
      <c r="FHH105" s="3"/>
      <c r="FHI105" s="3"/>
      <c r="FHJ105" s="3"/>
      <c r="FHK105" s="3"/>
      <c r="FHL105" s="3"/>
      <c r="FHM105" s="3"/>
      <c r="FHN105" s="3"/>
      <c r="FHO105" s="3"/>
      <c r="FHP105" s="3"/>
      <c r="FHQ105" s="3"/>
      <c r="FHR105" s="3"/>
      <c r="FHS105" s="3"/>
      <c r="FHT105" s="3"/>
      <c r="FHU105" s="3"/>
      <c r="FHV105" s="3"/>
      <c r="FHW105" s="3"/>
      <c r="FHX105" s="3"/>
      <c r="FHY105" s="3"/>
      <c r="FHZ105" s="3"/>
      <c r="FIA105" s="3"/>
      <c r="FIB105" s="3"/>
      <c r="FIC105" s="3"/>
      <c r="FID105" s="3"/>
      <c r="FIE105" s="3"/>
      <c r="FIF105" s="3"/>
      <c r="FIG105" s="3"/>
      <c r="FIH105" s="3"/>
      <c r="FII105" s="3"/>
      <c r="FIJ105" s="3"/>
      <c r="FIK105" s="3"/>
      <c r="FIL105" s="3"/>
      <c r="FIM105" s="3"/>
      <c r="FIN105" s="3"/>
      <c r="FIO105" s="3"/>
      <c r="FIP105" s="3"/>
      <c r="FIQ105" s="3"/>
      <c r="FIR105" s="3"/>
      <c r="FIS105" s="3"/>
      <c r="FIT105" s="3"/>
      <c r="FIU105" s="3"/>
      <c r="FIV105" s="3"/>
      <c r="FIW105" s="3"/>
      <c r="FIX105" s="3"/>
      <c r="FIY105" s="3"/>
      <c r="FIZ105" s="3"/>
      <c r="FJA105" s="3"/>
      <c r="FJB105" s="3"/>
      <c r="FJC105" s="3"/>
      <c r="FJD105" s="3"/>
      <c r="FJE105" s="3"/>
      <c r="FJF105" s="3"/>
      <c r="FJG105" s="3"/>
      <c r="FJH105" s="3"/>
      <c r="FJI105" s="3"/>
      <c r="FJJ105" s="3"/>
      <c r="FJK105" s="3"/>
      <c r="FJL105" s="3"/>
      <c r="FJM105" s="3"/>
      <c r="FJN105" s="3"/>
      <c r="FJO105" s="3"/>
      <c r="FJP105" s="3"/>
      <c r="FJQ105" s="3"/>
      <c r="FJR105" s="3"/>
      <c r="FJS105" s="3"/>
      <c r="FJT105" s="3"/>
      <c r="FJU105" s="3"/>
      <c r="FJV105" s="3"/>
      <c r="FJW105" s="3"/>
      <c r="FJX105" s="3"/>
      <c r="FJY105" s="3"/>
      <c r="FJZ105" s="3"/>
      <c r="FKA105" s="3"/>
      <c r="FKB105" s="3"/>
      <c r="FKC105" s="3"/>
      <c r="FKD105" s="3"/>
      <c r="FKE105" s="3"/>
      <c r="FKF105" s="3"/>
      <c r="FKG105" s="3"/>
      <c r="FKH105" s="3"/>
      <c r="FKI105" s="3"/>
      <c r="FKJ105" s="3"/>
      <c r="FKK105" s="3"/>
      <c r="FKL105" s="3"/>
      <c r="FKM105" s="3"/>
      <c r="FKN105" s="3"/>
      <c r="FKO105" s="3"/>
      <c r="FKP105" s="3"/>
      <c r="FKQ105" s="3"/>
      <c r="FKR105" s="3"/>
      <c r="FKS105" s="3"/>
      <c r="FKT105" s="3"/>
      <c r="FKU105" s="3"/>
      <c r="FKV105" s="3"/>
      <c r="FKW105" s="3"/>
      <c r="FKX105" s="3"/>
      <c r="FKY105" s="3"/>
      <c r="FKZ105" s="3"/>
      <c r="FLA105" s="3"/>
      <c r="FLB105" s="3"/>
      <c r="FLC105" s="3"/>
      <c r="FLD105" s="3"/>
      <c r="FLE105" s="3"/>
      <c r="FLF105" s="3"/>
      <c r="FLG105" s="3"/>
      <c r="FLH105" s="3"/>
      <c r="FLI105" s="3"/>
      <c r="FLJ105" s="3"/>
      <c r="FLK105" s="3"/>
      <c r="FLL105" s="3"/>
      <c r="FLM105" s="3"/>
      <c r="FLN105" s="3"/>
      <c r="FLO105" s="3"/>
      <c r="FLP105" s="3"/>
      <c r="FLQ105" s="3"/>
      <c r="FLR105" s="3"/>
      <c r="FLS105" s="3"/>
      <c r="FLT105" s="3"/>
      <c r="FLU105" s="3"/>
      <c r="FLV105" s="3"/>
      <c r="FLW105" s="3"/>
      <c r="FLX105" s="3"/>
      <c r="FLY105" s="3"/>
      <c r="FLZ105" s="3"/>
      <c r="FMA105" s="3"/>
      <c r="FMB105" s="3"/>
      <c r="FMC105" s="3"/>
      <c r="FMD105" s="3"/>
      <c r="FME105" s="3"/>
      <c r="FMF105" s="3"/>
      <c r="FMG105" s="3"/>
      <c r="FMH105" s="3"/>
      <c r="FMI105" s="3"/>
      <c r="FMJ105" s="3"/>
      <c r="FMK105" s="3"/>
      <c r="FML105" s="3"/>
      <c r="FMM105" s="3"/>
      <c r="FMN105" s="3"/>
      <c r="FMO105" s="3"/>
      <c r="FMP105" s="3"/>
      <c r="FMQ105" s="3"/>
      <c r="FMR105" s="3"/>
      <c r="FMS105" s="3"/>
      <c r="FMT105" s="3"/>
      <c r="FMU105" s="3"/>
      <c r="FMV105" s="3"/>
      <c r="FMW105" s="3"/>
      <c r="FMX105" s="3"/>
      <c r="FMY105" s="3"/>
      <c r="FMZ105" s="3"/>
      <c r="FNA105" s="3"/>
      <c r="FNB105" s="3"/>
      <c r="FNC105" s="3"/>
      <c r="FND105" s="3"/>
      <c r="FNE105" s="3"/>
      <c r="FNF105" s="3"/>
      <c r="FNG105" s="3"/>
      <c r="FNH105" s="3"/>
      <c r="FNI105" s="3"/>
      <c r="FNJ105" s="3"/>
      <c r="FNK105" s="3"/>
      <c r="FNL105" s="3"/>
      <c r="FNM105" s="3"/>
      <c r="FNN105" s="3"/>
      <c r="FNO105" s="3"/>
      <c r="FNP105" s="3"/>
      <c r="FNQ105" s="3"/>
      <c r="FNR105" s="3"/>
      <c r="FNS105" s="3"/>
      <c r="FNT105" s="3"/>
      <c r="FNU105" s="3"/>
      <c r="FNV105" s="3"/>
      <c r="FNW105" s="3"/>
      <c r="FNX105" s="3"/>
      <c r="FNY105" s="3"/>
      <c r="FNZ105" s="3"/>
      <c r="FOA105" s="3"/>
      <c r="FOB105" s="3"/>
      <c r="FOC105" s="3"/>
      <c r="FOD105" s="3"/>
      <c r="FOE105" s="3"/>
      <c r="FOF105" s="3"/>
      <c r="FOG105" s="3"/>
      <c r="FOH105" s="3"/>
      <c r="FOI105" s="3"/>
      <c r="FOJ105" s="3"/>
      <c r="FOK105" s="3"/>
      <c r="FOL105" s="3"/>
      <c r="FOM105" s="3"/>
      <c r="FON105" s="3"/>
      <c r="FOO105" s="3"/>
      <c r="FOP105" s="3"/>
      <c r="FOQ105" s="3"/>
      <c r="FOR105" s="3"/>
      <c r="FOS105" s="3"/>
      <c r="FOT105" s="3"/>
      <c r="FOU105" s="3"/>
      <c r="FOV105" s="3"/>
      <c r="FOW105" s="3"/>
      <c r="FOX105" s="3"/>
      <c r="FOY105" s="3"/>
      <c r="FOZ105" s="3"/>
      <c r="FPA105" s="3"/>
      <c r="FPB105" s="3"/>
      <c r="FPC105" s="3"/>
      <c r="FPD105" s="3"/>
      <c r="FPE105" s="3"/>
      <c r="FPF105" s="3"/>
      <c r="FPG105" s="3"/>
      <c r="FPH105" s="3"/>
      <c r="FPI105" s="3"/>
      <c r="FPJ105" s="3"/>
      <c r="FPK105" s="3"/>
      <c r="FPL105" s="3"/>
      <c r="FPM105" s="3"/>
      <c r="FPN105" s="3"/>
      <c r="FPO105" s="3"/>
      <c r="FPP105" s="3"/>
      <c r="FPQ105" s="3"/>
      <c r="FPR105" s="3"/>
      <c r="FPS105" s="3"/>
      <c r="FPT105" s="3"/>
      <c r="FPU105" s="3"/>
      <c r="FPV105" s="3"/>
      <c r="FPW105" s="3"/>
      <c r="FPX105" s="3"/>
      <c r="FPY105" s="3"/>
      <c r="FPZ105" s="3"/>
      <c r="FQA105" s="3"/>
      <c r="FQB105" s="3"/>
      <c r="FQC105" s="3"/>
      <c r="FQD105" s="3"/>
      <c r="FQE105" s="3"/>
      <c r="FQF105" s="3"/>
      <c r="FQG105" s="3"/>
      <c r="FQH105" s="3"/>
      <c r="FQI105" s="3"/>
      <c r="FQJ105" s="3"/>
      <c r="FQK105" s="3"/>
      <c r="FQL105" s="3"/>
      <c r="FQM105" s="3"/>
      <c r="FQN105" s="3"/>
      <c r="FQO105" s="3"/>
      <c r="FQP105" s="3"/>
      <c r="FQQ105" s="3"/>
      <c r="FQR105" s="3"/>
      <c r="FQS105" s="3"/>
      <c r="FQT105" s="3"/>
      <c r="FQU105" s="3"/>
      <c r="FQV105" s="3"/>
      <c r="FQW105" s="3"/>
      <c r="FQX105" s="3"/>
      <c r="FQY105" s="3"/>
      <c r="FQZ105" s="3"/>
      <c r="FRA105" s="3"/>
      <c r="FRB105" s="3"/>
      <c r="FRC105" s="3"/>
      <c r="FRD105" s="3"/>
      <c r="FRE105" s="3"/>
      <c r="FRF105" s="3"/>
      <c r="FRG105" s="3"/>
      <c r="FRH105" s="3"/>
      <c r="FRI105" s="3"/>
      <c r="FRJ105" s="3"/>
      <c r="FRK105" s="3"/>
      <c r="FRL105" s="3"/>
      <c r="FRM105" s="3"/>
      <c r="FRN105" s="3"/>
      <c r="FRO105" s="3"/>
      <c r="FRP105" s="3"/>
      <c r="FRQ105" s="3"/>
      <c r="FRR105" s="3"/>
      <c r="FRS105" s="3"/>
      <c r="FRT105" s="3"/>
      <c r="FRU105" s="3"/>
      <c r="FRV105" s="3"/>
      <c r="FRW105" s="3"/>
      <c r="FRX105" s="3"/>
      <c r="FRY105" s="3"/>
      <c r="FRZ105" s="3"/>
      <c r="FSA105" s="3"/>
      <c r="FSB105" s="3"/>
      <c r="FSC105" s="3"/>
      <c r="FSD105" s="3"/>
      <c r="FSE105" s="3"/>
      <c r="FSF105" s="3"/>
      <c r="FSG105" s="3"/>
      <c r="FSH105" s="3"/>
      <c r="FSI105" s="3"/>
      <c r="FSJ105" s="3"/>
      <c r="FSK105" s="3"/>
      <c r="FSL105" s="3"/>
      <c r="FSM105" s="3"/>
      <c r="FSN105" s="3"/>
      <c r="FSO105" s="3"/>
      <c r="FSP105" s="3"/>
      <c r="FSQ105" s="3"/>
      <c r="FSR105" s="3"/>
      <c r="FSS105" s="3"/>
      <c r="FST105" s="3"/>
      <c r="FSU105" s="3"/>
      <c r="FSV105" s="3"/>
      <c r="FSW105" s="3"/>
      <c r="FSX105" s="3"/>
      <c r="FSY105" s="3"/>
      <c r="FSZ105" s="3"/>
      <c r="FTA105" s="3"/>
      <c r="FTB105" s="3"/>
      <c r="FTC105" s="3"/>
      <c r="FTD105" s="3"/>
      <c r="FTE105" s="3"/>
      <c r="FTF105" s="3"/>
      <c r="FTG105" s="3"/>
      <c r="FTH105" s="3"/>
      <c r="FTI105" s="3"/>
      <c r="FTJ105" s="3"/>
      <c r="FTK105" s="3"/>
      <c r="FTL105" s="3"/>
      <c r="FTM105" s="3"/>
      <c r="FTN105" s="3"/>
      <c r="FTO105" s="3"/>
      <c r="FTP105" s="3"/>
      <c r="FTQ105" s="3"/>
      <c r="FTR105" s="3"/>
      <c r="FTS105" s="3"/>
      <c r="FTT105" s="3"/>
      <c r="FTU105" s="3"/>
      <c r="FTV105" s="3"/>
      <c r="FTW105" s="3"/>
      <c r="FTX105" s="3"/>
      <c r="FTY105" s="3"/>
      <c r="FTZ105" s="3"/>
      <c r="FUA105" s="3"/>
      <c r="FUB105" s="3"/>
      <c r="FUC105" s="3"/>
      <c r="FUD105" s="3"/>
      <c r="FUE105" s="3"/>
      <c r="FUF105" s="3"/>
      <c r="FUG105" s="3"/>
      <c r="FUH105" s="3"/>
      <c r="FUI105" s="3"/>
      <c r="FUJ105" s="3"/>
      <c r="FUK105" s="3"/>
      <c r="FUL105" s="3"/>
      <c r="FUM105" s="3"/>
      <c r="FUN105" s="3"/>
      <c r="FUO105" s="3"/>
      <c r="FUP105" s="3"/>
      <c r="FUQ105" s="3"/>
      <c r="FUR105" s="3"/>
      <c r="FUS105" s="3"/>
      <c r="FUT105" s="3"/>
      <c r="FUU105" s="3"/>
      <c r="FUV105" s="3"/>
      <c r="FUW105" s="3"/>
      <c r="FUX105" s="3"/>
      <c r="FUY105" s="3"/>
      <c r="FUZ105" s="3"/>
      <c r="FVA105" s="3"/>
      <c r="FVB105" s="3"/>
      <c r="FVC105" s="3"/>
      <c r="FVD105" s="3"/>
      <c r="FVE105" s="3"/>
      <c r="FVF105" s="3"/>
      <c r="FVG105" s="3"/>
      <c r="FVH105" s="3"/>
      <c r="FVI105" s="3"/>
      <c r="FVJ105" s="3"/>
      <c r="FVK105" s="3"/>
      <c r="FVL105" s="3"/>
      <c r="FVM105" s="3"/>
      <c r="FVN105" s="3"/>
      <c r="FVO105" s="3"/>
      <c r="FVP105" s="3"/>
      <c r="FVQ105" s="3"/>
      <c r="FVR105" s="3"/>
      <c r="FVS105" s="3"/>
      <c r="FVT105" s="3"/>
      <c r="FVU105" s="3"/>
      <c r="FVV105" s="3"/>
      <c r="FVW105" s="3"/>
      <c r="FVX105" s="3"/>
      <c r="FVY105" s="3"/>
      <c r="FVZ105" s="3"/>
      <c r="FWA105" s="3"/>
      <c r="FWB105" s="3"/>
      <c r="FWC105" s="3"/>
      <c r="FWD105" s="3"/>
      <c r="FWE105" s="3"/>
      <c r="FWF105" s="3"/>
      <c r="FWG105" s="3"/>
      <c r="FWH105" s="3"/>
      <c r="FWI105" s="3"/>
      <c r="FWJ105" s="3"/>
      <c r="FWK105" s="3"/>
      <c r="FWL105" s="3"/>
      <c r="FWM105" s="3"/>
      <c r="FWN105" s="3"/>
      <c r="FWO105" s="3"/>
      <c r="FWP105" s="3"/>
      <c r="FWQ105" s="3"/>
      <c r="FWR105" s="3"/>
      <c r="FWS105" s="3"/>
      <c r="FWT105" s="3"/>
      <c r="FWU105" s="3"/>
      <c r="FWV105" s="3"/>
      <c r="FWW105" s="3"/>
      <c r="FWX105" s="3"/>
      <c r="FWY105" s="3"/>
      <c r="FWZ105" s="3"/>
      <c r="FXA105" s="3"/>
      <c r="FXB105" s="3"/>
      <c r="FXC105" s="3"/>
      <c r="FXD105" s="3"/>
      <c r="FXE105" s="3"/>
      <c r="FXF105" s="3"/>
      <c r="FXG105" s="3"/>
      <c r="FXH105" s="3"/>
      <c r="FXI105" s="3"/>
      <c r="FXJ105" s="3"/>
      <c r="FXK105" s="3"/>
      <c r="FXL105" s="3"/>
      <c r="FXM105" s="3"/>
      <c r="FXN105" s="3"/>
      <c r="FXO105" s="3"/>
      <c r="FXP105" s="3"/>
      <c r="FXQ105" s="3"/>
      <c r="FXR105" s="3"/>
      <c r="FXS105" s="3"/>
      <c r="FXT105" s="3"/>
      <c r="FXU105" s="3"/>
      <c r="FXV105" s="3"/>
      <c r="FXW105" s="3"/>
      <c r="FXX105" s="3"/>
      <c r="FXY105" s="3"/>
      <c r="FXZ105" s="3"/>
      <c r="FYA105" s="3"/>
      <c r="FYB105" s="3"/>
      <c r="FYC105" s="3"/>
      <c r="FYD105" s="3"/>
      <c r="FYE105" s="3"/>
      <c r="FYF105" s="3"/>
      <c r="FYG105" s="3"/>
      <c r="FYH105" s="3"/>
      <c r="FYI105" s="3"/>
      <c r="FYJ105" s="3"/>
      <c r="FYK105" s="3"/>
      <c r="FYL105" s="3"/>
      <c r="FYM105" s="3"/>
      <c r="FYN105" s="3"/>
      <c r="FYO105" s="3"/>
      <c r="FYP105" s="3"/>
      <c r="FYQ105" s="3"/>
      <c r="FYR105" s="3"/>
      <c r="FYS105" s="3"/>
      <c r="FYT105" s="3"/>
      <c r="FYU105" s="3"/>
      <c r="FYV105" s="3"/>
      <c r="FYW105" s="3"/>
      <c r="FYX105" s="3"/>
      <c r="FYY105" s="3"/>
      <c r="FYZ105" s="3"/>
      <c r="FZA105" s="3"/>
      <c r="FZB105" s="3"/>
      <c r="FZC105" s="3"/>
      <c r="FZD105" s="3"/>
      <c r="FZE105" s="3"/>
      <c r="FZF105" s="3"/>
      <c r="FZG105" s="3"/>
      <c r="FZH105" s="3"/>
      <c r="FZI105" s="3"/>
      <c r="FZJ105" s="3"/>
      <c r="FZK105" s="3"/>
      <c r="FZL105" s="3"/>
      <c r="FZM105" s="3"/>
      <c r="FZN105" s="3"/>
      <c r="FZO105" s="3"/>
      <c r="FZP105" s="3"/>
      <c r="FZQ105" s="3"/>
      <c r="FZR105" s="3"/>
      <c r="FZS105" s="3"/>
      <c r="FZT105" s="3"/>
      <c r="FZU105" s="3"/>
      <c r="FZV105" s="3"/>
      <c r="FZW105" s="3"/>
      <c r="FZX105" s="3"/>
      <c r="FZY105" s="3"/>
      <c r="FZZ105" s="3"/>
      <c r="GAA105" s="3"/>
      <c r="GAB105" s="3"/>
      <c r="GAC105" s="3"/>
      <c r="GAD105" s="3"/>
      <c r="GAE105" s="3"/>
      <c r="GAF105" s="3"/>
      <c r="GAG105" s="3"/>
      <c r="GAH105" s="3"/>
      <c r="GAI105" s="3"/>
      <c r="GAJ105" s="3"/>
      <c r="GAK105" s="3"/>
      <c r="GAL105" s="3"/>
      <c r="GAM105" s="3"/>
      <c r="GAN105" s="3"/>
      <c r="GAO105" s="3"/>
      <c r="GAP105" s="3"/>
      <c r="GAQ105" s="3"/>
      <c r="GAR105" s="3"/>
      <c r="GAS105" s="3"/>
      <c r="GAT105" s="3"/>
      <c r="GAU105" s="3"/>
      <c r="GAV105" s="3"/>
      <c r="GAW105" s="3"/>
      <c r="GAX105" s="3"/>
      <c r="GAY105" s="3"/>
      <c r="GAZ105" s="3"/>
      <c r="GBA105" s="3"/>
      <c r="GBB105" s="3"/>
      <c r="GBC105" s="3"/>
      <c r="GBD105" s="3"/>
      <c r="GBE105" s="3"/>
      <c r="GBF105" s="3"/>
      <c r="GBG105" s="3"/>
      <c r="GBH105" s="3"/>
      <c r="GBI105" s="3"/>
      <c r="GBJ105" s="3"/>
      <c r="GBK105" s="3"/>
      <c r="GBL105" s="3"/>
      <c r="GBM105" s="3"/>
      <c r="GBN105" s="3"/>
      <c r="GBO105" s="3"/>
      <c r="GBP105" s="3"/>
      <c r="GBQ105" s="3"/>
      <c r="GBR105" s="3"/>
      <c r="GBS105" s="3"/>
      <c r="GBT105" s="3"/>
      <c r="GBU105" s="3"/>
      <c r="GBV105" s="3"/>
      <c r="GBW105" s="3"/>
      <c r="GBX105" s="3"/>
      <c r="GBY105" s="3"/>
      <c r="GBZ105" s="3"/>
      <c r="GCA105" s="3"/>
      <c r="GCB105" s="3"/>
      <c r="GCC105" s="3"/>
      <c r="GCD105" s="3"/>
      <c r="GCE105" s="3"/>
      <c r="GCF105" s="3"/>
      <c r="GCG105" s="3"/>
      <c r="GCH105" s="3"/>
      <c r="GCI105" s="3"/>
      <c r="GCJ105" s="3"/>
      <c r="GCK105" s="3"/>
      <c r="GCL105" s="3"/>
      <c r="GCM105" s="3"/>
      <c r="GCN105" s="3"/>
      <c r="GCO105" s="3"/>
      <c r="GCP105" s="3"/>
      <c r="GCQ105" s="3"/>
      <c r="GCR105" s="3"/>
      <c r="GCS105" s="3"/>
      <c r="GCT105" s="3"/>
      <c r="GCU105" s="3"/>
      <c r="GCV105" s="3"/>
      <c r="GCW105" s="3"/>
      <c r="GCX105" s="3"/>
      <c r="GCY105" s="3"/>
      <c r="GCZ105" s="3"/>
      <c r="GDA105" s="3"/>
      <c r="GDB105" s="3"/>
      <c r="GDC105" s="3"/>
      <c r="GDD105" s="3"/>
      <c r="GDE105" s="3"/>
      <c r="GDF105" s="3"/>
      <c r="GDG105" s="3"/>
      <c r="GDH105" s="3"/>
      <c r="GDI105" s="3"/>
      <c r="GDJ105" s="3"/>
      <c r="GDK105" s="3"/>
      <c r="GDL105" s="3"/>
      <c r="GDM105" s="3"/>
      <c r="GDN105" s="3"/>
      <c r="GDO105" s="3"/>
      <c r="GDP105" s="3"/>
      <c r="GDQ105" s="3"/>
      <c r="GDR105" s="3"/>
      <c r="GDS105" s="3"/>
      <c r="GDT105" s="3"/>
      <c r="GDU105" s="3"/>
      <c r="GDV105" s="3"/>
      <c r="GDW105" s="3"/>
      <c r="GDX105" s="3"/>
      <c r="GDY105" s="3"/>
      <c r="GDZ105" s="3"/>
      <c r="GEA105" s="3"/>
      <c r="GEB105" s="3"/>
      <c r="GEC105" s="3"/>
      <c r="GED105" s="3"/>
      <c r="GEE105" s="3"/>
      <c r="GEF105" s="3"/>
      <c r="GEG105" s="3"/>
      <c r="GEH105" s="3"/>
      <c r="GEI105" s="3"/>
      <c r="GEJ105" s="3"/>
      <c r="GEK105" s="3"/>
      <c r="GEL105" s="3"/>
      <c r="GEM105" s="3"/>
      <c r="GEN105" s="3"/>
      <c r="GEO105" s="3"/>
      <c r="GEP105" s="3"/>
      <c r="GEQ105" s="3"/>
      <c r="GER105" s="3"/>
      <c r="GES105" s="3"/>
      <c r="GET105" s="3"/>
      <c r="GEU105" s="3"/>
      <c r="GEV105" s="3"/>
      <c r="GEW105" s="3"/>
      <c r="GEX105" s="3"/>
      <c r="GEY105" s="3"/>
      <c r="GEZ105" s="3"/>
      <c r="GFA105" s="3"/>
      <c r="GFB105" s="3"/>
      <c r="GFC105" s="3"/>
      <c r="GFD105" s="3"/>
      <c r="GFE105" s="3"/>
      <c r="GFF105" s="3"/>
      <c r="GFG105" s="3"/>
      <c r="GFH105" s="3"/>
      <c r="GFI105" s="3"/>
      <c r="GFJ105" s="3"/>
      <c r="GFK105" s="3"/>
      <c r="GFL105" s="3"/>
      <c r="GFM105" s="3"/>
      <c r="GFN105" s="3"/>
      <c r="GFO105" s="3"/>
      <c r="GFP105" s="3"/>
      <c r="GFQ105" s="3"/>
      <c r="GFR105" s="3"/>
      <c r="GFS105" s="3"/>
      <c r="GFT105" s="3"/>
      <c r="GFU105" s="3"/>
      <c r="GFV105" s="3"/>
      <c r="GFW105" s="3"/>
      <c r="GFX105" s="3"/>
      <c r="GFY105" s="3"/>
      <c r="GFZ105" s="3"/>
      <c r="GGA105" s="3"/>
      <c r="GGB105" s="3"/>
      <c r="GGC105" s="3"/>
      <c r="GGD105" s="3"/>
      <c r="GGE105" s="3"/>
      <c r="GGF105" s="3"/>
      <c r="GGG105" s="3"/>
      <c r="GGH105" s="3"/>
      <c r="GGI105" s="3"/>
      <c r="GGJ105" s="3"/>
      <c r="GGK105" s="3"/>
      <c r="GGL105" s="3"/>
      <c r="GGM105" s="3"/>
      <c r="GGN105" s="3"/>
      <c r="GGO105" s="3"/>
      <c r="GGP105" s="3"/>
      <c r="GGQ105" s="3"/>
      <c r="GGR105" s="3"/>
      <c r="GGS105" s="3"/>
      <c r="GGT105" s="3"/>
      <c r="GGU105" s="3"/>
      <c r="GGV105" s="3"/>
      <c r="GGW105" s="3"/>
      <c r="GGX105" s="3"/>
      <c r="GGY105" s="3"/>
      <c r="GGZ105" s="3"/>
      <c r="GHA105" s="3"/>
      <c r="GHB105" s="3"/>
      <c r="GHC105" s="3"/>
      <c r="GHD105" s="3"/>
      <c r="GHE105" s="3"/>
      <c r="GHF105" s="3"/>
      <c r="GHG105" s="3"/>
      <c r="GHH105" s="3"/>
      <c r="GHI105" s="3"/>
      <c r="GHJ105" s="3"/>
      <c r="GHK105" s="3"/>
      <c r="GHL105" s="3"/>
      <c r="GHM105" s="3"/>
      <c r="GHN105" s="3"/>
      <c r="GHO105" s="3"/>
      <c r="GHP105" s="3"/>
      <c r="GHQ105" s="3"/>
      <c r="GHR105" s="3"/>
      <c r="GHS105" s="3"/>
      <c r="GHT105" s="3"/>
      <c r="GHU105" s="3"/>
      <c r="GHV105" s="3"/>
      <c r="GHW105" s="3"/>
      <c r="GHX105" s="3"/>
      <c r="GHY105" s="3"/>
      <c r="GHZ105" s="3"/>
      <c r="GIA105" s="3"/>
      <c r="GIB105" s="3"/>
      <c r="GIC105" s="3"/>
      <c r="GID105" s="3"/>
      <c r="GIE105" s="3"/>
      <c r="GIF105" s="3"/>
      <c r="GIG105" s="3"/>
      <c r="GIH105" s="3"/>
      <c r="GII105" s="3"/>
      <c r="GIJ105" s="3"/>
      <c r="GIK105" s="3"/>
      <c r="GIL105" s="3"/>
      <c r="GIM105" s="3"/>
      <c r="GIN105" s="3"/>
      <c r="GIO105" s="3"/>
      <c r="GIP105" s="3"/>
      <c r="GIQ105" s="3"/>
      <c r="GIR105" s="3"/>
      <c r="GIS105" s="3"/>
      <c r="GIT105" s="3"/>
      <c r="GIU105" s="3"/>
      <c r="GIV105" s="3"/>
      <c r="GIW105" s="3"/>
      <c r="GIX105" s="3"/>
      <c r="GIY105" s="3"/>
      <c r="GIZ105" s="3"/>
      <c r="GJA105" s="3"/>
      <c r="GJB105" s="3"/>
      <c r="GJC105" s="3"/>
      <c r="GJD105" s="3"/>
      <c r="GJE105" s="3"/>
      <c r="GJF105" s="3"/>
      <c r="GJG105" s="3"/>
      <c r="GJH105" s="3"/>
      <c r="GJI105" s="3"/>
      <c r="GJJ105" s="3"/>
      <c r="GJK105" s="3"/>
      <c r="GJL105" s="3"/>
      <c r="GJM105" s="3"/>
      <c r="GJN105" s="3"/>
      <c r="GJO105" s="3"/>
      <c r="GJP105" s="3"/>
      <c r="GJQ105" s="3"/>
      <c r="GJR105" s="3"/>
      <c r="GJS105" s="3"/>
      <c r="GJT105" s="3"/>
      <c r="GJU105" s="3"/>
      <c r="GJV105" s="3"/>
      <c r="GJW105" s="3"/>
      <c r="GJX105" s="3"/>
      <c r="GJY105" s="3"/>
      <c r="GJZ105" s="3"/>
      <c r="GKA105" s="3"/>
      <c r="GKB105" s="3"/>
      <c r="GKC105" s="3"/>
      <c r="GKD105" s="3"/>
      <c r="GKE105" s="3"/>
      <c r="GKF105" s="3"/>
      <c r="GKG105" s="3"/>
      <c r="GKH105" s="3"/>
      <c r="GKI105" s="3"/>
      <c r="GKJ105" s="3"/>
      <c r="GKK105" s="3"/>
      <c r="GKL105" s="3"/>
      <c r="GKM105" s="3"/>
      <c r="GKN105" s="3"/>
      <c r="GKO105" s="3"/>
      <c r="GKP105" s="3"/>
      <c r="GKQ105" s="3"/>
      <c r="GKR105" s="3"/>
      <c r="GKS105" s="3"/>
      <c r="GKT105" s="3"/>
      <c r="GKU105" s="3"/>
      <c r="GKV105" s="3"/>
      <c r="GKW105" s="3"/>
      <c r="GKX105" s="3"/>
      <c r="GKY105" s="3"/>
      <c r="GKZ105" s="3"/>
      <c r="GLA105" s="3"/>
      <c r="GLB105" s="3"/>
      <c r="GLC105" s="3"/>
      <c r="GLD105" s="3"/>
      <c r="GLE105" s="3"/>
      <c r="GLF105" s="3"/>
      <c r="GLG105" s="3"/>
      <c r="GLH105" s="3"/>
      <c r="GLI105" s="3"/>
      <c r="GLJ105" s="3"/>
      <c r="GLK105" s="3"/>
      <c r="GLL105" s="3"/>
      <c r="GLM105" s="3"/>
      <c r="GLN105" s="3"/>
      <c r="GLO105" s="3"/>
      <c r="GLP105" s="3"/>
      <c r="GLQ105" s="3"/>
      <c r="GLR105" s="3"/>
      <c r="GLS105" s="3"/>
      <c r="GLT105" s="3"/>
      <c r="GLU105" s="3"/>
      <c r="GLV105" s="3"/>
      <c r="GLW105" s="3"/>
      <c r="GLX105" s="3"/>
      <c r="GLY105" s="3"/>
      <c r="GLZ105" s="3"/>
      <c r="GMA105" s="3"/>
      <c r="GMB105" s="3"/>
      <c r="GMC105" s="3"/>
      <c r="GMD105" s="3"/>
      <c r="GME105" s="3"/>
      <c r="GMF105" s="3"/>
      <c r="GMG105" s="3"/>
      <c r="GMH105" s="3"/>
      <c r="GMI105" s="3"/>
      <c r="GMJ105" s="3"/>
      <c r="GMK105" s="3"/>
      <c r="GML105" s="3"/>
      <c r="GMM105" s="3"/>
      <c r="GMN105" s="3"/>
      <c r="GMO105" s="3"/>
      <c r="GMP105" s="3"/>
      <c r="GMQ105" s="3"/>
      <c r="GMR105" s="3"/>
      <c r="GMS105" s="3"/>
      <c r="GMT105" s="3"/>
      <c r="GMU105" s="3"/>
      <c r="GMV105" s="3"/>
      <c r="GMW105" s="3"/>
      <c r="GMX105" s="3"/>
      <c r="GMY105" s="3"/>
      <c r="GMZ105" s="3"/>
      <c r="GNA105" s="3"/>
      <c r="GNB105" s="3"/>
      <c r="GNC105" s="3"/>
      <c r="GND105" s="3"/>
      <c r="GNE105" s="3"/>
      <c r="GNF105" s="3"/>
      <c r="GNG105" s="3"/>
      <c r="GNH105" s="3"/>
      <c r="GNI105" s="3"/>
      <c r="GNJ105" s="3"/>
      <c r="GNK105" s="3"/>
      <c r="GNL105" s="3"/>
      <c r="GNM105" s="3"/>
      <c r="GNN105" s="3"/>
      <c r="GNO105" s="3"/>
      <c r="GNP105" s="3"/>
      <c r="GNQ105" s="3"/>
      <c r="GNR105" s="3"/>
      <c r="GNS105" s="3"/>
      <c r="GNT105" s="3"/>
      <c r="GNU105" s="3"/>
      <c r="GNV105" s="3"/>
      <c r="GNW105" s="3"/>
      <c r="GNX105" s="3"/>
      <c r="GNY105" s="3"/>
      <c r="GNZ105" s="3"/>
      <c r="GOA105" s="3"/>
      <c r="GOB105" s="3"/>
      <c r="GOC105" s="3"/>
      <c r="GOD105" s="3"/>
      <c r="GOE105" s="3"/>
      <c r="GOF105" s="3"/>
      <c r="GOG105" s="3"/>
      <c r="GOH105" s="3"/>
      <c r="GOI105" s="3"/>
      <c r="GOJ105" s="3"/>
      <c r="GOK105" s="3"/>
      <c r="GOL105" s="3"/>
      <c r="GOM105" s="3"/>
      <c r="GON105" s="3"/>
      <c r="GOO105" s="3"/>
      <c r="GOP105" s="3"/>
      <c r="GOQ105" s="3"/>
      <c r="GOR105" s="3"/>
      <c r="GOS105" s="3"/>
      <c r="GOT105" s="3"/>
      <c r="GOU105" s="3"/>
      <c r="GOV105" s="3"/>
      <c r="GOW105" s="3"/>
      <c r="GOX105" s="3"/>
      <c r="GOY105" s="3"/>
      <c r="GOZ105" s="3"/>
      <c r="GPA105" s="3"/>
      <c r="GPB105" s="3"/>
      <c r="GPC105" s="3"/>
      <c r="GPD105" s="3"/>
      <c r="GPE105" s="3"/>
      <c r="GPF105" s="3"/>
      <c r="GPG105" s="3"/>
      <c r="GPH105" s="3"/>
      <c r="GPI105" s="3"/>
      <c r="GPJ105" s="3"/>
      <c r="GPK105" s="3"/>
      <c r="GPL105" s="3"/>
      <c r="GPM105" s="3"/>
      <c r="GPN105" s="3"/>
      <c r="GPO105" s="3"/>
      <c r="GPP105" s="3"/>
      <c r="GPQ105" s="3"/>
      <c r="GPR105" s="3"/>
      <c r="GPS105" s="3"/>
      <c r="GPT105" s="3"/>
      <c r="GPU105" s="3"/>
      <c r="GPV105" s="3"/>
      <c r="GPW105" s="3"/>
      <c r="GPX105" s="3"/>
      <c r="GPY105" s="3"/>
      <c r="GPZ105" s="3"/>
      <c r="GQA105" s="3"/>
      <c r="GQB105" s="3"/>
      <c r="GQC105" s="3"/>
      <c r="GQD105" s="3"/>
      <c r="GQE105" s="3"/>
      <c r="GQF105" s="3"/>
      <c r="GQG105" s="3"/>
      <c r="GQH105" s="3"/>
      <c r="GQI105" s="3"/>
      <c r="GQJ105" s="3"/>
      <c r="GQK105" s="3"/>
      <c r="GQL105" s="3"/>
      <c r="GQM105" s="3"/>
      <c r="GQN105" s="3"/>
      <c r="GQO105" s="3"/>
      <c r="GQP105" s="3"/>
      <c r="GQQ105" s="3"/>
      <c r="GQR105" s="3"/>
      <c r="GQS105" s="3"/>
      <c r="GQT105" s="3"/>
      <c r="GQU105" s="3"/>
      <c r="GQV105" s="3"/>
      <c r="GQW105" s="3"/>
      <c r="GQX105" s="3"/>
      <c r="GQY105" s="3"/>
      <c r="GQZ105" s="3"/>
      <c r="GRA105" s="3"/>
      <c r="GRB105" s="3"/>
      <c r="GRC105" s="3"/>
      <c r="GRD105" s="3"/>
      <c r="GRE105" s="3"/>
      <c r="GRF105" s="3"/>
      <c r="GRG105" s="3"/>
      <c r="GRH105" s="3"/>
      <c r="GRI105" s="3"/>
      <c r="GRJ105" s="3"/>
      <c r="GRK105" s="3"/>
      <c r="GRL105" s="3"/>
      <c r="GRM105" s="3"/>
      <c r="GRN105" s="3"/>
      <c r="GRO105" s="3"/>
      <c r="GRP105" s="3"/>
      <c r="GRQ105" s="3"/>
      <c r="GRR105" s="3"/>
      <c r="GRS105" s="3"/>
      <c r="GRT105" s="3"/>
      <c r="GRU105" s="3"/>
      <c r="GRV105" s="3"/>
      <c r="GRW105" s="3"/>
      <c r="GRX105" s="3"/>
      <c r="GRY105" s="3"/>
      <c r="GRZ105" s="3"/>
      <c r="GSA105" s="3"/>
      <c r="GSB105" s="3"/>
      <c r="GSC105" s="3"/>
      <c r="GSD105" s="3"/>
      <c r="GSE105" s="3"/>
      <c r="GSF105" s="3"/>
      <c r="GSG105" s="3"/>
      <c r="GSH105" s="3"/>
      <c r="GSI105" s="3"/>
      <c r="GSJ105" s="3"/>
      <c r="GSK105" s="3"/>
      <c r="GSL105" s="3"/>
      <c r="GSM105" s="3"/>
      <c r="GSN105" s="3"/>
      <c r="GSO105" s="3"/>
      <c r="GSP105" s="3"/>
      <c r="GSQ105" s="3"/>
      <c r="GSR105" s="3"/>
      <c r="GSS105" s="3"/>
      <c r="GST105" s="3"/>
      <c r="GSU105" s="3"/>
      <c r="GSV105" s="3"/>
      <c r="GSW105" s="3"/>
      <c r="GSX105" s="3"/>
      <c r="GSY105" s="3"/>
      <c r="GSZ105" s="3"/>
      <c r="GTA105" s="3"/>
      <c r="GTB105" s="3"/>
      <c r="GTC105" s="3"/>
      <c r="GTD105" s="3"/>
      <c r="GTE105" s="3"/>
      <c r="GTF105" s="3"/>
      <c r="GTG105" s="3"/>
      <c r="GTH105" s="3"/>
      <c r="GTI105" s="3"/>
      <c r="GTJ105" s="3"/>
      <c r="GTK105" s="3"/>
      <c r="GTL105" s="3"/>
      <c r="GTM105" s="3"/>
      <c r="GTN105" s="3"/>
      <c r="GTO105" s="3"/>
      <c r="GTP105" s="3"/>
      <c r="GTQ105" s="3"/>
      <c r="GTR105" s="3"/>
      <c r="GTS105" s="3"/>
      <c r="GTT105" s="3"/>
      <c r="GTU105" s="3"/>
      <c r="GTV105" s="3"/>
      <c r="GTW105" s="3"/>
      <c r="GTX105" s="3"/>
      <c r="GTY105" s="3"/>
      <c r="GTZ105" s="3"/>
      <c r="GUA105" s="3"/>
      <c r="GUB105" s="3"/>
      <c r="GUC105" s="3"/>
      <c r="GUD105" s="3"/>
      <c r="GUE105" s="3"/>
      <c r="GUF105" s="3"/>
      <c r="GUG105" s="3"/>
      <c r="GUH105" s="3"/>
      <c r="GUI105" s="3"/>
      <c r="GUJ105" s="3"/>
      <c r="GUK105" s="3"/>
      <c r="GUL105" s="3"/>
      <c r="GUM105" s="3"/>
      <c r="GUN105" s="3"/>
      <c r="GUO105" s="3"/>
      <c r="GUP105" s="3"/>
      <c r="GUQ105" s="3"/>
      <c r="GUR105" s="3"/>
      <c r="GUS105" s="3"/>
      <c r="GUT105" s="3"/>
      <c r="GUU105" s="3"/>
      <c r="GUV105" s="3"/>
      <c r="GUW105" s="3"/>
      <c r="GUX105" s="3"/>
      <c r="GUY105" s="3"/>
      <c r="GUZ105" s="3"/>
      <c r="GVA105" s="3"/>
      <c r="GVB105" s="3"/>
      <c r="GVC105" s="3"/>
      <c r="GVD105" s="3"/>
      <c r="GVE105" s="3"/>
      <c r="GVF105" s="3"/>
      <c r="GVG105" s="3"/>
      <c r="GVH105" s="3"/>
      <c r="GVI105" s="3"/>
      <c r="GVJ105" s="3"/>
      <c r="GVK105" s="3"/>
      <c r="GVL105" s="3"/>
      <c r="GVM105" s="3"/>
      <c r="GVN105" s="3"/>
      <c r="GVO105" s="3"/>
      <c r="GVP105" s="3"/>
      <c r="GVQ105" s="3"/>
      <c r="GVR105" s="3"/>
      <c r="GVS105" s="3"/>
      <c r="GVT105" s="3"/>
      <c r="GVU105" s="3"/>
      <c r="GVV105" s="3"/>
      <c r="GVW105" s="3"/>
      <c r="GVX105" s="3"/>
      <c r="GVY105" s="3"/>
      <c r="GVZ105" s="3"/>
      <c r="GWA105" s="3"/>
      <c r="GWB105" s="3"/>
      <c r="GWC105" s="3"/>
      <c r="GWD105" s="3"/>
      <c r="GWE105" s="3"/>
      <c r="GWF105" s="3"/>
      <c r="GWG105" s="3"/>
      <c r="GWH105" s="3"/>
      <c r="GWI105" s="3"/>
      <c r="GWJ105" s="3"/>
      <c r="GWK105" s="3"/>
      <c r="GWL105" s="3"/>
      <c r="GWM105" s="3"/>
      <c r="GWN105" s="3"/>
      <c r="GWO105" s="3"/>
      <c r="GWP105" s="3"/>
      <c r="GWQ105" s="3"/>
      <c r="GWR105" s="3"/>
      <c r="GWS105" s="3"/>
      <c r="GWT105" s="3"/>
      <c r="GWU105" s="3"/>
      <c r="GWV105" s="3"/>
      <c r="GWW105" s="3"/>
      <c r="GWX105" s="3"/>
      <c r="GWY105" s="3"/>
      <c r="GWZ105" s="3"/>
      <c r="GXA105" s="3"/>
      <c r="GXB105" s="3"/>
      <c r="GXC105" s="3"/>
      <c r="GXD105" s="3"/>
      <c r="GXE105" s="3"/>
      <c r="GXF105" s="3"/>
      <c r="GXG105" s="3"/>
      <c r="GXH105" s="3"/>
      <c r="GXI105" s="3"/>
      <c r="GXJ105" s="3"/>
      <c r="GXK105" s="3"/>
      <c r="GXL105" s="3"/>
      <c r="GXM105" s="3"/>
      <c r="GXN105" s="3"/>
      <c r="GXO105" s="3"/>
      <c r="GXP105" s="3"/>
      <c r="GXQ105" s="3"/>
      <c r="GXR105" s="3"/>
      <c r="GXS105" s="3"/>
      <c r="GXT105" s="3"/>
      <c r="GXU105" s="3"/>
      <c r="GXV105" s="3"/>
      <c r="GXW105" s="3"/>
      <c r="GXX105" s="3"/>
      <c r="GXY105" s="3"/>
      <c r="GXZ105" s="3"/>
      <c r="GYA105" s="3"/>
      <c r="GYB105" s="3"/>
      <c r="GYC105" s="3"/>
      <c r="GYD105" s="3"/>
      <c r="GYE105" s="3"/>
      <c r="GYF105" s="3"/>
      <c r="GYG105" s="3"/>
      <c r="GYH105" s="3"/>
      <c r="GYI105" s="3"/>
      <c r="GYJ105" s="3"/>
      <c r="GYK105" s="3"/>
      <c r="GYL105" s="3"/>
      <c r="GYM105" s="3"/>
      <c r="GYN105" s="3"/>
      <c r="GYO105" s="3"/>
      <c r="GYP105" s="3"/>
      <c r="GYQ105" s="3"/>
      <c r="GYR105" s="3"/>
      <c r="GYS105" s="3"/>
      <c r="GYT105" s="3"/>
      <c r="GYU105" s="3"/>
      <c r="GYV105" s="3"/>
      <c r="GYW105" s="3"/>
      <c r="GYX105" s="3"/>
      <c r="GYY105" s="3"/>
      <c r="GYZ105" s="3"/>
      <c r="GZA105" s="3"/>
      <c r="GZB105" s="3"/>
      <c r="GZC105" s="3"/>
      <c r="GZD105" s="3"/>
      <c r="GZE105" s="3"/>
      <c r="GZF105" s="3"/>
      <c r="GZG105" s="3"/>
      <c r="GZH105" s="3"/>
      <c r="GZI105" s="3"/>
      <c r="GZJ105" s="3"/>
      <c r="GZK105" s="3"/>
      <c r="GZL105" s="3"/>
      <c r="GZM105" s="3"/>
      <c r="GZN105" s="3"/>
      <c r="GZO105" s="3"/>
      <c r="GZP105" s="3"/>
      <c r="GZQ105" s="3"/>
      <c r="GZR105" s="3"/>
      <c r="GZS105" s="3"/>
      <c r="GZT105" s="3"/>
      <c r="GZU105" s="3"/>
      <c r="GZV105" s="3"/>
      <c r="GZW105" s="3"/>
      <c r="GZX105" s="3"/>
      <c r="GZY105" s="3"/>
      <c r="GZZ105" s="3"/>
      <c r="HAA105" s="3"/>
      <c r="HAB105" s="3"/>
      <c r="HAC105" s="3"/>
      <c r="HAD105" s="3"/>
      <c r="HAE105" s="3"/>
      <c r="HAF105" s="3"/>
      <c r="HAG105" s="3"/>
      <c r="HAH105" s="3"/>
      <c r="HAI105" s="3"/>
      <c r="HAJ105" s="3"/>
      <c r="HAK105" s="3"/>
      <c r="HAL105" s="3"/>
      <c r="HAM105" s="3"/>
      <c r="HAN105" s="3"/>
      <c r="HAO105" s="3"/>
      <c r="HAP105" s="3"/>
      <c r="HAQ105" s="3"/>
      <c r="HAR105" s="3"/>
      <c r="HAS105" s="3"/>
      <c r="HAT105" s="3"/>
      <c r="HAU105" s="3"/>
      <c r="HAV105" s="3"/>
      <c r="HAW105" s="3"/>
      <c r="HAX105" s="3"/>
      <c r="HAY105" s="3"/>
      <c r="HAZ105" s="3"/>
      <c r="HBA105" s="3"/>
      <c r="HBB105" s="3"/>
      <c r="HBC105" s="3"/>
      <c r="HBD105" s="3"/>
      <c r="HBE105" s="3"/>
      <c r="HBF105" s="3"/>
      <c r="HBG105" s="3"/>
      <c r="HBH105" s="3"/>
      <c r="HBI105" s="3"/>
      <c r="HBJ105" s="3"/>
      <c r="HBK105" s="3"/>
      <c r="HBL105" s="3"/>
      <c r="HBM105" s="3"/>
      <c r="HBN105" s="3"/>
      <c r="HBO105" s="3"/>
      <c r="HBP105" s="3"/>
      <c r="HBQ105" s="3"/>
      <c r="HBR105" s="3"/>
      <c r="HBS105" s="3"/>
      <c r="HBT105" s="3"/>
      <c r="HBU105" s="3"/>
      <c r="HBV105" s="3"/>
      <c r="HBW105" s="3"/>
      <c r="HBX105" s="3"/>
      <c r="HBY105" s="3"/>
      <c r="HBZ105" s="3"/>
      <c r="HCA105" s="3"/>
      <c r="HCB105" s="3"/>
      <c r="HCC105" s="3"/>
      <c r="HCD105" s="3"/>
      <c r="HCE105" s="3"/>
      <c r="HCF105" s="3"/>
      <c r="HCG105" s="3"/>
      <c r="HCH105" s="3"/>
      <c r="HCI105" s="3"/>
      <c r="HCJ105" s="3"/>
      <c r="HCK105" s="3"/>
      <c r="HCL105" s="3"/>
      <c r="HCM105" s="3"/>
      <c r="HCN105" s="3"/>
      <c r="HCO105" s="3"/>
      <c r="HCP105" s="3"/>
      <c r="HCQ105" s="3"/>
      <c r="HCR105" s="3"/>
      <c r="HCS105" s="3"/>
      <c r="HCT105" s="3"/>
      <c r="HCU105" s="3"/>
      <c r="HCV105" s="3"/>
      <c r="HCW105" s="3"/>
      <c r="HCX105" s="3"/>
      <c r="HCY105" s="3"/>
      <c r="HCZ105" s="3"/>
      <c r="HDA105" s="3"/>
      <c r="HDB105" s="3"/>
      <c r="HDC105" s="3"/>
      <c r="HDD105" s="3"/>
      <c r="HDE105" s="3"/>
      <c r="HDF105" s="3"/>
      <c r="HDG105" s="3"/>
      <c r="HDH105" s="3"/>
      <c r="HDI105" s="3"/>
      <c r="HDJ105" s="3"/>
      <c r="HDK105" s="3"/>
      <c r="HDL105" s="3"/>
      <c r="HDM105" s="3"/>
      <c r="HDN105" s="3"/>
      <c r="HDO105" s="3"/>
      <c r="HDP105" s="3"/>
      <c r="HDQ105" s="3"/>
      <c r="HDR105" s="3"/>
      <c r="HDS105" s="3"/>
      <c r="HDT105" s="3"/>
      <c r="HDU105" s="3"/>
      <c r="HDV105" s="3"/>
      <c r="HDW105" s="3"/>
      <c r="HDX105" s="3"/>
      <c r="HDY105" s="3"/>
      <c r="HDZ105" s="3"/>
      <c r="HEA105" s="3"/>
      <c r="HEB105" s="3"/>
      <c r="HEC105" s="3"/>
      <c r="HED105" s="3"/>
      <c r="HEE105" s="3"/>
      <c r="HEF105" s="3"/>
      <c r="HEG105" s="3"/>
      <c r="HEH105" s="3"/>
      <c r="HEI105" s="3"/>
      <c r="HEJ105" s="3"/>
      <c r="HEK105" s="3"/>
      <c r="HEL105" s="3"/>
      <c r="HEM105" s="3"/>
      <c r="HEN105" s="3"/>
      <c r="HEO105" s="3"/>
      <c r="HEP105" s="3"/>
      <c r="HEQ105" s="3"/>
      <c r="HER105" s="3"/>
      <c r="HES105" s="3"/>
      <c r="HET105" s="3"/>
      <c r="HEU105" s="3"/>
      <c r="HEV105" s="3"/>
      <c r="HEW105" s="3"/>
      <c r="HEX105" s="3"/>
      <c r="HEY105" s="3"/>
      <c r="HEZ105" s="3"/>
      <c r="HFA105" s="3"/>
      <c r="HFB105" s="3"/>
      <c r="HFC105" s="3"/>
      <c r="HFD105" s="3"/>
      <c r="HFE105" s="3"/>
      <c r="HFF105" s="3"/>
      <c r="HFG105" s="3"/>
      <c r="HFH105" s="3"/>
      <c r="HFI105" s="3"/>
      <c r="HFJ105" s="3"/>
      <c r="HFK105" s="3"/>
      <c r="HFL105" s="3"/>
      <c r="HFM105" s="3"/>
      <c r="HFN105" s="3"/>
      <c r="HFO105" s="3"/>
      <c r="HFP105" s="3"/>
      <c r="HFQ105" s="3"/>
      <c r="HFR105" s="3"/>
      <c r="HFS105" s="3"/>
      <c r="HFT105" s="3"/>
      <c r="HFU105" s="3"/>
      <c r="HFV105" s="3"/>
      <c r="HFW105" s="3"/>
      <c r="HFX105" s="3"/>
      <c r="HFY105" s="3"/>
      <c r="HFZ105" s="3"/>
      <c r="HGA105" s="3"/>
      <c r="HGB105" s="3"/>
      <c r="HGC105" s="3"/>
      <c r="HGD105" s="3"/>
      <c r="HGE105" s="3"/>
      <c r="HGF105" s="3"/>
      <c r="HGG105" s="3"/>
      <c r="HGH105" s="3"/>
      <c r="HGI105" s="3"/>
      <c r="HGJ105" s="3"/>
      <c r="HGK105" s="3"/>
      <c r="HGL105" s="3"/>
      <c r="HGM105" s="3"/>
      <c r="HGN105" s="3"/>
      <c r="HGO105" s="3"/>
      <c r="HGP105" s="3"/>
      <c r="HGQ105" s="3"/>
      <c r="HGR105" s="3"/>
      <c r="HGS105" s="3"/>
      <c r="HGT105" s="3"/>
      <c r="HGU105" s="3"/>
      <c r="HGV105" s="3"/>
      <c r="HGW105" s="3"/>
      <c r="HGX105" s="3"/>
      <c r="HGY105" s="3"/>
      <c r="HGZ105" s="3"/>
      <c r="HHA105" s="3"/>
      <c r="HHB105" s="3"/>
      <c r="HHC105" s="3"/>
      <c r="HHD105" s="3"/>
      <c r="HHE105" s="3"/>
      <c r="HHF105" s="3"/>
      <c r="HHG105" s="3"/>
      <c r="HHH105" s="3"/>
      <c r="HHI105" s="3"/>
      <c r="HHJ105" s="3"/>
      <c r="HHK105" s="3"/>
      <c r="HHL105" s="3"/>
      <c r="HHM105" s="3"/>
      <c r="HHN105" s="3"/>
      <c r="HHO105" s="3"/>
      <c r="HHP105" s="3"/>
      <c r="HHQ105" s="3"/>
      <c r="HHR105" s="3"/>
      <c r="HHS105" s="3"/>
      <c r="HHT105" s="3"/>
      <c r="HHU105" s="3"/>
      <c r="HHV105" s="3"/>
      <c r="HHW105" s="3"/>
      <c r="HHX105" s="3"/>
      <c r="HHY105" s="3"/>
      <c r="HHZ105" s="3"/>
      <c r="HIA105" s="3"/>
      <c r="HIB105" s="3"/>
      <c r="HIC105" s="3"/>
      <c r="HID105" s="3"/>
      <c r="HIE105" s="3"/>
      <c r="HIF105" s="3"/>
      <c r="HIG105" s="3"/>
      <c r="HIH105" s="3"/>
      <c r="HII105" s="3"/>
      <c r="HIJ105" s="3"/>
      <c r="HIK105" s="3"/>
      <c r="HIL105" s="3"/>
      <c r="HIM105" s="3"/>
      <c r="HIN105" s="3"/>
      <c r="HIO105" s="3"/>
      <c r="HIP105" s="3"/>
      <c r="HIQ105" s="3"/>
      <c r="HIR105" s="3"/>
      <c r="HIS105" s="3"/>
      <c r="HIT105" s="3"/>
      <c r="HIU105" s="3"/>
      <c r="HIV105" s="3"/>
      <c r="HIW105" s="3"/>
      <c r="HIX105" s="3"/>
      <c r="HIY105" s="3"/>
      <c r="HIZ105" s="3"/>
      <c r="HJA105" s="3"/>
      <c r="HJB105" s="3"/>
      <c r="HJC105" s="3"/>
      <c r="HJD105" s="3"/>
      <c r="HJE105" s="3"/>
      <c r="HJF105" s="3"/>
      <c r="HJG105" s="3"/>
      <c r="HJH105" s="3"/>
      <c r="HJI105" s="3"/>
      <c r="HJJ105" s="3"/>
      <c r="HJK105" s="3"/>
      <c r="HJL105" s="3"/>
      <c r="HJM105" s="3"/>
      <c r="HJN105" s="3"/>
      <c r="HJO105" s="3"/>
      <c r="HJP105" s="3"/>
      <c r="HJQ105" s="3"/>
      <c r="HJR105" s="3"/>
      <c r="HJS105" s="3"/>
      <c r="HJT105" s="3"/>
      <c r="HJU105" s="3"/>
      <c r="HJV105" s="3"/>
      <c r="HJW105" s="3"/>
      <c r="HJX105" s="3"/>
      <c r="HJY105" s="3"/>
      <c r="HJZ105" s="3"/>
      <c r="HKA105" s="3"/>
      <c r="HKB105" s="3"/>
      <c r="HKC105" s="3"/>
      <c r="HKD105" s="3"/>
      <c r="HKE105" s="3"/>
      <c r="HKF105" s="3"/>
      <c r="HKG105" s="3"/>
      <c r="HKH105" s="3"/>
      <c r="HKI105" s="3"/>
      <c r="HKJ105" s="3"/>
      <c r="HKK105" s="3"/>
      <c r="HKL105" s="3"/>
      <c r="HKM105" s="3"/>
      <c r="HKN105" s="3"/>
      <c r="HKO105" s="3"/>
      <c r="HKP105" s="3"/>
      <c r="HKQ105" s="3"/>
      <c r="HKR105" s="3"/>
      <c r="HKS105" s="3"/>
      <c r="HKT105" s="3"/>
      <c r="HKU105" s="3"/>
      <c r="HKV105" s="3"/>
      <c r="HKW105" s="3"/>
      <c r="HKX105" s="3"/>
      <c r="HKY105" s="3"/>
      <c r="HKZ105" s="3"/>
      <c r="HLA105" s="3"/>
      <c r="HLB105" s="3"/>
      <c r="HLC105" s="3"/>
      <c r="HLD105" s="3"/>
      <c r="HLE105" s="3"/>
      <c r="HLF105" s="3"/>
      <c r="HLG105" s="3"/>
      <c r="HLH105" s="3"/>
      <c r="HLI105" s="3"/>
      <c r="HLJ105" s="3"/>
      <c r="HLK105" s="3"/>
      <c r="HLL105" s="3"/>
      <c r="HLM105" s="3"/>
      <c r="HLN105" s="3"/>
      <c r="HLO105" s="3"/>
      <c r="HLP105" s="3"/>
      <c r="HLQ105" s="3"/>
      <c r="HLR105" s="3"/>
      <c r="HLS105" s="3"/>
      <c r="HLT105" s="3"/>
      <c r="HLU105" s="3"/>
      <c r="HLV105" s="3"/>
      <c r="HLW105" s="3"/>
      <c r="HLX105" s="3"/>
      <c r="HLY105" s="3"/>
      <c r="HLZ105" s="3"/>
      <c r="HMA105" s="3"/>
      <c r="HMB105" s="3"/>
      <c r="HMC105" s="3"/>
      <c r="HMD105" s="3"/>
      <c r="HME105" s="3"/>
      <c r="HMF105" s="3"/>
      <c r="HMG105" s="3"/>
      <c r="HMH105" s="3"/>
      <c r="HMI105" s="3"/>
      <c r="HMJ105" s="3"/>
      <c r="HMK105" s="3"/>
      <c r="HML105" s="3"/>
      <c r="HMM105" s="3"/>
      <c r="HMN105" s="3"/>
      <c r="HMO105" s="3"/>
      <c r="HMP105" s="3"/>
      <c r="HMQ105" s="3"/>
      <c r="HMR105" s="3"/>
      <c r="HMS105" s="3"/>
      <c r="HMT105" s="3"/>
      <c r="HMU105" s="3"/>
      <c r="HMV105" s="3"/>
      <c r="HMW105" s="3"/>
      <c r="HMX105" s="3"/>
      <c r="HMY105" s="3"/>
      <c r="HMZ105" s="3"/>
      <c r="HNA105" s="3"/>
      <c r="HNB105" s="3"/>
      <c r="HNC105" s="3"/>
      <c r="HND105" s="3"/>
      <c r="HNE105" s="3"/>
      <c r="HNF105" s="3"/>
      <c r="HNG105" s="3"/>
      <c r="HNH105" s="3"/>
      <c r="HNI105" s="3"/>
      <c r="HNJ105" s="3"/>
      <c r="HNK105" s="3"/>
      <c r="HNL105" s="3"/>
      <c r="HNM105" s="3"/>
      <c r="HNN105" s="3"/>
      <c r="HNO105" s="3"/>
      <c r="HNP105" s="3"/>
      <c r="HNQ105" s="3"/>
      <c r="HNR105" s="3"/>
      <c r="HNS105" s="3"/>
      <c r="HNT105" s="3"/>
      <c r="HNU105" s="3"/>
      <c r="HNV105" s="3"/>
      <c r="HNW105" s="3"/>
      <c r="HNX105" s="3"/>
      <c r="HNY105" s="3"/>
      <c r="HNZ105" s="3"/>
      <c r="HOA105" s="3"/>
      <c r="HOB105" s="3"/>
      <c r="HOC105" s="3"/>
      <c r="HOD105" s="3"/>
      <c r="HOE105" s="3"/>
      <c r="HOF105" s="3"/>
      <c r="HOG105" s="3"/>
      <c r="HOH105" s="3"/>
      <c r="HOI105" s="3"/>
      <c r="HOJ105" s="3"/>
      <c r="HOK105" s="3"/>
      <c r="HOL105" s="3"/>
      <c r="HOM105" s="3"/>
      <c r="HON105" s="3"/>
      <c r="HOO105" s="3"/>
      <c r="HOP105" s="3"/>
      <c r="HOQ105" s="3"/>
      <c r="HOR105" s="3"/>
      <c r="HOS105" s="3"/>
      <c r="HOT105" s="3"/>
      <c r="HOU105" s="3"/>
      <c r="HOV105" s="3"/>
      <c r="HOW105" s="3"/>
      <c r="HOX105" s="3"/>
      <c r="HOY105" s="3"/>
      <c r="HOZ105" s="3"/>
      <c r="HPA105" s="3"/>
      <c r="HPB105" s="3"/>
      <c r="HPC105" s="3"/>
      <c r="HPD105" s="3"/>
      <c r="HPE105" s="3"/>
      <c r="HPF105" s="3"/>
      <c r="HPG105" s="3"/>
      <c r="HPH105" s="3"/>
      <c r="HPI105" s="3"/>
      <c r="HPJ105" s="3"/>
      <c r="HPK105" s="3"/>
      <c r="HPL105" s="3"/>
      <c r="HPM105" s="3"/>
      <c r="HPN105" s="3"/>
      <c r="HPO105" s="3"/>
      <c r="HPP105" s="3"/>
      <c r="HPQ105" s="3"/>
      <c r="HPR105" s="3"/>
      <c r="HPS105" s="3"/>
      <c r="HPT105" s="3"/>
      <c r="HPU105" s="3"/>
      <c r="HPV105" s="3"/>
      <c r="HPW105" s="3"/>
      <c r="HPX105" s="3"/>
      <c r="HPY105" s="3"/>
      <c r="HPZ105" s="3"/>
      <c r="HQA105" s="3"/>
      <c r="HQB105" s="3"/>
      <c r="HQC105" s="3"/>
      <c r="HQD105" s="3"/>
      <c r="HQE105" s="3"/>
      <c r="HQF105" s="3"/>
      <c r="HQG105" s="3"/>
      <c r="HQH105" s="3"/>
      <c r="HQI105" s="3"/>
      <c r="HQJ105" s="3"/>
      <c r="HQK105" s="3"/>
      <c r="HQL105" s="3"/>
      <c r="HQM105" s="3"/>
      <c r="HQN105" s="3"/>
      <c r="HQO105" s="3"/>
      <c r="HQP105" s="3"/>
      <c r="HQQ105" s="3"/>
      <c r="HQR105" s="3"/>
      <c r="HQS105" s="3"/>
      <c r="HQT105" s="3"/>
      <c r="HQU105" s="3"/>
      <c r="HQV105" s="3"/>
      <c r="HQW105" s="3"/>
      <c r="HQX105" s="3"/>
      <c r="HQY105" s="3"/>
      <c r="HQZ105" s="3"/>
      <c r="HRA105" s="3"/>
      <c r="HRB105" s="3"/>
      <c r="HRC105" s="3"/>
      <c r="HRD105" s="3"/>
      <c r="HRE105" s="3"/>
      <c r="HRF105" s="3"/>
      <c r="HRG105" s="3"/>
      <c r="HRH105" s="3"/>
      <c r="HRI105" s="3"/>
      <c r="HRJ105" s="3"/>
      <c r="HRK105" s="3"/>
      <c r="HRL105" s="3"/>
      <c r="HRM105" s="3"/>
      <c r="HRN105" s="3"/>
      <c r="HRO105" s="3"/>
      <c r="HRP105" s="3"/>
      <c r="HRQ105" s="3"/>
      <c r="HRR105" s="3"/>
      <c r="HRS105" s="3"/>
      <c r="HRT105" s="3"/>
      <c r="HRU105" s="3"/>
      <c r="HRV105" s="3"/>
      <c r="HRW105" s="3"/>
      <c r="HRX105" s="3"/>
      <c r="HRY105" s="3"/>
      <c r="HRZ105" s="3"/>
      <c r="HSA105" s="3"/>
      <c r="HSB105" s="3"/>
      <c r="HSC105" s="3"/>
      <c r="HSD105" s="3"/>
      <c r="HSE105" s="3"/>
      <c r="HSF105" s="3"/>
      <c r="HSG105" s="3"/>
      <c r="HSH105" s="3"/>
      <c r="HSI105" s="3"/>
      <c r="HSJ105" s="3"/>
      <c r="HSK105" s="3"/>
      <c r="HSL105" s="3"/>
      <c r="HSM105" s="3"/>
      <c r="HSN105" s="3"/>
      <c r="HSO105" s="3"/>
      <c r="HSP105" s="3"/>
      <c r="HSQ105" s="3"/>
      <c r="HSR105" s="3"/>
      <c r="HSS105" s="3"/>
      <c r="HST105" s="3"/>
      <c r="HSU105" s="3"/>
      <c r="HSV105" s="3"/>
      <c r="HSW105" s="3"/>
      <c r="HSX105" s="3"/>
      <c r="HSY105" s="3"/>
      <c r="HSZ105" s="3"/>
      <c r="HTA105" s="3"/>
      <c r="HTB105" s="3"/>
      <c r="HTC105" s="3"/>
      <c r="HTD105" s="3"/>
      <c r="HTE105" s="3"/>
      <c r="HTF105" s="3"/>
      <c r="HTG105" s="3"/>
      <c r="HTH105" s="3"/>
      <c r="HTI105" s="3"/>
      <c r="HTJ105" s="3"/>
      <c r="HTK105" s="3"/>
      <c r="HTL105" s="3"/>
      <c r="HTM105" s="3"/>
      <c r="HTN105" s="3"/>
      <c r="HTO105" s="3"/>
      <c r="HTP105" s="3"/>
      <c r="HTQ105" s="3"/>
      <c r="HTR105" s="3"/>
      <c r="HTS105" s="3"/>
      <c r="HTT105" s="3"/>
      <c r="HTU105" s="3"/>
      <c r="HTV105" s="3"/>
      <c r="HTW105" s="3"/>
      <c r="HTX105" s="3"/>
      <c r="HTY105" s="3"/>
      <c r="HTZ105" s="3"/>
      <c r="HUA105" s="3"/>
      <c r="HUB105" s="3"/>
      <c r="HUC105" s="3"/>
      <c r="HUD105" s="3"/>
      <c r="HUE105" s="3"/>
      <c r="HUF105" s="3"/>
      <c r="HUG105" s="3"/>
      <c r="HUH105" s="3"/>
      <c r="HUI105" s="3"/>
      <c r="HUJ105" s="3"/>
      <c r="HUK105" s="3"/>
      <c r="HUL105" s="3"/>
      <c r="HUM105" s="3"/>
      <c r="HUN105" s="3"/>
      <c r="HUO105" s="3"/>
      <c r="HUP105" s="3"/>
      <c r="HUQ105" s="3"/>
      <c r="HUR105" s="3"/>
      <c r="HUS105" s="3"/>
      <c r="HUT105" s="3"/>
      <c r="HUU105" s="3"/>
      <c r="HUV105" s="3"/>
      <c r="HUW105" s="3"/>
      <c r="HUX105" s="3"/>
      <c r="HUY105" s="3"/>
      <c r="HUZ105" s="3"/>
      <c r="HVA105" s="3"/>
      <c r="HVB105" s="3"/>
      <c r="HVC105" s="3"/>
      <c r="HVD105" s="3"/>
      <c r="HVE105" s="3"/>
      <c r="HVF105" s="3"/>
      <c r="HVG105" s="3"/>
      <c r="HVH105" s="3"/>
      <c r="HVI105" s="3"/>
      <c r="HVJ105" s="3"/>
      <c r="HVK105" s="3"/>
      <c r="HVL105" s="3"/>
      <c r="HVM105" s="3"/>
      <c r="HVN105" s="3"/>
      <c r="HVO105" s="3"/>
      <c r="HVP105" s="3"/>
      <c r="HVQ105" s="3"/>
      <c r="HVR105" s="3"/>
      <c r="HVS105" s="3"/>
      <c r="HVT105" s="3"/>
      <c r="HVU105" s="3"/>
      <c r="HVV105" s="3"/>
      <c r="HVW105" s="3"/>
      <c r="HVX105" s="3"/>
      <c r="HVY105" s="3"/>
      <c r="HVZ105" s="3"/>
      <c r="HWA105" s="3"/>
      <c r="HWB105" s="3"/>
      <c r="HWC105" s="3"/>
      <c r="HWD105" s="3"/>
      <c r="HWE105" s="3"/>
      <c r="HWF105" s="3"/>
      <c r="HWG105" s="3"/>
      <c r="HWH105" s="3"/>
      <c r="HWI105" s="3"/>
      <c r="HWJ105" s="3"/>
      <c r="HWK105" s="3"/>
      <c r="HWL105" s="3"/>
      <c r="HWM105" s="3"/>
      <c r="HWN105" s="3"/>
      <c r="HWO105" s="3"/>
      <c r="HWP105" s="3"/>
      <c r="HWQ105" s="3"/>
      <c r="HWR105" s="3"/>
      <c r="HWS105" s="3"/>
      <c r="HWT105" s="3"/>
      <c r="HWU105" s="3"/>
      <c r="HWV105" s="3"/>
      <c r="HWW105" s="3"/>
      <c r="HWX105" s="3"/>
      <c r="HWY105" s="3"/>
      <c r="HWZ105" s="3"/>
      <c r="HXA105" s="3"/>
      <c r="HXB105" s="3"/>
      <c r="HXC105" s="3"/>
      <c r="HXD105" s="3"/>
      <c r="HXE105" s="3"/>
      <c r="HXF105" s="3"/>
      <c r="HXG105" s="3"/>
      <c r="HXH105" s="3"/>
      <c r="HXI105" s="3"/>
      <c r="HXJ105" s="3"/>
      <c r="HXK105" s="3"/>
      <c r="HXL105" s="3"/>
      <c r="HXM105" s="3"/>
      <c r="HXN105" s="3"/>
      <c r="HXO105" s="3"/>
      <c r="HXP105" s="3"/>
      <c r="HXQ105" s="3"/>
      <c r="HXR105" s="3"/>
      <c r="HXS105" s="3"/>
      <c r="HXT105" s="3"/>
      <c r="HXU105" s="3"/>
      <c r="HXV105" s="3"/>
      <c r="HXW105" s="3"/>
      <c r="HXX105" s="3"/>
      <c r="HXY105" s="3"/>
      <c r="HXZ105" s="3"/>
      <c r="HYA105" s="3"/>
      <c r="HYB105" s="3"/>
      <c r="HYC105" s="3"/>
      <c r="HYD105" s="3"/>
      <c r="HYE105" s="3"/>
      <c r="HYF105" s="3"/>
      <c r="HYG105" s="3"/>
      <c r="HYH105" s="3"/>
      <c r="HYI105" s="3"/>
      <c r="HYJ105" s="3"/>
      <c r="HYK105" s="3"/>
      <c r="HYL105" s="3"/>
      <c r="HYM105" s="3"/>
      <c r="HYN105" s="3"/>
      <c r="HYO105" s="3"/>
      <c r="HYP105" s="3"/>
      <c r="HYQ105" s="3"/>
      <c r="HYR105" s="3"/>
      <c r="HYS105" s="3"/>
      <c r="HYT105" s="3"/>
      <c r="HYU105" s="3"/>
      <c r="HYV105" s="3"/>
      <c r="HYW105" s="3"/>
      <c r="HYX105" s="3"/>
      <c r="HYY105" s="3"/>
      <c r="HYZ105" s="3"/>
      <c r="HZA105" s="3"/>
      <c r="HZB105" s="3"/>
      <c r="HZC105" s="3"/>
      <c r="HZD105" s="3"/>
      <c r="HZE105" s="3"/>
      <c r="HZF105" s="3"/>
      <c r="HZG105" s="3"/>
      <c r="HZH105" s="3"/>
      <c r="HZI105" s="3"/>
      <c r="HZJ105" s="3"/>
      <c r="HZK105" s="3"/>
      <c r="HZL105" s="3"/>
      <c r="HZM105" s="3"/>
      <c r="HZN105" s="3"/>
      <c r="HZO105" s="3"/>
      <c r="HZP105" s="3"/>
      <c r="HZQ105" s="3"/>
      <c r="HZR105" s="3"/>
      <c r="HZS105" s="3"/>
      <c r="HZT105" s="3"/>
      <c r="HZU105" s="3"/>
      <c r="HZV105" s="3"/>
      <c r="HZW105" s="3"/>
      <c r="HZX105" s="3"/>
      <c r="HZY105" s="3"/>
      <c r="HZZ105" s="3"/>
      <c r="IAA105" s="3"/>
      <c r="IAB105" s="3"/>
      <c r="IAC105" s="3"/>
      <c r="IAD105" s="3"/>
      <c r="IAE105" s="3"/>
      <c r="IAF105" s="3"/>
      <c r="IAG105" s="3"/>
      <c r="IAH105" s="3"/>
      <c r="IAI105" s="3"/>
      <c r="IAJ105" s="3"/>
      <c r="IAK105" s="3"/>
      <c r="IAL105" s="3"/>
      <c r="IAM105" s="3"/>
      <c r="IAN105" s="3"/>
      <c r="IAO105" s="3"/>
      <c r="IAP105" s="3"/>
      <c r="IAQ105" s="3"/>
      <c r="IAR105" s="3"/>
      <c r="IAS105" s="3"/>
      <c r="IAT105" s="3"/>
      <c r="IAU105" s="3"/>
      <c r="IAV105" s="3"/>
      <c r="IAW105" s="3"/>
      <c r="IAX105" s="3"/>
      <c r="IAY105" s="3"/>
      <c r="IAZ105" s="3"/>
      <c r="IBA105" s="3"/>
      <c r="IBB105" s="3"/>
      <c r="IBC105" s="3"/>
      <c r="IBD105" s="3"/>
      <c r="IBE105" s="3"/>
      <c r="IBF105" s="3"/>
      <c r="IBG105" s="3"/>
      <c r="IBH105" s="3"/>
      <c r="IBI105" s="3"/>
      <c r="IBJ105" s="3"/>
      <c r="IBK105" s="3"/>
      <c r="IBL105" s="3"/>
      <c r="IBM105" s="3"/>
      <c r="IBN105" s="3"/>
      <c r="IBO105" s="3"/>
      <c r="IBP105" s="3"/>
      <c r="IBQ105" s="3"/>
      <c r="IBR105" s="3"/>
      <c r="IBS105" s="3"/>
      <c r="IBT105" s="3"/>
      <c r="IBU105" s="3"/>
      <c r="IBV105" s="3"/>
      <c r="IBW105" s="3"/>
      <c r="IBX105" s="3"/>
      <c r="IBY105" s="3"/>
      <c r="IBZ105" s="3"/>
      <c r="ICA105" s="3"/>
      <c r="ICB105" s="3"/>
      <c r="ICC105" s="3"/>
      <c r="ICD105" s="3"/>
      <c r="ICE105" s="3"/>
      <c r="ICF105" s="3"/>
      <c r="ICG105" s="3"/>
      <c r="ICH105" s="3"/>
      <c r="ICI105" s="3"/>
      <c r="ICJ105" s="3"/>
      <c r="ICK105" s="3"/>
      <c r="ICL105" s="3"/>
      <c r="ICM105" s="3"/>
      <c r="ICN105" s="3"/>
      <c r="ICO105" s="3"/>
      <c r="ICP105" s="3"/>
      <c r="ICQ105" s="3"/>
      <c r="ICR105" s="3"/>
      <c r="ICS105" s="3"/>
      <c r="ICT105" s="3"/>
      <c r="ICU105" s="3"/>
      <c r="ICV105" s="3"/>
      <c r="ICW105" s="3"/>
      <c r="ICX105" s="3"/>
      <c r="ICY105" s="3"/>
      <c r="ICZ105" s="3"/>
      <c r="IDA105" s="3"/>
      <c r="IDB105" s="3"/>
      <c r="IDC105" s="3"/>
      <c r="IDD105" s="3"/>
      <c r="IDE105" s="3"/>
      <c r="IDF105" s="3"/>
      <c r="IDG105" s="3"/>
      <c r="IDH105" s="3"/>
      <c r="IDI105" s="3"/>
      <c r="IDJ105" s="3"/>
      <c r="IDK105" s="3"/>
      <c r="IDL105" s="3"/>
      <c r="IDM105" s="3"/>
      <c r="IDN105" s="3"/>
      <c r="IDO105" s="3"/>
      <c r="IDP105" s="3"/>
      <c r="IDQ105" s="3"/>
      <c r="IDR105" s="3"/>
      <c r="IDS105" s="3"/>
      <c r="IDT105" s="3"/>
      <c r="IDU105" s="3"/>
      <c r="IDV105" s="3"/>
      <c r="IDW105" s="3"/>
      <c r="IDX105" s="3"/>
      <c r="IDY105" s="3"/>
      <c r="IDZ105" s="3"/>
      <c r="IEA105" s="3"/>
      <c r="IEB105" s="3"/>
      <c r="IEC105" s="3"/>
      <c r="IED105" s="3"/>
      <c r="IEE105" s="3"/>
      <c r="IEF105" s="3"/>
      <c r="IEG105" s="3"/>
      <c r="IEH105" s="3"/>
      <c r="IEI105" s="3"/>
      <c r="IEJ105" s="3"/>
      <c r="IEK105" s="3"/>
      <c r="IEL105" s="3"/>
      <c r="IEM105" s="3"/>
      <c r="IEN105" s="3"/>
      <c r="IEO105" s="3"/>
      <c r="IEP105" s="3"/>
      <c r="IEQ105" s="3"/>
      <c r="IER105" s="3"/>
      <c r="IES105" s="3"/>
      <c r="IET105" s="3"/>
      <c r="IEU105" s="3"/>
      <c r="IEV105" s="3"/>
      <c r="IEW105" s="3"/>
      <c r="IEX105" s="3"/>
      <c r="IEY105" s="3"/>
      <c r="IEZ105" s="3"/>
      <c r="IFA105" s="3"/>
      <c r="IFB105" s="3"/>
      <c r="IFC105" s="3"/>
      <c r="IFD105" s="3"/>
      <c r="IFE105" s="3"/>
      <c r="IFF105" s="3"/>
      <c r="IFG105" s="3"/>
      <c r="IFH105" s="3"/>
      <c r="IFI105" s="3"/>
      <c r="IFJ105" s="3"/>
      <c r="IFK105" s="3"/>
      <c r="IFL105" s="3"/>
      <c r="IFM105" s="3"/>
      <c r="IFN105" s="3"/>
      <c r="IFO105" s="3"/>
      <c r="IFP105" s="3"/>
      <c r="IFQ105" s="3"/>
      <c r="IFR105" s="3"/>
      <c r="IFS105" s="3"/>
      <c r="IFT105" s="3"/>
      <c r="IFU105" s="3"/>
      <c r="IFV105" s="3"/>
      <c r="IFW105" s="3"/>
      <c r="IFX105" s="3"/>
      <c r="IFY105" s="3"/>
      <c r="IFZ105" s="3"/>
      <c r="IGA105" s="3"/>
      <c r="IGB105" s="3"/>
      <c r="IGC105" s="3"/>
      <c r="IGD105" s="3"/>
      <c r="IGE105" s="3"/>
      <c r="IGF105" s="3"/>
      <c r="IGG105" s="3"/>
      <c r="IGH105" s="3"/>
      <c r="IGI105" s="3"/>
      <c r="IGJ105" s="3"/>
      <c r="IGK105" s="3"/>
      <c r="IGL105" s="3"/>
      <c r="IGM105" s="3"/>
      <c r="IGN105" s="3"/>
      <c r="IGO105" s="3"/>
      <c r="IGP105" s="3"/>
      <c r="IGQ105" s="3"/>
      <c r="IGR105" s="3"/>
      <c r="IGS105" s="3"/>
      <c r="IGT105" s="3"/>
      <c r="IGU105" s="3"/>
      <c r="IGV105" s="3"/>
      <c r="IGW105" s="3"/>
      <c r="IGX105" s="3"/>
      <c r="IGY105" s="3"/>
      <c r="IGZ105" s="3"/>
      <c r="IHA105" s="3"/>
      <c r="IHB105" s="3"/>
      <c r="IHC105" s="3"/>
      <c r="IHD105" s="3"/>
      <c r="IHE105" s="3"/>
      <c r="IHF105" s="3"/>
      <c r="IHG105" s="3"/>
      <c r="IHH105" s="3"/>
      <c r="IHI105" s="3"/>
      <c r="IHJ105" s="3"/>
      <c r="IHK105" s="3"/>
      <c r="IHL105" s="3"/>
      <c r="IHM105" s="3"/>
      <c r="IHN105" s="3"/>
      <c r="IHO105" s="3"/>
      <c r="IHP105" s="3"/>
      <c r="IHQ105" s="3"/>
      <c r="IHR105" s="3"/>
      <c r="IHS105" s="3"/>
      <c r="IHT105" s="3"/>
      <c r="IHU105" s="3"/>
      <c r="IHV105" s="3"/>
      <c r="IHW105" s="3"/>
      <c r="IHX105" s="3"/>
      <c r="IHY105" s="3"/>
      <c r="IHZ105" s="3"/>
      <c r="IIA105" s="3"/>
      <c r="IIB105" s="3"/>
      <c r="IIC105" s="3"/>
      <c r="IID105" s="3"/>
      <c r="IIE105" s="3"/>
      <c r="IIF105" s="3"/>
      <c r="IIG105" s="3"/>
      <c r="IIH105" s="3"/>
      <c r="III105" s="3"/>
      <c r="IIJ105" s="3"/>
      <c r="IIK105" s="3"/>
      <c r="IIL105" s="3"/>
      <c r="IIM105" s="3"/>
      <c r="IIN105" s="3"/>
      <c r="IIO105" s="3"/>
      <c r="IIP105" s="3"/>
      <c r="IIQ105" s="3"/>
      <c r="IIR105" s="3"/>
      <c r="IIS105" s="3"/>
      <c r="IIT105" s="3"/>
      <c r="IIU105" s="3"/>
      <c r="IIV105" s="3"/>
      <c r="IIW105" s="3"/>
      <c r="IIX105" s="3"/>
      <c r="IIY105" s="3"/>
      <c r="IIZ105" s="3"/>
      <c r="IJA105" s="3"/>
      <c r="IJB105" s="3"/>
      <c r="IJC105" s="3"/>
      <c r="IJD105" s="3"/>
      <c r="IJE105" s="3"/>
      <c r="IJF105" s="3"/>
      <c r="IJG105" s="3"/>
      <c r="IJH105" s="3"/>
      <c r="IJI105" s="3"/>
      <c r="IJJ105" s="3"/>
      <c r="IJK105" s="3"/>
      <c r="IJL105" s="3"/>
      <c r="IJM105" s="3"/>
      <c r="IJN105" s="3"/>
      <c r="IJO105" s="3"/>
      <c r="IJP105" s="3"/>
      <c r="IJQ105" s="3"/>
      <c r="IJR105" s="3"/>
      <c r="IJS105" s="3"/>
      <c r="IJT105" s="3"/>
      <c r="IJU105" s="3"/>
      <c r="IJV105" s="3"/>
      <c r="IJW105" s="3"/>
      <c r="IJX105" s="3"/>
      <c r="IJY105" s="3"/>
      <c r="IJZ105" s="3"/>
      <c r="IKA105" s="3"/>
      <c r="IKB105" s="3"/>
      <c r="IKC105" s="3"/>
      <c r="IKD105" s="3"/>
      <c r="IKE105" s="3"/>
      <c r="IKF105" s="3"/>
      <c r="IKG105" s="3"/>
      <c r="IKH105" s="3"/>
      <c r="IKI105" s="3"/>
      <c r="IKJ105" s="3"/>
      <c r="IKK105" s="3"/>
      <c r="IKL105" s="3"/>
      <c r="IKM105" s="3"/>
      <c r="IKN105" s="3"/>
      <c r="IKO105" s="3"/>
      <c r="IKP105" s="3"/>
      <c r="IKQ105" s="3"/>
      <c r="IKR105" s="3"/>
      <c r="IKS105" s="3"/>
      <c r="IKT105" s="3"/>
      <c r="IKU105" s="3"/>
      <c r="IKV105" s="3"/>
      <c r="IKW105" s="3"/>
      <c r="IKX105" s="3"/>
      <c r="IKY105" s="3"/>
      <c r="IKZ105" s="3"/>
      <c r="ILA105" s="3"/>
      <c r="ILB105" s="3"/>
      <c r="ILC105" s="3"/>
      <c r="ILD105" s="3"/>
      <c r="ILE105" s="3"/>
      <c r="ILF105" s="3"/>
      <c r="ILG105" s="3"/>
      <c r="ILH105" s="3"/>
      <c r="ILI105" s="3"/>
      <c r="ILJ105" s="3"/>
      <c r="ILK105" s="3"/>
      <c r="ILL105" s="3"/>
      <c r="ILM105" s="3"/>
      <c r="ILN105" s="3"/>
      <c r="ILO105" s="3"/>
      <c r="ILP105" s="3"/>
      <c r="ILQ105" s="3"/>
      <c r="ILR105" s="3"/>
      <c r="ILS105" s="3"/>
      <c r="ILT105" s="3"/>
      <c r="ILU105" s="3"/>
      <c r="ILV105" s="3"/>
      <c r="ILW105" s="3"/>
      <c r="ILX105" s="3"/>
      <c r="ILY105" s="3"/>
      <c r="ILZ105" s="3"/>
      <c r="IMA105" s="3"/>
      <c r="IMB105" s="3"/>
      <c r="IMC105" s="3"/>
      <c r="IMD105" s="3"/>
      <c r="IME105" s="3"/>
      <c r="IMF105" s="3"/>
      <c r="IMG105" s="3"/>
      <c r="IMH105" s="3"/>
      <c r="IMI105" s="3"/>
      <c r="IMJ105" s="3"/>
      <c r="IMK105" s="3"/>
      <c r="IML105" s="3"/>
      <c r="IMM105" s="3"/>
      <c r="IMN105" s="3"/>
      <c r="IMO105" s="3"/>
      <c r="IMP105" s="3"/>
      <c r="IMQ105" s="3"/>
      <c r="IMR105" s="3"/>
      <c r="IMS105" s="3"/>
      <c r="IMT105" s="3"/>
      <c r="IMU105" s="3"/>
      <c r="IMV105" s="3"/>
      <c r="IMW105" s="3"/>
      <c r="IMX105" s="3"/>
      <c r="IMY105" s="3"/>
      <c r="IMZ105" s="3"/>
      <c r="INA105" s="3"/>
      <c r="INB105" s="3"/>
      <c r="INC105" s="3"/>
      <c r="IND105" s="3"/>
      <c r="INE105" s="3"/>
      <c r="INF105" s="3"/>
      <c r="ING105" s="3"/>
      <c r="INH105" s="3"/>
      <c r="INI105" s="3"/>
      <c r="INJ105" s="3"/>
      <c r="INK105" s="3"/>
      <c r="INL105" s="3"/>
      <c r="INM105" s="3"/>
      <c r="INN105" s="3"/>
      <c r="INO105" s="3"/>
      <c r="INP105" s="3"/>
      <c r="INQ105" s="3"/>
      <c r="INR105" s="3"/>
      <c r="INS105" s="3"/>
      <c r="INT105" s="3"/>
      <c r="INU105" s="3"/>
      <c r="INV105" s="3"/>
      <c r="INW105" s="3"/>
      <c r="INX105" s="3"/>
      <c r="INY105" s="3"/>
      <c r="INZ105" s="3"/>
      <c r="IOA105" s="3"/>
      <c r="IOB105" s="3"/>
      <c r="IOC105" s="3"/>
      <c r="IOD105" s="3"/>
      <c r="IOE105" s="3"/>
      <c r="IOF105" s="3"/>
      <c r="IOG105" s="3"/>
      <c r="IOH105" s="3"/>
      <c r="IOI105" s="3"/>
      <c r="IOJ105" s="3"/>
      <c r="IOK105" s="3"/>
      <c r="IOL105" s="3"/>
      <c r="IOM105" s="3"/>
      <c r="ION105" s="3"/>
      <c r="IOO105" s="3"/>
      <c r="IOP105" s="3"/>
      <c r="IOQ105" s="3"/>
      <c r="IOR105" s="3"/>
      <c r="IOS105" s="3"/>
      <c r="IOT105" s="3"/>
      <c r="IOU105" s="3"/>
      <c r="IOV105" s="3"/>
      <c r="IOW105" s="3"/>
      <c r="IOX105" s="3"/>
      <c r="IOY105" s="3"/>
      <c r="IOZ105" s="3"/>
      <c r="IPA105" s="3"/>
      <c r="IPB105" s="3"/>
      <c r="IPC105" s="3"/>
      <c r="IPD105" s="3"/>
      <c r="IPE105" s="3"/>
      <c r="IPF105" s="3"/>
      <c r="IPG105" s="3"/>
      <c r="IPH105" s="3"/>
      <c r="IPI105" s="3"/>
      <c r="IPJ105" s="3"/>
      <c r="IPK105" s="3"/>
      <c r="IPL105" s="3"/>
      <c r="IPM105" s="3"/>
      <c r="IPN105" s="3"/>
      <c r="IPO105" s="3"/>
      <c r="IPP105" s="3"/>
      <c r="IPQ105" s="3"/>
      <c r="IPR105" s="3"/>
      <c r="IPS105" s="3"/>
      <c r="IPT105" s="3"/>
      <c r="IPU105" s="3"/>
      <c r="IPV105" s="3"/>
      <c r="IPW105" s="3"/>
      <c r="IPX105" s="3"/>
      <c r="IPY105" s="3"/>
      <c r="IPZ105" s="3"/>
      <c r="IQA105" s="3"/>
      <c r="IQB105" s="3"/>
      <c r="IQC105" s="3"/>
      <c r="IQD105" s="3"/>
      <c r="IQE105" s="3"/>
      <c r="IQF105" s="3"/>
      <c r="IQG105" s="3"/>
      <c r="IQH105" s="3"/>
      <c r="IQI105" s="3"/>
      <c r="IQJ105" s="3"/>
      <c r="IQK105" s="3"/>
      <c r="IQL105" s="3"/>
      <c r="IQM105" s="3"/>
      <c r="IQN105" s="3"/>
      <c r="IQO105" s="3"/>
      <c r="IQP105" s="3"/>
      <c r="IQQ105" s="3"/>
      <c r="IQR105" s="3"/>
      <c r="IQS105" s="3"/>
      <c r="IQT105" s="3"/>
      <c r="IQU105" s="3"/>
      <c r="IQV105" s="3"/>
      <c r="IQW105" s="3"/>
      <c r="IQX105" s="3"/>
      <c r="IQY105" s="3"/>
      <c r="IQZ105" s="3"/>
      <c r="IRA105" s="3"/>
      <c r="IRB105" s="3"/>
      <c r="IRC105" s="3"/>
      <c r="IRD105" s="3"/>
      <c r="IRE105" s="3"/>
      <c r="IRF105" s="3"/>
      <c r="IRG105" s="3"/>
      <c r="IRH105" s="3"/>
      <c r="IRI105" s="3"/>
      <c r="IRJ105" s="3"/>
      <c r="IRK105" s="3"/>
      <c r="IRL105" s="3"/>
      <c r="IRM105" s="3"/>
      <c r="IRN105" s="3"/>
      <c r="IRO105" s="3"/>
      <c r="IRP105" s="3"/>
      <c r="IRQ105" s="3"/>
      <c r="IRR105" s="3"/>
      <c r="IRS105" s="3"/>
      <c r="IRT105" s="3"/>
      <c r="IRU105" s="3"/>
      <c r="IRV105" s="3"/>
      <c r="IRW105" s="3"/>
      <c r="IRX105" s="3"/>
      <c r="IRY105" s="3"/>
      <c r="IRZ105" s="3"/>
      <c r="ISA105" s="3"/>
      <c r="ISB105" s="3"/>
      <c r="ISC105" s="3"/>
      <c r="ISD105" s="3"/>
      <c r="ISE105" s="3"/>
      <c r="ISF105" s="3"/>
      <c r="ISG105" s="3"/>
      <c r="ISH105" s="3"/>
      <c r="ISI105" s="3"/>
      <c r="ISJ105" s="3"/>
      <c r="ISK105" s="3"/>
      <c r="ISL105" s="3"/>
      <c r="ISM105" s="3"/>
      <c r="ISN105" s="3"/>
      <c r="ISO105" s="3"/>
      <c r="ISP105" s="3"/>
      <c r="ISQ105" s="3"/>
      <c r="ISR105" s="3"/>
      <c r="ISS105" s="3"/>
      <c r="IST105" s="3"/>
      <c r="ISU105" s="3"/>
      <c r="ISV105" s="3"/>
      <c r="ISW105" s="3"/>
      <c r="ISX105" s="3"/>
      <c r="ISY105" s="3"/>
      <c r="ISZ105" s="3"/>
      <c r="ITA105" s="3"/>
      <c r="ITB105" s="3"/>
      <c r="ITC105" s="3"/>
      <c r="ITD105" s="3"/>
      <c r="ITE105" s="3"/>
      <c r="ITF105" s="3"/>
      <c r="ITG105" s="3"/>
      <c r="ITH105" s="3"/>
      <c r="ITI105" s="3"/>
      <c r="ITJ105" s="3"/>
      <c r="ITK105" s="3"/>
      <c r="ITL105" s="3"/>
      <c r="ITM105" s="3"/>
      <c r="ITN105" s="3"/>
      <c r="ITO105" s="3"/>
      <c r="ITP105" s="3"/>
      <c r="ITQ105" s="3"/>
      <c r="ITR105" s="3"/>
      <c r="ITS105" s="3"/>
      <c r="ITT105" s="3"/>
      <c r="ITU105" s="3"/>
      <c r="ITV105" s="3"/>
      <c r="ITW105" s="3"/>
      <c r="ITX105" s="3"/>
      <c r="ITY105" s="3"/>
      <c r="ITZ105" s="3"/>
      <c r="IUA105" s="3"/>
      <c r="IUB105" s="3"/>
      <c r="IUC105" s="3"/>
      <c r="IUD105" s="3"/>
      <c r="IUE105" s="3"/>
      <c r="IUF105" s="3"/>
      <c r="IUG105" s="3"/>
      <c r="IUH105" s="3"/>
      <c r="IUI105" s="3"/>
      <c r="IUJ105" s="3"/>
      <c r="IUK105" s="3"/>
      <c r="IUL105" s="3"/>
      <c r="IUM105" s="3"/>
      <c r="IUN105" s="3"/>
      <c r="IUO105" s="3"/>
      <c r="IUP105" s="3"/>
      <c r="IUQ105" s="3"/>
      <c r="IUR105" s="3"/>
      <c r="IUS105" s="3"/>
      <c r="IUT105" s="3"/>
      <c r="IUU105" s="3"/>
      <c r="IUV105" s="3"/>
      <c r="IUW105" s="3"/>
      <c r="IUX105" s="3"/>
      <c r="IUY105" s="3"/>
      <c r="IUZ105" s="3"/>
      <c r="IVA105" s="3"/>
      <c r="IVB105" s="3"/>
      <c r="IVC105" s="3"/>
      <c r="IVD105" s="3"/>
      <c r="IVE105" s="3"/>
      <c r="IVF105" s="3"/>
      <c r="IVG105" s="3"/>
      <c r="IVH105" s="3"/>
      <c r="IVI105" s="3"/>
      <c r="IVJ105" s="3"/>
      <c r="IVK105" s="3"/>
      <c r="IVL105" s="3"/>
      <c r="IVM105" s="3"/>
      <c r="IVN105" s="3"/>
      <c r="IVO105" s="3"/>
      <c r="IVP105" s="3"/>
      <c r="IVQ105" s="3"/>
      <c r="IVR105" s="3"/>
      <c r="IVS105" s="3"/>
      <c r="IVT105" s="3"/>
      <c r="IVU105" s="3"/>
      <c r="IVV105" s="3"/>
      <c r="IVW105" s="3"/>
      <c r="IVX105" s="3"/>
      <c r="IVY105" s="3"/>
      <c r="IVZ105" s="3"/>
      <c r="IWA105" s="3"/>
      <c r="IWB105" s="3"/>
      <c r="IWC105" s="3"/>
      <c r="IWD105" s="3"/>
      <c r="IWE105" s="3"/>
      <c r="IWF105" s="3"/>
      <c r="IWG105" s="3"/>
      <c r="IWH105" s="3"/>
      <c r="IWI105" s="3"/>
      <c r="IWJ105" s="3"/>
      <c r="IWK105" s="3"/>
      <c r="IWL105" s="3"/>
      <c r="IWM105" s="3"/>
      <c r="IWN105" s="3"/>
      <c r="IWO105" s="3"/>
      <c r="IWP105" s="3"/>
      <c r="IWQ105" s="3"/>
      <c r="IWR105" s="3"/>
      <c r="IWS105" s="3"/>
      <c r="IWT105" s="3"/>
      <c r="IWU105" s="3"/>
      <c r="IWV105" s="3"/>
      <c r="IWW105" s="3"/>
      <c r="IWX105" s="3"/>
      <c r="IWY105" s="3"/>
      <c r="IWZ105" s="3"/>
      <c r="IXA105" s="3"/>
      <c r="IXB105" s="3"/>
      <c r="IXC105" s="3"/>
      <c r="IXD105" s="3"/>
      <c r="IXE105" s="3"/>
      <c r="IXF105" s="3"/>
      <c r="IXG105" s="3"/>
      <c r="IXH105" s="3"/>
      <c r="IXI105" s="3"/>
      <c r="IXJ105" s="3"/>
      <c r="IXK105" s="3"/>
      <c r="IXL105" s="3"/>
      <c r="IXM105" s="3"/>
      <c r="IXN105" s="3"/>
      <c r="IXO105" s="3"/>
      <c r="IXP105" s="3"/>
      <c r="IXQ105" s="3"/>
      <c r="IXR105" s="3"/>
      <c r="IXS105" s="3"/>
      <c r="IXT105" s="3"/>
      <c r="IXU105" s="3"/>
      <c r="IXV105" s="3"/>
      <c r="IXW105" s="3"/>
      <c r="IXX105" s="3"/>
      <c r="IXY105" s="3"/>
      <c r="IXZ105" s="3"/>
      <c r="IYA105" s="3"/>
      <c r="IYB105" s="3"/>
      <c r="IYC105" s="3"/>
      <c r="IYD105" s="3"/>
      <c r="IYE105" s="3"/>
      <c r="IYF105" s="3"/>
      <c r="IYG105" s="3"/>
      <c r="IYH105" s="3"/>
      <c r="IYI105" s="3"/>
      <c r="IYJ105" s="3"/>
      <c r="IYK105" s="3"/>
      <c r="IYL105" s="3"/>
      <c r="IYM105" s="3"/>
      <c r="IYN105" s="3"/>
      <c r="IYO105" s="3"/>
      <c r="IYP105" s="3"/>
      <c r="IYQ105" s="3"/>
      <c r="IYR105" s="3"/>
      <c r="IYS105" s="3"/>
      <c r="IYT105" s="3"/>
      <c r="IYU105" s="3"/>
      <c r="IYV105" s="3"/>
      <c r="IYW105" s="3"/>
      <c r="IYX105" s="3"/>
      <c r="IYY105" s="3"/>
      <c r="IYZ105" s="3"/>
      <c r="IZA105" s="3"/>
      <c r="IZB105" s="3"/>
      <c r="IZC105" s="3"/>
      <c r="IZD105" s="3"/>
      <c r="IZE105" s="3"/>
      <c r="IZF105" s="3"/>
      <c r="IZG105" s="3"/>
      <c r="IZH105" s="3"/>
      <c r="IZI105" s="3"/>
      <c r="IZJ105" s="3"/>
      <c r="IZK105" s="3"/>
      <c r="IZL105" s="3"/>
      <c r="IZM105" s="3"/>
      <c r="IZN105" s="3"/>
      <c r="IZO105" s="3"/>
      <c r="IZP105" s="3"/>
      <c r="IZQ105" s="3"/>
      <c r="IZR105" s="3"/>
      <c r="IZS105" s="3"/>
      <c r="IZT105" s="3"/>
      <c r="IZU105" s="3"/>
      <c r="IZV105" s="3"/>
      <c r="IZW105" s="3"/>
      <c r="IZX105" s="3"/>
      <c r="IZY105" s="3"/>
      <c r="IZZ105" s="3"/>
      <c r="JAA105" s="3"/>
      <c r="JAB105" s="3"/>
      <c r="JAC105" s="3"/>
      <c r="JAD105" s="3"/>
      <c r="JAE105" s="3"/>
      <c r="JAF105" s="3"/>
      <c r="JAG105" s="3"/>
      <c r="JAH105" s="3"/>
      <c r="JAI105" s="3"/>
      <c r="JAJ105" s="3"/>
      <c r="JAK105" s="3"/>
      <c r="JAL105" s="3"/>
      <c r="JAM105" s="3"/>
      <c r="JAN105" s="3"/>
      <c r="JAO105" s="3"/>
      <c r="JAP105" s="3"/>
      <c r="JAQ105" s="3"/>
      <c r="JAR105" s="3"/>
      <c r="JAS105" s="3"/>
      <c r="JAT105" s="3"/>
      <c r="JAU105" s="3"/>
      <c r="JAV105" s="3"/>
      <c r="JAW105" s="3"/>
      <c r="JAX105" s="3"/>
      <c r="JAY105" s="3"/>
      <c r="JAZ105" s="3"/>
      <c r="JBA105" s="3"/>
      <c r="JBB105" s="3"/>
      <c r="JBC105" s="3"/>
      <c r="JBD105" s="3"/>
      <c r="JBE105" s="3"/>
      <c r="JBF105" s="3"/>
      <c r="JBG105" s="3"/>
      <c r="JBH105" s="3"/>
      <c r="JBI105" s="3"/>
      <c r="JBJ105" s="3"/>
      <c r="JBK105" s="3"/>
      <c r="JBL105" s="3"/>
      <c r="JBM105" s="3"/>
      <c r="JBN105" s="3"/>
      <c r="JBO105" s="3"/>
      <c r="JBP105" s="3"/>
      <c r="JBQ105" s="3"/>
      <c r="JBR105" s="3"/>
      <c r="JBS105" s="3"/>
      <c r="JBT105" s="3"/>
      <c r="JBU105" s="3"/>
      <c r="JBV105" s="3"/>
      <c r="JBW105" s="3"/>
      <c r="JBX105" s="3"/>
      <c r="JBY105" s="3"/>
      <c r="JBZ105" s="3"/>
      <c r="JCA105" s="3"/>
      <c r="JCB105" s="3"/>
      <c r="JCC105" s="3"/>
      <c r="JCD105" s="3"/>
      <c r="JCE105" s="3"/>
      <c r="JCF105" s="3"/>
      <c r="JCG105" s="3"/>
      <c r="JCH105" s="3"/>
      <c r="JCI105" s="3"/>
      <c r="JCJ105" s="3"/>
      <c r="JCK105" s="3"/>
      <c r="JCL105" s="3"/>
      <c r="JCM105" s="3"/>
      <c r="JCN105" s="3"/>
      <c r="JCO105" s="3"/>
      <c r="JCP105" s="3"/>
      <c r="JCQ105" s="3"/>
      <c r="JCR105" s="3"/>
      <c r="JCS105" s="3"/>
      <c r="JCT105" s="3"/>
      <c r="JCU105" s="3"/>
      <c r="JCV105" s="3"/>
      <c r="JCW105" s="3"/>
      <c r="JCX105" s="3"/>
      <c r="JCY105" s="3"/>
      <c r="JCZ105" s="3"/>
      <c r="JDA105" s="3"/>
      <c r="JDB105" s="3"/>
      <c r="JDC105" s="3"/>
      <c r="JDD105" s="3"/>
      <c r="JDE105" s="3"/>
      <c r="JDF105" s="3"/>
      <c r="JDG105" s="3"/>
      <c r="JDH105" s="3"/>
      <c r="JDI105" s="3"/>
      <c r="JDJ105" s="3"/>
      <c r="JDK105" s="3"/>
      <c r="JDL105" s="3"/>
      <c r="JDM105" s="3"/>
      <c r="JDN105" s="3"/>
      <c r="JDO105" s="3"/>
      <c r="JDP105" s="3"/>
      <c r="JDQ105" s="3"/>
      <c r="JDR105" s="3"/>
      <c r="JDS105" s="3"/>
      <c r="JDT105" s="3"/>
      <c r="JDU105" s="3"/>
      <c r="JDV105" s="3"/>
      <c r="JDW105" s="3"/>
      <c r="JDX105" s="3"/>
      <c r="JDY105" s="3"/>
      <c r="JDZ105" s="3"/>
      <c r="JEA105" s="3"/>
      <c r="JEB105" s="3"/>
      <c r="JEC105" s="3"/>
      <c r="JED105" s="3"/>
      <c r="JEE105" s="3"/>
      <c r="JEF105" s="3"/>
      <c r="JEG105" s="3"/>
      <c r="JEH105" s="3"/>
      <c r="JEI105" s="3"/>
      <c r="JEJ105" s="3"/>
      <c r="JEK105" s="3"/>
      <c r="JEL105" s="3"/>
      <c r="JEM105" s="3"/>
      <c r="JEN105" s="3"/>
      <c r="JEO105" s="3"/>
      <c r="JEP105" s="3"/>
      <c r="JEQ105" s="3"/>
      <c r="JER105" s="3"/>
      <c r="JES105" s="3"/>
      <c r="JET105" s="3"/>
      <c r="JEU105" s="3"/>
      <c r="JEV105" s="3"/>
      <c r="JEW105" s="3"/>
      <c r="JEX105" s="3"/>
      <c r="JEY105" s="3"/>
      <c r="JEZ105" s="3"/>
      <c r="JFA105" s="3"/>
      <c r="JFB105" s="3"/>
      <c r="JFC105" s="3"/>
      <c r="JFD105" s="3"/>
      <c r="JFE105" s="3"/>
      <c r="JFF105" s="3"/>
      <c r="JFG105" s="3"/>
      <c r="JFH105" s="3"/>
      <c r="JFI105" s="3"/>
      <c r="JFJ105" s="3"/>
      <c r="JFK105" s="3"/>
      <c r="JFL105" s="3"/>
      <c r="JFM105" s="3"/>
      <c r="JFN105" s="3"/>
      <c r="JFO105" s="3"/>
      <c r="JFP105" s="3"/>
      <c r="JFQ105" s="3"/>
      <c r="JFR105" s="3"/>
      <c r="JFS105" s="3"/>
      <c r="JFT105" s="3"/>
      <c r="JFU105" s="3"/>
      <c r="JFV105" s="3"/>
      <c r="JFW105" s="3"/>
      <c r="JFX105" s="3"/>
      <c r="JFY105" s="3"/>
      <c r="JFZ105" s="3"/>
      <c r="JGA105" s="3"/>
      <c r="JGB105" s="3"/>
      <c r="JGC105" s="3"/>
      <c r="JGD105" s="3"/>
      <c r="JGE105" s="3"/>
      <c r="JGF105" s="3"/>
      <c r="JGG105" s="3"/>
      <c r="JGH105" s="3"/>
      <c r="JGI105" s="3"/>
      <c r="JGJ105" s="3"/>
      <c r="JGK105" s="3"/>
      <c r="JGL105" s="3"/>
      <c r="JGM105" s="3"/>
      <c r="JGN105" s="3"/>
      <c r="JGO105" s="3"/>
      <c r="JGP105" s="3"/>
      <c r="JGQ105" s="3"/>
      <c r="JGR105" s="3"/>
      <c r="JGS105" s="3"/>
      <c r="JGT105" s="3"/>
      <c r="JGU105" s="3"/>
      <c r="JGV105" s="3"/>
      <c r="JGW105" s="3"/>
      <c r="JGX105" s="3"/>
      <c r="JGY105" s="3"/>
      <c r="JGZ105" s="3"/>
      <c r="JHA105" s="3"/>
      <c r="JHB105" s="3"/>
      <c r="JHC105" s="3"/>
      <c r="JHD105" s="3"/>
      <c r="JHE105" s="3"/>
      <c r="JHF105" s="3"/>
      <c r="JHG105" s="3"/>
      <c r="JHH105" s="3"/>
      <c r="JHI105" s="3"/>
      <c r="JHJ105" s="3"/>
      <c r="JHK105" s="3"/>
      <c r="JHL105" s="3"/>
      <c r="JHM105" s="3"/>
      <c r="JHN105" s="3"/>
      <c r="JHO105" s="3"/>
      <c r="JHP105" s="3"/>
      <c r="JHQ105" s="3"/>
      <c r="JHR105" s="3"/>
      <c r="JHS105" s="3"/>
      <c r="JHT105" s="3"/>
      <c r="JHU105" s="3"/>
      <c r="JHV105" s="3"/>
      <c r="JHW105" s="3"/>
      <c r="JHX105" s="3"/>
      <c r="JHY105" s="3"/>
      <c r="JHZ105" s="3"/>
      <c r="JIA105" s="3"/>
      <c r="JIB105" s="3"/>
      <c r="JIC105" s="3"/>
      <c r="JID105" s="3"/>
      <c r="JIE105" s="3"/>
      <c r="JIF105" s="3"/>
      <c r="JIG105" s="3"/>
      <c r="JIH105" s="3"/>
      <c r="JII105" s="3"/>
      <c r="JIJ105" s="3"/>
      <c r="JIK105" s="3"/>
      <c r="JIL105" s="3"/>
      <c r="JIM105" s="3"/>
      <c r="JIN105" s="3"/>
      <c r="JIO105" s="3"/>
      <c r="JIP105" s="3"/>
      <c r="JIQ105" s="3"/>
      <c r="JIR105" s="3"/>
      <c r="JIS105" s="3"/>
      <c r="JIT105" s="3"/>
      <c r="JIU105" s="3"/>
      <c r="JIV105" s="3"/>
      <c r="JIW105" s="3"/>
      <c r="JIX105" s="3"/>
      <c r="JIY105" s="3"/>
      <c r="JIZ105" s="3"/>
      <c r="JJA105" s="3"/>
      <c r="JJB105" s="3"/>
      <c r="JJC105" s="3"/>
      <c r="JJD105" s="3"/>
      <c r="JJE105" s="3"/>
      <c r="JJF105" s="3"/>
      <c r="JJG105" s="3"/>
      <c r="JJH105" s="3"/>
      <c r="JJI105" s="3"/>
      <c r="JJJ105" s="3"/>
      <c r="JJK105" s="3"/>
      <c r="JJL105" s="3"/>
      <c r="JJM105" s="3"/>
      <c r="JJN105" s="3"/>
      <c r="JJO105" s="3"/>
      <c r="JJP105" s="3"/>
      <c r="JJQ105" s="3"/>
      <c r="JJR105" s="3"/>
      <c r="JJS105" s="3"/>
      <c r="JJT105" s="3"/>
      <c r="JJU105" s="3"/>
      <c r="JJV105" s="3"/>
      <c r="JJW105" s="3"/>
      <c r="JJX105" s="3"/>
      <c r="JJY105" s="3"/>
      <c r="JJZ105" s="3"/>
      <c r="JKA105" s="3"/>
      <c r="JKB105" s="3"/>
      <c r="JKC105" s="3"/>
      <c r="JKD105" s="3"/>
      <c r="JKE105" s="3"/>
      <c r="JKF105" s="3"/>
      <c r="JKG105" s="3"/>
      <c r="JKH105" s="3"/>
      <c r="JKI105" s="3"/>
      <c r="JKJ105" s="3"/>
      <c r="JKK105" s="3"/>
      <c r="JKL105" s="3"/>
      <c r="JKM105" s="3"/>
      <c r="JKN105" s="3"/>
      <c r="JKO105" s="3"/>
      <c r="JKP105" s="3"/>
      <c r="JKQ105" s="3"/>
      <c r="JKR105" s="3"/>
      <c r="JKS105" s="3"/>
      <c r="JKT105" s="3"/>
      <c r="JKU105" s="3"/>
      <c r="JKV105" s="3"/>
      <c r="JKW105" s="3"/>
      <c r="JKX105" s="3"/>
      <c r="JKY105" s="3"/>
      <c r="JKZ105" s="3"/>
      <c r="JLA105" s="3"/>
      <c r="JLB105" s="3"/>
      <c r="JLC105" s="3"/>
      <c r="JLD105" s="3"/>
      <c r="JLE105" s="3"/>
      <c r="JLF105" s="3"/>
      <c r="JLG105" s="3"/>
      <c r="JLH105" s="3"/>
      <c r="JLI105" s="3"/>
      <c r="JLJ105" s="3"/>
      <c r="JLK105" s="3"/>
      <c r="JLL105" s="3"/>
      <c r="JLM105" s="3"/>
      <c r="JLN105" s="3"/>
      <c r="JLO105" s="3"/>
      <c r="JLP105" s="3"/>
      <c r="JLQ105" s="3"/>
      <c r="JLR105" s="3"/>
      <c r="JLS105" s="3"/>
      <c r="JLT105" s="3"/>
      <c r="JLU105" s="3"/>
      <c r="JLV105" s="3"/>
      <c r="JLW105" s="3"/>
      <c r="JLX105" s="3"/>
      <c r="JLY105" s="3"/>
      <c r="JLZ105" s="3"/>
      <c r="JMA105" s="3"/>
      <c r="JMB105" s="3"/>
      <c r="JMC105" s="3"/>
      <c r="JMD105" s="3"/>
      <c r="JME105" s="3"/>
      <c r="JMF105" s="3"/>
      <c r="JMG105" s="3"/>
      <c r="JMH105" s="3"/>
      <c r="JMI105" s="3"/>
      <c r="JMJ105" s="3"/>
      <c r="JMK105" s="3"/>
      <c r="JML105" s="3"/>
      <c r="JMM105" s="3"/>
      <c r="JMN105" s="3"/>
      <c r="JMO105" s="3"/>
      <c r="JMP105" s="3"/>
      <c r="JMQ105" s="3"/>
      <c r="JMR105" s="3"/>
      <c r="JMS105" s="3"/>
      <c r="JMT105" s="3"/>
      <c r="JMU105" s="3"/>
      <c r="JMV105" s="3"/>
      <c r="JMW105" s="3"/>
      <c r="JMX105" s="3"/>
      <c r="JMY105" s="3"/>
      <c r="JMZ105" s="3"/>
      <c r="JNA105" s="3"/>
      <c r="JNB105" s="3"/>
      <c r="JNC105" s="3"/>
      <c r="JND105" s="3"/>
      <c r="JNE105" s="3"/>
      <c r="JNF105" s="3"/>
      <c r="JNG105" s="3"/>
      <c r="JNH105" s="3"/>
      <c r="JNI105" s="3"/>
      <c r="JNJ105" s="3"/>
      <c r="JNK105" s="3"/>
      <c r="JNL105" s="3"/>
      <c r="JNM105" s="3"/>
      <c r="JNN105" s="3"/>
      <c r="JNO105" s="3"/>
      <c r="JNP105" s="3"/>
      <c r="JNQ105" s="3"/>
      <c r="JNR105" s="3"/>
      <c r="JNS105" s="3"/>
      <c r="JNT105" s="3"/>
      <c r="JNU105" s="3"/>
      <c r="JNV105" s="3"/>
      <c r="JNW105" s="3"/>
      <c r="JNX105" s="3"/>
      <c r="JNY105" s="3"/>
      <c r="JNZ105" s="3"/>
      <c r="JOA105" s="3"/>
      <c r="JOB105" s="3"/>
      <c r="JOC105" s="3"/>
      <c r="JOD105" s="3"/>
      <c r="JOE105" s="3"/>
      <c r="JOF105" s="3"/>
      <c r="JOG105" s="3"/>
      <c r="JOH105" s="3"/>
      <c r="JOI105" s="3"/>
      <c r="JOJ105" s="3"/>
      <c r="JOK105" s="3"/>
      <c r="JOL105" s="3"/>
      <c r="JOM105" s="3"/>
      <c r="JON105" s="3"/>
      <c r="JOO105" s="3"/>
      <c r="JOP105" s="3"/>
      <c r="JOQ105" s="3"/>
      <c r="JOR105" s="3"/>
      <c r="JOS105" s="3"/>
      <c r="JOT105" s="3"/>
      <c r="JOU105" s="3"/>
      <c r="JOV105" s="3"/>
      <c r="JOW105" s="3"/>
      <c r="JOX105" s="3"/>
      <c r="JOY105" s="3"/>
      <c r="JOZ105" s="3"/>
      <c r="JPA105" s="3"/>
      <c r="JPB105" s="3"/>
      <c r="JPC105" s="3"/>
      <c r="JPD105" s="3"/>
      <c r="JPE105" s="3"/>
      <c r="JPF105" s="3"/>
      <c r="JPG105" s="3"/>
      <c r="JPH105" s="3"/>
      <c r="JPI105" s="3"/>
      <c r="JPJ105" s="3"/>
      <c r="JPK105" s="3"/>
      <c r="JPL105" s="3"/>
      <c r="JPM105" s="3"/>
      <c r="JPN105" s="3"/>
      <c r="JPO105" s="3"/>
      <c r="JPP105" s="3"/>
      <c r="JPQ105" s="3"/>
      <c r="JPR105" s="3"/>
      <c r="JPS105" s="3"/>
      <c r="JPT105" s="3"/>
      <c r="JPU105" s="3"/>
      <c r="JPV105" s="3"/>
      <c r="JPW105" s="3"/>
      <c r="JPX105" s="3"/>
      <c r="JPY105" s="3"/>
      <c r="JPZ105" s="3"/>
      <c r="JQA105" s="3"/>
      <c r="JQB105" s="3"/>
      <c r="JQC105" s="3"/>
      <c r="JQD105" s="3"/>
      <c r="JQE105" s="3"/>
      <c r="JQF105" s="3"/>
      <c r="JQG105" s="3"/>
      <c r="JQH105" s="3"/>
      <c r="JQI105" s="3"/>
      <c r="JQJ105" s="3"/>
      <c r="JQK105" s="3"/>
      <c r="JQL105" s="3"/>
      <c r="JQM105" s="3"/>
      <c r="JQN105" s="3"/>
      <c r="JQO105" s="3"/>
      <c r="JQP105" s="3"/>
      <c r="JQQ105" s="3"/>
      <c r="JQR105" s="3"/>
      <c r="JQS105" s="3"/>
      <c r="JQT105" s="3"/>
      <c r="JQU105" s="3"/>
      <c r="JQV105" s="3"/>
      <c r="JQW105" s="3"/>
      <c r="JQX105" s="3"/>
      <c r="JQY105" s="3"/>
      <c r="JQZ105" s="3"/>
      <c r="JRA105" s="3"/>
      <c r="JRB105" s="3"/>
      <c r="JRC105" s="3"/>
      <c r="JRD105" s="3"/>
      <c r="JRE105" s="3"/>
      <c r="JRF105" s="3"/>
      <c r="JRG105" s="3"/>
      <c r="JRH105" s="3"/>
      <c r="JRI105" s="3"/>
      <c r="JRJ105" s="3"/>
      <c r="JRK105" s="3"/>
      <c r="JRL105" s="3"/>
      <c r="JRM105" s="3"/>
      <c r="JRN105" s="3"/>
      <c r="JRO105" s="3"/>
      <c r="JRP105" s="3"/>
      <c r="JRQ105" s="3"/>
      <c r="JRR105" s="3"/>
      <c r="JRS105" s="3"/>
      <c r="JRT105" s="3"/>
      <c r="JRU105" s="3"/>
      <c r="JRV105" s="3"/>
      <c r="JRW105" s="3"/>
      <c r="JRX105" s="3"/>
      <c r="JRY105" s="3"/>
      <c r="JRZ105" s="3"/>
      <c r="JSA105" s="3"/>
      <c r="JSB105" s="3"/>
      <c r="JSC105" s="3"/>
      <c r="JSD105" s="3"/>
      <c r="JSE105" s="3"/>
      <c r="JSF105" s="3"/>
      <c r="JSG105" s="3"/>
      <c r="JSH105" s="3"/>
      <c r="JSI105" s="3"/>
      <c r="JSJ105" s="3"/>
      <c r="JSK105" s="3"/>
      <c r="JSL105" s="3"/>
      <c r="JSM105" s="3"/>
      <c r="JSN105" s="3"/>
      <c r="JSO105" s="3"/>
      <c r="JSP105" s="3"/>
      <c r="JSQ105" s="3"/>
      <c r="JSR105" s="3"/>
      <c r="JSS105" s="3"/>
      <c r="JST105" s="3"/>
      <c r="JSU105" s="3"/>
      <c r="JSV105" s="3"/>
      <c r="JSW105" s="3"/>
      <c r="JSX105" s="3"/>
      <c r="JSY105" s="3"/>
      <c r="JSZ105" s="3"/>
      <c r="JTA105" s="3"/>
      <c r="JTB105" s="3"/>
      <c r="JTC105" s="3"/>
      <c r="JTD105" s="3"/>
      <c r="JTE105" s="3"/>
      <c r="JTF105" s="3"/>
      <c r="JTG105" s="3"/>
      <c r="JTH105" s="3"/>
      <c r="JTI105" s="3"/>
      <c r="JTJ105" s="3"/>
      <c r="JTK105" s="3"/>
      <c r="JTL105" s="3"/>
      <c r="JTM105" s="3"/>
      <c r="JTN105" s="3"/>
      <c r="JTO105" s="3"/>
      <c r="JTP105" s="3"/>
      <c r="JTQ105" s="3"/>
      <c r="JTR105" s="3"/>
      <c r="JTS105" s="3"/>
      <c r="JTT105" s="3"/>
      <c r="JTU105" s="3"/>
      <c r="JTV105" s="3"/>
      <c r="JTW105" s="3"/>
      <c r="JTX105" s="3"/>
      <c r="JTY105" s="3"/>
      <c r="JTZ105" s="3"/>
      <c r="JUA105" s="3"/>
      <c r="JUB105" s="3"/>
      <c r="JUC105" s="3"/>
      <c r="JUD105" s="3"/>
      <c r="JUE105" s="3"/>
      <c r="JUF105" s="3"/>
      <c r="JUG105" s="3"/>
      <c r="JUH105" s="3"/>
      <c r="JUI105" s="3"/>
      <c r="JUJ105" s="3"/>
      <c r="JUK105" s="3"/>
      <c r="JUL105" s="3"/>
      <c r="JUM105" s="3"/>
      <c r="JUN105" s="3"/>
      <c r="JUO105" s="3"/>
      <c r="JUP105" s="3"/>
      <c r="JUQ105" s="3"/>
      <c r="JUR105" s="3"/>
      <c r="JUS105" s="3"/>
      <c r="JUT105" s="3"/>
      <c r="JUU105" s="3"/>
      <c r="JUV105" s="3"/>
      <c r="JUW105" s="3"/>
      <c r="JUX105" s="3"/>
      <c r="JUY105" s="3"/>
      <c r="JUZ105" s="3"/>
      <c r="JVA105" s="3"/>
      <c r="JVB105" s="3"/>
      <c r="JVC105" s="3"/>
      <c r="JVD105" s="3"/>
      <c r="JVE105" s="3"/>
      <c r="JVF105" s="3"/>
      <c r="JVG105" s="3"/>
      <c r="JVH105" s="3"/>
      <c r="JVI105" s="3"/>
      <c r="JVJ105" s="3"/>
      <c r="JVK105" s="3"/>
      <c r="JVL105" s="3"/>
      <c r="JVM105" s="3"/>
      <c r="JVN105" s="3"/>
      <c r="JVO105" s="3"/>
      <c r="JVP105" s="3"/>
      <c r="JVQ105" s="3"/>
      <c r="JVR105" s="3"/>
      <c r="JVS105" s="3"/>
      <c r="JVT105" s="3"/>
      <c r="JVU105" s="3"/>
      <c r="JVV105" s="3"/>
      <c r="JVW105" s="3"/>
      <c r="JVX105" s="3"/>
      <c r="JVY105" s="3"/>
      <c r="JVZ105" s="3"/>
      <c r="JWA105" s="3"/>
      <c r="JWB105" s="3"/>
      <c r="JWC105" s="3"/>
      <c r="JWD105" s="3"/>
      <c r="JWE105" s="3"/>
      <c r="JWF105" s="3"/>
      <c r="JWG105" s="3"/>
      <c r="JWH105" s="3"/>
      <c r="JWI105" s="3"/>
      <c r="JWJ105" s="3"/>
      <c r="JWK105" s="3"/>
      <c r="JWL105" s="3"/>
      <c r="JWM105" s="3"/>
      <c r="JWN105" s="3"/>
      <c r="JWO105" s="3"/>
      <c r="JWP105" s="3"/>
      <c r="JWQ105" s="3"/>
      <c r="JWR105" s="3"/>
      <c r="JWS105" s="3"/>
      <c r="JWT105" s="3"/>
      <c r="JWU105" s="3"/>
      <c r="JWV105" s="3"/>
      <c r="JWW105" s="3"/>
      <c r="JWX105" s="3"/>
      <c r="JWY105" s="3"/>
      <c r="JWZ105" s="3"/>
      <c r="JXA105" s="3"/>
      <c r="JXB105" s="3"/>
      <c r="JXC105" s="3"/>
      <c r="JXD105" s="3"/>
      <c r="JXE105" s="3"/>
      <c r="JXF105" s="3"/>
      <c r="JXG105" s="3"/>
      <c r="JXH105" s="3"/>
      <c r="JXI105" s="3"/>
      <c r="JXJ105" s="3"/>
      <c r="JXK105" s="3"/>
      <c r="JXL105" s="3"/>
      <c r="JXM105" s="3"/>
      <c r="JXN105" s="3"/>
      <c r="JXO105" s="3"/>
      <c r="JXP105" s="3"/>
      <c r="JXQ105" s="3"/>
      <c r="JXR105" s="3"/>
      <c r="JXS105" s="3"/>
      <c r="JXT105" s="3"/>
      <c r="JXU105" s="3"/>
      <c r="JXV105" s="3"/>
      <c r="JXW105" s="3"/>
      <c r="JXX105" s="3"/>
      <c r="JXY105" s="3"/>
      <c r="JXZ105" s="3"/>
      <c r="JYA105" s="3"/>
      <c r="JYB105" s="3"/>
      <c r="JYC105" s="3"/>
      <c r="JYD105" s="3"/>
      <c r="JYE105" s="3"/>
      <c r="JYF105" s="3"/>
      <c r="JYG105" s="3"/>
      <c r="JYH105" s="3"/>
      <c r="JYI105" s="3"/>
      <c r="JYJ105" s="3"/>
      <c r="JYK105" s="3"/>
      <c r="JYL105" s="3"/>
      <c r="JYM105" s="3"/>
      <c r="JYN105" s="3"/>
      <c r="JYO105" s="3"/>
      <c r="JYP105" s="3"/>
      <c r="JYQ105" s="3"/>
      <c r="JYR105" s="3"/>
      <c r="JYS105" s="3"/>
      <c r="JYT105" s="3"/>
      <c r="JYU105" s="3"/>
      <c r="JYV105" s="3"/>
      <c r="JYW105" s="3"/>
      <c r="JYX105" s="3"/>
      <c r="JYY105" s="3"/>
      <c r="JYZ105" s="3"/>
      <c r="JZA105" s="3"/>
      <c r="JZB105" s="3"/>
      <c r="JZC105" s="3"/>
      <c r="JZD105" s="3"/>
      <c r="JZE105" s="3"/>
      <c r="JZF105" s="3"/>
      <c r="JZG105" s="3"/>
      <c r="JZH105" s="3"/>
      <c r="JZI105" s="3"/>
      <c r="JZJ105" s="3"/>
      <c r="JZK105" s="3"/>
      <c r="JZL105" s="3"/>
      <c r="JZM105" s="3"/>
      <c r="JZN105" s="3"/>
      <c r="JZO105" s="3"/>
      <c r="JZP105" s="3"/>
      <c r="JZQ105" s="3"/>
      <c r="JZR105" s="3"/>
      <c r="JZS105" s="3"/>
      <c r="JZT105" s="3"/>
      <c r="JZU105" s="3"/>
      <c r="JZV105" s="3"/>
      <c r="JZW105" s="3"/>
      <c r="JZX105" s="3"/>
      <c r="JZY105" s="3"/>
      <c r="JZZ105" s="3"/>
      <c r="KAA105" s="3"/>
      <c r="KAB105" s="3"/>
      <c r="KAC105" s="3"/>
      <c r="KAD105" s="3"/>
      <c r="KAE105" s="3"/>
      <c r="KAF105" s="3"/>
      <c r="KAG105" s="3"/>
      <c r="KAH105" s="3"/>
      <c r="KAI105" s="3"/>
      <c r="KAJ105" s="3"/>
      <c r="KAK105" s="3"/>
      <c r="KAL105" s="3"/>
      <c r="KAM105" s="3"/>
      <c r="KAN105" s="3"/>
      <c r="KAO105" s="3"/>
      <c r="KAP105" s="3"/>
      <c r="KAQ105" s="3"/>
      <c r="KAR105" s="3"/>
      <c r="KAS105" s="3"/>
      <c r="KAT105" s="3"/>
      <c r="KAU105" s="3"/>
      <c r="KAV105" s="3"/>
      <c r="KAW105" s="3"/>
      <c r="KAX105" s="3"/>
      <c r="KAY105" s="3"/>
      <c r="KAZ105" s="3"/>
      <c r="KBA105" s="3"/>
      <c r="KBB105" s="3"/>
      <c r="KBC105" s="3"/>
      <c r="KBD105" s="3"/>
      <c r="KBE105" s="3"/>
      <c r="KBF105" s="3"/>
      <c r="KBG105" s="3"/>
      <c r="KBH105" s="3"/>
      <c r="KBI105" s="3"/>
      <c r="KBJ105" s="3"/>
      <c r="KBK105" s="3"/>
      <c r="KBL105" s="3"/>
      <c r="KBM105" s="3"/>
      <c r="KBN105" s="3"/>
      <c r="KBO105" s="3"/>
      <c r="KBP105" s="3"/>
      <c r="KBQ105" s="3"/>
      <c r="KBR105" s="3"/>
      <c r="KBS105" s="3"/>
      <c r="KBT105" s="3"/>
      <c r="KBU105" s="3"/>
      <c r="KBV105" s="3"/>
      <c r="KBW105" s="3"/>
      <c r="KBX105" s="3"/>
      <c r="KBY105" s="3"/>
      <c r="KBZ105" s="3"/>
      <c r="KCA105" s="3"/>
      <c r="KCB105" s="3"/>
      <c r="KCC105" s="3"/>
      <c r="KCD105" s="3"/>
      <c r="KCE105" s="3"/>
      <c r="KCF105" s="3"/>
      <c r="KCG105" s="3"/>
      <c r="KCH105" s="3"/>
      <c r="KCI105" s="3"/>
      <c r="KCJ105" s="3"/>
      <c r="KCK105" s="3"/>
      <c r="KCL105" s="3"/>
      <c r="KCM105" s="3"/>
      <c r="KCN105" s="3"/>
      <c r="KCO105" s="3"/>
      <c r="KCP105" s="3"/>
      <c r="KCQ105" s="3"/>
      <c r="KCR105" s="3"/>
      <c r="KCS105" s="3"/>
      <c r="KCT105" s="3"/>
      <c r="KCU105" s="3"/>
      <c r="KCV105" s="3"/>
      <c r="KCW105" s="3"/>
      <c r="KCX105" s="3"/>
      <c r="KCY105" s="3"/>
      <c r="KCZ105" s="3"/>
      <c r="KDA105" s="3"/>
      <c r="KDB105" s="3"/>
      <c r="KDC105" s="3"/>
      <c r="KDD105" s="3"/>
      <c r="KDE105" s="3"/>
      <c r="KDF105" s="3"/>
      <c r="KDG105" s="3"/>
      <c r="KDH105" s="3"/>
      <c r="KDI105" s="3"/>
      <c r="KDJ105" s="3"/>
      <c r="KDK105" s="3"/>
      <c r="KDL105" s="3"/>
      <c r="KDM105" s="3"/>
      <c r="KDN105" s="3"/>
      <c r="KDO105" s="3"/>
      <c r="KDP105" s="3"/>
      <c r="KDQ105" s="3"/>
      <c r="KDR105" s="3"/>
      <c r="KDS105" s="3"/>
      <c r="KDT105" s="3"/>
      <c r="KDU105" s="3"/>
      <c r="KDV105" s="3"/>
      <c r="KDW105" s="3"/>
      <c r="KDX105" s="3"/>
      <c r="KDY105" s="3"/>
      <c r="KDZ105" s="3"/>
      <c r="KEA105" s="3"/>
      <c r="KEB105" s="3"/>
      <c r="KEC105" s="3"/>
      <c r="KED105" s="3"/>
      <c r="KEE105" s="3"/>
      <c r="KEF105" s="3"/>
      <c r="KEG105" s="3"/>
      <c r="KEH105" s="3"/>
      <c r="KEI105" s="3"/>
      <c r="KEJ105" s="3"/>
      <c r="KEK105" s="3"/>
      <c r="KEL105" s="3"/>
      <c r="KEM105" s="3"/>
      <c r="KEN105" s="3"/>
      <c r="KEO105" s="3"/>
      <c r="KEP105" s="3"/>
      <c r="KEQ105" s="3"/>
      <c r="KER105" s="3"/>
      <c r="KES105" s="3"/>
      <c r="KET105" s="3"/>
      <c r="KEU105" s="3"/>
      <c r="KEV105" s="3"/>
      <c r="KEW105" s="3"/>
      <c r="KEX105" s="3"/>
      <c r="KEY105" s="3"/>
      <c r="KEZ105" s="3"/>
      <c r="KFA105" s="3"/>
      <c r="KFB105" s="3"/>
      <c r="KFC105" s="3"/>
      <c r="KFD105" s="3"/>
      <c r="KFE105" s="3"/>
      <c r="KFF105" s="3"/>
      <c r="KFG105" s="3"/>
      <c r="KFH105" s="3"/>
      <c r="KFI105" s="3"/>
      <c r="KFJ105" s="3"/>
      <c r="KFK105" s="3"/>
      <c r="KFL105" s="3"/>
      <c r="KFM105" s="3"/>
      <c r="KFN105" s="3"/>
      <c r="KFO105" s="3"/>
      <c r="KFP105" s="3"/>
      <c r="KFQ105" s="3"/>
      <c r="KFR105" s="3"/>
      <c r="KFS105" s="3"/>
      <c r="KFT105" s="3"/>
      <c r="KFU105" s="3"/>
      <c r="KFV105" s="3"/>
      <c r="KFW105" s="3"/>
      <c r="KFX105" s="3"/>
      <c r="KFY105" s="3"/>
      <c r="KFZ105" s="3"/>
      <c r="KGA105" s="3"/>
      <c r="KGB105" s="3"/>
      <c r="KGC105" s="3"/>
      <c r="KGD105" s="3"/>
      <c r="KGE105" s="3"/>
      <c r="KGF105" s="3"/>
      <c r="KGG105" s="3"/>
      <c r="KGH105" s="3"/>
      <c r="KGI105" s="3"/>
      <c r="KGJ105" s="3"/>
      <c r="KGK105" s="3"/>
      <c r="KGL105" s="3"/>
      <c r="KGM105" s="3"/>
      <c r="KGN105" s="3"/>
      <c r="KGO105" s="3"/>
      <c r="KGP105" s="3"/>
      <c r="KGQ105" s="3"/>
      <c r="KGR105" s="3"/>
      <c r="KGS105" s="3"/>
      <c r="KGT105" s="3"/>
      <c r="KGU105" s="3"/>
      <c r="KGV105" s="3"/>
      <c r="KGW105" s="3"/>
      <c r="KGX105" s="3"/>
      <c r="KGY105" s="3"/>
      <c r="KGZ105" s="3"/>
      <c r="KHA105" s="3"/>
      <c r="KHB105" s="3"/>
      <c r="KHC105" s="3"/>
      <c r="KHD105" s="3"/>
      <c r="KHE105" s="3"/>
      <c r="KHF105" s="3"/>
      <c r="KHG105" s="3"/>
      <c r="KHH105" s="3"/>
      <c r="KHI105" s="3"/>
      <c r="KHJ105" s="3"/>
      <c r="KHK105" s="3"/>
      <c r="KHL105" s="3"/>
      <c r="KHM105" s="3"/>
      <c r="KHN105" s="3"/>
      <c r="KHO105" s="3"/>
      <c r="KHP105" s="3"/>
      <c r="KHQ105" s="3"/>
      <c r="KHR105" s="3"/>
      <c r="KHS105" s="3"/>
      <c r="KHT105" s="3"/>
      <c r="KHU105" s="3"/>
      <c r="KHV105" s="3"/>
      <c r="KHW105" s="3"/>
      <c r="KHX105" s="3"/>
      <c r="KHY105" s="3"/>
      <c r="KHZ105" s="3"/>
      <c r="KIA105" s="3"/>
      <c r="KIB105" s="3"/>
      <c r="KIC105" s="3"/>
      <c r="KID105" s="3"/>
      <c r="KIE105" s="3"/>
      <c r="KIF105" s="3"/>
      <c r="KIG105" s="3"/>
      <c r="KIH105" s="3"/>
      <c r="KII105" s="3"/>
      <c r="KIJ105" s="3"/>
      <c r="KIK105" s="3"/>
      <c r="KIL105" s="3"/>
      <c r="KIM105" s="3"/>
      <c r="KIN105" s="3"/>
      <c r="KIO105" s="3"/>
      <c r="KIP105" s="3"/>
      <c r="KIQ105" s="3"/>
      <c r="KIR105" s="3"/>
      <c r="KIS105" s="3"/>
      <c r="KIT105" s="3"/>
      <c r="KIU105" s="3"/>
      <c r="KIV105" s="3"/>
      <c r="KIW105" s="3"/>
      <c r="KIX105" s="3"/>
      <c r="KIY105" s="3"/>
      <c r="KIZ105" s="3"/>
      <c r="KJA105" s="3"/>
      <c r="KJB105" s="3"/>
      <c r="KJC105" s="3"/>
      <c r="KJD105" s="3"/>
      <c r="KJE105" s="3"/>
      <c r="KJF105" s="3"/>
      <c r="KJG105" s="3"/>
      <c r="KJH105" s="3"/>
      <c r="KJI105" s="3"/>
      <c r="KJJ105" s="3"/>
      <c r="KJK105" s="3"/>
      <c r="KJL105" s="3"/>
      <c r="KJM105" s="3"/>
      <c r="KJN105" s="3"/>
      <c r="KJO105" s="3"/>
      <c r="KJP105" s="3"/>
      <c r="KJQ105" s="3"/>
      <c r="KJR105" s="3"/>
      <c r="KJS105" s="3"/>
      <c r="KJT105" s="3"/>
      <c r="KJU105" s="3"/>
      <c r="KJV105" s="3"/>
      <c r="KJW105" s="3"/>
      <c r="KJX105" s="3"/>
      <c r="KJY105" s="3"/>
      <c r="KJZ105" s="3"/>
      <c r="KKA105" s="3"/>
      <c r="KKB105" s="3"/>
      <c r="KKC105" s="3"/>
      <c r="KKD105" s="3"/>
      <c r="KKE105" s="3"/>
      <c r="KKF105" s="3"/>
      <c r="KKG105" s="3"/>
      <c r="KKH105" s="3"/>
      <c r="KKI105" s="3"/>
      <c r="KKJ105" s="3"/>
      <c r="KKK105" s="3"/>
      <c r="KKL105" s="3"/>
      <c r="KKM105" s="3"/>
      <c r="KKN105" s="3"/>
      <c r="KKO105" s="3"/>
      <c r="KKP105" s="3"/>
      <c r="KKQ105" s="3"/>
      <c r="KKR105" s="3"/>
      <c r="KKS105" s="3"/>
      <c r="KKT105" s="3"/>
      <c r="KKU105" s="3"/>
      <c r="KKV105" s="3"/>
      <c r="KKW105" s="3"/>
      <c r="KKX105" s="3"/>
      <c r="KKY105" s="3"/>
      <c r="KKZ105" s="3"/>
      <c r="KLA105" s="3"/>
      <c r="KLB105" s="3"/>
      <c r="KLC105" s="3"/>
      <c r="KLD105" s="3"/>
      <c r="KLE105" s="3"/>
      <c r="KLF105" s="3"/>
      <c r="KLG105" s="3"/>
      <c r="KLH105" s="3"/>
      <c r="KLI105" s="3"/>
      <c r="KLJ105" s="3"/>
      <c r="KLK105" s="3"/>
      <c r="KLL105" s="3"/>
      <c r="KLM105" s="3"/>
      <c r="KLN105" s="3"/>
      <c r="KLO105" s="3"/>
      <c r="KLP105" s="3"/>
      <c r="KLQ105" s="3"/>
      <c r="KLR105" s="3"/>
      <c r="KLS105" s="3"/>
      <c r="KLT105" s="3"/>
      <c r="KLU105" s="3"/>
      <c r="KLV105" s="3"/>
      <c r="KLW105" s="3"/>
      <c r="KLX105" s="3"/>
      <c r="KLY105" s="3"/>
      <c r="KLZ105" s="3"/>
      <c r="KMA105" s="3"/>
      <c r="KMB105" s="3"/>
      <c r="KMC105" s="3"/>
      <c r="KMD105" s="3"/>
      <c r="KME105" s="3"/>
      <c r="KMF105" s="3"/>
      <c r="KMG105" s="3"/>
      <c r="KMH105" s="3"/>
      <c r="KMI105" s="3"/>
      <c r="KMJ105" s="3"/>
      <c r="KMK105" s="3"/>
      <c r="KML105" s="3"/>
      <c r="KMM105" s="3"/>
      <c r="KMN105" s="3"/>
      <c r="KMO105" s="3"/>
      <c r="KMP105" s="3"/>
      <c r="KMQ105" s="3"/>
      <c r="KMR105" s="3"/>
      <c r="KMS105" s="3"/>
      <c r="KMT105" s="3"/>
      <c r="KMU105" s="3"/>
      <c r="KMV105" s="3"/>
      <c r="KMW105" s="3"/>
      <c r="KMX105" s="3"/>
      <c r="KMY105" s="3"/>
      <c r="KMZ105" s="3"/>
      <c r="KNA105" s="3"/>
      <c r="KNB105" s="3"/>
      <c r="KNC105" s="3"/>
      <c r="KND105" s="3"/>
      <c r="KNE105" s="3"/>
      <c r="KNF105" s="3"/>
      <c r="KNG105" s="3"/>
      <c r="KNH105" s="3"/>
      <c r="KNI105" s="3"/>
      <c r="KNJ105" s="3"/>
      <c r="KNK105" s="3"/>
      <c r="KNL105" s="3"/>
      <c r="KNM105" s="3"/>
      <c r="KNN105" s="3"/>
      <c r="KNO105" s="3"/>
      <c r="KNP105" s="3"/>
      <c r="KNQ105" s="3"/>
      <c r="KNR105" s="3"/>
      <c r="KNS105" s="3"/>
      <c r="KNT105" s="3"/>
      <c r="KNU105" s="3"/>
      <c r="KNV105" s="3"/>
      <c r="KNW105" s="3"/>
      <c r="KNX105" s="3"/>
      <c r="KNY105" s="3"/>
      <c r="KNZ105" s="3"/>
      <c r="KOA105" s="3"/>
      <c r="KOB105" s="3"/>
      <c r="KOC105" s="3"/>
      <c r="KOD105" s="3"/>
      <c r="KOE105" s="3"/>
      <c r="KOF105" s="3"/>
      <c r="KOG105" s="3"/>
      <c r="KOH105" s="3"/>
      <c r="KOI105" s="3"/>
      <c r="KOJ105" s="3"/>
      <c r="KOK105" s="3"/>
      <c r="KOL105" s="3"/>
      <c r="KOM105" s="3"/>
      <c r="KON105" s="3"/>
      <c r="KOO105" s="3"/>
      <c r="KOP105" s="3"/>
      <c r="KOQ105" s="3"/>
      <c r="KOR105" s="3"/>
      <c r="KOS105" s="3"/>
      <c r="KOT105" s="3"/>
      <c r="KOU105" s="3"/>
      <c r="KOV105" s="3"/>
      <c r="KOW105" s="3"/>
      <c r="KOX105" s="3"/>
      <c r="KOY105" s="3"/>
      <c r="KOZ105" s="3"/>
      <c r="KPA105" s="3"/>
      <c r="KPB105" s="3"/>
      <c r="KPC105" s="3"/>
      <c r="KPD105" s="3"/>
      <c r="KPE105" s="3"/>
      <c r="KPF105" s="3"/>
      <c r="KPG105" s="3"/>
      <c r="KPH105" s="3"/>
      <c r="KPI105" s="3"/>
      <c r="KPJ105" s="3"/>
      <c r="KPK105" s="3"/>
      <c r="KPL105" s="3"/>
      <c r="KPM105" s="3"/>
      <c r="KPN105" s="3"/>
      <c r="KPO105" s="3"/>
      <c r="KPP105" s="3"/>
      <c r="KPQ105" s="3"/>
      <c r="KPR105" s="3"/>
      <c r="KPS105" s="3"/>
      <c r="KPT105" s="3"/>
      <c r="KPU105" s="3"/>
      <c r="KPV105" s="3"/>
      <c r="KPW105" s="3"/>
      <c r="KPX105" s="3"/>
      <c r="KPY105" s="3"/>
      <c r="KPZ105" s="3"/>
      <c r="KQA105" s="3"/>
      <c r="KQB105" s="3"/>
      <c r="KQC105" s="3"/>
      <c r="KQD105" s="3"/>
      <c r="KQE105" s="3"/>
      <c r="KQF105" s="3"/>
      <c r="KQG105" s="3"/>
      <c r="KQH105" s="3"/>
      <c r="KQI105" s="3"/>
      <c r="KQJ105" s="3"/>
      <c r="KQK105" s="3"/>
      <c r="KQL105" s="3"/>
      <c r="KQM105" s="3"/>
      <c r="KQN105" s="3"/>
      <c r="KQO105" s="3"/>
      <c r="KQP105" s="3"/>
      <c r="KQQ105" s="3"/>
      <c r="KQR105" s="3"/>
      <c r="KQS105" s="3"/>
      <c r="KQT105" s="3"/>
      <c r="KQU105" s="3"/>
      <c r="KQV105" s="3"/>
      <c r="KQW105" s="3"/>
      <c r="KQX105" s="3"/>
      <c r="KQY105" s="3"/>
      <c r="KQZ105" s="3"/>
      <c r="KRA105" s="3"/>
      <c r="KRB105" s="3"/>
      <c r="KRC105" s="3"/>
      <c r="KRD105" s="3"/>
      <c r="KRE105" s="3"/>
      <c r="KRF105" s="3"/>
      <c r="KRG105" s="3"/>
      <c r="KRH105" s="3"/>
      <c r="KRI105" s="3"/>
      <c r="KRJ105" s="3"/>
      <c r="KRK105" s="3"/>
      <c r="KRL105" s="3"/>
      <c r="KRM105" s="3"/>
      <c r="KRN105" s="3"/>
      <c r="KRO105" s="3"/>
      <c r="KRP105" s="3"/>
      <c r="KRQ105" s="3"/>
      <c r="KRR105" s="3"/>
      <c r="KRS105" s="3"/>
      <c r="KRT105" s="3"/>
      <c r="KRU105" s="3"/>
      <c r="KRV105" s="3"/>
      <c r="KRW105" s="3"/>
      <c r="KRX105" s="3"/>
      <c r="KRY105" s="3"/>
      <c r="KRZ105" s="3"/>
      <c r="KSA105" s="3"/>
      <c r="KSB105" s="3"/>
      <c r="KSC105" s="3"/>
      <c r="KSD105" s="3"/>
      <c r="KSE105" s="3"/>
      <c r="KSF105" s="3"/>
      <c r="KSG105" s="3"/>
      <c r="KSH105" s="3"/>
      <c r="KSI105" s="3"/>
      <c r="KSJ105" s="3"/>
      <c r="KSK105" s="3"/>
      <c r="KSL105" s="3"/>
      <c r="KSM105" s="3"/>
      <c r="KSN105" s="3"/>
      <c r="KSO105" s="3"/>
      <c r="KSP105" s="3"/>
      <c r="KSQ105" s="3"/>
      <c r="KSR105" s="3"/>
      <c r="KSS105" s="3"/>
      <c r="KST105" s="3"/>
      <c r="KSU105" s="3"/>
      <c r="KSV105" s="3"/>
      <c r="KSW105" s="3"/>
      <c r="KSX105" s="3"/>
      <c r="KSY105" s="3"/>
      <c r="KSZ105" s="3"/>
      <c r="KTA105" s="3"/>
      <c r="KTB105" s="3"/>
      <c r="KTC105" s="3"/>
      <c r="KTD105" s="3"/>
      <c r="KTE105" s="3"/>
      <c r="KTF105" s="3"/>
      <c r="KTG105" s="3"/>
      <c r="KTH105" s="3"/>
      <c r="KTI105" s="3"/>
      <c r="KTJ105" s="3"/>
      <c r="KTK105" s="3"/>
      <c r="KTL105" s="3"/>
      <c r="KTM105" s="3"/>
      <c r="KTN105" s="3"/>
      <c r="KTO105" s="3"/>
      <c r="KTP105" s="3"/>
      <c r="KTQ105" s="3"/>
      <c r="KTR105" s="3"/>
      <c r="KTS105" s="3"/>
      <c r="KTT105" s="3"/>
      <c r="KTU105" s="3"/>
      <c r="KTV105" s="3"/>
      <c r="KTW105" s="3"/>
      <c r="KTX105" s="3"/>
      <c r="KTY105" s="3"/>
      <c r="KTZ105" s="3"/>
      <c r="KUA105" s="3"/>
      <c r="KUB105" s="3"/>
      <c r="KUC105" s="3"/>
      <c r="KUD105" s="3"/>
      <c r="KUE105" s="3"/>
      <c r="KUF105" s="3"/>
      <c r="KUG105" s="3"/>
      <c r="KUH105" s="3"/>
      <c r="KUI105" s="3"/>
      <c r="KUJ105" s="3"/>
      <c r="KUK105" s="3"/>
      <c r="KUL105" s="3"/>
      <c r="KUM105" s="3"/>
      <c r="KUN105" s="3"/>
      <c r="KUO105" s="3"/>
      <c r="KUP105" s="3"/>
      <c r="KUQ105" s="3"/>
      <c r="KUR105" s="3"/>
      <c r="KUS105" s="3"/>
      <c r="KUT105" s="3"/>
      <c r="KUU105" s="3"/>
      <c r="KUV105" s="3"/>
      <c r="KUW105" s="3"/>
      <c r="KUX105" s="3"/>
      <c r="KUY105" s="3"/>
      <c r="KUZ105" s="3"/>
      <c r="KVA105" s="3"/>
      <c r="KVB105" s="3"/>
      <c r="KVC105" s="3"/>
      <c r="KVD105" s="3"/>
      <c r="KVE105" s="3"/>
      <c r="KVF105" s="3"/>
      <c r="KVG105" s="3"/>
      <c r="KVH105" s="3"/>
      <c r="KVI105" s="3"/>
      <c r="KVJ105" s="3"/>
      <c r="KVK105" s="3"/>
      <c r="KVL105" s="3"/>
      <c r="KVM105" s="3"/>
      <c r="KVN105" s="3"/>
      <c r="KVO105" s="3"/>
      <c r="KVP105" s="3"/>
      <c r="KVQ105" s="3"/>
      <c r="KVR105" s="3"/>
      <c r="KVS105" s="3"/>
      <c r="KVT105" s="3"/>
      <c r="KVU105" s="3"/>
      <c r="KVV105" s="3"/>
      <c r="KVW105" s="3"/>
      <c r="KVX105" s="3"/>
      <c r="KVY105" s="3"/>
      <c r="KVZ105" s="3"/>
      <c r="KWA105" s="3"/>
      <c r="KWB105" s="3"/>
      <c r="KWC105" s="3"/>
      <c r="KWD105" s="3"/>
      <c r="KWE105" s="3"/>
      <c r="KWF105" s="3"/>
      <c r="KWG105" s="3"/>
      <c r="KWH105" s="3"/>
      <c r="KWI105" s="3"/>
      <c r="KWJ105" s="3"/>
      <c r="KWK105" s="3"/>
      <c r="KWL105" s="3"/>
      <c r="KWM105" s="3"/>
      <c r="KWN105" s="3"/>
      <c r="KWO105" s="3"/>
      <c r="KWP105" s="3"/>
      <c r="KWQ105" s="3"/>
      <c r="KWR105" s="3"/>
      <c r="KWS105" s="3"/>
      <c r="KWT105" s="3"/>
      <c r="KWU105" s="3"/>
      <c r="KWV105" s="3"/>
      <c r="KWW105" s="3"/>
      <c r="KWX105" s="3"/>
      <c r="KWY105" s="3"/>
      <c r="KWZ105" s="3"/>
      <c r="KXA105" s="3"/>
      <c r="KXB105" s="3"/>
      <c r="KXC105" s="3"/>
      <c r="KXD105" s="3"/>
      <c r="KXE105" s="3"/>
      <c r="KXF105" s="3"/>
      <c r="KXG105" s="3"/>
      <c r="KXH105" s="3"/>
      <c r="KXI105" s="3"/>
      <c r="KXJ105" s="3"/>
      <c r="KXK105" s="3"/>
      <c r="KXL105" s="3"/>
      <c r="KXM105" s="3"/>
      <c r="KXN105" s="3"/>
      <c r="KXO105" s="3"/>
      <c r="KXP105" s="3"/>
      <c r="KXQ105" s="3"/>
      <c r="KXR105" s="3"/>
      <c r="KXS105" s="3"/>
      <c r="KXT105" s="3"/>
      <c r="KXU105" s="3"/>
      <c r="KXV105" s="3"/>
      <c r="KXW105" s="3"/>
      <c r="KXX105" s="3"/>
      <c r="KXY105" s="3"/>
      <c r="KXZ105" s="3"/>
      <c r="KYA105" s="3"/>
      <c r="KYB105" s="3"/>
      <c r="KYC105" s="3"/>
      <c r="KYD105" s="3"/>
      <c r="KYE105" s="3"/>
      <c r="KYF105" s="3"/>
      <c r="KYG105" s="3"/>
      <c r="KYH105" s="3"/>
      <c r="KYI105" s="3"/>
      <c r="KYJ105" s="3"/>
      <c r="KYK105" s="3"/>
      <c r="KYL105" s="3"/>
      <c r="KYM105" s="3"/>
      <c r="KYN105" s="3"/>
      <c r="KYO105" s="3"/>
      <c r="KYP105" s="3"/>
      <c r="KYQ105" s="3"/>
      <c r="KYR105" s="3"/>
      <c r="KYS105" s="3"/>
      <c r="KYT105" s="3"/>
      <c r="KYU105" s="3"/>
      <c r="KYV105" s="3"/>
      <c r="KYW105" s="3"/>
      <c r="KYX105" s="3"/>
      <c r="KYY105" s="3"/>
      <c r="KYZ105" s="3"/>
      <c r="KZA105" s="3"/>
      <c r="KZB105" s="3"/>
      <c r="KZC105" s="3"/>
      <c r="KZD105" s="3"/>
      <c r="KZE105" s="3"/>
      <c r="KZF105" s="3"/>
      <c r="KZG105" s="3"/>
      <c r="KZH105" s="3"/>
      <c r="KZI105" s="3"/>
      <c r="KZJ105" s="3"/>
      <c r="KZK105" s="3"/>
      <c r="KZL105" s="3"/>
      <c r="KZM105" s="3"/>
      <c r="KZN105" s="3"/>
      <c r="KZO105" s="3"/>
      <c r="KZP105" s="3"/>
      <c r="KZQ105" s="3"/>
      <c r="KZR105" s="3"/>
      <c r="KZS105" s="3"/>
      <c r="KZT105" s="3"/>
      <c r="KZU105" s="3"/>
      <c r="KZV105" s="3"/>
      <c r="KZW105" s="3"/>
      <c r="KZX105" s="3"/>
      <c r="KZY105" s="3"/>
      <c r="KZZ105" s="3"/>
      <c r="LAA105" s="3"/>
      <c r="LAB105" s="3"/>
      <c r="LAC105" s="3"/>
      <c r="LAD105" s="3"/>
      <c r="LAE105" s="3"/>
      <c r="LAF105" s="3"/>
      <c r="LAG105" s="3"/>
      <c r="LAH105" s="3"/>
      <c r="LAI105" s="3"/>
      <c r="LAJ105" s="3"/>
      <c r="LAK105" s="3"/>
      <c r="LAL105" s="3"/>
      <c r="LAM105" s="3"/>
      <c r="LAN105" s="3"/>
      <c r="LAO105" s="3"/>
      <c r="LAP105" s="3"/>
      <c r="LAQ105" s="3"/>
      <c r="LAR105" s="3"/>
      <c r="LAS105" s="3"/>
      <c r="LAT105" s="3"/>
      <c r="LAU105" s="3"/>
      <c r="LAV105" s="3"/>
      <c r="LAW105" s="3"/>
      <c r="LAX105" s="3"/>
      <c r="LAY105" s="3"/>
      <c r="LAZ105" s="3"/>
      <c r="LBA105" s="3"/>
      <c r="LBB105" s="3"/>
      <c r="LBC105" s="3"/>
      <c r="LBD105" s="3"/>
      <c r="LBE105" s="3"/>
      <c r="LBF105" s="3"/>
      <c r="LBG105" s="3"/>
      <c r="LBH105" s="3"/>
      <c r="LBI105" s="3"/>
      <c r="LBJ105" s="3"/>
      <c r="LBK105" s="3"/>
      <c r="LBL105" s="3"/>
      <c r="LBM105" s="3"/>
      <c r="LBN105" s="3"/>
      <c r="LBO105" s="3"/>
      <c r="LBP105" s="3"/>
      <c r="LBQ105" s="3"/>
      <c r="LBR105" s="3"/>
      <c r="LBS105" s="3"/>
      <c r="LBT105" s="3"/>
      <c r="LBU105" s="3"/>
      <c r="LBV105" s="3"/>
      <c r="LBW105" s="3"/>
      <c r="LBX105" s="3"/>
      <c r="LBY105" s="3"/>
      <c r="LBZ105" s="3"/>
      <c r="LCA105" s="3"/>
      <c r="LCB105" s="3"/>
      <c r="LCC105" s="3"/>
      <c r="LCD105" s="3"/>
      <c r="LCE105" s="3"/>
      <c r="LCF105" s="3"/>
      <c r="LCG105" s="3"/>
      <c r="LCH105" s="3"/>
      <c r="LCI105" s="3"/>
      <c r="LCJ105" s="3"/>
      <c r="LCK105" s="3"/>
      <c r="LCL105" s="3"/>
      <c r="LCM105" s="3"/>
      <c r="LCN105" s="3"/>
      <c r="LCO105" s="3"/>
      <c r="LCP105" s="3"/>
      <c r="LCQ105" s="3"/>
      <c r="LCR105" s="3"/>
      <c r="LCS105" s="3"/>
      <c r="LCT105" s="3"/>
      <c r="LCU105" s="3"/>
      <c r="LCV105" s="3"/>
      <c r="LCW105" s="3"/>
      <c r="LCX105" s="3"/>
      <c r="LCY105" s="3"/>
      <c r="LCZ105" s="3"/>
      <c r="LDA105" s="3"/>
      <c r="LDB105" s="3"/>
      <c r="LDC105" s="3"/>
      <c r="LDD105" s="3"/>
      <c r="LDE105" s="3"/>
      <c r="LDF105" s="3"/>
      <c r="LDG105" s="3"/>
      <c r="LDH105" s="3"/>
      <c r="LDI105" s="3"/>
      <c r="LDJ105" s="3"/>
      <c r="LDK105" s="3"/>
      <c r="LDL105" s="3"/>
      <c r="LDM105" s="3"/>
      <c r="LDN105" s="3"/>
      <c r="LDO105" s="3"/>
      <c r="LDP105" s="3"/>
      <c r="LDQ105" s="3"/>
      <c r="LDR105" s="3"/>
      <c r="LDS105" s="3"/>
      <c r="LDT105" s="3"/>
      <c r="LDU105" s="3"/>
      <c r="LDV105" s="3"/>
      <c r="LDW105" s="3"/>
      <c r="LDX105" s="3"/>
      <c r="LDY105" s="3"/>
      <c r="LDZ105" s="3"/>
      <c r="LEA105" s="3"/>
      <c r="LEB105" s="3"/>
      <c r="LEC105" s="3"/>
      <c r="LED105" s="3"/>
      <c r="LEE105" s="3"/>
      <c r="LEF105" s="3"/>
      <c r="LEG105" s="3"/>
      <c r="LEH105" s="3"/>
      <c r="LEI105" s="3"/>
      <c r="LEJ105" s="3"/>
      <c r="LEK105" s="3"/>
      <c r="LEL105" s="3"/>
      <c r="LEM105" s="3"/>
      <c r="LEN105" s="3"/>
      <c r="LEO105" s="3"/>
      <c r="LEP105" s="3"/>
      <c r="LEQ105" s="3"/>
      <c r="LER105" s="3"/>
      <c r="LES105" s="3"/>
      <c r="LET105" s="3"/>
      <c r="LEU105" s="3"/>
      <c r="LEV105" s="3"/>
      <c r="LEW105" s="3"/>
      <c r="LEX105" s="3"/>
      <c r="LEY105" s="3"/>
      <c r="LEZ105" s="3"/>
      <c r="LFA105" s="3"/>
      <c r="LFB105" s="3"/>
      <c r="LFC105" s="3"/>
      <c r="LFD105" s="3"/>
      <c r="LFE105" s="3"/>
      <c r="LFF105" s="3"/>
      <c r="LFG105" s="3"/>
      <c r="LFH105" s="3"/>
      <c r="LFI105" s="3"/>
      <c r="LFJ105" s="3"/>
      <c r="LFK105" s="3"/>
      <c r="LFL105" s="3"/>
      <c r="LFM105" s="3"/>
      <c r="LFN105" s="3"/>
      <c r="LFO105" s="3"/>
      <c r="LFP105" s="3"/>
      <c r="LFQ105" s="3"/>
      <c r="LFR105" s="3"/>
      <c r="LFS105" s="3"/>
      <c r="LFT105" s="3"/>
      <c r="LFU105" s="3"/>
      <c r="LFV105" s="3"/>
      <c r="LFW105" s="3"/>
      <c r="LFX105" s="3"/>
      <c r="LFY105" s="3"/>
      <c r="LFZ105" s="3"/>
      <c r="LGA105" s="3"/>
      <c r="LGB105" s="3"/>
      <c r="LGC105" s="3"/>
      <c r="LGD105" s="3"/>
      <c r="LGE105" s="3"/>
      <c r="LGF105" s="3"/>
      <c r="LGG105" s="3"/>
      <c r="LGH105" s="3"/>
      <c r="LGI105" s="3"/>
      <c r="LGJ105" s="3"/>
      <c r="LGK105" s="3"/>
      <c r="LGL105" s="3"/>
      <c r="LGM105" s="3"/>
      <c r="LGN105" s="3"/>
      <c r="LGO105" s="3"/>
      <c r="LGP105" s="3"/>
      <c r="LGQ105" s="3"/>
      <c r="LGR105" s="3"/>
      <c r="LGS105" s="3"/>
      <c r="LGT105" s="3"/>
      <c r="LGU105" s="3"/>
      <c r="LGV105" s="3"/>
      <c r="LGW105" s="3"/>
      <c r="LGX105" s="3"/>
      <c r="LGY105" s="3"/>
      <c r="LGZ105" s="3"/>
      <c r="LHA105" s="3"/>
      <c r="LHB105" s="3"/>
      <c r="LHC105" s="3"/>
      <c r="LHD105" s="3"/>
      <c r="LHE105" s="3"/>
      <c r="LHF105" s="3"/>
      <c r="LHG105" s="3"/>
      <c r="LHH105" s="3"/>
      <c r="LHI105" s="3"/>
      <c r="LHJ105" s="3"/>
      <c r="LHK105" s="3"/>
      <c r="LHL105" s="3"/>
      <c r="LHM105" s="3"/>
      <c r="LHN105" s="3"/>
      <c r="LHO105" s="3"/>
      <c r="LHP105" s="3"/>
      <c r="LHQ105" s="3"/>
      <c r="LHR105" s="3"/>
      <c r="LHS105" s="3"/>
      <c r="LHT105" s="3"/>
      <c r="LHU105" s="3"/>
      <c r="LHV105" s="3"/>
      <c r="LHW105" s="3"/>
      <c r="LHX105" s="3"/>
      <c r="LHY105" s="3"/>
      <c r="LHZ105" s="3"/>
      <c r="LIA105" s="3"/>
      <c r="LIB105" s="3"/>
      <c r="LIC105" s="3"/>
      <c r="LID105" s="3"/>
      <c r="LIE105" s="3"/>
      <c r="LIF105" s="3"/>
      <c r="LIG105" s="3"/>
      <c r="LIH105" s="3"/>
      <c r="LII105" s="3"/>
      <c r="LIJ105" s="3"/>
      <c r="LIK105" s="3"/>
      <c r="LIL105" s="3"/>
      <c r="LIM105" s="3"/>
      <c r="LIN105" s="3"/>
      <c r="LIO105" s="3"/>
      <c r="LIP105" s="3"/>
      <c r="LIQ105" s="3"/>
      <c r="LIR105" s="3"/>
      <c r="LIS105" s="3"/>
      <c r="LIT105" s="3"/>
      <c r="LIU105" s="3"/>
      <c r="LIV105" s="3"/>
      <c r="LIW105" s="3"/>
      <c r="LIX105" s="3"/>
      <c r="LIY105" s="3"/>
      <c r="LIZ105" s="3"/>
      <c r="LJA105" s="3"/>
      <c r="LJB105" s="3"/>
      <c r="LJC105" s="3"/>
      <c r="LJD105" s="3"/>
      <c r="LJE105" s="3"/>
      <c r="LJF105" s="3"/>
      <c r="LJG105" s="3"/>
      <c r="LJH105" s="3"/>
      <c r="LJI105" s="3"/>
      <c r="LJJ105" s="3"/>
      <c r="LJK105" s="3"/>
      <c r="LJL105" s="3"/>
      <c r="LJM105" s="3"/>
      <c r="LJN105" s="3"/>
      <c r="LJO105" s="3"/>
      <c r="LJP105" s="3"/>
      <c r="LJQ105" s="3"/>
      <c r="LJR105" s="3"/>
      <c r="LJS105" s="3"/>
      <c r="LJT105" s="3"/>
      <c r="LJU105" s="3"/>
      <c r="LJV105" s="3"/>
      <c r="LJW105" s="3"/>
      <c r="LJX105" s="3"/>
      <c r="LJY105" s="3"/>
      <c r="LJZ105" s="3"/>
      <c r="LKA105" s="3"/>
      <c r="LKB105" s="3"/>
      <c r="LKC105" s="3"/>
      <c r="LKD105" s="3"/>
      <c r="LKE105" s="3"/>
      <c r="LKF105" s="3"/>
      <c r="LKG105" s="3"/>
      <c r="LKH105" s="3"/>
      <c r="LKI105" s="3"/>
      <c r="LKJ105" s="3"/>
      <c r="LKK105" s="3"/>
      <c r="LKL105" s="3"/>
      <c r="LKM105" s="3"/>
      <c r="LKN105" s="3"/>
      <c r="LKO105" s="3"/>
      <c r="LKP105" s="3"/>
      <c r="LKQ105" s="3"/>
      <c r="LKR105" s="3"/>
      <c r="LKS105" s="3"/>
      <c r="LKT105" s="3"/>
      <c r="LKU105" s="3"/>
      <c r="LKV105" s="3"/>
      <c r="LKW105" s="3"/>
      <c r="LKX105" s="3"/>
      <c r="LKY105" s="3"/>
      <c r="LKZ105" s="3"/>
      <c r="LLA105" s="3"/>
      <c r="LLB105" s="3"/>
      <c r="LLC105" s="3"/>
      <c r="LLD105" s="3"/>
      <c r="LLE105" s="3"/>
      <c r="LLF105" s="3"/>
      <c r="LLG105" s="3"/>
      <c r="LLH105" s="3"/>
      <c r="LLI105" s="3"/>
      <c r="LLJ105" s="3"/>
      <c r="LLK105" s="3"/>
      <c r="LLL105" s="3"/>
      <c r="LLM105" s="3"/>
      <c r="LLN105" s="3"/>
      <c r="LLO105" s="3"/>
      <c r="LLP105" s="3"/>
      <c r="LLQ105" s="3"/>
      <c r="LLR105" s="3"/>
      <c r="LLS105" s="3"/>
      <c r="LLT105" s="3"/>
      <c r="LLU105" s="3"/>
      <c r="LLV105" s="3"/>
      <c r="LLW105" s="3"/>
      <c r="LLX105" s="3"/>
      <c r="LLY105" s="3"/>
      <c r="LLZ105" s="3"/>
      <c r="LMA105" s="3"/>
      <c r="LMB105" s="3"/>
      <c r="LMC105" s="3"/>
      <c r="LMD105" s="3"/>
      <c r="LME105" s="3"/>
      <c r="LMF105" s="3"/>
      <c r="LMG105" s="3"/>
      <c r="LMH105" s="3"/>
      <c r="LMI105" s="3"/>
      <c r="LMJ105" s="3"/>
      <c r="LMK105" s="3"/>
      <c r="LML105" s="3"/>
      <c r="LMM105" s="3"/>
      <c r="LMN105" s="3"/>
      <c r="LMO105" s="3"/>
      <c r="LMP105" s="3"/>
      <c r="LMQ105" s="3"/>
      <c r="LMR105" s="3"/>
      <c r="LMS105" s="3"/>
      <c r="LMT105" s="3"/>
      <c r="LMU105" s="3"/>
      <c r="LMV105" s="3"/>
      <c r="LMW105" s="3"/>
      <c r="LMX105" s="3"/>
      <c r="LMY105" s="3"/>
      <c r="LMZ105" s="3"/>
      <c r="LNA105" s="3"/>
      <c r="LNB105" s="3"/>
      <c r="LNC105" s="3"/>
      <c r="LND105" s="3"/>
      <c r="LNE105" s="3"/>
      <c r="LNF105" s="3"/>
      <c r="LNG105" s="3"/>
      <c r="LNH105" s="3"/>
      <c r="LNI105" s="3"/>
      <c r="LNJ105" s="3"/>
      <c r="LNK105" s="3"/>
      <c r="LNL105" s="3"/>
      <c r="LNM105" s="3"/>
      <c r="LNN105" s="3"/>
      <c r="LNO105" s="3"/>
      <c r="LNP105" s="3"/>
      <c r="LNQ105" s="3"/>
      <c r="LNR105" s="3"/>
      <c r="LNS105" s="3"/>
      <c r="LNT105" s="3"/>
      <c r="LNU105" s="3"/>
      <c r="LNV105" s="3"/>
      <c r="LNW105" s="3"/>
      <c r="LNX105" s="3"/>
      <c r="LNY105" s="3"/>
      <c r="LNZ105" s="3"/>
      <c r="LOA105" s="3"/>
      <c r="LOB105" s="3"/>
      <c r="LOC105" s="3"/>
      <c r="LOD105" s="3"/>
      <c r="LOE105" s="3"/>
      <c r="LOF105" s="3"/>
      <c r="LOG105" s="3"/>
      <c r="LOH105" s="3"/>
      <c r="LOI105" s="3"/>
      <c r="LOJ105" s="3"/>
      <c r="LOK105" s="3"/>
      <c r="LOL105" s="3"/>
      <c r="LOM105" s="3"/>
      <c r="LON105" s="3"/>
      <c r="LOO105" s="3"/>
      <c r="LOP105" s="3"/>
      <c r="LOQ105" s="3"/>
      <c r="LOR105" s="3"/>
      <c r="LOS105" s="3"/>
      <c r="LOT105" s="3"/>
      <c r="LOU105" s="3"/>
      <c r="LOV105" s="3"/>
      <c r="LOW105" s="3"/>
      <c r="LOX105" s="3"/>
      <c r="LOY105" s="3"/>
      <c r="LOZ105" s="3"/>
      <c r="LPA105" s="3"/>
      <c r="LPB105" s="3"/>
      <c r="LPC105" s="3"/>
      <c r="LPD105" s="3"/>
      <c r="LPE105" s="3"/>
      <c r="LPF105" s="3"/>
      <c r="LPG105" s="3"/>
      <c r="LPH105" s="3"/>
      <c r="LPI105" s="3"/>
      <c r="LPJ105" s="3"/>
      <c r="LPK105" s="3"/>
      <c r="LPL105" s="3"/>
      <c r="LPM105" s="3"/>
      <c r="LPN105" s="3"/>
      <c r="LPO105" s="3"/>
      <c r="LPP105" s="3"/>
      <c r="LPQ105" s="3"/>
      <c r="LPR105" s="3"/>
      <c r="LPS105" s="3"/>
      <c r="LPT105" s="3"/>
      <c r="LPU105" s="3"/>
      <c r="LPV105" s="3"/>
      <c r="LPW105" s="3"/>
      <c r="LPX105" s="3"/>
      <c r="LPY105" s="3"/>
      <c r="LPZ105" s="3"/>
      <c r="LQA105" s="3"/>
      <c r="LQB105" s="3"/>
      <c r="LQC105" s="3"/>
      <c r="LQD105" s="3"/>
      <c r="LQE105" s="3"/>
      <c r="LQF105" s="3"/>
      <c r="LQG105" s="3"/>
      <c r="LQH105" s="3"/>
      <c r="LQI105" s="3"/>
      <c r="LQJ105" s="3"/>
      <c r="LQK105" s="3"/>
      <c r="LQL105" s="3"/>
      <c r="LQM105" s="3"/>
      <c r="LQN105" s="3"/>
      <c r="LQO105" s="3"/>
      <c r="LQP105" s="3"/>
      <c r="LQQ105" s="3"/>
      <c r="LQR105" s="3"/>
      <c r="LQS105" s="3"/>
      <c r="LQT105" s="3"/>
      <c r="LQU105" s="3"/>
      <c r="LQV105" s="3"/>
      <c r="LQW105" s="3"/>
      <c r="LQX105" s="3"/>
      <c r="LQY105" s="3"/>
      <c r="LQZ105" s="3"/>
      <c r="LRA105" s="3"/>
      <c r="LRB105" s="3"/>
      <c r="LRC105" s="3"/>
      <c r="LRD105" s="3"/>
      <c r="LRE105" s="3"/>
      <c r="LRF105" s="3"/>
      <c r="LRG105" s="3"/>
      <c r="LRH105" s="3"/>
      <c r="LRI105" s="3"/>
      <c r="LRJ105" s="3"/>
      <c r="LRK105" s="3"/>
      <c r="LRL105" s="3"/>
      <c r="LRM105" s="3"/>
      <c r="LRN105" s="3"/>
      <c r="LRO105" s="3"/>
      <c r="LRP105" s="3"/>
      <c r="LRQ105" s="3"/>
      <c r="LRR105" s="3"/>
      <c r="LRS105" s="3"/>
      <c r="LRT105" s="3"/>
      <c r="LRU105" s="3"/>
      <c r="LRV105" s="3"/>
      <c r="LRW105" s="3"/>
      <c r="LRX105" s="3"/>
      <c r="LRY105" s="3"/>
      <c r="LRZ105" s="3"/>
      <c r="LSA105" s="3"/>
      <c r="LSB105" s="3"/>
      <c r="LSC105" s="3"/>
      <c r="LSD105" s="3"/>
      <c r="LSE105" s="3"/>
      <c r="LSF105" s="3"/>
      <c r="LSG105" s="3"/>
      <c r="LSH105" s="3"/>
      <c r="LSI105" s="3"/>
      <c r="LSJ105" s="3"/>
      <c r="LSK105" s="3"/>
      <c r="LSL105" s="3"/>
      <c r="LSM105" s="3"/>
      <c r="LSN105" s="3"/>
      <c r="LSO105" s="3"/>
      <c r="LSP105" s="3"/>
      <c r="LSQ105" s="3"/>
      <c r="LSR105" s="3"/>
      <c r="LSS105" s="3"/>
      <c r="LST105" s="3"/>
      <c r="LSU105" s="3"/>
      <c r="LSV105" s="3"/>
      <c r="LSW105" s="3"/>
      <c r="LSX105" s="3"/>
      <c r="LSY105" s="3"/>
      <c r="LSZ105" s="3"/>
      <c r="LTA105" s="3"/>
      <c r="LTB105" s="3"/>
      <c r="LTC105" s="3"/>
      <c r="LTD105" s="3"/>
      <c r="LTE105" s="3"/>
      <c r="LTF105" s="3"/>
      <c r="LTG105" s="3"/>
      <c r="LTH105" s="3"/>
      <c r="LTI105" s="3"/>
      <c r="LTJ105" s="3"/>
      <c r="LTK105" s="3"/>
      <c r="LTL105" s="3"/>
      <c r="LTM105" s="3"/>
      <c r="LTN105" s="3"/>
      <c r="LTO105" s="3"/>
      <c r="LTP105" s="3"/>
      <c r="LTQ105" s="3"/>
      <c r="LTR105" s="3"/>
      <c r="LTS105" s="3"/>
      <c r="LTT105" s="3"/>
      <c r="LTU105" s="3"/>
      <c r="LTV105" s="3"/>
      <c r="LTW105" s="3"/>
      <c r="LTX105" s="3"/>
      <c r="LTY105" s="3"/>
      <c r="LTZ105" s="3"/>
      <c r="LUA105" s="3"/>
      <c r="LUB105" s="3"/>
      <c r="LUC105" s="3"/>
      <c r="LUD105" s="3"/>
      <c r="LUE105" s="3"/>
      <c r="LUF105" s="3"/>
      <c r="LUG105" s="3"/>
      <c r="LUH105" s="3"/>
      <c r="LUI105" s="3"/>
      <c r="LUJ105" s="3"/>
      <c r="LUK105" s="3"/>
      <c r="LUL105" s="3"/>
      <c r="LUM105" s="3"/>
      <c r="LUN105" s="3"/>
      <c r="LUO105" s="3"/>
      <c r="LUP105" s="3"/>
      <c r="LUQ105" s="3"/>
      <c r="LUR105" s="3"/>
      <c r="LUS105" s="3"/>
      <c r="LUT105" s="3"/>
      <c r="LUU105" s="3"/>
      <c r="LUV105" s="3"/>
      <c r="LUW105" s="3"/>
      <c r="LUX105" s="3"/>
      <c r="LUY105" s="3"/>
      <c r="LUZ105" s="3"/>
      <c r="LVA105" s="3"/>
      <c r="LVB105" s="3"/>
      <c r="LVC105" s="3"/>
      <c r="LVD105" s="3"/>
      <c r="LVE105" s="3"/>
      <c r="LVF105" s="3"/>
      <c r="LVG105" s="3"/>
      <c r="LVH105" s="3"/>
      <c r="LVI105" s="3"/>
      <c r="LVJ105" s="3"/>
      <c r="LVK105" s="3"/>
      <c r="LVL105" s="3"/>
      <c r="LVM105" s="3"/>
      <c r="LVN105" s="3"/>
      <c r="LVO105" s="3"/>
      <c r="LVP105" s="3"/>
      <c r="LVQ105" s="3"/>
      <c r="LVR105" s="3"/>
      <c r="LVS105" s="3"/>
      <c r="LVT105" s="3"/>
      <c r="LVU105" s="3"/>
      <c r="LVV105" s="3"/>
      <c r="LVW105" s="3"/>
      <c r="LVX105" s="3"/>
      <c r="LVY105" s="3"/>
      <c r="LVZ105" s="3"/>
      <c r="LWA105" s="3"/>
      <c r="LWB105" s="3"/>
      <c r="LWC105" s="3"/>
      <c r="LWD105" s="3"/>
      <c r="LWE105" s="3"/>
      <c r="LWF105" s="3"/>
      <c r="LWG105" s="3"/>
      <c r="LWH105" s="3"/>
      <c r="LWI105" s="3"/>
      <c r="LWJ105" s="3"/>
      <c r="LWK105" s="3"/>
      <c r="LWL105" s="3"/>
      <c r="LWM105" s="3"/>
      <c r="LWN105" s="3"/>
      <c r="LWO105" s="3"/>
      <c r="LWP105" s="3"/>
      <c r="LWQ105" s="3"/>
      <c r="LWR105" s="3"/>
      <c r="LWS105" s="3"/>
      <c r="LWT105" s="3"/>
      <c r="LWU105" s="3"/>
      <c r="LWV105" s="3"/>
      <c r="LWW105" s="3"/>
      <c r="LWX105" s="3"/>
      <c r="LWY105" s="3"/>
      <c r="LWZ105" s="3"/>
      <c r="LXA105" s="3"/>
      <c r="LXB105" s="3"/>
      <c r="LXC105" s="3"/>
      <c r="LXD105" s="3"/>
      <c r="LXE105" s="3"/>
      <c r="LXF105" s="3"/>
      <c r="LXG105" s="3"/>
      <c r="LXH105" s="3"/>
      <c r="LXI105" s="3"/>
      <c r="LXJ105" s="3"/>
      <c r="LXK105" s="3"/>
      <c r="LXL105" s="3"/>
      <c r="LXM105" s="3"/>
      <c r="LXN105" s="3"/>
      <c r="LXO105" s="3"/>
      <c r="LXP105" s="3"/>
      <c r="LXQ105" s="3"/>
      <c r="LXR105" s="3"/>
      <c r="LXS105" s="3"/>
      <c r="LXT105" s="3"/>
      <c r="LXU105" s="3"/>
      <c r="LXV105" s="3"/>
      <c r="LXW105" s="3"/>
      <c r="LXX105" s="3"/>
      <c r="LXY105" s="3"/>
      <c r="LXZ105" s="3"/>
      <c r="LYA105" s="3"/>
      <c r="LYB105" s="3"/>
      <c r="LYC105" s="3"/>
      <c r="LYD105" s="3"/>
      <c r="LYE105" s="3"/>
      <c r="LYF105" s="3"/>
      <c r="LYG105" s="3"/>
      <c r="LYH105" s="3"/>
      <c r="LYI105" s="3"/>
      <c r="LYJ105" s="3"/>
      <c r="LYK105" s="3"/>
      <c r="LYL105" s="3"/>
      <c r="LYM105" s="3"/>
      <c r="LYN105" s="3"/>
      <c r="LYO105" s="3"/>
      <c r="LYP105" s="3"/>
      <c r="LYQ105" s="3"/>
      <c r="LYR105" s="3"/>
      <c r="LYS105" s="3"/>
      <c r="LYT105" s="3"/>
      <c r="LYU105" s="3"/>
      <c r="LYV105" s="3"/>
      <c r="LYW105" s="3"/>
      <c r="LYX105" s="3"/>
      <c r="LYY105" s="3"/>
      <c r="LYZ105" s="3"/>
      <c r="LZA105" s="3"/>
      <c r="LZB105" s="3"/>
      <c r="LZC105" s="3"/>
      <c r="LZD105" s="3"/>
      <c r="LZE105" s="3"/>
      <c r="LZF105" s="3"/>
      <c r="LZG105" s="3"/>
      <c r="LZH105" s="3"/>
      <c r="LZI105" s="3"/>
      <c r="LZJ105" s="3"/>
      <c r="LZK105" s="3"/>
      <c r="LZL105" s="3"/>
      <c r="LZM105" s="3"/>
      <c r="LZN105" s="3"/>
      <c r="LZO105" s="3"/>
      <c r="LZP105" s="3"/>
      <c r="LZQ105" s="3"/>
      <c r="LZR105" s="3"/>
      <c r="LZS105" s="3"/>
      <c r="LZT105" s="3"/>
      <c r="LZU105" s="3"/>
      <c r="LZV105" s="3"/>
      <c r="LZW105" s="3"/>
      <c r="LZX105" s="3"/>
      <c r="LZY105" s="3"/>
      <c r="LZZ105" s="3"/>
      <c r="MAA105" s="3"/>
      <c r="MAB105" s="3"/>
      <c r="MAC105" s="3"/>
      <c r="MAD105" s="3"/>
      <c r="MAE105" s="3"/>
      <c r="MAF105" s="3"/>
      <c r="MAG105" s="3"/>
      <c r="MAH105" s="3"/>
      <c r="MAI105" s="3"/>
      <c r="MAJ105" s="3"/>
      <c r="MAK105" s="3"/>
      <c r="MAL105" s="3"/>
      <c r="MAM105" s="3"/>
      <c r="MAN105" s="3"/>
      <c r="MAO105" s="3"/>
      <c r="MAP105" s="3"/>
      <c r="MAQ105" s="3"/>
      <c r="MAR105" s="3"/>
      <c r="MAS105" s="3"/>
      <c r="MAT105" s="3"/>
      <c r="MAU105" s="3"/>
      <c r="MAV105" s="3"/>
      <c r="MAW105" s="3"/>
      <c r="MAX105" s="3"/>
      <c r="MAY105" s="3"/>
      <c r="MAZ105" s="3"/>
      <c r="MBA105" s="3"/>
      <c r="MBB105" s="3"/>
      <c r="MBC105" s="3"/>
      <c r="MBD105" s="3"/>
      <c r="MBE105" s="3"/>
      <c r="MBF105" s="3"/>
      <c r="MBG105" s="3"/>
      <c r="MBH105" s="3"/>
      <c r="MBI105" s="3"/>
      <c r="MBJ105" s="3"/>
      <c r="MBK105" s="3"/>
      <c r="MBL105" s="3"/>
      <c r="MBM105" s="3"/>
      <c r="MBN105" s="3"/>
      <c r="MBO105" s="3"/>
      <c r="MBP105" s="3"/>
      <c r="MBQ105" s="3"/>
      <c r="MBR105" s="3"/>
      <c r="MBS105" s="3"/>
      <c r="MBT105" s="3"/>
      <c r="MBU105" s="3"/>
      <c r="MBV105" s="3"/>
      <c r="MBW105" s="3"/>
      <c r="MBX105" s="3"/>
      <c r="MBY105" s="3"/>
      <c r="MBZ105" s="3"/>
      <c r="MCA105" s="3"/>
      <c r="MCB105" s="3"/>
      <c r="MCC105" s="3"/>
      <c r="MCD105" s="3"/>
      <c r="MCE105" s="3"/>
      <c r="MCF105" s="3"/>
      <c r="MCG105" s="3"/>
      <c r="MCH105" s="3"/>
      <c r="MCI105" s="3"/>
      <c r="MCJ105" s="3"/>
      <c r="MCK105" s="3"/>
      <c r="MCL105" s="3"/>
      <c r="MCM105" s="3"/>
      <c r="MCN105" s="3"/>
      <c r="MCO105" s="3"/>
      <c r="MCP105" s="3"/>
      <c r="MCQ105" s="3"/>
      <c r="MCR105" s="3"/>
      <c r="MCS105" s="3"/>
      <c r="MCT105" s="3"/>
      <c r="MCU105" s="3"/>
      <c r="MCV105" s="3"/>
      <c r="MCW105" s="3"/>
      <c r="MCX105" s="3"/>
      <c r="MCY105" s="3"/>
      <c r="MCZ105" s="3"/>
      <c r="MDA105" s="3"/>
      <c r="MDB105" s="3"/>
      <c r="MDC105" s="3"/>
      <c r="MDD105" s="3"/>
      <c r="MDE105" s="3"/>
      <c r="MDF105" s="3"/>
      <c r="MDG105" s="3"/>
      <c r="MDH105" s="3"/>
      <c r="MDI105" s="3"/>
      <c r="MDJ105" s="3"/>
      <c r="MDK105" s="3"/>
      <c r="MDL105" s="3"/>
      <c r="MDM105" s="3"/>
      <c r="MDN105" s="3"/>
      <c r="MDO105" s="3"/>
      <c r="MDP105" s="3"/>
      <c r="MDQ105" s="3"/>
      <c r="MDR105" s="3"/>
      <c r="MDS105" s="3"/>
      <c r="MDT105" s="3"/>
      <c r="MDU105" s="3"/>
      <c r="MDV105" s="3"/>
      <c r="MDW105" s="3"/>
      <c r="MDX105" s="3"/>
      <c r="MDY105" s="3"/>
      <c r="MDZ105" s="3"/>
      <c r="MEA105" s="3"/>
      <c r="MEB105" s="3"/>
      <c r="MEC105" s="3"/>
      <c r="MED105" s="3"/>
      <c r="MEE105" s="3"/>
      <c r="MEF105" s="3"/>
      <c r="MEG105" s="3"/>
      <c r="MEH105" s="3"/>
      <c r="MEI105" s="3"/>
      <c r="MEJ105" s="3"/>
      <c r="MEK105" s="3"/>
      <c r="MEL105" s="3"/>
      <c r="MEM105" s="3"/>
      <c r="MEN105" s="3"/>
      <c r="MEO105" s="3"/>
      <c r="MEP105" s="3"/>
      <c r="MEQ105" s="3"/>
      <c r="MER105" s="3"/>
      <c r="MES105" s="3"/>
      <c r="MET105" s="3"/>
      <c r="MEU105" s="3"/>
      <c r="MEV105" s="3"/>
      <c r="MEW105" s="3"/>
      <c r="MEX105" s="3"/>
      <c r="MEY105" s="3"/>
      <c r="MEZ105" s="3"/>
      <c r="MFA105" s="3"/>
      <c r="MFB105" s="3"/>
      <c r="MFC105" s="3"/>
      <c r="MFD105" s="3"/>
      <c r="MFE105" s="3"/>
      <c r="MFF105" s="3"/>
      <c r="MFG105" s="3"/>
      <c r="MFH105" s="3"/>
      <c r="MFI105" s="3"/>
      <c r="MFJ105" s="3"/>
      <c r="MFK105" s="3"/>
      <c r="MFL105" s="3"/>
      <c r="MFM105" s="3"/>
      <c r="MFN105" s="3"/>
      <c r="MFO105" s="3"/>
      <c r="MFP105" s="3"/>
      <c r="MFQ105" s="3"/>
      <c r="MFR105" s="3"/>
      <c r="MFS105" s="3"/>
      <c r="MFT105" s="3"/>
      <c r="MFU105" s="3"/>
      <c r="MFV105" s="3"/>
      <c r="MFW105" s="3"/>
      <c r="MFX105" s="3"/>
      <c r="MFY105" s="3"/>
      <c r="MFZ105" s="3"/>
      <c r="MGA105" s="3"/>
      <c r="MGB105" s="3"/>
      <c r="MGC105" s="3"/>
      <c r="MGD105" s="3"/>
      <c r="MGE105" s="3"/>
      <c r="MGF105" s="3"/>
      <c r="MGG105" s="3"/>
      <c r="MGH105" s="3"/>
      <c r="MGI105" s="3"/>
      <c r="MGJ105" s="3"/>
      <c r="MGK105" s="3"/>
      <c r="MGL105" s="3"/>
      <c r="MGM105" s="3"/>
      <c r="MGN105" s="3"/>
      <c r="MGO105" s="3"/>
      <c r="MGP105" s="3"/>
      <c r="MGQ105" s="3"/>
      <c r="MGR105" s="3"/>
      <c r="MGS105" s="3"/>
      <c r="MGT105" s="3"/>
      <c r="MGU105" s="3"/>
      <c r="MGV105" s="3"/>
      <c r="MGW105" s="3"/>
      <c r="MGX105" s="3"/>
      <c r="MGY105" s="3"/>
      <c r="MGZ105" s="3"/>
      <c r="MHA105" s="3"/>
      <c r="MHB105" s="3"/>
      <c r="MHC105" s="3"/>
      <c r="MHD105" s="3"/>
      <c r="MHE105" s="3"/>
      <c r="MHF105" s="3"/>
      <c r="MHG105" s="3"/>
      <c r="MHH105" s="3"/>
      <c r="MHI105" s="3"/>
      <c r="MHJ105" s="3"/>
      <c r="MHK105" s="3"/>
      <c r="MHL105" s="3"/>
      <c r="MHM105" s="3"/>
      <c r="MHN105" s="3"/>
      <c r="MHO105" s="3"/>
      <c r="MHP105" s="3"/>
      <c r="MHQ105" s="3"/>
      <c r="MHR105" s="3"/>
      <c r="MHS105" s="3"/>
      <c r="MHT105" s="3"/>
      <c r="MHU105" s="3"/>
      <c r="MHV105" s="3"/>
      <c r="MHW105" s="3"/>
      <c r="MHX105" s="3"/>
      <c r="MHY105" s="3"/>
      <c r="MHZ105" s="3"/>
      <c r="MIA105" s="3"/>
      <c r="MIB105" s="3"/>
      <c r="MIC105" s="3"/>
      <c r="MID105" s="3"/>
      <c r="MIE105" s="3"/>
      <c r="MIF105" s="3"/>
      <c r="MIG105" s="3"/>
      <c r="MIH105" s="3"/>
      <c r="MII105" s="3"/>
      <c r="MIJ105" s="3"/>
      <c r="MIK105" s="3"/>
      <c r="MIL105" s="3"/>
      <c r="MIM105" s="3"/>
      <c r="MIN105" s="3"/>
      <c r="MIO105" s="3"/>
      <c r="MIP105" s="3"/>
      <c r="MIQ105" s="3"/>
      <c r="MIR105" s="3"/>
      <c r="MIS105" s="3"/>
      <c r="MIT105" s="3"/>
      <c r="MIU105" s="3"/>
      <c r="MIV105" s="3"/>
      <c r="MIW105" s="3"/>
      <c r="MIX105" s="3"/>
      <c r="MIY105" s="3"/>
      <c r="MIZ105" s="3"/>
      <c r="MJA105" s="3"/>
      <c r="MJB105" s="3"/>
      <c r="MJC105" s="3"/>
      <c r="MJD105" s="3"/>
      <c r="MJE105" s="3"/>
      <c r="MJF105" s="3"/>
      <c r="MJG105" s="3"/>
      <c r="MJH105" s="3"/>
      <c r="MJI105" s="3"/>
      <c r="MJJ105" s="3"/>
      <c r="MJK105" s="3"/>
      <c r="MJL105" s="3"/>
      <c r="MJM105" s="3"/>
      <c r="MJN105" s="3"/>
      <c r="MJO105" s="3"/>
      <c r="MJP105" s="3"/>
      <c r="MJQ105" s="3"/>
      <c r="MJR105" s="3"/>
      <c r="MJS105" s="3"/>
      <c r="MJT105" s="3"/>
      <c r="MJU105" s="3"/>
      <c r="MJV105" s="3"/>
      <c r="MJW105" s="3"/>
      <c r="MJX105" s="3"/>
      <c r="MJY105" s="3"/>
      <c r="MJZ105" s="3"/>
      <c r="MKA105" s="3"/>
      <c r="MKB105" s="3"/>
      <c r="MKC105" s="3"/>
      <c r="MKD105" s="3"/>
      <c r="MKE105" s="3"/>
      <c r="MKF105" s="3"/>
      <c r="MKG105" s="3"/>
      <c r="MKH105" s="3"/>
      <c r="MKI105" s="3"/>
      <c r="MKJ105" s="3"/>
      <c r="MKK105" s="3"/>
      <c r="MKL105" s="3"/>
      <c r="MKM105" s="3"/>
      <c r="MKN105" s="3"/>
      <c r="MKO105" s="3"/>
      <c r="MKP105" s="3"/>
      <c r="MKQ105" s="3"/>
      <c r="MKR105" s="3"/>
      <c r="MKS105" s="3"/>
      <c r="MKT105" s="3"/>
      <c r="MKU105" s="3"/>
      <c r="MKV105" s="3"/>
      <c r="MKW105" s="3"/>
      <c r="MKX105" s="3"/>
      <c r="MKY105" s="3"/>
      <c r="MKZ105" s="3"/>
      <c r="MLA105" s="3"/>
      <c r="MLB105" s="3"/>
      <c r="MLC105" s="3"/>
      <c r="MLD105" s="3"/>
      <c r="MLE105" s="3"/>
      <c r="MLF105" s="3"/>
      <c r="MLG105" s="3"/>
      <c r="MLH105" s="3"/>
      <c r="MLI105" s="3"/>
      <c r="MLJ105" s="3"/>
      <c r="MLK105" s="3"/>
      <c r="MLL105" s="3"/>
      <c r="MLM105" s="3"/>
      <c r="MLN105" s="3"/>
      <c r="MLO105" s="3"/>
      <c r="MLP105" s="3"/>
      <c r="MLQ105" s="3"/>
      <c r="MLR105" s="3"/>
      <c r="MLS105" s="3"/>
      <c r="MLT105" s="3"/>
      <c r="MLU105" s="3"/>
      <c r="MLV105" s="3"/>
      <c r="MLW105" s="3"/>
      <c r="MLX105" s="3"/>
      <c r="MLY105" s="3"/>
      <c r="MLZ105" s="3"/>
      <c r="MMA105" s="3"/>
      <c r="MMB105" s="3"/>
      <c r="MMC105" s="3"/>
      <c r="MMD105" s="3"/>
      <c r="MME105" s="3"/>
      <c r="MMF105" s="3"/>
      <c r="MMG105" s="3"/>
      <c r="MMH105" s="3"/>
      <c r="MMI105" s="3"/>
      <c r="MMJ105" s="3"/>
      <c r="MMK105" s="3"/>
      <c r="MML105" s="3"/>
      <c r="MMM105" s="3"/>
      <c r="MMN105" s="3"/>
      <c r="MMO105" s="3"/>
      <c r="MMP105" s="3"/>
      <c r="MMQ105" s="3"/>
      <c r="MMR105" s="3"/>
      <c r="MMS105" s="3"/>
      <c r="MMT105" s="3"/>
      <c r="MMU105" s="3"/>
      <c r="MMV105" s="3"/>
      <c r="MMW105" s="3"/>
      <c r="MMX105" s="3"/>
      <c r="MMY105" s="3"/>
      <c r="MMZ105" s="3"/>
      <c r="MNA105" s="3"/>
      <c r="MNB105" s="3"/>
      <c r="MNC105" s="3"/>
      <c r="MND105" s="3"/>
      <c r="MNE105" s="3"/>
      <c r="MNF105" s="3"/>
      <c r="MNG105" s="3"/>
      <c r="MNH105" s="3"/>
      <c r="MNI105" s="3"/>
      <c r="MNJ105" s="3"/>
      <c r="MNK105" s="3"/>
      <c r="MNL105" s="3"/>
      <c r="MNM105" s="3"/>
      <c r="MNN105" s="3"/>
      <c r="MNO105" s="3"/>
      <c r="MNP105" s="3"/>
      <c r="MNQ105" s="3"/>
      <c r="MNR105" s="3"/>
      <c r="MNS105" s="3"/>
      <c r="MNT105" s="3"/>
      <c r="MNU105" s="3"/>
      <c r="MNV105" s="3"/>
      <c r="MNW105" s="3"/>
      <c r="MNX105" s="3"/>
      <c r="MNY105" s="3"/>
      <c r="MNZ105" s="3"/>
      <c r="MOA105" s="3"/>
      <c r="MOB105" s="3"/>
      <c r="MOC105" s="3"/>
      <c r="MOD105" s="3"/>
      <c r="MOE105" s="3"/>
      <c r="MOF105" s="3"/>
      <c r="MOG105" s="3"/>
      <c r="MOH105" s="3"/>
      <c r="MOI105" s="3"/>
      <c r="MOJ105" s="3"/>
      <c r="MOK105" s="3"/>
      <c r="MOL105" s="3"/>
      <c r="MOM105" s="3"/>
      <c r="MON105" s="3"/>
      <c r="MOO105" s="3"/>
      <c r="MOP105" s="3"/>
      <c r="MOQ105" s="3"/>
      <c r="MOR105" s="3"/>
      <c r="MOS105" s="3"/>
      <c r="MOT105" s="3"/>
      <c r="MOU105" s="3"/>
      <c r="MOV105" s="3"/>
      <c r="MOW105" s="3"/>
      <c r="MOX105" s="3"/>
      <c r="MOY105" s="3"/>
      <c r="MOZ105" s="3"/>
      <c r="MPA105" s="3"/>
      <c r="MPB105" s="3"/>
      <c r="MPC105" s="3"/>
      <c r="MPD105" s="3"/>
      <c r="MPE105" s="3"/>
      <c r="MPF105" s="3"/>
      <c r="MPG105" s="3"/>
      <c r="MPH105" s="3"/>
      <c r="MPI105" s="3"/>
      <c r="MPJ105" s="3"/>
      <c r="MPK105" s="3"/>
      <c r="MPL105" s="3"/>
      <c r="MPM105" s="3"/>
      <c r="MPN105" s="3"/>
      <c r="MPO105" s="3"/>
      <c r="MPP105" s="3"/>
      <c r="MPQ105" s="3"/>
      <c r="MPR105" s="3"/>
      <c r="MPS105" s="3"/>
      <c r="MPT105" s="3"/>
      <c r="MPU105" s="3"/>
      <c r="MPV105" s="3"/>
      <c r="MPW105" s="3"/>
      <c r="MPX105" s="3"/>
      <c r="MPY105" s="3"/>
      <c r="MPZ105" s="3"/>
      <c r="MQA105" s="3"/>
      <c r="MQB105" s="3"/>
      <c r="MQC105" s="3"/>
      <c r="MQD105" s="3"/>
      <c r="MQE105" s="3"/>
      <c r="MQF105" s="3"/>
      <c r="MQG105" s="3"/>
      <c r="MQH105" s="3"/>
      <c r="MQI105" s="3"/>
      <c r="MQJ105" s="3"/>
      <c r="MQK105" s="3"/>
      <c r="MQL105" s="3"/>
      <c r="MQM105" s="3"/>
      <c r="MQN105" s="3"/>
      <c r="MQO105" s="3"/>
      <c r="MQP105" s="3"/>
      <c r="MQQ105" s="3"/>
      <c r="MQR105" s="3"/>
      <c r="MQS105" s="3"/>
      <c r="MQT105" s="3"/>
      <c r="MQU105" s="3"/>
      <c r="MQV105" s="3"/>
      <c r="MQW105" s="3"/>
      <c r="MQX105" s="3"/>
      <c r="MQY105" s="3"/>
      <c r="MQZ105" s="3"/>
      <c r="MRA105" s="3"/>
      <c r="MRB105" s="3"/>
      <c r="MRC105" s="3"/>
      <c r="MRD105" s="3"/>
      <c r="MRE105" s="3"/>
      <c r="MRF105" s="3"/>
      <c r="MRG105" s="3"/>
      <c r="MRH105" s="3"/>
      <c r="MRI105" s="3"/>
      <c r="MRJ105" s="3"/>
      <c r="MRK105" s="3"/>
      <c r="MRL105" s="3"/>
      <c r="MRM105" s="3"/>
      <c r="MRN105" s="3"/>
      <c r="MRO105" s="3"/>
      <c r="MRP105" s="3"/>
      <c r="MRQ105" s="3"/>
      <c r="MRR105" s="3"/>
      <c r="MRS105" s="3"/>
      <c r="MRT105" s="3"/>
      <c r="MRU105" s="3"/>
      <c r="MRV105" s="3"/>
      <c r="MRW105" s="3"/>
      <c r="MRX105" s="3"/>
      <c r="MRY105" s="3"/>
      <c r="MRZ105" s="3"/>
      <c r="MSA105" s="3"/>
      <c r="MSB105" s="3"/>
      <c r="MSC105" s="3"/>
      <c r="MSD105" s="3"/>
      <c r="MSE105" s="3"/>
      <c r="MSF105" s="3"/>
      <c r="MSG105" s="3"/>
      <c r="MSH105" s="3"/>
      <c r="MSI105" s="3"/>
      <c r="MSJ105" s="3"/>
      <c r="MSK105" s="3"/>
      <c r="MSL105" s="3"/>
      <c r="MSM105" s="3"/>
      <c r="MSN105" s="3"/>
      <c r="MSO105" s="3"/>
      <c r="MSP105" s="3"/>
      <c r="MSQ105" s="3"/>
      <c r="MSR105" s="3"/>
      <c r="MSS105" s="3"/>
      <c r="MST105" s="3"/>
      <c r="MSU105" s="3"/>
      <c r="MSV105" s="3"/>
      <c r="MSW105" s="3"/>
      <c r="MSX105" s="3"/>
      <c r="MSY105" s="3"/>
      <c r="MSZ105" s="3"/>
      <c r="MTA105" s="3"/>
      <c r="MTB105" s="3"/>
      <c r="MTC105" s="3"/>
      <c r="MTD105" s="3"/>
      <c r="MTE105" s="3"/>
      <c r="MTF105" s="3"/>
      <c r="MTG105" s="3"/>
      <c r="MTH105" s="3"/>
      <c r="MTI105" s="3"/>
      <c r="MTJ105" s="3"/>
      <c r="MTK105" s="3"/>
      <c r="MTL105" s="3"/>
      <c r="MTM105" s="3"/>
      <c r="MTN105" s="3"/>
      <c r="MTO105" s="3"/>
      <c r="MTP105" s="3"/>
      <c r="MTQ105" s="3"/>
      <c r="MTR105" s="3"/>
      <c r="MTS105" s="3"/>
      <c r="MTT105" s="3"/>
      <c r="MTU105" s="3"/>
      <c r="MTV105" s="3"/>
      <c r="MTW105" s="3"/>
      <c r="MTX105" s="3"/>
      <c r="MTY105" s="3"/>
      <c r="MTZ105" s="3"/>
      <c r="MUA105" s="3"/>
      <c r="MUB105" s="3"/>
      <c r="MUC105" s="3"/>
      <c r="MUD105" s="3"/>
      <c r="MUE105" s="3"/>
      <c r="MUF105" s="3"/>
      <c r="MUG105" s="3"/>
      <c r="MUH105" s="3"/>
      <c r="MUI105" s="3"/>
      <c r="MUJ105" s="3"/>
      <c r="MUK105" s="3"/>
      <c r="MUL105" s="3"/>
      <c r="MUM105" s="3"/>
      <c r="MUN105" s="3"/>
      <c r="MUO105" s="3"/>
      <c r="MUP105" s="3"/>
      <c r="MUQ105" s="3"/>
      <c r="MUR105" s="3"/>
      <c r="MUS105" s="3"/>
      <c r="MUT105" s="3"/>
      <c r="MUU105" s="3"/>
      <c r="MUV105" s="3"/>
      <c r="MUW105" s="3"/>
      <c r="MUX105" s="3"/>
      <c r="MUY105" s="3"/>
      <c r="MUZ105" s="3"/>
      <c r="MVA105" s="3"/>
      <c r="MVB105" s="3"/>
      <c r="MVC105" s="3"/>
      <c r="MVD105" s="3"/>
      <c r="MVE105" s="3"/>
      <c r="MVF105" s="3"/>
      <c r="MVG105" s="3"/>
      <c r="MVH105" s="3"/>
      <c r="MVI105" s="3"/>
      <c r="MVJ105" s="3"/>
      <c r="MVK105" s="3"/>
      <c r="MVL105" s="3"/>
      <c r="MVM105" s="3"/>
      <c r="MVN105" s="3"/>
      <c r="MVO105" s="3"/>
      <c r="MVP105" s="3"/>
      <c r="MVQ105" s="3"/>
      <c r="MVR105" s="3"/>
      <c r="MVS105" s="3"/>
      <c r="MVT105" s="3"/>
      <c r="MVU105" s="3"/>
      <c r="MVV105" s="3"/>
      <c r="MVW105" s="3"/>
      <c r="MVX105" s="3"/>
      <c r="MVY105" s="3"/>
      <c r="MVZ105" s="3"/>
      <c r="MWA105" s="3"/>
      <c r="MWB105" s="3"/>
      <c r="MWC105" s="3"/>
      <c r="MWD105" s="3"/>
      <c r="MWE105" s="3"/>
      <c r="MWF105" s="3"/>
      <c r="MWG105" s="3"/>
      <c r="MWH105" s="3"/>
      <c r="MWI105" s="3"/>
      <c r="MWJ105" s="3"/>
      <c r="MWK105" s="3"/>
      <c r="MWL105" s="3"/>
      <c r="MWM105" s="3"/>
      <c r="MWN105" s="3"/>
      <c r="MWO105" s="3"/>
      <c r="MWP105" s="3"/>
      <c r="MWQ105" s="3"/>
      <c r="MWR105" s="3"/>
      <c r="MWS105" s="3"/>
      <c r="MWT105" s="3"/>
      <c r="MWU105" s="3"/>
      <c r="MWV105" s="3"/>
      <c r="MWW105" s="3"/>
      <c r="MWX105" s="3"/>
      <c r="MWY105" s="3"/>
      <c r="MWZ105" s="3"/>
      <c r="MXA105" s="3"/>
      <c r="MXB105" s="3"/>
      <c r="MXC105" s="3"/>
      <c r="MXD105" s="3"/>
      <c r="MXE105" s="3"/>
      <c r="MXF105" s="3"/>
      <c r="MXG105" s="3"/>
      <c r="MXH105" s="3"/>
      <c r="MXI105" s="3"/>
      <c r="MXJ105" s="3"/>
      <c r="MXK105" s="3"/>
      <c r="MXL105" s="3"/>
      <c r="MXM105" s="3"/>
      <c r="MXN105" s="3"/>
      <c r="MXO105" s="3"/>
      <c r="MXP105" s="3"/>
      <c r="MXQ105" s="3"/>
      <c r="MXR105" s="3"/>
      <c r="MXS105" s="3"/>
      <c r="MXT105" s="3"/>
      <c r="MXU105" s="3"/>
      <c r="MXV105" s="3"/>
      <c r="MXW105" s="3"/>
      <c r="MXX105" s="3"/>
      <c r="MXY105" s="3"/>
      <c r="MXZ105" s="3"/>
      <c r="MYA105" s="3"/>
      <c r="MYB105" s="3"/>
      <c r="MYC105" s="3"/>
      <c r="MYD105" s="3"/>
      <c r="MYE105" s="3"/>
      <c r="MYF105" s="3"/>
      <c r="MYG105" s="3"/>
      <c r="MYH105" s="3"/>
      <c r="MYI105" s="3"/>
      <c r="MYJ105" s="3"/>
      <c r="MYK105" s="3"/>
      <c r="MYL105" s="3"/>
      <c r="MYM105" s="3"/>
      <c r="MYN105" s="3"/>
      <c r="MYO105" s="3"/>
      <c r="MYP105" s="3"/>
      <c r="MYQ105" s="3"/>
      <c r="MYR105" s="3"/>
      <c r="MYS105" s="3"/>
      <c r="MYT105" s="3"/>
      <c r="MYU105" s="3"/>
      <c r="MYV105" s="3"/>
      <c r="MYW105" s="3"/>
      <c r="MYX105" s="3"/>
      <c r="MYY105" s="3"/>
      <c r="MYZ105" s="3"/>
      <c r="MZA105" s="3"/>
      <c r="MZB105" s="3"/>
      <c r="MZC105" s="3"/>
      <c r="MZD105" s="3"/>
      <c r="MZE105" s="3"/>
      <c r="MZF105" s="3"/>
      <c r="MZG105" s="3"/>
      <c r="MZH105" s="3"/>
      <c r="MZI105" s="3"/>
      <c r="MZJ105" s="3"/>
      <c r="MZK105" s="3"/>
      <c r="MZL105" s="3"/>
      <c r="MZM105" s="3"/>
      <c r="MZN105" s="3"/>
      <c r="MZO105" s="3"/>
      <c r="MZP105" s="3"/>
      <c r="MZQ105" s="3"/>
      <c r="MZR105" s="3"/>
      <c r="MZS105" s="3"/>
      <c r="MZT105" s="3"/>
      <c r="MZU105" s="3"/>
      <c r="MZV105" s="3"/>
      <c r="MZW105" s="3"/>
      <c r="MZX105" s="3"/>
      <c r="MZY105" s="3"/>
      <c r="MZZ105" s="3"/>
      <c r="NAA105" s="3"/>
      <c r="NAB105" s="3"/>
      <c r="NAC105" s="3"/>
      <c r="NAD105" s="3"/>
      <c r="NAE105" s="3"/>
      <c r="NAF105" s="3"/>
      <c r="NAG105" s="3"/>
      <c r="NAH105" s="3"/>
      <c r="NAI105" s="3"/>
      <c r="NAJ105" s="3"/>
      <c r="NAK105" s="3"/>
      <c r="NAL105" s="3"/>
      <c r="NAM105" s="3"/>
      <c r="NAN105" s="3"/>
      <c r="NAO105" s="3"/>
      <c r="NAP105" s="3"/>
      <c r="NAQ105" s="3"/>
      <c r="NAR105" s="3"/>
      <c r="NAS105" s="3"/>
      <c r="NAT105" s="3"/>
      <c r="NAU105" s="3"/>
      <c r="NAV105" s="3"/>
      <c r="NAW105" s="3"/>
      <c r="NAX105" s="3"/>
      <c r="NAY105" s="3"/>
      <c r="NAZ105" s="3"/>
      <c r="NBA105" s="3"/>
      <c r="NBB105" s="3"/>
      <c r="NBC105" s="3"/>
      <c r="NBD105" s="3"/>
      <c r="NBE105" s="3"/>
      <c r="NBF105" s="3"/>
      <c r="NBG105" s="3"/>
      <c r="NBH105" s="3"/>
      <c r="NBI105" s="3"/>
      <c r="NBJ105" s="3"/>
      <c r="NBK105" s="3"/>
      <c r="NBL105" s="3"/>
      <c r="NBM105" s="3"/>
      <c r="NBN105" s="3"/>
      <c r="NBO105" s="3"/>
      <c r="NBP105" s="3"/>
      <c r="NBQ105" s="3"/>
      <c r="NBR105" s="3"/>
      <c r="NBS105" s="3"/>
      <c r="NBT105" s="3"/>
      <c r="NBU105" s="3"/>
      <c r="NBV105" s="3"/>
      <c r="NBW105" s="3"/>
      <c r="NBX105" s="3"/>
      <c r="NBY105" s="3"/>
      <c r="NBZ105" s="3"/>
      <c r="NCA105" s="3"/>
      <c r="NCB105" s="3"/>
      <c r="NCC105" s="3"/>
      <c r="NCD105" s="3"/>
      <c r="NCE105" s="3"/>
      <c r="NCF105" s="3"/>
      <c r="NCG105" s="3"/>
      <c r="NCH105" s="3"/>
      <c r="NCI105" s="3"/>
      <c r="NCJ105" s="3"/>
      <c r="NCK105" s="3"/>
      <c r="NCL105" s="3"/>
      <c r="NCM105" s="3"/>
      <c r="NCN105" s="3"/>
      <c r="NCO105" s="3"/>
      <c r="NCP105" s="3"/>
      <c r="NCQ105" s="3"/>
      <c r="NCR105" s="3"/>
      <c r="NCS105" s="3"/>
      <c r="NCT105" s="3"/>
      <c r="NCU105" s="3"/>
      <c r="NCV105" s="3"/>
      <c r="NCW105" s="3"/>
      <c r="NCX105" s="3"/>
      <c r="NCY105" s="3"/>
      <c r="NCZ105" s="3"/>
      <c r="NDA105" s="3"/>
      <c r="NDB105" s="3"/>
      <c r="NDC105" s="3"/>
      <c r="NDD105" s="3"/>
      <c r="NDE105" s="3"/>
      <c r="NDF105" s="3"/>
      <c r="NDG105" s="3"/>
      <c r="NDH105" s="3"/>
      <c r="NDI105" s="3"/>
      <c r="NDJ105" s="3"/>
      <c r="NDK105" s="3"/>
      <c r="NDL105" s="3"/>
      <c r="NDM105" s="3"/>
      <c r="NDN105" s="3"/>
      <c r="NDO105" s="3"/>
      <c r="NDP105" s="3"/>
      <c r="NDQ105" s="3"/>
      <c r="NDR105" s="3"/>
      <c r="NDS105" s="3"/>
      <c r="NDT105" s="3"/>
      <c r="NDU105" s="3"/>
      <c r="NDV105" s="3"/>
      <c r="NDW105" s="3"/>
      <c r="NDX105" s="3"/>
      <c r="NDY105" s="3"/>
      <c r="NDZ105" s="3"/>
      <c r="NEA105" s="3"/>
      <c r="NEB105" s="3"/>
      <c r="NEC105" s="3"/>
      <c r="NED105" s="3"/>
      <c r="NEE105" s="3"/>
      <c r="NEF105" s="3"/>
      <c r="NEG105" s="3"/>
      <c r="NEH105" s="3"/>
      <c r="NEI105" s="3"/>
      <c r="NEJ105" s="3"/>
      <c r="NEK105" s="3"/>
      <c r="NEL105" s="3"/>
      <c r="NEM105" s="3"/>
      <c r="NEN105" s="3"/>
      <c r="NEO105" s="3"/>
      <c r="NEP105" s="3"/>
      <c r="NEQ105" s="3"/>
      <c r="NER105" s="3"/>
      <c r="NES105" s="3"/>
      <c r="NET105" s="3"/>
      <c r="NEU105" s="3"/>
      <c r="NEV105" s="3"/>
      <c r="NEW105" s="3"/>
      <c r="NEX105" s="3"/>
      <c r="NEY105" s="3"/>
      <c r="NEZ105" s="3"/>
      <c r="NFA105" s="3"/>
      <c r="NFB105" s="3"/>
      <c r="NFC105" s="3"/>
      <c r="NFD105" s="3"/>
      <c r="NFE105" s="3"/>
      <c r="NFF105" s="3"/>
      <c r="NFG105" s="3"/>
      <c r="NFH105" s="3"/>
      <c r="NFI105" s="3"/>
      <c r="NFJ105" s="3"/>
      <c r="NFK105" s="3"/>
      <c r="NFL105" s="3"/>
      <c r="NFM105" s="3"/>
      <c r="NFN105" s="3"/>
      <c r="NFO105" s="3"/>
      <c r="NFP105" s="3"/>
      <c r="NFQ105" s="3"/>
      <c r="NFR105" s="3"/>
      <c r="NFS105" s="3"/>
      <c r="NFT105" s="3"/>
      <c r="NFU105" s="3"/>
      <c r="NFV105" s="3"/>
      <c r="NFW105" s="3"/>
      <c r="NFX105" s="3"/>
      <c r="NFY105" s="3"/>
      <c r="NFZ105" s="3"/>
      <c r="NGA105" s="3"/>
      <c r="NGB105" s="3"/>
      <c r="NGC105" s="3"/>
      <c r="NGD105" s="3"/>
      <c r="NGE105" s="3"/>
      <c r="NGF105" s="3"/>
      <c r="NGG105" s="3"/>
      <c r="NGH105" s="3"/>
      <c r="NGI105" s="3"/>
      <c r="NGJ105" s="3"/>
      <c r="NGK105" s="3"/>
      <c r="NGL105" s="3"/>
      <c r="NGM105" s="3"/>
      <c r="NGN105" s="3"/>
      <c r="NGO105" s="3"/>
      <c r="NGP105" s="3"/>
      <c r="NGQ105" s="3"/>
      <c r="NGR105" s="3"/>
      <c r="NGS105" s="3"/>
      <c r="NGT105" s="3"/>
      <c r="NGU105" s="3"/>
      <c r="NGV105" s="3"/>
      <c r="NGW105" s="3"/>
      <c r="NGX105" s="3"/>
      <c r="NGY105" s="3"/>
      <c r="NGZ105" s="3"/>
      <c r="NHA105" s="3"/>
      <c r="NHB105" s="3"/>
      <c r="NHC105" s="3"/>
      <c r="NHD105" s="3"/>
      <c r="NHE105" s="3"/>
      <c r="NHF105" s="3"/>
      <c r="NHG105" s="3"/>
      <c r="NHH105" s="3"/>
      <c r="NHI105" s="3"/>
      <c r="NHJ105" s="3"/>
      <c r="NHK105" s="3"/>
      <c r="NHL105" s="3"/>
      <c r="NHM105" s="3"/>
      <c r="NHN105" s="3"/>
      <c r="NHO105" s="3"/>
      <c r="NHP105" s="3"/>
      <c r="NHQ105" s="3"/>
      <c r="NHR105" s="3"/>
      <c r="NHS105" s="3"/>
      <c r="NHT105" s="3"/>
      <c r="NHU105" s="3"/>
      <c r="NHV105" s="3"/>
      <c r="NHW105" s="3"/>
      <c r="NHX105" s="3"/>
      <c r="NHY105" s="3"/>
      <c r="NHZ105" s="3"/>
      <c r="NIA105" s="3"/>
      <c r="NIB105" s="3"/>
      <c r="NIC105" s="3"/>
      <c r="NID105" s="3"/>
      <c r="NIE105" s="3"/>
      <c r="NIF105" s="3"/>
      <c r="NIG105" s="3"/>
      <c r="NIH105" s="3"/>
      <c r="NII105" s="3"/>
      <c r="NIJ105" s="3"/>
      <c r="NIK105" s="3"/>
      <c r="NIL105" s="3"/>
      <c r="NIM105" s="3"/>
      <c r="NIN105" s="3"/>
      <c r="NIO105" s="3"/>
      <c r="NIP105" s="3"/>
      <c r="NIQ105" s="3"/>
      <c r="NIR105" s="3"/>
      <c r="NIS105" s="3"/>
      <c r="NIT105" s="3"/>
      <c r="NIU105" s="3"/>
      <c r="NIV105" s="3"/>
      <c r="NIW105" s="3"/>
      <c r="NIX105" s="3"/>
      <c r="NIY105" s="3"/>
      <c r="NIZ105" s="3"/>
      <c r="NJA105" s="3"/>
      <c r="NJB105" s="3"/>
      <c r="NJC105" s="3"/>
      <c r="NJD105" s="3"/>
      <c r="NJE105" s="3"/>
      <c r="NJF105" s="3"/>
      <c r="NJG105" s="3"/>
      <c r="NJH105" s="3"/>
      <c r="NJI105" s="3"/>
      <c r="NJJ105" s="3"/>
      <c r="NJK105" s="3"/>
      <c r="NJL105" s="3"/>
      <c r="NJM105" s="3"/>
      <c r="NJN105" s="3"/>
      <c r="NJO105" s="3"/>
      <c r="NJP105" s="3"/>
      <c r="NJQ105" s="3"/>
      <c r="NJR105" s="3"/>
      <c r="NJS105" s="3"/>
      <c r="NJT105" s="3"/>
      <c r="NJU105" s="3"/>
      <c r="NJV105" s="3"/>
      <c r="NJW105" s="3"/>
      <c r="NJX105" s="3"/>
      <c r="NJY105" s="3"/>
      <c r="NJZ105" s="3"/>
      <c r="NKA105" s="3"/>
      <c r="NKB105" s="3"/>
      <c r="NKC105" s="3"/>
      <c r="NKD105" s="3"/>
      <c r="NKE105" s="3"/>
      <c r="NKF105" s="3"/>
      <c r="NKG105" s="3"/>
      <c r="NKH105" s="3"/>
      <c r="NKI105" s="3"/>
      <c r="NKJ105" s="3"/>
      <c r="NKK105" s="3"/>
      <c r="NKL105" s="3"/>
      <c r="NKM105" s="3"/>
      <c r="NKN105" s="3"/>
      <c r="NKO105" s="3"/>
      <c r="NKP105" s="3"/>
      <c r="NKQ105" s="3"/>
      <c r="NKR105" s="3"/>
      <c r="NKS105" s="3"/>
      <c r="NKT105" s="3"/>
      <c r="NKU105" s="3"/>
      <c r="NKV105" s="3"/>
      <c r="NKW105" s="3"/>
      <c r="NKX105" s="3"/>
      <c r="NKY105" s="3"/>
      <c r="NKZ105" s="3"/>
      <c r="NLA105" s="3"/>
      <c r="NLB105" s="3"/>
      <c r="NLC105" s="3"/>
      <c r="NLD105" s="3"/>
      <c r="NLE105" s="3"/>
      <c r="NLF105" s="3"/>
      <c r="NLG105" s="3"/>
      <c r="NLH105" s="3"/>
      <c r="NLI105" s="3"/>
      <c r="NLJ105" s="3"/>
      <c r="NLK105" s="3"/>
      <c r="NLL105" s="3"/>
      <c r="NLM105" s="3"/>
      <c r="NLN105" s="3"/>
      <c r="NLO105" s="3"/>
      <c r="NLP105" s="3"/>
      <c r="NLQ105" s="3"/>
      <c r="NLR105" s="3"/>
      <c r="NLS105" s="3"/>
      <c r="NLT105" s="3"/>
      <c r="NLU105" s="3"/>
      <c r="NLV105" s="3"/>
      <c r="NLW105" s="3"/>
      <c r="NLX105" s="3"/>
      <c r="NLY105" s="3"/>
      <c r="NLZ105" s="3"/>
      <c r="NMA105" s="3"/>
      <c r="NMB105" s="3"/>
      <c r="NMC105" s="3"/>
      <c r="NMD105" s="3"/>
      <c r="NME105" s="3"/>
      <c r="NMF105" s="3"/>
      <c r="NMG105" s="3"/>
      <c r="NMH105" s="3"/>
      <c r="NMI105" s="3"/>
      <c r="NMJ105" s="3"/>
      <c r="NMK105" s="3"/>
      <c r="NML105" s="3"/>
      <c r="NMM105" s="3"/>
      <c r="NMN105" s="3"/>
      <c r="NMO105" s="3"/>
      <c r="NMP105" s="3"/>
      <c r="NMQ105" s="3"/>
      <c r="NMR105" s="3"/>
      <c r="NMS105" s="3"/>
      <c r="NMT105" s="3"/>
      <c r="NMU105" s="3"/>
      <c r="NMV105" s="3"/>
      <c r="NMW105" s="3"/>
      <c r="NMX105" s="3"/>
      <c r="NMY105" s="3"/>
      <c r="NMZ105" s="3"/>
      <c r="NNA105" s="3"/>
      <c r="NNB105" s="3"/>
      <c r="NNC105" s="3"/>
      <c r="NND105" s="3"/>
      <c r="NNE105" s="3"/>
      <c r="NNF105" s="3"/>
      <c r="NNG105" s="3"/>
      <c r="NNH105" s="3"/>
      <c r="NNI105" s="3"/>
      <c r="NNJ105" s="3"/>
      <c r="NNK105" s="3"/>
      <c r="NNL105" s="3"/>
      <c r="NNM105" s="3"/>
      <c r="NNN105" s="3"/>
      <c r="NNO105" s="3"/>
      <c r="NNP105" s="3"/>
      <c r="NNQ105" s="3"/>
      <c r="NNR105" s="3"/>
      <c r="NNS105" s="3"/>
      <c r="NNT105" s="3"/>
      <c r="NNU105" s="3"/>
      <c r="NNV105" s="3"/>
      <c r="NNW105" s="3"/>
      <c r="NNX105" s="3"/>
      <c r="NNY105" s="3"/>
      <c r="NNZ105" s="3"/>
      <c r="NOA105" s="3"/>
      <c r="NOB105" s="3"/>
      <c r="NOC105" s="3"/>
      <c r="NOD105" s="3"/>
      <c r="NOE105" s="3"/>
      <c r="NOF105" s="3"/>
      <c r="NOG105" s="3"/>
      <c r="NOH105" s="3"/>
      <c r="NOI105" s="3"/>
      <c r="NOJ105" s="3"/>
      <c r="NOK105" s="3"/>
      <c r="NOL105" s="3"/>
      <c r="NOM105" s="3"/>
      <c r="NON105" s="3"/>
      <c r="NOO105" s="3"/>
      <c r="NOP105" s="3"/>
      <c r="NOQ105" s="3"/>
      <c r="NOR105" s="3"/>
      <c r="NOS105" s="3"/>
      <c r="NOT105" s="3"/>
      <c r="NOU105" s="3"/>
      <c r="NOV105" s="3"/>
      <c r="NOW105" s="3"/>
      <c r="NOX105" s="3"/>
      <c r="NOY105" s="3"/>
      <c r="NOZ105" s="3"/>
      <c r="NPA105" s="3"/>
      <c r="NPB105" s="3"/>
      <c r="NPC105" s="3"/>
      <c r="NPD105" s="3"/>
      <c r="NPE105" s="3"/>
      <c r="NPF105" s="3"/>
      <c r="NPG105" s="3"/>
      <c r="NPH105" s="3"/>
      <c r="NPI105" s="3"/>
      <c r="NPJ105" s="3"/>
      <c r="NPK105" s="3"/>
      <c r="NPL105" s="3"/>
      <c r="NPM105" s="3"/>
      <c r="NPN105" s="3"/>
      <c r="NPO105" s="3"/>
      <c r="NPP105" s="3"/>
      <c r="NPQ105" s="3"/>
      <c r="NPR105" s="3"/>
      <c r="NPS105" s="3"/>
      <c r="NPT105" s="3"/>
      <c r="NPU105" s="3"/>
      <c r="NPV105" s="3"/>
      <c r="NPW105" s="3"/>
      <c r="NPX105" s="3"/>
      <c r="NPY105" s="3"/>
      <c r="NPZ105" s="3"/>
      <c r="NQA105" s="3"/>
      <c r="NQB105" s="3"/>
      <c r="NQC105" s="3"/>
      <c r="NQD105" s="3"/>
      <c r="NQE105" s="3"/>
      <c r="NQF105" s="3"/>
      <c r="NQG105" s="3"/>
      <c r="NQH105" s="3"/>
      <c r="NQI105" s="3"/>
      <c r="NQJ105" s="3"/>
      <c r="NQK105" s="3"/>
      <c r="NQL105" s="3"/>
      <c r="NQM105" s="3"/>
      <c r="NQN105" s="3"/>
      <c r="NQO105" s="3"/>
      <c r="NQP105" s="3"/>
      <c r="NQQ105" s="3"/>
      <c r="NQR105" s="3"/>
      <c r="NQS105" s="3"/>
      <c r="NQT105" s="3"/>
      <c r="NQU105" s="3"/>
      <c r="NQV105" s="3"/>
      <c r="NQW105" s="3"/>
      <c r="NQX105" s="3"/>
      <c r="NQY105" s="3"/>
      <c r="NQZ105" s="3"/>
      <c r="NRA105" s="3"/>
      <c r="NRB105" s="3"/>
      <c r="NRC105" s="3"/>
      <c r="NRD105" s="3"/>
      <c r="NRE105" s="3"/>
      <c r="NRF105" s="3"/>
      <c r="NRG105" s="3"/>
      <c r="NRH105" s="3"/>
      <c r="NRI105" s="3"/>
      <c r="NRJ105" s="3"/>
      <c r="NRK105" s="3"/>
      <c r="NRL105" s="3"/>
      <c r="NRM105" s="3"/>
      <c r="NRN105" s="3"/>
      <c r="NRO105" s="3"/>
      <c r="NRP105" s="3"/>
      <c r="NRQ105" s="3"/>
      <c r="NRR105" s="3"/>
      <c r="NRS105" s="3"/>
      <c r="NRT105" s="3"/>
      <c r="NRU105" s="3"/>
      <c r="NRV105" s="3"/>
      <c r="NRW105" s="3"/>
      <c r="NRX105" s="3"/>
      <c r="NRY105" s="3"/>
      <c r="NRZ105" s="3"/>
      <c r="NSA105" s="3"/>
      <c r="NSB105" s="3"/>
      <c r="NSC105" s="3"/>
      <c r="NSD105" s="3"/>
      <c r="NSE105" s="3"/>
      <c r="NSF105" s="3"/>
      <c r="NSG105" s="3"/>
      <c r="NSH105" s="3"/>
      <c r="NSI105" s="3"/>
      <c r="NSJ105" s="3"/>
      <c r="NSK105" s="3"/>
      <c r="NSL105" s="3"/>
      <c r="NSM105" s="3"/>
      <c r="NSN105" s="3"/>
      <c r="NSO105" s="3"/>
      <c r="NSP105" s="3"/>
      <c r="NSQ105" s="3"/>
      <c r="NSR105" s="3"/>
      <c r="NSS105" s="3"/>
      <c r="NST105" s="3"/>
      <c r="NSU105" s="3"/>
      <c r="NSV105" s="3"/>
      <c r="NSW105" s="3"/>
      <c r="NSX105" s="3"/>
      <c r="NSY105" s="3"/>
      <c r="NSZ105" s="3"/>
      <c r="NTA105" s="3"/>
      <c r="NTB105" s="3"/>
      <c r="NTC105" s="3"/>
      <c r="NTD105" s="3"/>
      <c r="NTE105" s="3"/>
      <c r="NTF105" s="3"/>
      <c r="NTG105" s="3"/>
      <c r="NTH105" s="3"/>
      <c r="NTI105" s="3"/>
      <c r="NTJ105" s="3"/>
      <c r="NTK105" s="3"/>
      <c r="NTL105" s="3"/>
      <c r="NTM105" s="3"/>
      <c r="NTN105" s="3"/>
      <c r="NTO105" s="3"/>
      <c r="NTP105" s="3"/>
      <c r="NTQ105" s="3"/>
      <c r="NTR105" s="3"/>
      <c r="NTS105" s="3"/>
      <c r="NTT105" s="3"/>
      <c r="NTU105" s="3"/>
      <c r="NTV105" s="3"/>
      <c r="NTW105" s="3"/>
      <c r="NTX105" s="3"/>
      <c r="NTY105" s="3"/>
      <c r="NTZ105" s="3"/>
      <c r="NUA105" s="3"/>
      <c r="NUB105" s="3"/>
      <c r="NUC105" s="3"/>
      <c r="NUD105" s="3"/>
      <c r="NUE105" s="3"/>
      <c r="NUF105" s="3"/>
      <c r="NUG105" s="3"/>
      <c r="NUH105" s="3"/>
      <c r="NUI105" s="3"/>
      <c r="NUJ105" s="3"/>
      <c r="NUK105" s="3"/>
      <c r="NUL105" s="3"/>
      <c r="NUM105" s="3"/>
      <c r="NUN105" s="3"/>
      <c r="NUO105" s="3"/>
      <c r="NUP105" s="3"/>
      <c r="NUQ105" s="3"/>
      <c r="NUR105" s="3"/>
      <c r="NUS105" s="3"/>
      <c r="NUT105" s="3"/>
      <c r="NUU105" s="3"/>
      <c r="NUV105" s="3"/>
      <c r="NUW105" s="3"/>
      <c r="NUX105" s="3"/>
      <c r="NUY105" s="3"/>
      <c r="NUZ105" s="3"/>
      <c r="NVA105" s="3"/>
      <c r="NVB105" s="3"/>
      <c r="NVC105" s="3"/>
      <c r="NVD105" s="3"/>
      <c r="NVE105" s="3"/>
      <c r="NVF105" s="3"/>
      <c r="NVG105" s="3"/>
      <c r="NVH105" s="3"/>
      <c r="NVI105" s="3"/>
      <c r="NVJ105" s="3"/>
      <c r="NVK105" s="3"/>
      <c r="NVL105" s="3"/>
      <c r="NVM105" s="3"/>
      <c r="NVN105" s="3"/>
      <c r="NVO105" s="3"/>
      <c r="NVP105" s="3"/>
      <c r="NVQ105" s="3"/>
      <c r="NVR105" s="3"/>
      <c r="NVS105" s="3"/>
      <c r="NVT105" s="3"/>
      <c r="NVU105" s="3"/>
      <c r="NVV105" s="3"/>
      <c r="NVW105" s="3"/>
      <c r="NVX105" s="3"/>
      <c r="NVY105" s="3"/>
      <c r="NVZ105" s="3"/>
      <c r="NWA105" s="3"/>
      <c r="NWB105" s="3"/>
      <c r="NWC105" s="3"/>
      <c r="NWD105" s="3"/>
      <c r="NWE105" s="3"/>
      <c r="NWF105" s="3"/>
      <c r="NWG105" s="3"/>
      <c r="NWH105" s="3"/>
      <c r="NWI105" s="3"/>
      <c r="NWJ105" s="3"/>
      <c r="NWK105" s="3"/>
      <c r="NWL105" s="3"/>
      <c r="NWM105" s="3"/>
      <c r="NWN105" s="3"/>
      <c r="NWO105" s="3"/>
      <c r="NWP105" s="3"/>
      <c r="NWQ105" s="3"/>
      <c r="NWR105" s="3"/>
      <c r="NWS105" s="3"/>
      <c r="NWT105" s="3"/>
      <c r="NWU105" s="3"/>
      <c r="NWV105" s="3"/>
      <c r="NWW105" s="3"/>
      <c r="NWX105" s="3"/>
      <c r="NWY105" s="3"/>
      <c r="NWZ105" s="3"/>
      <c r="NXA105" s="3"/>
      <c r="NXB105" s="3"/>
      <c r="NXC105" s="3"/>
      <c r="NXD105" s="3"/>
      <c r="NXE105" s="3"/>
      <c r="NXF105" s="3"/>
      <c r="NXG105" s="3"/>
      <c r="NXH105" s="3"/>
      <c r="NXI105" s="3"/>
      <c r="NXJ105" s="3"/>
      <c r="NXK105" s="3"/>
      <c r="NXL105" s="3"/>
      <c r="NXM105" s="3"/>
      <c r="NXN105" s="3"/>
      <c r="NXO105" s="3"/>
      <c r="NXP105" s="3"/>
      <c r="NXQ105" s="3"/>
      <c r="NXR105" s="3"/>
      <c r="NXS105" s="3"/>
      <c r="NXT105" s="3"/>
      <c r="NXU105" s="3"/>
      <c r="NXV105" s="3"/>
      <c r="NXW105" s="3"/>
      <c r="NXX105" s="3"/>
      <c r="NXY105" s="3"/>
      <c r="NXZ105" s="3"/>
      <c r="NYA105" s="3"/>
      <c r="NYB105" s="3"/>
      <c r="NYC105" s="3"/>
      <c r="NYD105" s="3"/>
      <c r="NYE105" s="3"/>
      <c r="NYF105" s="3"/>
      <c r="NYG105" s="3"/>
      <c r="NYH105" s="3"/>
      <c r="NYI105" s="3"/>
      <c r="NYJ105" s="3"/>
      <c r="NYK105" s="3"/>
      <c r="NYL105" s="3"/>
      <c r="NYM105" s="3"/>
      <c r="NYN105" s="3"/>
      <c r="NYO105" s="3"/>
      <c r="NYP105" s="3"/>
      <c r="NYQ105" s="3"/>
      <c r="NYR105" s="3"/>
      <c r="NYS105" s="3"/>
      <c r="NYT105" s="3"/>
      <c r="NYU105" s="3"/>
      <c r="NYV105" s="3"/>
      <c r="NYW105" s="3"/>
      <c r="NYX105" s="3"/>
      <c r="NYY105" s="3"/>
      <c r="NYZ105" s="3"/>
      <c r="NZA105" s="3"/>
      <c r="NZB105" s="3"/>
      <c r="NZC105" s="3"/>
      <c r="NZD105" s="3"/>
      <c r="NZE105" s="3"/>
      <c r="NZF105" s="3"/>
      <c r="NZG105" s="3"/>
      <c r="NZH105" s="3"/>
      <c r="NZI105" s="3"/>
      <c r="NZJ105" s="3"/>
      <c r="NZK105" s="3"/>
      <c r="NZL105" s="3"/>
      <c r="NZM105" s="3"/>
      <c r="NZN105" s="3"/>
      <c r="NZO105" s="3"/>
      <c r="NZP105" s="3"/>
      <c r="NZQ105" s="3"/>
      <c r="NZR105" s="3"/>
      <c r="NZS105" s="3"/>
      <c r="NZT105" s="3"/>
      <c r="NZU105" s="3"/>
      <c r="NZV105" s="3"/>
      <c r="NZW105" s="3"/>
      <c r="NZX105" s="3"/>
      <c r="NZY105" s="3"/>
      <c r="NZZ105" s="3"/>
      <c r="OAA105" s="3"/>
      <c r="OAB105" s="3"/>
      <c r="OAC105" s="3"/>
      <c r="OAD105" s="3"/>
      <c r="OAE105" s="3"/>
      <c r="OAF105" s="3"/>
      <c r="OAG105" s="3"/>
      <c r="OAH105" s="3"/>
      <c r="OAI105" s="3"/>
      <c r="OAJ105" s="3"/>
      <c r="OAK105" s="3"/>
      <c r="OAL105" s="3"/>
      <c r="OAM105" s="3"/>
      <c r="OAN105" s="3"/>
      <c r="OAO105" s="3"/>
      <c r="OAP105" s="3"/>
      <c r="OAQ105" s="3"/>
      <c r="OAR105" s="3"/>
      <c r="OAS105" s="3"/>
      <c r="OAT105" s="3"/>
      <c r="OAU105" s="3"/>
      <c r="OAV105" s="3"/>
      <c r="OAW105" s="3"/>
      <c r="OAX105" s="3"/>
      <c r="OAY105" s="3"/>
      <c r="OAZ105" s="3"/>
      <c r="OBA105" s="3"/>
      <c r="OBB105" s="3"/>
      <c r="OBC105" s="3"/>
      <c r="OBD105" s="3"/>
      <c r="OBE105" s="3"/>
      <c r="OBF105" s="3"/>
      <c r="OBG105" s="3"/>
      <c r="OBH105" s="3"/>
      <c r="OBI105" s="3"/>
      <c r="OBJ105" s="3"/>
      <c r="OBK105" s="3"/>
      <c r="OBL105" s="3"/>
      <c r="OBM105" s="3"/>
      <c r="OBN105" s="3"/>
      <c r="OBO105" s="3"/>
      <c r="OBP105" s="3"/>
      <c r="OBQ105" s="3"/>
      <c r="OBR105" s="3"/>
      <c r="OBS105" s="3"/>
      <c r="OBT105" s="3"/>
      <c r="OBU105" s="3"/>
      <c r="OBV105" s="3"/>
      <c r="OBW105" s="3"/>
      <c r="OBX105" s="3"/>
      <c r="OBY105" s="3"/>
      <c r="OBZ105" s="3"/>
      <c r="OCA105" s="3"/>
      <c r="OCB105" s="3"/>
      <c r="OCC105" s="3"/>
      <c r="OCD105" s="3"/>
      <c r="OCE105" s="3"/>
      <c r="OCF105" s="3"/>
      <c r="OCG105" s="3"/>
      <c r="OCH105" s="3"/>
      <c r="OCI105" s="3"/>
      <c r="OCJ105" s="3"/>
      <c r="OCK105" s="3"/>
      <c r="OCL105" s="3"/>
      <c r="OCM105" s="3"/>
      <c r="OCN105" s="3"/>
      <c r="OCO105" s="3"/>
      <c r="OCP105" s="3"/>
      <c r="OCQ105" s="3"/>
      <c r="OCR105" s="3"/>
      <c r="OCS105" s="3"/>
      <c r="OCT105" s="3"/>
      <c r="OCU105" s="3"/>
      <c r="OCV105" s="3"/>
      <c r="OCW105" s="3"/>
      <c r="OCX105" s="3"/>
      <c r="OCY105" s="3"/>
      <c r="OCZ105" s="3"/>
      <c r="ODA105" s="3"/>
      <c r="ODB105" s="3"/>
      <c r="ODC105" s="3"/>
      <c r="ODD105" s="3"/>
      <c r="ODE105" s="3"/>
      <c r="ODF105" s="3"/>
      <c r="ODG105" s="3"/>
      <c r="ODH105" s="3"/>
      <c r="ODI105" s="3"/>
      <c r="ODJ105" s="3"/>
      <c r="ODK105" s="3"/>
      <c r="ODL105" s="3"/>
      <c r="ODM105" s="3"/>
      <c r="ODN105" s="3"/>
      <c r="ODO105" s="3"/>
      <c r="ODP105" s="3"/>
      <c r="ODQ105" s="3"/>
      <c r="ODR105" s="3"/>
      <c r="ODS105" s="3"/>
      <c r="ODT105" s="3"/>
      <c r="ODU105" s="3"/>
      <c r="ODV105" s="3"/>
      <c r="ODW105" s="3"/>
      <c r="ODX105" s="3"/>
      <c r="ODY105" s="3"/>
      <c r="ODZ105" s="3"/>
      <c r="OEA105" s="3"/>
      <c r="OEB105" s="3"/>
      <c r="OEC105" s="3"/>
      <c r="OED105" s="3"/>
      <c r="OEE105" s="3"/>
      <c r="OEF105" s="3"/>
      <c r="OEG105" s="3"/>
      <c r="OEH105" s="3"/>
      <c r="OEI105" s="3"/>
      <c r="OEJ105" s="3"/>
      <c r="OEK105" s="3"/>
      <c r="OEL105" s="3"/>
      <c r="OEM105" s="3"/>
      <c r="OEN105" s="3"/>
      <c r="OEO105" s="3"/>
      <c r="OEP105" s="3"/>
      <c r="OEQ105" s="3"/>
      <c r="OER105" s="3"/>
      <c r="OES105" s="3"/>
      <c r="OET105" s="3"/>
      <c r="OEU105" s="3"/>
      <c r="OEV105" s="3"/>
      <c r="OEW105" s="3"/>
      <c r="OEX105" s="3"/>
      <c r="OEY105" s="3"/>
      <c r="OEZ105" s="3"/>
      <c r="OFA105" s="3"/>
      <c r="OFB105" s="3"/>
      <c r="OFC105" s="3"/>
      <c r="OFD105" s="3"/>
      <c r="OFE105" s="3"/>
      <c r="OFF105" s="3"/>
      <c r="OFG105" s="3"/>
      <c r="OFH105" s="3"/>
      <c r="OFI105" s="3"/>
      <c r="OFJ105" s="3"/>
      <c r="OFK105" s="3"/>
      <c r="OFL105" s="3"/>
      <c r="OFM105" s="3"/>
      <c r="OFN105" s="3"/>
      <c r="OFO105" s="3"/>
      <c r="OFP105" s="3"/>
      <c r="OFQ105" s="3"/>
      <c r="OFR105" s="3"/>
      <c r="OFS105" s="3"/>
      <c r="OFT105" s="3"/>
      <c r="OFU105" s="3"/>
      <c r="OFV105" s="3"/>
      <c r="OFW105" s="3"/>
      <c r="OFX105" s="3"/>
      <c r="OFY105" s="3"/>
      <c r="OFZ105" s="3"/>
      <c r="OGA105" s="3"/>
      <c r="OGB105" s="3"/>
      <c r="OGC105" s="3"/>
      <c r="OGD105" s="3"/>
      <c r="OGE105" s="3"/>
      <c r="OGF105" s="3"/>
      <c r="OGG105" s="3"/>
      <c r="OGH105" s="3"/>
      <c r="OGI105" s="3"/>
      <c r="OGJ105" s="3"/>
      <c r="OGK105" s="3"/>
      <c r="OGL105" s="3"/>
      <c r="OGM105" s="3"/>
      <c r="OGN105" s="3"/>
      <c r="OGO105" s="3"/>
      <c r="OGP105" s="3"/>
      <c r="OGQ105" s="3"/>
      <c r="OGR105" s="3"/>
      <c r="OGS105" s="3"/>
      <c r="OGT105" s="3"/>
      <c r="OGU105" s="3"/>
      <c r="OGV105" s="3"/>
      <c r="OGW105" s="3"/>
      <c r="OGX105" s="3"/>
      <c r="OGY105" s="3"/>
      <c r="OGZ105" s="3"/>
      <c r="OHA105" s="3"/>
      <c r="OHB105" s="3"/>
      <c r="OHC105" s="3"/>
      <c r="OHD105" s="3"/>
      <c r="OHE105" s="3"/>
      <c r="OHF105" s="3"/>
      <c r="OHG105" s="3"/>
      <c r="OHH105" s="3"/>
      <c r="OHI105" s="3"/>
      <c r="OHJ105" s="3"/>
      <c r="OHK105" s="3"/>
      <c r="OHL105" s="3"/>
      <c r="OHM105" s="3"/>
      <c r="OHN105" s="3"/>
      <c r="OHO105" s="3"/>
      <c r="OHP105" s="3"/>
      <c r="OHQ105" s="3"/>
      <c r="OHR105" s="3"/>
      <c r="OHS105" s="3"/>
      <c r="OHT105" s="3"/>
      <c r="OHU105" s="3"/>
      <c r="OHV105" s="3"/>
      <c r="OHW105" s="3"/>
      <c r="OHX105" s="3"/>
      <c r="OHY105" s="3"/>
      <c r="OHZ105" s="3"/>
      <c r="OIA105" s="3"/>
      <c r="OIB105" s="3"/>
      <c r="OIC105" s="3"/>
      <c r="OID105" s="3"/>
      <c r="OIE105" s="3"/>
      <c r="OIF105" s="3"/>
      <c r="OIG105" s="3"/>
      <c r="OIH105" s="3"/>
      <c r="OII105" s="3"/>
      <c r="OIJ105" s="3"/>
      <c r="OIK105" s="3"/>
      <c r="OIL105" s="3"/>
      <c r="OIM105" s="3"/>
      <c r="OIN105" s="3"/>
      <c r="OIO105" s="3"/>
      <c r="OIP105" s="3"/>
      <c r="OIQ105" s="3"/>
      <c r="OIR105" s="3"/>
      <c r="OIS105" s="3"/>
      <c r="OIT105" s="3"/>
      <c r="OIU105" s="3"/>
      <c r="OIV105" s="3"/>
      <c r="OIW105" s="3"/>
      <c r="OIX105" s="3"/>
      <c r="OIY105" s="3"/>
      <c r="OIZ105" s="3"/>
      <c r="OJA105" s="3"/>
      <c r="OJB105" s="3"/>
      <c r="OJC105" s="3"/>
      <c r="OJD105" s="3"/>
      <c r="OJE105" s="3"/>
      <c r="OJF105" s="3"/>
      <c r="OJG105" s="3"/>
      <c r="OJH105" s="3"/>
      <c r="OJI105" s="3"/>
      <c r="OJJ105" s="3"/>
      <c r="OJK105" s="3"/>
      <c r="OJL105" s="3"/>
      <c r="OJM105" s="3"/>
      <c r="OJN105" s="3"/>
      <c r="OJO105" s="3"/>
      <c r="OJP105" s="3"/>
      <c r="OJQ105" s="3"/>
      <c r="OJR105" s="3"/>
      <c r="OJS105" s="3"/>
      <c r="OJT105" s="3"/>
      <c r="OJU105" s="3"/>
      <c r="OJV105" s="3"/>
      <c r="OJW105" s="3"/>
      <c r="OJX105" s="3"/>
      <c r="OJY105" s="3"/>
      <c r="OJZ105" s="3"/>
      <c r="OKA105" s="3"/>
      <c r="OKB105" s="3"/>
      <c r="OKC105" s="3"/>
      <c r="OKD105" s="3"/>
      <c r="OKE105" s="3"/>
      <c r="OKF105" s="3"/>
      <c r="OKG105" s="3"/>
      <c r="OKH105" s="3"/>
      <c r="OKI105" s="3"/>
      <c r="OKJ105" s="3"/>
      <c r="OKK105" s="3"/>
      <c r="OKL105" s="3"/>
      <c r="OKM105" s="3"/>
      <c r="OKN105" s="3"/>
      <c r="OKO105" s="3"/>
      <c r="OKP105" s="3"/>
      <c r="OKQ105" s="3"/>
      <c r="OKR105" s="3"/>
      <c r="OKS105" s="3"/>
      <c r="OKT105" s="3"/>
      <c r="OKU105" s="3"/>
      <c r="OKV105" s="3"/>
      <c r="OKW105" s="3"/>
      <c r="OKX105" s="3"/>
      <c r="OKY105" s="3"/>
      <c r="OKZ105" s="3"/>
      <c r="OLA105" s="3"/>
      <c r="OLB105" s="3"/>
      <c r="OLC105" s="3"/>
      <c r="OLD105" s="3"/>
      <c r="OLE105" s="3"/>
      <c r="OLF105" s="3"/>
      <c r="OLG105" s="3"/>
      <c r="OLH105" s="3"/>
      <c r="OLI105" s="3"/>
      <c r="OLJ105" s="3"/>
      <c r="OLK105" s="3"/>
      <c r="OLL105" s="3"/>
      <c r="OLM105" s="3"/>
      <c r="OLN105" s="3"/>
      <c r="OLO105" s="3"/>
      <c r="OLP105" s="3"/>
      <c r="OLQ105" s="3"/>
      <c r="OLR105" s="3"/>
      <c r="OLS105" s="3"/>
      <c r="OLT105" s="3"/>
      <c r="OLU105" s="3"/>
      <c r="OLV105" s="3"/>
      <c r="OLW105" s="3"/>
      <c r="OLX105" s="3"/>
      <c r="OLY105" s="3"/>
      <c r="OLZ105" s="3"/>
      <c r="OMA105" s="3"/>
      <c r="OMB105" s="3"/>
      <c r="OMC105" s="3"/>
      <c r="OMD105" s="3"/>
      <c r="OME105" s="3"/>
      <c r="OMF105" s="3"/>
      <c r="OMG105" s="3"/>
      <c r="OMH105" s="3"/>
      <c r="OMI105" s="3"/>
      <c r="OMJ105" s="3"/>
      <c r="OMK105" s="3"/>
      <c r="OML105" s="3"/>
      <c r="OMM105" s="3"/>
      <c r="OMN105" s="3"/>
      <c r="OMO105" s="3"/>
      <c r="OMP105" s="3"/>
      <c r="OMQ105" s="3"/>
      <c r="OMR105" s="3"/>
      <c r="OMS105" s="3"/>
      <c r="OMT105" s="3"/>
      <c r="OMU105" s="3"/>
      <c r="OMV105" s="3"/>
      <c r="OMW105" s="3"/>
      <c r="OMX105" s="3"/>
      <c r="OMY105" s="3"/>
      <c r="OMZ105" s="3"/>
      <c r="ONA105" s="3"/>
      <c r="ONB105" s="3"/>
      <c r="ONC105" s="3"/>
      <c r="OND105" s="3"/>
      <c r="ONE105" s="3"/>
      <c r="ONF105" s="3"/>
      <c r="ONG105" s="3"/>
      <c r="ONH105" s="3"/>
      <c r="ONI105" s="3"/>
      <c r="ONJ105" s="3"/>
      <c r="ONK105" s="3"/>
      <c r="ONL105" s="3"/>
      <c r="ONM105" s="3"/>
      <c r="ONN105" s="3"/>
      <c r="ONO105" s="3"/>
      <c r="ONP105" s="3"/>
      <c r="ONQ105" s="3"/>
      <c r="ONR105" s="3"/>
      <c r="ONS105" s="3"/>
      <c r="ONT105" s="3"/>
      <c r="ONU105" s="3"/>
      <c r="ONV105" s="3"/>
      <c r="ONW105" s="3"/>
      <c r="ONX105" s="3"/>
      <c r="ONY105" s="3"/>
      <c r="ONZ105" s="3"/>
      <c r="OOA105" s="3"/>
      <c r="OOB105" s="3"/>
      <c r="OOC105" s="3"/>
      <c r="OOD105" s="3"/>
      <c r="OOE105" s="3"/>
      <c r="OOF105" s="3"/>
      <c r="OOG105" s="3"/>
      <c r="OOH105" s="3"/>
      <c r="OOI105" s="3"/>
      <c r="OOJ105" s="3"/>
      <c r="OOK105" s="3"/>
      <c r="OOL105" s="3"/>
      <c r="OOM105" s="3"/>
      <c r="OON105" s="3"/>
      <c r="OOO105" s="3"/>
      <c r="OOP105" s="3"/>
      <c r="OOQ105" s="3"/>
      <c r="OOR105" s="3"/>
      <c r="OOS105" s="3"/>
      <c r="OOT105" s="3"/>
      <c r="OOU105" s="3"/>
      <c r="OOV105" s="3"/>
      <c r="OOW105" s="3"/>
      <c r="OOX105" s="3"/>
      <c r="OOY105" s="3"/>
      <c r="OOZ105" s="3"/>
      <c r="OPA105" s="3"/>
      <c r="OPB105" s="3"/>
      <c r="OPC105" s="3"/>
      <c r="OPD105" s="3"/>
      <c r="OPE105" s="3"/>
      <c r="OPF105" s="3"/>
      <c r="OPG105" s="3"/>
      <c r="OPH105" s="3"/>
      <c r="OPI105" s="3"/>
      <c r="OPJ105" s="3"/>
      <c r="OPK105" s="3"/>
      <c r="OPL105" s="3"/>
      <c r="OPM105" s="3"/>
      <c r="OPN105" s="3"/>
      <c r="OPO105" s="3"/>
      <c r="OPP105" s="3"/>
      <c r="OPQ105" s="3"/>
      <c r="OPR105" s="3"/>
      <c r="OPS105" s="3"/>
      <c r="OPT105" s="3"/>
      <c r="OPU105" s="3"/>
      <c r="OPV105" s="3"/>
      <c r="OPW105" s="3"/>
      <c r="OPX105" s="3"/>
      <c r="OPY105" s="3"/>
      <c r="OPZ105" s="3"/>
      <c r="OQA105" s="3"/>
      <c r="OQB105" s="3"/>
      <c r="OQC105" s="3"/>
      <c r="OQD105" s="3"/>
      <c r="OQE105" s="3"/>
      <c r="OQF105" s="3"/>
      <c r="OQG105" s="3"/>
      <c r="OQH105" s="3"/>
      <c r="OQI105" s="3"/>
      <c r="OQJ105" s="3"/>
      <c r="OQK105" s="3"/>
      <c r="OQL105" s="3"/>
      <c r="OQM105" s="3"/>
      <c r="OQN105" s="3"/>
      <c r="OQO105" s="3"/>
      <c r="OQP105" s="3"/>
      <c r="OQQ105" s="3"/>
      <c r="OQR105" s="3"/>
      <c r="OQS105" s="3"/>
      <c r="OQT105" s="3"/>
      <c r="OQU105" s="3"/>
      <c r="OQV105" s="3"/>
      <c r="OQW105" s="3"/>
      <c r="OQX105" s="3"/>
      <c r="OQY105" s="3"/>
      <c r="OQZ105" s="3"/>
      <c r="ORA105" s="3"/>
      <c r="ORB105" s="3"/>
      <c r="ORC105" s="3"/>
      <c r="ORD105" s="3"/>
      <c r="ORE105" s="3"/>
      <c r="ORF105" s="3"/>
      <c r="ORG105" s="3"/>
      <c r="ORH105" s="3"/>
      <c r="ORI105" s="3"/>
      <c r="ORJ105" s="3"/>
      <c r="ORK105" s="3"/>
      <c r="ORL105" s="3"/>
      <c r="ORM105" s="3"/>
      <c r="ORN105" s="3"/>
      <c r="ORO105" s="3"/>
      <c r="ORP105" s="3"/>
      <c r="ORQ105" s="3"/>
      <c r="ORR105" s="3"/>
      <c r="ORS105" s="3"/>
      <c r="ORT105" s="3"/>
      <c r="ORU105" s="3"/>
      <c r="ORV105" s="3"/>
      <c r="ORW105" s="3"/>
      <c r="ORX105" s="3"/>
      <c r="ORY105" s="3"/>
      <c r="ORZ105" s="3"/>
      <c r="OSA105" s="3"/>
      <c r="OSB105" s="3"/>
      <c r="OSC105" s="3"/>
      <c r="OSD105" s="3"/>
      <c r="OSE105" s="3"/>
      <c r="OSF105" s="3"/>
      <c r="OSG105" s="3"/>
      <c r="OSH105" s="3"/>
      <c r="OSI105" s="3"/>
      <c r="OSJ105" s="3"/>
      <c r="OSK105" s="3"/>
      <c r="OSL105" s="3"/>
      <c r="OSM105" s="3"/>
      <c r="OSN105" s="3"/>
      <c r="OSO105" s="3"/>
      <c r="OSP105" s="3"/>
      <c r="OSQ105" s="3"/>
      <c r="OSR105" s="3"/>
      <c r="OSS105" s="3"/>
      <c r="OST105" s="3"/>
      <c r="OSU105" s="3"/>
      <c r="OSV105" s="3"/>
      <c r="OSW105" s="3"/>
      <c r="OSX105" s="3"/>
      <c r="OSY105" s="3"/>
      <c r="OSZ105" s="3"/>
      <c r="OTA105" s="3"/>
      <c r="OTB105" s="3"/>
      <c r="OTC105" s="3"/>
      <c r="OTD105" s="3"/>
      <c r="OTE105" s="3"/>
      <c r="OTF105" s="3"/>
      <c r="OTG105" s="3"/>
      <c r="OTH105" s="3"/>
      <c r="OTI105" s="3"/>
      <c r="OTJ105" s="3"/>
      <c r="OTK105" s="3"/>
      <c r="OTL105" s="3"/>
      <c r="OTM105" s="3"/>
      <c r="OTN105" s="3"/>
      <c r="OTO105" s="3"/>
      <c r="OTP105" s="3"/>
      <c r="OTQ105" s="3"/>
      <c r="OTR105" s="3"/>
      <c r="OTS105" s="3"/>
      <c r="OTT105" s="3"/>
      <c r="OTU105" s="3"/>
      <c r="OTV105" s="3"/>
      <c r="OTW105" s="3"/>
      <c r="OTX105" s="3"/>
      <c r="OTY105" s="3"/>
      <c r="OTZ105" s="3"/>
      <c r="OUA105" s="3"/>
      <c r="OUB105" s="3"/>
      <c r="OUC105" s="3"/>
      <c r="OUD105" s="3"/>
      <c r="OUE105" s="3"/>
      <c r="OUF105" s="3"/>
      <c r="OUG105" s="3"/>
      <c r="OUH105" s="3"/>
      <c r="OUI105" s="3"/>
      <c r="OUJ105" s="3"/>
      <c r="OUK105" s="3"/>
      <c r="OUL105" s="3"/>
      <c r="OUM105" s="3"/>
      <c r="OUN105" s="3"/>
      <c r="OUO105" s="3"/>
      <c r="OUP105" s="3"/>
      <c r="OUQ105" s="3"/>
      <c r="OUR105" s="3"/>
      <c r="OUS105" s="3"/>
      <c r="OUT105" s="3"/>
      <c r="OUU105" s="3"/>
      <c r="OUV105" s="3"/>
      <c r="OUW105" s="3"/>
      <c r="OUX105" s="3"/>
      <c r="OUY105" s="3"/>
      <c r="OUZ105" s="3"/>
      <c r="OVA105" s="3"/>
      <c r="OVB105" s="3"/>
      <c r="OVC105" s="3"/>
      <c r="OVD105" s="3"/>
      <c r="OVE105" s="3"/>
      <c r="OVF105" s="3"/>
      <c r="OVG105" s="3"/>
      <c r="OVH105" s="3"/>
      <c r="OVI105" s="3"/>
      <c r="OVJ105" s="3"/>
      <c r="OVK105" s="3"/>
      <c r="OVL105" s="3"/>
      <c r="OVM105" s="3"/>
      <c r="OVN105" s="3"/>
      <c r="OVO105" s="3"/>
      <c r="OVP105" s="3"/>
      <c r="OVQ105" s="3"/>
      <c r="OVR105" s="3"/>
      <c r="OVS105" s="3"/>
      <c r="OVT105" s="3"/>
      <c r="OVU105" s="3"/>
      <c r="OVV105" s="3"/>
      <c r="OVW105" s="3"/>
      <c r="OVX105" s="3"/>
      <c r="OVY105" s="3"/>
      <c r="OVZ105" s="3"/>
      <c r="OWA105" s="3"/>
      <c r="OWB105" s="3"/>
      <c r="OWC105" s="3"/>
      <c r="OWD105" s="3"/>
      <c r="OWE105" s="3"/>
      <c r="OWF105" s="3"/>
      <c r="OWG105" s="3"/>
      <c r="OWH105" s="3"/>
      <c r="OWI105" s="3"/>
      <c r="OWJ105" s="3"/>
      <c r="OWK105" s="3"/>
      <c r="OWL105" s="3"/>
      <c r="OWM105" s="3"/>
      <c r="OWN105" s="3"/>
      <c r="OWO105" s="3"/>
      <c r="OWP105" s="3"/>
      <c r="OWQ105" s="3"/>
      <c r="OWR105" s="3"/>
      <c r="OWS105" s="3"/>
      <c r="OWT105" s="3"/>
      <c r="OWU105" s="3"/>
      <c r="OWV105" s="3"/>
      <c r="OWW105" s="3"/>
      <c r="OWX105" s="3"/>
      <c r="OWY105" s="3"/>
      <c r="OWZ105" s="3"/>
      <c r="OXA105" s="3"/>
      <c r="OXB105" s="3"/>
      <c r="OXC105" s="3"/>
      <c r="OXD105" s="3"/>
      <c r="OXE105" s="3"/>
      <c r="OXF105" s="3"/>
      <c r="OXG105" s="3"/>
      <c r="OXH105" s="3"/>
      <c r="OXI105" s="3"/>
      <c r="OXJ105" s="3"/>
      <c r="OXK105" s="3"/>
      <c r="OXL105" s="3"/>
      <c r="OXM105" s="3"/>
      <c r="OXN105" s="3"/>
      <c r="OXO105" s="3"/>
      <c r="OXP105" s="3"/>
      <c r="OXQ105" s="3"/>
      <c r="OXR105" s="3"/>
      <c r="OXS105" s="3"/>
      <c r="OXT105" s="3"/>
      <c r="OXU105" s="3"/>
      <c r="OXV105" s="3"/>
      <c r="OXW105" s="3"/>
      <c r="OXX105" s="3"/>
      <c r="OXY105" s="3"/>
      <c r="OXZ105" s="3"/>
      <c r="OYA105" s="3"/>
      <c r="OYB105" s="3"/>
      <c r="OYC105" s="3"/>
      <c r="OYD105" s="3"/>
      <c r="OYE105" s="3"/>
      <c r="OYF105" s="3"/>
      <c r="OYG105" s="3"/>
      <c r="OYH105" s="3"/>
      <c r="OYI105" s="3"/>
      <c r="OYJ105" s="3"/>
      <c r="OYK105" s="3"/>
      <c r="OYL105" s="3"/>
      <c r="OYM105" s="3"/>
      <c r="OYN105" s="3"/>
      <c r="OYO105" s="3"/>
      <c r="OYP105" s="3"/>
      <c r="OYQ105" s="3"/>
      <c r="OYR105" s="3"/>
      <c r="OYS105" s="3"/>
      <c r="OYT105" s="3"/>
      <c r="OYU105" s="3"/>
      <c r="OYV105" s="3"/>
      <c r="OYW105" s="3"/>
      <c r="OYX105" s="3"/>
      <c r="OYY105" s="3"/>
      <c r="OYZ105" s="3"/>
      <c r="OZA105" s="3"/>
      <c r="OZB105" s="3"/>
      <c r="OZC105" s="3"/>
      <c r="OZD105" s="3"/>
      <c r="OZE105" s="3"/>
      <c r="OZF105" s="3"/>
      <c r="OZG105" s="3"/>
      <c r="OZH105" s="3"/>
      <c r="OZI105" s="3"/>
      <c r="OZJ105" s="3"/>
      <c r="OZK105" s="3"/>
      <c r="OZL105" s="3"/>
      <c r="OZM105" s="3"/>
      <c r="OZN105" s="3"/>
      <c r="OZO105" s="3"/>
      <c r="OZP105" s="3"/>
      <c r="OZQ105" s="3"/>
      <c r="OZR105" s="3"/>
      <c r="OZS105" s="3"/>
      <c r="OZT105" s="3"/>
      <c r="OZU105" s="3"/>
      <c r="OZV105" s="3"/>
      <c r="OZW105" s="3"/>
      <c r="OZX105" s="3"/>
      <c r="OZY105" s="3"/>
      <c r="OZZ105" s="3"/>
      <c r="PAA105" s="3"/>
      <c r="PAB105" s="3"/>
      <c r="PAC105" s="3"/>
      <c r="PAD105" s="3"/>
      <c r="PAE105" s="3"/>
      <c r="PAF105" s="3"/>
      <c r="PAG105" s="3"/>
      <c r="PAH105" s="3"/>
      <c r="PAI105" s="3"/>
      <c r="PAJ105" s="3"/>
      <c r="PAK105" s="3"/>
      <c r="PAL105" s="3"/>
      <c r="PAM105" s="3"/>
      <c r="PAN105" s="3"/>
      <c r="PAO105" s="3"/>
      <c r="PAP105" s="3"/>
      <c r="PAQ105" s="3"/>
      <c r="PAR105" s="3"/>
      <c r="PAS105" s="3"/>
      <c r="PAT105" s="3"/>
      <c r="PAU105" s="3"/>
      <c r="PAV105" s="3"/>
      <c r="PAW105" s="3"/>
      <c r="PAX105" s="3"/>
      <c r="PAY105" s="3"/>
      <c r="PAZ105" s="3"/>
      <c r="PBA105" s="3"/>
      <c r="PBB105" s="3"/>
      <c r="PBC105" s="3"/>
      <c r="PBD105" s="3"/>
      <c r="PBE105" s="3"/>
      <c r="PBF105" s="3"/>
      <c r="PBG105" s="3"/>
      <c r="PBH105" s="3"/>
      <c r="PBI105" s="3"/>
      <c r="PBJ105" s="3"/>
      <c r="PBK105" s="3"/>
      <c r="PBL105" s="3"/>
      <c r="PBM105" s="3"/>
      <c r="PBN105" s="3"/>
      <c r="PBO105" s="3"/>
      <c r="PBP105" s="3"/>
      <c r="PBQ105" s="3"/>
      <c r="PBR105" s="3"/>
      <c r="PBS105" s="3"/>
      <c r="PBT105" s="3"/>
      <c r="PBU105" s="3"/>
      <c r="PBV105" s="3"/>
      <c r="PBW105" s="3"/>
      <c r="PBX105" s="3"/>
      <c r="PBY105" s="3"/>
      <c r="PBZ105" s="3"/>
      <c r="PCA105" s="3"/>
      <c r="PCB105" s="3"/>
      <c r="PCC105" s="3"/>
      <c r="PCD105" s="3"/>
      <c r="PCE105" s="3"/>
      <c r="PCF105" s="3"/>
      <c r="PCG105" s="3"/>
      <c r="PCH105" s="3"/>
      <c r="PCI105" s="3"/>
      <c r="PCJ105" s="3"/>
      <c r="PCK105" s="3"/>
      <c r="PCL105" s="3"/>
      <c r="PCM105" s="3"/>
      <c r="PCN105" s="3"/>
      <c r="PCO105" s="3"/>
      <c r="PCP105" s="3"/>
      <c r="PCQ105" s="3"/>
      <c r="PCR105" s="3"/>
      <c r="PCS105" s="3"/>
      <c r="PCT105" s="3"/>
      <c r="PCU105" s="3"/>
      <c r="PCV105" s="3"/>
      <c r="PCW105" s="3"/>
      <c r="PCX105" s="3"/>
      <c r="PCY105" s="3"/>
      <c r="PCZ105" s="3"/>
      <c r="PDA105" s="3"/>
      <c r="PDB105" s="3"/>
      <c r="PDC105" s="3"/>
      <c r="PDD105" s="3"/>
      <c r="PDE105" s="3"/>
      <c r="PDF105" s="3"/>
      <c r="PDG105" s="3"/>
      <c r="PDH105" s="3"/>
      <c r="PDI105" s="3"/>
      <c r="PDJ105" s="3"/>
      <c r="PDK105" s="3"/>
      <c r="PDL105" s="3"/>
      <c r="PDM105" s="3"/>
      <c r="PDN105" s="3"/>
      <c r="PDO105" s="3"/>
      <c r="PDP105" s="3"/>
      <c r="PDQ105" s="3"/>
      <c r="PDR105" s="3"/>
      <c r="PDS105" s="3"/>
      <c r="PDT105" s="3"/>
      <c r="PDU105" s="3"/>
      <c r="PDV105" s="3"/>
      <c r="PDW105" s="3"/>
      <c r="PDX105" s="3"/>
      <c r="PDY105" s="3"/>
      <c r="PDZ105" s="3"/>
      <c r="PEA105" s="3"/>
      <c r="PEB105" s="3"/>
      <c r="PEC105" s="3"/>
      <c r="PED105" s="3"/>
      <c r="PEE105" s="3"/>
      <c r="PEF105" s="3"/>
      <c r="PEG105" s="3"/>
      <c r="PEH105" s="3"/>
      <c r="PEI105" s="3"/>
      <c r="PEJ105" s="3"/>
      <c r="PEK105" s="3"/>
      <c r="PEL105" s="3"/>
      <c r="PEM105" s="3"/>
      <c r="PEN105" s="3"/>
      <c r="PEO105" s="3"/>
      <c r="PEP105" s="3"/>
      <c r="PEQ105" s="3"/>
      <c r="PER105" s="3"/>
      <c r="PES105" s="3"/>
      <c r="PET105" s="3"/>
      <c r="PEU105" s="3"/>
      <c r="PEV105" s="3"/>
      <c r="PEW105" s="3"/>
      <c r="PEX105" s="3"/>
      <c r="PEY105" s="3"/>
      <c r="PEZ105" s="3"/>
      <c r="PFA105" s="3"/>
      <c r="PFB105" s="3"/>
      <c r="PFC105" s="3"/>
      <c r="PFD105" s="3"/>
      <c r="PFE105" s="3"/>
      <c r="PFF105" s="3"/>
      <c r="PFG105" s="3"/>
      <c r="PFH105" s="3"/>
      <c r="PFI105" s="3"/>
      <c r="PFJ105" s="3"/>
      <c r="PFK105" s="3"/>
      <c r="PFL105" s="3"/>
      <c r="PFM105" s="3"/>
      <c r="PFN105" s="3"/>
      <c r="PFO105" s="3"/>
      <c r="PFP105" s="3"/>
      <c r="PFQ105" s="3"/>
      <c r="PFR105" s="3"/>
      <c r="PFS105" s="3"/>
      <c r="PFT105" s="3"/>
      <c r="PFU105" s="3"/>
      <c r="PFV105" s="3"/>
      <c r="PFW105" s="3"/>
      <c r="PFX105" s="3"/>
      <c r="PFY105" s="3"/>
      <c r="PFZ105" s="3"/>
      <c r="PGA105" s="3"/>
      <c r="PGB105" s="3"/>
      <c r="PGC105" s="3"/>
      <c r="PGD105" s="3"/>
      <c r="PGE105" s="3"/>
      <c r="PGF105" s="3"/>
      <c r="PGG105" s="3"/>
      <c r="PGH105" s="3"/>
      <c r="PGI105" s="3"/>
      <c r="PGJ105" s="3"/>
      <c r="PGK105" s="3"/>
      <c r="PGL105" s="3"/>
      <c r="PGM105" s="3"/>
      <c r="PGN105" s="3"/>
      <c r="PGO105" s="3"/>
      <c r="PGP105" s="3"/>
      <c r="PGQ105" s="3"/>
      <c r="PGR105" s="3"/>
      <c r="PGS105" s="3"/>
      <c r="PGT105" s="3"/>
      <c r="PGU105" s="3"/>
      <c r="PGV105" s="3"/>
      <c r="PGW105" s="3"/>
      <c r="PGX105" s="3"/>
      <c r="PGY105" s="3"/>
      <c r="PGZ105" s="3"/>
      <c r="PHA105" s="3"/>
      <c r="PHB105" s="3"/>
      <c r="PHC105" s="3"/>
      <c r="PHD105" s="3"/>
      <c r="PHE105" s="3"/>
      <c r="PHF105" s="3"/>
      <c r="PHG105" s="3"/>
      <c r="PHH105" s="3"/>
      <c r="PHI105" s="3"/>
      <c r="PHJ105" s="3"/>
      <c r="PHK105" s="3"/>
      <c r="PHL105" s="3"/>
      <c r="PHM105" s="3"/>
      <c r="PHN105" s="3"/>
      <c r="PHO105" s="3"/>
      <c r="PHP105" s="3"/>
      <c r="PHQ105" s="3"/>
      <c r="PHR105" s="3"/>
      <c r="PHS105" s="3"/>
      <c r="PHT105" s="3"/>
      <c r="PHU105" s="3"/>
      <c r="PHV105" s="3"/>
      <c r="PHW105" s="3"/>
      <c r="PHX105" s="3"/>
      <c r="PHY105" s="3"/>
      <c r="PHZ105" s="3"/>
      <c r="PIA105" s="3"/>
      <c r="PIB105" s="3"/>
      <c r="PIC105" s="3"/>
      <c r="PID105" s="3"/>
      <c r="PIE105" s="3"/>
      <c r="PIF105" s="3"/>
      <c r="PIG105" s="3"/>
      <c r="PIH105" s="3"/>
      <c r="PII105" s="3"/>
      <c r="PIJ105" s="3"/>
      <c r="PIK105" s="3"/>
      <c r="PIL105" s="3"/>
      <c r="PIM105" s="3"/>
      <c r="PIN105" s="3"/>
      <c r="PIO105" s="3"/>
      <c r="PIP105" s="3"/>
      <c r="PIQ105" s="3"/>
      <c r="PIR105" s="3"/>
      <c r="PIS105" s="3"/>
      <c r="PIT105" s="3"/>
      <c r="PIU105" s="3"/>
      <c r="PIV105" s="3"/>
      <c r="PIW105" s="3"/>
      <c r="PIX105" s="3"/>
      <c r="PIY105" s="3"/>
      <c r="PIZ105" s="3"/>
      <c r="PJA105" s="3"/>
      <c r="PJB105" s="3"/>
      <c r="PJC105" s="3"/>
      <c r="PJD105" s="3"/>
      <c r="PJE105" s="3"/>
      <c r="PJF105" s="3"/>
      <c r="PJG105" s="3"/>
      <c r="PJH105" s="3"/>
      <c r="PJI105" s="3"/>
      <c r="PJJ105" s="3"/>
      <c r="PJK105" s="3"/>
      <c r="PJL105" s="3"/>
      <c r="PJM105" s="3"/>
      <c r="PJN105" s="3"/>
      <c r="PJO105" s="3"/>
      <c r="PJP105" s="3"/>
      <c r="PJQ105" s="3"/>
      <c r="PJR105" s="3"/>
      <c r="PJS105" s="3"/>
      <c r="PJT105" s="3"/>
      <c r="PJU105" s="3"/>
      <c r="PJV105" s="3"/>
      <c r="PJW105" s="3"/>
      <c r="PJX105" s="3"/>
      <c r="PJY105" s="3"/>
      <c r="PJZ105" s="3"/>
      <c r="PKA105" s="3"/>
      <c r="PKB105" s="3"/>
      <c r="PKC105" s="3"/>
      <c r="PKD105" s="3"/>
      <c r="PKE105" s="3"/>
      <c r="PKF105" s="3"/>
      <c r="PKG105" s="3"/>
      <c r="PKH105" s="3"/>
      <c r="PKI105" s="3"/>
      <c r="PKJ105" s="3"/>
      <c r="PKK105" s="3"/>
      <c r="PKL105" s="3"/>
      <c r="PKM105" s="3"/>
      <c r="PKN105" s="3"/>
      <c r="PKO105" s="3"/>
      <c r="PKP105" s="3"/>
      <c r="PKQ105" s="3"/>
      <c r="PKR105" s="3"/>
      <c r="PKS105" s="3"/>
      <c r="PKT105" s="3"/>
      <c r="PKU105" s="3"/>
      <c r="PKV105" s="3"/>
      <c r="PKW105" s="3"/>
      <c r="PKX105" s="3"/>
      <c r="PKY105" s="3"/>
      <c r="PKZ105" s="3"/>
      <c r="PLA105" s="3"/>
      <c r="PLB105" s="3"/>
      <c r="PLC105" s="3"/>
      <c r="PLD105" s="3"/>
      <c r="PLE105" s="3"/>
      <c r="PLF105" s="3"/>
      <c r="PLG105" s="3"/>
      <c r="PLH105" s="3"/>
      <c r="PLI105" s="3"/>
      <c r="PLJ105" s="3"/>
      <c r="PLK105" s="3"/>
      <c r="PLL105" s="3"/>
      <c r="PLM105" s="3"/>
      <c r="PLN105" s="3"/>
      <c r="PLO105" s="3"/>
      <c r="PLP105" s="3"/>
      <c r="PLQ105" s="3"/>
      <c r="PLR105" s="3"/>
      <c r="PLS105" s="3"/>
      <c r="PLT105" s="3"/>
      <c r="PLU105" s="3"/>
      <c r="PLV105" s="3"/>
      <c r="PLW105" s="3"/>
      <c r="PLX105" s="3"/>
      <c r="PLY105" s="3"/>
      <c r="PLZ105" s="3"/>
      <c r="PMA105" s="3"/>
      <c r="PMB105" s="3"/>
      <c r="PMC105" s="3"/>
      <c r="PMD105" s="3"/>
      <c r="PME105" s="3"/>
      <c r="PMF105" s="3"/>
      <c r="PMG105" s="3"/>
      <c r="PMH105" s="3"/>
      <c r="PMI105" s="3"/>
      <c r="PMJ105" s="3"/>
      <c r="PMK105" s="3"/>
      <c r="PML105" s="3"/>
      <c r="PMM105" s="3"/>
      <c r="PMN105" s="3"/>
      <c r="PMO105" s="3"/>
      <c r="PMP105" s="3"/>
      <c r="PMQ105" s="3"/>
      <c r="PMR105" s="3"/>
      <c r="PMS105" s="3"/>
      <c r="PMT105" s="3"/>
      <c r="PMU105" s="3"/>
      <c r="PMV105" s="3"/>
      <c r="PMW105" s="3"/>
      <c r="PMX105" s="3"/>
      <c r="PMY105" s="3"/>
      <c r="PMZ105" s="3"/>
      <c r="PNA105" s="3"/>
      <c r="PNB105" s="3"/>
      <c r="PNC105" s="3"/>
      <c r="PND105" s="3"/>
      <c r="PNE105" s="3"/>
      <c r="PNF105" s="3"/>
      <c r="PNG105" s="3"/>
      <c r="PNH105" s="3"/>
      <c r="PNI105" s="3"/>
      <c r="PNJ105" s="3"/>
      <c r="PNK105" s="3"/>
      <c r="PNL105" s="3"/>
      <c r="PNM105" s="3"/>
      <c r="PNN105" s="3"/>
      <c r="PNO105" s="3"/>
      <c r="PNP105" s="3"/>
      <c r="PNQ105" s="3"/>
      <c r="PNR105" s="3"/>
      <c r="PNS105" s="3"/>
      <c r="PNT105" s="3"/>
      <c r="PNU105" s="3"/>
      <c r="PNV105" s="3"/>
      <c r="PNW105" s="3"/>
      <c r="PNX105" s="3"/>
      <c r="PNY105" s="3"/>
      <c r="PNZ105" s="3"/>
      <c r="POA105" s="3"/>
      <c r="POB105" s="3"/>
      <c r="POC105" s="3"/>
      <c r="POD105" s="3"/>
      <c r="POE105" s="3"/>
      <c r="POF105" s="3"/>
      <c r="POG105" s="3"/>
      <c r="POH105" s="3"/>
      <c r="POI105" s="3"/>
      <c r="POJ105" s="3"/>
      <c r="POK105" s="3"/>
      <c r="POL105" s="3"/>
      <c r="POM105" s="3"/>
      <c r="PON105" s="3"/>
      <c r="POO105" s="3"/>
      <c r="POP105" s="3"/>
      <c r="POQ105" s="3"/>
      <c r="POR105" s="3"/>
      <c r="POS105" s="3"/>
      <c r="POT105" s="3"/>
      <c r="POU105" s="3"/>
      <c r="POV105" s="3"/>
      <c r="POW105" s="3"/>
      <c r="POX105" s="3"/>
      <c r="POY105" s="3"/>
      <c r="POZ105" s="3"/>
      <c r="PPA105" s="3"/>
      <c r="PPB105" s="3"/>
      <c r="PPC105" s="3"/>
      <c r="PPD105" s="3"/>
      <c r="PPE105" s="3"/>
      <c r="PPF105" s="3"/>
      <c r="PPG105" s="3"/>
      <c r="PPH105" s="3"/>
      <c r="PPI105" s="3"/>
      <c r="PPJ105" s="3"/>
      <c r="PPK105" s="3"/>
      <c r="PPL105" s="3"/>
      <c r="PPM105" s="3"/>
      <c r="PPN105" s="3"/>
      <c r="PPO105" s="3"/>
      <c r="PPP105" s="3"/>
      <c r="PPQ105" s="3"/>
      <c r="PPR105" s="3"/>
      <c r="PPS105" s="3"/>
      <c r="PPT105" s="3"/>
      <c r="PPU105" s="3"/>
      <c r="PPV105" s="3"/>
      <c r="PPW105" s="3"/>
      <c r="PPX105" s="3"/>
      <c r="PPY105" s="3"/>
      <c r="PPZ105" s="3"/>
      <c r="PQA105" s="3"/>
      <c r="PQB105" s="3"/>
      <c r="PQC105" s="3"/>
      <c r="PQD105" s="3"/>
      <c r="PQE105" s="3"/>
      <c r="PQF105" s="3"/>
      <c r="PQG105" s="3"/>
      <c r="PQH105" s="3"/>
      <c r="PQI105" s="3"/>
      <c r="PQJ105" s="3"/>
      <c r="PQK105" s="3"/>
      <c r="PQL105" s="3"/>
      <c r="PQM105" s="3"/>
      <c r="PQN105" s="3"/>
      <c r="PQO105" s="3"/>
      <c r="PQP105" s="3"/>
      <c r="PQQ105" s="3"/>
      <c r="PQR105" s="3"/>
      <c r="PQS105" s="3"/>
      <c r="PQT105" s="3"/>
      <c r="PQU105" s="3"/>
      <c r="PQV105" s="3"/>
      <c r="PQW105" s="3"/>
      <c r="PQX105" s="3"/>
      <c r="PQY105" s="3"/>
      <c r="PQZ105" s="3"/>
      <c r="PRA105" s="3"/>
      <c r="PRB105" s="3"/>
      <c r="PRC105" s="3"/>
      <c r="PRD105" s="3"/>
      <c r="PRE105" s="3"/>
      <c r="PRF105" s="3"/>
      <c r="PRG105" s="3"/>
      <c r="PRH105" s="3"/>
      <c r="PRI105" s="3"/>
      <c r="PRJ105" s="3"/>
      <c r="PRK105" s="3"/>
      <c r="PRL105" s="3"/>
      <c r="PRM105" s="3"/>
      <c r="PRN105" s="3"/>
      <c r="PRO105" s="3"/>
      <c r="PRP105" s="3"/>
      <c r="PRQ105" s="3"/>
      <c r="PRR105" s="3"/>
      <c r="PRS105" s="3"/>
      <c r="PRT105" s="3"/>
      <c r="PRU105" s="3"/>
      <c r="PRV105" s="3"/>
      <c r="PRW105" s="3"/>
      <c r="PRX105" s="3"/>
      <c r="PRY105" s="3"/>
      <c r="PRZ105" s="3"/>
      <c r="PSA105" s="3"/>
      <c r="PSB105" s="3"/>
      <c r="PSC105" s="3"/>
      <c r="PSD105" s="3"/>
      <c r="PSE105" s="3"/>
      <c r="PSF105" s="3"/>
      <c r="PSG105" s="3"/>
      <c r="PSH105" s="3"/>
      <c r="PSI105" s="3"/>
      <c r="PSJ105" s="3"/>
      <c r="PSK105" s="3"/>
      <c r="PSL105" s="3"/>
      <c r="PSM105" s="3"/>
      <c r="PSN105" s="3"/>
      <c r="PSO105" s="3"/>
      <c r="PSP105" s="3"/>
      <c r="PSQ105" s="3"/>
      <c r="PSR105" s="3"/>
      <c r="PSS105" s="3"/>
      <c r="PST105" s="3"/>
      <c r="PSU105" s="3"/>
      <c r="PSV105" s="3"/>
      <c r="PSW105" s="3"/>
      <c r="PSX105" s="3"/>
      <c r="PSY105" s="3"/>
      <c r="PSZ105" s="3"/>
      <c r="PTA105" s="3"/>
      <c r="PTB105" s="3"/>
      <c r="PTC105" s="3"/>
      <c r="PTD105" s="3"/>
      <c r="PTE105" s="3"/>
      <c r="PTF105" s="3"/>
      <c r="PTG105" s="3"/>
      <c r="PTH105" s="3"/>
      <c r="PTI105" s="3"/>
      <c r="PTJ105" s="3"/>
      <c r="PTK105" s="3"/>
      <c r="PTL105" s="3"/>
      <c r="PTM105" s="3"/>
      <c r="PTN105" s="3"/>
      <c r="PTO105" s="3"/>
      <c r="PTP105" s="3"/>
      <c r="PTQ105" s="3"/>
      <c r="PTR105" s="3"/>
      <c r="PTS105" s="3"/>
      <c r="PTT105" s="3"/>
      <c r="PTU105" s="3"/>
      <c r="PTV105" s="3"/>
      <c r="PTW105" s="3"/>
      <c r="PTX105" s="3"/>
      <c r="PTY105" s="3"/>
      <c r="PTZ105" s="3"/>
      <c r="PUA105" s="3"/>
      <c r="PUB105" s="3"/>
      <c r="PUC105" s="3"/>
      <c r="PUD105" s="3"/>
      <c r="PUE105" s="3"/>
      <c r="PUF105" s="3"/>
      <c r="PUG105" s="3"/>
      <c r="PUH105" s="3"/>
      <c r="PUI105" s="3"/>
      <c r="PUJ105" s="3"/>
      <c r="PUK105" s="3"/>
      <c r="PUL105" s="3"/>
      <c r="PUM105" s="3"/>
      <c r="PUN105" s="3"/>
      <c r="PUO105" s="3"/>
      <c r="PUP105" s="3"/>
      <c r="PUQ105" s="3"/>
      <c r="PUR105" s="3"/>
      <c r="PUS105" s="3"/>
      <c r="PUT105" s="3"/>
      <c r="PUU105" s="3"/>
      <c r="PUV105" s="3"/>
      <c r="PUW105" s="3"/>
      <c r="PUX105" s="3"/>
      <c r="PUY105" s="3"/>
      <c r="PUZ105" s="3"/>
      <c r="PVA105" s="3"/>
      <c r="PVB105" s="3"/>
      <c r="PVC105" s="3"/>
      <c r="PVD105" s="3"/>
      <c r="PVE105" s="3"/>
      <c r="PVF105" s="3"/>
      <c r="PVG105" s="3"/>
      <c r="PVH105" s="3"/>
      <c r="PVI105" s="3"/>
      <c r="PVJ105" s="3"/>
      <c r="PVK105" s="3"/>
      <c r="PVL105" s="3"/>
      <c r="PVM105" s="3"/>
      <c r="PVN105" s="3"/>
      <c r="PVO105" s="3"/>
      <c r="PVP105" s="3"/>
      <c r="PVQ105" s="3"/>
      <c r="PVR105" s="3"/>
      <c r="PVS105" s="3"/>
      <c r="PVT105" s="3"/>
      <c r="PVU105" s="3"/>
      <c r="PVV105" s="3"/>
      <c r="PVW105" s="3"/>
      <c r="PVX105" s="3"/>
      <c r="PVY105" s="3"/>
      <c r="PVZ105" s="3"/>
      <c r="PWA105" s="3"/>
      <c r="PWB105" s="3"/>
      <c r="PWC105" s="3"/>
      <c r="PWD105" s="3"/>
      <c r="PWE105" s="3"/>
      <c r="PWF105" s="3"/>
      <c r="PWG105" s="3"/>
      <c r="PWH105" s="3"/>
      <c r="PWI105" s="3"/>
      <c r="PWJ105" s="3"/>
      <c r="PWK105" s="3"/>
      <c r="PWL105" s="3"/>
      <c r="PWM105" s="3"/>
      <c r="PWN105" s="3"/>
      <c r="PWO105" s="3"/>
      <c r="PWP105" s="3"/>
      <c r="PWQ105" s="3"/>
      <c r="PWR105" s="3"/>
      <c r="PWS105" s="3"/>
      <c r="PWT105" s="3"/>
      <c r="PWU105" s="3"/>
      <c r="PWV105" s="3"/>
      <c r="PWW105" s="3"/>
      <c r="PWX105" s="3"/>
      <c r="PWY105" s="3"/>
      <c r="PWZ105" s="3"/>
      <c r="PXA105" s="3"/>
      <c r="PXB105" s="3"/>
      <c r="PXC105" s="3"/>
      <c r="PXD105" s="3"/>
      <c r="PXE105" s="3"/>
      <c r="PXF105" s="3"/>
      <c r="PXG105" s="3"/>
      <c r="PXH105" s="3"/>
      <c r="PXI105" s="3"/>
      <c r="PXJ105" s="3"/>
      <c r="PXK105" s="3"/>
      <c r="PXL105" s="3"/>
      <c r="PXM105" s="3"/>
      <c r="PXN105" s="3"/>
      <c r="PXO105" s="3"/>
      <c r="PXP105" s="3"/>
      <c r="PXQ105" s="3"/>
      <c r="PXR105" s="3"/>
      <c r="PXS105" s="3"/>
      <c r="PXT105" s="3"/>
      <c r="PXU105" s="3"/>
      <c r="PXV105" s="3"/>
      <c r="PXW105" s="3"/>
      <c r="PXX105" s="3"/>
      <c r="PXY105" s="3"/>
      <c r="PXZ105" s="3"/>
      <c r="PYA105" s="3"/>
      <c r="PYB105" s="3"/>
      <c r="PYC105" s="3"/>
      <c r="PYD105" s="3"/>
      <c r="PYE105" s="3"/>
      <c r="PYF105" s="3"/>
      <c r="PYG105" s="3"/>
      <c r="PYH105" s="3"/>
      <c r="PYI105" s="3"/>
      <c r="PYJ105" s="3"/>
      <c r="PYK105" s="3"/>
      <c r="PYL105" s="3"/>
      <c r="PYM105" s="3"/>
      <c r="PYN105" s="3"/>
      <c r="PYO105" s="3"/>
      <c r="PYP105" s="3"/>
      <c r="PYQ105" s="3"/>
      <c r="PYR105" s="3"/>
      <c r="PYS105" s="3"/>
      <c r="PYT105" s="3"/>
      <c r="PYU105" s="3"/>
      <c r="PYV105" s="3"/>
      <c r="PYW105" s="3"/>
      <c r="PYX105" s="3"/>
      <c r="PYY105" s="3"/>
      <c r="PYZ105" s="3"/>
      <c r="PZA105" s="3"/>
      <c r="PZB105" s="3"/>
      <c r="PZC105" s="3"/>
      <c r="PZD105" s="3"/>
      <c r="PZE105" s="3"/>
      <c r="PZF105" s="3"/>
      <c r="PZG105" s="3"/>
      <c r="PZH105" s="3"/>
      <c r="PZI105" s="3"/>
      <c r="PZJ105" s="3"/>
      <c r="PZK105" s="3"/>
      <c r="PZL105" s="3"/>
      <c r="PZM105" s="3"/>
      <c r="PZN105" s="3"/>
      <c r="PZO105" s="3"/>
      <c r="PZP105" s="3"/>
      <c r="PZQ105" s="3"/>
      <c r="PZR105" s="3"/>
      <c r="PZS105" s="3"/>
      <c r="PZT105" s="3"/>
      <c r="PZU105" s="3"/>
      <c r="PZV105" s="3"/>
      <c r="PZW105" s="3"/>
      <c r="PZX105" s="3"/>
      <c r="PZY105" s="3"/>
      <c r="PZZ105" s="3"/>
      <c r="QAA105" s="3"/>
      <c r="QAB105" s="3"/>
      <c r="QAC105" s="3"/>
      <c r="QAD105" s="3"/>
      <c r="QAE105" s="3"/>
      <c r="QAF105" s="3"/>
      <c r="QAG105" s="3"/>
      <c r="QAH105" s="3"/>
      <c r="QAI105" s="3"/>
      <c r="QAJ105" s="3"/>
      <c r="QAK105" s="3"/>
      <c r="QAL105" s="3"/>
      <c r="QAM105" s="3"/>
      <c r="QAN105" s="3"/>
      <c r="QAO105" s="3"/>
      <c r="QAP105" s="3"/>
      <c r="QAQ105" s="3"/>
      <c r="QAR105" s="3"/>
      <c r="QAS105" s="3"/>
      <c r="QAT105" s="3"/>
      <c r="QAU105" s="3"/>
      <c r="QAV105" s="3"/>
      <c r="QAW105" s="3"/>
      <c r="QAX105" s="3"/>
      <c r="QAY105" s="3"/>
      <c r="QAZ105" s="3"/>
      <c r="QBA105" s="3"/>
      <c r="QBB105" s="3"/>
      <c r="QBC105" s="3"/>
      <c r="QBD105" s="3"/>
      <c r="QBE105" s="3"/>
      <c r="QBF105" s="3"/>
      <c r="QBG105" s="3"/>
      <c r="QBH105" s="3"/>
      <c r="QBI105" s="3"/>
      <c r="QBJ105" s="3"/>
      <c r="QBK105" s="3"/>
      <c r="QBL105" s="3"/>
      <c r="QBM105" s="3"/>
      <c r="QBN105" s="3"/>
      <c r="QBO105" s="3"/>
      <c r="QBP105" s="3"/>
      <c r="QBQ105" s="3"/>
      <c r="QBR105" s="3"/>
      <c r="QBS105" s="3"/>
      <c r="QBT105" s="3"/>
      <c r="QBU105" s="3"/>
      <c r="QBV105" s="3"/>
      <c r="QBW105" s="3"/>
      <c r="QBX105" s="3"/>
      <c r="QBY105" s="3"/>
      <c r="QBZ105" s="3"/>
      <c r="QCA105" s="3"/>
      <c r="QCB105" s="3"/>
      <c r="QCC105" s="3"/>
      <c r="QCD105" s="3"/>
      <c r="QCE105" s="3"/>
      <c r="QCF105" s="3"/>
      <c r="QCG105" s="3"/>
      <c r="QCH105" s="3"/>
      <c r="QCI105" s="3"/>
      <c r="QCJ105" s="3"/>
      <c r="QCK105" s="3"/>
      <c r="QCL105" s="3"/>
      <c r="QCM105" s="3"/>
      <c r="QCN105" s="3"/>
      <c r="QCO105" s="3"/>
      <c r="QCP105" s="3"/>
      <c r="QCQ105" s="3"/>
      <c r="QCR105" s="3"/>
      <c r="QCS105" s="3"/>
      <c r="QCT105" s="3"/>
      <c r="QCU105" s="3"/>
      <c r="QCV105" s="3"/>
      <c r="QCW105" s="3"/>
      <c r="QCX105" s="3"/>
      <c r="QCY105" s="3"/>
      <c r="QCZ105" s="3"/>
      <c r="QDA105" s="3"/>
      <c r="QDB105" s="3"/>
      <c r="QDC105" s="3"/>
      <c r="QDD105" s="3"/>
      <c r="QDE105" s="3"/>
      <c r="QDF105" s="3"/>
      <c r="QDG105" s="3"/>
      <c r="QDH105" s="3"/>
      <c r="QDI105" s="3"/>
      <c r="QDJ105" s="3"/>
      <c r="QDK105" s="3"/>
      <c r="QDL105" s="3"/>
      <c r="QDM105" s="3"/>
      <c r="QDN105" s="3"/>
      <c r="QDO105" s="3"/>
      <c r="QDP105" s="3"/>
      <c r="QDQ105" s="3"/>
      <c r="QDR105" s="3"/>
      <c r="QDS105" s="3"/>
      <c r="QDT105" s="3"/>
      <c r="QDU105" s="3"/>
      <c r="QDV105" s="3"/>
      <c r="QDW105" s="3"/>
      <c r="QDX105" s="3"/>
      <c r="QDY105" s="3"/>
      <c r="QDZ105" s="3"/>
      <c r="QEA105" s="3"/>
      <c r="QEB105" s="3"/>
      <c r="QEC105" s="3"/>
      <c r="QED105" s="3"/>
      <c r="QEE105" s="3"/>
      <c r="QEF105" s="3"/>
      <c r="QEG105" s="3"/>
      <c r="QEH105" s="3"/>
      <c r="QEI105" s="3"/>
      <c r="QEJ105" s="3"/>
      <c r="QEK105" s="3"/>
      <c r="QEL105" s="3"/>
      <c r="QEM105" s="3"/>
      <c r="QEN105" s="3"/>
      <c r="QEO105" s="3"/>
      <c r="QEP105" s="3"/>
      <c r="QEQ105" s="3"/>
      <c r="QER105" s="3"/>
      <c r="QES105" s="3"/>
      <c r="QET105" s="3"/>
      <c r="QEU105" s="3"/>
      <c r="QEV105" s="3"/>
      <c r="QEW105" s="3"/>
      <c r="QEX105" s="3"/>
      <c r="QEY105" s="3"/>
      <c r="QEZ105" s="3"/>
      <c r="QFA105" s="3"/>
      <c r="QFB105" s="3"/>
      <c r="QFC105" s="3"/>
      <c r="QFD105" s="3"/>
      <c r="QFE105" s="3"/>
      <c r="QFF105" s="3"/>
      <c r="QFG105" s="3"/>
      <c r="QFH105" s="3"/>
      <c r="QFI105" s="3"/>
      <c r="QFJ105" s="3"/>
      <c r="QFK105" s="3"/>
      <c r="QFL105" s="3"/>
      <c r="QFM105" s="3"/>
      <c r="QFN105" s="3"/>
      <c r="QFO105" s="3"/>
      <c r="QFP105" s="3"/>
      <c r="QFQ105" s="3"/>
      <c r="QFR105" s="3"/>
      <c r="QFS105" s="3"/>
      <c r="QFT105" s="3"/>
      <c r="QFU105" s="3"/>
      <c r="QFV105" s="3"/>
      <c r="QFW105" s="3"/>
      <c r="QFX105" s="3"/>
      <c r="QFY105" s="3"/>
      <c r="QFZ105" s="3"/>
      <c r="QGA105" s="3"/>
      <c r="QGB105" s="3"/>
      <c r="QGC105" s="3"/>
      <c r="QGD105" s="3"/>
      <c r="QGE105" s="3"/>
      <c r="QGF105" s="3"/>
      <c r="QGG105" s="3"/>
      <c r="QGH105" s="3"/>
      <c r="QGI105" s="3"/>
      <c r="QGJ105" s="3"/>
      <c r="QGK105" s="3"/>
      <c r="QGL105" s="3"/>
      <c r="QGM105" s="3"/>
      <c r="QGN105" s="3"/>
      <c r="QGO105" s="3"/>
      <c r="QGP105" s="3"/>
      <c r="QGQ105" s="3"/>
      <c r="QGR105" s="3"/>
      <c r="QGS105" s="3"/>
      <c r="QGT105" s="3"/>
      <c r="QGU105" s="3"/>
      <c r="QGV105" s="3"/>
      <c r="QGW105" s="3"/>
      <c r="QGX105" s="3"/>
      <c r="QGY105" s="3"/>
      <c r="QGZ105" s="3"/>
      <c r="QHA105" s="3"/>
      <c r="QHB105" s="3"/>
      <c r="QHC105" s="3"/>
      <c r="QHD105" s="3"/>
      <c r="QHE105" s="3"/>
      <c r="QHF105" s="3"/>
      <c r="QHG105" s="3"/>
      <c r="QHH105" s="3"/>
      <c r="QHI105" s="3"/>
      <c r="QHJ105" s="3"/>
      <c r="QHK105" s="3"/>
      <c r="QHL105" s="3"/>
      <c r="QHM105" s="3"/>
      <c r="QHN105" s="3"/>
      <c r="QHO105" s="3"/>
      <c r="QHP105" s="3"/>
      <c r="QHQ105" s="3"/>
      <c r="QHR105" s="3"/>
      <c r="QHS105" s="3"/>
      <c r="QHT105" s="3"/>
      <c r="QHU105" s="3"/>
      <c r="QHV105" s="3"/>
      <c r="QHW105" s="3"/>
      <c r="QHX105" s="3"/>
      <c r="QHY105" s="3"/>
      <c r="QHZ105" s="3"/>
      <c r="QIA105" s="3"/>
      <c r="QIB105" s="3"/>
      <c r="QIC105" s="3"/>
      <c r="QID105" s="3"/>
      <c r="QIE105" s="3"/>
      <c r="QIF105" s="3"/>
      <c r="QIG105" s="3"/>
      <c r="QIH105" s="3"/>
      <c r="QII105" s="3"/>
      <c r="QIJ105" s="3"/>
      <c r="QIK105" s="3"/>
      <c r="QIL105" s="3"/>
      <c r="QIM105" s="3"/>
      <c r="QIN105" s="3"/>
      <c r="QIO105" s="3"/>
      <c r="QIP105" s="3"/>
      <c r="QIQ105" s="3"/>
      <c r="QIR105" s="3"/>
      <c r="QIS105" s="3"/>
      <c r="QIT105" s="3"/>
      <c r="QIU105" s="3"/>
      <c r="QIV105" s="3"/>
      <c r="QIW105" s="3"/>
      <c r="QIX105" s="3"/>
      <c r="QIY105" s="3"/>
      <c r="QIZ105" s="3"/>
      <c r="QJA105" s="3"/>
      <c r="QJB105" s="3"/>
      <c r="QJC105" s="3"/>
      <c r="QJD105" s="3"/>
      <c r="QJE105" s="3"/>
      <c r="QJF105" s="3"/>
      <c r="QJG105" s="3"/>
      <c r="QJH105" s="3"/>
      <c r="QJI105" s="3"/>
      <c r="QJJ105" s="3"/>
      <c r="QJK105" s="3"/>
      <c r="QJL105" s="3"/>
      <c r="QJM105" s="3"/>
      <c r="QJN105" s="3"/>
      <c r="QJO105" s="3"/>
      <c r="QJP105" s="3"/>
      <c r="QJQ105" s="3"/>
      <c r="QJR105" s="3"/>
      <c r="QJS105" s="3"/>
      <c r="QJT105" s="3"/>
      <c r="QJU105" s="3"/>
      <c r="QJV105" s="3"/>
      <c r="QJW105" s="3"/>
      <c r="QJX105" s="3"/>
      <c r="QJY105" s="3"/>
      <c r="QJZ105" s="3"/>
      <c r="QKA105" s="3"/>
      <c r="QKB105" s="3"/>
      <c r="QKC105" s="3"/>
      <c r="QKD105" s="3"/>
      <c r="QKE105" s="3"/>
      <c r="QKF105" s="3"/>
      <c r="QKG105" s="3"/>
      <c r="QKH105" s="3"/>
      <c r="QKI105" s="3"/>
      <c r="QKJ105" s="3"/>
      <c r="QKK105" s="3"/>
      <c r="QKL105" s="3"/>
      <c r="QKM105" s="3"/>
      <c r="QKN105" s="3"/>
      <c r="QKO105" s="3"/>
      <c r="QKP105" s="3"/>
      <c r="QKQ105" s="3"/>
      <c r="QKR105" s="3"/>
      <c r="QKS105" s="3"/>
      <c r="QKT105" s="3"/>
      <c r="QKU105" s="3"/>
      <c r="QKV105" s="3"/>
      <c r="QKW105" s="3"/>
      <c r="QKX105" s="3"/>
      <c r="QKY105" s="3"/>
      <c r="QKZ105" s="3"/>
      <c r="QLA105" s="3"/>
      <c r="QLB105" s="3"/>
      <c r="QLC105" s="3"/>
      <c r="QLD105" s="3"/>
      <c r="QLE105" s="3"/>
      <c r="QLF105" s="3"/>
      <c r="QLG105" s="3"/>
      <c r="QLH105" s="3"/>
      <c r="QLI105" s="3"/>
      <c r="QLJ105" s="3"/>
      <c r="QLK105" s="3"/>
      <c r="QLL105" s="3"/>
      <c r="QLM105" s="3"/>
      <c r="QLN105" s="3"/>
      <c r="QLO105" s="3"/>
      <c r="QLP105" s="3"/>
      <c r="QLQ105" s="3"/>
      <c r="QLR105" s="3"/>
      <c r="QLS105" s="3"/>
      <c r="QLT105" s="3"/>
      <c r="QLU105" s="3"/>
      <c r="QLV105" s="3"/>
      <c r="QLW105" s="3"/>
      <c r="QLX105" s="3"/>
      <c r="QLY105" s="3"/>
      <c r="QLZ105" s="3"/>
      <c r="QMA105" s="3"/>
      <c r="QMB105" s="3"/>
      <c r="QMC105" s="3"/>
      <c r="QMD105" s="3"/>
      <c r="QME105" s="3"/>
      <c r="QMF105" s="3"/>
      <c r="QMG105" s="3"/>
      <c r="QMH105" s="3"/>
      <c r="QMI105" s="3"/>
      <c r="QMJ105" s="3"/>
      <c r="QMK105" s="3"/>
      <c r="QML105" s="3"/>
      <c r="QMM105" s="3"/>
      <c r="QMN105" s="3"/>
      <c r="QMO105" s="3"/>
      <c r="QMP105" s="3"/>
      <c r="QMQ105" s="3"/>
      <c r="QMR105" s="3"/>
      <c r="QMS105" s="3"/>
      <c r="QMT105" s="3"/>
      <c r="QMU105" s="3"/>
      <c r="QMV105" s="3"/>
      <c r="QMW105" s="3"/>
      <c r="QMX105" s="3"/>
      <c r="QMY105" s="3"/>
      <c r="QMZ105" s="3"/>
      <c r="QNA105" s="3"/>
      <c r="QNB105" s="3"/>
      <c r="QNC105" s="3"/>
      <c r="QND105" s="3"/>
      <c r="QNE105" s="3"/>
      <c r="QNF105" s="3"/>
      <c r="QNG105" s="3"/>
      <c r="QNH105" s="3"/>
      <c r="QNI105" s="3"/>
      <c r="QNJ105" s="3"/>
      <c r="QNK105" s="3"/>
      <c r="QNL105" s="3"/>
      <c r="QNM105" s="3"/>
      <c r="QNN105" s="3"/>
      <c r="QNO105" s="3"/>
      <c r="QNP105" s="3"/>
      <c r="QNQ105" s="3"/>
      <c r="QNR105" s="3"/>
      <c r="QNS105" s="3"/>
      <c r="QNT105" s="3"/>
      <c r="QNU105" s="3"/>
      <c r="QNV105" s="3"/>
      <c r="QNW105" s="3"/>
      <c r="QNX105" s="3"/>
      <c r="QNY105" s="3"/>
      <c r="QNZ105" s="3"/>
      <c r="QOA105" s="3"/>
      <c r="QOB105" s="3"/>
      <c r="QOC105" s="3"/>
      <c r="QOD105" s="3"/>
      <c r="QOE105" s="3"/>
      <c r="QOF105" s="3"/>
      <c r="QOG105" s="3"/>
      <c r="QOH105" s="3"/>
      <c r="QOI105" s="3"/>
      <c r="QOJ105" s="3"/>
      <c r="QOK105" s="3"/>
      <c r="QOL105" s="3"/>
      <c r="QOM105" s="3"/>
      <c r="QON105" s="3"/>
      <c r="QOO105" s="3"/>
      <c r="QOP105" s="3"/>
      <c r="QOQ105" s="3"/>
      <c r="QOR105" s="3"/>
      <c r="QOS105" s="3"/>
      <c r="QOT105" s="3"/>
      <c r="QOU105" s="3"/>
      <c r="QOV105" s="3"/>
      <c r="QOW105" s="3"/>
      <c r="QOX105" s="3"/>
      <c r="QOY105" s="3"/>
      <c r="QOZ105" s="3"/>
      <c r="QPA105" s="3"/>
      <c r="QPB105" s="3"/>
      <c r="QPC105" s="3"/>
      <c r="QPD105" s="3"/>
      <c r="QPE105" s="3"/>
      <c r="QPF105" s="3"/>
      <c r="QPG105" s="3"/>
      <c r="QPH105" s="3"/>
      <c r="QPI105" s="3"/>
      <c r="QPJ105" s="3"/>
      <c r="QPK105" s="3"/>
      <c r="QPL105" s="3"/>
      <c r="QPM105" s="3"/>
      <c r="QPN105" s="3"/>
      <c r="QPO105" s="3"/>
      <c r="QPP105" s="3"/>
      <c r="QPQ105" s="3"/>
      <c r="QPR105" s="3"/>
      <c r="QPS105" s="3"/>
      <c r="QPT105" s="3"/>
      <c r="QPU105" s="3"/>
      <c r="QPV105" s="3"/>
      <c r="QPW105" s="3"/>
      <c r="QPX105" s="3"/>
      <c r="QPY105" s="3"/>
      <c r="QPZ105" s="3"/>
      <c r="QQA105" s="3"/>
      <c r="QQB105" s="3"/>
      <c r="QQC105" s="3"/>
      <c r="QQD105" s="3"/>
      <c r="QQE105" s="3"/>
      <c r="QQF105" s="3"/>
      <c r="QQG105" s="3"/>
      <c r="QQH105" s="3"/>
      <c r="QQI105" s="3"/>
      <c r="QQJ105" s="3"/>
      <c r="QQK105" s="3"/>
      <c r="QQL105" s="3"/>
      <c r="QQM105" s="3"/>
      <c r="QQN105" s="3"/>
      <c r="QQO105" s="3"/>
      <c r="QQP105" s="3"/>
      <c r="QQQ105" s="3"/>
      <c r="QQR105" s="3"/>
      <c r="QQS105" s="3"/>
      <c r="QQT105" s="3"/>
      <c r="QQU105" s="3"/>
      <c r="QQV105" s="3"/>
      <c r="QQW105" s="3"/>
      <c r="QQX105" s="3"/>
      <c r="QQY105" s="3"/>
      <c r="QQZ105" s="3"/>
      <c r="QRA105" s="3"/>
      <c r="QRB105" s="3"/>
      <c r="QRC105" s="3"/>
      <c r="QRD105" s="3"/>
      <c r="QRE105" s="3"/>
      <c r="QRF105" s="3"/>
      <c r="QRG105" s="3"/>
      <c r="QRH105" s="3"/>
      <c r="QRI105" s="3"/>
      <c r="QRJ105" s="3"/>
      <c r="QRK105" s="3"/>
      <c r="QRL105" s="3"/>
      <c r="QRM105" s="3"/>
      <c r="QRN105" s="3"/>
      <c r="QRO105" s="3"/>
      <c r="QRP105" s="3"/>
      <c r="QRQ105" s="3"/>
      <c r="QRR105" s="3"/>
      <c r="QRS105" s="3"/>
      <c r="QRT105" s="3"/>
      <c r="QRU105" s="3"/>
      <c r="QRV105" s="3"/>
      <c r="QRW105" s="3"/>
      <c r="QRX105" s="3"/>
      <c r="QRY105" s="3"/>
      <c r="QRZ105" s="3"/>
      <c r="QSA105" s="3"/>
      <c r="QSB105" s="3"/>
      <c r="QSC105" s="3"/>
      <c r="QSD105" s="3"/>
      <c r="QSE105" s="3"/>
      <c r="QSF105" s="3"/>
      <c r="QSG105" s="3"/>
      <c r="QSH105" s="3"/>
      <c r="QSI105" s="3"/>
      <c r="QSJ105" s="3"/>
      <c r="QSK105" s="3"/>
      <c r="QSL105" s="3"/>
      <c r="QSM105" s="3"/>
      <c r="QSN105" s="3"/>
      <c r="QSO105" s="3"/>
      <c r="QSP105" s="3"/>
      <c r="QSQ105" s="3"/>
      <c r="QSR105" s="3"/>
      <c r="QSS105" s="3"/>
      <c r="QST105" s="3"/>
      <c r="QSU105" s="3"/>
      <c r="QSV105" s="3"/>
      <c r="QSW105" s="3"/>
      <c r="QSX105" s="3"/>
      <c r="QSY105" s="3"/>
      <c r="QSZ105" s="3"/>
      <c r="QTA105" s="3"/>
      <c r="QTB105" s="3"/>
      <c r="QTC105" s="3"/>
      <c r="QTD105" s="3"/>
      <c r="QTE105" s="3"/>
      <c r="QTF105" s="3"/>
      <c r="QTG105" s="3"/>
      <c r="QTH105" s="3"/>
      <c r="QTI105" s="3"/>
      <c r="QTJ105" s="3"/>
      <c r="QTK105" s="3"/>
      <c r="QTL105" s="3"/>
      <c r="QTM105" s="3"/>
      <c r="QTN105" s="3"/>
      <c r="QTO105" s="3"/>
      <c r="QTP105" s="3"/>
      <c r="QTQ105" s="3"/>
      <c r="QTR105" s="3"/>
      <c r="QTS105" s="3"/>
      <c r="QTT105" s="3"/>
      <c r="QTU105" s="3"/>
      <c r="QTV105" s="3"/>
      <c r="QTW105" s="3"/>
      <c r="QTX105" s="3"/>
      <c r="QTY105" s="3"/>
      <c r="QTZ105" s="3"/>
      <c r="QUA105" s="3"/>
      <c r="QUB105" s="3"/>
      <c r="QUC105" s="3"/>
      <c r="QUD105" s="3"/>
      <c r="QUE105" s="3"/>
      <c r="QUF105" s="3"/>
      <c r="QUG105" s="3"/>
      <c r="QUH105" s="3"/>
      <c r="QUI105" s="3"/>
      <c r="QUJ105" s="3"/>
      <c r="QUK105" s="3"/>
      <c r="QUL105" s="3"/>
      <c r="QUM105" s="3"/>
      <c r="QUN105" s="3"/>
      <c r="QUO105" s="3"/>
      <c r="QUP105" s="3"/>
      <c r="QUQ105" s="3"/>
      <c r="QUR105" s="3"/>
      <c r="QUS105" s="3"/>
      <c r="QUT105" s="3"/>
      <c r="QUU105" s="3"/>
      <c r="QUV105" s="3"/>
      <c r="QUW105" s="3"/>
      <c r="QUX105" s="3"/>
      <c r="QUY105" s="3"/>
      <c r="QUZ105" s="3"/>
      <c r="QVA105" s="3"/>
      <c r="QVB105" s="3"/>
      <c r="QVC105" s="3"/>
      <c r="QVD105" s="3"/>
      <c r="QVE105" s="3"/>
      <c r="QVF105" s="3"/>
      <c r="QVG105" s="3"/>
      <c r="QVH105" s="3"/>
      <c r="QVI105" s="3"/>
      <c r="QVJ105" s="3"/>
      <c r="QVK105" s="3"/>
      <c r="QVL105" s="3"/>
      <c r="QVM105" s="3"/>
      <c r="QVN105" s="3"/>
      <c r="QVO105" s="3"/>
      <c r="QVP105" s="3"/>
      <c r="QVQ105" s="3"/>
      <c r="QVR105" s="3"/>
      <c r="QVS105" s="3"/>
      <c r="QVT105" s="3"/>
      <c r="QVU105" s="3"/>
      <c r="QVV105" s="3"/>
      <c r="QVW105" s="3"/>
      <c r="QVX105" s="3"/>
      <c r="QVY105" s="3"/>
      <c r="QVZ105" s="3"/>
      <c r="QWA105" s="3"/>
      <c r="QWB105" s="3"/>
      <c r="QWC105" s="3"/>
      <c r="QWD105" s="3"/>
      <c r="QWE105" s="3"/>
      <c r="QWF105" s="3"/>
      <c r="QWG105" s="3"/>
      <c r="QWH105" s="3"/>
      <c r="QWI105" s="3"/>
      <c r="QWJ105" s="3"/>
      <c r="QWK105" s="3"/>
      <c r="QWL105" s="3"/>
      <c r="QWM105" s="3"/>
      <c r="QWN105" s="3"/>
      <c r="QWO105" s="3"/>
      <c r="QWP105" s="3"/>
      <c r="QWQ105" s="3"/>
      <c r="QWR105" s="3"/>
      <c r="QWS105" s="3"/>
      <c r="QWT105" s="3"/>
      <c r="QWU105" s="3"/>
      <c r="QWV105" s="3"/>
      <c r="QWW105" s="3"/>
      <c r="QWX105" s="3"/>
      <c r="QWY105" s="3"/>
      <c r="QWZ105" s="3"/>
      <c r="QXA105" s="3"/>
      <c r="QXB105" s="3"/>
      <c r="QXC105" s="3"/>
      <c r="QXD105" s="3"/>
      <c r="QXE105" s="3"/>
      <c r="QXF105" s="3"/>
      <c r="QXG105" s="3"/>
      <c r="QXH105" s="3"/>
      <c r="QXI105" s="3"/>
      <c r="QXJ105" s="3"/>
      <c r="QXK105" s="3"/>
      <c r="QXL105" s="3"/>
      <c r="QXM105" s="3"/>
      <c r="QXN105" s="3"/>
      <c r="QXO105" s="3"/>
      <c r="QXP105" s="3"/>
      <c r="QXQ105" s="3"/>
      <c r="QXR105" s="3"/>
      <c r="QXS105" s="3"/>
      <c r="QXT105" s="3"/>
      <c r="QXU105" s="3"/>
      <c r="QXV105" s="3"/>
      <c r="QXW105" s="3"/>
      <c r="QXX105" s="3"/>
      <c r="QXY105" s="3"/>
      <c r="QXZ105" s="3"/>
      <c r="QYA105" s="3"/>
      <c r="QYB105" s="3"/>
      <c r="QYC105" s="3"/>
      <c r="QYD105" s="3"/>
      <c r="QYE105" s="3"/>
      <c r="QYF105" s="3"/>
      <c r="QYG105" s="3"/>
      <c r="QYH105" s="3"/>
      <c r="QYI105" s="3"/>
      <c r="QYJ105" s="3"/>
      <c r="QYK105" s="3"/>
      <c r="QYL105" s="3"/>
      <c r="QYM105" s="3"/>
      <c r="QYN105" s="3"/>
      <c r="QYO105" s="3"/>
      <c r="QYP105" s="3"/>
      <c r="QYQ105" s="3"/>
      <c r="QYR105" s="3"/>
      <c r="QYS105" s="3"/>
      <c r="QYT105" s="3"/>
      <c r="QYU105" s="3"/>
      <c r="QYV105" s="3"/>
      <c r="QYW105" s="3"/>
      <c r="QYX105" s="3"/>
      <c r="QYY105" s="3"/>
      <c r="QYZ105" s="3"/>
      <c r="QZA105" s="3"/>
      <c r="QZB105" s="3"/>
      <c r="QZC105" s="3"/>
      <c r="QZD105" s="3"/>
      <c r="QZE105" s="3"/>
      <c r="QZF105" s="3"/>
      <c r="QZG105" s="3"/>
      <c r="QZH105" s="3"/>
      <c r="QZI105" s="3"/>
      <c r="QZJ105" s="3"/>
      <c r="QZK105" s="3"/>
      <c r="QZL105" s="3"/>
      <c r="QZM105" s="3"/>
      <c r="QZN105" s="3"/>
      <c r="QZO105" s="3"/>
      <c r="QZP105" s="3"/>
      <c r="QZQ105" s="3"/>
      <c r="QZR105" s="3"/>
      <c r="QZS105" s="3"/>
      <c r="QZT105" s="3"/>
      <c r="QZU105" s="3"/>
      <c r="QZV105" s="3"/>
      <c r="QZW105" s="3"/>
      <c r="QZX105" s="3"/>
      <c r="QZY105" s="3"/>
      <c r="QZZ105" s="3"/>
      <c r="RAA105" s="3"/>
      <c r="RAB105" s="3"/>
      <c r="RAC105" s="3"/>
      <c r="RAD105" s="3"/>
      <c r="RAE105" s="3"/>
      <c r="RAF105" s="3"/>
      <c r="RAG105" s="3"/>
      <c r="RAH105" s="3"/>
      <c r="RAI105" s="3"/>
      <c r="RAJ105" s="3"/>
      <c r="RAK105" s="3"/>
      <c r="RAL105" s="3"/>
      <c r="RAM105" s="3"/>
      <c r="RAN105" s="3"/>
      <c r="RAO105" s="3"/>
      <c r="RAP105" s="3"/>
      <c r="RAQ105" s="3"/>
      <c r="RAR105" s="3"/>
      <c r="RAS105" s="3"/>
      <c r="RAT105" s="3"/>
      <c r="RAU105" s="3"/>
      <c r="RAV105" s="3"/>
      <c r="RAW105" s="3"/>
      <c r="RAX105" s="3"/>
      <c r="RAY105" s="3"/>
      <c r="RAZ105" s="3"/>
      <c r="RBA105" s="3"/>
      <c r="RBB105" s="3"/>
      <c r="RBC105" s="3"/>
      <c r="RBD105" s="3"/>
      <c r="RBE105" s="3"/>
      <c r="RBF105" s="3"/>
      <c r="RBG105" s="3"/>
      <c r="RBH105" s="3"/>
      <c r="RBI105" s="3"/>
      <c r="RBJ105" s="3"/>
      <c r="RBK105" s="3"/>
      <c r="RBL105" s="3"/>
      <c r="RBM105" s="3"/>
      <c r="RBN105" s="3"/>
      <c r="RBO105" s="3"/>
      <c r="RBP105" s="3"/>
      <c r="RBQ105" s="3"/>
      <c r="RBR105" s="3"/>
      <c r="RBS105" s="3"/>
      <c r="RBT105" s="3"/>
      <c r="RBU105" s="3"/>
      <c r="RBV105" s="3"/>
      <c r="RBW105" s="3"/>
      <c r="RBX105" s="3"/>
      <c r="RBY105" s="3"/>
      <c r="RBZ105" s="3"/>
      <c r="RCA105" s="3"/>
      <c r="RCB105" s="3"/>
      <c r="RCC105" s="3"/>
      <c r="RCD105" s="3"/>
      <c r="RCE105" s="3"/>
      <c r="RCF105" s="3"/>
      <c r="RCG105" s="3"/>
      <c r="RCH105" s="3"/>
      <c r="RCI105" s="3"/>
      <c r="RCJ105" s="3"/>
      <c r="RCK105" s="3"/>
      <c r="RCL105" s="3"/>
      <c r="RCM105" s="3"/>
      <c r="RCN105" s="3"/>
      <c r="RCO105" s="3"/>
      <c r="RCP105" s="3"/>
      <c r="RCQ105" s="3"/>
      <c r="RCR105" s="3"/>
      <c r="RCS105" s="3"/>
      <c r="RCT105" s="3"/>
      <c r="RCU105" s="3"/>
      <c r="RCV105" s="3"/>
      <c r="RCW105" s="3"/>
      <c r="RCX105" s="3"/>
      <c r="RCY105" s="3"/>
      <c r="RCZ105" s="3"/>
      <c r="RDA105" s="3"/>
      <c r="RDB105" s="3"/>
      <c r="RDC105" s="3"/>
      <c r="RDD105" s="3"/>
      <c r="RDE105" s="3"/>
      <c r="RDF105" s="3"/>
      <c r="RDG105" s="3"/>
      <c r="RDH105" s="3"/>
      <c r="RDI105" s="3"/>
      <c r="RDJ105" s="3"/>
      <c r="RDK105" s="3"/>
      <c r="RDL105" s="3"/>
      <c r="RDM105" s="3"/>
      <c r="RDN105" s="3"/>
      <c r="RDO105" s="3"/>
      <c r="RDP105" s="3"/>
      <c r="RDQ105" s="3"/>
      <c r="RDR105" s="3"/>
      <c r="RDS105" s="3"/>
      <c r="RDT105" s="3"/>
      <c r="RDU105" s="3"/>
      <c r="RDV105" s="3"/>
      <c r="RDW105" s="3"/>
      <c r="RDX105" s="3"/>
      <c r="RDY105" s="3"/>
      <c r="RDZ105" s="3"/>
      <c r="REA105" s="3"/>
      <c r="REB105" s="3"/>
      <c r="REC105" s="3"/>
      <c r="RED105" s="3"/>
      <c r="REE105" s="3"/>
      <c r="REF105" s="3"/>
      <c r="REG105" s="3"/>
      <c r="REH105" s="3"/>
      <c r="REI105" s="3"/>
      <c r="REJ105" s="3"/>
      <c r="REK105" s="3"/>
      <c r="REL105" s="3"/>
      <c r="REM105" s="3"/>
      <c r="REN105" s="3"/>
      <c r="REO105" s="3"/>
      <c r="REP105" s="3"/>
      <c r="REQ105" s="3"/>
      <c r="RER105" s="3"/>
      <c r="RES105" s="3"/>
      <c r="RET105" s="3"/>
      <c r="REU105" s="3"/>
      <c r="REV105" s="3"/>
      <c r="REW105" s="3"/>
      <c r="REX105" s="3"/>
      <c r="REY105" s="3"/>
      <c r="REZ105" s="3"/>
      <c r="RFA105" s="3"/>
      <c r="RFB105" s="3"/>
      <c r="RFC105" s="3"/>
      <c r="RFD105" s="3"/>
      <c r="RFE105" s="3"/>
      <c r="RFF105" s="3"/>
      <c r="RFG105" s="3"/>
      <c r="RFH105" s="3"/>
      <c r="RFI105" s="3"/>
      <c r="RFJ105" s="3"/>
      <c r="RFK105" s="3"/>
      <c r="RFL105" s="3"/>
      <c r="RFM105" s="3"/>
      <c r="RFN105" s="3"/>
      <c r="RFO105" s="3"/>
      <c r="RFP105" s="3"/>
      <c r="RFQ105" s="3"/>
      <c r="RFR105" s="3"/>
      <c r="RFS105" s="3"/>
      <c r="RFT105" s="3"/>
      <c r="RFU105" s="3"/>
      <c r="RFV105" s="3"/>
      <c r="RFW105" s="3"/>
      <c r="RFX105" s="3"/>
      <c r="RFY105" s="3"/>
      <c r="RFZ105" s="3"/>
      <c r="RGA105" s="3"/>
      <c r="RGB105" s="3"/>
      <c r="RGC105" s="3"/>
      <c r="RGD105" s="3"/>
      <c r="RGE105" s="3"/>
      <c r="RGF105" s="3"/>
      <c r="RGG105" s="3"/>
      <c r="RGH105" s="3"/>
      <c r="RGI105" s="3"/>
      <c r="RGJ105" s="3"/>
      <c r="RGK105" s="3"/>
      <c r="RGL105" s="3"/>
      <c r="RGM105" s="3"/>
      <c r="RGN105" s="3"/>
      <c r="RGO105" s="3"/>
      <c r="RGP105" s="3"/>
      <c r="RGQ105" s="3"/>
      <c r="RGR105" s="3"/>
      <c r="RGS105" s="3"/>
      <c r="RGT105" s="3"/>
      <c r="RGU105" s="3"/>
      <c r="RGV105" s="3"/>
      <c r="RGW105" s="3"/>
      <c r="RGX105" s="3"/>
      <c r="RGY105" s="3"/>
      <c r="RGZ105" s="3"/>
      <c r="RHA105" s="3"/>
      <c r="RHB105" s="3"/>
      <c r="RHC105" s="3"/>
      <c r="RHD105" s="3"/>
      <c r="RHE105" s="3"/>
      <c r="RHF105" s="3"/>
      <c r="RHG105" s="3"/>
      <c r="RHH105" s="3"/>
      <c r="RHI105" s="3"/>
      <c r="RHJ105" s="3"/>
      <c r="RHK105" s="3"/>
      <c r="RHL105" s="3"/>
      <c r="RHM105" s="3"/>
      <c r="RHN105" s="3"/>
      <c r="RHO105" s="3"/>
      <c r="RHP105" s="3"/>
      <c r="RHQ105" s="3"/>
      <c r="RHR105" s="3"/>
      <c r="RHS105" s="3"/>
      <c r="RHT105" s="3"/>
      <c r="RHU105" s="3"/>
      <c r="RHV105" s="3"/>
      <c r="RHW105" s="3"/>
      <c r="RHX105" s="3"/>
      <c r="RHY105" s="3"/>
      <c r="RHZ105" s="3"/>
      <c r="RIA105" s="3"/>
      <c r="RIB105" s="3"/>
      <c r="RIC105" s="3"/>
      <c r="RID105" s="3"/>
      <c r="RIE105" s="3"/>
      <c r="RIF105" s="3"/>
      <c r="RIG105" s="3"/>
      <c r="RIH105" s="3"/>
      <c r="RII105" s="3"/>
      <c r="RIJ105" s="3"/>
      <c r="RIK105" s="3"/>
      <c r="RIL105" s="3"/>
      <c r="RIM105" s="3"/>
      <c r="RIN105" s="3"/>
      <c r="RIO105" s="3"/>
      <c r="RIP105" s="3"/>
      <c r="RIQ105" s="3"/>
      <c r="RIR105" s="3"/>
      <c r="RIS105" s="3"/>
      <c r="RIT105" s="3"/>
      <c r="RIU105" s="3"/>
      <c r="RIV105" s="3"/>
      <c r="RIW105" s="3"/>
      <c r="RIX105" s="3"/>
      <c r="RIY105" s="3"/>
      <c r="RIZ105" s="3"/>
      <c r="RJA105" s="3"/>
      <c r="RJB105" s="3"/>
      <c r="RJC105" s="3"/>
      <c r="RJD105" s="3"/>
      <c r="RJE105" s="3"/>
      <c r="RJF105" s="3"/>
      <c r="RJG105" s="3"/>
      <c r="RJH105" s="3"/>
      <c r="RJI105" s="3"/>
      <c r="RJJ105" s="3"/>
      <c r="RJK105" s="3"/>
      <c r="RJL105" s="3"/>
      <c r="RJM105" s="3"/>
      <c r="RJN105" s="3"/>
      <c r="RJO105" s="3"/>
      <c r="RJP105" s="3"/>
      <c r="RJQ105" s="3"/>
      <c r="RJR105" s="3"/>
      <c r="RJS105" s="3"/>
      <c r="RJT105" s="3"/>
      <c r="RJU105" s="3"/>
      <c r="RJV105" s="3"/>
      <c r="RJW105" s="3"/>
      <c r="RJX105" s="3"/>
      <c r="RJY105" s="3"/>
      <c r="RJZ105" s="3"/>
      <c r="RKA105" s="3"/>
      <c r="RKB105" s="3"/>
      <c r="RKC105" s="3"/>
      <c r="RKD105" s="3"/>
      <c r="RKE105" s="3"/>
      <c r="RKF105" s="3"/>
      <c r="RKG105" s="3"/>
      <c r="RKH105" s="3"/>
      <c r="RKI105" s="3"/>
      <c r="RKJ105" s="3"/>
      <c r="RKK105" s="3"/>
      <c r="RKL105" s="3"/>
      <c r="RKM105" s="3"/>
      <c r="RKN105" s="3"/>
      <c r="RKO105" s="3"/>
      <c r="RKP105" s="3"/>
      <c r="RKQ105" s="3"/>
      <c r="RKR105" s="3"/>
      <c r="RKS105" s="3"/>
      <c r="RKT105" s="3"/>
      <c r="RKU105" s="3"/>
      <c r="RKV105" s="3"/>
      <c r="RKW105" s="3"/>
      <c r="RKX105" s="3"/>
      <c r="RKY105" s="3"/>
      <c r="RKZ105" s="3"/>
      <c r="RLA105" s="3"/>
      <c r="RLB105" s="3"/>
      <c r="RLC105" s="3"/>
      <c r="RLD105" s="3"/>
      <c r="RLE105" s="3"/>
      <c r="RLF105" s="3"/>
      <c r="RLG105" s="3"/>
      <c r="RLH105" s="3"/>
      <c r="RLI105" s="3"/>
      <c r="RLJ105" s="3"/>
      <c r="RLK105" s="3"/>
      <c r="RLL105" s="3"/>
      <c r="RLM105" s="3"/>
      <c r="RLN105" s="3"/>
      <c r="RLO105" s="3"/>
      <c r="RLP105" s="3"/>
      <c r="RLQ105" s="3"/>
      <c r="RLR105" s="3"/>
      <c r="RLS105" s="3"/>
      <c r="RLT105" s="3"/>
      <c r="RLU105" s="3"/>
      <c r="RLV105" s="3"/>
      <c r="RLW105" s="3"/>
      <c r="RLX105" s="3"/>
      <c r="RLY105" s="3"/>
      <c r="RLZ105" s="3"/>
      <c r="RMA105" s="3"/>
      <c r="RMB105" s="3"/>
      <c r="RMC105" s="3"/>
      <c r="RMD105" s="3"/>
      <c r="RME105" s="3"/>
      <c r="RMF105" s="3"/>
      <c r="RMG105" s="3"/>
      <c r="RMH105" s="3"/>
      <c r="RMI105" s="3"/>
      <c r="RMJ105" s="3"/>
      <c r="RMK105" s="3"/>
      <c r="RML105" s="3"/>
      <c r="RMM105" s="3"/>
      <c r="RMN105" s="3"/>
      <c r="RMO105" s="3"/>
      <c r="RMP105" s="3"/>
      <c r="RMQ105" s="3"/>
      <c r="RMR105" s="3"/>
      <c r="RMS105" s="3"/>
      <c r="RMT105" s="3"/>
      <c r="RMU105" s="3"/>
      <c r="RMV105" s="3"/>
      <c r="RMW105" s="3"/>
      <c r="RMX105" s="3"/>
      <c r="RMY105" s="3"/>
      <c r="RMZ105" s="3"/>
      <c r="RNA105" s="3"/>
      <c r="RNB105" s="3"/>
      <c r="RNC105" s="3"/>
      <c r="RND105" s="3"/>
      <c r="RNE105" s="3"/>
      <c r="RNF105" s="3"/>
      <c r="RNG105" s="3"/>
      <c r="RNH105" s="3"/>
      <c r="RNI105" s="3"/>
      <c r="RNJ105" s="3"/>
      <c r="RNK105" s="3"/>
      <c r="RNL105" s="3"/>
      <c r="RNM105" s="3"/>
      <c r="RNN105" s="3"/>
      <c r="RNO105" s="3"/>
      <c r="RNP105" s="3"/>
      <c r="RNQ105" s="3"/>
      <c r="RNR105" s="3"/>
      <c r="RNS105" s="3"/>
      <c r="RNT105" s="3"/>
      <c r="RNU105" s="3"/>
      <c r="RNV105" s="3"/>
      <c r="RNW105" s="3"/>
      <c r="RNX105" s="3"/>
      <c r="RNY105" s="3"/>
      <c r="RNZ105" s="3"/>
      <c r="ROA105" s="3"/>
      <c r="ROB105" s="3"/>
      <c r="ROC105" s="3"/>
      <c r="ROD105" s="3"/>
      <c r="ROE105" s="3"/>
      <c r="ROF105" s="3"/>
      <c r="ROG105" s="3"/>
      <c r="ROH105" s="3"/>
      <c r="ROI105" s="3"/>
      <c r="ROJ105" s="3"/>
      <c r="ROK105" s="3"/>
      <c r="ROL105" s="3"/>
      <c r="ROM105" s="3"/>
      <c r="RON105" s="3"/>
      <c r="ROO105" s="3"/>
      <c r="ROP105" s="3"/>
      <c r="ROQ105" s="3"/>
      <c r="ROR105" s="3"/>
      <c r="ROS105" s="3"/>
      <c r="ROT105" s="3"/>
      <c r="ROU105" s="3"/>
      <c r="ROV105" s="3"/>
      <c r="ROW105" s="3"/>
      <c r="ROX105" s="3"/>
      <c r="ROY105" s="3"/>
      <c r="ROZ105" s="3"/>
      <c r="RPA105" s="3"/>
      <c r="RPB105" s="3"/>
      <c r="RPC105" s="3"/>
      <c r="RPD105" s="3"/>
      <c r="RPE105" s="3"/>
      <c r="RPF105" s="3"/>
      <c r="RPG105" s="3"/>
      <c r="RPH105" s="3"/>
      <c r="RPI105" s="3"/>
      <c r="RPJ105" s="3"/>
      <c r="RPK105" s="3"/>
      <c r="RPL105" s="3"/>
      <c r="RPM105" s="3"/>
      <c r="RPN105" s="3"/>
      <c r="RPO105" s="3"/>
      <c r="RPP105" s="3"/>
      <c r="RPQ105" s="3"/>
      <c r="RPR105" s="3"/>
      <c r="RPS105" s="3"/>
      <c r="RPT105" s="3"/>
      <c r="RPU105" s="3"/>
      <c r="RPV105" s="3"/>
      <c r="RPW105" s="3"/>
      <c r="RPX105" s="3"/>
      <c r="RPY105" s="3"/>
      <c r="RPZ105" s="3"/>
      <c r="RQA105" s="3"/>
      <c r="RQB105" s="3"/>
      <c r="RQC105" s="3"/>
      <c r="RQD105" s="3"/>
      <c r="RQE105" s="3"/>
      <c r="RQF105" s="3"/>
      <c r="RQG105" s="3"/>
      <c r="RQH105" s="3"/>
      <c r="RQI105" s="3"/>
      <c r="RQJ105" s="3"/>
      <c r="RQK105" s="3"/>
      <c r="RQL105" s="3"/>
      <c r="RQM105" s="3"/>
      <c r="RQN105" s="3"/>
      <c r="RQO105" s="3"/>
      <c r="RQP105" s="3"/>
      <c r="RQQ105" s="3"/>
      <c r="RQR105" s="3"/>
      <c r="RQS105" s="3"/>
      <c r="RQT105" s="3"/>
      <c r="RQU105" s="3"/>
      <c r="RQV105" s="3"/>
      <c r="RQW105" s="3"/>
      <c r="RQX105" s="3"/>
      <c r="RQY105" s="3"/>
      <c r="RQZ105" s="3"/>
      <c r="RRA105" s="3"/>
      <c r="RRB105" s="3"/>
      <c r="RRC105" s="3"/>
      <c r="RRD105" s="3"/>
      <c r="RRE105" s="3"/>
      <c r="RRF105" s="3"/>
      <c r="RRG105" s="3"/>
      <c r="RRH105" s="3"/>
      <c r="RRI105" s="3"/>
      <c r="RRJ105" s="3"/>
      <c r="RRK105" s="3"/>
      <c r="RRL105" s="3"/>
      <c r="RRM105" s="3"/>
      <c r="RRN105" s="3"/>
      <c r="RRO105" s="3"/>
      <c r="RRP105" s="3"/>
      <c r="RRQ105" s="3"/>
      <c r="RRR105" s="3"/>
      <c r="RRS105" s="3"/>
      <c r="RRT105" s="3"/>
      <c r="RRU105" s="3"/>
      <c r="RRV105" s="3"/>
      <c r="RRW105" s="3"/>
      <c r="RRX105" s="3"/>
      <c r="RRY105" s="3"/>
      <c r="RRZ105" s="3"/>
      <c r="RSA105" s="3"/>
      <c r="RSB105" s="3"/>
      <c r="RSC105" s="3"/>
      <c r="RSD105" s="3"/>
      <c r="RSE105" s="3"/>
      <c r="RSF105" s="3"/>
      <c r="RSG105" s="3"/>
      <c r="RSH105" s="3"/>
      <c r="RSI105" s="3"/>
      <c r="RSJ105" s="3"/>
      <c r="RSK105" s="3"/>
      <c r="RSL105" s="3"/>
      <c r="RSM105" s="3"/>
      <c r="RSN105" s="3"/>
      <c r="RSO105" s="3"/>
      <c r="RSP105" s="3"/>
      <c r="RSQ105" s="3"/>
      <c r="RSR105" s="3"/>
      <c r="RSS105" s="3"/>
      <c r="RST105" s="3"/>
      <c r="RSU105" s="3"/>
      <c r="RSV105" s="3"/>
      <c r="RSW105" s="3"/>
      <c r="RSX105" s="3"/>
      <c r="RSY105" s="3"/>
      <c r="RSZ105" s="3"/>
      <c r="RTA105" s="3"/>
      <c r="RTB105" s="3"/>
      <c r="RTC105" s="3"/>
      <c r="RTD105" s="3"/>
      <c r="RTE105" s="3"/>
      <c r="RTF105" s="3"/>
      <c r="RTG105" s="3"/>
      <c r="RTH105" s="3"/>
      <c r="RTI105" s="3"/>
      <c r="RTJ105" s="3"/>
      <c r="RTK105" s="3"/>
      <c r="RTL105" s="3"/>
      <c r="RTM105" s="3"/>
      <c r="RTN105" s="3"/>
      <c r="RTO105" s="3"/>
      <c r="RTP105" s="3"/>
      <c r="RTQ105" s="3"/>
      <c r="RTR105" s="3"/>
      <c r="RTS105" s="3"/>
      <c r="RTT105" s="3"/>
      <c r="RTU105" s="3"/>
      <c r="RTV105" s="3"/>
      <c r="RTW105" s="3"/>
      <c r="RTX105" s="3"/>
      <c r="RTY105" s="3"/>
      <c r="RTZ105" s="3"/>
      <c r="RUA105" s="3"/>
      <c r="RUB105" s="3"/>
      <c r="RUC105" s="3"/>
      <c r="RUD105" s="3"/>
      <c r="RUE105" s="3"/>
      <c r="RUF105" s="3"/>
      <c r="RUG105" s="3"/>
      <c r="RUH105" s="3"/>
      <c r="RUI105" s="3"/>
      <c r="RUJ105" s="3"/>
      <c r="RUK105" s="3"/>
      <c r="RUL105" s="3"/>
      <c r="RUM105" s="3"/>
      <c r="RUN105" s="3"/>
      <c r="RUO105" s="3"/>
      <c r="RUP105" s="3"/>
      <c r="RUQ105" s="3"/>
      <c r="RUR105" s="3"/>
      <c r="RUS105" s="3"/>
      <c r="RUT105" s="3"/>
      <c r="RUU105" s="3"/>
      <c r="RUV105" s="3"/>
      <c r="RUW105" s="3"/>
      <c r="RUX105" s="3"/>
      <c r="RUY105" s="3"/>
      <c r="RUZ105" s="3"/>
      <c r="RVA105" s="3"/>
      <c r="RVB105" s="3"/>
      <c r="RVC105" s="3"/>
      <c r="RVD105" s="3"/>
      <c r="RVE105" s="3"/>
      <c r="RVF105" s="3"/>
      <c r="RVG105" s="3"/>
      <c r="RVH105" s="3"/>
      <c r="RVI105" s="3"/>
      <c r="RVJ105" s="3"/>
      <c r="RVK105" s="3"/>
      <c r="RVL105" s="3"/>
      <c r="RVM105" s="3"/>
      <c r="RVN105" s="3"/>
      <c r="RVO105" s="3"/>
      <c r="RVP105" s="3"/>
      <c r="RVQ105" s="3"/>
      <c r="RVR105" s="3"/>
      <c r="RVS105" s="3"/>
      <c r="RVT105" s="3"/>
      <c r="RVU105" s="3"/>
      <c r="RVV105" s="3"/>
      <c r="RVW105" s="3"/>
      <c r="RVX105" s="3"/>
      <c r="RVY105" s="3"/>
      <c r="RVZ105" s="3"/>
      <c r="RWA105" s="3"/>
      <c r="RWB105" s="3"/>
      <c r="RWC105" s="3"/>
      <c r="RWD105" s="3"/>
      <c r="RWE105" s="3"/>
      <c r="RWF105" s="3"/>
      <c r="RWG105" s="3"/>
      <c r="RWH105" s="3"/>
      <c r="RWI105" s="3"/>
      <c r="RWJ105" s="3"/>
      <c r="RWK105" s="3"/>
      <c r="RWL105" s="3"/>
      <c r="RWM105" s="3"/>
      <c r="RWN105" s="3"/>
      <c r="RWO105" s="3"/>
      <c r="RWP105" s="3"/>
      <c r="RWQ105" s="3"/>
      <c r="RWR105" s="3"/>
      <c r="RWS105" s="3"/>
      <c r="RWT105" s="3"/>
      <c r="RWU105" s="3"/>
      <c r="RWV105" s="3"/>
      <c r="RWW105" s="3"/>
      <c r="RWX105" s="3"/>
      <c r="RWY105" s="3"/>
      <c r="RWZ105" s="3"/>
      <c r="RXA105" s="3"/>
      <c r="RXB105" s="3"/>
      <c r="RXC105" s="3"/>
      <c r="RXD105" s="3"/>
      <c r="RXE105" s="3"/>
      <c r="RXF105" s="3"/>
      <c r="RXG105" s="3"/>
      <c r="RXH105" s="3"/>
      <c r="RXI105" s="3"/>
      <c r="RXJ105" s="3"/>
      <c r="RXK105" s="3"/>
      <c r="RXL105" s="3"/>
      <c r="RXM105" s="3"/>
      <c r="RXN105" s="3"/>
      <c r="RXO105" s="3"/>
      <c r="RXP105" s="3"/>
      <c r="RXQ105" s="3"/>
      <c r="RXR105" s="3"/>
      <c r="RXS105" s="3"/>
      <c r="RXT105" s="3"/>
      <c r="RXU105" s="3"/>
      <c r="RXV105" s="3"/>
      <c r="RXW105" s="3"/>
      <c r="RXX105" s="3"/>
      <c r="RXY105" s="3"/>
      <c r="RXZ105" s="3"/>
      <c r="RYA105" s="3"/>
      <c r="RYB105" s="3"/>
      <c r="RYC105" s="3"/>
      <c r="RYD105" s="3"/>
      <c r="RYE105" s="3"/>
      <c r="RYF105" s="3"/>
      <c r="RYG105" s="3"/>
      <c r="RYH105" s="3"/>
      <c r="RYI105" s="3"/>
      <c r="RYJ105" s="3"/>
      <c r="RYK105" s="3"/>
      <c r="RYL105" s="3"/>
      <c r="RYM105" s="3"/>
      <c r="RYN105" s="3"/>
      <c r="RYO105" s="3"/>
      <c r="RYP105" s="3"/>
      <c r="RYQ105" s="3"/>
      <c r="RYR105" s="3"/>
      <c r="RYS105" s="3"/>
      <c r="RYT105" s="3"/>
      <c r="RYU105" s="3"/>
      <c r="RYV105" s="3"/>
      <c r="RYW105" s="3"/>
      <c r="RYX105" s="3"/>
      <c r="RYY105" s="3"/>
      <c r="RYZ105" s="3"/>
      <c r="RZA105" s="3"/>
      <c r="RZB105" s="3"/>
      <c r="RZC105" s="3"/>
      <c r="RZD105" s="3"/>
      <c r="RZE105" s="3"/>
      <c r="RZF105" s="3"/>
      <c r="RZG105" s="3"/>
      <c r="RZH105" s="3"/>
      <c r="RZI105" s="3"/>
      <c r="RZJ105" s="3"/>
      <c r="RZK105" s="3"/>
      <c r="RZL105" s="3"/>
      <c r="RZM105" s="3"/>
      <c r="RZN105" s="3"/>
      <c r="RZO105" s="3"/>
      <c r="RZP105" s="3"/>
      <c r="RZQ105" s="3"/>
      <c r="RZR105" s="3"/>
      <c r="RZS105" s="3"/>
      <c r="RZT105" s="3"/>
      <c r="RZU105" s="3"/>
      <c r="RZV105" s="3"/>
      <c r="RZW105" s="3"/>
      <c r="RZX105" s="3"/>
      <c r="RZY105" s="3"/>
      <c r="RZZ105" s="3"/>
      <c r="SAA105" s="3"/>
      <c r="SAB105" s="3"/>
      <c r="SAC105" s="3"/>
      <c r="SAD105" s="3"/>
      <c r="SAE105" s="3"/>
      <c r="SAF105" s="3"/>
      <c r="SAG105" s="3"/>
      <c r="SAH105" s="3"/>
      <c r="SAI105" s="3"/>
      <c r="SAJ105" s="3"/>
      <c r="SAK105" s="3"/>
      <c r="SAL105" s="3"/>
      <c r="SAM105" s="3"/>
      <c r="SAN105" s="3"/>
      <c r="SAO105" s="3"/>
      <c r="SAP105" s="3"/>
      <c r="SAQ105" s="3"/>
      <c r="SAR105" s="3"/>
      <c r="SAS105" s="3"/>
      <c r="SAT105" s="3"/>
      <c r="SAU105" s="3"/>
      <c r="SAV105" s="3"/>
      <c r="SAW105" s="3"/>
      <c r="SAX105" s="3"/>
      <c r="SAY105" s="3"/>
      <c r="SAZ105" s="3"/>
      <c r="SBA105" s="3"/>
      <c r="SBB105" s="3"/>
      <c r="SBC105" s="3"/>
      <c r="SBD105" s="3"/>
      <c r="SBE105" s="3"/>
      <c r="SBF105" s="3"/>
      <c r="SBG105" s="3"/>
      <c r="SBH105" s="3"/>
      <c r="SBI105" s="3"/>
      <c r="SBJ105" s="3"/>
      <c r="SBK105" s="3"/>
      <c r="SBL105" s="3"/>
      <c r="SBM105" s="3"/>
      <c r="SBN105" s="3"/>
      <c r="SBO105" s="3"/>
      <c r="SBP105" s="3"/>
      <c r="SBQ105" s="3"/>
      <c r="SBR105" s="3"/>
      <c r="SBS105" s="3"/>
      <c r="SBT105" s="3"/>
      <c r="SBU105" s="3"/>
      <c r="SBV105" s="3"/>
      <c r="SBW105" s="3"/>
      <c r="SBX105" s="3"/>
      <c r="SBY105" s="3"/>
      <c r="SBZ105" s="3"/>
      <c r="SCA105" s="3"/>
      <c r="SCB105" s="3"/>
      <c r="SCC105" s="3"/>
      <c r="SCD105" s="3"/>
      <c r="SCE105" s="3"/>
      <c r="SCF105" s="3"/>
      <c r="SCG105" s="3"/>
      <c r="SCH105" s="3"/>
      <c r="SCI105" s="3"/>
      <c r="SCJ105" s="3"/>
      <c r="SCK105" s="3"/>
      <c r="SCL105" s="3"/>
      <c r="SCM105" s="3"/>
      <c r="SCN105" s="3"/>
      <c r="SCO105" s="3"/>
      <c r="SCP105" s="3"/>
      <c r="SCQ105" s="3"/>
      <c r="SCR105" s="3"/>
      <c r="SCS105" s="3"/>
      <c r="SCT105" s="3"/>
      <c r="SCU105" s="3"/>
      <c r="SCV105" s="3"/>
      <c r="SCW105" s="3"/>
      <c r="SCX105" s="3"/>
      <c r="SCY105" s="3"/>
      <c r="SCZ105" s="3"/>
      <c r="SDA105" s="3"/>
      <c r="SDB105" s="3"/>
      <c r="SDC105" s="3"/>
      <c r="SDD105" s="3"/>
      <c r="SDE105" s="3"/>
      <c r="SDF105" s="3"/>
      <c r="SDG105" s="3"/>
      <c r="SDH105" s="3"/>
      <c r="SDI105" s="3"/>
      <c r="SDJ105" s="3"/>
      <c r="SDK105" s="3"/>
      <c r="SDL105" s="3"/>
      <c r="SDM105" s="3"/>
      <c r="SDN105" s="3"/>
      <c r="SDO105" s="3"/>
      <c r="SDP105" s="3"/>
      <c r="SDQ105" s="3"/>
      <c r="SDR105" s="3"/>
      <c r="SDS105" s="3"/>
      <c r="SDT105" s="3"/>
      <c r="SDU105" s="3"/>
      <c r="SDV105" s="3"/>
      <c r="SDW105" s="3"/>
      <c r="SDX105" s="3"/>
      <c r="SDY105" s="3"/>
      <c r="SDZ105" s="3"/>
      <c r="SEA105" s="3"/>
      <c r="SEB105" s="3"/>
      <c r="SEC105" s="3"/>
      <c r="SED105" s="3"/>
      <c r="SEE105" s="3"/>
      <c r="SEF105" s="3"/>
      <c r="SEG105" s="3"/>
      <c r="SEH105" s="3"/>
      <c r="SEI105" s="3"/>
      <c r="SEJ105" s="3"/>
      <c r="SEK105" s="3"/>
      <c r="SEL105" s="3"/>
      <c r="SEM105" s="3"/>
      <c r="SEN105" s="3"/>
      <c r="SEO105" s="3"/>
      <c r="SEP105" s="3"/>
      <c r="SEQ105" s="3"/>
      <c r="SER105" s="3"/>
      <c r="SES105" s="3"/>
      <c r="SET105" s="3"/>
      <c r="SEU105" s="3"/>
      <c r="SEV105" s="3"/>
      <c r="SEW105" s="3"/>
      <c r="SEX105" s="3"/>
      <c r="SEY105" s="3"/>
      <c r="SEZ105" s="3"/>
      <c r="SFA105" s="3"/>
      <c r="SFB105" s="3"/>
      <c r="SFC105" s="3"/>
      <c r="SFD105" s="3"/>
      <c r="SFE105" s="3"/>
      <c r="SFF105" s="3"/>
      <c r="SFG105" s="3"/>
      <c r="SFH105" s="3"/>
      <c r="SFI105" s="3"/>
      <c r="SFJ105" s="3"/>
      <c r="SFK105" s="3"/>
      <c r="SFL105" s="3"/>
      <c r="SFM105" s="3"/>
      <c r="SFN105" s="3"/>
      <c r="SFO105" s="3"/>
      <c r="SFP105" s="3"/>
      <c r="SFQ105" s="3"/>
      <c r="SFR105" s="3"/>
      <c r="SFS105" s="3"/>
      <c r="SFT105" s="3"/>
      <c r="SFU105" s="3"/>
      <c r="SFV105" s="3"/>
      <c r="SFW105" s="3"/>
      <c r="SFX105" s="3"/>
      <c r="SFY105" s="3"/>
      <c r="SFZ105" s="3"/>
      <c r="SGA105" s="3"/>
      <c r="SGB105" s="3"/>
      <c r="SGC105" s="3"/>
      <c r="SGD105" s="3"/>
      <c r="SGE105" s="3"/>
      <c r="SGF105" s="3"/>
      <c r="SGG105" s="3"/>
      <c r="SGH105" s="3"/>
      <c r="SGI105" s="3"/>
      <c r="SGJ105" s="3"/>
      <c r="SGK105" s="3"/>
      <c r="SGL105" s="3"/>
      <c r="SGM105" s="3"/>
      <c r="SGN105" s="3"/>
      <c r="SGO105" s="3"/>
      <c r="SGP105" s="3"/>
      <c r="SGQ105" s="3"/>
      <c r="SGR105" s="3"/>
      <c r="SGS105" s="3"/>
      <c r="SGT105" s="3"/>
      <c r="SGU105" s="3"/>
      <c r="SGV105" s="3"/>
      <c r="SGW105" s="3"/>
      <c r="SGX105" s="3"/>
      <c r="SGY105" s="3"/>
      <c r="SGZ105" s="3"/>
      <c r="SHA105" s="3"/>
      <c r="SHB105" s="3"/>
      <c r="SHC105" s="3"/>
      <c r="SHD105" s="3"/>
      <c r="SHE105" s="3"/>
      <c r="SHF105" s="3"/>
      <c r="SHG105" s="3"/>
      <c r="SHH105" s="3"/>
      <c r="SHI105" s="3"/>
      <c r="SHJ105" s="3"/>
      <c r="SHK105" s="3"/>
      <c r="SHL105" s="3"/>
      <c r="SHM105" s="3"/>
      <c r="SHN105" s="3"/>
      <c r="SHO105" s="3"/>
      <c r="SHP105" s="3"/>
      <c r="SHQ105" s="3"/>
      <c r="SHR105" s="3"/>
      <c r="SHS105" s="3"/>
      <c r="SHT105" s="3"/>
      <c r="SHU105" s="3"/>
      <c r="SHV105" s="3"/>
      <c r="SHW105" s="3"/>
      <c r="SHX105" s="3"/>
      <c r="SHY105" s="3"/>
      <c r="SHZ105" s="3"/>
      <c r="SIA105" s="3"/>
      <c r="SIB105" s="3"/>
      <c r="SIC105" s="3"/>
      <c r="SID105" s="3"/>
      <c r="SIE105" s="3"/>
      <c r="SIF105" s="3"/>
      <c r="SIG105" s="3"/>
      <c r="SIH105" s="3"/>
      <c r="SII105" s="3"/>
      <c r="SIJ105" s="3"/>
      <c r="SIK105" s="3"/>
      <c r="SIL105" s="3"/>
      <c r="SIM105" s="3"/>
      <c r="SIN105" s="3"/>
      <c r="SIO105" s="3"/>
      <c r="SIP105" s="3"/>
      <c r="SIQ105" s="3"/>
      <c r="SIR105" s="3"/>
      <c r="SIS105" s="3"/>
      <c r="SIT105" s="3"/>
      <c r="SIU105" s="3"/>
      <c r="SIV105" s="3"/>
      <c r="SIW105" s="3"/>
      <c r="SIX105" s="3"/>
      <c r="SIY105" s="3"/>
      <c r="SIZ105" s="3"/>
      <c r="SJA105" s="3"/>
      <c r="SJB105" s="3"/>
      <c r="SJC105" s="3"/>
      <c r="SJD105" s="3"/>
      <c r="SJE105" s="3"/>
      <c r="SJF105" s="3"/>
      <c r="SJG105" s="3"/>
      <c r="SJH105" s="3"/>
      <c r="SJI105" s="3"/>
      <c r="SJJ105" s="3"/>
      <c r="SJK105" s="3"/>
      <c r="SJL105" s="3"/>
      <c r="SJM105" s="3"/>
      <c r="SJN105" s="3"/>
      <c r="SJO105" s="3"/>
      <c r="SJP105" s="3"/>
      <c r="SJQ105" s="3"/>
      <c r="SJR105" s="3"/>
      <c r="SJS105" s="3"/>
      <c r="SJT105" s="3"/>
      <c r="SJU105" s="3"/>
      <c r="SJV105" s="3"/>
      <c r="SJW105" s="3"/>
      <c r="SJX105" s="3"/>
      <c r="SJY105" s="3"/>
      <c r="SJZ105" s="3"/>
      <c r="SKA105" s="3"/>
      <c r="SKB105" s="3"/>
      <c r="SKC105" s="3"/>
      <c r="SKD105" s="3"/>
      <c r="SKE105" s="3"/>
      <c r="SKF105" s="3"/>
      <c r="SKG105" s="3"/>
      <c r="SKH105" s="3"/>
      <c r="SKI105" s="3"/>
      <c r="SKJ105" s="3"/>
      <c r="SKK105" s="3"/>
      <c r="SKL105" s="3"/>
      <c r="SKM105" s="3"/>
      <c r="SKN105" s="3"/>
      <c r="SKO105" s="3"/>
      <c r="SKP105" s="3"/>
      <c r="SKQ105" s="3"/>
      <c r="SKR105" s="3"/>
      <c r="SKS105" s="3"/>
      <c r="SKT105" s="3"/>
      <c r="SKU105" s="3"/>
      <c r="SKV105" s="3"/>
      <c r="SKW105" s="3"/>
      <c r="SKX105" s="3"/>
      <c r="SKY105" s="3"/>
      <c r="SKZ105" s="3"/>
      <c r="SLA105" s="3"/>
      <c r="SLB105" s="3"/>
      <c r="SLC105" s="3"/>
      <c r="SLD105" s="3"/>
      <c r="SLE105" s="3"/>
      <c r="SLF105" s="3"/>
      <c r="SLG105" s="3"/>
      <c r="SLH105" s="3"/>
      <c r="SLI105" s="3"/>
      <c r="SLJ105" s="3"/>
      <c r="SLK105" s="3"/>
      <c r="SLL105" s="3"/>
      <c r="SLM105" s="3"/>
      <c r="SLN105" s="3"/>
      <c r="SLO105" s="3"/>
      <c r="SLP105" s="3"/>
      <c r="SLQ105" s="3"/>
      <c r="SLR105" s="3"/>
      <c r="SLS105" s="3"/>
      <c r="SLT105" s="3"/>
      <c r="SLU105" s="3"/>
      <c r="SLV105" s="3"/>
      <c r="SLW105" s="3"/>
      <c r="SLX105" s="3"/>
      <c r="SLY105" s="3"/>
      <c r="SLZ105" s="3"/>
      <c r="SMA105" s="3"/>
      <c r="SMB105" s="3"/>
      <c r="SMC105" s="3"/>
      <c r="SMD105" s="3"/>
      <c r="SME105" s="3"/>
      <c r="SMF105" s="3"/>
      <c r="SMG105" s="3"/>
      <c r="SMH105" s="3"/>
      <c r="SMI105" s="3"/>
      <c r="SMJ105" s="3"/>
      <c r="SMK105" s="3"/>
      <c r="SML105" s="3"/>
      <c r="SMM105" s="3"/>
      <c r="SMN105" s="3"/>
      <c r="SMO105" s="3"/>
      <c r="SMP105" s="3"/>
      <c r="SMQ105" s="3"/>
      <c r="SMR105" s="3"/>
      <c r="SMS105" s="3"/>
      <c r="SMT105" s="3"/>
      <c r="SMU105" s="3"/>
      <c r="SMV105" s="3"/>
      <c r="SMW105" s="3"/>
      <c r="SMX105" s="3"/>
      <c r="SMY105" s="3"/>
      <c r="SMZ105" s="3"/>
      <c r="SNA105" s="3"/>
      <c r="SNB105" s="3"/>
      <c r="SNC105" s="3"/>
      <c r="SND105" s="3"/>
      <c r="SNE105" s="3"/>
      <c r="SNF105" s="3"/>
      <c r="SNG105" s="3"/>
      <c r="SNH105" s="3"/>
      <c r="SNI105" s="3"/>
      <c r="SNJ105" s="3"/>
      <c r="SNK105" s="3"/>
      <c r="SNL105" s="3"/>
      <c r="SNM105" s="3"/>
      <c r="SNN105" s="3"/>
      <c r="SNO105" s="3"/>
      <c r="SNP105" s="3"/>
      <c r="SNQ105" s="3"/>
      <c r="SNR105" s="3"/>
      <c r="SNS105" s="3"/>
      <c r="SNT105" s="3"/>
      <c r="SNU105" s="3"/>
      <c r="SNV105" s="3"/>
      <c r="SNW105" s="3"/>
      <c r="SNX105" s="3"/>
      <c r="SNY105" s="3"/>
      <c r="SNZ105" s="3"/>
      <c r="SOA105" s="3"/>
      <c r="SOB105" s="3"/>
      <c r="SOC105" s="3"/>
      <c r="SOD105" s="3"/>
      <c r="SOE105" s="3"/>
      <c r="SOF105" s="3"/>
      <c r="SOG105" s="3"/>
      <c r="SOH105" s="3"/>
      <c r="SOI105" s="3"/>
      <c r="SOJ105" s="3"/>
      <c r="SOK105" s="3"/>
      <c r="SOL105" s="3"/>
      <c r="SOM105" s="3"/>
      <c r="SON105" s="3"/>
      <c r="SOO105" s="3"/>
      <c r="SOP105" s="3"/>
      <c r="SOQ105" s="3"/>
      <c r="SOR105" s="3"/>
      <c r="SOS105" s="3"/>
      <c r="SOT105" s="3"/>
      <c r="SOU105" s="3"/>
      <c r="SOV105" s="3"/>
      <c r="SOW105" s="3"/>
      <c r="SOX105" s="3"/>
      <c r="SOY105" s="3"/>
      <c r="SOZ105" s="3"/>
      <c r="SPA105" s="3"/>
      <c r="SPB105" s="3"/>
      <c r="SPC105" s="3"/>
      <c r="SPD105" s="3"/>
      <c r="SPE105" s="3"/>
      <c r="SPF105" s="3"/>
      <c r="SPG105" s="3"/>
      <c r="SPH105" s="3"/>
      <c r="SPI105" s="3"/>
      <c r="SPJ105" s="3"/>
      <c r="SPK105" s="3"/>
      <c r="SPL105" s="3"/>
      <c r="SPM105" s="3"/>
      <c r="SPN105" s="3"/>
      <c r="SPO105" s="3"/>
      <c r="SPP105" s="3"/>
      <c r="SPQ105" s="3"/>
      <c r="SPR105" s="3"/>
      <c r="SPS105" s="3"/>
      <c r="SPT105" s="3"/>
      <c r="SPU105" s="3"/>
      <c r="SPV105" s="3"/>
      <c r="SPW105" s="3"/>
      <c r="SPX105" s="3"/>
      <c r="SPY105" s="3"/>
      <c r="SPZ105" s="3"/>
      <c r="SQA105" s="3"/>
      <c r="SQB105" s="3"/>
      <c r="SQC105" s="3"/>
      <c r="SQD105" s="3"/>
      <c r="SQE105" s="3"/>
      <c r="SQF105" s="3"/>
      <c r="SQG105" s="3"/>
      <c r="SQH105" s="3"/>
      <c r="SQI105" s="3"/>
      <c r="SQJ105" s="3"/>
      <c r="SQK105" s="3"/>
      <c r="SQL105" s="3"/>
      <c r="SQM105" s="3"/>
      <c r="SQN105" s="3"/>
      <c r="SQO105" s="3"/>
      <c r="SQP105" s="3"/>
      <c r="SQQ105" s="3"/>
      <c r="SQR105" s="3"/>
      <c r="SQS105" s="3"/>
      <c r="SQT105" s="3"/>
      <c r="SQU105" s="3"/>
      <c r="SQV105" s="3"/>
      <c r="SQW105" s="3"/>
      <c r="SQX105" s="3"/>
      <c r="SQY105" s="3"/>
      <c r="SQZ105" s="3"/>
      <c r="SRA105" s="3"/>
      <c r="SRB105" s="3"/>
      <c r="SRC105" s="3"/>
      <c r="SRD105" s="3"/>
      <c r="SRE105" s="3"/>
      <c r="SRF105" s="3"/>
      <c r="SRG105" s="3"/>
      <c r="SRH105" s="3"/>
      <c r="SRI105" s="3"/>
      <c r="SRJ105" s="3"/>
      <c r="SRK105" s="3"/>
      <c r="SRL105" s="3"/>
      <c r="SRM105" s="3"/>
      <c r="SRN105" s="3"/>
      <c r="SRO105" s="3"/>
      <c r="SRP105" s="3"/>
      <c r="SRQ105" s="3"/>
      <c r="SRR105" s="3"/>
      <c r="SRS105" s="3"/>
      <c r="SRT105" s="3"/>
      <c r="SRU105" s="3"/>
      <c r="SRV105" s="3"/>
      <c r="SRW105" s="3"/>
      <c r="SRX105" s="3"/>
      <c r="SRY105" s="3"/>
      <c r="SRZ105" s="3"/>
      <c r="SSA105" s="3"/>
      <c r="SSB105" s="3"/>
      <c r="SSC105" s="3"/>
      <c r="SSD105" s="3"/>
      <c r="SSE105" s="3"/>
      <c r="SSF105" s="3"/>
      <c r="SSG105" s="3"/>
      <c r="SSH105" s="3"/>
      <c r="SSI105" s="3"/>
      <c r="SSJ105" s="3"/>
      <c r="SSK105" s="3"/>
      <c r="SSL105" s="3"/>
      <c r="SSM105" s="3"/>
      <c r="SSN105" s="3"/>
      <c r="SSO105" s="3"/>
      <c r="SSP105" s="3"/>
      <c r="SSQ105" s="3"/>
      <c r="SSR105" s="3"/>
      <c r="SSS105" s="3"/>
      <c r="SST105" s="3"/>
      <c r="SSU105" s="3"/>
      <c r="SSV105" s="3"/>
      <c r="SSW105" s="3"/>
      <c r="SSX105" s="3"/>
      <c r="SSY105" s="3"/>
      <c r="SSZ105" s="3"/>
      <c r="STA105" s="3"/>
      <c r="STB105" s="3"/>
      <c r="STC105" s="3"/>
      <c r="STD105" s="3"/>
      <c r="STE105" s="3"/>
      <c r="STF105" s="3"/>
      <c r="STG105" s="3"/>
      <c r="STH105" s="3"/>
      <c r="STI105" s="3"/>
      <c r="STJ105" s="3"/>
      <c r="STK105" s="3"/>
      <c r="STL105" s="3"/>
      <c r="STM105" s="3"/>
      <c r="STN105" s="3"/>
      <c r="STO105" s="3"/>
      <c r="STP105" s="3"/>
      <c r="STQ105" s="3"/>
      <c r="STR105" s="3"/>
      <c r="STS105" s="3"/>
      <c r="STT105" s="3"/>
      <c r="STU105" s="3"/>
      <c r="STV105" s="3"/>
      <c r="STW105" s="3"/>
      <c r="STX105" s="3"/>
      <c r="STY105" s="3"/>
      <c r="STZ105" s="3"/>
      <c r="SUA105" s="3"/>
      <c r="SUB105" s="3"/>
      <c r="SUC105" s="3"/>
      <c r="SUD105" s="3"/>
      <c r="SUE105" s="3"/>
      <c r="SUF105" s="3"/>
      <c r="SUG105" s="3"/>
      <c r="SUH105" s="3"/>
      <c r="SUI105" s="3"/>
      <c r="SUJ105" s="3"/>
      <c r="SUK105" s="3"/>
      <c r="SUL105" s="3"/>
      <c r="SUM105" s="3"/>
      <c r="SUN105" s="3"/>
      <c r="SUO105" s="3"/>
      <c r="SUP105" s="3"/>
      <c r="SUQ105" s="3"/>
      <c r="SUR105" s="3"/>
      <c r="SUS105" s="3"/>
      <c r="SUT105" s="3"/>
      <c r="SUU105" s="3"/>
      <c r="SUV105" s="3"/>
      <c r="SUW105" s="3"/>
      <c r="SUX105" s="3"/>
      <c r="SUY105" s="3"/>
      <c r="SUZ105" s="3"/>
      <c r="SVA105" s="3"/>
      <c r="SVB105" s="3"/>
      <c r="SVC105" s="3"/>
      <c r="SVD105" s="3"/>
      <c r="SVE105" s="3"/>
      <c r="SVF105" s="3"/>
      <c r="SVG105" s="3"/>
      <c r="SVH105" s="3"/>
      <c r="SVI105" s="3"/>
      <c r="SVJ105" s="3"/>
      <c r="SVK105" s="3"/>
      <c r="SVL105" s="3"/>
      <c r="SVM105" s="3"/>
      <c r="SVN105" s="3"/>
      <c r="SVO105" s="3"/>
      <c r="SVP105" s="3"/>
      <c r="SVQ105" s="3"/>
      <c r="SVR105" s="3"/>
      <c r="SVS105" s="3"/>
      <c r="SVT105" s="3"/>
      <c r="SVU105" s="3"/>
      <c r="SVV105" s="3"/>
      <c r="SVW105" s="3"/>
      <c r="SVX105" s="3"/>
      <c r="SVY105" s="3"/>
      <c r="SVZ105" s="3"/>
      <c r="SWA105" s="3"/>
      <c r="SWB105" s="3"/>
      <c r="SWC105" s="3"/>
      <c r="SWD105" s="3"/>
      <c r="SWE105" s="3"/>
      <c r="SWF105" s="3"/>
      <c r="SWG105" s="3"/>
      <c r="SWH105" s="3"/>
      <c r="SWI105" s="3"/>
      <c r="SWJ105" s="3"/>
      <c r="SWK105" s="3"/>
      <c r="SWL105" s="3"/>
      <c r="SWM105" s="3"/>
      <c r="SWN105" s="3"/>
      <c r="SWO105" s="3"/>
      <c r="SWP105" s="3"/>
      <c r="SWQ105" s="3"/>
      <c r="SWR105" s="3"/>
      <c r="SWS105" s="3"/>
      <c r="SWT105" s="3"/>
      <c r="SWU105" s="3"/>
      <c r="SWV105" s="3"/>
      <c r="SWW105" s="3"/>
      <c r="SWX105" s="3"/>
      <c r="SWY105" s="3"/>
      <c r="SWZ105" s="3"/>
      <c r="SXA105" s="3"/>
      <c r="SXB105" s="3"/>
      <c r="SXC105" s="3"/>
      <c r="SXD105" s="3"/>
      <c r="SXE105" s="3"/>
      <c r="SXF105" s="3"/>
      <c r="SXG105" s="3"/>
      <c r="SXH105" s="3"/>
      <c r="SXI105" s="3"/>
      <c r="SXJ105" s="3"/>
      <c r="SXK105" s="3"/>
      <c r="SXL105" s="3"/>
      <c r="SXM105" s="3"/>
      <c r="SXN105" s="3"/>
      <c r="SXO105" s="3"/>
      <c r="SXP105" s="3"/>
      <c r="SXQ105" s="3"/>
      <c r="SXR105" s="3"/>
      <c r="SXS105" s="3"/>
      <c r="SXT105" s="3"/>
      <c r="SXU105" s="3"/>
      <c r="SXV105" s="3"/>
      <c r="SXW105" s="3"/>
      <c r="SXX105" s="3"/>
      <c r="SXY105" s="3"/>
      <c r="SXZ105" s="3"/>
      <c r="SYA105" s="3"/>
      <c r="SYB105" s="3"/>
      <c r="SYC105" s="3"/>
      <c r="SYD105" s="3"/>
      <c r="SYE105" s="3"/>
      <c r="SYF105" s="3"/>
      <c r="SYG105" s="3"/>
      <c r="SYH105" s="3"/>
      <c r="SYI105" s="3"/>
      <c r="SYJ105" s="3"/>
      <c r="SYK105" s="3"/>
      <c r="SYL105" s="3"/>
      <c r="SYM105" s="3"/>
      <c r="SYN105" s="3"/>
      <c r="SYO105" s="3"/>
      <c r="SYP105" s="3"/>
      <c r="SYQ105" s="3"/>
      <c r="SYR105" s="3"/>
      <c r="SYS105" s="3"/>
      <c r="SYT105" s="3"/>
      <c r="SYU105" s="3"/>
      <c r="SYV105" s="3"/>
      <c r="SYW105" s="3"/>
      <c r="SYX105" s="3"/>
      <c r="SYY105" s="3"/>
      <c r="SYZ105" s="3"/>
      <c r="SZA105" s="3"/>
      <c r="SZB105" s="3"/>
      <c r="SZC105" s="3"/>
      <c r="SZD105" s="3"/>
      <c r="SZE105" s="3"/>
      <c r="SZF105" s="3"/>
      <c r="SZG105" s="3"/>
      <c r="SZH105" s="3"/>
      <c r="SZI105" s="3"/>
      <c r="SZJ105" s="3"/>
      <c r="SZK105" s="3"/>
      <c r="SZL105" s="3"/>
      <c r="SZM105" s="3"/>
      <c r="SZN105" s="3"/>
      <c r="SZO105" s="3"/>
      <c r="SZP105" s="3"/>
      <c r="SZQ105" s="3"/>
      <c r="SZR105" s="3"/>
      <c r="SZS105" s="3"/>
      <c r="SZT105" s="3"/>
      <c r="SZU105" s="3"/>
      <c r="SZV105" s="3"/>
      <c r="SZW105" s="3"/>
      <c r="SZX105" s="3"/>
      <c r="SZY105" s="3"/>
      <c r="SZZ105" s="3"/>
      <c r="TAA105" s="3"/>
      <c r="TAB105" s="3"/>
      <c r="TAC105" s="3"/>
      <c r="TAD105" s="3"/>
      <c r="TAE105" s="3"/>
      <c r="TAF105" s="3"/>
      <c r="TAG105" s="3"/>
      <c r="TAH105" s="3"/>
      <c r="TAI105" s="3"/>
      <c r="TAJ105" s="3"/>
      <c r="TAK105" s="3"/>
      <c r="TAL105" s="3"/>
      <c r="TAM105" s="3"/>
      <c r="TAN105" s="3"/>
      <c r="TAO105" s="3"/>
      <c r="TAP105" s="3"/>
      <c r="TAQ105" s="3"/>
      <c r="TAR105" s="3"/>
      <c r="TAS105" s="3"/>
      <c r="TAT105" s="3"/>
      <c r="TAU105" s="3"/>
      <c r="TAV105" s="3"/>
      <c r="TAW105" s="3"/>
      <c r="TAX105" s="3"/>
      <c r="TAY105" s="3"/>
      <c r="TAZ105" s="3"/>
      <c r="TBA105" s="3"/>
      <c r="TBB105" s="3"/>
      <c r="TBC105" s="3"/>
      <c r="TBD105" s="3"/>
      <c r="TBE105" s="3"/>
      <c r="TBF105" s="3"/>
      <c r="TBG105" s="3"/>
      <c r="TBH105" s="3"/>
      <c r="TBI105" s="3"/>
      <c r="TBJ105" s="3"/>
      <c r="TBK105" s="3"/>
      <c r="TBL105" s="3"/>
      <c r="TBM105" s="3"/>
      <c r="TBN105" s="3"/>
      <c r="TBO105" s="3"/>
      <c r="TBP105" s="3"/>
      <c r="TBQ105" s="3"/>
      <c r="TBR105" s="3"/>
      <c r="TBS105" s="3"/>
      <c r="TBT105" s="3"/>
      <c r="TBU105" s="3"/>
      <c r="TBV105" s="3"/>
      <c r="TBW105" s="3"/>
      <c r="TBX105" s="3"/>
      <c r="TBY105" s="3"/>
      <c r="TBZ105" s="3"/>
      <c r="TCA105" s="3"/>
      <c r="TCB105" s="3"/>
      <c r="TCC105" s="3"/>
      <c r="TCD105" s="3"/>
      <c r="TCE105" s="3"/>
      <c r="TCF105" s="3"/>
      <c r="TCG105" s="3"/>
      <c r="TCH105" s="3"/>
      <c r="TCI105" s="3"/>
      <c r="TCJ105" s="3"/>
      <c r="TCK105" s="3"/>
      <c r="TCL105" s="3"/>
      <c r="TCM105" s="3"/>
      <c r="TCN105" s="3"/>
      <c r="TCO105" s="3"/>
      <c r="TCP105" s="3"/>
      <c r="TCQ105" s="3"/>
      <c r="TCR105" s="3"/>
      <c r="TCS105" s="3"/>
      <c r="TCT105" s="3"/>
      <c r="TCU105" s="3"/>
      <c r="TCV105" s="3"/>
      <c r="TCW105" s="3"/>
      <c r="TCX105" s="3"/>
      <c r="TCY105" s="3"/>
      <c r="TCZ105" s="3"/>
      <c r="TDA105" s="3"/>
      <c r="TDB105" s="3"/>
      <c r="TDC105" s="3"/>
      <c r="TDD105" s="3"/>
      <c r="TDE105" s="3"/>
      <c r="TDF105" s="3"/>
      <c r="TDG105" s="3"/>
      <c r="TDH105" s="3"/>
      <c r="TDI105" s="3"/>
      <c r="TDJ105" s="3"/>
      <c r="TDK105" s="3"/>
      <c r="TDL105" s="3"/>
      <c r="TDM105" s="3"/>
      <c r="TDN105" s="3"/>
      <c r="TDO105" s="3"/>
      <c r="TDP105" s="3"/>
      <c r="TDQ105" s="3"/>
      <c r="TDR105" s="3"/>
      <c r="TDS105" s="3"/>
      <c r="TDT105" s="3"/>
      <c r="TDU105" s="3"/>
      <c r="TDV105" s="3"/>
      <c r="TDW105" s="3"/>
      <c r="TDX105" s="3"/>
      <c r="TDY105" s="3"/>
      <c r="TDZ105" s="3"/>
      <c r="TEA105" s="3"/>
      <c r="TEB105" s="3"/>
      <c r="TEC105" s="3"/>
      <c r="TED105" s="3"/>
      <c r="TEE105" s="3"/>
      <c r="TEF105" s="3"/>
      <c r="TEG105" s="3"/>
      <c r="TEH105" s="3"/>
      <c r="TEI105" s="3"/>
      <c r="TEJ105" s="3"/>
      <c r="TEK105" s="3"/>
      <c r="TEL105" s="3"/>
      <c r="TEM105" s="3"/>
      <c r="TEN105" s="3"/>
      <c r="TEO105" s="3"/>
      <c r="TEP105" s="3"/>
      <c r="TEQ105" s="3"/>
      <c r="TER105" s="3"/>
      <c r="TES105" s="3"/>
      <c r="TET105" s="3"/>
      <c r="TEU105" s="3"/>
      <c r="TEV105" s="3"/>
      <c r="TEW105" s="3"/>
      <c r="TEX105" s="3"/>
      <c r="TEY105" s="3"/>
      <c r="TEZ105" s="3"/>
      <c r="TFA105" s="3"/>
      <c r="TFB105" s="3"/>
      <c r="TFC105" s="3"/>
      <c r="TFD105" s="3"/>
      <c r="TFE105" s="3"/>
      <c r="TFF105" s="3"/>
      <c r="TFG105" s="3"/>
      <c r="TFH105" s="3"/>
      <c r="TFI105" s="3"/>
      <c r="TFJ105" s="3"/>
      <c r="TFK105" s="3"/>
      <c r="TFL105" s="3"/>
      <c r="TFM105" s="3"/>
      <c r="TFN105" s="3"/>
      <c r="TFO105" s="3"/>
      <c r="TFP105" s="3"/>
      <c r="TFQ105" s="3"/>
      <c r="TFR105" s="3"/>
      <c r="TFS105" s="3"/>
      <c r="TFT105" s="3"/>
      <c r="TFU105" s="3"/>
      <c r="TFV105" s="3"/>
      <c r="TFW105" s="3"/>
      <c r="TFX105" s="3"/>
      <c r="TFY105" s="3"/>
      <c r="TFZ105" s="3"/>
      <c r="TGA105" s="3"/>
      <c r="TGB105" s="3"/>
      <c r="TGC105" s="3"/>
      <c r="TGD105" s="3"/>
      <c r="TGE105" s="3"/>
      <c r="TGF105" s="3"/>
      <c r="TGG105" s="3"/>
      <c r="TGH105" s="3"/>
      <c r="TGI105" s="3"/>
      <c r="TGJ105" s="3"/>
      <c r="TGK105" s="3"/>
      <c r="TGL105" s="3"/>
      <c r="TGM105" s="3"/>
      <c r="TGN105" s="3"/>
      <c r="TGO105" s="3"/>
      <c r="TGP105" s="3"/>
      <c r="TGQ105" s="3"/>
      <c r="TGR105" s="3"/>
      <c r="TGS105" s="3"/>
      <c r="TGT105" s="3"/>
      <c r="TGU105" s="3"/>
      <c r="TGV105" s="3"/>
      <c r="TGW105" s="3"/>
      <c r="TGX105" s="3"/>
      <c r="TGY105" s="3"/>
      <c r="TGZ105" s="3"/>
      <c r="THA105" s="3"/>
      <c r="THB105" s="3"/>
      <c r="THC105" s="3"/>
      <c r="THD105" s="3"/>
      <c r="THE105" s="3"/>
      <c r="THF105" s="3"/>
      <c r="THG105" s="3"/>
      <c r="THH105" s="3"/>
      <c r="THI105" s="3"/>
      <c r="THJ105" s="3"/>
      <c r="THK105" s="3"/>
      <c r="THL105" s="3"/>
      <c r="THM105" s="3"/>
      <c r="THN105" s="3"/>
      <c r="THO105" s="3"/>
      <c r="THP105" s="3"/>
      <c r="THQ105" s="3"/>
      <c r="THR105" s="3"/>
      <c r="THS105" s="3"/>
      <c r="THT105" s="3"/>
      <c r="THU105" s="3"/>
      <c r="THV105" s="3"/>
      <c r="THW105" s="3"/>
      <c r="THX105" s="3"/>
      <c r="THY105" s="3"/>
      <c r="THZ105" s="3"/>
      <c r="TIA105" s="3"/>
      <c r="TIB105" s="3"/>
      <c r="TIC105" s="3"/>
      <c r="TID105" s="3"/>
      <c r="TIE105" s="3"/>
      <c r="TIF105" s="3"/>
      <c r="TIG105" s="3"/>
      <c r="TIH105" s="3"/>
      <c r="TII105" s="3"/>
      <c r="TIJ105" s="3"/>
      <c r="TIK105" s="3"/>
      <c r="TIL105" s="3"/>
      <c r="TIM105" s="3"/>
      <c r="TIN105" s="3"/>
      <c r="TIO105" s="3"/>
      <c r="TIP105" s="3"/>
      <c r="TIQ105" s="3"/>
      <c r="TIR105" s="3"/>
      <c r="TIS105" s="3"/>
      <c r="TIT105" s="3"/>
      <c r="TIU105" s="3"/>
      <c r="TIV105" s="3"/>
      <c r="TIW105" s="3"/>
      <c r="TIX105" s="3"/>
      <c r="TIY105" s="3"/>
      <c r="TIZ105" s="3"/>
      <c r="TJA105" s="3"/>
      <c r="TJB105" s="3"/>
      <c r="TJC105" s="3"/>
      <c r="TJD105" s="3"/>
      <c r="TJE105" s="3"/>
      <c r="TJF105" s="3"/>
      <c r="TJG105" s="3"/>
      <c r="TJH105" s="3"/>
      <c r="TJI105" s="3"/>
      <c r="TJJ105" s="3"/>
      <c r="TJK105" s="3"/>
      <c r="TJL105" s="3"/>
      <c r="TJM105" s="3"/>
      <c r="TJN105" s="3"/>
      <c r="TJO105" s="3"/>
      <c r="TJP105" s="3"/>
      <c r="TJQ105" s="3"/>
      <c r="TJR105" s="3"/>
      <c r="TJS105" s="3"/>
      <c r="TJT105" s="3"/>
      <c r="TJU105" s="3"/>
      <c r="TJV105" s="3"/>
      <c r="TJW105" s="3"/>
      <c r="TJX105" s="3"/>
      <c r="TJY105" s="3"/>
      <c r="TJZ105" s="3"/>
      <c r="TKA105" s="3"/>
      <c r="TKB105" s="3"/>
      <c r="TKC105" s="3"/>
      <c r="TKD105" s="3"/>
      <c r="TKE105" s="3"/>
      <c r="TKF105" s="3"/>
      <c r="TKG105" s="3"/>
      <c r="TKH105" s="3"/>
      <c r="TKI105" s="3"/>
      <c r="TKJ105" s="3"/>
      <c r="TKK105" s="3"/>
      <c r="TKL105" s="3"/>
      <c r="TKM105" s="3"/>
      <c r="TKN105" s="3"/>
      <c r="TKO105" s="3"/>
      <c r="TKP105" s="3"/>
      <c r="TKQ105" s="3"/>
      <c r="TKR105" s="3"/>
      <c r="TKS105" s="3"/>
      <c r="TKT105" s="3"/>
      <c r="TKU105" s="3"/>
      <c r="TKV105" s="3"/>
      <c r="TKW105" s="3"/>
      <c r="TKX105" s="3"/>
      <c r="TKY105" s="3"/>
      <c r="TKZ105" s="3"/>
      <c r="TLA105" s="3"/>
      <c r="TLB105" s="3"/>
      <c r="TLC105" s="3"/>
      <c r="TLD105" s="3"/>
      <c r="TLE105" s="3"/>
      <c r="TLF105" s="3"/>
      <c r="TLG105" s="3"/>
      <c r="TLH105" s="3"/>
      <c r="TLI105" s="3"/>
      <c r="TLJ105" s="3"/>
      <c r="TLK105" s="3"/>
      <c r="TLL105" s="3"/>
      <c r="TLM105" s="3"/>
      <c r="TLN105" s="3"/>
      <c r="TLO105" s="3"/>
      <c r="TLP105" s="3"/>
      <c r="TLQ105" s="3"/>
      <c r="TLR105" s="3"/>
      <c r="TLS105" s="3"/>
      <c r="TLT105" s="3"/>
      <c r="TLU105" s="3"/>
      <c r="TLV105" s="3"/>
      <c r="TLW105" s="3"/>
      <c r="TLX105" s="3"/>
      <c r="TLY105" s="3"/>
      <c r="TLZ105" s="3"/>
      <c r="TMA105" s="3"/>
      <c r="TMB105" s="3"/>
      <c r="TMC105" s="3"/>
      <c r="TMD105" s="3"/>
      <c r="TME105" s="3"/>
      <c r="TMF105" s="3"/>
      <c r="TMG105" s="3"/>
      <c r="TMH105" s="3"/>
      <c r="TMI105" s="3"/>
      <c r="TMJ105" s="3"/>
      <c r="TMK105" s="3"/>
      <c r="TML105" s="3"/>
      <c r="TMM105" s="3"/>
      <c r="TMN105" s="3"/>
      <c r="TMO105" s="3"/>
      <c r="TMP105" s="3"/>
      <c r="TMQ105" s="3"/>
      <c r="TMR105" s="3"/>
      <c r="TMS105" s="3"/>
      <c r="TMT105" s="3"/>
      <c r="TMU105" s="3"/>
      <c r="TMV105" s="3"/>
      <c r="TMW105" s="3"/>
      <c r="TMX105" s="3"/>
      <c r="TMY105" s="3"/>
      <c r="TMZ105" s="3"/>
      <c r="TNA105" s="3"/>
      <c r="TNB105" s="3"/>
      <c r="TNC105" s="3"/>
      <c r="TND105" s="3"/>
      <c r="TNE105" s="3"/>
      <c r="TNF105" s="3"/>
      <c r="TNG105" s="3"/>
      <c r="TNH105" s="3"/>
      <c r="TNI105" s="3"/>
      <c r="TNJ105" s="3"/>
      <c r="TNK105" s="3"/>
      <c r="TNL105" s="3"/>
      <c r="TNM105" s="3"/>
      <c r="TNN105" s="3"/>
      <c r="TNO105" s="3"/>
      <c r="TNP105" s="3"/>
      <c r="TNQ105" s="3"/>
      <c r="TNR105" s="3"/>
      <c r="TNS105" s="3"/>
      <c r="TNT105" s="3"/>
      <c r="TNU105" s="3"/>
      <c r="TNV105" s="3"/>
      <c r="TNW105" s="3"/>
      <c r="TNX105" s="3"/>
      <c r="TNY105" s="3"/>
      <c r="TNZ105" s="3"/>
      <c r="TOA105" s="3"/>
      <c r="TOB105" s="3"/>
      <c r="TOC105" s="3"/>
      <c r="TOD105" s="3"/>
      <c r="TOE105" s="3"/>
      <c r="TOF105" s="3"/>
      <c r="TOG105" s="3"/>
      <c r="TOH105" s="3"/>
      <c r="TOI105" s="3"/>
      <c r="TOJ105" s="3"/>
      <c r="TOK105" s="3"/>
      <c r="TOL105" s="3"/>
      <c r="TOM105" s="3"/>
      <c r="TON105" s="3"/>
      <c r="TOO105" s="3"/>
      <c r="TOP105" s="3"/>
      <c r="TOQ105" s="3"/>
      <c r="TOR105" s="3"/>
      <c r="TOS105" s="3"/>
      <c r="TOT105" s="3"/>
      <c r="TOU105" s="3"/>
      <c r="TOV105" s="3"/>
      <c r="TOW105" s="3"/>
      <c r="TOX105" s="3"/>
      <c r="TOY105" s="3"/>
      <c r="TOZ105" s="3"/>
      <c r="TPA105" s="3"/>
      <c r="TPB105" s="3"/>
      <c r="TPC105" s="3"/>
      <c r="TPD105" s="3"/>
      <c r="TPE105" s="3"/>
      <c r="TPF105" s="3"/>
      <c r="TPG105" s="3"/>
      <c r="TPH105" s="3"/>
      <c r="TPI105" s="3"/>
      <c r="TPJ105" s="3"/>
      <c r="TPK105" s="3"/>
      <c r="TPL105" s="3"/>
      <c r="TPM105" s="3"/>
      <c r="TPN105" s="3"/>
      <c r="TPO105" s="3"/>
      <c r="TPP105" s="3"/>
      <c r="TPQ105" s="3"/>
      <c r="TPR105" s="3"/>
      <c r="TPS105" s="3"/>
      <c r="TPT105" s="3"/>
      <c r="TPU105" s="3"/>
      <c r="TPV105" s="3"/>
      <c r="TPW105" s="3"/>
      <c r="TPX105" s="3"/>
      <c r="TPY105" s="3"/>
      <c r="TPZ105" s="3"/>
      <c r="TQA105" s="3"/>
      <c r="TQB105" s="3"/>
      <c r="TQC105" s="3"/>
      <c r="TQD105" s="3"/>
      <c r="TQE105" s="3"/>
      <c r="TQF105" s="3"/>
      <c r="TQG105" s="3"/>
      <c r="TQH105" s="3"/>
      <c r="TQI105" s="3"/>
      <c r="TQJ105" s="3"/>
      <c r="TQK105" s="3"/>
      <c r="TQL105" s="3"/>
      <c r="TQM105" s="3"/>
      <c r="TQN105" s="3"/>
      <c r="TQO105" s="3"/>
      <c r="TQP105" s="3"/>
      <c r="TQQ105" s="3"/>
      <c r="TQR105" s="3"/>
      <c r="TQS105" s="3"/>
      <c r="TQT105" s="3"/>
      <c r="TQU105" s="3"/>
      <c r="TQV105" s="3"/>
      <c r="TQW105" s="3"/>
      <c r="TQX105" s="3"/>
      <c r="TQY105" s="3"/>
      <c r="TQZ105" s="3"/>
      <c r="TRA105" s="3"/>
      <c r="TRB105" s="3"/>
      <c r="TRC105" s="3"/>
      <c r="TRD105" s="3"/>
      <c r="TRE105" s="3"/>
      <c r="TRF105" s="3"/>
      <c r="TRG105" s="3"/>
      <c r="TRH105" s="3"/>
      <c r="TRI105" s="3"/>
      <c r="TRJ105" s="3"/>
      <c r="TRK105" s="3"/>
      <c r="TRL105" s="3"/>
      <c r="TRM105" s="3"/>
      <c r="TRN105" s="3"/>
      <c r="TRO105" s="3"/>
      <c r="TRP105" s="3"/>
      <c r="TRQ105" s="3"/>
      <c r="TRR105" s="3"/>
      <c r="TRS105" s="3"/>
      <c r="TRT105" s="3"/>
      <c r="TRU105" s="3"/>
      <c r="TRV105" s="3"/>
      <c r="TRW105" s="3"/>
      <c r="TRX105" s="3"/>
      <c r="TRY105" s="3"/>
      <c r="TRZ105" s="3"/>
      <c r="TSA105" s="3"/>
      <c r="TSB105" s="3"/>
      <c r="TSC105" s="3"/>
      <c r="TSD105" s="3"/>
      <c r="TSE105" s="3"/>
      <c r="TSF105" s="3"/>
      <c r="TSG105" s="3"/>
      <c r="TSH105" s="3"/>
      <c r="TSI105" s="3"/>
      <c r="TSJ105" s="3"/>
      <c r="TSK105" s="3"/>
      <c r="TSL105" s="3"/>
      <c r="TSM105" s="3"/>
      <c r="TSN105" s="3"/>
      <c r="TSO105" s="3"/>
      <c r="TSP105" s="3"/>
      <c r="TSQ105" s="3"/>
      <c r="TSR105" s="3"/>
      <c r="TSS105" s="3"/>
      <c r="TST105" s="3"/>
      <c r="TSU105" s="3"/>
      <c r="TSV105" s="3"/>
      <c r="TSW105" s="3"/>
      <c r="TSX105" s="3"/>
      <c r="TSY105" s="3"/>
      <c r="TSZ105" s="3"/>
      <c r="TTA105" s="3"/>
      <c r="TTB105" s="3"/>
      <c r="TTC105" s="3"/>
      <c r="TTD105" s="3"/>
      <c r="TTE105" s="3"/>
      <c r="TTF105" s="3"/>
      <c r="TTG105" s="3"/>
      <c r="TTH105" s="3"/>
      <c r="TTI105" s="3"/>
      <c r="TTJ105" s="3"/>
      <c r="TTK105" s="3"/>
      <c r="TTL105" s="3"/>
      <c r="TTM105" s="3"/>
      <c r="TTN105" s="3"/>
      <c r="TTO105" s="3"/>
      <c r="TTP105" s="3"/>
      <c r="TTQ105" s="3"/>
      <c r="TTR105" s="3"/>
      <c r="TTS105" s="3"/>
      <c r="TTT105" s="3"/>
      <c r="TTU105" s="3"/>
      <c r="TTV105" s="3"/>
      <c r="TTW105" s="3"/>
      <c r="TTX105" s="3"/>
      <c r="TTY105" s="3"/>
      <c r="TTZ105" s="3"/>
      <c r="TUA105" s="3"/>
      <c r="TUB105" s="3"/>
      <c r="TUC105" s="3"/>
      <c r="TUD105" s="3"/>
      <c r="TUE105" s="3"/>
      <c r="TUF105" s="3"/>
      <c r="TUG105" s="3"/>
      <c r="TUH105" s="3"/>
      <c r="TUI105" s="3"/>
      <c r="TUJ105" s="3"/>
      <c r="TUK105" s="3"/>
      <c r="TUL105" s="3"/>
      <c r="TUM105" s="3"/>
      <c r="TUN105" s="3"/>
      <c r="TUO105" s="3"/>
      <c r="TUP105" s="3"/>
      <c r="TUQ105" s="3"/>
      <c r="TUR105" s="3"/>
      <c r="TUS105" s="3"/>
      <c r="TUT105" s="3"/>
      <c r="TUU105" s="3"/>
      <c r="TUV105" s="3"/>
      <c r="TUW105" s="3"/>
      <c r="TUX105" s="3"/>
      <c r="TUY105" s="3"/>
      <c r="TUZ105" s="3"/>
      <c r="TVA105" s="3"/>
      <c r="TVB105" s="3"/>
      <c r="TVC105" s="3"/>
      <c r="TVD105" s="3"/>
      <c r="TVE105" s="3"/>
      <c r="TVF105" s="3"/>
      <c r="TVG105" s="3"/>
      <c r="TVH105" s="3"/>
      <c r="TVI105" s="3"/>
      <c r="TVJ105" s="3"/>
      <c r="TVK105" s="3"/>
      <c r="TVL105" s="3"/>
      <c r="TVM105" s="3"/>
      <c r="TVN105" s="3"/>
      <c r="TVO105" s="3"/>
      <c r="TVP105" s="3"/>
      <c r="TVQ105" s="3"/>
      <c r="TVR105" s="3"/>
      <c r="TVS105" s="3"/>
      <c r="TVT105" s="3"/>
      <c r="TVU105" s="3"/>
      <c r="TVV105" s="3"/>
      <c r="TVW105" s="3"/>
      <c r="TVX105" s="3"/>
      <c r="TVY105" s="3"/>
      <c r="TVZ105" s="3"/>
      <c r="TWA105" s="3"/>
      <c r="TWB105" s="3"/>
      <c r="TWC105" s="3"/>
      <c r="TWD105" s="3"/>
      <c r="TWE105" s="3"/>
      <c r="TWF105" s="3"/>
      <c r="TWG105" s="3"/>
      <c r="TWH105" s="3"/>
      <c r="TWI105" s="3"/>
      <c r="TWJ105" s="3"/>
      <c r="TWK105" s="3"/>
      <c r="TWL105" s="3"/>
      <c r="TWM105" s="3"/>
      <c r="TWN105" s="3"/>
      <c r="TWO105" s="3"/>
      <c r="TWP105" s="3"/>
      <c r="TWQ105" s="3"/>
      <c r="TWR105" s="3"/>
      <c r="TWS105" s="3"/>
      <c r="TWT105" s="3"/>
      <c r="TWU105" s="3"/>
      <c r="TWV105" s="3"/>
      <c r="TWW105" s="3"/>
      <c r="TWX105" s="3"/>
      <c r="TWY105" s="3"/>
      <c r="TWZ105" s="3"/>
      <c r="TXA105" s="3"/>
      <c r="TXB105" s="3"/>
      <c r="TXC105" s="3"/>
      <c r="TXD105" s="3"/>
      <c r="TXE105" s="3"/>
      <c r="TXF105" s="3"/>
      <c r="TXG105" s="3"/>
      <c r="TXH105" s="3"/>
      <c r="TXI105" s="3"/>
      <c r="TXJ105" s="3"/>
      <c r="TXK105" s="3"/>
      <c r="TXL105" s="3"/>
      <c r="TXM105" s="3"/>
      <c r="TXN105" s="3"/>
      <c r="TXO105" s="3"/>
      <c r="TXP105" s="3"/>
      <c r="TXQ105" s="3"/>
      <c r="TXR105" s="3"/>
      <c r="TXS105" s="3"/>
      <c r="TXT105" s="3"/>
      <c r="TXU105" s="3"/>
      <c r="TXV105" s="3"/>
      <c r="TXW105" s="3"/>
      <c r="TXX105" s="3"/>
      <c r="TXY105" s="3"/>
      <c r="TXZ105" s="3"/>
      <c r="TYA105" s="3"/>
      <c r="TYB105" s="3"/>
      <c r="TYC105" s="3"/>
      <c r="TYD105" s="3"/>
      <c r="TYE105" s="3"/>
      <c r="TYF105" s="3"/>
      <c r="TYG105" s="3"/>
      <c r="TYH105" s="3"/>
      <c r="TYI105" s="3"/>
      <c r="TYJ105" s="3"/>
      <c r="TYK105" s="3"/>
      <c r="TYL105" s="3"/>
      <c r="TYM105" s="3"/>
      <c r="TYN105" s="3"/>
      <c r="TYO105" s="3"/>
      <c r="TYP105" s="3"/>
      <c r="TYQ105" s="3"/>
      <c r="TYR105" s="3"/>
      <c r="TYS105" s="3"/>
      <c r="TYT105" s="3"/>
      <c r="TYU105" s="3"/>
      <c r="TYV105" s="3"/>
      <c r="TYW105" s="3"/>
      <c r="TYX105" s="3"/>
      <c r="TYY105" s="3"/>
      <c r="TYZ105" s="3"/>
      <c r="TZA105" s="3"/>
      <c r="TZB105" s="3"/>
      <c r="TZC105" s="3"/>
      <c r="TZD105" s="3"/>
      <c r="TZE105" s="3"/>
      <c r="TZF105" s="3"/>
      <c r="TZG105" s="3"/>
      <c r="TZH105" s="3"/>
      <c r="TZI105" s="3"/>
      <c r="TZJ105" s="3"/>
      <c r="TZK105" s="3"/>
      <c r="TZL105" s="3"/>
      <c r="TZM105" s="3"/>
      <c r="TZN105" s="3"/>
      <c r="TZO105" s="3"/>
      <c r="TZP105" s="3"/>
      <c r="TZQ105" s="3"/>
      <c r="TZR105" s="3"/>
      <c r="TZS105" s="3"/>
      <c r="TZT105" s="3"/>
      <c r="TZU105" s="3"/>
      <c r="TZV105" s="3"/>
      <c r="TZW105" s="3"/>
      <c r="TZX105" s="3"/>
      <c r="TZY105" s="3"/>
      <c r="TZZ105" s="3"/>
      <c r="UAA105" s="3"/>
      <c r="UAB105" s="3"/>
      <c r="UAC105" s="3"/>
      <c r="UAD105" s="3"/>
      <c r="UAE105" s="3"/>
      <c r="UAF105" s="3"/>
      <c r="UAG105" s="3"/>
      <c r="UAH105" s="3"/>
      <c r="UAI105" s="3"/>
      <c r="UAJ105" s="3"/>
      <c r="UAK105" s="3"/>
      <c r="UAL105" s="3"/>
      <c r="UAM105" s="3"/>
      <c r="UAN105" s="3"/>
      <c r="UAO105" s="3"/>
      <c r="UAP105" s="3"/>
      <c r="UAQ105" s="3"/>
      <c r="UAR105" s="3"/>
      <c r="UAS105" s="3"/>
      <c r="UAT105" s="3"/>
      <c r="UAU105" s="3"/>
      <c r="UAV105" s="3"/>
      <c r="UAW105" s="3"/>
      <c r="UAX105" s="3"/>
      <c r="UAY105" s="3"/>
      <c r="UAZ105" s="3"/>
      <c r="UBA105" s="3"/>
      <c r="UBB105" s="3"/>
      <c r="UBC105" s="3"/>
      <c r="UBD105" s="3"/>
      <c r="UBE105" s="3"/>
      <c r="UBF105" s="3"/>
      <c r="UBG105" s="3"/>
      <c r="UBH105" s="3"/>
      <c r="UBI105" s="3"/>
      <c r="UBJ105" s="3"/>
      <c r="UBK105" s="3"/>
      <c r="UBL105" s="3"/>
      <c r="UBM105" s="3"/>
      <c r="UBN105" s="3"/>
      <c r="UBO105" s="3"/>
      <c r="UBP105" s="3"/>
      <c r="UBQ105" s="3"/>
      <c r="UBR105" s="3"/>
      <c r="UBS105" s="3"/>
      <c r="UBT105" s="3"/>
      <c r="UBU105" s="3"/>
      <c r="UBV105" s="3"/>
      <c r="UBW105" s="3"/>
      <c r="UBX105" s="3"/>
      <c r="UBY105" s="3"/>
      <c r="UBZ105" s="3"/>
      <c r="UCA105" s="3"/>
      <c r="UCB105" s="3"/>
      <c r="UCC105" s="3"/>
      <c r="UCD105" s="3"/>
      <c r="UCE105" s="3"/>
      <c r="UCF105" s="3"/>
      <c r="UCG105" s="3"/>
      <c r="UCH105" s="3"/>
      <c r="UCI105" s="3"/>
      <c r="UCJ105" s="3"/>
      <c r="UCK105" s="3"/>
      <c r="UCL105" s="3"/>
      <c r="UCM105" s="3"/>
      <c r="UCN105" s="3"/>
      <c r="UCO105" s="3"/>
      <c r="UCP105" s="3"/>
      <c r="UCQ105" s="3"/>
      <c r="UCR105" s="3"/>
      <c r="UCS105" s="3"/>
      <c r="UCT105" s="3"/>
      <c r="UCU105" s="3"/>
      <c r="UCV105" s="3"/>
      <c r="UCW105" s="3"/>
      <c r="UCX105" s="3"/>
      <c r="UCY105" s="3"/>
      <c r="UCZ105" s="3"/>
      <c r="UDA105" s="3"/>
      <c r="UDB105" s="3"/>
      <c r="UDC105" s="3"/>
      <c r="UDD105" s="3"/>
      <c r="UDE105" s="3"/>
      <c r="UDF105" s="3"/>
      <c r="UDG105" s="3"/>
      <c r="UDH105" s="3"/>
      <c r="UDI105" s="3"/>
      <c r="UDJ105" s="3"/>
      <c r="UDK105" s="3"/>
      <c r="UDL105" s="3"/>
      <c r="UDM105" s="3"/>
      <c r="UDN105" s="3"/>
      <c r="UDO105" s="3"/>
      <c r="UDP105" s="3"/>
      <c r="UDQ105" s="3"/>
      <c r="UDR105" s="3"/>
      <c r="UDS105" s="3"/>
      <c r="UDT105" s="3"/>
      <c r="UDU105" s="3"/>
      <c r="UDV105" s="3"/>
      <c r="UDW105" s="3"/>
      <c r="UDX105" s="3"/>
      <c r="UDY105" s="3"/>
      <c r="UDZ105" s="3"/>
      <c r="UEA105" s="3"/>
      <c r="UEB105" s="3"/>
      <c r="UEC105" s="3"/>
      <c r="UED105" s="3"/>
      <c r="UEE105" s="3"/>
      <c r="UEF105" s="3"/>
      <c r="UEG105" s="3"/>
      <c r="UEH105" s="3"/>
      <c r="UEI105" s="3"/>
      <c r="UEJ105" s="3"/>
      <c r="UEK105" s="3"/>
      <c r="UEL105" s="3"/>
      <c r="UEM105" s="3"/>
      <c r="UEN105" s="3"/>
      <c r="UEO105" s="3"/>
      <c r="UEP105" s="3"/>
      <c r="UEQ105" s="3"/>
      <c r="UER105" s="3"/>
      <c r="UES105" s="3"/>
      <c r="UET105" s="3"/>
      <c r="UEU105" s="3"/>
      <c r="UEV105" s="3"/>
      <c r="UEW105" s="3"/>
      <c r="UEX105" s="3"/>
      <c r="UEY105" s="3"/>
      <c r="UEZ105" s="3"/>
      <c r="UFA105" s="3"/>
      <c r="UFB105" s="3"/>
      <c r="UFC105" s="3"/>
      <c r="UFD105" s="3"/>
      <c r="UFE105" s="3"/>
      <c r="UFF105" s="3"/>
      <c r="UFG105" s="3"/>
      <c r="UFH105" s="3"/>
      <c r="UFI105" s="3"/>
      <c r="UFJ105" s="3"/>
      <c r="UFK105" s="3"/>
      <c r="UFL105" s="3"/>
      <c r="UFM105" s="3"/>
      <c r="UFN105" s="3"/>
      <c r="UFO105" s="3"/>
      <c r="UFP105" s="3"/>
      <c r="UFQ105" s="3"/>
      <c r="UFR105" s="3"/>
      <c r="UFS105" s="3"/>
      <c r="UFT105" s="3"/>
      <c r="UFU105" s="3"/>
      <c r="UFV105" s="3"/>
      <c r="UFW105" s="3"/>
      <c r="UFX105" s="3"/>
      <c r="UFY105" s="3"/>
      <c r="UFZ105" s="3"/>
      <c r="UGA105" s="3"/>
      <c r="UGB105" s="3"/>
      <c r="UGC105" s="3"/>
      <c r="UGD105" s="3"/>
      <c r="UGE105" s="3"/>
      <c r="UGF105" s="3"/>
      <c r="UGG105" s="3"/>
      <c r="UGH105" s="3"/>
      <c r="UGI105" s="3"/>
      <c r="UGJ105" s="3"/>
      <c r="UGK105" s="3"/>
      <c r="UGL105" s="3"/>
      <c r="UGM105" s="3"/>
      <c r="UGN105" s="3"/>
      <c r="UGO105" s="3"/>
      <c r="UGP105" s="3"/>
      <c r="UGQ105" s="3"/>
      <c r="UGR105" s="3"/>
      <c r="UGS105" s="3"/>
      <c r="UGT105" s="3"/>
      <c r="UGU105" s="3"/>
      <c r="UGV105" s="3"/>
      <c r="UGW105" s="3"/>
      <c r="UGX105" s="3"/>
      <c r="UGY105" s="3"/>
      <c r="UGZ105" s="3"/>
      <c r="UHA105" s="3"/>
      <c r="UHB105" s="3"/>
      <c r="UHC105" s="3"/>
      <c r="UHD105" s="3"/>
      <c r="UHE105" s="3"/>
      <c r="UHF105" s="3"/>
      <c r="UHG105" s="3"/>
      <c r="UHH105" s="3"/>
      <c r="UHI105" s="3"/>
      <c r="UHJ105" s="3"/>
      <c r="UHK105" s="3"/>
      <c r="UHL105" s="3"/>
      <c r="UHM105" s="3"/>
      <c r="UHN105" s="3"/>
      <c r="UHO105" s="3"/>
      <c r="UHP105" s="3"/>
      <c r="UHQ105" s="3"/>
      <c r="UHR105" s="3"/>
      <c r="UHS105" s="3"/>
      <c r="UHT105" s="3"/>
      <c r="UHU105" s="3"/>
      <c r="UHV105" s="3"/>
      <c r="UHW105" s="3"/>
      <c r="UHX105" s="3"/>
      <c r="UHY105" s="3"/>
      <c r="UHZ105" s="3"/>
      <c r="UIA105" s="3"/>
      <c r="UIB105" s="3"/>
      <c r="UIC105" s="3"/>
      <c r="UID105" s="3"/>
      <c r="UIE105" s="3"/>
      <c r="UIF105" s="3"/>
      <c r="UIG105" s="3"/>
      <c r="UIH105" s="3"/>
      <c r="UII105" s="3"/>
      <c r="UIJ105" s="3"/>
      <c r="UIK105" s="3"/>
      <c r="UIL105" s="3"/>
      <c r="UIM105" s="3"/>
      <c r="UIN105" s="3"/>
      <c r="UIO105" s="3"/>
      <c r="UIP105" s="3"/>
      <c r="UIQ105" s="3"/>
      <c r="UIR105" s="3"/>
      <c r="UIS105" s="3"/>
      <c r="UIT105" s="3"/>
      <c r="UIU105" s="3"/>
      <c r="UIV105" s="3"/>
      <c r="UIW105" s="3"/>
      <c r="UIX105" s="3"/>
      <c r="UIY105" s="3"/>
      <c r="UIZ105" s="3"/>
      <c r="UJA105" s="3"/>
      <c r="UJB105" s="3"/>
      <c r="UJC105" s="3"/>
      <c r="UJD105" s="3"/>
      <c r="UJE105" s="3"/>
      <c r="UJF105" s="3"/>
      <c r="UJG105" s="3"/>
      <c r="UJH105" s="3"/>
      <c r="UJI105" s="3"/>
      <c r="UJJ105" s="3"/>
      <c r="UJK105" s="3"/>
      <c r="UJL105" s="3"/>
      <c r="UJM105" s="3"/>
      <c r="UJN105" s="3"/>
      <c r="UJO105" s="3"/>
      <c r="UJP105" s="3"/>
      <c r="UJQ105" s="3"/>
      <c r="UJR105" s="3"/>
      <c r="UJS105" s="3"/>
      <c r="UJT105" s="3"/>
      <c r="UJU105" s="3"/>
      <c r="UJV105" s="3"/>
      <c r="UJW105" s="3"/>
      <c r="UJX105" s="3"/>
      <c r="UJY105" s="3"/>
      <c r="UJZ105" s="3"/>
      <c r="UKA105" s="3"/>
      <c r="UKB105" s="3"/>
      <c r="UKC105" s="3"/>
      <c r="UKD105" s="3"/>
      <c r="UKE105" s="3"/>
      <c r="UKF105" s="3"/>
      <c r="UKG105" s="3"/>
      <c r="UKH105" s="3"/>
      <c r="UKI105" s="3"/>
      <c r="UKJ105" s="3"/>
      <c r="UKK105" s="3"/>
      <c r="UKL105" s="3"/>
      <c r="UKM105" s="3"/>
      <c r="UKN105" s="3"/>
      <c r="UKO105" s="3"/>
      <c r="UKP105" s="3"/>
      <c r="UKQ105" s="3"/>
      <c r="UKR105" s="3"/>
      <c r="UKS105" s="3"/>
      <c r="UKT105" s="3"/>
      <c r="UKU105" s="3"/>
      <c r="UKV105" s="3"/>
      <c r="UKW105" s="3"/>
      <c r="UKX105" s="3"/>
      <c r="UKY105" s="3"/>
      <c r="UKZ105" s="3"/>
      <c r="ULA105" s="3"/>
      <c r="ULB105" s="3"/>
      <c r="ULC105" s="3"/>
      <c r="ULD105" s="3"/>
      <c r="ULE105" s="3"/>
      <c r="ULF105" s="3"/>
      <c r="ULG105" s="3"/>
      <c r="ULH105" s="3"/>
      <c r="ULI105" s="3"/>
      <c r="ULJ105" s="3"/>
      <c r="ULK105" s="3"/>
      <c r="ULL105" s="3"/>
      <c r="ULM105" s="3"/>
      <c r="ULN105" s="3"/>
      <c r="ULO105" s="3"/>
      <c r="ULP105" s="3"/>
      <c r="ULQ105" s="3"/>
      <c r="ULR105" s="3"/>
      <c r="ULS105" s="3"/>
      <c r="ULT105" s="3"/>
      <c r="ULU105" s="3"/>
      <c r="ULV105" s="3"/>
      <c r="ULW105" s="3"/>
      <c r="ULX105" s="3"/>
      <c r="ULY105" s="3"/>
      <c r="ULZ105" s="3"/>
      <c r="UMA105" s="3"/>
      <c r="UMB105" s="3"/>
      <c r="UMC105" s="3"/>
      <c r="UMD105" s="3"/>
      <c r="UME105" s="3"/>
      <c r="UMF105" s="3"/>
      <c r="UMG105" s="3"/>
      <c r="UMH105" s="3"/>
      <c r="UMI105" s="3"/>
      <c r="UMJ105" s="3"/>
      <c r="UMK105" s="3"/>
      <c r="UML105" s="3"/>
      <c r="UMM105" s="3"/>
      <c r="UMN105" s="3"/>
      <c r="UMO105" s="3"/>
      <c r="UMP105" s="3"/>
      <c r="UMQ105" s="3"/>
      <c r="UMR105" s="3"/>
      <c r="UMS105" s="3"/>
      <c r="UMT105" s="3"/>
      <c r="UMU105" s="3"/>
      <c r="UMV105" s="3"/>
      <c r="UMW105" s="3"/>
      <c r="UMX105" s="3"/>
      <c r="UMY105" s="3"/>
      <c r="UMZ105" s="3"/>
      <c r="UNA105" s="3"/>
      <c r="UNB105" s="3"/>
      <c r="UNC105" s="3"/>
      <c r="UND105" s="3"/>
      <c r="UNE105" s="3"/>
      <c r="UNF105" s="3"/>
      <c r="UNG105" s="3"/>
      <c r="UNH105" s="3"/>
      <c r="UNI105" s="3"/>
      <c r="UNJ105" s="3"/>
      <c r="UNK105" s="3"/>
      <c r="UNL105" s="3"/>
      <c r="UNM105" s="3"/>
      <c r="UNN105" s="3"/>
      <c r="UNO105" s="3"/>
      <c r="UNP105" s="3"/>
      <c r="UNQ105" s="3"/>
      <c r="UNR105" s="3"/>
      <c r="UNS105" s="3"/>
      <c r="UNT105" s="3"/>
      <c r="UNU105" s="3"/>
      <c r="UNV105" s="3"/>
      <c r="UNW105" s="3"/>
      <c r="UNX105" s="3"/>
      <c r="UNY105" s="3"/>
      <c r="UNZ105" s="3"/>
      <c r="UOA105" s="3"/>
      <c r="UOB105" s="3"/>
      <c r="UOC105" s="3"/>
      <c r="UOD105" s="3"/>
      <c r="UOE105" s="3"/>
      <c r="UOF105" s="3"/>
      <c r="UOG105" s="3"/>
      <c r="UOH105" s="3"/>
      <c r="UOI105" s="3"/>
      <c r="UOJ105" s="3"/>
      <c r="UOK105" s="3"/>
      <c r="UOL105" s="3"/>
      <c r="UOM105" s="3"/>
      <c r="UON105" s="3"/>
      <c r="UOO105" s="3"/>
      <c r="UOP105" s="3"/>
      <c r="UOQ105" s="3"/>
      <c r="UOR105" s="3"/>
      <c r="UOS105" s="3"/>
      <c r="UOT105" s="3"/>
      <c r="UOU105" s="3"/>
      <c r="UOV105" s="3"/>
      <c r="UOW105" s="3"/>
      <c r="UOX105" s="3"/>
      <c r="UOY105" s="3"/>
      <c r="UOZ105" s="3"/>
      <c r="UPA105" s="3"/>
      <c r="UPB105" s="3"/>
      <c r="UPC105" s="3"/>
      <c r="UPD105" s="3"/>
      <c r="UPE105" s="3"/>
      <c r="UPF105" s="3"/>
      <c r="UPG105" s="3"/>
      <c r="UPH105" s="3"/>
      <c r="UPI105" s="3"/>
      <c r="UPJ105" s="3"/>
      <c r="UPK105" s="3"/>
      <c r="UPL105" s="3"/>
      <c r="UPM105" s="3"/>
      <c r="UPN105" s="3"/>
      <c r="UPO105" s="3"/>
      <c r="UPP105" s="3"/>
      <c r="UPQ105" s="3"/>
      <c r="UPR105" s="3"/>
      <c r="UPS105" s="3"/>
      <c r="UPT105" s="3"/>
      <c r="UPU105" s="3"/>
      <c r="UPV105" s="3"/>
      <c r="UPW105" s="3"/>
      <c r="UPX105" s="3"/>
      <c r="UPY105" s="3"/>
      <c r="UPZ105" s="3"/>
      <c r="UQA105" s="3"/>
      <c r="UQB105" s="3"/>
      <c r="UQC105" s="3"/>
      <c r="UQD105" s="3"/>
      <c r="UQE105" s="3"/>
      <c r="UQF105" s="3"/>
      <c r="UQG105" s="3"/>
      <c r="UQH105" s="3"/>
      <c r="UQI105" s="3"/>
      <c r="UQJ105" s="3"/>
      <c r="UQK105" s="3"/>
      <c r="UQL105" s="3"/>
      <c r="UQM105" s="3"/>
      <c r="UQN105" s="3"/>
      <c r="UQO105" s="3"/>
      <c r="UQP105" s="3"/>
      <c r="UQQ105" s="3"/>
      <c r="UQR105" s="3"/>
      <c r="UQS105" s="3"/>
      <c r="UQT105" s="3"/>
      <c r="UQU105" s="3"/>
      <c r="UQV105" s="3"/>
      <c r="UQW105" s="3"/>
      <c r="UQX105" s="3"/>
      <c r="UQY105" s="3"/>
      <c r="UQZ105" s="3"/>
      <c r="URA105" s="3"/>
      <c r="URB105" s="3"/>
      <c r="URC105" s="3"/>
      <c r="URD105" s="3"/>
      <c r="URE105" s="3"/>
      <c r="URF105" s="3"/>
      <c r="URG105" s="3"/>
      <c r="URH105" s="3"/>
      <c r="URI105" s="3"/>
      <c r="URJ105" s="3"/>
      <c r="URK105" s="3"/>
      <c r="URL105" s="3"/>
      <c r="URM105" s="3"/>
      <c r="URN105" s="3"/>
      <c r="URO105" s="3"/>
      <c r="URP105" s="3"/>
      <c r="URQ105" s="3"/>
      <c r="URR105" s="3"/>
      <c r="URS105" s="3"/>
      <c r="URT105" s="3"/>
      <c r="URU105" s="3"/>
      <c r="URV105" s="3"/>
      <c r="URW105" s="3"/>
      <c r="URX105" s="3"/>
      <c r="URY105" s="3"/>
      <c r="URZ105" s="3"/>
      <c r="USA105" s="3"/>
      <c r="USB105" s="3"/>
      <c r="USC105" s="3"/>
      <c r="USD105" s="3"/>
      <c r="USE105" s="3"/>
      <c r="USF105" s="3"/>
      <c r="USG105" s="3"/>
      <c r="USH105" s="3"/>
      <c r="USI105" s="3"/>
      <c r="USJ105" s="3"/>
      <c r="USK105" s="3"/>
      <c r="USL105" s="3"/>
      <c r="USM105" s="3"/>
      <c r="USN105" s="3"/>
      <c r="USO105" s="3"/>
      <c r="USP105" s="3"/>
      <c r="USQ105" s="3"/>
      <c r="USR105" s="3"/>
      <c r="USS105" s="3"/>
      <c r="UST105" s="3"/>
      <c r="USU105" s="3"/>
      <c r="USV105" s="3"/>
      <c r="USW105" s="3"/>
      <c r="USX105" s="3"/>
      <c r="USY105" s="3"/>
      <c r="USZ105" s="3"/>
      <c r="UTA105" s="3"/>
      <c r="UTB105" s="3"/>
      <c r="UTC105" s="3"/>
      <c r="UTD105" s="3"/>
      <c r="UTE105" s="3"/>
      <c r="UTF105" s="3"/>
      <c r="UTG105" s="3"/>
      <c r="UTH105" s="3"/>
      <c r="UTI105" s="3"/>
      <c r="UTJ105" s="3"/>
      <c r="UTK105" s="3"/>
      <c r="UTL105" s="3"/>
      <c r="UTM105" s="3"/>
      <c r="UTN105" s="3"/>
      <c r="UTO105" s="3"/>
      <c r="UTP105" s="3"/>
      <c r="UTQ105" s="3"/>
      <c r="UTR105" s="3"/>
      <c r="UTS105" s="3"/>
      <c r="UTT105" s="3"/>
      <c r="UTU105" s="3"/>
      <c r="UTV105" s="3"/>
      <c r="UTW105" s="3"/>
      <c r="UTX105" s="3"/>
      <c r="UTY105" s="3"/>
      <c r="UTZ105" s="3"/>
      <c r="UUA105" s="3"/>
      <c r="UUB105" s="3"/>
      <c r="UUC105" s="3"/>
      <c r="UUD105" s="3"/>
      <c r="UUE105" s="3"/>
      <c r="UUF105" s="3"/>
      <c r="UUG105" s="3"/>
      <c r="UUH105" s="3"/>
      <c r="UUI105" s="3"/>
      <c r="UUJ105" s="3"/>
      <c r="UUK105" s="3"/>
      <c r="UUL105" s="3"/>
      <c r="UUM105" s="3"/>
      <c r="UUN105" s="3"/>
      <c r="UUO105" s="3"/>
      <c r="UUP105" s="3"/>
      <c r="UUQ105" s="3"/>
      <c r="UUR105" s="3"/>
      <c r="UUS105" s="3"/>
      <c r="UUT105" s="3"/>
      <c r="UUU105" s="3"/>
      <c r="UUV105" s="3"/>
      <c r="UUW105" s="3"/>
      <c r="UUX105" s="3"/>
      <c r="UUY105" s="3"/>
      <c r="UUZ105" s="3"/>
      <c r="UVA105" s="3"/>
      <c r="UVB105" s="3"/>
      <c r="UVC105" s="3"/>
      <c r="UVD105" s="3"/>
      <c r="UVE105" s="3"/>
      <c r="UVF105" s="3"/>
      <c r="UVG105" s="3"/>
      <c r="UVH105" s="3"/>
      <c r="UVI105" s="3"/>
      <c r="UVJ105" s="3"/>
      <c r="UVK105" s="3"/>
      <c r="UVL105" s="3"/>
      <c r="UVM105" s="3"/>
      <c r="UVN105" s="3"/>
      <c r="UVO105" s="3"/>
      <c r="UVP105" s="3"/>
      <c r="UVQ105" s="3"/>
      <c r="UVR105" s="3"/>
      <c r="UVS105" s="3"/>
      <c r="UVT105" s="3"/>
      <c r="UVU105" s="3"/>
      <c r="UVV105" s="3"/>
      <c r="UVW105" s="3"/>
      <c r="UVX105" s="3"/>
      <c r="UVY105" s="3"/>
      <c r="UVZ105" s="3"/>
      <c r="UWA105" s="3"/>
      <c r="UWB105" s="3"/>
      <c r="UWC105" s="3"/>
      <c r="UWD105" s="3"/>
      <c r="UWE105" s="3"/>
      <c r="UWF105" s="3"/>
      <c r="UWG105" s="3"/>
      <c r="UWH105" s="3"/>
      <c r="UWI105" s="3"/>
      <c r="UWJ105" s="3"/>
      <c r="UWK105" s="3"/>
      <c r="UWL105" s="3"/>
      <c r="UWM105" s="3"/>
      <c r="UWN105" s="3"/>
      <c r="UWO105" s="3"/>
      <c r="UWP105" s="3"/>
      <c r="UWQ105" s="3"/>
      <c r="UWR105" s="3"/>
      <c r="UWS105" s="3"/>
      <c r="UWT105" s="3"/>
      <c r="UWU105" s="3"/>
      <c r="UWV105" s="3"/>
      <c r="UWW105" s="3"/>
      <c r="UWX105" s="3"/>
      <c r="UWY105" s="3"/>
      <c r="UWZ105" s="3"/>
      <c r="UXA105" s="3"/>
      <c r="UXB105" s="3"/>
      <c r="UXC105" s="3"/>
      <c r="UXD105" s="3"/>
      <c r="UXE105" s="3"/>
      <c r="UXF105" s="3"/>
      <c r="UXG105" s="3"/>
      <c r="UXH105" s="3"/>
      <c r="UXI105" s="3"/>
      <c r="UXJ105" s="3"/>
      <c r="UXK105" s="3"/>
      <c r="UXL105" s="3"/>
      <c r="UXM105" s="3"/>
      <c r="UXN105" s="3"/>
      <c r="UXO105" s="3"/>
      <c r="UXP105" s="3"/>
      <c r="UXQ105" s="3"/>
      <c r="UXR105" s="3"/>
      <c r="UXS105" s="3"/>
      <c r="UXT105" s="3"/>
      <c r="UXU105" s="3"/>
      <c r="UXV105" s="3"/>
      <c r="UXW105" s="3"/>
      <c r="UXX105" s="3"/>
      <c r="UXY105" s="3"/>
      <c r="UXZ105" s="3"/>
      <c r="UYA105" s="3"/>
      <c r="UYB105" s="3"/>
      <c r="UYC105" s="3"/>
      <c r="UYD105" s="3"/>
      <c r="UYE105" s="3"/>
      <c r="UYF105" s="3"/>
      <c r="UYG105" s="3"/>
      <c r="UYH105" s="3"/>
      <c r="UYI105" s="3"/>
      <c r="UYJ105" s="3"/>
      <c r="UYK105" s="3"/>
      <c r="UYL105" s="3"/>
      <c r="UYM105" s="3"/>
      <c r="UYN105" s="3"/>
      <c r="UYO105" s="3"/>
      <c r="UYP105" s="3"/>
      <c r="UYQ105" s="3"/>
      <c r="UYR105" s="3"/>
      <c r="UYS105" s="3"/>
      <c r="UYT105" s="3"/>
      <c r="UYU105" s="3"/>
      <c r="UYV105" s="3"/>
      <c r="UYW105" s="3"/>
      <c r="UYX105" s="3"/>
      <c r="UYY105" s="3"/>
      <c r="UYZ105" s="3"/>
      <c r="UZA105" s="3"/>
      <c r="UZB105" s="3"/>
      <c r="UZC105" s="3"/>
      <c r="UZD105" s="3"/>
      <c r="UZE105" s="3"/>
      <c r="UZF105" s="3"/>
      <c r="UZG105" s="3"/>
      <c r="UZH105" s="3"/>
      <c r="UZI105" s="3"/>
      <c r="UZJ105" s="3"/>
      <c r="UZK105" s="3"/>
      <c r="UZL105" s="3"/>
      <c r="UZM105" s="3"/>
      <c r="UZN105" s="3"/>
      <c r="UZO105" s="3"/>
      <c r="UZP105" s="3"/>
      <c r="UZQ105" s="3"/>
      <c r="UZR105" s="3"/>
      <c r="UZS105" s="3"/>
      <c r="UZT105" s="3"/>
      <c r="UZU105" s="3"/>
      <c r="UZV105" s="3"/>
      <c r="UZW105" s="3"/>
      <c r="UZX105" s="3"/>
      <c r="UZY105" s="3"/>
      <c r="UZZ105" s="3"/>
      <c r="VAA105" s="3"/>
      <c r="VAB105" s="3"/>
      <c r="VAC105" s="3"/>
      <c r="VAD105" s="3"/>
      <c r="VAE105" s="3"/>
      <c r="VAF105" s="3"/>
      <c r="VAG105" s="3"/>
      <c r="VAH105" s="3"/>
      <c r="VAI105" s="3"/>
      <c r="VAJ105" s="3"/>
      <c r="VAK105" s="3"/>
      <c r="VAL105" s="3"/>
      <c r="VAM105" s="3"/>
      <c r="VAN105" s="3"/>
      <c r="VAO105" s="3"/>
      <c r="VAP105" s="3"/>
      <c r="VAQ105" s="3"/>
      <c r="VAR105" s="3"/>
      <c r="VAS105" s="3"/>
      <c r="VAT105" s="3"/>
      <c r="VAU105" s="3"/>
      <c r="VAV105" s="3"/>
      <c r="VAW105" s="3"/>
      <c r="VAX105" s="3"/>
      <c r="VAY105" s="3"/>
      <c r="VAZ105" s="3"/>
      <c r="VBA105" s="3"/>
      <c r="VBB105" s="3"/>
      <c r="VBC105" s="3"/>
      <c r="VBD105" s="3"/>
      <c r="VBE105" s="3"/>
      <c r="VBF105" s="3"/>
      <c r="VBG105" s="3"/>
      <c r="VBH105" s="3"/>
      <c r="VBI105" s="3"/>
      <c r="VBJ105" s="3"/>
      <c r="VBK105" s="3"/>
      <c r="VBL105" s="3"/>
      <c r="VBM105" s="3"/>
      <c r="VBN105" s="3"/>
      <c r="VBO105" s="3"/>
      <c r="VBP105" s="3"/>
      <c r="VBQ105" s="3"/>
      <c r="VBR105" s="3"/>
      <c r="VBS105" s="3"/>
      <c r="VBT105" s="3"/>
      <c r="VBU105" s="3"/>
      <c r="VBV105" s="3"/>
      <c r="VBW105" s="3"/>
      <c r="VBX105" s="3"/>
      <c r="VBY105" s="3"/>
      <c r="VBZ105" s="3"/>
      <c r="VCA105" s="3"/>
      <c r="VCB105" s="3"/>
      <c r="VCC105" s="3"/>
      <c r="VCD105" s="3"/>
      <c r="VCE105" s="3"/>
      <c r="VCF105" s="3"/>
      <c r="VCG105" s="3"/>
      <c r="VCH105" s="3"/>
      <c r="VCI105" s="3"/>
      <c r="VCJ105" s="3"/>
      <c r="VCK105" s="3"/>
      <c r="VCL105" s="3"/>
      <c r="VCM105" s="3"/>
      <c r="VCN105" s="3"/>
      <c r="VCO105" s="3"/>
      <c r="VCP105" s="3"/>
      <c r="VCQ105" s="3"/>
      <c r="VCR105" s="3"/>
      <c r="VCS105" s="3"/>
      <c r="VCT105" s="3"/>
      <c r="VCU105" s="3"/>
      <c r="VCV105" s="3"/>
      <c r="VCW105" s="3"/>
      <c r="VCX105" s="3"/>
      <c r="VCY105" s="3"/>
      <c r="VCZ105" s="3"/>
      <c r="VDA105" s="3"/>
      <c r="VDB105" s="3"/>
      <c r="VDC105" s="3"/>
      <c r="VDD105" s="3"/>
      <c r="VDE105" s="3"/>
      <c r="VDF105" s="3"/>
      <c r="VDG105" s="3"/>
      <c r="VDH105" s="3"/>
      <c r="VDI105" s="3"/>
      <c r="VDJ105" s="3"/>
      <c r="VDK105" s="3"/>
      <c r="VDL105" s="3"/>
      <c r="VDM105" s="3"/>
      <c r="VDN105" s="3"/>
      <c r="VDO105" s="3"/>
      <c r="VDP105" s="3"/>
      <c r="VDQ105" s="3"/>
      <c r="VDR105" s="3"/>
      <c r="VDS105" s="3"/>
      <c r="VDT105" s="3"/>
      <c r="VDU105" s="3"/>
      <c r="VDV105" s="3"/>
      <c r="VDW105" s="3"/>
      <c r="VDX105" s="3"/>
      <c r="VDY105" s="3"/>
      <c r="VDZ105" s="3"/>
      <c r="VEA105" s="3"/>
      <c r="VEB105" s="3"/>
      <c r="VEC105" s="3"/>
      <c r="VED105" s="3"/>
      <c r="VEE105" s="3"/>
      <c r="VEF105" s="3"/>
      <c r="VEG105" s="3"/>
      <c r="VEH105" s="3"/>
      <c r="VEI105" s="3"/>
      <c r="VEJ105" s="3"/>
      <c r="VEK105" s="3"/>
      <c r="VEL105" s="3"/>
      <c r="VEM105" s="3"/>
      <c r="VEN105" s="3"/>
      <c r="VEO105" s="3"/>
      <c r="VEP105" s="3"/>
      <c r="VEQ105" s="3"/>
      <c r="VER105" s="3"/>
      <c r="VES105" s="3"/>
      <c r="VET105" s="3"/>
      <c r="VEU105" s="3"/>
      <c r="VEV105" s="3"/>
      <c r="VEW105" s="3"/>
      <c r="VEX105" s="3"/>
      <c r="VEY105" s="3"/>
      <c r="VEZ105" s="3"/>
      <c r="VFA105" s="3"/>
      <c r="VFB105" s="3"/>
      <c r="VFC105" s="3"/>
      <c r="VFD105" s="3"/>
      <c r="VFE105" s="3"/>
      <c r="VFF105" s="3"/>
      <c r="VFG105" s="3"/>
      <c r="VFH105" s="3"/>
      <c r="VFI105" s="3"/>
      <c r="VFJ105" s="3"/>
      <c r="VFK105" s="3"/>
      <c r="VFL105" s="3"/>
      <c r="VFM105" s="3"/>
      <c r="VFN105" s="3"/>
      <c r="VFO105" s="3"/>
      <c r="VFP105" s="3"/>
      <c r="VFQ105" s="3"/>
      <c r="VFR105" s="3"/>
      <c r="VFS105" s="3"/>
      <c r="VFT105" s="3"/>
      <c r="VFU105" s="3"/>
      <c r="VFV105" s="3"/>
      <c r="VFW105" s="3"/>
      <c r="VFX105" s="3"/>
      <c r="VFY105" s="3"/>
      <c r="VFZ105" s="3"/>
      <c r="VGA105" s="3"/>
      <c r="VGB105" s="3"/>
      <c r="VGC105" s="3"/>
      <c r="VGD105" s="3"/>
      <c r="VGE105" s="3"/>
      <c r="VGF105" s="3"/>
      <c r="VGG105" s="3"/>
      <c r="VGH105" s="3"/>
      <c r="VGI105" s="3"/>
      <c r="VGJ105" s="3"/>
      <c r="VGK105" s="3"/>
      <c r="VGL105" s="3"/>
      <c r="VGM105" s="3"/>
      <c r="VGN105" s="3"/>
      <c r="VGO105" s="3"/>
      <c r="VGP105" s="3"/>
      <c r="VGQ105" s="3"/>
      <c r="VGR105" s="3"/>
      <c r="VGS105" s="3"/>
      <c r="VGT105" s="3"/>
      <c r="VGU105" s="3"/>
      <c r="VGV105" s="3"/>
      <c r="VGW105" s="3"/>
      <c r="VGX105" s="3"/>
      <c r="VGY105" s="3"/>
      <c r="VGZ105" s="3"/>
      <c r="VHA105" s="3"/>
      <c r="VHB105" s="3"/>
      <c r="VHC105" s="3"/>
      <c r="VHD105" s="3"/>
      <c r="VHE105" s="3"/>
      <c r="VHF105" s="3"/>
      <c r="VHG105" s="3"/>
      <c r="VHH105" s="3"/>
      <c r="VHI105" s="3"/>
      <c r="VHJ105" s="3"/>
      <c r="VHK105" s="3"/>
      <c r="VHL105" s="3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</row>
    <row r="106" spans="1:15485" s="1" customFormat="1" ht="14.25">
      <c r="B106" s="75"/>
      <c r="C106" s="238" t="s">
        <v>68</v>
      </c>
      <c r="D106" s="79"/>
      <c r="E106" s="75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125"/>
      <c r="AL106" s="173" t="s">
        <v>68</v>
      </c>
      <c r="AN106" s="126"/>
    </row>
    <row r="107" spans="1:15485" s="1" customFormat="1" ht="14.25">
      <c r="B107" s="75"/>
      <c r="C107" s="157" t="s">
        <v>81</v>
      </c>
      <c r="D107" s="79"/>
      <c r="E107" s="239" t="s">
        <v>70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3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1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2</v>
      </c>
      <c r="AH107" s="64">
        <v>0</v>
      </c>
      <c r="AI107" s="64">
        <v>0</v>
      </c>
      <c r="AJ107" s="64">
        <v>0</v>
      </c>
      <c r="AK107" s="125"/>
      <c r="AL107" s="175">
        <f t="shared" ref="AL107:AL111" si="75">SUM(F107:AJ107)</f>
        <v>6</v>
      </c>
      <c r="AN107" s="126"/>
    </row>
    <row r="108" spans="1:15485" s="1" customFormat="1" ht="14.25">
      <c r="B108" s="75"/>
      <c r="C108" s="157" t="s">
        <v>82</v>
      </c>
      <c r="D108" s="79"/>
      <c r="E108" s="239" t="s">
        <v>70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7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2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1</v>
      </c>
      <c r="AG108" s="64">
        <v>4</v>
      </c>
      <c r="AH108" s="64">
        <v>0</v>
      </c>
      <c r="AI108" s="64">
        <v>0</v>
      </c>
      <c r="AJ108" s="64">
        <v>0</v>
      </c>
      <c r="AK108" s="125"/>
      <c r="AL108" s="175">
        <f t="shared" si="75"/>
        <v>14</v>
      </c>
      <c r="AN108" s="126"/>
    </row>
    <row r="109" spans="1:15485" s="1" customFormat="1" ht="14.25">
      <c r="B109" s="75"/>
      <c r="C109" s="238" t="s">
        <v>72</v>
      </c>
      <c r="D109" s="79"/>
      <c r="E109" s="75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125"/>
      <c r="AL109" s="173" t="s">
        <v>72</v>
      </c>
      <c r="AN109" s="126"/>
    </row>
    <row r="110" spans="1:15485" s="1" customFormat="1" ht="14.25">
      <c r="B110" s="75"/>
      <c r="C110" s="157" t="s">
        <v>81</v>
      </c>
      <c r="D110" s="79"/>
      <c r="E110" s="239" t="s">
        <v>72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12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9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125"/>
      <c r="AL110" s="175">
        <f t="shared" si="75"/>
        <v>21</v>
      </c>
      <c r="AN110" s="126"/>
    </row>
    <row r="111" spans="1:15485" s="1" customFormat="1" ht="14.25">
      <c r="B111" s="75"/>
      <c r="C111" s="157" t="s">
        <v>82</v>
      </c>
      <c r="D111" s="79"/>
      <c r="E111" s="239" t="s">
        <v>72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11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9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12</v>
      </c>
      <c r="AH111" s="64">
        <v>0</v>
      </c>
      <c r="AI111" s="64">
        <v>0</v>
      </c>
      <c r="AJ111" s="64">
        <v>0</v>
      </c>
      <c r="AK111" s="125"/>
      <c r="AL111" s="175">
        <f t="shared" si="75"/>
        <v>32</v>
      </c>
      <c r="AN111" s="126"/>
    </row>
    <row r="112" spans="1:15485" s="1" customFormat="1">
      <c r="A112" s="3"/>
      <c r="B112" s="61"/>
      <c r="C112" s="40" t="s">
        <v>79</v>
      </c>
      <c r="D112" s="59"/>
      <c r="E112" s="59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111"/>
      <c r="AD112" s="60"/>
      <c r="AE112" s="60"/>
      <c r="AF112" s="60"/>
      <c r="AG112" s="60"/>
      <c r="AH112" s="111"/>
      <c r="AI112" s="111"/>
      <c r="AJ112" s="111"/>
      <c r="AK112" s="115"/>
      <c r="AL112" s="223" t="s">
        <v>78</v>
      </c>
      <c r="AM112" s="3"/>
      <c r="AN112" s="3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  <c r="AMG112" s="3"/>
      <c r="AMH112" s="3"/>
      <c r="AMI112" s="3"/>
      <c r="AMJ112" s="3"/>
      <c r="AMK112" s="3"/>
      <c r="AML112" s="3"/>
      <c r="AMM112" s="3"/>
      <c r="AMN112" s="3"/>
      <c r="AMO112" s="3"/>
      <c r="AMP112" s="3"/>
      <c r="AMQ112" s="3"/>
      <c r="AMR112" s="3"/>
      <c r="AMS112" s="3"/>
      <c r="AMT112" s="3"/>
      <c r="AMU112" s="3"/>
      <c r="AMV112" s="3"/>
      <c r="AMW112" s="3"/>
      <c r="AMX112" s="3"/>
      <c r="AMY112" s="3"/>
      <c r="AMZ112" s="3"/>
      <c r="ANA112" s="3"/>
      <c r="ANB112" s="3"/>
      <c r="ANC112" s="3"/>
      <c r="AND112" s="3"/>
      <c r="ANE112" s="3"/>
      <c r="ANF112" s="3"/>
      <c r="ANG112" s="3"/>
      <c r="ANH112" s="3"/>
      <c r="ANI112" s="3"/>
      <c r="ANJ112" s="3"/>
      <c r="ANK112" s="3"/>
      <c r="ANL112" s="3"/>
      <c r="ANM112" s="3"/>
      <c r="ANN112" s="3"/>
      <c r="ANO112" s="3"/>
      <c r="ANP112" s="3"/>
      <c r="ANQ112" s="3"/>
      <c r="ANR112" s="3"/>
      <c r="ANS112" s="3"/>
      <c r="ANT112" s="3"/>
      <c r="ANU112" s="3"/>
      <c r="ANV112" s="3"/>
      <c r="ANW112" s="3"/>
      <c r="ANX112" s="3"/>
      <c r="ANY112" s="3"/>
      <c r="ANZ112" s="3"/>
      <c r="AOA112" s="3"/>
      <c r="AOB112" s="3"/>
      <c r="AOC112" s="3"/>
      <c r="AOD112" s="3"/>
      <c r="AOE112" s="3"/>
      <c r="AOF112" s="3"/>
      <c r="AOG112" s="3"/>
      <c r="AOH112" s="3"/>
      <c r="AOI112" s="3"/>
      <c r="AOJ112" s="3"/>
      <c r="AOK112" s="3"/>
      <c r="AOL112" s="3"/>
      <c r="AOM112" s="3"/>
      <c r="AON112" s="3"/>
      <c r="AOO112" s="3"/>
      <c r="AOP112" s="3"/>
      <c r="AOQ112" s="3"/>
      <c r="AOR112" s="3"/>
      <c r="AOS112" s="3"/>
      <c r="AOT112" s="3"/>
      <c r="AOU112" s="3"/>
      <c r="AOV112" s="3"/>
      <c r="AOW112" s="3"/>
      <c r="AOX112" s="3"/>
      <c r="AOY112" s="3"/>
      <c r="AOZ112" s="3"/>
      <c r="APA112" s="3"/>
      <c r="APB112" s="3"/>
      <c r="APC112" s="3"/>
      <c r="APD112" s="3"/>
      <c r="APE112" s="3"/>
      <c r="APF112" s="3"/>
      <c r="APG112" s="3"/>
      <c r="APH112" s="3"/>
      <c r="API112" s="3"/>
      <c r="APJ112" s="3"/>
      <c r="APK112" s="3"/>
      <c r="APL112" s="3"/>
      <c r="APM112" s="3"/>
      <c r="APN112" s="3"/>
      <c r="APO112" s="3"/>
      <c r="APP112" s="3"/>
      <c r="APQ112" s="3"/>
      <c r="APR112" s="3"/>
      <c r="APS112" s="3"/>
      <c r="APT112" s="3"/>
      <c r="APU112" s="3"/>
      <c r="APV112" s="3"/>
      <c r="APW112" s="3"/>
      <c r="APX112" s="3"/>
      <c r="APY112" s="3"/>
      <c r="APZ112" s="3"/>
      <c r="AQA112" s="3"/>
      <c r="AQB112" s="3"/>
      <c r="AQC112" s="3"/>
      <c r="AQD112" s="3"/>
      <c r="AQE112" s="3"/>
      <c r="AQF112" s="3"/>
      <c r="AQG112" s="3"/>
      <c r="AQH112" s="3"/>
      <c r="AQI112" s="3"/>
      <c r="AQJ112" s="3"/>
      <c r="AQK112" s="3"/>
      <c r="AQL112" s="3"/>
      <c r="AQM112" s="3"/>
      <c r="AQN112" s="3"/>
      <c r="AQO112" s="3"/>
      <c r="AQP112" s="3"/>
      <c r="AQQ112" s="3"/>
      <c r="AQR112" s="3"/>
      <c r="AQS112" s="3"/>
      <c r="AQT112" s="3"/>
      <c r="AQU112" s="3"/>
      <c r="AQV112" s="3"/>
      <c r="AQW112" s="3"/>
      <c r="AQX112" s="3"/>
      <c r="AQY112" s="3"/>
      <c r="AQZ112" s="3"/>
      <c r="ARA112" s="3"/>
      <c r="ARB112" s="3"/>
      <c r="ARC112" s="3"/>
      <c r="ARD112" s="3"/>
      <c r="ARE112" s="3"/>
      <c r="ARF112" s="3"/>
      <c r="ARG112" s="3"/>
      <c r="ARH112" s="3"/>
      <c r="ARI112" s="3"/>
      <c r="ARJ112" s="3"/>
      <c r="ARK112" s="3"/>
      <c r="ARL112" s="3"/>
      <c r="ARM112" s="3"/>
      <c r="ARN112" s="3"/>
      <c r="ARO112" s="3"/>
      <c r="ARP112" s="3"/>
      <c r="ARQ112" s="3"/>
      <c r="ARR112" s="3"/>
      <c r="ARS112" s="3"/>
      <c r="ART112" s="3"/>
      <c r="ARU112" s="3"/>
      <c r="ARV112" s="3"/>
      <c r="ARW112" s="3"/>
      <c r="ARX112" s="3"/>
      <c r="ARY112" s="3"/>
      <c r="ARZ112" s="3"/>
      <c r="ASA112" s="3"/>
      <c r="ASB112" s="3"/>
      <c r="ASC112" s="3"/>
      <c r="ASD112" s="3"/>
      <c r="ASE112" s="3"/>
      <c r="ASF112" s="3"/>
      <c r="ASG112" s="3"/>
      <c r="ASH112" s="3"/>
      <c r="ASI112" s="3"/>
      <c r="ASJ112" s="3"/>
      <c r="ASK112" s="3"/>
      <c r="ASL112" s="3"/>
      <c r="ASM112" s="3"/>
      <c r="ASN112" s="3"/>
      <c r="ASO112" s="3"/>
      <c r="ASP112" s="3"/>
      <c r="ASQ112" s="3"/>
      <c r="ASR112" s="3"/>
      <c r="ASS112" s="3"/>
      <c r="AST112" s="3"/>
      <c r="ASU112" s="3"/>
      <c r="ASV112" s="3"/>
      <c r="ASW112" s="3"/>
      <c r="ASX112" s="3"/>
      <c r="ASY112" s="3"/>
      <c r="ASZ112" s="3"/>
      <c r="ATA112" s="3"/>
      <c r="ATB112" s="3"/>
      <c r="ATC112" s="3"/>
      <c r="ATD112" s="3"/>
      <c r="ATE112" s="3"/>
      <c r="ATF112" s="3"/>
      <c r="ATG112" s="3"/>
      <c r="ATH112" s="3"/>
      <c r="ATI112" s="3"/>
      <c r="ATJ112" s="3"/>
      <c r="ATK112" s="3"/>
      <c r="ATL112" s="3"/>
      <c r="ATM112" s="3"/>
      <c r="ATN112" s="3"/>
      <c r="ATO112" s="3"/>
      <c r="ATP112" s="3"/>
      <c r="ATQ112" s="3"/>
      <c r="ATR112" s="3"/>
      <c r="ATS112" s="3"/>
      <c r="ATT112" s="3"/>
      <c r="ATU112" s="3"/>
      <c r="ATV112" s="3"/>
      <c r="ATW112" s="3"/>
      <c r="ATX112" s="3"/>
      <c r="ATY112" s="3"/>
      <c r="ATZ112" s="3"/>
      <c r="AUA112" s="3"/>
      <c r="AUB112" s="3"/>
      <c r="AUC112" s="3"/>
      <c r="AUD112" s="3"/>
      <c r="AUE112" s="3"/>
      <c r="AUF112" s="3"/>
      <c r="AUG112" s="3"/>
      <c r="AUH112" s="3"/>
      <c r="AUI112" s="3"/>
      <c r="AUJ112" s="3"/>
      <c r="AUK112" s="3"/>
      <c r="AUL112" s="3"/>
      <c r="AUM112" s="3"/>
      <c r="AUN112" s="3"/>
      <c r="AUO112" s="3"/>
      <c r="AUP112" s="3"/>
      <c r="AUQ112" s="3"/>
      <c r="AUR112" s="3"/>
      <c r="AUS112" s="3"/>
      <c r="AUT112" s="3"/>
      <c r="AUU112" s="3"/>
      <c r="AUV112" s="3"/>
      <c r="AUW112" s="3"/>
      <c r="AUX112" s="3"/>
      <c r="AUY112" s="3"/>
      <c r="AUZ112" s="3"/>
      <c r="AVA112" s="3"/>
      <c r="AVB112" s="3"/>
      <c r="AVC112" s="3"/>
      <c r="AVD112" s="3"/>
      <c r="AVE112" s="3"/>
      <c r="AVF112" s="3"/>
      <c r="AVG112" s="3"/>
      <c r="AVH112" s="3"/>
      <c r="AVI112" s="3"/>
      <c r="AVJ112" s="3"/>
      <c r="AVK112" s="3"/>
      <c r="AVL112" s="3"/>
      <c r="AVM112" s="3"/>
      <c r="AVN112" s="3"/>
      <c r="AVO112" s="3"/>
      <c r="AVP112" s="3"/>
      <c r="AVQ112" s="3"/>
      <c r="AVR112" s="3"/>
      <c r="AVS112" s="3"/>
      <c r="AVT112" s="3"/>
      <c r="AVU112" s="3"/>
      <c r="AVV112" s="3"/>
      <c r="AVW112" s="3"/>
      <c r="AVX112" s="3"/>
      <c r="AVY112" s="3"/>
      <c r="AVZ112" s="3"/>
      <c r="AWA112" s="3"/>
      <c r="AWB112" s="3"/>
      <c r="AWC112" s="3"/>
      <c r="AWD112" s="3"/>
      <c r="AWE112" s="3"/>
      <c r="AWF112" s="3"/>
      <c r="AWG112" s="3"/>
      <c r="AWH112" s="3"/>
      <c r="AWI112" s="3"/>
      <c r="AWJ112" s="3"/>
      <c r="AWK112" s="3"/>
      <c r="AWL112" s="3"/>
      <c r="AWM112" s="3"/>
      <c r="AWN112" s="3"/>
      <c r="AWO112" s="3"/>
      <c r="AWP112" s="3"/>
      <c r="AWQ112" s="3"/>
      <c r="AWR112" s="3"/>
      <c r="AWS112" s="3"/>
      <c r="AWT112" s="3"/>
      <c r="AWU112" s="3"/>
      <c r="AWV112" s="3"/>
      <c r="AWW112" s="3"/>
      <c r="AWX112" s="3"/>
      <c r="AWY112" s="3"/>
      <c r="AWZ112" s="3"/>
      <c r="AXA112" s="3"/>
      <c r="AXB112" s="3"/>
      <c r="AXC112" s="3"/>
      <c r="AXD112" s="3"/>
      <c r="AXE112" s="3"/>
      <c r="AXF112" s="3"/>
      <c r="AXG112" s="3"/>
      <c r="AXH112" s="3"/>
      <c r="AXI112" s="3"/>
      <c r="AXJ112" s="3"/>
      <c r="AXK112" s="3"/>
      <c r="AXL112" s="3"/>
      <c r="AXM112" s="3"/>
      <c r="AXN112" s="3"/>
      <c r="AXO112" s="3"/>
      <c r="AXP112" s="3"/>
      <c r="AXQ112" s="3"/>
      <c r="AXR112" s="3"/>
      <c r="AXS112" s="3"/>
      <c r="AXT112" s="3"/>
      <c r="AXU112" s="3"/>
      <c r="AXV112" s="3"/>
      <c r="AXW112" s="3"/>
      <c r="AXX112" s="3"/>
      <c r="AXY112" s="3"/>
      <c r="AXZ112" s="3"/>
      <c r="AYA112" s="3"/>
      <c r="AYB112" s="3"/>
      <c r="AYC112" s="3"/>
      <c r="AYD112" s="3"/>
      <c r="AYE112" s="3"/>
      <c r="AYF112" s="3"/>
      <c r="AYG112" s="3"/>
      <c r="AYH112" s="3"/>
      <c r="AYI112" s="3"/>
      <c r="AYJ112" s="3"/>
      <c r="AYK112" s="3"/>
      <c r="AYL112" s="3"/>
      <c r="AYM112" s="3"/>
      <c r="AYN112" s="3"/>
      <c r="AYO112" s="3"/>
      <c r="AYP112" s="3"/>
      <c r="AYQ112" s="3"/>
      <c r="AYR112" s="3"/>
      <c r="AYS112" s="3"/>
      <c r="AYT112" s="3"/>
      <c r="AYU112" s="3"/>
      <c r="AYV112" s="3"/>
      <c r="AYW112" s="3"/>
      <c r="AYX112" s="3"/>
      <c r="AYY112" s="3"/>
      <c r="AYZ112" s="3"/>
      <c r="AZA112" s="3"/>
      <c r="AZB112" s="3"/>
      <c r="AZC112" s="3"/>
      <c r="AZD112" s="3"/>
      <c r="AZE112" s="3"/>
      <c r="AZF112" s="3"/>
      <c r="AZG112" s="3"/>
      <c r="AZH112" s="3"/>
      <c r="AZI112" s="3"/>
      <c r="AZJ112" s="3"/>
      <c r="AZK112" s="3"/>
      <c r="AZL112" s="3"/>
      <c r="AZM112" s="3"/>
      <c r="AZN112" s="3"/>
      <c r="AZO112" s="3"/>
      <c r="AZP112" s="3"/>
      <c r="AZQ112" s="3"/>
      <c r="AZR112" s="3"/>
      <c r="AZS112" s="3"/>
      <c r="AZT112" s="3"/>
      <c r="AZU112" s="3"/>
      <c r="AZV112" s="3"/>
      <c r="AZW112" s="3"/>
      <c r="AZX112" s="3"/>
      <c r="AZY112" s="3"/>
      <c r="AZZ112" s="3"/>
      <c r="BAA112" s="3"/>
      <c r="BAB112" s="3"/>
      <c r="BAC112" s="3"/>
      <c r="BAD112" s="3"/>
      <c r="BAE112" s="3"/>
      <c r="BAF112" s="3"/>
      <c r="BAG112" s="3"/>
      <c r="BAH112" s="3"/>
      <c r="BAI112" s="3"/>
      <c r="BAJ112" s="3"/>
      <c r="BAK112" s="3"/>
      <c r="BAL112" s="3"/>
      <c r="BAM112" s="3"/>
      <c r="BAN112" s="3"/>
      <c r="BAO112" s="3"/>
      <c r="BAP112" s="3"/>
      <c r="BAQ112" s="3"/>
      <c r="BAR112" s="3"/>
      <c r="BAS112" s="3"/>
      <c r="BAT112" s="3"/>
      <c r="BAU112" s="3"/>
      <c r="BAV112" s="3"/>
      <c r="BAW112" s="3"/>
      <c r="BAX112" s="3"/>
      <c r="BAY112" s="3"/>
      <c r="BAZ112" s="3"/>
      <c r="BBA112" s="3"/>
      <c r="BBB112" s="3"/>
      <c r="BBC112" s="3"/>
      <c r="BBD112" s="3"/>
      <c r="BBE112" s="3"/>
      <c r="BBF112" s="3"/>
      <c r="BBG112" s="3"/>
      <c r="BBH112" s="3"/>
      <c r="BBI112" s="3"/>
      <c r="BBJ112" s="3"/>
      <c r="BBK112" s="3"/>
      <c r="BBL112" s="3"/>
      <c r="BBM112" s="3"/>
      <c r="BBN112" s="3"/>
      <c r="BBO112" s="3"/>
      <c r="BBP112" s="3"/>
      <c r="BBQ112" s="3"/>
      <c r="BBR112" s="3"/>
      <c r="BBS112" s="3"/>
      <c r="BBT112" s="3"/>
      <c r="BBU112" s="3"/>
      <c r="BBV112" s="3"/>
      <c r="BBW112" s="3"/>
      <c r="BBX112" s="3"/>
      <c r="BBY112" s="3"/>
      <c r="BBZ112" s="3"/>
      <c r="BCA112" s="3"/>
      <c r="BCB112" s="3"/>
      <c r="BCC112" s="3"/>
      <c r="BCD112" s="3"/>
      <c r="BCE112" s="3"/>
      <c r="BCF112" s="3"/>
      <c r="BCG112" s="3"/>
      <c r="BCH112" s="3"/>
      <c r="BCI112" s="3"/>
      <c r="BCJ112" s="3"/>
      <c r="BCK112" s="3"/>
      <c r="BCL112" s="3"/>
      <c r="BCM112" s="3"/>
      <c r="BCN112" s="3"/>
      <c r="BCO112" s="3"/>
      <c r="BCP112" s="3"/>
      <c r="BCQ112" s="3"/>
      <c r="BCR112" s="3"/>
      <c r="BCS112" s="3"/>
      <c r="BCT112" s="3"/>
      <c r="BCU112" s="3"/>
      <c r="BCV112" s="3"/>
      <c r="BCW112" s="3"/>
      <c r="BCX112" s="3"/>
      <c r="BCY112" s="3"/>
      <c r="BCZ112" s="3"/>
      <c r="BDA112" s="3"/>
      <c r="BDB112" s="3"/>
      <c r="BDC112" s="3"/>
      <c r="BDD112" s="3"/>
      <c r="BDE112" s="3"/>
      <c r="BDF112" s="3"/>
      <c r="BDG112" s="3"/>
      <c r="BDH112" s="3"/>
      <c r="BDI112" s="3"/>
      <c r="BDJ112" s="3"/>
      <c r="BDK112" s="3"/>
      <c r="BDL112" s="3"/>
      <c r="BDM112" s="3"/>
      <c r="BDN112" s="3"/>
      <c r="BDO112" s="3"/>
      <c r="BDP112" s="3"/>
      <c r="BDQ112" s="3"/>
      <c r="BDR112" s="3"/>
      <c r="BDS112" s="3"/>
      <c r="BDT112" s="3"/>
      <c r="BDU112" s="3"/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L112" s="3"/>
      <c r="BEM112" s="3"/>
      <c r="BEN112" s="3"/>
      <c r="BEO112" s="3"/>
      <c r="BEP112" s="3"/>
      <c r="BEQ112" s="3"/>
      <c r="BER112" s="3"/>
      <c r="BES112" s="3"/>
      <c r="BET112" s="3"/>
      <c r="BEU112" s="3"/>
      <c r="BEV112" s="3"/>
      <c r="BEW112" s="3"/>
      <c r="BEX112" s="3"/>
      <c r="BEY112" s="3"/>
      <c r="BEZ112" s="3"/>
      <c r="BFA112" s="3"/>
      <c r="BFB112" s="3"/>
      <c r="BFC112" s="3"/>
      <c r="BFD112" s="3"/>
      <c r="BFE112" s="3"/>
      <c r="BFF112" s="3"/>
      <c r="BFG112" s="3"/>
      <c r="BFH112" s="3"/>
      <c r="BFI112" s="3"/>
      <c r="BFJ112" s="3"/>
      <c r="BFK112" s="3"/>
      <c r="BFL112" s="3"/>
      <c r="BFM112" s="3"/>
      <c r="BFN112" s="3"/>
      <c r="BFO112" s="3"/>
      <c r="BFP112" s="3"/>
      <c r="BFQ112" s="3"/>
      <c r="BFR112" s="3"/>
      <c r="BFS112" s="3"/>
      <c r="BFT112" s="3"/>
      <c r="BFU112" s="3"/>
      <c r="BFV112" s="3"/>
      <c r="BFW112" s="3"/>
      <c r="BFX112" s="3"/>
      <c r="BFY112" s="3"/>
      <c r="BFZ112" s="3"/>
      <c r="BGA112" s="3"/>
      <c r="BGB112" s="3"/>
      <c r="BGC112" s="3"/>
      <c r="BGD112" s="3"/>
      <c r="BGE112" s="3"/>
      <c r="BGF112" s="3"/>
      <c r="BGG112" s="3"/>
      <c r="BGH112" s="3"/>
      <c r="BGI112" s="3"/>
      <c r="BGJ112" s="3"/>
      <c r="BGK112" s="3"/>
      <c r="BGL112" s="3"/>
      <c r="BGM112" s="3"/>
      <c r="BGN112" s="3"/>
      <c r="BGO112" s="3"/>
      <c r="BGP112" s="3"/>
      <c r="BGQ112" s="3"/>
      <c r="BGR112" s="3"/>
      <c r="BGS112" s="3"/>
      <c r="BGT112" s="3"/>
      <c r="BGU112" s="3"/>
      <c r="BGV112" s="3"/>
      <c r="BGW112" s="3"/>
      <c r="BGX112" s="3"/>
      <c r="BGY112" s="3"/>
      <c r="BGZ112" s="3"/>
      <c r="BHA112" s="3"/>
      <c r="BHB112" s="3"/>
      <c r="BHC112" s="3"/>
      <c r="BHD112" s="3"/>
      <c r="BHE112" s="3"/>
      <c r="BHF112" s="3"/>
      <c r="BHG112" s="3"/>
      <c r="BHH112" s="3"/>
      <c r="BHI112" s="3"/>
      <c r="BHJ112" s="3"/>
      <c r="BHK112" s="3"/>
      <c r="BHL112" s="3"/>
      <c r="BHM112" s="3"/>
      <c r="BHN112" s="3"/>
      <c r="BHO112" s="3"/>
      <c r="BHP112" s="3"/>
      <c r="BHQ112" s="3"/>
      <c r="BHR112" s="3"/>
      <c r="BHS112" s="3"/>
      <c r="BHT112" s="3"/>
      <c r="BHU112" s="3"/>
      <c r="BHV112" s="3"/>
      <c r="BHW112" s="3"/>
      <c r="BHX112" s="3"/>
      <c r="BHY112" s="3"/>
      <c r="BHZ112" s="3"/>
      <c r="BIA112" s="3"/>
      <c r="BIB112" s="3"/>
      <c r="BIC112" s="3"/>
      <c r="BID112" s="3"/>
      <c r="BIE112" s="3"/>
      <c r="BIF112" s="3"/>
      <c r="BIG112" s="3"/>
      <c r="BIH112" s="3"/>
      <c r="BII112" s="3"/>
      <c r="BIJ112" s="3"/>
      <c r="BIK112" s="3"/>
      <c r="BIL112" s="3"/>
      <c r="BIM112" s="3"/>
      <c r="BIN112" s="3"/>
      <c r="BIO112" s="3"/>
      <c r="BIP112" s="3"/>
      <c r="BIQ112" s="3"/>
      <c r="BIR112" s="3"/>
      <c r="BIS112" s="3"/>
      <c r="BIT112" s="3"/>
      <c r="BIU112" s="3"/>
      <c r="BIV112" s="3"/>
      <c r="BIW112" s="3"/>
      <c r="BIX112" s="3"/>
      <c r="BIY112" s="3"/>
      <c r="BIZ112" s="3"/>
      <c r="BJA112" s="3"/>
      <c r="BJB112" s="3"/>
      <c r="BJC112" s="3"/>
      <c r="BJD112" s="3"/>
      <c r="BJE112" s="3"/>
      <c r="BJF112" s="3"/>
      <c r="BJG112" s="3"/>
      <c r="BJH112" s="3"/>
      <c r="BJI112" s="3"/>
      <c r="BJJ112" s="3"/>
      <c r="BJK112" s="3"/>
      <c r="BJL112" s="3"/>
      <c r="BJM112" s="3"/>
      <c r="BJN112" s="3"/>
      <c r="BJO112" s="3"/>
      <c r="BJP112" s="3"/>
      <c r="BJQ112" s="3"/>
      <c r="BJR112" s="3"/>
      <c r="BJS112" s="3"/>
      <c r="BJT112" s="3"/>
      <c r="BJU112" s="3"/>
      <c r="BJV112" s="3"/>
      <c r="BJW112" s="3"/>
      <c r="BJX112" s="3"/>
      <c r="BJY112" s="3"/>
      <c r="BJZ112" s="3"/>
      <c r="BKA112" s="3"/>
      <c r="BKB112" s="3"/>
      <c r="BKC112" s="3"/>
      <c r="BKD112" s="3"/>
      <c r="BKE112" s="3"/>
      <c r="BKF112" s="3"/>
      <c r="BKG112" s="3"/>
      <c r="BKH112" s="3"/>
      <c r="BKI112" s="3"/>
      <c r="BKJ112" s="3"/>
      <c r="BKK112" s="3"/>
      <c r="BKL112" s="3"/>
      <c r="BKM112" s="3"/>
      <c r="BKN112" s="3"/>
      <c r="BKO112" s="3"/>
      <c r="BKP112" s="3"/>
      <c r="BKQ112" s="3"/>
      <c r="BKR112" s="3"/>
      <c r="BKS112" s="3"/>
      <c r="BKT112" s="3"/>
      <c r="BKU112" s="3"/>
      <c r="BKV112" s="3"/>
      <c r="BKW112" s="3"/>
      <c r="BKX112" s="3"/>
      <c r="BKY112" s="3"/>
      <c r="BKZ112" s="3"/>
      <c r="BLA112" s="3"/>
      <c r="BLB112" s="3"/>
      <c r="BLC112" s="3"/>
      <c r="BLD112" s="3"/>
      <c r="BLE112" s="3"/>
      <c r="BLF112" s="3"/>
      <c r="BLG112" s="3"/>
      <c r="BLH112" s="3"/>
      <c r="BLI112" s="3"/>
      <c r="BLJ112" s="3"/>
      <c r="BLK112" s="3"/>
      <c r="BLL112" s="3"/>
      <c r="BLM112" s="3"/>
      <c r="BLN112" s="3"/>
      <c r="BLO112" s="3"/>
      <c r="BLP112" s="3"/>
      <c r="BLQ112" s="3"/>
      <c r="BLR112" s="3"/>
      <c r="BLS112" s="3"/>
      <c r="BLT112" s="3"/>
      <c r="BLU112" s="3"/>
      <c r="BLV112" s="3"/>
      <c r="BLW112" s="3"/>
      <c r="BLX112" s="3"/>
      <c r="BLY112" s="3"/>
      <c r="BLZ112" s="3"/>
      <c r="BMA112" s="3"/>
      <c r="BMB112" s="3"/>
      <c r="BMC112" s="3"/>
      <c r="BMD112" s="3"/>
      <c r="BME112" s="3"/>
      <c r="BMF112" s="3"/>
      <c r="BMG112" s="3"/>
      <c r="BMH112" s="3"/>
      <c r="BMI112" s="3"/>
      <c r="BMJ112" s="3"/>
      <c r="BMK112" s="3"/>
      <c r="BML112" s="3"/>
      <c r="BMM112" s="3"/>
      <c r="BMN112" s="3"/>
      <c r="BMO112" s="3"/>
      <c r="BMP112" s="3"/>
      <c r="BMQ112" s="3"/>
      <c r="BMR112" s="3"/>
      <c r="BMS112" s="3"/>
      <c r="BMT112" s="3"/>
      <c r="BMU112" s="3"/>
      <c r="BMV112" s="3"/>
      <c r="BMW112" s="3"/>
      <c r="BMX112" s="3"/>
      <c r="BMY112" s="3"/>
      <c r="BMZ112" s="3"/>
      <c r="BNA112" s="3"/>
      <c r="BNB112" s="3"/>
      <c r="BNC112" s="3"/>
      <c r="BND112" s="3"/>
      <c r="BNE112" s="3"/>
      <c r="BNF112" s="3"/>
      <c r="BNG112" s="3"/>
      <c r="BNH112" s="3"/>
      <c r="BNI112" s="3"/>
      <c r="BNJ112" s="3"/>
      <c r="BNK112" s="3"/>
      <c r="BNL112" s="3"/>
      <c r="BNM112" s="3"/>
      <c r="BNN112" s="3"/>
      <c r="BNO112" s="3"/>
      <c r="BNP112" s="3"/>
      <c r="BNQ112" s="3"/>
      <c r="BNR112" s="3"/>
      <c r="BNS112" s="3"/>
      <c r="BNT112" s="3"/>
      <c r="BNU112" s="3"/>
      <c r="BNV112" s="3"/>
      <c r="BNW112" s="3"/>
      <c r="BNX112" s="3"/>
      <c r="BNY112" s="3"/>
      <c r="BNZ112" s="3"/>
      <c r="BOA112" s="3"/>
      <c r="BOB112" s="3"/>
      <c r="BOC112" s="3"/>
      <c r="BOD112" s="3"/>
      <c r="BOE112" s="3"/>
      <c r="BOF112" s="3"/>
      <c r="BOG112" s="3"/>
      <c r="BOH112" s="3"/>
      <c r="BOI112" s="3"/>
      <c r="BOJ112" s="3"/>
      <c r="BOK112" s="3"/>
      <c r="BOL112" s="3"/>
      <c r="BOM112" s="3"/>
      <c r="BON112" s="3"/>
      <c r="BOO112" s="3"/>
      <c r="BOP112" s="3"/>
      <c r="BOQ112" s="3"/>
      <c r="BOR112" s="3"/>
      <c r="BOS112" s="3"/>
      <c r="BOT112" s="3"/>
      <c r="BOU112" s="3"/>
      <c r="BOV112" s="3"/>
      <c r="BOW112" s="3"/>
      <c r="BOX112" s="3"/>
      <c r="BOY112" s="3"/>
      <c r="BOZ112" s="3"/>
      <c r="BPA112" s="3"/>
      <c r="BPB112" s="3"/>
      <c r="BPC112" s="3"/>
      <c r="BPD112" s="3"/>
      <c r="BPE112" s="3"/>
      <c r="BPF112" s="3"/>
      <c r="BPG112" s="3"/>
      <c r="BPH112" s="3"/>
      <c r="BPI112" s="3"/>
      <c r="BPJ112" s="3"/>
      <c r="BPK112" s="3"/>
      <c r="BPL112" s="3"/>
      <c r="BPM112" s="3"/>
      <c r="BPN112" s="3"/>
      <c r="BPO112" s="3"/>
      <c r="BPP112" s="3"/>
      <c r="BPQ112" s="3"/>
      <c r="BPR112" s="3"/>
      <c r="BPS112" s="3"/>
      <c r="BPT112" s="3"/>
      <c r="BPU112" s="3"/>
      <c r="BPV112" s="3"/>
      <c r="BPW112" s="3"/>
      <c r="BPX112" s="3"/>
      <c r="BPY112" s="3"/>
      <c r="BPZ112" s="3"/>
      <c r="BQA112" s="3"/>
      <c r="BQB112" s="3"/>
      <c r="BQC112" s="3"/>
      <c r="BQD112" s="3"/>
      <c r="BQE112" s="3"/>
      <c r="BQF112" s="3"/>
      <c r="BQG112" s="3"/>
      <c r="BQH112" s="3"/>
      <c r="BQI112" s="3"/>
      <c r="BQJ112" s="3"/>
      <c r="BQK112" s="3"/>
      <c r="BQL112" s="3"/>
      <c r="BQM112" s="3"/>
      <c r="BQN112" s="3"/>
      <c r="BQO112" s="3"/>
      <c r="BQP112" s="3"/>
      <c r="BQQ112" s="3"/>
      <c r="BQR112" s="3"/>
      <c r="BQS112" s="3"/>
      <c r="BQT112" s="3"/>
      <c r="BQU112" s="3"/>
      <c r="BQV112" s="3"/>
      <c r="BQW112" s="3"/>
      <c r="BQX112" s="3"/>
      <c r="BQY112" s="3"/>
      <c r="BQZ112" s="3"/>
      <c r="BRA112" s="3"/>
      <c r="BRB112" s="3"/>
      <c r="BRC112" s="3"/>
      <c r="BRD112" s="3"/>
      <c r="BRE112" s="3"/>
      <c r="BRF112" s="3"/>
      <c r="BRG112" s="3"/>
      <c r="BRH112" s="3"/>
      <c r="BRI112" s="3"/>
      <c r="BRJ112" s="3"/>
      <c r="BRK112" s="3"/>
      <c r="BRL112" s="3"/>
      <c r="BRM112" s="3"/>
      <c r="BRN112" s="3"/>
      <c r="BRO112" s="3"/>
      <c r="BRP112" s="3"/>
      <c r="BRQ112" s="3"/>
      <c r="BRR112" s="3"/>
      <c r="BRS112" s="3"/>
      <c r="BRT112" s="3"/>
      <c r="BRU112" s="3"/>
      <c r="BRV112" s="3"/>
      <c r="BRW112" s="3"/>
      <c r="BRX112" s="3"/>
      <c r="BRY112" s="3"/>
      <c r="BRZ112" s="3"/>
      <c r="BSA112" s="3"/>
      <c r="BSB112" s="3"/>
      <c r="BSC112" s="3"/>
      <c r="BSD112" s="3"/>
      <c r="BSE112" s="3"/>
      <c r="BSF112" s="3"/>
      <c r="BSG112" s="3"/>
      <c r="BSH112" s="3"/>
      <c r="BSI112" s="3"/>
      <c r="BSJ112" s="3"/>
      <c r="BSK112" s="3"/>
      <c r="BSL112" s="3"/>
      <c r="BSM112" s="3"/>
      <c r="BSN112" s="3"/>
      <c r="BSO112" s="3"/>
      <c r="BSP112" s="3"/>
      <c r="BSQ112" s="3"/>
      <c r="BSR112" s="3"/>
      <c r="BSS112" s="3"/>
      <c r="BST112" s="3"/>
      <c r="BSU112" s="3"/>
      <c r="BSV112" s="3"/>
      <c r="BSW112" s="3"/>
      <c r="BSX112" s="3"/>
      <c r="BSY112" s="3"/>
      <c r="BSZ112" s="3"/>
      <c r="BTA112" s="3"/>
      <c r="BTB112" s="3"/>
      <c r="BTC112" s="3"/>
      <c r="BTD112" s="3"/>
      <c r="BTE112" s="3"/>
      <c r="BTF112" s="3"/>
      <c r="BTG112" s="3"/>
      <c r="BTH112" s="3"/>
      <c r="BTI112" s="3"/>
      <c r="BTJ112" s="3"/>
      <c r="BTK112" s="3"/>
      <c r="BTL112" s="3"/>
      <c r="BTM112" s="3"/>
      <c r="BTN112" s="3"/>
      <c r="BTO112" s="3"/>
      <c r="BTP112" s="3"/>
      <c r="BTQ112" s="3"/>
      <c r="BTR112" s="3"/>
      <c r="BTS112" s="3"/>
      <c r="BTT112" s="3"/>
      <c r="BTU112" s="3"/>
      <c r="BTV112" s="3"/>
      <c r="BTW112" s="3"/>
      <c r="BTX112" s="3"/>
      <c r="BTY112" s="3"/>
      <c r="BTZ112" s="3"/>
      <c r="BUA112" s="3"/>
      <c r="BUB112" s="3"/>
      <c r="BUC112" s="3"/>
      <c r="BUD112" s="3"/>
      <c r="BUE112" s="3"/>
      <c r="BUF112" s="3"/>
      <c r="BUG112" s="3"/>
      <c r="BUH112" s="3"/>
      <c r="BUI112" s="3"/>
      <c r="BUJ112" s="3"/>
      <c r="BUK112" s="3"/>
      <c r="BUL112" s="3"/>
      <c r="BUM112" s="3"/>
      <c r="BUN112" s="3"/>
      <c r="BUO112" s="3"/>
      <c r="BUP112" s="3"/>
      <c r="BUQ112" s="3"/>
      <c r="BUR112" s="3"/>
      <c r="BUS112" s="3"/>
      <c r="BUT112" s="3"/>
      <c r="BUU112" s="3"/>
      <c r="BUV112" s="3"/>
      <c r="BUW112" s="3"/>
      <c r="BUX112" s="3"/>
      <c r="BUY112" s="3"/>
      <c r="BUZ112" s="3"/>
      <c r="BVA112" s="3"/>
      <c r="BVB112" s="3"/>
      <c r="BVC112" s="3"/>
      <c r="BVD112" s="3"/>
      <c r="BVE112" s="3"/>
      <c r="BVF112" s="3"/>
      <c r="BVG112" s="3"/>
      <c r="BVH112" s="3"/>
      <c r="BVI112" s="3"/>
      <c r="BVJ112" s="3"/>
      <c r="BVK112" s="3"/>
      <c r="BVL112" s="3"/>
      <c r="BVM112" s="3"/>
      <c r="BVN112" s="3"/>
      <c r="BVO112" s="3"/>
      <c r="BVP112" s="3"/>
      <c r="BVQ112" s="3"/>
      <c r="BVR112" s="3"/>
      <c r="BVS112" s="3"/>
      <c r="BVT112" s="3"/>
      <c r="BVU112" s="3"/>
      <c r="BVV112" s="3"/>
      <c r="BVW112" s="3"/>
      <c r="BVX112" s="3"/>
      <c r="BVY112" s="3"/>
      <c r="BVZ112" s="3"/>
      <c r="BWA112" s="3"/>
      <c r="BWB112" s="3"/>
      <c r="BWC112" s="3"/>
      <c r="BWD112" s="3"/>
      <c r="BWE112" s="3"/>
      <c r="BWF112" s="3"/>
      <c r="BWG112" s="3"/>
      <c r="BWH112" s="3"/>
      <c r="BWI112" s="3"/>
      <c r="BWJ112" s="3"/>
      <c r="BWK112" s="3"/>
      <c r="BWL112" s="3"/>
      <c r="BWM112" s="3"/>
      <c r="BWN112" s="3"/>
      <c r="BWO112" s="3"/>
      <c r="BWP112" s="3"/>
      <c r="BWQ112" s="3"/>
      <c r="BWR112" s="3"/>
      <c r="BWS112" s="3"/>
      <c r="BWT112" s="3"/>
      <c r="BWU112" s="3"/>
      <c r="BWV112" s="3"/>
      <c r="BWW112" s="3"/>
      <c r="BWX112" s="3"/>
      <c r="BWY112" s="3"/>
      <c r="BWZ112" s="3"/>
      <c r="BXA112" s="3"/>
      <c r="BXB112" s="3"/>
      <c r="BXC112" s="3"/>
      <c r="BXD112" s="3"/>
      <c r="BXE112" s="3"/>
      <c r="BXF112" s="3"/>
      <c r="BXG112" s="3"/>
      <c r="BXH112" s="3"/>
      <c r="BXI112" s="3"/>
      <c r="BXJ112" s="3"/>
      <c r="BXK112" s="3"/>
      <c r="BXL112" s="3"/>
      <c r="BXM112" s="3"/>
      <c r="BXN112" s="3"/>
      <c r="BXO112" s="3"/>
      <c r="BXP112" s="3"/>
      <c r="BXQ112" s="3"/>
      <c r="BXR112" s="3"/>
      <c r="BXS112" s="3"/>
      <c r="BXT112" s="3"/>
      <c r="BXU112" s="3"/>
      <c r="BXV112" s="3"/>
      <c r="BXW112" s="3"/>
      <c r="BXX112" s="3"/>
      <c r="BXY112" s="3"/>
      <c r="BXZ112" s="3"/>
      <c r="BYA112" s="3"/>
      <c r="BYB112" s="3"/>
      <c r="BYC112" s="3"/>
      <c r="BYD112" s="3"/>
      <c r="BYE112" s="3"/>
      <c r="BYF112" s="3"/>
      <c r="BYG112" s="3"/>
      <c r="BYH112" s="3"/>
      <c r="BYI112" s="3"/>
      <c r="BYJ112" s="3"/>
      <c r="BYK112" s="3"/>
      <c r="BYL112" s="3"/>
      <c r="BYM112" s="3"/>
      <c r="BYN112" s="3"/>
      <c r="BYO112" s="3"/>
      <c r="BYP112" s="3"/>
      <c r="BYQ112" s="3"/>
      <c r="BYR112" s="3"/>
      <c r="BYS112" s="3"/>
      <c r="BYT112" s="3"/>
      <c r="BYU112" s="3"/>
      <c r="BYV112" s="3"/>
      <c r="BYW112" s="3"/>
      <c r="BYX112" s="3"/>
      <c r="BYY112" s="3"/>
      <c r="BYZ112" s="3"/>
      <c r="BZA112" s="3"/>
      <c r="BZB112" s="3"/>
      <c r="BZC112" s="3"/>
      <c r="BZD112" s="3"/>
      <c r="BZE112" s="3"/>
      <c r="BZF112" s="3"/>
      <c r="BZG112" s="3"/>
      <c r="BZH112" s="3"/>
      <c r="BZI112" s="3"/>
      <c r="BZJ112" s="3"/>
      <c r="BZK112" s="3"/>
      <c r="BZL112" s="3"/>
      <c r="BZM112" s="3"/>
      <c r="BZN112" s="3"/>
      <c r="BZO112" s="3"/>
      <c r="BZP112" s="3"/>
      <c r="BZQ112" s="3"/>
      <c r="BZR112" s="3"/>
      <c r="BZS112" s="3"/>
      <c r="BZT112" s="3"/>
      <c r="BZU112" s="3"/>
      <c r="BZV112" s="3"/>
      <c r="BZW112" s="3"/>
      <c r="BZX112" s="3"/>
      <c r="BZY112" s="3"/>
      <c r="BZZ112" s="3"/>
      <c r="CAA112" s="3"/>
      <c r="CAB112" s="3"/>
      <c r="CAC112" s="3"/>
      <c r="CAD112" s="3"/>
      <c r="CAE112" s="3"/>
      <c r="CAF112" s="3"/>
      <c r="CAG112" s="3"/>
      <c r="CAH112" s="3"/>
      <c r="CAI112" s="3"/>
      <c r="CAJ112" s="3"/>
      <c r="CAK112" s="3"/>
      <c r="CAL112" s="3"/>
      <c r="CAM112" s="3"/>
      <c r="CAN112" s="3"/>
      <c r="CAO112" s="3"/>
      <c r="CAP112" s="3"/>
      <c r="CAQ112" s="3"/>
      <c r="CAR112" s="3"/>
      <c r="CAS112" s="3"/>
      <c r="CAT112" s="3"/>
      <c r="CAU112" s="3"/>
      <c r="CAV112" s="3"/>
      <c r="CAW112" s="3"/>
      <c r="CAX112" s="3"/>
      <c r="CAY112" s="3"/>
      <c r="CAZ112" s="3"/>
      <c r="CBA112" s="3"/>
      <c r="CBB112" s="3"/>
      <c r="CBC112" s="3"/>
      <c r="CBD112" s="3"/>
      <c r="CBE112" s="3"/>
      <c r="CBF112" s="3"/>
      <c r="CBG112" s="3"/>
      <c r="CBH112" s="3"/>
      <c r="CBI112" s="3"/>
      <c r="CBJ112" s="3"/>
      <c r="CBK112" s="3"/>
      <c r="CBL112" s="3"/>
      <c r="CBM112" s="3"/>
      <c r="CBN112" s="3"/>
      <c r="CBO112" s="3"/>
      <c r="CBP112" s="3"/>
      <c r="CBQ112" s="3"/>
      <c r="CBR112" s="3"/>
      <c r="CBS112" s="3"/>
      <c r="CBT112" s="3"/>
      <c r="CBU112" s="3"/>
      <c r="CBV112" s="3"/>
      <c r="CBW112" s="3"/>
      <c r="CBX112" s="3"/>
      <c r="CBY112" s="3"/>
      <c r="CBZ112" s="3"/>
      <c r="CCA112" s="3"/>
      <c r="CCB112" s="3"/>
      <c r="CCC112" s="3"/>
      <c r="CCD112" s="3"/>
      <c r="CCE112" s="3"/>
      <c r="CCF112" s="3"/>
      <c r="CCG112" s="3"/>
      <c r="CCH112" s="3"/>
      <c r="CCI112" s="3"/>
      <c r="CCJ112" s="3"/>
      <c r="CCK112" s="3"/>
      <c r="CCL112" s="3"/>
      <c r="CCM112" s="3"/>
      <c r="CCN112" s="3"/>
      <c r="CCO112" s="3"/>
      <c r="CCP112" s="3"/>
      <c r="CCQ112" s="3"/>
      <c r="CCR112" s="3"/>
      <c r="CCS112" s="3"/>
      <c r="CCT112" s="3"/>
      <c r="CCU112" s="3"/>
      <c r="CCV112" s="3"/>
      <c r="CCW112" s="3"/>
      <c r="CCX112" s="3"/>
      <c r="CCY112" s="3"/>
      <c r="CCZ112" s="3"/>
      <c r="CDA112" s="3"/>
      <c r="CDB112" s="3"/>
      <c r="CDC112" s="3"/>
      <c r="CDD112" s="3"/>
      <c r="CDE112" s="3"/>
      <c r="CDF112" s="3"/>
      <c r="CDG112" s="3"/>
      <c r="CDH112" s="3"/>
      <c r="CDI112" s="3"/>
      <c r="CDJ112" s="3"/>
      <c r="CDK112" s="3"/>
      <c r="CDL112" s="3"/>
      <c r="CDM112" s="3"/>
      <c r="CDN112" s="3"/>
      <c r="CDO112" s="3"/>
      <c r="CDP112" s="3"/>
      <c r="CDQ112" s="3"/>
      <c r="CDR112" s="3"/>
      <c r="CDS112" s="3"/>
      <c r="CDT112" s="3"/>
      <c r="CDU112" s="3"/>
      <c r="CDV112" s="3"/>
      <c r="CDW112" s="3"/>
      <c r="CDX112" s="3"/>
      <c r="CDY112" s="3"/>
      <c r="CDZ112" s="3"/>
      <c r="CEA112" s="3"/>
      <c r="CEB112" s="3"/>
      <c r="CEC112" s="3"/>
      <c r="CED112" s="3"/>
      <c r="CEE112" s="3"/>
      <c r="CEF112" s="3"/>
      <c r="CEG112" s="3"/>
      <c r="CEH112" s="3"/>
      <c r="CEI112" s="3"/>
      <c r="CEJ112" s="3"/>
      <c r="CEK112" s="3"/>
      <c r="CEL112" s="3"/>
      <c r="CEM112" s="3"/>
      <c r="CEN112" s="3"/>
      <c r="CEO112" s="3"/>
      <c r="CEP112" s="3"/>
      <c r="CEQ112" s="3"/>
      <c r="CER112" s="3"/>
      <c r="CES112" s="3"/>
      <c r="CET112" s="3"/>
      <c r="CEU112" s="3"/>
      <c r="CEV112" s="3"/>
      <c r="CEW112" s="3"/>
      <c r="CEX112" s="3"/>
      <c r="CEY112" s="3"/>
      <c r="CEZ112" s="3"/>
      <c r="CFA112" s="3"/>
      <c r="CFB112" s="3"/>
      <c r="CFC112" s="3"/>
      <c r="CFD112" s="3"/>
      <c r="CFE112" s="3"/>
      <c r="CFF112" s="3"/>
      <c r="CFG112" s="3"/>
      <c r="CFH112" s="3"/>
      <c r="CFI112" s="3"/>
      <c r="CFJ112" s="3"/>
      <c r="CFK112" s="3"/>
      <c r="CFL112" s="3"/>
      <c r="CFM112" s="3"/>
      <c r="CFN112" s="3"/>
      <c r="CFO112" s="3"/>
      <c r="CFP112" s="3"/>
      <c r="CFQ112" s="3"/>
      <c r="CFR112" s="3"/>
      <c r="CFS112" s="3"/>
      <c r="CFT112" s="3"/>
      <c r="CFU112" s="3"/>
      <c r="CFV112" s="3"/>
      <c r="CFW112" s="3"/>
      <c r="CFX112" s="3"/>
      <c r="CFY112" s="3"/>
      <c r="CFZ112" s="3"/>
      <c r="CGA112" s="3"/>
      <c r="CGB112" s="3"/>
      <c r="CGC112" s="3"/>
      <c r="CGD112" s="3"/>
      <c r="CGE112" s="3"/>
      <c r="CGF112" s="3"/>
      <c r="CGG112" s="3"/>
      <c r="CGH112" s="3"/>
      <c r="CGI112" s="3"/>
      <c r="CGJ112" s="3"/>
      <c r="CGK112" s="3"/>
      <c r="CGL112" s="3"/>
      <c r="CGM112" s="3"/>
      <c r="CGN112" s="3"/>
      <c r="CGO112" s="3"/>
      <c r="CGP112" s="3"/>
      <c r="CGQ112" s="3"/>
      <c r="CGR112" s="3"/>
      <c r="CGS112" s="3"/>
      <c r="CGT112" s="3"/>
      <c r="CGU112" s="3"/>
      <c r="CGV112" s="3"/>
      <c r="CGW112" s="3"/>
      <c r="CGX112" s="3"/>
      <c r="CGY112" s="3"/>
      <c r="CGZ112" s="3"/>
      <c r="CHA112" s="3"/>
      <c r="CHB112" s="3"/>
      <c r="CHC112" s="3"/>
      <c r="CHD112" s="3"/>
      <c r="CHE112" s="3"/>
      <c r="CHF112" s="3"/>
      <c r="CHG112" s="3"/>
      <c r="CHH112" s="3"/>
      <c r="CHI112" s="3"/>
      <c r="CHJ112" s="3"/>
      <c r="CHK112" s="3"/>
      <c r="CHL112" s="3"/>
      <c r="CHM112" s="3"/>
      <c r="CHN112" s="3"/>
      <c r="CHO112" s="3"/>
      <c r="CHP112" s="3"/>
      <c r="CHQ112" s="3"/>
      <c r="CHR112" s="3"/>
      <c r="CHS112" s="3"/>
      <c r="CHT112" s="3"/>
      <c r="CHU112" s="3"/>
      <c r="CHV112" s="3"/>
      <c r="CHW112" s="3"/>
      <c r="CHX112" s="3"/>
      <c r="CHY112" s="3"/>
      <c r="CHZ112" s="3"/>
      <c r="CIA112" s="3"/>
      <c r="CIB112" s="3"/>
      <c r="CIC112" s="3"/>
      <c r="CID112" s="3"/>
      <c r="CIE112" s="3"/>
      <c r="CIF112" s="3"/>
      <c r="CIG112" s="3"/>
      <c r="CIH112" s="3"/>
      <c r="CII112" s="3"/>
      <c r="CIJ112" s="3"/>
      <c r="CIK112" s="3"/>
      <c r="CIL112" s="3"/>
      <c r="CIM112" s="3"/>
      <c r="CIN112" s="3"/>
      <c r="CIO112" s="3"/>
      <c r="CIP112" s="3"/>
      <c r="CIQ112" s="3"/>
      <c r="CIR112" s="3"/>
      <c r="CIS112" s="3"/>
      <c r="CIT112" s="3"/>
      <c r="CIU112" s="3"/>
      <c r="CIV112" s="3"/>
      <c r="CIW112" s="3"/>
      <c r="CIX112" s="3"/>
      <c r="CIY112" s="3"/>
      <c r="CIZ112" s="3"/>
      <c r="CJA112" s="3"/>
      <c r="CJB112" s="3"/>
      <c r="CJC112" s="3"/>
      <c r="CJD112" s="3"/>
      <c r="CJE112" s="3"/>
      <c r="CJF112" s="3"/>
      <c r="CJG112" s="3"/>
      <c r="CJH112" s="3"/>
      <c r="CJI112" s="3"/>
      <c r="CJJ112" s="3"/>
      <c r="CJK112" s="3"/>
      <c r="CJL112" s="3"/>
      <c r="CJM112" s="3"/>
      <c r="CJN112" s="3"/>
      <c r="CJO112" s="3"/>
      <c r="CJP112" s="3"/>
      <c r="CJQ112" s="3"/>
      <c r="CJR112" s="3"/>
      <c r="CJS112" s="3"/>
      <c r="CJT112" s="3"/>
      <c r="CJU112" s="3"/>
      <c r="CJV112" s="3"/>
      <c r="CJW112" s="3"/>
      <c r="CJX112" s="3"/>
      <c r="CJY112" s="3"/>
      <c r="CJZ112" s="3"/>
      <c r="CKA112" s="3"/>
      <c r="CKB112" s="3"/>
      <c r="CKC112" s="3"/>
      <c r="CKD112" s="3"/>
      <c r="CKE112" s="3"/>
      <c r="CKF112" s="3"/>
      <c r="CKG112" s="3"/>
      <c r="CKH112" s="3"/>
      <c r="CKI112" s="3"/>
      <c r="CKJ112" s="3"/>
      <c r="CKK112" s="3"/>
      <c r="CKL112" s="3"/>
      <c r="CKM112" s="3"/>
      <c r="CKN112" s="3"/>
      <c r="CKO112" s="3"/>
      <c r="CKP112" s="3"/>
      <c r="CKQ112" s="3"/>
      <c r="CKR112" s="3"/>
      <c r="CKS112" s="3"/>
      <c r="CKT112" s="3"/>
      <c r="CKU112" s="3"/>
      <c r="CKV112" s="3"/>
      <c r="CKW112" s="3"/>
      <c r="CKX112" s="3"/>
      <c r="CKY112" s="3"/>
      <c r="CKZ112" s="3"/>
      <c r="CLA112" s="3"/>
      <c r="CLB112" s="3"/>
      <c r="CLC112" s="3"/>
      <c r="CLD112" s="3"/>
      <c r="CLE112" s="3"/>
      <c r="CLF112" s="3"/>
      <c r="CLG112" s="3"/>
      <c r="CLH112" s="3"/>
      <c r="CLI112" s="3"/>
      <c r="CLJ112" s="3"/>
      <c r="CLK112" s="3"/>
      <c r="CLL112" s="3"/>
      <c r="CLM112" s="3"/>
      <c r="CLN112" s="3"/>
      <c r="CLO112" s="3"/>
      <c r="CLP112" s="3"/>
      <c r="CLQ112" s="3"/>
      <c r="CLR112" s="3"/>
      <c r="CLS112" s="3"/>
      <c r="CLT112" s="3"/>
      <c r="CLU112" s="3"/>
      <c r="CLV112" s="3"/>
      <c r="CLW112" s="3"/>
      <c r="CLX112" s="3"/>
      <c r="CLY112" s="3"/>
      <c r="CLZ112" s="3"/>
      <c r="CMA112" s="3"/>
      <c r="CMB112" s="3"/>
      <c r="CMC112" s="3"/>
      <c r="CMD112" s="3"/>
      <c r="CME112" s="3"/>
      <c r="CMF112" s="3"/>
      <c r="CMG112" s="3"/>
      <c r="CMH112" s="3"/>
      <c r="CMI112" s="3"/>
      <c r="CMJ112" s="3"/>
      <c r="CMK112" s="3"/>
      <c r="CML112" s="3"/>
      <c r="CMM112" s="3"/>
      <c r="CMN112" s="3"/>
      <c r="CMO112" s="3"/>
      <c r="CMP112" s="3"/>
      <c r="CMQ112" s="3"/>
      <c r="CMR112" s="3"/>
      <c r="CMS112" s="3"/>
      <c r="CMT112" s="3"/>
      <c r="CMU112" s="3"/>
      <c r="CMV112" s="3"/>
      <c r="CMW112" s="3"/>
      <c r="CMX112" s="3"/>
      <c r="CMY112" s="3"/>
      <c r="CMZ112" s="3"/>
      <c r="CNA112" s="3"/>
      <c r="CNB112" s="3"/>
      <c r="CNC112" s="3"/>
      <c r="CND112" s="3"/>
      <c r="CNE112" s="3"/>
      <c r="CNF112" s="3"/>
      <c r="CNG112" s="3"/>
      <c r="CNH112" s="3"/>
      <c r="CNI112" s="3"/>
      <c r="CNJ112" s="3"/>
      <c r="CNK112" s="3"/>
      <c r="CNL112" s="3"/>
      <c r="CNM112" s="3"/>
      <c r="CNN112" s="3"/>
      <c r="CNO112" s="3"/>
      <c r="CNP112" s="3"/>
      <c r="CNQ112" s="3"/>
      <c r="CNR112" s="3"/>
      <c r="CNS112" s="3"/>
      <c r="CNT112" s="3"/>
      <c r="CNU112" s="3"/>
      <c r="CNV112" s="3"/>
      <c r="CNW112" s="3"/>
      <c r="CNX112" s="3"/>
      <c r="CNY112" s="3"/>
      <c r="CNZ112" s="3"/>
      <c r="COA112" s="3"/>
      <c r="COB112" s="3"/>
      <c r="COC112" s="3"/>
      <c r="COD112" s="3"/>
      <c r="COE112" s="3"/>
      <c r="COF112" s="3"/>
      <c r="COG112" s="3"/>
      <c r="COH112" s="3"/>
      <c r="COI112" s="3"/>
      <c r="COJ112" s="3"/>
      <c r="COK112" s="3"/>
      <c r="COL112" s="3"/>
      <c r="COM112" s="3"/>
      <c r="CON112" s="3"/>
      <c r="COO112" s="3"/>
      <c r="COP112" s="3"/>
      <c r="COQ112" s="3"/>
      <c r="COR112" s="3"/>
      <c r="COS112" s="3"/>
      <c r="COT112" s="3"/>
      <c r="COU112" s="3"/>
      <c r="COV112" s="3"/>
      <c r="COW112" s="3"/>
      <c r="COX112" s="3"/>
      <c r="COY112" s="3"/>
      <c r="COZ112" s="3"/>
      <c r="CPA112" s="3"/>
      <c r="CPB112" s="3"/>
      <c r="CPC112" s="3"/>
      <c r="CPD112" s="3"/>
      <c r="CPE112" s="3"/>
      <c r="CPF112" s="3"/>
      <c r="CPG112" s="3"/>
      <c r="CPH112" s="3"/>
      <c r="CPI112" s="3"/>
      <c r="CPJ112" s="3"/>
      <c r="CPK112" s="3"/>
      <c r="CPL112" s="3"/>
      <c r="CPM112" s="3"/>
      <c r="CPN112" s="3"/>
      <c r="CPO112" s="3"/>
      <c r="CPP112" s="3"/>
      <c r="CPQ112" s="3"/>
      <c r="CPR112" s="3"/>
      <c r="CPS112" s="3"/>
      <c r="CPT112" s="3"/>
      <c r="CPU112" s="3"/>
      <c r="CPV112" s="3"/>
      <c r="CPW112" s="3"/>
      <c r="CPX112" s="3"/>
      <c r="CPY112" s="3"/>
      <c r="CPZ112" s="3"/>
      <c r="CQA112" s="3"/>
      <c r="CQB112" s="3"/>
      <c r="CQC112" s="3"/>
      <c r="CQD112" s="3"/>
      <c r="CQE112" s="3"/>
      <c r="CQF112" s="3"/>
      <c r="CQG112" s="3"/>
      <c r="CQH112" s="3"/>
      <c r="CQI112" s="3"/>
      <c r="CQJ112" s="3"/>
      <c r="CQK112" s="3"/>
      <c r="CQL112" s="3"/>
      <c r="CQM112" s="3"/>
      <c r="CQN112" s="3"/>
      <c r="CQO112" s="3"/>
      <c r="CQP112" s="3"/>
      <c r="CQQ112" s="3"/>
      <c r="CQR112" s="3"/>
      <c r="CQS112" s="3"/>
      <c r="CQT112" s="3"/>
      <c r="CQU112" s="3"/>
      <c r="CQV112" s="3"/>
      <c r="CQW112" s="3"/>
      <c r="CQX112" s="3"/>
      <c r="CQY112" s="3"/>
      <c r="CQZ112" s="3"/>
      <c r="CRA112" s="3"/>
      <c r="CRB112" s="3"/>
      <c r="CRC112" s="3"/>
      <c r="CRD112" s="3"/>
      <c r="CRE112" s="3"/>
      <c r="CRF112" s="3"/>
      <c r="CRG112" s="3"/>
      <c r="CRH112" s="3"/>
      <c r="CRI112" s="3"/>
      <c r="CRJ112" s="3"/>
      <c r="CRK112" s="3"/>
      <c r="CRL112" s="3"/>
      <c r="CRM112" s="3"/>
      <c r="CRN112" s="3"/>
      <c r="CRO112" s="3"/>
      <c r="CRP112" s="3"/>
      <c r="CRQ112" s="3"/>
      <c r="CRR112" s="3"/>
      <c r="CRS112" s="3"/>
      <c r="CRT112" s="3"/>
      <c r="CRU112" s="3"/>
      <c r="CRV112" s="3"/>
      <c r="CRW112" s="3"/>
      <c r="CRX112" s="3"/>
      <c r="CRY112" s="3"/>
      <c r="CRZ112" s="3"/>
      <c r="CSA112" s="3"/>
      <c r="CSB112" s="3"/>
      <c r="CSC112" s="3"/>
      <c r="CSD112" s="3"/>
      <c r="CSE112" s="3"/>
      <c r="CSF112" s="3"/>
      <c r="CSG112" s="3"/>
      <c r="CSH112" s="3"/>
      <c r="CSI112" s="3"/>
      <c r="CSJ112" s="3"/>
      <c r="CSK112" s="3"/>
      <c r="CSL112" s="3"/>
      <c r="CSM112" s="3"/>
      <c r="CSN112" s="3"/>
      <c r="CSO112" s="3"/>
      <c r="CSP112" s="3"/>
      <c r="CSQ112" s="3"/>
      <c r="CSR112" s="3"/>
      <c r="CSS112" s="3"/>
      <c r="CST112" s="3"/>
      <c r="CSU112" s="3"/>
      <c r="CSV112" s="3"/>
      <c r="CSW112" s="3"/>
      <c r="CSX112" s="3"/>
      <c r="CSY112" s="3"/>
      <c r="CSZ112" s="3"/>
      <c r="CTA112" s="3"/>
      <c r="CTB112" s="3"/>
      <c r="CTC112" s="3"/>
      <c r="CTD112" s="3"/>
      <c r="CTE112" s="3"/>
      <c r="CTF112" s="3"/>
      <c r="CTG112" s="3"/>
      <c r="CTH112" s="3"/>
      <c r="CTI112" s="3"/>
      <c r="CTJ112" s="3"/>
      <c r="CTK112" s="3"/>
      <c r="CTL112" s="3"/>
      <c r="CTM112" s="3"/>
      <c r="CTN112" s="3"/>
      <c r="CTO112" s="3"/>
      <c r="CTP112" s="3"/>
      <c r="CTQ112" s="3"/>
      <c r="CTR112" s="3"/>
      <c r="CTS112" s="3"/>
      <c r="CTT112" s="3"/>
      <c r="CTU112" s="3"/>
      <c r="CTV112" s="3"/>
      <c r="CTW112" s="3"/>
      <c r="CTX112" s="3"/>
      <c r="CTY112" s="3"/>
      <c r="CTZ112" s="3"/>
      <c r="CUA112" s="3"/>
      <c r="CUB112" s="3"/>
      <c r="CUC112" s="3"/>
      <c r="CUD112" s="3"/>
      <c r="CUE112" s="3"/>
      <c r="CUF112" s="3"/>
      <c r="CUG112" s="3"/>
      <c r="CUH112" s="3"/>
      <c r="CUI112" s="3"/>
      <c r="CUJ112" s="3"/>
      <c r="CUK112" s="3"/>
      <c r="CUL112" s="3"/>
      <c r="CUM112" s="3"/>
      <c r="CUN112" s="3"/>
      <c r="CUO112" s="3"/>
      <c r="CUP112" s="3"/>
      <c r="CUQ112" s="3"/>
      <c r="CUR112" s="3"/>
      <c r="CUS112" s="3"/>
      <c r="CUT112" s="3"/>
      <c r="CUU112" s="3"/>
      <c r="CUV112" s="3"/>
      <c r="CUW112" s="3"/>
      <c r="CUX112" s="3"/>
      <c r="CUY112" s="3"/>
      <c r="CUZ112" s="3"/>
      <c r="CVA112" s="3"/>
      <c r="CVB112" s="3"/>
      <c r="CVC112" s="3"/>
      <c r="CVD112" s="3"/>
      <c r="CVE112" s="3"/>
      <c r="CVF112" s="3"/>
      <c r="CVG112" s="3"/>
      <c r="CVH112" s="3"/>
      <c r="CVI112" s="3"/>
      <c r="CVJ112" s="3"/>
      <c r="CVK112" s="3"/>
      <c r="CVL112" s="3"/>
      <c r="CVM112" s="3"/>
      <c r="CVN112" s="3"/>
      <c r="CVO112" s="3"/>
      <c r="CVP112" s="3"/>
      <c r="CVQ112" s="3"/>
      <c r="CVR112" s="3"/>
      <c r="CVS112" s="3"/>
      <c r="CVT112" s="3"/>
      <c r="CVU112" s="3"/>
      <c r="CVV112" s="3"/>
      <c r="CVW112" s="3"/>
      <c r="CVX112" s="3"/>
      <c r="CVY112" s="3"/>
      <c r="CVZ112" s="3"/>
      <c r="CWA112" s="3"/>
      <c r="CWB112" s="3"/>
      <c r="CWC112" s="3"/>
      <c r="CWD112" s="3"/>
      <c r="CWE112" s="3"/>
      <c r="CWF112" s="3"/>
      <c r="CWG112" s="3"/>
      <c r="CWH112" s="3"/>
      <c r="CWI112" s="3"/>
      <c r="CWJ112" s="3"/>
      <c r="CWK112" s="3"/>
      <c r="CWL112" s="3"/>
      <c r="CWM112" s="3"/>
      <c r="CWN112" s="3"/>
      <c r="CWO112" s="3"/>
      <c r="CWP112" s="3"/>
      <c r="CWQ112" s="3"/>
      <c r="CWR112" s="3"/>
      <c r="CWS112" s="3"/>
      <c r="CWT112" s="3"/>
      <c r="CWU112" s="3"/>
      <c r="CWV112" s="3"/>
      <c r="CWW112" s="3"/>
      <c r="CWX112" s="3"/>
      <c r="CWY112" s="3"/>
      <c r="CWZ112" s="3"/>
      <c r="CXA112" s="3"/>
      <c r="CXB112" s="3"/>
      <c r="CXC112" s="3"/>
      <c r="CXD112" s="3"/>
      <c r="CXE112" s="3"/>
      <c r="CXF112" s="3"/>
      <c r="CXG112" s="3"/>
      <c r="CXH112" s="3"/>
      <c r="CXI112" s="3"/>
      <c r="CXJ112" s="3"/>
      <c r="CXK112" s="3"/>
      <c r="CXL112" s="3"/>
      <c r="CXM112" s="3"/>
      <c r="CXN112" s="3"/>
      <c r="CXO112" s="3"/>
      <c r="CXP112" s="3"/>
      <c r="CXQ112" s="3"/>
      <c r="CXR112" s="3"/>
      <c r="CXS112" s="3"/>
      <c r="CXT112" s="3"/>
      <c r="CXU112" s="3"/>
      <c r="CXV112" s="3"/>
      <c r="CXW112" s="3"/>
      <c r="CXX112" s="3"/>
      <c r="CXY112" s="3"/>
      <c r="CXZ112" s="3"/>
      <c r="CYA112" s="3"/>
      <c r="CYB112" s="3"/>
      <c r="CYC112" s="3"/>
      <c r="CYD112" s="3"/>
      <c r="CYE112" s="3"/>
      <c r="CYF112" s="3"/>
      <c r="CYG112" s="3"/>
      <c r="CYH112" s="3"/>
      <c r="CYI112" s="3"/>
      <c r="CYJ112" s="3"/>
      <c r="CYK112" s="3"/>
      <c r="CYL112" s="3"/>
      <c r="CYM112" s="3"/>
      <c r="CYN112" s="3"/>
      <c r="CYO112" s="3"/>
      <c r="CYP112" s="3"/>
      <c r="CYQ112" s="3"/>
      <c r="CYR112" s="3"/>
      <c r="CYS112" s="3"/>
      <c r="CYT112" s="3"/>
      <c r="CYU112" s="3"/>
      <c r="CYV112" s="3"/>
      <c r="CYW112" s="3"/>
      <c r="CYX112" s="3"/>
      <c r="CYY112" s="3"/>
      <c r="CYZ112" s="3"/>
      <c r="CZA112" s="3"/>
      <c r="CZB112" s="3"/>
      <c r="CZC112" s="3"/>
      <c r="CZD112" s="3"/>
      <c r="CZE112" s="3"/>
      <c r="CZF112" s="3"/>
      <c r="CZG112" s="3"/>
      <c r="CZH112" s="3"/>
      <c r="CZI112" s="3"/>
      <c r="CZJ112" s="3"/>
      <c r="CZK112" s="3"/>
      <c r="CZL112" s="3"/>
      <c r="CZM112" s="3"/>
      <c r="CZN112" s="3"/>
      <c r="CZO112" s="3"/>
      <c r="CZP112" s="3"/>
      <c r="CZQ112" s="3"/>
      <c r="CZR112" s="3"/>
      <c r="CZS112" s="3"/>
      <c r="CZT112" s="3"/>
      <c r="CZU112" s="3"/>
      <c r="CZV112" s="3"/>
      <c r="CZW112" s="3"/>
      <c r="CZX112" s="3"/>
      <c r="CZY112" s="3"/>
      <c r="CZZ112" s="3"/>
      <c r="DAA112" s="3"/>
      <c r="DAB112" s="3"/>
      <c r="DAC112" s="3"/>
      <c r="DAD112" s="3"/>
      <c r="DAE112" s="3"/>
      <c r="DAF112" s="3"/>
      <c r="DAG112" s="3"/>
      <c r="DAH112" s="3"/>
      <c r="DAI112" s="3"/>
      <c r="DAJ112" s="3"/>
      <c r="DAK112" s="3"/>
      <c r="DAL112" s="3"/>
      <c r="DAM112" s="3"/>
      <c r="DAN112" s="3"/>
      <c r="DAO112" s="3"/>
      <c r="DAP112" s="3"/>
      <c r="DAQ112" s="3"/>
      <c r="DAR112" s="3"/>
      <c r="DAS112" s="3"/>
      <c r="DAT112" s="3"/>
      <c r="DAU112" s="3"/>
      <c r="DAV112" s="3"/>
      <c r="DAW112" s="3"/>
      <c r="DAX112" s="3"/>
      <c r="DAY112" s="3"/>
      <c r="DAZ112" s="3"/>
      <c r="DBA112" s="3"/>
      <c r="DBB112" s="3"/>
      <c r="DBC112" s="3"/>
      <c r="DBD112" s="3"/>
      <c r="DBE112" s="3"/>
      <c r="DBF112" s="3"/>
      <c r="DBG112" s="3"/>
      <c r="DBH112" s="3"/>
      <c r="DBI112" s="3"/>
      <c r="DBJ112" s="3"/>
      <c r="DBK112" s="3"/>
      <c r="DBL112" s="3"/>
      <c r="DBM112" s="3"/>
      <c r="DBN112" s="3"/>
      <c r="DBO112" s="3"/>
      <c r="DBP112" s="3"/>
      <c r="DBQ112" s="3"/>
      <c r="DBR112" s="3"/>
      <c r="DBS112" s="3"/>
      <c r="DBT112" s="3"/>
      <c r="DBU112" s="3"/>
      <c r="DBV112" s="3"/>
      <c r="DBW112" s="3"/>
      <c r="DBX112" s="3"/>
      <c r="DBY112" s="3"/>
      <c r="DBZ112" s="3"/>
      <c r="DCA112" s="3"/>
      <c r="DCB112" s="3"/>
      <c r="DCC112" s="3"/>
      <c r="DCD112" s="3"/>
      <c r="DCE112" s="3"/>
      <c r="DCF112" s="3"/>
      <c r="DCG112" s="3"/>
      <c r="DCH112" s="3"/>
      <c r="DCI112" s="3"/>
      <c r="DCJ112" s="3"/>
      <c r="DCK112" s="3"/>
      <c r="DCL112" s="3"/>
      <c r="DCM112" s="3"/>
      <c r="DCN112" s="3"/>
      <c r="DCO112" s="3"/>
      <c r="DCP112" s="3"/>
      <c r="DCQ112" s="3"/>
      <c r="DCR112" s="3"/>
      <c r="DCS112" s="3"/>
      <c r="DCT112" s="3"/>
      <c r="DCU112" s="3"/>
      <c r="DCV112" s="3"/>
      <c r="DCW112" s="3"/>
      <c r="DCX112" s="3"/>
      <c r="DCY112" s="3"/>
      <c r="DCZ112" s="3"/>
      <c r="DDA112" s="3"/>
      <c r="DDB112" s="3"/>
      <c r="DDC112" s="3"/>
      <c r="DDD112" s="3"/>
      <c r="DDE112" s="3"/>
      <c r="DDF112" s="3"/>
      <c r="DDG112" s="3"/>
      <c r="DDH112" s="3"/>
      <c r="DDI112" s="3"/>
      <c r="DDJ112" s="3"/>
      <c r="DDK112" s="3"/>
      <c r="DDL112" s="3"/>
      <c r="DDM112" s="3"/>
      <c r="DDN112" s="3"/>
      <c r="DDO112" s="3"/>
      <c r="DDP112" s="3"/>
      <c r="DDQ112" s="3"/>
      <c r="DDR112" s="3"/>
      <c r="DDS112" s="3"/>
      <c r="DDT112" s="3"/>
      <c r="DDU112" s="3"/>
      <c r="DDV112" s="3"/>
      <c r="DDW112" s="3"/>
      <c r="DDX112" s="3"/>
      <c r="DDY112" s="3"/>
      <c r="DDZ112" s="3"/>
      <c r="DEA112" s="3"/>
      <c r="DEB112" s="3"/>
      <c r="DEC112" s="3"/>
      <c r="DED112" s="3"/>
      <c r="DEE112" s="3"/>
      <c r="DEF112" s="3"/>
      <c r="DEG112" s="3"/>
      <c r="DEH112" s="3"/>
      <c r="DEI112" s="3"/>
      <c r="DEJ112" s="3"/>
      <c r="DEK112" s="3"/>
      <c r="DEL112" s="3"/>
      <c r="DEM112" s="3"/>
      <c r="DEN112" s="3"/>
      <c r="DEO112" s="3"/>
      <c r="DEP112" s="3"/>
      <c r="DEQ112" s="3"/>
      <c r="DER112" s="3"/>
      <c r="DES112" s="3"/>
      <c r="DET112" s="3"/>
      <c r="DEU112" s="3"/>
      <c r="DEV112" s="3"/>
      <c r="DEW112" s="3"/>
      <c r="DEX112" s="3"/>
      <c r="DEY112" s="3"/>
      <c r="DEZ112" s="3"/>
      <c r="DFA112" s="3"/>
      <c r="DFB112" s="3"/>
      <c r="DFC112" s="3"/>
      <c r="DFD112" s="3"/>
      <c r="DFE112" s="3"/>
      <c r="DFF112" s="3"/>
      <c r="DFG112" s="3"/>
      <c r="DFH112" s="3"/>
      <c r="DFI112" s="3"/>
      <c r="DFJ112" s="3"/>
      <c r="DFK112" s="3"/>
      <c r="DFL112" s="3"/>
      <c r="DFM112" s="3"/>
      <c r="DFN112" s="3"/>
      <c r="DFO112" s="3"/>
      <c r="DFP112" s="3"/>
      <c r="DFQ112" s="3"/>
      <c r="DFR112" s="3"/>
      <c r="DFS112" s="3"/>
      <c r="DFT112" s="3"/>
      <c r="DFU112" s="3"/>
      <c r="DFV112" s="3"/>
      <c r="DFW112" s="3"/>
      <c r="DFX112" s="3"/>
      <c r="DFY112" s="3"/>
      <c r="DFZ112" s="3"/>
      <c r="DGA112" s="3"/>
      <c r="DGB112" s="3"/>
      <c r="DGC112" s="3"/>
      <c r="DGD112" s="3"/>
      <c r="DGE112" s="3"/>
      <c r="DGF112" s="3"/>
      <c r="DGG112" s="3"/>
      <c r="DGH112" s="3"/>
      <c r="DGI112" s="3"/>
      <c r="DGJ112" s="3"/>
      <c r="DGK112" s="3"/>
      <c r="DGL112" s="3"/>
      <c r="DGM112" s="3"/>
      <c r="DGN112" s="3"/>
      <c r="DGO112" s="3"/>
      <c r="DGP112" s="3"/>
      <c r="DGQ112" s="3"/>
      <c r="DGR112" s="3"/>
      <c r="DGS112" s="3"/>
      <c r="DGT112" s="3"/>
      <c r="DGU112" s="3"/>
      <c r="DGV112" s="3"/>
      <c r="DGW112" s="3"/>
      <c r="DGX112" s="3"/>
      <c r="DGY112" s="3"/>
      <c r="DGZ112" s="3"/>
      <c r="DHA112" s="3"/>
      <c r="DHB112" s="3"/>
      <c r="DHC112" s="3"/>
      <c r="DHD112" s="3"/>
      <c r="DHE112" s="3"/>
      <c r="DHF112" s="3"/>
      <c r="DHG112" s="3"/>
      <c r="DHH112" s="3"/>
      <c r="DHI112" s="3"/>
      <c r="DHJ112" s="3"/>
      <c r="DHK112" s="3"/>
      <c r="DHL112" s="3"/>
      <c r="DHM112" s="3"/>
      <c r="DHN112" s="3"/>
      <c r="DHO112" s="3"/>
      <c r="DHP112" s="3"/>
      <c r="DHQ112" s="3"/>
      <c r="DHR112" s="3"/>
      <c r="DHS112" s="3"/>
      <c r="DHT112" s="3"/>
      <c r="DHU112" s="3"/>
      <c r="DHV112" s="3"/>
      <c r="DHW112" s="3"/>
      <c r="DHX112" s="3"/>
      <c r="DHY112" s="3"/>
      <c r="DHZ112" s="3"/>
      <c r="DIA112" s="3"/>
      <c r="DIB112" s="3"/>
      <c r="DIC112" s="3"/>
      <c r="DID112" s="3"/>
      <c r="DIE112" s="3"/>
      <c r="DIF112" s="3"/>
      <c r="DIG112" s="3"/>
      <c r="DIH112" s="3"/>
      <c r="DII112" s="3"/>
      <c r="DIJ112" s="3"/>
      <c r="DIK112" s="3"/>
      <c r="DIL112" s="3"/>
      <c r="DIM112" s="3"/>
      <c r="DIN112" s="3"/>
      <c r="DIO112" s="3"/>
      <c r="DIP112" s="3"/>
      <c r="DIQ112" s="3"/>
      <c r="DIR112" s="3"/>
      <c r="DIS112" s="3"/>
      <c r="DIT112" s="3"/>
      <c r="DIU112" s="3"/>
      <c r="DIV112" s="3"/>
      <c r="DIW112" s="3"/>
      <c r="DIX112" s="3"/>
      <c r="DIY112" s="3"/>
      <c r="DIZ112" s="3"/>
      <c r="DJA112" s="3"/>
      <c r="DJB112" s="3"/>
      <c r="DJC112" s="3"/>
      <c r="DJD112" s="3"/>
      <c r="DJE112" s="3"/>
      <c r="DJF112" s="3"/>
      <c r="DJG112" s="3"/>
      <c r="DJH112" s="3"/>
      <c r="DJI112" s="3"/>
      <c r="DJJ112" s="3"/>
      <c r="DJK112" s="3"/>
      <c r="DJL112" s="3"/>
      <c r="DJM112" s="3"/>
      <c r="DJN112" s="3"/>
      <c r="DJO112" s="3"/>
      <c r="DJP112" s="3"/>
      <c r="DJQ112" s="3"/>
      <c r="DJR112" s="3"/>
      <c r="DJS112" s="3"/>
      <c r="DJT112" s="3"/>
      <c r="DJU112" s="3"/>
      <c r="DJV112" s="3"/>
      <c r="DJW112" s="3"/>
      <c r="DJX112" s="3"/>
      <c r="DJY112" s="3"/>
      <c r="DJZ112" s="3"/>
      <c r="DKA112" s="3"/>
      <c r="DKB112" s="3"/>
      <c r="DKC112" s="3"/>
      <c r="DKD112" s="3"/>
      <c r="DKE112" s="3"/>
      <c r="DKF112" s="3"/>
      <c r="DKG112" s="3"/>
      <c r="DKH112" s="3"/>
      <c r="DKI112" s="3"/>
      <c r="DKJ112" s="3"/>
      <c r="DKK112" s="3"/>
      <c r="DKL112" s="3"/>
      <c r="DKM112" s="3"/>
      <c r="DKN112" s="3"/>
      <c r="DKO112" s="3"/>
      <c r="DKP112" s="3"/>
      <c r="DKQ112" s="3"/>
      <c r="DKR112" s="3"/>
      <c r="DKS112" s="3"/>
      <c r="DKT112" s="3"/>
      <c r="DKU112" s="3"/>
      <c r="DKV112" s="3"/>
      <c r="DKW112" s="3"/>
      <c r="DKX112" s="3"/>
      <c r="DKY112" s="3"/>
      <c r="DKZ112" s="3"/>
      <c r="DLA112" s="3"/>
      <c r="DLB112" s="3"/>
      <c r="DLC112" s="3"/>
      <c r="DLD112" s="3"/>
      <c r="DLE112" s="3"/>
      <c r="DLF112" s="3"/>
      <c r="DLG112" s="3"/>
      <c r="DLH112" s="3"/>
      <c r="DLI112" s="3"/>
      <c r="DLJ112" s="3"/>
      <c r="DLK112" s="3"/>
      <c r="DLL112" s="3"/>
      <c r="DLM112" s="3"/>
      <c r="DLN112" s="3"/>
      <c r="DLO112" s="3"/>
      <c r="DLP112" s="3"/>
      <c r="DLQ112" s="3"/>
      <c r="DLR112" s="3"/>
      <c r="DLS112" s="3"/>
      <c r="DLT112" s="3"/>
      <c r="DLU112" s="3"/>
      <c r="DLV112" s="3"/>
      <c r="DLW112" s="3"/>
      <c r="DLX112" s="3"/>
      <c r="DLY112" s="3"/>
      <c r="DLZ112" s="3"/>
      <c r="DMA112" s="3"/>
      <c r="DMB112" s="3"/>
      <c r="DMC112" s="3"/>
      <c r="DMD112" s="3"/>
      <c r="DME112" s="3"/>
      <c r="DMF112" s="3"/>
      <c r="DMG112" s="3"/>
      <c r="DMH112" s="3"/>
      <c r="DMI112" s="3"/>
      <c r="DMJ112" s="3"/>
      <c r="DMK112" s="3"/>
      <c r="DML112" s="3"/>
      <c r="DMM112" s="3"/>
      <c r="DMN112" s="3"/>
      <c r="DMO112" s="3"/>
      <c r="DMP112" s="3"/>
      <c r="DMQ112" s="3"/>
      <c r="DMR112" s="3"/>
      <c r="DMS112" s="3"/>
      <c r="DMT112" s="3"/>
      <c r="DMU112" s="3"/>
      <c r="DMV112" s="3"/>
      <c r="DMW112" s="3"/>
      <c r="DMX112" s="3"/>
      <c r="DMY112" s="3"/>
      <c r="DMZ112" s="3"/>
      <c r="DNA112" s="3"/>
      <c r="DNB112" s="3"/>
      <c r="DNC112" s="3"/>
      <c r="DND112" s="3"/>
      <c r="DNE112" s="3"/>
      <c r="DNF112" s="3"/>
      <c r="DNG112" s="3"/>
      <c r="DNH112" s="3"/>
      <c r="DNI112" s="3"/>
      <c r="DNJ112" s="3"/>
      <c r="DNK112" s="3"/>
      <c r="DNL112" s="3"/>
      <c r="DNM112" s="3"/>
      <c r="DNN112" s="3"/>
      <c r="DNO112" s="3"/>
      <c r="DNP112" s="3"/>
      <c r="DNQ112" s="3"/>
      <c r="DNR112" s="3"/>
      <c r="DNS112" s="3"/>
      <c r="DNT112" s="3"/>
      <c r="DNU112" s="3"/>
      <c r="DNV112" s="3"/>
      <c r="DNW112" s="3"/>
      <c r="DNX112" s="3"/>
      <c r="DNY112" s="3"/>
      <c r="DNZ112" s="3"/>
      <c r="DOA112" s="3"/>
      <c r="DOB112" s="3"/>
      <c r="DOC112" s="3"/>
      <c r="DOD112" s="3"/>
      <c r="DOE112" s="3"/>
      <c r="DOF112" s="3"/>
      <c r="DOG112" s="3"/>
      <c r="DOH112" s="3"/>
      <c r="DOI112" s="3"/>
      <c r="DOJ112" s="3"/>
      <c r="DOK112" s="3"/>
      <c r="DOL112" s="3"/>
      <c r="DOM112" s="3"/>
      <c r="DON112" s="3"/>
      <c r="DOO112" s="3"/>
      <c r="DOP112" s="3"/>
      <c r="DOQ112" s="3"/>
      <c r="DOR112" s="3"/>
      <c r="DOS112" s="3"/>
      <c r="DOT112" s="3"/>
      <c r="DOU112" s="3"/>
      <c r="DOV112" s="3"/>
      <c r="DOW112" s="3"/>
      <c r="DOX112" s="3"/>
      <c r="DOY112" s="3"/>
      <c r="DOZ112" s="3"/>
      <c r="DPA112" s="3"/>
      <c r="DPB112" s="3"/>
      <c r="DPC112" s="3"/>
      <c r="DPD112" s="3"/>
      <c r="DPE112" s="3"/>
      <c r="DPF112" s="3"/>
      <c r="DPG112" s="3"/>
      <c r="DPH112" s="3"/>
      <c r="DPI112" s="3"/>
      <c r="DPJ112" s="3"/>
      <c r="DPK112" s="3"/>
      <c r="DPL112" s="3"/>
      <c r="DPM112" s="3"/>
      <c r="DPN112" s="3"/>
      <c r="DPO112" s="3"/>
      <c r="DPP112" s="3"/>
      <c r="DPQ112" s="3"/>
      <c r="DPR112" s="3"/>
      <c r="DPS112" s="3"/>
      <c r="DPT112" s="3"/>
      <c r="DPU112" s="3"/>
      <c r="DPV112" s="3"/>
      <c r="DPW112" s="3"/>
      <c r="DPX112" s="3"/>
      <c r="DPY112" s="3"/>
      <c r="DPZ112" s="3"/>
      <c r="DQA112" s="3"/>
      <c r="DQB112" s="3"/>
      <c r="DQC112" s="3"/>
      <c r="DQD112" s="3"/>
      <c r="DQE112" s="3"/>
      <c r="DQF112" s="3"/>
      <c r="DQG112" s="3"/>
      <c r="DQH112" s="3"/>
      <c r="DQI112" s="3"/>
      <c r="DQJ112" s="3"/>
      <c r="DQK112" s="3"/>
      <c r="DQL112" s="3"/>
      <c r="DQM112" s="3"/>
      <c r="DQN112" s="3"/>
      <c r="DQO112" s="3"/>
      <c r="DQP112" s="3"/>
      <c r="DQQ112" s="3"/>
      <c r="DQR112" s="3"/>
      <c r="DQS112" s="3"/>
      <c r="DQT112" s="3"/>
      <c r="DQU112" s="3"/>
      <c r="DQV112" s="3"/>
      <c r="DQW112" s="3"/>
      <c r="DQX112" s="3"/>
      <c r="DQY112" s="3"/>
      <c r="DQZ112" s="3"/>
      <c r="DRA112" s="3"/>
      <c r="DRB112" s="3"/>
      <c r="DRC112" s="3"/>
      <c r="DRD112" s="3"/>
      <c r="DRE112" s="3"/>
      <c r="DRF112" s="3"/>
      <c r="DRG112" s="3"/>
      <c r="DRH112" s="3"/>
      <c r="DRI112" s="3"/>
      <c r="DRJ112" s="3"/>
      <c r="DRK112" s="3"/>
      <c r="DRL112" s="3"/>
      <c r="DRM112" s="3"/>
      <c r="DRN112" s="3"/>
      <c r="DRO112" s="3"/>
      <c r="DRP112" s="3"/>
      <c r="DRQ112" s="3"/>
      <c r="DRR112" s="3"/>
      <c r="DRS112" s="3"/>
      <c r="DRT112" s="3"/>
      <c r="DRU112" s="3"/>
      <c r="DRV112" s="3"/>
      <c r="DRW112" s="3"/>
      <c r="DRX112" s="3"/>
      <c r="DRY112" s="3"/>
      <c r="DRZ112" s="3"/>
      <c r="DSA112" s="3"/>
      <c r="DSB112" s="3"/>
      <c r="DSC112" s="3"/>
      <c r="DSD112" s="3"/>
      <c r="DSE112" s="3"/>
      <c r="DSF112" s="3"/>
      <c r="DSG112" s="3"/>
      <c r="DSH112" s="3"/>
      <c r="DSI112" s="3"/>
      <c r="DSJ112" s="3"/>
      <c r="DSK112" s="3"/>
      <c r="DSL112" s="3"/>
      <c r="DSM112" s="3"/>
      <c r="DSN112" s="3"/>
      <c r="DSO112" s="3"/>
      <c r="DSP112" s="3"/>
      <c r="DSQ112" s="3"/>
      <c r="DSR112" s="3"/>
      <c r="DSS112" s="3"/>
      <c r="DST112" s="3"/>
      <c r="DSU112" s="3"/>
      <c r="DSV112" s="3"/>
      <c r="DSW112" s="3"/>
      <c r="DSX112" s="3"/>
      <c r="DSY112" s="3"/>
      <c r="DSZ112" s="3"/>
      <c r="DTA112" s="3"/>
      <c r="DTB112" s="3"/>
      <c r="DTC112" s="3"/>
      <c r="DTD112" s="3"/>
      <c r="DTE112" s="3"/>
      <c r="DTF112" s="3"/>
      <c r="DTG112" s="3"/>
      <c r="DTH112" s="3"/>
      <c r="DTI112" s="3"/>
      <c r="DTJ112" s="3"/>
      <c r="DTK112" s="3"/>
      <c r="DTL112" s="3"/>
      <c r="DTM112" s="3"/>
      <c r="DTN112" s="3"/>
      <c r="DTO112" s="3"/>
      <c r="DTP112" s="3"/>
      <c r="DTQ112" s="3"/>
      <c r="DTR112" s="3"/>
      <c r="DTS112" s="3"/>
      <c r="DTT112" s="3"/>
      <c r="DTU112" s="3"/>
      <c r="DTV112" s="3"/>
      <c r="DTW112" s="3"/>
      <c r="DTX112" s="3"/>
      <c r="DTY112" s="3"/>
      <c r="DTZ112" s="3"/>
      <c r="DUA112" s="3"/>
      <c r="DUB112" s="3"/>
      <c r="DUC112" s="3"/>
      <c r="DUD112" s="3"/>
      <c r="DUE112" s="3"/>
      <c r="DUF112" s="3"/>
      <c r="DUG112" s="3"/>
      <c r="DUH112" s="3"/>
      <c r="DUI112" s="3"/>
      <c r="DUJ112" s="3"/>
      <c r="DUK112" s="3"/>
      <c r="DUL112" s="3"/>
      <c r="DUM112" s="3"/>
      <c r="DUN112" s="3"/>
      <c r="DUO112" s="3"/>
      <c r="DUP112" s="3"/>
      <c r="DUQ112" s="3"/>
      <c r="DUR112" s="3"/>
      <c r="DUS112" s="3"/>
      <c r="DUT112" s="3"/>
      <c r="DUU112" s="3"/>
      <c r="DUV112" s="3"/>
      <c r="DUW112" s="3"/>
      <c r="DUX112" s="3"/>
      <c r="DUY112" s="3"/>
      <c r="DUZ112" s="3"/>
      <c r="DVA112" s="3"/>
      <c r="DVB112" s="3"/>
      <c r="DVC112" s="3"/>
      <c r="DVD112" s="3"/>
      <c r="DVE112" s="3"/>
      <c r="DVF112" s="3"/>
      <c r="DVG112" s="3"/>
      <c r="DVH112" s="3"/>
      <c r="DVI112" s="3"/>
      <c r="DVJ112" s="3"/>
      <c r="DVK112" s="3"/>
      <c r="DVL112" s="3"/>
      <c r="DVM112" s="3"/>
      <c r="DVN112" s="3"/>
      <c r="DVO112" s="3"/>
      <c r="DVP112" s="3"/>
      <c r="DVQ112" s="3"/>
      <c r="DVR112" s="3"/>
      <c r="DVS112" s="3"/>
      <c r="DVT112" s="3"/>
      <c r="DVU112" s="3"/>
      <c r="DVV112" s="3"/>
      <c r="DVW112" s="3"/>
      <c r="DVX112" s="3"/>
      <c r="DVY112" s="3"/>
      <c r="DVZ112" s="3"/>
      <c r="DWA112" s="3"/>
      <c r="DWB112" s="3"/>
      <c r="DWC112" s="3"/>
      <c r="DWD112" s="3"/>
      <c r="DWE112" s="3"/>
      <c r="DWF112" s="3"/>
      <c r="DWG112" s="3"/>
      <c r="DWH112" s="3"/>
      <c r="DWI112" s="3"/>
      <c r="DWJ112" s="3"/>
      <c r="DWK112" s="3"/>
      <c r="DWL112" s="3"/>
      <c r="DWM112" s="3"/>
      <c r="DWN112" s="3"/>
      <c r="DWO112" s="3"/>
      <c r="DWP112" s="3"/>
      <c r="DWQ112" s="3"/>
      <c r="DWR112" s="3"/>
      <c r="DWS112" s="3"/>
      <c r="DWT112" s="3"/>
      <c r="DWU112" s="3"/>
      <c r="DWV112" s="3"/>
      <c r="DWW112" s="3"/>
      <c r="DWX112" s="3"/>
      <c r="DWY112" s="3"/>
      <c r="DWZ112" s="3"/>
      <c r="DXA112" s="3"/>
      <c r="DXB112" s="3"/>
      <c r="DXC112" s="3"/>
      <c r="DXD112" s="3"/>
      <c r="DXE112" s="3"/>
      <c r="DXF112" s="3"/>
      <c r="DXG112" s="3"/>
      <c r="DXH112" s="3"/>
      <c r="DXI112" s="3"/>
      <c r="DXJ112" s="3"/>
      <c r="DXK112" s="3"/>
      <c r="DXL112" s="3"/>
      <c r="DXM112" s="3"/>
      <c r="DXN112" s="3"/>
      <c r="DXO112" s="3"/>
      <c r="DXP112" s="3"/>
      <c r="DXQ112" s="3"/>
      <c r="DXR112" s="3"/>
      <c r="DXS112" s="3"/>
      <c r="DXT112" s="3"/>
      <c r="DXU112" s="3"/>
      <c r="DXV112" s="3"/>
      <c r="DXW112" s="3"/>
      <c r="DXX112" s="3"/>
      <c r="DXY112" s="3"/>
      <c r="DXZ112" s="3"/>
      <c r="DYA112" s="3"/>
      <c r="DYB112" s="3"/>
      <c r="DYC112" s="3"/>
      <c r="DYD112" s="3"/>
      <c r="DYE112" s="3"/>
      <c r="DYF112" s="3"/>
      <c r="DYG112" s="3"/>
      <c r="DYH112" s="3"/>
      <c r="DYI112" s="3"/>
      <c r="DYJ112" s="3"/>
      <c r="DYK112" s="3"/>
      <c r="DYL112" s="3"/>
      <c r="DYM112" s="3"/>
      <c r="DYN112" s="3"/>
      <c r="DYO112" s="3"/>
      <c r="DYP112" s="3"/>
      <c r="DYQ112" s="3"/>
      <c r="DYR112" s="3"/>
      <c r="DYS112" s="3"/>
      <c r="DYT112" s="3"/>
      <c r="DYU112" s="3"/>
      <c r="DYV112" s="3"/>
      <c r="DYW112" s="3"/>
      <c r="DYX112" s="3"/>
      <c r="DYY112" s="3"/>
      <c r="DYZ112" s="3"/>
      <c r="DZA112" s="3"/>
      <c r="DZB112" s="3"/>
      <c r="DZC112" s="3"/>
      <c r="DZD112" s="3"/>
      <c r="DZE112" s="3"/>
      <c r="DZF112" s="3"/>
      <c r="DZG112" s="3"/>
      <c r="DZH112" s="3"/>
      <c r="DZI112" s="3"/>
      <c r="DZJ112" s="3"/>
      <c r="DZK112" s="3"/>
      <c r="DZL112" s="3"/>
      <c r="DZM112" s="3"/>
      <c r="DZN112" s="3"/>
      <c r="DZO112" s="3"/>
      <c r="DZP112" s="3"/>
      <c r="DZQ112" s="3"/>
      <c r="DZR112" s="3"/>
      <c r="DZS112" s="3"/>
      <c r="DZT112" s="3"/>
      <c r="DZU112" s="3"/>
      <c r="DZV112" s="3"/>
      <c r="DZW112" s="3"/>
      <c r="DZX112" s="3"/>
      <c r="DZY112" s="3"/>
      <c r="DZZ112" s="3"/>
      <c r="EAA112" s="3"/>
      <c r="EAB112" s="3"/>
      <c r="EAC112" s="3"/>
      <c r="EAD112" s="3"/>
      <c r="EAE112" s="3"/>
      <c r="EAF112" s="3"/>
      <c r="EAG112" s="3"/>
      <c r="EAH112" s="3"/>
      <c r="EAI112" s="3"/>
      <c r="EAJ112" s="3"/>
      <c r="EAK112" s="3"/>
      <c r="EAL112" s="3"/>
      <c r="EAM112" s="3"/>
      <c r="EAN112" s="3"/>
      <c r="EAO112" s="3"/>
      <c r="EAP112" s="3"/>
      <c r="EAQ112" s="3"/>
      <c r="EAR112" s="3"/>
      <c r="EAS112" s="3"/>
      <c r="EAT112" s="3"/>
      <c r="EAU112" s="3"/>
      <c r="EAV112" s="3"/>
      <c r="EAW112" s="3"/>
      <c r="EAX112" s="3"/>
      <c r="EAY112" s="3"/>
      <c r="EAZ112" s="3"/>
      <c r="EBA112" s="3"/>
      <c r="EBB112" s="3"/>
      <c r="EBC112" s="3"/>
      <c r="EBD112" s="3"/>
      <c r="EBE112" s="3"/>
      <c r="EBF112" s="3"/>
      <c r="EBG112" s="3"/>
      <c r="EBH112" s="3"/>
      <c r="EBI112" s="3"/>
      <c r="EBJ112" s="3"/>
      <c r="EBK112" s="3"/>
      <c r="EBL112" s="3"/>
      <c r="EBM112" s="3"/>
      <c r="EBN112" s="3"/>
      <c r="EBO112" s="3"/>
      <c r="EBP112" s="3"/>
      <c r="EBQ112" s="3"/>
      <c r="EBR112" s="3"/>
      <c r="EBS112" s="3"/>
      <c r="EBT112" s="3"/>
      <c r="EBU112" s="3"/>
      <c r="EBV112" s="3"/>
      <c r="EBW112" s="3"/>
      <c r="EBX112" s="3"/>
      <c r="EBY112" s="3"/>
      <c r="EBZ112" s="3"/>
      <c r="ECA112" s="3"/>
      <c r="ECB112" s="3"/>
      <c r="ECC112" s="3"/>
      <c r="ECD112" s="3"/>
      <c r="ECE112" s="3"/>
      <c r="ECF112" s="3"/>
      <c r="ECG112" s="3"/>
      <c r="ECH112" s="3"/>
      <c r="ECI112" s="3"/>
      <c r="ECJ112" s="3"/>
      <c r="ECK112" s="3"/>
      <c r="ECL112" s="3"/>
      <c r="ECM112" s="3"/>
      <c r="ECN112" s="3"/>
      <c r="ECO112" s="3"/>
      <c r="ECP112" s="3"/>
      <c r="ECQ112" s="3"/>
      <c r="ECR112" s="3"/>
      <c r="ECS112" s="3"/>
      <c r="ECT112" s="3"/>
      <c r="ECU112" s="3"/>
      <c r="ECV112" s="3"/>
      <c r="ECW112" s="3"/>
      <c r="ECX112" s="3"/>
      <c r="ECY112" s="3"/>
      <c r="ECZ112" s="3"/>
      <c r="EDA112" s="3"/>
      <c r="EDB112" s="3"/>
      <c r="EDC112" s="3"/>
      <c r="EDD112" s="3"/>
      <c r="EDE112" s="3"/>
      <c r="EDF112" s="3"/>
      <c r="EDG112" s="3"/>
      <c r="EDH112" s="3"/>
      <c r="EDI112" s="3"/>
      <c r="EDJ112" s="3"/>
      <c r="EDK112" s="3"/>
      <c r="EDL112" s="3"/>
      <c r="EDM112" s="3"/>
      <c r="EDN112" s="3"/>
      <c r="EDO112" s="3"/>
      <c r="EDP112" s="3"/>
      <c r="EDQ112" s="3"/>
      <c r="EDR112" s="3"/>
      <c r="EDS112" s="3"/>
      <c r="EDT112" s="3"/>
      <c r="EDU112" s="3"/>
      <c r="EDV112" s="3"/>
      <c r="EDW112" s="3"/>
      <c r="EDX112" s="3"/>
      <c r="EDY112" s="3"/>
      <c r="EDZ112" s="3"/>
      <c r="EEA112" s="3"/>
      <c r="EEB112" s="3"/>
      <c r="EEC112" s="3"/>
      <c r="EED112" s="3"/>
      <c r="EEE112" s="3"/>
      <c r="EEF112" s="3"/>
      <c r="EEG112" s="3"/>
      <c r="EEH112" s="3"/>
      <c r="EEI112" s="3"/>
      <c r="EEJ112" s="3"/>
      <c r="EEK112" s="3"/>
      <c r="EEL112" s="3"/>
      <c r="EEM112" s="3"/>
      <c r="EEN112" s="3"/>
      <c r="EEO112" s="3"/>
      <c r="EEP112" s="3"/>
      <c r="EEQ112" s="3"/>
      <c r="EER112" s="3"/>
      <c r="EES112" s="3"/>
      <c r="EET112" s="3"/>
      <c r="EEU112" s="3"/>
      <c r="EEV112" s="3"/>
      <c r="EEW112" s="3"/>
      <c r="EEX112" s="3"/>
      <c r="EEY112" s="3"/>
      <c r="EEZ112" s="3"/>
      <c r="EFA112" s="3"/>
      <c r="EFB112" s="3"/>
      <c r="EFC112" s="3"/>
      <c r="EFD112" s="3"/>
      <c r="EFE112" s="3"/>
      <c r="EFF112" s="3"/>
      <c r="EFG112" s="3"/>
      <c r="EFH112" s="3"/>
      <c r="EFI112" s="3"/>
      <c r="EFJ112" s="3"/>
      <c r="EFK112" s="3"/>
      <c r="EFL112" s="3"/>
      <c r="EFM112" s="3"/>
      <c r="EFN112" s="3"/>
      <c r="EFO112" s="3"/>
      <c r="EFP112" s="3"/>
      <c r="EFQ112" s="3"/>
      <c r="EFR112" s="3"/>
      <c r="EFS112" s="3"/>
      <c r="EFT112" s="3"/>
      <c r="EFU112" s="3"/>
      <c r="EFV112" s="3"/>
      <c r="EFW112" s="3"/>
      <c r="EFX112" s="3"/>
      <c r="EFY112" s="3"/>
      <c r="EFZ112" s="3"/>
      <c r="EGA112" s="3"/>
      <c r="EGB112" s="3"/>
      <c r="EGC112" s="3"/>
      <c r="EGD112" s="3"/>
      <c r="EGE112" s="3"/>
      <c r="EGF112" s="3"/>
      <c r="EGG112" s="3"/>
      <c r="EGH112" s="3"/>
      <c r="EGI112" s="3"/>
      <c r="EGJ112" s="3"/>
      <c r="EGK112" s="3"/>
      <c r="EGL112" s="3"/>
      <c r="EGM112" s="3"/>
      <c r="EGN112" s="3"/>
      <c r="EGO112" s="3"/>
      <c r="EGP112" s="3"/>
      <c r="EGQ112" s="3"/>
      <c r="EGR112" s="3"/>
      <c r="EGS112" s="3"/>
      <c r="EGT112" s="3"/>
      <c r="EGU112" s="3"/>
      <c r="EGV112" s="3"/>
      <c r="EGW112" s="3"/>
      <c r="EGX112" s="3"/>
      <c r="EGY112" s="3"/>
      <c r="EGZ112" s="3"/>
      <c r="EHA112" s="3"/>
      <c r="EHB112" s="3"/>
      <c r="EHC112" s="3"/>
      <c r="EHD112" s="3"/>
      <c r="EHE112" s="3"/>
      <c r="EHF112" s="3"/>
      <c r="EHG112" s="3"/>
      <c r="EHH112" s="3"/>
      <c r="EHI112" s="3"/>
      <c r="EHJ112" s="3"/>
      <c r="EHK112" s="3"/>
      <c r="EHL112" s="3"/>
      <c r="EHM112" s="3"/>
      <c r="EHN112" s="3"/>
      <c r="EHO112" s="3"/>
      <c r="EHP112" s="3"/>
      <c r="EHQ112" s="3"/>
      <c r="EHR112" s="3"/>
      <c r="EHS112" s="3"/>
      <c r="EHT112" s="3"/>
      <c r="EHU112" s="3"/>
      <c r="EHV112" s="3"/>
      <c r="EHW112" s="3"/>
      <c r="EHX112" s="3"/>
      <c r="EHY112" s="3"/>
      <c r="EHZ112" s="3"/>
      <c r="EIA112" s="3"/>
      <c r="EIB112" s="3"/>
      <c r="EIC112" s="3"/>
      <c r="EID112" s="3"/>
      <c r="EIE112" s="3"/>
      <c r="EIF112" s="3"/>
      <c r="EIG112" s="3"/>
      <c r="EIH112" s="3"/>
      <c r="EII112" s="3"/>
      <c r="EIJ112" s="3"/>
      <c r="EIK112" s="3"/>
      <c r="EIL112" s="3"/>
      <c r="EIM112" s="3"/>
      <c r="EIN112" s="3"/>
      <c r="EIO112" s="3"/>
      <c r="EIP112" s="3"/>
      <c r="EIQ112" s="3"/>
      <c r="EIR112" s="3"/>
      <c r="EIS112" s="3"/>
      <c r="EIT112" s="3"/>
      <c r="EIU112" s="3"/>
      <c r="EIV112" s="3"/>
      <c r="EIW112" s="3"/>
      <c r="EIX112" s="3"/>
      <c r="EIY112" s="3"/>
      <c r="EIZ112" s="3"/>
      <c r="EJA112" s="3"/>
      <c r="EJB112" s="3"/>
      <c r="EJC112" s="3"/>
      <c r="EJD112" s="3"/>
      <c r="EJE112" s="3"/>
      <c r="EJF112" s="3"/>
      <c r="EJG112" s="3"/>
      <c r="EJH112" s="3"/>
      <c r="EJI112" s="3"/>
      <c r="EJJ112" s="3"/>
      <c r="EJK112" s="3"/>
      <c r="EJL112" s="3"/>
      <c r="EJM112" s="3"/>
      <c r="EJN112" s="3"/>
      <c r="EJO112" s="3"/>
      <c r="EJP112" s="3"/>
      <c r="EJQ112" s="3"/>
      <c r="EJR112" s="3"/>
      <c r="EJS112" s="3"/>
      <c r="EJT112" s="3"/>
      <c r="EJU112" s="3"/>
      <c r="EJV112" s="3"/>
      <c r="EJW112" s="3"/>
      <c r="EJX112" s="3"/>
      <c r="EJY112" s="3"/>
      <c r="EJZ112" s="3"/>
      <c r="EKA112" s="3"/>
      <c r="EKB112" s="3"/>
      <c r="EKC112" s="3"/>
      <c r="EKD112" s="3"/>
      <c r="EKE112" s="3"/>
      <c r="EKF112" s="3"/>
      <c r="EKG112" s="3"/>
      <c r="EKH112" s="3"/>
      <c r="EKI112" s="3"/>
      <c r="EKJ112" s="3"/>
      <c r="EKK112" s="3"/>
      <c r="EKL112" s="3"/>
      <c r="EKM112" s="3"/>
      <c r="EKN112" s="3"/>
      <c r="EKO112" s="3"/>
      <c r="EKP112" s="3"/>
      <c r="EKQ112" s="3"/>
      <c r="EKR112" s="3"/>
      <c r="EKS112" s="3"/>
      <c r="EKT112" s="3"/>
      <c r="EKU112" s="3"/>
      <c r="EKV112" s="3"/>
      <c r="EKW112" s="3"/>
      <c r="EKX112" s="3"/>
      <c r="EKY112" s="3"/>
      <c r="EKZ112" s="3"/>
      <c r="ELA112" s="3"/>
      <c r="ELB112" s="3"/>
      <c r="ELC112" s="3"/>
      <c r="ELD112" s="3"/>
      <c r="ELE112" s="3"/>
      <c r="ELF112" s="3"/>
      <c r="ELG112" s="3"/>
      <c r="ELH112" s="3"/>
      <c r="ELI112" s="3"/>
      <c r="ELJ112" s="3"/>
      <c r="ELK112" s="3"/>
      <c r="ELL112" s="3"/>
      <c r="ELM112" s="3"/>
      <c r="ELN112" s="3"/>
      <c r="ELO112" s="3"/>
      <c r="ELP112" s="3"/>
      <c r="ELQ112" s="3"/>
      <c r="ELR112" s="3"/>
      <c r="ELS112" s="3"/>
      <c r="ELT112" s="3"/>
      <c r="ELU112" s="3"/>
      <c r="ELV112" s="3"/>
      <c r="ELW112" s="3"/>
      <c r="ELX112" s="3"/>
      <c r="ELY112" s="3"/>
      <c r="ELZ112" s="3"/>
      <c r="EMA112" s="3"/>
      <c r="EMB112" s="3"/>
      <c r="EMC112" s="3"/>
      <c r="EMD112" s="3"/>
      <c r="EME112" s="3"/>
      <c r="EMF112" s="3"/>
      <c r="EMG112" s="3"/>
      <c r="EMH112" s="3"/>
      <c r="EMI112" s="3"/>
      <c r="EMJ112" s="3"/>
      <c r="EMK112" s="3"/>
      <c r="EML112" s="3"/>
      <c r="EMM112" s="3"/>
      <c r="EMN112" s="3"/>
      <c r="EMO112" s="3"/>
      <c r="EMP112" s="3"/>
      <c r="EMQ112" s="3"/>
      <c r="EMR112" s="3"/>
      <c r="EMS112" s="3"/>
      <c r="EMT112" s="3"/>
      <c r="EMU112" s="3"/>
      <c r="EMV112" s="3"/>
      <c r="EMW112" s="3"/>
      <c r="EMX112" s="3"/>
      <c r="EMY112" s="3"/>
      <c r="EMZ112" s="3"/>
      <c r="ENA112" s="3"/>
      <c r="ENB112" s="3"/>
      <c r="ENC112" s="3"/>
      <c r="END112" s="3"/>
      <c r="ENE112" s="3"/>
      <c r="ENF112" s="3"/>
      <c r="ENG112" s="3"/>
      <c r="ENH112" s="3"/>
      <c r="ENI112" s="3"/>
      <c r="ENJ112" s="3"/>
      <c r="ENK112" s="3"/>
      <c r="ENL112" s="3"/>
      <c r="ENM112" s="3"/>
      <c r="ENN112" s="3"/>
      <c r="ENO112" s="3"/>
      <c r="ENP112" s="3"/>
      <c r="ENQ112" s="3"/>
      <c r="ENR112" s="3"/>
      <c r="ENS112" s="3"/>
      <c r="ENT112" s="3"/>
      <c r="ENU112" s="3"/>
      <c r="ENV112" s="3"/>
      <c r="ENW112" s="3"/>
      <c r="ENX112" s="3"/>
      <c r="ENY112" s="3"/>
      <c r="ENZ112" s="3"/>
      <c r="EOA112" s="3"/>
      <c r="EOB112" s="3"/>
      <c r="EOC112" s="3"/>
      <c r="EOD112" s="3"/>
      <c r="EOE112" s="3"/>
      <c r="EOF112" s="3"/>
      <c r="EOG112" s="3"/>
      <c r="EOH112" s="3"/>
      <c r="EOI112" s="3"/>
      <c r="EOJ112" s="3"/>
      <c r="EOK112" s="3"/>
      <c r="EOL112" s="3"/>
      <c r="EOM112" s="3"/>
      <c r="EON112" s="3"/>
      <c r="EOO112" s="3"/>
      <c r="EOP112" s="3"/>
      <c r="EOQ112" s="3"/>
      <c r="EOR112" s="3"/>
      <c r="EOS112" s="3"/>
      <c r="EOT112" s="3"/>
      <c r="EOU112" s="3"/>
      <c r="EOV112" s="3"/>
      <c r="EOW112" s="3"/>
      <c r="EOX112" s="3"/>
      <c r="EOY112" s="3"/>
      <c r="EOZ112" s="3"/>
      <c r="EPA112" s="3"/>
      <c r="EPB112" s="3"/>
      <c r="EPC112" s="3"/>
      <c r="EPD112" s="3"/>
      <c r="EPE112" s="3"/>
      <c r="EPF112" s="3"/>
      <c r="EPG112" s="3"/>
      <c r="EPH112" s="3"/>
      <c r="EPI112" s="3"/>
      <c r="EPJ112" s="3"/>
      <c r="EPK112" s="3"/>
      <c r="EPL112" s="3"/>
      <c r="EPM112" s="3"/>
      <c r="EPN112" s="3"/>
      <c r="EPO112" s="3"/>
      <c r="EPP112" s="3"/>
      <c r="EPQ112" s="3"/>
      <c r="EPR112" s="3"/>
      <c r="EPS112" s="3"/>
      <c r="EPT112" s="3"/>
      <c r="EPU112" s="3"/>
      <c r="EPV112" s="3"/>
      <c r="EPW112" s="3"/>
      <c r="EPX112" s="3"/>
      <c r="EPY112" s="3"/>
      <c r="EPZ112" s="3"/>
      <c r="EQA112" s="3"/>
      <c r="EQB112" s="3"/>
      <c r="EQC112" s="3"/>
      <c r="EQD112" s="3"/>
      <c r="EQE112" s="3"/>
      <c r="EQF112" s="3"/>
      <c r="EQG112" s="3"/>
      <c r="EQH112" s="3"/>
      <c r="EQI112" s="3"/>
      <c r="EQJ112" s="3"/>
      <c r="EQK112" s="3"/>
      <c r="EQL112" s="3"/>
      <c r="EQM112" s="3"/>
      <c r="EQN112" s="3"/>
      <c r="EQO112" s="3"/>
      <c r="EQP112" s="3"/>
      <c r="EQQ112" s="3"/>
      <c r="EQR112" s="3"/>
      <c r="EQS112" s="3"/>
      <c r="EQT112" s="3"/>
      <c r="EQU112" s="3"/>
      <c r="EQV112" s="3"/>
      <c r="EQW112" s="3"/>
      <c r="EQX112" s="3"/>
      <c r="EQY112" s="3"/>
      <c r="EQZ112" s="3"/>
      <c r="ERA112" s="3"/>
      <c r="ERB112" s="3"/>
      <c r="ERC112" s="3"/>
      <c r="ERD112" s="3"/>
      <c r="ERE112" s="3"/>
      <c r="ERF112" s="3"/>
      <c r="ERG112" s="3"/>
      <c r="ERH112" s="3"/>
      <c r="ERI112" s="3"/>
      <c r="ERJ112" s="3"/>
      <c r="ERK112" s="3"/>
      <c r="ERL112" s="3"/>
      <c r="ERM112" s="3"/>
      <c r="ERN112" s="3"/>
      <c r="ERO112" s="3"/>
      <c r="ERP112" s="3"/>
      <c r="ERQ112" s="3"/>
      <c r="ERR112" s="3"/>
      <c r="ERS112" s="3"/>
      <c r="ERT112" s="3"/>
      <c r="ERU112" s="3"/>
      <c r="ERV112" s="3"/>
      <c r="ERW112" s="3"/>
      <c r="ERX112" s="3"/>
      <c r="ERY112" s="3"/>
      <c r="ERZ112" s="3"/>
      <c r="ESA112" s="3"/>
      <c r="ESB112" s="3"/>
      <c r="ESC112" s="3"/>
      <c r="ESD112" s="3"/>
      <c r="ESE112" s="3"/>
      <c r="ESF112" s="3"/>
      <c r="ESG112" s="3"/>
      <c r="ESH112" s="3"/>
      <c r="ESI112" s="3"/>
      <c r="ESJ112" s="3"/>
      <c r="ESK112" s="3"/>
      <c r="ESL112" s="3"/>
      <c r="ESM112" s="3"/>
      <c r="ESN112" s="3"/>
      <c r="ESO112" s="3"/>
      <c r="ESP112" s="3"/>
      <c r="ESQ112" s="3"/>
      <c r="ESR112" s="3"/>
      <c r="ESS112" s="3"/>
      <c r="EST112" s="3"/>
      <c r="ESU112" s="3"/>
      <c r="ESV112" s="3"/>
      <c r="ESW112" s="3"/>
      <c r="ESX112" s="3"/>
      <c r="ESY112" s="3"/>
      <c r="ESZ112" s="3"/>
      <c r="ETA112" s="3"/>
      <c r="ETB112" s="3"/>
      <c r="ETC112" s="3"/>
      <c r="ETD112" s="3"/>
      <c r="ETE112" s="3"/>
      <c r="ETF112" s="3"/>
      <c r="ETG112" s="3"/>
      <c r="ETH112" s="3"/>
      <c r="ETI112" s="3"/>
      <c r="ETJ112" s="3"/>
      <c r="ETK112" s="3"/>
      <c r="ETL112" s="3"/>
      <c r="ETM112" s="3"/>
      <c r="ETN112" s="3"/>
      <c r="ETO112" s="3"/>
      <c r="ETP112" s="3"/>
      <c r="ETQ112" s="3"/>
      <c r="ETR112" s="3"/>
      <c r="ETS112" s="3"/>
      <c r="ETT112" s="3"/>
      <c r="ETU112" s="3"/>
      <c r="ETV112" s="3"/>
      <c r="ETW112" s="3"/>
      <c r="ETX112" s="3"/>
      <c r="ETY112" s="3"/>
      <c r="ETZ112" s="3"/>
      <c r="EUA112" s="3"/>
      <c r="EUB112" s="3"/>
      <c r="EUC112" s="3"/>
      <c r="EUD112" s="3"/>
      <c r="EUE112" s="3"/>
      <c r="EUF112" s="3"/>
      <c r="EUG112" s="3"/>
      <c r="EUH112" s="3"/>
      <c r="EUI112" s="3"/>
      <c r="EUJ112" s="3"/>
      <c r="EUK112" s="3"/>
      <c r="EUL112" s="3"/>
      <c r="EUM112" s="3"/>
      <c r="EUN112" s="3"/>
      <c r="EUO112" s="3"/>
      <c r="EUP112" s="3"/>
      <c r="EUQ112" s="3"/>
      <c r="EUR112" s="3"/>
      <c r="EUS112" s="3"/>
      <c r="EUT112" s="3"/>
      <c r="EUU112" s="3"/>
      <c r="EUV112" s="3"/>
      <c r="EUW112" s="3"/>
      <c r="EUX112" s="3"/>
      <c r="EUY112" s="3"/>
      <c r="EUZ112" s="3"/>
      <c r="EVA112" s="3"/>
      <c r="EVB112" s="3"/>
      <c r="EVC112" s="3"/>
      <c r="EVD112" s="3"/>
      <c r="EVE112" s="3"/>
      <c r="EVF112" s="3"/>
      <c r="EVG112" s="3"/>
      <c r="EVH112" s="3"/>
      <c r="EVI112" s="3"/>
      <c r="EVJ112" s="3"/>
      <c r="EVK112" s="3"/>
      <c r="EVL112" s="3"/>
      <c r="EVM112" s="3"/>
      <c r="EVN112" s="3"/>
      <c r="EVO112" s="3"/>
      <c r="EVP112" s="3"/>
      <c r="EVQ112" s="3"/>
      <c r="EVR112" s="3"/>
      <c r="EVS112" s="3"/>
      <c r="EVT112" s="3"/>
      <c r="EVU112" s="3"/>
      <c r="EVV112" s="3"/>
      <c r="EVW112" s="3"/>
      <c r="EVX112" s="3"/>
      <c r="EVY112" s="3"/>
      <c r="EVZ112" s="3"/>
      <c r="EWA112" s="3"/>
      <c r="EWB112" s="3"/>
      <c r="EWC112" s="3"/>
      <c r="EWD112" s="3"/>
      <c r="EWE112" s="3"/>
      <c r="EWF112" s="3"/>
      <c r="EWG112" s="3"/>
      <c r="EWH112" s="3"/>
      <c r="EWI112" s="3"/>
      <c r="EWJ112" s="3"/>
      <c r="EWK112" s="3"/>
      <c r="EWL112" s="3"/>
      <c r="EWM112" s="3"/>
      <c r="EWN112" s="3"/>
      <c r="EWO112" s="3"/>
      <c r="EWP112" s="3"/>
      <c r="EWQ112" s="3"/>
      <c r="EWR112" s="3"/>
      <c r="EWS112" s="3"/>
      <c r="EWT112" s="3"/>
      <c r="EWU112" s="3"/>
      <c r="EWV112" s="3"/>
      <c r="EWW112" s="3"/>
      <c r="EWX112" s="3"/>
      <c r="EWY112" s="3"/>
      <c r="EWZ112" s="3"/>
      <c r="EXA112" s="3"/>
      <c r="EXB112" s="3"/>
      <c r="EXC112" s="3"/>
      <c r="EXD112" s="3"/>
      <c r="EXE112" s="3"/>
      <c r="EXF112" s="3"/>
      <c r="EXG112" s="3"/>
      <c r="EXH112" s="3"/>
      <c r="EXI112" s="3"/>
      <c r="EXJ112" s="3"/>
      <c r="EXK112" s="3"/>
      <c r="EXL112" s="3"/>
      <c r="EXM112" s="3"/>
      <c r="EXN112" s="3"/>
      <c r="EXO112" s="3"/>
      <c r="EXP112" s="3"/>
      <c r="EXQ112" s="3"/>
      <c r="EXR112" s="3"/>
      <c r="EXS112" s="3"/>
      <c r="EXT112" s="3"/>
      <c r="EXU112" s="3"/>
      <c r="EXV112" s="3"/>
      <c r="EXW112" s="3"/>
      <c r="EXX112" s="3"/>
      <c r="EXY112" s="3"/>
      <c r="EXZ112" s="3"/>
      <c r="EYA112" s="3"/>
      <c r="EYB112" s="3"/>
      <c r="EYC112" s="3"/>
      <c r="EYD112" s="3"/>
      <c r="EYE112" s="3"/>
      <c r="EYF112" s="3"/>
      <c r="EYG112" s="3"/>
      <c r="EYH112" s="3"/>
      <c r="EYI112" s="3"/>
      <c r="EYJ112" s="3"/>
      <c r="EYK112" s="3"/>
      <c r="EYL112" s="3"/>
      <c r="EYM112" s="3"/>
      <c r="EYN112" s="3"/>
      <c r="EYO112" s="3"/>
      <c r="EYP112" s="3"/>
      <c r="EYQ112" s="3"/>
      <c r="EYR112" s="3"/>
      <c r="EYS112" s="3"/>
      <c r="EYT112" s="3"/>
      <c r="EYU112" s="3"/>
      <c r="EYV112" s="3"/>
      <c r="EYW112" s="3"/>
      <c r="EYX112" s="3"/>
      <c r="EYY112" s="3"/>
      <c r="EYZ112" s="3"/>
      <c r="EZA112" s="3"/>
      <c r="EZB112" s="3"/>
      <c r="EZC112" s="3"/>
      <c r="EZD112" s="3"/>
      <c r="EZE112" s="3"/>
      <c r="EZF112" s="3"/>
      <c r="EZG112" s="3"/>
      <c r="EZH112" s="3"/>
      <c r="EZI112" s="3"/>
      <c r="EZJ112" s="3"/>
      <c r="EZK112" s="3"/>
      <c r="EZL112" s="3"/>
      <c r="EZM112" s="3"/>
      <c r="EZN112" s="3"/>
      <c r="EZO112" s="3"/>
      <c r="EZP112" s="3"/>
      <c r="EZQ112" s="3"/>
      <c r="EZR112" s="3"/>
      <c r="EZS112" s="3"/>
      <c r="EZT112" s="3"/>
      <c r="EZU112" s="3"/>
      <c r="EZV112" s="3"/>
      <c r="EZW112" s="3"/>
      <c r="EZX112" s="3"/>
      <c r="EZY112" s="3"/>
      <c r="EZZ112" s="3"/>
      <c r="FAA112" s="3"/>
      <c r="FAB112" s="3"/>
      <c r="FAC112" s="3"/>
      <c r="FAD112" s="3"/>
      <c r="FAE112" s="3"/>
      <c r="FAF112" s="3"/>
      <c r="FAG112" s="3"/>
      <c r="FAH112" s="3"/>
      <c r="FAI112" s="3"/>
      <c r="FAJ112" s="3"/>
      <c r="FAK112" s="3"/>
      <c r="FAL112" s="3"/>
      <c r="FAM112" s="3"/>
      <c r="FAN112" s="3"/>
      <c r="FAO112" s="3"/>
      <c r="FAP112" s="3"/>
      <c r="FAQ112" s="3"/>
      <c r="FAR112" s="3"/>
      <c r="FAS112" s="3"/>
      <c r="FAT112" s="3"/>
      <c r="FAU112" s="3"/>
      <c r="FAV112" s="3"/>
      <c r="FAW112" s="3"/>
      <c r="FAX112" s="3"/>
      <c r="FAY112" s="3"/>
      <c r="FAZ112" s="3"/>
      <c r="FBA112" s="3"/>
      <c r="FBB112" s="3"/>
      <c r="FBC112" s="3"/>
      <c r="FBD112" s="3"/>
      <c r="FBE112" s="3"/>
      <c r="FBF112" s="3"/>
      <c r="FBG112" s="3"/>
      <c r="FBH112" s="3"/>
      <c r="FBI112" s="3"/>
      <c r="FBJ112" s="3"/>
      <c r="FBK112" s="3"/>
      <c r="FBL112" s="3"/>
      <c r="FBM112" s="3"/>
      <c r="FBN112" s="3"/>
      <c r="FBO112" s="3"/>
      <c r="FBP112" s="3"/>
      <c r="FBQ112" s="3"/>
      <c r="FBR112" s="3"/>
      <c r="FBS112" s="3"/>
      <c r="FBT112" s="3"/>
      <c r="FBU112" s="3"/>
      <c r="FBV112" s="3"/>
      <c r="FBW112" s="3"/>
      <c r="FBX112" s="3"/>
      <c r="FBY112" s="3"/>
      <c r="FBZ112" s="3"/>
      <c r="FCA112" s="3"/>
      <c r="FCB112" s="3"/>
      <c r="FCC112" s="3"/>
      <c r="FCD112" s="3"/>
      <c r="FCE112" s="3"/>
      <c r="FCF112" s="3"/>
      <c r="FCG112" s="3"/>
      <c r="FCH112" s="3"/>
      <c r="FCI112" s="3"/>
      <c r="FCJ112" s="3"/>
      <c r="FCK112" s="3"/>
      <c r="FCL112" s="3"/>
      <c r="FCM112" s="3"/>
      <c r="FCN112" s="3"/>
      <c r="FCO112" s="3"/>
      <c r="FCP112" s="3"/>
      <c r="FCQ112" s="3"/>
      <c r="FCR112" s="3"/>
      <c r="FCS112" s="3"/>
      <c r="FCT112" s="3"/>
      <c r="FCU112" s="3"/>
      <c r="FCV112" s="3"/>
      <c r="FCW112" s="3"/>
      <c r="FCX112" s="3"/>
      <c r="FCY112" s="3"/>
      <c r="FCZ112" s="3"/>
      <c r="FDA112" s="3"/>
      <c r="FDB112" s="3"/>
      <c r="FDC112" s="3"/>
      <c r="FDD112" s="3"/>
      <c r="FDE112" s="3"/>
      <c r="FDF112" s="3"/>
      <c r="FDG112" s="3"/>
      <c r="FDH112" s="3"/>
      <c r="FDI112" s="3"/>
      <c r="FDJ112" s="3"/>
      <c r="FDK112" s="3"/>
      <c r="FDL112" s="3"/>
      <c r="FDM112" s="3"/>
      <c r="FDN112" s="3"/>
      <c r="FDO112" s="3"/>
      <c r="FDP112" s="3"/>
      <c r="FDQ112" s="3"/>
      <c r="FDR112" s="3"/>
      <c r="FDS112" s="3"/>
      <c r="FDT112" s="3"/>
      <c r="FDU112" s="3"/>
      <c r="FDV112" s="3"/>
      <c r="FDW112" s="3"/>
      <c r="FDX112" s="3"/>
      <c r="FDY112" s="3"/>
      <c r="FDZ112" s="3"/>
      <c r="FEA112" s="3"/>
      <c r="FEB112" s="3"/>
      <c r="FEC112" s="3"/>
      <c r="FED112" s="3"/>
      <c r="FEE112" s="3"/>
      <c r="FEF112" s="3"/>
      <c r="FEG112" s="3"/>
      <c r="FEH112" s="3"/>
      <c r="FEI112" s="3"/>
      <c r="FEJ112" s="3"/>
      <c r="FEK112" s="3"/>
      <c r="FEL112" s="3"/>
      <c r="FEM112" s="3"/>
      <c r="FEN112" s="3"/>
      <c r="FEO112" s="3"/>
      <c r="FEP112" s="3"/>
      <c r="FEQ112" s="3"/>
      <c r="FER112" s="3"/>
      <c r="FES112" s="3"/>
      <c r="FET112" s="3"/>
      <c r="FEU112" s="3"/>
      <c r="FEV112" s="3"/>
      <c r="FEW112" s="3"/>
      <c r="FEX112" s="3"/>
      <c r="FEY112" s="3"/>
      <c r="FEZ112" s="3"/>
      <c r="FFA112" s="3"/>
      <c r="FFB112" s="3"/>
      <c r="FFC112" s="3"/>
      <c r="FFD112" s="3"/>
      <c r="FFE112" s="3"/>
      <c r="FFF112" s="3"/>
      <c r="FFG112" s="3"/>
      <c r="FFH112" s="3"/>
      <c r="FFI112" s="3"/>
      <c r="FFJ112" s="3"/>
      <c r="FFK112" s="3"/>
      <c r="FFL112" s="3"/>
      <c r="FFM112" s="3"/>
      <c r="FFN112" s="3"/>
      <c r="FFO112" s="3"/>
      <c r="FFP112" s="3"/>
      <c r="FFQ112" s="3"/>
      <c r="FFR112" s="3"/>
      <c r="FFS112" s="3"/>
      <c r="FFT112" s="3"/>
      <c r="FFU112" s="3"/>
      <c r="FFV112" s="3"/>
      <c r="FFW112" s="3"/>
      <c r="FFX112" s="3"/>
      <c r="FFY112" s="3"/>
      <c r="FFZ112" s="3"/>
      <c r="FGA112" s="3"/>
      <c r="FGB112" s="3"/>
      <c r="FGC112" s="3"/>
      <c r="FGD112" s="3"/>
      <c r="FGE112" s="3"/>
      <c r="FGF112" s="3"/>
      <c r="FGG112" s="3"/>
      <c r="FGH112" s="3"/>
      <c r="FGI112" s="3"/>
      <c r="FGJ112" s="3"/>
      <c r="FGK112" s="3"/>
      <c r="FGL112" s="3"/>
      <c r="FGM112" s="3"/>
      <c r="FGN112" s="3"/>
      <c r="FGO112" s="3"/>
      <c r="FGP112" s="3"/>
      <c r="FGQ112" s="3"/>
      <c r="FGR112" s="3"/>
      <c r="FGS112" s="3"/>
      <c r="FGT112" s="3"/>
      <c r="FGU112" s="3"/>
      <c r="FGV112" s="3"/>
      <c r="FGW112" s="3"/>
      <c r="FGX112" s="3"/>
      <c r="FGY112" s="3"/>
      <c r="FGZ112" s="3"/>
      <c r="FHA112" s="3"/>
      <c r="FHB112" s="3"/>
      <c r="FHC112" s="3"/>
      <c r="FHD112" s="3"/>
      <c r="FHE112" s="3"/>
      <c r="FHF112" s="3"/>
      <c r="FHG112" s="3"/>
      <c r="FHH112" s="3"/>
      <c r="FHI112" s="3"/>
      <c r="FHJ112" s="3"/>
      <c r="FHK112" s="3"/>
      <c r="FHL112" s="3"/>
      <c r="FHM112" s="3"/>
      <c r="FHN112" s="3"/>
      <c r="FHO112" s="3"/>
      <c r="FHP112" s="3"/>
      <c r="FHQ112" s="3"/>
      <c r="FHR112" s="3"/>
      <c r="FHS112" s="3"/>
      <c r="FHT112" s="3"/>
      <c r="FHU112" s="3"/>
      <c r="FHV112" s="3"/>
      <c r="FHW112" s="3"/>
      <c r="FHX112" s="3"/>
      <c r="FHY112" s="3"/>
      <c r="FHZ112" s="3"/>
      <c r="FIA112" s="3"/>
      <c r="FIB112" s="3"/>
      <c r="FIC112" s="3"/>
      <c r="FID112" s="3"/>
      <c r="FIE112" s="3"/>
      <c r="FIF112" s="3"/>
      <c r="FIG112" s="3"/>
      <c r="FIH112" s="3"/>
      <c r="FII112" s="3"/>
      <c r="FIJ112" s="3"/>
      <c r="FIK112" s="3"/>
      <c r="FIL112" s="3"/>
      <c r="FIM112" s="3"/>
      <c r="FIN112" s="3"/>
      <c r="FIO112" s="3"/>
      <c r="FIP112" s="3"/>
      <c r="FIQ112" s="3"/>
      <c r="FIR112" s="3"/>
      <c r="FIS112" s="3"/>
      <c r="FIT112" s="3"/>
      <c r="FIU112" s="3"/>
      <c r="FIV112" s="3"/>
      <c r="FIW112" s="3"/>
      <c r="FIX112" s="3"/>
      <c r="FIY112" s="3"/>
      <c r="FIZ112" s="3"/>
      <c r="FJA112" s="3"/>
      <c r="FJB112" s="3"/>
      <c r="FJC112" s="3"/>
      <c r="FJD112" s="3"/>
      <c r="FJE112" s="3"/>
      <c r="FJF112" s="3"/>
      <c r="FJG112" s="3"/>
      <c r="FJH112" s="3"/>
      <c r="FJI112" s="3"/>
      <c r="FJJ112" s="3"/>
      <c r="FJK112" s="3"/>
      <c r="FJL112" s="3"/>
      <c r="FJM112" s="3"/>
      <c r="FJN112" s="3"/>
      <c r="FJO112" s="3"/>
      <c r="FJP112" s="3"/>
      <c r="FJQ112" s="3"/>
      <c r="FJR112" s="3"/>
      <c r="FJS112" s="3"/>
      <c r="FJT112" s="3"/>
      <c r="FJU112" s="3"/>
      <c r="FJV112" s="3"/>
      <c r="FJW112" s="3"/>
      <c r="FJX112" s="3"/>
      <c r="FJY112" s="3"/>
      <c r="FJZ112" s="3"/>
      <c r="FKA112" s="3"/>
      <c r="FKB112" s="3"/>
      <c r="FKC112" s="3"/>
      <c r="FKD112" s="3"/>
      <c r="FKE112" s="3"/>
      <c r="FKF112" s="3"/>
      <c r="FKG112" s="3"/>
      <c r="FKH112" s="3"/>
      <c r="FKI112" s="3"/>
      <c r="FKJ112" s="3"/>
      <c r="FKK112" s="3"/>
      <c r="FKL112" s="3"/>
      <c r="FKM112" s="3"/>
      <c r="FKN112" s="3"/>
      <c r="FKO112" s="3"/>
      <c r="FKP112" s="3"/>
      <c r="FKQ112" s="3"/>
      <c r="FKR112" s="3"/>
      <c r="FKS112" s="3"/>
      <c r="FKT112" s="3"/>
      <c r="FKU112" s="3"/>
      <c r="FKV112" s="3"/>
      <c r="FKW112" s="3"/>
      <c r="FKX112" s="3"/>
      <c r="FKY112" s="3"/>
      <c r="FKZ112" s="3"/>
      <c r="FLA112" s="3"/>
      <c r="FLB112" s="3"/>
      <c r="FLC112" s="3"/>
      <c r="FLD112" s="3"/>
      <c r="FLE112" s="3"/>
      <c r="FLF112" s="3"/>
      <c r="FLG112" s="3"/>
      <c r="FLH112" s="3"/>
      <c r="FLI112" s="3"/>
      <c r="FLJ112" s="3"/>
      <c r="FLK112" s="3"/>
      <c r="FLL112" s="3"/>
      <c r="FLM112" s="3"/>
      <c r="FLN112" s="3"/>
      <c r="FLO112" s="3"/>
      <c r="FLP112" s="3"/>
      <c r="FLQ112" s="3"/>
      <c r="FLR112" s="3"/>
      <c r="FLS112" s="3"/>
      <c r="FLT112" s="3"/>
      <c r="FLU112" s="3"/>
      <c r="FLV112" s="3"/>
      <c r="FLW112" s="3"/>
      <c r="FLX112" s="3"/>
      <c r="FLY112" s="3"/>
      <c r="FLZ112" s="3"/>
      <c r="FMA112" s="3"/>
      <c r="FMB112" s="3"/>
      <c r="FMC112" s="3"/>
      <c r="FMD112" s="3"/>
      <c r="FME112" s="3"/>
      <c r="FMF112" s="3"/>
      <c r="FMG112" s="3"/>
      <c r="FMH112" s="3"/>
      <c r="FMI112" s="3"/>
      <c r="FMJ112" s="3"/>
      <c r="FMK112" s="3"/>
      <c r="FML112" s="3"/>
      <c r="FMM112" s="3"/>
      <c r="FMN112" s="3"/>
      <c r="FMO112" s="3"/>
      <c r="FMP112" s="3"/>
      <c r="FMQ112" s="3"/>
      <c r="FMR112" s="3"/>
      <c r="FMS112" s="3"/>
      <c r="FMT112" s="3"/>
      <c r="FMU112" s="3"/>
      <c r="FMV112" s="3"/>
      <c r="FMW112" s="3"/>
      <c r="FMX112" s="3"/>
      <c r="FMY112" s="3"/>
      <c r="FMZ112" s="3"/>
      <c r="FNA112" s="3"/>
      <c r="FNB112" s="3"/>
      <c r="FNC112" s="3"/>
      <c r="FND112" s="3"/>
      <c r="FNE112" s="3"/>
      <c r="FNF112" s="3"/>
      <c r="FNG112" s="3"/>
      <c r="FNH112" s="3"/>
      <c r="FNI112" s="3"/>
      <c r="FNJ112" s="3"/>
      <c r="FNK112" s="3"/>
      <c r="FNL112" s="3"/>
      <c r="FNM112" s="3"/>
      <c r="FNN112" s="3"/>
      <c r="FNO112" s="3"/>
      <c r="FNP112" s="3"/>
      <c r="FNQ112" s="3"/>
      <c r="FNR112" s="3"/>
      <c r="FNS112" s="3"/>
      <c r="FNT112" s="3"/>
      <c r="FNU112" s="3"/>
      <c r="FNV112" s="3"/>
      <c r="FNW112" s="3"/>
      <c r="FNX112" s="3"/>
      <c r="FNY112" s="3"/>
      <c r="FNZ112" s="3"/>
      <c r="FOA112" s="3"/>
      <c r="FOB112" s="3"/>
      <c r="FOC112" s="3"/>
      <c r="FOD112" s="3"/>
      <c r="FOE112" s="3"/>
      <c r="FOF112" s="3"/>
      <c r="FOG112" s="3"/>
      <c r="FOH112" s="3"/>
      <c r="FOI112" s="3"/>
      <c r="FOJ112" s="3"/>
      <c r="FOK112" s="3"/>
      <c r="FOL112" s="3"/>
      <c r="FOM112" s="3"/>
      <c r="FON112" s="3"/>
      <c r="FOO112" s="3"/>
      <c r="FOP112" s="3"/>
      <c r="FOQ112" s="3"/>
      <c r="FOR112" s="3"/>
      <c r="FOS112" s="3"/>
      <c r="FOT112" s="3"/>
      <c r="FOU112" s="3"/>
      <c r="FOV112" s="3"/>
      <c r="FOW112" s="3"/>
      <c r="FOX112" s="3"/>
      <c r="FOY112" s="3"/>
      <c r="FOZ112" s="3"/>
      <c r="FPA112" s="3"/>
      <c r="FPB112" s="3"/>
      <c r="FPC112" s="3"/>
      <c r="FPD112" s="3"/>
      <c r="FPE112" s="3"/>
      <c r="FPF112" s="3"/>
      <c r="FPG112" s="3"/>
      <c r="FPH112" s="3"/>
      <c r="FPI112" s="3"/>
      <c r="FPJ112" s="3"/>
      <c r="FPK112" s="3"/>
      <c r="FPL112" s="3"/>
      <c r="FPM112" s="3"/>
      <c r="FPN112" s="3"/>
      <c r="FPO112" s="3"/>
      <c r="FPP112" s="3"/>
      <c r="FPQ112" s="3"/>
      <c r="FPR112" s="3"/>
      <c r="FPS112" s="3"/>
      <c r="FPT112" s="3"/>
      <c r="FPU112" s="3"/>
      <c r="FPV112" s="3"/>
      <c r="FPW112" s="3"/>
      <c r="FPX112" s="3"/>
      <c r="FPY112" s="3"/>
      <c r="FPZ112" s="3"/>
      <c r="FQA112" s="3"/>
      <c r="FQB112" s="3"/>
      <c r="FQC112" s="3"/>
      <c r="FQD112" s="3"/>
      <c r="FQE112" s="3"/>
      <c r="FQF112" s="3"/>
      <c r="FQG112" s="3"/>
      <c r="FQH112" s="3"/>
      <c r="FQI112" s="3"/>
      <c r="FQJ112" s="3"/>
      <c r="FQK112" s="3"/>
      <c r="FQL112" s="3"/>
      <c r="FQM112" s="3"/>
      <c r="FQN112" s="3"/>
      <c r="FQO112" s="3"/>
      <c r="FQP112" s="3"/>
      <c r="FQQ112" s="3"/>
      <c r="FQR112" s="3"/>
      <c r="FQS112" s="3"/>
      <c r="FQT112" s="3"/>
      <c r="FQU112" s="3"/>
      <c r="FQV112" s="3"/>
      <c r="FQW112" s="3"/>
      <c r="FQX112" s="3"/>
      <c r="FQY112" s="3"/>
      <c r="FQZ112" s="3"/>
      <c r="FRA112" s="3"/>
      <c r="FRB112" s="3"/>
      <c r="FRC112" s="3"/>
      <c r="FRD112" s="3"/>
      <c r="FRE112" s="3"/>
      <c r="FRF112" s="3"/>
      <c r="FRG112" s="3"/>
      <c r="FRH112" s="3"/>
      <c r="FRI112" s="3"/>
      <c r="FRJ112" s="3"/>
      <c r="FRK112" s="3"/>
      <c r="FRL112" s="3"/>
      <c r="FRM112" s="3"/>
      <c r="FRN112" s="3"/>
      <c r="FRO112" s="3"/>
      <c r="FRP112" s="3"/>
      <c r="FRQ112" s="3"/>
      <c r="FRR112" s="3"/>
      <c r="FRS112" s="3"/>
      <c r="FRT112" s="3"/>
      <c r="FRU112" s="3"/>
      <c r="FRV112" s="3"/>
      <c r="FRW112" s="3"/>
      <c r="FRX112" s="3"/>
      <c r="FRY112" s="3"/>
      <c r="FRZ112" s="3"/>
      <c r="FSA112" s="3"/>
      <c r="FSB112" s="3"/>
      <c r="FSC112" s="3"/>
      <c r="FSD112" s="3"/>
      <c r="FSE112" s="3"/>
      <c r="FSF112" s="3"/>
      <c r="FSG112" s="3"/>
      <c r="FSH112" s="3"/>
      <c r="FSI112" s="3"/>
      <c r="FSJ112" s="3"/>
      <c r="FSK112" s="3"/>
      <c r="FSL112" s="3"/>
      <c r="FSM112" s="3"/>
      <c r="FSN112" s="3"/>
      <c r="FSO112" s="3"/>
      <c r="FSP112" s="3"/>
      <c r="FSQ112" s="3"/>
      <c r="FSR112" s="3"/>
      <c r="FSS112" s="3"/>
      <c r="FST112" s="3"/>
      <c r="FSU112" s="3"/>
      <c r="FSV112" s="3"/>
      <c r="FSW112" s="3"/>
      <c r="FSX112" s="3"/>
      <c r="FSY112" s="3"/>
      <c r="FSZ112" s="3"/>
      <c r="FTA112" s="3"/>
      <c r="FTB112" s="3"/>
      <c r="FTC112" s="3"/>
      <c r="FTD112" s="3"/>
      <c r="FTE112" s="3"/>
      <c r="FTF112" s="3"/>
      <c r="FTG112" s="3"/>
      <c r="FTH112" s="3"/>
      <c r="FTI112" s="3"/>
      <c r="FTJ112" s="3"/>
      <c r="FTK112" s="3"/>
      <c r="FTL112" s="3"/>
      <c r="FTM112" s="3"/>
      <c r="FTN112" s="3"/>
      <c r="FTO112" s="3"/>
      <c r="FTP112" s="3"/>
      <c r="FTQ112" s="3"/>
      <c r="FTR112" s="3"/>
      <c r="FTS112" s="3"/>
      <c r="FTT112" s="3"/>
      <c r="FTU112" s="3"/>
      <c r="FTV112" s="3"/>
      <c r="FTW112" s="3"/>
      <c r="FTX112" s="3"/>
      <c r="FTY112" s="3"/>
      <c r="FTZ112" s="3"/>
      <c r="FUA112" s="3"/>
      <c r="FUB112" s="3"/>
      <c r="FUC112" s="3"/>
      <c r="FUD112" s="3"/>
      <c r="FUE112" s="3"/>
      <c r="FUF112" s="3"/>
      <c r="FUG112" s="3"/>
      <c r="FUH112" s="3"/>
      <c r="FUI112" s="3"/>
      <c r="FUJ112" s="3"/>
      <c r="FUK112" s="3"/>
      <c r="FUL112" s="3"/>
      <c r="FUM112" s="3"/>
      <c r="FUN112" s="3"/>
      <c r="FUO112" s="3"/>
      <c r="FUP112" s="3"/>
      <c r="FUQ112" s="3"/>
      <c r="FUR112" s="3"/>
      <c r="FUS112" s="3"/>
      <c r="FUT112" s="3"/>
      <c r="FUU112" s="3"/>
      <c r="FUV112" s="3"/>
      <c r="FUW112" s="3"/>
      <c r="FUX112" s="3"/>
      <c r="FUY112" s="3"/>
      <c r="FUZ112" s="3"/>
      <c r="FVA112" s="3"/>
      <c r="FVB112" s="3"/>
      <c r="FVC112" s="3"/>
      <c r="FVD112" s="3"/>
      <c r="FVE112" s="3"/>
      <c r="FVF112" s="3"/>
      <c r="FVG112" s="3"/>
      <c r="FVH112" s="3"/>
      <c r="FVI112" s="3"/>
      <c r="FVJ112" s="3"/>
      <c r="FVK112" s="3"/>
      <c r="FVL112" s="3"/>
      <c r="FVM112" s="3"/>
      <c r="FVN112" s="3"/>
      <c r="FVO112" s="3"/>
      <c r="FVP112" s="3"/>
      <c r="FVQ112" s="3"/>
      <c r="FVR112" s="3"/>
      <c r="FVS112" s="3"/>
      <c r="FVT112" s="3"/>
      <c r="FVU112" s="3"/>
      <c r="FVV112" s="3"/>
      <c r="FVW112" s="3"/>
      <c r="FVX112" s="3"/>
      <c r="FVY112" s="3"/>
      <c r="FVZ112" s="3"/>
      <c r="FWA112" s="3"/>
      <c r="FWB112" s="3"/>
      <c r="FWC112" s="3"/>
      <c r="FWD112" s="3"/>
      <c r="FWE112" s="3"/>
      <c r="FWF112" s="3"/>
      <c r="FWG112" s="3"/>
      <c r="FWH112" s="3"/>
      <c r="FWI112" s="3"/>
      <c r="FWJ112" s="3"/>
      <c r="FWK112" s="3"/>
      <c r="FWL112" s="3"/>
      <c r="FWM112" s="3"/>
      <c r="FWN112" s="3"/>
      <c r="FWO112" s="3"/>
      <c r="FWP112" s="3"/>
      <c r="FWQ112" s="3"/>
      <c r="FWR112" s="3"/>
      <c r="FWS112" s="3"/>
      <c r="FWT112" s="3"/>
      <c r="FWU112" s="3"/>
      <c r="FWV112" s="3"/>
      <c r="FWW112" s="3"/>
      <c r="FWX112" s="3"/>
      <c r="FWY112" s="3"/>
      <c r="FWZ112" s="3"/>
      <c r="FXA112" s="3"/>
      <c r="FXB112" s="3"/>
      <c r="FXC112" s="3"/>
      <c r="FXD112" s="3"/>
      <c r="FXE112" s="3"/>
      <c r="FXF112" s="3"/>
      <c r="FXG112" s="3"/>
      <c r="FXH112" s="3"/>
      <c r="FXI112" s="3"/>
      <c r="FXJ112" s="3"/>
      <c r="FXK112" s="3"/>
      <c r="FXL112" s="3"/>
      <c r="FXM112" s="3"/>
      <c r="FXN112" s="3"/>
      <c r="FXO112" s="3"/>
      <c r="FXP112" s="3"/>
      <c r="FXQ112" s="3"/>
      <c r="FXR112" s="3"/>
      <c r="FXS112" s="3"/>
      <c r="FXT112" s="3"/>
      <c r="FXU112" s="3"/>
      <c r="FXV112" s="3"/>
      <c r="FXW112" s="3"/>
      <c r="FXX112" s="3"/>
      <c r="FXY112" s="3"/>
      <c r="FXZ112" s="3"/>
      <c r="FYA112" s="3"/>
      <c r="FYB112" s="3"/>
      <c r="FYC112" s="3"/>
      <c r="FYD112" s="3"/>
      <c r="FYE112" s="3"/>
      <c r="FYF112" s="3"/>
      <c r="FYG112" s="3"/>
      <c r="FYH112" s="3"/>
      <c r="FYI112" s="3"/>
      <c r="FYJ112" s="3"/>
      <c r="FYK112" s="3"/>
      <c r="FYL112" s="3"/>
      <c r="FYM112" s="3"/>
      <c r="FYN112" s="3"/>
      <c r="FYO112" s="3"/>
      <c r="FYP112" s="3"/>
      <c r="FYQ112" s="3"/>
      <c r="FYR112" s="3"/>
      <c r="FYS112" s="3"/>
      <c r="FYT112" s="3"/>
      <c r="FYU112" s="3"/>
      <c r="FYV112" s="3"/>
      <c r="FYW112" s="3"/>
      <c r="FYX112" s="3"/>
      <c r="FYY112" s="3"/>
      <c r="FYZ112" s="3"/>
      <c r="FZA112" s="3"/>
      <c r="FZB112" s="3"/>
      <c r="FZC112" s="3"/>
      <c r="FZD112" s="3"/>
      <c r="FZE112" s="3"/>
      <c r="FZF112" s="3"/>
      <c r="FZG112" s="3"/>
      <c r="FZH112" s="3"/>
      <c r="FZI112" s="3"/>
      <c r="FZJ112" s="3"/>
      <c r="FZK112" s="3"/>
      <c r="FZL112" s="3"/>
      <c r="FZM112" s="3"/>
      <c r="FZN112" s="3"/>
      <c r="FZO112" s="3"/>
      <c r="FZP112" s="3"/>
      <c r="FZQ112" s="3"/>
      <c r="FZR112" s="3"/>
      <c r="FZS112" s="3"/>
      <c r="FZT112" s="3"/>
      <c r="FZU112" s="3"/>
      <c r="FZV112" s="3"/>
      <c r="FZW112" s="3"/>
      <c r="FZX112" s="3"/>
      <c r="FZY112" s="3"/>
      <c r="FZZ112" s="3"/>
      <c r="GAA112" s="3"/>
      <c r="GAB112" s="3"/>
      <c r="GAC112" s="3"/>
      <c r="GAD112" s="3"/>
      <c r="GAE112" s="3"/>
      <c r="GAF112" s="3"/>
      <c r="GAG112" s="3"/>
      <c r="GAH112" s="3"/>
      <c r="GAI112" s="3"/>
      <c r="GAJ112" s="3"/>
      <c r="GAK112" s="3"/>
      <c r="GAL112" s="3"/>
      <c r="GAM112" s="3"/>
      <c r="GAN112" s="3"/>
      <c r="GAO112" s="3"/>
      <c r="GAP112" s="3"/>
      <c r="GAQ112" s="3"/>
      <c r="GAR112" s="3"/>
      <c r="GAS112" s="3"/>
      <c r="GAT112" s="3"/>
      <c r="GAU112" s="3"/>
      <c r="GAV112" s="3"/>
      <c r="GAW112" s="3"/>
      <c r="GAX112" s="3"/>
      <c r="GAY112" s="3"/>
      <c r="GAZ112" s="3"/>
      <c r="GBA112" s="3"/>
      <c r="GBB112" s="3"/>
      <c r="GBC112" s="3"/>
      <c r="GBD112" s="3"/>
      <c r="GBE112" s="3"/>
      <c r="GBF112" s="3"/>
      <c r="GBG112" s="3"/>
      <c r="GBH112" s="3"/>
      <c r="GBI112" s="3"/>
      <c r="GBJ112" s="3"/>
      <c r="GBK112" s="3"/>
      <c r="GBL112" s="3"/>
      <c r="GBM112" s="3"/>
      <c r="GBN112" s="3"/>
      <c r="GBO112" s="3"/>
      <c r="GBP112" s="3"/>
      <c r="GBQ112" s="3"/>
      <c r="GBR112" s="3"/>
      <c r="GBS112" s="3"/>
      <c r="GBT112" s="3"/>
      <c r="GBU112" s="3"/>
      <c r="GBV112" s="3"/>
      <c r="GBW112" s="3"/>
      <c r="GBX112" s="3"/>
      <c r="GBY112" s="3"/>
      <c r="GBZ112" s="3"/>
      <c r="GCA112" s="3"/>
      <c r="GCB112" s="3"/>
      <c r="GCC112" s="3"/>
      <c r="GCD112" s="3"/>
      <c r="GCE112" s="3"/>
      <c r="GCF112" s="3"/>
      <c r="GCG112" s="3"/>
      <c r="GCH112" s="3"/>
      <c r="GCI112" s="3"/>
      <c r="GCJ112" s="3"/>
      <c r="GCK112" s="3"/>
      <c r="GCL112" s="3"/>
      <c r="GCM112" s="3"/>
      <c r="GCN112" s="3"/>
      <c r="GCO112" s="3"/>
      <c r="GCP112" s="3"/>
      <c r="GCQ112" s="3"/>
      <c r="GCR112" s="3"/>
      <c r="GCS112" s="3"/>
      <c r="GCT112" s="3"/>
      <c r="GCU112" s="3"/>
      <c r="GCV112" s="3"/>
      <c r="GCW112" s="3"/>
      <c r="GCX112" s="3"/>
      <c r="GCY112" s="3"/>
      <c r="GCZ112" s="3"/>
      <c r="GDA112" s="3"/>
      <c r="GDB112" s="3"/>
      <c r="GDC112" s="3"/>
      <c r="GDD112" s="3"/>
      <c r="GDE112" s="3"/>
      <c r="GDF112" s="3"/>
      <c r="GDG112" s="3"/>
      <c r="GDH112" s="3"/>
      <c r="GDI112" s="3"/>
      <c r="GDJ112" s="3"/>
      <c r="GDK112" s="3"/>
      <c r="GDL112" s="3"/>
      <c r="GDM112" s="3"/>
      <c r="GDN112" s="3"/>
      <c r="GDO112" s="3"/>
      <c r="GDP112" s="3"/>
      <c r="GDQ112" s="3"/>
      <c r="GDR112" s="3"/>
      <c r="GDS112" s="3"/>
      <c r="GDT112" s="3"/>
      <c r="GDU112" s="3"/>
      <c r="GDV112" s="3"/>
      <c r="GDW112" s="3"/>
      <c r="GDX112" s="3"/>
      <c r="GDY112" s="3"/>
      <c r="GDZ112" s="3"/>
      <c r="GEA112" s="3"/>
      <c r="GEB112" s="3"/>
      <c r="GEC112" s="3"/>
      <c r="GED112" s="3"/>
      <c r="GEE112" s="3"/>
      <c r="GEF112" s="3"/>
      <c r="GEG112" s="3"/>
      <c r="GEH112" s="3"/>
      <c r="GEI112" s="3"/>
      <c r="GEJ112" s="3"/>
      <c r="GEK112" s="3"/>
      <c r="GEL112" s="3"/>
      <c r="GEM112" s="3"/>
      <c r="GEN112" s="3"/>
      <c r="GEO112" s="3"/>
      <c r="GEP112" s="3"/>
      <c r="GEQ112" s="3"/>
      <c r="GER112" s="3"/>
      <c r="GES112" s="3"/>
      <c r="GET112" s="3"/>
      <c r="GEU112" s="3"/>
      <c r="GEV112" s="3"/>
      <c r="GEW112" s="3"/>
      <c r="GEX112" s="3"/>
      <c r="GEY112" s="3"/>
      <c r="GEZ112" s="3"/>
      <c r="GFA112" s="3"/>
      <c r="GFB112" s="3"/>
      <c r="GFC112" s="3"/>
      <c r="GFD112" s="3"/>
      <c r="GFE112" s="3"/>
      <c r="GFF112" s="3"/>
      <c r="GFG112" s="3"/>
      <c r="GFH112" s="3"/>
      <c r="GFI112" s="3"/>
      <c r="GFJ112" s="3"/>
      <c r="GFK112" s="3"/>
      <c r="GFL112" s="3"/>
      <c r="GFM112" s="3"/>
      <c r="GFN112" s="3"/>
      <c r="GFO112" s="3"/>
      <c r="GFP112" s="3"/>
      <c r="GFQ112" s="3"/>
      <c r="GFR112" s="3"/>
      <c r="GFS112" s="3"/>
      <c r="GFT112" s="3"/>
      <c r="GFU112" s="3"/>
      <c r="GFV112" s="3"/>
      <c r="GFW112" s="3"/>
      <c r="GFX112" s="3"/>
      <c r="GFY112" s="3"/>
      <c r="GFZ112" s="3"/>
      <c r="GGA112" s="3"/>
      <c r="GGB112" s="3"/>
      <c r="GGC112" s="3"/>
      <c r="GGD112" s="3"/>
      <c r="GGE112" s="3"/>
      <c r="GGF112" s="3"/>
      <c r="GGG112" s="3"/>
      <c r="GGH112" s="3"/>
      <c r="GGI112" s="3"/>
      <c r="GGJ112" s="3"/>
      <c r="GGK112" s="3"/>
      <c r="GGL112" s="3"/>
      <c r="GGM112" s="3"/>
      <c r="GGN112" s="3"/>
      <c r="GGO112" s="3"/>
      <c r="GGP112" s="3"/>
      <c r="GGQ112" s="3"/>
      <c r="GGR112" s="3"/>
      <c r="GGS112" s="3"/>
      <c r="GGT112" s="3"/>
      <c r="GGU112" s="3"/>
      <c r="GGV112" s="3"/>
      <c r="GGW112" s="3"/>
      <c r="GGX112" s="3"/>
      <c r="GGY112" s="3"/>
      <c r="GGZ112" s="3"/>
      <c r="GHA112" s="3"/>
      <c r="GHB112" s="3"/>
      <c r="GHC112" s="3"/>
      <c r="GHD112" s="3"/>
      <c r="GHE112" s="3"/>
      <c r="GHF112" s="3"/>
      <c r="GHG112" s="3"/>
      <c r="GHH112" s="3"/>
      <c r="GHI112" s="3"/>
      <c r="GHJ112" s="3"/>
      <c r="GHK112" s="3"/>
      <c r="GHL112" s="3"/>
      <c r="GHM112" s="3"/>
      <c r="GHN112" s="3"/>
      <c r="GHO112" s="3"/>
      <c r="GHP112" s="3"/>
      <c r="GHQ112" s="3"/>
      <c r="GHR112" s="3"/>
      <c r="GHS112" s="3"/>
      <c r="GHT112" s="3"/>
      <c r="GHU112" s="3"/>
      <c r="GHV112" s="3"/>
      <c r="GHW112" s="3"/>
      <c r="GHX112" s="3"/>
      <c r="GHY112" s="3"/>
      <c r="GHZ112" s="3"/>
      <c r="GIA112" s="3"/>
      <c r="GIB112" s="3"/>
      <c r="GIC112" s="3"/>
      <c r="GID112" s="3"/>
      <c r="GIE112" s="3"/>
      <c r="GIF112" s="3"/>
      <c r="GIG112" s="3"/>
      <c r="GIH112" s="3"/>
      <c r="GII112" s="3"/>
      <c r="GIJ112" s="3"/>
      <c r="GIK112" s="3"/>
      <c r="GIL112" s="3"/>
      <c r="GIM112" s="3"/>
      <c r="GIN112" s="3"/>
      <c r="GIO112" s="3"/>
      <c r="GIP112" s="3"/>
      <c r="GIQ112" s="3"/>
      <c r="GIR112" s="3"/>
      <c r="GIS112" s="3"/>
      <c r="GIT112" s="3"/>
      <c r="GIU112" s="3"/>
      <c r="GIV112" s="3"/>
      <c r="GIW112" s="3"/>
      <c r="GIX112" s="3"/>
      <c r="GIY112" s="3"/>
      <c r="GIZ112" s="3"/>
      <c r="GJA112" s="3"/>
      <c r="GJB112" s="3"/>
      <c r="GJC112" s="3"/>
      <c r="GJD112" s="3"/>
      <c r="GJE112" s="3"/>
      <c r="GJF112" s="3"/>
      <c r="GJG112" s="3"/>
      <c r="GJH112" s="3"/>
      <c r="GJI112" s="3"/>
      <c r="GJJ112" s="3"/>
      <c r="GJK112" s="3"/>
      <c r="GJL112" s="3"/>
      <c r="GJM112" s="3"/>
      <c r="GJN112" s="3"/>
      <c r="GJO112" s="3"/>
      <c r="GJP112" s="3"/>
      <c r="GJQ112" s="3"/>
      <c r="GJR112" s="3"/>
      <c r="GJS112" s="3"/>
      <c r="GJT112" s="3"/>
      <c r="GJU112" s="3"/>
      <c r="GJV112" s="3"/>
      <c r="GJW112" s="3"/>
      <c r="GJX112" s="3"/>
      <c r="GJY112" s="3"/>
      <c r="GJZ112" s="3"/>
      <c r="GKA112" s="3"/>
      <c r="GKB112" s="3"/>
      <c r="GKC112" s="3"/>
      <c r="GKD112" s="3"/>
      <c r="GKE112" s="3"/>
      <c r="GKF112" s="3"/>
      <c r="GKG112" s="3"/>
      <c r="GKH112" s="3"/>
      <c r="GKI112" s="3"/>
      <c r="GKJ112" s="3"/>
      <c r="GKK112" s="3"/>
      <c r="GKL112" s="3"/>
      <c r="GKM112" s="3"/>
      <c r="GKN112" s="3"/>
      <c r="GKO112" s="3"/>
      <c r="GKP112" s="3"/>
      <c r="GKQ112" s="3"/>
      <c r="GKR112" s="3"/>
      <c r="GKS112" s="3"/>
      <c r="GKT112" s="3"/>
      <c r="GKU112" s="3"/>
      <c r="GKV112" s="3"/>
      <c r="GKW112" s="3"/>
      <c r="GKX112" s="3"/>
      <c r="GKY112" s="3"/>
      <c r="GKZ112" s="3"/>
      <c r="GLA112" s="3"/>
      <c r="GLB112" s="3"/>
      <c r="GLC112" s="3"/>
      <c r="GLD112" s="3"/>
      <c r="GLE112" s="3"/>
      <c r="GLF112" s="3"/>
      <c r="GLG112" s="3"/>
      <c r="GLH112" s="3"/>
      <c r="GLI112" s="3"/>
      <c r="GLJ112" s="3"/>
      <c r="GLK112" s="3"/>
      <c r="GLL112" s="3"/>
      <c r="GLM112" s="3"/>
      <c r="GLN112" s="3"/>
      <c r="GLO112" s="3"/>
      <c r="GLP112" s="3"/>
      <c r="GLQ112" s="3"/>
      <c r="GLR112" s="3"/>
      <c r="GLS112" s="3"/>
      <c r="GLT112" s="3"/>
      <c r="GLU112" s="3"/>
      <c r="GLV112" s="3"/>
      <c r="GLW112" s="3"/>
      <c r="GLX112" s="3"/>
      <c r="GLY112" s="3"/>
      <c r="GLZ112" s="3"/>
      <c r="GMA112" s="3"/>
      <c r="GMB112" s="3"/>
      <c r="GMC112" s="3"/>
      <c r="GMD112" s="3"/>
      <c r="GME112" s="3"/>
      <c r="GMF112" s="3"/>
      <c r="GMG112" s="3"/>
      <c r="GMH112" s="3"/>
      <c r="GMI112" s="3"/>
      <c r="GMJ112" s="3"/>
      <c r="GMK112" s="3"/>
      <c r="GML112" s="3"/>
      <c r="GMM112" s="3"/>
      <c r="GMN112" s="3"/>
      <c r="GMO112" s="3"/>
      <c r="GMP112" s="3"/>
      <c r="GMQ112" s="3"/>
      <c r="GMR112" s="3"/>
      <c r="GMS112" s="3"/>
      <c r="GMT112" s="3"/>
      <c r="GMU112" s="3"/>
      <c r="GMV112" s="3"/>
      <c r="GMW112" s="3"/>
      <c r="GMX112" s="3"/>
      <c r="GMY112" s="3"/>
      <c r="GMZ112" s="3"/>
      <c r="GNA112" s="3"/>
      <c r="GNB112" s="3"/>
      <c r="GNC112" s="3"/>
      <c r="GND112" s="3"/>
      <c r="GNE112" s="3"/>
      <c r="GNF112" s="3"/>
      <c r="GNG112" s="3"/>
      <c r="GNH112" s="3"/>
      <c r="GNI112" s="3"/>
      <c r="GNJ112" s="3"/>
      <c r="GNK112" s="3"/>
      <c r="GNL112" s="3"/>
      <c r="GNM112" s="3"/>
      <c r="GNN112" s="3"/>
      <c r="GNO112" s="3"/>
      <c r="GNP112" s="3"/>
      <c r="GNQ112" s="3"/>
      <c r="GNR112" s="3"/>
      <c r="GNS112" s="3"/>
      <c r="GNT112" s="3"/>
      <c r="GNU112" s="3"/>
      <c r="GNV112" s="3"/>
      <c r="GNW112" s="3"/>
      <c r="GNX112" s="3"/>
      <c r="GNY112" s="3"/>
      <c r="GNZ112" s="3"/>
      <c r="GOA112" s="3"/>
      <c r="GOB112" s="3"/>
      <c r="GOC112" s="3"/>
      <c r="GOD112" s="3"/>
      <c r="GOE112" s="3"/>
      <c r="GOF112" s="3"/>
      <c r="GOG112" s="3"/>
      <c r="GOH112" s="3"/>
      <c r="GOI112" s="3"/>
      <c r="GOJ112" s="3"/>
      <c r="GOK112" s="3"/>
      <c r="GOL112" s="3"/>
      <c r="GOM112" s="3"/>
      <c r="GON112" s="3"/>
      <c r="GOO112" s="3"/>
      <c r="GOP112" s="3"/>
      <c r="GOQ112" s="3"/>
      <c r="GOR112" s="3"/>
      <c r="GOS112" s="3"/>
      <c r="GOT112" s="3"/>
      <c r="GOU112" s="3"/>
      <c r="GOV112" s="3"/>
      <c r="GOW112" s="3"/>
      <c r="GOX112" s="3"/>
      <c r="GOY112" s="3"/>
      <c r="GOZ112" s="3"/>
      <c r="GPA112" s="3"/>
      <c r="GPB112" s="3"/>
      <c r="GPC112" s="3"/>
      <c r="GPD112" s="3"/>
      <c r="GPE112" s="3"/>
      <c r="GPF112" s="3"/>
      <c r="GPG112" s="3"/>
      <c r="GPH112" s="3"/>
      <c r="GPI112" s="3"/>
      <c r="GPJ112" s="3"/>
      <c r="GPK112" s="3"/>
      <c r="GPL112" s="3"/>
      <c r="GPM112" s="3"/>
      <c r="GPN112" s="3"/>
      <c r="GPO112" s="3"/>
      <c r="GPP112" s="3"/>
      <c r="GPQ112" s="3"/>
      <c r="GPR112" s="3"/>
      <c r="GPS112" s="3"/>
      <c r="GPT112" s="3"/>
      <c r="GPU112" s="3"/>
      <c r="GPV112" s="3"/>
      <c r="GPW112" s="3"/>
      <c r="GPX112" s="3"/>
      <c r="GPY112" s="3"/>
      <c r="GPZ112" s="3"/>
      <c r="GQA112" s="3"/>
      <c r="GQB112" s="3"/>
      <c r="GQC112" s="3"/>
      <c r="GQD112" s="3"/>
      <c r="GQE112" s="3"/>
      <c r="GQF112" s="3"/>
      <c r="GQG112" s="3"/>
      <c r="GQH112" s="3"/>
      <c r="GQI112" s="3"/>
      <c r="GQJ112" s="3"/>
      <c r="GQK112" s="3"/>
      <c r="GQL112" s="3"/>
      <c r="GQM112" s="3"/>
      <c r="GQN112" s="3"/>
      <c r="GQO112" s="3"/>
      <c r="GQP112" s="3"/>
      <c r="GQQ112" s="3"/>
      <c r="GQR112" s="3"/>
      <c r="GQS112" s="3"/>
      <c r="GQT112" s="3"/>
      <c r="GQU112" s="3"/>
      <c r="GQV112" s="3"/>
      <c r="GQW112" s="3"/>
      <c r="GQX112" s="3"/>
      <c r="GQY112" s="3"/>
      <c r="GQZ112" s="3"/>
      <c r="GRA112" s="3"/>
      <c r="GRB112" s="3"/>
      <c r="GRC112" s="3"/>
      <c r="GRD112" s="3"/>
      <c r="GRE112" s="3"/>
      <c r="GRF112" s="3"/>
      <c r="GRG112" s="3"/>
      <c r="GRH112" s="3"/>
      <c r="GRI112" s="3"/>
      <c r="GRJ112" s="3"/>
      <c r="GRK112" s="3"/>
      <c r="GRL112" s="3"/>
      <c r="GRM112" s="3"/>
      <c r="GRN112" s="3"/>
      <c r="GRO112" s="3"/>
      <c r="GRP112" s="3"/>
      <c r="GRQ112" s="3"/>
      <c r="GRR112" s="3"/>
      <c r="GRS112" s="3"/>
      <c r="GRT112" s="3"/>
      <c r="GRU112" s="3"/>
      <c r="GRV112" s="3"/>
      <c r="GRW112" s="3"/>
      <c r="GRX112" s="3"/>
      <c r="GRY112" s="3"/>
      <c r="GRZ112" s="3"/>
      <c r="GSA112" s="3"/>
      <c r="GSB112" s="3"/>
      <c r="GSC112" s="3"/>
      <c r="GSD112" s="3"/>
      <c r="GSE112" s="3"/>
      <c r="GSF112" s="3"/>
      <c r="GSG112" s="3"/>
      <c r="GSH112" s="3"/>
      <c r="GSI112" s="3"/>
      <c r="GSJ112" s="3"/>
      <c r="GSK112" s="3"/>
      <c r="GSL112" s="3"/>
      <c r="GSM112" s="3"/>
      <c r="GSN112" s="3"/>
      <c r="GSO112" s="3"/>
      <c r="GSP112" s="3"/>
      <c r="GSQ112" s="3"/>
      <c r="GSR112" s="3"/>
      <c r="GSS112" s="3"/>
      <c r="GST112" s="3"/>
      <c r="GSU112" s="3"/>
      <c r="GSV112" s="3"/>
      <c r="GSW112" s="3"/>
      <c r="GSX112" s="3"/>
      <c r="GSY112" s="3"/>
      <c r="GSZ112" s="3"/>
      <c r="GTA112" s="3"/>
      <c r="GTB112" s="3"/>
      <c r="GTC112" s="3"/>
      <c r="GTD112" s="3"/>
      <c r="GTE112" s="3"/>
      <c r="GTF112" s="3"/>
      <c r="GTG112" s="3"/>
      <c r="GTH112" s="3"/>
      <c r="GTI112" s="3"/>
      <c r="GTJ112" s="3"/>
      <c r="GTK112" s="3"/>
      <c r="GTL112" s="3"/>
      <c r="GTM112" s="3"/>
      <c r="GTN112" s="3"/>
      <c r="GTO112" s="3"/>
      <c r="GTP112" s="3"/>
      <c r="GTQ112" s="3"/>
      <c r="GTR112" s="3"/>
      <c r="GTS112" s="3"/>
      <c r="GTT112" s="3"/>
      <c r="GTU112" s="3"/>
      <c r="GTV112" s="3"/>
      <c r="GTW112" s="3"/>
      <c r="GTX112" s="3"/>
      <c r="GTY112" s="3"/>
      <c r="GTZ112" s="3"/>
      <c r="GUA112" s="3"/>
      <c r="GUB112" s="3"/>
      <c r="GUC112" s="3"/>
      <c r="GUD112" s="3"/>
      <c r="GUE112" s="3"/>
      <c r="GUF112" s="3"/>
      <c r="GUG112" s="3"/>
      <c r="GUH112" s="3"/>
      <c r="GUI112" s="3"/>
      <c r="GUJ112" s="3"/>
      <c r="GUK112" s="3"/>
      <c r="GUL112" s="3"/>
      <c r="GUM112" s="3"/>
      <c r="GUN112" s="3"/>
      <c r="GUO112" s="3"/>
      <c r="GUP112" s="3"/>
      <c r="GUQ112" s="3"/>
      <c r="GUR112" s="3"/>
      <c r="GUS112" s="3"/>
      <c r="GUT112" s="3"/>
      <c r="GUU112" s="3"/>
      <c r="GUV112" s="3"/>
      <c r="GUW112" s="3"/>
      <c r="GUX112" s="3"/>
      <c r="GUY112" s="3"/>
      <c r="GUZ112" s="3"/>
      <c r="GVA112" s="3"/>
      <c r="GVB112" s="3"/>
      <c r="GVC112" s="3"/>
      <c r="GVD112" s="3"/>
      <c r="GVE112" s="3"/>
      <c r="GVF112" s="3"/>
      <c r="GVG112" s="3"/>
      <c r="GVH112" s="3"/>
      <c r="GVI112" s="3"/>
      <c r="GVJ112" s="3"/>
      <c r="GVK112" s="3"/>
      <c r="GVL112" s="3"/>
      <c r="GVM112" s="3"/>
      <c r="GVN112" s="3"/>
      <c r="GVO112" s="3"/>
      <c r="GVP112" s="3"/>
      <c r="GVQ112" s="3"/>
      <c r="GVR112" s="3"/>
      <c r="GVS112" s="3"/>
      <c r="GVT112" s="3"/>
      <c r="GVU112" s="3"/>
      <c r="GVV112" s="3"/>
      <c r="GVW112" s="3"/>
      <c r="GVX112" s="3"/>
      <c r="GVY112" s="3"/>
      <c r="GVZ112" s="3"/>
      <c r="GWA112" s="3"/>
      <c r="GWB112" s="3"/>
      <c r="GWC112" s="3"/>
      <c r="GWD112" s="3"/>
      <c r="GWE112" s="3"/>
      <c r="GWF112" s="3"/>
      <c r="GWG112" s="3"/>
      <c r="GWH112" s="3"/>
      <c r="GWI112" s="3"/>
      <c r="GWJ112" s="3"/>
      <c r="GWK112" s="3"/>
      <c r="GWL112" s="3"/>
      <c r="GWM112" s="3"/>
      <c r="GWN112" s="3"/>
      <c r="GWO112" s="3"/>
      <c r="GWP112" s="3"/>
      <c r="GWQ112" s="3"/>
      <c r="GWR112" s="3"/>
      <c r="GWS112" s="3"/>
      <c r="GWT112" s="3"/>
      <c r="GWU112" s="3"/>
      <c r="GWV112" s="3"/>
      <c r="GWW112" s="3"/>
      <c r="GWX112" s="3"/>
      <c r="GWY112" s="3"/>
      <c r="GWZ112" s="3"/>
      <c r="GXA112" s="3"/>
      <c r="GXB112" s="3"/>
      <c r="GXC112" s="3"/>
      <c r="GXD112" s="3"/>
      <c r="GXE112" s="3"/>
      <c r="GXF112" s="3"/>
      <c r="GXG112" s="3"/>
      <c r="GXH112" s="3"/>
      <c r="GXI112" s="3"/>
      <c r="GXJ112" s="3"/>
      <c r="GXK112" s="3"/>
      <c r="GXL112" s="3"/>
      <c r="GXM112" s="3"/>
      <c r="GXN112" s="3"/>
      <c r="GXO112" s="3"/>
      <c r="GXP112" s="3"/>
      <c r="GXQ112" s="3"/>
      <c r="GXR112" s="3"/>
      <c r="GXS112" s="3"/>
      <c r="GXT112" s="3"/>
      <c r="GXU112" s="3"/>
      <c r="GXV112" s="3"/>
      <c r="GXW112" s="3"/>
      <c r="GXX112" s="3"/>
      <c r="GXY112" s="3"/>
      <c r="GXZ112" s="3"/>
      <c r="GYA112" s="3"/>
      <c r="GYB112" s="3"/>
      <c r="GYC112" s="3"/>
      <c r="GYD112" s="3"/>
      <c r="GYE112" s="3"/>
      <c r="GYF112" s="3"/>
      <c r="GYG112" s="3"/>
      <c r="GYH112" s="3"/>
      <c r="GYI112" s="3"/>
      <c r="GYJ112" s="3"/>
      <c r="GYK112" s="3"/>
      <c r="GYL112" s="3"/>
      <c r="GYM112" s="3"/>
      <c r="GYN112" s="3"/>
      <c r="GYO112" s="3"/>
      <c r="GYP112" s="3"/>
      <c r="GYQ112" s="3"/>
      <c r="GYR112" s="3"/>
      <c r="GYS112" s="3"/>
      <c r="GYT112" s="3"/>
      <c r="GYU112" s="3"/>
      <c r="GYV112" s="3"/>
      <c r="GYW112" s="3"/>
      <c r="GYX112" s="3"/>
      <c r="GYY112" s="3"/>
      <c r="GYZ112" s="3"/>
      <c r="GZA112" s="3"/>
      <c r="GZB112" s="3"/>
      <c r="GZC112" s="3"/>
      <c r="GZD112" s="3"/>
      <c r="GZE112" s="3"/>
      <c r="GZF112" s="3"/>
      <c r="GZG112" s="3"/>
      <c r="GZH112" s="3"/>
      <c r="GZI112" s="3"/>
      <c r="GZJ112" s="3"/>
      <c r="GZK112" s="3"/>
      <c r="GZL112" s="3"/>
      <c r="GZM112" s="3"/>
      <c r="GZN112" s="3"/>
      <c r="GZO112" s="3"/>
      <c r="GZP112" s="3"/>
      <c r="GZQ112" s="3"/>
      <c r="GZR112" s="3"/>
      <c r="GZS112" s="3"/>
      <c r="GZT112" s="3"/>
      <c r="GZU112" s="3"/>
      <c r="GZV112" s="3"/>
      <c r="GZW112" s="3"/>
      <c r="GZX112" s="3"/>
      <c r="GZY112" s="3"/>
      <c r="GZZ112" s="3"/>
      <c r="HAA112" s="3"/>
      <c r="HAB112" s="3"/>
      <c r="HAC112" s="3"/>
      <c r="HAD112" s="3"/>
      <c r="HAE112" s="3"/>
      <c r="HAF112" s="3"/>
      <c r="HAG112" s="3"/>
      <c r="HAH112" s="3"/>
      <c r="HAI112" s="3"/>
      <c r="HAJ112" s="3"/>
      <c r="HAK112" s="3"/>
      <c r="HAL112" s="3"/>
      <c r="HAM112" s="3"/>
      <c r="HAN112" s="3"/>
      <c r="HAO112" s="3"/>
      <c r="HAP112" s="3"/>
      <c r="HAQ112" s="3"/>
      <c r="HAR112" s="3"/>
      <c r="HAS112" s="3"/>
      <c r="HAT112" s="3"/>
      <c r="HAU112" s="3"/>
      <c r="HAV112" s="3"/>
      <c r="HAW112" s="3"/>
      <c r="HAX112" s="3"/>
      <c r="HAY112" s="3"/>
      <c r="HAZ112" s="3"/>
      <c r="HBA112" s="3"/>
      <c r="HBB112" s="3"/>
      <c r="HBC112" s="3"/>
      <c r="HBD112" s="3"/>
      <c r="HBE112" s="3"/>
      <c r="HBF112" s="3"/>
      <c r="HBG112" s="3"/>
      <c r="HBH112" s="3"/>
      <c r="HBI112" s="3"/>
      <c r="HBJ112" s="3"/>
      <c r="HBK112" s="3"/>
      <c r="HBL112" s="3"/>
      <c r="HBM112" s="3"/>
      <c r="HBN112" s="3"/>
      <c r="HBO112" s="3"/>
      <c r="HBP112" s="3"/>
      <c r="HBQ112" s="3"/>
      <c r="HBR112" s="3"/>
      <c r="HBS112" s="3"/>
      <c r="HBT112" s="3"/>
      <c r="HBU112" s="3"/>
      <c r="HBV112" s="3"/>
      <c r="HBW112" s="3"/>
      <c r="HBX112" s="3"/>
      <c r="HBY112" s="3"/>
      <c r="HBZ112" s="3"/>
      <c r="HCA112" s="3"/>
      <c r="HCB112" s="3"/>
      <c r="HCC112" s="3"/>
      <c r="HCD112" s="3"/>
      <c r="HCE112" s="3"/>
      <c r="HCF112" s="3"/>
      <c r="HCG112" s="3"/>
      <c r="HCH112" s="3"/>
      <c r="HCI112" s="3"/>
      <c r="HCJ112" s="3"/>
      <c r="HCK112" s="3"/>
      <c r="HCL112" s="3"/>
      <c r="HCM112" s="3"/>
      <c r="HCN112" s="3"/>
      <c r="HCO112" s="3"/>
      <c r="HCP112" s="3"/>
      <c r="HCQ112" s="3"/>
      <c r="HCR112" s="3"/>
      <c r="HCS112" s="3"/>
      <c r="HCT112" s="3"/>
      <c r="HCU112" s="3"/>
      <c r="HCV112" s="3"/>
      <c r="HCW112" s="3"/>
      <c r="HCX112" s="3"/>
      <c r="HCY112" s="3"/>
      <c r="HCZ112" s="3"/>
      <c r="HDA112" s="3"/>
      <c r="HDB112" s="3"/>
      <c r="HDC112" s="3"/>
      <c r="HDD112" s="3"/>
      <c r="HDE112" s="3"/>
      <c r="HDF112" s="3"/>
      <c r="HDG112" s="3"/>
      <c r="HDH112" s="3"/>
      <c r="HDI112" s="3"/>
      <c r="HDJ112" s="3"/>
      <c r="HDK112" s="3"/>
      <c r="HDL112" s="3"/>
      <c r="HDM112" s="3"/>
      <c r="HDN112" s="3"/>
      <c r="HDO112" s="3"/>
      <c r="HDP112" s="3"/>
      <c r="HDQ112" s="3"/>
      <c r="HDR112" s="3"/>
      <c r="HDS112" s="3"/>
      <c r="HDT112" s="3"/>
      <c r="HDU112" s="3"/>
      <c r="HDV112" s="3"/>
      <c r="HDW112" s="3"/>
      <c r="HDX112" s="3"/>
      <c r="HDY112" s="3"/>
      <c r="HDZ112" s="3"/>
      <c r="HEA112" s="3"/>
      <c r="HEB112" s="3"/>
      <c r="HEC112" s="3"/>
      <c r="HED112" s="3"/>
      <c r="HEE112" s="3"/>
      <c r="HEF112" s="3"/>
      <c r="HEG112" s="3"/>
      <c r="HEH112" s="3"/>
      <c r="HEI112" s="3"/>
      <c r="HEJ112" s="3"/>
      <c r="HEK112" s="3"/>
      <c r="HEL112" s="3"/>
      <c r="HEM112" s="3"/>
      <c r="HEN112" s="3"/>
      <c r="HEO112" s="3"/>
      <c r="HEP112" s="3"/>
      <c r="HEQ112" s="3"/>
      <c r="HER112" s="3"/>
      <c r="HES112" s="3"/>
      <c r="HET112" s="3"/>
      <c r="HEU112" s="3"/>
      <c r="HEV112" s="3"/>
      <c r="HEW112" s="3"/>
      <c r="HEX112" s="3"/>
      <c r="HEY112" s="3"/>
      <c r="HEZ112" s="3"/>
      <c r="HFA112" s="3"/>
      <c r="HFB112" s="3"/>
      <c r="HFC112" s="3"/>
      <c r="HFD112" s="3"/>
      <c r="HFE112" s="3"/>
      <c r="HFF112" s="3"/>
      <c r="HFG112" s="3"/>
      <c r="HFH112" s="3"/>
      <c r="HFI112" s="3"/>
      <c r="HFJ112" s="3"/>
      <c r="HFK112" s="3"/>
      <c r="HFL112" s="3"/>
      <c r="HFM112" s="3"/>
      <c r="HFN112" s="3"/>
      <c r="HFO112" s="3"/>
      <c r="HFP112" s="3"/>
      <c r="HFQ112" s="3"/>
      <c r="HFR112" s="3"/>
      <c r="HFS112" s="3"/>
      <c r="HFT112" s="3"/>
      <c r="HFU112" s="3"/>
      <c r="HFV112" s="3"/>
      <c r="HFW112" s="3"/>
      <c r="HFX112" s="3"/>
      <c r="HFY112" s="3"/>
      <c r="HFZ112" s="3"/>
      <c r="HGA112" s="3"/>
      <c r="HGB112" s="3"/>
      <c r="HGC112" s="3"/>
      <c r="HGD112" s="3"/>
      <c r="HGE112" s="3"/>
      <c r="HGF112" s="3"/>
      <c r="HGG112" s="3"/>
      <c r="HGH112" s="3"/>
      <c r="HGI112" s="3"/>
      <c r="HGJ112" s="3"/>
      <c r="HGK112" s="3"/>
      <c r="HGL112" s="3"/>
      <c r="HGM112" s="3"/>
      <c r="HGN112" s="3"/>
      <c r="HGO112" s="3"/>
      <c r="HGP112" s="3"/>
      <c r="HGQ112" s="3"/>
      <c r="HGR112" s="3"/>
      <c r="HGS112" s="3"/>
      <c r="HGT112" s="3"/>
      <c r="HGU112" s="3"/>
      <c r="HGV112" s="3"/>
      <c r="HGW112" s="3"/>
      <c r="HGX112" s="3"/>
      <c r="HGY112" s="3"/>
      <c r="HGZ112" s="3"/>
      <c r="HHA112" s="3"/>
      <c r="HHB112" s="3"/>
      <c r="HHC112" s="3"/>
      <c r="HHD112" s="3"/>
      <c r="HHE112" s="3"/>
      <c r="HHF112" s="3"/>
      <c r="HHG112" s="3"/>
      <c r="HHH112" s="3"/>
      <c r="HHI112" s="3"/>
      <c r="HHJ112" s="3"/>
      <c r="HHK112" s="3"/>
      <c r="HHL112" s="3"/>
      <c r="HHM112" s="3"/>
      <c r="HHN112" s="3"/>
      <c r="HHO112" s="3"/>
      <c r="HHP112" s="3"/>
      <c r="HHQ112" s="3"/>
      <c r="HHR112" s="3"/>
      <c r="HHS112" s="3"/>
      <c r="HHT112" s="3"/>
      <c r="HHU112" s="3"/>
      <c r="HHV112" s="3"/>
      <c r="HHW112" s="3"/>
      <c r="HHX112" s="3"/>
      <c r="HHY112" s="3"/>
      <c r="HHZ112" s="3"/>
      <c r="HIA112" s="3"/>
      <c r="HIB112" s="3"/>
      <c r="HIC112" s="3"/>
      <c r="HID112" s="3"/>
      <c r="HIE112" s="3"/>
      <c r="HIF112" s="3"/>
      <c r="HIG112" s="3"/>
      <c r="HIH112" s="3"/>
      <c r="HII112" s="3"/>
      <c r="HIJ112" s="3"/>
      <c r="HIK112" s="3"/>
      <c r="HIL112" s="3"/>
      <c r="HIM112" s="3"/>
      <c r="HIN112" s="3"/>
      <c r="HIO112" s="3"/>
      <c r="HIP112" s="3"/>
      <c r="HIQ112" s="3"/>
      <c r="HIR112" s="3"/>
      <c r="HIS112" s="3"/>
      <c r="HIT112" s="3"/>
      <c r="HIU112" s="3"/>
      <c r="HIV112" s="3"/>
      <c r="HIW112" s="3"/>
      <c r="HIX112" s="3"/>
      <c r="HIY112" s="3"/>
      <c r="HIZ112" s="3"/>
      <c r="HJA112" s="3"/>
      <c r="HJB112" s="3"/>
      <c r="HJC112" s="3"/>
      <c r="HJD112" s="3"/>
      <c r="HJE112" s="3"/>
      <c r="HJF112" s="3"/>
      <c r="HJG112" s="3"/>
      <c r="HJH112" s="3"/>
      <c r="HJI112" s="3"/>
      <c r="HJJ112" s="3"/>
      <c r="HJK112" s="3"/>
      <c r="HJL112" s="3"/>
      <c r="HJM112" s="3"/>
      <c r="HJN112" s="3"/>
      <c r="HJO112" s="3"/>
      <c r="HJP112" s="3"/>
      <c r="HJQ112" s="3"/>
      <c r="HJR112" s="3"/>
      <c r="HJS112" s="3"/>
      <c r="HJT112" s="3"/>
      <c r="HJU112" s="3"/>
      <c r="HJV112" s="3"/>
      <c r="HJW112" s="3"/>
      <c r="HJX112" s="3"/>
      <c r="HJY112" s="3"/>
      <c r="HJZ112" s="3"/>
      <c r="HKA112" s="3"/>
      <c r="HKB112" s="3"/>
      <c r="HKC112" s="3"/>
      <c r="HKD112" s="3"/>
      <c r="HKE112" s="3"/>
      <c r="HKF112" s="3"/>
      <c r="HKG112" s="3"/>
      <c r="HKH112" s="3"/>
      <c r="HKI112" s="3"/>
      <c r="HKJ112" s="3"/>
      <c r="HKK112" s="3"/>
      <c r="HKL112" s="3"/>
      <c r="HKM112" s="3"/>
      <c r="HKN112" s="3"/>
      <c r="HKO112" s="3"/>
      <c r="HKP112" s="3"/>
      <c r="HKQ112" s="3"/>
      <c r="HKR112" s="3"/>
      <c r="HKS112" s="3"/>
      <c r="HKT112" s="3"/>
      <c r="HKU112" s="3"/>
      <c r="HKV112" s="3"/>
      <c r="HKW112" s="3"/>
      <c r="HKX112" s="3"/>
      <c r="HKY112" s="3"/>
      <c r="HKZ112" s="3"/>
      <c r="HLA112" s="3"/>
      <c r="HLB112" s="3"/>
      <c r="HLC112" s="3"/>
      <c r="HLD112" s="3"/>
      <c r="HLE112" s="3"/>
      <c r="HLF112" s="3"/>
      <c r="HLG112" s="3"/>
      <c r="HLH112" s="3"/>
      <c r="HLI112" s="3"/>
      <c r="HLJ112" s="3"/>
      <c r="HLK112" s="3"/>
      <c r="HLL112" s="3"/>
      <c r="HLM112" s="3"/>
      <c r="HLN112" s="3"/>
      <c r="HLO112" s="3"/>
      <c r="HLP112" s="3"/>
      <c r="HLQ112" s="3"/>
      <c r="HLR112" s="3"/>
      <c r="HLS112" s="3"/>
      <c r="HLT112" s="3"/>
      <c r="HLU112" s="3"/>
      <c r="HLV112" s="3"/>
      <c r="HLW112" s="3"/>
      <c r="HLX112" s="3"/>
      <c r="HLY112" s="3"/>
      <c r="HLZ112" s="3"/>
      <c r="HMA112" s="3"/>
      <c r="HMB112" s="3"/>
      <c r="HMC112" s="3"/>
      <c r="HMD112" s="3"/>
      <c r="HME112" s="3"/>
      <c r="HMF112" s="3"/>
      <c r="HMG112" s="3"/>
      <c r="HMH112" s="3"/>
      <c r="HMI112" s="3"/>
      <c r="HMJ112" s="3"/>
      <c r="HMK112" s="3"/>
      <c r="HML112" s="3"/>
      <c r="HMM112" s="3"/>
      <c r="HMN112" s="3"/>
      <c r="HMO112" s="3"/>
      <c r="HMP112" s="3"/>
      <c r="HMQ112" s="3"/>
      <c r="HMR112" s="3"/>
      <c r="HMS112" s="3"/>
      <c r="HMT112" s="3"/>
      <c r="HMU112" s="3"/>
      <c r="HMV112" s="3"/>
      <c r="HMW112" s="3"/>
      <c r="HMX112" s="3"/>
      <c r="HMY112" s="3"/>
      <c r="HMZ112" s="3"/>
      <c r="HNA112" s="3"/>
      <c r="HNB112" s="3"/>
      <c r="HNC112" s="3"/>
      <c r="HND112" s="3"/>
      <c r="HNE112" s="3"/>
      <c r="HNF112" s="3"/>
      <c r="HNG112" s="3"/>
      <c r="HNH112" s="3"/>
      <c r="HNI112" s="3"/>
      <c r="HNJ112" s="3"/>
      <c r="HNK112" s="3"/>
      <c r="HNL112" s="3"/>
      <c r="HNM112" s="3"/>
      <c r="HNN112" s="3"/>
      <c r="HNO112" s="3"/>
      <c r="HNP112" s="3"/>
      <c r="HNQ112" s="3"/>
      <c r="HNR112" s="3"/>
      <c r="HNS112" s="3"/>
      <c r="HNT112" s="3"/>
      <c r="HNU112" s="3"/>
      <c r="HNV112" s="3"/>
      <c r="HNW112" s="3"/>
      <c r="HNX112" s="3"/>
      <c r="HNY112" s="3"/>
      <c r="HNZ112" s="3"/>
      <c r="HOA112" s="3"/>
      <c r="HOB112" s="3"/>
      <c r="HOC112" s="3"/>
      <c r="HOD112" s="3"/>
      <c r="HOE112" s="3"/>
      <c r="HOF112" s="3"/>
      <c r="HOG112" s="3"/>
      <c r="HOH112" s="3"/>
      <c r="HOI112" s="3"/>
      <c r="HOJ112" s="3"/>
      <c r="HOK112" s="3"/>
      <c r="HOL112" s="3"/>
      <c r="HOM112" s="3"/>
      <c r="HON112" s="3"/>
      <c r="HOO112" s="3"/>
      <c r="HOP112" s="3"/>
      <c r="HOQ112" s="3"/>
      <c r="HOR112" s="3"/>
      <c r="HOS112" s="3"/>
      <c r="HOT112" s="3"/>
      <c r="HOU112" s="3"/>
      <c r="HOV112" s="3"/>
      <c r="HOW112" s="3"/>
      <c r="HOX112" s="3"/>
      <c r="HOY112" s="3"/>
      <c r="HOZ112" s="3"/>
      <c r="HPA112" s="3"/>
      <c r="HPB112" s="3"/>
      <c r="HPC112" s="3"/>
      <c r="HPD112" s="3"/>
      <c r="HPE112" s="3"/>
      <c r="HPF112" s="3"/>
      <c r="HPG112" s="3"/>
      <c r="HPH112" s="3"/>
      <c r="HPI112" s="3"/>
      <c r="HPJ112" s="3"/>
      <c r="HPK112" s="3"/>
      <c r="HPL112" s="3"/>
      <c r="HPM112" s="3"/>
      <c r="HPN112" s="3"/>
      <c r="HPO112" s="3"/>
      <c r="HPP112" s="3"/>
      <c r="HPQ112" s="3"/>
      <c r="HPR112" s="3"/>
      <c r="HPS112" s="3"/>
      <c r="HPT112" s="3"/>
      <c r="HPU112" s="3"/>
      <c r="HPV112" s="3"/>
      <c r="HPW112" s="3"/>
      <c r="HPX112" s="3"/>
      <c r="HPY112" s="3"/>
      <c r="HPZ112" s="3"/>
      <c r="HQA112" s="3"/>
      <c r="HQB112" s="3"/>
      <c r="HQC112" s="3"/>
      <c r="HQD112" s="3"/>
      <c r="HQE112" s="3"/>
      <c r="HQF112" s="3"/>
      <c r="HQG112" s="3"/>
      <c r="HQH112" s="3"/>
      <c r="HQI112" s="3"/>
      <c r="HQJ112" s="3"/>
      <c r="HQK112" s="3"/>
      <c r="HQL112" s="3"/>
      <c r="HQM112" s="3"/>
      <c r="HQN112" s="3"/>
      <c r="HQO112" s="3"/>
      <c r="HQP112" s="3"/>
      <c r="HQQ112" s="3"/>
      <c r="HQR112" s="3"/>
      <c r="HQS112" s="3"/>
      <c r="HQT112" s="3"/>
      <c r="HQU112" s="3"/>
      <c r="HQV112" s="3"/>
      <c r="HQW112" s="3"/>
      <c r="HQX112" s="3"/>
      <c r="HQY112" s="3"/>
      <c r="HQZ112" s="3"/>
      <c r="HRA112" s="3"/>
      <c r="HRB112" s="3"/>
      <c r="HRC112" s="3"/>
      <c r="HRD112" s="3"/>
      <c r="HRE112" s="3"/>
      <c r="HRF112" s="3"/>
      <c r="HRG112" s="3"/>
      <c r="HRH112" s="3"/>
      <c r="HRI112" s="3"/>
      <c r="HRJ112" s="3"/>
      <c r="HRK112" s="3"/>
      <c r="HRL112" s="3"/>
      <c r="HRM112" s="3"/>
      <c r="HRN112" s="3"/>
      <c r="HRO112" s="3"/>
      <c r="HRP112" s="3"/>
      <c r="HRQ112" s="3"/>
      <c r="HRR112" s="3"/>
      <c r="HRS112" s="3"/>
      <c r="HRT112" s="3"/>
      <c r="HRU112" s="3"/>
      <c r="HRV112" s="3"/>
      <c r="HRW112" s="3"/>
      <c r="HRX112" s="3"/>
      <c r="HRY112" s="3"/>
      <c r="HRZ112" s="3"/>
      <c r="HSA112" s="3"/>
      <c r="HSB112" s="3"/>
      <c r="HSC112" s="3"/>
      <c r="HSD112" s="3"/>
      <c r="HSE112" s="3"/>
      <c r="HSF112" s="3"/>
      <c r="HSG112" s="3"/>
      <c r="HSH112" s="3"/>
      <c r="HSI112" s="3"/>
      <c r="HSJ112" s="3"/>
      <c r="HSK112" s="3"/>
      <c r="HSL112" s="3"/>
      <c r="HSM112" s="3"/>
      <c r="HSN112" s="3"/>
      <c r="HSO112" s="3"/>
      <c r="HSP112" s="3"/>
      <c r="HSQ112" s="3"/>
      <c r="HSR112" s="3"/>
      <c r="HSS112" s="3"/>
      <c r="HST112" s="3"/>
      <c r="HSU112" s="3"/>
      <c r="HSV112" s="3"/>
      <c r="HSW112" s="3"/>
      <c r="HSX112" s="3"/>
      <c r="HSY112" s="3"/>
      <c r="HSZ112" s="3"/>
      <c r="HTA112" s="3"/>
      <c r="HTB112" s="3"/>
      <c r="HTC112" s="3"/>
      <c r="HTD112" s="3"/>
      <c r="HTE112" s="3"/>
      <c r="HTF112" s="3"/>
      <c r="HTG112" s="3"/>
      <c r="HTH112" s="3"/>
      <c r="HTI112" s="3"/>
      <c r="HTJ112" s="3"/>
      <c r="HTK112" s="3"/>
      <c r="HTL112" s="3"/>
      <c r="HTM112" s="3"/>
      <c r="HTN112" s="3"/>
      <c r="HTO112" s="3"/>
      <c r="HTP112" s="3"/>
      <c r="HTQ112" s="3"/>
      <c r="HTR112" s="3"/>
      <c r="HTS112" s="3"/>
      <c r="HTT112" s="3"/>
      <c r="HTU112" s="3"/>
      <c r="HTV112" s="3"/>
      <c r="HTW112" s="3"/>
      <c r="HTX112" s="3"/>
      <c r="HTY112" s="3"/>
      <c r="HTZ112" s="3"/>
      <c r="HUA112" s="3"/>
      <c r="HUB112" s="3"/>
      <c r="HUC112" s="3"/>
      <c r="HUD112" s="3"/>
      <c r="HUE112" s="3"/>
      <c r="HUF112" s="3"/>
      <c r="HUG112" s="3"/>
      <c r="HUH112" s="3"/>
      <c r="HUI112" s="3"/>
      <c r="HUJ112" s="3"/>
      <c r="HUK112" s="3"/>
      <c r="HUL112" s="3"/>
      <c r="HUM112" s="3"/>
      <c r="HUN112" s="3"/>
      <c r="HUO112" s="3"/>
      <c r="HUP112" s="3"/>
      <c r="HUQ112" s="3"/>
      <c r="HUR112" s="3"/>
      <c r="HUS112" s="3"/>
      <c r="HUT112" s="3"/>
      <c r="HUU112" s="3"/>
      <c r="HUV112" s="3"/>
      <c r="HUW112" s="3"/>
      <c r="HUX112" s="3"/>
      <c r="HUY112" s="3"/>
      <c r="HUZ112" s="3"/>
      <c r="HVA112" s="3"/>
      <c r="HVB112" s="3"/>
      <c r="HVC112" s="3"/>
      <c r="HVD112" s="3"/>
      <c r="HVE112" s="3"/>
      <c r="HVF112" s="3"/>
      <c r="HVG112" s="3"/>
      <c r="HVH112" s="3"/>
      <c r="HVI112" s="3"/>
      <c r="HVJ112" s="3"/>
      <c r="HVK112" s="3"/>
      <c r="HVL112" s="3"/>
      <c r="HVM112" s="3"/>
      <c r="HVN112" s="3"/>
      <c r="HVO112" s="3"/>
      <c r="HVP112" s="3"/>
      <c r="HVQ112" s="3"/>
      <c r="HVR112" s="3"/>
      <c r="HVS112" s="3"/>
      <c r="HVT112" s="3"/>
      <c r="HVU112" s="3"/>
      <c r="HVV112" s="3"/>
      <c r="HVW112" s="3"/>
      <c r="HVX112" s="3"/>
      <c r="HVY112" s="3"/>
      <c r="HVZ112" s="3"/>
      <c r="HWA112" s="3"/>
      <c r="HWB112" s="3"/>
      <c r="HWC112" s="3"/>
      <c r="HWD112" s="3"/>
      <c r="HWE112" s="3"/>
      <c r="HWF112" s="3"/>
      <c r="HWG112" s="3"/>
      <c r="HWH112" s="3"/>
      <c r="HWI112" s="3"/>
      <c r="HWJ112" s="3"/>
      <c r="HWK112" s="3"/>
      <c r="HWL112" s="3"/>
      <c r="HWM112" s="3"/>
      <c r="HWN112" s="3"/>
      <c r="HWO112" s="3"/>
      <c r="HWP112" s="3"/>
      <c r="HWQ112" s="3"/>
      <c r="HWR112" s="3"/>
      <c r="HWS112" s="3"/>
      <c r="HWT112" s="3"/>
      <c r="HWU112" s="3"/>
      <c r="HWV112" s="3"/>
      <c r="HWW112" s="3"/>
      <c r="HWX112" s="3"/>
      <c r="HWY112" s="3"/>
      <c r="HWZ112" s="3"/>
      <c r="HXA112" s="3"/>
      <c r="HXB112" s="3"/>
      <c r="HXC112" s="3"/>
      <c r="HXD112" s="3"/>
      <c r="HXE112" s="3"/>
      <c r="HXF112" s="3"/>
      <c r="HXG112" s="3"/>
      <c r="HXH112" s="3"/>
      <c r="HXI112" s="3"/>
      <c r="HXJ112" s="3"/>
      <c r="HXK112" s="3"/>
      <c r="HXL112" s="3"/>
      <c r="HXM112" s="3"/>
      <c r="HXN112" s="3"/>
      <c r="HXO112" s="3"/>
      <c r="HXP112" s="3"/>
      <c r="HXQ112" s="3"/>
      <c r="HXR112" s="3"/>
      <c r="HXS112" s="3"/>
      <c r="HXT112" s="3"/>
      <c r="HXU112" s="3"/>
      <c r="HXV112" s="3"/>
      <c r="HXW112" s="3"/>
      <c r="HXX112" s="3"/>
      <c r="HXY112" s="3"/>
      <c r="HXZ112" s="3"/>
      <c r="HYA112" s="3"/>
      <c r="HYB112" s="3"/>
      <c r="HYC112" s="3"/>
      <c r="HYD112" s="3"/>
      <c r="HYE112" s="3"/>
      <c r="HYF112" s="3"/>
      <c r="HYG112" s="3"/>
      <c r="HYH112" s="3"/>
      <c r="HYI112" s="3"/>
      <c r="HYJ112" s="3"/>
      <c r="HYK112" s="3"/>
      <c r="HYL112" s="3"/>
      <c r="HYM112" s="3"/>
      <c r="HYN112" s="3"/>
      <c r="HYO112" s="3"/>
      <c r="HYP112" s="3"/>
      <c r="HYQ112" s="3"/>
      <c r="HYR112" s="3"/>
      <c r="HYS112" s="3"/>
      <c r="HYT112" s="3"/>
      <c r="HYU112" s="3"/>
      <c r="HYV112" s="3"/>
      <c r="HYW112" s="3"/>
      <c r="HYX112" s="3"/>
      <c r="HYY112" s="3"/>
      <c r="HYZ112" s="3"/>
      <c r="HZA112" s="3"/>
      <c r="HZB112" s="3"/>
      <c r="HZC112" s="3"/>
      <c r="HZD112" s="3"/>
      <c r="HZE112" s="3"/>
      <c r="HZF112" s="3"/>
      <c r="HZG112" s="3"/>
      <c r="HZH112" s="3"/>
      <c r="HZI112" s="3"/>
      <c r="HZJ112" s="3"/>
      <c r="HZK112" s="3"/>
      <c r="HZL112" s="3"/>
      <c r="HZM112" s="3"/>
      <c r="HZN112" s="3"/>
      <c r="HZO112" s="3"/>
      <c r="HZP112" s="3"/>
      <c r="HZQ112" s="3"/>
      <c r="HZR112" s="3"/>
      <c r="HZS112" s="3"/>
      <c r="HZT112" s="3"/>
      <c r="HZU112" s="3"/>
      <c r="HZV112" s="3"/>
      <c r="HZW112" s="3"/>
      <c r="HZX112" s="3"/>
      <c r="HZY112" s="3"/>
      <c r="HZZ112" s="3"/>
      <c r="IAA112" s="3"/>
      <c r="IAB112" s="3"/>
      <c r="IAC112" s="3"/>
      <c r="IAD112" s="3"/>
      <c r="IAE112" s="3"/>
      <c r="IAF112" s="3"/>
      <c r="IAG112" s="3"/>
      <c r="IAH112" s="3"/>
      <c r="IAI112" s="3"/>
      <c r="IAJ112" s="3"/>
      <c r="IAK112" s="3"/>
      <c r="IAL112" s="3"/>
      <c r="IAM112" s="3"/>
      <c r="IAN112" s="3"/>
      <c r="IAO112" s="3"/>
      <c r="IAP112" s="3"/>
      <c r="IAQ112" s="3"/>
      <c r="IAR112" s="3"/>
      <c r="IAS112" s="3"/>
      <c r="IAT112" s="3"/>
      <c r="IAU112" s="3"/>
      <c r="IAV112" s="3"/>
      <c r="IAW112" s="3"/>
      <c r="IAX112" s="3"/>
      <c r="IAY112" s="3"/>
      <c r="IAZ112" s="3"/>
      <c r="IBA112" s="3"/>
      <c r="IBB112" s="3"/>
      <c r="IBC112" s="3"/>
      <c r="IBD112" s="3"/>
      <c r="IBE112" s="3"/>
      <c r="IBF112" s="3"/>
      <c r="IBG112" s="3"/>
      <c r="IBH112" s="3"/>
      <c r="IBI112" s="3"/>
      <c r="IBJ112" s="3"/>
      <c r="IBK112" s="3"/>
      <c r="IBL112" s="3"/>
      <c r="IBM112" s="3"/>
      <c r="IBN112" s="3"/>
      <c r="IBO112" s="3"/>
      <c r="IBP112" s="3"/>
      <c r="IBQ112" s="3"/>
      <c r="IBR112" s="3"/>
      <c r="IBS112" s="3"/>
      <c r="IBT112" s="3"/>
      <c r="IBU112" s="3"/>
      <c r="IBV112" s="3"/>
      <c r="IBW112" s="3"/>
      <c r="IBX112" s="3"/>
      <c r="IBY112" s="3"/>
      <c r="IBZ112" s="3"/>
      <c r="ICA112" s="3"/>
      <c r="ICB112" s="3"/>
      <c r="ICC112" s="3"/>
      <c r="ICD112" s="3"/>
      <c r="ICE112" s="3"/>
      <c r="ICF112" s="3"/>
      <c r="ICG112" s="3"/>
      <c r="ICH112" s="3"/>
      <c r="ICI112" s="3"/>
      <c r="ICJ112" s="3"/>
      <c r="ICK112" s="3"/>
      <c r="ICL112" s="3"/>
      <c r="ICM112" s="3"/>
      <c r="ICN112" s="3"/>
      <c r="ICO112" s="3"/>
      <c r="ICP112" s="3"/>
      <c r="ICQ112" s="3"/>
      <c r="ICR112" s="3"/>
      <c r="ICS112" s="3"/>
      <c r="ICT112" s="3"/>
      <c r="ICU112" s="3"/>
      <c r="ICV112" s="3"/>
      <c r="ICW112" s="3"/>
      <c r="ICX112" s="3"/>
      <c r="ICY112" s="3"/>
      <c r="ICZ112" s="3"/>
      <c r="IDA112" s="3"/>
      <c r="IDB112" s="3"/>
      <c r="IDC112" s="3"/>
      <c r="IDD112" s="3"/>
      <c r="IDE112" s="3"/>
      <c r="IDF112" s="3"/>
      <c r="IDG112" s="3"/>
      <c r="IDH112" s="3"/>
      <c r="IDI112" s="3"/>
      <c r="IDJ112" s="3"/>
      <c r="IDK112" s="3"/>
      <c r="IDL112" s="3"/>
      <c r="IDM112" s="3"/>
      <c r="IDN112" s="3"/>
      <c r="IDO112" s="3"/>
      <c r="IDP112" s="3"/>
      <c r="IDQ112" s="3"/>
      <c r="IDR112" s="3"/>
      <c r="IDS112" s="3"/>
      <c r="IDT112" s="3"/>
      <c r="IDU112" s="3"/>
      <c r="IDV112" s="3"/>
      <c r="IDW112" s="3"/>
      <c r="IDX112" s="3"/>
      <c r="IDY112" s="3"/>
      <c r="IDZ112" s="3"/>
      <c r="IEA112" s="3"/>
      <c r="IEB112" s="3"/>
      <c r="IEC112" s="3"/>
      <c r="IED112" s="3"/>
      <c r="IEE112" s="3"/>
      <c r="IEF112" s="3"/>
      <c r="IEG112" s="3"/>
      <c r="IEH112" s="3"/>
      <c r="IEI112" s="3"/>
      <c r="IEJ112" s="3"/>
      <c r="IEK112" s="3"/>
      <c r="IEL112" s="3"/>
      <c r="IEM112" s="3"/>
      <c r="IEN112" s="3"/>
      <c r="IEO112" s="3"/>
      <c r="IEP112" s="3"/>
      <c r="IEQ112" s="3"/>
      <c r="IER112" s="3"/>
      <c r="IES112" s="3"/>
      <c r="IET112" s="3"/>
      <c r="IEU112" s="3"/>
      <c r="IEV112" s="3"/>
      <c r="IEW112" s="3"/>
      <c r="IEX112" s="3"/>
      <c r="IEY112" s="3"/>
      <c r="IEZ112" s="3"/>
      <c r="IFA112" s="3"/>
      <c r="IFB112" s="3"/>
      <c r="IFC112" s="3"/>
      <c r="IFD112" s="3"/>
      <c r="IFE112" s="3"/>
      <c r="IFF112" s="3"/>
      <c r="IFG112" s="3"/>
      <c r="IFH112" s="3"/>
      <c r="IFI112" s="3"/>
      <c r="IFJ112" s="3"/>
      <c r="IFK112" s="3"/>
      <c r="IFL112" s="3"/>
      <c r="IFM112" s="3"/>
      <c r="IFN112" s="3"/>
      <c r="IFO112" s="3"/>
      <c r="IFP112" s="3"/>
      <c r="IFQ112" s="3"/>
      <c r="IFR112" s="3"/>
      <c r="IFS112" s="3"/>
      <c r="IFT112" s="3"/>
      <c r="IFU112" s="3"/>
      <c r="IFV112" s="3"/>
      <c r="IFW112" s="3"/>
      <c r="IFX112" s="3"/>
      <c r="IFY112" s="3"/>
      <c r="IFZ112" s="3"/>
      <c r="IGA112" s="3"/>
      <c r="IGB112" s="3"/>
      <c r="IGC112" s="3"/>
      <c r="IGD112" s="3"/>
      <c r="IGE112" s="3"/>
      <c r="IGF112" s="3"/>
      <c r="IGG112" s="3"/>
      <c r="IGH112" s="3"/>
      <c r="IGI112" s="3"/>
      <c r="IGJ112" s="3"/>
      <c r="IGK112" s="3"/>
      <c r="IGL112" s="3"/>
      <c r="IGM112" s="3"/>
      <c r="IGN112" s="3"/>
      <c r="IGO112" s="3"/>
      <c r="IGP112" s="3"/>
      <c r="IGQ112" s="3"/>
      <c r="IGR112" s="3"/>
      <c r="IGS112" s="3"/>
      <c r="IGT112" s="3"/>
      <c r="IGU112" s="3"/>
      <c r="IGV112" s="3"/>
      <c r="IGW112" s="3"/>
      <c r="IGX112" s="3"/>
      <c r="IGY112" s="3"/>
      <c r="IGZ112" s="3"/>
      <c r="IHA112" s="3"/>
      <c r="IHB112" s="3"/>
      <c r="IHC112" s="3"/>
      <c r="IHD112" s="3"/>
      <c r="IHE112" s="3"/>
      <c r="IHF112" s="3"/>
      <c r="IHG112" s="3"/>
      <c r="IHH112" s="3"/>
      <c r="IHI112" s="3"/>
      <c r="IHJ112" s="3"/>
      <c r="IHK112" s="3"/>
      <c r="IHL112" s="3"/>
      <c r="IHM112" s="3"/>
      <c r="IHN112" s="3"/>
      <c r="IHO112" s="3"/>
      <c r="IHP112" s="3"/>
      <c r="IHQ112" s="3"/>
      <c r="IHR112" s="3"/>
      <c r="IHS112" s="3"/>
      <c r="IHT112" s="3"/>
      <c r="IHU112" s="3"/>
      <c r="IHV112" s="3"/>
      <c r="IHW112" s="3"/>
      <c r="IHX112" s="3"/>
      <c r="IHY112" s="3"/>
      <c r="IHZ112" s="3"/>
      <c r="IIA112" s="3"/>
      <c r="IIB112" s="3"/>
      <c r="IIC112" s="3"/>
      <c r="IID112" s="3"/>
      <c r="IIE112" s="3"/>
      <c r="IIF112" s="3"/>
      <c r="IIG112" s="3"/>
      <c r="IIH112" s="3"/>
      <c r="III112" s="3"/>
      <c r="IIJ112" s="3"/>
      <c r="IIK112" s="3"/>
      <c r="IIL112" s="3"/>
      <c r="IIM112" s="3"/>
      <c r="IIN112" s="3"/>
      <c r="IIO112" s="3"/>
      <c r="IIP112" s="3"/>
      <c r="IIQ112" s="3"/>
      <c r="IIR112" s="3"/>
      <c r="IIS112" s="3"/>
      <c r="IIT112" s="3"/>
      <c r="IIU112" s="3"/>
      <c r="IIV112" s="3"/>
      <c r="IIW112" s="3"/>
      <c r="IIX112" s="3"/>
      <c r="IIY112" s="3"/>
      <c r="IIZ112" s="3"/>
      <c r="IJA112" s="3"/>
      <c r="IJB112" s="3"/>
      <c r="IJC112" s="3"/>
      <c r="IJD112" s="3"/>
      <c r="IJE112" s="3"/>
      <c r="IJF112" s="3"/>
      <c r="IJG112" s="3"/>
      <c r="IJH112" s="3"/>
      <c r="IJI112" s="3"/>
      <c r="IJJ112" s="3"/>
      <c r="IJK112" s="3"/>
      <c r="IJL112" s="3"/>
      <c r="IJM112" s="3"/>
      <c r="IJN112" s="3"/>
      <c r="IJO112" s="3"/>
      <c r="IJP112" s="3"/>
      <c r="IJQ112" s="3"/>
      <c r="IJR112" s="3"/>
      <c r="IJS112" s="3"/>
      <c r="IJT112" s="3"/>
      <c r="IJU112" s="3"/>
      <c r="IJV112" s="3"/>
      <c r="IJW112" s="3"/>
      <c r="IJX112" s="3"/>
      <c r="IJY112" s="3"/>
      <c r="IJZ112" s="3"/>
      <c r="IKA112" s="3"/>
      <c r="IKB112" s="3"/>
      <c r="IKC112" s="3"/>
      <c r="IKD112" s="3"/>
      <c r="IKE112" s="3"/>
      <c r="IKF112" s="3"/>
      <c r="IKG112" s="3"/>
      <c r="IKH112" s="3"/>
      <c r="IKI112" s="3"/>
      <c r="IKJ112" s="3"/>
      <c r="IKK112" s="3"/>
      <c r="IKL112" s="3"/>
      <c r="IKM112" s="3"/>
      <c r="IKN112" s="3"/>
      <c r="IKO112" s="3"/>
      <c r="IKP112" s="3"/>
      <c r="IKQ112" s="3"/>
      <c r="IKR112" s="3"/>
      <c r="IKS112" s="3"/>
      <c r="IKT112" s="3"/>
      <c r="IKU112" s="3"/>
      <c r="IKV112" s="3"/>
      <c r="IKW112" s="3"/>
      <c r="IKX112" s="3"/>
      <c r="IKY112" s="3"/>
      <c r="IKZ112" s="3"/>
      <c r="ILA112" s="3"/>
      <c r="ILB112" s="3"/>
      <c r="ILC112" s="3"/>
      <c r="ILD112" s="3"/>
      <c r="ILE112" s="3"/>
      <c r="ILF112" s="3"/>
      <c r="ILG112" s="3"/>
      <c r="ILH112" s="3"/>
      <c r="ILI112" s="3"/>
      <c r="ILJ112" s="3"/>
      <c r="ILK112" s="3"/>
      <c r="ILL112" s="3"/>
      <c r="ILM112" s="3"/>
      <c r="ILN112" s="3"/>
      <c r="ILO112" s="3"/>
      <c r="ILP112" s="3"/>
      <c r="ILQ112" s="3"/>
      <c r="ILR112" s="3"/>
      <c r="ILS112" s="3"/>
      <c r="ILT112" s="3"/>
      <c r="ILU112" s="3"/>
      <c r="ILV112" s="3"/>
      <c r="ILW112" s="3"/>
      <c r="ILX112" s="3"/>
      <c r="ILY112" s="3"/>
      <c r="ILZ112" s="3"/>
      <c r="IMA112" s="3"/>
      <c r="IMB112" s="3"/>
      <c r="IMC112" s="3"/>
      <c r="IMD112" s="3"/>
      <c r="IME112" s="3"/>
      <c r="IMF112" s="3"/>
      <c r="IMG112" s="3"/>
      <c r="IMH112" s="3"/>
      <c r="IMI112" s="3"/>
      <c r="IMJ112" s="3"/>
      <c r="IMK112" s="3"/>
      <c r="IML112" s="3"/>
      <c r="IMM112" s="3"/>
      <c r="IMN112" s="3"/>
      <c r="IMO112" s="3"/>
      <c r="IMP112" s="3"/>
      <c r="IMQ112" s="3"/>
      <c r="IMR112" s="3"/>
      <c r="IMS112" s="3"/>
      <c r="IMT112" s="3"/>
      <c r="IMU112" s="3"/>
      <c r="IMV112" s="3"/>
      <c r="IMW112" s="3"/>
      <c r="IMX112" s="3"/>
      <c r="IMY112" s="3"/>
      <c r="IMZ112" s="3"/>
      <c r="INA112" s="3"/>
      <c r="INB112" s="3"/>
      <c r="INC112" s="3"/>
      <c r="IND112" s="3"/>
      <c r="INE112" s="3"/>
      <c r="INF112" s="3"/>
      <c r="ING112" s="3"/>
      <c r="INH112" s="3"/>
      <c r="INI112" s="3"/>
      <c r="INJ112" s="3"/>
      <c r="INK112" s="3"/>
      <c r="INL112" s="3"/>
      <c r="INM112" s="3"/>
      <c r="INN112" s="3"/>
      <c r="INO112" s="3"/>
      <c r="INP112" s="3"/>
      <c r="INQ112" s="3"/>
      <c r="INR112" s="3"/>
      <c r="INS112" s="3"/>
      <c r="INT112" s="3"/>
      <c r="INU112" s="3"/>
      <c r="INV112" s="3"/>
      <c r="INW112" s="3"/>
      <c r="INX112" s="3"/>
      <c r="INY112" s="3"/>
      <c r="INZ112" s="3"/>
      <c r="IOA112" s="3"/>
      <c r="IOB112" s="3"/>
      <c r="IOC112" s="3"/>
      <c r="IOD112" s="3"/>
      <c r="IOE112" s="3"/>
      <c r="IOF112" s="3"/>
      <c r="IOG112" s="3"/>
      <c r="IOH112" s="3"/>
      <c r="IOI112" s="3"/>
      <c r="IOJ112" s="3"/>
      <c r="IOK112" s="3"/>
      <c r="IOL112" s="3"/>
      <c r="IOM112" s="3"/>
      <c r="ION112" s="3"/>
      <c r="IOO112" s="3"/>
      <c r="IOP112" s="3"/>
      <c r="IOQ112" s="3"/>
      <c r="IOR112" s="3"/>
      <c r="IOS112" s="3"/>
      <c r="IOT112" s="3"/>
      <c r="IOU112" s="3"/>
      <c r="IOV112" s="3"/>
      <c r="IOW112" s="3"/>
      <c r="IOX112" s="3"/>
      <c r="IOY112" s="3"/>
      <c r="IOZ112" s="3"/>
      <c r="IPA112" s="3"/>
      <c r="IPB112" s="3"/>
      <c r="IPC112" s="3"/>
      <c r="IPD112" s="3"/>
      <c r="IPE112" s="3"/>
      <c r="IPF112" s="3"/>
      <c r="IPG112" s="3"/>
      <c r="IPH112" s="3"/>
      <c r="IPI112" s="3"/>
      <c r="IPJ112" s="3"/>
      <c r="IPK112" s="3"/>
      <c r="IPL112" s="3"/>
      <c r="IPM112" s="3"/>
      <c r="IPN112" s="3"/>
      <c r="IPO112" s="3"/>
      <c r="IPP112" s="3"/>
      <c r="IPQ112" s="3"/>
      <c r="IPR112" s="3"/>
      <c r="IPS112" s="3"/>
      <c r="IPT112" s="3"/>
      <c r="IPU112" s="3"/>
      <c r="IPV112" s="3"/>
      <c r="IPW112" s="3"/>
      <c r="IPX112" s="3"/>
      <c r="IPY112" s="3"/>
      <c r="IPZ112" s="3"/>
      <c r="IQA112" s="3"/>
      <c r="IQB112" s="3"/>
      <c r="IQC112" s="3"/>
      <c r="IQD112" s="3"/>
      <c r="IQE112" s="3"/>
      <c r="IQF112" s="3"/>
      <c r="IQG112" s="3"/>
      <c r="IQH112" s="3"/>
      <c r="IQI112" s="3"/>
      <c r="IQJ112" s="3"/>
      <c r="IQK112" s="3"/>
      <c r="IQL112" s="3"/>
      <c r="IQM112" s="3"/>
      <c r="IQN112" s="3"/>
      <c r="IQO112" s="3"/>
      <c r="IQP112" s="3"/>
      <c r="IQQ112" s="3"/>
      <c r="IQR112" s="3"/>
      <c r="IQS112" s="3"/>
      <c r="IQT112" s="3"/>
      <c r="IQU112" s="3"/>
      <c r="IQV112" s="3"/>
      <c r="IQW112" s="3"/>
      <c r="IQX112" s="3"/>
      <c r="IQY112" s="3"/>
      <c r="IQZ112" s="3"/>
      <c r="IRA112" s="3"/>
      <c r="IRB112" s="3"/>
      <c r="IRC112" s="3"/>
      <c r="IRD112" s="3"/>
      <c r="IRE112" s="3"/>
      <c r="IRF112" s="3"/>
      <c r="IRG112" s="3"/>
      <c r="IRH112" s="3"/>
      <c r="IRI112" s="3"/>
      <c r="IRJ112" s="3"/>
      <c r="IRK112" s="3"/>
      <c r="IRL112" s="3"/>
      <c r="IRM112" s="3"/>
      <c r="IRN112" s="3"/>
      <c r="IRO112" s="3"/>
      <c r="IRP112" s="3"/>
      <c r="IRQ112" s="3"/>
      <c r="IRR112" s="3"/>
      <c r="IRS112" s="3"/>
      <c r="IRT112" s="3"/>
      <c r="IRU112" s="3"/>
      <c r="IRV112" s="3"/>
      <c r="IRW112" s="3"/>
      <c r="IRX112" s="3"/>
      <c r="IRY112" s="3"/>
      <c r="IRZ112" s="3"/>
      <c r="ISA112" s="3"/>
      <c r="ISB112" s="3"/>
      <c r="ISC112" s="3"/>
      <c r="ISD112" s="3"/>
      <c r="ISE112" s="3"/>
      <c r="ISF112" s="3"/>
      <c r="ISG112" s="3"/>
      <c r="ISH112" s="3"/>
      <c r="ISI112" s="3"/>
      <c r="ISJ112" s="3"/>
      <c r="ISK112" s="3"/>
      <c r="ISL112" s="3"/>
      <c r="ISM112" s="3"/>
      <c r="ISN112" s="3"/>
      <c r="ISO112" s="3"/>
      <c r="ISP112" s="3"/>
      <c r="ISQ112" s="3"/>
      <c r="ISR112" s="3"/>
      <c r="ISS112" s="3"/>
      <c r="IST112" s="3"/>
      <c r="ISU112" s="3"/>
      <c r="ISV112" s="3"/>
      <c r="ISW112" s="3"/>
      <c r="ISX112" s="3"/>
      <c r="ISY112" s="3"/>
      <c r="ISZ112" s="3"/>
      <c r="ITA112" s="3"/>
      <c r="ITB112" s="3"/>
      <c r="ITC112" s="3"/>
      <c r="ITD112" s="3"/>
      <c r="ITE112" s="3"/>
      <c r="ITF112" s="3"/>
      <c r="ITG112" s="3"/>
      <c r="ITH112" s="3"/>
      <c r="ITI112" s="3"/>
      <c r="ITJ112" s="3"/>
      <c r="ITK112" s="3"/>
      <c r="ITL112" s="3"/>
      <c r="ITM112" s="3"/>
      <c r="ITN112" s="3"/>
      <c r="ITO112" s="3"/>
      <c r="ITP112" s="3"/>
      <c r="ITQ112" s="3"/>
      <c r="ITR112" s="3"/>
      <c r="ITS112" s="3"/>
      <c r="ITT112" s="3"/>
      <c r="ITU112" s="3"/>
      <c r="ITV112" s="3"/>
      <c r="ITW112" s="3"/>
      <c r="ITX112" s="3"/>
      <c r="ITY112" s="3"/>
      <c r="ITZ112" s="3"/>
      <c r="IUA112" s="3"/>
      <c r="IUB112" s="3"/>
      <c r="IUC112" s="3"/>
      <c r="IUD112" s="3"/>
      <c r="IUE112" s="3"/>
      <c r="IUF112" s="3"/>
      <c r="IUG112" s="3"/>
      <c r="IUH112" s="3"/>
      <c r="IUI112" s="3"/>
      <c r="IUJ112" s="3"/>
      <c r="IUK112" s="3"/>
      <c r="IUL112" s="3"/>
      <c r="IUM112" s="3"/>
      <c r="IUN112" s="3"/>
      <c r="IUO112" s="3"/>
      <c r="IUP112" s="3"/>
      <c r="IUQ112" s="3"/>
      <c r="IUR112" s="3"/>
      <c r="IUS112" s="3"/>
      <c r="IUT112" s="3"/>
      <c r="IUU112" s="3"/>
      <c r="IUV112" s="3"/>
      <c r="IUW112" s="3"/>
      <c r="IUX112" s="3"/>
      <c r="IUY112" s="3"/>
      <c r="IUZ112" s="3"/>
      <c r="IVA112" s="3"/>
      <c r="IVB112" s="3"/>
      <c r="IVC112" s="3"/>
      <c r="IVD112" s="3"/>
      <c r="IVE112" s="3"/>
      <c r="IVF112" s="3"/>
      <c r="IVG112" s="3"/>
      <c r="IVH112" s="3"/>
      <c r="IVI112" s="3"/>
      <c r="IVJ112" s="3"/>
      <c r="IVK112" s="3"/>
      <c r="IVL112" s="3"/>
      <c r="IVM112" s="3"/>
      <c r="IVN112" s="3"/>
      <c r="IVO112" s="3"/>
      <c r="IVP112" s="3"/>
      <c r="IVQ112" s="3"/>
      <c r="IVR112" s="3"/>
      <c r="IVS112" s="3"/>
      <c r="IVT112" s="3"/>
      <c r="IVU112" s="3"/>
      <c r="IVV112" s="3"/>
      <c r="IVW112" s="3"/>
      <c r="IVX112" s="3"/>
      <c r="IVY112" s="3"/>
      <c r="IVZ112" s="3"/>
      <c r="IWA112" s="3"/>
      <c r="IWB112" s="3"/>
      <c r="IWC112" s="3"/>
      <c r="IWD112" s="3"/>
      <c r="IWE112" s="3"/>
      <c r="IWF112" s="3"/>
      <c r="IWG112" s="3"/>
      <c r="IWH112" s="3"/>
      <c r="IWI112" s="3"/>
      <c r="IWJ112" s="3"/>
      <c r="IWK112" s="3"/>
      <c r="IWL112" s="3"/>
      <c r="IWM112" s="3"/>
      <c r="IWN112" s="3"/>
      <c r="IWO112" s="3"/>
      <c r="IWP112" s="3"/>
      <c r="IWQ112" s="3"/>
      <c r="IWR112" s="3"/>
      <c r="IWS112" s="3"/>
      <c r="IWT112" s="3"/>
      <c r="IWU112" s="3"/>
      <c r="IWV112" s="3"/>
      <c r="IWW112" s="3"/>
      <c r="IWX112" s="3"/>
      <c r="IWY112" s="3"/>
      <c r="IWZ112" s="3"/>
      <c r="IXA112" s="3"/>
      <c r="IXB112" s="3"/>
      <c r="IXC112" s="3"/>
      <c r="IXD112" s="3"/>
      <c r="IXE112" s="3"/>
      <c r="IXF112" s="3"/>
      <c r="IXG112" s="3"/>
      <c r="IXH112" s="3"/>
      <c r="IXI112" s="3"/>
      <c r="IXJ112" s="3"/>
      <c r="IXK112" s="3"/>
      <c r="IXL112" s="3"/>
      <c r="IXM112" s="3"/>
      <c r="IXN112" s="3"/>
      <c r="IXO112" s="3"/>
      <c r="IXP112" s="3"/>
      <c r="IXQ112" s="3"/>
      <c r="IXR112" s="3"/>
      <c r="IXS112" s="3"/>
      <c r="IXT112" s="3"/>
      <c r="IXU112" s="3"/>
      <c r="IXV112" s="3"/>
      <c r="IXW112" s="3"/>
      <c r="IXX112" s="3"/>
      <c r="IXY112" s="3"/>
      <c r="IXZ112" s="3"/>
      <c r="IYA112" s="3"/>
      <c r="IYB112" s="3"/>
      <c r="IYC112" s="3"/>
      <c r="IYD112" s="3"/>
      <c r="IYE112" s="3"/>
      <c r="IYF112" s="3"/>
      <c r="IYG112" s="3"/>
      <c r="IYH112" s="3"/>
      <c r="IYI112" s="3"/>
      <c r="IYJ112" s="3"/>
      <c r="IYK112" s="3"/>
      <c r="IYL112" s="3"/>
      <c r="IYM112" s="3"/>
      <c r="IYN112" s="3"/>
      <c r="IYO112" s="3"/>
      <c r="IYP112" s="3"/>
      <c r="IYQ112" s="3"/>
      <c r="IYR112" s="3"/>
      <c r="IYS112" s="3"/>
      <c r="IYT112" s="3"/>
      <c r="IYU112" s="3"/>
      <c r="IYV112" s="3"/>
      <c r="IYW112" s="3"/>
      <c r="IYX112" s="3"/>
      <c r="IYY112" s="3"/>
      <c r="IYZ112" s="3"/>
      <c r="IZA112" s="3"/>
      <c r="IZB112" s="3"/>
      <c r="IZC112" s="3"/>
      <c r="IZD112" s="3"/>
      <c r="IZE112" s="3"/>
      <c r="IZF112" s="3"/>
      <c r="IZG112" s="3"/>
      <c r="IZH112" s="3"/>
      <c r="IZI112" s="3"/>
      <c r="IZJ112" s="3"/>
      <c r="IZK112" s="3"/>
      <c r="IZL112" s="3"/>
      <c r="IZM112" s="3"/>
      <c r="IZN112" s="3"/>
      <c r="IZO112" s="3"/>
      <c r="IZP112" s="3"/>
      <c r="IZQ112" s="3"/>
      <c r="IZR112" s="3"/>
      <c r="IZS112" s="3"/>
      <c r="IZT112" s="3"/>
      <c r="IZU112" s="3"/>
      <c r="IZV112" s="3"/>
      <c r="IZW112" s="3"/>
      <c r="IZX112" s="3"/>
      <c r="IZY112" s="3"/>
      <c r="IZZ112" s="3"/>
      <c r="JAA112" s="3"/>
      <c r="JAB112" s="3"/>
      <c r="JAC112" s="3"/>
      <c r="JAD112" s="3"/>
      <c r="JAE112" s="3"/>
      <c r="JAF112" s="3"/>
      <c r="JAG112" s="3"/>
      <c r="JAH112" s="3"/>
      <c r="JAI112" s="3"/>
      <c r="JAJ112" s="3"/>
      <c r="JAK112" s="3"/>
      <c r="JAL112" s="3"/>
      <c r="JAM112" s="3"/>
      <c r="JAN112" s="3"/>
      <c r="JAO112" s="3"/>
      <c r="JAP112" s="3"/>
      <c r="JAQ112" s="3"/>
      <c r="JAR112" s="3"/>
      <c r="JAS112" s="3"/>
      <c r="JAT112" s="3"/>
      <c r="JAU112" s="3"/>
      <c r="JAV112" s="3"/>
      <c r="JAW112" s="3"/>
      <c r="JAX112" s="3"/>
      <c r="JAY112" s="3"/>
      <c r="JAZ112" s="3"/>
      <c r="JBA112" s="3"/>
      <c r="JBB112" s="3"/>
      <c r="JBC112" s="3"/>
      <c r="JBD112" s="3"/>
      <c r="JBE112" s="3"/>
      <c r="JBF112" s="3"/>
      <c r="JBG112" s="3"/>
      <c r="JBH112" s="3"/>
      <c r="JBI112" s="3"/>
      <c r="JBJ112" s="3"/>
      <c r="JBK112" s="3"/>
      <c r="JBL112" s="3"/>
      <c r="JBM112" s="3"/>
      <c r="JBN112" s="3"/>
      <c r="JBO112" s="3"/>
      <c r="JBP112" s="3"/>
      <c r="JBQ112" s="3"/>
      <c r="JBR112" s="3"/>
      <c r="JBS112" s="3"/>
      <c r="JBT112" s="3"/>
      <c r="JBU112" s="3"/>
      <c r="JBV112" s="3"/>
      <c r="JBW112" s="3"/>
      <c r="JBX112" s="3"/>
      <c r="JBY112" s="3"/>
      <c r="JBZ112" s="3"/>
      <c r="JCA112" s="3"/>
      <c r="JCB112" s="3"/>
      <c r="JCC112" s="3"/>
      <c r="JCD112" s="3"/>
      <c r="JCE112" s="3"/>
      <c r="JCF112" s="3"/>
      <c r="JCG112" s="3"/>
      <c r="JCH112" s="3"/>
      <c r="JCI112" s="3"/>
      <c r="JCJ112" s="3"/>
      <c r="JCK112" s="3"/>
      <c r="JCL112" s="3"/>
      <c r="JCM112" s="3"/>
      <c r="JCN112" s="3"/>
      <c r="JCO112" s="3"/>
      <c r="JCP112" s="3"/>
      <c r="JCQ112" s="3"/>
      <c r="JCR112" s="3"/>
      <c r="JCS112" s="3"/>
      <c r="JCT112" s="3"/>
      <c r="JCU112" s="3"/>
      <c r="JCV112" s="3"/>
      <c r="JCW112" s="3"/>
      <c r="JCX112" s="3"/>
      <c r="JCY112" s="3"/>
      <c r="JCZ112" s="3"/>
      <c r="JDA112" s="3"/>
      <c r="JDB112" s="3"/>
      <c r="JDC112" s="3"/>
      <c r="JDD112" s="3"/>
      <c r="JDE112" s="3"/>
      <c r="JDF112" s="3"/>
      <c r="JDG112" s="3"/>
      <c r="JDH112" s="3"/>
      <c r="JDI112" s="3"/>
      <c r="JDJ112" s="3"/>
      <c r="JDK112" s="3"/>
      <c r="JDL112" s="3"/>
      <c r="JDM112" s="3"/>
      <c r="JDN112" s="3"/>
      <c r="JDO112" s="3"/>
      <c r="JDP112" s="3"/>
      <c r="JDQ112" s="3"/>
      <c r="JDR112" s="3"/>
      <c r="JDS112" s="3"/>
      <c r="JDT112" s="3"/>
      <c r="JDU112" s="3"/>
      <c r="JDV112" s="3"/>
      <c r="JDW112" s="3"/>
      <c r="JDX112" s="3"/>
      <c r="JDY112" s="3"/>
      <c r="JDZ112" s="3"/>
      <c r="JEA112" s="3"/>
      <c r="JEB112" s="3"/>
      <c r="JEC112" s="3"/>
      <c r="JED112" s="3"/>
      <c r="JEE112" s="3"/>
      <c r="JEF112" s="3"/>
      <c r="JEG112" s="3"/>
      <c r="JEH112" s="3"/>
      <c r="JEI112" s="3"/>
      <c r="JEJ112" s="3"/>
      <c r="JEK112" s="3"/>
      <c r="JEL112" s="3"/>
      <c r="JEM112" s="3"/>
      <c r="JEN112" s="3"/>
      <c r="JEO112" s="3"/>
      <c r="JEP112" s="3"/>
      <c r="JEQ112" s="3"/>
      <c r="JER112" s="3"/>
      <c r="JES112" s="3"/>
      <c r="JET112" s="3"/>
      <c r="JEU112" s="3"/>
      <c r="JEV112" s="3"/>
      <c r="JEW112" s="3"/>
      <c r="JEX112" s="3"/>
      <c r="JEY112" s="3"/>
      <c r="JEZ112" s="3"/>
      <c r="JFA112" s="3"/>
      <c r="JFB112" s="3"/>
      <c r="JFC112" s="3"/>
      <c r="JFD112" s="3"/>
      <c r="JFE112" s="3"/>
      <c r="JFF112" s="3"/>
      <c r="JFG112" s="3"/>
      <c r="JFH112" s="3"/>
      <c r="JFI112" s="3"/>
      <c r="JFJ112" s="3"/>
      <c r="JFK112" s="3"/>
      <c r="JFL112" s="3"/>
      <c r="JFM112" s="3"/>
      <c r="JFN112" s="3"/>
      <c r="JFO112" s="3"/>
      <c r="JFP112" s="3"/>
      <c r="JFQ112" s="3"/>
      <c r="JFR112" s="3"/>
      <c r="JFS112" s="3"/>
      <c r="JFT112" s="3"/>
      <c r="JFU112" s="3"/>
      <c r="JFV112" s="3"/>
      <c r="JFW112" s="3"/>
      <c r="JFX112" s="3"/>
      <c r="JFY112" s="3"/>
      <c r="JFZ112" s="3"/>
      <c r="JGA112" s="3"/>
      <c r="JGB112" s="3"/>
      <c r="JGC112" s="3"/>
      <c r="JGD112" s="3"/>
      <c r="JGE112" s="3"/>
      <c r="JGF112" s="3"/>
      <c r="JGG112" s="3"/>
      <c r="JGH112" s="3"/>
      <c r="JGI112" s="3"/>
      <c r="JGJ112" s="3"/>
      <c r="JGK112" s="3"/>
      <c r="JGL112" s="3"/>
      <c r="JGM112" s="3"/>
      <c r="JGN112" s="3"/>
      <c r="JGO112" s="3"/>
      <c r="JGP112" s="3"/>
      <c r="JGQ112" s="3"/>
      <c r="JGR112" s="3"/>
      <c r="JGS112" s="3"/>
      <c r="JGT112" s="3"/>
      <c r="JGU112" s="3"/>
      <c r="JGV112" s="3"/>
      <c r="JGW112" s="3"/>
      <c r="JGX112" s="3"/>
      <c r="JGY112" s="3"/>
      <c r="JGZ112" s="3"/>
      <c r="JHA112" s="3"/>
      <c r="JHB112" s="3"/>
      <c r="JHC112" s="3"/>
      <c r="JHD112" s="3"/>
      <c r="JHE112" s="3"/>
      <c r="JHF112" s="3"/>
      <c r="JHG112" s="3"/>
      <c r="JHH112" s="3"/>
      <c r="JHI112" s="3"/>
      <c r="JHJ112" s="3"/>
      <c r="JHK112" s="3"/>
      <c r="JHL112" s="3"/>
      <c r="JHM112" s="3"/>
      <c r="JHN112" s="3"/>
      <c r="JHO112" s="3"/>
      <c r="JHP112" s="3"/>
      <c r="JHQ112" s="3"/>
      <c r="JHR112" s="3"/>
      <c r="JHS112" s="3"/>
      <c r="JHT112" s="3"/>
      <c r="JHU112" s="3"/>
      <c r="JHV112" s="3"/>
      <c r="JHW112" s="3"/>
      <c r="JHX112" s="3"/>
      <c r="JHY112" s="3"/>
      <c r="JHZ112" s="3"/>
      <c r="JIA112" s="3"/>
      <c r="JIB112" s="3"/>
      <c r="JIC112" s="3"/>
      <c r="JID112" s="3"/>
      <c r="JIE112" s="3"/>
      <c r="JIF112" s="3"/>
      <c r="JIG112" s="3"/>
      <c r="JIH112" s="3"/>
      <c r="JII112" s="3"/>
      <c r="JIJ112" s="3"/>
      <c r="JIK112" s="3"/>
      <c r="JIL112" s="3"/>
      <c r="JIM112" s="3"/>
      <c r="JIN112" s="3"/>
      <c r="JIO112" s="3"/>
      <c r="JIP112" s="3"/>
      <c r="JIQ112" s="3"/>
      <c r="JIR112" s="3"/>
      <c r="JIS112" s="3"/>
      <c r="JIT112" s="3"/>
      <c r="JIU112" s="3"/>
      <c r="JIV112" s="3"/>
      <c r="JIW112" s="3"/>
      <c r="JIX112" s="3"/>
      <c r="JIY112" s="3"/>
      <c r="JIZ112" s="3"/>
      <c r="JJA112" s="3"/>
      <c r="JJB112" s="3"/>
      <c r="JJC112" s="3"/>
      <c r="JJD112" s="3"/>
      <c r="JJE112" s="3"/>
      <c r="JJF112" s="3"/>
      <c r="JJG112" s="3"/>
      <c r="JJH112" s="3"/>
      <c r="JJI112" s="3"/>
      <c r="JJJ112" s="3"/>
      <c r="JJK112" s="3"/>
      <c r="JJL112" s="3"/>
      <c r="JJM112" s="3"/>
      <c r="JJN112" s="3"/>
      <c r="JJO112" s="3"/>
      <c r="JJP112" s="3"/>
      <c r="JJQ112" s="3"/>
      <c r="JJR112" s="3"/>
      <c r="JJS112" s="3"/>
      <c r="JJT112" s="3"/>
      <c r="JJU112" s="3"/>
      <c r="JJV112" s="3"/>
      <c r="JJW112" s="3"/>
      <c r="JJX112" s="3"/>
      <c r="JJY112" s="3"/>
      <c r="JJZ112" s="3"/>
      <c r="JKA112" s="3"/>
      <c r="JKB112" s="3"/>
      <c r="JKC112" s="3"/>
      <c r="JKD112" s="3"/>
      <c r="JKE112" s="3"/>
      <c r="JKF112" s="3"/>
      <c r="JKG112" s="3"/>
      <c r="JKH112" s="3"/>
      <c r="JKI112" s="3"/>
      <c r="JKJ112" s="3"/>
      <c r="JKK112" s="3"/>
      <c r="JKL112" s="3"/>
      <c r="JKM112" s="3"/>
      <c r="JKN112" s="3"/>
      <c r="JKO112" s="3"/>
      <c r="JKP112" s="3"/>
      <c r="JKQ112" s="3"/>
      <c r="JKR112" s="3"/>
      <c r="JKS112" s="3"/>
      <c r="JKT112" s="3"/>
      <c r="JKU112" s="3"/>
      <c r="JKV112" s="3"/>
      <c r="JKW112" s="3"/>
      <c r="JKX112" s="3"/>
      <c r="JKY112" s="3"/>
      <c r="JKZ112" s="3"/>
      <c r="JLA112" s="3"/>
      <c r="JLB112" s="3"/>
      <c r="JLC112" s="3"/>
      <c r="JLD112" s="3"/>
      <c r="JLE112" s="3"/>
      <c r="JLF112" s="3"/>
      <c r="JLG112" s="3"/>
      <c r="JLH112" s="3"/>
      <c r="JLI112" s="3"/>
      <c r="JLJ112" s="3"/>
      <c r="JLK112" s="3"/>
      <c r="JLL112" s="3"/>
      <c r="JLM112" s="3"/>
      <c r="JLN112" s="3"/>
      <c r="JLO112" s="3"/>
      <c r="JLP112" s="3"/>
      <c r="JLQ112" s="3"/>
      <c r="JLR112" s="3"/>
      <c r="JLS112" s="3"/>
      <c r="JLT112" s="3"/>
      <c r="JLU112" s="3"/>
      <c r="JLV112" s="3"/>
      <c r="JLW112" s="3"/>
      <c r="JLX112" s="3"/>
      <c r="JLY112" s="3"/>
      <c r="JLZ112" s="3"/>
      <c r="JMA112" s="3"/>
      <c r="JMB112" s="3"/>
      <c r="JMC112" s="3"/>
      <c r="JMD112" s="3"/>
      <c r="JME112" s="3"/>
      <c r="JMF112" s="3"/>
      <c r="JMG112" s="3"/>
      <c r="JMH112" s="3"/>
      <c r="JMI112" s="3"/>
      <c r="JMJ112" s="3"/>
      <c r="JMK112" s="3"/>
      <c r="JML112" s="3"/>
      <c r="JMM112" s="3"/>
      <c r="JMN112" s="3"/>
      <c r="JMO112" s="3"/>
      <c r="JMP112" s="3"/>
      <c r="JMQ112" s="3"/>
      <c r="JMR112" s="3"/>
      <c r="JMS112" s="3"/>
      <c r="JMT112" s="3"/>
      <c r="JMU112" s="3"/>
      <c r="JMV112" s="3"/>
      <c r="JMW112" s="3"/>
      <c r="JMX112" s="3"/>
      <c r="JMY112" s="3"/>
      <c r="JMZ112" s="3"/>
      <c r="JNA112" s="3"/>
      <c r="JNB112" s="3"/>
      <c r="JNC112" s="3"/>
      <c r="JND112" s="3"/>
      <c r="JNE112" s="3"/>
      <c r="JNF112" s="3"/>
      <c r="JNG112" s="3"/>
      <c r="JNH112" s="3"/>
      <c r="JNI112" s="3"/>
      <c r="JNJ112" s="3"/>
      <c r="JNK112" s="3"/>
      <c r="JNL112" s="3"/>
      <c r="JNM112" s="3"/>
      <c r="JNN112" s="3"/>
      <c r="JNO112" s="3"/>
      <c r="JNP112" s="3"/>
      <c r="JNQ112" s="3"/>
      <c r="JNR112" s="3"/>
      <c r="JNS112" s="3"/>
      <c r="JNT112" s="3"/>
      <c r="JNU112" s="3"/>
      <c r="JNV112" s="3"/>
      <c r="JNW112" s="3"/>
      <c r="JNX112" s="3"/>
      <c r="JNY112" s="3"/>
      <c r="JNZ112" s="3"/>
      <c r="JOA112" s="3"/>
      <c r="JOB112" s="3"/>
      <c r="JOC112" s="3"/>
      <c r="JOD112" s="3"/>
      <c r="JOE112" s="3"/>
      <c r="JOF112" s="3"/>
      <c r="JOG112" s="3"/>
      <c r="JOH112" s="3"/>
      <c r="JOI112" s="3"/>
      <c r="JOJ112" s="3"/>
      <c r="JOK112" s="3"/>
      <c r="JOL112" s="3"/>
      <c r="JOM112" s="3"/>
      <c r="JON112" s="3"/>
      <c r="JOO112" s="3"/>
      <c r="JOP112" s="3"/>
      <c r="JOQ112" s="3"/>
      <c r="JOR112" s="3"/>
      <c r="JOS112" s="3"/>
      <c r="JOT112" s="3"/>
      <c r="JOU112" s="3"/>
      <c r="JOV112" s="3"/>
      <c r="JOW112" s="3"/>
      <c r="JOX112" s="3"/>
      <c r="JOY112" s="3"/>
      <c r="JOZ112" s="3"/>
      <c r="JPA112" s="3"/>
      <c r="JPB112" s="3"/>
      <c r="JPC112" s="3"/>
      <c r="JPD112" s="3"/>
      <c r="JPE112" s="3"/>
      <c r="JPF112" s="3"/>
      <c r="JPG112" s="3"/>
      <c r="JPH112" s="3"/>
      <c r="JPI112" s="3"/>
      <c r="JPJ112" s="3"/>
      <c r="JPK112" s="3"/>
      <c r="JPL112" s="3"/>
      <c r="JPM112" s="3"/>
      <c r="JPN112" s="3"/>
      <c r="JPO112" s="3"/>
      <c r="JPP112" s="3"/>
      <c r="JPQ112" s="3"/>
      <c r="JPR112" s="3"/>
      <c r="JPS112" s="3"/>
      <c r="JPT112" s="3"/>
      <c r="JPU112" s="3"/>
      <c r="JPV112" s="3"/>
      <c r="JPW112" s="3"/>
      <c r="JPX112" s="3"/>
      <c r="JPY112" s="3"/>
      <c r="JPZ112" s="3"/>
      <c r="JQA112" s="3"/>
      <c r="JQB112" s="3"/>
      <c r="JQC112" s="3"/>
      <c r="JQD112" s="3"/>
      <c r="JQE112" s="3"/>
      <c r="JQF112" s="3"/>
      <c r="JQG112" s="3"/>
      <c r="JQH112" s="3"/>
      <c r="JQI112" s="3"/>
      <c r="JQJ112" s="3"/>
      <c r="JQK112" s="3"/>
      <c r="JQL112" s="3"/>
      <c r="JQM112" s="3"/>
      <c r="JQN112" s="3"/>
      <c r="JQO112" s="3"/>
      <c r="JQP112" s="3"/>
      <c r="JQQ112" s="3"/>
      <c r="JQR112" s="3"/>
      <c r="JQS112" s="3"/>
      <c r="JQT112" s="3"/>
      <c r="JQU112" s="3"/>
      <c r="JQV112" s="3"/>
      <c r="JQW112" s="3"/>
      <c r="JQX112" s="3"/>
      <c r="JQY112" s="3"/>
      <c r="JQZ112" s="3"/>
      <c r="JRA112" s="3"/>
      <c r="JRB112" s="3"/>
      <c r="JRC112" s="3"/>
      <c r="JRD112" s="3"/>
      <c r="JRE112" s="3"/>
      <c r="JRF112" s="3"/>
      <c r="JRG112" s="3"/>
      <c r="JRH112" s="3"/>
      <c r="JRI112" s="3"/>
      <c r="JRJ112" s="3"/>
      <c r="JRK112" s="3"/>
      <c r="JRL112" s="3"/>
      <c r="JRM112" s="3"/>
      <c r="JRN112" s="3"/>
      <c r="JRO112" s="3"/>
      <c r="JRP112" s="3"/>
      <c r="JRQ112" s="3"/>
      <c r="JRR112" s="3"/>
      <c r="JRS112" s="3"/>
      <c r="JRT112" s="3"/>
      <c r="JRU112" s="3"/>
      <c r="JRV112" s="3"/>
      <c r="JRW112" s="3"/>
      <c r="JRX112" s="3"/>
      <c r="JRY112" s="3"/>
      <c r="JRZ112" s="3"/>
      <c r="JSA112" s="3"/>
      <c r="JSB112" s="3"/>
      <c r="JSC112" s="3"/>
      <c r="JSD112" s="3"/>
      <c r="JSE112" s="3"/>
      <c r="JSF112" s="3"/>
      <c r="JSG112" s="3"/>
      <c r="JSH112" s="3"/>
      <c r="JSI112" s="3"/>
      <c r="JSJ112" s="3"/>
      <c r="JSK112" s="3"/>
      <c r="JSL112" s="3"/>
      <c r="JSM112" s="3"/>
      <c r="JSN112" s="3"/>
      <c r="JSO112" s="3"/>
      <c r="JSP112" s="3"/>
      <c r="JSQ112" s="3"/>
      <c r="JSR112" s="3"/>
      <c r="JSS112" s="3"/>
      <c r="JST112" s="3"/>
      <c r="JSU112" s="3"/>
      <c r="JSV112" s="3"/>
      <c r="JSW112" s="3"/>
      <c r="JSX112" s="3"/>
      <c r="JSY112" s="3"/>
      <c r="JSZ112" s="3"/>
      <c r="JTA112" s="3"/>
      <c r="JTB112" s="3"/>
      <c r="JTC112" s="3"/>
      <c r="JTD112" s="3"/>
      <c r="JTE112" s="3"/>
      <c r="JTF112" s="3"/>
      <c r="JTG112" s="3"/>
      <c r="JTH112" s="3"/>
      <c r="JTI112" s="3"/>
      <c r="JTJ112" s="3"/>
      <c r="JTK112" s="3"/>
      <c r="JTL112" s="3"/>
      <c r="JTM112" s="3"/>
      <c r="JTN112" s="3"/>
      <c r="JTO112" s="3"/>
      <c r="JTP112" s="3"/>
      <c r="JTQ112" s="3"/>
      <c r="JTR112" s="3"/>
      <c r="JTS112" s="3"/>
      <c r="JTT112" s="3"/>
      <c r="JTU112" s="3"/>
      <c r="JTV112" s="3"/>
      <c r="JTW112" s="3"/>
      <c r="JTX112" s="3"/>
      <c r="JTY112" s="3"/>
      <c r="JTZ112" s="3"/>
      <c r="JUA112" s="3"/>
      <c r="JUB112" s="3"/>
      <c r="JUC112" s="3"/>
      <c r="JUD112" s="3"/>
      <c r="JUE112" s="3"/>
      <c r="JUF112" s="3"/>
      <c r="JUG112" s="3"/>
      <c r="JUH112" s="3"/>
      <c r="JUI112" s="3"/>
      <c r="JUJ112" s="3"/>
      <c r="JUK112" s="3"/>
      <c r="JUL112" s="3"/>
      <c r="JUM112" s="3"/>
      <c r="JUN112" s="3"/>
      <c r="JUO112" s="3"/>
      <c r="JUP112" s="3"/>
      <c r="JUQ112" s="3"/>
      <c r="JUR112" s="3"/>
      <c r="JUS112" s="3"/>
      <c r="JUT112" s="3"/>
      <c r="JUU112" s="3"/>
      <c r="JUV112" s="3"/>
      <c r="JUW112" s="3"/>
      <c r="JUX112" s="3"/>
      <c r="JUY112" s="3"/>
      <c r="JUZ112" s="3"/>
      <c r="JVA112" s="3"/>
      <c r="JVB112" s="3"/>
      <c r="JVC112" s="3"/>
      <c r="JVD112" s="3"/>
      <c r="JVE112" s="3"/>
      <c r="JVF112" s="3"/>
      <c r="JVG112" s="3"/>
      <c r="JVH112" s="3"/>
      <c r="JVI112" s="3"/>
      <c r="JVJ112" s="3"/>
      <c r="JVK112" s="3"/>
      <c r="JVL112" s="3"/>
      <c r="JVM112" s="3"/>
      <c r="JVN112" s="3"/>
      <c r="JVO112" s="3"/>
      <c r="JVP112" s="3"/>
      <c r="JVQ112" s="3"/>
      <c r="JVR112" s="3"/>
      <c r="JVS112" s="3"/>
      <c r="JVT112" s="3"/>
      <c r="JVU112" s="3"/>
      <c r="JVV112" s="3"/>
      <c r="JVW112" s="3"/>
      <c r="JVX112" s="3"/>
      <c r="JVY112" s="3"/>
      <c r="JVZ112" s="3"/>
      <c r="JWA112" s="3"/>
      <c r="JWB112" s="3"/>
      <c r="JWC112" s="3"/>
      <c r="JWD112" s="3"/>
      <c r="JWE112" s="3"/>
      <c r="JWF112" s="3"/>
      <c r="JWG112" s="3"/>
      <c r="JWH112" s="3"/>
      <c r="JWI112" s="3"/>
      <c r="JWJ112" s="3"/>
      <c r="JWK112" s="3"/>
      <c r="JWL112" s="3"/>
      <c r="JWM112" s="3"/>
      <c r="JWN112" s="3"/>
      <c r="JWO112" s="3"/>
      <c r="JWP112" s="3"/>
      <c r="JWQ112" s="3"/>
      <c r="JWR112" s="3"/>
      <c r="JWS112" s="3"/>
      <c r="JWT112" s="3"/>
      <c r="JWU112" s="3"/>
      <c r="JWV112" s="3"/>
      <c r="JWW112" s="3"/>
      <c r="JWX112" s="3"/>
      <c r="JWY112" s="3"/>
      <c r="JWZ112" s="3"/>
      <c r="JXA112" s="3"/>
      <c r="JXB112" s="3"/>
      <c r="JXC112" s="3"/>
      <c r="JXD112" s="3"/>
      <c r="JXE112" s="3"/>
      <c r="JXF112" s="3"/>
      <c r="JXG112" s="3"/>
      <c r="JXH112" s="3"/>
      <c r="JXI112" s="3"/>
      <c r="JXJ112" s="3"/>
      <c r="JXK112" s="3"/>
      <c r="JXL112" s="3"/>
      <c r="JXM112" s="3"/>
      <c r="JXN112" s="3"/>
      <c r="JXO112" s="3"/>
      <c r="JXP112" s="3"/>
      <c r="JXQ112" s="3"/>
      <c r="JXR112" s="3"/>
      <c r="JXS112" s="3"/>
      <c r="JXT112" s="3"/>
      <c r="JXU112" s="3"/>
      <c r="JXV112" s="3"/>
      <c r="JXW112" s="3"/>
      <c r="JXX112" s="3"/>
      <c r="JXY112" s="3"/>
      <c r="JXZ112" s="3"/>
      <c r="JYA112" s="3"/>
      <c r="JYB112" s="3"/>
      <c r="JYC112" s="3"/>
      <c r="JYD112" s="3"/>
      <c r="JYE112" s="3"/>
      <c r="JYF112" s="3"/>
      <c r="JYG112" s="3"/>
      <c r="JYH112" s="3"/>
      <c r="JYI112" s="3"/>
      <c r="JYJ112" s="3"/>
      <c r="JYK112" s="3"/>
      <c r="JYL112" s="3"/>
      <c r="JYM112" s="3"/>
      <c r="JYN112" s="3"/>
      <c r="JYO112" s="3"/>
      <c r="JYP112" s="3"/>
      <c r="JYQ112" s="3"/>
      <c r="JYR112" s="3"/>
      <c r="JYS112" s="3"/>
      <c r="JYT112" s="3"/>
      <c r="JYU112" s="3"/>
      <c r="JYV112" s="3"/>
      <c r="JYW112" s="3"/>
      <c r="JYX112" s="3"/>
      <c r="JYY112" s="3"/>
      <c r="JYZ112" s="3"/>
      <c r="JZA112" s="3"/>
      <c r="JZB112" s="3"/>
      <c r="JZC112" s="3"/>
      <c r="JZD112" s="3"/>
      <c r="JZE112" s="3"/>
      <c r="JZF112" s="3"/>
      <c r="JZG112" s="3"/>
      <c r="JZH112" s="3"/>
      <c r="JZI112" s="3"/>
      <c r="JZJ112" s="3"/>
      <c r="JZK112" s="3"/>
      <c r="JZL112" s="3"/>
      <c r="JZM112" s="3"/>
      <c r="JZN112" s="3"/>
      <c r="JZO112" s="3"/>
      <c r="JZP112" s="3"/>
      <c r="JZQ112" s="3"/>
      <c r="JZR112" s="3"/>
      <c r="JZS112" s="3"/>
      <c r="JZT112" s="3"/>
      <c r="JZU112" s="3"/>
      <c r="JZV112" s="3"/>
      <c r="JZW112" s="3"/>
      <c r="JZX112" s="3"/>
      <c r="JZY112" s="3"/>
      <c r="JZZ112" s="3"/>
      <c r="KAA112" s="3"/>
      <c r="KAB112" s="3"/>
      <c r="KAC112" s="3"/>
      <c r="KAD112" s="3"/>
      <c r="KAE112" s="3"/>
      <c r="KAF112" s="3"/>
      <c r="KAG112" s="3"/>
      <c r="KAH112" s="3"/>
      <c r="KAI112" s="3"/>
      <c r="KAJ112" s="3"/>
      <c r="KAK112" s="3"/>
      <c r="KAL112" s="3"/>
      <c r="KAM112" s="3"/>
      <c r="KAN112" s="3"/>
      <c r="KAO112" s="3"/>
      <c r="KAP112" s="3"/>
      <c r="KAQ112" s="3"/>
      <c r="KAR112" s="3"/>
      <c r="KAS112" s="3"/>
      <c r="KAT112" s="3"/>
      <c r="KAU112" s="3"/>
      <c r="KAV112" s="3"/>
      <c r="KAW112" s="3"/>
      <c r="KAX112" s="3"/>
      <c r="KAY112" s="3"/>
      <c r="KAZ112" s="3"/>
      <c r="KBA112" s="3"/>
      <c r="KBB112" s="3"/>
      <c r="KBC112" s="3"/>
      <c r="KBD112" s="3"/>
      <c r="KBE112" s="3"/>
      <c r="KBF112" s="3"/>
      <c r="KBG112" s="3"/>
      <c r="KBH112" s="3"/>
      <c r="KBI112" s="3"/>
      <c r="KBJ112" s="3"/>
      <c r="KBK112" s="3"/>
      <c r="KBL112" s="3"/>
      <c r="KBM112" s="3"/>
      <c r="KBN112" s="3"/>
      <c r="KBO112" s="3"/>
      <c r="KBP112" s="3"/>
      <c r="KBQ112" s="3"/>
      <c r="KBR112" s="3"/>
      <c r="KBS112" s="3"/>
      <c r="KBT112" s="3"/>
      <c r="KBU112" s="3"/>
      <c r="KBV112" s="3"/>
      <c r="KBW112" s="3"/>
      <c r="KBX112" s="3"/>
      <c r="KBY112" s="3"/>
      <c r="KBZ112" s="3"/>
      <c r="KCA112" s="3"/>
      <c r="KCB112" s="3"/>
      <c r="KCC112" s="3"/>
      <c r="KCD112" s="3"/>
      <c r="KCE112" s="3"/>
      <c r="KCF112" s="3"/>
      <c r="KCG112" s="3"/>
      <c r="KCH112" s="3"/>
      <c r="KCI112" s="3"/>
      <c r="KCJ112" s="3"/>
      <c r="KCK112" s="3"/>
      <c r="KCL112" s="3"/>
      <c r="KCM112" s="3"/>
      <c r="KCN112" s="3"/>
      <c r="KCO112" s="3"/>
      <c r="KCP112" s="3"/>
      <c r="KCQ112" s="3"/>
      <c r="KCR112" s="3"/>
      <c r="KCS112" s="3"/>
      <c r="KCT112" s="3"/>
      <c r="KCU112" s="3"/>
      <c r="KCV112" s="3"/>
      <c r="KCW112" s="3"/>
      <c r="KCX112" s="3"/>
      <c r="KCY112" s="3"/>
      <c r="KCZ112" s="3"/>
      <c r="KDA112" s="3"/>
      <c r="KDB112" s="3"/>
      <c r="KDC112" s="3"/>
      <c r="KDD112" s="3"/>
      <c r="KDE112" s="3"/>
      <c r="KDF112" s="3"/>
      <c r="KDG112" s="3"/>
      <c r="KDH112" s="3"/>
      <c r="KDI112" s="3"/>
      <c r="KDJ112" s="3"/>
      <c r="KDK112" s="3"/>
      <c r="KDL112" s="3"/>
      <c r="KDM112" s="3"/>
      <c r="KDN112" s="3"/>
      <c r="KDO112" s="3"/>
      <c r="KDP112" s="3"/>
      <c r="KDQ112" s="3"/>
      <c r="KDR112" s="3"/>
      <c r="KDS112" s="3"/>
      <c r="KDT112" s="3"/>
      <c r="KDU112" s="3"/>
      <c r="KDV112" s="3"/>
      <c r="KDW112" s="3"/>
      <c r="KDX112" s="3"/>
      <c r="KDY112" s="3"/>
      <c r="KDZ112" s="3"/>
      <c r="KEA112" s="3"/>
      <c r="KEB112" s="3"/>
      <c r="KEC112" s="3"/>
      <c r="KED112" s="3"/>
      <c r="KEE112" s="3"/>
      <c r="KEF112" s="3"/>
      <c r="KEG112" s="3"/>
      <c r="KEH112" s="3"/>
      <c r="KEI112" s="3"/>
      <c r="KEJ112" s="3"/>
      <c r="KEK112" s="3"/>
      <c r="KEL112" s="3"/>
      <c r="KEM112" s="3"/>
      <c r="KEN112" s="3"/>
      <c r="KEO112" s="3"/>
      <c r="KEP112" s="3"/>
      <c r="KEQ112" s="3"/>
      <c r="KER112" s="3"/>
      <c r="KES112" s="3"/>
      <c r="KET112" s="3"/>
      <c r="KEU112" s="3"/>
      <c r="KEV112" s="3"/>
      <c r="KEW112" s="3"/>
      <c r="KEX112" s="3"/>
      <c r="KEY112" s="3"/>
      <c r="KEZ112" s="3"/>
      <c r="KFA112" s="3"/>
      <c r="KFB112" s="3"/>
      <c r="KFC112" s="3"/>
      <c r="KFD112" s="3"/>
      <c r="KFE112" s="3"/>
      <c r="KFF112" s="3"/>
      <c r="KFG112" s="3"/>
      <c r="KFH112" s="3"/>
      <c r="KFI112" s="3"/>
      <c r="KFJ112" s="3"/>
      <c r="KFK112" s="3"/>
      <c r="KFL112" s="3"/>
      <c r="KFM112" s="3"/>
      <c r="KFN112" s="3"/>
      <c r="KFO112" s="3"/>
      <c r="KFP112" s="3"/>
      <c r="KFQ112" s="3"/>
      <c r="KFR112" s="3"/>
      <c r="KFS112" s="3"/>
      <c r="KFT112" s="3"/>
      <c r="KFU112" s="3"/>
      <c r="KFV112" s="3"/>
      <c r="KFW112" s="3"/>
      <c r="KFX112" s="3"/>
      <c r="KFY112" s="3"/>
      <c r="KFZ112" s="3"/>
      <c r="KGA112" s="3"/>
      <c r="KGB112" s="3"/>
      <c r="KGC112" s="3"/>
      <c r="KGD112" s="3"/>
      <c r="KGE112" s="3"/>
      <c r="KGF112" s="3"/>
      <c r="KGG112" s="3"/>
      <c r="KGH112" s="3"/>
      <c r="KGI112" s="3"/>
      <c r="KGJ112" s="3"/>
      <c r="KGK112" s="3"/>
      <c r="KGL112" s="3"/>
      <c r="KGM112" s="3"/>
      <c r="KGN112" s="3"/>
      <c r="KGO112" s="3"/>
      <c r="KGP112" s="3"/>
      <c r="KGQ112" s="3"/>
      <c r="KGR112" s="3"/>
      <c r="KGS112" s="3"/>
      <c r="KGT112" s="3"/>
      <c r="KGU112" s="3"/>
      <c r="KGV112" s="3"/>
      <c r="KGW112" s="3"/>
      <c r="KGX112" s="3"/>
      <c r="KGY112" s="3"/>
      <c r="KGZ112" s="3"/>
      <c r="KHA112" s="3"/>
      <c r="KHB112" s="3"/>
      <c r="KHC112" s="3"/>
      <c r="KHD112" s="3"/>
      <c r="KHE112" s="3"/>
      <c r="KHF112" s="3"/>
      <c r="KHG112" s="3"/>
      <c r="KHH112" s="3"/>
      <c r="KHI112" s="3"/>
      <c r="KHJ112" s="3"/>
      <c r="KHK112" s="3"/>
      <c r="KHL112" s="3"/>
      <c r="KHM112" s="3"/>
      <c r="KHN112" s="3"/>
      <c r="KHO112" s="3"/>
      <c r="KHP112" s="3"/>
      <c r="KHQ112" s="3"/>
      <c r="KHR112" s="3"/>
      <c r="KHS112" s="3"/>
      <c r="KHT112" s="3"/>
      <c r="KHU112" s="3"/>
      <c r="KHV112" s="3"/>
      <c r="KHW112" s="3"/>
      <c r="KHX112" s="3"/>
      <c r="KHY112" s="3"/>
      <c r="KHZ112" s="3"/>
      <c r="KIA112" s="3"/>
      <c r="KIB112" s="3"/>
      <c r="KIC112" s="3"/>
      <c r="KID112" s="3"/>
      <c r="KIE112" s="3"/>
      <c r="KIF112" s="3"/>
      <c r="KIG112" s="3"/>
      <c r="KIH112" s="3"/>
      <c r="KII112" s="3"/>
      <c r="KIJ112" s="3"/>
      <c r="KIK112" s="3"/>
      <c r="KIL112" s="3"/>
      <c r="KIM112" s="3"/>
      <c r="KIN112" s="3"/>
      <c r="KIO112" s="3"/>
      <c r="KIP112" s="3"/>
      <c r="KIQ112" s="3"/>
      <c r="KIR112" s="3"/>
      <c r="KIS112" s="3"/>
      <c r="KIT112" s="3"/>
      <c r="KIU112" s="3"/>
      <c r="KIV112" s="3"/>
      <c r="KIW112" s="3"/>
      <c r="KIX112" s="3"/>
      <c r="KIY112" s="3"/>
      <c r="KIZ112" s="3"/>
      <c r="KJA112" s="3"/>
      <c r="KJB112" s="3"/>
      <c r="KJC112" s="3"/>
      <c r="KJD112" s="3"/>
      <c r="KJE112" s="3"/>
      <c r="KJF112" s="3"/>
      <c r="KJG112" s="3"/>
      <c r="KJH112" s="3"/>
      <c r="KJI112" s="3"/>
      <c r="KJJ112" s="3"/>
      <c r="KJK112" s="3"/>
      <c r="KJL112" s="3"/>
      <c r="KJM112" s="3"/>
      <c r="KJN112" s="3"/>
      <c r="KJO112" s="3"/>
      <c r="KJP112" s="3"/>
      <c r="KJQ112" s="3"/>
      <c r="KJR112" s="3"/>
      <c r="KJS112" s="3"/>
      <c r="KJT112" s="3"/>
      <c r="KJU112" s="3"/>
      <c r="KJV112" s="3"/>
      <c r="KJW112" s="3"/>
      <c r="KJX112" s="3"/>
      <c r="KJY112" s="3"/>
      <c r="KJZ112" s="3"/>
      <c r="KKA112" s="3"/>
      <c r="KKB112" s="3"/>
      <c r="KKC112" s="3"/>
      <c r="KKD112" s="3"/>
      <c r="KKE112" s="3"/>
      <c r="KKF112" s="3"/>
      <c r="KKG112" s="3"/>
      <c r="KKH112" s="3"/>
      <c r="KKI112" s="3"/>
      <c r="KKJ112" s="3"/>
      <c r="KKK112" s="3"/>
      <c r="KKL112" s="3"/>
      <c r="KKM112" s="3"/>
      <c r="KKN112" s="3"/>
      <c r="KKO112" s="3"/>
      <c r="KKP112" s="3"/>
      <c r="KKQ112" s="3"/>
      <c r="KKR112" s="3"/>
      <c r="KKS112" s="3"/>
      <c r="KKT112" s="3"/>
      <c r="KKU112" s="3"/>
      <c r="KKV112" s="3"/>
      <c r="KKW112" s="3"/>
      <c r="KKX112" s="3"/>
      <c r="KKY112" s="3"/>
      <c r="KKZ112" s="3"/>
      <c r="KLA112" s="3"/>
      <c r="KLB112" s="3"/>
      <c r="KLC112" s="3"/>
      <c r="KLD112" s="3"/>
      <c r="KLE112" s="3"/>
      <c r="KLF112" s="3"/>
      <c r="KLG112" s="3"/>
      <c r="KLH112" s="3"/>
      <c r="KLI112" s="3"/>
      <c r="KLJ112" s="3"/>
      <c r="KLK112" s="3"/>
      <c r="KLL112" s="3"/>
      <c r="KLM112" s="3"/>
      <c r="KLN112" s="3"/>
      <c r="KLO112" s="3"/>
      <c r="KLP112" s="3"/>
      <c r="KLQ112" s="3"/>
      <c r="KLR112" s="3"/>
      <c r="KLS112" s="3"/>
      <c r="KLT112" s="3"/>
      <c r="KLU112" s="3"/>
      <c r="KLV112" s="3"/>
      <c r="KLW112" s="3"/>
      <c r="KLX112" s="3"/>
      <c r="KLY112" s="3"/>
      <c r="KLZ112" s="3"/>
      <c r="KMA112" s="3"/>
      <c r="KMB112" s="3"/>
      <c r="KMC112" s="3"/>
      <c r="KMD112" s="3"/>
      <c r="KME112" s="3"/>
      <c r="KMF112" s="3"/>
      <c r="KMG112" s="3"/>
      <c r="KMH112" s="3"/>
      <c r="KMI112" s="3"/>
      <c r="KMJ112" s="3"/>
      <c r="KMK112" s="3"/>
      <c r="KML112" s="3"/>
      <c r="KMM112" s="3"/>
      <c r="KMN112" s="3"/>
      <c r="KMO112" s="3"/>
      <c r="KMP112" s="3"/>
      <c r="KMQ112" s="3"/>
      <c r="KMR112" s="3"/>
      <c r="KMS112" s="3"/>
      <c r="KMT112" s="3"/>
      <c r="KMU112" s="3"/>
      <c r="KMV112" s="3"/>
      <c r="KMW112" s="3"/>
      <c r="KMX112" s="3"/>
      <c r="KMY112" s="3"/>
      <c r="KMZ112" s="3"/>
      <c r="KNA112" s="3"/>
      <c r="KNB112" s="3"/>
      <c r="KNC112" s="3"/>
      <c r="KND112" s="3"/>
      <c r="KNE112" s="3"/>
      <c r="KNF112" s="3"/>
      <c r="KNG112" s="3"/>
      <c r="KNH112" s="3"/>
      <c r="KNI112" s="3"/>
      <c r="KNJ112" s="3"/>
      <c r="KNK112" s="3"/>
      <c r="KNL112" s="3"/>
      <c r="KNM112" s="3"/>
      <c r="KNN112" s="3"/>
      <c r="KNO112" s="3"/>
      <c r="KNP112" s="3"/>
      <c r="KNQ112" s="3"/>
      <c r="KNR112" s="3"/>
      <c r="KNS112" s="3"/>
      <c r="KNT112" s="3"/>
      <c r="KNU112" s="3"/>
      <c r="KNV112" s="3"/>
      <c r="KNW112" s="3"/>
      <c r="KNX112" s="3"/>
      <c r="KNY112" s="3"/>
      <c r="KNZ112" s="3"/>
      <c r="KOA112" s="3"/>
      <c r="KOB112" s="3"/>
      <c r="KOC112" s="3"/>
      <c r="KOD112" s="3"/>
      <c r="KOE112" s="3"/>
      <c r="KOF112" s="3"/>
      <c r="KOG112" s="3"/>
      <c r="KOH112" s="3"/>
      <c r="KOI112" s="3"/>
      <c r="KOJ112" s="3"/>
      <c r="KOK112" s="3"/>
      <c r="KOL112" s="3"/>
      <c r="KOM112" s="3"/>
      <c r="KON112" s="3"/>
      <c r="KOO112" s="3"/>
      <c r="KOP112" s="3"/>
      <c r="KOQ112" s="3"/>
      <c r="KOR112" s="3"/>
      <c r="KOS112" s="3"/>
      <c r="KOT112" s="3"/>
      <c r="KOU112" s="3"/>
      <c r="KOV112" s="3"/>
      <c r="KOW112" s="3"/>
      <c r="KOX112" s="3"/>
      <c r="KOY112" s="3"/>
      <c r="KOZ112" s="3"/>
      <c r="KPA112" s="3"/>
      <c r="KPB112" s="3"/>
      <c r="KPC112" s="3"/>
      <c r="KPD112" s="3"/>
      <c r="KPE112" s="3"/>
      <c r="KPF112" s="3"/>
      <c r="KPG112" s="3"/>
      <c r="KPH112" s="3"/>
      <c r="KPI112" s="3"/>
      <c r="KPJ112" s="3"/>
      <c r="KPK112" s="3"/>
      <c r="KPL112" s="3"/>
      <c r="KPM112" s="3"/>
      <c r="KPN112" s="3"/>
      <c r="KPO112" s="3"/>
      <c r="KPP112" s="3"/>
      <c r="KPQ112" s="3"/>
      <c r="KPR112" s="3"/>
      <c r="KPS112" s="3"/>
      <c r="KPT112" s="3"/>
      <c r="KPU112" s="3"/>
      <c r="KPV112" s="3"/>
      <c r="KPW112" s="3"/>
      <c r="KPX112" s="3"/>
      <c r="KPY112" s="3"/>
      <c r="KPZ112" s="3"/>
      <c r="KQA112" s="3"/>
      <c r="KQB112" s="3"/>
      <c r="KQC112" s="3"/>
      <c r="KQD112" s="3"/>
      <c r="KQE112" s="3"/>
      <c r="KQF112" s="3"/>
      <c r="KQG112" s="3"/>
      <c r="KQH112" s="3"/>
      <c r="KQI112" s="3"/>
      <c r="KQJ112" s="3"/>
      <c r="KQK112" s="3"/>
      <c r="KQL112" s="3"/>
      <c r="KQM112" s="3"/>
      <c r="KQN112" s="3"/>
      <c r="KQO112" s="3"/>
      <c r="KQP112" s="3"/>
      <c r="KQQ112" s="3"/>
      <c r="KQR112" s="3"/>
      <c r="KQS112" s="3"/>
      <c r="KQT112" s="3"/>
      <c r="KQU112" s="3"/>
      <c r="KQV112" s="3"/>
      <c r="KQW112" s="3"/>
      <c r="KQX112" s="3"/>
      <c r="KQY112" s="3"/>
      <c r="KQZ112" s="3"/>
      <c r="KRA112" s="3"/>
      <c r="KRB112" s="3"/>
      <c r="KRC112" s="3"/>
      <c r="KRD112" s="3"/>
      <c r="KRE112" s="3"/>
      <c r="KRF112" s="3"/>
      <c r="KRG112" s="3"/>
      <c r="KRH112" s="3"/>
      <c r="KRI112" s="3"/>
      <c r="KRJ112" s="3"/>
      <c r="KRK112" s="3"/>
      <c r="KRL112" s="3"/>
      <c r="KRM112" s="3"/>
      <c r="KRN112" s="3"/>
      <c r="KRO112" s="3"/>
      <c r="KRP112" s="3"/>
      <c r="KRQ112" s="3"/>
      <c r="KRR112" s="3"/>
      <c r="KRS112" s="3"/>
      <c r="KRT112" s="3"/>
      <c r="KRU112" s="3"/>
      <c r="KRV112" s="3"/>
      <c r="KRW112" s="3"/>
      <c r="KRX112" s="3"/>
      <c r="KRY112" s="3"/>
      <c r="KRZ112" s="3"/>
      <c r="KSA112" s="3"/>
      <c r="KSB112" s="3"/>
      <c r="KSC112" s="3"/>
      <c r="KSD112" s="3"/>
      <c r="KSE112" s="3"/>
      <c r="KSF112" s="3"/>
      <c r="KSG112" s="3"/>
      <c r="KSH112" s="3"/>
      <c r="KSI112" s="3"/>
      <c r="KSJ112" s="3"/>
      <c r="KSK112" s="3"/>
      <c r="KSL112" s="3"/>
      <c r="KSM112" s="3"/>
      <c r="KSN112" s="3"/>
      <c r="KSO112" s="3"/>
      <c r="KSP112" s="3"/>
      <c r="KSQ112" s="3"/>
      <c r="KSR112" s="3"/>
      <c r="KSS112" s="3"/>
      <c r="KST112" s="3"/>
      <c r="KSU112" s="3"/>
      <c r="KSV112" s="3"/>
      <c r="KSW112" s="3"/>
      <c r="KSX112" s="3"/>
      <c r="KSY112" s="3"/>
      <c r="KSZ112" s="3"/>
      <c r="KTA112" s="3"/>
      <c r="KTB112" s="3"/>
      <c r="KTC112" s="3"/>
      <c r="KTD112" s="3"/>
      <c r="KTE112" s="3"/>
      <c r="KTF112" s="3"/>
      <c r="KTG112" s="3"/>
      <c r="KTH112" s="3"/>
      <c r="KTI112" s="3"/>
      <c r="KTJ112" s="3"/>
      <c r="KTK112" s="3"/>
      <c r="KTL112" s="3"/>
      <c r="KTM112" s="3"/>
      <c r="KTN112" s="3"/>
      <c r="KTO112" s="3"/>
      <c r="KTP112" s="3"/>
      <c r="KTQ112" s="3"/>
      <c r="KTR112" s="3"/>
      <c r="KTS112" s="3"/>
      <c r="KTT112" s="3"/>
      <c r="KTU112" s="3"/>
      <c r="KTV112" s="3"/>
      <c r="KTW112" s="3"/>
      <c r="KTX112" s="3"/>
      <c r="KTY112" s="3"/>
      <c r="KTZ112" s="3"/>
      <c r="KUA112" s="3"/>
      <c r="KUB112" s="3"/>
      <c r="KUC112" s="3"/>
      <c r="KUD112" s="3"/>
      <c r="KUE112" s="3"/>
      <c r="KUF112" s="3"/>
      <c r="KUG112" s="3"/>
      <c r="KUH112" s="3"/>
      <c r="KUI112" s="3"/>
      <c r="KUJ112" s="3"/>
      <c r="KUK112" s="3"/>
      <c r="KUL112" s="3"/>
      <c r="KUM112" s="3"/>
      <c r="KUN112" s="3"/>
      <c r="KUO112" s="3"/>
      <c r="KUP112" s="3"/>
      <c r="KUQ112" s="3"/>
      <c r="KUR112" s="3"/>
      <c r="KUS112" s="3"/>
      <c r="KUT112" s="3"/>
      <c r="KUU112" s="3"/>
      <c r="KUV112" s="3"/>
      <c r="KUW112" s="3"/>
      <c r="KUX112" s="3"/>
      <c r="KUY112" s="3"/>
      <c r="KUZ112" s="3"/>
      <c r="KVA112" s="3"/>
      <c r="KVB112" s="3"/>
      <c r="KVC112" s="3"/>
      <c r="KVD112" s="3"/>
      <c r="KVE112" s="3"/>
      <c r="KVF112" s="3"/>
      <c r="KVG112" s="3"/>
      <c r="KVH112" s="3"/>
      <c r="KVI112" s="3"/>
      <c r="KVJ112" s="3"/>
      <c r="KVK112" s="3"/>
      <c r="KVL112" s="3"/>
      <c r="KVM112" s="3"/>
      <c r="KVN112" s="3"/>
      <c r="KVO112" s="3"/>
      <c r="KVP112" s="3"/>
      <c r="KVQ112" s="3"/>
      <c r="KVR112" s="3"/>
      <c r="KVS112" s="3"/>
      <c r="KVT112" s="3"/>
      <c r="KVU112" s="3"/>
      <c r="KVV112" s="3"/>
      <c r="KVW112" s="3"/>
      <c r="KVX112" s="3"/>
      <c r="KVY112" s="3"/>
      <c r="KVZ112" s="3"/>
      <c r="KWA112" s="3"/>
      <c r="KWB112" s="3"/>
      <c r="KWC112" s="3"/>
      <c r="KWD112" s="3"/>
      <c r="KWE112" s="3"/>
      <c r="KWF112" s="3"/>
      <c r="KWG112" s="3"/>
      <c r="KWH112" s="3"/>
      <c r="KWI112" s="3"/>
      <c r="KWJ112" s="3"/>
      <c r="KWK112" s="3"/>
      <c r="KWL112" s="3"/>
      <c r="KWM112" s="3"/>
      <c r="KWN112" s="3"/>
      <c r="KWO112" s="3"/>
      <c r="KWP112" s="3"/>
      <c r="KWQ112" s="3"/>
      <c r="KWR112" s="3"/>
      <c r="KWS112" s="3"/>
      <c r="KWT112" s="3"/>
      <c r="KWU112" s="3"/>
      <c r="KWV112" s="3"/>
      <c r="KWW112" s="3"/>
      <c r="KWX112" s="3"/>
      <c r="KWY112" s="3"/>
      <c r="KWZ112" s="3"/>
      <c r="KXA112" s="3"/>
      <c r="KXB112" s="3"/>
      <c r="KXC112" s="3"/>
      <c r="KXD112" s="3"/>
      <c r="KXE112" s="3"/>
      <c r="KXF112" s="3"/>
      <c r="KXG112" s="3"/>
      <c r="KXH112" s="3"/>
      <c r="KXI112" s="3"/>
      <c r="KXJ112" s="3"/>
      <c r="KXK112" s="3"/>
      <c r="KXL112" s="3"/>
      <c r="KXM112" s="3"/>
      <c r="KXN112" s="3"/>
      <c r="KXO112" s="3"/>
      <c r="KXP112" s="3"/>
      <c r="KXQ112" s="3"/>
      <c r="KXR112" s="3"/>
      <c r="KXS112" s="3"/>
      <c r="KXT112" s="3"/>
      <c r="KXU112" s="3"/>
      <c r="KXV112" s="3"/>
      <c r="KXW112" s="3"/>
      <c r="KXX112" s="3"/>
      <c r="KXY112" s="3"/>
      <c r="KXZ112" s="3"/>
      <c r="KYA112" s="3"/>
      <c r="KYB112" s="3"/>
      <c r="KYC112" s="3"/>
      <c r="KYD112" s="3"/>
      <c r="KYE112" s="3"/>
      <c r="KYF112" s="3"/>
      <c r="KYG112" s="3"/>
      <c r="KYH112" s="3"/>
      <c r="KYI112" s="3"/>
      <c r="KYJ112" s="3"/>
      <c r="KYK112" s="3"/>
      <c r="KYL112" s="3"/>
      <c r="KYM112" s="3"/>
      <c r="KYN112" s="3"/>
      <c r="KYO112" s="3"/>
      <c r="KYP112" s="3"/>
      <c r="KYQ112" s="3"/>
      <c r="KYR112" s="3"/>
      <c r="KYS112" s="3"/>
      <c r="KYT112" s="3"/>
      <c r="KYU112" s="3"/>
      <c r="KYV112" s="3"/>
      <c r="KYW112" s="3"/>
      <c r="KYX112" s="3"/>
      <c r="KYY112" s="3"/>
      <c r="KYZ112" s="3"/>
      <c r="KZA112" s="3"/>
      <c r="KZB112" s="3"/>
      <c r="KZC112" s="3"/>
      <c r="KZD112" s="3"/>
      <c r="KZE112" s="3"/>
      <c r="KZF112" s="3"/>
      <c r="KZG112" s="3"/>
      <c r="KZH112" s="3"/>
      <c r="KZI112" s="3"/>
      <c r="KZJ112" s="3"/>
      <c r="KZK112" s="3"/>
      <c r="KZL112" s="3"/>
      <c r="KZM112" s="3"/>
      <c r="KZN112" s="3"/>
      <c r="KZO112" s="3"/>
      <c r="KZP112" s="3"/>
      <c r="KZQ112" s="3"/>
      <c r="KZR112" s="3"/>
      <c r="KZS112" s="3"/>
      <c r="KZT112" s="3"/>
      <c r="KZU112" s="3"/>
      <c r="KZV112" s="3"/>
      <c r="KZW112" s="3"/>
      <c r="KZX112" s="3"/>
      <c r="KZY112" s="3"/>
      <c r="KZZ112" s="3"/>
      <c r="LAA112" s="3"/>
      <c r="LAB112" s="3"/>
      <c r="LAC112" s="3"/>
      <c r="LAD112" s="3"/>
      <c r="LAE112" s="3"/>
      <c r="LAF112" s="3"/>
      <c r="LAG112" s="3"/>
      <c r="LAH112" s="3"/>
      <c r="LAI112" s="3"/>
      <c r="LAJ112" s="3"/>
      <c r="LAK112" s="3"/>
      <c r="LAL112" s="3"/>
      <c r="LAM112" s="3"/>
      <c r="LAN112" s="3"/>
      <c r="LAO112" s="3"/>
      <c r="LAP112" s="3"/>
      <c r="LAQ112" s="3"/>
      <c r="LAR112" s="3"/>
      <c r="LAS112" s="3"/>
      <c r="LAT112" s="3"/>
      <c r="LAU112" s="3"/>
      <c r="LAV112" s="3"/>
      <c r="LAW112" s="3"/>
      <c r="LAX112" s="3"/>
      <c r="LAY112" s="3"/>
      <c r="LAZ112" s="3"/>
      <c r="LBA112" s="3"/>
      <c r="LBB112" s="3"/>
      <c r="LBC112" s="3"/>
      <c r="LBD112" s="3"/>
      <c r="LBE112" s="3"/>
      <c r="LBF112" s="3"/>
      <c r="LBG112" s="3"/>
      <c r="LBH112" s="3"/>
      <c r="LBI112" s="3"/>
      <c r="LBJ112" s="3"/>
      <c r="LBK112" s="3"/>
      <c r="LBL112" s="3"/>
      <c r="LBM112" s="3"/>
      <c r="LBN112" s="3"/>
      <c r="LBO112" s="3"/>
      <c r="LBP112" s="3"/>
      <c r="LBQ112" s="3"/>
      <c r="LBR112" s="3"/>
      <c r="LBS112" s="3"/>
      <c r="LBT112" s="3"/>
      <c r="LBU112" s="3"/>
      <c r="LBV112" s="3"/>
      <c r="LBW112" s="3"/>
      <c r="LBX112" s="3"/>
      <c r="LBY112" s="3"/>
      <c r="LBZ112" s="3"/>
      <c r="LCA112" s="3"/>
      <c r="LCB112" s="3"/>
      <c r="LCC112" s="3"/>
      <c r="LCD112" s="3"/>
      <c r="LCE112" s="3"/>
      <c r="LCF112" s="3"/>
      <c r="LCG112" s="3"/>
      <c r="LCH112" s="3"/>
      <c r="LCI112" s="3"/>
      <c r="LCJ112" s="3"/>
      <c r="LCK112" s="3"/>
      <c r="LCL112" s="3"/>
      <c r="LCM112" s="3"/>
      <c r="LCN112" s="3"/>
      <c r="LCO112" s="3"/>
      <c r="LCP112" s="3"/>
      <c r="LCQ112" s="3"/>
      <c r="LCR112" s="3"/>
      <c r="LCS112" s="3"/>
      <c r="LCT112" s="3"/>
      <c r="LCU112" s="3"/>
      <c r="LCV112" s="3"/>
      <c r="LCW112" s="3"/>
      <c r="LCX112" s="3"/>
      <c r="LCY112" s="3"/>
      <c r="LCZ112" s="3"/>
      <c r="LDA112" s="3"/>
      <c r="LDB112" s="3"/>
      <c r="LDC112" s="3"/>
      <c r="LDD112" s="3"/>
      <c r="LDE112" s="3"/>
      <c r="LDF112" s="3"/>
      <c r="LDG112" s="3"/>
      <c r="LDH112" s="3"/>
      <c r="LDI112" s="3"/>
      <c r="LDJ112" s="3"/>
      <c r="LDK112" s="3"/>
      <c r="LDL112" s="3"/>
      <c r="LDM112" s="3"/>
      <c r="LDN112" s="3"/>
      <c r="LDO112" s="3"/>
      <c r="LDP112" s="3"/>
      <c r="LDQ112" s="3"/>
      <c r="LDR112" s="3"/>
      <c r="LDS112" s="3"/>
      <c r="LDT112" s="3"/>
      <c r="LDU112" s="3"/>
      <c r="LDV112" s="3"/>
      <c r="LDW112" s="3"/>
      <c r="LDX112" s="3"/>
      <c r="LDY112" s="3"/>
      <c r="LDZ112" s="3"/>
      <c r="LEA112" s="3"/>
      <c r="LEB112" s="3"/>
      <c r="LEC112" s="3"/>
      <c r="LED112" s="3"/>
      <c r="LEE112" s="3"/>
      <c r="LEF112" s="3"/>
      <c r="LEG112" s="3"/>
      <c r="LEH112" s="3"/>
      <c r="LEI112" s="3"/>
      <c r="LEJ112" s="3"/>
      <c r="LEK112" s="3"/>
      <c r="LEL112" s="3"/>
      <c r="LEM112" s="3"/>
      <c r="LEN112" s="3"/>
      <c r="LEO112" s="3"/>
      <c r="LEP112" s="3"/>
      <c r="LEQ112" s="3"/>
      <c r="LER112" s="3"/>
      <c r="LES112" s="3"/>
      <c r="LET112" s="3"/>
      <c r="LEU112" s="3"/>
      <c r="LEV112" s="3"/>
      <c r="LEW112" s="3"/>
      <c r="LEX112" s="3"/>
      <c r="LEY112" s="3"/>
      <c r="LEZ112" s="3"/>
      <c r="LFA112" s="3"/>
      <c r="LFB112" s="3"/>
      <c r="LFC112" s="3"/>
      <c r="LFD112" s="3"/>
      <c r="LFE112" s="3"/>
      <c r="LFF112" s="3"/>
      <c r="LFG112" s="3"/>
      <c r="LFH112" s="3"/>
      <c r="LFI112" s="3"/>
      <c r="LFJ112" s="3"/>
      <c r="LFK112" s="3"/>
      <c r="LFL112" s="3"/>
      <c r="LFM112" s="3"/>
      <c r="LFN112" s="3"/>
      <c r="LFO112" s="3"/>
      <c r="LFP112" s="3"/>
      <c r="LFQ112" s="3"/>
      <c r="LFR112" s="3"/>
      <c r="LFS112" s="3"/>
      <c r="LFT112" s="3"/>
      <c r="LFU112" s="3"/>
      <c r="LFV112" s="3"/>
      <c r="LFW112" s="3"/>
      <c r="LFX112" s="3"/>
      <c r="LFY112" s="3"/>
      <c r="LFZ112" s="3"/>
      <c r="LGA112" s="3"/>
      <c r="LGB112" s="3"/>
      <c r="LGC112" s="3"/>
      <c r="LGD112" s="3"/>
      <c r="LGE112" s="3"/>
      <c r="LGF112" s="3"/>
      <c r="LGG112" s="3"/>
      <c r="LGH112" s="3"/>
      <c r="LGI112" s="3"/>
      <c r="LGJ112" s="3"/>
      <c r="LGK112" s="3"/>
      <c r="LGL112" s="3"/>
      <c r="LGM112" s="3"/>
      <c r="LGN112" s="3"/>
      <c r="LGO112" s="3"/>
      <c r="LGP112" s="3"/>
      <c r="LGQ112" s="3"/>
      <c r="LGR112" s="3"/>
      <c r="LGS112" s="3"/>
      <c r="LGT112" s="3"/>
      <c r="LGU112" s="3"/>
      <c r="LGV112" s="3"/>
      <c r="LGW112" s="3"/>
      <c r="LGX112" s="3"/>
      <c r="LGY112" s="3"/>
      <c r="LGZ112" s="3"/>
      <c r="LHA112" s="3"/>
      <c r="LHB112" s="3"/>
      <c r="LHC112" s="3"/>
      <c r="LHD112" s="3"/>
      <c r="LHE112" s="3"/>
      <c r="LHF112" s="3"/>
      <c r="LHG112" s="3"/>
      <c r="LHH112" s="3"/>
      <c r="LHI112" s="3"/>
      <c r="LHJ112" s="3"/>
      <c r="LHK112" s="3"/>
      <c r="LHL112" s="3"/>
      <c r="LHM112" s="3"/>
      <c r="LHN112" s="3"/>
      <c r="LHO112" s="3"/>
      <c r="LHP112" s="3"/>
      <c r="LHQ112" s="3"/>
      <c r="LHR112" s="3"/>
      <c r="LHS112" s="3"/>
      <c r="LHT112" s="3"/>
      <c r="LHU112" s="3"/>
      <c r="LHV112" s="3"/>
      <c r="LHW112" s="3"/>
      <c r="LHX112" s="3"/>
      <c r="LHY112" s="3"/>
      <c r="LHZ112" s="3"/>
      <c r="LIA112" s="3"/>
      <c r="LIB112" s="3"/>
      <c r="LIC112" s="3"/>
      <c r="LID112" s="3"/>
      <c r="LIE112" s="3"/>
      <c r="LIF112" s="3"/>
      <c r="LIG112" s="3"/>
      <c r="LIH112" s="3"/>
      <c r="LII112" s="3"/>
      <c r="LIJ112" s="3"/>
      <c r="LIK112" s="3"/>
      <c r="LIL112" s="3"/>
      <c r="LIM112" s="3"/>
      <c r="LIN112" s="3"/>
      <c r="LIO112" s="3"/>
      <c r="LIP112" s="3"/>
      <c r="LIQ112" s="3"/>
      <c r="LIR112" s="3"/>
      <c r="LIS112" s="3"/>
      <c r="LIT112" s="3"/>
      <c r="LIU112" s="3"/>
      <c r="LIV112" s="3"/>
      <c r="LIW112" s="3"/>
      <c r="LIX112" s="3"/>
      <c r="LIY112" s="3"/>
      <c r="LIZ112" s="3"/>
      <c r="LJA112" s="3"/>
      <c r="LJB112" s="3"/>
      <c r="LJC112" s="3"/>
      <c r="LJD112" s="3"/>
      <c r="LJE112" s="3"/>
      <c r="LJF112" s="3"/>
      <c r="LJG112" s="3"/>
      <c r="LJH112" s="3"/>
      <c r="LJI112" s="3"/>
      <c r="LJJ112" s="3"/>
      <c r="LJK112" s="3"/>
      <c r="LJL112" s="3"/>
      <c r="LJM112" s="3"/>
      <c r="LJN112" s="3"/>
      <c r="LJO112" s="3"/>
      <c r="LJP112" s="3"/>
      <c r="LJQ112" s="3"/>
      <c r="LJR112" s="3"/>
      <c r="LJS112" s="3"/>
      <c r="LJT112" s="3"/>
      <c r="LJU112" s="3"/>
      <c r="LJV112" s="3"/>
      <c r="LJW112" s="3"/>
      <c r="LJX112" s="3"/>
      <c r="LJY112" s="3"/>
      <c r="LJZ112" s="3"/>
      <c r="LKA112" s="3"/>
      <c r="LKB112" s="3"/>
      <c r="LKC112" s="3"/>
      <c r="LKD112" s="3"/>
      <c r="LKE112" s="3"/>
      <c r="LKF112" s="3"/>
      <c r="LKG112" s="3"/>
      <c r="LKH112" s="3"/>
      <c r="LKI112" s="3"/>
      <c r="LKJ112" s="3"/>
      <c r="LKK112" s="3"/>
      <c r="LKL112" s="3"/>
      <c r="LKM112" s="3"/>
      <c r="LKN112" s="3"/>
      <c r="LKO112" s="3"/>
      <c r="LKP112" s="3"/>
      <c r="LKQ112" s="3"/>
      <c r="LKR112" s="3"/>
      <c r="LKS112" s="3"/>
      <c r="LKT112" s="3"/>
      <c r="LKU112" s="3"/>
      <c r="LKV112" s="3"/>
      <c r="LKW112" s="3"/>
      <c r="LKX112" s="3"/>
      <c r="LKY112" s="3"/>
      <c r="LKZ112" s="3"/>
      <c r="LLA112" s="3"/>
      <c r="LLB112" s="3"/>
      <c r="LLC112" s="3"/>
      <c r="LLD112" s="3"/>
      <c r="LLE112" s="3"/>
      <c r="LLF112" s="3"/>
      <c r="LLG112" s="3"/>
      <c r="LLH112" s="3"/>
      <c r="LLI112" s="3"/>
      <c r="LLJ112" s="3"/>
      <c r="LLK112" s="3"/>
      <c r="LLL112" s="3"/>
      <c r="LLM112" s="3"/>
      <c r="LLN112" s="3"/>
      <c r="LLO112" s="3"/>
      <c r="LLP112" s="3"/>
      <c r="LLQ112" s="3"/>
      <c r="LLR112" s="3"/>
      <c r="LLS112" s="3"/>
      <c r="LLT112" s="3"/>
      <c r="LLU112" s="3"/>
      <c r="LLV112" s="3"/>
      <c r="LLW112" s="3"/>
      <c r="LLX112" s="3"/>
      <c r="LLY112" s="3"/>
      <c r="LLZ112" s="3"/>
      <c r="LMA112" s="3"/>
      <c r="LMB112" s="3"/>
      <c r="LMC112" s="3"/>
      <c r="LMD112" s="3"/>
      <c r="LME112" s="3"/>
      <c r="LMF112" s="3"/>
      <c r="LMG112" s="3"/>
      <c r="LMH112" s="3"/>
      <c r="LMI112" s="3"/>
      <c r="LMJ112" s="3"/>
      <c r="LMK112" s="3"/>
      <c r="LML112" s="3"/>
      <c r="LMM112" s="3"/>
      <c r="LMN112" s="3"/>
      <c r="LMO112" s="3"/>
      <c r="LMP112" s="3"/>
      <c r="LMQ112" s="3"/>
      <c r="LMR112" s="3"/>
      <c r="LMS112" s="3"/>
      <c r="LMT112" s="3"/>
      <c r="LMU112" s="3"/>
      <c r="LMV112" s="3"/>
      <c r="LMW112" s="3"/>
      <c r="LMX112" s="3"/>
      <c r="LMY112" s="3"/>
      <c r="LMZ112" s="3"/>
      <c r="LNA112" s="3"/>
      <c r="LNB112" s="3"/>
      <c r="LNC112" s="3"/>
      <c r="LND112" s="3"/>
      <c r="LNE112" s="3"/>
      <c r="LNF112" s="3"/>
      <c r="LNG112" s="3"/>
      <c r="LNH112" s="3"/>
      <c r="LNI112" s="3"/>
      <c r="LNJ112" s="3"/>
      <c r="LNK112" s="3"/>
      <c r="LNL112" s="3"/>
      <c r="LNM112" s="3"/>
      <c r="LNN112" s="3"/>
      <c r="LNO112" s="3"/>
      <c r="LNP112" s="3"/>
      <c r="LNQ112" s="3"/>
      <c r="LNR112" s="3"/>
      <c r="LNS112" s="3"/>
      <c r="LNT112" s="3"/>
      <c r="LNU112" s="3"/>
      <c r="LNV112" s="3"/>
      <c r="LNW112" s="3"/>
      <c r="LNX112" s="3"/>
      <c r="LNY112" s="3"/>
      <c r="LNZ112" s="3"/>
      <c r="LOA112" s="3"/>
      <c r="LOB112" s="3"/>
      <c r="LOC112" s="3"/>
      <c r="LOD112" s="3"/>
      <c r="LOE112" s="3"/>
      <c r="LOF112" s="3"/>
      <c r="LOG112" s="3"/>
      <c r="LOH112" s="3"/>
      <c r="LOI112" s="3"/>
      <c r="LOJ112" s="3"/>
      <c r="LOK112" s="3"/>
      <c r="LOL112" s="3"/>
      <c r="LOM112" s="3"/>
      <c r="LON112" s="3"/>
      <c r="LOO112" s="3"/>
      <c r="LOP112" s="3"/>
      <c r="LOQ112" s="3"/>
      <c r="LOR112" s="3"/>
      <c r="LOS112" s="3"/>
      <c r="LOT112" s="3"/>
      <c r="LOU112" s="3"/>
      <c r="LOV112" s="3"/>
      <c r="LOW112" s="3"/>
      <c r="LOX112" s="3"/>
      <c r="LOY112" s="3"/>
      <c r="LOZ112" s="3"/>
      <c r="LPA112" s="3"/>
      <c r="LPB112" s="3"/>
      <c r="LPC112" s="3"/>
      <c r="LPD112" s="3"/>
      <c r="LPE112" s="3"/>
      <c r="LPF112" s="3"/>
      <c r="LPG112" s="3"/>
      <c r="LPH112" s="3"/>
      <c r="LPI112" s="3"/>
      <c r="LPJ112" s="3"/>
      <c r="LPK112" s="3"/>
      <c r="LPL112" s="3"/>
      <c r="LPM112" s="3"/>
      <c r="LPN112" s="3"/>
      <c r="LPO112" s="3"/>
      <c r="LPP112" s="3"/>
      <c r="LPQ112" s="3"/>
      <c r="LPR112" s="3"/>
      <c r="LPS112" s="3"/>
      <c r="LPT112" s="3"/>
      <c r="LPU112" s="3"/>
      <c r="LPV112" s="3"/>
      <c r="LPW112" s="3"/>
      <c r="LPX112" s="3"/>
      <c r="LPY112" s="3"/>
      <c r="LPZ112" s="3"/>
      <c r="LQA112" s="3"/>
      <c r="LQB112" s="3"/>
      <c r="LQC112" s="3"/>
      <c r="LQD112" s="3"/>
      <c r="LQE112" s="3"/>
      <c r="LQF112" s="3"/>
      <c r="LQG112" s="3"/>
      <c r="LQH112" s="3"/>
      <c r="LQI112" s="3"/>
      <c r="LQJ112" s="3"/>
      <c r="LQK112" s="3"/>
      <c r="LQL112" s="3"/>
      <c r="LQM112" s="3"/>
      <c r="LQN112" s="3"/>
      <c r="LQO112" s="3"/>
      <c r="LQP112" s="3"/>
      <c r="LQQ112" s="3"/>
      <c r="LQR112" s="3"/>
      <c r="LQS112" s="3"/>
      <c r="LQT112" s="3"/>
      <c r="LQU112" s="3"/>
      <c r="LQV112" s="3"/>
      <c r="LQW112" s="3"/>
      <c r="LQX112" s="3"/>
      <c r="LQY112" s="3"/>
      <c r="LQZ112" s="3"/>
      <c r="LRA112" s="3"/>
      <c r="LRB112" s="3"/>
      <c r="LRC112" s="3"/>
      <c r="LRD112" s="3"/>
      <c r="LRE112" s="3"/>
      <c r="LRF112" s="3"/>
      <c r="LRG112" s="3"/>
      <c r="LRH112" s="3"/>
      <c r="LRI112" s="3"/>
      <c r="LRJ112" s="3"/>
      <c r="LRK112" s="3"/>
      <c r="LRL112" s="3"/>
      <c r="LRM112" s="3"/>
      <c r="LRN112" s="3"/>
      <c r="LRO112" s="3"/>
      <c r="LRP112" s="3"/>
      <c r="LRQ112" s="3"/>
      <c r="LRR112" s="3"/>
      <c r="LRS112" s="3"/>
      <c r="LRT112" s="3"/>
      <c r="LRU112" s="3"/>
      <c r="LRV112" s="3"/>
      <c r="LRW112" s="3"/>
      <c r="LRX112" s="3"/>
      <c r="LRY112" s="3"/>
      <c r="LRZ112" s="3"/>
      <c r="LSA112" s="3"/>
      <c r="LSB112" s="3"/>
      <c r="LSC112" s="3"/>
      <c r="LSD112" s="3"/>
      <c r="LSE112" s="3"/>
      <c r="LSF112" s="3"/>
      <c r="LSG112" s="3"/>
      <c r="LSH112" s="3"/>
      <c r="LSI112" s="3"/>
      <c r="LSJ112" s="3"/>
      <c r="LSK112" s="3"/>
      <c r="LSL112" s="3"/>
      <c r="LSM112" s="3"/>
      <c r="LSN112" s="3"/>
      <c r="LSO112" s="3"/>
      <c r="LSP112" s="3"/>
      <c r="LSQ112" s="3"/>
      <c r="LSR112" s="3"/>
      <c r="LSS112" s="3"/>
      <c r="LST112" s="3"/>
      <c r="LSU112" s="3"/>
      <c r="LSV112" s="3"/>
      <c r="LSW112" s="3"/>
      <c r="LSX112" s="3"/>
      <c r="LSY112" s="3"/>
      <c r="LSZ112" s="3"/>
      <c r="LTA112" s="3"/>
      <c r="LTB112" s="3"/>
      <c r="LTC112" s="3"/>
      <c r="LTD112" s="3"/>
      <c r="LTE112" s="3"/>
      <c r="LTF112" s="3"/>
      <c r="LTG112" s="3"/>
      <c r="LTH112" s="3"/>
      <c r="LTI112" s="3"/>
      <c r="LTJ112" s="3"/>
      <c r="LTK112" s="3"/>
      <c r="LTL112" s="3"/>
      <c r="LTM112" s="3"/>
      <c r="LTN112" s="3"/>
      <c r="LTO112" s="3"/>
      <c r="LTP112" s="3"/>
      <c r="LTQ112" s="3"/>
      <c r="LTR112" s="3"/>
      <c r="LTS112" s="3"/>
      <c r="LTT112" s="3"/>
      <c r="LTU112" s="3"/>
      <c r="LTV112" s="3"/>
      <c r="LTW112" s="3"/>
      <c r="LTX112" s="3"/>
      <c r="LTY112" s="3"/>
      <c r="LTZ112" s="3"/>
      <c r="LUA112" s="3"/>
      <c r="LUB112" s="3"/>
      <c r="LUC112" s="3"/>
      <c r="LUD112" s="3"/>
      <c r="LUE112" s="3"/>
      <c r="LUF112" s="3"/>
      <c r="LUG112" s="3"/>
      <c r="LUH112" s="3"/>
      <c r="LUI112" s="3"/>
      <c r="LUJ112" s="3"/>
      <c r="LUK112" s="3"/>
      <c r="LUL112" s="3"/>
      <c r="LUM112" s="3"/>
      <c r="LUN112" s="3"/>
      <c r="LUO112" s="3"/>
      <c r="LUP112" s="3"/>
      <c r="LUQ112" s="3"/>
      <c r="LUR112" s="3"/>
      <c r="LUS112" s="3"/>
      <c r="LUT112" s="3"/>
      <c r="LUU112" s="3"/>
      <c r="LUV112" s="3"/>
      <c r="LUW112" s="3"/>
      <c r="LUX112" s="3"/>
      <c r="LUY112" s="3"/>
      <c r="LUZ112" s="3"/>
      <c r="LVA112" s="3"/>
      <c r="LVB112" s="3"/>
      <c r="LVC112" s="3"/>
      <c r="LVD112" s="3"/>
      <c r="LVE112" s="3"/>
      <c r="LVF112" s="3"/>
      <c r="LVG112" s="3"/>
      <c r="LVH112" s="3"/>
      <c r="LVI112" s="3"/>
      <c r="LVJ112" s="3"/>
      <c r="LVK112" s="3"/>
      <c r="LVL112" s="3"/>
      <c r="LVM112" s="3"/>
      <c r="LVN112" s="3"/>
      <c r="LVO112" s="3"/>
      <c r="LVP112" s="3"/>
      <c r="LVQ112" s="3"/>
      <c r="LVR112" s="3"/>
      <c r="LVS112" s="3"/>
      <c r="LVT112" s="3"/>
      <c r="LVU112" s="3"/>
      <c r="LVV112" s="3"/>
      <c r="LVW112" s="3"/>
      <c r="LVX112" s="3"/>
      <c r="LVY112" s="3"/>
      <c r="LVZ112" s="3"/>
      <c r="LWA112" s="3"/>
      <c r="LWB112" s="3"/>
      <c r="LWC112" s="3"/>
      <c r="LWD112" s="3"/>
      <c r="LWE112" s="3"/>
      <c r="LWF112" s="3"/>
      <c r="LWG112" s="3"/>
      <c r="LWH112" s="3"/>
      <c r="LWI112" s="3"/>
      <c r="LWJ112" s="3"/>
      <c r="LWK112" s="3"/>
      <c r="LWL112" s="3"/>
      <c r="LWM112" s="3"/>
      <c r="LWN112" s="3"/>
      <c r="LWO112" s="3"/>
      <c r="LWP112" s="3"/>
      <c r="LWQ112" s="3"/>
      <c r="LWR112" s="3"/>
      <c r="LWS112" s="3"/>
      <c r="LWT112" s="3"/>
      <c r="LWU112" s="3"/>
      <c r="LWV112" s="3"/>
      <c r="LWW112" s="3"/>
      <c r="LWX112" s="3"/>
      <c r="LWY112" s="3"/>
      <c r="LWZ112" s="3"/>
      <c r="LXA112" s="3"/>
      <c r="LXB112" s="3"/>
      <c r="LXC112" s="3"/>
      <c r="LXD112" s="3"/>
      <c r="LXE112" s="3"/>
      <c r="LXF112" s="3"/>
      <c r="LXG112" s="3"/>
      <c r="LXH112" s="3"/>
      <c r="LXI112" s="3"/>
      <c r="LXJ112" s="3"/>
      <c r="LXK112" s="3"/>
      <c r="LXL112" s="3"/>
      <c r="LXM112" s="3"/>
      <c r="LXN112" s="3"/>
      <c r="LXO112" s="3"/>
      <c r="LXP112" s="3"/>
      <c r="LXQ112" s="3"/>
      <c r="LXR112" s="3"/>
      <c r="LXS112" s="3"/>
      <c r="LXT112" s="3"/>
      <c r="LXU112" s="3"/>
      <c r="LXV112" s="3"/>
      <c r="LXW112" s="3"/>
      <c r="LXX112" s="3"/>
      <c r="LXY112" s="3"/>
      <c r="LXZ112" s="3"/>
      <c r="LYA112" s="3"/>
      <c r="LYB112" s="3"/>
      <c r="LYC112" s="3"/>
      <c r="LYD112" s="3"/>
      <c r="LYE112" s="3"/>
      <c r="LYF112" s="3"/>
      <c r="LYG112" s="3"/>
      <c r="LYH112" s="3"/>
      <c r="LYI112" s="3"/>
      <c r="LYJ112" s="3"/>
      <c r="LYK112" s="3"/>
      <c r="LYL112" s="3"/>
      <c r="LYM112" s="3"/>
      <c r="LYN112" s="3"/>
      <c r="LYO112" s="3"/>
      <c r="LYP112" s="3"/>
      <c r="LYQ112" s="3"/>
      <c r="LYR112" s="3"/>
      <c r="LYS112" s="3"/>
      <c r="LYT112" s="3"/>
      <c r="LYU112" s="3"/>
      <c r="LYV112" s="3"/>
      <c r="LYW112" s="3"/>
      <c r="LYX112" s="3"/>
      <c r="LYY112" s="3"/>
      <c r="LYZ112" s="3"/>
      <c r="LZA112" s="3"/>
      <c r="LZB112" s="3"/>
      <c r="LZC112" s="3"/>
      <c r="LZD112" s="3"/>
      <c r="LZE112" s="3"/>
      <c r="LZF112" s="3"/>
      <c r="LZG112" s="3"/>
      <c r="LZH112" s="3"/>
      <c r="LZI112" s="3"/>
      <c r="LZJ112" s="3"/>
      <c r="LZK112" s="3"/>
      <c r="LZL112" s="3"/>
      <c r="LZM112" s="3"/>
      <c r="LZN112" s="3"/>
      <c r="LZO112" s="3"/>
      <c r="LZP112" s="3"/>
      <c r="LZQ112" s="3"/>
      <c r="LZR112" s="3"/>
      <c r="LZS112" s="3"/>
      <c r="LZT112" s="3"/>
      <c r="LZU112" s="3"/>
      <c r="LZV112" s="3"/>
      <c r="LZW112" s="3"/>
      <c r="LZX112" s="3"/>
      <c r="LZY112" s="3"/>
      <c r="LZZ112" s="3"/>
      <c r="MAA112" s="3"/>
      <c r="MAB112" s="3"/>
      <c r="MAC112" s="3"/>
      <c r="MAD112" s="3"/>
      <c r="MAE112" s="3"/>
      <c r="MAF112" s="3"/>
      <c r="MAG112" s="3"/>
      <c r="MAH112" s="3"/>
      <c r="MAI112" s="3"/>
      <c r="MAJ112" s="3"/>
      <c r="MAK112" s="3"/>
      <c r="MAL112" s="3"/>
      <c r="MAM112" s="3"/>
      <c r="MAN112" s="3"/>
      <c r="MAO112" s="3"/>
      <c r="MAP112" s="3"/>
      <c r="MAQ112" s="3"/>
      <c r="MAR112" s="3"/>
      <c r="MAS112" s="3"/>
      <c r="MAT112" s="3"/>
      <c r="MAU112" s="3"/>
      <c r="MAV112" s="3"/>
      <c r="MAW112" s="3"/>
      <c r="MAX112" s="3"/>
      <c r="MAY112" s="3"/>
      <c r="MAZ112" s="3"/>
      <c r="MBA112" s="3"/>
      <c r="MBB112" s="3"/>
      <c r="MBC112" s="3"/>
      <c r="MBD112" s="3"/>
      <c r="MBE112" s="3"/>
      <c r="MBF112" s="3"/>
      <c r="MBG112" s="3"/>
      <c r="MBH112" s="3"/>
      <c r="MBI112" s="3"/>
      <c r="MBJ112" s="3"/>
      <c r="MBK112" s="3"/>
      <c r="MBL112" s="3"/>
      <c r="MBM112" s="3"/>
      <c r="MBN112" s="3"/>
      <c r="MBO112" s="3"/>
      <c r="MBP112" s="3"/>
      <c r="MBQ112" s="3"/>
      <c r="MBR112" s="3"/>
      <c r="MBS112" s="3"/>
      <c r="MBT112" s="3"/>
      <c r="MBU112" s="3"/>
      <c r="MBV112" s="3"/>
      <c r="MBW112" s="3"/>
      <c r="MBX112" s="3"/>
      <c r="MBY112" s="3"/>
      <c r="MBZ112" s="3"/>
      <c r="MCA112" s="3"/>
      <c r="MCB112" s="3"/>
      <c r="MCC112" s="3"/>
      <c r="MCD112" s="3"/>
      <c r="MCE112" s="3"/>
      <c r="MCF112" s="3"/>
      <c r="MCG112" s="3"/>
      <c r="MCH112" s="3"/>
      <c r="MCI112" s="3"/>
      <c r="MCJ112" s="3"/>
      <c r="MCK112" s="3"/>
      <c r="MCL112" s="3"/>
      <c r="MCM112" s="3"/>
      <c r="MCN112" s="3"/>
      <c r="MCO112" s="3"/>
      <c r="MCP112" s="3"/>
      <c r="MCQ112" s="3"/>
      <c r="MCR112" s="3"/>
      <c r="MCS112" s="3"/>
      <c r="MCT112" s="3"/>
      <c r="MCU112" s="3"/>
      <c r="MCV112" s="3"/>
      <c r="MCW112" s="3"/>
      <c r="MCX112" s="3"/>
      <c r="MCY112" s="3"/>
      <c r="MCZ112" s="3"/>
      <c r="MDA112" s="3"/>
      <c r="MDB112" s="3"/>
      <c r="MDC112" s="3"/>
      <c r="MDD112" s="3"/>
      <c r="MDE112" s="3"/>
      <c r="MDF112" s="3"/>
      <c r="MDG112" s="3"/>
      <c r="MDH112" s="3"/>
      <c r="MDI112" s="3"/>
      <c r="MDJ112" s="3"/>
      <c r="MDK112" s="3"/>
      <c r="MDL112" s="3"/>
      <c r="MDM112" s="3"/>
      <c r="MDN112" s="3"/>
      <c r="MDO112" s="3"/>
      <c r="MDP112" s="3"/>
      <c r="MDQ112" s="3"/>
      <c r="MDR112" s="3"/>
      <c r="MDS112" s="3"/>
      <c r="MDT112" s="3"/>
      <c r="MDU112" s="3"/>
      <c r="MDV112" s="3"/>
      <c r="MDW112" s="3"/>
      <c r="MDX112" s="3"/>
      <c r="MDY112" s="3"/>
      <c r="MDZ112" s="3"/>
      <c r="MEA112" s="3"/>
      <c r="MEB112" s="3"/>
      <c r="MEC112" s="3"/>
      <c r="MED112" s="3"/>
      <c r="MEE112" s="3"/>
      <c r="MEF112" s="3"/>
      <c r="MEG112" s="3"/>
      <c r="MEH112" s="3"/>
      <c r="MEI112" s="3"/>
      <c r="MEJ112" s="3"/>
      <c r="MEK112" s="3"/>
      <c r="MEL112" s="3"/>
      <c r="MEM112" s="3"/>
      <c r="MEN112" s="3"/>
      <c r="MEO112" s="3"/>
      <c r="MEP112" s="3"/>
      <c r="MEQ112" s="3"/>
      <c r="MER112" s="3"/>
      <c r="MES112" s="3"/>
      <c r="MET112" s="3"/>
      <c r="MEU112" s="3"/>
      <c r="MEV112" s="3"/>
      <c r="MEW112" s="3"/>
      <c r="MEX112" s="3"/>
      <c r="MEY112" s="3"/>
      <c r="MEZ112" s="3"/>
      <c r="MFA112" s="3"/>
      <c r="MFB112" s="3"/>
      <c r="MFC112" s="3"/>
      <c r="MFD112" s="3"/>
      <c r="MFE112" s="3"/>
      <c r="MFF112" s="3"/>
      <c r="MFG112" s="3"/>
      <c r="MFH112" s="3"/>
      <c r="MFI112" s="3"/>
      <c r="MFJ112" s="3"/>
      <c r="MFK112" s="3"/>
      <c r="MFL112" s="3"/>
      <c r="MFM112" s="3"/>
      <c r="MFN112" s="3"/>
      <c r="MFO112" s="3"/>
      <c r="MFP112" s="3"/>
      <c r="MFQ112" s="3"/>
      <c r="MFR112" s="3"/>
      <c r="MFS112" s="3"/>
      <c r="MFT112" s="3"/>
      <c r="MFU112" s="3"/>
      <c r="MFV112" s="3"/>
      <c r="MFW112" s="3"/>
      <c r="MFX112" s="3"/>
      <c r="MFY112" s="3"/>
      <c r="MFZ112" s="3"/>
      <c r="MGA112" s="3"/>
      <c r="MGB112" s="3"/>
      <c r="MGC112" s="3"/>
      <c r="MGD112" s="3"/>
      <c r="MGE112" s="3"/>
      <c r="MGF112" s="3"/>
      <c r="MGG112" s="3"/>
      <c r="MGH112" s="3"/>
      <c r="MGI112" s="3"/>
      <c r="MGJ112" s="3"/>
      <c r="MGK112" s="3"/>
      <c r="MGL112" s="3"/>
      <c r="MGM112" s="3"/>
      <c r="MGN112" s="3"/>
      <c r="MGO112" s="3"/>
      <c r="MGP112" s="3"/>
      <c r="MGQ112" s="3"/>
      <c r="MGR112" s="3"/>
      <c r="MGS112" s="3"/>
      <c r="MGT112" s="3"/>
      <c r="MGU112" s="3"/>
      <c r="MGV112" s="3"/>
      <c r="MGW112" s="3"/>
      <c r="MGX112" s="3"/>
      <c r="MGY112" s="3"/>
      <c r="MGZ112" s="3"/>
      <c r="MHA112" s="3"/>
      <c r="MHB112" s="3"/>
      <c r="MHC112" s="3"/>
      <c r="MHD112" s="3"/>
      <c r="MHE112" s="3"/>
      <c r="MHF112" s="3"/>
      <c r="MHG112" s="3"/>
      <c r="MHH112" s="3"/>
      <c r="MHI112" s="3"/>
      <c r="MHJ112" s="3"/>
      <c r="MHK112" s="3"/>
      <c r="MHL112" s="3"/>
      <c r="MHM112" s="3"/>
      <c r="MHN112" s="3"/>
      <c r="MHO112" s="3"/>
      <c r="MHP112" s="3"/>
      <c r="MHQ112" s="3"/>
      <c r="MHR112" s="3"/>
      <c r="MHS112" s="3"/>
      <c r="MHT112" s="3"/>
      <c r="MHU112" s="3"/>
      <c r="MHV112" s="3"/>
      <c r="MHW112" s="3"/>
      <c r="MHX112" s="3"/>
      <c r="MHY112" s="3"/>
      <c r="MHZ112" s="3"/>
      <c r="MIA112" s="3"/>
      <c r="MIB112" s="3"/>
      <c r="MIC112" s="3"/>
      <c r="MID112" s="3"/>
      <c r="MIE112" s="3"/>
      <c r="MIF112" s="3"/>
      <c r="MIG112" s="3"/>
      <c r="MIH112" s="3"/>
      <c r="MII112" s="3"/>
      <c r="MIJ112" s="3"/>
      <c r="MIK112" s="3"/>
      <c r="MIL112" s="3"/>
      <c r="MIM112" s="3"/>
      <c r="MIN112" s="3"/>
      <c r="MIO112" s="3"/>
      <c r="MIP112" s="3"/>
      <c r="MIQ112" s="3"/>
      <c r="MIR112" s="3"/>
      <c r="MIS112" s="3"/>
      <c r="MIT112" s="3"/>
      <c r="MIU112" s="3"/>
      <c r="MIV112" s="3"/>
      <c r="MIW112" s="3"/>
      <c r="MIX112" s="3"/>
      <c r="MIY112" s="3"/>
      <c r="MIZ112" s="3"/>
      <c r="MJA112" s="3"/>
      <c r="MJB112" s="3"/>
      <c r="MJC112" s="3"/>
      <c r="MJD112" s="3"/>
      <c r="MJE112" s="3"/>
      <c r="MJF112" s="3"/>
      <c r="MJG112" s="3"/>
      <c r="MJH112" s="3"/>
      <c r="MJI112" s="3"/>
      <c r="MJJ112" s="3"/>
      <c r="MJK112" s="3"/>
      <c r="MJL112" s="3"/>
      <c r="MJM112" s="3"/>
      <c r="MJN112" s="3"/>
      <c r="MJO112" s="3"/>
      <c r="MJP112" s="3"/>
      <c r="MJQ112" s="3"/>
      <c r="MJR112" s="3"/>
      <c r="MJS112" s="3"/>
      <c r="MJT112" s="3"/>
      <c r="MJU112" s="3"/>
      <c r="MJV112" s="3"/>
      <c r="MJW112" s="3"/>
      <c r="MJX112" s="3"/>
      <c r="MJY112" s="3"/>
      <c r="MJZ112" s="3"/>
      <c r="MKA112" s="3"/>
      <c r="MKB112" s="3"/>
      <c r="MKC112" s="3"/>
      <c r="MKD112" s="3"/>
      <c r="MKE112" s="3"/>
      <c r="MKF112" s="3"/>
      <c r="MKG112" s="3"/>
      <c r="MKH112" s="3"/>
      <c r="MKI112" s="3"/>
      <c r="MKJ112" s="3"/>
      <c r="MKK112" s="3"/>
      <c r="MKL112" s="3"/>
      <c r="MKM112" s="3"/>
      <c r="MKN112" s="3"/>
      <c r="MKO112" s="3"/>
      <c r="MKP112" s="3"/>
      <c r="MKQ112" s="3"/>
      <c r="MKR112" s="3"/>
      <c r="MKS112" s="3"/>
      <c r="MKT112" s="3"/>
      <c r="MKU112" s="3"/>
      <c r="MKV112" s="3"/>
      <c r="MKW112" s="3"/>
      <c r="MKX112" s="3"/>
      <c r="MKY112" s="3"/>
      <c r="MKZ112" s="3"/>
      <c r="MLA112" s="3"/>
      <c r="MLB112" s="3"/>
      <c r="MLC112" s="3"/>
      <c r="MLD112" s="3"/>
      <c r="MLE112" s="3"/>
      <c r="MLF112" s="3"/>
      <c r="MLG112" s="3"/>
      <c r="MLH112" s="3"/>
      <c r="MLI112" s="3"/>
      <c r="MLJ112" s="3"/>
      <c r="MLK112" s="3"/>
      <c r="MLL112" s="3"/>
      <c r="MLM112" s="3"/>
      <c r="MLN112" s="3"/>
      <c r="MLO112" s="3"/>
      <c r="MLP112" s="3"/>
      <c r="MLQ112" s="3"/>
      <c r="MLR112" s="3"/>
      <c r="MLS112" s="3"/>
      <c r="MLT112" s="3"/>
      <c r="MLU112" s="3"/>
      <c r="MLV112" s="3"/>
      <c r="MLW112" s="3"/>
      <c r="MLX112" s="3"/>
      <c r="MLY112" s="3"/>
      <c r="MLZ112" s="3"/>
      <c r="MMA112" s="3"/>
      <c r="MMB112" s="3"/>
      <c r="MMC112" s="3"/>
      <c r="MMD112" s="3"/>
      <c r="MME112" s="3"/>
      <c r="MMF112" s="3"/>
      <c r="MMG112" s="3"/>
      <c r="MMH112" s="3"/>
      <c r="MMI112" s="3"/>
      <c r="MMJ112" s="3"/>
      <c r="MMK112" s="3"/>
      <c r="MML112" s="3"/>
      <c r="MMM112" s="3"/>
      <c r="MMN112" s="3"/>
      <c r="MMO112" s="3"/>
      <c r="MMP112" s="3"/>
      <c r="MMQ112" s="3"/>
      <c r="MMR112" s="3"/>
      <c r="MMS112" s="3"/>
      <c r="MMT112" s="3"/>
      <c r="MMU112" s="3"/>
      <c r="MMV112" s="3"/>
      <c r="MMW112" s="3"/>
      <c r="MMX112" s="3"/>
      <c r="MMY112" s="3"/>
      <c r="MMZ112" s="3"/>
      <c r="MNA112" s="3"/>
      <c r="MNB112" s="3"/>
      <c r="MNC112" s="3"/>
      <c r="MND112" s="3"/>
      <c r="MNE112" s="3"/>
      <c r="MNF112" s="3"/>
      <c r="MNG112" s="3"/>
      <c r="MNH112" s="3"/>
      <c r="MNI112" s="3"/>
      <c r="MNJ112" s="3"/>
      <c r="MNK112" s="3"/>
      <c r="MNL112" s="3"/>
      <c r="MNM112" s="3"/>
      <c r="MNN112" s="3"/>
      <c r="MNO112" s="3"/>
      <c r="MNP112" s="3"/>
      <c r="MNQ112" s="3"/>
      <c r="MNR112" s="3"/>
      <c r="MNS112" s="3"/>
      <c r="MNT112" s="3"/>
      <c r="MNU112" s="3"/>
      <c r="MNV112" s="3"/>
      <c r="MNW112" s="3"/>
      <c r="MNX112" s="3"/>
      <c r="MNY112" s="3"/>
      <c r="MNZ112" s="3"/>
      <c r="MOA112" s="3"/>
      <c r="MOB112" s="3"/>
      <c r="MOC112" s="3"/>
      <c r="MOD112" s="3"/>
      <c r="MOE112" s="3"/>
      <c r="MOF112" s="3"/>
      <c r="MOG112" s="3"/>
      <c r="MOH112" s="3"/>
      <c r="MOI112" s="3"/>
      <c r="MOJ112" s="3"/>
      <c r="MOK112" s="3"/>
      <c r="MOL112" s="3"/>
      <c r="MOM112" s="3"/>
      <c r="MON112" s="3"/>
      <c r="MOO112" s="3"/>
      <c r="MOP112" s="3"/>
      <c r="MOQ112" s="3"/>
      <c r="MOR112" s="3"/>
      <c r="MOS112" s="3"/>
      <c r="MOT112" s="3"/>
      <c r="MOU112" s="3"/>
      <c r="MOV112" s="3"/>
      <c r="MOW112" s="3"/>
      <c r="MOX112" s="3"/>
      <c r="MOY112" s="3"/>
      <c r="MOZ112" s="3"/>
      <c r="MPA112" s="3"/>
      <c r="MPB112" s="3"/>
      <c r="MPC112" s="3"/>
      <c r="MPD112" s="3"/>
      <c r="MPE112" s="3"/>
      <c r="MPF112" s="3"/>
      <c r="MPG112" s="3"/>
      <c r="MPH112" s="3"/>
      <c r="MPI112" s="3"/>
      <c r="MPJ112" s="3"/>
      <c r="MPK112" s="3"/>
      <c r="MPL112" s="3"/>
      <c r="MPM112" s="3"/>
      <c r="MPN112" s="3"/>
      <c r="MPO112" s="3"/>
      <c r="MPP112" s="3"/>
      <c r="MPQ112" s="3"/>
      <c r="MPR112" s="3"/>
      <c r="MPS112" s="3"/>
      <c r="MPT112" s="3"/>
      <c r="MPU112" s="3"/>
      <c r="MPV112" s="3"/>
      <c r="MPW112" s="3"/>
      <c r="MPX112" s="3"/>
      <c r="MPY112" s="3"/>
      <c r="MPZ112" s="3"/>
      <c r="MQA112" s="3"/>
      <c r="MQB112" s="3"/>
      <c r="MQC112" s="3"/>
      <c r="MQD112" s="3"/>
      <c r="MQE112" s="3"/>
      <c r="MQF112" s="3"/>
      <c r="MQG112" s="3"/>
      <c r="MQH112" s="3"/>
      <c r="MQI112" s="3"/>
      <c r="MQJ112" s="3"/>
      <c r="MQK112" s="3"/>
      <c r="MQL112" s="3"/>
      <c r="MQM112" s="3"/>
      <c r="MQN112" s="3"/>
      <c r="MQO112" s="3"/>
      <c r="MQP112" s="3"/>
      <c r="MQQ112" s="3"/>
      <c r="MQR112" s="3"/>
      <c r="MQS112" s="3"/>
      <c r="MQT112" s="3"/>
      <c r="MQU112" s="3"/>
      <c r="MQV112" s="3"/>
      <c r="MQW112" s="3"/>
      <c r="MQX112" s="3"/>
      <c r="MQY112" s="3"/>
      <c r="MQZ112" s="3"/>
      <c r="MRA112" s="3"/>
      <c r="MRB112" s="3"/>
      <c r="MRC112" s="3"/>
      <c r="MRD112" s="3"/>
      <c r="MRE112" s="3"/>
      <c r="MRF112" s="3"/>
      <c r="MRG112" s="3"/>
      <c r="MRH112" s="3"/>
      <c r="MRI112" s="3"/>
      <c r="MRJ112" s="3"/>
      <c r="MRK112" s="3"/>
      <c r="MRL112" s="3"/>
      <c r="MRM112" s="3"/>
      <c r="MRN112" s="3"/>
      <c r="MRO112" s="3"/>
      <c r="MRP112" s="3"/>
      <c r="MRQ112" s="3"/>
      <c r="MRR112" s="3"/>
      <c r="MRS112" s="3"/>
      <c r="MRT112" s="3"/>
      <c r="MRU112" s="3"/>
      <c r="MRV112" s="3"/>
      <c r="MRW112" s="3"/>
      <c r="MRX112" s="3"/>
      <c r="MRY112" s="3"/>
      <c r="MRZ112" s="3"/>
      <c r="MSA112" s="3"/>
      <c r="MSB112" s="3"/>
      <c r="MSC112" s="3"/>
      <c r="MSD112" s="3"/>
      <c r="MSE112" s="3"/>
      <c r="MSF112" s="3"/>
      <c r="MSG112" s="3"/>
      <c r="MSH112" s="3"/>
      <c r="MSI112" s="3"/>
      <c r="MSJ112" s="3"/>
      <c r="MSK112" s="3"/>
      <c r="MSL112" s="3"/>
      <c r="MSM112" s="3"/>
      <c r="MSN112" s="3"/>
      <c r="MSO112" s="3"/>
      <c r="MSP112" s="3"/>
      <c r="MSQ112" s="3"/>
      <c r="MSR112" s="3"/>
      <c r="MSS112" s="3"/>
      <c r="MST112" s="3"/>
      <c r="MSU112" s="3"/>
      <c r="MSV112" s="3"/>
      <c r="MSW112" s="3"/>
      <c r="MSX112" s="3"/>
      <c r="MSY112" s="3"/>
      <c r="MSZ112" s="3"/>
      <c r="MTA112" s="3"/>
      <c r="MTB112" s="3"/>
      <c r="MTC112" s="3"/>
      <c r="MTD112" s="3"/>
      <c r="MTE112" s="3"/>
      <c r="MTF112" s="3"/>
      <c r="MTG112" s="3"/>
      <c r="MTH112" s="3"/>
      <c r="MTI112" s="3"/>
      <c r="MTJ112" s="3"/>
      <c r="MTK112" s="3"/>
      <c r="MTL112" s="3"/>
      <c r="MTM112" s="3"/>
      <c r="MTN112" s="3"/>
      <c r="MTO112" s="3"/>
      <c r="MTP112" s="3"/>
      <c r="MTQ112" s="3"/>
      <c r="MTR112" s="3"/>
      <c r="MTS112" s="3"/>
      <c r="MTT112" s="3"/>
      <c r="MTU112" s="3"/>
      <c r="MTV112" s="3"/>
      <c r="MTW112" s="3"/>
      <c r="MTX112" s="3"/>
      <c r="MTY112" s="3"/>
      <c r="MTZ112" s="3"/>
      <c r="MUA112" s="3"/>
      <c r="MUB112" s="3"/>
      <c r="MUC112" s="3"/>
      <c r="MUD112" s="3"/>
      <c r="MUE112" s="3"/>
      <c r="MUF112" s="3"/>
      <c r="MUG112" s="3"/>
      <c r="MUH112" s="3"/>
      <c r="MUI112" s="3"/>
      <c r="MUJ112" s="3"/>
      <c r="MUK112" s="3"/>
      <c r="MUL112" s="3"/>
      <c r="MUM112" s="3"/>
      <c r="MUN112" s="3"/>
      <c r="MUO112" s="3"/>
      <c r="MUP112" s="3"/>
      <c r="MUQ112" s="3"/>
      <c r="MUR112" s="3"/>
      <c r="MUS112" s="3"/>
      <c r="MUT112" s="3"/>
      <c r="MUU112" s="3"/>
      <c r="MUV112" s="3"/>
      <c r="MUW112" s="3"/>
      <c r="MUX112" s="3"/>
      <c r="MUY112" s="3"/>
      <c r="MUZ112" s="3"/>
      <c r="MVA112" s="3"/>
      <c r="MVB112" s="3"/>
      <c r="MVC112" s="3"/>
      <c r="MVD112" s="3"/>
      <c r="MVE112" s="3"/>
      <c r="MVF112" s="3"/>
      <c r="MVG112" s="3"/>
      <c r="MVH112" s="3"/>
      <c r="MVI112" s="3"/>
      <c r="MVJ112" s="3"/>
      <c r="MVK112" s="3"/>
      <c r="MVL112" s="3"/>
      <c r="MVM112" s="3"/>
      <c r="MVN112" s="3"/>
      <c r="MVO112" s="3"/>
      <c r="MVP112" s="3"/>
      <c r="MVQ112" s="3"/>
      <c r="MVR112" s="3"/>
      <c r="MVS112" s="3"/>
      <c r="MVT112" s="3"/>
      <c r="MVU112" s="3"/>
      <c r="MVV112" s="3"/>
      <c r="MVW112" s="3"/>
      <c r="MVX112" s="3"/>
      <c r="MVY112" s="3"/>
      <c r="MVZ112" s="3"/>
      <c r="MWA112" s="3"/>
      <c r="MWB112" s="3"/>
      <c r="MWC112" s="3"/>
      <c r="MWD112" s="3"/>
      <c r="MWE112" s="3"/>
      <c r="MWF112" s="3"/>
      <c r="MWG112" s="3"/>
      <c r="MWH112" s="3"/>
      <c r="MWI112" s="3"/>
      <c r="MWJ112" s="3"/>
      <c r="MWK112" s="3"/>
      <c r="MWL112" s="3"/>
      <c r="MWM112" s="3"/>
      <c r="MWN112" s="3"/>
      <c r="MWO112" s="3"/>
      <c r="MWP112" s="3"/>
      <c r="MWQ112" s="3"/>
      <c r="MWR112" s="3"/>
      <c r="MWS112" s="3"/>
      <c r="MWT112" s="3"/>
      <c r="MWU112" s="3"/>
      <c r="MWV112" s="3"/>
      <c r="MWW112" s="3"/>
      <c r="MWX112" s="3"/>
      <c r="MWY112" s="3"/>
      <c r="MWZ112" s="3"/>
      <c r="MXA112" s="3"/>
      <c r="MXB112" s="3"/>
      <c r="MXC112" s="3"/>
      <c r="MXD112" s="3"/>
      <c r="MXE112" s="3"/>
      <c r="MXF112" s="3"/>
      <c r="MXG112" s="3"/>
      <c r="MXH112" s="3"/>
      <c r="MXI112" s="3"/>
      <c r="MXJ112" s="3"/>
      <c r="MXK112" s="3"/>
      <c r="MXL112" s="3"/>
      <c r="MXM112" s="3"/>
      <c r="MXN112" s="3"/>
      <c r="MXO112" s="3"/>
      <c r="MXP112" s="3"/>
      <c r="MXQ112" s="3"/>
      <c r="MXR112" s="3"/>
      <c r="MXS112" s="3"/>
      <c r="MXT112" s="3"/>
      <c r="MXU112" s="3"/>
      <c r="MXV112" s="3"/>
      <c r="MXW112" s="3"/>
      <c r="MXX112" s="3"/>
      <c r="MXY112" s="3"/>
      <c r="MXZ112" s="3"/>
      <c r="MYA112" s="3"/>
      <c r="MYB112" s="3"/>
      <c r="MYC112" s="3"/>
      <c r="MYD112" s="3"/>
      <c r="MYE112" s="3"/>
      <c r="MYF112" s="3"/>
      <c r="MYG112" s="3"/>
      <c r="MYH112" s="3"/>
      <c r="MYI112" s="3"/>
      <c r="MYJ112" s="3"/>
      <c r="MYK112" s="3"/>
      <c r="MYL112" s="3"/>
      <c r="MYM112" s="3"/>
      <c r="MYN112" s="3"/>
      <c r="MYO112" s="3"/>
      <c r="MYP112" s="3"/>
      <c r="MYQ112" s="3"/>
      <c r="MYR112" s="3"/>
      <c r="MYS112" s="3"/>
      <c r="MYT112" s="3"/>
      <c r="MYU112" s="3"/>
      <c r="MYV112" s="3"/>
      <c r="MYW112" s="3"/>
      <c r="MYX112" s="3"/>
      <c r="MYY112" s="3"/>
      <c r="MYZ112" s="3"/>
      <c r="MZA112" s="3"/>
      <c r="MZB112" s="3"/>
      <c r="MZC112" s="3"/>
      <c r="MZD112" s="3"/>
      <c r="MZE112" s="3"/>
      <c r="MZF112" s="3"/>
      <c r="MZG112" s="3"/>
      <c r="MZH112" s="3"/>
      <c r="MZI112" s="3"/>
      <c r="MZJ112" s="3"/>
      <c r="MZK112" s="3"/>
      <c r="MZL112" s="3"/>
      <c r="MZM112" s="3"/>
      <c r="MZN112" s="3"/>
      <c r="MZO112" s="3"/>
      <c r="MZP112" s="3"/>
      <c r="MZQ112" s="3"/>
      <c r="MZR112" s="3"/>
      <c r="MZS112" s="3"/>
      <c r="MZT112" s="3"/>
      <c r="MZU112" s="3"/>
      <c r="MZV112" s="3"/>
      <c r="MZW112" s="3"/>
      <c r="MZX112" s="3"/>
      <c r="MZY112" s="3"/>
      <c r="MZZ112" s="3"/>
      <c r="NAA112" s="3"/>
      <c r="NAB112" s="3"/>
      <c r="NAC112" s="3"/>
      <c r="NAD112" s="3"/>
      <c r="NAE112" s="3"/>
      <c r="NAF112" s="3"/>
      <c r="NAG112" s="3"/>
      <c r="NAH112" s="3"/>
      <c r="NAI112" s="3"/>
      <c r="NAJ112" s="3"/>
      <c r="NAK112" s="3"/>
      <c r="NAL112" s="3"/>
      <c r="NAM112" s="3"/>
      <c r="NAN112" s="3"/>
      <c r="NAO112" s="3"/>
      <c r="NAP112" s="3"/>
      <c r="NAQ112" s="3"/>
      <c r="NAR112" s="3"/>
      <c r="NAS112" s="3"/>
      <c r="NAT112" s="3"/>
      <c r="NAU112" s="3"/>
      <c r="NAV112" s="3"/>
      <c r="NAW112" s="3"/>
      <c r="NAX112" s="3"/>
      <c r="NAY112" s="3"/>
      <c r="NAZ112" s="3"/>
      <c r="NBA112" s="3"/>
      <c r="NBB112" s="3"/>
      <c r="NBC112" s="3"/>
      <c r="NBD112" s="3"/>
      <c r="NBE112" s="3"/>
      <c r="NBF112" s="3"/>
      <c r="NBG112" s="3"/>
      <c r="NBH112" s="3"/>
      <c r="NBI112" s="3"/>
      <c r="NBJ112" s="3"/>
      <c r="NBK112" s="3"/>
      <c r="NBL112" s="3"/>
      <c r="NBM112" s="3"/>
      <c r="NBN112" s="3"/>
      <c r="NBO112" s="3"/>
      <c r="NBP112" s="3"/>
      <c r="NBQ112" s="3"/>
      <c r="NBR112" s="3"/>
      <c r="NBS112" s="3"/>
      <c r="NBT112" s="3"/>
      <c r="NBU112" s="3"/>
      <c r="NBV112" s="3"/>
      <c r="NBW112" s="3"/>
      <c r="NBX112" s="3"/>
      <c r="NBY112" s="3"/>
      <c r="NBZ112" s="3"/>
      <c r="NCA112" s="3"/>
      <c r="NCB112" s="3"/>
      <c r="NCC112" s="3"/>
      <c r="NCD112" s="3"/>
      <c r="NCE112" s="3"/>
      <c r="NCF112" s="3"/>
      <c r="NCG112" s="3"/>
      <c r="NCH112" s="3"/>
      <c r="NCI112" s="3"/>
      <c r="NCJ112" s="3"/>
      <c r="NCK112" s="3"/>
      <c r="NCL112" s="3"/>
      <c r="NCM112" s="3"/>
      <c r="NCN112" s="3"/>
      <c r="NCO112" s="3"/>
      <c r="NCP112" s="3"/>
      <c r="NCQ112" s="3"/>
      <c r="NCR112" s="3"/>
      <c r="NCS112" s="3"/>
      <c r="NCT112" s="3"/>
      <c r="NCU112" s="3"/>
      <c r="NCV112" s="3"/>
      <c r="NCW112" s="3"/>
      <c r="NCX112" s="3"/>
      <c r="NCY112" s="3"/>
      <c r="NCZ112" s="3"/>
      <c r="NDA112" s="3"/>
      <c r="NDB112" s="3"/>
      <c r="NDC112" s="3"/>
      <c r="NDD112" s="3"/>
      <c r="NDE112" s="3"/>
      <c r="NDF112" s="3"/>
      <c r="NDG112" s="3"/>
      <c r="NDH112" s="3"/>
      <c r="NDI112" s="3"/>
      <c r="NDJ112" s="3"/>
      <c r="NDK112" s="3"/>
      <c r="NDL112" s="3"/>
      <c r="NDM112" s="3"/>
      <c r="NDN112" s="3"/>
      <c r="NDO112" s="3"/>
      <c r="NDP112" s="3"/>
      <c r="NDQ112" s="3"/>
      <c r="NDR112" s="3"/>
      <c r="NDS112" s="3"/>
      <c r="NDT112" s="3"/>
      <c r="NDU112" s="3"/>
      <c r="NDV112" s="3"/>
      <c r="NDW112" s="3"/>
      <c r="NDX112" s="3"/>
      <c r="NDY112" s="3"/>
      <c r="NDZ112" s="3"/>
      <c r="NEA112" s="3"/>
      <c r="NEB112" s="3"/>
      <c r="NEC112" s="3"/>
      <c r="NED112" s="3"/>
      <c r="NEE112" s="3"/>
      <c r="NEF112" s="3"/>
      <c r="NEG112" s="3"/>
      <c r="NEH112" s="3"/>
      <c r="NEI112" s="3"/>
      <c r="NEJ112" s="3"/>
      <c r="NEK112" s="3"/>
      <c r="NEL112" s="3"/>
      <c r="NEM112" s="3"/>
      <c r="NEN112" s="3"/>
      <c r="NEO112" s="3"/>
      <c r="NEP112" s="3"/>
      <c r="NEQ112" s="3"/>
      <c r="NER112" s="3"/>
      <c r="NES112" s="3"/>
      <c r="NET112" s="3"/>
      <c r="NEU112" s="3"/>
      <c r="NEV112" s="3"/>
      <c r="NEW112" s="3"/>
      <c r="NEX112" s="3"/>
      <c r="NEY112" s="3"/>
      <c r="NEZ112" s="3"/>
      <c r="NFA112" s="3"/>
      <c r="NFB112" s="3"/>
      <c r="NFC112" s="3"/>
      <c r="NFD112" s="3"/>
      <c r="NFE112" s="3"/>
      <c r="NFF112" s="3"/>
      <c r="NFG112" s="3"/>
      <c r="NFH112" s="3"/>
      <c r="NFI112" s="3"/>
      <c r="NFJ112" s="3"/>
      <c r="NFK112" s="3"/>
      <c r="NFL112" s="3"/>
      <c r="NFM112" s="3"/>
      <c r="NFN112" s="3"/>
      <c r="NFO112" s="3"/>
      <c r="NFP112" s="3"/>
      <c r="NFQ112" s="3"/>
      <c r="NFR112" s="3"/>
      <c r="NFS112" s="3"/>
      <c r="NFT112" s="3"/>
      <c r="NFU112" s="3"/>
      <c r="NFV112" s="3"/>
      <c r="NFW112" s="3"/>
      <c r="NFX112" s="3"/>
      <c r="NFY112" s="3"/>
      <c r="NFZ112" s="3"/>
      <c r="NGA112" s="3"/>
      <c r="NGB112" s="3"/>
      <c r="NGC112" s="3"/>
      <c r="NGD112" s="3"/>
      <c r="NGE112" s="3"/>
      <c r="NGF112" s="3"/>
      <c r="NGG112" s="3"/>
      <c r="NGH112" s="3"/>
      <c r="NGI112" s="3"/>
      <c r="NGJ112" s="3"/>
      <c r="NGK112" s="3"/>
      <c r="NGL112" s="3"/>
      <c r="NGM112" s="3"/>
      <c r="NGN112" s="3"/>
      <c r="NGO112" s="3"/>
      <c r="NGP112" s="3"/>
      <c r="NGQ112" s="3"/>
      <c r="NGR112" s="3"/>
      <c r="NGS112" s="3"/>
      <c r="NGT112" s="3"/>
      <c r="NGU112" s="3"/>
      <c r="NGV112" s="3"/>
      <c r="NGW112" s="3"/>
      <c r="NGX112" s="3"/>
      <c r="NGY112" s="3"/>
      <c r="NGZ112" s="3"/>
      <c r="NHA112" s="3"/>
      <c r="NHB112" s="3"/>
      <c r="NHC112" s="3"/>
      <c r="NHD112" s="3"/>
      <c r="NHE112" s="3"/>
      <c r="NHF112" s="3"/>
      <c r="NHG112" s="3"/>
      <c r="NHH112" s="3"/>
      <c r="NHI112" s="3"/>
      <c r="NHJ112" s="3"/>
      <c r="NHK112" s="3"/>
      <c r="NHL112" s="3"/>
      <c r="NHM112" s="3"/>
      <c r="NHN112" s="3"/>
      <c r="NHO112" s="3"/>
      <c r="NHP112" s="3"/>
      <c r="NHQ112" s="3"/>
      <c r="NHR112" s="3"/>
      <c r="NHS112" s="3"/>
      <c r="NHT112" s="3"/>
      <c r="NHU112" s="3"/>
      <c r="NHV112" s="3"/>
      <c r="NHW112" s="3"/>
      <c r="NHX112" s="3"/>
      <c r="NHY112" s="3"/>
      <c r="NHZ112" s="3"/>
      <c r="NIA112" s="3"/>
      <c r="NIB112" s="3"/>
      <c r="NIC112" s="3"/>
      <c r="NID112" s="3"/>
      <c r="NIE112" s="3"/>
      <c r="NIF112" s="3"/>
      <c r="NIG112" s="3"/>
      <c r="NIH112" s="3"/>
      <c r="NII112" s="3"/>
      <c r="NIJ112" s="3"/>
      <c r="NIK112" s="3"/>
      <c r="NIL112" s="3"/>
      <c r="NIM112" s="3"/>
      <c r="NIN112" s="3"/>
      <c r="NIO112" s="3"/>
      <c r="NIP112" s="3"/>
      <c r="NIQ112" s="3"/>
      <c r="NIR112" s="3"/>
      <c r="NIS112" s="3"/>
      <c r="NIT112" s="3"/>
      <c r="NIU112" s="3"/>
      <c r="NIV112" s="3"/>
      <c r="NIW112" s="3"/>
      <c r="NIX112" s="3"/>
      <c r="NIY112" s="3"/>
      <c r="NIZ112" s="3"/>
      <c r="NJA112" s="3"/>
      <c r="NJB112" s="3"/>
      <c r="NJC112" s="3"/>
      <c r="NJD112" s="3"/>
      <c r="NJE112" s="3"/>
      <c r="NJF112" s="3"/>
      <c r="NJG112" s="3"/>
      <c r="NJH112" s="3"/>
      <c r="NJI112" s="3"/>
      <c r="NJJ112" s="3"/>
      <c r="NJK112" s="3"/>
      <c r="NJL112" s="3"/>
      <c r="NJM112" s="3"/>
      <c r="NJN112" s="3"/>
      <c r="NJO112" s="3"/>
      <c r="NJP112" s="3"/>
      <c r="NJQ112" s="3"/>
      <c r="NJR112" s="3"/>
      <c r="NJS112" s="3"/>
      <c r="NJT112" s="3"/>
      <c r="NJU112" s="3"/>
      <c r="NJV112" s="3"/>
      <c r="NJW112" s="3"/>
      <c r="NJX112" s="3"/>
      <c r="NJY112" s="3"/>
      <c r="NJZ112" s="3"/>
      <c r="NKA112" s="3"/>
      <c r="NKB112" s="3"/>
      <c r="NKC112" s="3"/>
      <c r="NKD112" s="3"/>
      <c r="NKE112" s="3"/>
      <c r="NKF112" s="3"/>
      <c r="NKG112" s="3"/>
      <c r="NKH112" s="3"/>
      <c r="NKI112" s="3"/>
      <c r="NKJ112" s="3"/>
      <c r="NKK112" s="3"/>
      <c r="NKL112" s="3"/>
      <c r="NKM112" s="3"/>
      <c r="NKN112" s="3"/>
      <c r="NKO112" s="3"/>
      <c r="NKP112" s="3"/>
      <c r="NKQ112" s="3"/>
      <c r="NKR112" s="3"/>
      <c r="NKS112" s="3"/>
      <c r="NKT112" s="3"/>
      <c r="NKU112" s="3"/>
      <c r="NKV112" s="3"/>
      <c r="NKW112" s="3"/>
      <c r="NKX112" s="3"/>
      <c r="NKY112" s="3"/>
      <c r="NKZ112" s="3"/>
      <c r="NLA112" s="3"/>
      <c r="NLB112" s="3"/>
      <c r="NLC112" s="3"/>
      <c r="NLD112" s="3"/>
      <c r="NLE112" s="3"/>
      <c r="NLF112" s="3"/>
      <c r="NLG112" s="3"/>
      <c r="NLH112" s="3"/>
      <c r="NLI112" s="3"/>
      <c r="NLJ112" s="3"/>
      <c r="NLK112" s="3"/>
      <c r="NLL112" s="3"/>
      <c r="NLM112" s="3"/>
      <c r="NLN112" s="3"/>
      <c r="NLO112" s="3"/>
      <c r="NLP112" s="3"/>
      <c r="NLQ112" s="3"/>
      <c r="NLR112" s="3"/>
      <c r="NLS112" s="3"/>
      <c r="NLT112" s="3"/>
      <c r="NLU112" s="3"/>
      <c r="NLV112" s="3"/>
      <c r="NLW112" s="3"/>
      <c r="NLX112" s="3"/>
      <c r="NLY112" s="3"/>
      <c r="NLZ112" s="3"/>
      <c r="NMA112" s="3"/>
      <c r="NMB112" s="3"/>
      <c r="NMC112" s="3"/>
      <c r="NMD112" s="3"/>
      <c r="NME112" s="3"/>
      <c r="NMF112" s="3"/>
      <c r="NMG112" s="3"/>
      <c r="NMH112" s="3"/>
      <c r="NMI112" s="3"/>
      <c r="NMJ112" s="3"/>
      <c r="NMK112" s="3"/>
      <c r="NML112" s="3"/>
      <c r="NMM112" s="3"/>
      <c r="NMN112" s="3"/>
      <c r="NMO112" s="3"/>
      <c r="NMP112" s="3"/>
      <c r="NMQ112" s="3"/>
      <c r="NMR112" s="3"/>
      <c r="NMS112" s="3"/>
      <c r="NMT112" s="3"/>
      <c r="NMU112" s="3"/>
      <c r="NMV112" s="3"/>
      <c r="NMW112" s="3"/>
      <c r="NMX112" s="3"/>
      <c r="NMY112" s="3"/>
      <c r="NMZ112" s="3"/>
      <c r="NNA112" s="3"/>
      <c r="NNB112" s="3"/>
      <c r="NNC112" s="3"/>
      <c r="NND112" s="3"/>
      <c r="NNE112" s="3"/>
      <c r="NNF112" s="3"/>
      <c r="NNG112" s="3"/>
      <c r="NNH112" s="3"/>
      <c r="NNI112" s="3"/>
      <c r="NNJ112" s="3"/>
      <c r="NNK112" s="3"/>
      <c r="NNL112" s="3"/>
      <c r="NNM112" s="3"/>
      <c r="NNN112" s="3"/>
      <c r="NNO112" s="3"/>
      <c r="NNP112" s="3"/>
      <c r="NNQ112" s="3"/>
      <c r="NNR112" s="3"/>
      <c r="NNS112" s="3"/>
      <c r="NNT112" s="3"/>
      <c r="NNU112" s="3"/>
      <c r="NNV112" s="3"/>
      <c r="NNW112" s="3"/>
      <c r="NNX112" s="3"/>
      <c r="NNY112" s="3"/>
      <c r="NNZ112" s="3"/>
      <c r="NOA112" s="3"/>
      <c r="NOB112" s="3"/>
      <c r="NOC112" s="3"/>
      <c r="NOD112" s="3"/>
      <c r="NOE112" s="3"/>
      <c r="NOF112" s="3"/>
      <c r="NOG112" s="3"/>
      <c r="NOH112" s="3"/>
      <c r="NOI112" s="3"/>
      <c r="NOJ112" s="3"/>
      <c r="NOK112" s="3"/>
      <c r="NOL112" s="3"/>
      <c r="NOM112" s="3"/>
      <c r="NON112" s="3"/>
      <c r="NOO112" s="3"/>
      <c r="NOP112" s="3"/>
      <c r="NOQ112" s="3"/>
      <c r="NOR112" s="3"/>
      <c r="NOS112" s="3"/>
      <c r="NOT112" s="3"/>
      <c r="NOU112" s="3"/>
      <c r="NOV112" s="3"/>
      <c r="NOW112" s="3"/>
      <c r="NOX112" s="3"/>
      <c r="NOY112" s="3"/>
      <c r="NOZ112" s="3"/>
      <c r="NPA112" s="3"/>
      <c r="NPB112" s="3"/>
      <c r="NPC112" s="3"/>
      <c r="NPD112" s="3"/>
      <c r="NPE112" s="3"/>
      <c r="NPF112" s="3"/>
      <c r="NPG112" s="3"/>
      <c r="NPH112" s="3"/>
      <c r="NPI112" s="3"/>
      <c r="NPJ112" s="3"/>
      <c r="NPK112" s="3"/>
      <c r="NPL112" s="3"/>
      <c r="NPM112" s="3"/>
      <c r="NPN112" s="3"/>
      <c r="NPO112" s="3"/>
      <c r="NPP112" s="3"/>
      <c r="NPQ112" s="3"/>
      <c r="NPR112" s="3"/>
      <c r="NPS112" s="3"/>
      <c r="NPT112" s="3"/>
      <c r="NPU112" s="3"/>
      <c r="NPV112" s="3"/>
      <c r="NPW112" s="3"/>
      <c r="NPX112" s="3"/>
      <c r="NPY112" s="3"/>
      <c r="NPZ112" s="3"/>
      <c r="NQA112" s="3"/>
      <c r="NQB112" s="3"/>
      <c r="NQC112" s="3"/>
      <c r="NQD112" s="3"/>
      <c r="NQE112" s="3"/>
      <c r="NQF112" s="3"/>
      <c r="NQG112" s="3"/>
      <c r="NQH112" s="3"/>
      <c r="NQI112" s="3"/>
      <c r="NQJ112" s="3"/>
      <c r="NQK112" s="3"/>
      <c r="NQL112" s="3"/>
      <c r="NQM112" s="3"/>
      <c r="NQN112" s="3"/>
      <c r="NQO112" s="3"/>
      <c r="NQP112" s="3"/>
      <c r="NQQ112" s="3"/>
      <c r="NQR112" s="3"/>
      <c r="NQS112" s="3"/>
      <c r="NQT112" s="3"/>
      <c r="NQU112" s="3"/>
      <c r="NQV112" s="3"/>
      <c r="NQW112" s="3"/>
      <c r="NQX112" s="3"/>
      <c r="NQY112" s="3"/>
      <c r="NQZ112" s="3"/>
      <c r="NRA112" s="3"/>
      <c r="NRB112" s="3"/>
      <c r="NRC112" s="3"/>
      <c r="NRD112" s="3"/>
      <c r="NRE112" s="3"/>
      <c r="NRF112" s="3"/>
      <c r="NRG112" s="3"/>
      <c r="NRH112" s="3"/>
      <c r="NRI112" s="3"/>
      <c r="NRJ112" s="3"/>
      <c r="NRK112" s="3"/>
      <c r="NRL112" s="3"/>
      <c r="NRM112" s="3"/>
      <c r="NRN112" s="3"/>
      <c r="NRO112" s="3"/>
      <c r="NRP112" s="3"/>
      <c r="NRQ112" s="3"/>
      <c r="NRR112" s="3"/>
      <c r="NRS112" s="3"/>
      <c r="NRT112" s="3"/>
      <c r="NRU112" s="3"/>
      <c r="NRV112" s="3"/>
      <c r="NRW112" s="3"/>
      <c r="NRX112" s="3"/>
      <c r="NRY112" s="3"/>
      <c r="NRZ112" s="3"/>
      <c r="NSA112" s="3"/>
      <c r="NSB112" s="3"/>
      <c r="NSC112" s="3"/>
      <c r="NSD112" s="3"/>
      <c r="NSE112" s="3"/>
      <c r="NSF112" s="3"/>
      <c r="NSG112" s="3"/>
      <c r="NSH112" s="3"/>
      <c r="NSI112" s="3"/>
      <c r="NSJ112" s="3"/>
      <c r="NSK112" s="3"/>
      <c r="NSL112" s="3"/>
      <c r="NSM112" s="3"/>
      <c r="NSN112" s="3"/>
      <c r="NSO112" s="3"/>
      <c r="NSP112" s="3"/>
      <c r="NSQ112" s="3"/>
      <c r="NSR112" s="3"/>
      <c r="NSS112" s="3"/>
      <c r="NST112" s="3"/>
      <c r="NSU112" s="3"/>
      <c r="NSV112" s="3"/>
      <c r="NSW112" s="3"/>
      <c r="NSX112" s="3"/>
      <c r="NSY112" s="3"/>
      <c r="NSZ112" s="3"/>
      <c r="NTA112" s="3"/>
      <c r="NTB112" s="3"/>
      <c r="NTC112" s="3"/>
      <c r="NTD112" s="3"/>
      <c r="NTE112" s="3"/>
      <c r="NTF112" s="3"/>
      <c r="NTG112" s="3"/>
      <c r="NTH112" s="3"/>
      <c r="NTI112" s="3"/>
      <c r="NTJ112" s="3"/>
      <c r="NTK112" s="3"/>
      <c r="NTL112" s="3"/>
      <c r="NTM112" s="3"/>
      <c r="NTN112" s="3"/>
      <c r="NTO112" s="3"/>
      <c r="NTP112" s="3"/>
      <c r="NTQ112" s="3"/>
      <c r="NTR112" s="3"/>
      <c r="NTS112" s="3"/>
      <c r="NTT112" s="3"/>
      <c r="NTU112" s="3"/>
      <c r="NTV112" s="3"/>
      <c r="NTW112" s="3"/>
      <c r="NTX112" s="3"/>
      <c r="NTY112" s="3"/>
      <c r="NTZ112" s="3"/>
      <c r="NUA112" s="3"/>
      <c r="NUB112" s="3"/>
      <c r="NUC112" s="3"/>
      <c r="NUD112" s="3"/>
      <c r="NUE112" s="3"/>
      <c r="NUF112" s="3"/>
      <c r="NUG112" s="3"/>
      <c r="NUH112" s="3"/>
      <c r="NUI112" s="3"/>
      <c r="NUJ112" s="3"/>
      <c r="NUK112" s="3"/>
      <c r="NUL112" s="3"/>
      <c r="NUM112" s="3"/>
      <c r="NUN112" s="3"/>
      <c r="NUO112" s="3"/>
      <c r="NUP112" s="3"/>
      <c r="NUQ112" s="3"/>
      <c r="NUR112" s="3"/>
      <c r="NUS112" s="3"/>
      <c r="NUT112" s="3"/>
      <c r="NUU112" s="3"/>
      <c r="NUV112" s="3"/>
      <c r="NUW112" s="3"/>
      <c r="NUX112" s="3"/>
      <c r="NUY112" s="3"/>
      <c r="NUZ112" s="3"/>
      <c r="NVA112" s="3"/>
      <c r="NVB112" s="3"/>
      <c r="NVC112" s="3"/>
      <c r="NVD112" s="3"/>
      <c r="NVE112" s="3"/>
      <c r="NVF112" s="3"/>
      <c r="NVG112" s="3"/>
      <c r="NVH112" s="3"/>
      <c r="NVI112" s="3"/>
      <c r="NVJ112" s="3"/>
      <c r="NVK112" s="3"/>
      <c r="NVL112" s="3"/>
      <c r="NVM112" s="3"/>
      <c r="NVN112" s="3"/>
      <c r="NVO112" s="3"/>
      <c r="NVP112" s="3"/>
      <c r="NVQ112" s="3"/>
      <c r="NVR112" s="3"/>
      <c r="NVS112" s="3"/>
      <c r="NVT112" s="3"/>
      <c r="NVU112" s="3"/>
      <c r="NVV112" s="3"/>
      <c r="NVW112" s="3"/>
      <c r="NVX112" s="3"/>
      <c r="NVY112" s="3"/>
      <c r="NVZ112" s="3"/>
      <c r="NWA112" s="3"/>
      <c r="NWB112" s="3"/>
      <c r="NWC112" s="3"/>
      <c r="NWD112" s="3"/>
      <c r="NWE112" s="3"/>
      <c r="NWF112" s="3"/>
      <c r="NWG112" s="3"/>
      <c r="NWH112" s="3"/>
      <c r="NWI112" s="3"/>
      <c r="NWJ112" s="3"/>
      <c r="NWK112" s="3"/>
      <c r="NWL112" s="3"/>
      <c r="NWM112" s="3"/>
      <c r="NWN112" s="3"/>
      <c r="NWO112" s="3"/>
      <c r="NWP112" s="3"/>
      <c r="NWQ112" s="3"/>
      <c r="NWR112" s="3"/>
      <c r="NWS112" s="3"/>
      <c r="NWT112" s="3"/>
      <c r="NWU112" s="3"/>
      <c r="NWV112" s="3"/>
      <c r="NWW112" s="3"/>
      <c r="NWX112" s="3"/>
      <c r="NWY112" s="3"/>
      <c r="NWZ112" s="3"/>
      <c r="NXA112" s="3"/>
      <c r="NXB112" s="3"/>
      <c r="NXC112" s="3"/>
      <c r="NXD112" s="3"/>
      <c r="NXE112" s="3"/>
      <c r="NXF112" s="3"/>
      <c r="NXG112" s="3"/>
      <c r="NXH112" s="3"/>
      <c r="NXI112" s="3"/>
      <c r="NXJ112" s="3"/>
      <c r="NXK112" s="3"/>
      <c r="NXL112" s="3"/>
      <c r="NXM112" s="3"/>
      <c r="NXN112" s="3"/>
      <c r="NXO112" s="3"/>
      <c r="NXP112" s="3"/>
      <c r="NXQ112" s="3"/>
      <c r="NXR112" s="3"/>
      <c r="NXS112" s="3"/>
      <c r="NXT112" s="3"/>
      <c r="NXU112" s="3"/>
      <c r="NXV112" s="3"/>
      <c r="NXW112" s="3"/>
      <c r="NXX112" s="3"/>
      <c r="NXY112" s="3"/>
      <c r="NXZ112" s="3"/>
      <c r="NYA112" s="3"/>
      <c r="NYB112" s="3"/>
      <c r="NYC112" s="3"/>
      <c r="NYD112" s="3"/>
      <c r="NYE112" s="3"/>
      <c r="NYF112" s="3"/>
      <c r="NYG112" s="3"/>
      <c r="NYH112" s="3"/>
      <c r="NYI112" s="3"/>
      <c r="NYJ112" s="3"/>
      <c r="NYK112" s="3"/>
      <c r="NYL112" s="3"/>
      <c r="NYM112" s="3"/>
      <c r="NYN112" s="3"/>
      <c r="NYO112" s="3"/>
      <c r="NYP112" s="3"/>
      <c r="NYQ112" s="3"/>
      <c r="NYR112" s="3"/>
      <c r="NYS112" s="3"/>
      <c r="NYT112" s="3"/>
      <c r="NYU112" s="3"/>
      <c r="NYV112" s="3"/>
      <c r="NYW112" s="3"/>
      <c r="NYX112" s="3"/>
      <c r="NYY112" s="3"/>
      <c r="NYZ112" s="3"/>
      <c r="NZA112" s="3"/>
      <c r="NZB112" s="3"/>
      <c r="NZC112" s="3"/>
      <c r="NZD112" s="3"/>
      <c r="NZE112" s="3"/>
      <c r="NZF112" s="3"/>
      <c r="NZG112" s="3"/>
      <c r="NZH112" s="3"/>
      <c r="NZI112" s="3"/>
      <c r="NZJ112" s="3"/>
      <c r="NZK112" s="3"/>
      <c r="NZL112" s="3"/>
      <c r="NZM112" s="3"/>
      <c r="NZN112" s="3"/>
      <c r="NZO112" s="3"/>
      <c r="NZP112" s="3"/>
      <c r="NZQ112" s="3"/>
      <c r="NZR112" s="3"/>
      <c r="NZS112" s="3"/>
      <c r="NZT112" s="3"/>
      <c r="NZU112" s="3"/>
      <c r="NZV112" s="3"/>
      <c r="NZW112" s="3"/>
      <c r="NZX112" s="3"/>
      <c r="NZY112" s="3"/>
      <c r="NZZ112" s="3"/>
      <c r="OAA112" s="3"/>
      <c r="OAB112" s="3"/>
      <c r="OAC112" s="3"/>
      <c r="OAD112" s="3"/>
      <c r="OAE112" s="3"/>
      <c r="OAF112" s="3"/>
      <c r="OAG112" s="3"/>
      <c r="OAH112" s="3"/>
      <c r="OAI112" s="3"/>
      <c r="OAJ112" s="3"/>
      <c r="OAK112" s="3"/>
      <c r="OAL112" s="3"/>
      <c r="OAM112" s="3"/>
      <c r="OAN112" s="3"/>
      <c r="OAO112" s="3"/>
      <c r="OAP112" s="3"/>
      <c r="OAQ112" s="3"/>
      <c r="OAR112" s="3"/>
      <c r="OAS112" s="3"/>
      <c r="OAT112" s="3"/>
      <c r="OAU112" s="3"/>
      <c r="OAV112" s="3"/>
      <c r="OAW112" s="3"/>
      <c r="OAX112" s="3"/>
      <c r="OAY112" s="3"/>
      <c r="OAZ112" s="3"/>
      <c r="OBA112" s="3"/>
      <c r="OBB112" s="3"/>
      <c r="OBC112" s="3"/>
      <c r="OBD112" s="3"/>
      <c r="OBE112" s="3"/>
      <c r="OBF112" s="3"/>
      <c r="OBG112" s="3"/>
      <c r="OBH112" s="3"/>
      <c r="OBI112" s="3"/>
      <c r="OBJ112" s="3"/>
      <c r="OBK112" s="3"/>
      <c r="OBL112" s="3"/>
      <c r="OBM112" s="3"/>
      <c r="OBN112" s="3"/>
      <c r="OBO112" s="3"/>
      <c r="OBP112" s="3"/>
      <c r="OBQ112" s="3"/>
      <c r="OBR112" s="3"/>
      <c r="OBS112" s="3"/>
      <c r="OBT112" s="3"/>
      <c r="OBU112" s="3"/>
      <c r="OBV112" s="3"/>
      <c r="OBW112" s="3"/>
      <c r="OBX112" s="3"/>
      <c r="OBY112" s="3"/>
      <c r="OBZ112" s="3"/>
      <c r="OCA112" s="3"/>
      <c r="OCB112" s="3"/>
      <c r="OCC112" s="3"/>
      <c r="OCD112" s="3"/>
      <c r="OCE112" s="3"/>
      <c r="OCF112" s="3"/>
      <c r="OCG112" s="3"/>
      <c r="OCH112" s="3"/>
      <c r="OCI112" s="3"/>
      <c r="OCJ112" s="3"/>
      <c r="OCK112" s="3"/>
      <c r="OCL112" s="3"/>
      <c r="OCM112" s="3"/>
      <c r="OCN112" s="3"/>
      <c r="OCO112" s="3"/>
      <c r="OCP112" s="3"/>
      <c r="OCQ112" s="3"/>
      <c r="OCR112" s="3"/>
      <c r="OCS112" s="3"/>
      <c r="OCT112" s="3"/>
      <c r="OCU112" s="3"/>
      <c r="OCV112" s="3"/>
      <c r="OCW112" s="3"/>
      <c r="OCX112" s="3"/>
      <c r="OCY112" s="3"/>
      <c r="OCZ112" s="3"/>
      <c r="ODA112" s="3"/>
      <c r="ODB112" s="3"/>
      <c r="ODC112" s="3"/>
      <c r="ODD112" s="3"/>
      <c r="ODE112" s="3"/>
      <c r="ODF112" s="3"/>
      <c r="ODG112" s="3"/>
      <c r="ODH112" s="3"/>
      <c r="ODI112" s="3"/>
      <c r="ODJ112" s="3"/>
      <c r="ODK112" s="3"/>
      <c r="ODL112" s="3"/>
      <c r="ODM112" s="3"/>
      <c r="ODN112" s="3"/>
      <c r="ODO112" s="3"/>
      <c r="ODP112" s="3"/>
      <c r="ODQ112" s="3"/>
      <c r="ODR112" s="3"/>
      <c r="ODS112" s="3"/>
      <c r="ODT112" s="3"/>
      <c r="ODU112" s="3"/>
      <c r="ODV112" s="3"/>
      <c r="ODW112" s="3"/>
      <c r="ODX112" s="3"/>
      <c r="ODY112" s="3"/>
      <c r="ODZ112" s="3"/>
      <c r="OEA112" s="3"/>
      <c r="OEB112" s="3"/>
      <c r="OEC112" s="3"/>
      <c r="OED112" s="3"/>
      <c r="OEE112" s="3"/>
      <c r="OEF112" s="3"/>
      <c r="OEG112" s="3"/>
      <c r="OEH112" s="3"/>
      <c r="OEI112" s="3"/>
      <c r="OEJ112" s="3"/>
      <c r="OEK112" s="3"/>
      <c r="OEL112" s="3"/>
      <c r="OEM112" s="3"/>
      <c r="OEN112" s="3"/>
      <c r="OEO112" s="3"/>
      <c r="OEP112" s="3"/>
      <c r="OEQ112" s="3"/>
      <c r="OER112" s="3"/>
      <c r="OES112" s="3"/>
      <c r="OET112" s="3"/>
      <c r="OEU112" s="3"/>
      <c r="OEV112" s="3"/>
      <c r="OEW112" s="3"/>
      <c r="OEX112" s="3"/>
      <c r="OEY112" s="3"/>
      <c r="OEZ112" s="3"/>
      <c r="OFA112" s="3"/>
      <c r="OFB112" s="3"/>
      <c r="OFC112" s="3"/>
      <c r="OFD112" s="3"/>
      <c r="OFE112" s="3"/>
      <c r="OFF112" s="3"/>
      <c r="OFG112" s="3"/>
      <c r="OFH112" s="3"/>
      <c r="OFI112" s="3"/>
      <c r="OFJ112" s="3"/>
      <c r="OFK112" s="3"/>
      <c r="OFL112" s="3"/>
      <c r="OFM112" s="3"/>
      <c r="OFN112" s="3"/>
      <c r="OFO112" s="3"/>
      <c r="OFP112" s="3"/>
      <c r="OFQ112" s="3"/>
      <c r="OFR112" s="3"/>
      <c r="OFS112" s="3"/>
      <c r="OFT112" s="3"/>
      <c r="OFU112" s="3"/>
      <c r="OFV112" s="3"/>
      <c r="OFW112" s="3"/>
      <c r="OFX112" s="3"/>
      <c r="OFY112" s="3"/>
      <c r="OFZ112" s="3"/>
      <c r="OGA112" s="3"/>
      <c r="OGB112" s="3"/>
      <c r="OGC112" s="3"/>
      <c r="OGD112" s="3"/>
      <c r="OGE112" s="3"/>
      <c r="OGF112" s="3"/>
      <c r="OGG112" s="3"/>
      <c r="OGH112" s="3"/>
      <c r="OGI112" s="3"/>
      <c r="OGJ112" s="3"/>
      <c r="OGK112" s="3"/>
      <c r="OGL112" s="3"/>
      <c r="OGM112" s="3"/>
      <c r="OGN112" s="3"/>
      <c r="OGO112" s="3"/>
      <c r="OGP112" s="3"/>
      <c r="OGQ112" s="3"/>
      <c r="OGR112" s="3"/>
      <c r="OGS112" s="3"/>
      <c r="OGT112" s="3"/>
      <c r="OGU112" s="3"/>
      <c r="OGV112" s="3"/>
      <c r="OGW112" s="3"/>
      <c r="OGX112" s="3"/>
      <c r="OGY112" s="3"/>
      <c r="OGZ112" s="3"/>
      <c r="OHA112" s="3"/>
      <c r="OHB112" s="3"/>
      <c r="OHC112" s="3"/>
      <c r="OHD112" s="3"/>
      <c r="OHE112" s="3"/>
      <c r="OHF112" s="3"/>
      <c r="OHG112" s="3"/>
      <c r="OHH112" s="3"/>
      <c r="OHI112" s="3"/>
      <c r="OHJ112" s="3"/>
      <c r="OHK112" s="3"/>
      <c r="OHL112" s="3"/>
      <c r="OHM112" s="3"/>
      <c r="OHN112" s="3"/>
      <c r="OHO112" s="3"/>
      <c r="OHP112" s="3"/>
      <c r="OHQ112" s="3"/>
      <c r="OHR112" s="3"/>
      <c r="OHS112" s="3"/>
      <c r="OHT112" s="3"/>
      <c r="OHU112" s="3"/>
      <c r="OHV112" s="3"/>
      <c r="OHW112" s="3"/>
      <c r="OHX112" s="3"/>
      <c r="OHY112" s="3"/>
      <c r="OHZ112" s="3"/>
      <c r="OIA112" s="3"/>
      <c r="OIB112" s="3"/>
      <c r="OIC112" s="3"/>
      <c r="OID112" s="3"/>
      <c r="OIE112" s="3"/>
      <c r="OIF112" s="3"/>
      <c r="OIG112" s="3"/>
      <c r="OIH112" s="3"/>
      <c r="OII112" s="3"/>
      <c r="OIJ112" s="3"/>
      <c r="OIK112" s="3"/>
      <c r="OIL112" s="3"/>
      <c r="OIM112" s="3"/>
      <c r="OIN112" s="3"/>
      <c r="OIO112" s="3"/>
      <c r="OIP112" s="3"/>
      <c r="OIQ112" s="3"/>
      <c r="OIR112" s="3"/>
      <c r="OIS112" s="3"/>
      <c r="OIT112" s="3"/>
      <c r="OIU112" s="3"/>
      <c r="OIV112" s="3"/>
      <c r="OIW112" s="3"/>
      <c r="OIX112" s="3"/>
      <c r="OIY112" s="3"/>
      <c r="OIZ112" s="3"/>
      <c r="OJA112" s="3"/>
      <c r="OJB112" s="3"/>
      <c r="OJC112" s="3"/>
      <c r="OJD112" s="3"/>
      <c r="OJE112" s="3"/>
      <c r="OJF112" s="3"/>
      <c r="OJG112" s="3"/>
      <c r="OJH112" s="3"/>
      <c r="OJI112" s="3"/>
      <c r="OJJ112" s="3"/>
      <c r="OJK112" s="3"/>
      <c r="OJL112" s="3"/>
      <c r="OJM112" s="3"/>
      <c r="OJN112" s="3"/>
      <c r="OJO112" s="3"/>
      <c r="OJP112" s="3"/>
      <c r="OJQ112" s="3"/>
      <c r="OJR112" s="3"/>
      <c r="OJS112" s="3"/>
      <c r="OJT112" s="3"/>
      <c r="OJU112" s="3"/>
      <c r="OJV112" s="3"/>
      <c r="OJW112" s="3"/>
      <c r="OJX112" s="3"/>
      <c r="OJY112" s="3"/>
      <c r="OJZ112" s="3"/>
      <c r="OKA112" s="3"/>
      <c r="OKB112" s="3"/>
      <c r="OKC112" s="3"/>
      <c r="OKD112" s="3"/>
      <c r="OKE112" s="3"/>
      <c r="OKF112" s="3"/>
      <c r="OKG112" s="3"/>
      <c r="OKH112" s="3"/>
      <c r="OKI112" s="3"/>
      <c r="OKJ112" s="3"/>
      <c r="OKK112" s="3"/>
      <c r="OKL112" s="3"/>
      <c r="OKM112" s="3"/>
      <c r="OKN112" s="3"/>
      <c r="OKO112" s="3"/>
      <c r="OKP112" s="3"/>
      <c r="OKQ112" s="3"/>
      <c r="OKR112" s="3"/>
      <c r="OKS112" s="3"/>
      <c r="OKT112" s="3"/>
      <c r="OKU112" s="3"/>
      <c r="OKV112" s="3"/>
      <c r="OKW112" s="3"/>
      <c r="OKX112" s="3"/>
      <c r="OKY112" s="3"/>
      <c r="OKZ112" s="3"/>
      <c r="OLA112" s="3"/>
      <c r="OLB112" s="3"/>
      <c r="OLC112" s="3"/>
      <c r="OLD112" s="3"/>
      <c r="OLE112" s="3"/>
      <c r="OLF112" s="3"/>
      <c r="OLG112" s="3"/>
      <c r="OLH112" s="3"/>
      <c r="OLI112" s="3"/>
      <c r="OLJ112" s="3"/>
      <c r="OLK112" s="3"/>
      <c r="OLL112" s="3"/>
      <c r="OLM112" s="3"/>
      <c r="OLN112" s="3"/>
      <c r="OLO112" s="3"/>
      <c r="OLP112" s="3"/>
      <c r="OLQ112" s="3"/>
      <c r="OLR112" s="3"/>
      <c r="OLS112" s="3"/>
      <c r="OLT112" s="3"/>
      <c r="OLU112" s="3"/>
      <c r="OLV112" s="3"/>
      <c r="OLW112" s="3"/>
      <c r="OLX112" s="3"/>
      <c r="OLY112" s="3"/>
      <c r="OLZ112" s="3"/>
      <c r="OMA112" s="3"/>
      <c r="OMB112" s="3"/>
      <c r="OMC112" s="3"/>
      <c r="OMD112" s="3"/>
      <c r="OME112" s="3"/>
      <c r="OMF112" s="3"/>
      <c r="OMG112" s="3"/>
      <c r="OMH112" s="3"/>
      <c r="OMI112" s="3"/>
      <c r="OMJ112" s="3"/>
      <c r="OMK112" s="3"/>
      <c r="OML112" s="3"/>
      <c r="OMM112" s="3"/>
      <c r="OMN112" s="3"/>
      <c r="OMO112" s="3"/>
      <c r="OMP112" s="3"/>
      <c r="OMQ112" s="3"/>
      <c r="OMR112" s="3"/>
      <c r="OMS112" s="3"/>
      <c r="OMT112" s="3"/>
      <c r="OMU112" s="3"/>
      <c r="OMV112" s="3"/>
      <c r="OMW112" s="3"/>
      <c r="OMX112" s="3"/>
      <c r="OMY112" s="3"/>
      <c r="OMZ112" s="3"/>
      <c r="ONA112" s="3"/>
      <c r="ONB112" s="3"/>
      <c r="ONC112" s="3"/>
      <c r="OND112" s="3"/>
      <c r="ONE112" s="3"/>
      <c r="ONF112" s="3"/>
      <c r="ONG112" s="3"/>
      <c r="ONH112" s="3"/>
      <c r="ONI112" s="3"/>
      <c r="ONJ112" s="3"/>
      <c r="ONK112" s="3"/>
      <c r="ONL112" s="3"/>
      <c r="ONM112" s="3"/>
      <c r="ONN112" s="3"/>
      <c r="ONO112" s="3"/>
      <c r="ONP112" s="3"/>
      <c r="ONQ112" s="3"/>
      <c r="ONR112" s="3"/>
      <c r="ONS112" s="3"/>
      <c r="ONT112" s="3"/>
      <c r="ONU112" s="3"/>
      <c r="ONV112" s="3"/>
      <c r="ONW112" s="3"/>
      <c r="ONX112" s="3"/>
      <c r="ONY112" s="3"/>
      <c r="ONZ112" s="3"/>
      <c r="OOA112" s="3"/>
      <c r="OOB112" s="3"/>
      <c r="OOC112" s="3"/>
      <c r="OOD112" s="3"/>
      <c r="OOE112" s="3"/>
      <c r="OOF112" s="3"/>
      <c r="OOG112" s="3"/>
      <c r="OOH112" s="3"/>
      <c r="OOI112" s="3"/>
      <c r="OOJ112" s="3"/>
      <c r="OOK112" s="3"/>
      <c r="OOL112" s="3"/>
      <c r="OOM112" s="3"/>
      <c r="OON112" s="3"/>
      <c r="OOO112" s="3"/>
      <c r="OOP112" s="3"/>
      <c r="OOQ112" s="3"/>
      <c r="OOR112" s="3"/>
      <c r="OOS112" s="3"/>
      <c r="OOT112" s="3"/>
      <c r="OOU112" s="3"/>
      <c r="OOV112" s="3"/>
      <c r="OOW112" s="3"/>
      <c r="OOX112" s="3"/>
      <c r="OOY112" s="3"/>
      <c r="OOZ112" s="3"/>
      <c r="OPA112" s="3"/>
      <c r="OPB112" s="3"/>
      <c r="OPC112" s="3"/>
      <c r="OPD112" s="3"/>
      <c r="OPE112" s="3"/>
      <c r="OPF112" s="3"/>
      <c r="OPG112" s="3"/>
      <c r="OPH112" s="3"/>
      <c r="OPI112" s="3"/>
      <c r="OPJ112" s="3"/>
      <c r="OPK112" s="3"/>
      <c r="OPL112" s="3"/>
      <c r="OPM112" s="3"/>
      <c r="OPN112" s="3"/>
      <c r="OPO112" s="3"/>
      <c r="OPP112" s="3"/>
      <c r="OPQ112" s="3"/>
      <c r="OPR112" s="3"/>
      <c r="OPS112" s="3"/>
      <c r="OPT112" s="3"/>
      <c r="OPU112" s="3"/>
      <c r="OPV112" s="3"/>
      <c r="OPW112" s="3"/>
      <c r="OPX112" s="3"/>
      <c r="OPY112" s="3"/>
      <c r="OPZ112" s="3"/>
      <c r="OQA112" s="3"/>
      <c r="OQB112" s="3"/>
      <c r="OQC112" s="3"/>
      <c r="OQD112" s="3"/>
      <c r="OQE112" s="3"/>
      <c r="OQF112" s="3"/>
      <c r="OQG112" s="3"/>
      <c r="OQH112" s="3"/>
      <c r="OQI112" s="3"/>
      <c r="OQJ112" s="3"/>
      <c r="OQK112" s="3"/>
      <c r="OQL112" s="3"/>
      <c r="OQM112" s="3"/>
      <c r="OQN112" s="3"/>
      <c r="OQO112" s="3"/>
      <c r="OQP112" s="3"/>
      <c r="OQQ112" s="3"/>
      <c r="OQR112" s="3"/>
      <c r="OQS112" s="3"/>
      <c r="OQT112" s="3"/>
      <c r="OQU112" s="3"/>
      <c r="OQV112" s="3"/>
      <c r="OQW112" s="3"/>
      <c r="OQX112" s="3"/>
      <c r="OQY112" s="3"/>
      <c r="OQZ112" s="3"/>
      <c r="ORA112" s="3"/>
      <c r="ORB112" s="3"/>
      <c r="ORC112" s="3"/>
      <c r="ORD112" s="3"/>
      <c r="ORE112" s="3"/>
      <c r="ORF112" s="3"/>
      <c r="ORG112" s="3"/>
      <c r="ORH112" s="3"/>
      <c r="ORI112" s="3"/>
      <c r="ORJ112" s="3"/>
      <c r="ORK112" s="3"/>
      <c r="ORL112" s="3"/>
      <c r="ORM112" s="3"/>
      <c r="ORN112" s="3"/>
      <c r="ORO112" s="3"/>
      <c r="ORP112" s="3"/>
      <c r="ORQ112" s="3"/>
      <c r="ORR112" s="3"/>
      <c r="ORS112" s="3"/>
      <c r="ORT112" s="3"/>
      <c r="ORU112" s="3"/>
      <c r="ORV112" s="3"/>
      <c r="ORW112" s="3"/>
      <c r="ORX112" s="3"/>
      <c r="ORY112" s="3"/>
      <c r="ORZ112" s="3"/>
      <c r="OSA112" s="3"/>
      <c r="OSB112" s="3"/>
      <c r="OSC112" s="3"/>
      <c r="OSD112" s="3"/>
      <c r="OSE112" s="3"/>
      <c r="OSF112" s="3"/>
      <c r="OSG112" s="3"/>
      <c r="OSH112" s="3"/>
      <c r="OSI112" s="3"/>
      <c r="OSJ112" s="3"/>
      <c r="OSK112" s="3"/>
      <c r="OSL112" s="3"/>
      <c r="OSM112" s="3"/>
      <c r="OSN112" s="3"/>
      <c r="OSO112" s="3"/>
      <c r="OSP112" s="3"/>
      <c r="OSQ112" s="3"/>
      <c r="OSR112" s="3"/>
      <c r="OSS112" s="3"/>
      <c r="OST112" s="3"/>
      <c r="OSU112" s="3"/>
      <c r="OSV112" s="3"/>
      <c r="OSW112" s="3"/>
      <c r="OSX112" s="3"/>
      <c r="OSY112" s="3"/>
      <c r="OSZ112" s="3"/>
      <c r="OTA112" s="3"/>
      <c r="OTB112" s="3"/>
      <c r="OTC112" s="3"/>
      <c r="OTD112" s="3"/>
      <c r="OTE112" s="3"/>
      <c r="OTF112" s="3"/>
      <c r="OTG112" s="3"/>
      <c r="OTH112" s="3"/>
      <c r="OTI112" s="3"/>
      <c r="OTJ112" s="3"/>
      <c r="OTK112" s="3"/>
      <c r="OTL112" s="3"/>
      <c r="OTM112" s="3"/>
      <c r="OTN112" s="3"/>
      <c r="OTO112" s="3"/>
      <c r="OTP112" s="3"/>
      <c r="OTQ112" s="3"/>
      <c r="OTR112" s="3"/>
      <c r="OTS112" s="3"/>
      <c r="OTT112" s="3"/>
      <c r="OTU112" s="3"/>
      <c r="OTV112" s="3"/>
      <c r="OTW112" s="3"/>
      <c r="OTX112" s="3"/>
      <c r="OTY112" s="3"/>
      <c r="OTZ112" s="3"/>
      <c r="OUA112" s="3"/>
      <c r="OUB112" s="3"/>
      <c r="OUC112" s="3"/>
      <c r="OUD112" s="3"/>
      <c r="OUE112" s="3"/>
      <c r="OUF112" s="3"/>
      <c r="OUG112" s="3"/>
      <c r="OUH112" s="3"/>
      <c r="OUI112" s="3"/>
      <c r="OUJ112" s="3"/>
      <c r="OUK112" s="3"/>
      <c r="OUL112" s="3"/>
      <c r="OUM112" s="3"/>
      <c r="OUN112" s="3"/>
      <c r="OUO112" s="3"/>
      <c r="OUP112" s="3"/>
      <c r="OUQ112" s="3"/>
      <c r="OUR112" s="3"/>
      <c r="OUS112" s="3"/>
      <c r="OUT112" s="3"/>
      <c r="OUU112" s="3"/>
      <c r="OUV112" s="3"/>
      <c r="OUW112" s="3"/>
      <c r="OUX112" s="3"/>
      <c r="OUY112" s="3"/>
      <c r="OUZ112" s="3"/>
      <c r="OVA112" s="3"/>
      <c r="OVB112" s="3"/>
      <c r="OVC112" s="3"/>
      <c r="OVD112" s="3"/>
      <c r="OVE112" s="3"/>
      <c r="OVF112" s="3"/>
      <c r="OVG112" s="3"/>
      <c r="OVH112" s="3"/>
      <c r="OVI112" s="3"/>
      <c r="OVJ112" s="3"/>
      <c r="OVK112" s="3"/>
      <c r="OVL112" s="3"/>
      <c r="OVM112" s="3"/>
      <c r="OVN112" s="3"/>
      <c r="OVO112" s="3"/>
      <c r="OVP112" s="3"/>
      <c r="OVQ112" s="3"/>
      <c r="OVR112" s="3"/>
      <c r="OVS112" s="3"/>
      <c r="OVT112" s="3"/>
      <c r="OVU112" s="3"/>
      <c r="OVV112" s="3"/>
      <c r="OVW112" s="3"/>
      <c r="OVX112" s="3"/>
      <c r="OVY112" s="3"/>
      <c r="OVZ112" s="3"/>
      <c r="OWA112" s="3"/>
      <c r="OWB112" s="3"/>
      <c r="OWC112" s="3"/>
      <c r="OWD112" s="3"/>
      <c r="OWE112" s="3"/>
      <c r="OWF112" s="3"/>
      <c r="OWG112" s="3"/>
      <c r="OWH112" s="3"/>
      <c r="OWI112" s="3"/>
      <c r="OWJ112" s="3"/>
      <c r="OWK112" s="3"/>
      <c r="OWL112" s="3"/>
      <c r="OWM112" s="3"/>
      <c r="OWN112" s="3"/>
      <c r="OWO112" s="3"/>
      <c r="OWP112" s="3"/>
      <c r="OWQ112" s="3"/>
      <c r="OWR112" s="3"/>
      <c r="OWS112" s="3"/>
      <c r="OWT112" s="3"/>
      <c r="OWU112" s="3"/>
      <c r="OWV112" s="3"/>
      <c r="OWW112" s="3"/>
      <c r="OWX112" s="3"/>
      <c r="OWY112" s="3"/>
      <c r="OWZ112" s="3"/>
      <c r="OXA112" s="3"/>
      <c r="OXB112" s="3"/>
      <c r="OXC112" s="3"/>
      <c r="OXD112" s="3"/>
      <c r="OXE112" s="3"/>
      <c r="OXF112" s="3"/>
      <c r="OXG112" s="3"/>
      <c r="OXH112" s="3"/>
      <c r="OXI112" s="3"/>
      <c r="OXJ112" s="3"/>
      <c r="OXK112" s="3"/>
      <c r="OXL112" s="3"/>
      <c r="OXM112" s="3"/>
      <c r="OXN112" s="3"/>
      <c r="OXO112" s="3"/>
      <c r="OXP112" s="3"/>
      <c r="OXQ112" s="3"/>
      <c r="OXR112" s="3"/>
      <c r="OXS112" s="3"/>
      <c r="OXT112" s="3"/>
      <c r="OXU112" s="3"/>
      <c r="OXV112" s="3"/>
      <c r="OXW112" s="3"/>
      <c r="OXX112" s="3"/>
      <c r="OXY112" s="3"/>
      <c r="OXZ112" s="3"/>
      <c r="OYA112" s="3"/>
      <c r="OYB112" s="3"/>
      <c r="OYC112" s="3"/>
      <c r="OYD112" s="3"/>
      <c r="OYE112" s="3"/>
      <c r="OYF112" s="3"/>
      <c r="OYG112" s="3"/>
      <c r="OYH112" s="3"/>
      <c r="OYI112" s="3"/>
      <c r="OYJ112" s="3"/>
      <c r="OYK112" s="3"/>
      <c r="OYL112" s="3"/>
      <c r="OYM112" s="3"/>
      <c r="OYN112" s="3"/>
      <c r="OYO112" s="3"/>
      <c r="OYP112" s="3"/>
      <c r="OYQ112" s="3"/>
      <c r="OYR112" s="3"/>
      <c r="OYS112" s="3"/>
      <c r="OYT112" s="3"/>
      <c r="OYU112" s="3"/>
      <c r="OYV112" s="3"/>
      <c r="OYW112" s="3"/>
      <c r="OYX112" s="3"/>
      <c r="OYY112" s="3"/>
      <c r="OYZ112" s="3"/>
      <c r="OZA112" s="3"/>
      <c r="OZB112" s="3"/>
      <c r="OZC112" s="3"/>
      <c r="OZD112" s="3"/>
      <c r="OZE112" s="3"/>
      <c r="OZF112" s="3"/>
      <c r="OZG112" s="3"/>
      <c r="OZH112" s="3"/>
      <c r="OZI112" s="3"/>
      <c r="OZJ112" s="3"/>
      <c r="OZK112" s="3"/>
      <c r="OZL112" s="3"/>
      <c r="OZM112" s="3"/>
      <c r="OZN112" s="3"/>
      <c r="OZO112" s="3"/>
      <c r="OZP112" s="3"/>
      <c r="OZQ112" s="3"/>
      <c r="OZR112" s="3"/>
      <c r="OZS112" s="3"/>
      <c r="OZT112" s="3"/>
      <c r="OZU112" s="3"/>
      <c r="OZV112" s="3"/>
      <c r="OZW112" s="3"/>
      <c r="OZX112" s="3"/>
      <c r="OZY112" s="3"/>
      <c r="OZZ112" s="3"/>
      <c r="PAA112" s="3"/>
      <c r="PAB112" s="3"/>
      <c r="PAC112" s="3"/>
      <c r="PAD112" s="3"/>
      <c r="PAE112" s="3"/>
      <c r="PAF112" s="3"/>
      <c r="PAG112" s="3"/>
      <c r="PAH112" s="3"/>
      <c r="PAI112" s="3"/>
      <c r="PAJ112" s="3"/>
      <c r="PAK112" s="3"/>
      <c r="PAL112" s="3"/>
      <c r="PAM112" s="3"/>
      <c r="PAN112" s="3"/>
      <c r="PAO112" s="3"/>
      <c r="PAP112" s="3"/>
      <c r="PAQ112" s="3"/>
      <c r="PAR112" s="3"/>
      <c r="PAS112" s="3"/>
      <c r="PAT112" s="3"/>
      <c r="PAU112" s="3"/>
      <c r="PAV112" s="3"/>
      <c r="PAW112" s="3"/>
      <c r="PAX112" s="3"/>
      <c r="PAY112" s="3"/>
      <c r="PAZ112" s="3"/>
      <c r="PBA112" s="3"/>
      <c r="PBB112" s="3"/>
      <c r="PBC112" s="3"/>
      <c r="PBD112" s="3"/>
      <c r="PBE112" s="3"/>
      <c r="PBF112" s="3"/>
      <c r="PBG112" s="3"/>
      <c r="PBH112" s="3"/>
      <c r="PBI112" s="3"/>
      <c r="PBJ112" s="3"/>
      <c r="PBK112" s="3"/>
      <c r="PBL112" s="3"/>
      <c r="PBM112" s="3"/>
      <c r="PBN112" s="3"/>
      <c r="PBO112" s="3"/>
      <c r="PBP112" s="3"/>
      <c r="PBQ112" s="3"/>
      <c r="PBR112" s="3"/>
      <c r="PBS112" s="3"/>
      <c r="PBT112" s="3"/>
      <c r="PBU112" s="3"/>
      <c r="PBV112" s="3"/>
      <c r="PBW112" s="3"/>
      <c r="PBX112" s="3"/>
      <c r="PBY112" s="3"/>
      <c r="PBZ112" s="3"/>
      <c r="PCA112" s="3"/>
      <c r="PCB112" s="3"/>
      <c r="PCC112" s="3"/>
      <c r="PCD112" s="3"/>
      <c r="PCE112" s="3"/>
      <c r="PCF112" s="3"/>
      <c r="PCG112" s="3"/>
      <c r="PCH112" s="3"/>
      <c r="PCI112" s="3"/>
      <c r="PCJ112" s="3"/>
      <c r="PCK112" s="3"/>
      <c r="PCL112" s="3"/>
      <c r="PCM112" s="3"/>
      <c r="PCN112" s="3"/>
      <c r="PCO112" s="3"/>
      <c r="PCP112" s="3"/>
      <c r="PCQ112" s="3"/>
      <c r="PCR112" s="3"/>
      <c r="PCS112" s="3"/>
      <c r="PCT112" s="3"/>
      <c r="PCU112" s="3"/>
      <c r="PCV112" s="3"/>
      <c r="PCW112" s="3"/>
      <c r="PCX112" s="3"/>
      <c r="PCY112" s="3"/>
      <c r="PCZ112" s="3"/>
      <c r="PDA112" s="3"/>
      <c r="PDB112" s="3"/>
      <c r="PDC112" s="3"/>
      <c r="PDD112" s="3"/>
      <c r="PDE112" s="3"/>
      <c r="PDF112" s="3"/>
      <c r="PDG112" s="3"/>
      <c r="PDH112" s="3"/>
      <c r="PDI112" s="3"/>
      <c r="PDJ112" s="3"/>
      <c r="PDK112" s="3"/>
      <c r="PDL112" s="3"/>
      <c r="PDM112" s="3"/>
      <c r="PDN112" s="3"/>
      <c r="PDO112" s="3"/>
      <c r="PDP112" s="3"/>
      <c r="PDQ112" s="3"/>
      <c r="PDR112" s="3"/>
      <c r="PDS112" s="3"/>
      <c r="PDT112" s="3"/>
      <c r="PDU112" s="3"/>
      <c r="PDV112" s="3"/>
      <c r="PDW112" s="3"/>
      <c r="PDX112" s="3"/>
      <c r="PDY112" s="3"/>
      <c r="PDZ112" s="3"/>
      <c r="PEA112" s="3"/>
      <c r="PEB112" s="3"/>
      <c r="PEC112" s="3"/>
      <c r="PED112" s="3"/>
      <c r="PEE112" s="3"/>
      <c r="PEF112" s="3"/>
      <c r="PEG112" s="3"/>
      <c r="PEH112" s="3"/>
      <c r="PEI112" s="3"/>
      <c r="PEJ112" s="3"/>
      <c r="PEK112" s="3"/>
      <c r="PEL112" s="3"/>
      <c r="PEM112" s="3"/>
      <c r="PEN112" s="3"/>
      <c r="PEO112" s="3"/>
      <c r="PEP112" s="3"/>
      <c r="PEQ112" s="3"/>
      <c r="PER112" s="3"/>
      <c r="PES112" s="3"/>
      <c r="PET112" s="3"/>
      <c r="PEU112" s="3"/>
      <c r="PEV112" s="3"/>
      <c r="PEW112" s="3"/>
      <c r="PEX112" s="3"/>
      <c r="PEY112" s="3"/>
      <c r="PEZ112" s="3"/>
      <c r="PFA112" s="3"/>
      <c r="PFB112" s="3"/>
      <c r="PFC112" s="3"/>
      <c r="PFD112" s="3"/>
      <c r="PFE112" s="3"/>
      <c r="PFF112" s="3"/>
      <c r="PFG112" s="3"/>
      <c r="PFH112" s="3"/>
      <c r="PFI112" s="3"/>
      <c r="PFJ112" s="3"/>
      <c r="PFK112" s="3"/>
      <c r="PFL112" s="3"/>
      <c r="PFM112" s="3"/>
      <c r="PFN112" s="3"/>
      <c r="PFO112" s="3"/>
      <c r="PFP112" s="3"/>
      <c r="PFQ112" s="3"/>
      <c r="PFR112" s="3"/>
      <c r="PFS112" s="3"/>
      <c r="PFT112" s="3"/>
      <c r="PFU112" s="3"/>
      <c r="PFV112" s="3"/>
      <c r="PFW112" s="3"/>
      <c r="PFX112" s="3"/>
      <c r="PFY112" s="3"/>
      <c r="PFZ112" s="3"/>
      <c r="PGA112" s="3"/>
      <c r="PGB112" s="3"/>
      <c r="PGC112" s="3"/>
      <c r="PGD112" s="3"/>
      <c r="PGE112" s="3"/>
      <c r="PGF112" s="3"/>
      <c r="PGG112" s="3"/>
      <c r="PGH112" s="3"/>
      <c r="PGI112" s="3"/>
      <c r="PGJ112" s="3"/>
      <c r="PGK112" s="3"/>
      <c r="PGL112" s="3"/>
      <c r="PGM112" s="3"/>
      <c r="PGN112" s="3"/>
      <c r="PGO112" s="3"/>
      <c r="PGP112" s="3"/>
      <c r="PGQ112" s="3"/>
      <c r="PGR112" s="3"/>
      <c r="PGS112" s="3"/>
      <c r="PGT112" s="3"/>
      <c r="PGU112" s="3"/>
      <c r="PGV112" s="3"/>
      <c r="PGW112" s="3"/>
      <c r="PGX112" s="3"/>
      <c r="PGY112" s="3"/>
      <c r="PGZ112" s="3"/>
      <c r="PHA112" s="3"/>
      <c r="PHB112" s="3"/>
      <c r="PHC112" s="3"/>
      <c r="PHD112" s="3"/>
      <c r="PHE112" s="3"/>
      <c r="PHF112" s="3"/>
      <c r="PHG112" s="3"/>
      <c r="PHH112" s="3"/>
      <c r="PHI112" s="3"/>
      <c r="PHJ112" s="3"/>
      <c r="PHK112" s="3"/>
      <c r="PHL112" s="3"/>
      <c r="PHM112" s="3"/>
      <c r="PHN112" s="3"/>
      <c r="PHO112" s="3"/>
      <c r="PHP112" s="3"/>
      <c r="PHQ112" s="3"/>
      <c r="PHR112" s="3"/>
      <c r="PHS112" s="3"/>
      <c r="PHT112" s="3"/>
      <c r="PHU112" s="3"/>
      <c r="PHV112" s="3"/>
      <c r="PHW112" s="3"/>
      <c r="PHX112" s="3"/>
      <c r="PHY112" s="3"/>
      <c r="PHZ112" s="3"/>
      <c r="PIA112" s="3"/>
      <c r="PIB112" s="3"/>
      <c r="PIC112" s="3"/>
      <c r="PID112" s="3"/>
      <c r="PIE112" s="3"/>
      <c r="PIF112" s="3"/>
      <c r="PIG112" s="3"/>
      <c r="PIH112" s="3"/>
      <c r="PII112" s="3"/>
      <c r="PIJ112" s="3"/>
      <c r="PIK112" s="3"/>
      <c r="PIL112" s="3"/>
      <c r="PIM112" s="3"/>
      <c r="PIN112" s="3"/>
      <c r="PIO112" s="3"/>
      <c r="PIP112" s="3"/>
      <c r="PIQ112" s="3"/>
      <c r="PIR112" s="3"/>
      <c r="PIS112" s="3"/>
      <c r="PIT112" s="3"/>
      <c r="PIU112" s="3"/>
      <c r="PIV112" s="3"/>
      <c r="PIW112" s="3"/>
      <c r="PIX112" s="3"/>
      <c r="PIY112" s="3"/>
      <c r="PIZ112" s="3"/>
      <c r="PJA112" s="3"/>
      <c r="PJB112" s="3"/>
      <c r="PJC112" s="3"/>
      <c r="PJD112" s="3"/>
      <c r="PJE112" s="3"/>
      <c r="PJF112" s="3"/>
      <c r="PJG112" s="3"/>
      <c r="PJH112" s="3"/>
      <c r="PJI112" s="3"/>
      <c r="PJJ112" s="3"/>
      <c r="PJK112" s="3"/>
      <c r="PJL112" s="3"/>
      <c r="PJM112" s="3"/>
      <c r="PJN112" s="3"/>
      <c r="PJO112" s="3"/>
      <c r="PJP112" s="3"/>
      <c r="PJQ112" s="3"/>
      <c r="PJR112" s="3"/>
      <c r="PJS112" s="3"/>
      <c r="PJT112" s="3"/>
      <c r="PJU112" s="3"/>
      <c r="PJV112" s="3"/>
      <c r="PJW112" s="3"/>
      <c r="PJX112" s="3"/>
      <c r="PJY112" s="3"/>
      <c r="PJZ112" s="3"/>
      <c r="PKA112" s="3"/>
      <c r="PKB112" s="3"/>
      <c r="PKC112" s="3"/>
      <c r="PKD112" s="3"/>
      <c r="PKE112" s="3"/>
      <c r="PKF112" s="3"/>
      <c r="PKG112" s="3"/>
      <c r="PKH112" s="3"/>
      <c r="PKI112" s="3"/>
      <c r="PKJ112" s="3"/>
      <c r="PKK112" s="3"/>
      <c r="PKL112" s="3"/>
      <c r="PKM112" s="3"/>
      <c r="PKN112" s="3"/>
      <c r="PKO112" s="3"/>
      <c r="PKP112" s="3"/>
      <c r="PKQ112" s="3"/>
      <c r="PKR112" s="3"/>
      <c r="PKS112" s="3"/>
      <c r="PKT112" s="3"/>
      <c r="PKU112" s="3"/>
      <c r="PKV112" s="3"/>
      <c r="PKW112" s="3"/>
      <c r="PKX112" s="3"/>
      <c r="PKY112" s="3"/>
      <c r="PKZ112" s="3"/>
      <c r="PLA112" s="3"/>
      <c r="PLB112" s="3"/>
      <c r="PLC112" s="3"/>
      <c r="PLD112" s="3"/>
      <c r="PLE112" s="3"/>
      <c r="PLF112" s="3"/>
      <c r="PLG112" s="3"/>
      <c r="PLH112" s="3"/>
      <c r="PLI112" s="3"/>
      <c r="PLJ112" s="3"/>
      <c r="PLK112" s="3"/>
      <c r="PLL112" s="3"/>
      <c r="PLM112" s="3"/>
      <c r="PLN112" s="3"/>
      <c r="PLO112" s="3"/>
      <c r="PLP112" s="3"/>
      <c r="PLQ112" s="3"/>
      <c r="PLR112" s="3"/>
      <c r="PLS112" s="3"/>
      <c r="PLT112" s="3"/>
      <c r="PLU112" s="3"/>
      <c r="PLV112" s="3"/>
      <c r="PLW112" s="3"/>
      <c r="PLX112" s="3"/>
      <c r="PLY112" s="3"/>
      <c r="PLZ112" s="3"/>
      <c r="PMA112" s="3"/>
      <c r="PMB112" s="3"/>
      <c r="PMC112" s="3"/>
      <c r="PMD112" s="3"/>
      <c r="PME112" s="3"/>
      <c r="PMF112" s="3"/>
      <c r="PMG112" s="3"/>
      <c r="PMH112" s="3"/>
      <c r="PMI112" s="3"/>
      <c r="PMJ112" s="3"/>
      <c r="PMK112" s="3"/>
      <c r="PML112" s="3"/>
      <c r="PMM112" s="3"/>
      <c r="PMN112" s="3"/>
      <c r="PMO112" s="3"/>
      <c r="PMP112" s="3"/>
      <c r="PMQ112" s="3"/>
      <c r="PMR112" s="3"/>
      <c r="PMS112" s="3"/>
      <c r="PMT112" s="3"/>
      <c r="PMU112" s="3"/>
      <c r="PMV112" s="3"/>
      <c r="PMW112" s="3"/>
      <c r="PMX112" s="3"/>
      <c r="PMY112" s="3"/>
      <c r="PMZ112" s="3"/>
      <c r="PNA112" s="3"/>
      <c r="PNB112" s="3"/>
      <c r="PNC112" s="3"/>
      <c r="PND112" s="3"/>
      <c r="PNE112" s="3"/>
      <c r="PNF112" s="3"/>
      <c r="PNG112" s="3"/>
      <c r="PNH112" s="3"/>
      <c r="PNI112" s="3"/>
      <c r="PNJ112" s="3"/>
      <c r="PNK112" s="3"/>
      <c r="PNL112" s="3"/>
      <c r="PNM112" s="3"/>
      <c r="PNN112" s="3"/>
      <c r="PNO112" s="3"/>
      <c r="PNP112" s="3"/>
      <c r="PNQ112" s="3"/>
      <c r="PNR112" s="3"/>
      <c r="PNS112" s="3"/>
      <c r="PNT112" s="3"/>
      <c r="PNU112" s="3"/>
      <c r="PNV112" s="3"/>
      <c r="PNW112" s="3"/>
      <c r="PNX112" s="3"/>
      <c r="PNY112" s="3"/>
      <c r="PNZ112" s="3"/>
      <c r="POA112" s="3"/>
      <c r="POB112" s="3"/>
      <c r="POC112" s="3"/>
      <c r="POD112" s="3"/>
      <c r="POE112" s="3"/>
      <c r="POF112" s="3"/>
      <c r="POG112" s="3"/>
      <c r="POH112" s="3"/>
      <c r="POI112" s="3"/>
      <c r="POJ112" s="3"/>
      <c r="POK112" s="3"/>
      <c r="POL112" s="3"/>
      <c r="POM112" s="3"/>
      <c r="PON112" s="3"/>
      <c r="POO112" s="3"/>
      <c r="POP112" s="3"/>
      <c r="POQ112" s="3"/>
      <c r="POR112" s="3"/>
      <c r="POS112" s="3"/>
      <c r="POT112" s="3"/>
      <c r="POU112" s="3"/>
      <c r="POV112" s="3"/>
      <c r="POW112" s="3"/>
      <c r="POX112" s="3"/>
      <c r="POY112" s="3"/>
      <c r="POZ112" s="3"/>
      <c r="PPA112" s="3"/>
      <c r="PPB112" s="3"/>
      <c r="PPC112" s="3"/>
      <c r="PPD112" s="3"/>
      <c r="PPE112" s="3"/>
      <c r="PPF112" s="3"/>
      <c r="PPG112" s="3"/>
      <c r="PPH112" s="3"/>
      <c r="PPI112" s="3"/>
      <c r="PPJ112" s="3"/>
      <c r="PPK112" s="3"/>
      <c r="PPL112" s="3"/>
      <c r="PPM112" s="3"/>
      <c r="PPN112" s="3"/>
      <c r="PPO112" s="3"/>
      <c r="PPP112" s="3"/>
      <c r="PPQ112" s="3"/>
      <c r="PPR112" s="3"/>
      <c r="PPS112" s="3"/>
      <c r="PPT112" s="3"/>
      <c r="PPU112" s="3"/>
      <c r="PPV112" s="3"/>
      <c r="PPW112" s="3"/>
      <c r="PPX112" s="3"/>
      <c r="PPY112" s="3"/>
      <c r="PPZ112" s="3"/>
      <c r="PQA112" s="3"/>
      <c r="PQB112" s="3"/>
      <c r="PQC112" s="3"/>
      <c r="PQD112" s="3"/>
      <c r="PQE112" s="3"/>
      <c r="PQF112" s="3"/>
      <c r="PQG112" s="3"/>
      <c r="PQH112" s="3"/>
      <c r="PQI112" s="3"/>
      <c r="PQJ112" s="3"/>
      <c r="PQK112" s="3"/>
      <c r="PQL112" s="3"/>
      <c r="PQM112" s="3"/>
      <c r="PQN112" s="3"/>
      <c r="PQO112" s="3"/>
      <c r="PQP112" s="3"/>
      <c r="PQQ112" s="3"/>
      <c r="PQR112" s="3"/>
      <c r="PQS112" s="3"/>
      <c r="PQT112" s="3"/>
      <c r="PQU112" s="3"/>
      <c r="PQV112" s="3"/>
      <c r="PQW112" s="3"/>
      <c r="PQX112" s="3"/>
      <c r="PQY112" s="3"/>
      <c r="PQZ112" s="3"/>
      <c r="PRA112" s="3"/>
      <c r="PRB112" s="3"/>
      <c r="PRC112" s="3"/>
      <c r="PRD112" s="3"/>
      <c r="PRE112" s="3"/>
      <c r="PRF112" s="3"/>
      <c r="PRG112" s="3"/>
      <c r="PRH112" s="3"/>
      <c r="PRI112" s="3"/>
      <c r="PRJ112" s="3"/>
      <c r="PRK112" s="3"/>
      <c r="PRL112" s="3"/>
      <c r="PRM112" s="3"/>
      <c r="PRN112" s="3"/>
      <c r="PRO112" s="3"/>
      <c r="PRP112" s="3"/>
      <c r="PRQ112" s="3"/>
      <c r="PRR112" s="3"/>
      <c r="PRS112" s="3"/>
      <c r="PRT112" s="3"/>
      <c r="PRU112" s="3"/>
      <c r="PRV112" s="3"/>
      <c r="PRW112" s="3"/>
      <c r="PRX112" s="3"/>
      <c r="PRY112" s="3"/>
      <c r="PRZ112" s="3"/>
      <c r="PSA112" s="3"/>
      <c r="PSB112" s="3"/>
      <c r="PSC112" s="3"/>
      <c r="PSD112" s="3"/>
      <c r="PSE112" s="3"/>
      <c r="PSF112" s="3"/>
      <c r="PSG112" s="3"/>
      <c r="PSH112" s="3"/>
      <c r="PSI112" s="3"/>
      <c r="PSJ112" s="3"/>
      <c r="PSK112" s="3"/>
      <c r="PSL112" s="3"/>
      <c r="PSM112" s="3"/>
      <c r="PSN112" s="3"/>
      <c r="PSO112" s="3"/>
      <c r="PSP112" s="3"/>
      <c r="PSQ112" s="3"/>
      <c r="PSR112" s="3"/>
      <c r="PSS112" s="3"/>
      <c r="PST112" s="3"/>
      <c r="PSU112" s="3"/>
      <c r="PSV112" s="3"/>
      <c r="PSW112" s="3"/>
      <c r="PSX112" s="3"/>
      <c r="PSY112" s="3"/>
      <c r="PSZ112" s="3"/>
      <c r="PTA112" s="3"/>
      <c r="PTB112" s="3"/>
      <c r="PTC112" s="3"/>
      <c r="PTD112" s="3"/>
      <c r="PTE112" s="3"/>
      <c r="PTF112" s="3"/>
      <c r="PTG112" s="3"/>
      <c r="PTH112" s="3"/>
      <c r="PTI112" s="3"/>
      <c r="PTJ112" s="3"/>
      <c r="PTK112" s="3"/>
      <c r="PTL112" s="3"/>
      <c r="PTM112" s="3"/>
      <c r="PTN112" s="3"/>
      <c r="PTO112" s="3"/>
      <c r="PTP112" s="3"/>
      <c r="PTQ112" s="3"/>
      <c r="PTR112" s="3"/>
      <c r="PTS112" s="3"/>
      <c r="PTT112" s="3"/>
      <c r="PTU112" s="3"/>
      <c r="PTV112" s="3"/>
      <c r="PTW112" s="3"/>
      <c r="PTX112" s="3"/>
      <c r="PTY112" s="3"/>
      <c r="PTZ112" s="3"/>
      <c r="PUA112" s="3"/>
      <c r="PUB112" s="3"/>
      <c r="PUC112" s="3"/>
      <c r="PUD112" s="3"/>
      <c r="PUE112" s="3"/>
      <c r="PUF112" s="3"/>
      <c r="PUG112" s="3"/>
      <c r="PUH112" s="3"/>
      <c r="PUI112" s="3"/>
      <c r="PUJ112" s="3"/>
      <c r="PUK112" s="3"/>
      <c r="PUL112" s="3"/>
      <c r="PUM112" s="3"/>
      <c r="PUN112" s="3"/>
      <c r="PUO112" s="3"/>
      <c r="PUP112" s="3"/>
      <c r="PUQ112" s="3"/>
      <c r="PUR112" s="3"/>
      <c r="PUS112" s="3"/>
      <c r="PUT112" s="3"/>
      <c r="PUU112" s="3"/>
      <c r="PUV112" s="3"/>
      <c r="PUW112" s="3"/>
      <c r="PUX112" s="3"/>
      <c r="PUY112" s="3"/>
      <c r="PUZ112" s="3"/>
      <c r="PVA112" s="3"/>
      <c r="PVB112" s="3"/>
      <c r="PVC112" s="3"/>
      <c r="PVD112" s="3"/>
      <c r="PVE112" s="3"/>
      <c r="PVF112" s="3"/>
      <c r="PVG112" s="3"/>
      <c r="PVH112" s="3"/>
      <c r="PVI112" s="3"/>
      <c r="PVJ112" s="3"/>
      <c r="PVK112" s="3"/>
      <c r="PVL112" s="3"/>
      <c r="PVM112" s="3"/>
      <c r="PVN112" s="3"/>
      <c r="PVO112" s="3"/>
      <c r="PVP112" s="3"/>
      <c r="PVQ112" s="3"/>
      <c r="PVR112" s="3"/>
      <c r="PVS112" s="3"/>
      <c r="PVT112" s="3"/>
      <c r="PVU112" s="3"/>
      <c r="PVV112" s="3"/>
      <c r="PVW112" s="3"/>
      <c r="PVX112" s="3"/>
      <c r="PVY112" s="3"/>
      <c r="PVZ112" s="3"/>
      <c r="PWA112" s="3"/>
      <c r="PWB112" s="3"/>
      <c r="PWC112" s="3"/>
      <c r="PWD112" s="3"/>
      <c r="PWE112" s="3"/>
      <c r="PWF112" s="3"/>
      <c r="PWG112" s="3"/>
      <c r="PWH112" s="3"/>
      <c r="PWI112" s="3"/>
      <c r="PWJ112" s="3"/>
      <c r="PWK112" s="3"/>
      <c r="PWL112" s="3"/>
      <c r="PWM112" s="3"/>
      <c r="PWN112" s="3"/>
      <c r="PWO112" s="3"/>
      <c r="PWP112" s="3"/>
      <c r="PWQ112" s="3"/>
      <c r="PWR112" s="3"/>
      <c r="PWS112" s="3"/>
      <c r="PWT112" s="3"/>
      <c r="PWU112" s="3"/>
      <c r="PWV112" s="3"/>
      <c r="PWW112" s="3"/>
      <c r="PWX112" s="3"/>
      <c r="PWY112" s="3"/>
      <c r="PWZ112" s="3"/>
      <c r="PXA112" s="3"/>
      <c r="PXB112" s="3"/>
      <c r="PXC112" s="3"/>
      <c r="PXD112" s="3"/>
      <c r="PXE112" s="3"/>
      <c r="PXF112" s="3"/>
      <c r="PXG112" s="3"/>
      <c r="PXH112" s="3"/>
      <c r="PXI112" s="3"/>
      <c r="PXJ112" s="3"/>
      <c r="PXK112" s="3"/>
      <c r="PXL112" s="3"/>
      <c r="PXM112" s="3"/>
      <c r="PXN112" s="3"/>
      <c r="PXO112" s="3"/>
      <c r="PXP112" s="3"/>
      <c r="PXQ112" s="3"/>
      <c r="PXR112" s="3"/>
      <c r="PXS112" s="3"/>
      <c r="PXT112" s="3"/>
      <c r="PXU112" s="3"/>
      <c r="PXV112" s="3"/>
      <c r="PXW112" s="3"/>
      <c r="PXX112" s="3"/>
      <c r="PXY112" s="3"/>
      <c r="PXZ112" s="3"/>
      <c r="PYA112" s="3"/>
      <c r="PYB112" s="3"/>
      <c r="PYC112" s="3"/>
      <c r="PYD112" s="3"/>
      <c r="PYE112" s="3"/>
      <c r="PYF112" s="3"/>
      <c r="PYG112" s="3"/>
      <c r="PYH112" s="3"/>
      <c r="PYI112" s="3"/>
      <c r="PYJ112" s="3"/>
      <c r="PYK112" s="3"/>
      <c r="PYL112" s="3"/>
      <c r="PYM112" s="3"/>
      <c r="PYN112" s="3"/>
      <c r="PYO112" s="3"/>
      <c r="PYP112" s="3"/>
      <c r="PYQ112" s="3"/>
      <c r="PYR112" s="3"/>
      <c r="PYS112" s="3"/>
      <c r="PYT112" s="3"/>
      <c r="PYU112" s="3"/>
      <c r="PYV112" s="3"/>
      <c r="PYW112" s="3"/>
      <c r="PYX112" s="3"/>
      <c r="PYY112" s="3"/>
      <c r="PYZ112" s="3"/>
      <c r="PZA112" s="3"/>
      <c r="PZB112" s="3"/>
      <c r="PZC112" s="3"/>
      <c r="PZD112" s="3"/>
      <c r="PZE112" s="3"/>
      <c r="PZF112" s="3"/>
      <c r="PZG112" s="3"/>
      <c r="PZH112" s="3"/>
      <c r="PZI112" s="3"/>
      <c r="PZJ112" s="3"/>
      <c r="PZK112" s="3"/>
      <c r="PZL112" s="3"/>
      <c r="PZM112" s="3"/>
      <c r="PZN112" s="3"/>
      <c r="PZO112" s="3"/>
      <c r="PZP112" s="3"/>
      <c r="PZQ112" s="3"/>
      <c r="PZR112" s="3"/>
      <c r="PZS112" s="3"/>
      <c r="PZT112" s="3"/>
      <c r="PZU112" s="3"/>
      <c r="PZV112" s="3"/>
      <c r="PZW112" s="3"/>
      <c r="PZX112" s="3"/>
      <c r="PZY112" s="3"/>
      <c r="PZZ112" s="3"/>
      <c r="QAA112" s="3"/>
      <c r="QAB112" s="3"/>
      <c r="QAC112" s="3"/>
      <c r="QAD112" s="3"/>
      <c r="QAE112" s="3"/>
      <c r="QAF112" s="3"/>
      <c r="QAG112" s="3"/>
      <c r="QAH112" s="3"/>
      <c r="QAI112" s="3"/>
      <c r="QAJ112" s="3"/>
      <c r="QAK112" s="3"/>
      <c r="QAL112" s="3"/>
      <c r="QAM112" s="3"/>
      <c r="QAN112" s="3"/>
      <c r="QAO112" s="3"/>
      <c r="QAP112" s="3"/>
      <c r="QAQ112" s="3"/>
      <c r="QAR112" s="3"/>
      <c r="QAS112" s="3"/>
      <c r="QAT112" s="3"/>
      <c r="QAU112" s="3"/>
      <c r="QAV112" s="3"/>
      <c r="QAW112" s="3"/>
      <c r="QAX112" s="3"/>
      <c r="QAY112" s="3"/>
      <c r="QAZ112" s="3"/>
      <c r="QBA112" s="3"/>
      <c r="QBB112" s="3"/>
      <c r="QBC112" s="3"/>
      <c r="QBD112" s="3"/>
      <c r="QBE112" s="3"/>
      <c r="QBF112" s="3"/>
      <c r="QBG112" s="3"/>
      <c r="QBH112" s="3"/>
      <c r="QBI112" s="3"/>
      <c r="QBJ112" s="3"/>
      <c r="QBK112" s="3"/>
      <c r="QBL112" s="3"/>
      <c r="QBM112" s="3"/>
      <c r="QBN112" s="3"/>
      <c r="QBO112" s="3"/>
      <c r="QBP112" s="3"/>
      <c r="QBQ112" s="3"/>
      <c r="QBR112" s="3"/>
      <c r="QBS112" s="3"/>
      <c r="QBT112" s="3"/>
      <c r="QBU112" s="3"/>
      <c r="QBV112" s="3"/>
      <c r="QBW112" s="3"/>
      <c r="QBX112" s="3"/>
      <c r="QBY112" s="3"/>
      <c r="QBZ112" s="3"/>
      <c r="QCA112" s="3"/>
      <c r="QCB112" s="3"/>
      <c r="QCC112" s="3"/>
      <c r="QCD112" s="3"/>
      <c r="QCE112" s="3"/>
      <c r="QCF112" s="3"/>
      <c r="QCG112" s="3"/>
      <c r="QCH112" s="3"/>
      <c r="QCI112" s="3"/>
      <c r="QCJ112" s="3"/>
      <c r="QCK112" s="3"/>
      <c r="QCL112" s="3"/>
      <c r="QCM112" s="3"/>
      <c r="QCN112" s="3"/>
      <c r="QCO112" s="3"/>
      <c r="QCP112" s="3"/>
      <c r="QCQ112" s="3"/>
      <c r="QCR112" s="3"/>
      <c r="QCS112" s="3"/>
      <c r="QCT112" s="3"/>
      <c r="QCU112" s="3"/>
      <c r="QCV112" s="3"/>
      <c r="QCW112" s="3"/>
      <c r="QCX112" s="3"/>
      <c r="QCY112" s="3"/>
      <c r="QCZ112" s="3"/>
      <c r="QDA112" s="3"/>
      <c r="QDB112" s="3"/>
      <c r="QDC112" s="3"/>
      <c r="QDD112" s="3"/>
      <c r="QDE112" s="3"/>
      <c r="QDF112" s="3"/>
      <c r="QDG112" s="3"/>
      <c r="QDH112" s="3"/>
      <c r="QDI112" s="3"/>
      <c r="QDJ112" s="3"/>
      <c r="QDK112" s="3"/>
      <c r="QDL112" s="3"/>
      <c r="QDM112" s="3"/>
      <c r="QDN112" s="3"/>
      <c r="QDO112" s="3"/>
      <c r="QDP112" s="3"/>
      <c r="QDQ112" s="3"/>
      <c r="QDR112" s="3"/>
      <c r="QDS112" s="3"/>
      <c r="QDT112" s="3"/>
      <c r="QDU112" s="3"/>
      <c r="QDV112" s="3"/>
      <c r="QDW112" s="3"/>
      <c r="QDX112" s="3"/>
      <c r="QDY112" s="3"/>
      <c r="QDZ112" s="3"/>
      <c r="QEA112" s="3"/>
      <c r="QEB112" s="3"/>
      <c r="QEC112" s="3"/>
      <c r="QED112" s="3"/>
      <c r="QEE112" s="3"/>
      <c r="QEF112" s="3"/>
      <c r="QEG112" s="3"/>
      <c r="QEH112" s="3"/>
      <c r="QEI112" s="3"/>
      <c r="QEJ112" s="3"/>
      <c r="QEK112" s="3"/>
      <c r="QEL112" s="3"/>
      <c r="QEM112" s="3"/>
      <c r="QEN112" s="3"/>
      <c r="QEO112" s="3"/>
      <c r="QEP112" s="3"/>
      <c r="QEQ112" s="3"/>
      <c r="QER112" s="3"/>
      <c r="QES112" s="3"/>
      <c r="QET112" s="3"/>
      <c r="QEU112" s="3"/>
      <c r="QEV112" s="3"/>
      <c r="QEW112" s="3"/>
      <c r="QEX112" s="3"/>
      <c r="QEY112" s="3"/>
      <c r="QEZ112" s="3"/>
      <c r="QFA112" s="3"/>
      <c r="QFB112" s="3"/>
      <c r="QFC112" s="3"/>
      <c r="QFD112" s="3"/>
      <c r="QFE112" s="3"/>
      <c r="QFF112" s="3"/>
      <c r="QFG112" s="3"/>
      <c r="QFH112" s="3"/>
      <c r="QFI112" s="3"/>
      <c r="QFJ112" s="3"/>
      <c r="QFK112" s="3"/>
      <c r="QFL112" s="3"/>
      <c r="QFM112" s="3"/>
      <c r="QFN112" s="3"/>
      <c r="QFO112" s="3"/>
      <c r="QFP112" s="3"/>
      <c r="QFQ112" s="3"/>
      <c r="QFR112" s="3"/>
      <c r="QFS112" s="3"/>
      <c r="QFT112" s="3"/>
      <c r="QFU112" s="3"/>
      <c r="QFV112" s="3"/>
      <c r="QFW112" s="3"/>
      <c r="QFX112" s="3"/>
      <c r="QFY112" s="3"/>
      <c r="QFZ112" s="3"/>
      <c r="QGA112" s="3"/>
      <c r="QGB112" s="3"/>
      <c r="QGC112" s="3"/>
      <c r="QGD112" s="3"/>
      <c r="QGE112" s="3"/>
      <c r="QGF112" s="3"/>
      <c r="QGG112" s="3"/>
      <c r="QGH112" s="3"/>
      <c r="QGI112" s="3"/>
      <c r="QGJ112" s="3"/>
      <c r="QGK112" s="3"/>
      <c r="QGL112" s="3"/>
      <c r="QGM112" s="3"/>
      <c r="QGN112" s="3"/>
      <c r="QGO112" s="3"/>
      <c r="QGP112" s="3"/>
      <c r="QGQ112" s="3"/>
      <c r="QGR112" s="3"/>
      <c r="QGS112" s="3"/>
      <c r="QGT112" s="3"/>
      <c r="QGU112" s="3"/>
      <c r="QGV112" s="3"/>
      <c r="QGW112" s="3"/>
      <c r="QGX112" s="3"/>
      <c r="QGY112" s="3"/>
      <c r="QGZ112" s="3"/>
      <c r="QHA112" s="3"/>
      <c r="QHB112" s="3"/>
      <c r="QHC112" s="3"/>
      <c r="QHD112" s="3"/>
      <c r="QHE112" s="3"/>
      <c r="QHF112" s="3"/>
      <c r="QHG112" s="3"/>
      <c r="QHH112" s="3"/>
      <c r="QHI112" s="3"/>
      <c r="QHJ112" s="3"/>
      <c r="QHK112" s="3"/>
      <c r="QHL112" s="3"/>
      <c r="QHM112" s="3"/>
      <c r="QHN112" s="3"/>
      <c r="QHO112" s="3"/>
      <c r="QHP112" s="3"/>
      <c r="QHQ112" s="3"/>
      <c r="QHR112" s="3"/>
      <c r="QHS112" s="3"/>
      <c r="QHT112" s="3"/>
      <c r="QHU112" s="3"/>
      <c r="QHV112" s="3"/>
      <c r="QHW112" s="3"/>
      <c r="QHX112" s="3"/>
      <c r="QHY112" s="3"/>
      <c r="QHZ112" s="3"/>
      <c r="QIA112" s="3"/>
      <c r="QIB112" s="3"/>
      <c r="QIC112" s="3"/>
      <c r="QID112" s="3"/>
      <c r="QIE112" s="3"/>
      <c r="QIF112" s="3"/>
      <c r="QIG112" s="3"/>
      <c r="QIH112" s="3"/>
      <c r="QII112" s="3"/>
      <c r="QIJ112" s="3"/>
      <c r="QIK112" s="3"/>
      <c r="QIL112" s="3"/>
      <c r="QIM112" s="3"/>
      <c r="QIN112" s="3"/>
      <c r="QIO112" s="3"/>
      <c r="QIP112" s="3"/>
      <c r="QIQ112" s="3"/>
      <c r="QIR112" s="3"/>
      <c r="QIS112" s="3"/>
      <c r="QIT112" s="3"/>
      <c r="QIU112" s="3"/>
      <c r="QIV112" s="3"/>
      <c r="QIW112" s="3"/>
      <c r="QIX112" s="3"/>
      <c r="QIY112" s="3"/>
      <c r="QIZ112" s="3"/>
      <c r="QJA112" s="3"/>
      <c r="QJB112" s="3"/>
      <c r="QJC112" s="3"/>
      <c r="QJD112" s="3"/>
      <c r="QJE112" s="3"/>
      <c r="QJF112" s="3"/>
      <c r="QJG112" s="3"/>
      <c r="QJH112" s="3"/>
      <c r="QJI112" s="3"/>
      <c r="QJJ112" s="3"/>
      <c r="QJK112" s="3"/>
      <c r="QJL112" s="3"/>
      <c r="QJM112" s="3"/>
      <c r="QJN112" s="3"/>
      <c r="QJO112" s="3"/>
      <c r="QJP112" s="3"/>
      <c r="QJQ112" s="3"/>
      <c r="QJR112" s="3"/>
      <c r="QJS112" s="3"/>
      <c r="QJT112" s="3"/>
      <c r="QJU112" s="3"/>
      <c r="QJV112" s="3"/>
      <c r="QJW112" s="3"/>
      <c r="QJX112" s="3"/>
      <c r="QJY112" s="3"/>
      <c r="QJZ112" s="3"/>
      <c r="QKA112" s="3"/>
      <c r="QKB112" s="3"/>
      <c r="QKC112" s="3"/>
      <c r="QKD112" s="3"/>
      <c r="QKE112" s="3"/>
      <c r="QKF112" s="3"/>
      <c r="QKG112" s="3"/>
      <c r="QKH112" s="3"/>
      <c r="QKI112" s="3"/>
      <c r="QKJ112" s="3"/>
      <c r="QKK112" s="3"/>
      <c r="QKL112" s="3"/>
      <c r="QKM112" s="3"/>
      <c r="QKN112" s="3"/>
      <c r="QKO112" s="3"/>
      <c r="QKP112" s="3"/>
      <c r="QKQ112" s="3"/>
      <c r="QKR112" s="3"/>
      <c r="QKS112" s="3"/>
      <c r="QKT112" s="3"/>
      <c r="QKU112" s="3"/>
      <c r="QKV112" s="3"/>
      <c r="QKW112" s="3"/>
      <c r="QKX112" s="3"/>
      <c r="QKY112" s="3"/>
      <c r="QKZ112" s="3"/>
      <c r="QLA112" s="3"/>
      <c r="QLB112" s="3"/>
      <c r="QLC112" s="3"/>
      <c r="QLD112" s="3"/>
      <c r="QLE112" s="3"/>
      <c r="QLF112" s="3"/>
      <c r="QLG112" s="3"/>
      <c r="QLH112" s="3"/>
      <c r="QLI112" s="3"/>
      <c r="QLJ112" s="3"/>
      <c r="QLK112" s="3"/>
      <c r="QLL112" s="3"/>
      <c r="QLM112" s="3"/>
      <c r="QLN112" s="3"/>
      <c r="QLO112" s="3"/>
      <c r="QLP112" s="3"/>
      <c r="QLQ112" s="3"/>
      <c r="QLR112" s="3"/>
      <c r="QLS112" s="3"/>
      <c r="QLT112" s="3"/>
      <c r="QLU112" s="3"/>
      <c r="QLV112" s="3"/>
      <c r="QLW112" s="3"/>
      <c r="QLX112" s="3"/>
      <c r="QLY112" s="3"/>
      <c r="QLZ112" s="3"/>
      <c r="QMA112" s="3"/>
      <c r="QMB112" s="3"/>
      <c r="QMC112" s="3"/>
      <c r="QMD112" s="3"/>
      <c r="QME112" s="3"/>
      <c r="QMF112" s="3"/>
      <c r="QMG112" s="3"/>
      <c r="QMH112" s="3"/>
      <c r="QMI112" s="3"/>
      <c r="QMJ112" s="3"/>
      <c r="QMK112" s="3"/>
      <c r="QML112" s="3"/>
      <c r="QMM112" s="3"/>
      <c r="QMN112" s="3"/>
      <c r="QMO112" s="3"/>
      <c r="QMP112" s="3"/>
      <c r="QMQ112" s="3"/>
      <c r="QMR112" s="3"/>
      <c r="QMS112" s="3"/>
      <c r="QMT112" s="3"/>
      <c r="QMU112" s="3"/>
      <c r="QMV112" s="3"/>
      <c r="QMW112" s="3"/>
      <c r="QMX112" s="3"/>
      <c r="QMY112" s="3"/>
      <c r="QMZ112" s="3"/>
      <c r="QNA112" s="3"/>
      <c r="QNB112" s="3"/>
      <c r="QNC112" s="3"/>
      <c r="QND112" s="3"/>
      <c r="QNE112" s="3"/>
      <c r="QNF112" s="3"/>
      <c r="QNG112" s="3"/>
      <c r="QNH112" s="3"/>
      <c r="QNI112" s="3"/>
      <c r="QNJ112" s="3"/>
      <c r="QNK112" s="3"/>
      <c r="QNL112" s="3"/>
      <c r="QNM112" s="3"/>
      <c r="QNN112" s="3"/>
      <c r="QNO112" s="3"/>
      <c r="QNP112" s="3"/>
      <c r="QNQ112" s="3"/>
      <c r="QNR112" s="3"/>
      <c r="QNS112" s="3"/>
      <c r="QNT112" s="3"/>
      <c r="QNU112" s="3"/>
      <c r="QNV112" s="3"/>
      <c r="QNW112" s="3"/>
      <c r="QNX112" s="3"/>
      <c r="QNY112" s="3"/>
      <c r="QNZ112" s="3"/>
      <c r="QOA112" s="3"/>
      <c r="QOB112" s="3"/>
      <c r="QOC112" s="3"/>
      <c r="QOD112" s="3"/>
      <c r="QOE112" s="3"/>
      <c r="QOF112" s="3"/>
      <c r="QOG112" s="3"/>
      <c r="QOH112" s="3"/>
      <c r="QOI112" s="3"/>
      <c r="QOJ112" s="3"/>
      <c r="QOK112" s="3"/>
      <c r="QOL112" s="3"/>
      <c r="QOM112" s="3"/>
      <c r="QON112" s="3"/>
      <c r="QOO112" s="3"/>
      <c r="QOP112" s="3"/>
      <c r="QOQ112" s="3"/>
      <c r="QOR112" s="3"/>
      <c r="QOS112" s="3"/>
      <c r="QOT112" s="3"/>
      <c r="QOU112" s="3"/>
      <c r="QOV112" s="3"/>
      <c r="QOW112" s="3"/>
      <c r="QOX112" s="3"/>
      <c r="QOY112" s="3"/>
      <c r="QOZ112" s="3"/>
      <c r="QPA112" s="3"/>
      <c r="QPB112" s="3"/>
      <c r="QPC112" s="3"/>
      <c r="QPD112" s="3"/>
      <c r="QPE112" s="3"/>
      <c r="QPF112" s="3"/>
      <c r="QPG112" s="3"/>
      <c r="QPH112" s="3"/>
      <c r="QPI112" s="3"/>
      <c r="QPJ112" s="3"/>
      <c r="QPK112" s="3"/>
      <c r="QPL112" s="3"/>
      <c r="QPM112" s="3"/>
      <c r="QPN112" s="3"/>
      <c r="QPO112" s="3"/>
      <c r="QPP112" s="3"/>
      <c r="QPQ112" s="3"/>
      <c r="QPR112" s="3"/>
      <c r="QPS112" s="3"/>
      <c r="QPT112" s="3"/>
      <c r="QPU112" s="3"/>
      <c r="QPV112" s="3"/>
      <c r="QPW112" s="3"/>
      <c r="QPX112" s="3"/>
      <c r="QPY112" s="3"/>
      <c r="QPZ112" s="3"/>
      <c r="QQA112" s="3"/>
      <c r="QQB112" s="3"/>
      <c r="QQC112" s="3"/>
      <c r="QQD112" s="3"/>
      <c r="QQE112" s="3"/>
      <c r="QQF112" s="3"/>
      <c r="QQG112" s="3"/>
      <c r="QQH112" s="3"/>
      <c r="QQI112" s="3"/>
      <c r="QQJ112" s="3"/>
      <c r="QQK112" s="3"/>
      <c r="QQL112" s="3"/>
      <c r="QQM112" s="3"/>
      <c r="QQN112" s="3"/>
      <c r="QQO112" s="3"/>
      <c r="QQP112" s="3"/>
      <c r="QQQ112" s="3"/>
      <c r="QQR112" s="3"/>
      <c r="QQS112" s="3"/>
      <c r="QQT112" s="3"/>
      <c r="QQU112" s="3"/>
      <c r="QQV112" s="3"/>
      <c r="QQW112" s="3"/>
      <c r="QQX112" s="3"/>
      <c r="QQY112" s="3"/>
      <c r="QQZ112" s="3"/>
      <c r="QRA112" s="3"/>
      <c r="QRB112" s="3"/>
      <c r="QRC112" s="3"/>
      <c r="QRD112" s="3"/>
      <c r="QRE112" s="3"/>
      <c r="QRF112" s="3"/>
      <c r="QRG112" s="3"/>
      <c r="QRH112" s="3"/>
      <c r="QRI112" s="3"/>
      <c r="QRJ112" s="3"/>
      <c r="QRK112" s="3"/>
      <c r="QRL112" s="3"/>
      <c r="QRM112" s="3"/>
      <c r="QRN112" s="3"/>
      <c r="QRO112" s="3"/>
      <c r="QRP112" s="3"/>
      <c r="QRQ112" s="3"/>
      <c r="QRR112" s="3"/>
      <c r="QRS112" s="3"/>
      <c r="QRT112" s="3"/>
      <c r="QRU112" s="3"/>
      <c r="QRV112" s="3"/>
      <c r="QRW112" s="3"/>
      <c r="QRX112" s="3"/>
      <c r="QRY112" s="3"/>
      <c r="QRZ112" s="3"/>
      <c r="QSA112" s="3"/>
      <c r="QSB112" s="3"/>
      <c r="QSC112" s="3"/>
      <c r="QSD112" s="3"/>
      <c r="QSE112" s="3"/>
      <c r="QSF112" s="3"/>
      <c r="QSG112" s="3"/>
      <c r="QSH112" s="3"/>
      <c r="QSI112" s="3"/>
      <c r="QSJ112" s="3"/>
      <c r="QSK112" s="3"/>
      <c r="QSL112" s="3"/>
      <c r="QSM112" s="3"/>
      <c r="QSN112" s="3"/>
      <c r="QSO112" s="3"/>
      <c r="QSP112" s="3"/>
      <c r="QSQ112" s="3"/>
      <c r="QSR112" s="3"/>
      <c r="QSS112" s="3"/>
      <c r="QST112" s="3"/>
      <c r="QSU112" s="3"/>
      <c r="QSV112" s="3"/>
      <c r="QSW112" s="3"/>
      <c r="QSX112" s="3"/>
      <c r="QSY112" s="3"/>
      <c r="QSZ112" s="3"/>
      <c r="QTA112" s="3"/>
      <c r="QTB112" s="3"/>
      <c r="QTC112" s="3"/>
      <c r="QTD112" s="3"/>
      <c r="QTE112" s="3"/>
      <c r="QTF112" s="3"/>
      <c r="QTG112" s="3"/>
      <c r="QTH112" s="3"/>
      <c r="QTI112" s="3"/>
      <c r="QTJ112" s="3"/>
      <c r="QTK112" s="3"/>
      <c r="QTL112" s="3"/>
      <c r="QTM112" s="3"/>
      <c r="QTN112" s="3"/>
      <c r="QTO112" s="3"/>
      <c r="QTP112" s="3"/>
      <c r="QTQ112" s="3"/>
      <c r="QTR112" s="3"/>
      <c r="QTS112" s="3"/>
      <c r="QTT112" s="3"/>
      <c r="QTU112" s="3"/>
      <c r="QTV112" s="3"/>
      <c r="QTW112" s="3"/>
      <c r="QTX112" s="3"/>
      <c r="QTY112" s="3"/>
      <c r="QTZ112" s="3"/>
      <c r="QUA112" s="3"/>
      <c r="QUB112" s="3"/>
      <c r="QUC112" s="3"/>
      <c r="QUD112" s="3"/>
      <c r="QUE112" s="3"/>
      <c r="QUF112" s="3"/>
      <c r="QUG112" s="3"/>
      <c r="QUH112" s="3"/>
      <c r="QUI112" s="3"/>
      <c r="QUJ112" s="3"/>
      <c r="QUK112" s="3"/>
      <c r="QUL112" s="3"/>
      <c r="QUM112" s="3"/>
      <c r="QUN112" s="3"/>
      <c r="QUO112" s="3"/>
      <c r="QUP112" s="3"/>
      <c r="QUQ112" s="3"/>
      <c r="QUR112" s="3"/>
      <c r="QUS112" s="3"/>
      <c r="QUT112" s="3"/>
      <c r="QUU112" s="3"/>
      <c r="QUV112" s="3"/>
      <c r="QUW112" s="3"/>
      <c r="QUX112" s="3"/>
      <c r="QUY112" s="3"/>
      <c r="QUZ112" s="3"/>
      <c r="QVA112" s="3"/>
      <c r="QVB112" s="3"/>
      <c r="QVC112" s="3"/>
      <c r="QVD112" s="3"/>
      <c r="QVE112" s="3"/>
      <c r="QVF112" s="3"/>
      <c r="QVG112" s="3"/>
      <c r="QVH112" s="3"/>
      <c r="QVI112" s="3"/>
      <c r="QVJ112" s="3"/>
      <c r="QVK112" s="3"/>
      <c r="QVL112" s="3"/>
      <c r="QVM112" s="3"/>
      <c r="QVN112" s="3"/>
      <c r="QVO112" s="3"/>
      <c r="QVP112" s="3"/>
      <c r="QVQ112" s="3"/>
      <c r="QVR112" s="3"/>
      <c r="QVS112" s="3"/>
      <c r="QVT112" s="3"/>
      <c r="QVU112" s="3"/>
      <c r="QVV112" s="3"/>
      <c r="QVW112" s="3"/>
      <c r="QVX112" s="3"/>
      <c r="QVY112" s="3"/>
      <c r="QVZ112" s="3"/>
      <c r="QWA112" s="3"/>
      <c r="QWB112" s="3"/>
      <c r="QWC112" s="3"/>
      <c r="QWD112" s="3"/>
      <c r="QWE112" s="3"/>
      <c r="QWF112" s="3"/>
      <c r="QWG112" s="3"/>
      <c r="QWH112" s="3"/>
      <c r="QWI112" s="3"/>
      <c r="QWJ112" s="3"/>
      <c r="QWK112" s="3"/>
      <c r="QWL112" s="3"/>
      <c r="QWM112" s="3"/>
      <c r="QWN112" s="3"/>
      <c r="QWO112" s="3"/>
      <c r="QWP112" s="3"/>
      <c r="QWQ112" s="3"/>
      <c r="QWR112" s="3"/>
      <c r="QWS112" s="3"/>
      <c r="QWT112" s="3"/>
      <c r="QWU112" s="3"/>
      <c r="QWV112" s="3"/>
      <c r="QWW112" s="3"/>
      <c r="QWX112" s="3"/>
      <c r="QWY112" s="3"/>
      <c r="QWZ112" s="3"/>
      <c r="QXA112" s="3"/>
      <c r="QXB112" s="3"/>
      <c r="QXC112" s="3"/>
      <c r="QXD112" s="3"/>
      <c r="QXE112" s="3"/>
      <c r="QXF112" s="3"/>
      <c r="QXG112" s="3"/>
      <c r="QXH112" s="3"/>
      <c r="QXI112" s="3"/>
      <c r="QXJ112" s="3"/>
      <c r="QXK112" s="3"/>
      <c r="QXL112" s="3"/>
      <c r="QXM112" s="3"/>
      <c r="QXN112" s="3"/>
      <c r="QXO112" s="3"/>
      <c r="QXP112" s="3"/>
      <c r="QXQ112" s="3"/>
      <c r="QXR112" s="3"/>
      <c r="QXS112" s="3"/>
      <c r="QXT112" s="3"/>
      <c r="QXU112" s="3"/>
      <c r="QXV112" s="3"/>
      <c r="QXW112" s="3"/>
      <c r="QXX112" s="3"/>
      <c r="QXY112" s="3"/>
      <c r="QXZ112" s="3"/>
      <c r="QYA112" s="3"/>
      <c r="QYB112" s="3"/>
      <c r="QYC112" s="3"/>
      <c r="QYD112" s="3"/>
      <c r="QYE112" s="3"/>
      <c r="QYF112" s="3"/>
      <c r="QYG112" s="3"/>
      <c r="QYH112" s="3"/>
      <c r="QYI112" s="3"/>
      <c r="QYJ112" s="3"/>
      <c r="QYK112" s="3"/>
      <c r="QYL112" s="3"/>
      <c r="QYM112" s="3"/>
      <c r="QYN112" s="3"/>
      <c r="QYO112" s="3"/>
      <c r="QYP112" s="3"/>
      <c r="QYQ112" s="3"/>
      <c r="QYR112" s="3"/>
      <c r="QYS112" s="3"/>
      <c r="QYT112" s="3"/>
      <c r="QYU112" s="3"/>
      <c r="QYV112" s="3"/>
      <c r="QYW112" s="3"/>
      <c r="QYX112" s="3"/>
      <c r="QYY112" s="3"/>
      <c r="QYZ112" s="3"/>
      <c r="QZA112" s="3"/>
      <c r="QZB112" s="3"/>
      <c r="QZC112" s="3"/>
      <c r="QZD112" s="3"/>
      <c r="QZE112" s="3"/>
      <c r="QZF112" s="3"/>
      <c r="QZG112" s="3"/>
      <c r="QZH112" s="3"/>
      <c r="QZI112" s="3"/>
      <c r="QZJ112" s="3"/>
      <c r="QZK112" s="3"/>
      <c r="QZL112" s="3"/>
      <c r="QZM112" s="3"/>
      <c r="QZN112" s="3"/>
      <c r="QZO112" s="3"/>
      <c r="QZP112" s="3"/>
      <c r="QZQ112" s="3"/>
      <c r="QZR112" s="3"/>
      <c r="QZS112" s="3"/>
      <c r="QZT112" s="3"/>
      <c r="QZU112" s="3"/>
      <c r="QZV112" s="3"/>
      <c r="QZW112" s="3"/>
      <c r="QZX112" s="3"/>
      <c r="QZY112" s="3"/>
      <c r="QZZ112" s="3"/>
      <c r="RAA112" s="3"/>
      <c r="RAB112" s="3"/>
      <c r="RAC112" s="3"/>
      <c r="RAD112" s="3"/>
      <c r="RAE112" s="3"/>
      <c r="RAF112" s="3"/>
      <c r="RAG112" s="3"/>
      <c r="RAH112" s="3"/>
      <c r="RAI112" s="3"/>
      <c r="RAJ112" s="3"/>
      <c r="RAK112" s="3"/>
      <c r="RAL112" s="3"/>
      <c r="RAM112" s="3"/>
      <c r="RAN112" s="3"/>
      <c r="RAO112" s="3"/>
      <c r="RAP112" s="3"/>
      <c r="RAQ112" s="3"/>
      <c r="RAR112" s="3"/>
      <c r="RAS112" s="3"/>
      <c r="RAT112" s="3"/>
      <c r="RAU112" s="3"/>
      <c r="RAV112" s="3"/>
      <c r="RAW112" s="3"/>
      <c r="RAX112" s="3"/>
      <c r="RAY112" s="3"/>
      <c r="RAZ112" s="3"/>
      <c r="RBA112" s="3"/>
      <c r="RBB112" s="3"/>
      <c r="RBC112" s="3"/>
      <c r="RBD112" s="3"/>
      <c r="RBE112" s="3"/>
      <c r="RBF112" s="3"/>
      <c r="RBG112" s="3"/>
      <c r="RBH112" s="3"/>
      <c r="RBI112" s="3"/>
      <c r="RBJ112" s="3"/>
      <c r="RBK112" s="3"/>
      <c r="RBL112" s="3"/>
      <c r="RBM112" s="3"/>
      <c r="RBN112" s="3"/>
      <c r="RBO112" s="3"/>
      <c r="RBP112" s="3"/>
      <c r="RBQ112" s="3"/>
      <c r="RBR112" s="3"/>
      <c r="RBS112" s="3"/>
      <c r="RBT112" s="3"/>
      <c r="RBU112" s="3"/>
      <c r="RBV112" s="3"/>
      <c r="RBW112" s="3"/>
      <c r="RBX112" s="3"/>
      <c r="RBY112" s="3"/>
      <c r="RBZ112" s="3"/>
      <c r="RCA112" s="3"/>
      <c r="RCB112" s="3"/>
      <c r="RCC112" s="3"/>
      <c r="RCD112" s="3"/>
      <c r="RCE112" s="3"/>
      <c r="RCF112" s="3"/>
      <c r="RCG112" s="3"/>
      <c r="RCH112" s="3"/>
      <c r="RCI112" s="3"/>
      <c r="RCJ112" s="3"/>
      <c r="RCK112" s="3"/>
      <c r="RCL112" s="3"/>
      <c r="RCM112" s="3"/>
      <c r="RCN112" s="3"/>
      <c r="RCO112" s="3"/>
      <c r="RCP112" s="3"/>
      <c r="RCQ112" s="3"/>
      <c r="RCR112" s="3"/>
      <c r="RCS112" s="3"/>
      <c r="RCT112" s="3"/>
      <c r="RCU112" s="3"/>
      <c r="RCV112" s="3"/>
      <c r="RCW112" s="3"/>
      <c r="RCX112" s="3"/>
      <c r="RCY112" s="3"/>
      <c r="RCZ112" s="3"/>
      <c r="RDA112" s="3"/>
      <c r="RDB112" s="3"/>
      <c r="RDC112" s="3"/>
      <c r="RDD112" s="3"/>
      <c r="RDE112" s="3"/>
      <c r="RDF112" s="3"/>
      <c r="RDG112" s="3"/>
      <c r="RDH112" s="3"/>
      <c r="RDI112" s="3"/>
      <c r="RDJ112" s="3"/>
      <c r="RDK112" s="3"/>
      <c r="RDL112" s="3"/>
      <c r="RDM112" s="3"/>
      <c r="RDN112" s="3"/>
      <c r="RDO112" s="3"/>
      <c r="RDP112" s="3"/>
      <c r="RDQ112" s="3"/>
      <c r="RDR112" s="3"/>
      <c r="RDS112" s="3"/>
      <c r="RDT112" s="3"/>
      <c r="RDU112" s="3"/>
      <c r="RDV112" s="3"/>
      <c r="RDW112" s="3"/>
      <c r="RDX112" s="3"/>
      <c r="RDY112" s="3"/>
      <c r="RDZ112" s="3"/>
      <c r="REA112" s="3"/>
      <c r="REB112" s="3"/>
      <c r="REC112" s="3"/>
      <c r="RED112" s="3"/>
      <c r="REE112" s="3"/>
      <c r="REF112" s="3"/>
      <c r="REG112" s="3"/>
      <c r="REH112" s="3"/>
      <c r="REI112" s="3"/>
      <c r="REJ112" s="3"/>
      <c r="REK112" s="3"/>
      <c r="REL112" s="3"/>
      <c r="REM112" s="3"/>
      <c r="REN112" s="3"/>
      <c r="REO112" s="3"/>
      <c r="REP112" s="3"/>
      <c r="REQ112" s="3"/>
      <c r="RER112" s="3"/>
      <c r="RES112" s="3"/>
      <c r="RET112" s="3"/>
      <c r="REU112" s="3"/>
      <c r="REV112" s="3"/>
      <c r="REW112" s="3"/>
      <c r="REX112" s="3"/>
      <c r="REY112" s="3"/>
      <c r="REZ112" s="3"/>
      <c r="RFA112" s="3"/>
      <c r="RFB112" s="3"/>
      <c r="RFC112" s="3"/>
      <c r="RFD112" s="3"/>
      <c r="RFE112" s="3"/>
      <c r="RFF112" s="3"/>
      <c r="RFG112" s="3"/>
      <c r="RFH112" s="3"/>
      <c r="RFI112" s="3"/>
      <c r="RFJ112" s="3"/>
      <c r="RFK112" s="3"/>
      <c r="RFL112" s="3"/>
      <c r="RFM112" s="3"/>
      <c r="RFN112" s="3"/>
      <c r="RFO112" s="3"/>
      <c r="RFP112" s="3"/>
      <c r="RFQ112" s="3"/>
      <c r="RFR112" s="3"/>
      <c r="RFS112" s="3"/>
      <c r="RFT112" s="3"/>
      <c r="RFU112" s="3"/>
      <c r="RFV112" s="3"/>
      <c r="RFW112" s="3"/>
      <c r="RFX112" s="3"/>
      <c r="RFY112" s="3"/>
      <c r="RFZ112" s="3"/>
      <c r="RGA112" s="3"/>
      <c r="RGB112" s="3"/>
      <c r="RGC112" s="3"/>
      <c r="RGD112" s="3"/>
      <c r="RGE112" s="3"/>
      <c r="RGF112" s="3"/>
      <c r="RGG112" s="3"/>
      <c r="RGH112" s="3"/>
      <c r="RGI112" s="3"/>
      <c r="RGJ112" s="3"/>
      <c r="RGK112" s="3"/>
      <c r="RGL112" s="3"/>
      <c r="RGM112" s="3"/>
      <c r="RGN112" s="3"/>
      <c r="RGO112" s="3"/>
      <c r="RGP112" s="3"/>
      <c r="RGQ112" s="3"/>
      <c r="RGR112" s="3"/>
      <c r="RGS112" s="3"/>
      <c r="RGT112" s="3"/>
      <c r="RGU112" s="3"/>
      <c r="RGV112" s="3"/>
      <c r="RGW112" s="3"/>
      <c r="RGX112" s="3"/>
      <c r="RGY112" s="3"/>
      <c r="RGZ112" s="3"/>
      <c r="RHA112" s="3"/>
      <c r="RHB112" s="3"/>
      <c r="RHC112" s="3"/>
      <c r="RHD112" s="3"/>
      <c r="RHE112" s="3"/>
      <c r="RHF112" s="3"/>
      <c r="RHG112" s="3"/>
      <c r="RHH112" s="3"/>
      <c r="RHI112" s="3"/>
      <c r="RHJ112" s="3"/>
      <c r="RHK112" s="3"/>
      <c r="RHL112" s="3"/>
      <c r="RHM112" s="3"/>
      <c r="RHN112" s="3"/>
      <c r="RHO112" s="3"/>
      <c r="RHP112" s="3"/>
      <c r="RHQ112" s="3"/>
      <c r="RHR112" s="3"/>
      <c r="RHS112" s="3"/>
      <c r="RHT112" s="3"/>
      <c r="RHU112" s="3"/>
      <c r="RHV112" s="3"/>
      <c r="RHW112" s="3"/>
      <c r="RHX112" s="3"/>
      <c r="RHY112" s="3"/>
      <c r="RHZ112" s="3"/>
      <c r="RIA112" s="3"/>
      <c r="RIB112" s="3"/>
      <c r="RIC112" s="3"/>
      <c r="RID112" s="3"/>
      <c r="RIE112" s="3"/>
      <c r="RIF112" s="3"/>
      <c r="RIG112" s="3"/>
      <c r="RIH112" s="3"/>
      <c r="RII112" s="3"/>
      <c r="RIJ112" s="3"/>
      <c r="RIK112" s="3"/>
      <c r="RIL112" s="3"/>
      <c r="RIM112" s="3"/>
      <c r="RIN112" s="3"/>
      <c r="RIO112" s="3"/>
      <c r="RIP112" s="3"/>
      <c r="RIQ112" s="3"/>
      <c r="RIR112" s="3"/>
      <c r="RIS112" s="3"/>
      <c r="RIT112" s="3"/>
      <c r="RIU112" s="3"/>
      <c r="RIV112" s="3"/>
      <c r="RIW112" s="3"/>
      <c r="RIX112" s="3"/>
      <c r="RIY112" s="3"/>
      <c r="RIZ112" s="3"/>
      <c r="RJA112" s="3"/>
      <c r="RJB112" s="3"/>
      <c r="RJC112" s="3"/>
      <c r="RJD112" s="3"/>
      <c r="RJE112" s="3"/>
      <c r="RJF112" s="3"/>
      <c r="RJG112" s="3"/>
      <c r="RJH112" s="3"/>
      <c r="RJI112" s="3"/>
      <c r="RJJ112" s="3"/>
      <c r="RJK112" s="3"/>
      <c r="RJL112" s="3"/>
      <c r="RJM112" s="3"/>
      <c r="RJN112" s="3"/>
      <c r="RJO112" s="3"/>
      <c r="RJP112" s="3"/>
      <c r="RJQ112" s="3"/>
      <c r="RJR112" s="3"/>
      <c r="RJS112" s="3"/>
      <c r="RJT112" s="3"/>
      <c r="RJU112" s="3"/>
      <c r="RJV112" s="3"/>
      <c r="RJW112" s="3"/>
      <c r="RJX112" s="3"/>
      <c r="RJY112" s="3"/>
      <c r="RJZ112" s="3"/>
      <c r="RKA112" s="3"/>
      <c r="RKB112" s="3"/>
      <c r="RKC112" s="3"/>
      <c r="RKD112" s="3"/>
      <c r="RKE112" s="3"/>
      <c r="RKF112" s="3"/>
      <c r="RKG112" s="3"/>
      <c r="RKH112" s="3"/>
      <c r="RKI112" s="3"/>
      <c r="RKJ112" s="3"/>
      <c r="RKK112" s="3"/>
      <c r="RKL112" s="3"/>
      <c r="RKM112" s="3"/>
      <c r="RKN112" s="3"/>
      <c r="RKO112" s="3"/>
      <c r="RKP112" s="3"/>
      <c r="RKQ112" s="3"/>
      <c r="RKR112" s="3"/>
      <c r="RKS112" s="3"/>
      <c r="RKT112" s="3"/>
      <c r="RKU112" s="3"/>
      <c r="RKV112" s="3"/>
      <c r="RKW112" s="3"/>
      <c r="RKX112" s="3"/>
      <c r="RKY112" s="3"/>
      <c r="RKZ112" s="3"/>
      <c r="RLA112" s="3"/>
      <c r="RLB112" s="3"/>
      <c r="RLC112" s="3"/>
      <c r="RLD112" s="3"/>
      <c r="RLE112" s="3"/>
      <c r="RLF112" s="3"/>
      <c r="RLG112" s="3"/>
      <c r="RLH112" s="3"/>
      <c r="RLI112" s="3"/>
      <c r="RLJ112" s="3"/>
      <c r="RLK112" s="3"/>
      <c r="RLL112" s="3"/>
      <c r="RLM112" s="3"/>
      <c r="RLN112" s="3"/>
      <c r="RLO112" s="3"/>
      <c r="RLP112" s="3"/>
      <c r="RLQ112" s="3"/>
      <c r="RLR112" s="3"/>
      <c r="RLS112" s="3"/>
      <c r="RLT112" s="3"/>
      <c r="RLU112" s="3"/>
      <c r="RLV112" s="3"/>
      <c r="RLW112" s="3"/>
      <c r="RLX112" s="3"/>
      <c r="RLY112" s="3"/>
      <c r="RLZ112" s="3"/>
      <c r="RMA112" s="3"/>
      <c r="RMB112" s="3"/>
      <c r="RMC112" s="3"/>
      <c r="RMD112" s="3"/>
      <c r="RME112" s="3"/>
      <c r="RMF112" s="3"/>
      <c r="RMG112" s="3"/>
      <c r="RMH112" s="3"/>
      <c r="RMI112" s="3"/>
      <c r="RMJ112" s="3"/>
      <c r="RMK112" s="3"/>
      <c r="RML112" s="3"/>
      <c r="RMM112" s="3"/>
      <c r="RMN112" s="3"/>
      <c r="RMO112" s="3"/>
      <c r="RMP112" s="3"/>
      <c r="RMQ112" s="3"/>
      <c r="RMR112" s="3"/>
      <c r="RMS112" s="3"/>
      <c r="RMT112" s="3"/>
      <c r="RMU112" s="3"/>
      <c r="RMV112" s="3"/>
      <c r="RMW112" s="3"/>
      <c r="RMX112" s="3"/>
      <c r="RMY112" s="3"/>
      <c r="RMZ112" s="3"/>
      <c r="RNA112" s="3"/>
      <c r="RNB112" s="3"/>
      <c r="RNC112" s="3"/>
      <c r="RND112" s="3"/>
      <c r="RNE112" s="3"/>
      <c r="RNF112" s="3"/>
      <c r="RNG112" s="3"/>
      <c r="RNH112" s="3"/>
      <c r="RNI112" s="3"/>
      <c r="RNJ112" s="3"/>
      <c r="RNK112" s="3"/>
      <c r="RNL112" s="3"/>
      <c r="RNM112" s="3"/>
      <c r="RNN112" s="3"/>
      <c r="RNO112" s="3"/>
      <c r="RNP112" s="3"/>
      <c r="RNQ112" s="3"/>
      <c r="RNR112" s="3"/>
      <c r="RNS112" s="3"/>
      <c r="RNT112" s="3"/>
      <c r="RNU112" s="3"/>
      <c r="RNV112" s="3"/>
      <c r="RNW112" s="3"/>
      <c r="RNX112" s="3"/>
      <c r="RNY112" s="3"/>
      <c r="RNZ112" s="3"/>
      <c r="ROA112" s="3"/>
      <c r="ROB112" s="3"/>
      <c r="ROC112" s="3"/>
      <c r="ROD112" s="3"/>
      <c r="ROE112" s="3"/>
      <c r="ROF112" s="3"/>
      <c r="ROG112" s="3"/>
      <c r="ROH112" s="3"/>
      <c r="ROI112" s="3"/>
      <c r="ROJ112" s="3"/>
      <c r="ROK112" s="3"/>
      <c r="ROL112" s="3"/>
      <c r="ROM112" s="3"/>
      <c r="RON112" s="3"/>
      <c r="ROO112" s="3"/>
      <c r="ROP112" s="3"/>
      <c r="ROQ112" s="3"/>
      <c r="ROR112" s="3"/>
      <c r="ROS112" s="3"/>
      <c r="ROT112" s="3"/>
      <c r="ROU112" s="3"/>
      <c r="ROV112" s="3"/>
      <c r="ROW112" s="3"/>
      <c r="ROX112" s="3"/>
      <c r="ROY112" s="3"/>
      <c r="ROZ112" s="3"/>
      <c r="RPA112" s="3"/>
      <c r="RPB112" s="3"/>
      <c r="RPC112" s="3"/>
      <c r="RPD112" s="3"/>
      <c r="RPE112" s="3"/>
      <c r="RPF112" s="3"/>
      <c r="RPG112" s="3"/>
      <c r="RPH112" s="3"/>
      <c r="RPI112" s="3"/>
      <c r="RPJ112" s="3"/>
      <c r="RPK112" s="3"/>
      <c r="RPL112" s="3"/>
      <c r="RPM112" s="3"/>
      <c r="RPN112" s="3"/>
      <c r="RPO112" s="3"/>
      <c r="RPP112" s="3"/>
      <c r="RPQ112" s="3"/>
      <c r="RPR112" s="3"/>
      <c r="RPS112" s="3"/>
      <c r="RPT112" s="3"/>
      <c r="RPU112" s="3"/>
      <c r="RPV112" s="3"/>
      <c r="RPW112" s="3"/>
      <c r="RPX112" s="3"/>
      <c r="RPY112" s="3"/>
      <c r="RPZ112" s="3"/>
      <c r="RQA112" s="3"/>
      <c r="RQB112" s="3"/>
      <c r="RQC112" s="3"/>
      <c r="RQD112" s="3"/>
      <c r="RQE112" s="3"/>
      <c r="RQF112" s="3"/>
      <c r="RQG112" s="3"/>
      <c r="RQH112" s="3"/>
      <c r="RQI112" s="3"/>
      <c r="RQJ112" s="3"/>
      <c r="RQK112" s="3"/>
      <c r="RQL112" s="3"/>
      <c r="RQM112" s="3"/>
      <c r="RQN112" s="3"/>
      <c r="RQO112" s="3"/>
      <c r="RQP112" s="3"/>
      <c r="RQQ112" s="3"/>
      <c r="RQR112" s="3"/>
      <c r="RQS112" s="3"/>
      <c r="RQT112" s="3"/>
      <c r="RQU112" s="3"/>
      <c r="RQV112" s="3"/>
      <c r="RQW112" s="3"/>
      <c r="RQX112" s="3"/>
      <c r="RQY112" s="3"/>
      <c r="RQZ112" s="3"/>
      <c r="RRA112" s="3"/>
      <c r="RRB112" s="3"/>
      <c r="RRC112" s="3"/>
      <c r="RRD112" s="3"/>
      <c r="RRE112" s="3"/>
      <c r="RRF112" s="3"/>
      <c r="RRG112" s="3"/>
      <c r="RRH112" s="3"/>
      <c r="RRI112" s="3"/>
      <c r="RRJ112" s="3"/>
      <c r="RRK112" s="3"/>
      <c r="RRL112" s="3"/>
      <c r="RRM112" s="3"/>
      <c r="RRN112" s="3"/>
      <c r="RRO112" s="3"/>
      <c r="RRP112" s="3"/>
      <c r="RRQ112" s="3"/>
      <c r="RRR112" s="3"/>
      <c r="RRS112" s="3"/>
      <c r="RRT112" s="3"/>
      <c r="RRU112" s="3"/>
      <c r="RRV112" s="3"/>
      <c r="RRW112" s="3"/>
      <c r="RRX112" s="3"/>
      <c r="RRY112" s="3"/>
      <c r="RRZ112" s="3"/>
      <c r="RSA112" s="3"/>
      <c r="RSB112" s="3"/>
      <c r="RSC112" s="3"/>
      <c r="RSD112" s="3"/>
      <c r="RSE112" s="3"/>
      <c r="RSF112" s="3"/>
      <c r="RSG112" s="3"/>
      <c r="RSH112" s="3"/>
      <c r="RSI112" s="3"/>
      <c r="RSJ112" s="3"/>
      <c r="RSK112" s="3"/>
      <c r="RSL112" s="3"/>
      <c r="RSM112" s="3"/>
      <c r="RSN112" s="3"/>
      <c r="RSO112" s="3"/>
      <c r="RSP112" s="3"/>
      <c r="RSQ112" s="3"/>
      <c r="RSR112" s="3"/>
      <c r="RSS112" s="3"/>
      <c r="RST112" s="3"/>
      <c r="RSU112" s="3"/>
      <c r="RSV112" s="3"/>
      <c r="RSW112" s="3"/>
      <c r="RSX112" s="3"/>
      <c r="RSY112" s="3"/>
      <c r="RSZ112" s="3"/>
      <c r="RTA112" s="3"/>
      <c r="RTB112" s="3"/>
      <c r="RTC112" s="3"/>
      <c r="RTD112" s="3"/>
      <c r="RTE112" s="3"/>
      <c r="RTF112" s="3"/>
      <c r="RTG112" s="3"/>
      <c r="RTH112" s="3"/>
      <c r="RTI112" s="3"/>
      <c r="RTJ112" s="3"/>
      <c r="RTK112" s="3"/>
      <c r="RTL112" s="3"/>
      <c r="RTM112" s="3"/>
      <c r="RTN112" s="3"/>
      <c r="RTO112" s="3"/>
      <c r="RTP112" s="3"/>
      <c r="RTQ112" s="3"/>
      <c r="RTR112" s="3"/>
      <c r="RTS112" s="3"/>
      <c r="RTT112" s="3"/>
      <c r="RTU112" s="3"/>
      <c r="RTV112" s="3"/>
      <c r="RTW112" s="3"/>
      <c r="RTX112" s="3"/>
      <c r="RTY112" s="3"/>
      <c r="RTZ112" s="3"/>
      <c r="RUA112" s="3"/>
      <c r="RUB112" s="3"/>
      <c r="RUC112" s="3"/>
      <c r="RUD112" s="3"/>
      <c r="RUE112" s="3"/>
      <c r="RUF112" s="3"/>
      <c r="RUG112" s="3"/>
      <c r="RUH112" s="3"/>
      <c r="RUI112" s="3"/>
      <c r="RUJ112" s="3"/>
      <c r="RUK112" s="3"/>
      <c r="RUL112" s="3"/>
      <c r="RUM112" s="3"/>
      <c r="RUN112" s="3"/>
      <c r="RUO112" s="3"/>
      <c r="RUP112" s="3"/>
      <c r="RUQ112" s="3"/>
      <c r="RUR112" s="3"/>
      <c r="RUS112" s="3"/>
      <c r="RUT112" s="3"/>
      <c r="RUU112" s="3"/>
      <c r="RUV112" s="3"/>
      <c r="RUW112" s="3"/>
      <c r="RUX112" s="3"/>
      <c r="RUY112" s="3"/>
      <c r="RUZ112" s="3"/>
      <c r="RVA112" s="3"/>
      <c r="RVB112" s="3"/>
      <c r="RVC112" s="3"/>
      <c r="RVD112" s="3"/>
      <c r="RVE112" s="3"/>
      <c r="RVF112" s="3"/>
      <c r="RVG112" s="3"/>
      <c r="RVH112" s="3"/>
      <c r="RVI112" s="3"/>
      <c r="RVJ112" s="3"/>
      <c r="RVK112" s="3"/>
      <c r="RVL112" s="3"/>
      <c r="RVM112" s="3"/>
      <c r="RVN112" s="3"/>
      <c r="RVO112" s="3"/>
      <c r="RVP112" s="3"/>
      <c r="RVQ112" s="3"/>
      <c r="RVR112" s="3"/>
      <c r="RVS112" s="3"/>
      <c r="RVT112" s="3"/>
      <c r="RVU112" s="3"/>
      <c r="RVV112" s="3"/>
      <c r="RVW112" s="3"/>
      <c r="RVX112" s="3"/>
      <c r="RVY112" s="3"/>
      <c r="RVZ112" s="3"/>
      <c r="RWA112" s="3"/>
      <c r="RWB112" s="3"/>
      <c r="RWC112" s="3"/>
      <c r="RWD112" s="3"/>
      <c r="RWE112" s="3"/>
      <c r="RWF112" s="3"/>
      <c r="RWG112" s="3"/>
      <c r="RWH112" s="3"/>
      <c r="RWI112" s="3"/>
      <c r="RWJ112" s="3"/>
      <c r="RWK112" s="3"/>
      <c r="RWL112" s="3"/>
      <c r="RWM112" s="3"/>
      <c r="RWN112" s="3"/>
      <c r="RWO112" s="3"/>
      <c r="RWP112" s="3"/>
      <c r="RWQ112" s="3"/>
      <c r="RWR112" s="3"/>
      <c r="RWS112" s="3"/>
      <c r="RWT112" s="3"/>
      <c r="RWU112" s="3"/>
      <c r="RWV112" s="3"/>
      <c r="RWW112" s="3"/>
      <c r="RWX112" s="3"/>
      <c r="RWY112" s="3"/>
      <c r="RWZ112" s="3"/>
      <c r="RXA112" s="3"/>
      <c r="RXB112" s="3"/>
      <c r="RXC112" s="3"/>
      <c r="RXD112" s="3"/>
      <c r="RXE112" s="3"/>
      <c r="RXF112" s="3"/>
      <c r="RXG112" s="3"/>
      <c r="RXH112" s="3"/>
      <c r="RXI112" s="3"/>
      <c r="RXJ112" s="3"/>
      <c r="RXK112" s="3"/>
      <c r="RXL112" s="3"/>
      <c r="RXM112" s="3"/>
      <c r="RXN112" s="3"/>
      <c r="RXO112" s="3"/>
      <c r="RXP112" s="3"/>
      <c r="RXQ112" s="3"/>
      <c r="RXR112" s="3"/>
      <c r="RXS112" s="3"/>
      <c r="RXT112" s="3"/>
      <c r="RXU112" s="3"/>
      <c r="RXV112" s="3"/>
      <c r="RXW112" s="3"/>
      <c r="RXX112" s="3"/>
      <c r="RXY112" s="3"/>
      <c r="RXZ112" s="3"/>
      <c r="RYA112" s="3"/>
      <c r="RYB112" s="3"/>
      <c r="RYC112" s="3"/>
      <c r="RYD112" s="3"/>
      <c r="RYE112" s="3"/>
      <c r="RYF112" s="3"/>
      <c r="RYG112" s="3"/>
      <c r="RYH112" s="3"/>
      <c r="RYI112" s="3"/>
      <c r="RYJ112" s="3"/>
      <c r="RYK112" s="3"/>
      <c r="RYL112" s="3"/>
      <c r="RYM112" s="3"/>
      <c r="RYN112" s="3"/>
      <c r="RYO112" s="3"/>
      <c r="RYP112" s="3"/>
      <c r="RYQ112" s="3"/>
      <c r="RYR112" s="3"/>
      <c r="RYS112" s="3"/>
      <c r="RYT112" s="3"/>
      <c r="RYU112" s="3"/>
      <c r="RYV112" s="3"/>
      <c r="RYW112" s="3"/>
      <c r="RYX112" s="3"/>
      <c r="RYY112" s="3"/>
      <c r="RYZ112" s="3"/>
      <c r="RZA112" s="3"/>
      <c r="RZB112" s="3"/>
      <c r="RZC112" s="3"/>
      <c r="RZD112" s="3"/>
      <c r="RZE112" s="3"/>
      <c r="RZF112" s="3"/>
      <c r="RZG112" s="3"/>
      <c r="RZH112" s="3"/>
      <c r="RZI112" s="3"/>
      <c r="RZJ112" s="3"/>
      <c r="RZK112" s="3"/>
      <c r="RZL112" s="3"/>
      <c r="RZM112" s="3"/>
      <c r="RZN112" s="3"/>
      <c r="RZO112" s="3"/>
      <c r="RZP112" s="3"/>
      <c r="RZQ112" s="3"/>
      <c r="RZR112" s="3"/>
      <c r="RZS112" s="3"/>
      <c r="RZT112" s="3"/>
      <c r="RZU112" s="3"/>
      <c r="RZV112" s="3"/>
      <c r="RZW112" s="3"/>
      <c r="RZX112" s="3"/>
      <c r="RZY112" s="3"/>
      <c r="RZZ112" s="3"/>
      <c r="SAA112" s="3"/>
      <c r="SAB112" s="3"/>
      <c r="SAC112" s="3"/>
      <c r="SAD112" s="3"/>
      <c r="SAE112" s="3"/>
      <c r="SAF112" s="3"/>
      <c r="SAG112" s="3"/>
      <c r="SAH112" s="3"/>
      <c r="SAI112" s="3"/>
      <c r="SAJ112" s="3"/>
      <c r="SAK112" s="3"/>
      <c r="SAL112" s="3"/>
      <c r="SAM112" s="3"/>
      <c r="SAN112" s="3"/>
      <c r="SAO112" s="3"/>
      <c r="SAP112" s="3"/>
      <c r="SAQ112" s="3"/>
      <c r="SAR112" s="3"/>
      <c r="SAS112" s="3"/>
      <c r="SAT112" s="3"/>
      <c r="SAU112" s="3"/>
      <c r="SAV112" s="3"/>
      <c r="SAW112" s="3"/>
      <c r="SAX112" s="3"/>
      <c r="SAY112" s="3"/>
      <c r="SAZ112" s="3"/>
      <c r="SBA112" s="3"/>
      <c r="SBB112" s="3"/>
      <c r="SBC112" s="3"/>
      <c r="SBD112" s="3"/>
      <c r="SBE112" s="3"/>
      <c r="SBF112" s="3"/>
      <c r="SBG112" s="3"/>
      <c r="SBH112" s="3"/>
      <c r="SBI112" s="3"/>
      <c r="SBJ112" s="3"/>
      <c r="SBK112" s="3"/>
      <c r="SBL112" s="3"/>
      <c r="SBM112" s="3"/>
      <c r="SBN112" s="3"/>
      <c r="SBO112" s="3"/>
      <c r="SBP112" s="3"/>
      <c r="SBQ112" s="3"/>
      <c r="SBR112" s="3"/>
      <c r="SBS112" s="3"/>
      <c r="SBT112" s="3"/>
      <c r="SBU112" s="3"/>
      <c r="SBV112" s="3"/>
      <c r="SBW112" s="3"/>
      <c r="SBX112" s="3"/>
      <c r="SBY112" s="3"/>
      <c r="SBZ112" s="3"/>
      <c r="SCA112" s="3"/>
      <c r="SCB112" s="3"/>
      <c r="SCC112" s="3"/>
      <c r="SCD112" s="3"/>
      <c r="SCE112" s="3"/>
      <c r="SCF112" s="3"/>
      <c r="SCG112" s="3"/>
      <c r="SCH112" s="3"/>
      <c r="SCI112" s="3"/>
      <c r="SCJ112" s="3"/>
      <c r="SCK112" s="3"/>
      <c r="SCL112" s="3"/>
      <c r="SCM112" s="3"/>
      <c r="SCN112" s="3"/>
      <c r="SCO112" s="3"/>
      <c r="SCP112" s="3"/>
      <c r="SCQ112" s="3"/>
      <c r="SCR112" s="3"/>
      <c r="SCS112" s="3"/>
      <c r="SCT112" s="3"/>
      <c r="SCU112" s="3"/>
      <c r="SCV112" s="3"/>
      <c r="SCW112" s="3"/>
      <c r="SCX112" s="3"/>
      <c r="SCY112" s="3"/>
      <c r="SCZ112" s="3"/>
      <c r="SDA112" s="3"/>
      <c r="SDB112" s="3"/>
      <c r="SDC112" s="3"/>
      <c r="SDD112" s="3"/>
      <c r="SDE112" s="3"/>
      <c r="SDF112" s="3"/>
      <c r="SDG112" s="3"/>
      <c r="SDH112" s="3"/>
      <c r="SDI112" s="3"/>
      <c r="SDJ112" s="3"/>
      <c r="SDK112" s="3"/>
      <c r="SDL112" s="3"/>
      <c r="SDM112" s="3"/>
      <c r="SDN112" s="3"/>
      <c r="SDO112" s="3"/>
      <c r="SDP112" s="3"/>
      <c r="SDQ112" s="3"/>
      <c r="SDR112" s="3"/>
      <c r="SDS112" s="3"/>
      <c r="SDT112" s="3"/>
      <c r="SDU112" s="3"/>
      <c r="SDV112" s="3"/>
      <c r="SDW112" s="3"/>
      <c r="SDX112" s="3"/>
      <c r="SDY112" s="3"/>
      <c r="SDZ112" s="3"/>
      <c r="SEA112" s="3"/>
      <c r="SEB112" s="3"/>
      <c r="SEC112" s="3"/>
      <c r="SED112" s="3"/>
      <c r="SEE112" s="3"/>
      <c r="SEF112" s="3"/>
      <c r="SEG112" s="3"/>
      <c r="SEH112" s="3"/>
      <c r="SEI112" s="3"/>
      <c r="SEJ112" s="3"/>
      <c r="SEK112" s="3"/>
      <c r="SEL112" s="3"/>
      <c r="SEM112" s="3"/>
      <c r="SEN112" s="3"/>
      <c r="SEO112" s="3"/>
      <c r="SEP112" s="3"/>
      <c r="SEQ112" s="3"/>
      <c r="SER112" s="3"/>
      <c r="SES112" s="3"/>
      <c r="SET112" s="3"/>
      <c r="SEU112" s="3"/>
      <c r="SEV112" s="3"/>
      <c r="SEW112" s="3"/>
      <c r="SEX112" s="3"/>
      <c r="SEY112" s="3"/>
      <c r="SEZ112" s="3"/>
      <c r="SFA112" s="3"/>
      <c r="SFB112" s="3"/>
      <c r="SFC112" s="3"/>
      <c r="SFD112" s="3"/>
      <c r="SFE112" s="3"/>
      <c r="SFF112" s="3"/>
      <c r="SFG112" s="3"/>
      <c r="SFH112" s="3"/>
      <c r="SFI112" s="3"/>
      <c r="SFJ112" s="3"/>
      <c r="SFK112" s="3"/>
      <c r="SFL112" s="3"/>
      <c r="SFM112" s="3"/>
      <c r="SFN112" s="3"/>
      <c r="SFO112" s="3"/>
      <c r="SFP112" s="3"/>
      <c r="SFQ112" s="3"/>
      <c r="SFR112" s="3"/>
      <c r="SFS112" s="3"/>
      <c r="SFT112" s="3"/>
      <c r="SFU112" s="3"/>
      <c r="SFV112" s="3"/>
      <c r="SFW112" s="3"/>
      <c r="SFX112" s="3"/>
      <c r="SFY112" s="3"/>
      <c r="SFZ112" s="3"/>
      <c r="SGA112" s="3"/>
      <c r="SGB112" s="3"/>
      <c r="SGC112" s="3"/>
      <c r="SGD112" s="3"/>
      <c r="SGE112" s="3"/>
      <c r="SGF112" s="3"/>
      <c r="SGG112" s="3"/>
      <c r="SGH112" s="3"/>
      <c r="SGI112" s="3"/>
      <c r="SGJ112" s="3"/>
      <c r="SGK112" s="3"/>
      <c r="SGL112" s="3"/>
      <c r="SGM112" s="3"/>
      <c r="SGN112" s="3"/>
      <c r="SGO112" s="3"/>
      <c r="SGP112" s="3"/>
      <c r="SGQ112" s="3"/>
      <c r="SGR112" s="3"/>
      <c r="SGS112" s="3"/>
      <c r="SGT112" s="3"/>
      <c r="SGU112" s="3"/>
      <c r="SGV112" s="3"/>
      <c r="SGW112" s="3"/>
      <c r="SGX112" s="3"/>
      <c r="SGY112" s="3"/>
      <c r="SGZ112" s="3"/>
      <c r="SHA112" s="3"/>
      <c r="SHB112" s="3"/>
      <c r="SHC112" s="3"/>
      <c r="SHD112" s="3"/>
      <c r="SHE112" s="3"/>
      <c r="SHF112" s="3"/>
      <c r="SHG112" s="3"/>
      <c r="SHH112" s="3"/>
      <c r="SHI112" s="3"/>
      <c r="SHJ112" s="3"/>
      <c r="SHK112" s="3"/>
      <c r="SHL112" s="3"/>
      <c r="SHM112" s="3"/>
      <c r="SHN112" s="3"/>
      <c r="SHO112" s="3"/>
      <c r="SHP112" s="3"/>
      <c r="SHQ112" s="3"/>
      <c r="SHR112" s="3"/>
      <c r="SHS112" s="3"/>
      <c r="SHT112" s="3"/>
      <c r="SHU112" s="3"/>
      <c r="SHV112" s="3"/>
      <c r="SHW112" s="3"/>
      <c r="SHX112" s="3"/>
      <c r="SHY112" s="3"/>
      <c r="SHZ112" s="3"/>
      <c r="SIA112" s="3"/>
      <c r="SIB112" s="3"/>
      <c r="SIC112" s="3"/>
      <c r="SID112" s="3"/>
      <c r="SIE112" s="3"/>
      <c r="SIF112" s="3"/>
      <c r="SIG112" s="3"/>
      <c r="SIH112" s="3"/>
      <c r="SII112" s="3"/>
      <c r="SIJ112" s="3"/>
      <c r="SIK112" s="3"/>
      <c r="SIL112" s="3"/>
      <c r="SIM112" s="3"/>
      <c r="SIN112" s="3"/>
      <c r="SIO112" s="3"/>
      <c r="SIP112" s="3"/>
      <c r="SIQ112" s="3"/>
      <c r="SIR112" s="3"/>
      <c r="SIS112" s="3"/>
      <c r="SIT112" s="3"/>
      <c r="SIU112" s="3"/>
      <c r="SIV112" s="3"/>
      <c r="SIW112" s="3"/>
      <c r="SIX112" s="3"/>
      <c r="SIY112" s="3"/>
      <c r="SIZ112" s="3"/>
      <c r="SJA112" s="3"/>
      <c r="SJB112" s="3"/>
      <c r="SJC112" s="3"/>
      <c r="SJD112" s="3"/>
      <c r="SJE112" s="3"/>
      <c r="SJF112" s="3"/>
      <c r="SJG112" s="3"/>
      <c r="SJH112" s="3"/>
      <c r="SJI112" s="3"/>
      <c r="SJJ112" s="3"/>
      <c r="SJK112" s="3"/>
      <c r="SJL112" s="3"/>
      <c r="SJM112" s="3"/>
      <c r="SJN112" s="3"/>
      <c r="SJO112" s="3"/>
      <c r="SJP112" s="3"/>
      <c r="SJQ112" s="3"/>
      <c r="SJR112" s="3"/>
      <c r="SJS112" s="3"/>
      <c r="SJT112" s="3"/>
      <c r="SJU112" s="3"/>
      <c r="SJV112" s="3"/>
      <c r="SJW112" s="3"/>
      <c r="SJX112" s="3"/>
      <c r="SJY112" s="3"/>
      <c r="SJZ112" s="3"/>
      <c r="SKA112" s="3"/>
      <c r="SKB112" s="3"/>
      <c r="SKC112" s="3"/>
      <c r="SKD112" s="3"/>
      <c r="SKE112" s="3"/>
      <c r="SKF112" s="3"/>
      <c r="SKG112" s="3"/>
      <c r="SKH112" s="3"/>
      <c r="SKI112" s="3"/>
      <c r="SKJ112" s="3"/>
      <c r="SKK112" s="3"/>
      <c r="SKL112" s="3"/>
      <c r="SKM112" s="3"/>
      <c r="SKN112" s="3"/>
      <c r="SKO112" s="3"/>
      <c r="SKP112" s="3"/>
      <c r="SKQ112" s="3"/>
      <c r="SKR112" s="3"/>
      <c r="SKS112" s="3"/>
      <c r="SKT112" s="3"/>
      <c r="SKU112" s="3"/>
      <c r="SKV112" s="3"/>
      <c r="SKW112" s="3"/>
      <c r="SKX112" s="3"/>
      <c r="SKY112" s="3"/>
      <c r="SKZ112" s="3"/>
      <c r="SLA112" s="3"/>
      <c r="SLB112" s="3"/>
      <c r="SLC112" s="3"/>
      <c r="SLD112" s="3"/>
      <c r="SLE112" s="3"/>
      <c r="SLF112" s="3"/>
      <c r="SLG112" s="3"/>
      <c r="SLH112" s="3"/>
      <c r="SLI112" s="3"/>
      <c r="SLJ112" s="3"/>
      <c r="SLK112" s="3"/>
      <c r="SLL112" s="3"/>
      <c r="SLM112" s="3"/>
      <c r="SLN112" s="3"/>
      <c r="SLO112" s="3"/>
      <c r="SLP112" s="3"/>
      <c r="SLQ112" s="3"/>
      <c r="SLR112" s="3"/>
      <c r="SLS112" s="3"/>
      <c r="SLT112" s="3"/>
      <c r="SLU112" s="3"/>
      <c r="SLV112" s="3"/>
      <c r="SLW112" s="3"/>
      <c r="SLX112" s="3"/>
      <c r="SLY112" s="3"/>
      <c r="SLZ112" s="3"/>
      <c r="SMA112" s="3"/>
      <c r="SMB112" s="3"/>
      <c r="SMC112" s="3"/>
      <c r="SMD112" s="3"/>
      <c r="SME112" s="3"/>
      <c r="SMF112" s="3"/>
      <c r="SMG112" s="3"/>
      <c r="SMH112" s="3"/>
      <c r="SMI112" s="3"/>
      <c r="SMJ112" s="3"/>
      <c r="SMK112" s="3"/>
      <c r="SML112" s="3"/>
      <c r="SMM112" s="3"/>
      <c r="SMN112" s="3"/>
      <c r="SMO112" s="3"/>
      <c r="SMP112" s="3"/>
      <c r="SMQ112" s="3"/>
      <c r="SMR112" s="3"/>
      <c r="SMS112" s="3"/>
      <c r="SMT112" s="3"/>
      <c r="SMU112" s="3"/>
      <c r="SMV112" s="3"/>
      <c r="SMW112" s="3"/>
      <c r="SMX112" s="3"/>
      <c r="SMY112" s="3"/>
      <c r="SMZ112" s="3"/>
      <c r="SNA112" s="3"/>
      <c r="SNB112" s="3"/>
      <c r="SNC112" s="3"/>
      <c r="SND112" s="3"/>
      <c r="SNE112" s="3"/>
      <c r="SNF112" s="3"/>
      <c r="SNG112" s="3"/>
      <c r="SNH112" s="3"/>
      <c r="SNI112" s="3"/>
      <c r="SNJ112" s="3"/>
      <c r="SNK112" s="3"/>
      <c r="SNL112" s="3"/>
      <c r="SNM112" s="3"/>
      <c r="SNN112" s="3"/>
      <c r="SNO112" s="3"/>
      <c r="SNP112" s="3"/>
      <c r="SNQ112" s="3"/>
      <c r="SNR112" s="3"/>
      <c r="SNS112" s="3"/>
      <c r="SNT112" s="3"/>
      <c r="SNU112" s="3"/>
      <c r="SNV112" s="3"/>
      <c r="SNW112" s="3"/>
      <c r="SNX112" s="3"/>
      <c r="SNY112" s="3"/>
      <c r="SNZ112" s="3"/>
      <c r="SOA112" s="3"/>
      <c r="SOB112" s="3"/>
      <c r="SOC112" s="3"/>
      <c r="SOD112" s="3"/>
      <c r="SOE112" s="3"/>
      <c r="SOF112" s="3"/>
      <c r="SOG112" s="3"/>
      <c r="SOH112" s="3"/>
      <c r="SOI112" s="3"/>
      <c r="SOJ112" s="3"/>
      <c r="SOK112" s="3"/>
      <c r="SOL112" s="3"/>
      <c r="SOM112" s="3"/>
      <c r="SON112" s="3"/>
      <c r="SOO112" s="3"/>
      <c r="SOP112" s="3"/>
      <c r="SOQ112" s="3"/>
      <c r="SOR112" s="3"/>
      <c r="SOS112" s="3"/>
      <c r="SOT112" s="3"/>
      <c r="SOU112" s="3"/>
      <c r="SOV112" s="3"/>
      <c r="SOW112" s="3"/>
      <c r="SOX112" s="3"/>
      <c r="SOY112" s="3"/>
      <c r="SOZ112" s="3"/>
      <c r="SPA112" s="3"/>
      <c r="SPB112" s="3"/>
      <c r="SPC112" s="3"/>
      <c r="SPD112" s="3"/>
      <c r="SPE112" s="3"/>
      <c r="SPF112" s="3"/>
      <c r="SPG112" s="3"/>
      <c r="SPH112" s="3"/>
      <c r="SPI112" s="3"/>
      <c r="SPJ112" s="3"/>
      <c r="SPK112" s="3"/>
      <c r="SPL112" s="3"/>
      <c r="SPM112" s="3"/>
      <c r="SPN112" s="3"/>
      <c r="SPO112" s="3"/>
      <c r="SPP112" s="3"/>
      <c r="SPQ112" s="3"/>
      <c r="SPR112" s="3"/>
      <c r="SPS112" s="3"/>
      <c r="SPT112" s="3"/>
      <c r="SPU112" s="3"/>
      <c r="SPV112" s="3"/>
      <c r="SPW112" s="3"/>
      <c r="SPX112" s="3"/>
      <c r="SPY112" s="3"/>
      <c r="SPZ112" s="3"/>
      <c r="SQA112" s="3"/>
      <c r="SQB112" s="3"/>
      <c r="SQC112" s="3"/>
      <c r="SQD112" s="3"/>
      <c r="SQE112" s="3"/>
      <c r="SQF112" s="3"/>
      <c r="SQG112" s="3"/>
      <c r="SQH112" s="3"/>
      <c r="SQI112" s="3"/>
      <c r="SQJ112" s="3"/>
      <c r="SQK112" s="3"/>
      <c r="SQL112" s="3"/>
      <c r="SQM112" s="3"/>
      <c r="SQN112" s="3"/>
      <c r="SQO112" s="3"/>
      <c r="SQP112" s="3"/>
      <c r="SQQ112" s="3"/>
      <c r="SQR112" s="3"/>
      <c r="SQS112" s="3"/>
      <c r="SQT112" s="3"/>
      <c r="SQU112" s="3"/>
      <c r="SQV112" s="3"/>
      <c r="SQW112" s="3"/>
      <c r="SQX112" s="3"/>
      <c r="SQY112" s="3"/>
      <c r="SQZ112" s="3"/>
      <c r="SRA112" s="3"/>
      <c r="SRB112" s="3"/>
      <c r="SRC112" s="3"/>
      <c r="SRD112" s="3"/>
      <c r="SRE112" s="3"/>
      <c r="SRF112" s="3"/>
      <c r="SRG112" s="3"/>
      <c r="SRH112" s="3"/>
      <c r="SRI112" s="3"/>
      <c r="SRJ112" s="3"/>
      <c r="SRK112" s="3"/>
      <c r="SRL112" s="3"/>
      <c r="SRM112" s="3"/>
      <c r="SRN112" s="3"/>
      <c r="SRO112" s="3"/>
      <c r="SRP112" s="3"/>
      <c r="SRQ112" s="3"/>
      <c r="SRR112" s="3"/>
      <c r="SRS112" s="3"/>
      <c r="SRT112" s="3"/>
      <c r="SRU112" s="3"/>
      <c r="SRV112" s="3"/>
      <c r="SRW112" s="3"/>
      <c r="SRX112" s="3"/>
      <c r="SRY112" s="3"/>
      <c r="SRZ112" s="3"/>
      <c r="SSA112" s="3"/>
      <c r="SSB112" s="3"/>
      <c r="SSC112" s="3"/>
      <c r="SSD112" s="3"/>
      <c r="SSE112" s="3"/>
      <c r="SSF112" s="3"/>
      <c r="SSG112" s="3"/>
      <c r="SSH112" s="3"/>
      <c r="SSI112" s="3"/>
      <c r="SSJ112" s="3"/>
      <c r="SSK112" s="3"/>
      <c r="SSL112" s="3"/>
      <c r="SSM112" s="3"/>
      <c r="SSN112" s="3"/>
      <c r="SSO112" s="3"/>
      <c r="SSP112" s="3"/>
      <c r="SSQ112" s="3"/>
      <c r="SSR112" s="3"/>
      <c r="SSS112" s="3"/>
      <c r="SST112" s="3"/>
      <c r="SSU112" s="3"/>
      <c r="SSV112" s="3"/>
      <c r="SSW112" s="3"/>
      <c r="SSX112" s="3"/>
      <c r="SSY112" s="3"/>
      <c r="SSZ112" s="3"/>
      <c r="STA112" s="3"/>
      <c r="STB112" s="3"/>
      <c r="STC112" s="3"/>
      <c r="STD112" s="3"/>
      <c r="STE112" s="3"/>
      <c r="STF112" s="3"/>
      <c r="STG112" s="3"/>
      <c r="STH112" s="3"/>
      <c r="STI112" s="3"/>
      <c r="STJ112" s="3"/>
      <c r="STK112" s="3"/>
      <c r="STL112" s="3"/>
      <c r="STM112" s="3"/>
      <c r="STN112" s="3"/>
      <c r="STO112" s="3"/>
      <c r="STP112" s="3"/>
      <c r="STQ112" s="3"/>
      <c r="STR112" s="3"/>
      <c r="STS112" s="3"/>
      <c r="STT112" s="3"/>
      <c r="STU112" s="3"/>
      <c r="STV112" s="3"/>
      <c r="STW112" s="3"/>
      <c r="STX112" s="3"/>
      <c r="STY112" s="3"/>
      <c r="STZ112" s="3"/>
      <c r="SUA112" s="3"/>
      <c r="SUB112" s="3"/>
      <c r="SUC112" s="3"/>
      <c r="SUD112" s="3"/>
      <c r="SUE112" s="3"/>
      <c r="SUF112" s="3"/>
      <c r="SUG112" s="3"/>
      <c r="SUH112" s="3"/>
      <c r="SUI112" s="3"/>
      <c r="SUJ112" s="3"/>
      <c r="SUK112" s="3"/>
      <c r="SUL112" s="3"/>
      <c r="SUM112" s="3"/>
      <c r="SUN112" s="3"/>
      <c r="SUO112" s="3"/>
      <c r="SUP112" s="3"/>
      <c r="SUQ112" s="3"/>
      <c r="SUR112" s="3"/>
      <c r="SUS112" s="3"/>
      <c r="SUT112" s="3"/>
      <c r="SUU112" s="3"/>
      <c r="SUV112" s="3"/>
      <c r="SUW112" s="3"/>
      <c r="SUX112" s="3"/>
      <c r="SUY112" s="3"/>
      <c r="SUZ112" s="3"/>
      <c r="SVA112" s="3"/>
      <c r="SVB112" s="3"/>
      <c r="SVC112" s="3"/>
      <c r="SVD112" s="3"/>
      <c r="SVE112" s="3"/>
      <c r="SVF112" s="3"/>
      <c r="SVG112" s="3"/>
      <c r="SVH112" s="3"/>
      <c r="SVI112" s="3"/>
      <c r="SVJ112" s="3"/>
      <c r="SVK112" s="3"/>
      <c r="SVL112" s="3"/>
      <c r="SVM112" s="3"/>
      <c r="SVN112" s="3"/>
      <c r="SVO112" s="3"/>
      <c r="SVP112" s="3"/>
      <c r="SVQ112" s="3"/>
      <c r="SVR112" s="3"/>
      <c r="SVS112" s="3"/>
      <c r="SVT112" s="3"/>
      <c r="SVU112" s="3"/>
      <c r="SVV112" s="3"/>
      <c r="SVW112" s="3"/>
      <c r="SVX112" s="3"/>
      <c r="SVY112" s="3"/>
      <c r="SVZ112" s="3"/>
      <c r="SWA112" s="3"/>
      <c r="SWB112" s="3"/>
      <c r="SWC112" s="3"/>
      <c r="SWD112" s="3"/>
      <c r="SWE112" s="3"/>
      <c r="SWF112" s="3"/>
      <c r="SWG112" s="3"/>
      <c r="SWH112" s="3"/>
      <c r="SWI112" s="3"/>
      <c r="SWJ112" s="3"/>
      <c r="SWK112" s="3"/>
      <c r="SWL112" s="3"/>
      <c r="SWM112" s="3"/>
      <c r="SWN112" s="3"/>
      <c r="SWO112" s="3"/>
      <c r="SWP112" s="3"/>
      <c r="SWQ112" s="3"/>
      <c r="SWR112" s="3"/>
      <c r="SWS112" s="3"/>
      <c r="SWT112" s="3"/>
      <c r="SWU112" s="3"/>
      <c r="SWV112" s="3"/>
      <c r="SWW112" s="3"/>
      <c r="SWX112" s="3"/>
      <c r="SWY112" s="3"/>
      <c r="SWZ112" s="3"/>
      <c r="SXA112" s="3"/>
      <c r="SXB112" s="3"/>
      <c r="SXC112" s="3"/>
      <c r="SXD112" s="3"/>
      <c r="SXE112" s="3"/>
      <c r="SXF112" s="3"/>
      <c r="SXG112" s="3"/>
      <c r="SXH112" s="3"/>
      <c r="SXI112" s="3"/>
      <c r="SXJ112" s="3"/>
      <c r="SXK112" s="3"/>
      <c r="SXL112" s="3"/>
      <c r="SXM112" s="3"/>
      <c r="SXN112" s="3"/>
      <c r="SXO112" s="3"/>
      <c r="SXP112" s="3"/>
      <c r="SXQ112" s="3"/>
      <c r="SXR112" s="3"/>
      <c r="SXS112" s="3"/>
      <c r="SXT112" s="3"/>
      <c r="SXU112" s="3"/>
      <c r="SXV112" s="3"/>
      <c r="SXW112" s="3"/>
      <c r="SXX112" s="3"/>
      <c r="SXY112" s="3"/>
      <c r="SXZ112" s="3"/>
      <c r="SYA112" s="3"/>
      <c r="SYB112" s="3"/>
      <c r="SYC112" s="3"/>
      <c r="SYD112" s="3"/>
      <c r="SYE112" s="3"/>
      <c r="SYF112" s="3"/>
      <c r="SYG112" s="3"/>
      <c r="SYH112" s="3"/>
      <c r="SYI112" s="3"/>
      <c r="SYJ112" s="3"/>
      <c r="SYK112" s="3"/>
      <c r="SYL112" s="3"/>
      <c r="SYM112" s="3"/>
      <c r="SYN112" s="3"/>
      <c r="SYO112" s="3"/>
      <c r="SYP112" s="3"/>
      <c r="SYQ112" s="3"/>
      <c r="SYR112" s="3"/>
      <c r="SYS112" s="3"/>
      <c r="SYT112" s="3"/>
      <c r="SYU112" s="3"/>
      <c r="SYV112" s="3"/>
      <c r="SYW112" s="3"/>
      <c r="SYX112" s="3"/>
      <c r="SYY112" s="3"/>
      <c r="SYZ112" s="3"/>
      <c r="SZA112" s="3"/>
      <c r="SZB112" s="3"/>
      <c r="SZC112" s="3"/>
      <c r="SZD112" s="3"/>
      <c r="SZE112" s="3"/>
      <c r="SZF112" s="3"/>
      <c r="SZG112" s="3"/>
      <c r="SZH112" s="3"/>
      <c r="SZI112" s="3"/>
      <c r="SZJ112" s="3"/>
      <c r="SZK112" s="3"/>
      <c r="SZL112" s="3"/>
      <c r="SZM112" s="3"/>
      <c r="SZN112" s="3"/>
      <c r="SZO112" s="3"/>
      <c r="SZP112" s="3"/>
      <c r="SZQ112" s="3"/>
      <c r="SZR112" s="3"/>
      <c r="SZS112" s="3"/>
      <c r="SZT112" s="3"/>
      <c r="SZU112" s="3"/>
      <c r="SZV112" s="3"/>
      <c r="SZW112" s="3"/>
      <c r="SZX112" s="3"/>
      <c r="SZY112" s="3"/>
      <c r="SZZ112" s="3"/>
      <c r="TAA112" s="3"/>
      <c r="TAB112" s="3"/>
      <c r="TAC112" s="3"/>
      <c r="TAD112" s="3"/>
      <c r="TAE112" s="3"/>
      <c r="TAF112" s="3"/>
      <c r="TAG112" s="3"/>
      <c r="TAH112" s="3"/>
      <c r="TAI112" s="3"/>
      <c r="TAJ112" s="3"/>
      <c r="TAK112" s="3"/>
      <c r="TAL112" s="3"/>
      <c r="TAM112" s="3"/>
      <c r="TAN112" s="3"/>
      <c r="TAO112" s="3"/>
      <c r="TAP112" s="3"/>
      <c r="TAQ112" s="3"/>
      <c r="TAR112" s="3"/>
      <c r="TAS112" s="3"/>
      <c r="TAT112" s="3"/>
      <c r="TAU112" s="3"/>
      <c r="TAV112" s="3"/>
      <c r="TAW112" s="3"/>
      <c r="TAX112" s="3"/>
      <c r="TAY112" s="3"/>
      <c r="TAZ112" s="3"/>
      <c r="TBA112" s="3"/>
      <c r="TBB112" s="3"/>
      <c r="TBC112" s="3"/>
      <c r="TBD112" s="3"/>
      <c r="TBE112" s="3"/>
      <c r="TBF112" s="3"/>
      <c r="TBG112" s="3"/>
      <c r="TBH112" s="3"/>
      <c r="TBI112" s="3"/>
      <c r="TBJ112" s="3"/>
      <c r="TBK112" s="3"/>
      <c r="TBL112" s="3"/>
      <c r="TBM112" s="3"/>
      <c r="TBN112" s="3"/>
      <c r="TBO112" s="3"/>
      <c r="TBP112" s="3"/>
      <c r="TBQ112" s="3"/>
      <c r="TBR112" s="3"/>
      <c r="TBS112" s="3"/>
      <c r="TBT112" s="3"/>
      <c r="TBU112" s="3"/>
      <c r="TBV112" s="3"/>
      <c r="TBW112" s="3"/>
      <c r="TBX112" s="3"/>
      <c r="TBY112" s="3"/>
      <c r="TBZ112" s="3"/>
      <c r="TCA112" s="3"/>
      <c r="TCB112" s="3"/>
      <c r="TCC112" s="3"/>
      <c r="TCD112" s="3"/>
      <c r="TCE112" s="3"/>
      <c r="TCF112" s="3"/>
      <c r="TCG112" s="3"/>
      <c r="TCH112" s="3"/>
      <c r="TCI112" s="3"/>
      <c r="TCJ112" s="3"/>
      <c r="TCK112" s="3"/>
      <c r="TCL112" s="3"/>
      <c r="TCM112" s="3"/>
      <c r="TCN112" s="3"/>
      <c r="TCO112" s="3"/>
      <c r="TCP112" s="3"/>
      <c r="TCQ112" s="3"/>
      <c r="TCR112" s="3"/>
      <c r="TCS112" s="3"/>
      <c r="TCT112" s="3"/>
      <c r="TCU112" s="3"/>
      <c r="TCV112" s="3"/>
      <c r="TCW112" s="3"/>
      <c r="TCX112" s="3"/>
      <c r="TCY112" s="3"/>
      <c r="TCZ112" s="3"/>
      <c r="TDA112" s="3"/>
      <c r="TDB112" s="3"/>
      <c r="TDC112" s="3"/>
      <c r="TDD112" s="3"/>
      <c r="TDE112" s="3"/>
      <c r="TDF112" s="3"/>
      <c r="TDG112" s="3"/>
      <c r="TDH112" s="3"/>
      <c r="TDI112" s="3"/>
      <c r="TDJ112" s="3"/>
      <c r="TDK112" s="3"/>
      <c r="TDL112" s="3"/>
      <c r="TDM112" s="3"/>
      <c r="TDN112" s="3"/>
      <c r="TDO112" s="3"/>
      <c r="TDP112" s="3"/>
      <c r="TDQ112" s="3"/>
      <c r="TDR112" s="3"/>
      <c r="TDS112" s="3"/>
      <c r="TDT112" s="3"/>
      <c r="TDU112" s="3"/>
      <c r="TDV112" s="3"/>
      <c r="TDW112" s="3"/>
      <c r="TDX112" s="3"/>
      <c r="TDY112" s="3"/>
      <c r="TDZ112" s="3"/>
      <c r="TEA112" s="3"/>
      <c r="TEB112" s="3"/>
      <c r="TEC112" s="3"/>
      <c r="TED112" s="3"/>
      <c r="TEE112" s="3"/>
      <c r="TEF112" s="3"/>
      <c r="TEG112" s="3"/>
      <c r="TEH112" s="3"/>
      <c r="TEI112" s="3"/>
      <c r="TEJ112" s="3"/>
      <c r="TEK112" s="3"/>
      <c r="TEL112" s="3"/>
      <c r="TEM112" s="3"/>
      <c r="TEN112" s="3"/>
      <c r="TEO112" s="3"/>
      <c r="TEP112" s="3"/>
      <c r="TEQ112" s="3"/>
      <c r="TER112" s="3"/>
      <c r="TES112" s="3"/>
      <c r="TET112" s="3"/>
      <c r="TEU112" s="3"/>
      <c r="TEV112" s="3"/>
      <c r="TEW112" s="3"/>
      <c r="TEX112" s="3"/>
      <c r="TEY112" s="3"/>
      <c r="TEZ112" s="3"/>
      <c r="TFA112" s="3"/>
      <c r="TFB112" s="3"/>
      <c r="TFC112" s="3"/>
      <c r="TFD112" s="3"/>
      <c r="TFE112" s="3"/>
      <c r="TFF112" s="3"/>
      <c r="TFG112" s="3"/>
      <c r="TFH112" s="3"/>
      <c r="TFI112" s="3"/>
      <c r="TFJ112" s="3"/>
      <c r="TFK112" s="3"/>
      <c r="TFL112" s="3"/>
      <c r="TFM112" s="3"/>
      <c r="TFN112" s="3"/>
      <c r="TFO112" s="3"/>
      <c r="TFP112" s="3"/>
      <c r="TFQ112" s="3"/>
      <c r="TFR112" s="3"/>
      <c r="TFS112" s="3"/>
      <c r="TFT112" s="3"/>
      <c r="TFU112" s="3"/>
      <c r="TFV112" s="3"/>
      <c r="TFW112" s="3"/>
      <c r="TFX112" s="3"/>
      <c r="TFY112" s="3"/>
      <c r="TFZ112" s="3"/>
      <c r="TGA112" s="3"/>
      <c r="TGB112" s="3"/>
      <c r="TGC112" s="3"/>
      <c r="TGD112" s="3"/>
      <c r="TGE112" s="3"/>
      <c r="TGF112" s="3"/>
      <c r="TGG112" s="3"/>
      <c r="TGH112" s="3"/>
      <c r="TGI112" s="3"/>
      <c r="TGJ112" s="3"/>
      <c r="TGK112" s="3"/>
      <c r="TGL112" s="3"/>
      <c r="TGM112" s="3"/>
      <c r="TGN112" s="3"/>
      <c r="TGO112" s="3"/>
      <c r="TGP112" s="3"/>
      <c r="TGQ112" s="3"/>
      <c r="TGR112" s="3"/>
      <c r="TGS112" s="3"/>
      <c r="TGT112" s="3"/>
      <c r="TGU112" s="3"/>
      <c r="TGV112" s="3"/>
      <c r="TGW112" s="3"/>
      <c r="TGX112" s="3"/>
      <c r="TGY112" s="3"/>
      <c r="TGZ112" s="3"/>
      <c r="THA112" s="3"/>
      <c r="THB112" s="3"/>
      <c r="THC112" s="3"/>
      <c r="THD112" s="3"/>
      <c r="THE112" s="3"/>
      <c r="THF112" s="3"/>
      <c r="THG112" s="3"/>
      <c r="THH112" s="3"/>
      <c r="THI112" s="3"/>
      <c r="THJ112" s="3"/>
      <c r="THK112" s="3"/>
      <c r="THL112" s="3"/>
      <c r="THM112" s="3"/>
      <c r="THN112" s="3"/>
      <c r="THO112" s="3"/>
      <c r="THP112" s="3"/>
      <c r="THQ112" s="3"/>
      <c r="THR112" s="3"/>
      <c r="THS112" s="3"/>
      <c r="THT112" s="3"/>
      <c r="THU112" s="3"/>
      <c r="THV112" s="3"/>
      <c r="THW112" s="3"/>
      <c r="THX112" s="3"/>
      <c r="THY112" s="3"/>
      <c r="THZ112" s="3"/>
      <c r="TIA112" s="3"/>
      <c r="TIB112" s="3"/>
      <c r="TIC112" s="3"/>
      <c r="TID112" s="3"/>
      <c r="TIE112" s="3"/>
      <c r="TIF112" s="3"/>
      <c r="TIG112" s="3"/>
      <c r="TIH112" s="3"/>
      <c r="TII112" s="3"/>
      <c r="TIJ112" s="3"/>
      <c r="TIK112" s="3"/>
      <c r="TIL112" s="3"/>
      <c r="TIM112" s="3"/>
      <c r="TIN112" s="3"/>
      <c r="TIO112" s="3"/>
      <c r="TIP112" s="3"/>
      <c r="TIQ112" s="3"/>
      <c r="TIR112" s="3"/>
      <c r="TIS112" s="3"/>
      <c r="TIT112" s="3"/>
      <c r="TIU112" s="3"/>
      <c r="TIV112" s="3"/>
      <c r="TIW112" s="3"/>
      <c r="TIX112" s="3"/>
      <c r="TIY112" s="3"/>
      <c r="TIZ112" s="3"/>
      <c r="TJA112" s="3"/>
      <c r="TJB112" s="3"/>
      <c r="TJC112" s="3"/>
      <c r="TJD112" s="3"/>
      <c r="TJE112" s="3"/>
      <c r="TJF112" s="3"/>
      <c r="TJG112" s="3"/>
      <c r="TJH112" s="3"/>
      <c r="TJI112" s="3"/>
      <c r="TJJ112" s="3"/>
      <c r="TJK112" s="3"/>
      <c r="TJL112" s="3"/>
      <c r="TJM112" s="3"/>
      <c r="TJN112" s="3"/>
      <c r="TJO112" s="3"/>
      <c r="TJP112" s="3"/>
      <c r="TJQ112" s="3"/>
      <c r="TJR112" s="3"/>
      <c r="TJS112" s="3"/>
      <c r="TJT112" s="3"/>
      <c r="TJU112" s="3"/>
      <c r="TJV112" s="3"/>
      <c r="TJW112" s="3"/>
      <c r="TJX112" s="3"/>
      <c r="TJY112" s="3"/>
      <c r="TJZ112" s="3"/>
      <c r="TKA112" s="3"/>
      <c r="TKB112" s="3"/>
      <c r="TKC112" s="3"/>
      <c r="TKD112" s="3"/>
      <c r="TKE112" s="3"/>
      <c r="TKF112" s="3"/>
      <c r="TKG112" s="3"/>
      <c r="TKH112" s="3"/>
      <c r="TKI112" s="3"/>
      <c r="TKJ112" s="3"/>
      <c r="TKK112" s="3"/>
      <c r="TKL112" s="3"/>
      <c r="TKM112" s="3"/>
      <c r="TKN112" s="3"/>
      <c r="TKO112" s="3"/>
      <c r="TKP112" s="3"/>
      <c r="TKQ112" s="3"/>
      <c r="TKR112" s="3"/>
      <c r="TKS112" s="3"/>
      <c r="TKT112" s="3"/>
      <c r="TKU112" s="3"/>
      <c r="TKV112" s="3"/>
      <c r="TKW112" s="3"/>
      <c r="TKX112" s="3"/>
      <c r="TKY112" s="3"/>
      <c r="TKZ112" s="3"/>
      <c r="TLA112" s="3"/>
      <c r="TLB112" s="3"/>
      <c r="TLC112" s="3"/>
      <c r="TLD112" s="3"/>
      <c r="TLE112" s="3"/>
      <c r="TLF112" s="3"/>
      <c r="TLG112" s="3"/>
      <c r="TLH112" s="3"/>
      <c r="TLI112" s="3"/>
      <c r="TLJ112" s="3"/>
      <c r="TLK112" s="3"/>
      <c r="TLL112" s="3"/>
      <c r="TLM112" s="3"/>
      <c r="TLN112" s="3"/>
      <c r="TLO112" s="3"/>
      <c r="TLP112" s="3"/>
      <c r="TLQ112" s="3"/>
      <c r="TLR112" s="3"/>
      <c r="TLS112" s="3"/>
      <c r="TLT112" s="3"/>
      <c r="TLU112" s="3"/>
      <c r="TLV112" s="3"/>
      <c r="TLW112" s="3"/>
      <c r="TLX112" s="3"/>
      <c r="TLY112" s="3"/>
      <c r="TLZ112" s="3"/>
      <c r="TMA112" s="3"/>
      <c r="TMB112" s="3"/>
      <c r="TMC112" s="3"/>
      <c r="TMD112" s="3"/>
      <c r="TME112" s="3"/>
      <c r="TMF112" s="3"/>
      <c r="TMG112" s="3"/>
      <c r="TMH112" s="3"/>
      <c r="TMI112" s="3"/>
      <c r="TMJ112" s="3"/>
      <c r="TMK112" s="3"/>
      <c r="TML112" s="3"/>
      <c r="TMM112" s="3"/>
      <c r="TMN112" s="3"/>
      <c r="TMO112" s="3"/>
      <c r="TMP112" s="3"/>
      <c r="TMQ112" s="3"/>
      <c r="TMR112" s="3"/>
      <c r="TMS112" s="3"/>
      <c r="TMT112" s="3"/>
      <c r="TMU112" s="3"/>
      <c r="TMV112" s="3"/>
      <c r="TMW112" s="3"/>
      <c r="TMX112" s="3"/>
      <c r="TMY112" s="3"/>
      <c r="TMZ112" s="3"/>
      <c r="TNA112" s="3"/>
      <c r="TNB112" s="3"/>
      <c r="TNC112" s="3"/>
      <c r="TND112" s="3"/>
      <c r="TNE112" s="3"/>
      <c r="TNF112" s="3"/>
      <c r="TNG112" s="3"/>
      <c r="TNH112" s="3"/>
      <c r="TNI112" s="3"/>
      <c r="TNJ112" s="3"/>
      <c r="TNK112" s="3"/>
      <c r="TNL112" s="3"/>
      <c r="TNM112" s="3"/>
      <c r="TNN112" s="3"/>
      <c r="TNO112" s="3"/>
      <c r="TNP112" s="3"/>
      <c r="TNQ112" s="3"/>
      <c r="TNR112" s="3"/>
      <c r="TNS112" s="3"/>
      <c r="TNT112" s="3"/>
      <c r="TNU112" s="3"/>
      <c r="TNV112" s="3"/>
      <c r="TNW112" s="3"/>
      <c r="TNX112" s="3"/>
      <c r="TNY112" s="3"/>
      <c r="TNZ112" s="3"/>
      <c r="TOA112" s="3"/>
      <c r="TOB112" s="3"/>
      <c r="TOC112" s="3"/>
      <c r="TOD112" s="3"/>
      <c r="TOE112" s="3"/>
      <c r="TOF112" s="3"/>
      <c r="TOG112" s="3"/>
      <c r="TOH112" s="3"/>
      <c r="TOI112" s="3"/>
      <c r="TOJ112" s="3"/>
      <c r="TOK112" s="3"/>
      <c r="TOL112" s="3"/>
      <c r="TOM112" s="3"/>
      <c r="TON112" s="3"/>
      <c r="TOO112" s="3"/>
      <c r="TOP112" s="3"/>
      <c r="TOQ112" s="3"/>
      <c r="TOR112" s="3"/>
      <c r="TOS112" s="3"/>
      <c r="TOT112" s="3"/>
      <c r="TOU112" s="3"/>
      <c r="TOV112" s="3"/>
      <c r="TOW112" s="3"/>
      <c r="TOX112" s="3"/>
      <c r="TOY112" s="3"/>
      <c r="TOZ112" s="3"/>
      <c r="TPA112" s="3"/>
      <c r="TPB112" s="3"/>
      <c r="TPC112" s="3"/>
      <c r="TPD112" s="3"/>
      <c r="TPE112" s="3"/>
      <c r="TPF112" s="3"/>
      <c r="TPG112" s="3"/>
      <c r="TPH112" s="3"/>
      <c r="TPI112" s="3"/>
      <c r="TPJ112" s="3"/>
      <c r="TPK112" s="3"/>
      <c r="TPL112" s="3"/>
      <c r="TPM112" s="3"/>
      <c r="TPN112" s="3"/>
      <c r="TPO112" s="3"/>
      <c r="TPP112" s="3"/>
      <c r="TPQ112" s="3"/>
      <c r="TPR112" s="3"/>
      <c r="TPS112" s="3"/>
      <c r="TPT112" s="3"/>
      <c r="TPU112" s="3"/>
      <c r="TPV112" s="3"/>
      <c r="TPW112" s="3"/>
      <c r="TPX112" s="3"/>
      <c r="TPY112" s="3"/>
      <c r="TPZ112" s="3"/>
      <c r="TQA112" s="3"/>
      <c r="TQB112" s="3"/>
      <c r="TQC112" s="3"/>
      <c r="TQD112" s="3"/>
      <c r="TQE112" s="3"/>
      <c r="TQF112" s="3"/>
      <c r="TQG112" s="3"/>
      <c r="TQH112" s="3"/>
      <c r="TQI112" s="3"/>
      <c r="TQJ112" s="3"/>
      <c r="TQK112" s="3"/>
      <c r="TQL112" s="3"/>
      <c r="TQM112" s="3"/>
      <c r="TQN112" s="3"/>
      <c r="TQO112" s="3"/>
      <c r="TQP112" s="3"/>
      <c r="TQQ112" s="3"/>
      <c r="TQR112" s="3"/>
      <c r="TQS112" s="3"/>
      <c r="TQT112" s="3"/>
      <c r="TQU112" s="3"/>
      <c r="TQV112" s="3"/>
      <c r="TQW112" s="3"/>
      <c r="TQX112" s="3"/>
      <c r="TQY112" s="3"/>
      <c r="TQZ112" s="3"/>
      <c r="TRA112" s="3"/>
      <c r="TRB112" s="3"/>
      <c r="TRC112" s="3"/>
      <c r="TRD112" s="3"/>
      <c r="TRE112" s="3"/>
      <c r="TRF112" s="3"/>
      <c r="TRG112" s="3"/>
      <c r="TRH112" s="3"/>
      <c r="TRI112" s="3"/>
      <c r="TRJ112" s="3"/>
      <c r="TRK112" s="3"/>
      <c r="TRL112" s="3"/>
      <c r="TRM112" s="3"/>
      <c r="TRN112" s="3"/>
      <c r="TRO112" s="3"/>
      <c r="TRP112" s="3"/>
      <c r="TRQ112" s="3"/>
      <c r="TRR112" s="3"/>
      <c r="TRS112" s="3"/>
      <c r="TRT112" s="3"/>
      <c r="TRU112" s="3"/>
      <c r="TRV112" s="3"/>
      <c r="TRW112" s="3"/>
      <c r="TRX112" s="3"/>
      <c r="TRY112" s="3"/>
      <c r="TRZ112" s="3"/>
      <c r="TSA112" s="3"/>
      <c r="TSB112" s="3"/>
      <c r="TSC112" s="3"/>
      <c r="TSD112" s="3"/>
      <c r="TSE112" s="3"/>
      <c r="TSF112" s="3"/>
      <c r="TSG112" s="3"/>
      <c r="TSH112" s="3"/>
      <c r="TSI112" s="3"/>
      <c r="TSJ112" s="3"/>
      <c r="TSK112" s="3"/>
      <c r="TSL112" s="3"/>
      <c r="TSM112" s="3"/>
      <c r="TSN112" s="3"/>
      <c r="TSO112" s="3"/>
      <c r="TSP112" s="3"/>
      <c r="TSQ112" s="3"/>
      <c r="TSR112" s="3"/>
      <c r="TSS112" s="3"/>
      <c r="TST112" s="3"/>
      <c r="TSU112" s="3"/>
      <c r="TSV112" s="3"/>
      <c r="TSW112" s="3"/>
      <c r="TSX112" s="3"/>
      <c r="TSY112" s="3"/>
      <c r="TSZ112" s="3"/>
      <c r="TTA112" s="3"/>
      <c r="TTB112" s="3"/>
      <c r="TTC112" s="3"/>
      <c r="TTD112" s="3"/>
      <c r="TTE112" s="3"/>
      <c r="TTF112" s="3"/>
      <c r="TTG112" s="3"/>
      <c r="TTH112" s="3"/>
      <c r="TTI112" s="3"/>
      <c r="TTJ112" s="3"/>
      <c r="TTK112" s="3"/>
      <c r="TTL112" s="3"/>
      <c r="TTM112" s="3"/>
      <c r="TTN112" s="3"/>
      <c r="TTO112" s="3"/>
      <c r="TTP112" s="3"/>
      <c r="TTQ112" s="3"/>
      <c r="TTR112" s="3"/>
      <c r="TTS112" s="3"/>
      <c r="TTT112" s="3"/>
      <c r="TTU112" s="3"/>
      <c r="TTV112" s="3"/>
      <c r="TTW112" s="3"/>
      <c r="TTX112" s="3"/>
      <c r="TTY112" s="3"/>
      <c r="TTZ112" s="3"/>
      <c r="TUA112" s="3"/>
      <c r="TUB112" s="3"/>
      <c r="TUC112" s="3"/>
      <c r="TUD112" s="3"/>
      <c r="TUE112" s="3"/>
      <c r="TUF112" s="3"/>
      <c r="TUG112" s="3"/>
      <c r="TUH112" s="3"/>
      <c r="TUI112" s="3"/>
      <c r="TUJ112" s="3"/>
      <c r="TUK112" s="3"/>
      <c r="TUL112" s="3"/>
      <c r="TUM112" s="3"/>
      <c r="TUN112" s="3"/>
      <c r="TUO112" s="3"/>
      <c r="TUP112" s="3"/>
      <c r="TUQ112" s="3"/>
      <c r="TUR112" s="3"/>
      <c r="TUS112" s="3"/>
      <c r="TUT112" s="3"/>
      <c r="TUU112" s="3"/>
      <c r="TUV112" s="3"/>
      <c r="TUW112" s="3"/>
      <c r="TUX112" s="3"/>
      <c r="TUY112" s="3"/>
      <c r="TUZ112" s="3"/>
      <c r="TVA112" s="3"/>
      <c r="TVB112" s="3"/>
      <c r="TVC112" s="3"/>
      <c r="TVD112" s="3"/>
      <c r="TVE112" s="3"/>
      <c r="TVF112" s="3"/>
      <c r="TVG112" s="3"/>
      <c r="TVH112" s="3"/>
      <c r="TVI112" s="3"/>
      <c r="TVJ112" s="3"/>
      <c r="TVK112" s="3"/>
      <c r="TVL112" s="3"/>
      <c r="TVM112" s="3"/>
      <c r="TVN112" s="3"/>
      <c r="TVO112" s="3"/>
      <c r="TVP112" s="3"/>
      <c r="TVQ112" s="3"/>
      <c r="TVR112" s="3"/>
      <c r="TVS112" s="3"/>
      <c r="TVT112" s="3"/>
      <c r="TVU112" s="3"/>
      <c r="TVV112" s="3"/>
      <c r="TVW112" s="3"/>
      <c r="TVX112" s="3"/>
      <c r="TVY112" s="3"/>
      <c r="TVZ112" s="3"/>
      <c r="TWA112" s="3"/>
      <c r="TWB112" s="3"/>
      <c r="TWC112" s="3"/>
      <c r="TWD112" s="3"/>
      <c r="TWE112" s="3"/>
      <c r="TWF112" s="3"/>
      <c r="TWG112" s="3"/>
      <c r="TWH112" s="3"/>
      <c r="TWI112" s="3"/>
      <c r="TWJ112" s="3"/>
      <c r="TWK112" s="3"/>
      <c r="TWL112" s="3"/>
      <c r="TWM112" s="3"/>
      <c r="TWN112" s="3"/>
      <c r="TWO112" s="3"/>
      <c r="TWP112" s="3"/>
      <c r="TWQ112" s="3"/>
      <c r="TWR112" s="3"/>
      <c r="TWS112" s="3"/>
      <c r="TWT112" s="3"/>
      <c r="TWU112" s="3"/>
      <c r="TWV112" s="3"/>
      <c r="TWW112" s="3"/>
      <c r="TWX112" s="3"/>
      <c r="TWY112" s="3"/>
      <c r="TWZ112" s="3"/>
      <c r="TXA112" s="3"/>
      <c r="TXB112" s="3"/>
      <c r="TXC112" s="3"/>
      <c r="TXD112" s="3"/>
      <c r="TXE112" s="3"/>
      <c r="TXF112" s="3"/>
      <c r="TXG112" s="3"/>
      <c r="TXH112" s="3"/>
      <c r="TXI112" s="3"/>
      <c r="TXJ112" s="3"/>
      <c r="TXK112" s="3"/>
      <c r="TXL112" s="3"/>
      <c r="TXM112" s="3"/>
      <c r="TXN112" s="3"/>
      <c r="TXO112" s="3"/>
      <c r="TXP112" s="3"/>
      <c r="TXQ112" s="3"/>
      <c r="TXR112" s="3"/>
      <c r="TXS112" s="3"/>
      <c r="TXT112" s="3"/>
      <c r="TXU112" s="3"/>
      <c r="TXV112" s="3"/>
      <c r="TXW112" s="3"/>
      <c r="TXX112" s="3"/>
      <c r="TXY112" s="3"/>
      <c r="TXZ112" s="3"/>
      <c r="TYA112" s="3"/>
      <c r="TYB112" s="3"/>
      <c r="TYC112" s="3"/>
      <c r="TYD112" s="3"/>
      <c r="TYE112" s="3"/>
      <c r="TYF112" s="3"/>
      <c r="TYG112" s="3"/>
      <c r="TYH112" s="3"/>
      <c r="TYI112" s="3"/>
      <c r="TYJ112" s="3"/>
      <c r="TYK112" s="3"/>
      <c r="TYL112" s="3"/>
      <c r="TYM112" s="3"/>
      <c r="TYN112" s="3"/>
      <c r="TYO112" s="3"/>
      <c r="TYP112" s="3"/>
      <c r="TYQ112" s="3"/>
      <c r="TYR112" s="3"/>
      <c r="TYS112" s="3"/>
      <c r="TYT112" s="3"/>
      <c r="TYU112" s="3"/>
      <c r="TYV112" s="3"/>
      <c r="TYW112" s="3"/>
      <c r="TYX112" s="3"/>
      <c r="TYY112" s="3"/>
      <c r="TYZ112" s="3"/>
      <c r="TZA112" s="3"/>
      <c r="TZB112" s="3"/>
      <c r="TZC112" s="3"/>
      <c r="TZD112" s="3"/>
      <c r="TZE112" s="3"/>
      <c r="TZF112" s="3"/>
      <c r="TZG112" s="3"/>
      <c r="TZH112" s="3"/>
      <c r="TZI112" s="3"/>
      <c r="TZJ112" s="3"/>
      <c r="TZK112" s="3"/>
      <c r="TZL112" s="3"/>
      <c r="TZM112" s="3"/>
      <c r="TZN112" s="3"/>
      <c r="TZO112" s="3"/>
      <c r="TZP112" s="3"/>
      <c r="TZQ112" s="3"/>
      <c r="TZR112" s="3"/>
      <c r="TZS112" s="3"/>
      <c r="TZT112" s="3"/>
      <c r="TZU112" s="3"/>
      <c r="TZV112" s="3"/>
      <c r="TZW112" s="3"/>
      <c r="TZX112" s="3"/>
      <c r="TZY112" s="3"/>
      <c r="TZZ112" s="3"/>
      <c r="UAA112" s="3"/>
      <c r="UAB112" s="3"/>
      <c r="UAC112" s="3"/>
      <c r="UAD112" s="3"/>
      <c r="UAE112" s="3"/>
      <c r="UAF112" s="3"/>
      <c r="UAG112" s="3"/>
      <c r="UAH112" s="3"/>
      <c r="UAI112" s="3"/>
      <c r="UAJ112" s="3"/>
      <c r="UAK112" s="3"/>
      <c r="UAL112" s="3"/>
      <c r="UAM112" s="3"/>
      <c r="UAN112" s="3"/>
      <c r="UAO112" s="3"/>
      <c r="UAP112" s="3"/>
      <c r="UAQ112" s="3"/>
      <c r="UAR112" s="3"/>
      <c r="UAS112" s="3"/>
      <c r="UAT112" s="3"/>
      <c r="UAU112" s="3"/>
      <c r="UAV112" s="3"/>
      <c r="UAW112" s="3"/>
      <c r="UAX112" s="3"/>
      <c r="UAY112" s="3"/>
      <c r="UAZ112" s="3"/>
      <c r="UBA112" s="3"/>
      <c r="UBB112" s="3"/>
      <c r="UBC112" s="3"/>
      <c r="UBD112" s="3"/>
      <c r="UBE112" s="3"/>
      <c r="UBF112" s="3"/>
      <c r="UBG112" s="3"/>
      <c r="UBH112" s="3"/>
      <c r="UBI112" s="3"/>
      <c r="UBJ112" s="3"/>
      <c r="UBK112" s="3"/>
      <c r="UBL112" s="3"/>
      <c r="UBM112" s="3"/>
      <c r="UBN112" s="3"/>
      <c r="UBO112" s="3"/>
      <c r="UBP112" s="3"/>
      <c r="UBQ112" s="3"/>
      <c r="UBR112" s="3"/>
      <c r="UBS112" s="3"/>
      <c r="UBT112" s="3"/>
      <c r="UBU112" s="3"/>
      <c r="UBV112" s="3"/>
      <c r="UBW112" s="3"/>
      <c r="UBX112" s="3"/>
      <c r="UBY112" s="3"/>
      <c r="UBZ112" s="3"/>
      <c r="UCA112" s="3"/>
      <c r="UCB112" s="3"/>
      <c r="UCC112" s="3"/>
      <c r="UCD112" s="3"/>
      <c r="UCE112" s="3"/>
      <c r="UCF112" s="3"/>
      <c r="UCG112" s="3"/>
      <c r="UCH112" s="3"/>
      <c r="UCI112" s="3"/>
      <c r="UCJ112" s="3"/>
      <c r="UCK112" s="3"/>
      <c r="UCL112" s="3"/>
      <c r="UCM112" s="3"/>
      <c r="UCN112" s="3"/>
      <c r="UCO112" s="3"/>
      <c r="UCP112" s="3"/>
      <c r="UCQ112" s="3"/>
      <c r="UCR112" s="3"/>
      <c r="UCS112" s="3"/>
      <c r="UCT112" s="3"/>
      <c r="UCU112" s="3"/>
      <c r="UCV112" s="3"/>
      <c r="UCW112" s="3"/>
      <c r="UCX112" s="3"/>
      <c r="UCY112" s="3"/>
      <c r="UCZ112" s="3"/>
      <c r="UDA112" s="3"/>
      <c r="UDB112" s="3"/>
      <c r="UDC112" s="3"/>
      <c r="UDD112" s="3"/>
      <c r="UDE112" s="3"/>
      <c r="UDF112" s="3"/>
      <c r="UDG112" s="3"/>
      <c r="UDH112" s="3"/>
      <c r="UDI112" s="3"/>
      <c r="UDJ112" s="3"/>
      <c r="UDK112" s="3"/>
      <c r="UDL112" s="3"/>
      <c r="UDM112" s="3"/>
      <c r="UDN112" s="3"/>
      <c r="UDO112" s="3"/>
      <c r="UDP112" s="3"/>
      <c r="UDQ112" s="3"/>
      <c r="UDR112" s="3"/>
      <c r="UDS112" s="3"/>
      <c r="UDT112" s="3"/>
      <c r="UDU112" s="3"/>
      <c r="UDV112" s="3"/>
      <c r="UDW112" s="3"/>
      <c r="UDX112" s="3"/>
      <c r="UDY112" s="3"/>
      <c r="UDZ112" s="3"/>
      <c r="UEA112" s="3"/>
      <c r="UEB112" s="3"/>
      <c r="UEC112" s="3"/>
      <c r="UED112" s="3"/>
      <c r="UEE112" s="3"/>
      <c r="UEF112" s="3"/>
      <c r="UEG112" s="3"/>
      <c r="UEH112" s="3"/>
      <c r="UEI112" s="3"/>
      <c r="UEJ112" s="3"/>
      <c r="UEK112" s="3"/>
      <c r="UEL112" s="3"/>
      <c r="UEM112" s="3"/>
      <c r="UEN112" s="3"/>
      <c r="UEO112" s="3"/>
      <c r="UEP112" s="3"/>
      <c r="UEQ112" s="3"/>
      <c r="UER112" s="3"/>
      <c r="UES112" s="3"/>
      <c r="UET112" s="3"/>
      <c r="UEU112" s="3"/>
      <c r="UEV112" s="3"/>
      <c r="UEW112" s="3"/>
      <c r="UEX112" s="3"/>
      <c r="UEY112" s="3"/>
      <c r="UEZ112" s="3"/>
      <c r="UFA112" s="3"/>
      <c r="UFB112" s="3"/>
      <c r="UFC112" s="3"/>
      <c r="UFD112" s="3"/>
      <c r="UFE112" s="3"/>
      <c r="UFF112" s="3"/>
      <c r="UFG112" s="3"/>
      <c r="UFH112" s="3"/>
      <c r="UFI112" s="3"/>
      <c r="UFJ112" s="3"/>
      <c r="UFK112" s="3"/>
      <c r="UFL112" s="3"/>
      <c r="UFM112" s="3"/>
      <c r="UFN112" s="3"/>
      <c r="UFO112" s="3"/>
      <c r="UFP112" s="3"/>
      <c r="UFQ112" s="3"/>
      <c r="UFR112" s="3"/>
      <c r="UFS112" s="3"/>
      <c r="UFT112" s="3"/>
      <c r="UFU112" s="3"/>
      <c r="UFV112" s="3"/>
      <c r="UFW112" s="3"/>
      <c r="UFX112" s="3"/>
      <c r="UFY112" s="3"/>
      <c r="UFZ112" s="3"/>
      <c r="UGA112" s="3"/>
      <c r="UGB112" s="3"/>
      <c r="UGC112" s="3"/>
      <c r="UGD112" s="3"/>
      <c r="UGE112" s="3"/>
      <c r="UGF112" s="3"/>
      <c r="UGG112" s="3"/>
      <c r="UGH112" s="3"/>
      <c r="UGI112" s="3"/>
      <c r="UGJ112" s="3"/>
      <c r="UGK112" s="3"/>
      <c r="UGL112" s="3"/>
      <c r="UGM112" s="3"/>
      <c r="UGN112" s="3"/>
      <c r="UGO112" s="3"/>
      <c r="UGP112" s="3"/>
      <c r="UGQ112" s="3"/>
      <c r="UGR112" s="3"/>
      <c r="UGS112" s="3"/>
      <c r="UGT112" s="3"/>
      <c r="UGU112" s="3"/>
      <c r="UGV112" s="3"/>
      <c r="UGW112" s="3"/>
      <c r="UGX112" s="3"/>
      <c r="UGY112" s="3"/>
      <c r="UGZ112" s="3"/>
      <c r="UHA112" s="3"/>
      <c r="UHB112" s="3"/>
      <c r="UHC112" s="3"/>
      <c r="UHD112" s="3"/>
      <c r="UHE112" s="3"/>
      <c r="UHF112" s="3"/>
      <c r="UHG112" s="3"/>
      <c r="UHH112" s="3"/>
      <c r="UHI112" s="3"/>
      <c r="UHJ112" s="3"/>
      <c r="UHK112" s="3"/>
      <c r="UHL112" s="3"/>
      <c r="UHM112" s="3"/>
      <c r="UHN112" s="3"/>
      <c r="UHO112" s="3"/>
      <c r="UHP112" s="3"/>
      <c r="UHQ112" s="3"/>
      <c r="UHR112" s="3"/>
      <c r="UHS112" s="3"/>
      <c r="UHT112" s="3"/>
      <c r="UHU112" s="3"/>
      <c r="UHV112" s="3"/>
      <c r="UHW112" s="3"/>
      <c r="UHX112" s="3"/>
      <c r="UHY112" s="3"/>
      <c r="UHZ112" s="3"/>
      <c r="UIA112" s="3"/>
      <c r="UIB112" s="3"/>
      <c r="UIC112" s="3"/>
      <c r="UID112" s="3"/>
      <c r="UIE112" s="3"/>
      <c r="UIF112" s="3"/>
      <c r="UIG112" s="3"/>
      <c r="UIH112" s="3"/>
      <c r="UII112" s="3"/>
      <c r="UIJ112" s="3"/>
      <c r="UIK112" s="3"/>
      <c r="UIL112" s="3"/>
      <c r="UIM112" s="3"/>
      <c r="UIN112" s="3"/>
      <c r="UIO112" s="3"/>
      <c r="UIP112" s="3"/>
      <c r="UIQ112" s="3"/>
      <c r="UIR112" s="3"/>
      <c r="UIS112" s="3"/>
      <c r="UIT112" s="3"/>
      <c r="UIU112" s="3"/>
      <c r="UIV112" s="3"/>
      <c r="UIW112" s="3"/>
      <c r="UIX112" s="3"/>
      <c r="UIY112" s="3"/>
      <c r="UIZ112" s="3"/>
      <c r="UJA112" s="3"/>
      <c r="UJB112" s="3"/>
      <c r="UJC112" s="3"/>
      <c r="UJD112" s="3"/>
      <c r="UJE112" s="3"/>
      <c r="UJF112" s="3"/>
      <c r="UJG112" s="3"/>
      <c r="UJH112" s="3"/>
      <c r="UJI112" s="3"/>
      <c r="UJJ112" s="3"/>
      <c r="UJK112" s="3"/>
      <c r="UJL112" s="3"/>
      <c r="UJM112" s="3"/>
      <c r="UJN112" s="3"/>
      <c r="UJO112" s="3"/>
      <c r="UJP112" s="3"/>
      <c r="UJQ112" s="3"/>
      <c r="UJR112" s="3"/>
      <c r="UJS112" s="3"/>
      <c r="UJT112" s="3"/>
      <c r="UJU112" s="3"/>
      <c r="UJV112" s="3"/>
      <c r="UJW112" s="3"/>
      <c r="UJX112" s="3"/>
      <c r="UJY112" s="3"/>
      <c r="UJZ112" s="3"/>
      <c r="UKA112" s="3"/>
      <c r="UKB112" s="3"/>
      <c r="UKC112" s="3"/>
      <c r="UKD112" s="3"/>
      <c r="UKE112" s="3"/>
      <c r="UKF112" s="3"/>
      <c r="UKG112" s="3"/>
      <c r="UKH112" s="3"/>
      <c r="UKI112" s="3"/>
      <c r="UKJ112" s="3"/>
      <c r="UKK112" s="3"/>
      <c r="UKL112" s="3"/>
      <c r="UKM112" s="3"/>
      <c r="UKN112" s="3"/>
      <c r="UKO112" s="3"/>
      <c r="UKP112" s="3"/>
      <c r="UKQ112" s="3"/>
      <c r="UKR112" s="3"/>
      <c r="UKS112" s="3"/>
      <c r="UKT112" s="3"/>
      <c r="UKU112" s="3"/>
      <c r="UKV112" s="3"/>
      <c r="UKW112" s="3"/>
      <c r="UKX112" s="3"/>
      <c r="UKY112" s="3"/>
      <c r="UKZ112" s="3"/>
      <c r="ULA112" s="3"/>
      <c r="ULB112" s="3"/>
      <c r="ULC112" s="3"/>
      <c r="ULD112" s="3"/>
      <c r="ULE112" s="3"/>
      <c r="ULF112" s="3"/>
      <c r="ULG112" s="3"/>
      <c r="ULH112" s="3"/>
      <c r="ULI112" s="3"/>
      <c r="ULJ112" s="3"/>
      <c r="ULK112" s="3"/>
      <c r="ULL112" s="3"/>
      <c r="ULM112" s="3"/>
      <c r="ULN112" s="3"/>
      <c r="ULO112" s="3"/>
      <c r="ULP112" s="3"/>
      <c r="ULQ112" s="3"/>
      <c r="ULR112" s="3"/>
      <c r="ULS112" s="3"/>
      <c r="ULT112" s="3"/>
      <c r="ULU112" s="3"/>
      <c r="ULV112" s="3"/>
      <c r="ULW112" s="3"/>
      <c r="ULX112" s="3"/>
      <c r="ULY112" s="3"/>
      <c r="ULZ112" s="3"/>
      <c r="UMA112" s="3"/>
      <c r="UMB112" s="3"/>
      <c r="UMC112" s="3"/>
      <c r="UMD112" s="3"/>
      <c r="UME112" s="3"/>
      <c r="UMF112" s="3"/>
      <c r="UMG112" s="3"/>
      <c r="UMH112" s="3"/>
      <c r="UMI112" s="3"/>
      <c r="UMJ112" s="3"/>
      <c r="UMK112" s="3"/>
      <c r="UML112" s="3"/>
      <c r="UMM112" s="3"/>
      <c r="UMN112" s="3"/>
      <c r="UMO112" s="3"/>
      <c r="UMP112" s="3"/>
      <c r="UMQ112" s="3"/>
      <c r="UMR112" s="3"/>
      <c r="UMS112" s="3"/>
      <c r="UMT112" s="3"/>
      <c r="UMU112" s="3"/>
      <c r="UMV112" s="3"/>
      <c r="UMW112" s="3"/>
      <c r="UMX112" s="3"/>
      <c r="UMY112" s="3"/>
      <c r="UMZ112" s="3"/>
      <c r="UNA112" s="3"/>
      <c r="UNB112" s="3"/>
      <c r="UNC112" s="3"/>
      <c r="UND112" s="3"/>
      <c r="UNE112" s="3"/>
      <c r="UNF112" s="3"/>
      <c r="UNG112" s="3"/>
      <c r="UNH112" s="3"/>
      <c r="UNI112" s="3"/>
      <c r="UNJ112" s="3"/>
      <c r="UNK112" s="3"/>
      <c r="UNL112" s="3"/>
      <c r="UNM112" s="3"/>
      <c r="UNN112" s="3"/>
      <c r="UNO112" s="3"/>
      <c r="UNP112" s="3"/>
      <c r="UNQ112" s="3"/>
      <c r="UNR112" s="3"/>
      <c r="UNS112" s="3"/>
      <c r="UNT112" s="3"/>
      <c r="UNU112" s="3"/>
      <c r="UNV112" s="3"/>
      <c r="UNW112" s="3"/>
      <c r="UNX112" s="3"/>
      <c r="UNY112" s="3"/>
      <c r="UNZ112" s="3"/>
      <c r="UOA112" s="3"/>
      <c r="UOB112" s="3"/>
      <c r="UOC112" s="3"/>
      <c r="UOD112" s="3"/>
      <c r="UOE112" s="3"/>
      <c r="UOF112" s="3"/>
      <c r="UOG112" s="3"/>
      <c r="UOH112" s="3"/>
      <c r="UOI112" s="3"/>
      <c r="UOJ112" s="3"/>
      <c r="UOK112" s="3"/>
      <c r="UOL112" s="3"/>
      <c r="UOM112" s="3"/>
      <c r="UON112" s="3"/>
      <c r="UOO112" s="3"/>
      <c r="UOP112" s="3"/>
      <c r="UOQ112" s="3"/>
      <c r="UOR112" s="3"/>
      <c r="UOS112" s="3"/>
      <c r="UOT112" s="3"/>
      <c r="UOU112" s="3"/>
      <c r="UOV112" s="3"/>
      <c r="UOW112" s="3"/>
      <c r="UOX112" s="3"/>
      <c r="UOY112" s="3"/>
      <c r="UOZ112" s="3"/>
      <c r="UPA112" s="3"/>
      <c r="UPB112" s="3"/>
      <c r="UPC112" s="3"/>
      <c r="UPD112" s="3"/>
      <c r="UPE112" s="3"/>
      <c r="UPF112" s="3"/>
      <c r="UPG112" s="3"/>
      <c r="UPH112" s="3"/>
      <c r="UPI112" s="3"/>
      <c r="UPJ112" s="3"/>
      <c r="UPK112" s="3"/>
      <c r="UPL112" s="3"/>
      <c r="UPM112" s="3"/>
      <c r="UPN112" s="3"/>
      <c r="UPO112" s="3"/>
      <c r="UPP112" s="3"/>
      <c r="UPQ112" s="3"/>
      <c r="UPR112" s="3"/>
      <c r="UPS112" s="3"/>
      <c r="UPT112" s="3"/>
      <c r="UPU112" s="3"/>
      <c r="UPV112" s="3"/>
      <c r="UPW112" s="3"/>
      <c r="UPX112" s="3"/>
      <c r="UPY112" s="3"/>
      <c r="UPZ112" s="3"/>
      <c r="UQA112" s="3"/>
      <c r="UQB112" s="3"/>
      <c r="UQC112" s="3"/>
      <c r="UQD112" s="3"/>
      <c r="UQE112" s="3"/>
      <c r="UQF112" s="3"/>
      <c r="UQG112" s="3"/>
      <c r="UQH112" s="3"/>
      <c r="UQI112" s="3"/>
      <c r="UQJ112" s="3"/>
      <c r="UQK112" s="3"/>
      <c r="UQL112" s="3"/>
      <c r="UQM112" s="3"/>
      <c r="UQN112" s="3"/>
      <c r="UQO112" s="3"/>
      <c r="UQP112" s="3"/>
      <c r="UQQ112" s="3"/>
      <c r="UQR112" s="3"/>
      <c r="UQS112" s="3"/>
      <c r="UQT112" s="3"/>
      <c r="UQU112" s="3"/>
      <c r="UQV112" s="3"/>
      <c r="UQW112" s="3"/>
      <c r="UQX112" s="3"/>
      <c r="UQY112" s="3"/>
      <c r="UQZ112" s="3"/>
      <c r="URA112" s="3"/>
      <c r="URB112" s="3"/>
      <c r="URC112" s="3"/>
      <c r="URD112" s="3"/>
      <c r="URE112" s="3"/>
      <c r="URF112" s="3"/>
      <c r="URG112" s="3"/>
      <c r="URH112" s="3"/>
      <c r="URI112" s="3"/>
      <c r="URJ112" s="3"/>
      <c r="URK112" s="3"/>
      <c r="URL112" s="3"/>
      <c r="URM112" s="3"/>
      <c r="URN112" s="3"/>
      <c r="URO112" s="3"/>
      <c r="URP112" s="3"/>
      <c r="URQ112" s="3"/>
      <c r="URR112" s="3"/>
      <c r="URS112" s="3"/>
      <c r="URT112" s="3"/>
      <c r="URU112" s="3"/>
      <c r="URV112" s="3"/>
      <c r="URW112" s="3"/>
      <c r="URX112" s="3"/>
      <c r="URY112" s="3"/>
      <c r="URZ112" s="3"/>
      <c r="USA112" s="3"/>
      <c r="USB112" s="3"/>
      <c r="USC112" s="3"/>
      <c r="USD112" s="3"/>
      <c r="USE112" s="3"/>
      <c r="USF112" s="3"/>
      <c r="USG112" s="3"/>
      <c r="USH112" s="3"/>
      <c r="USI112" s="3"/>
      <c r="USJ112" s="3"/>
      <c r="USK112" s="3"/>
      <c r="USL112" s="3"/>
      <c r="USM112" s="3"/>
      <c r="USN112" s="3"/>
      <c r="USO112" s="3"/>
      <c r="USP112" s="3"/>
      <c r="USQ112" s="3"/>
      <c r="USR112" s="3"/>
      <c r="USS112" s="3"/>
      <c r="UST112" s="3"/>
      <c r="USU112" s="3"/>
      <c r="USV112" s="3"/>
      <c r="USW112" s="3"/>
      <c r="USX112" s="3"/>
      <c r="USY112" s="3"/>
      <c r="USZ112" s="3"/>
      <c r="UTA112" s="3"/>
      <c r="UTB112" s="3"/>
      <c r="UTC112" s="3"/>
      <c r="UTD112" s="3"/>
      <c r="UTE112" s="3"/>
      <c r="UTF112" s="3"/>
      <c r="UTG112" s="3"/>
      <c r="UTH112" s="3"/>
      <c r="UTI112" s="3"/>
      <c r="UTJ112" s="3"/>
      <c r="UTK112" s="3"/>
      <c r="UTL112" s="3"/>
      <c r="UTM112" s="3"/>
      <c r="UTN112" s="3"/>
      <c r="UTO112" s="3"/>
      <c r="UTP112" s="3"/>
      <c r="UTQ112" s="3"/>
      <c r="UTR112" s="3"/>
      <c r="UTS112" s="3"/>
      <c r="UTT112" s="3"/>
      <c r="UTU112" s="3"/>
      <c r="UTV112" s="3"/>
      <c r="UTW112" s="3"/>
      <c r="UTX112" s="3"/>
      <c r="UTY112" s="3"/>
      <c r="UTZ112" s="3"/>
      <c r="UUA112" s="3"/>
      <c r="UUB112" s="3"/>
      <c r="UUC112" s="3"/>
      <c r="UUD112" s="3"/>
      <c r="UUE112" s="3"/>
      <c r="UUF112" s="3"/>
      <c r="UUG112" s="3"/>
      <c r="UUH112" s="3"/>
      <c r="UUI112" s="3"/>
      <c r="UUJ112" s="3"/>
      <c r="UUK112" s="3"/>
      <c r="UUL112" s="3"/>
      <c r="UUM112" s="3"/>
      <c r="UUN112" s="3"/>
      <c r="UUO112" s="3"/>
      <c r="UUP112" s="3"/>
      <c r="UUQ112" s="3"/>
      <c r="UUR112" s="3"/>
      <c r="UUS112" s="3"/>
      <c r="UUT112" s="3"/>
      <c r="UUU112" s="3"/>
      <c r="UUV112" s="3"/>
      <c r="UUW112" s="3"/>
      <c r="UUX112" s="3"/>
      <c r="UUY112" s="3"/>
      <c r="UUZ112" s="3"/>
      <c r="UVA112" s="3"/>
      <c r="UVB112" s="3"/>
      <c r="UVC112" s="3"/>
      <c r="UVD112" s="3"/>
      <c r="UVE112" s="3"/>
      <c r="UVF112" s="3"/>
      <c r="UVG112" s="3"/>
      <c r="UVH112" s="3"/>
      <c r="UVI112" s="3"/>
      <c r="UVJ112" s="3"/>
      <c r="UVK112" s="3"/>
      <c r="UVL112" s="3"/>
      <c r="UVM112" s="3"/>
      <c r="UVN112" s="3"/>
      <c r="UVO112" s="3"/>
      <c r="UVP112" s="3"/>
      <c r="UVQ112" s="3"/>
      <c r="UVR112" s="3"/>
      <c r="UVS112" s="3"/>
      <c r="UVT112" s="3"/>
      <c r="UVU112" s="3"/>
      <c r="UVV112" s="3"/>
      <c r="UVW112" s="3"/>
      <c r="UVX112" s="3"/>
      <c r="UVY112" s="3"/>
      <c r="UVZ112" s="3"/>
      <c r="UWA112" s="3"/>
      <c r="UWB112" s="3"/>
      <c r="UWC112" s="3"/>
      <c r="UWD112" s="3"/>
      <c r="UWE112" s="3"/>
      <c r="UWF112" s="3"/>
      <c r="UWG112" s="3"/>
      <c r="UWH112" s="3"/>
      <c r="UWI112" s="3"/>
      <c r="UWJ112" s="3"/>
      <c r="UWK112" s="3"/>
      <c r="UWL112" s="3"/>
      <c r="UWM112" s="3"/>
      <c r="UWN112" s="3"/>
      <c r="UWO112" s="3"/>
      <c r="UWP112" s="3"/>
      <c r="UWQ112" s="3"/>
      <c r="UWR112" s="3"/>
      <c r="UWS112" s="3"/>
      <c r="UWT112" s="3"/>
      <c r="UWU112" s="3"/>
      <c r="UWV112" s="3"/>
      <c r="UWW112" s="3"/>
      <c r="UWX112" s="3"/>
      <c r="UWY112" s="3"/>
      <c r="UWZ112" s="3"/>
      <c r="UXA112" s="3"/>
      <c r="UXB112" s="3"/>
      <c r="UXC112" s="3"/>
      <c r="UXD112" s="3"/>
      <c r="UXE112" s="3"/>
      <c r="UXF112" s="3"/>
      <c r="UXG112" s="3"/>
      <c r="UXH112" s="3"/>
      <c r="UXI112" s="3"/>
      <c r="UXJ112" s="3"/>
      <c r="UXK112" s="3"/>
      <c r="UXL112" s="3"/>
      <c r="UXM112" s="3"/>
      <c r="UXN112" s="3"/>
      <c r="UXO112" s="3"/>
      <c r="UXP112" s="3"/>
      <c r="UXQ112" s="3"/>
      <c r="UXR112" s="3"/>
      <c r="UXS112" s="3"/>
      <c r="UXT112" s="3"/>
      <c r="UXU112" s="3"/>
      <c r="UXV112" s="3"/>
      <c r="UXW112" s="3"/>
      <c r="UXX112" s="3"/>
      <c r="UXY112" s="3"/>
      <c r="UXZ112" s="3"/>
      <c r="UYA112" s="3"/>
      <c r="UYB112" s="3"/>
      <c r="UYC112" s="3"/>
      <c r="UYD112" s="3"/>
      <c r="UYE112" s="3"/>
      <c r="UYF112" s="3"/>
      <c r="UYG112" s="3"/>
      <c r="UYH112" s="3"/>
      <c r="UYI112" s="3"/>
      <c r="UYJ112" s="3"/>
      <c r="UYK112" s="3"/>
      <c r="UYL112" s="3"/>
      <c r="UYM112" s="3"/>
      <c r="UYN112" s="3"/>
      <c r="UYO112" s="3"/>
      <c r="UYP112" s="3"/>
      <c r="UYQ112" s="3"/>
      <c r="UYR112" s="3"/>
      <c r="UYS112" s="3"/>
      <c r="UYT112" s="3"/>
      <c r="UYU112" s="3"/>
      <c r="UYV112" s="3"/>
      <c r="UYW112" s="3"/>
      <c r="UYX112" s="3"/>
      <c r="UYY112" s="3"/>
      <c r="UYZ112" s="3"/>
      <c r="UZA112" s="3"/>
      <c r="UZB112" s="3"/>
      <c r="UZC112" s="3"/>
      <c r="UZD112" s="3"/>
      <c r="UZE112" s="3"/>
      <c r="UZF112" s="3"/>
      <c r="UZG112" s="3"/>
      <c r="UZH112" s="3"/>
      <c r="UZI112" s="3"/>
      <c r="UZJ112" s="3"/>
      <c r="UZK112" s="3"/>
      <c r="UZL112" s="3"/>
      <c r="UZM112" s="3"/>
      <c r="UZN112" s="3"/>
      <c r="UZO112" s="3"/>
      <c r="UZP112" s="3"/>
      <c r="UZQ112" s="3"/>
      <c r="UZR112" s="3"/>
      <c r="UZS112" s="3"/>
      <c r="UZT112" s="3"/>
      <c r="UZU112" s="3"/>
      <c r="UZV112" s="3"/>
      <c r="UZW112" s="3"/>
      <c r="UZX112" s="3"/>
      <c r="UZY112" s="3"/>
      <c r="UZZ112" s="3"/>
      <c r="VAA112" s="3"/>
      <c r="VAB112" s="3"/>
      <c r="VAC112" s="3"/>
      <c r="VAD112" s="3"/>
      <c r="VAE112" s="3"/>
      <c r="VAF112" s="3"/>
      <c r="VAG112" s="3"/>
      <c r="VAH112" s="3"/>
      <c r="VAI112" s="3"/>
      <c r="VAJ112" s="3"/>
      <c r="VAK112" s="3"/>
      <c r="VAL112" s="3"/>
      <c r="VAM112" s="3"/>
      <c r="VAN112" s="3"/>
      <c r="VAO112" s="3"/>
      <c r="VAP112" s="3"/>
      <c r="VAQ112" s="3"/>
      <c r="VAR112" s="3"/>
      <c r="VAS112" s="3"/>
      <c r="VAT112" s="3"/>
      <c r="VAU112" s="3"/>
      <c r="VAV112" s="3"/>
      <c r="VAW112" s="3"/>
      <c r="VAX112" s="3"/>
      <c r="VAY112" s="3"/>
      <c r="VAZ112" s="3"/>
      <c r="VBA112" s="3"/>
      <c r="VBB112" s="3"/>
      <c r="VBC112" s="3"/>
      <c r="VBD112" s="3"/>
      <c r="VBE112" s="3"/>
      <c r="VBF112" s="3"/>
      <c r="VBG112" s="3"/>
      <c r="VBH112" s="3"/>
      <c r="VBI112" s="3"/>
      <c r="VBJ112" s="3"/>
      <c r="VBK112" s="3"/>
      <c r="VBL112" s="3"/>
      <c r="VBM112" s="3"/>
      <c r="VBN112" s="3"/>
      <c r="VBO112" s="3"/>
      <c r="VBP112" s="3"/>
      <c r="VBQ112" s="3"/>
      <c r="VBR112" s="3"/>
      <c r="VBS112" s="3"/>
      <c r="VBT112" s="3"/>
      <c r="VBU112" s="3"/>
      <c r="VBV112" s="3"/>
      <c r="VBW112" s="3"/>
      <c r="VBX112" s="3"/>
      <c r="VBY112" s="3"/>
      <c r="VBZ112" s="3"/>
      <c r="VCA112" s="3"/>
      <c r="VCB112" s="3"/>
      <c r="VCC112" s="3"/>
      <c r="VCD112" s="3"/>
      <c r="VCE112" s="3"/>
      <c r="VCF112" s="3"/>
      <c r="VCG112" s="3"/>
      <c r="VCH112" s="3"/>
      <c r="VCI112" s="3"/>
      <c r="VCJ112" s="3"/>
      <c r="VCK112" s="3"/>
      <c r="VCL112" s="3"/>
      <c r="VCM112" s="3"/>
      <c r="VCN112" s="3"/>
      <c r="VCO112" s="3"/>
      <c r="VCP112" s="3"/>
      <c r="VCQ112" s="3"/>
      <c r="VCR112" s="3"/>
      <c r="VCS112" s="3"/>
      <c r="VCT112" s="3"/>
      <c r="VCU112" s="3"/>
      <c r="VCV112" s="3"/>
      <c r="VCW112" s="3"/>
      <c r="VCX112" s="3"/>
      <c r="VCY112" s="3"/>
      <c r="VCZ112" s="3"/>
      <c r="VDA112" s="3"/>
      <c r="VDB112" s="3"/>
      <c r="VDC112" s="3"/>
      <c r="VDD112" s="3"/>
      <c r="VDE112" s="3"/>
      <c r="VDF112" s="3"/>
      <c r="VDG112" s="3"/>
      <c r="VDH112" s="3"/>
      <c r="VDI112" s="3"/>
      <c r="VDJ112" s="3"/>
      <c r="VDK112" s="3"/>
      <c r="VDL112" s="3"/>
      <c r="VDM112" s="3"/>
      <c r="VDN112" s="3"/>
      <c r="VDO112" s="3"/>
      <c r="VDP112" s="3"/>
      <c r="VDQ112" s="3"/>
      <c r="VDR112" s="3"/>
      <c r="VDS112" s="3"/>
      <c r="VDT112" s="3"/>
      <c r="VDU112" s="3"/>
      <c r="VDV112" s="3"/>
      <c r="VDW112" s="3"/>
      <c r="VDX112" s="3"/>
      <c r="VDY112" s="3"/>
      <c r="VDZ112" s="3"/>
      <c r="VEA112" s="3"/>
      <c r="VEB112" s="3"/>
      <c r="VEC112" s="3"/>
      <c r="VED112" s="3"/>
      <c r="VEE112" s="3"/>
      <c r="VEF112" s="3"/>
      <c r="VEG112" s="3"/>
      <c r="VEH112" s="3"/>
      <c r="VEI112" s="3"/>
      <c r="VEJ112" s="3"/>
      <c r="VEK112" s="3"/>
      <c r="VEL112" s="3"/>
      <c r="VEM112" s="3"/>
      <c r="VEN112" s="3"/>
      <c r="VEO112" s="3"/>
      <c r="VEP112" s="3"/>
      <c r="VEQ112" s="3"/>
      <c r="VER112" s="3"/>
      <c r="VES112" s="3"/>
      <c r="VET112" s="3"/>
      <c r="VEU112" s="3"/>
      <c r="VEV112" s="3"/>
      <c r="VEW112" s="3"/>
      <c r="VEX112" s="3"/>
      <c r="VEY112" s="3"/>
      <c r="VEZ112" s="3"/>
      <c r="VFA112" s="3"/>
      <c r="VFB112" s="3"/>
      <c r="VFC112" s="3"/>
      <c r="VFD112" s="3"/>
      <c r="VFE112" s="3"/>
      <c r="VFF112" s="3"/>
      <c r="VFG112" s="3"/>
      <c r="VFH112" s="3"/>
      <c r="VFI112" s="3"/>
      <c r="VFJ112" s="3"/>
      <c r="VFK112" s="3"/>
      <c r="VFL112" s="3"/>
      <c r="VFM112" s="3"/>
      <c r="VFN112" s="3"/>
      <c r="VFO112" s="3"/>
      <c r="VFP112" s="3"/>
      <c r="VFQ112" s="3"/>
      <c r="VFR112" s="3"/>
      <c r="VFS112" s="3"/>
      <c r="VFT112" s="3"/>
      <c r="VFU112" s="3"/>
      <c r="VFV112" s="3"/>
      <c r="VFW112" s="3"/>
      <c r="VFX112" s="3"/>
      <c r="VFY112" s="3"/>
      <c r="VFZ112" s="3"/>
      <c r="VGA112" s="3"/>
      <c r="VGB112" s="3"/>
      <c r="VGC112" s="3"/>
      <c r="VGD112" s="3"/>
      <c r="VGE112" s="3"/>
      <c r="VGF112" s="3"/>
      <c r="VGG112" s="3"/>
      <c r="VGH112" s="3"/>
      <c r="VGI112" s="3"/>
      <c r="VGJ112" s="3"/>
      <c r="VGK112" s="3"/>
      <c r="VGL112" s="3"/>
      <c r="VGM112" s="3"/>
      <c r="VGN112" s="3"/>
      <c r="VGO112" s="3"/>
      <c r="VGP112" s="3"/>
      <c r="VGQ112" s="3"/>
      <c r="VGR112" s="3"/>
      <c r="VGS112" s="3"/>
      <c r="VGT112" s="3"/>
      <c r="VGU112" s="3"/>
      <c r="VGV112" s="3"/>
      <c r="VGW112" s="3"/>
      <c r="VGX112" s="3"/>
      <c r="VGY112" s="3"/>
      <c r="VGZ112" s="3"/>
      <c r="VHA112" s="3"/>
      <c r="VHB112" s="3"/>
      <c r="VHC112" s="3"/>
      <c r="VHD112" s="3"/>
      <c r="VHE112" s="3"/>
      <c r="VHF112" s="3"/>
      <c r="VHG112" s="3"/>
      <c r="VHH112" s="3"/>
      <c r="VHI112" s="3"/>
      <c r="VHJ112" s="3"/>
      <c r="VHK112" s="3"/>
      <c r="VHL112" s="3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</row>
    <row r="113" spans="1:15485" s="1" customFormat="1" ht="14.25">
      <c r="B113" s="75"/>
      <c r="C113" s="238" t="s">
        <v>68</v>
      </c>
      <c r="D113" s="79"/>
      <c r="E113" s="75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125"/>
      <c r="AL113" s="173" t="s">
        <v>68</v>
      </c>
      <c r="AN113" s="126"/>
    </row>
    <row r="114" spans="1:15485" s="1" customFormat="1" ht="14.25">
      <c r="B114" s="75"/>
      <c r="C114" s="157" t="s">
        <v>81</v>
      </c>
      <c r="D114" s="74">
        <v>0.3</v>
      </c>
      <c r="E114" s="239" t="s">
        <v>12</v>
      </c>
      <c r="F114" s="91" t="e">
        <f t="shared" ref="F114:AJ114" si="76">F107/F98*100</f>
        <v>#DIV/0!</v>
      </c>
      <c r="G114" s="91" t="e">
        <f t="shared" si="76"/>
        <v>#DIV/0!</v>
      </c>
      <c r="H114" s="91" t="e">
        <f t="shared" si="76"/>
        <v>#DIV/0!</v>
      </c>
      <c r="I114" s="91" t="e">
        <f t="shared" si="76"/>
        <v>#DIV/0!</v>
      </c>
      <c r="J114" s="91" t="e">
        <f t="shared" si="76"/>
        <v>#DIV/0!</v>
      </c>
      <c r="K114" s="91" t="e">
        <f t="shared" si="76"/>
        <v>#DIV/0!</v>
      </c>
      <c r="L114" s="91">
        <f t="shared" si="76"/>
        <v>8.7565674255691769E-2</v>
      </c>
      <c r="M114" s="91" t="e">
        <f t="shared" si="76"/>
        <v>#DIV/0!</v>
      </c>
      <c r="N114" s="91" t="e">
        <f t="shared" si="76"/>
        <v>#DIV/0!</v>
      </c>
      <c r="O114" s="91" t="e">
        <f t="shared" si="76"/>
        <v>#DIV/0!</v>
      </c>
      <c r="P114" s="91" t="e">
        <f t="shared" si="76"/>
        <v>#DIV/0!</v>
      </c>
      <c r="Q114" s="91" t="e">
        <f t="shared" si="76"/>
        <v>#DIV/0!</v>
      </c>
      <c r="R114" s="91" t="e">
        <f t="shared" si="76"/>
        <v>#DIV/0!</v>
      </c>
      <c r="S114" s="91">
        <f t="shared" si="76"/>
        <v>2.918855808523059E-2</v>
      </c>
      <c r="T114" s="91" t="e">
        <f t="shared" si="76"/>
        <v>#DIV/0!</v>
      </c>
      <c r="U114" s="91" t="e">
        <f t="shared" si="76"/>
        <v>#DIV/0!</v>
      </c>
      <c r="V114" s="91" t="e">
        <f t="shared" si="76"/>
        <v>#DIV/0!</v>
      </c>
      <c r="W114" s="91" t="e">
        <f t="shared" si="76"/>
        <v>#DIV/0!</v>
      </c>
      <c r="X114" s="91" t="e">
        <f t="shared" si="76"/>
        <v>#DIV/0!</v>
      </c>
      <c r="Y114" s="91" t="e">
        <f t="shared" si="76"/>
        <v>#DIV/0!</v>
      </c>
      <c r="Z114" s="91" t="e">
        <f t="shared" si="76"/>
        <v>#DIV/0!</v>
      </c>
      <c r="AA114" s="91" t="e">
        <f t="shared" si="76"/>
        <v>#DIV/0!</v>
      </c>
      <c r="AB114" s="91" t="e">
        <f t="shared" si="76"/>
        <v>#DIV/0!</v>
      </c>
      <c r="AC114" s="91" t="e">
        <f t="shared" si="76"/>
        <v>#DIV/0!</v>
      </c>
      <c r="AD114" s="91" t="e">
        <f t="shared" si="76"/>
        <v>#DIV/0!</v>
      </c>
      <c r="AE114" s="91" t="e">
        <f t="shared" si="76"/>
        <v>#DIV/0!</v>
      </c>
      <c r="AF114" s="91" t="e">
        <f t="shared" si="76"/>
        <v>#DIV/0!</v>
      </c>
      <c r="AG114" s="91">
        <f t="shared" si="76"/>
        <v>5.3191489361702128E-2</v>
      </c>
      <c r="AH114" s="91" t="e">
        <f t="shared" si="76"/>
        <v>#DIV/0!</v>
      </c>
      <c r="AI114" s="91">
        <f t="shared" ref="AI114" si="77">AI107/AI98*100</f>
        <v>0</v>
      </c>
      <c r="AJ114" s="91" t="e">
        <f t="shared" si="76"/>
        <v>#DIV/0!</v>
      </c>
      <c r="AK114" s="125"/>
      <c r="AL114" s="127">
        <f>AL107/AL98*100</f>
        <v>4.6289152908501774E-2</v>
      </c>
      <c r="AN114" s="126"/>
    </row>
    <row r="115" spans="1:15485" s="1" customFormat="1" ht="14.25">
      <c r="B115" s="75"/>
      <c r="C115" s="157" t="s">
        <v>82</v>
      </c>
      <c r="D115" s="74">
        <v>0.3</v>
      </c>
      <c r="E115" s="239" t="s">
        <v>12</v>
      </c>
      <c r="F115" s="91" t="e">
        <f t="shared" ref="F115:AJ115" si="78">F108/F99*100</f>
        <v>#DIV/0!</v>
      </c>
      <c r="G115" s="91" t="e">
        <f t="shared" si="78"/>
        <v>#DIV/0!</v>
      </c>
      <c r="H115" s="91" t="e">
        <f t="shared" si="78"/>
        <v>#DIV/0!</v>
      </c>
      <c r="I115" s="91" t="e">
        <f t="shared" si="78"/>
        <v>#DIV/0!</v>
      </c>
      <c r="J115" s="91" t="e">
        <f t="shared" si="78"/>
        <v>#DIV/0!</v>
      </c>
      <c r="K115" s="91" t="e">
        <f t="shared" si="78"/>
        <v>#DIV/0!</v>
      </c>
      <c r="L115" s="91">
        <f t="shared" si="78"/>
        <v>0.10218978102189782</v>
      </c>
      <c r="M115" s="91" t="e">
        <f t="shared" si="78"/>
        <v>#DIV/0!</v>
      </c>
      <c r="N115" s="91" t="e">
        <f t="shared" si="78"/>
        <v>#DIV/0!</v>
      </c>
      <c r="O115" s="91" t="e">
        <f t="shared" si="78"/>
        <v>#DIV/0!</v>
      </c>
      <c r="P115" s="91" t="e">
        <f t="shared" si="78"/>
        <v>#DIV/0!</v>
      </c>
      <c r="Q115" s="91" t="e">
        <f t="shared" si="78"/>
        <v>#DIV/0!</v>
      </c>
      <c r="R115" s="91" t="e">
        <f t="shared" si="78"/>
        <v>#DIV/0!</v>
      </c>
      <c r="S115" s="91">
        <f t="shared" si="78"/>
        <v>2.9197080291970805E-2</v>
      </c>
      <c r="T115" s="91" t="e">
        <f t="shared" si="78"/>
        <v>#DIV/0!</v>
      </c>
      <c r="U115" s="91" t="e">
        <f t="shared" si="78"/>
        <v>#DIV/0!</v>
      </c>
      <c r="V115" s="91" t="e">
        <f t="shared" si="78"/>
        <v>#DIV/0!</v>
      </c>
      <c r="W115" s="91" t="e">
        <f t="shared" si="78"/>
        <v>#DIV/0!</v>
      </c>
      <c r="X115" s="91" t="e">
        <f t="shared" si="78"/>
        <v>#DIV/0!</v>
      </c>
      <c r="Y115" s="91" t="e">
        <f t="shared" si="78"/>
        <v>#DIV/0!</v>
      </c>
      <c r="Z115" s="91" t="e">
        <f t="shared" si="78"/>
        <v>#DIV/0!</v>
      </c>
      <c r="AA115" s="91" t="e">
        <f t="shared" si="78"/>
        <v>#DIV/0!</v>
      </c>
      <c r="AB115" s="91" t="e">
        <f t="shared" si="78"/>
        <v>#DIV/0!</v>
      </c>
      <c r="AC115" s="91" t="e">
        <f t="shared" si="78"/>
        <v>#DIV/0!</v>
      </c>
      <c r="AD115" s="91" t="e">
        <f t="shared" si="78"/>
        <v>#DIV/0!</v>
      </c>
      <c r="AE115" s="91" t="e">
        <f t="shared" si="78"/>
        <v>#DIV/0!</v>
      </c>
      <c r="AF115" s="91">
        <f t="shared" si="78"/>
        <v>0.5</v>
      </c>
      <c r="AG115" s="91">
        <f t="shared" si="78"/>
        <v>6.0679611650485431E-2</v>
      </c>
      <c r="AH115" s="91" t="e">
        <f t="shared" si="78"/>
        <v>#DIV/0!</v>
      </c>
      <c r="AI115" s="91">
        <f t="shared" ref="AI115" si="79">AI108/AI99*100</f>
        <v>0</v>
      </c>
      <c r="AJ115" s="91" t="e">
        <f t="shared" si="78"/>
        <v>#DIV/0!</v>
      </c>
      <c r="AK115" s="125"/>
      <c r="AL115" s="127">
        <f>AL108/AL99*100</f>
        <v>6.7658998646820026E-2</v>
      </c>
      <c r="AN115" s="126"/>
    </row>
    <row r="116" spans="1:15485" s="1" customFormat="1" ht="14.25">
      <c r="B116" s="75"/>
      <c r="C116" s="238" t="s">
        <v>72</v>
      </c>
      <c r="D116" s="74"/>
      <c r="E116" s="75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125"/>
      <c r="AL116" s="173" t="s">
        <v>72</v>
      </c>
      <c r="AN116" s="126"/>
    </row>
    <row r="117" spans="1:15485" s="1" customFormat="1" ht="14.25">
      <c r="B117" s="75"/>
      <c r="C117" s="157" t="s">
        <v>81</v>
      </c>
      <c r="D117" s="74">
        <v>0.5</v>
      </c>
      <c r="E117" s="239" t="s">
        <v>12</v>
      </c>
      <c r="F117" s="91" t="e">
        <f t="shared" ref="F117:AJ117" si="80">F110/F101*100</f>
        <v>#DIV/0!</v>
      </c>
      <c r="G117" s="91" t="e">
        <f t="shared" si="80"/>
        <v>#DIV/0!</v>
      </c>
      <c r="H117" s="91" t="e">
        <f t="shared" si="80"/>
        <v>#DIV/0!</v>
      </c>
      <c r="I117" s="91" t="e">
        <f t="shared" si="80"/>
        <v>#DIV/0!</v>
      </c>
      <c r="J117" s="91" t="e">
        <f t="shared" si="80"/>
        <v>#DIV/0!</v>
      </c>
      <c r="K117" s="91" t="e">
        <f t="shared" si="80"/>
        <v>#DIV/0!</v>
      </c>
      <c r="L117" s="91">
        <f t="shared" si="80"/>
        <v>2.918855808523059E-2</v>
      </c>
      <c r="M117" s="91" t="e">
        <f t="shared" si="80"/>
        <v>#DIV/0!</v>
      </c>
      <c r="N117" s="91" t="e">
        <f t="shared" si="80"/>
        <v>#DIV/0!</v>
      </c>
      <c r="O117" s="91" t="e">
        <f t="shared" si="80"/>
        <v>#DIV/0!</v>
      </c>
      <c r="P117" s="91" t="e">
        <f t="shared" si="80"/>
        <v>#DIV/0!</v>
      </c>
      <c r="Q117" s="91" t="e">
        <f t="shared" si="80"/>
        <v>#DIV/0!</v>
      </c>
      <c r="R117" s="91" t="e">
        <f t="shared" si="80"/>
        <v>#DIV/0!</v>
      </c>
      <c r="S117" s="91">
        <f t="shared" si="80"/>
        <v>2.1891418563922942E-2</v>
      </c>
      <c r="T117" s="91" t="e">
        <f t="shared" si="80"/>
        <v>#DIV/0!</v>
      </c>
      <c r="U117" s="91" t="e">
        <f t="shared" si="80"/>
        <v>#DIV/0!</v>
      </c>
      <c r="V117" s="91" t="e">
        <f t="shared" si="80"/>
        <v>#DIV/0!</v>
      </c>
      <c r="W117" s="91" t="e">
        <f t="shared" si="80"/>
        <v>#DIV/0!</v>
      </c>
      <c r="X117" s="91" t="e">
        <f t="shared" si="80"/>
        <v>#DIV/0!</v>
      </c>
      <c r="Y117" s="91" t="e">
        <f t="shared" si="80"/>
        <v>#DIV/0!</v>
      </c>
      <c r="Z117" s="91" t="e">
        <f t="shared" si="80"/>
        <v>#DIV/0!</v>
      </c>
      <c r="AA117" s="91" t="e">
        <f t="shared" si="80"/>
        <v>#DIV/0!</v>
      </c>
      <c r="AB117" s="91" t="e">
        <f t="shared" si="80"/>
        <v>#DIV/0!</v>
      </c>
      <c r="AC117" s="91" t="e">
        <f t="shared" si="80"/>
        <v>#DIV/0!</v>
      </c>
      <c r="AD117" s="91" t="e">
        <f t="shared" si="80"/>
        <v>#DIV/0!</v>
      </c>
      <c r="AE117" s="91" t="e">
        <f t="shared" si="80"/>
        <v>#DIV/0!</v>
      </c>
      <c r="AF117" s="91" t="e">
        <f t="shared" si="80"/>
        <v>#DIV/0!</v>
      </c>
      <c r="AG117" s="91">
        <f t="shared" si="80"/>
        <v>0</v>
      </c>
      <c r="AH117" s="91" t="e">
        <f t="shared" si="80"/>
        <v>#DIV/0!</v>
      </c>
      <c r="AI117" s="91">
        <f t="shared" ref="AI117" si="81">AI110/AI101*100</f>
        <v>0</v>
      </c>
      <c r="AJ117" s="91" t="e">
        <f t="shared" si="80"/>
        <v>#DIV/0!</v>
      </c>
      <c r="AK117" s="125"/>
      <c r="AL117" s="127">
        <f>AL110/AL101*100</f>
        <v>1.350100293164635E-2</v>
      </c>
      <c r="AN117" s="126"/>
    </row>
    <row r="118" spans="1:15485" s="1" customFormat="1" ht="14.25">
      <c r="B118" s="75"/>
      <c r="C118" s="157" t="s">
        <v>82</v>
      </c>
      <c r="D118" s="74">
        <v>0.5</v>
      </c>
      <c r="E118" s="239" t="s">
        <v>12</v>
      </c>
      <c r="F118" s="91" t="e">
        <f t="shared" ref="F118:AJ118" si="82">F111/F102*100</f>
        <v>#DIV/0!</v>
      </c>
      <c r="G118" s="91" t="e">
        <f t="shared" si="82"/>
        <v>#DIV/0!</v>
      </c>
      <c r="H118" s="91" t="e">
        <f t="shared" si="82"/>
        <v>#DIV/0!</v>
      </c>
      <c r="I118" s="91" t="e">
        <f t="shared" si="82"/>
        <v>#DIV/0!</v>
      </c>
      <c r="J118" s="91" t="e">
        <f t="shared" si="82"/>
        <v>#DIV/0!</v>
      </c>
      <c r="K118" s="91" t="e">
        <f t="shared" si="82"/>
        <v>#DIV/0!</v>
      </c>
      <c r="L118" s="91">
        <f t="shared" si="82"/>
        <v>2.6763990267639905E-2</v>
      </c>
      <c r="M118" s="91" t="e">
        <f t="shared" si="82"/>
        <v>#DIV/0!</v>
      </c>
      <c r="N118" s="91" t="e">
        <f t="shared" si="82"/>
        <v>#DIV/0!</v>
      </c>
      <c r="O118" s="91" t="e">
        <f t="shared" si="82"/>
        <v>#DIV/0!</v>
      </c>
      <c r="P118" s="91" t="e">
        <f t="shared" si="82"/>
        <v>#DIV/0!</v>
      </c>
      <c r="Q118" s="91" t="e">
        <f t="shared" si="82"/>
        <v>#DIV/0!</v>
      </c>
      <c r="R118" s="91" t="e">
        <f t="shared" si="82"/>
        <v>#DIV/0!</v>
      </c>
      <c r="S118" s="91">
        <f t="shared" si="82"/>
        <v>2.18978102189781E-2</v>
      </c>
      <c r="T118" s="91" t="e">
        <f t="shared" si="82"/>
        <v>#DIV/0!</v>
      </c>
      <c r="U118" s="91" t="e">
        <f t="shared" si="82"/>
        <v>#DIV/0!</v>
      </c>
      <c r="V118" s="91" t="e">
        <f t="shared" si="82"/>
        <v>#DIV/0!</v>
      </c>
      <c r="W118" s="91" t="e">
        <f t="shared" si="82"/>
        <v>#DIV/0!</v>
      </c>
      <c r="X118" s="91" t="e">
        <f t="shared" si="82"/>
        <v>#DIV/0!</v>
      </c>
      <c r="Y118" s="91" t="e">
        <f t="shared" si="82"/>
        <v>#DIV/0!</v>
      </c>
      <c r="Z118" s="91" t="e">
        <f t="shared" si="82"/>
        <v>#DIV/0!</v>
      </c>
      <c r="AA118" s="91" t="e">
        <f t="shared" si="82"/>
        <v>#DIV/0!</v>
      </c>
      <c r="AB118" s="91" t="e">
        <f t="shared" si="82"/>
        <v>#DIV/0!</v>
      </c>
      <c r="AC118" s="91" t="e">
        <f t="shared" si="82"/>
        <v>#DIV/0!</v>
      </c>
      <c r="AD118" s="91" t="e">
        <f t="shared" si="82"/>
        <v>#DIV/0!</v>
      </c>
      <c r="AE118" s="91" t="e">
        <f t="shared" si="82"/>
        <v>#DIV/0!</v>
      </c>
      <c r="AF118" s="91">
        <f t="shared" si="82"/>
        <v>0</v>
      </c>
      <c r="AG118" s="91">
        <f t="shared" si="82"/>
        <v>3.0339805825242715E-2</v>
      </c>
      <c r="AH118" s="91" t="e">
        <f t="shared" si="82"/>
        <v>#DIV/0!</v>
      </c>
      <c r="AI118" s="91">
        <f t="shared" ref="AI118" si="83">AI111/AI102*100</f>
        <v>0</v>
      </c>
      <c r="AJ118" s="91" t="e">
        <f t="shared" si="82"/>
        <v>#DIV/0!</v>
      </c>
      <c r="AK118" s="125"/>
      <c r="AL118" s="127">
        <f>AL111/AL102*100</f>
        <v>2.577485662736001E-2</v>
      </c>
      <c r="AN118" s="126"/>
    </row>
    <row r="119" spans="1:15485" s="1" customFormat="1">
      <c r="A119" s="3"/>
      <c r="B119" s="58">
        <v>7</v>
      </c>
      <c r="C119" s="40" t="s">
        <v>134</v>
      </c>
      <c r="D119" s="59"/>
      <c r="E119" s="59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111"/>
      <c r="AD119" s="60"/>
      <c r="AE119" s="60"/>
      <c r="AF119" s="60"/>
      <c r="AG119" s="60"/>
      <c r="AH119" s="111"/>
      <c r="AI119" s="111"/>
      <c r="AJ119" s="111"/>
      <c r="AK119" s="115"/>
      <c r="AL119" s="223" t="s">
        <v>63</v>
      </c>
      <c r="AM119" s="3"/>
      <c r="AN119" s="3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>
        <v>5121.8861000000006</v>
      </c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3"/>
      <c r="ANL119" s="3"/>
      <c r="ANM119" s="3"/>
      <c r="ANN119" s="3"/>
      <c r="ANO119" s="3"/>
      <c r="ANP119" s="3"/>
      <c r="ANQ119" s="3"/>
      <c r="ANR119" s="3"/>
      <c r="ANS119" s="3"/>
      <c r="ANT119" s="3"/>
      <c r="ANU119" s="3"/>
      <c r="ANV119" s="3"/>
      <c r="ANW119" s="3"/>
      <c r="ANX119" s="3"/>
      <c r="ANY119" s="3"/>
      <c r="ANZ119" s="3"/>
      <c r="AOA119" s="3"/>
      <c r="AOB119" s="3"/>
      <c r="AOC119" s="3"/>
      <c r="AOD119" s="3"/>
      <c r="AOE119" s="3"/>
      <c r="AOF119" s="3"/>
      <c r="AOG119" s="3"/>
      <c r="AOH119" s="3"/>
      <c r="AOI119" s="3"/>
      <c r="AOJ119" s="3"/>
      <c r="AOK119" s="3"/>
      <c r="AOL119" s="3"/>
      <c r="AOM119" s="3"/>
      <c r="AON119" s="3"/>
      <c r="AOO119" s="3"/>
      <c r="AOP119" s="3"/>
      <c r="AOQ119" s="3"/>
      <c r="AOR119" s="3"/>
      <c r="AOS119" s="3"/>
      <c r="AOT119" s="3"/>
      <c r="AOU119" s="3"/>
      <c r="AOV119" s="3"/>
      <c r="AOW119" s="3"/>
      <c r="AOX119" s="3"/>
      <c r="AOY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  <c r="BCX119" s="3"/>
      <c r="BCY119" s="3"/>
      <c r="BCZ119" s="3"/>
      <c r="BDA119" s="3"/>
      <c r="BDB119" s="3"/>
      <c r="BDC119" s="3"/>
      <c r="BDD119" s="3"/>
      <c r="BDE119" s="3"/>
      <c r="BDF119" s="3"/>
      <c r="BDG119" s="3"/>
      <c r="BDH119" s="3"/>
      <c r="BDI119" s="3"/>
      <c r="BDJ119" s="3"/>
      <c r="BDK119" s="3"/>
      <c r="BDL119" s="3"/>
      <c r="BDM119" s="3"/>
      <c r="BDN119" s="3"/>
      <c r="BDO119" s="3"/>
      <c r="BDP119" s="3"/>
      <c r="BDQ119" s="3"/>
      <c r="BDR119" s="3"/>
      <c r="BDS119" s="3"/>
      <c r="BDT119" s="3"/>
      <c r="BDU119" s="3"/>
      <c r="BDV119" s="3"/>
      <c r="BDW119" s="3"/>
      <c r="BDX119" s="3"/>
      <c r="BDY119" s="3"/>
      <c r="BDZ119" s="3"/>
      <c r="BEA119" s="3"/>
      <c r="BEB119" s="3"/>
      <c r="BEC119" s="3"/>
      <c r="BED119" s="3"/>
      <c r="BEE119" s="3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3"/>
      <c r="BGV119" s="3"/>
      <c r="BGW119" s="3"/>
      <c r="BGX119" s="3"/>
      <c r="BGY119" s="3"/>
      <c r="BGZ119" s="3"/>
      <c r="BHA119" s="3"/>
      <c r="BHB119" s="3"/>
      <c r="BHC119" s="3"/>
      <c r="BHD119" s="3"/>
      <c r="BHE119" s="3"/>
      <c r="BHF119" s="3"/>
      <c r="BHG119" s="3"/>
      <c r="BHH119" s="3"/>
      <c r="BHI119" s="3"/>
      <c r="BHJ119" s="3"/>
      <c r="BHK119" s="3"/>
      <c r="BHL119" s="3"/>
      <c r="BHM119" s="3"/>
      <c r="BHN119" s="3"/>
      <c r="BHO119" s="3"/>
      <c r="BHP119" s="3"/>
      <c r="BHQ119" s="3"/>
      <c r="BHR119" s="3"/>
      <c r="BHS119" s="3"/>
      <c r="BHT119" s="3"/>
      <c r="BHU119" s="3"/>
      <c r="BHV119" s="3"/>
      <c r="BHW119" s="3"/>
      <c r="BHX119" s="3"/>
      <c r="BHY119" s="3"/>
      <c r="BHZ119" s="3"/>
      <c r="BIA119" s="3"/>
      <c r="BIB119" s="3"/>
      <c r="BIC119" s="3"/>
      <c r="BID119" s="3"/>
      <c r="BIE119" s="3"/>
      <c r="BIF119" s="3"/>
      <c r="BIG119" s="3"/>
      <c r="BIH119" s="3"/>
      <c r="BII119" s="3"/>
      <c r="BIJ119" s="3"/>
      <c r="BIK119" s="3"/>
      <c r="BIL119" s="3"/>
      <c r="BIM119" s="3"/>
      <c r="BIN119" s="3"/>
      <c r="BIO119" s="3"/>
      <c r="BIP119" s="3"/>
      <c r="BIQ119" s="3"/>
      <c r="BIR119" s="3"/>
      <c r="BIS119" s="3"/>
      <c r="BIT119" s="3"/>
      <c r="BIU119" s="3"/>
      <c r="BIV119" s="3"/>
      <c r="BIW119" s="3"/>
      <c r="BIX119" s="3"/>
      <c r="BIY119" s="3"/>
      <c r="BIZ119" s="3"/>
      <c r="BJA119" s="3"/>
      <c r="BJB119" s="3"/>
      <c r="BJC119" s="3"/>
      <c r="BJD119" s="3"/>
      <c r="BJE119" s="3"/>
      <c r="BJF119" s="3"/>
      <c r="BJG119" s="3"/>
      <c r="BJH119" s="3"/>
      <c r="BJI119" s="3"/>
      <c r="BJJ119" s="3"/>
      <c r="BJK119" s="3"/>
      <c r="BJL119" s="3"/>
      <c r="BJM119" s="3"/>
      <c r="BJN119" s="3"/>
      <c r="BJO119" s="3"/>
      <c r="BJP119" s="3"/>
      <c r="BJQ119" s="3"/>
      <c r="BJR119" s="3"/>
      <c r="BJS119" s="3"/>
      <c r="BJT119" s="3"/>
      <c r="BJU119" s="3"/>
      <c r="BJV119" s="3"/>
      <c r="BJW119" s="3"/>
      <c r="BJX119" s="3"/>
      <c r="BJY119" s="3"/>
      <c r="BJZ119" s="3"/>
      <c r="BKA119" s="3"/>
      <c r="BKB119" s="3"/>
      <c r="BKC119" s="3"/>
      <c r="BKD119" s="3"/>
      <c r="BKE119" s="3"/>
      <c r="BKF119" s="3"/>
      <c r="BKG119" s="3"/>
      <c r="BKH119" s="3"/>
      <c r="BKI119" s="3"/>
      <c r="BKJ119" s="3"/>
      <c r="BKK119" s="3"/>
      <c r="BKL119" s="3"/>
      <c r="BKM119" s="3"/>
      <c r="BKN119" s="3"/>
      <c r="BKO119" s="3"/>
      <c r="BKP119" s="3"/>
      <c r="BKQ119" s="3"/>
      <c r="BKR119" s="3"/>
      <c r="BKS119" s="3"/>
      <c r="BKT119" s="3"/>
      <c r="BKU119" s="3"/>
      <c r="BKV119" s="3"/>
      <c r="BKW119" s="3"/>
      <c r="BKX119" s="3"/>
      <c r="BKY119" s="3"/>
      <c r="BKZ119" s="3"/>
      <c r="BLA119" s="3"/>
      <c r="BLB119" s="3"/>
      <c r="BLC119" s="3"/>
      <c r="BLD119" s="3"/>
      <c r="BLE119" s="3"/>
      <c r="BLF119" s="3"/>
      <c r="BLG119" s="3"/>
      <c r="BLH119" s="3"/>
      <c r="BLI119" s="3"/>
      <c r="BLJ119" s="3"/>
      <c r="BLK119" s="3"/>
      <c r="BLL119" s="3"/>
      <c r="BLM119" s="3"/>
      <c r="BLN119" s="3"/>
      <c r="BLO119" s="3"/>
      <c r="BLP119" s="3"/>
      <c r="BLQ119" s="3"/>
      <c r="BLR119" s="3"/>
      <c r="BLS119" s="3"/>
      <c r="BLT119" s="3"/>
      <c r="BLU119" s="3"/>
      <c r="BLV119" s="3"/>
      <c r="BLW119" s="3"/>
      <c r="BLX119" s="3"/>
      <c r="BLY119" s="3"/>
      <c r="BLZ119" s="3"/>
      <c r="BMA119" s="3"/>
      <c r="BMB119" s="3"/>
      <c r="BMC119" s="3"/>
      <c r="BMD119" s="3"/>
      <c r="BME119" s="3"/>
      <c r="BMF119" s="3"/>
      <c r="BMG119" s="3"/>
      <c r="BMH119" s="3"/>
      <c r="BMI119" s="3"/>
      <c r="BMJ119" s="3"/>
      <c r="BMK119" s="3"/>
      <c r="BML119" s="3"/>
      <c r="BMM119" s="3"/>
      <c r="BMN119" s="3"/>
      <c r="BMO119" s="3"/>
      <c r="BMP119" s="3"/>
      <c r="BMQ119" s="3"/>
      <c r="BMR119" s="3"/>
      <c r="BMS119" s="3"/>
      <c r="BMT119" s="3"/>
      <c r="BMU119" s="3"/>
      <c r="BMV119" s="3"/>
      <c r="BMW119" s="3"/>
      <c r="BMX119" s="3"/>
      <c r="BMY119" s="3"/>
      <c r="BMZ119" s="3"/>
      <c r="BNA119" s="3"/>
      <c r="BNB119" s="3"/>
      <c r="BNC119" s="3"/>
      <c r="BND119" s="3"/>
      <c r="BNE119" s="3"/>
      <c r="BNF119" s="3"/>
      <c r="BNG119" s="3"/>
      <c r="BNH119" s="3"/>
      <c r="BNI119" s="3"/>
      <c r="BNJ119" s="3"/>
      <c r="BNK119" s="3"/>
      <c r="BNL119" s="3"/>
      <c r="BNM119" s="3"/>
      <c r="BNN119" s="3"/>
      <c r="BNO119" s="3"/>
      <c r="BNP119" s="3"/>
      <c r="BNQ119" s="3"/>
      <c r="BNR119" s="3"/>
      <c r="BNS119" s="3"/>
      <c r="BNT119" s="3"/>
      <c r="BNU119" s="3"/>
      <c r="BNV119" s="3"/>
      <c r="BNW119" s="3"/>
      <c r="BNX119" s="3"/>
      <c r="BNY119" s="3"/>
      <c r="BNZ119" s="3"/>
      <c r="BOA119" s="3"/>
      <c r="BOB119" s="3"/>
      <c r="BOC119" s="3"/>
      <c r="BOD119" s="3"/>
      <c r="BOE119" s="3"/>
      <c r="BOF119" s="3"/>
      <c r="BOG119" s="3"/>
      <c r="BOH119" s="3"/>
      <c r="BOI119" s="3"/>
      <c r="BOJ119" s="3"/>
      <c r="BOK119" s="3"/>
      <c r="BOL119" s="3"/>
      <c r="BOM119" s="3"/>
      <c r="BON119" s="3"/>
      <c r="BOO119" s="3"/>
      <c r="BOP119" s="3"/>
      <c r="BOQ119" s="3"/>
      <c r="BOR119" s="3"/>
      <c r="BOS119" s="3"/>
      <c r="BOT119" s="3"/>
      <c r="BOU119" s="3"/>
      <c r="BOV119" s="3"/>
      <c r="BOW119" s="3"/>
      <c r="BOX119" s="3"/>
      <c r="BOY119" s="3"/>
      <c r="BOZ119" s="3"/>
      <c r="BPA119" s="3"/>
      <c r="BPB119" s="3"/>
      <c r="BPC119" s="3"/>
      <c r="BPD119" s="3"/>
      <c r="BPE119" s="3"/>
      <c r="BPF119" s="3"/>
      <c r="BPG119" s="3"/>
      <c r="BPH119" s="3"/>
      <c r="BPI119" s="3"/>
      <c r="BPJ119" s="3"/>
      <c r="BPK119" s="3"/>
      <c r="BPL119" s="3"/>
      <c r="BPM119" s="3"/>
      <c r="BPN119" s="3"/>
      <c r="BPO119" s="3"/>
      <c r="BPP119" s="3"/>
      <c r="BPQ119" s="3"/>
      <c r="BPR119" s="3"/>
      <c r="BPS119" s="3"/>
      <c r="BPT119" s="3"/>
      <c r="BPU119" s="3"/>
      <c r="BPV119" s="3"/>
      <c r="BPW119" s="3"/>
      <c r="BPX119" s="3"/>
      <c r="BPY119" s="3"/>
      <c r="BPZ119" s="3"/>
      <c r="BQA119" s="3"/>
      <c r="BQB119" s="3"/>
      <c r="BQC119" s="3"/>
      <c r="BQD119" s="3"/>
      <c r="BQE119" s="3"/>
      <c r="BQF119" s="3"/>
      <c r="BQG119" s="3"/>
      <c r="BQH119" s="3"/>
      <c r="BQI119" s="3"/>
      <c r="BQJ119" s="3"/>
      <c r="BQK119" s="3"/>
      <c r="BQL119" s="3"/>
      <c r="BQM119" s="3"/>
      <c r="BQN119" s="3"/>
      <c r="BQO119" s="3"/>
      <c r="BQP119" s="3"/>
      <c r="BQQ119" s="3"/>
      <c r="BQR119" s="3"/>
      <c r="BQS119" s="3"/>
      <c r="BQT119" s="3"/>
      <c r="BQU119" s="3"/>
      <c r="BQV119" s="3"/>
      <c r="BQW119" s="3"/>
      <c r="BQX119" s="3"/>
      <c r="BQY119" s="3"/>
      <c r="BQZ119" s="3"/>
      <c r="BRA119" s="3"/>
      <c r="BRB119" s="3"/>
      <c r="BRC119" s="3"/>
      <c r="BRD119" s="3"/>
      <c r="BRE119" s="3"/>
      <c r="BRF119" s="3"/>
      <c r="BRG119" s="3"/>
      <c r="BRH119" s="3"/>
      <c r="BRI119" s="3"/>
      <c r="BRJ119" s="3"/>
      <c r="BRK119" s="3"/>
      <c r="BRL119" s="3"/>
      <c r="BRM119" s="3"/>
      <c r="BRN119" s="3"/>
      <c r="BRO119" s="3"/>
      <c r="BRP119" s="3"/>
      <c r="BRQ119" s="3"/>
      <c r="BRR119" s="3"/>
      <c r="BRS119" s="3"/>
      <c r="BRT119" s="3"/>
      <c r="BRU119" s="3"/>
      <c r="BRV119" s="3"/>
      <c r="BRW119" s="3"/>
      <c r="BRX119" s="3"/>
      <c r="BRY119" s="3"/>
      <c r="BRZ119" s="3"/>
      <c r="BSA119" s="3"/>
      <c r="BSB119" s="3"/>
      <c r="BSC119" s="3"/>
      <c r="BSD119" s="3"/>
      <c r="BSE119" s="3"/>
      <c r="BSF119" s="3"/>
      <c r="BSG119" s="3"/>
      <c r="BSH119" s="3"/>
      <c r="BSI119" s="3"/>
      <c r="BSJ119" s="3"/>
      <c r="BSK119" s="3"/>
      <c r="BSL119" s="3"/>
      <c r="BSM119" s="3"/>
      <c r="BSN119" s="3"/>
      <c r="BSO119" s="3"/>
      <c r="BSP119" s="3"/>
      <c r="BSQ119" s="3"/>
      <c r="BSR119" s="3"/>
      <c r="BSS119" s="3"/>
      <c r="BST119" s="3"/>
      <c r="BSU119" s="3"/>
      <c r="BSV119" s="3"/>
      <c r="BSW119" s="3"/>
      <c r="BSX119" s="3"/>
      <c r="BSY119" s="3"/>
      <c r="BSZ119" s="3"/>
      <c r="BTA119" s="3"/>
      <c r="BTB119" s="3"/>
      <c r="BTC119" s="3"/>
      <c r="BTD119" s="3"/>
      <c r="BTE119" s="3"/>
      <c r="BTF119" s="3"/>
      <c r="BTG119" s="3"/>
      <c r="BTH119" s="3"/>
      <c r="BTI119" s="3"/>
      <c r="BTJ119" s="3"/>
      <c r="BTK119" s="3"/>
      <c r="BTL119" s="3"/>
      <c r="BTM119" s="3"/>
      <c r="BTN119" s="3"/>
      <c r="BTO119" s="3"/>
      <c r="BTP119" s="3"/>
      <c r="BTQ119" s="3"/>
      <c r="BTR119" s="3"/>
      <c r="BTS119" s="3"/>
      <c r="BTT119" s="3"/>
      <c r="BTU119" s="3"/>
      <c r="BTV119" s="3"/>
      <c r="BTW119" s="3"/>
      <c r="BTX119" s="3"/>
      <c r="BTY119" s="3"/>
      <c r="BTZ119" s="3"/>
      <c r="BUA119" s="3"/>
      <c r="BUB119" s="3"/>
      <c r="BUC119" s="3"/>
      <c r="BUD119" s="3"/>
      <c r="BUE119" s="3"/>
      <c r="BUF119" s="3"/>
      <c r="BUG119" s="3"/>
      <c r="BUH119" s="3"/>
      <c r="BUI119" s="3"/>
      <c r="BUJ119" s="3"/>
      <c r="BUK119" s="3"/>
      <c r="BUL119" s="3"/>
      <c r="BUM119" s="3"/>
      <c r="BUN119" s="3"/>
      <c r="BUO119" s="3"/>
      <c r="BUP119" s="3"/>
      <c r="BUQ119" s="3"/>
      <c r="BUR119" s="3"/>
      <c r="BUS119" s="3"/>
      <c r="BUT119" s="3"/>
      <c r="BUU119" s="3"/>
      <c r="BUV119" s="3"/>
      <c r="BUW119" s="3"/>
      <c r="BUX119" s="3"/>
      <c r="BUY119" s="3"/>
      <c r="BUZ119" s="3"/>
      <c r="BVA119" s="3"/>
      <c r="BVB119" s="3"/>
      <c r="BVC119" s="3"/>
      <c r="BVD119" s="3"/>
      <c r="BVE119" s="3"/>
      <c r="BVF119" s="3"/>
      <c r="BVG119" s="3"/>
      <c r="BVH119" s="3"/>
      <c r="BVI119" s="3"/>
      <c r="BVJ119" s="3"/>
      <c r="BVK119" s="3"/>
      <c r="BVL119" s="3"/>
      <c r="BVM119" s="3"/>
      <c r="BVN119" s="3"/>
      <c r="BVO119" s="3"/>
      <c r="BVP119" s="3"/>
      <c r="BVQ119" s="3"/>
      <c r="BVR119" s="3"/>
      <c r="BVS119" s="3"/>
      <c r="BVT119" s="3"/>
      <c r="BVU119" s="3"/>
      <c r="BVV119" s="3"/>
      <c r="BVW119" s="3"/>
      <c r="BVX119" s="3"/>
      <c r="BVY119" s="3"/>
      <c r="BVZ119" s="3"/>
      <c r="BWA119" s="3"/>
      <c r="BWB119" s="3"/>
      <c r="BWC119" s="3"/>
      <c r="BWD119" s="3"/>
      <c r="BWE119" s="3"/>
      <c r="BWF119" s="3"/>
      <c r="BWG119" s="3"/>
      <c r="BWH119" s="3"/>
      <c r="BWI119" s="3"/>
      <c r="BWJ119" s="3"/>
      <c r="BWK119" s="3"/>
      <c r="BWL119" s="3"/>
      <c r="BWM119" s="3"/>
      <c r="BWN119" s="3"/>
      <c r="BWO119" s="3"/>
      <c r="BWP119" s="3"/>
      <c r="BWQ119" s="3"/>
      <c r="BWR119" s="3"/>
      <c r="BWS119" s="3"/>
      <c r="BWT119" s="3"/>
      <c r="BWU119" s="3"/>
      <c r="BWV119" s="3"/>
      <c r="BWW119" s="3"/>
      <c r="BWX119" s="3"/>
      <c r="BWY119" s="3"/>
      <c r="BWZ119" s="3"/>
      <c r="BXA119" s="3"/>
      <c r="BXB119" s="3"/>
      <c r="BXC119" s="3"/>
      <c r="BXD119" s="3"/>
      <c r="BXE119" s="3"/>
      <c r="BXF119" s="3"/>
      <c r="BXG119" s="3"/>
      <c r="BXH119" s="3"/>
      <c r="BXI119" s="3"/>
      <c r="BXJ119" s="3"/>
      <c r="BXK119" s="3"/>
      <c r="BXL119" s="3"/>
      <c r="BXM119" s="3"/>
      <c r="BXN119" s="3"/>
      <c r="BXO119" s="3"/>
      <c r="BXP119" s="3"/>
      <c r="BXQ119" s="3"/>
      <c r="BXR119" s="3"/>
      <c r="BXS119" s="3"/>
      <c r="BXT119" s="3"/>
      <c r="BXU119" s="3"/>
      <c r="BXV119" s="3"/>
      <c r="BXW119" s="3"/>
      <c r="BXX119" s="3"/>
      <c r="BXY119" s="3"/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3"/>
      <c r="CAG119" s="3"/>
      <c r="CAH119" s="3"/>
      <c r="CAI119" s="3"/>
      <c r="CAJ119" s="3"/>
      <c r="CAK119" s="3"/>
      <c r="CAL119" s="3"/>
      <c r="CAM119" s="3"/>
      <c r="CAN119" s="3"/>
      <c r="CAO119" s="3"/>
      <c r="CAP119" s="3"/>
      <c r="CAQ119" s="3"/>
      <c r="CAR119" s="3"/>
      <c r="CAS119" s="3"/>
      <c r="CAT119" s="3"/>
      <c r="CAU119" s="3"/>
      <c r="CAV119" s="3"/>
      <c r="CAW119" s="3"/>
      <c r="CAX119" s="3"/>
      <c r="CAY119" s="3"/>
      <c r="CAZ119" s="3"/>
      <c r="CBA119" s="3"/>
      <c r="CBB119" s="3"/>
      <c r="CBC119" s="3"/>
      <c r="CBD119" s="3"/>
      <c r="CBE119" s="3"/>
      <c r="CBF119" s="3"/>
      <c r="CBG119" s="3"/>
      <c r="CBH119" s="3"/>
      <c r="CBI119" s="3"/>
      <c r="CBJ119" s="3"/>
      <c r="CBK119" s="3"/>
      <c r="CBL119" s="3"/>
      <c r="CBM119" s="3"/>
      <c r="CBN119" s="3"/>
      <c r="CBO119" s="3"/>
      <c r="CBP119" s="3"/>
      <c r="CBQ119" s="3"/>
      <c r="CBR119" s="3"/>
      <c r="CBS119" s="3"/>
      <c r="CBT119" s="3"/>
      <c r="CBU119" s="3"/>
      <c r="CBV119" s="3"/>
      <c r="CBW119" s="3"/>
      <c r="CBX119" s="3"/>
      <c r="CBY119" s="3"/>
      <c r="CBZ119" s="3"/>
      <c r="CCA119" s="3"/>
      <c r="CCB119" s="3"/>
      <c r="CCC119" s="3"/>
      <c r="CCD119" s="3"/>
      <c r="CCE119" s="3"/>
      <c r="CCF119" s="3"/>
      <c r="CCG119" s="3"/>
      <c r="CCH119" s="3"/>
      <c r="CCI119" s="3"/>
      <c r="CCJ119" s="3"/>
      <c r="CCK119" s="3"/>
      <c r="CCL119" s="3"/>
      <c r="CCM119" s="3"/>
      <c r="CCN119" s="3"/>
      <c r="CCO119" s="3"/>
      <c r="CCP119" s="3"/>
      <c r="CCQ119" s="3"/>
      <c r="CCR119" s="3"/>
      <c r="CCS119" s="3"/>
      <c r="CCT119" s="3"/>
      <c r="CCU119" s="3"/>
      <c r="CCV119" s="3"/>
      <c r="CCW119" s="3"/>
      <c r="CCX119" s="3"/>
      <c r="CCY119" s="3"/>
      <c r="CCZ119" s="3"/>
      <c r="CDA119" s="3"/>
      <c r="CDB119" s="3"/>
      <c r="CDC119" s="3"/>
      <c r="CDD119" s="3"/>
      <c r="CDE119" s="3"/>
      <c r="CDF119" s="3"/>
      <c r="CDG119" s="3"/>
      <c r="CDH119" s="3"/>
      <c r="CDI119" s="3"/>
      <c r="CDJ119" s="3"/>
      <c r="CDK119" s="3"/>
      <c r="CDL119" s="3"/>
      <c r="CDM119" s="3"/>
      <c r="CDN119" s="3"/>
      <c r="CDO119" s="3"/>
      <c r="CDP119" s="3"/>
      <c r="CDQ119" s="3"/>
      <c r="CDR119" s="3"/>
      <c r="CDS119" s="3"/>
      <c r="CDT119" s="3"/>
      <c r="CDU119" s="3"/>
      <c r="CDV119" s="3"/>
      <c r="CDW119" s="3"/>
      <c r="CDX119" s="3"/>
      <c r="CDY119" s="3"/>
      <c r="CDZ119" s="3"/>
      <c r="CEA119" s="3"/>
      <c r="CEB119" s="3"/>
      <c r="CEC119" s="3"/>
      <c r="CED119" s="3"/>
      <c r="CEE119" s="3"/>
      <c r="CEF119" s="3"/>
      <c r="CEG119" s="3"/>
      <c r="CEH119" s="3"/>
      <c r="CEI119" s="3"/>
      <c r="CEJ119" s="3"/>
      <c r="CEK119" s="3"/>
      <c r="CEL119" s="3"/>
      <c r="CEM119" s="3"/>
      <c r="CEN119" s="3"/>
      <c r="CEO119" s="3"/>
      <c r="CEP119" s="3"/>
      <c r="CEQ119" s="3"/>
      <c r="CER119" s="3"/>
      <c r="CES119" s="3"/>
      <c r="CET119" s="3"/>
      <c r="CEU119" s="3"/>
      <c r="CEV119" s="3"/>
      <c r="CEW119" s="3"/>
      <c r="CEX119" s="3"/>
      <c r="CEY119" s="3"/>
      <c r="CEZ119" s="3"/>
      <c r="CFA119" s="3"/>
      <c r="CFB119" s="3"/>
      <c r="CFC119" s="3"/>
      <c r="CFD119" s="3"/>
      <c r="CFE119" s="3"/>
      <c r="CFF119" s="3"/>
      <c r="CFG119" s="3"/>
      <c r="CFH119" s="3"/>
      <c r="CFI119" s="3"/>
      <c r="CFJ119" s="3"/>
      <c r="CFK119" s="3"/>
      <c r="CFL119" s="3"/>
      <c r="CFM119" s="3"/>
      <c r="CFN119" s="3"/>
      <c r="CFO119" s="3"/>
      <c r="CFP119" s="3"/>
      <c r="CFQ119" s="3"/>
      <c r="CFR119" s="3"/>
      <c r="CFS119" s="3"/>
      <c r="CFT119" s="3"/>
      <c r="CFU119" s="3"/>
      <c r="CFV119" s="3"/>
      <c r="CFW119" s="3"/>
      <c r="CFX119" s="3"/>
      <c r="CFY119" s="3"/>
      <c r="CFZ119" s="3"/>
      <c r="CGA119" s="3"/>
      <c r="CGB119" s="3"/>
      <c r="CGC119" s="3"/>
      <c r="CGD119" s="3"/>
      <c r="CGE119" s="3"/>
      <c r="CGF119" s="3"/>
      <c r="CGG119" s="3"/>
      <c r="CGH119" s="3"/>
      <c r="CGI119" s="3"/>
      <c r="CGJ119" s="3"/>
      <c r="CGK119" s="3"/>
      <c r="CGL119" s="3"/>
      <c r="CGM119" s="3"/>
      <c r="CGN119" s="3"/>
      <c r="CGO119" s="3"/>
      <c r="CGP119" s="3"/>
      <c r="CGQ119" s="3"/>
      <c r="CGR119" s="3"/>
      <c r="CGS119" s="3"/>
      <c r="CGT119" s="3"/>
      <c r="CGU119" s="3"/>
      <c r="CGV119" s="3"/>
      <c r="CGW119" s="3"/>
      <c r="CGX119" s="3"/>
      <c r="CGY119" s="3"/>
      <c r="CGZ119" s="3"/>
      <c r="CHA119" s="3"/>
      <c r="CHB119" s="3"/>
      <c r="CHC119" s="3"/>
      <c r="CHD119" s="3"/>
      <c r="CHE119" s="3"/>
      <c r="CHF119" s="3"/>
      <c r="CHG119" s="3"/>
      <c r="CHH119" s="3"/>
      <c r="CHI119" s="3"/>
      <c r="CHJ119" s="3"/>
      <c r="CHK119" s="3"/>
      <c r="CHL119" s="3"/>
      <c r="CHM119" s="3"/>
      <c r="CHN119" s="3"/>
      <c r="CHO119" s="3"/>
      <c r="CHP119" s="3"/>
      <c r="CHQ119" s="3"/>
      <c r="CHR119" s="3"/>
      <c r="CHS119" s="3"/>
      <c r="CHT119" s="3"/>
      <c r="CHU119" s="3"/>
      <c r="CHV119" s="3"/>
      <c r="CHW119" s="3"/>
      <c r="CHX119" s="3"/>
      <c r="CHY119" s="3"/>
      <c r="CHZ119" s="3"/>
      <c r="CIA119" s="3"/>
      <c r="CIB119" s="3"/>
      <c r="CIC119" s="3"/>
      <c r="CID119" s="3"/>
      <c r="CIE119" s="3"/>
      <c r="CIF119" s="3"/>
      <c r="CIG119" s="3"/>
      <c r="CIH119" s="3"/>
      <c r="CII119" s="3"/>
      <c r="CIJ119" s="3"/>
      <c r="CIK119" s="3"/>
      <c r="CIL119" s="3"/>
      <c r="CIM119" s="3"/>
      <c r="CIN119" s="3"/>
      <c r="CIO119" s="3"/>
      <c r="CIP119" s="3"/>
      <c r="CIQ119" s="3"/>
      <c r="CIR119" s="3"/>
      <c r="CIS119" s="3"/>
      <c r="CIT119" s="3"/>
      <c r="CIU119" s="3"/>
      <c r="CIV119" s="3"/>
      <c r="CIW119" s="3"/>
      <c r="CIX119" s="3"/>
      <c r="CIY119" s="3"/>
      <c r="CIZ119" s="3"/>
      <c r="CJA119" s="3"/>
      <c r="CJB119" s="3"/>
      <c r="CJC119" s="3"/>
      <c r="CJD119" s="3"/>
      <c r="CJE119" s="3"/>
      <c r="CJF119" s="3"/>
      <c r="CJG119" s="3"/>
      <c r="CJH119" s="3"/>
      <c r="CJI119" s="3"/>
      <c r="CJJ119" s="3"/>
      <c r="CJK119" s="3"/>
      <c r="CJL119" s="3"/>
      <c r="CJM119" s="3"/>
      <c r="CJN119" s="3"/>
      <c r="CJO119" s="3"/>
      <c r="CJP119" s="3"/>
      <c r="CJQ119" s="3"/>
      <c r="CJR119" s="3"/>
      <c r="CJS119" s="3"/>
      <c r="CJT119" s="3"/>
      <c r="CJU119" s="3"/>
      <c r="CJV119" s="3"/>
      <c r="CJW119" s="3"/>
      <c r="CJX119" s="3"/>
      <c r="CJY119" s="3"/>
      <c r="CJZ119" s="3"/>
      <c r="CKA119" s="3"/>
      <c r="CKB119" s="3"/>
      <c r="CKC119" s="3"/>
      <c r="CKD119" s="3"/>
      <c r="CKE119" s="3"/>
      <c r="CKF119" s="3"/>
      <c r="CKG119" s="3"/>
      <c r="CKH119" s="3"/>
      <c r="CKI119" s="3"/>
      <c r="CKJ119" s="3"/>
      <c r="CKK119" s="3"/>
      <c r="CKL119" s="3"/>
      <c r="CKM119" s="3"/>
      <c r="CKN119" s="3"/>
      <c r="CKO119" s="3"/>
      <c r="CKP119" s="3"/>
      <c r="CKQ119" s="3"/>
      <c r="CKR119" s="3"/>
      <c r="CKS119" s="3"/>
      <c r="CKT119" s="3"/>
      <c r="CKU119" s="3"/>
      <c r="CKV119" s="3"/>
      <c r="CKW119" s="3"/>
      <c r="CKX119" s="3"/>
      <c r="CKY119" s="3"/>
      <c r="CKZ119" s="3"/>
      <c r="CLA119" s="3"/>
      <c r="CLB119" s="3"/>
      <c r="CLC119" s="3"/>
      <c r="CLD119" s="3"/>
      <c r="CLE119" s="3"/>
      <c r="CLF119" s="3"/>
      <c r="CLG119" s="3"/>
      <c r="CLH119" s="3"/>
      <c r="CLI119" s="3"/>
      <c r="CLJ119" s="3"/>
      <c r="CLK119" s="3"/>
      <c r="CLL119" s="3"/>
      <c r="CLM119" s="3"/>
      <c r="CLN119" s="3"/>
      <c r="CLO119" s="3"/>
      <c r="CLP119" s="3"/>
      <c r="CLQ119" s="3"/>
      <c r="CLR119" s="3"/>
      <c r="CLS119" s="3"/>
      <c r="CLT119" s="3"/>
      <c r="CLU119" s="3"/>
      <c r="CLV119" s="3"/>
      <c r="CLW119" s="3"/>
      <c r="CLX119" s="3"/>
      <c r="CLY119" s="3"/>
      <c r="CLZ119" s="3"/>
      <c r="CMA119" s="3"/>
      <c r="CMB119" s="3"/>
      <c r="CMC119" s="3"/>
      <c r="CMD119" s="3"/>
      <c r="CME119" s="3"/>
      <c r="CMF119" s="3"/>
      <c r="CMG119" s="3"/>
      <c r="CMH119" s="3"/>
      <c r="CMI119" s="3"/>
      <c r="CMJ119" s="3"/>
      <c r="CMK119" s="3"/>
      <c r="CML119" s="3"/>
      <c r="CMM119" s="3"/>
      <c r="CMN119" s="3"/>
      <c r="CMO119" s="3"/>
      <c r="CMP119" s="3"/>
      <c r="CMQ119" s="3"/>
      <c r="CMR119" s="3"/>
      <c r="CMS119" s="3"/>
      <c r="CMT119" s="3"/>
      <c r="CMU119" s="3"/>
      <c r="CMV119" s="3"/>
      <c r="CMW119" s="3"/>
      <c r="CMX119" s="3"/>
      <c r="CMY119" s="3"/>
      <c r="CMZ119" s="3"/>
      <c r="CNA119" s="3"/>
      <c r="CNB119" s="3"/>
      <c r="CNC119" s="3"/>
      <c r="CND119" s="3"/>
      <c r="CNE119" s="3"/>
      <c r="CNF119" s="3"/>
      <c r="CNG119" s="3"/>
      <c r="CNH119" s="3"/>
      <c r="CNI119" s="3"/>
      <c r="CNJ119" s="3"/>
      <c r="CNK119" s="3"/>
      <c r="CNL119" s="3"/>
      <c r="CNM119" s="3"/>
      <c r="CNN119" s="3"/>
      <c r="CNO119" s="3"/>
      <c r="CNP119" s="3"/>
      <c r="CNQ119" s="3"/>
      <c r="CNR119" s="3"/>
      <c r="CNS119" s="3"/>
      <c r="CNT119" s="3"/>
      <c r="CNU119" s="3"/>
      <c r="CNV119" s="3"/>
      <c r="CNW119" s="3"/>
      <c r="CNX119" s="3"/>
      <c r="CNY119" s="3"/>
      <c r="CNZ119" s="3"/>
      <c r="COA119" s="3"/>
      <c r="COB119" s="3"/>
      <c r="COC119" s="3"/>
      <c r="COD119" s="3"/>
      <c r="COE119" s="3"/>
      <c r="COF119" s="3"/>
      <c r="COG119" s="3"/>
      <c r="COH119" s="3"/>
      <c r="COI119" s="3"/>
      <c r="COJ119" s="3"/>
      <c r="COK119" s="3"/>
      <c r="COL119" s="3"/>
      <c r="COM119" s="3"/>
      <c r="CON119" s="3"/>
      <c r="COO119" s="3"/>
      <c r="COP119" s="3"/>
      <c r="COQ119" s="3"/>
      <c r="COR119" s="3"/>
      <c r="COS119" s="3"/>
      <c r="COT119" s="3"/>
      <c r="COU119" s="3"/>
      <c r="COV119" s="3"/>
      <c r="COW119" s="3"/>
      <c r="COX119" s="3"/>
      <c r="COY119" s="3"/>
      <c r="COZ119" s="3"/>
      <c r="CPA119" s="3"/>
      <c r="CPB119" s="3"/>
      <c r="CPC119" s="3"/>
      <c r="CPD119" s="3"/>
      <c r="CPE119" s="3"/>
      <c r="CPF119" s="3"/>
      <c r="CPG119" s="3"/>
      <c r="CPH119" s="3"/>
      <c r="CPI119" s="3"/>
      <c r="CPJ119" s="3"/>
      <c r="CPK119" s="3"/>
      <c r="CPL119" s="3"/>
      <c r="CPM119" s="3"/>
      <c r="CPN119" s="3"/>
      <c r="CPO119" s="3"/>
      <c r="CPP119" s="3"/>
      <c r="CPQ119" s="3"/>
      <c r="CPR119" s="3"/>
      <c r="CPS119" s="3"/>
      <c r="CPT119" s="3"/>
      <c r="CPU119" s="3"/>
      <c r="CPV119" s="3"/>
      <c r="CPW119" s="3"/>
      <c r="CPX119" s="3"/>
      <c r="CPY119" s="3"/>
      <c r="CPZ119" s="3"/>
      <c r="CQA119" s="3"/>
      <c r="CQB119" s="3"/>
      <c r="CQC119" s="3"/>
      <c r="CQD119" s="3"/>
      <c r="CQE119" s="3"/>
      <c r="CQF119" s="3"/>
      <c r="CQG119" s="3"/>
      <c r="CQH119" s="3"/>
      <c r="CQI119" s="3"/>
      <c r="CQJ119" s="3"/>
      <c r="CQK119" s="3"/>
      <c r="CQL119" s="3"/>
      <c r="CQM119" s="3"/>
      <c r="CQN119" s="3"/>
      <c r="CQO119" s="3"/>
      <c r="CQP119" s="3"/>
      <c r="CQQ119" s="3"/>
      <c r="CQR119" s="3"/>
      <c r="CQS119" s="3"/>
      <c r="CQT119" s="3"/>
      <c r="CQU119" s="3"/>
      <c r="CQV119" s="3"/>
      <c r="CQW119" s="3"/>
      <c r="CQX119" s="3"/>
      <c r="CQY119" s="3"/>
      <c r="CQZ119" s="3"/>
      <c r="CRA119" s="3"/>
      <c r="CRB119" s="3"/>
      <c r="CRC119" s="3"/>
      <c r="CRD119" s="3"/>
      <c r="CRE119" s="3"/>
      <c r="CRF119" s="3"/>
      <c r="CRG119" s="3"/>
      <c r="CRH119" s="3"/>
      <c r="CRI119" s="3"/>
      <c r="CRJ119" s="3"/>
      <c r="CRK119" s="3"/>
      <c r="CRL119" s="3"/>
      <c r="CRM119" s="3"/>
      <c r="CRN119" s="3"/>
      <c r="CRO119" s="3"/>
      <c r="CRP119" s="3"/>
      <c r="CRQ119" s="3"/>
      <c r="CRR119" s="3"/>
      <c r="CRS119" s="3"/>
      <c r="CRT119" s="3"/>
      <c r="CRU119" s="3"/>
      <c r="CRV119" s="3"/>
      <c r="CRW119" s="3"/>
      <c r="CRX119" s="3"/>
      <c r="CRY119" s="3"/>
      <c r="CRZ119" s="3"/>
      <c r="CSA119" s="3"/>
      <c r="CSB119" s="3"/>
      <c r="CSC119" s="3"/>
      <c r="CSD119" s="3"/>
      <c r="CSE119" s="3"/>
      <c r="CSF119" s="3"/>
      <c r="CSG119" s="3"/>
      <c r="CSH119" s="3"/>
      <c r="CSI119" s="3"/>
      <c r="CSJ119" s="3"/>
      <c r="CSK119" s="3"/>
      <c r="CSL119" s="3"/>
      <c r="CSM119" s="3"/>
      <c r="CSN119" s="3"/>
      <c r="CSO119" s="3"/>
      <c r="CSP119" s="3"/>
      <c r="CSQ119" s="3"/>
      <c r="CSR119" s="3"/>
      <c r="CSS119" s="3"/>
      <c r="CST119" s="3"/>
      <c r="CSU119" s="3"/>
      <c r="CSV119" s="3"/>
      <c r="CSW119" s="3"/>
      <c r="CSX119" s="3"/>
      <c r="CSY119" s="3"/>
      <c r="CSZ119" s="3"/>
      <c r="CTA119" s="3"/>
      <c r="CTB119" s="3"/>
      <c r="CTC119" s="3"/>
      <c r="CTD119" s="3"/>
      <c r="CTE119" s="3"/>
      <c r="CTF119" s="3"/>
      <c r="CTG119" s="3"/>
      <c r="CTH119" s="3"/>
      <c r="CTI119" s="3"/>
      <c r="CTJ119" s="3"/>
      <c r="CTK119" s="3"/>
      <c r="CTL119" s="3"/>
      <c r="CTM119" s="3"/>
      <c r="CTN119" s="3"/>
      <c r="CTO119" s="3"/>
      <c r="CTP119" s="3"/>
      <c r="CTQ119" s="3"/>
      <c r="CTR119" s="3"/>
      <c r="CTS119" s="3"/>
      <c r="CTT119" s="3"/>
      <c r="CTU119" s="3"/>
      <c r="CTV119" s="3"/>
      <c r="CTW119" s="3"/>
      <c r="CTX119" s="3"/>
      <c r="CTY119" s="3"/>
      <c r="CTZ119" s="3"/>
      <c r="CUA119" s="3"/>
      <c r="CUB119" s="3"/>
      <c r="CUC119" s="3"/>
      <c r="CUD119" s="3"/>
      <c r="CUE119" s="3"/>
      <c r="CUF119" s="3"/>
      <c r="CUG119" s="3"/>
      <c r="CUH119" s="3"/>
      <c r="CUI119" s="3"/>
      <c r="CUJ119" s="3"/>
      <c r="CUK119" s="3"/>
      <c r="CUL119" s="3"/>
      <c r="CUM119" s="3"/>
      <c r="CUN119" s="3"/>
      <c r="CUO119" s="3"/>
      <c r="CUP119" s="3"/>
      <c r="CUQ119" s="3"/>
      <c r="CUR119" s="3"/>
      <c r="CUS119" s="3"/>
      <c r="CUT119" s="3"/>
      <c r="CUU119" s="3"/>
      <c r="CUV119" s="3"/>
      <c r="CUW119" s="3"/>
      <c r="CUX119" s="3"/>
      <c r="CUY119" s="3"/>
      <c r="CUZ119" s="3"/>
      <c r="CVA119" s="3"/>
      <c r="CVB119" s="3"/>
      <c r="CVC119" s="3"/>
      <c r="CVD119" s="3"/>
      <c r="CVE119" s="3"/>
      <c r="CVF119" s="3"/>
      <c r="CVG119" s="3"/>
      <c r="CVH119" s="3"/>
      <c r="CVI119" s="3"/>
      <c r="CVJ119" s="3"/>
      <c r="CVK119" s="3"/>
      <c r="CVL119" s="3"/>
      <c r="CVM119" s="3"/>
      <c r="CVN119" s="3"/>
      <c r="CVO119" s="3"/>
      <c r="CVP119" s="3"/>
      <c r="CVQ119" s="3"/>
      <c r="CVR119" s="3"/>
      <c r="CVS119" s="3"/>
      <c r="CVT119" s="3"/>
      <c r="CVU119" s="3"/>
      <c r="CVV119" s="3"/>
      <c r="CVW119" s="3"/>
      <c r="CVX119" s="3"/>
      <c r="CVY119" s="3"/>
      <c r="CVZ119" s="3"/>
      <c r="CWA119" s="3"/>
      <c r="CWB119" s="3"/>
      <c r="CWC119" s="3"/>
      <c r="CWD119" s="3"/>
      <c r="CWE119" s="3"/>
      <c r="CWF119" s="3"/>
      <c r="CWG119" s="3"/>
      <c r="CWH119" s="3"/>
      <c r="CWI119" s="3"/>
      <c r="CWJ119" s="3"/>
      <c r="CWK119" s="3"/>
      <c r="CWL119" s="3"/>
      <c r="CWM119" s="3"/>
      <c r="CWN119" s="3"/>
      <c r="CWO119" s="3"/>
      <c r="CWP119" s="3"/>
      <c r="CWQ119" s="3"/>
      <c r="CWR119" s="3"/>
      <c r="CWS119" s="3"/>
      <c r="CWT119" s="3"/>
      <c r="CWU119" s="3"/>
      <c r="CWV119" s="3"/>
      <c r="CWW119" s="3"/>
      <c r="CWX119" s="3"/>
      <c r="CWY119" s="3"/>
      <c r="CWZ119" s="3"/>
      <c r="CXA119" s="3"/>
      <c r="CXB119" s="3"/>
      <c r="CXC119" s="3"/>
      <c r="CXD119" s="3"/>
      <c r="CXE119" s="3"/>
      <c r="CXF119" s="3"/>
      <c r="CXG119" s="3"/>
      <c r="CXH119" s="3"/>
      <c r="CXI119" s="3"/>
      <c r="CXJ119" s="3"/>
      <c r="CXK119" s="3"/>
      <c r="CXL119" s="3"/>
      <c r="CXM119" s="3"/>
      <c r="CXN119" s="3"/>
      <c r="CXO119" s="3"/>
      <c r="CXP119" s="3"/>
      <c r="CXQ119" s="3"/>
      <c r="CXR119" s="3"/>
      <c r="CXS119" s="3"/>
      <c r="CXT119" s="3"/>
      <c r="CXU119" s="3"/>
      <c r="CXV119" s="3"/>
      <c r="CXW119" s="3"/>
      <c r="CXX119" s="3"/>
      <c r="CXY119" s="3"/>
      <c r="CXZ119" s="3"/>
      <c r="CYA119" s="3"/>
      <c r="CYB119" s="3"/>
      <c r="CYC119" s="3"/>
      <c r="CYD119" s="3"/>
      <c r="CYE119" s="3"/>
      <c r="CYF119" s="3"/>
      <c r="CYG119" s="3"/>
      <c r="CYH119" s="3"/>
      <c r="CYI119" s="3"/>
      <c r="CYJ119" s="3"/>
      <c r="CYK119" s="3"/>
      <c r="CYL119" s="3"/>
      <c r="CYM119" s="3"/>
      <c r="CYN119" s="3"/>
      <c r="CYO119" s="3"/>
      <c r="CYP119" s="3"/>
      <c r="CYQ119" s="3"/>
      <c r="CYR119" s="3"/>
      <c r="CYS119" s="3"/>
      <c r="CYT119" s="3"/>
      <c r="CYU119" s="3"/>
      <c r="CYV119" s="3"/>
      <c r="CYW119" s="3"/>
      <c r="CYX119" s="3"/>
      <c r="CYY119" s="3"/>
      <c r="CYZ119" s="3"/>
      <c r="CZA119" s="3"/>
      <c r="CZB119" s="3"/>
      <c r="CZC119" s="3"/>
      <c r="CZD119" s="3"/>
      <c r="CZE119" s="3"/>
      <c r="CZF119" s="3"/>
      <c r="CZG119" s="3"/>
      <c r="CZH119" s="3"/>
      <c r="CZI119" s="3"/>
      <c r="CZJ119" s="3"/>
      <c r="CZK119" s="3"/>
      <c r="CZL119" s="3"/>
      <c r="CZM119" s="3"/>
      <c r="CZN119" s="3"/>
      <c r="CZO119" s="3"/>
      <c r="CZP119" s="3"/>
      <c r="CZQ119" s="3"/>
      <c r="CZR119" s="3"/>
      <c r="CZS119" s="3"/>
      <c r="CZT119" s="3"/>
      <c r="CZU119" s="3"/>
      <c r="CZV119" s="3"/>
      <c r="CZW119" s="3"/>
      <c r="CZX119" s="3"/>
      <c r="CZY119" s="3"/>
      <c r="CZZ119" s="3"/>
      <c r="DAA119" s="3"/>
      <c r="DAB119" s="3"/>
      <c r="DAC119" s="3"/>
      <c r="DAD119" s="3"/>
      <c r="DAE119" s="3"/>
      <c r="DAF119" s="3"/>
      <c r="DAG119" s="3"/>
      <c r="DAH119" s="3"/>
      <c r="DAI119" s="3"/>
      <c r="DAJ119" s="3"/>
      <c r="DAK119" s="3"/>
      <c r="DAL119" s="3"/>
      <c r="DAM119" s="3"/>
      <c r="DAN119" s="3"/>
      <c r="DAO119" s="3"/>
      <c r="DAP119" s="3"/>
      <c r="DAQ119" s="3"/>
      <c r="DAR119" s="3"/>
      <c r="DAS119" s="3"/>
      <c r="DAT119" s="3"/>
      <c r="DAU119" s="3"/>
      <c r="DAV119" s="3"/>
      <c r="DAW119" s="3"/>
      <c r="DAX119" s="3"/>
      <c r="DAY119" s="3"/>
      <c r="DAZ119" s="3"/>
      <c r="DBA119" s="3"/>
      <c r="DBB119" s="3"/>
      <c r="DBC119" s="3"/>
      <c r="DBD119" s="3"/>
      <c r="DBE119" s="3"/>
      <c r="DBF119" s="3"/>
      <c r="DBG119" s="3"/>
      <c r="DBH119" s="3"/>
      <c r="DBI119" s="3"/>
      <c r="DBJ119" s="3"/>
      <c r="DBK119" s="3"/>
      <c r="DBL119" s="3"/>
      <c r="DBM119" s="3"/>
      <c r="DBN119" s="3"/>
      <c r="DBO119" s="3"/>
      <c r="DBP119" s="3"/>
      <c r="DBQ119" s="3"/>
      <c r="DBR119" s="3"/>
      <c r="DBS119" s="3"/>
      <c r="DBT119" s="3"/>
      <c r="DBU119" s="3"/>
      <c r="DBV119" s="3"/>
      <c r="DBW119" s="3"/>
      <c r="DBX119" s="3"/>
      <c r="DBY119" s="3"/>
      <c r="DBZ119" s="3"/>
      <c r="DCA119" s="3"/>
      <c r="DCB119" s="3"/>
      <c r="DCC119" s="3"/>
      <c r="DCD119" s="3"/>
      <c r="DCE119" s="3"/>
      <c r="DCF119" s="3"/>
      <c r="DCG119" s="3"/>
      <c r="DCH119" s="3"/>
      <c r="DCI119" s="3"/>
      <c r="DCJ119" s="3"/>
      <c r="DCK119" s="3"/>
      <c r="DCL119" s="3"/>
      <c r="DCM119" s="3"/>
      <c r="DCN119" s="3"/>
      <c r="DCO119" s="3"/>
      <c r="DCP119" s="3"/>
      <c r="DCQ119" s="3"/>
      <c r="DCR119" s="3"/>
      <c r="DCS119" s="3"/>
      <c r="DCT119" s="3"/>
      <c r="DCU119" s="3"/>
      <c r="DCV119" s="3"/>
      <c r="DCW119" s="3"/>
      <c r="DCX119" s="3"/>
      <c r="DCY119" s="3"/>
      <c r="DCZ119" s="3"/>
      <c r="DDA119" s="3"/>
      <c r="DDB119" s="3"/>
      <c r="DDC119" s="3"/>
      <c r="DDD119" s="3"/>
      <c r="DDE119" s="3"/>
      <c r="DDF119" s="3"/>
      <c r="DDG119" s="3"/>
      <c r="DDH119" s="3"/>
      <c r="DDI119" s="3"/>
      <c r="DDJ119" s="3"/>
      <c r="DDK119" s="3"/>
      <c r="DDL119" s="3"/>
      <c r="DDM119" s="3"/>
      <c r="DDN119" s="3"/>
      <c r="DDO119" s="3"/>
      <c r="DDP119" s="3"/>
      <c r="DDQ119" s="3"/>
      <c r="DDR119" s="3"/>
      <c r="DDS119" s="3"/>
      <c r="DDT119" s="3"/>
      <c r="DDU119" s="3"/>
      <c r="DDV119" s="3"/>
      <c r="DDW119" s="3"/>
      <c r="DDX119" s="3"/>
      <c r="DDY119" s="3"/>
      <c r="DDZ119" s="3"/>
      <c r="DEA119" s="3"/>
      <c r="DEB119" s="3"/>
      <c r="DEC119" s="3"/>
      <c r="DED119" s="3"/>
      <c r="DEE119" s="3"/>
      <c r="DEF119" s="3"/>
      <c r="DEG119" s="3"/>
      <c r="DEH119" s="3"/>
      <c r="DEI119" s="3"/>
      <c r="DEJ119" s="3"/>
      <c r="DEK119" s="3"/>
      <c r="DEL119" s="3"/>
      <c r="DEM119" s="3"/>
      <c r="DEN119" s="3"/>
      <c r="DEO119" s="3"/>
      <c r="DEP119" s="3"/>
      <c r="DEQ119" s="3"/>
      <c r="DER119" s="3"/>
      <c r="DES119" s="3"/>
      <c r="DET119" s="3"/>
      <c r="DEU119" s="3"/>
      <c r="DEV119" s="3"/>
      <c r="DEW119" s="3"/>
      <c r="DEX119" s="3"/>
      <c r="DEY119" s="3"/>
      <c r="DEZ119" s="3"/>
      <c r="DFA119" s="3"/>
      <c r="DFB119" s="3"/>
      <c r="DFC119" s="3"/>
      <c r="DFD119" s="3"/>
      <c r="DFE119" s="3"/>
      <c r="DFF119" s="3"/>
      <c r="DFG119" s="3"/>
      <c r="DFH119" s="3"/>
      <c r="DFI119" s="3"/>
      <c r="DFJ119" s="3"/>
      <c r="DFK119" s="3"/>
      <c r="DFL119" s="3"/>
      <c r="DFM119" s="3"/>
      <c r="DFN119" s="3"/>
      <c r="DFO119" s="3"/>
      <c r="DFP119" s="3"/>
      <c r="DFQ119" s="3"/>
      <c r="DFR119" s="3"/>
      <c r="DFS119" s="3"/>
      <c r="DFT119" s="3"/>
      <c r="DFU119" s="3"/>
      <c r="DFV119" s="3"/>
      <c r="DFW119" s="3"/>
      <c r="DFX119" s="3"/>
      <c r="DFY119" s="3"/>
      <c r="DFZ119" s="3"/>
      <c r="DGA119" s="3"/>
      <c r="DGB119" s="3"/>
      <c r="DGC119" s="3"/>
      <c r="DGD119" s="3"/>
      <c r="DGE119" s="3"/>
      <c r="DGF119" s="3"/>
      <c r="DGG119" s="3"/>
      <c r="DGH119" s="3"/>
      <c r="DGI119" s="3"/>
      <c r="DGJ119" s="3"/>
      <c r="DGK119" s="3"/>
      <c r="DGL119" s="3"/>
      <c r="DGM119" s="3"/>
      <c r="DGN119" s="3"/>
      <c r="DGO119" s="3"/>
      <c r="DGP119" s="3"/>
      <c r="DGQ119" s="3"/>
      <c r="DGR119" s="3"/>
      <c r="DGS119" s="3"/>
      <c r="DGT119" s="3"/>
      <c r="DGU119" s="3"/>
      <c r="DGV119" s="3"/>
      <c r="DGW119" s="3"/>
      <c r="DGX119" s="3"/>
      <c r="DGY119" s="3"/>
      <c r="DGZ119" s="3"/>
      <c r="DHA119" s="3"/>
      <c r="DHB119" s="3"/>
      <c r="DHC119" s="3"/>
      <c r="DHD119" s="3"/>
      <c r="DHE119" s="3"/>
      <c r="DHF119" s="3"/>
      <c r="DHG119" s="3"/>
      <c r="DHH119" s="3"/>
      <c r="DHI119" s="3"/>
      <c r="DHJ119" s="3"/>
      <c r="DHK119" s="3"/>
      <c r="DHL119" s="3"/>
      <c r="DHM119" s="3"/>
      <c r="DHN119" s="3"/>
      <c r="DHO119" s="3"/>
      <c r="DHP119" s="3"/>
      <c r="DHQ119" s="3"/>
      <c r="DHR119" s="3"/>
      <c r="DHS119" s="3"/>
      <c r="DHT119" s="3"/>
      <c r="DHU119" s="3"/>
      <c r="DHV119" s="3"/>
      <c r="DHW119" s="3"/>
      <c r="DHX119" s="3"/>
      <c r="DHY119" s="3"/>
      <c r="DHZ119" s="3"/>
      <c r="DIA119" s="3"/>
      <c r="DIB119" s="3"/>
      <c r="DIC119" s="3"/>
      <c r="DID119" s="3"/>
      <c r="DIE119" s="3"/>
      <c r="DIF119" s="3"/>
      <c r="DIG119" s="3"/>
      <c r="DIH119" s="3"/>
      <c r="DII119" s="3"/>
      <c r="DIJ119" s="3"/>
      <c r="DIK119" s="3"/>
      <c r="DIL119" s="3"/>
      <c r="DIM119" s="3"/>
      <c r="DIN119" s="3"/>
      <c r="DIO119" s="3"/>
      <c r="DIP119" s="3"/>
      <c r="DIQ119" s="3"/>
      <c r="DIR119" s="3"/>
      <c r="DIS119" s="3"/>
      <c r="DIT119" s="3"/>
      <c r="DIU119" s="3"/>
      <c r="DIV119" s="3"/>
      <c r="DIW119" s="3"/>
      <c r="DIX119" s="3"/>
      <c r="DIY119" s="3"/>
      <c r="DIZ119" s="3"/>
      <c r="DJA119" s="3"/>
      <c r="DJB119" s="3"/>
      <c r="DJC119" s="3"/>
      <c r="DJD119" s="3"/>
      <c r="DJE119" s="3"/>
      <c r="DJF119" s="3"/>
      <c r="DJG119" s="3"/>
      <c r="DJH119" s="3"/>
      <c r="DJI119" s="3"/>
      <c r="DJJ119" s="3"/>
      <c r="DJK119" s="3"/>
      <c r="DJL119" s="3"/>
      <c r="DJM119" s="3"/>
      <c r="DJN119" s="3"/>
      <c r="DJO119" s="3"/>
      <c r="DJP119" s="3"/>
      <c r="DJQ119" s="3"/>
      <c r="DJR119" s="3"/>
      <c r="DJS119" s="3"/>
      <c r="DJT119" s="3"/>
      <c r="DJU119" s="3"/>
      <c r="DJV119" s="3"/>
      <c r="DJW119" s="3"/>
      <c r="DJX119" s="3"/>
      <c r="DJY119" s="3"/>
      <c r="DJZ119" s="3"/>
      <c r="DKA119" s="3"/>
      <c r="DKB119" s="3"/>
      <c r="DKC119" s="3"/>
      <c r="DKD119" s="3"/>
      <c r="DKE119" s="3"/>
      <c r="DKF119" s="3"/>
      <c r="DKG119" s="3"/>
      <c r="DKH119" s="3"/>
      <c r="DKI119" s="3"/>
      <c r="DKJ119" s="3"/>
      <c r="DKK119" s="3"/>
      <c r="DKL119" s="3"/>
      <c r="DKM119" s="3"/>
      <c r="DKN119" s="3"/>
      <c r="DKO119" s="3"/>
      <c r="DKP119" s="3"/>
      <c r="DKQ119" s="3"/>
      <c r="DKR119" s="3"/>
      <c r="DKS119" s="3"/>
      <c r="DKT119" s="3"/>
      <c r="DKU119" s="3"/>
      <c r="DKV119" s="3"/>
      <c r="DKW119" s="3"/>
      <c r="DKX119" s="3"/>
      <c r="DKY119" s="3"/>
      <c r="DKZ119" s="3"/>
      <c r="DLA119" s="3"/>
      <c r="DLB119" s="3"/>
      <c r="DLC119" s="3"/>
      <c r="DLD119" s="3"/>
      <c r="DLE119" s="3"/>
      <c r="DLF119" s="3"/>
      <c r="DLG119" s="3"/>
      <c r="DLH119" s="3"/>
      <c r="DLI119" s="3"/>
      <c r="DLJ119" s="3"/>
      <c r="DLK119" s="3"/>
      <c r="DLL119" s="3"/>
      <c r="DLM119" s="3"/>
      <c r="DLN119" s="3"/>
      <c r="DLO119" s="3"/>
      <c r="DLP119" s="3"/>
      <c r="DLQ119" s="3"/>
      <c r="DLR119" s="3"/>
      <c r="DLS119" s="3"/>
      <c r="DLT119" s="3"/>
      <c r="DLU119" s="3"/>
      <c r="DLV119" s="3"/>
      <c r="DLW119" s="3"/>
      <c r="DLX119" s="3"/>
      <c r="DLY119" s="3"/>
      <c r="DLZ119" s="3"/>
      <c r="DMA119" s="3"/>
      <c r="DMB119" s="3"/>
      <c r="DMC119" s="3"/>
      <c r="DMD119" s="3"/>
      <c r="DME119" s="3"/>
      <c r="DMF119" s="3"/>
      <c r="DMG119" s="3"/>
      <c r="DMH119" s="3"/>
      <c r="DMI119" s="3"/>
      <c r="DMJ119" s="3"/>
      <c r="DMK119" s="3"/>
      <c r="DML119" s="3"/>
      <c r="DMM119" s="3"/>
      <c r="DMN119" s="3"/>
      <c r="DMO119" s="3"/>
      <c r="DMP119" s="3"/>
      <c r="DMQ119" s="3"/>
      <c r="DMR119" s="3"/>
      <c r="DMS119" s="3"/>
      <c r="DMT119" s="3"/>
      <c r="DMU119" s="3"/>
      <c r="DMV119" s="3"/>
      <c r="DMW119" s="3"/>
      <c r="DMX119" s="3"/>
      <c r="DMY119" s="3"/>
      <c r="DMZ119" s="3"/>
      <c r="DNA119" s="3"/>
      <c r="DNB119" s="3"/>
      <c r="DNC119" s="3"/>
      <c r="DND119" s="3"/>
      <c r="DNE119" s="3"/>
      <c r="DNF119" s="3"/>
      <c r="DNG119" s="3"/>
      <c r="DNH119" s="3"/>
      <c r="DNI119" s="3"/>
      <c r="DNJ119" s="3"/>
      <c r="DNK119" s="3"/>
      <c r="DNL119" s="3"/>
      <c r="DNM119" s="3"/>
      <c r="DNN119" s="3"/>
      <c r="DNO119" s="3"/>
      <c r="DNP119" s="3"/>
      <c r="DNQ119" s="3"/>
      <c r="DNR119" s="3"/>
      <c r="DNS119" s="3"/>
      <c r="DNT119" s="3"/>
      <c r="DNU119" s="3"/>
      <c r="DNV119" s="3"/>
      <c r="DNW119" s="3"/>
      <c r="DNX119" s="3"/>
      <c r="DNY119" s="3"/>
      <c r="DNZ119" s="3"/>
      <c r="DOA119" s="3"/>
      <c r="DOB119" s="3"/>
      <c r="DOC119" s="3"/>
      <c r="DOD119" s="3"/>
      <c r="DOE119" s="3"/>
      <c r="DOF119" s="3"/>
      <c r="DOG119" s="3"/>
      <c r="DOH119" s="3"/>
      <c r="DOI119" s="3"/>
      <c r="DOJ119" s="3"/>
      <c r="DOK119" s="3"/>
      <c r="DOL119" s="3"/>
      <c r="DOM119" s="3"/>
      <c r="DON119" s="3"/>
      <c r="DOO119" s="3"/>
      <c r="DOP119" s="3"/>
      <c r="DOQ119" s="3"/>
      <c r="DOR119" s="3"/>
      <c r="DOS119" s="3"/>
      <c r="DOT119" s="3"/>
      <c r="DOU119" s="3"/>
      <c r="DOV119" s="3"/>
      <c r="DOW119" s="3"/>
      <c r="DOX119" s="3"/>
      <c r="DOY119" s="3"/>
      <c r="DOZ119" s="3"/>
      <c r="DPA119" s="3"/>
      <c r="DPB119" s="3"/>
      <c r="DPC119" s="3"/>
      <c r="DPD119" s="3"/>
      <c r="DPE119" s="3"/>
      <c r="DPF119" s="3"/>
      <c r="DPG119" s="3"/>
      <c r="DPH119" s="3"/>
      <c r="DPI119" s="3"/>
      <c r="DPJ119" s="3"/>
      <c r="DPK119" s="3"/>
      <c r="DPL119" s="3"/>
      <c r="DPM119" s="3"/>
      <c r="DPN119" s="3"/>
      <c r="DPO119" s="3"/>
      <c r="DPP119" s="3"/>
      <c r="DPQ119" s="3"/>
      <c r="DPR119" s="3"/>
      <c r="DPS119" s="3"/>
      <c r="DPT119" s="3"/>
      <c r="DPU119" s="3"/>
      <c r="DPV119" s="3"/>
      <c r="DPW119" s="3"/>
      <c r="DPX119" s="3"/>
      <c r="DPY119" s="3"/>
      <c r="DPZ119" s="3"/>
      <c r="DQA119" s="3"/>
      <c r="DQB119" s="3"/>
      <c r="DQC119" s="3"/>
      <c r="DQD119" s="3"/>
      <c r="DQE119" s="3"/>
      <c r="DQF119" s="3"/>
      <c r="DQG119" s="3"/>
      <c r="DQH119" s="3"/>
      <c r="DQI119" s="3"/>
      <c r="DQJ119" s="3"/>
      <c r="DQK119" s="3"/>
      <c r="DQL119" s="3"/>
      <c r="DQM119" s="3"/>
      <c r="DQN119" s="3"/>
      <c r="DQO119" s="3"/>
      <c r="DQP119" s="3"/>
      <c r="DQQ119" s="3"/>
      <c r="DQR119" s="3"/>
      <c r="DQS119" s="3"/>
      <c r="DQT119" s="3"/>
      <c r="DQU119" s="3"/>
      <c r="DQV119" s="3"/>
      <c r="DQW119" s="3"/>
      <c r="DQX119" s="3"/>
      <c r="DQY119" s="3"/>
      <c r="DQZ119" s="3"/>
      <c r="DRA119" s="3"/>
      <c r="DRB119" s="3"/>
      <c r="DRC119" s="3"/>
      <c r="DRD119" s="3"/>
      <c r="DRE119" s="3"/>
      <c r="DRF119" s="3"/>
      <c r="DRG119" s="3"/>
      <c r="DRH119" s="3"/>
      <c r="DRI119" s="3"/>
      <c r="DRJ119" s="3"/>
      <c r="DRK119" s="3"/>
      <c r="DRL119" s="3"/>
      <c r="DRM119" s="3"/>
      <c r="DRN119" s="3"/>
      <c r="DRO119" s="3"/>
      <c r="DRP119" s="3"/>
      <c r="DRQ119" s="3"/>
      <c r="DRR119" s="3"/>
      <c r="DRS119" s="3"/>
      <c r="DRT119" s="3"/>
      <c r="DRU119" s="3"/>
      <c r="DRV119" s="3"/>
      <c r="DRW119" s="3"/>
      <c r="DRX119" s="3"/>
      <c r="DRY119" s="3"/>
      <c r="DRZ119" s="3"/>
      <c r="DSA119" s="3"/>
      <c r="DSB119" s="3"/>
      <c r="DSC119" s="3"/>
      <c r="DSD119" s="3"/>
      <c r="DSE119" s="3"/>
      <c r="DSF119" s="3"/>
      <c r="DSG119" s="3"/>
      <c r="DSH119" s="3"/>
      <c r="DSI119" s="3"/>
      <c r="DSJ119" s="3"/>
      <c r="DSK119" s="3"/>
      <c r="DSL119" s="3"/>
      <c r="DSM119" s="3"/>
      <c r="DSN119" s="3"/>
      <c r="DSO119" s="3"/>
      <c r="DSP119" s="3"/>
      <c r="DSQ119" s="3"/>
      <c r="DSR119" s="3"/>
      <c r="DSS119" s="3"/>
      <c r="DST119" s="3"/>
      <c r="DSU119" s="3"/>
      <c r="DSV119" s="3"/>
      <c r="DSW119" s="3"/>
      <c r="DSX119" s="3"/>
      <c r="DSY119" s="3"/>
      <c r="DSZ119" s="3"/>
      <c r="DTA119" s="3"/>
      <c r="DTB119" s="3"/>
      <c r="DTC119" s="3"/>
      <c r="DTD119" s="3"/>
      <c r="DTE119" s="3"/>
      <c r="DTF119" s="3"/>
      <c r="DTG119" s="3"/>
      <c r="DTH119" s="3"/>
      <c r="DTI119" s="3"/>
      <c r="DTJ119" s="3"/>
      <c r="DTK119" s="3"/>
      <c r="DTL119" s="3"/>
      <c r="DTM119" s="3"/>
      <c r="DTN119" s="3"/>
      <c r="DTO119" s="3"/>
      <c r="DTP119" s="3"/>
      <c r="DTQ119" s="3"/>
      <c r="DTR119" s="3"/>
      <c r="DTS119" s="3"/>
      <c r="DTT119" s="3"/>
      <c r="DTU119" s="3"/>
      <c r="DTV119" s="3"/>
      <c r="DTW119" s="3"/>
      <c r="DTX119" s="3"/>
      <c r="DTY119" s="3"/>
      <c r="DTZ119" s="3"/>
      <c r="DUA119" s="3"/>
      <c r="DUB119" s="3"/>
      <c r="DUC119" s="3"/>
      <c r="DUD119" s="3"/>
      <c r="DUE119" s="3"/>
      <c r="DUF119" s="3"/>
      <c r="DUG119" s="3"/>
      <c r="DUH119" s="3"/>
      <c r="DUI119" s="3"/>
      <c r="DUJ119" s="3"/>
      <c r="DUK119" s="3"/>
      <c r="DUL119" s="3"/>
      <c r="DUM119" s="3"/>
      <c r="DUN119" s="3"/>
      <c r="DUO119" s="3"/>
      <c r="DUP119" s="3"/>
      <c r="DUQ119" s="3"/>
      <c r="DUR119" s="3"/>
      <c r="DUS119" s="3"/>
      <c r="DUT119" s="3"/>
      <c r="DUU119" s="3"/>
      <c r="DUV119" s="3"/>
      <c r="DUW119" s="3"/>
      <c r="DUX119" s="3"/>
      <c r="DUY119" s="3"/>
      <c r="DUZ119" s="3"/>
      <c r="DVA119" s="3"/>
      <c r="DVB119" s="3"/>
      <c r="DVC119" s="3"/>
      <c r="DVD119" s="3"/>
      <c r="DVE119" s="3"/>
      <c r="DVF119" s="3"/>
      <c r="DVG119" s="3"/>
      <c r="DVH119" s="3"/>
      <c r="DVI119" s="3"/>
      <c r="DVJ119" s="3"/>
      <c r="DVK119" s="3"/>
      <c r="DVL119" s="3"/>
      <c r="DVM119" s="3"/>
      <c r="DVN119" s="3"/>
      <c r="DVO119" s="3"/>
      <c r="DVP119" s="3"/>
      <c r="DVQ119" s="3"/>
      <c r="DVR119" s="3"/>
      <c r="DVS119" s="3"/>
      <c r="DVT119" s="3"/>
      <c r="DVU119" s="3"/>
      <c r="DVV119" s="3"/>
      <c r="DVW119" s="3"/>
      <c r="DVX119" s="3"/>
      <c r="DVY119" s="3"/>
      <c r="DVZ119" s="3"/>
      <c r="DWA119" s="3"/>
      <c r="DWB119" s="3"/>
      <c r="DWC119" s="3"/>
      <c r="DWD119" s="3"/>
      <c r="DWE119" s="3"/>
      <c r="DWF119" s="3"/>
      <c r="DWG119" s="3"/>
      <c r="DWH119" s="3"/>
      <c r="DWI119" s="3"/>
      <c r="DWJ119" s="3"/>
      <c r="DWK119" s="3"/>
      <c r="DWL119" s="3"/>
      <c r="DWM119" s="3"/>
      <c r="DWN119" s="3"/>
      <c r="DWO119" s="3"/>
      <c r="DWP119" s="3"/>
      <c r="DWQ119" s="3"/>
      <c r="DWR119" s="3"/>
      <c r="DWS119" s="3"/>
      <c r="DWT119" s="3"/>
      <c r="DWU119" s="3"/>
      <c r="DWV119" s="3"/>
      <c r="DWW119" s="3"/>
      <c r="DWX119" s="3"/>
      <c r="DWY119" s="3"/>
      <c r="DWZ119" s="3"/>
      <c r="DXA119" s="3"/>
      <c r="DXB119" s="3"/>
      <c r="DXC119" s="3"/>
      <c r="DXD119" s="3"/>
      <c r="DXE119" s="3"/>
      <c r="DXF119" s="3"/>
      <c r="DXG119" s="3"/>
      <c r="DXH119" s="3"/>
      <c r="DXI119" s="3"/>
      <c r="DXJ119" s="3"/>
      <c r="DXK119" s="3"/>
      <c r="DXL119" s="3"/>
      <c r="DXM119" s="3"/>
      <c r="DXN119" s="3"/>
      <c r="DXO119" s="3"/>
      <c r="DXP119" s="3"/>
      <c r="DXQ119" s="3"/>
      <c r="DXR119" s="3"/>
      <c r="DXS119" s="3"/>
      <c r="DXT119" s="3"/>
      <c r="DXU119" s="3"/>
      <c r="DXV119" s="3"/>
      <c r="DXW119" s="3"/>
      <c r="DXX119" s="3"/>
      <c r="DXY119" s="3"/>
      <c r="DXZ119" s="3"/>
      <c r="DYA119" s="3"/>
      <c r="DYB119" s="3"/>
      <c r="DYC119" s="3"/>
      <c r="DYD119" s="3"/>
      <c r="DYE119" s="3"/>
      <c r="DYF119" s="3"/>
      <c r="DYG119" s="3"/>
      <c r="DYH119" s="3"/>
      <c r="DYI119" s="3"/>
      <c r="DYJ119" s="3"/>
      <c r="DYK119" s="3"/>
      <c r="DYL119" s="3"/>
      <c r="DYM119" s="3"/>
      <c r="DYN119" s="3"/>
      <c r="DYO119" s="3"/>
      <c r="DYP119" s="3"/>
      <c r="DYQ119" s="3"/>
      <c r="DYR119" s="3"/>
      <c r="DYS119" s="3"/>
      <c r="DYT119" s="3"/>
      <c r="DYU119" s="3"/>
      <c r="DYV119" s="3"/>
      <c r="DYW119" s="3"/>
      <c r="DYX119" s="3"/>
      <c r="DYY119" s="3"/>
      <c r="DYZ119" s="3"/>
      <c r="DZA119" s="3"/>
      <c r="DZB119" s="3"/>
      <c r="DZC119" s="3"/>
      <c r="DZD119" s="3"/>
      <c r="DZE119" s="3"/>
      <c r="DZF119" s="3"/>
      <c r="DZG119" s="3"/>
      <c r="DZH119" s="3"/>
      <c r="DZI119" s="3"/>
      <c r="DZJ119" s="3"/>
      <c r="DZK119" s="3"/>
      <c r="DZL119" s="3"/>
      <c r="DZM119" s="3"/>
      <c r="DZN119" s="3"/>
      <c r="DZO119" s="3"/>
      <c r="DZP119" s="3"/>
      <c r="DZQ119" s="3"/>
      <c r="DZR119" s="3"/>
      <c r="DZS119" s="3"/>
      <c r="DZT119" s="3"/>
      <c r="DZU119" s="3"/>
      <c r="DZV119" s="3"/>
      <c r="DZW119" s="3"/>
      <c r="DZX119" s="3"/>
      <c r="DZY119" s="3"/>
      <c r="DZZ119" s="3"/>
      <c r="EAA119" s="3"/>
      <c r="EAB119" s="3"/>
      <c r="EAC119" s="3"/>
      <c r="EAD119" s="3"/>
      <c r="EAE119" s="3"/>
      <c r="EAF119" s="3"/>
      <c r="EAG119" s="3"/>
      <c r="EAH119" s="3"/>
      <c r="EAI119" s="3"/>
      <c r="EAJ119" s="3"/>
      <c r="EAK119" s="3"/>
      <c r="EAL119" s="3"/>
      <c r="EAM119" s="3"/>
      <c r="EAN119" s="3"/>
      <c r="EAO119" s="3"/>
      <c r="EAP119" s="3"/>
      <c r="EAQ119" s="3"/>
      <c r="EAR119" s="3"/>
      <c r="EAS119" s="3"/>
      <c r="EAT119" s="3"/>
      <c r="EAU119" s="3"/>
      <c r="EAV119" s="3"/>
      <c r="EAW119" s="3"/>
      <c r="EAX119" s="3"/>
      <c r="EAY119" s="3"/>
      <c r="EAZ119" s="3"/>
      <c r="EBA119" s="3"/>
      <c r="EBB119" s="3"/>
      <c r="EBC119" s="3"/>
      <c r="EBD119" s="3"/>
      <c r="EBE119" s="3"/>
      <c r="EBF119" s="3"/>
      <c r="EBG119" s="3"/>
      <c r="EBH119" s="3"/>
      <c r="EBI119" s="3"/>
      <c r="EBJ119" s="3"/>
      <c r="EBK119" s="3"/>
      <c r="EBL119" s="3"/>
      <c r="EBM119" s="3"/>
      <c r="EBN119" s="3"/>
      <c r="EBO119" s="3"/>
      <c r="EBP119" s="3"/>
      <c r="EBQ119" s="3"/>
      <c r="EBR119" s="3"/>
      <c r="EBS119" s="3"/>
      <c r="EBT119" s="3"/>
      <c r="EBU119" s="3"/>
      <c r="EBV119" s="3"/>
      <c r="EBW119" s="3"/>
      <c r="EBX119" s="3"/>
      <c r="EBY119" s="3"/>
      <c r="EBZ119" s="3"/>
      <c r="ECA119" s="3"/>
      <c r="ECB119" s="3"/>
      <c r="ECC119" s="3"/>
      <c r="ECD119" s="3"/>
      <c r="ECE119" s="3"/>
      <c r="ECF119" s="3"/>
      <c r="ECG119" s="3"/>
      <c r="ECH119" s="3"/>
      <c r="ECI119" s="3"/>
      <c r="ECJ119" s="3"/>
      <c r="ECK119" s="3"/>
      <c r="ECL119" s="3"/>
      <c r="ECM119" s="3"/>
      <c r="ECN119" s="3"/>
      <c r="ECO119" s="3"/>
      <c r="ECP119" s="3"/>
      <c r="ECQ119" s="3"/>
      <c r="ECR119" s="3"/>
      <c r="ECS119" s="3"/>
      <c r="ECT119" s="3"/>
      <c r="ECU119" s="3"/>
      <c r="ECV119" s="3"/>
      <c r="ECW119" s="3"/>
      <c r="ECX119" s="3"/>
      <c r="ECY119" s="3"/>
      <c r="ECZ119" s="3"/>
      <c r="EDA119" s="3"/>
      <c r="EDB119" s="3"/>
      <c r="EDC119" s="3"/>
      <c r="EDD119" s="3"/>
      <c r="EDE119" s="3"/>
      <c r="EDF119" s="3"/>
      <c r="EDG119" s="3"/>
      <c r="EDH119" s="3"/>
      <c r="EDI119" s="3"/>
      <c r="EDJ119" s="3"/>
      <c r="EDK119" s="3"/>
      <c r="EDL119" s="3"/>
      <c r="EDM119" s="3"/>
      <c r="EDN119" s="3"/>
      <c r="EDO119" s="3"/>
      <c r="EDP119" s="3"/>
      <c r="EDQ119" s="3"/>
      <c r="EDR119" s="3"/>
      <c r="EDS119" s="3"/>
      <c r="EDT119" s="3"/>
      <c r="EDU119" s="3"/>
      <c r="EDV119" s="3"/>
      <c r="EDW119" s="3"/>
      <c r="EDX119" s="3"/>
      <c r="EDY119" s="3"/>
      <c r="EDZ119" s="3"/>
      <c r="EEA119" s="3"/>
      <c r="EEB119" s="3"/>
      <c r="EEC119" s="3"/>
      <c r="EED119" s="3"/>
      <c r="EEE119" s="3"/>
      <c r="EEF119" s="3"/>
      <c r="EEG119" s="3"/>
      <c r="EEH119" s="3"/>
      <c r="EEI119" s="3"/>
      <c r="EEJ119" s="3"/>
      <c r="EEK119" s="3"/>
      <c r="EEL119" s="3"/>
      <c r="EEM119" s="3"/>
      <c r="EEN119" s="3"/>
      <c r="EEO119" s="3"/>
      <c r="EEP119" s="3"/>
      <c r="EEQ119" s="3"/>
      <c r="EER119" s="3"/>
      <c r="EES119" s="3"/>
      <c r="EET119" s="3"/>
      <c r="EEU119" s="3"/>
      <c r="EEV119" s="3"/>
      <c r="EEW119" s="3"/>
      <c r="EEX119" s="3"/>
      <c r="EEY119" s="3"/>
      <c r="EEZ119" s="3"/>
      <c r="EFA119" s="3"/>
      <c r="EFB119" s="3"/>
      <c r="EFC119" s="3"/>
      <c r="EFD119" s="3"/>
      <c r="EFE119" s="3"/>
      <c r="EFF119" s="3"/>
      <c r="EFG119" s="3"/>
      <c r="EFH119" s="3"/>
      <c r="EFI119" s="3"/>
      <c r="EFJ119" s="3"/>
      <c r="EFK119" s="3"/>
      <c r="EFL119" s="3"/>
      <c r="EFM119" s="3"/>
      <c r="EFN119" s="3"/>
      <c r="EFO119" s="3"/>
      <c r="EFP119" s="3"/>
      <c r="EFQ119" s="3"/>
      <c r="EFR119" s="3"/>
      <c r="EFS119" s="3"/>
      <c r="EFT119" s="3"/>
      <c r="EFU119" s="3"/>
      <c r="EFV119" s="3"/>
      <c r="EFW119" s="3"/>
      <c r="EFX119" s="3"/>
      <c r="EFY119" s="3"/>
      <c r="EFZ119" s="3"/>
      <c r="EGA119" s="3"/>
      <c r="EGB119" s="3"/>
      <c r="EGC119" s="3"/>
      <c r="EGD119" s="3"/>
      <c r="EGE119" s="3"/>
      <c r="EGF119" s="3"/>
      <c r="EGG119" s="3"/>
      <c r="EGH119" s="3"/>
      <c r="EGI119" s="3"/>
      <c r="EGJ119" s="3"/>
      <c r="EGK119" s="3"/>
      <c r="EGL119" s="3"/>
      <c r="EGM119" s="3"/>
      <c r="EGN119" s="3"/>
      <c r="EGO119" s="3"/>
      <c r="EGP119" s="3"/>
      <c r="EGQ119" s="3"/>
      <c r="EGR119" s="3"/>
      <c r="EGS119" s="3"/>
      <c r="EGT119" s="3"/>
      <c r="EGU119" s="3"/>
      <c r="EGV119" s="3"/>
      <c r="EGW119" s="3"/>
      <c r="EGX119" s="3"/>
      <c r="EGY119" s="3"/>
      <c r="EGZ119" s="3"/>
      <c r="EHA119" s="3"/>
      <c r="EHB119" s="3"/>
      <c r="EHC119" s="3"/>
      <c r="EHD119" s="3"/>
      <c r="EHE119" s="3"/>
      <c r="EHF119" s="3"/>
      <c r="EHG119" s="3"/>
      <c r="EHH119" s="3"/>
      <c r="EHI119" s="3"/>
      <c r="EHJ119" s="3"/>
      <c r="EHK119" s="3"/>
      <c r="EHL119" s="3"/>
      <c r="EHM119" s="3"/>
      <c r="EHN119" s="3"/>
      <c r="EHO119" s="3"/>
      <c r="EHP119" s="3"/>
      <c r="EHQ119" s="3"/>
      <c r="EHR119" s="3"/>
      <c r="EHS119" s="3"/>
      <c r="EHT119" s="3"/>
      <c r="EHU119" s="3"/>
      <c r="EHV119" s="3"/>
      <c r="EHW119" s="3"/>
      <c r="EHX119" s="3"/>
      <c r="EHY119" s="3"/>
      <c r="EHZ119" s="3"/>
      <c r="EIA119" s="3"/>
      <c r="EIB119" s="3"/>
      <c r="EIC119" s="3"/>
      <c r="EID119" s="3"/>
      <c r="EIE119" s="3"/>
      <c r="EIF119" s="3"/>
      <c r="EIG119" s="3"/>
      <c r="EIH119" s="3"/>
      <c r="EII119" s="3"/>
      <c r="EIJ119" s="3"/>
      <c r="EIK119" s="3"/>
      <c r="EIL119" s="3"/>
      <c r="EIM119" s="3"/>
      <c r="EIN119" s="3"/>
      <c r="EIO119" s="3"/>
      <c r="EIP119" s="3"/>
      <c r="EIQ119" s="3"/>
      <c r="EIR119" s="3"/>
      <c r="EIS119" s="3"/>
      <c r="EIT119" s="3"/>
      <c r="EIU119" s="3"/>
      <c r="EIV119" s="3"/>
      <c r="EIW119" s="3"/>
      <c r="EIX119" s="3"/>
      <c r="EIY119" s="3"/>
      <c r="EIZ119" s="3"/>
      <c r="EJA119" s="3"/>
      <c r="EJB119" s="3"/>
      <c r="EJC119" s="3"/>
      <c r="EJD119" s="3"/>
      <c r="EJE119" s="3"/>
      <c r="EJF119" s="3"/>
      <c r="EJG119" s="3"/>
      <c r="EJH119" s="3"/>
      <c r="EJI119" s="3"/>
      <c r="EJJ119" s="3"/>
      <c r="EJK119" s="3"/>
      <c r="EJL119" s="3"/>
      <c r="EJM119" s="3"/>
      <c r="EJN119" s="3"/>
      <c r="EJO119" s="3"/>
      <c r="EJP119" s="3"/>
      <c r="EJQ119" s="3"/>
      <c r="EJR119" s="3"/>
      <c r="EJS119" s="3"/>
      <c r="EJT119" s="3"/>
      <c r="EJU119" s="3"/>
      <c r="EJV119" s="3"/>
      <c r="EJW119" s="3"/>
      <c r="EJX119" s="3"/>
      <c r="EJY119" s="3"/>
      <c r="EJZ119" s="3"/>
      <c r="EKA119" s="3"/>
      <c r="EKB119" s="3"/>
      <c r="EKC119" s="3"/>
      <c r="EKD119" s="3"/>
      <c r="EKE119" s="3"/>
      <c r="EKF119" s="3"/>
      <c r="EKG119" s="3"/>
      <c r="EKH119" s="3"/>
      <c r="EKI119" s="3"/>
      <c r="EKJ119" s="3"/>
      <c r="EKK119" s="3"/>
      <c r="EKL119" s="3"/>
      <c r="EKM119" s="3"/>
      <c r="EKN119" s="3"/>
      <c r="EKO119" s="3"/>
      <c r="EKP119" s="3"/>
      <c r="EKQ119" s="3"/>
      <c r="EKR119" s="3"/>
      <c r="EKS119" s="3"/>
      <c r="EKT119" s="3"/>
      <c r="EKU119" s="3"/>
      <c r="EKV119" s="3"/>
      <c r="EKW119" s="3"/>
      <c r="EKX119" s="3"/>
      <c r="EKY119" s="3"/>
      <c r="EKZ119" s="3"/>
      <c r="ELA119" s="3"/>
      <c r="ELB119" s="3"/>
      <c r="ELC119" s="3"/>
      <c r="ELD119" s="3"/>
      <c r="ELE119" s="3"/>
      <c r="ELF119" s="3"/>
      <c r="ELG119" s="3"/>
      <c r="ELH119" s="3"/>
      <c r="ELI119" s="3"/>
      <c r="ELJ119" s="3"/>
      <c r="ELK119" s="3"/>
      <c r="ELL119" s="3"/>
      <c r="ELM119" s="3"/>
      <c r="ELN119" s="3"/>
      <c r="ELO119" s="3"/>
      <c r="ELP119" s="3"/>
      <c r="ELQ119" s="3"/>
      <c r="ELR119" s="3"/>
      <c r="ELS119" s="3"/>
      <c r="ELT119" s="3"/>
      <c r="ELU119" s="3"/>
      <c r="ELV119" s="3"/>
      <c r="ELW119" s="3"/>
      <c r="ELX119" s="3"/>
      <c r="ELY119" s="3"/>
      <c r="ELZ119" s="3"/>
      <c r="EMA119" s="3"/>
      <c r="EMB119" s="3"/>
      <c r="EMC119" s="3"/>
      <c r="EMD119" s="3"/>
      <c r="EME119" s="3"/>
      <c r="EMF119" s="3"/>
      <c r="EMG119" s="3"/>
      <c r="EMH119" s="3"/>
      <c r="EMI119" s="3"/>
      <c r="EMJ119" s="3"/>
      <c r="EMK119" s="3"/>
      <c r="EML119" s="3"/>
      <c r="EMM119" s="3"/>
      <c r="EMN119" s="3"/>
      <c r="EMO119" s="3"/>
      <c r="EMP119" s="3"/>
      <c r="EMQ119" s="3"/>
      <c r="EMR119" s="3"/>
      <c r="EMS119" s="3"/>
      <c r="EMT119" s="3"/>
      <c r="EMU119" s="3"/>
      <c r="EMV119" s="3"/>
      <c r="EMW119" s="3"/>
      <c r="EMX119" s="3"/>
      <c r="EMY119" s="3"/>
      <c r="EMZ119" s="3"/>
      <c r="ENA119" s="3"/>
      <c r="ENB119" s="3"/>
      <c r="ENC119" s="3"/>
      <c r="END119" s="3"/>
      <c r="ENE119" s="3"/>
      <c r="ENF119" s="3"/>
      <c r="ENG119" s="3"/>
      <c r="ENH119" s="3"/>
      <c r="ENI119" s="3"/>
      <c r="ENJ119" s="3"/>
      <c r="ENK119" s="3"/>
      <c r="ENL119" s="3"/>
      <c r="ENM119" s="3"/>
      <c r="ENN119" s="3"/>
      <c r="ENO119" s="3"/>
      <c r="ENP119" s="3"/>
      <c r="ENQ119" s="3"/>
      <c r="ENR119" s="3"/>
      <c r="ENS119" s="3"/>
      <c r="ENT119" s="3"/>
      <c r="ENU119" s="3"/>
      <c r="ENV119" s="3"/>
      <c r="ENW119" s="3"/>
      <c r="ENX119" s="3"/>
      <c r="ENY119" s="3"/>
      <c r="ENZ119" s="3"/>
      <c r="EOA119" s="3"/>
      <c r="EOB119" s="3"/>
      <c r="EOC119" s="3"/>
      <c r="EOD119" s="3"/>
      <c r="EOE119" s="3"/>
      <c r="EOF119" s="3"/>
      <c r="EOG119" s="3"/>
      <c r="EOH119" s="3"/>
      <c r="EOI119" s="3"/>
      <c r="EOJ119" s="3"/>
      <c r="EOK119" s="3"/>
      <c r="EOL119" s="3"/>
      <c r="EOM119" s="3"/>
      <c r="EON119" s="3"/>
      <c r="EOO119" s="3"/>
      <c r="EOP119" s="3"/>
      <c r="EOQ119" s="3"/>
      <c r="EOR119" s="3"/>
      <c r="EOS119" s="3"/>
      <c r="EOT119" s="3"/>
      <c r="EOU119" s="3"/>
      <c r="EOV119" s="3"/>
      <c r="EOW119" s="3"/>
      <c r="EOX119" s="3"/>
      <c r="EOY119" s="3"/>
      <c r="EOZ119" s="3"/>
      <c r="EPA119" s="3"/>
      <c r="EPB119" s="3"/>
      <c r="EPC119" s="3"/>
      <c r="EPD119" s="3"/>
      <c r="EPE119" s="3"/>
      <c r="EPF119" s="3"/>
      <c r="EPG119" s="3"/>
      <c r="EPH119" s="3"/>
      <c r="EPI119" s="3"/>
      <c r="EPJ119" s="3"/>
      <c r="EPK119" s="3"/>
      <c r="EPL119" s="3"/>
      <c r="EPM119" s="3"/>
      <c r="EPN119" s="3"/>
      <c r="EPO119" s="3"/>
      <c r="EPP119" s="3"/>
      <c r="EPQ119" s="3"/>
      <c r="EPR119" s="3"/>
      <c r="EPS119" s="3"/>
      <c r="EPT119" s="3"/>
      <c r="EPU119" s="3"/>
      <c r="EPV119" s="3"/>
      <c r="EPW119" s="3"/>
      <c r="EPX119" s="3"/>
      <c r="EPY119" s="3"/>
      <c r="EPZ119" s="3"/>
      <c r="EQA119" s="3"/>
      <c r="EQB119" s="3"/>
      <c r="EQC119" s="3"/>
      <c r="EQD119" s="3"/>
      <c r="EQE119" s="3"/>
      <c r="EQF119" s="3"/>
      <c r="EQG119" s="3"/>
      <c r="EQH119" s="3"/>
      <c r="EQI119" s="3"/>
      <c r="EQJ119" s="3"/>
      <c r="EQK119" s="3"/>
      <c r="EQL119" s="3"/>
      <c r="EQM119" s="3"/>
      <c r="EQN119" s="3"/>
      <c r="EQO119" s="3"/>
      <c r="EQP119" s="3"/>
      <c r="EQQ119" s="3"/>
      <c r="EQR119" s="3"/>
      <c r="EQS119" s="3"/>
      <c r="EQT119" s="3"/>
      <c r="EQU119" s="3"/>
      <c r="EQV119" s="3"/>
      <c r="EQW119" s="3"/>
      <c r="EQX119" s="3"/>
      <c r="EQY119" s="3"/>
      <c r="EQZ119" s="3"/>
      <c r="ERA119" s="3"/>
      <c r="ERB119" s="3"/>
      <c r="ERC119" s="3"/>
      <c r="ERD119" s="3"/>
      <c r="ERE119" s="3"/>
      <c r="ERF119" s="3"/>
      <c r="ERG119" s="3"/>
      <c r="ERH119" s="3"/>
      <c r="ERI119" s="3"/>
      <c r="ERJ119" s="3"/>
      <c r="ERK119" s="3"/>
      <c r="ERL119" s="3"/>
      <c r="ERM119" s="3"/>
      <c r="ERN119" s="3"/>
      <c r="ERO119" s="3"/>
      <c r="ERP119" s="3"/>
      <c r="ERQ119" s="3"/>
      <c r="ERR119" s="3"/>
      <c r="ERS119" s="3"/>
      <c r="ERT119" s="3"/>
      <c r="ERU119" s="3"/>
      <c r="ERV119" s="3"/>
      <c r="ERW119" s="3"/>
      <c r="ERX119" s="3"/>
      <c r="ERY119" s="3"/>
      <c r="ERZ119" s="3"/>
      <c r="ESA119" s="3"/>
      <c r="ESB119" s="3"/>
      <c r="ESC119" s="3"/>
      <c r="ESD119" s="3"/>
      <c r="ESE119" s="3"/>
      <c r="ESF119" s="3"/>
      <c r="ESG119" s="3"/>
      <c r="ESH119" s="3"/>
      <c r="ESI119" s="3"/>
      <c r="ESJ119" s="3"/>
      <c r="ESK119" s="3"/>
      <c r="ESL119" s="3"/>
      <c r="ESM119" s="3"/>
      <c r="ESN119" s="3"/>
      <c r="ESO119" s="3"/>
      <c r="ESP119" s="3"/>
      <c r="ESQ119" s="3"/>
      <c r="ESR119" s="3"/>
      <c r="ESS119" s="3"/>
      <c r="EST119" s="3"/>
      <c r="ESU119" s="3"/>
      <c r="ESV119" s="3"/>
      <c r="ESW119" s="3"/>
      <c r="ESX119" s="3"/>
      <c r="ESY119" s="3"/>
      <c r="ESZ119" s="3"/>
      <c r="ETA119" s="3"/>
      <c r="ETB119" s="3"/>
      <c r="ETC119" s="3"/>
      <c r="ETD119" s="3"/>
      <c r="ETE119" s="3"/>
      <c r="ETF119" s="3"/>
      <c r="ETG119" s="3"/>
      <c r="ETH119" s="3"/>
      <c r="ETI119" s="3"/>
      <c r="ETJ119" s="3"/>
      <c r="ETK119" s="3"/>
      <c r="ETL119" s="3"/>
      <c r="ETM119" s="3"/>
      <c r="ETN119" s="3"/>
      <c r="ETO119" s="3"/>
      <c r="ETP119" s="3"/>
      <c r="ETQ119" s="3"/>
      <c r="ETR119" s="3"/>
      <c r="ETS119" s="3"/>
      <c r="ETT119" s="3"/>
      <c r="ETU119" s="3"/>
      <c r="ETV119" s="3"/>
      <c r="ETW119" s="3"/>
      <c r="ETX119" s="3"/>
      <c r="ETY119" s="3"/>
      <c r="ETZ119" s="3"/>
      <c r="EUA119" s="3"/>
      <c r="EUB119" s="3"/>
      <c r="EUC119" s="3"/>
      <c r="EUD119" s="3"/>
      <c r="EUE119" s="3"/>
      <c r="EUF119" s="3"/>
      <c r="EUG119" s="3"/>
      <c r="EUH119" s="3"/>
      <c r="EUI119" s="3"/>
      <c r="EUJ119" s="3"/>
      <c r="EUK119" s="3"/>
      <c r="EUL119" s="3"/>
      <c r="EUM119" s="3"/>
      <c r="EUN119" s="3"/>
      <c r="EUO119" s="3"/>
      <c r="EUP119" s="3"/>
      <c r="EUQ119" s="3"/>
      <c r="EUR119" s="3"/>
      <c r="EUS119" s="3"/>
      <c r="EUT119" s="3"/>
      <c r="EUU119" s="3"/>
      <c r="EUV119" s="3"/>
      <c r="EUW119" s="3"/>
      <c r="EUX119" s="3"/>
      <c r="EUY119" s="3"/>
      <c r="EUZ119" s="3"/>
      <c r="EVA119" s="3"/>
      <c r="EVB119" s="3"/>
      <c r="EVC119" s="3"/>
      <c r="EVD119" s="3"/>
      <c r="EVE119" s="3"/>
      <c r="EVF119" s="3"/>
      <c r="EVG119" s="3"/>
      <c r="EVH119" s="3"/>
      <c r="EVI119" s="3"/>
      <c r="EVJ119" s="3"/>
      <c r="EVK119" s="3"/>
      <c r="EVL119" s="3"/>
      <c r="EVM119" s="3"/>
      <c r="EVN119" s="3"/>
      <c r="EVO119" s="3"/>
      <c r="EVP119" s="3"/>
      <c r="EVQ119" s="3"/>
      <c r="EVR119" s="3"/>
      <c r="EVS119" s="3"/>
      <c r="EVT119" s="3"/>
      <c r="EVU119" s="3"/>
      <c r="EVV119" s="3"/>
      <c r="EVW119" s="3"/>
      <c r="EVX119" s="3"/>
      <c r="EVY119" s="3"/>
      <c r="EVZ119" s="3"/>
      <c r="EWA119" s="3"/>
      <c r="EWB119" s="3"/>
      <c r="EWC119" s="3"/>
      <c r="EWD119" s="3"/>
      <c r="EWE119" s="3"/>
      <c r="EWF119" s="3"/>
      <c r="EWG119" s="3"/>
      <c r="EWH119" s="3"/>
      <c r="EWI119" s="3"/>
      <c r="EWJ119" s="3"/>
      <c r="EWK119" s="3"/>
      <c r="EWL119" s="3"/>
      <c r="EWM119" s="3"/>
      <c r="EWN119" s="3"/>
      <c r="EWO119" s="3"/>
      <c r="EWP119" s="3"/>
      <c r="EWQ119" s="3"/>
      <c r="EWR119" s="3"/>
      <c r="EWS119" s="3"/>
      <c r="EWT119" s="3"/>
      <c r="EWU119" s="3"/>
      <c r="EWV119" s="3"/>
      <c r="EWW119" s="3"/>
      <c r="EWX119" s="3"/>
      <c r="EWY119" s="3"/>
      <c r="EWZ119" s="3"/>
      <c r="EXA119" s="3"/>
      <c r="EXB119" s="3"/>
      <c r="EXC119" s="3"/>
      <c r="EXD119" s="3"/>
      <c r="EXE119" s="3"/>
      <c r="EXF119" s="3"/>
      <c r="EXG119" s="3"/>
      <c r="EXH119" s="3"/>
      <c r="EXI119" s="3"/>
      <c r="EXJ119" s="3"/>
      <c r="EXK119" s="3"/>
      <c r="EXL119" s="3"/>
      <c r="EXM119" s="3"/>
      <c r="EXN119" s="3"/>
      <c r="EXO119" s="3"/>
      <c r="EXP119" s="3"/>
      <c r="EXQ119" s="3"/>
      <c r="EXR119" s="3"/>
      <c r="EXS119" s="3"/>
      <c r="EXT119" s="3"/>
      <c r="EXU119" s="3"/>
      <c r="EXV119" s="3"/>
      <c r="EXW119" s="3"/>
      <c r="EXX119" s="3"/>
      <c r="EXY119" s="3"/>
      <c r="EXZ119" s="3"/>
      <c r="EYA119" s="3"/>
      <c r="EYB119" s="3"/>
      <c r="EYC119" s="3"/>
      <c r="EYD119" s="3"/>
      <c r="EYE119" s="3"/>
      <c r="EYF119" s="3"/>
      <c r="EYG119" s="3"/>
      <c r="EYH119" s="3"/>
      <c r="EYI119" s="3"/>
      <c r="EYJ119" s="3"/>
      <c r="EYK119" s="3"/>
      <c r="EYL119" s="3"/>
      <c r="EYM119" s="3"/>
      <c r="EYN119" s="3"/>
      <c r="EYO119" s="3"/>
      <c r="EYP119" s="3"/>
      <c r="EYQ119" s="3"/>
      <c r="EYR119" s="3"/>
      <c r="EYS119" s="3"/>
      <c r="EYT119" s="3"/>
      <c r="EYU119" s="3"/>
      <c r="EYV119" s="3"/>
      <c r="EYW119" s="3"/>
      <c r="EYX119" s="3"/>
      <c r="EYY119" s="3"/>
      <c r="EYZ119" s="3"/>
      <c r="EZA119" s="3"/>
      <c r="EZB119" s="3"/>
      <c r="EZC119" s="3"/>
      <c r="EZD119" s="3"/>
      <c r="EZE119" s="3"/>
      <c r="EZF119" s="3"/>
      <c r="EZG119" s="3"/>
      <c r="EZH119" s="3"/>
      <c r="EZI119" s="3"/>
      <c r="EZJ119" s="3"/>
      <c r="EZK119" s="3"/>
      <c r="EZL119" s="3"/>
      <c r="EZM119" s="3"/>
      <c r="EZN119" s="3"/>
      <c r="EZO119" s="3"/>
      <c r="EZP119" s="3"/>
      <c r="EZQ119" s="3"/>
      <c r="EZR119" s="3"/>
      <c r="EZS119" s="3"/>
      <c r="EZT119" s="3"/>
      <c r="EZU119" s="3"/>
      <c r="EZV119" s="3"/>
      <c r="EZW119" s="3"/>
      <c r="EZX119" s="3"/>
      <c r="EZY119" s="3"/>
      <c r="EZZ119" s="3"/>
      <c r="FAA119" s="3"/>
      <c r="FAB119" s="3"/>
      <c r="FAC119" s="3"/>
      <c r="FAD119" s="3"/>
      <c r="FAE119" s="3"/>
      <c r="FAF119" s="3"/>
      <c r="FAG119" s="3"/>
      <c r="FAH119" s="3"/>
      <c r="FAI119" s="3"/>
      <c r="FAJ119" s="3"/>
      <c r="FAK119" s="3"/>
      <c r="FAL119" s="3"/>
      <c r="FAM119" s="3"/>
      <c r="FAN119" s="3"/>
      <c r="FAO119" s="3"/>
      <c r="FAP119" s="3"/>
      <c r="FAQ119" s="3"/>
      <c r="FAR119" s="3"/>
      <c r="FAS119" s="3"/>
      <c r="FAT119" s="3"/>
      <c r="FAU119" s="3"/>
      <c r="FAV119" s="3"/>
      <c r="FAW119" s="3"/>
      <c r="FAX119" s="3"/>
      <c r="FAY119" s="3"/>
      <c r="FAZ119" s="3"/>
      <c r="FBA119" s="3"/>
      <c r="FBB119" s="3"/>
      <c r="FBC119" s="3"/>
      <c r="FBD119" s="3"/>
      <c r="FBE119" s="3"/>
      <c r="FBF119" s="3"/>
      <c r="FBG119" s="3"/>
      <c r="FBH119" s="3"/>
      <c r="FBI119" s="3"/>
      <c r="FBJ119" s="3"/>
      <c r="FBK119" s="3"/>
      <c r="FBL119" s="3"/>
      <c r="FBM119" s="3"/>
      <c r="FBN119" s="3"/>
      <c r="FBO119" s="3"/>
      <c r="FBP119" s="3"/>
      <c r="FBQ119" s="3"/>
      <c r="FBR119" s="3"/>
      <c r="FBS119" s="3"/>
      <c r="FBT119" s="3"/>
      <c r="FBU119" s="3"/>
      <c r="FBV119" s="3"/>
      <c r="FBW119" s="3"/>
      <c r="FBX119" s="3"/>
      <c r="FBY119" s="3"/>
      <c r="FBZ119" s="3"/>
      <c r="FCA119" s="3"/>
      <c r="FCB119" s="3"/>
      <c r="FCC119" s="3"/>
      <c r="FCD119" s="3"/>
      <c r="FCE119" s="3"/>
      <c r="FCF119" s="3"/>
      <c r="FCG119" s="3"/>
      <c r="FCH119" s="3"/>
      <c r="FCI119" s="3"/>
      <c r="FCJ119" s="3"/>
      <c r="FCK119" s="3"/>
      <c r="FCL119" s="3"/>
      <c r="FCM119" s="3"/>
      <c r="FCN119" s="3"/>
      <c r="FCO119" s="3"/>
      <c r="FCP119" s="3"/>
      <c r="FCQ119" s="3"/>
      <c r="FCR119" s="3"/>
      <c r="FCS119" s="3"/>
      <c r="FCT119" s="3"/>
      <c r="FCU119" s="3"/>
      <c r="FCV119" s="3"/>
      <c r="FCW119" s="3"/>
      <c r="FCX119" s="3"/>
      <c r="FCY119" s="3"/>
      <c r="FCZ119" s="3"/>
      <c r="FDA119" s="3"/>
      <c r="FDB119" s="3"/>
      <c r="FDC119" s="3"/>
      <c r="FDD119" s="3"/>
      <c r="FDE119" s="3"/>
      <c r="FDF119" s="3"/>
      <c r="FDG119" s="3"/>
      <c r="FDH119" s="3"/>
      <c r="FDI119" s="3"/>
      <c r="FDJ119" s="3"/>
      <c r="FDK119" s="3"/>
      <c r="FDL119" s="3"/>
      <c r="FDM119" s="3"/>
      <c r="FDN119" s="3"/>
      <c r="FDO119" s="3"/>
      <c r="FDP119" s="3"/>
      <c r="FDQ119" s="3"/>
      <c r="FDR119" s="3"/>
      <c r="FDS119" s="3"/>
      <c r="FDT119" s="3"/>
      <c r="FDU119" s="3"/>
      <c r="FDV119" s="3"/>
      <c r="FDW119" s="3"/>
      <c r="FDX119" s="3"/>
      <c r="FDY119" s="3"/>
      <c r="FDZ119" s="3"/>
      <c r="FEA119" s="3"/>
      <c r="FEB119" s="3"/>
      <c r="FEC119" s="3"/>
      <c r="FED119" s="3"/>
      <c r="FEE119" s="3"/>
      <c r="FEF119" s="3"/>
      <c r="FEG119" s="3"/>
      <c r="FEH119" s="3"/>
      <c r="FEI119" s="3"/>
      <c r="FEJ119" s="3"/>
      <c r="FEK119" s="3"/>
      <c r="FEL119" s="3"/>
      <c r="FEM119" s="3"/>
      <c r="FEN119" s="3"/>
      <c r="FEO119" s="3"/>
      <c r="FEP119" s="3"/>
      <c r="FEQ119" s="3"/>
      <c r="FER119" s="3"/>
      <c r="FES119" s="3"/>
      <c r="FET119" s="3"/>
      <c r="FEU119" s="3"/>
      <c r="FEV119" s="3"/>
      <c r="FEW119" s="3"/>
      <c r="FEX119" s="3"/>
      <c r="FEY119" s="3"/>
      <c r="FEZ119" s="3"/>
      <c r="FFA119" s="3"/>
      <c r="FFB119" s="3"/>
      <c r="FFC119" s="3"/>
      <c r="FFD119" s="3"/>
      <c r="FFE119" s="3"/>
      <c r="FFF119" s="3"/>
      <c r="FFG119" s="3"/>
      <c r="FFH119" s="3"/>
      <c r="FFI119" s="3"/>
      <c r="FFJ119" s="3"/>
      <c r="FFK119" s="3"/>
      <c r="FFL119" s="3"/>
      <c r="FFM119" s="3"/>
      <c r="FFN119" s="3"/>
      <c r="FFO119" s="3"/>
      <c r="FFP119" s="3"/>
      <c r="FFQ119" s="3"/>
      <c r="FFR119" s="3"/>
      <c r="FFS119" s="3"/>
      <c r="FFT119" s="3"/>
      <c r="FFU119" s="3"/>
      <c r="FFV119" s="3"/>
      <c r="FFW119" s="3"/>
      <c r="FFX119" s="3"/>
      <c r="FFY119" s="3"/>
      <c r="FFZ119" s="3"/>
      <c r="FGA119" s="3"/>
      <c r="FGB119" s="3"/>
      <c r="FGC119" s="3"/>
      <c r="FGD119" s="3"/>
      <c r="FGE119" s="3"/>
      <c r="FGF119" s="3"/>
      <c r="FGG119" s="3"/>
      <c r="FGH119" s="3"/>
      <c r="FGI119" s="3"/>
      <c r="FGJ119" s="3"/>
      <c r="FGK119" s="3"/>
      <c r="FGL119" s="3"/>
      <c r="FGM119" s="3"/>
      <c r="FGN119" s="3"/>
      <c r="FGO119" s="3"/>
      <c r="FGP119" s="3"/>
      <c r="FGQ119" s="3"/>
      <c r="FGR119" s="3"/>
      <c r="FGS119" s="3"/>
      <c r="FGT119" s="3"/>
      <c r="FGU119" s="3"/>
      <c r="FGV119" s="3"/>
      <c r="FGW119" s="3"/>
      <c r="FGX119" s="3"/>
      <c r="FGY119" s="3"/>
      <c r="FGZ119" s="3"/>
      <c r="FHA119" s="3"/>
      <c r="FHB119" s="3"/>
      <c r="FHC119" s="3"/>
      <c r="FHD119" s="3"/>
      <c r="FHE119" s="3"/>
      <c r="FHF119" s="3"/>
      <c r="FHG119" s="3"/>
      <c r="FHH119" s="3"/>
      <c r="FHI119" s="3"/>
      <c r="FHJ119" s="3"/>
      <c r="FHK119" s="3"/>
      <c r="FHL119" s="3"/>
      <c r="FHM119" s="3"/>
      <c r="FHN119" s="3"/>
      <c r="FHO119" s="3"/>
      <c r="FHP119" s="3"/>
      <c r="FHQ119" s="3"/>
      <c r="FHR119" s="3"/>
      <c r="FHS119" s="3"/>
      <c r="FHT119" s="3"/>
      <c r="FHU119" s="3"/>
      <c r="FHV119" s="3"/>
      <c r="FHW119" s="3"/>
      <c r="FHX119" s="3"/>
      <c r="FHY119" s="3"/>
      <c r="FHZ119" s="3"/>
      <c r="FIA119" s="3"/>
      <c r="FIB119" s="3"/>
      <c r="FIC119" s="3"/>
      <c r="FID119" s="3"/>
      <c r="FIE119" s="3"/>
      <c r="FIF119" s="3"/>
      <c r="FIG119" s="3"/>
      <c r="FIH119" s="3"/>
      <c r="FII119" s="3"/>
      <c r="FIJ119" s="3"/>
      <c r="FIK119" s="3"/>
      <c r="FIL119" s="3"/>
      <c r="FIM119" s="3"/>
      <c r="FIN119" s="3"/>
      <c r="FIO119" s="3"/>
      <c r="FIP119" s="3"/>
      <c r="FIQ119" s="3"/>
      <c r="FIR119" s="3"/>
      <c r="FIS119" s="3"/>
      <c r="FIT119" s="3"/>
      <c r="FIU119" s="3"/>
      <c r="FIV119" s="3"/>
      <c r="FIW119" s="3"/>
      <c r="FIX119" s="3"/>
      <c r="FIY119" s="3"/>
      <c r="FIZ119" s="3"/>
      <c r="FJA119" s="3"/>
      <c r="FJB119" s="3"/>
      <c r="FJC119" s="3"/>
      <c r="FJD119" s="3"/>
      <c r="FJE119" s="3"/>
      <c r="FJF119" s="3"/>
      <c r="FJG119" s="3"/>
      <c r="FJH119" s="3"/>
      <c r="FJI119" s="3"/>
      <c r="FJJ119" s="3"/>
      <c r="FJK119" s="3"/>
      <c r="FJL119" s="3"/>
      <c r="FJM119" s="3"/>
      <c r="FJN119" s="3"/>
      <c r="FJO119" s="3"/>
      <c r="FJP119" s="3"/>
      <c r="FJQ119" s="3"/>
      <c r="FJR119" s="3"/>
      <c r="FJS119" s="3"/>
      <c r="FJT119" s="3"/>
      <c r="FJU119" s="3"/>
      <c r="FJV119" s="3"/>
      <c r="FJW119" s="3"/>
      <c r="FJX119" s="3"/>
      <c r="FJY119" s="3"/>
      <c r="FJZ119" s="3"/>
      <c r="FKA119" s="3"/>
      <c r="FKB119" s="3"/>
      <c r="FKC119" s="3"/>
      <c r="FKD119" s="3"/>
      <c r="FKE119" s="3"/>
      <c r="FKF119" s="3"/>
      <c r="FKG119" s="3"/>
      <c r="FKH119" s="3"/>
      <c r="FKI119" s="3"/>
      <c r="FKJ119" s="3"/>
      <c r="FKK119" s="3"/>
      <c r="FKL119" s="3"/>
      <c r="FKM119" s="3"/>
      <c r="FKN119" s="3"/>
      <c r="FKO119" s="3"/>
      <c r="FKP119" s="3"/>
      <c r="FKQ119" s="3"/>
      <c r="FKR119" s="3"/>
      <c r="FKS119" s="3"/>
      <c r="FKT119" s="3"/>
      <c r="FKU119" s="3"/>
      <c r="FKV119" s="3"/>
      <c r="FKW119" s="3"/>
      <c r="FKX119" s="3"/>
      <c r="FKY119" s="3"/>
      <c r="FKZ119" s="3"/>
      <c r="FLA119" s="3"/>
      <c r="FLB119" s="3"/>
      <c r="FLC119" s="3"/>
      <c r="FLD119" s="3"/>
      <c r="FLE119" s="3"/>
      <c r="FLF119" s="3"/>
      <c r="FLG119" s="3"/>
      <c r="FLH119" s="3"/>
      <c r="FLI119" s="3"/>
      <c r="FLJ119" s="3"/>
      <c r="FLK119" s="3"/>
      <c r="FLL119" s="3"/>
      <c r="FLM119" s="3"/>
      <c r="FLN119" s="3"/>
      <c r="FLO119" s="3"/>
      <c r="FLP119" s="3"/>
      <c r="FLQ119" s="3"/>
      <c r="FLR119" s="3"/>
      <c r="FLS119" s="3"/>
      <c r="FLT119" s="3"/>
      <c r="FLU119" s="3"/>
      <c r="FLV119" s="3"/>
      <c r="FLW119" s="3"/>
      <c r="FLX119" s="3"/>
      <c r="FLY119" s="3"/>
      <c r="FLZ119" s="3"/>
      <c r="FMA119" s="3"/>
      <c r="FMB119" s="3"/>
      <c r="FMC119" s="3"/>
      <c r="FMD119" s="3"/>
      <c r="FME119" s="3"/>
      <c r="FMF119" s="3"/>
      <c r="FMG119" s="3"/>
      <c r="FMH119" s="3"/>
      <c r="FMI119" s="3"/>
      <c r="FMJ119" s="3"/>
      <c r="FMK119" s="3"/>
      <c r="FML119" s="3"/>
      <c r="FMM119" s="3"/>
      <c r="FMN119" s="3"/>
      <c r="FMO119" s="3"/>
      <c r="FMP119" s="3"/>
      <c r="FMQ119" s="3"/>
      <c r="FMR119" s="3"/>
      <c r="FMS119" s="3"/>
      <c r="FMT119" s="3"/>
      <c r="FMU119" s="3"/>
      <c r="FMV119" s="3"/>
      <c r="FMW119" s="3"/>
      <c r="FMX119" s="3"/>
      <c r="FMY119" s="3"/>
      <c r="FMZ119" s="3"/>
      <c r="FNA119" s="3"/>
      <c r="FNB119" s="3"/>
      <c r="FNC119" s="3"/>
      <c r="FND119" s="3"/>
      <c r="FNE119" s="3"/>
      <c r="FNF119" s="3"/>
      <c r="FNG119" s="3"/>
      <c r="FNH119" s="3"/>
      <c r="FNI119" s="3"/>
      <c r="FNJ119" s="3"/>
      <c r="FNK119" s="3"/>
      <c r="FNL119" s="3"/>
      <c r="FNM119" s="3"/>
      <c r="FNN119" s="3"/>
      <c r="FNO119" s="3"/>
      <c r="FNP119" s="3"/>
      <c r="FNQ119" s="3"/>
      <c r="FNR119" s="3"/>
      <c r="FNS119" s="3"/>
      <c r="FNT119" s="3"/>
      <c r="FNU119" s="3"/>
      <c r="FNV119" s="3"/>
      <c r="FNW119" s="3"/>
      <c r="FNX119" s="3"/>
      <c r="FNY119" s="3"/>
      <c r="FNZ119" s="3"/>
      <c r="FOA119" s="3"/>
      <c r="FOB119" s="3"/>
      <c r="FOC119" s="3"/>
      <c r="FOD119" s="3"/>
      <c r="FOE119" s="3"/>
      <c r="FOF119" s="3"/>
      <c r="FOG119" s="3"/>
      <c r="FOH119" s="3"/>
      <c r="FOI119" s="3"/>
      <c r="FOJ119" s="3"/>
      <c r="FOK119" s="3"/>
      <c r="FOL119" s="3"/>
      <c r="FOM119" s="3"/>
      <c r="FON119" s="3"/>
      <c r="FOO119" s="3"/>
      <c r="FOP119" s="3"/>
      <c r="FOQ119" s="3"/>
      <c r="FOR119" s="3"/>
      <c r="FOS119" s="3"/>
      <c r="FOT119" s="3"/>
      <c r="FOU119" s="3"/>
      <c r="FOV119" s="3"/>
      <c r="FOW119" s="3"/>
      <c r="FOX119" s="3"/>
      <c r="FOY119" s="3"/>
      <c r="FOZ119" s="3"/>
      <c r="FPA119" s="3"/>
      <c r="FPB119" s="3"/>
      <c r="FPC119" s="3"/>
      <c r="FPD119" s="3"/>
      <c r="FPE119" s="3"/>
      <c r="FPF119" s="3"/>
      <c r="FPG119" s="3"/>
      <c r="FPH119" s="3"/>
      <c r="FPI119" s="3"/>
      <c r="FPJ119" s="3"/>
      <c r="FPK119" s="3"/>
      <c r="FPL119" s="3"/>
      <c r="FPM119" s="3"/>
      <c r="FPN119" s="3"/>
      <c r="FPO119" s="3"/>
      <c r="FPP119" s="3"/>
      <c r="FPQ119" s="3"/>
      <c r="FPR119" s="3"/>
      <c r="FPS119" s="3"/>
      <c r="FPT119" s="3"/>
      <c r="FPU119" s="3"/>
      <c r="FPV119" s="3"/>
      <c r="FPW119" s="3"/>
      <c r="FPX119" s="3"/>
      <c r="FPY119" s="3"/>
      <c r="FPZ119" s="3"/>
      <c r="FQA119" s="3"/>
      <c r="FQB119" s="3"/>
      <c r="FQC119" s="3"/>
      <c r="FQD119" s="3"/>
      <c r="FQE119" s="3"/>
      <c r="FQF119" s="3"/>
      <c r="FQG119" s="3"/>
      <c r="FQH119" s="3"/>
      <c r="FQI119" s="3"/>
      <c r="FQJ119" s="3"/>
      <c r="FQK119" s="3"/>
      <c r="FQL119" s="3"/>
      <c r="FQM119" s="3"/>
      <c r="FQN119" s="3"/>
      <c r="FQO119" s="3"/>
      <c r="FQP119" s="3"/>
      <c r="FQQ119" s="3"/>
      <c r="FQR119" s="3"/>
      <c r="FQS119" s="3"/>
      <c r="FQT119" s="3"/>
      <c r="FQU119" s="3"/>
      <c r="FQV119" s="3"/>
      <c r="FQW119" s="3"/>
      <c r="FQX119" s="3"/>
      <c r="FQY119" s="3"/>
      <c r="FQZ119" s="3"/>
      <c r="FRA119" s="3"/>
      <c r="FRB119" s="3"/>
      <c r="FRC119" s="3"/>
      <c r="FRD119" s="3"/>
      <c r="FRE119" s="3"/>
      <c r="FRF119" s="3"/>
      <c r="FRG119" s="3"/>
      <c r="FRH119" s="3"/>
      <c r="FRI119" s="3"/>
      <c r="FRJ119" s="3"/>
      <c r="FRK119" s="3"/>
      <c r="FRL119" s="3"/>
      <c r="FRM119" s="3"/>
      <c r="FRN119" s="3"/>
      <c r="FRO119" s="3"/>
      <c r="FRP119" s="3"/>
      <c r="FRQ119" s="3"/>
      <c r="FRR119" s="3"/>
      <c r="FRS119" s="3"/>
      <c r="FRT119" s="3"/>
      <c r="FRU119" s="3"/>
      <c r="FRV119" s="3"/>
      <c r="FRW119" s="3"/>
      <c r="FRX119" s="3"/>
      <c r="FRY119" s="3"/>
      <c r="FRZ119" s="3"/>
      <c r="FSA119" s="3"/>
      <c r="FSB119" s="3"/>
      <c r="FSC119" s="3"/>
      <c r="FSD119" s="3"/>
      <c r="FSE119" s="3"/>
      <c r="FSF119" s="3"/>
      <c r="FSG119" s="3"/>
      <c r="FSH119" s="3"/>
      <c r="FSI119" s="3"/>
      <c r="FSJ119" s="3"/>
      <c r="FSK119" s="3"/>
      <c r="FSL119" s="3"/>
      <c r="FSM119" s="3"/>
      <c r="FSN119" s="3"/>
      <c r="FSO119" s="3"/>
      <c r="FSP119" s="3"/>
      <c r="FSQ119" s="3"/>
      <c r="FSR119" s="3"/>
      <c r="FSS119" s="3"/>
      <c r="FST119" s="3"/>
      <c r="FSU119" s="3"/>
      <c r="FSV119" s="3"/>
      <c r="FSW119" s="3"/>
      <c r="FSX119" s="3"/>
      <c r="FSY119" s="3"/>
      <c r="FSZ119" s="3"/>
      <c r="FTA119" s="3"/>
      <c r="FTB119" s="3"/>
      <c r="FTC119" s="3"/>
      <c r="FTD119" s="3"/>
      <c r="FTE119" s="3"/>
      <c r="FTF119" s="3"/>
      <c r="FTG119" s="3"/>
      <c r="FTH119" s="3"/>
      <c r="FTI119" s="3"/>
      <c r="FTJ119" s="3"/>
      <c r="FTK119" s="3"/>
      <c r="FTL119" s="3"/>
      <c r="FTM119" s="3"/>
      <c r="FTN119" s="3"/>
      <c r="FTO119" s="3"/>
      <c r="FTP119" s="3"/>
      <c r="FTQ119" s="3"/>
      <c r="FTR119" s="3"/>
      <c r="FTS119" s="3"/>
      <c r="FTT119" s="3"/>
      <c r="FTU119" s="3"/>
      <c r="FTV119" s="3"/>
      <c r="FTW119" s="3"/>
      <c r="FTX119" s="3"/>
      <c r="FTY119" s="3"/>
      <c r="FTZ119" s="3"/>
      <c r="FUA119" s="3"/>
      <c r="FUB119" s="3"/>
      <c r="FUC119" s="3"/>
      <c r="FUD119" s="3"/>
      <c r="FUE119" s="3"/>
      <c r="FUF119" s="3"/>
      <c r="FUG119" s="3"/>
      <c r="FUH119" s="3"/>
      <c r="FUI119" s="3"/>
      <c r="FUJ119" s="3"/>
      <c r="FUK119" s="3"/>
      <c r="FUL119" s="3"/>
      <c r="FUM119" s="3"/>
      <c r="FUN119" s="3"/>
      <c r="FUO119" s="3"/>
      <c r="FUP119" s="3"/>
      <c r="FUQ119" s="3"/>
      <c r="FUR119" s="3"/>
      <c r="FUS119" s="3"/>
      <c r="FUT119" s="3"/>
      <c r="FUU119" s="3"/>
      <c r="FUV119" s="3"/>
      <c r="FUW119" s="3"/>
      <c r="FUX119" s="3"/>
      <c r="FUY119" s="3"/>
      <c r="FUZ119" s="3"/>
      <c r="FVA119" s="3"/>
      <c r="FVB119" s="3"/>
      <c r="FVC119" s="3"/>
      <c r="FVD119" s="3"/>
      <c r="FVE119" s="3"/>
      <c r="FVF119" s="3"/>
      <c r="FVG119" s="3"/>
      <c r="FVH119" s="3"/>
      <c r="FVI119" s="3"/>
      <c r="FVJ119" s="3"/>
      <c r="FVK119" s="3"/>
      <c r="FVL119" s="3"/>
      <c r="FVM119" s="3"/>
      <c r="FVN119" s="3"/>
      <c r="FVO119" s="3"/>
      <c r="FVP119" s="3"/>
      <c r="FVQ119" s="3"/>
      <c r="FVR119" s="3"/>
      <c r="FVS119" s="3"/>
      <c r="FVT119" s="3"/>
      <c r="FVU119" s="3"/>
      <c r="FVV119" s="3"/>
      <c r="FVW119" s="3"/>
      <c r="FVX119" s="3"/>
      <c r="FVY119" s="3"/>
      <c r="FVZ119" s="3"/>
      <c r="FWA119" s="3"/>
      <c r="FWB119" s="3"/>
      <c r="FWC119" s="3"/>
      <c r="FWD119" s="3"/>
      <c r="FWE119" s="3"/>
      <c r="FWF119" s="3"/>
      <c r="FWG119" s="3"/>
      <c r="FWH119" s="3"/>
      <c r="FWI119" s="3"/>
      <c r="FWJ119" s="3"/>
      <c r="FWK119" s="3"/>
      <c r="FWL119" s="3"/>
      <c r="FWM119" s="3"/>
      <c r="FWN119" s="3"/>
      <c r="FWO119" s="3"/>
      <c r="FWP119" s="3"/>
      <c r="FWQ119" s="3"/>
      <c r="FWR119" s="3"/>
      <c r="FWS119" s="3"/>
      <c r="FWT119" s="3"/>
      <c r="FWU119" s="3"/>
      <c r="FWV119" s="3"/>
      <c r="FWW119" s="3"/>
      <c r="FWX119" s="3"/>
      <c r="FWY119" s="3"/>
      <c r="FWZ119" s="3"/>
      <c r="FXA119" s="3"/>
      <c r="FXB119" s="3"/>
      <c r="FXC119" s="3"/>
      <c r="FXD119" s="3"/>
      <c r="FXE119" s="3"/>
      <c r="FXF119" s="3"/>
      <c r="FXG119" s="3"/>
      <c r="FXH119" s="3"/>
      <c r="FXI119" s="3"/>
      <c r="FXJ119" s="3"/>
      <c r="FXK119" s="3"/>
      <c r="FXL119" s="3"/>
      <c r="FXM119" s="3"/>
      <c r="FXN119" s="3"/>
      <c r="FXO119" s="3"/>
      <c r="FXP119" s="3"/>
      <c r="FXQ119" s="3"/>
      <c r="FXR119" s="3"/>
      <c r="FXS119" s="3"/>
      <c r="FXT119" s="3"/>
      <c r="FXU119" s="3"/>
      <c r="FXV119" s="3"/>
      <c r="FXW119" s="3"/>
      <c r="FXX119" s="3"/>
      <c r="FXY119" s="3"/>
      <c r="FXZ119" s="3"/>
      <c r="FYA119" s="3"/>
      <c r="FYB119" s="3"/>
      <c r="FYC119" s="3"/>
      <c r="FYD119" s="3"/>
      <c r="FYE119" s="3"/>
      <c r="FYF119" s="3"/>
      <c r="FYG119" s="3"/>
      <c r="FYH119" s="3"/>
      <c r="FYI119" s="3"/>
      <c r="FYJ119" s="3"/>
      <c r="FYK119" s="3"/>
      <c r="FYL119" s="3"/>
      <c r="FYM119" s="3"/>
      <c r="FYN119" s="3"/>
      <c r="FYO119" s="3"/>
      <c r="FYP119" s="3"/>
      <c r="FYQ119" s="3"/>
      <c r="FYR119" s="3"/>
      <c r="FYS119" s="3"/>
      <c r="FYT119" s="3"/>
      <c r="FYU119" s="3"/>
      <c r="FYV119" s="3"/>
      <c r="FYW119" s="3"/>
      <c r="FYX119" s="3"/>
      <c r="FYY119" s="3"/>
      <c r="FYZ119" s="3"/>
      <c r="FZA119" s="3"/>
      <c r="FZB119" s="3"/>
      <c r="FZC119" s="3"/>
      <c r="FZD119" s="3"/>
      <c r="FZE119" s="3"/>
      <c r="FZF119" s="3"/>
      <c r="FZG119" s="3"/>
      <c r="FZH119" s="3"/>
      <c r="FZI119" s="3"/>
      <c r="FZJ119" s="3"/>
      <c r="FZK119" s="3"/>
      <c r="FZL119" s="3"/>
      <c r="FZM119" s="3"/>
      <c r="FZN119" s="3"/>
      <c r="FZO119" s="3"/>
      <c r="FZP119" s="3"/>
      <c r="FZQ119" s="3"/>
      <c r="FZR119" s="3"/>
      <c r="FZS119" s="3"/>
      <c r="FZT119" s="3"/>
      <c r="FZU119" s="3"/>
      <c r="FZV119" s="3"/>
      <c r="FZW119" s="3"/>
      <c r="FZX119" s="3"/>
      <c r="FZY119" s="3"/>
      <c r="FZZ119" s="3"/>
      <c r="GAA119" s="3"/>
      <c r="GAB119" s="3"/>
      <c r="GAC119" s="3"/>
      <c r="GAD119" s="3"/>
      <c r="GAE119" s="3"/>
      <c r="GAF119" s="3"/>
      <c r="GAG119" s="3"/>
      <c r="GAH119" s="3"/>
      <c r="GAI119" s="3"/>
      <c r="GAJ119" s="3"/>
      <c r="GAK119" s="3"/>
      <c r="GAL119" s="3"/>
      <c r="GAM119" s="3"/>
      <c r="GAN119" s="3"/>
      <c r="GAO119" s="3"/>
      <c r="GAP119" s="3"/>
      <c r="GAQ119" s="3"/>
      <c r="GAR119" s="3"/>
      <c r="GAS119" s="3"/>
      <c r="GAT119" s="3"/>
      <c r="GAU119" s="3"/>
      <c r="GAV119" s="3"/>
      <c r="GAW119" s="3"/>
      <c r="GAX119" s="3"/>
      <c r="GAY119" s="3"/>
      <c r="GAZ119" s="3"/>
      <c r="GBA119" s="3"/>
      <c r="GBB119" s="3"/>
      <c r="GBC119" s="3"/>
      <c r="GBD119" s="3"/>
      <c r="GBE119" s="3"/>
      <c r="GBF119" s="3"/>
      <c r="GBG119" s="3"/>
      <c r="GBH119" s="3"/>
      <c r="GBI119" s="3"/>
      <c r="GBJ119" s="3"/>
      <c r="GBK119" s="3"/>
      <c r="GBL119" s="3"/>
      <c r="GBM119" s="3"/>
      <c r="GBN119" s="3"/>
      <c r="GBO119" s="3"/>
      <c r="GBP119" s="3"/>
      <c r="GBQ119" s="3"/>
      <c r="GBR119" s="3"/>
      <c r="GBS119" s="3"/>
      <c r="GBT119" s="3"/>
      <c r="GBU119" s="3"/>
      <c r="GBV119" s="3"/>
      <c r="GBW119" s="3"/>
      <c r="GBX119" s="3"/>
      <c r="GBY119" s="3"/>
      <c r="GBZ119" s="3"/>
      <c r="GCA119" s="3"/>
      <c r="GCB119" s="3"/>
      <c r="GCC119" s="3"/>
      <c r="GCD119" s="3"/>
      <c r="GCE119" s="3"/>
      <c r="GCF119" s="3"/>
      <c r="GCG119" s="3"/>
      <c r="GCH119" s="3"/>
      <c r="GCI119" s="3"/>
      <c r="GCJ119" s="3"/>
      <c r="GCK119" s="3"/>
      <c r="GCL119" s="3"/>
      <c r="GCM119" s="3"/>
      <c r="GCN119" s="3"/>
      <c r="GCO119" s="3"/>
      <c r="GCP119" s="3"/>
      <c r="GCQ119" s="3"/>
      <c r="GCR119" s="3"/>
      <c r="GCS119" s="3"/>
      <c r="GCT119" s="3"/>
      <c r="GCU119" s="3"/>
      <c r="GCV119" s="3"/>
      <c r="GCW119" s="3"/>
      <c r="GCX119" s="3"/>
      <c r="GCY119" s="3"/>
      <c r="GCZ119" s="3"/>
      <c r="GDA119" s="3"/>
      <c r="GDB119" s="3"/>
      <c r="GDC119" s="3"/>
      <c r="GDD119" s="3"/>
      <c r="GDE119" s="3"/>
      <c r="GDF119" s="3"/>
      <c r="GDG119" s="3"/>
      <c r="GDH119" s="3"/>
      <c r="GDI119" s="3"/>
      <c r="GDJ119" s="3"/>
      <c r="GDK119" s="3"/>
      <c r="GDL119" s="3"/>
      <c r="GDM119" s="3"/>
      <c r="GDN119" s="3"/>
      <c r="GDO119" s="3"/>
      <c r="GDP119" s="3"/>
      <c r="GDQ119" s="3"/>
      <c r="GDR119" s="3"/>
      <c r="GDS119" s="3"/>
      <c r="GDT119" s="3"/>
      <c r="GDU119" s="3"/>
      <c r="GDV119" s="3"/>
      <c r="GDW119" s="3"/>
      <c r="GDX119" s="3"/>
      <c r="GDY119" s="3"/>
      <c r="GDZ119" s="3"/>
      <c r="GEA119" s="3"/>
      <c r="GEB119" s="3"/>
      <c r="GEC119" s="3"/>
      <c r="GED119" s="3"/>
      <c r="GEE119" s="3"/>
      <c r="GEF119" s="3"/>
      <c r="GEG119" s="3"/>
      <c r="GEH119" s="3"/>
      <c r="GEI119" s="3"/>
      <c r="GEJ119" s="3"/>
      <c r="GEK119" s="3"/>
      <c r="GEL119" s="3"/>
      <c r="GEM119" s="3"/>
      <c r="GEN119" s="3"/>
      <c r="GEO119" s="3"/>
      <c r="GEP119" s="3"/>
      <c r="GEQ119" s="3"/>
      <c r="GER119" s="3"/>
      <c r="GES119" s="3"/>
      <c r="GET119" s="3"/>
      <c r="GEU119" s="3"/>
      <c r="GEV119" s="3"/>
      <c r="GEW119" s="3"/>
      <c r="GEX119" s="3"/>
      <c r="GEY119" s="3"/>
      <c r="GEZ119" s="3"/>
      <c r="GFA119" s="3"/>
      <c r="GFB119" s="3"/>
      <c r="GFC119" s="3"/>
      <c r="GFD119" s="3"/>
      <c r="GFE119" s="3"/>
      <c r="GFF119" s="3"/>
      <c r="GFG119" s="3"/>
      <c r="GFH119" s="3"/>
      <c r="GFI119" s="3"/>
      <c r="GFJ119" s="3"/>
      <c r="GFK119" s="3"/>
      <c r="GFL119" s="3"/>
      <c r="GFM119" s="3"/>
      <c r="GFN119" s="3"/>
      <c r="GFO119" s="3"/>
      <c r="GFP119" s="3"/>
      <c r="GFQ119" s="3"/>
      <c r="GFR119" s="3"/>
      <c r="GFS119" s="3"/>
      <c r="GFT119" s="3"/>
      <c r="GFU119" s="3"/>
      <c r="GFV119" s="3"/>
      <c r="GFW119" s="3"/>
      <c r="GFX119" s="3"/>
      <c r="GFY119" s="3"/>
      <c r="GFZ119" s="3"/>
      <c r="GGA119" s="3"/>
      <c r="GGB119" s="3"/>
      <c r="GGC119" s="3"/>
      <c r="GGD119" s="3"/>
      <c r="GGE119" s="3"/>
      <c r="GGF119" s="3"/>
      <c r="GGG119" s="3"/>
      <c r="GGH119" s="3"/>
      <c r="GGI119" s="3"/>
      <c r="GGJ119" s="3"/>
      <c r="GGK119" s="3"/>
      <c r="GGL119" s="3"/>
      <c r="GGM119" s="3"/>
      <c r="GGN119" s="3"/>
      <c r="GGO119" s="3"/>
      <c r="GGP119" s="3"/>
      <c r="GGQ119" s="3"/>
      <c r="GGR119" s="3"/>
      <c r="GGS119" s="3"/>
      <c r="GGT119" s="3"/>
      <c r="GGU119" s="3"/>
      <c r="GGV119" s="3"/>
      <c r="GGW119" s="3"/>
      <c r="GGX119" s="3"/>
      <c r="GGY119" s="3"/>
      <c r="GGZ119" s="3"/>
      <c r="GHA119" s="3"/>
      <c r="GHB119" s="3"/>
      <c r="GHC119" s="3"/>
      <c r="GHD119" s="3"/>
      <c r="GHE119" s="3"/>
      <c r="GHF119" s="3"/>
      <c r="GHG119" s="3"/>
      <c r="GHH119" s="3"/>
      <c r="GHI119" s="3"/>
      <c r="GHJ119" s="3"/>
      <c r="GHK119" s="3"/>
      <c r="GHL119" s="3"/>
      <c r="GHM119" s="3"/>
      <c r="GHN119" s="3"/>
      <c r="GHO119" s="3"/>
      <c r="GHP119" s="3"/>
      <c r="GHQ119" s="3"/>
      <c r="GHR119" s="3"/>
      <c r="GHS119" s="3"/>
      <c r="GHT119" s="3"/>
      <c r="GHU119" s="3"/>
      <c r="GHV119" s="3"/>
      <c r="GHW119" s="3"/>
      <c r="GHX119" s="3"/>
      <c r="GHY119" s="3"/>
      <c r="GHZ119" s="3"/>
      <c r="GIA119" s="3"/>
      <c r="GIB119" s="3"/>
      <c r="GIC119" s="3"/>
      <c r="GID119" s="3"/>
      <c r="GIE119" s="3"/>
      <c r="GIF119" s="3"/>
      <c r="GIG119" s="3"/>
      <c r="GIH119" s="3"/>
      <c r="GII119" s="3"/>
      <c r="GIJ119" s="3"/>
      <c r="GIK119" s="3"/>
      <c r="GIL119" s="3"/>
      <c r="GIM119" s="3"/>
      <c r="GIN119" s="3"/>
      <c r="GIO119" s="3"/>
      <c r="GIP119" s="3"/>
      <c r="GIQ119" s="3"/>
      <c r="GIR119" s="3"/>
      <c r="GIS119" s="3"/>
      <c r="GIT119" s="3"/>
      <c r="GIU119" s="3"/>
      <c r="GIV119" s="3"/>
      <c r="GIW119" s="3"/>
      <c r="GIX119" s="3"/>
      <c r="GIY119" s="3"/>
      <c r="GIZ119" s="3"/>
      <c r="GJA119" s="3"/>
      <c r="GJB119" s="3"/>
      <c r="GJC119" s="3"/>
      <c r="GJD119" s="3"/>
      <c r="GJE119" s="3"/>
      <c r="GJF119" s="3"/>
      <c r="GJG119" s="3"/>
      <c r="GJH119" s="3"/>
      <c r="GJI119" s="3"/>
      <c r="GJJ119" s="3"/>
      <c r="GJK119" s="3"/>
      <c r="GJL119" s="3"/>
      <c r="GJM119" s="3"/>
      <c r="GJN119" s="3"/>
      <c r="GJO119" s="3"/>
      <c r="GJP119" s="3"/>
      <c r="GJQ119" s="3"/>
      <c r="GJR119" s="3"/>
      <c r="GJS119" s="3"/>
      <c r="GJT119" s="3"/>
      <c r="GJU119" s="3"/>
      <c r="GJV119" s="3"/>
      <c r="GJW119" s="3"/>
      <c r="GJX119" s="3"/>
      <c r="GJY119" s="3"/>
      <c r="GJZ119" s="3"/>
      <c r="GKA119" s="3"/>
      <c r="GKB119" s="3"/>
      <c r="GKC119" s="3"/>
      <c r="GKD119" s="3"/>
      <c r="GKE119" s="3"/>
      <c r="GKF119" s="3"/>
      <c r="GKG119" s="3"/>
      <c r="GKH119" s="3"/>
      <c r="GKI119" s="3"/>
      <c r="GKJ119" s="3"/>
      <c r="GKK119" s="3"/>
      <c r="GKL119" s="3"/>
      <c r="GKM119" s="3"/>
      <c r="GKN119" s="3"/>
      <c r="GKO119" s="3"/>
      <c r="GKP119" s="3"/>
      <c r="GKQ119" s="3"/>
      <c r="GKR119" s="3"/>
      <c r="GKS119" s="3"/>
      <c r="GKT119" s="3"/>
      <c r="GKU119" s="3"/>
      <c r="GKV119" s="3"/>
      <c r="GKW119" s="3"/>
      <c r="GKX119" s="3"/>
      <c r="GKY119" s="3"/>
      <c r="GKZ119" s="3"/>
      <c r="GLA119" s="3"/>
      <c r="GLB119" s="3"/>
      <c r="GLC119" s="3"/>
      <c r="GLD119" s="3"/>
      <c r="GLE119" s="3"/>
      <c r="GLF119" s="3"/>
      <c r="GLG119" s="3"/>
      <c r="GLH119" s="3"/>
      <c r="GLI119" s="3"/>
      <c r="GLJ119" s="3"/>
      <c r="GLK119" s="3"/>
      <c r="GLL119" s="3"/>
      <c r="GLM119" s="3"/>
      <c r="GLN119" s="3"/>
      <c r="GLO119" s="3"/>
      <c r="GLP119" s="3"/>
      <c r="GLQ119" s="3"/>
      <c r="GLR119" s="3"/>
      <c r="GLS119" s="3"/>
      <c r="GLT119" s="3"/>
      <c r="GLU119" s="3"/>
      <c r="GLV119" s="3"/>
      <c r="GLW119" s="3"/>
      <c r="GLX119" s="3"/>
      <c r="GLY119" s="3"/>
      <c r="GLZ119" s="3"/>
      <c r="GMA119" s="3"/>
      <c r="GMB119" s="3"/>
      <c r="GMC119" s="3"/>
      <c r="GMD119" s="3"/>
      <c r="GME119" s="3"/>
      <c r="GMF119" s="3"/>
      <c r="GMG119" s="3"/>
      <c r="GMH119" s="3"/>
      <c r="GMI119" s="3"/>
      <c r="GMJ119" s="3"/>
      <c r="GMK119" s="3"/>
      <c r="GML119" s="3"/>
      <c r="GMM119" s="3"/>
      <c r="GMN119" s="3"/>
      <c r="GMO119" s="3"/>
      <c r="GMP119" s="3"/>
      <c r="GMQ119" s="3"/>
      <c r="GMR119" s="3"/>
      <c r="GMS119" s="3"/>
      <c r="GMT119" s="3"/>
      <c r="GMU119" s="3"/>
      <c r="GMV119" s="3"/>
      <c r="GMW119" s="3"/>
      <c r="GMX119" s="3"/>
      <c r="GMY119" s="3"/>
      <c r="GMZ119" s="3"/>
      <c r="GNA119" s="3"/>
      <c r="GNB119" s="3"/>
      <c r="GNC119" s="3"/>
      <c r="GND119" s="3"/>
      <c r="GNE119" s="3"/>
      <c r="GNF119" s="3"/>
      <c r="GNG119" s="3"/>
      <c r="GNH119" s="3"/>
      <c r="GNI119" s="3"/>
      <c r="GNJ119" s="3"/>
      <c r="GNK119" s="3"/>
      <c r="GNL119" s="3"/>
      <c r="GNM119" s="3"/>
      <c r="GNN119" s="3"/>
      <c r="GNO119" s="3"/>
      <c r="GNP119" s="3"/>
      <c r="GNQ119" s="3"/>
      <c r="GNR119" s="3"/>
      <c r="GNS119" s="3"/>
      <c r="GNT119" s="3"/>
      <c r="GNU119" s="3"/>
      <c r="GNV119" s="3"/>
      <c r="GNW119" s="3"/>
      <c r="GNX119" s="3"/>
      <c r="GNY119" s="3"/>
      <c r="GNZ119" s="3"/>
      <c r="GOA119" s="3"/>
      <c r="GOB119" s="3"/>
      <c r="GOC119" s="3"/>
      <c r="GOD119" s="3"/>
      <c r="GOE119" s="3"/>
      <c r="GOF119" s="3"/>
      <c r="GOG119" s="3"/>
      <c r="GOH119" s="3"/>
      <c r="GOI119" s="3"/>
      <c r="GOJ119" s="3"/>
      <c r="GOK119" s="3"/>
      <c r="GOL119" s="3"/>
      <c r="GOM119" s="3"/>
      <c r="GON119" s="3"/>
      <c r="GOO119" s="3"/>
      <c r="GOP119" s="3"/>
      <c r="GOQ119" s="3"/>
      <c r="GOR119" s="3"/>
      <c r="GOS119" s="3"/>
      <c r="GOT119" s="3"/>
      <c r="GOU119" s="3"/>
      <c r="GOV119" s="3"/>
      <c r="GOW119" s="3"/>
      <c r="GOX119" s="3"/>
      <c r="GOY119" s="3"/>
      <c r="GOZ119" s="3"/>
      <c r="GPA119" s="3"/>
      <c r="GPB119" s="3"/>
      <c r="GPC119" s="3"/>
      <c r="GPD119" s="3"/>
      <c r="GPE119" s="3"/>
      <c r="GPF119" s="3"/>
      <c r="GPG119" s="3"/>
      <c r="GPH119" s="3"/>
      <c r="GPI119" s="3"/>
      <c r="GPJ119" s="3"/>
      <c r="GPK119" s="3"/>
      <c r="GPL119" s="3"/>
      <c r="GPM119" s="3"/>
      <c r="GPN119" s="3"/>
      <c r="GPO119" s="3"/>
      <c r="GPP119" s="3"/>
      <c r="GPQ119" s="3"/>
      <c r="GPR119" s="3"/>
      <c r="GPS119" s="3"/>
      <c r="GPT119" s="3"/>
      <c r="GPU119" s="3"/>
      <c r="GPV119" s="3"/>
      <c r="GPW119" s="3"/>
      <c r="GPX119" s="3"/>
      <c r="GPY119" s="3"/>
      <c r="GPZ119" s="3"/>
      <c r="GQA119" s="3"/>
      <c r="GQB119" s="3"/>
      <c r="GQC119" s="3"/>
      <c r="GQD119" s="3"/>
      <c r="GQE119" s="3"/>
      <c r="GQF119" s="3"/>
      <c r="GQG119" s="3"/>
      <c r="GQH119" s="3"/>
      <c r="GQI119" s="3"/>
      <c r="GQJ119" s="3"/>
      <c r="GQK119" s="3"/>
      <c r="GQL119" s="3"/>
      <c r="GQM119" s="3"/>
      <c r="GQN119" s="3"/>
      <c r="GQO119" s="3"/>
      <c r="GQP119" s="3"/>
      <c r="GQQ119" s="3"/>
      <c r="GQR119" s="3"/>
      <c r="GQS119" s="3"/>
      <c r="GQT119" s="3"/>
      <c r="GQU119" s="3"/>
      <c r="GQV119" s="3"/>
      <c r="GQW119" s="3"/>
      <c r="GQX119" s="3"/>
      <c r="GQY119" s="3"/>
      <c r="GQZ119" s="3"/>
      <c r="GRA119" s="3"/>
      <c r="GRB119" s="3"/>
      <c r="GRC119" s="3"/>
      <c r="GRD119" s="3"/>
      <c r="GRE119" s="3"/>
      <c r="GRF119" s="3"/>
      <c r="GRG119" s="3"/>
      <c r="GRH119" s="3"/>
      <c r="GRI119" s="3"/>
      <c r="GRJ119" s="3"/>
      <c r="GRK119" s="3"/>
      <c r="GRL119" s="3"/>
      <c r="GRM119" s="3"/>
      <c r="GRN119" s="3"/>
      <c r="GRO119" s="3"/>
      <c r="GRP119" s="3"/>
      <c r="GRQ119" s="3"/>
      <c r="GRR119" s="3"/>
      <c r="GRS119" s="3"/>
      <c r="GRT119" s="3"/>
      <c r="GRU119" s="3"/>
      <c r="GRV119" s="3"/>
      <c r="GRW119" s="3"/>
      <c r="GRX119" s="3"/>
      <c r="GRY119" s="3"/>
      <c r="GRZ119" s="3"/>
      <c r="GSA119" s="3"/>
      <c r="GSB119" s="3"/>
      <c r="GSC119" s="3"/>
      <c r="GSD119" s="3"/>
      <c r="GSE119" s="3"/>
      <c r="GSF119" s="3"/>
      <c r="GSG119" s="3"/>
      <c r="GSH119" s="3"/>
      <c r="GSI119" s="3"/>
      <c r="GSJ119" s="3"/>
      <c r="GSK119" s="3"/>
      <c r="GSL119" s="3"/>
      <c r="GSM119" s="3"/>
      <c r="GSN119" s="3"/>
      <c r="GSO119" s="3"/>
      <c r="GSP119" s="3"/>
      <c r="GSQ119" s="3"/>
      <c r="GSR119" s="3"/>
      <c r="GSS119" s="3"/>
      <c r="GST119" s="3"/>
      <c r="GSU119" s="3"/>
      <c r="GSV119" s="3"/>
      <c r="GSW119" s="3"/>
      <c r="GSX119" s="3"/>
      <c r="GSY119" s="3"/>
      <c r="GSZ119" s="3"/>
      <c r="GTA119" s="3"/>
      <c r="GTB119" s="3"/>
      <c r="GTC119" s="3"/>
      <c r="GTD119" s="3"/>
      <c r="GTE119" s="3"/>
      <c r="GTF119" s="3"/>
      <c r="GTG119" s="3"/>
      <c r="GTH119" s="3"/>
      <c r="GTI119" s="3"/>
      <c r="GTJ119" s="3"/>
      <c r="GTK119" s="3"/>
      <c r="GTL119" s="3"/>
      <c r="GTM119" s="3"/>
      <c r="GTN119" s="3"/>
      <c r="GTO119" s="3"/>
      <c r="GTP119" s="3"/>
      <c r="GTQ119" s="3"/>
      <c r="GTR119" s="3"/>
      <c r="GTS119" s="3"/>
      <c r="GTT119" s="3"/>
      <c r="GTU119" s="3"/>
      <c r="GTV119" s="3"/>
      <c r="GTW119" s="3"/>
      <c r="GTX119" s="3"/>
      <c r="GTY119" s="3"/>
      <c r="GTZ119" s="3"/>
      <c r="GUA119" s="3"/>
      <c r="GUB119" s="3"/>
      <c r="GUC119" s="3"/>
      <c r="GUD119" s="3"/>
      <c r="GUE119" s="3"/>
      <c r="GUF119" s="3"/>
      <c r="GUG119" s="3"/>
      <c r="GUH119" s="3"/>
      <c r="GUI119" s="3"/>
      <c r="GUJ119" s="3"/>
      <c r="GUK119" s="3"/>
      <c r="GUL119" s="3"/>
      <c r="GUM119" s="3"/>
      <c r="GUN119" s="3"/>
      <c r="GUO119" s="3"/>
      <c r="GUP119" s="3"/>
      <c r="GUQ119" s="3"/>
      <c r="GUR119" s="3"/>
      <c r="GUS119" s="3"/>
      <c r="GUT119" s="3"/>
      <c r="GUU119" s="3"/>
      <c r="GUV119" s="3"/>
      <c r="GUW119" s="3"/>
      <c r="GUX119" s="3"/>
      <c r="GUY119" s="3"/>
      <c r="GUZ119" s="3"/>
      <c r="GVA119" s="3"/>
      <c r="GVB119" s="3"/>
      <c r="GVC119" s="3"/>
      <c r="GVD119" s="3"/>
      <c r="GVE119" s="3"/>
      <c r="GVF119" s="3"/>
      <c r="GVG119" s="3"/>
      <c r="GVH119" s="3"/>
      <c r="GVI119" s="3"/>
      <c r="GVJ119" s="3"/>
      <c r="GVK119" s="3"/>
      <c r="GVL119" s="3"/>
      <c r="GVM119" s="3"/>
      <c r="GVN119" s="3"/>
      <c r="GVO119" s="3"/>
      <c r="GVP119" s="3"/>
      <c r="GVQ119" s="3"/>
      <c r="GVR119" s="3"/>
      <c r="GVS119" s="3"/>
      <c r="GVT119" s="3"/>
      <c r="GVU119" s="3"/>
      <c r="GVV119" s="3"/>
      <c r="GVW119" s="3"/>
      <c r="GVX119" s="3"/>
      <c r="GVY119" s="3"/>
      <c r="GVZ119" s="3"/>
      <c r="GWA119" s="3"/>
      <c r="GWB119" s="3"/>
      <c r="GWC119" s="3"/>
      <c r="GWD119" s="3"/>
      <c r="GWE119" s="3"/>
      <c r="GWF119" s="3"/>
      <c r="GWG119" s="3"/>
      <c r="GWH119" s="3"/>
      <c r="GWI119" s="3"/>
      <c r="GWJ119" s="3"/>
      <c r="GWK119" s="3"/>
      <c r="GWL119" s="3"/>
      <c r="GWM119" s="3"/>
      <c r="GWN119" s="3"/>
      <c r="GWO119" s="3"/>
      <c r="GWP119" s="3"/>
      <c r="GWQ119" s="3"/>
      <c r="GWR119" s="3"/>
      <c r="GWS119" s="3"/>
      <c r="GWT119" s="3"/>
      <c r="GWU119" s="3"/>
      <c r="GWV119" s="3"/>
      <c r="GWW119" s="3"/>
      <c r="GWX119" s="3"/>
      <c r="GWY119" s="3"/>
      <c r="GWZ119" s="3"/>
      <c r="GXA119" s="3"/>
      <c r="GXB119" s="3"/>
      <c r="GXC119" s="3"/>
      <c r="GXD119" s="3"/>
      <c r="GXE119" s="3"/>
      <c r="GXF119" s="3"/>
      <c r="GXG119" s="3"/>
      <c r="GXH119" s="3"/>
      <c r="GXI119" s="3"/>
      <c r="GXJ119" s="3"/>
      <c r="GXK119" s="3"/>
      <c r="GXL119" s="3"/>
      <c r="GXM119" s="3"/>
      <c r="GXN119" s="3"/>
      <c r="GXO119" s="3"/>
      <c r="GXP119" s="3"/>
      <c r="GXQ119" s="3"/>
      <c r="GXR119" s="3"/>
      <c r="GXS119" s="3"/>
      <c r="GXT119" s="3"/>
      <c r="GXU119" s="3"/>
      <c r="GXV119" s="3"/>
      <c r="GXW119" s="3"/>
      <c r="GXX119" s="3"/>
      <c r="GXY119" s="3"/>
      <c r="GXZ119" s="3"/>
      <c r="GYA119" s="3"/>
      <c r="GYB119" s="3"/>
      <c r="GYC119" s="3"/>
      <c r="GYD119" s="3"/>
      <c r="GYE119" s="3"/>
      <c r="GYF119" s="3"/>
      <c r="GYG119" s="3"/>
      <c r="GYH119" s="3"/>
      <c r="GYI119" s="3"/>
      <c r="GYJ119" s="3"/>
      <c r="GYK119" s="3"/>
      <c r="GYL119" s="3"/>
      <c r="GYM119" s="3"/>
      <c r="GYN119" s="3"/>
      <c r="GYO119" s="3"/>
      <c r="GYP119" s="3"/>
      <c r="GYQ119" s="3"/>
      <c r="GYR119" s="3"/>
      <c r="GYS119" s="3"/>
      <c r="GYT119" s="3"/>
      <c r="GYU119" s="3"/>
      <c r="GYV119" s="3"/>
      <c r="GYW119" s="3"/>
      <c r="GYX119" s="3"/>
      <c r="GYY119" s="3"/>
      <c r="GYZ119" s="3"/>
      <c r="GZA119" s="3"/>
      <c r="GZB119" s="3"/>
      <c r="GZC119" s="3"/>
      <c r="GZD119" s="3"/>
      <c r="GZE119" s="3"/>
      <c r="GZF119" s="3"/>
      <c r="GZG119" s="3"/>
      <c r="GZH119" s="3"/>
      <c r="GZI119" s="3"/>
      <c r="GZJ119" s="3"/>
      <c r="GZK119" s="3"/>
      <c r="GZL119" s="3"/>
      <c r="GZM119" s="3"/>
      <c r="GZN119" s="3"/>
      <c r="GZO119" s="3"/>
      <c r="GZP119" s="3"/>
      <c r="GZQ119" s="3"/>
      <c r="GZR119" s="3"/>
      <c r="GZS119" s="3"/>
      <c r="GZT119" s="3"/>
      <c r="GZU119" s="3"/>
      <c r="GZV119" s="3"/>
      <c r="GZW119" s="3"/>
      <c r="GZX119" s="3"/>
      <c r="GZY119" s="3"/>
      <c r="GZZ119" s="3"/>
      <c r="HAA119" s="3"/>
      <c r="HAB119" s="3"/>
      <c r="HAC119" s="3"/>
      <c r="HAD119" s="3"/>
      <c r="HAE119" s="3"/>
      <c r="HAF119" s="3"/>
      <c r="HAG119" s="3"/>
      <c r="HAH119" s="3"/>
      <c r="HAI119" s="3"/>
      <c r="HAJ119" s="3"/>
      <c r="HAK119" s="3"/>
      <c r="HAL119" s="3"/>
      <c r="HAM119" s="3"/>
      <c r="HAN119" s="3"/>
      <c r="HAO119" s="3"/>
      <c r="HAP119" s="3"/>
      <c r="HAQ119" s="3"/>
      <c r="HAR119" s="3"/>
      <c r="HAS119" s="3"/>
      <c r="HAT119" s="3"/>
      <c r="HAU119" s="3"/>
      <c r="HAV119" s="3"/>
      <c r="HAW119" s="3"/>
      <c r="HAX119" s="3"/>
      <c r="HAY119" s="3"/>
      <c r="HAZ119" s="3"/>
      <c r="HBA119" s="3"/>
      <c r="HBB119" s="3"/>
      <c r="HBC119" s="3"/>
      <c r="HBD119" s="3"/>
      <c r="HBE119" s="3"/>
      <c r="HBF119" s="3"/>
      <c r="HBG119" s="3"/>
      <c r="HBH119" s="3"/>
      <c r="HBI119" s="3"/>
      <c r="HBJ119" s="3"/>
      <c r="HBK119" s="3"/>
      <c r="HBL119" s="3"/>
      <c r="HBM119" s="3"/>
      <c r="HBN119" s="3"/>
      <c r="HBO119" s="3"/>
      <c r="HBP119" s="3"/>
      <c r="HBQ119" s="3"/>
      <c r="HBR119" s="3"/>
      <c r="HBS119" s="3"/>
      <c r="HBT119" s="3"/>
      <c r="HBU119" s="3"/>
      <c r="HBV119" s="3"/>
      <c r="HBW119" s="3"/>
      <c r="HBX119" s="3"/>
      <c r="HBY119" s="3"/>
      <c r="HBZ119" s="3"/>
      <c r="HCA119" s="3"/>
      <c r="HCB119" s="3"/>
      <c r="HCC119" s="3"/>
      <c r="HCD119" s="3"/>
      <c r="HCE119" s="3"/>
      <c r="HCF119" s="3"/>
      <c r="HCG119" s="3"/>
      <c r="HCH119" s="3"/>
      <c r="HCI119" s="3"/>
      <c r="HCJ119" s="3"/>
      <c r="HCK119" s="3"/>
      <c r="HCL119" s="3"/>
      <c r="HCM119" s="3"/>
      <c r="HCN119" s="3"/>
      <c r="HCO119" s="3"/>
      <c r="HCP119" s="3"/>
      <c r="HCQ119" s="3"/>
      <c r="HCR119" s="3"/>
      <c r="HCS119" s="3"/>
      <c r="HCT119" s="3"/>
      <c r="HCU119" s="3"/>
      <c r="HCV119" s="3"/>
      <c r="HCW119" s="3"/>
      <c r="HCX119" s="3"/>
      <c r="HCY119" s="3"/>
      <c r="HCZ119" s="3"/>
      <c r="HDA119" s="3"/>
      <c r="HDB119" s="3"/>
      <c r="HDC119" s="3"/>
      <c r="HDD119" s="3"/>
      <c r="HDE119" s="3"/>
      <c r="HDF119" s="3"/>
      <c r="HDG119" s="3"/>
      <c r="HDH119" s="3"/>
      <c r="HDI119" s="3"/>
      <c r="HDJ119" s="3"/>
      <c r="HDK119" s="3"/>
      <c r="HDL119" s="3"/>
      <c r="HDM119" s="3"/>
      <c r="HDN119" s="3"/>
      <c r="HDO119" s="3"/>
      <c r="HDP119" s="3"/>
      <c r="HDQ119" s="3"/>
      <c r="HDR119" s="3"/>
      <c r="HDS119" s="3"/>
      <c r="HDT119" s="3"/>
      <c r="HDU119" s="3"/>
      <c r="HDV119" s="3"/>
      <c r="HDW119" s="3"/>
      <c r="HDX119" s="3"/>
      <c r="HDY119" s="3"/>
      <c r="HDZ119" s="3"/>
      <c r="HEA119" s="3"/>
      <c r="HEB119" s="3"/>
      <c r="HEC119" s="3"/>
      <c r="HED119" s="3"/>
      <c r="HEE119" s="3"/>
      <c r="HEF119" s="3"/>
      <c r="HEG119" s="3"/>
      <c r="HEH119" s="3"/>
      <c r="HEI119" s="3"/>
      <c r="HEJ119" s="3"/>
      <c r="HEK119" s="3"/>
      <c r="HEL119" s="3"/>
      <c r="HEM119" s="3"/>
      <c r="HEN119" s="3"/>
      <c r="HEO119" s="3"/>
      <c r="HEP119" s="3"/>
      <c r="HEQ119" s="3"/>
      <c r="HER119" s="3"/>
      <c r="HES119" s="3"/>
      <c r="HET119" s="3"/>
      <c r="HEU119" s="3"/>
      <c r="HEV119" s="3"/>
      <c r="HEW119" s="3"/>
      <c r="HEX119" s="3"/>
      <c r="HEY119" s="3"/>
      <c r="HEZ119" s="3"/>
      <c r="HFA119" s="3"/>
      <c r="HFB119" s="3"/>
      <c r="HFC119" s="3"/>
      <c r="HFD119" s="3"/>
      <c r="HFE119" s="3"/>
      <c r="HFF119" s="3"/>
      <c r="HFG119" s="3"/>
      <c r="HFH119" s="3"/>
      <c r="HFI119" s="3"/>
      <c r="HFJ119" s="3"/>
      <c r="HFK119" s="3"/>
      <c r="HFL119" s="3"/>
      <c r="HFM119" s="3"/>
      <c r="HFN119" s="3"/>
      <c r="HFO119" s="3"/>
      <c r="HFP119" s="3"/>
      <c r="HFQ119" s="3"/>
      <c r="HFR119" s="3"/>
      <c r="HFS119" s="3"/>
      <c r="HFT119" s="3"/>
      <c r="HFU119" s="3"/>
      <c r="HFV119" s="3"/>
      <c r="HFW119" s="3"/>
      <c r="HFX119" s="3"/>
      <c r="HFY119" s="3"/>
      <c r="HFZ119" s="3"/>
      <c r="HGA119" s="3"/>
      <c r="HGB119" s="3"/>
      <c r="HGC119" s="3"/>
      <c r="HGD119" s="3"/>
      <c r="HGE119" s="3"/>
      <c r="HGF119" s="3"/>
      <c r="HGG119" s="3"/>
      <c r="HGH119" s="3"/>
      <c r="HGI119" s="3"/>
      <c r="HGJ119" s="3"/>
      <c r="HGK119" s="3"/>
      <c r="HGL119" s="3"/>
      <c r="HGM119" s="3"/>
      <c r="HGN119" s="3"/>
      <c r="HGO119" s="3"/>
      <c r="HGP119" s="3"/>
      <c r="HGQ119" s="3"/>
      <c r="HGR119" s="3"/>
      <c r="HGS119" s="3"/>
      <c r="HGT119" s="3"/>
      <c r="HGU119" s="3"/>
      <c r="HGV119" s="3"/>
      <c r="HGW119" s="3"/>
      <c r="HGX119" s="3"/>
      <c r="HGY119" s="3"/>
      <c r="HGZ119" s="3"/>
      <c r="HHA119" s="3"/>
      <c r="HHB119" s="3"/>
      <c r="HHC119" s="3"/>
      <c r="HHD119" s="3"/>
      <c r="HHE119" s="3"/>
      <c r="HHF119" s="3"/>
      <c r="HHG119" s="3"/>
      <c r="HHH119" s="3"/>
      <c r="HHI119" s="3"/>
      <c r="HHJ119" s="3"/>
      <c r="HHK119" s="3"/>
      <c r="HHL119" s="3"/>
      <c r="HHM119" s="3"/>
      <c r="HHN119" s="3"/>
      <c r="HHO119" s="3"/>
      <c r="HHP119" s="3"/>
      <c r="HHQ119" s="3"/>
      <c r="HHR119" s="3"/>
      <c r="HHS119" s="3"/>
      <c r="HHT119" s="3"/>
      <c r="HHU119" s="3"/>
      <c r="HHV119" s="3"/>
      <c r="HHW119" s="3"/>
      <c r="HHX119" s="3"/>
      <c r="HHY119" s="3"/>
      <c r="HHZ119" s="3"/>
      <c r="HIA119" s="3"/>
      <c r="HIB119" s="3"/>
      <c r="HIC119" s="3"/>
      <c r="HID119" s="3"/>
      <c r="HIE119" s="3"/>
      <c r="HIF119" s="3"/>
      <c r="HIG119" s="3"/>
      <c r="HIH119" s="3"/>
      <c r="HII119" s="3"/>
      <c r="HIJ119" s="3"/>
      <c r="HIK119" s="3"/>
      <c r="HIL119" s="3"/>
      <c r="HIM119" s="3"/>
      <c r="HIN119" s="3"/>
      <c r="HIO119" s="3"/>
      <c r="HIP119" s="3"/>
      <c r="HIQ119" s="3"/>
      <c r="HIR119" s="3"/>
      <c r="HIS119" s="3"/>
      <c r="HIT119" s="3"/>
      <c r="HIU119" s="3"/>
      <c r="HIV119" s="3"/>
      <c r="HIW119" s="3"/>
      <c r="HIX119" s="3"/>
      <c r="HIY119" s="3"/>
      <c r="HIZ119" s="3"/>
      <c r="HJA119" s="3"/>
      <c r="HJB119" s="3"/>
      <c r="HJC119" s="3"/>
      <c r="HJD119" s="3"/>
      <c r="HJE119" s="3"/>
      <c r="HJF119" s="3"/>
      <c r="HJG119" s="3"/>
      <c r="HJH119" s="3"/>
      <c r="HJI119" s="3"/>
      <c r="HJJ119" s="3"/>
      <c r="HJK119" s="3"/>
      <c r="HJL119" s="3"/>
      <c r="HJM119" s="3"/>
      <c r="HJN119" s="3"/>
      <c r="HJO119" s="3"/>
      <c r="HJP119" s="3"/>
      <c r="HJQ119" s="3"/>
      <c r="HJR119" s="3"/>
      <c r="HJS119" s="3"/>
      <c r="HJT119" s="3"/>
      <c r="HJU119" s="3"/>
      <c r="HJV119" s="3"/>
      <c r="HJW119" s="3"/>
      <c r="HJX119" s="3"/>
      <c r="HJY119" s="3"/>
      <c r="HJZ119" s="3"/>
      <c r="HKA119" s="3"/>
      <c r="HKB119" s="3"/>
      <c r="HKC119" s="3"/>
      <c r="HKD119" s="3"/>
      <c r="HKE119" s="3"/>
      <c r="HKF119" s="3"/>
      <c r="HKG119" s="3"/>
      <c r="HKH119" s="3"/>
      <c r="HKI119" s="3"/>
      <c r="HKJ119" s="3"/>
      <c r="HKK119" s="3"/>
      <c r="HKL119" s="3"/>
      <c r="HKM119" s="3"/>
      <c r="HKN119" s="3"/>
      <c r="HKO119" s="3"/>
      <c r="HKP119" s="3"/>
      <c r="HKQ119" s="3"/>
      <c r="HKR119" s="3"/>
      <c r="HKS119" s="3"/>
      <c r="HKT119" s="3"/>
      <c r="HKU119" s="3"/>
      <c r="HKV119" s="3"/>
      <c r="HKW119" s="3"/>
      <c r="HKX119" s="3"/>
      <c r="HKY119" s="3"/>
      <c r="HKZ119" s="3"/>
      <c r="HLA119" s="3"/>
      <c r="HLB119" s="3"/>
      <c r="HLC119" s="3"/>
      <c r="HLD119" s="3"/>
      <c r="HLE119" s="3"/>
      <c r="HLF119" s="3"/>
      <c r="HLG119" s="3"/>
      <c r="HLH119" s="3"/>
      <c r="HLI119" s="3"/>
      <c r="HLJ119" s="3"/>
      <c r="HLK119" s="3"/>
      <c r="HLL119" s="3"/>
      <c r="HLM119" s="3"/>
      <c r="HLN119" s="3"/>
      <c r="HLO119" s="3"/>
      <c r="HLP119" s="3"/>
      <c r="HLQ119" s="3"/>
      <c r="HLR119" s="3"/>
      <c r="HLS119" s="3"/>
      <c r="HLT119" s="3"/>
      <c r="HLU119" s="3"/>
      <c r="HLV119" s="3"/>
      <c r="HLW119" s="3"/>
      <c r="HLX119" s="3"/>
      <c r="HLY119" s="3"/>
      <c r="HLZ119" s="3"/>
      <c r="HMA119" s="3"/>
      <c r="HMB119" s="3"/>
      <c r="HMC119" s="3"/>
      <c r="HMD119" s="3"/>
      <c r="HME119" s="3"/>
      <c r="HMF119" s="3"/>
      <c r="HMG119" s="3"/>
      <c r="HMH119" s="3"/>
      <c r="HMI119" s="3"/>
      <c r="HMJ119" s="3"/>
      <c r="HMK119" s="3"/>
      <c r="HML119" s="3"/>
      <c r="HMM119" s="3"/>
      <c r="HMN119" s="3"/>
      <c r="HMO119" s="3"/>
      <c r="HMP119" s="3"/>
      <c r="HMQ119" s="3"/>
      <c r="HMR119" s="3"/>
      <c r="HMS119" s="3"/>
      <c r="HMT119" s="3"/>
      <c r="HMU119" s="3"/>
      <c r="HMV119" s="3"/>
      <c r="HMW119" s="3"/>
      <c r="HMX119" s="3"/>
      <c r="HMY119" s="3"/>
      <c r="HMZ119" s="3"/>
      <c r="HNA119" s="3"/>
      <c r="HNB119" s="3"/>
      <c r="HNC119" s="3"/>
      <c r="HND119" s="3"/>
      <c r="HNE119" s="3"/>
      <c r="HNF119" s="3"/>
      <c r="HNG119" s="3"/>
      <c r="HNH119" s="3"/>
      <c r="HNI119" s="3"/>
      <c r="HNJ119" s="3"/>
      <c r="HNK119" s="3"/>
      <c r="HNL119" s="3"/>
      <c r="HNM119" s="3"/>
      <c r="HNN119" s="3"/>
      <c r="HNO119" s="3"/>
      <c r="HNP119" s="3"/>
      <c r="HNQ119" s="3"/>
      <c r="HNR119" s="3"/>
      <c r="HNS119" s="3"/>
      <c r="HNT119" s="3"/>
      <c r="HNU119" s="3"/>
      <c r="HNV119" s="3"/>
      <c r="HNW119" s="3"/>
      <c r="HNX119" s="3"/>
      <c r="HNY119" s="3"/>
      <c r="HNZ119" s="3"/>
      <c r="HOA119" s="3"/>
      <c r="HOB119" s="3"/>
      <c r="HOC119" s="3"/>
      <c r="HOD119" s="3"/>
      <c r="HOE119" s="3"/>
      <c r="HOF119" s="3"/>
      <c r="HOG119" s="3"/>
      <c r="HOH119" s="3"/>
      <c r="HOI119" s="3"/>
      <c r="HOJ119" s="3"/>
      <c r="HOK119" s="3"/>
      <c r="HOL119" s="3"/>
      <c r="HOM119" s="3"/>
      <c r="HON119" s="3"/>
      <c r="HOO119" s="3"/>
      <c r="HOP119" s="3"/>
      <c r="HOQ119" s="3"/>
      <c r="HOR119" s="3"/>
      <c r="HOS119" s="3"/>
      <c r="HOT119" s="3"/>
      <c r="HOU119" s="3"/>
      <c r="HOV119" s="3"/>
      <c r="HOW119" s="3"/>
      <c r="HOX119" s="3"/>
      <c r="HOY119" s="3"/>
      <c r="HOZ119" s="3"/>
      <c r="HPA119" s="3"/>
      <c r="HPB119" s="3"/>
      <c r="HPC119" s="3"/>
      <c r="HPD119" s="3"/>
      <c r="HPE119" s="3"/>
      <c r="HPF119" s="3"/>
      <c r="HPG119" s="3"/>
      <c r="HPH119" s="3"/>
      <c r="HPI119" s="3"/>
      <c r="HPJ119" s="3"/>
      <c r="HPK119" s="3"/>
      <c r="HPL119" s="3"/>
      <c r="HPM119" s="3"/>
      <c r="HPN119" s="3"/>
      <c r="HPO119" s="3"/>
      <c r="HPP119" s="3"/>
      <c r="HPQ119" s="3"/>
      <c r="HPR119" s="3"/>
      <c r="HPS119" s="3"/>
      <c r="HPT119" s="3"/>
      <c r="HPU119" s="3"/>
      <c r="HPV119" s="3"/>
      <c r="HPW119" s="3"/>
      <c r="HPX119" s="3"/>
      <c r="HPY119" s="3"/>
      <c r="HPZ119" s="3"/>
      <c r="HQA119" s="3"/>
      <c r="HQB119" s="3"/>
      <c r="HQC119" s="3"/>
      <c r="HQD119" s="3"/>
      <c r="HQE119" s="3"/>
      <c r="HQF119" s="3"/>
      <c r="HQG119" s="3"/>
      <c r="HQH119" s="3"/>
      <c r="HQI119" s="3"/>
      <c r="HQJ119" s="3"/>
      <c r="HQK119" s="3"/>
      <c r="HQL119" s="3"/>
      <c r="HQM119" s="3"/>
      <c r="HQN119" s="3"/>
      <c r="HQO119" s="3"/>
      <c r="HQP119" s="3"/>
      <c r="HQQ119" s="3"/>
      <c r="HQR119" s="3"/>
      <c r="HQS119" s="3"/>
      <c r="HQT119" s="3"/>
      <c r="HQU119" s="3"/>
      <c r="HQV119" s="3"/>
      <c r="HQW119" s="3"/>
      <c r="HQX119" s="3"/>
      <c r="HQY119" s="3"/>
      <c r="HQZ119" s="3"/>
      <c r="HRA119" s="3"/>
      <c r="HRB119" s="3"/>
      <c r="HRC119" s="3"/>
      <c r="HRD119" s="3"/>
      <c r="HRE119" s="3"/>
      <c r="HRF119" s="3"/>
      <c r="HRG119" s="3"/>
      <c r="HRH119" s="3"/>
      <c r="HRI119" s="3"/>
      <c r="HRJ119" s="3"/>
      <c r="HRK119" s="3"/>
      <c r="HRL119" s="3"/>
      <c r="HRM119" s="3"/>
      <c r="HRN119" s="3"/>
      <c r="HRO119" s="3"/>
      <c r="HRP119" s="3"/>
      <c r="HRQ119" s="3"/>
      <c r="HRR119" s="3"/>
      <c r="HRS119" s="3"/>
      <c r="HRT119" s="3"/>
      <c r="HRU119" s="3"/>
      <c r="HRV119" s="3"/>
      <c r="HRW119" s="3"/>
      <c r="HRX119" s="3"/>
      <c r="HRY119" s="3"/>
      <c r="HRZ119" s="3"/>
      <c r="HSA119" s="3"/>
      <c r="HSB119" s="3"/>
      <c r="HSC119" s="3"/>
      <c r="HSD119" s="3"/>
      <c r="HSE119" s="3"/>
      <c r="HSF119" s="3"/>
      <c r="HSG119" s="3"/>
      <c r="HSH119" s="3"/>
      <c r="HSI119" s="3"/>
      <c r="HSJ119" s="3"/>
      <c r="HSK119" s="3"/>
      <c r="HSL119" s="3"/>
      <c r="HSM119" s="3"/>
      <c r="HSN119" s="3"/>
      <c r="HSO119" s="3"/>
      <c r="HSP119" s="3"/>
      <c r="HSQ119" s="3"/>
      <c r="HSR119" s="3"/>
      <c r="HSS119" s="3"/>
      <c r="HST119" s="3"/>
      <c r="HSU119" s="3"/>
      <c r="HSV119" s="3"/>
      <c r="HSW119" s="3"/>
      <c r="HSX119" s="3"/>
      <c r="HSY119" s="3"/>
      <c r="HSZ119" s="3"/>
      <c r="HTA119" s="3"/>
      <c r="HTB119" s="3"/>
      <c r="HTC119" s="3"/>
      <c r="HTD119" s="3"/>
      <c r="HTE119" s="3"/>
      <c r="HTF119" s="3"/>
      <c r="HTG119" s="3"/>
      <c r="HTH119" s="3"/>
      <c r="HTI119" s="3"/>
      <c r="HTJ119" s="3"/>
      <c r="HTK119" s="3"/>
      <c r="HTL119" s="3"/>
      <c r="HTM119" s="3"/>
      <c r="HTN119" s="3"/>
      <c r="HTO119" s="3"/>
      <c r="HTP119" s="3"/>
      <c r="HTQ119" s="3"/>
      <c r="HTR119" s="3"/>
      <c r="HTS119" s="3"/>
      <c r="HTT119" s="3"/>
      <c r="HTU119" s="3"/>
      <c r="HTV119" s="3"/>
      <c r="HTW119" s="3"/>
      <c r="HTX119" s="3"/>
      <c r="HTY119" s="3"/>
      <c r="HTZ119" s="3"/>
      <c r="HUA119" s="3"/>
      <c r="HUB119" s="3"/>
      <c r="HUC119" s="3"/>
      <c r="HUD119" s="3"/>
      <c r="HUE119" s="3"/>
      <c r="HUF119" s="3"/>
      <c r="HUG119" s="3"/>
      <c r="HUH119" s="3"/>
      <c r="HUI119" s="3"/>
      <c r="HUJ119" s="3"/>
      <c r="HUK119" s="3"/>
      <c r="HUL119" s="3"/>
      <c r="HUM119" s="3"/>
      <c r="HUN119" s="3"/>
      <c r="HUO119" s="3"/>
      <c r="HUP119" s="3"/>
      <c r="HUQ119" s="3"/>
      <c r="HUR119" s="3"/>
      <c r="HUS119" s="3"/>
      <c r="HUT119" s="3"/>
      <c r="HUU119" s="3"/>
      <c r="HUV119" s="3"/>
      <c r="HUW119" s="3"/>
      <c r="HUX119" s="3"/>
      <c r="HUY119" s="3"/>
      <c r="HUZ119" s="3"/>
      <c r="HVA119" s="3"/>
      <c r="HVB119" s="3"/>
      <c r="HVC119" s="3"/>
      <c r="HVD119" s="3"/>
      <c r="HVE119" s="3"/>
      <c r="HVF119" s="3"/>
      <c r="HVG119" s="3"/>
      <c r="HVH119" s="3"/>
      <c r="HVI119" s="3"/>
      <c r="HVJ119" s="3"/>
      <c r="HVK119" s="3"/>
      <c r="HVL119" s="3"/>
      <c r="HVM119" s="3"/>
      <c r="HVN119" s="3"/>
      <c r="HVO119" s="3"/>
      <c r="HVP119" s="3"/>
      <c r="HVQ119" s="3"/>
      <c r="HVR119" s="3"/>
      <c r="HVS119" s="3"/>
      <c r="HVT119" s="3"/>
      <c r="HVU119" s="3"/>
      <c r="HVV119" s="3"/>
      <c r="HVW119" s="3"/>
      <c r="HVX119" s="3"/>
      <c r="HVY119" s="3"/>
      <c r="HVZ119" s="3"/>
      <c r="HWA119" s="3"/>
      <c r="HWB119" s="3"/>
      <c r="HWC119" s="3"/>
      <c r="HWD119" s="3"/>
      <c r="HWE119" s="3"/>
      <c r="HWF119" s="3"/>
      <c r="HWG119" s="3"/>
      <c r="HWH119" s="3"/>
      <c r="HWI119" s="3"/>
      <c r="HWJ119" s="3"/>
      <c r="HWK119" s="3"/>
      <c r="HWL119" s="3"/>
      <c r="HWM119" s="3"/>
      <c r="HWN119" s="3"/>
      <c r="HWO119" s="3"/>
      <c r="HWP119" s="3"/>
      <c r="HWQ119" s="3"/>
      <c r="HWR119" s="3"/>
      <c r="HWS119" s="3"/>
      <c r="HWT119" s="3"/>
      <c r="HWU119" s="3"/>
      <c r="HWV119" s="3"/>
      <c r="HWW119" s="3"/>
      <c r="HWX119" s="3"/>
      <c r="HWY119" s="3"/>
      <c r="HWZ119" s="3"/>
      <c r="HXA119" s="3"/>
      <c r="HXB119" s="3"/>
      <c r="HXC119" s="3"/>
      <c r="HXD119" s="3"/>
      <c r="HXE119" s="3"/>
      <c r="HXF119" s="3"/>
      <c r="HXG119" s="3"/>
      <c r="HXH119" s="3"/>
      <c r="HXI119" s="3"/>
      <c r="HXJ119" s="3"/>
      <c r="HXK119" s="3"/>
      <c r="HXL119" s="3"/>
      <c r="HXM119" s="3"/>
      <c r="HXN119" s="3"/>
      <c r="HXO119" s="3"/>
      <c r="HXP119" s="3"/>
      <c r="HXQ119" s="3"/>
      <c r="HXR119" s="3"/>
      <c r="HXS119" s="3"/>
      <c r="HXT119" s="3"/>
      <c r="HXU119" s="3"/>
      <c r="HXV119" s="3"/>
      <c r="HXW119" s="3"/>
      <c r="HXX119" s="3"/>
      <c r="HXY119" s="3"/>
      <c r="HXZ119" s="3"/>
      <c r="HYA119" s="3"/>
      <c r="HYB119" s="3"/>
      <c r="HYC119" s="3"/>
      <c r="HYD119" s="3"/>
      <c r="HYE119" s="3"/>
      <c r="HYF119" s="3"/>
      <c r="HYG119" s="3"/>
      <c r="HYH119" s="3"/>
      <c r="HYI119" s="3"/>
      <c r="HYJ119" s="3"/>
      <c r="HYK119" s="3"/>
      <c r="HYL119" s="3"/>
      <c r="HYM119" s="3"/>
      <c r="HYN119" s="3"/>
      <c r="HYO119" s="3"/>
      <c r="HYP119" s="3"/>
      <c r="HYQ119" s="3"/>
      <c r="HYR119" s="3"/>
      <c r="HYS119" s="3"/>
      <c r="HYT119" s="3"/>
      <c r="HYU119" s="3"/>
      <c r="HYV119" s="3"/>
      <c r="HYW119" s="3"/>
      <c r="HYX119" s="3"/>
      <c r="HYY119" s="3"/>
      <c r="HYZ119" s="3"/>
      <c r="HZA119" s="3"/>
      <c r="HZB119" s="3"/>
      <c r="HZC119" s="3"/>
      <c r="HZD119" s="3"/>
      <c r="HZE119" s="3"/>
      <c r="HZF119" s="3"/>
      <c r="HZG119" s="3"/>
      <c r="HZH119" s="3"/>
      <c r="HZI119" s="3"/>
      <c r="HZJ119" s="3"/>
      <c r="HZK119" s="3"/>
      <c r="HZL119" s="3"/>
      <c r="HZM119" s="3"/>
      <c r="HZN119" s="3"/>
      <c r="HZO119" s="3"/>
      <c r="HZP119" s="3"/>
      <c r="HZQ119" s="3"/>
      <c r="HZR119" s="3"/>
      <c r="HZS119" s="3"/>
      <c r="HZT119" s="3"/>
      <c r="HZU119" s="3"/>
      <c r="HZV119" s="3"/>
      <c r="HZW119" s="3"/>
      <c r="HZX119" s="3"/>
      <c r="HZY119" s="3"/>
      <c r="HZZ119" s="3"/>
      <c r="IAA119" s="3"/>
      <c r="IAB119" s="3"/>
      <c r="IAC119" s="3"/>
      <c r="IAD119" s="3"/>
      <c r="IAE119" s="3"/>
      <c r="IAF119" s="3"/>
      <c r="IAG119" s="3"/>
      <c r="IAH119" s="3"/>
      <c r="IAI119" s="3"/>
      <c r="IAJ119" s="3"/>
      <c r="IAK119" s="3"/>
      <c r="IAL119" s="3"/>
      <c r="IAM119" s="3"/>
      <c r="IAN119" s="3"/>
      <c r="IAO119" s="3"/>
      <c r="IAP119" s="3"/>
      <c r="IAQ119" s="3"/>
      <c r="IAR119" s="3"/>
      <c r="IAS119" s="3"/>
      <c r="IAT119" s="3"/>
      <c r="IAU119" s="3"/>
      <c r="IAV119" s="3"/>
      <c r="IAW119" s="3"/>
      <c r="IAX119" s="3"/>
      <c r="IAY119" s="3"/>
      <c r="IAZ119" s="3"/>
      <c r="IBA119" s="3"/>
      <c r="IBB119" s="3"/>
      <c r="IBC119" s="3"/>
      <c r="IBD119" s="3"/>
      <c r="IBE119" s="3"/>
      <c r="IBF119" s="3"/>
      <c r="IBG119" s="3"/>
      <c r="IBH119" s="3"/>
      <c r="IBI119" s="3"/>
      <c r="IBJ119" s="3"/>
      <c r="IBK119" s="3"/>
      <c r="IBL119" s="3"/>
      <c r="IBM119" s="3"/>
      <c r="IBN119" s="3"/>
      <c r="IBO119" s="3"/>
      <c r="IBP119" s="3"/>
      <c r="IBQ119" s="3"/>
      <c r="IBR119" s="3"/>
      <c r="IBS119" s="3"/>
      <c r="IBT119" s="3"/>
      <c r="IBU119" s="3"/>
      <c r="IBV119" s="3"/>
      <c r="IBW119" s="3"/>
      <c r="IBX119" s="3"/>
      <c r="IBY119" s="3"/>
      <c r="IBZ119" s="3"/>
      <c r="ICA119" s="3"/>
      <c r="ICB119" s="3"/>
      <c r="ICC119" s="3"/>
      <c r="ICD119" s="3"/>
      <c r="ICE119" s="3"/>
      <c r="ICF119" s="3"/>
      <c r="ICG119" s="3"/>
      <c r="ICH119" s="3"/>
      <c r="ICI119" s="3"/>
      <c r="ICJ119" s="3"/>
      <c r="ICK119" s="3"/>
      <c r="ICL119" s="3"/>
      <c r="ICM119" s="3"/>
      <c r="ICN119" s="3"/>
      <c r="ICO119" s="3"/>
      <c r="ICP119" s="3"/>
      <c r="ICQ119" s="3"/>
      <c r="ICR119" s="3"/>
      <c r="ICS119" s="3"/>
      <c r="ICT119" s="3"/>
      <c r="ICU119" s="3"/>
      <c r="ICV119" s="3"/>
      <c r="ICW119" s="3"/>
      <c r="ICX119" s="3"/>
      <c r="ICY119" s="3"/>
      <c r="ICZ119" s="3"/>
      <c r="IDA119" s="3"/>
      <c r="IDB119" s="3"/>
      <c r="IDC119" s="3"/>
      <c r="IDD119" s="3"/>
      <c r="IDE119" s="3"/>
      <c r="IDF119" s="3"/>
      <c r="IDG119" s="3"/>
      <c r="IDH119" s="3"/>
      <c r="IDI119" s="3"/>
      <c r="IDJ119" s="3"/>
      <c r="IDK119" s="3"/>
      <c r="IDL119" s="3"/>
      <c r="IDM119" s="3"/>
      <c r="IDN119" s="3"/>
      <c r="IDO119" s="3"/>
      <c r="IDP119" s="3"/>
      <c r="IDQ119" s="3"/>
      <c r="IDR119" s="3"/>
      <c r="IDS119" s="3"/>
      <c r="IDT119" s="3"/>
      <c r="IDU119" s="3"/>
      <c r="IDV119" s="3"/>
      <c r="IDW119" s="3"/>
      <c r="IDX119" s="3"/>
      <c r="IDY119" s="3"/>
      <c r="IDZ119" s="3"/>
      <c r="IEA119" s="3"/>
      <c r="IEB119" s="3"/>
      <c r="IEC119" s="3"/>
      <c r="IED119" s="3"/>
      <c r="IEE119" s="3"/>
      <c r="IEF119" s="3"/>
      <c r="IEG119" s="3"/>
      <c r="IEH119" s="3"/>
      <c r="IEI119" s="3"/>
      <c r="IEJ119" s="3"/>
      <c r="IEK119" s="3"/>
      <c r="IEL119" s="3"/>
      <c r="IEM119" s="3"/>
      <c r="IEN119" s="3"/>
      <c r="IEO119" s="3"/>
      <c r="IEP119" s="3"/>
      <c r="IEQ119" s="3"/>
      <c r="IER119" s="3"/>
      <c r="IES119" s="3"/>
      <c r="IET119" s="3"/>
      <c r="IEU119" s="3"/>
      <c r="IEV119" s="3"/>
      <c r="IEW119" s="3"/>
      <c r="IEX119" s="3"/>
      <c r="IEY119" s="3"/>
      <c r="IEZ119" s="3"/>
      <c r="IFA119" s="3"/>
      <c r="IFB119" s="3"/>
      <c r="IFC119" s="3"/>
      <c r="IFD119" s="3"/>
      <c r="IFE119" s="3"/>
      <c r="IFF119" s="3"/>
      <c r="IFG119" s="3"/>
      <c r="IFH119" s="3"/>
      <c r="IFI119" s="3"/>
      <c r="IFJ119" s="3"/>
      <c r="IFK119" s="3"/>
      <c r="IFL119" s="3"/>
      <c r="IFM119" s="3"/>
      <c r="IFN119" s="3"/>
      <c r="IFO119" s="3"/>
      <c r="IFP119" s="3"/>
      <c r="IFQ119" s="3"/>
      <c r="IFR119" s="3"/>
      <c r="IFS119" s="3"/>
      <c r="IFT119" s="3"/>
      <c r="IFU119" s="3"/>
      <c r="IFV119" s="3"/>
      <c r="IFW119" s="3"/>
      <c r="IFX119" s="3"/>
      <c r="IFY119" s="3"/>
      <c r="IFZ119" s="3"/>
      <c r="IGA119" s="3"/>
      <c r="IGB119" s="3"/>
      <c r="IGC119" s="3"/>
      <c r="IGD119" s="3"/>
      <c r="IGE119" s="3"/>
      <c r="IGF119" s="3"/>
      <c r="IGG119" s="3"/>
      <c r="IGH119" s="3"/>
      <c r="IGI119" s="3"/>
      <c r="IGJ119" s="3"/>
      <c r="IGK119" s="3"/>
      <c r="IGL119" s="3"/>
      <c r="IGM119" s="3"/>
      <c r="IGN119" s="3"/>
      <c r="IGO119" s="3"/>
      <c r="IGP119" s="3"/>
      <c r="IGQ119" s="3"/>
      <c r="IGR119" s="3"/>
      <c r="IGS119" s="3"/>
      <c r="IGT119" s="3"/>
      <c r="IGU119" s="3"/>
      <c r="IGV119" s="3"/>
      <c r="IGW119" s="3"/>
      <c r="IGX119" s="3"/>
      <c r="IGY119" s="3"/>
      <c r="IGZ119" s="3"/>
      <c r="IHA119" s="3"/>
      <c r="IHB119" s="3"/>
      <c r="IHC119" s="3"/>
      <c r="IHD119" s="3"/>
      <c r="IHE119" s="3"/>
      <c r="IHF119" s="3"/>
      <c r="IHG119" s="3"/>
      <c r="IHH119" s="3"/>
      <c r="IHI119" s="3"/>
      <c r="IHJ119" s="3"/>
      <c r="IHK119" s="3"/>
      <c r="IHL119" s="3"/>
      <c r="IHM119" s="3"/>
      <c r="IHN119" s="3"/>
      <c r="IHO119" s="3"/>
      <c r="IHP119" s="3"/>
      <c r="IHQ119" s="3"/>
      <c r="IHR119" s="3"/>
      <c r="IHS119" s="3"/>
      <c r="IHT119" s="3"/>
      <c r="IHU119" s="3"/>
      <c r="IHV119" s="3"/>
      <c r="IHW119" s="3"/>
      <c r="IHX119" s="3"/>
      <c r="IHY119" s="3"/>
      <c r="IHZ119" s="3"/>
      <c r="IIA119" s="3"/>
      <c r="IIB119" s="3"/>
      <c r="IIC119" s="3"/>
      <c r="IID119" s="3"/>
      <c r="IIE119" s="3"/>
      <c r="IIF119" s="3"/>
      <c r="IIG119" s="3"/>
      <c r="IIH119" s="3"/>
      <c r="III119" s="3"/>
      <c r="IIJ119" s="3"/>
      <c r="IIK119" s="3"/>
      <c r="IIL119" s="3"/>
      <c r="IIM119" s="3"/>
      <c r="IIN119" s="3"/>
      <c r="IIO119" s="3"/>
      <c r="IIP119" s="3"/>
      <c r="IIQ119" s="3"/>
      <c r="IIR119" s="3"/>
      <c r="IIS119" s="3"/>
      <c r="IIT119" s="3"/>
      <c r="IIU119" s="3"/>
      <c r="IIV119" s="3"/>
      <c r="IIW119" s="3"/>
      <c r="IIX119" s="3"/>
      <c r="IIY119" s="3"/>
      <c r="IIZ119" s="3"/>
      <c r="IJA119" s="3"/>
      <c r="IJB119" s="3"/>
      <c r="IJC119" s="3"/>
      <c r="IJD119" s="3"/>
      <c r="IJE119" s="3"/>
      <c r="IJF119" s="3"/>
      <c r="IJG119" s="3"/>
      <c r="IJH119" s="3"/>
      <c r="IJI119" s="3"/>
      <c r="IJJ119" s="3"/>
      <c r="IJK119" s="3"/>
      <c r="IJL119" s="3"/>
      <c r="IJM119" s="3"/>
      <c r="IJN119" s="3"/>
      <c r="IJO119" s="3"/>
      <c r="IJP119" s="3"/>
      <c r="IJQ119" s="3"/>
      <c r="IJR119" s="3"/>
      <c r="IJS119" s="3"/>
      <c r="IJT119" s="3"/>
      <c r="IJU119" s="3"/>
      <c r="IJV119" s="3"/>
      <c r="IJW119" s="3"/>
      <c r="IJX119" s="3"/>
      <c r="IJY119" s="3"/>
      <c r="IJZ119" s="3"/>
      <c r="IKA119" s="3"/>
      <c r="IKB119" s="3"/>
      <c r="IKC119" s="3"/>
      <c r="IKD119" s="3"/>
      <c r="IKE119" s="3"/>
      <c r="IKF119" s="3"/>
      <c r="IKG119" s="3"/>
      <c r="IKH119" s="3"/>
      <c r="IKI119" s="3"/>
      <c r="IKJ119" s="3"/>
      <c r="IKK119" s="3"/>
      <c r="IKL119" s="3"/>
      <c r="IKM119" s="3"/>
      <c r="IKN119" s="3"/>
      <c r="IKO119" s="3"/>
      <c r="IKP119" s="3"/>
      <c r="IKQ119" s="3"/>
      <c r="IKR119" s="3"/>
      <c r="IKS119" s="3"/>
      <c r="IKT119" s="3"/>
      <c r="IKU119" s="3"/>
      <c r="IKV119" s="3"/>
      <c r="IKW119" s="3"/>
      <c r="IKX119" s="3"/>
      <c r="IKY119" s="3"/>
      <c r="IKZ119" s="3"/>
      <c r="ILA119" s="3"/>
      <c r="ILB119" s="3"/>
      <c r="ILC119" s="3"/>
      <c r="ILD119" s="3"/>
      <c r="ILE119" s="3"/>
      <c r="ILF119" s="3"/>
      <c r="ILG119" s="3"/>
      <c r="ILH119" s="3"/>
      <c r="ILI119" s="3"/>
      <c r="ILJ119" s="3"/>
      <c r="ILK119" s="3"/>
      <c r="ILL119" s="3"/>
      <c r="ILM119" s="3"/>
      <c r="ILN119" s="3"/>
      <c r="ILO119" s="3"/>
      <c r="ILP119" s="3"/>
      <c r="ILQ119" s="3"/>
      <c r="ILR119" s="3"/>
      <c r="ILS119" s="3"/>
      <c r="ILT119" s="3"/>
      <c r="ILU119" s="3"/>
      <c r="ILV119" s="3"/>
      <c r="ILW119" s="3"/>
      <c r="ILX119" s="3"/>
      <c r="ILY119" s="3"/>
      <c r="ILZ119" s="3"/>
      <c r="IMA119" s="3"/>
      <c r="IMB119" s="3"/>
      <c r="IMC119" s="3"/>
      <c r="IMD119" s="3"/>
      <c r="IME119" s="3"/>
      <c r="IMF119" s="3"/>
      <c r="IMG119" s="3"/>
      <c r="IMH119" s="3"/>
      <c r="IMI119" s="3"/>
      <c r="IMJ119" s="3"/>
      <c r="IMK119" s="3"/>
      <c r="IML119" s="3"/>
      <c r="IMM119" s="3"/>
      <c r="IMN119" s="3"/>
      <c r="IMO119" s="3"/>
      <c r="IMP119" s="3"/>
      <c r="IMQ119" s="3"/>
      <c r="IMR119" s="3"/>
      <c r="IMS119" s="3"/>
      <c r="IMT119" s="3"/>
      <c r="IMU119" s="3"/>
      <c r="IMV119" s="3"/>
      <c r="IMW119" s="3"/>
      <c r="IMX119" s="3"/>
      <c r="IMY119" s="3"/>
      <c r="IMZ119" s="3"/>
      <c r="INA119" s="3"/>
      <c r="INB119" s="3"/>
      <c r="INC119" s="3"/>
      <c r="IND119" s="3"/>
      <c r="INE119" s="3"/>
      <c r="INF119" s="3"/>
      <c r="ING119" s="3"/>
      <c r="INH119" s="3"/>
      <c r="INI119" s="3"/>
      <c r="INJ119" s="3"/>
      <c r="INK119" s="3"/>
      <c r="INL119" s="3"/>
      <c r="INM119" s="3"/>
      <c r="INN119" s="3"/>
      <c r="INO119" s="3"/>
      <c r="INP119" s="3"/>
      <c r="INQ119" s="3"/>
      <c r="INR119" s="3"/>
      <c r="INS119" s="3"/>
      <c r="INT119" s="3"/>
      <c r="INU119" s="3"/>
      <c r="INV119" s="3"/>
      <c r="INW119" s="3"/>
      <c r="INX119" s="3"/>
      <c r="INY119" s="3"/>
      <c r="INZ119" s="3"/>
      <c r="IOA119" s="3"/>
      <c r="IOB119" s="3"/>
      <c r="IOC119" s="3"/>
      <c r="IOD119" s="3"/>
      <c r="IOE119" s="3"/>
      <c r="IOF119" s="3"/>
      <c r="IOG119" s="3"/>
      <c r="IOH119" s="3"/>
      <c r="IOI119" s="3"/>
      <c r="IOJ119" s="3"/>
      <c r="IOK119" s="3"/>
      <c r="IOL119" s="3"/>
      <c r="IOM119" s="3"/>
      <c r="ION119" s="3"/>
      <c r="IOO119" s="3"/>
      <c r="IOP119" s="3"/>
      <c r="IOQ119" s="3"/>
      <c r="IOR119" s="3"/>
      <c r="IOS119" s="3"/>
      <c r="IOT119" s="3"/>
      <c r="IOU119" s="3"/>
      <c r="IOV119" s="3"/>
      <c r="IOW119" s="3"/>
      <c r="IOX119" s="3"/>
      <c r="IOY119" s="3"/>
      <c r="IOZ119" s="3"/>
      <c r="IPA119" s="3"/>
      <c r="IPB119" s="3"/>
      <c r="IPC119" s="3"/>
      <c r="IPD119" s="3"/>
      <c r="IPE119" s="3"/>
      <c r="IPF119" s="3"/>
      <c r="IPG119" s="3"/>
      <c r="IPH119" s="3"/>
      <c r="IPI119" s="3"/>
      <c r="IPJ119" s="3"/>
      <c r="IPK119" s="3"/>
      <c r="IPL119" s="3"/>
      <c r="IPM119" s="3"/>
      <c r="IPN119" s="3"/>
      <c r="IPO119" s="3"/>
      <c r="IPP119" s="3"/>
      <c r="IPQ119" s="3"/>
      <c r="IPR119" s="3"/>
      <c r="IPS119" s="3"/>
      <c r="IPT119" s="3"/>
      <c r="IPU119" s="3"/>
      <c r="IPV119" s="3"/>
      <c r="IPW119" s="3"/>
      <c r="IPX119" s="3"/>
      <c r="IPY119" s="3"/>
      <c r="IPZ119" s="3"/>
      <c r="IQA119" s="3"/>
      <c r="IQB119" s="3"/>
      <c r="IQC119" s="3"/>
      <c r="IQD119" s="3"/>
      <c r="IQE119" s="3"/>
      <c r="IQF119" s="3"/>
      <c r="IQG119" s="3"/>
      <c r="IQH119" s="3"/>
      <c r="IQI119" s="3"/>
      <c r="IQJ119" s="3"/>
      <c r="IQK119" s="3"/>
      <c r="IQL119" s="3"/>
      <c r="IQM119" s="3"/>
      <c r="IQN119" s="3"/>
      <c r="IQO119" s="3"/>
      <c r="IQP119" s="3"/>
      <c r="IQQ119" s="3"/>
      <c r="IQR119" s="3"/>
      <c r="IQS119" s="3"/>
      <c r="IQT119" s="3"/>
      <c r="IQU119" s="3"/>
      <c r="IQV119" s="3"/>
      <c r="IQW119" s="3"/>
      <c r="IQX119" s="3"/>
      <c r="IQY119" s="3"/>
      <c r="IQZ119" s="3"/>
      <c r="IRA119" s="3"/>
      <c r="IRB119" s="3"/>
      <c r="IRC119" s="3"/>
      <c r="IRD119" s="3"/>
      <c r="IRE119" s="3"/>
      <c r="IRF119" s="3"/>
      <c r="IRG119" s="3"/>
      <c r="IRH119" s="3"/>
      <c r="IRI119" s="3"/>
      <c r="IRJ119" s="3"/>
      <c r="IRK119" s="3"/>
      <c r="IRL119" s="3"/>
      <c r="IRM119" s="3"/>
      <c r="IRN119" s="3"/>
      <c r="IRO119" s="3"/>
      <c r="IRP119" s="3"/>
      <c r="IRQ119" s="3"/>
      <c r="IRR119" s="3"/>
      <c r="IRS119" s="3"/>
      <c r="IRT119" s="3"/>
      <c r="IRU119" s="3"/>
      <c r="IRV119" s="3"/>
      <c r="IRW119" s="3"/>
      <c r="IRX119" s="3"/>
      <c r="IRY119" s="3"/>
      <c r="IRZ119" s="3"/>
      <c r="ISA119" s="3"/>
      <c r="ISB119" s="3"/>
      <c r="ISC119" s="3"/>
      <c r="ISD119" s="3"/>
      <c r="ISE119" s="3"/>
      <c r="ISF119" s="3"/>
      <c r="ISG119" s="3"/>
      <c r="ISH119" s="3"/>
      <c r="ISI119" s="3"/>
      <c r="ISJ119" s="3"/>
      <c r="ISK119" s="3"/>
      <c r="ISL119" s="3"/>
      <c r="ISM119" s="3"/>
      <c r="ISN119" s="3"/>
      <c r="ISO119" s="3"/>
      <c r="ISP119" s="3"/>
      <c r="ISQ119" s="3"/>
      <c r="ISR119" s="3"/>
      <c r="ISS119" s="3"/>
      <c r="IST119" s="3"/>
      <c r="ISU119" s="3"/>
      <c r="ISV119" s="3"/>
      <c r="ISW119" s="3"/>
      <c r="ISX119" s="3"/>
      <c r="ISY119" s="3"/>
      <c r="ISZ119" s="3"/>
      <c r="ITA119" s="3"/>
      <c r="ITB119" s="3"/>
      <c r="ITC119" s="3"/>
      <c r="ITD119" s="3"/>
      <c r="ITE119" s="3"/>
      <c r="ITF119" s="3"/>
      <c r="ITG119" s="3"/>
      <c r="ITH119" s="3"/>
      <c r="ITI119" s="3"/>
      <c r="ITJ119" s="3"/>
      <c r="ITK119" s="3"/>
      <c r="ITL119" s="3"/>
      <c r="ITM119" s="3"/>
      <c r="ITN119" s="3"/>
      <c r="ITO119" s="3"/>
      <c r="ITP119" s="3"/>
      <c r="ITQ119" s="3"/>
      <c r="ITR119" s="3"/>
      <c r="ITS119" s="3"/>
      <c r="ITT119" s="3"/>
      <c r="ITU119" s="3"/>
      <c r="ITV119" s="3"/>
      <c r="ITW119" s="3"/>
      <c r="ITX119" s="3"/>
      <c r="ITY119" s="3"/>
      <c r="ITZ119" s="3"/>
      <c r="IUA119" s="3"/>
      <c r="IUB119" s="3"/>
      <c r="IUC119" s="3"/>
      <c r="IUD119" s="3"/>
      <c r="IUE119" s="3"/>
      <c r="IUF119" s="3"/>
      <c r="IUG119" s="3"/>
      <c r="IUH119" s="3"/>
      <c r="IUI119" s="3"/>
      <c r="IUJ119" s="3"/>
      <c r="IUK119" s="3"/>
      <c r="IUL119" s="3"/>
      <c r="IUM119" s="3"/>
      <c r="IUN119" s="3"/>
      <c r="IUO119" s="3"/>
      <c r="IUP119" s="3"/>
      <c r="IUQ119" s="3"/>
      <c r="IUR119" s="3"/>
      <c r="IUS119" s="3"/>
      <c r="IUT119" s="3"/>
      <c r="IUU119" s="3"/>
      <c r="IUV119" s="3"/>
      <c r="IUW119" s="3"/>
      <c r="IUX119" s="3"/>
      <c r="IUY119" s="3"/>
      <c r="IUZ119" s="3"/>
      <c r="IVA119" s="3"/>
      <c r="IVB119" s="3"/>
      <c r="IVC119" s="3"/>
      <c r="IVD119" s="3"/>
      <c r="IVE119" s="3"/>
      <c r="IVF119" s="3"/>
      <c r="IVG119" s="3"/>
      <c r="IVH119" s="3"/>
      <c r="IVI119" s="3"/>
      <c r="IVJ119" s="3"/>
      <c r="IVK119" s="3"/>
      <c r="IVL119" s="3"/>
      <c r="IVM119" s="3"/>
      <c r="IVN119" s="3"/>
      <c r="IVO119" s="3"/>
      <c r="IVP119" s="3"/>
      <c r="IVQ119" s="3"/>
      <c r="IVR119" s="3"/>
      <c r="IVS119" s="3"/>
      <c r="IVT119" s="3"/>
      <c r="IVU119" s="3"/>
      <c r="IVV119" s="3"/>
      <c r="IVW119" s="3"/>
      <c r="IVX119" s="3"/>
      <c r="IVY119" s="3"/>
      <c r="IVZ119" s="3"/>
      <c r="IWA119" s="3"/>
      <c r="IWB119" s="3"/>
      <c r="IWC119" s="3"/>
      <c r="IWD119" s="3"/>
      <c r="IWE119" s="3"/>
      <c r="IWF119" s="3"/>
      <c r="IWG119" s="3"/>
      <c r="IWH119" s="3"/>
      <c r="IWI119" s="3"/>
      <c r="IWJ119" s="3"/>
      <c r="IWK119" s="3"/>
      <c r="IWL119" s="3"/>
      <c r="IWM119" s="3"/>
      <c r="IWN119" s="3"/>
      <c r="IWO119" s="3"/>
      <c r="IWP119" s="3"/>
      <c r="IWQ119" s="3"/>
      <c r="IWR119" s="3"/>
      <c r="IWS119" s="3"/>
      <c r="IWT119" s="3"/>
      <c r="IWU119" s="3"/>
      <c r="IWV119" s="3"/>
      <c r="IWW119" s="3"/>
      <c r="IWX119" s="3"/>
      <c r="IWY119" s="3"/>
      <c r="IWZ119" s="3"/>
      <c r="IXA119" s="3"/>
      <c r="IXB119" s="3"/>
      <c r="IXC119" s="3"/>
      <c r="IXD119" s="3"/>
      <c r="IXE119" s="3"/>
      <c r="IXF119" s="3"/>
      <c r="IXG119" s="3"/>
      <c r="IXH119" s="3"/>
      <c r="IXI119" s="3"/>
      <c r="IXJ119" s="3"/>
      <c r="IXK119" s="3"/>
      <c r="IXL119" s="3"/>
      <c r="IXM119" s="3"/>
      <c r="IXN119" s="3"/>
      <c r="IXO119" s="3"/>
      <c r="IXP119" s="3"/>
      <c r="IXQ119" s="3"/>
      <c r="IXR119" s="3"/>
      <c r="IXS119" s="3"/>
      <c r="IXT119" s="3"/>
      <c r="IXU119" s="3"/>
      <c r="IXV119" s="3"/>
      <c r="IXW119" s="3"/>
      <c r="IXX119" s="3"/>
      <c r="IXY119" s="3"/>
      <c r="IXZ119" s="3"/>
      <c r="IYA119" s="3"/>
      <c r="IYB119" s="3"/>
      <c r="IYC119" s="3"/>
      <c r="IYD119" s="3"/>
      <c r="IYE119" s="3"/>
      <c r="IYF119" s="3"/>
      <c r="IYG119" s="3"/>
      <c r="IYH119" s="3"/>
      <c r="IYI119" s="3"/>
      <c r="IYJ119" s="3"/>
      <c r="IYK119" s="3"/>
      <c r="IYL119" s="3"/>
      <c r="IYM119" s="3"/>
      <c r="IYN119" s="3"/>
      <c r="IYO119" s="3"/>
      <c r="IYP119" s="3"/>
      <c r="IYQ119" s="3"/>
      <c r="IYR119" s="3"/>
      <c r="IYS119" s="3"/>
      <c r="IYT119" s="3"/>
      <c r="IYU119" s="3"/>
      <c r="IYV119" s="3"/>
      <c r="IYW119" s="3"/>
      <c r="IYX119" s="3"/>
      <c r="IYY119" s="3"/>
      <c r="IYZ119" s="3"/>
      <c r="IZA119" s="3"/>
      <c r="IZB119" s="3"/>
      <c r="IZC119" s="3"/>
      <c r="IZD119" s="3"/>
      <c r="IZE119" s="3"/>
      <c r="IZF119" s="3"/>
      <c r="IZG119" s="3"/>
      <c r="IZH119" s="3"/>
      <c r="IZI119" s="3"/>
      <c r="IZJ119" s="3"/>
      <c r="IZK119" s="3"/>
      <c r="IZL119" s="3"/>
      <c r="IZM119" s="3"/>
      <c r="IZN119" s="3"/>
      <c r="IZO119" s="3"/>
      <c r="IZP119" s="3"/>
      <c r="IZQ119" s="3"/>
      <c r="IZR119" s="3"/>
      <c r="IZS119" s="3"/>
      <c r="IZT119" s="3"/>
      <c r="IZU119" s="3"/>
      <c r="IZV119" s="3"/>
      <c r="IZW119" s="3"/>
      <c r="IZX119" s="3"/>
      <c r="IZY119" s="3"/>
      <c r="IZZ119" s="3"/>
      <c r="JAA119" s="3"/>
      <c r="JAB119" s="3"/>
      <c r="JAC119" s="3"/>
      <c r="JAD119" s="3"/>
      <c r="JAE119" s="3"/>
      <c r="JAF119" s="3"/>
      <c r="JAG119" s="3"/>
      <c r="JAH119" s="3"/>
      <c r="JAI119" s="3"/>
      <c r="JAJ119" s="3"/>
      <c r="JAK119" s="3"/>
      <c r="JAL119" s="3"/>
      <c r="JAM119" s="3"/>
      <c r="JAN119" s="3"/>
      <c r="JAO119" s="3"/>
      <c r="JAP119" s="3"/>
      <c r="JAQ119" s="3"/>
      <c r="JAR119" s="3"/>
      <c r="JAS119" s="3"/>
      <c r="JAT119" s="3"/>
      <c r="JAU119" s="3"/>
      <c r="JAV119" s="3"/>
      <c r="JAW119" s="3"/>
      <c r="JAX119" s="3"/>
      <c r="JAY119" s="3"/>
      <c r="JAZ119" s="3"/>
      <c r="JBA119" s="3"/>
      <c r="JBB119" s="3"/>
      <c r="JBC119" s="3"/>
      <c r="JBD119" s="3"/>
      <c r="JBE119" s="3"/>
      <c r="JBF119" s="3"/>
      <c r="JBG119" s="3"/>
      <c r="JBH119" s="3"/>
      <c r="JBI119" s="3"/>
      <c r="JBJ119" s="3"/>
      <c r="JBK119" s="3"/>
      <c r="JBL119" s="3"/>
      <c r="JBM119" s="3"/>
      <c r="JBN119" s="3"/>
      <c r="JBO119" s="3"/>
      <c r="JBP119" s="3"/>
      <c r="JBQ119" s="3"/>
      <c r="JBR119" s="3"/>
      <c r="JBS119" s="3"/>
      <c r="JBT119" s="3"/>
      <c r="JBU119" s="3"/>
      <c r="JBV119" s="3"/>
      <c r="JBW119" s="3"/>
      <c r="JBX119" s="3"/>
      <c r="JBY119" s="3"/>
      <c r="JBZ119" s="3"/>
      <c r="JCA119" s="3"/>
      <c r="JCB119" s="3"/>
      <c r="JCC119" s="3"/>
      <c r="JCD119" s="3"/>
      <c r="JCE119" s="3"/>
      <c r="JCF119" s="3"/>
      <c r="JCG119" s="3"/>
      <c r="JCH119" s="3"/>
      <c r="JCI119" s="3"/>
      <c r="JCJ119" s="3"/>
      <c r="JCK119" s="3"/>
      <c r="JCL119" s="3"/>
      <c r="JCM119" s="3"/>
      <c r="JCN119" s="3"/>
      <c r="JCO119" s="3"/>
      <c r="JCP119" s="3"/>
      <c r="JCQ119" s="3"/>
      <c r="JCR119" s="3"/>
      <c r="JCS119" s="3"/>
      <c r="JCT119" s="3"/>
      <c r="JCU119" s="3"/>
      <c r="JCV119" s="3"/>
      <c r="JCW119" s="3"/>
      <c r="JCX119" s="3"/>
      <c r="JCY119" s="3"/>
      <c r="JCZ119" s="3"/>
      <c r="JDA119" s="3"/>
      <c r="JDB119" s="3"/>
      <c r="JDC119" s="3"/>
      <c r="JDD119" s="3"/>
      <c r="JDE119" s="3"/>
      <c r="JDF119" s="3"/>
      <c r="JDG119" s="3"/>
      <c r="JDH119" s="3"/>
      <c r="JDI119" s="3"/>
      <c r="JDJ119" s="3"/>
      <c r="JDK119" s="3"/>
      <c r="JDL119" s="3"/>
      <c r="JDM119" s="3"/>
      <c r="JDN119" s="3"/>
      <c r="JDO119" s="3"/>
      <c r="JDP119" s="3"/>
      <c r="JDQ119" s="3"/>
      <c r="JDR119" s="3"/>
      <c r="JDS119" s="3"/>
      <c r="JDT119" s="3"/>
      <c r="JDU119" s="3"/>
      <c r="JDV119" s="3"/>
      <c r="JDW119" s="3"/>
      <c r="JDX119" s="3"/>
      <c r="JDY119" s="3"/>
      <c r="JDZ119" s="3"/>
      <c r="JEA119" s="3"/>
      <c r="JEB119" s="3"/>
      <c r="JEC119" s="3"/>
      <c r="JED119" s="3"/>
      <c r="JEE119" s="3"/>
      <c r="JEF119" s="3"/>
      <c r="JEG119" s="3"/>
      <c r="JEH119" s="3"/>
      <c r="JEI119" s="3"/>
      <c r="JEJ119" s="3"/>
      <c r="JEK119" s="3"/>
      <c r="JEL119" s="3"/>
      <c r="JEM119" s="3"/>
      <c r="JEN119" s="3"/>
      <c r="JEO119" s="3"/>
      <c r="JEP119" s="3"/>
      <c r="JEQ119" s="3"/>
      <c r="JER119" s="3"/>
      <c r="JES119" s="3"/>
      <c r="JET119" s="3"/>
      <c r="JEU119" s="3"/>
      <c r="JEV119" s="3"/>
      <c r="JEW119" s="3"/>
      <c r="JEX119" s="3"/>
      <c r="JEY119" s="3"/>
      <c r="JEZ119" s="3"/>
      <c r="JFA119" s="3"/>
      <c r="JFB119" s="3"/>
      <c r="JFC119" s="3"/>
      <c r="JFD119" s="3"/>
      <c r="JFE119" s="3"/>
      <c r="JFF119" s="3"/>
      <c r="JFG119" s="3"/>
      <c r="JFH119" s="3"/>
      <c r="JFI119" s="3"/>
      <c r="JFJ119" s="3"/>
      <c r="JFK119" s="3"/>
      <c r="JFL119" s="3"/>
      <c r="JFM119" s="3"/>
      <c r="JFN119" s="3"/>
      <c r="JFO119" s="3"/>
      <c r="JFP119" s="3"/>
      <c r="JFQ119" s="3"/>
      <c r="JFR119" s="3"/>
      <c r="JFS119" s="3"/>
      <c r="JFT119" s="3"/>
      <c r="JFU119" s="3"/>
      <c r="JFV119" s="3"/>
      <c r="JFW119" s="3"/>
      <c r="JFX119" s="3"/>
      <c r="JFY119" s="3"/>
      <c r="JFZ119" s="3"/>
      <c r="JGA119" s="3"/>
      <c r="JGB119" s="3"/>
      <c r="JGC119" s="3"/>
      <c r="JGD119" s="3"/>
      <c r="JGE119" s="3"/>
      <c r="JGF119" s="3"/>
      <c r="JGG119" s="3"/>
      <c r="JGH119" s="3"/>
      <c r="JGI119" s="3"/>
      <c r="JGJ119" s="3"/>
      <c r="JGK119" s="3"/>
      <c r="JGL119" s="3"/>
      <c r="JGM119" s="3"/>
      <c r="JGN119" s="3"/>
      <c r="JGO119" s="3"/>
      <c r="JGP119" s="3"/>
      <c r="JGQ119" s="3"/>
      <c r="JGR119" s="3"/>
      <c r="JGS119" s="3"/>
      <c r="JGT119" s="3"/>
      <c r="JGU119" s="3"/>
      <c r="JGV119" s="3"/>
      <c r="JGW119" s="3"/>
      <c r="JGX119" s="3"/>
      <c r="JGY119" s="3"/>
      <c r="JGZ119" s="3"/>
      <c r="JHA119" s="3"/>
      <c r="JHB119" s="3"/>
      <c r="JHC119" s="3"/>
      <c r="JHD119" s="3"/>
      <c r="JHE119" s="3"/>
      <c r="JHF119" s="3"/>
      <c r="JHG119" s="3"/>
      <c r="JHH119" s="3"/>
      <c r="JHI119" s="3"/>
      <c r="JHJ119" s="3"/>
      <c r="JHK119" s="3"/>
      <c r="JHL119" s="3"/>
      <c r="JHM119" s="3"/>
      <c r="JHN119" s="3"/>
      <c r="JHO119" s="3"/>
      <c r="JHP119" s="3"/>
      <c r="JHQ119" s="3"/>
      <c r="JHR119" s="3"/>
      <c r="JHS119" s="3"/>
      <c r="JHT119" s="3"/>
      <c r="JHU119" s="3"/>
      <c r="JHV119" s="3"/>
      <c r="JHW119" s="3"/>
      <c r="JHX119" s="3"/>
      <c r="JHY119" s="3"/>
      <c r="JHZ119" s="3"/>
      <c r="JIA119" s="3"/>
      <c r="JIB119" s="3"/>
      <c r="JIC119" s="3"/>
      <c r="JID119" s="3"/>
      <c r="JIE119" s="3"/>
      <c r="JIF119" s="3"/>
      <c r="JIG119" s="3"/>
      <c r="JIH119" s="3"/>
      <c r="JII119" s="3"/>
      <c r="JIJ119" s="3"/>
      <c r="JIK119" s="3"/>
      <c r="JIL119" s="3"/>
      <c r="JIM119" s="3"/>
      <c r="JIN119" s="3"/>
      <c r="JIO119" s="3"/>
      <c r="JIP119" s="3"/>
      <c r="JIQ119" s="3"/>
      <c r="JIR119" s="3"/>
      <c r="JIS119" s="3"/>
      <c r="JIT119" s="3"/>
      <c r="JIU119" s="3"/>
      <c r="JIV119" s="3"/>
      <c r="JIW119" s="3"/>
      <c r="JIX119" s="3"/>
      <c r="JIY119" s="3"/>
      <c r="JIZ119" s="3"/>
      <c r="JJA119" s="3"/>
      <c r="JJB119" s="3"/>
      <c r="JJC119" s="3"/>
      <c r="JJD119" s="3"/>
      <c r="JJE119" s="3"/>
      <c r="JJF119" s="3"/>
      <c r="JJG119" s="3"/>
      <c r="JJH119" s="3"/>
      <c r="JJI119" s="3"/>
      <c r="JJJ119" s="3"/>
      <c r="JJK119" s="3"/>
      <c r="JJL119" s="3"/>
      <c r="JJM119" s="3"/>
      <c r="JJN119" s="3"/>
      <c r="JJO119" s="3"/>
      <c r="JJP119" s="3"/>
      <c r="JJQ119" s="3"/>
      <c r="JJR119" s="3"/>
      <c r="JJS119" s="3"/>
      <c r="JJT119" s="3"/>
      <c r="JJU119" s="3"/>
      <c r="JJV119" s="3"/>
      <c r="JJW119" s="3"/>
      <c r="JJX119" s="3"/>
      <c r="JJY119" s="3"/>
      <c r="JJZ119" s="3"/>
      <c r="JKA119" s="3"/>
      <c r="JKB119" s="3"/>
      <c r="JKC119" s="3"/>
      <c r="JKD119" s="3"/>
      <c r="JKE119" s="3"/>
      <c r="JKF119" s="3"/>
      <c r="JKG119" s="3"/>
      <c r="JKH119" s="3"/>
      <c r="JKI119" s="3"/>
      <c r="JKJ119" s="3"/>
      <c r="JKK119" s="3"/>
      <c r="JKL119" s="3"/>
      <c r="JKM119" s="3"/>
      <c r="JKN119" s="3"/>
      <c r="JKO119" s="3"/>
      <c r="JKP119" s="3"/>
      <c r="JKQ119" s="3"/>
      <c r="JKR119" s="3"/>
      <c r="JKS119" s="3"/>
      <c r="JKT119" s="3"/>
      <c r="JKU119" s="3"/>
      <c r="JKV119" s="3"/>
      <c r="JKW119" s="3"/>
      <c r="JKX119" s="3"/>
      <c r="JKY119" s="3"/>
      <c r="JKZ119" s="3"/>
      <c r="JLA119" s="3"/>
      <c r="JLB119" s="3"/>
      <c r="JLC119" s="3"/>
      <c r="JLD119" s="3"/>
      <c r="JLE119" s="3"/>
      <c r="JLF119" s="3"/>
      <c r="JLG119" s="3"/>
      <c r="JLH119" s="3"/>
      <c r="JLI119" s="3"/>
      <c r="JLJ119" s="3"/>
      <c r="JLK119" s="3"/>
      <c r="JLL119" s="3"/>
      <c r="JLM119" s="3"/>
      <c r="JLN119" s="3"/>
      <c r="JLO119" s="3"/>
      <c r="JLP119" s="3"/>
      <c r="JLQ119" s="3"/>
      <c r="JLR119" s="3"/>
      <c r="JLS119" s="3"/>
      <c r="JLT119" s="3"/>
      <c r="JLU119" s="3"/>
      <c r="JLV119" s="3"/>
      <c r="JLW119" s="3"/>
      <c r="JLX119" s="3"/>
      <c r="JLY119" s="3"/>
      <c r="JLZ119" s="3"/>
      <c r="JMA119" s="3"/>
      <c r="JMB119" s="3"/>
      <c r="JMC119" s="3"/>
      <c r="JMD119" s="3"/>
      <c r="JME119" s="3"/>
      <c r="JMF119" s="3"/>
      <c r="JMG119" s="3"/>
      <c r="JMH119" s="3"/>
      <c r="JMI119" s="3"/>
      <c r="JMJ119" s="3"/>
      <c r="JMK119" s="3"/>
      <c r="JML119" s="3"/>
      <c r="JMM119" s="3"/>
      <c r="JMN119" s="3"/>
      <c r="JMO119" s="3"/>
      <c r="JMP119" s="3"/>
      <c r="JMQ119" s="3"/>
      <c r="JMR119" s="3"/>
      <c r="JMS119" s="3"/>
      <c r="JMT119" s="3"/>
      <c r="JMU119" s="3"/>
      <c r="JMV119" s="3"/>
      <c r="JMW119" s="3"/>
      <c r="JMX119" s="3"/>
      <c r="JMY119" s="3"/>
      <c r="JMZ119" s="3"/>
      <c r="JNA119" s="3"/>
      <c r="JNB119" s="3"/>
      <c r="JNC119" s="3"/>
      <c r="JND119" s="3"/>
      <c r="JNE119" s="3"/>
      <c r="JNF119" s="3"/>
      <c r="JNG119" s="3"/>
      <c r="JNH119" s="3"/>
      <c r="JNI119" s="3"/>
      <c r="JNJ119" s="3"/>
      <c r="JNK119" s="3"/>
      <c r="JNL119" s="3"/>
      <c r="JNM119" s="3"/>
      <c r="JNN119" s="3"/>
      <c r="JNO119" s="3"/>
      <c r="JNP119" s="3"/>
      <c r="JNQ119" s="3"/>
      <c r="JNR119" s="3"/>
      <c r="JNS119" s="3"/>
      <c r="JNT119" s="3"/>
      <c r="JNU119" s="3"/>
      <c r="JNV119" s="3"/>
      <c r="JNW119" s="3"/>
      <c r="JNX119" s="3"/>
      <c r="JNY119" s="3"/>
      <c r="JNZ119" s="3"/>
      <c r="JOA119" s="3"/>
      <c r="JOB119" s="3"/>
      <c r="JOC119" s="3"/>
      <c r="JOD119" s="3"/>
      <c r="JOE119" s="3"/>
      <c r="JOF119" s="3"/>
      <c r="JOG119" s="3"/>
      <c r="JOH119" s="3"/>
      <c r="JOI119" s="3"/>
      <c r="JOJ119" s="3"/>
      <c r="JOK119" s="3"/>
      <c r="JOL119" s="3"/>
      <c r="JOM119" s="3"/>
      <c r="JON119" s="3"/>
      <c r="JOO119" s="3"/>
      <c r="JOP119" s="3"/>
      <c r="JOQ119" s="3"/>
      <c r="JOR119" s="3"/>
      <c r="JOS119" s="3"/>
      <c r="JOT119" s="3"/>
      <c r="JOU119" s="3"/>
      <c r="JOV119" s="3"/>
      <c r="JOW119" s="3"/>
      <c r="JOX119" s="3"/>
      <c r="JOY119" s="3"/>
      <c r="JOZ119" s="3"/>
      <c r="JPA119" s="3"/>
      <c r="JPB119" s="3"/>
      <c r="JPC119" s="3"/>
      <c r="JPD119" s="3"/>
      <c r="JPE119" s="3"/>
      <c r="JPF119" s="3"/>
      <c r="JPG119" s="3"/>
      <c r="JPH119" s="3"/>
      <c r="JPI119" s="3"/>
      <c r="JPJ119" s="3"/>
      <c r="JPK119" s="3"/>
      <c r="JPL119" s="3"/>
      <c r="JPM119" s="3"/>
      <c r="JPN119" s="3"/>
      <c r="JPO119" s="3"/>
      <c r="JPP119" s="3"/>
      <c r="JPQ119" s="3"/>
      <c r="JPR119" s="3"/>
      <c r="JPS119" s="3"/>
      <c r="JPT119" s="3"/>
      <c r="JPU119" s="3"/>
      <c r="JPV119" s="3"/>
      <c r="JPW119" s="3"/>
      <c r="JPX119" s="3"/>
      <c r="JPY119" s="3"/>
      <c r="JPZ119" s="3"/>
      <c r="JQA119" s="3"/>
      <c r="JQB119" s="3"/>
      <c r="JQC119" s="3"/>
      <c r="JQD119" s="3"/>
      <c r="JQE119" s="3"/>
      <c r="JQF119" s="3"/>
      <c r="JQG119" s="3"/>
      <c r="JQH119" s="3"/>
      <c r="JQI119" s="3"/>
      <c r="JQJ119" s="3"/>
      <c r="JQK119" s="3"/>
      <c r="JQL119" s="3"/>
      <c r="JQM119" s="3"/>
      <c r="JQN119" s="3"/>
      <c r="JQO119" s="3"/>
      <c r="JQP119" s="3"/>
      <c r="JQQ119" s="3"/>
      <c r="JQR119" s="3"/>
      <c r="JQS119" s="3"/>
      <c r="JQT119" s="3"/>
      <c r="JQU119" s="3"/>
      <c r="JQV119" s="3"/>
      <c r="JQW119" s="3"/>
      <c r="JQX119" s="3"/>
      <c r="JQY119" s="3"/>
      <c r="JQZ119" s="3"/>
      <c r="JRA119" s="3"/>
      <c r="JRB119" s="3"/>
      <c r="JRC119" s="3"/>
      <c r="JRD119" s="3"/>
      <c r="JRE119" s="3"/>
      <c r="JRF119" s="3"/>
      <c r="JRG119" s="3"/>
      <c r="JRH119" s="3"/>
      <c r="JRI119" s="3"/>
      <c r="JRJ119" s="3"/>
      <c r="JRK119" s="3"/>
      <c r="JRL119" s="3"/>
      <c r="JRM119" s="3"/>
      <c r="JRN119" s="3"/>
      <c r="JRO119" s="3"/>
      <c r="JRP119" s="3"/>
      <c r="JRQ119" s="3"/>
      <c r="JRR119" s="3"/>
      <c r="JRS119" s="3"/>
      <c r="JRT119" s="3"/>
      <c r="JRU119" s="3"/>
      <c r="JRV119" s="3"/>
      <c r="JRW119" s="3"/>
      <c r="JRX119" s="3"/>
      <c r="JRY119" s="3"/>
      <c r="JRZ119" s="3"/>
      <c r="JSA119" s="3"/>
      <c r="JSB119" s="3"/>
      <c r="JSC119" s="3"/>
      <c r="JSD119" s="3"/>
      <c r="JSE119" s="3"/>
      <c r="JSF119" s="3"/>
      <c r="JSG119" s="3"/>
      <c r="JSH119" s="3"/>
      <c r="JSI119" s="3"/>
      <c r="JSJ119" s="3"/>
      <c r="JSK119" s="3"/>
      <c r="JSL119" s="3"/>
      <c r="JSM119" s="3"/>
      <c r="JSN119" s="3"/>
      <c r="JSO119" s="3"/>
      <c r="JSP119" s="3"/>
      <c r="JSQ119" s="3"/>
      <c r="JSR119" s="3"/>
      <c r="JSS119" s="3"/>
      <c r="JST119" s="3"/>
      <c r="JSU119" s="3"/>
      <c r="JSV119" s="3"/>
      <c r="JSW119" s="3"/>
      <c r="JSX119" s="3"/>
      <c r="JSY119" s="3"/>
      <c r="JSZ119" s="3"/>
      <c r="JTA119" s="3"/>
      <c r="JTB119" s="3"/>
      <c r="JTC119" s="3"/>
      <c r="JTD119" s="3"/>
      <c r="JTE119" s="3"/>
      <c r="JTF119" s="3"/>
      <c r="JTG119" s="3"/>
      <c r="JTH119" s="3"/>
      <c r="JTI119" s="3"/>
      <c r="JTJ119" s="3"/>
      <c r="JTK119" s="3"/>
      <c r="JTL119" s="3"/>
      <c r="JTM119" s="3"/>
      <c r="JTN119" s="3"/>
      <c r="JTO119" s="3"/>
      <c r="JTP119" s="3"/>
      <c r="JTQ119" s="3"/>
      <c r="JTR119" s="3"/>
      <c r="JTS119" s="3"/>
      <c r="JTT119" s="3"/>
      <c r="JTU119" s="3"/>
      <c r="JTV119" s="3"/>
      <c r="JTW119" s="3"/>
      <c r="JTX119" s="3"/>
      <c r="JTY119" s="3"/>
      <c r="JTZ119" s="3"/>
      <c r="JUA119" s="3"/>
      <c r="JUB119" s="3"/>
      <c r="JUC119" s="3"/>
      <c r="JUD119" s="3"/>
      <c r="JUE119" s="3"/>
      <c r="JUF119" s="3"/>
      <c r="JUG119" s="3"/>
      <c r="JUH119" s="3"/>
      <c r="JUI119" s="3"/>
      <c r="JUJ119" s="3"/>
      <c r="JUK119" s="3"/>
      <c r="JUL119" s="3"/>
      <c r="JUM119" s="3"/>
      <c r="JUN119" s="3"/>
      <c r="JUO119" s="3"/>
      <c r="JUP119" s="3"/>
      <c r="JUQ119" s="3"/>
      <c r="JUR119" s="3"/>
      <c r="JUS119" s="3"/>
      <c r="JUT119" s="3"/>
      <c r="JUU119" s="3"/>
      <c r="JUV119" s="3"/>
      <c r="JUW119" s="3"/>
      <c r="JUX119" s="3"/>
      <c r="JUY119" s="3"/>
      <c r="JUZ119" s="3"/>
      <c r="JVA119" s="3"/>
      <c r="JVB119" s="3"/>
      <c r="JVC119" s="3"/>
      <c r="JVD119" s="3"/>
      <c r="JVE119" s="3"/>
      <c r="JVF119" s="3"/>
      <c r="JVG119" s="3"/>
      <c r="JVH119" s="3"/>
      <c r="JVI119" s="3"/>
      <c r="JVJ119" s="3"/>
      <c r="JVK119" s="3"/>
      <c r="JVL119" s="3"/>
      <c r="JVM119" s="3"/>
      <c r="JVN119" s="3"/>
      <c r="JVO119" s="3"/>
      <c r="JVP119" s="3"/>
      <c r="JVQ119" s="3"/>
      <c r="JVR119" s="3"/>
      <c r="JVS119" s="3"/>
      <c r="JVT119" s="3"/>
      <c r="JVU119" s="3"/>
      <c r="JVV119" s="3"/>
      <c r="JVW119" s="3"/>
      <c r="JVX119" s="3"/>
      <c r="JVY119" s="3"/>
      <c r="JVZ119" s="3"/>
      <c r="JWA119" s="3"/>
      <c r="JWB119" s="3"/>
      <c r="JWC119" s="3"/>
      <c r="JWD119" s="3"/>
      <c r="JWE119" s="3"/>
      <c r="JWF119" s="3"/>
      <c r="JWG119" s="3"/>
      <c r="JWH119" s="3"/>
      <c r="JWI119" s="3"/>
      <c r="JWJ119" s="3"/>
      <c r="JWK119" s="3"/>
      <c r="JWL119" s="3"/>
      <c r="JWM119" s="3"/>
      <c r="JWN119" s="3"/>
      <c r="JWO119" s="3"/>
      <c r="JWP119" s="3"/>
      <c r="JWQ119" s="3"/>
      <c r="JWR119" s="3"/>
      <c r="JWS119" s="3"/>
      <c r="JWT119" s="3"/>
      <c r="JWU119" s="3"/>
      <c r="JWV119" s="3"/>
      <c r="JWW119" s="3"/>
      <c r="JWX119" s="3"/>
      <c r="JWY119" s="3"/>
      <c r="JWZ119" s="3"/>
      <c r="JXA119" s="3"/>
      <c r="JXB119" s="3"/>
      <c r="JXC119" s="3"/>
      <c r="JXD119" s="3"/>
      <c r="JXE119" s="3"/>
      <c r="JXF119" s="3"/>
      <c r="JXG119" s="3"/>
      <c r="JXH119" s="3"/>
      <c r="JXI119" s="3"/>
      <c r="JXJ119" s="3"/>
      <c r="JXK119" s="3"/>
      <c r="JXL119" s="3"/>
      <c r="JXM119" s="3"/>
      <c r="JXN119" s="3"/>
      <c r="JXO119" s="3"/>
      <c r="JXP119" s="3"/>
      <c r="JXQ119" s="3"/>
      <c r="JXR119" s="3"/>
      <c r="JXS119" s="3"/>
      <c r="JXT119" s="3"/>
      <c r="JXU119" s="3"/>
      <c r="JXV119" s="3"/>
      <c r="JXW119" s="3"/>
      <c r="JXX119" s="3"/>
      <c r="JXY119" s="3"/>
      <c r="JXZ119" s="3"/>
      <c r="JYA119" s="3"/>
      <c r="JYB119" s="3"/>
      <c r="JYC119" s="3"/>
      <c r="JYD119" s="3"/>
      <c r="JYE119" s="3"/>
      <c r="JYF119" s="3"/>
      <c r="JYG119" s="3"/>
      <c r="JYH119" s="3"/>
      <c r="JYI119" s="3"/>
      <c r="JYJ119" s="3"/>
      <c r="JYK119" s="3"/>
      <c r="JYL119" s="3"/>
      <c r="JYM119" s="3"/>
      <c r="JYN119" s="3"/>
      <c r="JYO119" s="3"/>
      <c r="JYP119" s="3"/>
      <c r="JYQ119" s="3"/>
      <c r="JYR119" s="3"/>
      <c r="JYS119" s="3"/>
      <c r="JYT119" s="3"/>
      <c r="JYU119" s="3"/>
      <c r="JYV119" s="3"/>
      <c r="JYW119" s="3"/>
      <c r="JYX119" s="3"/>
      <c r="JYY119" s="3"/>
      <c r="JYZ119" s="3"/>
      <c r="JZA119" s="3"/>
      <c r="JZB119" s="3"/>
      <c r="JZC119" s="3"/>
      <c r="JZD119" s="3"/>
      <c r="JZE119" s="3"/>
      <c r="JZF119" s="3"/>
      <c r="JZG119" s="3"/>
      <c r="JZH119" s="3"/>
      <c r="JZI119" s="3"/>
      <c r="JZJ119" s="3"/>
      <c r="JZK119" s="3"/>
      <c r="JZL119" s="3"/>
      <c r="JZM119" s="3"/>
      <c r="JZN119" s="3"/>
      <c r="JZO119" s="3"/>
      <c r="JZP119" s="3"/>
      <c r="JZQ119" s="3"/>
      <c r="JZR119" s="3"/>
      <c r="JZS119" s="3"/>
      <c r="JZT119" s="3"/>
      <c r="JZU119" s="3"/>
      <c r="JZV119" s="3"/>
      <c r="JZW119" s="3"/>
      <c r="JZX119" s="3"/>
      <c r="JZY119" s="3"/>
      <c r="JZZ119" s="3"/>
      <c r="KAA119" s="3"/>
      <c r="KAB119" s="3"/>
      <c r="KAC119" s="3"/>
      <c r="KAD119" s="3"/>
      <c r="KAE119" s="3"/>
      <c r="KAF119" s="3"/>
      <c r="KAG119" s="3"/>
      <c r="KAH119" s="3"/>
      <c r="KAI119" s="3"/>
      <c r="KAJ119" s="3"/>
      <c r="KAK119" s="3"/>
      <c r="KAL119" s="3"/>
      <c r="KAM119" s="3"/>
      <c r="KAN119" s="3"/>
      <c r="KAO119" s="3"/>
      <c r="KAP119" s="3"/>
      <c r="KAQ119" s="3"/>
      <c r="KAR119" s="3"/>
      <c r="KAS119" s="3"/>
      <c r="KAT119" s="3"/>
      <c r="KAU119" s="3"/>
      <c r="KAV119" s="3"/>
      <c r="KAW119" s="3"/>
      <c r="KAX119" s="3"/>
      <c r="KAY119" s="3"/>
      <c r="KAZ119" s="3"/>
      <c r="KBA119" s="3"/>
      <c r="KBB119" s="3"/>
      <c r="KBC119" s="3"/>
      <c r="KBD119" s="3"/>
      <c r="KBE119" s="3"/>
      <c r="KBF119" s="3"/>
      <c r="KBG119" s="3"/>
      <c r="KBH119" s="3"/>
      <c r="KBI119" s="3"/>
      <c r="KBJ119" s="3"/>
      <c r="KBK119" s="3"/>
      <c r="KBL119" s="3"/>
      <c r="KBM119" s="3"/>
      <c r="KBN119" s="3"/>
      <c r="KBO119" s="3"/>
      <c r="KBP119" s="3"/>
      <c r="KBQ119" s="3"/>
      <c r="KBR119" s="3"/>
      <c r="KBS119" s="3"/>
      <c r="KBT119" s="3"/>
      <c r="KBU119" s="3"/>
      <c r="KBV119" s="3"/>
      <c r="KBW119" s="3"/>
      <c r="KBX119" s="3"/>
      <c r="KBY119" s="3"/>
      <c r="KBZ119" s="3"/>
      <c r="KCA119" s="3"/>
      <c r="KCB119" s="3"/>
      <c r="KCC119" s="3"/>
      <c r="KCD119" s="3"/>
      <c r="KCE119" s="3"/>
      <c r="KCF119" s="3"/>
      <c r="KCG119" s="3"/>
      <c r="KCH119" s="3"/>
      <c r="KCI119" s="3"/>
      <c r="KCJ119" s="3"/>
      <c r="KCK119" s="3"/>
      <c r="KCL119" s="3"/>
      <c r="KCM119" s="3"/>
      <c r="KCN119" s="3"/>
      <c r="KCO119" s="3"/>
      <c r="KCP119" s="3"/>
      <c r="KCQ119" s="3"/>
      <c r="KCR119" s="3"/>
      <c r="KCS119" s="3"/>
      <c r="KCT119" s="3"/>
      <c r="KCU119" s="3"/>
      <c r="KCV119" s="3"/>
      <c r="KCW119" s="3"/>
      <c r="KCX119" s="3"/>
      <c r="KCY119" s="3"/>
      <c r="KCZ119" s="3"/>
      <c r="KDA119" s="3"/>
      <c r="KDB119" s="3"/>
      <c r="KDC119" s="3"/>
      <c r="KDD119" s="3"/>
      <c r="KDE119" s="3"/>
      <c r="KDF119" s="3"/>
      <c r="KDG119" s="3"/>
      <c r="KDH119" s="3"/>
      <c r="KDI119" s="3"/>
      <c r="KDJ119" s="3"/>
      <c r="KDK119" s="3"/>
      <c r="KDL119" s="3"/>
      <c r="KDM119" s="3"/>
      <c r="KDN119" s="3"/>
      <c r="KDO119" s="3"/>
      <c r="KDP119" s="3"/>
      <c r="KDQ119" s="3"/>
      <c r="KDR119" s="3"/>
      <c r="KDS119" s="3"/>
      <c r="KDT119" s="3"/>
      <c r="KDU119" s="3"/>
      <c r="KDV119" s="3"/>
      <c r="KDW119" s="3"/>
      <c r="KDX119" s="3"/>
      <c r="KDY119" s="3"/>
      <c r="KDZ119" s="3"/>
      <c r="KEA119" s="3"/>
      <c r="KEB119" s="3"/>
      <c r="KEC119" s="3"/>
      <c r="KED119" s="3"/>
      <c r="KEE119" s="3"/>
      <c r="KEF119" s="3"/>
      <c r="KEG119" s="3"/>
      <c r="KEH119" s="3"/>
      <c r="KEI119" s="3"/>
      <c r="KEJ119" s="3"/>
      <c r="KEK119" s="3"/>
      <c r="KEL119" s="3"/>
      <c r="KEM119" s="3"/>
      <c r="KEN119" s="3"/>
      <c r="KEO119" s="3"/>
      <c r="KEP119" s="3"/>
      <c r="KEQ119" s="3"/>
      <c r="KER119" s="3"/>
      <c r="KES119" s="3"/>
      <c r="KET119" s="3"/>
      <c r="KEU119" s="3"/>
      <c r="KEV119" s="3"/>
      <c r="KEW119" s="3"/>
      <c r="KEX119" s="3"/>
      <c r="KEY119" s="3"/>
      <c r="KEZ119" s="3"/>
      <c r="KFA119" s="3"/>
      <c r="KFB119" s="3"/>
      <c r="KFC119" s="3"/>
      <c r="KFD119" s="3"/>
      <c r="KFE119" s="3"/>
      <c r="KFF119" s="3"/>
      <c r="KFG119" s="3"/>
      <c r="KFH119" s="3"/>
      <c r="KFI119" s="3"/>
      <c r="KFJ119" s="3"/>
      <c r="KFK119" s="3"/>
      <c r="KFL119" s="3"/>
      <c r="KFM119" s="3"/>
      <c r="KFN119" s="3"/>
      <c r="KFO119" s="3"/>
      <c r="KFP119" s="3"/>
      <c r="KFQ119" s="3"/>
      <c r="KFR119" s="3"/>
      <c r="KFS119" s="3"/>
      <c r="KFT119" s="3"/>
      <c r="KFU119" s="3"/>
      <c r="KFV119" s="3"/>
      <c r="KFW119" s="3"/>
      <c r="KFX119" s="3"/>
      <c r="KFY119" s="3"/>
      <c r="KFZ119" s="3"/>
      <c r="KGA119" s="3"/>
      <c r="KGB119" s="3"/>
      <c r="KGC119" s="3"/>
      <c r="KGD119" s="3"/>
      <c r="KGE119" s="3"/>
      <c r="KGF119" s="3"/>
      <c r="KGG119" s="3"/>
      <c r="KGH119" s="3"/>
      <c r="KGI119" s="3"/>
      <c r="KGJ119" s="3"/>
      <c r="KGK119" s="3"/>
      <c r="KGL119" s="3"/>
      <c r="KGM119" s="3"/>
      <c r="KGN119" s="3"/>
      <c r="KGO119" s="3"/>
      <c r="KGP119" s="3"/>
      <c r="KGQ119" s="3"/>
      <c r="KGR119" s="3"/>
      <c r="KGS119" s="3"/>
      <c r="KGT119" s="3"/>
      <c r="KGU119" s="3"/>
      <c r="KGV119" s="3"/>
      <c r="KGW119" s="3"/>
      <c r="KGX119" s="3"/>
      <c r="KGY119" s="3"/>
      <c r="KGZ119" s="3"/>
      <c r="KHA119" s="3"/>
      <c r="KHB119" s="3"/>
      <c r="KHC119" s="3"/>
      <c r="KHD119" s="3"/>
      <c r="KHE119" s="3"/>
      <c r="KHF119" s="3"/>
      <c r="KHG119" s="3"/>
      <c r="KHH119" s="3"/>
      <c r="KHI119" s="3"/>
      <c r="KHJ119" s="3"/>
      <c r="KHK119" s="3"/>
      <c r="KHL119" s="3"/>
      <c r="KHM119" s="3"/>
      <c r="KHN119" s="3"/>
      <c r="KHO119" s="3"/>
      <c r="KHP119" s="3"/>
      <c r="KHQ119" s="3"/>
      <c r="KHR119" s="3"/>
      <c r="KHS119" s="3"/>
      <c r="KHT119" s="3"/>
      <c r="KHU119" s="3"/>
      <c r="KHV119" s="3"/>
      <c r="KHW119" s="3"/>
      <c r="KHX119" s="3"/>
      <c r="KHY119" s="3"/>
      <c r="KHZ119" s="3"/>
      <c r="KIA119" s="3"/>
      <c r="KIB119" s="3"/>
      <c r="KIC119" s="3"/>
      <c r="KID119" s="3"/>
      <c r="KIE119" s="3"/>
      <c r="KIF119" s="3"/>
      <c r="KIG119" s="3"/>
      <c r="KIH119" s="3"/>
      <c r="KII119" s="3"/>
      <c r="KIJ119" s="3"/>
      <c r="KIK119" s="3"/>
      <c r="KIL119" s="3"/>
      <c r="KIM119" s="3"/>
      <c r="KIN119" s="3"/>
      <c r="KIO119" s="3"/>
      <c r="KIP119" s="3"/>
      <c r="KIQ119" s="3"/>
      <c r="KIR119" s="3"/>
      <c r="KIS119" s="3"/>
      <c r="KIT119" s="3"/>
      <c r="KIU119" s="3"/>
      <c r="KIV119" s="3"/>
      <c r="KIW119" s="3"/>
      <c r="KIX119" s="3"/>
      <c r="KIY119" s="3"/>
      <c r="KIZ119" s="3"/>
      <c r="KJA119" s="3"/>
      <c r="KJB119" s="3"/>
      <c r="KJC119" s="3"/>
      <c r="KJD119" s="3"/>
      <c r="KJE119" s="3"/>
      <c r="KJF119" s="3"/>
      <c r="KJG119" s="3"/>
      <c r="KJH119" s="3"/>
      <c r="KJI119" s="3"/>
      <c r="KJJ119" s="3"/>
      <c r="KJK119" s="3"/>
      <c r="KJL119" s="3"/>
      <c r="KJM119" s="3"/>
      <c r="KJN119" s="3"/>
      <c r="KJO119" s="3"/>
      <c r="KJP119" s="3"/>
      <c r="KJQ119" s="3"/>
      <c r="KJR119" s="3"/>
      <c r="KJS119" s="3"/>
      <c r="KJT119" s="3"/>
      <c r="KJU119" s="3"/>
      <c r="KJV119" s="3"/>
      <c r="KJW119" s="3"/>
      <c r="KJX119" s="3"/>
      <c r="KJY119" s="3"/>
      <c r="KJZ119" s="3"/>
      <c r="KKA119" s="3"/>
      <c r="KKB119" s="3"/>
      <c r="KKC119" s="3"/>
      <c r="KKD119" s="3"/>
      <c r="KKE119" s="3"/>
      <c r="KKF119" s="3"/>
      <c r="KKG119" s="3"/>
      <c r="KKH119" s="3"/>
      <c r="KKI119" s="3"/>
      <c r="KKJ119" s="3"/>
      <c r="KKK119" s="3"/>
      <c r="KKL119" s="3"/>
      <c r="KKM119" s="3"/>
      <c r="KKN119" s="3"/>
      <c r="KKO119" s="3"/>
      <c r="KKP119" s="3"/>
      <c r="KKQ119" s="3"/>
      <c r="KKR119" s="3"/>
      <c r="KKS119" s="3"/>
      <c r="KKT119" s="3"/>
      <c r="KKU119" s="3"/>
      <c r="KKV119" s="3"/>
      <c r="KKW119" s="3"/>
      <c r="KKX119" s="3"/>
      <c r="KKY119" s="3"/>
      <c r="KKZ119" s="3"/>
      <c r="KLA119" s="3"/>
      <c r="KLB119" s="3"/>
      <c r="KLC119" s="3"/>
      <c r="KLD119" s="3"/>
      <c r="KLE119" s="3"/>
      <c r="KLF119" s="3"/>
      <c r="KLG119" s="3"/>
      <c r="KLH119" s="3"/>
      <c r="KLI119" s="3"/>
      <c r="KLJ119" s="3"/>
      <c r="KLK119" s="3"/>
      <c r="KLL119" s="3"/>
      <c r="KLM119" s="3"/>
      <c r="KLN119" s="3"/>
      <c r="KLO119" s="3"/>
      <c r="KLP119" s="3"/>
      <c r="KLQ119" s="3"/>
      <c r="KLR119" s="3"/>
      <c r="KLS119" s="3"/>
      <c r="KLT119" s="3"/>
      <c r="KLU119" s="3"/>
      <c r="KLV119" s="3"/>
      <c r="KLW119" s="3"/>
      <c r="KLX119" s="3"/>
      <c r="KLY119" s="3"/>
      <c r="KLZ119" s="3"/>
      <c r="KMA119" s="3"/>
      <c r="KMB119" s="3"/>
      <c r="KMC119" s="3"/>
      <c r="KMD119" s="3"/>
      <c r="KME119" s="3"/>
      <c r="KMF119" s="3"/>
      <c r="KMG119" s="3"/>
      <c r="KMH119" s="3"/>
      <c r="KMI119" s="3"/>
      <c r="KMJ119" s="3"/>
      <c r="KMK119" s="3"/>
      <c r="KML119" s="3"/>
      <c r="KMM119" s="3"/>
      <c r="KMN119" s="3"/>
      <c r="KMO119" s="3"/>
      <c r="KMP119" s="3"/>
      <c r="KMQ119" s="3"/>
      <c r="KMR119" s="3"/>
      <c r="KMS119" s="3"/>
      <c r="KMT119" s="3"/>
      <c r="KMU119" s="3"/>
      <c r="KMV119" s="3"/>
      <c r="KMW119" s="3"/>
      <c r="KMX119" s="3"/>
      <c r="KMY119" s="3"/>
      <c r="KMZ119" s="3"/>
      <c r="KNA119" s="3"/>
      <c r="KNB119" s="3"/>
      <c r="KNC119" s="3"/>
      <c r="KND119" s="3"/>
      <c r="KNE119" s="3"/>
      <c r="KNF119" s="3"/>
      <c r="KNG119" s="3"/>
      <c r="KNH119" s="3"/>
      <c r="KNI119" s="3"/>
      <c r="KNJ119" s="3"/>
      <c r="KNK119" s="3"/>
      <c r="KNL119" s="3"/>
      <c r="KNM119" s="3"/>
      <c r="KNN119" s="3"/>
      <c r="KNO119" s="3"/>
      <c r="KNP119" s="3"/>
      <c r="KNQ119" s="3"/>
      <c r="KNR119" s="3"/>
      <c r="KNS119" s="3"/>
      <c r="KNT119" s="3"/>
      <c r="KNU119" s="3"/>
      <c r="KNV119" s="3"/>
      <c r="KNW119" s="3"/>
      <c r="KNX119" s="3"/>
      <c r="KNY119" s="3"/>
      <c r="KNZ119" s="3"/>
      <c r="KOA119" s="3"/>
      <c r="KOB119" s="3"/>
      <c r="KOC119" s="3"/>
      <c r="KOD119" s="3"/>
      <c r="KOE119" s="3"/>
      <c r="KOF119" s="3"/>
      <c r="KOG119" s="3"/>
      <c r="KOH119" s="3"/>
      <c r="KOI119" s="3"/>
      <c r="KOJ119" s="3"/>
      <c r="KOK119" s="3"/>
      <c r="KOL119" s="3"/>
      <c r="KOM119" s="3"/>
      <c r="KON119" s="3"/>
      <c r="KOO119" s="3"/>
      <c r="KOP119" s="3"/>
      <c r="KOQ119" s="3"/>
      <c r="KOR119" s="3"/>
      <c r="KOS119" s="3"/>
      <c r="KOT119" s="3"/>
      <c r="KOU119" s="3"/>
      <c r="KOV119" s="3"/>
      <c r="KOW119" s="3"/>
      <c r="KOX119" s="3"/>
      <c r="KOY119" s="3"/>
      <c r="KOZ119" s="3"/>
      <c r="KPA119" s="3"/>
      <c r="KPB119" s="3"/>
      <c r="KPC119" s="3"/>
      <c r="KPD119" s="3"/>
      <c r="KPE119" s="3"/>
      <c r="KPF119" s="3"/>
      <c r="KPG119" s="3"/>
      <c r="KPH119" s="3"/>
      <c r="KPI119" s="3"/>
      <c r="KPJ119" s="3"/>
      <c r="KPK119" s="3"/>
      <c r="KPL119" s="3"/>
      <c r="KPM119" s="3"/>
      <c r="KPN119" s="3"/>
      <c r="KPO119" s="3"/>
      <c r="KPP119" s="3"/>
      <c r="KPQ119" s="3"/>
      <c r="KPR119" s="3"/>
      <c r="KPS119" s="3"/>
      <c r="KPT119" s="3"/>
      <c r="KPU119" s="3"/>
      <c r="KPV119" s="3"/>
      <c r="KPW119" s="3"/>
      <c r="KPX119" s="3"/>
      <c r="KPY119" s="3"/>
      <c r="KPZ119" s="3"/>
      <c r="KQA119" s="3"/>
      <c r="KQB119" s="3"/>
      <c r="KQC119" s="3"/>
      <c r="KQD119" s="3"/>
      <c r="KQE119" s="3"/>
      <c r="KQF119" s="3"/>
      <c r="KQG119" s="3"/>
      <c r="KQH119" s="3"/>
      <c r="KQI119" s="3"/>
      <c r="KQJ119" s="3"/>
      <c r="KQK119" s="3"/>
      <c r="KQL119" s="3"/>
      <c r="KQM119" s="3"/>
      <c r="KQN119" s="3"/>
      <c r="KQO119" s="3"/>
      <c r="KQP119" s="3"/>
      <c r="KQQ119" s="3"/>
      <c r="KQR119" s="3"/>
      <c r="KQS119" s="3"/>
      <c r="KQT119" s="3"/>
      <c r="KQU119" s="3"/>
      <c r="KQV119" s="3"/>
      <c r="KQW119" s="3"/>
      <c r="KQX119" s="3"/>
      <c r="KQY119" s="3"/>
      <c r="KQZ119" s="3"/>
      <c r="KRA119" s="3"/>
      <c r="KRB119" s="3"/>
      <c r="KRC119" s="3"/>
      <c r="KRD119" s="3"/>
      <c r="KRE119" s="3"/>
      <c r="KRF119" s="3"/>
      <c r="KRG119" s="3"/>
      <c r="KRH119" s="3"/>
      <c r="KRI119" s="3"/>
      <c r="KRJ119" s="3"/>
      <c r="KRK119" s="3"/>
      <c r="KRL119" s="3"/>
      <c r="KRM119" s="3"/>
      <c r="KRN119" s="3"/>
      <c r="KRO119" s="3"/>
      <c r="KRP119" s="3"/>
      <c r="KRQ119" s="3"/>
      <c r="KRR119" s="3"/>
      <c r="KRS119" s="3"/>
      <c r="KRT119" s="3"/>
      <c r="KRU119" s="3"/>
      <c r="KRV119" s="3"/>
      <c r="KRW119" s="3"/>
      <c r="KRX119" s="3"/>
      <c r="KRY119" s="3"/>
      <c r="KRZ119" s="3"/>
      <c r="KSA119" s="3"/>
      <c r="KSB119" s="3"/>
      <c r="KSC119" s="3"/>
      <c r="KSD119" s="3"/>
      <c r="KSE119" s="3"/>
      <c r="KSF119" s="3"/>
      <c r="KSG119" s="3"/>
      <c r="KSH119" s="3"/>
      <c r="KSI119" s="3"/>
      <c r="KSJ119" s="3"/>
      <c r="KSK119" s="3"/>
      <c r="KSL119" s="3"/>
      <c r="KSM119" s="3"/>
      <c r="KSN119" s="3"/>
      <c r="KSO119" s="3"/>
      <c r="KSP119" s="3"/>
      <c r="KSQ119" s="3"/>
      <c r="KSR119" s="3"/>
      <c r="KSS119" s="3"/>
      <c r="KST119" s="3"/>
      <c r="KSU119" s="3"/>
      <c r="KSV119" s="3"/>
      <c r="KSW119" s="3"/>
      <c r="KSX119" s="3"/>
      <c r="KSY119" s="3"/>
      <c r="KSZ119" s="3"/>
      <c r="KTA119" s="3"/>
      <c r="KTB119" s="3"/>
      <c r="KTC119" s="3"/>
      <c r="KTD119" s="3"/>
      <c r="KTE119" s="3"/>
      <c r="KTF119" s="3"/>
      <c r="KTG119" s="3"/>
      <c r="KTH119" s="3"/>
      <c r="KTI119" s="3"/>
      <c r="KTJ119" s="3"/>
      <c r="KTK119" s="3"/>
      <c r="KTL119" s="3"/>
      <c r="KTM119" s="3"/>
      <c r="KTN119" s="3"/>
      <c r="KTO119" s="3"/>
      <c r="KTP119" s="3"/>
      <c r="KTQ119" s="3"/>
      <c r="KTR119" s="3"/>
      <c r="KTS119" s="3"/>
      <c r="KTT119" s="3"/>
      <c r="KTU119" s="3"/>
      <c r="KTV119" s="3"/>
      <c r="KTW119" s="3"/>
      <c r="KTX119" s="3"/>
      <c r="KTY119" s="3"/>
      <c r="KTZ119" s="3"/>
      <c r="KUA119" s="3"/>
      <c r="KUB119" s="3"/>
      <c r="KUC119" s="3"/>
      <c r="KUD119" s="3"/>
      <c r="KUE119" s="3"/>
      <c r="KUF119" s="3"/>
      <c r="KUG119" s="3"/>
      <c r="KUH119" s="3"/>
      <c r="KUI119" s="3"/>
      <c r="KUJ119" s="3"/>
      <c r="KUK119" s="3"/>
      <c r="KUL119" s="3"/>
      <c r="KUM119" s="3"/>
      <c r="KUN119" s="3"/>
      <c r="KUO119" s="3"/>
      <c r="KUP119" s="3"/>
      <c r="KUQ119" s="3"/>
      <c r="KUR119" s="3"/>
      <c r="KUS119" s="3"/>
      <c r="KUT119" s="3"/>
      <c r="KUU119" s="3"/>
      <c r="KUV119" s="3"/>
      <c r="KUW119" s="3"/>
      <c r="KUX119" s="3"/>
      <c r="KUY119" s="3"/>
      <c r="KUZ119" s="3"/>
      <c r="KVA119" s="3"/>
      <c r="KVB119" s="3"/>
      <c r="KVC119" s="3"/>
      <c r="KVD119" s="3"/>
      <c r="KVE119" s="3"/>
      <c r="KVF119" s="3"/>
      <c r="KVG119" s="3"/>
      <c r="KVH119" s="3"/>
      <c r="KVI119" s="3"/>
      <c r="KVJ119" s="3"/>
      <c r="KVK119" s="3"/>
      <c r="KVL119" s="3"/>
      <c r="KVM119" s="3"/>
      <c r="KVN119" s="3"/>
      <c r="KVO119" s="3"/>
      <c r="KVP119" s="3"/>
      <c r="KVQ119" s="3"/>
      <c r="KVR119" s="3"/>
      <c r="KVS119" s="3"/>
      <c r="KVT119" s="3"/>
      <c r="KVU119" s="3"/>
      <c r="KVV119" s="3"/>
      <c r="KVW119" s="3"/>
      <c r="KVX119" s="3"/>
      <c r="KVY119" s="3"/>
      <c r="KVZ119" s="3"/>
      <c r="KWA119" s="3"/>
      <c r="KWB119" s="3"/>
      <c r="KWC119" s="3"/>
      <c r="KWD119" s="3"/>
      <c r="KWE119" s="3"/>
      <c r="KWF119" s="3"/>
      <c r="KWG119" s="3"/>
      <c r="KWH119" s="3"/>
      <c r="KWI119" s="3"/>
      <c r="KWJ119" s="3"/>
      <c r="KWK119" s="3"/>
      <c r="KWL119" s="3"/>
      <c r="KWM119" s="3"/>
      <c r="KWN119" s="3"/>
      <c r="KWO119" s="3"/>
      <c r="KWP119" s="3"/>
      <c r="KWQ119" s="3"/>
      <c r="KWR119" s="3"/>
      <c r="KWS119" s="3"/>
      <c r="KWT119" s="3"/>
      <c r="KWU119" s="3"/>
      <c r="KWV119" s="3"/>
      <c r="KWW119" s="3"/>
      <c r="KWX119" s="3"/>
      <c r="KWY119" s="3"/>
      <c r="KWZ119" s="3"/>
      <c r="KXA119" s="3"/>
      <c r="KXB119" s="3"/>
      <c r="KXC119" s="3"/>
      <c r="KXD119" s="3"/>
      <c r="KXE119" s="3"/>
      <c r="KXF119" s="3"/>
      <c r="KXG119" s="3"/>
      <c r="KXH119" s="3"/>
      <c r="KXI119" s="3"/>
      <c r="KXJ119" s="3"/>
      <c r="KXK119" s="3"/>
      <c r="KXL119" s="3"/>
      <c r="KXM119" s="3"/>
      <c r="KXN119" s="3"/>
      <c r="KXO119" s="3"/>
      <c r="KXP119" s="3"/>
      <c r="KXQ119" s="3"/>
      <c r="KXR119" s="3"/>
      <c r="KXS119" s="3"/>
      <c r="KXT119" s="3"/>
      <c r="KXU119" s="3"/>
      <c r="KXV119" s="3"/>
      <c r="KXW119" s="3"/>
      <c r="KXX119" s="3"/>
      <c r="KXY119" s="3"/>
      <c r="KXZ119" s="3"/>
      <c r="KYA119" s="3"/>
      <c r="KYB119" s="3"/>
      <c r="KYC119" s="3"/>
      <c r="KYD119" s="3"/>
      <c r="KYE119" s="3"/>
      <c r="KYF119" s="3"/>
      <c r="KYG119" s="3"/>
      <c r="KYH119" s="3"/>
      <c r="KYI119" s="3"/>
      <c r="KYJ119" s="3"/>
      <c r="KYK119" s="3"/>
      <c r="KYL119" s="3"/>
      <c r="KYM119" s="3"/>
      <c r="KYN119" s="3"/>
      <c r="KYO119" s="3"/>
      <c r="KYP119" s="3"/>
      <c r="KYQ119" s="3"/>
      <c r="KYR119" s="3"/>
      <c r="KYS119" s="3"/>
      <c r="KYT119" s="3"/>
      <c r="KYU119" s="3"/>
      <c r="KYV119" s="3"/>
      <c r="KYW119" s="3"/>
      <c r="KYX119" s="3"/>
      <c r="KYY119" s="3"/>
      <c r="KYZ119" s="3"/>
      <c r="KZA119" s="3"/>
      <c r="KZB119" s="3"/>
      <c r="KZC119" s="3"/>
      <c r="KZD119" s="3"/>
      <c r="KZE119" s="3"/>
      <c r="KZF119" s="3"/>
      <c r="KZG119" s="3"/>
      <c r="KZH119" s="3"/>
      <c r="KZI119" s="3"/>
      <c r="KZJ119" s="3"/>
      <c r="KZK119" s="3"/>
      <c r="KZL119" s="3"/>
      <c r="KZM119" s="3"/>
      <c r="KZN119" s="3"/>
      <c r="KZO119" s="3"/>
      <c r="KZP119" s="3"/>
      <c r="KZQ119" s="3"/>
      <c r="KZR119" s="3"/>
      <c r="KZS119" s="3"/>
      <c r="KZT119" s="3"/>
      <c r="KZU119" s="3"/>
      <c r="KZV119" s="3"/>
      <c r="KZW119" s="3"/>
      <c r="KZX119" s="3"/>
      <c r="KZY119" s="3"/>
      <c r="KZZ119" s="3"/>
      <c r="LAA119" s="3"/>
      <c r="LAB119" s="3"/>
      <c r="LAC119" s="3"/>
      <c r="LAD119" s="3"/>
      <c r="LAE119" s="3"/>
      <c r="LAF119" s="3"/>
      <c r="LAG119" s="3"/>
      <c r="LAH119" s="3"/>
      <c r="LAI119" s="3"/>
      <c r="LAJ119" s="3"/>
      <c r="LAK119" s="3"/>
      <c r="LAL119" s="3"/>
      <c r="LAM119" s="3"/>
      <c r="LAN119" s="3"/>
      <c r="LAO119" s="3"/>
      <c r="LAP119" s="3"/>
      <c r="LAQ119" s="3"/>
      <c r="LAR119" s="3"/>
      <c r="LAS119" s="3"/>
      <c r="LAT119" s="3"/>
      <c r="LAU119" s="3"/>
      <c r="LAV119" s="3"/>
      <c r="LAW119" s="3"/>
      <c r="LAX119" s="3"/>
      <c r="LAY119" s="3"/>
      <c r="LAZ119" s="3"/>
      <c r="LBA119" s="3"/>
      <c r="LBB119" s="3"/>
      <c r="LBC119" s="3"/>
      <c r="LBD119" s="3"/>
      <c r="LBE119" s="3"/>
      <c r="LBF119" s="3"/>
      <c r="LBG119" s="3"/>
      <c r="LBH119" s="3"/>
      <c r="LBI119" s="3"/>
      <c r="LBJ119" s="3"/>
      <c r="LBK119" s="3"/>
      <c r="LBL119" s="3"/>
      <c r="LBM119" s="3"/>
      <c r="LBN119" s="3"/>
      <c r="LBO119" s="3"/>
      <c r="LBP119" s="3"/>
      <c r="LBQ119" s="3"/>
      <c r="LBR119" s="3"/>
      <c r="LBS119" s="3"/>
      <c r="LBT119" s="3"/>
      <c r="LBU119" s="3"/>
      <c r="LBV119" s="3"/>
      <c r="LBW119" s="3"/>
      <c r="LBX119" s="3"/>
      <c r="LBY119" s="3"/>
      <c r="LBZ119" s="3"/>
      <c r="LCA119" s="3"/>
      <c r="LCB119" s="3"/>
      <c r="LCC119" s="3"/>
      <c r="LCD119" s="3"/>
      <c r="LCE119" s="3"/>
      <c r="LCF119" s="3"/>
      <c r="LCG119" s="3"/>
      <c r="LCH119" s="3"/>
      <c r="LCI119" s="3"/>
      <c r="LCJ119" s="3"/>
      <c r="LCK119" s="3"/>
      <c r="LCL119" s="3"/>
      <c r="LCM119" s="3"/>
      <c r="LCN119" s="3"/>
      <c r="LCO119" s="3"/>
      <c r="LCP119" s="3"/>
      <c r="LCQ119" s="3"/>
      <c r="LCR119" s="3"/>
      <c r="LCS119" s="3"/>
      <c r="LCT119" s="3"/>
      <c r="LCU119" s="3"/>
      <c r="LCV119" s="3"/>
      <c r="LCW119" s="3"/>
      <c r="LCX119" s="3"/>
      <c r="LCY119" s="3"/>
      <c r="LCZ119" s="3"/>
      <c r="LDA119" s="3"/>
      <c r="LDB119" s="3"/>
      <c r="LDC119" s="3"/>
      <c r="LDD119" s="3"/>
      <c r="LDE119" s="3"/>
      <c r="LDF119" s="3"/>
      <c r="LDG119" s="3"/>
      <c r="LDH119" s="3"/>
      <c r="LDI119" s="3"/>
      <c r="LDJ119" s="3"/>
      <c r="LDK119" s="3"/>
      <c r="LDL119" s="3"/>
      <c r="LDM119" s="3"/>
      <c r="LDN119" s="3"/>
      <c r="LDO119" s="3"/>
      <c r="LDP119" s="3"/>
      <c r="LDQ119" s="3"/>
      <c r="LDR119" s="3"/>
      <c r="LDS119" s="3"/>
      <c r="LDT119" s="3"/>
      <c r="LDU119" s="3"/>
      <c r="LDV119" s="3"/>
      <c r="LDW119" s="3"/>
      <c r="LDX119" s="3"/>
      <c r="LDY119" s="3"/>
      <c r="LDZ119" s="3"/>
      <c r="LEA119" s="3"/>
      <c r="LEB119" s="3"/>
      <c r="LEC119" s="3"/>
      <c r="LED119" s="3"/>
      <c r="LEE119" s="3"/>
      <c r="LEF119" s="3"/>
      <c r="LEG119" s="3"/>
      <c r="LEH119" s="3"/>
      <c r="LEI119" s="3"/>
      <c r="LEJ119" s="3"/>
      <c r="LEK119" s="3"/>
      <c r="LEL119" s="3"/>
      <c r="LEM119" s="3"/>
      <c r="LEN119" s="3"/>
      <c r="LEO119" s="3"/>
      <c r="LEP119" s="3"/>
      <c r="LEQ119" s="3"/>
      <c r="LER119" s="3"/>
      <c r="LES119" s="3"/>
      <c r="LET119" s="3"/>
      <c r="LEU119" s="3"/>
      <c r="LEV119" s="3"/>
      <c r="LEW119" s="3"/>
      <c r="LEX119" s="3"/>
      <c r="LEY119" s="3"/>
      <c r="LEZ119" s="3"/>
      <c r="LFA119" s="3"/>
      <c r="LFB119" s="3"/>
      <c r="LFC119" s="3"/>
      <c r="LFD119" s="3"/>
      <c r="LFE119" s="3"/>
      <c r="LFF119" s="3"/>
      <c r="LFG119" s="3"/>
      <c r="LFH119" s="3"/>
      <c r="LFI119" s="3"/>
      <c r="LFJ119" s="3"/>
      <c r="LFK119" s="3"/>
      <c r="LFL119" s="3"/>
      <c r="LFM119" s="3"/>
      <c r="LFN119" s="3"/>
      <c r="LFO119" s="3"/>
      <c r="LFP119" s="3"/>
      <c r="LFQ119" s="3"/>
      <c r="LFR119" s="3"/>
      <c r="LFS119" s="3"/>
      <c r="LFT119" s="3"/>
      <c r="LFU119" s="3"/>
      <c r="LFV119" s="3"/>
      <c r="LFW119" s="3"/>
      <c r="LFX119" s="3"/>
      <c r="LFY119" s="3"/>
      <c r="LFZ119" s="3"/>
      <c r="LGA119" s="3"/>
      <c r="LGB119" s="3"/>
      <c r="LGC119" s="3"/>
      <c r="LGD119" s="3"/>
      <c r="LGE119" s="3"/>
      <c r="LGF119" s="3"/>
      <c r="LGG119" s="3"/>
      <c r="LGH119" s="3"/>
      <c r="LGI119" s="3"/>
      <c r="LGJ119" s="3"/>
      <c r="LGK119" s="3"/>
      <c r="LGL119" s="3"/>
      <c r="LGM119" s="3"/>
      <c r="LGN119" s="3"/>
      <c r="LGO119" s="3"/>
      <c r="LGP119" s="3"/>
      <c r="LGQ119" s="3"/>
      <c r="LGR119" s="3"/>
      <c r="LGS119" s="3"/>
      <c r="LGT119" s="3"/>
      <c r="LGU119" s="3"/>
      <c r="LGV119" s="3"/>
      <c r="LGW119" s="3"/>
      <c r="LGX119" s="3"/>
      <c r="LGY119" s="3"/>
      <c r="LGZ119" s="3"/>
      <c r="LHA119" s="3"/>
      <c r="LHB119" s="3"/>
      <c r="LHC119" s="3"/>
      <c r="LHD119" s="3"/>
      <c r="LHE119" s="3"/>
      <c r="LHF119" s="3"/>
      <c r="LHG119" s="3"/>
      <c r="LHH119" s="3"/>
      <c r="LHI119" s="3"/>
      <c r="LHJ119" s="3"/>
      <c r="LHK119" s="3"/>
      <c r="LHL119" s="3"/>
      <c r="LHM119" s="3"/>
      <c r="LHN119" s="3"/>
      <c r="LHO119" s="3"/>
      <c r="LHP119" s="3"/>
      <c r="LHQ119" s="3"/>
      <c r="LHR119" s="3"/>
      <c r="LHS119" s="3"/>
      <c r="LHT119" s="3"/>
      <c r="LHU119" s="3"/>
      <c r="LHV119" s="3"/>
      <c r="LHW119" s="3"/>
      <c r="LHX119" s="3"/>
      <c r="LHY119" s="3"/>
      <c r="LHZ119" s="3"/>
      <c r="LIA119" s="3"/>
      <c r="LIB119" s="3"/>
      <c r="LIC119" s="3"/>
      <c r="LID119" s="3"/>
      <c r="LIE119" s="3"/>
      <c r="LIF119" s="3"/>
      <c r="LIG119" s="3"/>
      <c r="LIH119" s="3"/>
      <c r="LII119" s="3"/>
      <c r="LIJ119" s="3"/>
      <c r="LIK119" s="3"/>
      <c r="LIL119" s="3"/>
      <c r="LIM119" s="3"/>
      <c r="LIN119" s="3"/>
      <c r="LIO119" s="3"/>
      <c r="LIP119" s="3"/>
      <c r="LIQ119" s="3"/>
      <c r="LIR119" s="3"/>
      <c r="LIS119" s="3"/>
      <c r="LIT119" s="3"/>
      <c r="LIU119" s="3"/>
      <c r="LIV119" s="3"/>
      <c r="LIW119" s="3"/>
      <c r="LIX119" s="3"/>
      <c r="LIY119" s="3"/>
      <c r="LIZ119" s="3"/>
      <c r="LJA119" s="3"/>
      <c r="LJB119" s="3"/>
      <c r="LJC119" s="3"/>
      <c r="LJD119" s="3"/>
      <c r="LJE119" s="3"/>
      <c r="LJF119" s="3"/>
      <c r="LJG119" s="3"/>
      <c r="LJH119" s="3"/>
      <c r="LJI119" s="3"/>
      <c r="LJJ119" s="3"/>
      <c r="LJK119" s="3"/>
      <c r="LJL119" s="3"/>
      <c r="LJM119" s="3"/>
      <c r="LJN119" s="3"/>
      <c r="LJO119" s="3"/>
      <c r="LJP119" s="3"/>
      <c r="LJQ119" s="3"/>
      <c r="LJR119" s="3"/>
      <c r="LJS119" s="3"/>
      <c r="LJT119" s="3"/>
      <c r="LJU119" s="3"/>
      <c r="LJV119" s="3"/>
      <c r="LJW119" s="3"/>
      <c r="LJX119" s="3"/>
      <c r="LJY119" s="3"/>
      <c r="LJZ119" s="3"/>
      <c r="LKA119" s="3"/>
      <c r="LKB119" s="3"/>
      <c r="LKC119" s="3"/>
      <c r="LKD119" s="3"/>
      <c r="LKE119" s="3"/>
      <c r="LKF119" s="3"/>
      <c r="LKG119" s="3"/>
      <c r="LKH119" s="3"/>
      <c r="LKI119" s="3"/>
      <c r="LKJ119" s="3"/>
      <c r="LKK119" s="3"/>
      <c r="LKL119" s="3"/>
      <c r="LKM119" s="3"/>
      <c r="LKN119" s="3"/>
      <c r="LKO119" s="3"/>
      <c r="LKP119" s="3"/>
      <c r="LKQ119" s="3"/>
      <c r="LKR119" s="3"/>
      <c r="LKS119" s="3"/>
      <c r="LKT119" s="3"/>
      <c r="LKU119" s="3"/>
      <c r="LKV119" s="3"/>
      <c r="LKW119" s="3"/>
      <c r="LKX119" s="3"/>
      <c r="LKY119" s="3"/>
      <c r="LKZ119" s="3"/>
      <c r="LLA119" s="3"/>
      <c r="LLB119" s="3"/>
      <c r="LLC119" s="3"/>
      <c r="LLD119" s="3"/>
      <c r="LLE119" s="3"/>
      <c r="LLF119" s="3"/>
      <c r="LLG119" s="3"/>
      <c r="LLH119" s="3"/>
      <c r="LLI119" s="3"/>
      <c r="LLJ119" s="3"/>
      <c r="LLK119" s="3"/>
      <c r="LLL119" s="3"/>
      <c r="LLM119" s="3"/>
      <c r="LLN119" s="3"/>
      <c r="LLO119" s="3"/>
      <c r="LLP119" s="3"/>
      <c r="LLQ119" s="3"/>
      <c r="LLR119" s="3"/>
      <c r="LLS119" s="3"/>
      <c r="LLT119" s="3"/>
      <c r="LLU119" s="3"/>
      <c r="LLV119" s="3"/>
      <c r="LLW119" s="3"/>
      <c r="LLX119" s="3"/>
      <c r="LLY119" s="3"/>
      <c r="LLZ119" s="3"/>
      <c r="LMA119" s="3"/>
      <c r="LMB119" s="3"/>
      <c r="LMC119" s="3"/>
      <c r="LMD119" s="3"/>
      <c r="LME119" s="3"/>
      <c r="LMF119" s="3"/>
      <c r="LMG119" s="3"/>
      <c r="LMH119" s="3"/>
      <c r="LMI119" s="3"/>
      <c r="LMJ119" s="3"/>
      <c r="LMK119" s="3"/>
      <c r="LML119" s="3"/>
      <c r="LMM119" s="3"/>
      <c r="LMN119" s="3"/>
      <c r="LMO119" s="3"/>
      <c r="LMP119" s="3"/>
      <c r="LMQ119" s="3"/>
      <c r="LMR119" s="3"/>
      <c r="LMS119" s="3"/>
      <c r="LMT119" s="3"/>
      <c r="LMU119" s="3"/>
      <c r="LMV119" s="3"/>
      <c r="LMW119" s="3"/>
      <c r="LMX119" s="3"/>
      <c r="LMY119" s="3"/>
      <c r="LMZ119" s="3"/>
      <c r="LNA119" s="3"/>
      <c r="LNB119" s="3"/>
      <c r="LNC119" s="3"/>
      <c r="LND119" s="3"/>
      <c r="LNE119" s="3"/>
      <c r="LNF119" s="3"/>
      <c r="LNG119" s="3"/>
      <c r="LNH119" s="3"/>
      <c r="LNI119" s="3"/>
      <c r="LNJ119" s="3"/>
      <c r="LNK119" s="3"/>
      <c r="LNL119" s="3"/>
      <c r="LNM119" s="3"/>
      <c r="LNN119" s="3"/>
      <c r="LNO119" s="3"/>
      <c r="LNP119" s="3"/>
      <c r="LNQ119" s="3"/>
      <c r="LNR119" s="3"/>
      <c r="LNS119" s="3"/>
      <c r="LNT119" s="3"/>
      <c r="LNU119" s="3"/>
      <c r="LNV119" s="3"/>
      <c r="LNW119" s="3"/>
      <c r="LNX119" s="3"/>
      <c r="LNY119" s="3"/>
      <c r="LNZ119" s="3"/>
      <c r="LOA119" s="3"/>
      <c r="LOB119" s="3"/>
      <c r="LOC119" s="3"/>
      <c r="LOD119" s="3"/>
      <c r="LOE119" s="3"/>
      <c r="LOF119" s="3"/>
      <c r="LOG119" s="3"/>
      <c r="LOH119" s="3"/>
      <c r="LOI119" s="3"/>
      <c r="LOJ119" s="3"/>
      <c r="LOK119" s="3"/>
      <c r="LOL119" s="3"/>
      <c r="LOM119" s="3"/>
      <c r="LON119" s="3"/>
      <c r="LOO119" s="3"/>
      <c r="LOP119" s="3"/>
      <c r="LOQ119" s="3"/>
      <c r="LOR119" s="3"/>
      <c r="LOS119" s="3"/>
      <c r="LOT119" s="3"/>
      <c r="LOU119" s="3"/>
      <c r="LOV119" s="3"/>
      <c r="LOW119" s="3"/>
      <c r="LOX119" s="3"/>
      <c r="LOY119" s="3"/>
      <c r="LOZ119" s="3"/>
      <c r="LPA119" s="3"/>
      <c r="LPB119" s="3"/>
      <c r="LPC119" s="3"/>
      <c r="LPD119" s="3"/>
      <c r="LPE119" s="3"/>
      <c r="LPF119" s="3"/>
      <c r="LPG119" s="3"/>
      <c r="LPH119" s="3"/>
      <c r="LPI119" s="3"/>
      <c r="LPJ119" s="3"/>
      <c r="LPK119" s="3"/>
      <c r="LPL119" s="3"/>
      <c r="LPM119" s="3"/>
      <c r="LPN119" s="3"/>
      <c r="LPO119" s="3"/>
      <c r="LPP119" s="3"/>
      <c r="LPQ119" s="3"/>
      <c r="LPR119" s="3"/>
      <c r="LPS119" s="3"/>
      <c r="LPT119" s="3"/>
      <c r="LPU119" s="3"/>
      <c r="LPV119" s="3"/>
      <c r="LPW119" s="3"/>
      <c r="LPX119" s="3"/>
      <c r="LPY119" s="3"/>
      <c r="LPZ119" s="3"/>
      <c r="LQA119" s="3"/>
      <c r="LQB119" s="3"/>
      <c r="LQC119" s="3"/>
      <c r="LQD119" s="3"/>
      <c r="LQE119" s="3"/>
      <c r="LQF119" s="3"/>
      <c r="LQG119" s="3"/>
      <c r="LQH119" s="3"/>
      <c r="LQI119" s="3"/>
      <c r="LQJ119" s="3"/>
      <c r="LQK119" s="3"/>
      <c r="LQL119" s="3"/>
      <c r="LQM119" s="3"/>
      <c r="LQN119" s="3"/>
      <c r="LQO119" s="3"/>
      <c r="LQP119" s="3"/>
      <c r="LQQ119" s="3"/>
      <c r="LQR119" s="3"/>
      <c r="LQS119" s="3"/>
      <c r="LQT119" s="3"/>
      <c r="LQU119" s="3"/>
      <c r="LQV119" s="3"/>
      <c r="LQW119" s="3"/>
      <c r="LQX119" s="3"/>
      <c r="LQY119" s="3"/>
      <c r="LQZ119" s="3"/>
      <c r="LRA119" s="3"/>
      <c r="LRB119" s="3"/>
      <c r="LRC119" s="3"/>
      <c r="LRD119" s="3"/>
      <c r="LRE119" s="3"/>
      <c r="LRF119" s="3"/>
      <c r="LRG119" s="3"/>
      <c r="LRH119" s="3"/>
      <c r="LRI119" s="3"/>
      <c r="LRJ119" s="3"/>
      <c r="LRK119" s="3"/>
      <c r="LRL119" s="3"/>
      <c r="LRM119" s="3"/>
      <c r="LRN119" s="3"/>
      <c r="LRO119" s="3"/>
      <c r="LRP119" s="3"/>
      <c r="LRQ119" s="3"/>
      <c r="LRR119" s="3"/>
      <c r="LRS119" s="3"/>
      <c r="LRT119" s="3"/>
      <c r="LRU119" s="3"/>
      <c r="LRV119" s="3"/>
      <c r="LRW119" s="3"/>
      <c r="LRX119" s="3"/>
      <c r="LRY119" s="3"/>
      <c r="LRZ119" s="3"/>
      <c r="LSA119" s="3"/>
      <c r="LSB119" s="3"/>
      <c r="LSC119" s="3"/>
      <c r="LSD119" s="3"/>
      <c r="LSE119" s="3"/>
      <c r="LSF119" s="3"/>
      <c r="LSG119" s="3"/>
      <c r="LSH119" s="3"/>
      <c r="LSI119" s="3"/>
      <c r="LSJ119" s="3"/>
      <c r="LSK119" s="3"/>
      <c r="LSL119" s="3"/>
      <c r="LSM119" s="3"/>
      <c r="LSN119" s="3"/>
      <c r="LSO119" s="3"/>
      <c r="LSP119" s="3"/>
      <c r="LSQ119" s="3"/>
      <c r="LSR119" s="3"/>
      <c r="LSS119" s="3"/>
      <c r="LST119" s="3"/>
      <c r="LSU119" s="3"/>
      <c r="LSV119" s="3"/>
      <c r="LSW119" s="3"/>
      <c r="LSX119" s="3"/>
      <c r="LSY119" s="3"/>
      <c r="LSZ119" s="3"/>
      <c r="LTA119" s="3"/>
      <c r="LTB119" s="3"/>
      <c r="LTC119" s="3"/>
      <c r="LTD119" s="3"/>
      <c r="LTE119" s="3"/>
      <c r="LTF119" s="3"/>
      <c r="LTG119" s="3"/>
      <c r="LTH119" s="3"/>
      <c r="LTI119" s="3"/>
      <c r="LTJ119" s="3"/>
      <c r="LTK119" s="3"/>
      <c r="LTL119" s="3"/>
      <c r="LTM119" s="3"/>
      <c r="LTN119" s="3"/>
      <c r="LTO119" s="3"/>
      <c r="LTP119" s="3"/>
      <c r="LTQ119" s="3"/>
      <c r="LTR119" s="3"/>
      <c r="LTS119" s="3"/>
      <c r="LTT119" s="3"/>
      <c r="LTU119" s="3"/>
      <c r="LTV119" s="3"/>
      <c r="LTW119" s="3"/>
      <c r="LTX119" s="3"/>
      <c r="LTY119" s="3"/>
      <c r="LTZ119" s="3"/>
      <c r="LUA119" s="3"/>
      <c r="LUB119" s="3"/>
      <c r="LUC119" s="3"/>
      <c r="LUD119" s="3"/>
      <c r="LUE119" s="3"/>
      <c r="LUF119" s="3"/>
      <c r="LUG119" s="3"/>
      <c r="LUH119" s="3"/>
      <c r="LUI119" s="3"/>
      <c r="LUJ119" s="3"/>
      <c r="LUK119" s="3"/>
      <c r="LUL119" s="3"/>
      <c r="LUM119" s="3"/>
      <c r="LUN119" s="3"/>
      <c r="LUO119" s="3"/>
      <c r="LUP119" s="3"/>
      <c r="LUQ119" s="3"/>
      <c r="LUR119" s="3"/>
      <c r="LUS119" s="3"/>
      <c r="LUT119" s="3"/>
      <c r="LUU119" s="3"/>
      <c r="LUV119" s="3"/>
      <c r="LUW119" s="3"/>
      <c r="LUX119" s="3"/>
      <c r="LUY119" s="3"/>
      <c r="LUZ119" s="3"/>
      <c r="LVA119" s="3"/>
      <c r="LVB119" s="3"/>
      <c r="LVC119" s="3"/>
      <c r="LVD119" s="3"/>
      <c r="LVE119" s="3"/>
      <c r="LVF119" s="3"/>
      <c r="LVG119" s="3"/>
      <c r="LVH119" s="3"/>
      <c r="LVI119" s="3"/>
      <c r="LVJ119" s="3"/>
      <c r="LVK119" s="3"/>
      <c r="LVL119" s="3"/>
      <c r="LVM119" s="3"/>
      <c r="LVN119" s="3"/>
      <c r="LVO119" s="3"/>
      <c r="LVP119" s="3"/>
      <c r="LVQ119" s="3"/>
      <c r="LVR119" s="3"/>
      <c r="LVS119" s="3"/>
      <c r="LVT119" s="3"/>
      <c r="LVU119" s="3"/>
      <c r="LVV119" s="3"/>
      <c r="LVW119" s="3"/>
      <c r="LVX119" s="3"/>
      <c r="LVY119" s="3"/>
      <c r="LVZ119" s="3"/>
      <c r="LWA119" s="3"/>
      <c r="LWB119" s="3"/>
      <c r="LWC119" s="3"/>
      <c r="LWD119" s="3"/>
      <c r="LWE119" s="3"/>
      <c r="LWF119" s="3"/>
      <c r="LWG119" s="3"/>
      <c r="LWH119" s="3"/>
      <c r="LWI119" s="3"/>
      <c r="LWJ119" s="3"/>
      <c r="LWK119" s="3"/>
      <c r="LWL119" s="3"/>
      <c r="LWM119" s="3"/>
      <c r="LWN119" s="3"/>
      <c r="LWO119" s="3"/>
      <c r="LWP119" s="3"/>
      <c r="LWQ119" s="3"/>
      <c r="LWR119" s="3"/>
      <c r="LWS119" s="3"/>
      <c r="LWT119" s="3"/>
      <c r="LWU119" s="3"/>
      <c r="LWV119" s="3"/>
      <c r="LWW119" s="3"/>
      <c r="LWX119" s="3"/>
      <c r="LWY119" s="3"/>
      <c r="LWZ119" s="3"/>
      <c r="LXA119" s="3"/>
      <c r="LXB119" s="3"/>
      <c r="LXC119" s="3"/>
      <c r="LXD119" s="3"/>
      <c r="LXE119" s="3"/>
      <c r="LXF119" s="3"/>
      <c r="LXG119" s="3"/>
      <c r="LXH119" s="3"/>
      <c r="LXI119" s="3"/>
      <c r="LXJ119" s="3"/>
      <c r="LXK119" s="3"/>
      <c r="LXL119" s="3"/>
      <c r="LXM119" s="3"/>
      <c r="LXN119" s="3"/>
      <c r="LXO119" s="3"/>
      <c r="LXP119" s="3"/>
      <c r="LXQ119" s="3"/>
      <c r="LXR119" s="3"/>
      <c r="LXS119" s="3"/>
      <c r="LXT119" s="3"/>
      <c r="LXU119" s="3"/>
      <c r="LXV119" s="3"/>
      <c r="LXW119" s="3"/>
      <c r="LXX119" s="3"/>
      <c r="LXY119" s="3"/>
      <c r="LXZ119" s="3"/>
      <c r="LYA119" s="3"/>
      <c r="LYB119" s="3"/>
      <c r="LYC119" s="3"/>
      <c r="LYD119" s="3"/>
      <c r="LYE119" s="3"/>
      <c r="LYF119" s="3"/>
      <c r="LYG119" s="3"/>
      <c r="LYH119" s="3"/>
      <c r="LYI119" s="3"/>
      <c r="LYJ119" s="3"/>
      <c r="LYK119" s="3"/>
      <c r="LYL119" s="3"/>
      <c r="LYM119" s="3"/>
      <c r="LYN119" s="3"/>
      <c r="LYO119" s="3"/>
      <c r="LYP119" s="3"/>
      <c r="LYQ119" s="3"/>
      <c r="LYR119" s="3"/>
      <c r="LYS119" s="3"/>
      <c r="LYT119" s="3"/>
      <c r="LYU119" s="3"/>
      <c r="LYV119" s="3"/>
      <c r="LYW119" s="3"/>
      <c r="LYX119" s="3"/>
      <c r="LYY119" s="3"/>
      <c r="LYZ119" s="3"/>
      <c r="LZA119" s="3"/>
      <c r="LZB119" s="3"/>
      <c r="LZC119" s="3"/>
      <c r="LZD119" s="3"/>
      <c r="LZE119" s="3"/>
      <c r="LZF119" s="3"/>
      <c r="LZG119" s="3"/>
      <c r="LZH119" s="3"/>
      <c r="LZI119" s="3"/>
      <c r="LZJ119" s="3"/>
      <c r="LZK119" s="3"/>
      <c r="LZL119" s="3"/>
      <c r="LZM119" s="3"/>
      <c r="LZN119" s="3"/>
      <c r="LZO119" s="3"/>
      <c r="LZP119" s="3"/>
      <c r="LZQ119" s="3"/>
      <c r="LZR119" s="3"/>
      <c r="LZS119" s="3"/>
      <c r="LZT119" s="3"/>
      <c r="LZU119" s="3"/>
      <c r="LZV119" s="3"/>
      <c r="LZW119" s="3"/>
      <c r="LZX119" s="3"/>
      <c r="LZY119" s="3"/>
      <c r="LZZ119" s="3"/>
      <c r="MAA119" s="3"/>
      <c r="MAB119" s="3"/>
      <c r="MAC119" s="3"/>
      <c r="MAD119" s="3"/>
      <c r="MAE119" s="3"/>
      <c r="MAF119" s="3"/>
      <c r="MAG119" s="3"/>
      <c r="MAH119" s="3"/>
      <c r="MAI119" s="3"/>
      <c r="MAJ119" s="3"/>
      <c r="MAK119" s="3"/>
      <c r="MAL119" s="3"/>
      <c r="MAM119" s="3"/>
      <c r="MAN119" s="3"/>
      <c r="MAO119" s="3"/>
      <c r="MAP119" s="3"/>
      <c r="MAQ119" s="3"/>
      <c r="MAR119" s="3"/>
      <c r="MAS119" s="3"/>
      <c r="MAT119" s="3"/>
      <c r="MAU119" s="3"/>
      <c r="MAV119" s="3"/>
      <c r="MAW119" s="3"/>
      <c r="MAX119" s="3"/>
      <c r="MAY119" s="3"/>
      <c r="MAZ119" s="3"/>
      <c r="MBA119" s="3"/>
      <c r="MBB119" s="3"/>
      <c r="MBC119" s="3"/>
      <c r="MBD119" s="3"/>
      <c r="MBE119" s="3"/>
      <c r="MBF119" s="3"/>
      <c r="MBG119" s="3"/>
      <c r="MBH119" s="3"/>
      <c r="MBI119" s="3"/>
      <c r="MBJ119" s="3"/>
      <c r="MBK119" s="3"/>
      <c r="MBL119" s="3"/>
      <c r="MBM119" s="3"/>
      <c r="MBN119" s="3"/>
      <c r="MBO119" s="3"/>
      <c r="MBP119" s="3"/>
      <c r="MBQ119" s="3"/>
      <c r="MBR119" s="3"/>
      <c r="MBS119" s="3"/>
      <c r="MBT119" s="3"/>
      <c r="MBU119" s="3"/>
      <c r="MBV119" s="3"/>
      <c r="MBW119" s="3"/>
      <c r="MBX119" s="3"/>
      <c r="MBY119" s="3"/>
      <c r="MBZ119" s="3"/>
      <c r="MCA119" s="3"/>
      <c r="MCB119" s="3"/>
      <c r="MCC119" s="3"/>
      <c r="MCD119" s="3"/>
      <c r="MCE119" s="3"/>
      <c r="MCF119" s="3"/>
      <c r="MCG119" s="3"/>
      <c r="MCH119" s="3"/>
      <c r="MCI119" s="3"/>
      <c r="MCJ119" s="3"/>
      <c r="MCK119" s="3"/>
      <c r="MCL119" s="3"/>
      <c r="MCM119" s="3"/>
      <c r="MCN119" s="3"/>
      <c r="MCO119" s="3"/>
      <c r="MCP119" s="3"/>
      <c r="MCQ119" s="3"/>
      <c r="MCR119" s="3"/>
      <c r="MCS119" s="3"/>
      <c r="MCT119" s="3"/>
      <c r="MCU119" s="3"/>
      <c r="MCV119" s="3"/>
      <c r="MCW119" s="3"/>
      <c r="MCX119" s="3"/>
      <c r="MCY119" s="3"/>
      <c r="MCZ119" s="3"/>
      <c r="MDA119" s="3"/>
      <c r="MDB119" s="3"/>
      <c r="MDC119" s="3"/>
      <c r="MDD119" s="3"/>
      <c r="MDE119" s="3"/>
      <c r="MDF119" s="3"/>
      <c r="MDG119" s="3"/>
      <c r="MDH119" s="3"/>
      <c r="MDI119" s="3"/>
      <c r="MDJ119" s="3"/>
      <c r="MDK119" s="3"/>
      <c r="MDL119" s="3"/>
      <c r="MDM119" s="3"/>
      <c r="MDN119" s="3"/>
      <c r="MDO119" s="3"/>
      <c r="MDP119" s="3"/>
      <c r="MDQ119" s="3"/>
      <c r="MDR119" s="3"/>
      <c r="MDS119" s="3"/>
      <c r="MDT119" s="3"/>
      <c r="MDU119" s="3"/>
      <c r="MDV119" s="3"/>
      <c r="MDW119" s="3"/>
      <c r="MDX119" s="3"/>
      <c r="MDY119" s="3"/>
      <c r="MDZ119" s="3"/>
      <c r="MEA119" s="3"/>
      <c r="MEB119" s="3"/>
      <c r="MEC119" s="3"/>
      <c r="MED119" s="3"/>
      <c r="MEE119" s="3"/>
      <c r="MEF119" s="3"/>
      <c r="MEG119" s="3"/>
      <c r="MEH119" s="3"/>
      <c r="MEI119" s="3"/>
      <c r="MEJ119" s="3"/>
      <c r="MEK119" s="3"/>
      <c r="MEL119" s="3"/>
      <c r="MEM119" s="3"/>
      <c r="MEN119" s="3"/>
      <c r="MEO119" s="3"/>
      <c r="MEP119" s="3"/>
      <c r="MEQ119" s="3"/>
      <c r="MER119" s="3"/>
      <c r="MES119" s="3"/>
      <c r="MET119" s="3"/>
      <c r="MEU119" s="3"/>
      <c r="MEV119" s="3"/>
      <c r="MEW119" s="3"/>
      <c r="MEX119" s="3"/>
      <c r="MEY119" s="3"/>
      <c r="MEZ119" s="3"/>
      <c r="MFA119" s="3"/>
      <c r="MFB119" s="3"/>
      <c r="MFC119" s="3"/>
      <c r="MFD119" s="3"/>
      <c r="MFE119" s="3"/>
      <c r="MFF119" s="3"/>
      <c r="MFG119" s="3"/>
      <c r="MFH119" s="3"/>
      <c r="MFI119" s="3"/>
      <c r="MFJ119" s="3"/>
      <c r="MFK119" s="3"/>
      <c r="MFL119" s="3"/>
      <c r="MFM119" s="3"/>
      <c r="MFN119" s="3"/>
      <c r="MFO119" s="3"/>
      <c r="MFP119" s="3"/>
      <c r="MFQ119" s="3"/>
      <c r="MFR119" s="3"/>
      <c r="MFS119" s="3"/>
      <c r="MFT119" s="3"/>
      <c r="MFU119" s="3"/>
      <c r="MFV119" s="3"/>
      <c r="MFW119" s="3"/>
      <c r="MFX119" s="3"/>
      <c r="MFY119" s="3"/>
      <c r="MFZ119" s="3"/>
      <c r="MGA119" s="3"/>
      <c r="MGB119" s="3"/>
      <c r="MGC119" s="3"/>
      <c r="MGD119" s="3"/>
      <c r="MGE119" s="3"/>
      <c r="MGF119" s="3"/>
      <c r="MGG119" s="3"/>
      <c r="MGH119" s="3"/>
      <c r="MGI119" s="3"/>
      <c r="MGJ119" s="3"/>
      <c r="MGK119" s="3"/>
      <c r="MGL119" s="3"/>
      <c r="MGM119" s="3"/>
      <c r="MGN119" s="3"/>
      <c r="MGO119" s="3"/>
      <c r="MGP119" s="3"/>
      <c r="MGQ119" s="3"/>
      <c r="MGR119" s="3"/>
      <c r="MGS119" s="3"/>
      <c r="MGT119" s="3"/>
      <c r="MGU119" s="3"/>
      <c r="MGV119" s="3"/>
      <c r="MGW119" s="3"/>
      <c r="MGX119" s="3"/>
      <c r="MGY119" s="3"/>
      <c r="MGZ119" s="3"/>
      <c r="MHA119" s="3"/>
      <c r="MHB119" s="3"/>
      <c r="MHC119" s="3"/>
      <c r="MHD119" s="3"/>
      <c r="MHE119" s="3"/>
      <c r="MHF119" s="3"/>
      <c r="MHG119" s="3"/>
      <c r="MHH119" s="3"/>
      <c r="MHI119" s="3"/>
      <c r="MHJ119" s="3"/>
      <c r="MHK119" s="3"/>
      <c r="MHL119" s="3"/>
      <c r="MHM119" s="3"/>
      <c r="MHN119" s="3"/>
      <c r="MHO119" s="3"/>
      <c r="MHP119" s="3"/>
      <c r="MHQ119" s="3"/>
      <c r="MHR119" s="3"/>
      <c r="MHS119" s="3"/>
      <c r="MHT119" s="3"/>
      <c r="MHU119" s="3"/>
      <c r="MHV119" s="3"/>
      <c r="MHW119" s="3"/>
      <c r="MHX119" s="3"/>
      <c r="MHY119" s="3"/>
      <c r="MHZ119" s="3"/>
      <c r="MIA119" s="3"/>
      <c r="MIB119" s="3"/>
      <c r="MIC119" s="3"/>
      <c r="MID119" s="3"/>
      <c r="MIE119" s="3"/>
      <c r="MIF119" s="3"/>
      <c r="MIG119" s="3"/>
      <c r="MIH119" s="3"/>
      <c r="MII119" s="3"/>
      <c r="MIJ119" s="3"/>
      <c r="MIK119" s="3"/>
      <c r="MIL119" s="3"/>
      <c r="MIM119" s="3"/>
      <c r="MIN119" s="3"/>
      <c r="MIO119" s="3"/>
      <c r="MIP119" s="3"/>
      <c r="MIQ119" s="3"/>
      <c r="MIR119" s="3"/>
      <c r="MIS119" s="3"/>
      <c r="MIT119" s="3"/>
      <c r="MIU119" s="3"/>
      <c r="MIV119" s="3"/>
      <c r="MIW119" s="3"/>
      <c r="MIX119" s="3"/>
      <c r="MIY119" s="3"/>
      <c r="MIZ119" s="3"/>
      <c r="MJA119" s="3"/>
      <c r="MJB119" s="3"/>
      <c r="MJC119" s="3"/>
      <c r="MJD119" s="3"/>
      <c r="MJE119" s="3"/>
      <c r="MJF119" s="3"/>
      <c r="MJG119" s="3"/>
      <c r="MJH119" s="3"/>
      <c r="MJI119" s="3"/>
      <c r="MJJ119" s="3"/>
      <c r="MJK119" s="3"/>
      <c r="MJL119" s="3"/>
      <c r="MJM119" s="3"/>
      <c r="MJN119" s="3"/>
      <c r="MJO119" s="3"/>
      <c r="MJP119" s="3"/>
      <c r="MJQ119" s="3"/>
      <c r="MJR119" s="3"/>
      <c r="MJS119" s="3"/>
      <c r="MJT119" s="3"/>
      <c r="MJU119" s="3"/>
      <c r="MJV119" s="3"/>
      <c r="MJW119" s="3"/>
      <c r="MJX119" s="3"/>
      <c r="MJY119" s="3"/>
      <c r="MJZ119" s="3"/>
      <c r="MKA119" s="3"/>
      <c r="MKB119" s="3"/>
      <c r="MKC119" s="3"/>
      <c r="MKD119" s="3"/>
      <c r="MKE119" s="3"/>
      <c r="MKF119" s="3"/>
      <c r="MKG119" s="3"/>
      <c r="MKH119" s="3"/>
      <c r="MKI119" s="3"/>
      <c r="MKJ119" s="3"/>
      <c r="MKK119" s="3"/>
      <c r="MKL119" s="3"/>
      <c r="MKM119" s="3"/>
      <c r="MKN119" s="3"/>
      <c r="MKO119" s="3"/>
      <c r="MKP119" s="3"/>
      <c r="MKQ119" s="3"/>
      <c r="MKR119" s="3"/>
      <c r="MKS119" s="3"/>
      <c r="MKT119" s="3"/>
      <c r="MKU119" s="3"/>
      <c r="MKV119" s="3"/>
      <c r="MKW119" s="3"/>
      <c r="MKX119" s="3"/>
      <c r="MKY119" s="3"/>
      <c r="MKZ119" s="3"/>
      <c r="MLA119" s="3"/>
      <c r="MLB119" s="3"/>
      <c r="MLC119" s="3"/>
      <c r="MLD119" s="3"/>
      <c r="MLE119" s="3"/>
      <c r="MLF119" s="3"/>
      <c r="MLG119" s="3"/>
      <c r="MLH119" s="3"/>
      <c r="MLI119" s="3"/>
      <c r="MLJ119" s="3"/>
      <c r="MLK119" s="3"/>
      <c r="MLL119" s="3"/>
      <c r="MLM119" s="3"/>
      <c r="MLN119" s="3"/>
      <c r="MLO119" s="3"/>
      <c r="MLP119" s="3"/>
      <c r="MLQ119" s="3"/>
      <c r="MLR119" s="3"/>
      <c r="MLS119" s="3"/>
      <c r="MLT119" s="3"/>
      <c r="MLU119" s="3"/>
      <c r="MLV119" s="3"/>
      <c r="MLW119" s="3"/>
      <c r="MLX119" s="3"/>
      <c r="MLY119" s="3"/>
      <c r="MLZ119" s="3"/>
      <c r="MMA119" s="3"/>
      <c r="MMB119" s="3"/>
      <c r="MMC119" s="3"/>
      <c r="MMD119" s="3"/>
      <c r="MME119" s="3"/>
      <c r="MMF119" s="3"/>
      <c r="MMG119" s="3"/>
      <c r="MMH119" s="3"/>
      <c r="MMI119" s="3"/>
      <c r="MMJ119" s="3"/>
      <c r="MMK119" s="3"/>
      <c r="MML119" s="3"/>
      <c r="MMM119" s="3"/>
      <c r="MMN119" s="3"/>
      <c r="MMO119" s="3"/>
      <c r="MMP119" s="3"/>
      <c r="MMQ119" s="3"/>
      <c r="MMR119" s="3"/>
      <c r="MMS119" s="3"/>
      <c r="MMT119" s="3"/>
      <c r="MMU119" s="3"/>
      <c r="MMV119" s="3"/>
      <c r="MMW119" s="3"/>
      <c r="MMX119" s="3"/>
      <c r="MMY119" s="3"/>
      <c r="MMZ119" s="3"/>
      <c r="MNA119" s="3"/>
      <c r="MNB119" s="3"/>
      <c r="MNC119" s="3"/>
      <c r="MND119" s="3"/>
      <c r="MNE119" s="3"/>
      <c r="MNF119" s="3"/>
      <c r="MNG119" s="3"/>
      <c r="MNH119" s="3"/>
      <c r="MNI119" s="3"/>
      <c r="MNJ119" s="3"/>
      <c r="MNK119" s="3"/>
      <c r="MNL119" s="3"/>
      <c r="MNM119" s="3"/>
      <c r="MNN119" s="3"/>
      <c r="MNO119" s="3"/>
      <c r="MNP119" s="3"/>
      <c r="MNQ119" s="3"/>
      <c r="MNR119" s="3"/>
      <c r="MNS119" s="3"/>
      <c r="MNT119" s="3"/>
      <c r="MNU119" s="3"/>
      <c r="MNV119" s="3"/>
      <c r="MNW119" s="3"/>
      <c r="MNX119" s="3"/>
      <c r="MNY119" s="3"/>
      <c r="MNZ119" s="3"/>
      <c r="MOA119" s="3"/>
      <c r="MOB119" s="3"/>
      <c r="MOC119" s="3"/>
      <c r="MOD119" s="3"/>
      <c r="MOE119" s="3"/>
      <c r="MOF119" s="3"/>
      <c r="MOG119" s="3"/>
      <c r="MOH119" s="3"/>
      <c r="MOI119" s="3"/>
      <c r="MOJ119" s="3"/>
      <c r="MOK119" s="3"/>
      <c r="MOL119" s="3"/>
      <c r="MOM119" s="3"/>
      <c r="MON119" s="3"/>
      <c r="MOO119" s="3"/>
      <c r="MOP119" s="3"/>
      <c r="MOQ119" s="3"/>
      <c r="MOR119" s="3"/>
      <c r="MOS119" s="3"/>
      <c r="MOT119" s="3"/>
      <c r="MOU119" s="3"/>
      <c r="MOV119" s="3"/>
      <c r="MOW119" s="3"/>
      <c r="MOX119" s="3"/>
      <c r="MOY119" s="3"/>
      <c r="MOZ119" s="3"/>
      <c r="MPA119" s="3"/>
      <c r="MPB119" s="3"/>
      <c r="MPC119" s="3"/>
      <c r="MPD119" s="3"/>
      <c r="MPE119" s="3"/>
      <c r="MPF119" s="3"/>
      <c r="MPG119" s="3"/>
      <c r="MPH119" s="3"/>
      <c r="MPI119" s="3"/>
      <c r="MPJ119" s="3"/>
      <c r="MPK119" s="3"/>
      <c r="MPL119" s="3"/>
      <c r="MPM119" s="3"/>
      <c r="MPN119" s="3"/>
      <c r="MPO119" s="3"/>
      <c r="MPP119" s="3"/>
      <c r="MPQ119" s="3"/>
      <c r="MPR119" s="3"/>
      <c r="MPS119" s="3"/>
      <c r="MPT119" s="3"/>
      <c r="MPU119" s="3"/>
      <c r="MPV119" s="3"/>
      <c r="MPW119" s="3"/>
      <c r="MPX119" s="3"/>
      <c r="MPY119" s="3"/>
      <c r="MPZ119" s="3"/>
      <c r="MQA119" s="3"/>
      <c r="MQB119" s="3"/>
      <c r="MQC119" s="3"/>
      <c r="MQD119" s="3"/>
      <c r="MQE119" s="3"/>
      <c r="MQF119" s="3"/>
      <c r="MQG119" s="3"/>
      <c r="MQH119" s="3"/>
      <c r="MQI119" s="3"/>
      <c r="MQJ119" s="3"/>
      <c r="MQK119" s="3"/>
      <c r="MQL119" s="3"/>
      <c r="MQM119" s="3"/>
      <c r="MQN119" s="3"/>
      <c r="MQO119" s="3"/>
      <c r="MQP119" s="3"/>
      <c r="MQQ119" s="3"/>
      <c r="MQR119" s="3"/>
      <c r="MQS119" s="3"/>
      <c r="MQT119" s="3"/>
      <c r="MQU119" s="3"/>
      <c r="MQV119" s="3"/>
      <c r="MQW119" s="3"/>
      <c r="MQX119" s="3"/>
      <c r="MQY119" s="3"/>
      <c r="MQZ119" s="3"/>
      <c r="MRA119" s="3"/>
      <c r="MRB119" s="3"/>
      <c r="MRC119" s="3"/>
      <c r="MRD119" s="3"/>
      <c r="MRE119" s="3"/>
      <c r="MRF119" s="3"/>
      <c r="MRG119" s="3"/>
      <c r="MRH119" s="3"/>
      <c r="MRI119" s="3"/>
      <c r="MRJ119" s="3"/>
      <c r="MRK119" s="3"/>
      <c r="MRL119" s="3"/>
      <c r="MRM119" s="3"/>
      <c r="MRN119" s="3"/>
      <c r="MRO119" s="3"/>
      <c r="MRP119" s="3"/>
      <c r="MRQ119" s="3"/>
      <c r="MRR119" s="3"/>
      <c r="MRS119" s="3"/>
      <c r="MRT119" s="3"/>
      <c r="MRU119" s="3"/>
      <c r="MRV119" s="3"/>
      <c r="MRW119" s="3"/>
      <c r="MRX119" s="3"/>
      <c r="MRY119" s="3"/>
      <c r="MRZ119" s="3"/>
      <c r="MSA119" s="3"/>
      <c r="MSB119" s="3"/>
      <c r="MSC119" s="3"/>
      <c r="MSD119" s="3"/>
      <c r="MSE119" s="3"/>
      <c r="MSF119" s="3"/>
      <c r="MSG119" s="3"/>
      <c r="MSH119" s="3"/>
      <c r="MSI119" s="3"/>
      <c r="MSJ119" s="3"/>
      <c r="MSK119" s="3"/>
      <c r="MSL119" s="3"/>
      <c r="MSM119" s="3"/>
      <c r="MSN119" s="3"/>
      <c r="MSO119" s="3"/>
      <c r="MSP119" s="3"/>
      <c r="MSQ119" s="3"/>
      <c r="MSR119" s="3"/>
      <c r="MSS119" s="3"/>
      <c r="MST119" s="3"/>
      <c r="MSU119" s="3"/>
      <c r="MSV119" s="3"/>
      <c r="MSW119" s="3"/>
      <c r="MSX119" s="3"/>
      <c r="MSY119" s="3"/>
      <c r="MSZ119" s="3"/>
      <c r="MTA119" s="3"/>
      <c r="MTB119" s="3"/>
      <c r="MTC119" s="3"/>
      <c r="MTD119" s="3"/>
      <c r="MTE119" s="3"/>
      <c r="MTF119" s="3"/>
      <c r="MTG119" s="3"/>
      <c r="MTH119" s="3"/>
      <c r="MTI119" s="3"/>
      <c r="MTJ119" s="3"/>
      <c r="MTK119" s="3"/>
      <c r="MTL119" s="3"/>
      <c r="MTM119" s="3"/>
      <c r="MTN119" s="3"/>
      <c r="MTO119" s="3"/>
      <c r="MTP119" s="3"/>
      <c r="MTQ119" s="3"/>
      <c r="MTR119" s="3"/>
      <c r="MTS119" s="3"/>
      <c r="MTT119" s="3"/>
      <c r="MTU119" s="3"/>
      <c r="MTV119" s="3"/>
      <c r="MTW119" s="3"/>
      <c r="MTX119" s="3"/>
      <c r="MTY119" s="3"/>
      <c r="MTZ119" s="3"/>
      <c r="MUA119" s="3"/>
      <c r="MUB119" s="3"/>
      <c r="MUC119" s="3"/>
      <c r="MUD119" s="3"/>
      <c r="MUE119" s="3"/>
      <c r="MUF119" s="3"/>
      <c r="MUG119" s="3"/>
      <c r="MUH119" s="3"/>
      <c r="MUI119" s="3"/>
      <c r="MUJ119" s="3"/>
      <c r="MUK119" s="3"/>
      <c r="MUL119" s="3"/>
      <c r="MUM119" s="3"/>
      <c r="MUN119" s="3"/>
      <c r="MUO119" s="3"/>
      <c r="MUP119" s="3"/>
      <c r="MUQ119" s="3"/>
      <c r="MUR119" s="3"/>
      <c r="MUS119" s="3"/>
      <c r="MUT119" s="3"/>
      <c r="MUU119" s="3"/>
      <c r="MUV119" s="3"/>
      <c r="MUW119" s="3"/>
      <c r="MUX119" s="3"/>
      <c r="MUY119" s="3"/>
      <c r="MUZ119" s="3"/>
      <c r="MVA119" s="3"/>
      <c r="MVB119" s="3"/>
      <c r="MVC119" s="3"/>
      <c r="MVD119" s="3"/>
      <c r="MVE119" s="3"/>
      <c r="MVF119" s="3"/>
      <c r="MVG119" s="3"/>
      <c r="MVH119" s="3"/>
      <c r="MVI119" s="3"/>
      <c r="MVJ119" s="3"/>
      <c r="MVK119" s="3"/>
      <c r="MVL119" s="3"/>
      <c r="MVM119" s="3"/>
      <c r="MVN119" s="3"/>
      <c r="MVO119" s="3"/>
      <c r="MVP119" s="3"/>
      <c r="MVQ119" s="3"/>
      <c r="MVR119" s="3"/>
      <c r="MVS119" s="3"/>
      <c r="MVT119" s="3"/>
      <c r="MVU119" s="3"/>
      <c r="MVV119" s="3"/>
      <c r="MVW119" s="3"/>
      <c r="MVX119" s="3"/>
      <c r="MVY119" s="3"/>
      <c r="MVZ119" s="3"/>
      <c r="MWA119" s="3"/>
      <c r="MWB119" s="3"/>
      <c r="MWC119" s="3"/>
      <c r="MWD119" s="3"/>
      <c r="MWE119" s="3"/>
      <c r="MWF119" s="3"/>
      <c r="MWG119" s="3"/>
      <c r="MWH119" s="3"/>
      <c r="MWI119" s="3"/>
      <c r="MWJ119" s="3"/>
      <c r="MWK119" s="3"/>
      <c r="MWL119" s="3"/>
      <c r="MWM119" s="3"/>
      <c r="MWN119" s="3"/>
      <c r="MWO119" s="3"/>
      <c r="MWP119" s="3"/>
      <c r="MWQ119" s="3"/>
      <c r="MWR119" s="3"/>
      <c r="MWS119" s="3"/>
      <c r="MWT119" s="3"/>
      <c r="MWU119" s="3"/>
      <c r="MWV119" s="3"/>
      <c r="MWW119" s="3"/>
      <c r="MWX119" s="3"/>
      <c r="MWY119" s="3"/>
      <c r="MWZ119" s="3"/>
      <c r="MXA119" s="3"/>
      <c r="MXB119" s="3"/>
      <c r="MXC119" s="3"/>
      <c r="MXD119" s="3"/>
      <c r="MXE119" s="3"/>
      <c r="MXF119" s="3"/>
      <c r="MXG119" s="3"/>
      <c r="MXH119" s="3"/>
      <c r="MXI119" s="3"/>
      <c r="MXJ119" s="3"/>
      <c r="MXK119" s="3"/>
      <c r="MXL119" s="3"/>
      <c r="MXM119" s="3"/>
      <c r="MXN119" s="3"/>
      <c r="MXO119" s="3"/>
      <c r="MXP119" s="3"/>
      <c r="MXQ119" s="3"/>
      <c r="MXR119" s="3"/>
      <c r="MXS119" s="3"/>
      <c r="MXT119" s="3"/>
      <c r="MXU119" s="3"/>
      <c r="MXV119" s="3"/>
      <c r="MXW119" s="3"/>
      <c r="MXX119" s="3"/>
      <c r="MXY119" s="3"/>
      <c r="MXZ119" s="3"/>
      <c r="MYA119" s="3"/>
      <c r="MYB119" s="3"/>
      <c r="MYC119" s="3"/>
      <c r="MYD119" s="3"/>
      <c r="MYE119" s="3"/>
      <c r="MYF119" s="3"/>
      <c r="MYG119" s="3"/>
      <c r="MYH119" s="3"/>
      <c r="MYI119" s="3"/>
      <c r="MYJ119" s="3"/>
      <c r="MYK119" s="3"/>
      <c r="MYL119" s="3"/>
      <c r="MYM119" s="3"/>
      <c r="MYN119" s="3"/>
      <c r="MYO119" s="3"/>
      <c r="MYP119" s="3"/>
      <c r="MYQ119" s="3"/>
      <c r="MYR119" s="3"/>
      <c r="MYS119" s="3"/>
      <c r="MYT119" s="3"/>
      <c r="MYU119" s="3"/>
      <c r="MYV119" s="3"/>
      <c r="MYW119" s="3"/>
      <c r="MYX119" s="3"/>
      <c r="MYY119" s="3"/>
      <c r="MYZ119" s="3"/>
      <c r="MZA119" s="3"/>
      <c r="MZB119" s="3"/>
      <c r="MZC119" s="3"/>
      <c r="MZD119" s="3"/>
      <c r="MZE119" s="3"/>
      <c r="MZF119" s="3"/>
      <c r="MZG119" s="3"/>
      <c r="MZH119" s="3"/>
      <c r="MZI119" s="3"/>
      <c r="MZJ119" s="3"/>
      <c r="MZK119" s="3"/>
      <c r="MZL119" s="3"/>
      <c r="MZM119" s="3"/>
      <c r="MZN119" s="3"/>
      <c r="MZO119" s="3"/>
      <c r="MZP119" s="3"/>
      <c r="MZQ119" s="3"/>
      <c r="MZR119" s="3"/>
      <c r="MZS119" s="3"/>
      <c r="MZT119" s="3"/>
      <c r="MZU119" s="3"/>
      <c r="MZV119" s="3"/>
      <c r="MZW119" s="3"/>
      <c r="MZX119" s="3"/>
      <c r="MZY119" s="3"/>
      <c r="MZZ119" s="3"/>
      <c r="NAA119" s="3"/>
      <c r="NAB119" s="3"/>
      <c r="NAC119" s="3"/>
      <c r="NAD119" s="3"/>
      <c r="NAE119" s="3"/>
      <c r="NAF119" s="3"/>
      <c r="NAG119" s="3"/>
      <c r="NAH119" s="3"/>
      <c r="NAI119" s="3"/>
      <c r="NAJ119" s="3"/>
      <c r="NAK119" s="3"/>
      <c r="NAL119" s="3"/>
      <c r="NAM119" s="3"/>
      <c r="NAN119" s="3"/>
      <c r="NAO119" s="3"/>
      <c r="NAP119" s="3"/>
      <c r="NAQ119" s="3"/>
      <c r="NAR119" s="3"/>
      <c r="NAS119" s="3"/>
      <c r="NAT119" s="3"/>
      <c r="NAU119" s="3"/>
      <c r="NAV119" s="3"/>
      <c r="NAW119" s="3"/>
      <c r="NAX119" s="3"/>
      <c r="NAY119" s="3"/>
      <c r="NAZ119" s="3"/>
      <c r="NBA119" s="3"/>
      <c r="NBB119" s="3"/>
      <c r="NBC119" s="3"/>
      <c r="NBD119" s="3"/>
      <c r="NBE119" s="3"/>
      <c r="NBF119" s="3"/>
      <c r="NBG119" s="3"/>
      <c r="NBH119" s="3"/>
      <c r="NBI119" s="3"/>
      <c r="NBJ119" s="3"/>
      <c r="NBK119" s="3"/>
      <c r="NBL119" s="3"/>
      <c r="NBM119" s="3"/>
      <c r="NBN119" s="3"/>
      <c r="NBO119" s="3"/>
      <c r="NBP119" s="3"/>
      <c r="NBQ119" s="3"/>
      <c r="NBR119" s="3"/>
      <c r="NBS119" s="3"/>
      <c r="NBT119" s="3"/>
      <c r="NBU119" s="3"/>
      <c r="NBV119" s="3"/>
      <c r="NBW119" s="3"/>
      <c r="NBX119" s="3"/>
      <c r="NBY119" s="3"/>
      <c r="NBZ119" s="3"/>
      <c r="NCA119" s="3"/>
      <c r="NCB119" s="3"/>
      <c r="NCC119" s="3"/>
      <c r="NCD119" s="3"/>
      <c r="NCE119" s="3"/>
      <c r="NCF119" s="3"/>
      <c r="NCG119" s="3"/>
      <c r="NCH119" s="3"/>
      <c r="NCI119" s="3"/>
      <c r="NCJ119" s="3"/>
      <c r="NCK119" s="3"/>
      <c r="NCL119" s="3"/>
      <c r="NCM119" s="3"/>
      <c r="NCN119" s="3"/>
      <c r="NCO119" s="3"/>
      <c r="NCP119" s="3"/>
      <c r="NCQ119" s="3"/>
      <c r="NCR119" s="3"/>
      <c r="NCS119" s="3"/>
      <c r="NCT119" s="3"/>
      <c r="NCU119" s="3"/>
      <c r="NCV119" s="3"/>
      <c r="NCW119" s="3"/>
      <c r="NCX119" s="3"/>
      <c r="NCY119" s="3"/>
      <c r="NCZ119" s="3"/>
      <c r="NDA119" s="3"/>
      <c r="NDB119" s="3"/>
      <c r="NDC119" s="3"/>
      <c r="NDD119" s="3"/>
      <c r="NDE119" s="3"/>
      <c r="NDF119" s="3"/>
      <c r="NDG119" s="3"/>
      <c r="NDH119" s="3"/>
      <c r="NDI119" s="3"/>
      <c r="NDJ119" s="3"/>
      <c r="NDK119" s="3"/>
      <c r="NDL119" s="3"/>
      <c r="NDM119" s="3"/>
      <c r="NDN119" s="3"/>
      <c r="NDO119" s="3"/>
      <c r="NDP119" s="3"/>
      <c r="NDQ119" s="3"/>
      <c r="NDR119" s="3"/>
      <c r="NDS119" s="3"/>
      <c r="NDT119" s="3"/>
      <c r="NDU119" s="3"/>
      <c r="NDV119" s="3"/>
      <c r="NDW119" s="3"/>
      <c r="NDX119" s="3"/>
      <c r="NDY119" s="3"/>
      <c r="NDZ119" s="3"/>
      <c r="NEA119" s="3"/>
      <c r="NEB119" s="3"/>
      <c r="NEC119" s="3"/>
      <c r="NED119" s="3"/>
      <c r="NEE119" s="3"/>
      <c r="NEF119" s="3"/>
      <c r="NEG119" s="3"/>
      <c r="NEH119" s="3"/>
      <c r="NEI119" s="3"/>
      <c r="NEJ119" s="3"/>
      <c r="NEK119" s="3"/>
      <c r="NEL119" s="3"/>
      <c r="NEM119" s="3"/>
      <c r="NEN119" s="3"/>
      <c r="NEO119" s="3"/>
      <c r="NEP119" s="3"/>
      <c r="NEQ119" s="3"/>
      <c r="NER119" s="3"/>
      <c r="NES119" s="3"/>
      <c r="NET119" s="3"/>
      <c r="NEU119" s="3"/>
      <c r="NEV119" s="3"/>
      <c r="NEW119" s="3"/>
      <c r="NEX119" s="3"/>
      <c r="NEY119" s="3"/>
      <c r="NEZ119" s="3"/>
      <c r="NFA119" s="3"/>
      <c r="NFB119" s="3"/>
      <c r="NFC119" s="3"/>
      <c r="NFD119" s="3"/>
      <c r="NFE119" s="3"/>
      <c r="NFF119" s="3"/>
      <c r="NFG119" s="3"/>
      <c r="NFH119" s="3"/>
      <c r="NFI119" s="3"/>
      <c r="NFJ119" s="3"/>
      <c r="NFK119" s="3"/>
      <c r="NFL119" s="3"/>
      <c r="NFM119" s="3"/>
      <c r="NFN119" s="3"/>
      <c r="NFO119" s="3"/>
      <c r="NFP119" s="3"/>
      <c r="NFQ119" s="3"/>
      <c r="NFR119" s="3"/>
      <c r="NFS119" s="3"/>
      <c r="NFT119" s="3"/>
      <c r="NFU119" s="3"/>
      <c r="NFV119" s="3"/>
      <c r="NFW119" s="3"/>
      <c r="NFX119" s="3"/>
      <c r="NFY119" s="3"/>
      <c r="NFZ119" s="3"/>
      <c r="NGA119" s="3"/>
      <c r="NGB119" s="3"/>
      <c r="NGC119" s="3"/>
      <c r="NGD119" s="3"/>
      <c r="NGE119" s="3"/>
      <c r="NGF119" s="3"/>
      <c r="NGG119" s="3"/>
      <c r="NGH119" s="3"/>
      <c r="NGI119" s="3"/>
      <c r="NGJ119" s="3"/>
      <c r="NGK119" s="3"/>
      <c r="NGL119" s="3"/>
      <c r="NGM119" s="3"/>
      <c r="NGN119" s="3"/>
      <c r="NGO119" s="3"/>
      <c r="NGP119" s="3"/>
      <c r="NGQ119" s="3"/>
      <c r="NGR119" s="3"/>
      <c r="NGS119" s="3"/>
      <c r="NGT119" s="3"/>
      <c r="NGU119" s="3"/>
      <c r="NGV119" s="3"/>
      <c r="NGW119" s="3"/>
      <c r="NGX119" s="3"/>
      <c r="NGY119" s="3"/>
      <c r="NGZ119" s="3"/>
      <c r="NHA119" s="3"/>
      <c r="NHB119" s="3"/>
      <c r="NHC119" s="3"/>
      <c r="NHD119" s="3"/>
      <c r="NHE119" s="3"/>
      <c r="NHF119" s="3"/>
      <c r="NHG119" s="3"/>
      <c r="NHH119" s="3"/>
      <c r="NHI119" s="3"/>
      <c r="NHJ119" s="3"/>
      <c r="NHK119" s="3"/>
      <c r="NHL119" s="3"/>
      <c r="NHM119" s="3"/>
      <c r="NHN119" s="3"/>
      <c r="NHO119" s="3"/>
      <c r="NHP119" s="3"/>
      <c r="NHQ119" s="3"/>
      <c r="NHR119" s="3"/>
      <c r="NHS119" s="3"/>
      <c r="NHT119" s="3"/>
      <c r="NHU119" s="3"/>
      <c r="NHV119" s="3"/>
      <c r="NHW119" s="3"/>
      <c r="NHX119" s="3"/>
      <c r="NHY119" s="3"/>
      <c r="NHZ119" s="3"/>
      <c r="NIA119" s="3"/>
      <c r="NIB119" s="3"/>
      <c r="NIC119" s="3"/>
      <c r="NID119" s="3"/>
      <c r="NIE119" s="3"/>
      <c r="NIF119" s="3"/>
      <c r="NIG119" s="3"/>
      <c r="NIH119" s="3"/>
      <c r="NII119" s="3"/>
      <c r="NIJ119" s="3"/>
      <c r="NIK119" s="3"/>
      <c r="NIL119" s="3"/>
      <c r="NIM119" s="3"/>
      <c r="NIN119" s="3"/>
      <c r="NIO119" s="3"/>
      <c r="NIP119" s="3"/>
      <c r="NIQ119" s="3"/>
      <c r="NIR119" s="3"/>
      <c r="NIS119" s="3"/>
      <c r="NIT119" s="3"/>
      <c r="NIU119" s="3"/>
      <c r="NIV119" s="3"/>
      <c r="NIW119" s="3"/>
      <c r="NIX119" s="3"/>
      <c r="NIY119" s="3"/>
      <c r="NIZ119" s="3"/>
      <c r="NJA119" s="3"/>
      <c r="NJB119" s="3"/>
      <c r="NJC119" s="3"/>
      <c r="NJD119" s="3"/>
      <c r="NJE119" s="3"/>
      <c r="NJF119" s="3"/>
      <c r="NJG119" s="3"/>
      <c r="NJH119" s="3"/>
      <c r="NJI119" s="3"/>
      <c r="NJJ119" s="3"/>
      <c r="NJK119" s="3"/>
      <c r="NJL119" s="3"/>
      <c r="NJM119" s="3"/>
      <c r="NJN119" s="3"/>
      <c r="NJO119" s="3"/>
      <c r="NJP119" s="3"/>
      <c r="NJQ119" s="3"/>
      <c r="NJR119" s="3"/>
      <c r="NJS119" s="3"/>
      <c r="NJT119" s="3"/>
      <c r="NJU119" s="3"/>
      <c r="NJV119" s="3"/>
      <c r="NJW119" s="3"/>
      <c r="NJX119" s="3"/>
      <c r="NJY119" s="3"/>
      <c r="NJZ119" s="3"/>
      <c r="NKA119" s="3"/>
      <c r="NKB119" s="3"/>
      <c r="NKC119" s="3"/>
      <c r="NKD119" s="3"/>
      <c r="NKE119" s="3"/>
      <c r="NKF119" s="3"/>
      <c r="NKG119" s="3"/>
      <c r="NKH119" s="3"/>
      <c r="NKI119" s="3"/>
      <c r="NKJ119" s="3"/>
      <c r="NKK119" s="3"/>
      <c r="NKL119" s="3"/>
      <c r="NKM119" s="3"/>
      <c r="NKN119" s="3"/>
      <c r="NKO119" s="3"/>
      <c r="NKP119" s="3"/>
      <c r="NKQ119" s="3"/>
      <c r="NKR119" s="3"/>
      <c r="NKS119" s="3"/>
      <c r="NKT119" s="3"/>
      <c r="NKU119" s="3"/>
      <c r="NKV119" s="3"/>
      <c r="NKW119" s="3"/>
      <c r="NKX119" s="3"/>
      <c r="NKY119" s="3"/>
      <c r="NKZ119" s="3"/>
      <c r="NLA119" s="3"/>
      <c r="NLB119" s="3"/>
      <c r="NLC119" s="3"/>
      <c r="NLD119" s="3"/>
      <c r="NLE119" s="3"/>
      <c r="NLF119" s="3"/>
      <c r="NLG119" s="3"/>
      <c r="NLH119" s="3"/>
      <c r="NLI119" s="3"/>
      <c r="NLJ119" s="3"/>
      <c r="NLK119" s="3"/>
      <c r="NLL119" s="3"/>
      <c r="NLM119" s="3"/>
      <c r="NLN119" s="3"/>
      <c r="NLO119" s="3"/>
      <c r="NLP119" s="3"/>
      <c r="NLQ119" s="3"/>
      <c r="NLR119" s="3"/>
      <c r="NLS119" s="3"/>
      <c r="NLT119" s="3"/>
      <c r="NLU119" s="3"/>
      <c r="NLV119" s="3"/>
      <c r="NLW119" s="3"/>
      <c r="NLX119" s="3"/>
      <c r="NLY119" s="3"/>
      <c r="NLZ119" s="3"/>
      <c r="NMA119" s="3"/>
      <c r="NMB119" s="3"/>
      <c r="NMC119" s="3"/>
      <c r="NMD119" s="3"/>
      <c r="NME119" s="3"/>
      <c r="NMF119" s="3"/>
      <c r="NMG119" s="3"/>
      <c r="NMH119" s="3"/>
      <c r="NMI119" s="3"/>
      <c r="NMJ119" s="3"/>
      <c r="NMK119" s="3"/>
      <c r="NML119" s="3"/>
      <c r="NMM119" s="3"/>
      <c r="NMN119" s="3"/>
      <c r="NMO119" s="3"/>
      <c r="NMP119" s="3"/>
      <c r="NMQ119" s="3"/>
      <c r="NMR119" s="3"/>
      <c r="NMS119" s="3"/>
      <c r="NMT119" s="3"/>
      <c r="NMU119" s="3"/>
      <c r="NMV119" s="3"/>
      <c r="NMW119" s="3"/>
      <c r="NMX119" s="3"/>
      <c r="NMY119" s="3"/>
      <c r="NMZ119" s="3"/>
      <c r="NNA119" s="3"/>
      <c r="NNB119" s="3"/>
      <c r="NNC119" s="3"/>
      <c r="NND119" s="3"/>
      <c r="NNE119" s="3"/>
      <c r="NNF119" s="3"/>
      <c r="NNG119" s="3"/>
      <c r="NNH119" s="3"/>
      <c r="NNI119" s="3"/>
      <c r="NNJ119" s="3"/>
      <c r="NNK119" s="3"/>
      <c r="NNL119" s="3"/>
      <c r="NNM119" s="3"/>
      <c r="NNN119" s="3"/>
      <c r="NNO119" s="3"/>
      <c r="NNP119" s="3"/>
      <c r="NNQ119" s="3"/>
      <c r="NNR119" s="3"/>
      <c r="NNS119" s="3"/>
      <c r="NNT119" s="3"/>
      <c r="NNU119" s="3"/>
      <c r="NNV119" s="3"/>
      <c r="NNW119" s="3"/>
      <c r="NNX119" s="3"/>
      <c r="NNY119" s="3"/>
      <c r="NNZ119" s="3"/>
      <c r="NOA119" s="3"/>
      <c r="NOB119" s="3"/>
      <c r="NOC119" s="3"/>
      <c r="NOD119" s="3"/>
      <c r="NOE119" s="3"/>
      <c r="NOF119" s="3"/>
      <c r="NOG119" s="3"/>
      <c r="NOH119" s="3"/>
      <c r="NOI119" s="3"/>
      <c r="NOJ119" s="3"/>
      <c r="NOK119" s="3"/>
      <c r="NOL119" s="3"/>
      <c r="NOM119" s="3"/>
      <c r="NON119" s="3"/>
      <c r="NOO119" s="3"/>
      <c r="NOP119" s="3"/>
      <c r="NOQ119" s="3"/>
      <c r="NOR119" s="3"/>
      <c r="NOS119" s="3"/>
      <c r="NOT119" s="3"/>
      <c r="NOU119" s="3"/>
      <c r="NOV119" s="3"/>
      <c r="NOW119" s="3"/>
      <c r="NOX119" s="3"/>
      <c r="NOY119" s="3"/>
      <c r="NOZ119" s="3"/>
      <c r="NPA119" s="3"/>
      <c r="NPB119" s="3"/>
      <c r="NPC119" s="3"/>
      <c r="NPD119" s="3"/>
      <c r="NPE119" s="3"/>
      <c r="NPF119" s="3"/>
      <c r="NPG119" s="3"/>
      <c r="NPH119" s="3"/>
      <c r="NPI119" s="3"/>
      <c r="NPJ119" s="3"/>
      <c r="NPK119" s="3"/>
      <c r="NPL119" s="3"/>
      <c r="NPM119" s="3"/>
      <c r="NPN119" s="3"/>
      <c r="NPO119" s="3"/>
      <c r="NPP119" s="3"/>
      <c r="NPQ119" s="3"/>
      <c r="NPR119" s="3"/>
      <c r="NPS119" s="3"/>
      <c r="NPT119" s="3"/>
      <c r="NPU119" s="3"/>
      <c r="NPV119" s="3"/>
      <c r="NPW119" s="3"/>
      <c r="NPX119" s="3"/>
      <c r="NPY119" s="3"/>
      <c r="NPZ119" s="3"/>
      <c r="NQA119" s="3"/>
      <c r="NQB119" s="3"/>
      <c r="NQC119" s="3"/>
      <c r="NQD119" s="3"/>
      <c r="NQE119" s="3"/>
      <c r="NQF119" s="3"/>
      <c r="NQG119" s="3"/>
      <c r="NQH119" s="3"/>
      <c r="NQI119" s="3"/>
      <c r="NQJ119" s="3"/>
      <c r="NQK119" s="3"/>
      <c r="NQL119" s="3"/>
      <c r="NQM119" s="3"/>
      <c r="NQN119" s="3"/>
      <c r="NQO119" s="3"/>
      <c r="NQP119" s="3"/>
      <c r="NQQ119" s="3"/>
      <c r="NQR119" s="3"/>
      <c r="NQS119" s="3"/>
      <c r="NQT119" s="3"/>
      <c r="NQU119" s="3"/>
      <c r="NQV119" s="3"/>
      <c r="NQW119" s="3"/>
      <c r="NQX119" s="3"/>
      <c r="NQY119" s="3"/>
      <c r="NQZ119" s="3"/>
      <c r="NRA119" s="3"/>
      <c r="NRB119" s="3"/>
      <c r="NRC119" s="3"/>
      <c r="NRD119" s="3"/>
      <c r="NRE119" s="3"/>
      <c r="NRF119" s="3"/>
      <c r="NRG119" s="3"/>
      <c r="NRH119" s="3"/>
      <c r="NRI119" s="3"/>
      <c r="NRJ119" s="3"/>
      <c r="NRK119" s="3"/>
      <c r="NRL119" s="3"/>
      <c r="NRM119" s="3"/>
      <c r="NRN119" s="3"/>
      <c r="NRO119" s="3"/>
      <c r="NRP119" s="3"/>
      <c r="NRQ119" s="3"/>
      <c r="NRR119" s="3"/>
      <c r="NRS119" s="3"/>
      <c r="NRT119" s="3"/>
      <c r="NRU119" s="3"/>
      <c r="NRV119" s="3"/>
      <c r="NRW119" s="3"/>
      <c r="NRX119" s="3"/>
      <c r="NRY119" s="3"/>
      <c r="NRZ119" s="3"/>
      <c r="NSA119" s="3"/>
      <c r="NSB119" s="3"/>
      <c r="NSC119" s="3"/>
      <c r="NSD119" s="3"/>
      <c r="NSE119" s="3"/>
      <c r="NSF119" s="3"/>
      <c r="NSG119" s="3"/>
      <c r="NSH119" s="3"/>
      <c r="NSI119" s="3"/>
      <c r="NSJ119" s="3"/>
      <c r="NSK119" s="3"/>
      <c r="NSL119" s="3"/>
      <c r="NSM119" s="3"/>
      <c r="NSN119" s="3"/>
      <c r="NSO119" s="3"/>
      <c r="NSP119" s="3"/>
      <c r="NSQ119" s="3"/>
      <c r="NSR119" s="3"/>
      <c r="NSS119" s="3"/>
      <c r="NST119" s="3"/>
      <c r="NSU119" s="3"/>
      <c r="NSV119" s="3"/>
      <c r="NSW119" s="3"/>
      <c r="NSX119" s="3"/>
      <c r="NSY119" s="3"/>
      <c r="NSZ119" s="3"/>
      <c r="NTA119" s="3"/>
      <c r="NTB119" s="3"/>
      <c r="NTC119" s="3"/>
      <c r="NTD119" s="3"/>
      <c r="NTE119" s="3"/>
      <c r="NTF119" s="3"/>
      <c r="NTG119" s="3"/>
      <c r="NTH119" s="3"/>
      <c r="NTI119" s="3"/>
      <c r="NTJ119" s="3"/>
      <c r="NTK119" s="3"/>
      <c r="NTL119" s="3"/>
      <c r="NTM119" s="3"/>
      <c r="NTN119" s="3"/>
      <c r="NTO119" s="3"/>
      <c r="NTP119" s="3"/>
      <c r="NTQ119" s="3"/>
      <c r="NTR119" s="3"/>
      <c r="NTS119" s="3"/>
      <c r="NTT119" s="3"/>
      <c r="NTU119" s="3"/>
      <c r="NTV119" s="3"/>
      <c r="NTW119" s="3"/>
      <c r="NTX119" s="3"/>
      <c r="NTY119" s="3"/>
      <c r="NTZ119" s="3"/>
      <c r="NUA119" s="3"/>
      <c r="NUB119" s="3"/>
      <c r="NUC119" s="3"/>
      <c r="NUD119" s="3"/>
      <c r="NUE119" s="3"/>
      <c r="NUF119" s="3"/>
      <c r="NUG119" s="3"/>
      <c r="NUH119" s="3"/>
      <c r="NUI119" s="3"/>
      <c r="NUJ119" s="3"/>
      <c r="NUK119" s="3"/>
      <c r="NUL119" s="3"/>
      <c r="NUM119" s="3"/>
      <c r="NUN119" s="3"/>
      <c r="NUO119" s="3"/>
      <c r="NUP119" s="3"/>
      <c r="NUQ119" s="3"/>
      <c r="NUR119" s="3"/>
      <c r="NUS119" s="3"/>
      <c r="NUT119" s="3"/>
      <c r="NUU119" s="3"/>
      <c r="NUV119" s="3"/>
      <c r="NUW119" s="3"/>
      <c r="NUX119" s="3"/>
      <c r="NUY119" s="3"/>
      <c r="NUZ119" s="3"/>
      <c r="NVA119" s="3"/>
      <c r="NVB119" s="3"/>
      <c r="NVC119" s="3"/>
      <c r="NVD119" s="3"/>
      <c r="NVE119" s="3"/>
      <c r="NVF119" s="3"/>
      <c r="NVG119" s="3"/>
      <c r="NVH119" s="3"/>
      <c r="NVI119" s="3"/>
      <c r="NVJ119" s="3"/>
      <c r="NVK119" s="3"/>
      <c r="NVL119" s="3"/>
      <c r="NVM119" s="3"/>
      <c r="NVN119" s="3"/>
      <c r="NVO119" s="3"/>
      <c r="NVP119" s="3"/>
      <c r="NVQ119" s="3"/>
      <c r="NVR119" s="3"/>
      <c r="NVS119" s="3"/>
      <c r="NVT119" s="3"/>
      <c r="NVU119" s="3"/>
      <c r="NVV119" s="3"/>
      <c r="NVW119" s="3"/>
      <c r="NVX119" s="3"/>
      <c r="NVY119" s="3"/>
      <c r="NVZ119" s="3"/>
      <c r="NWA119" s="3"/>
      <c r="NWB119" s="3"/>
      <c r="NWC119" s="3"/>
      <c r="NWD119" s="3"/>
      <c r="NWE119" s="3"/>
      <c r="NWF119" s="3"/>
      <c r="NWG119" s="3"/>
      <c r="NWH119" s="3"/>
      <c r="NWI119" s="3"/>
      <c r="NWJ119" s="3"/>
      <c r="NWK119" s="3"/>
      <c r="NWL119" s="3"/>
      <c r="NWM119" s="3"/>
      <c r="NWN119" s="3"/>
      <c r="NWO119" s="3"/>
      <c r="NWP119" s="3"/>
      <c r="NWQ119" s="3"/>
      <c r="NWR119" s="3"/>
      <c r="NWS119" s="3"/>
      <c r="NWT119" s="3"/>
      <c r="NWU119" s="3"/>
      <c r="NWV119" s="3"/>
      <c r="NWW119" s="3"/>
      <c r="NWX119" s="3"/>
      <c r="NWY119" s="3"/>
      <c r="NWZ119" s="3"/>
      <c r="NXA119" s="3"/>
      <c r="NXB119" s="3"/>
      <c r="NXC119" s="3"/>
      <c r="NXD119" s="3"/>
      <c r="NXE119" s="3"/>
      <c r="NXF119" s="3"/>
      <c r="NXG119" s="3"/>
      <c r="NXH119" s="3"/>
      <c r="NXI119" s="3"/>
      <c r="NXJ119" s="3"/>
      <c r="NXK119" s="3"/>
      <c r="NXL119" s="3"/>
      <c r="NXM119" s="3"/>
      <c r="NXN119" s="3"/>
      <c r="NXO119" s="3"/>
      <c r="NXP119" s="3"/>
      <c r="NXQ119" s="3"/>
      <c r="NXR119" s="3"/>
      <c r="NXS119" s="3"/>
      <c r="NXT119" s="3"/>
      <c r="NXU119" s="3"/>
      <c r="NXV119" s="3"/>
      <c r="NXW119" s="3"/>
      <c r="NXX119" s="3"/>
      <c r="NXY119" s="3"/>
      <c r="NXZ119" s="3"/>
      <c r="NYA119" s="3"/>
      <c r="NYB119" s="3"/>
      <c r="NYC119" s="3"/>
      <c r="NYD119" s="3"/>
      <c r="NYE119" s="3"/>
      <c r="NYF119" s="3"/>
      <c r="NYG119" s="3"/>
      <c r="NYH119" s="3"/>
      <c r="NYI119" s="3"/>
      <c r="NYJ119" s="3"/>
      <c r="NYK119" s="3"/>
      <c r="NYL119" s="3"/>
      <c r="NYM119" s="3"/>
      <c r="NYN119" s="3"/>
      <c r="NYO119" s="3"/>
      <c r="NYP119" s="3"/>
      <c r="NYQ119" s="3"/>
      <c r="NYR119" s="3"/>
      <c r="NYS119" s="3"/>
      <c r="NYT119" s="3"/>
      <c r="NYU119" s="3"/>
      <c r="NYV119" s="3"/>
      <c r="NYW119" s="3"/>
      <c r="NYX119" s="3"/>
      <c r="NYY119" s="3"/>
      <c r="NYZ119" s="3"/>
      <c r="NZA119" s="3"/>
      <c r="NZB119" s="3"/>
      <c r="NZC119" s="3"/>
      <c r="NZD119" s="3"/>
      <c r="NZE119" s="3"/>
      <c r="NZF119" s="3"/>
      <c r="NZG119" s="3"/>
      <c r="NZH119" s="3"/>
      <c r="NZI119" s="3"/>
      <c r="NZJ119" s="3"/>
      <c r="NZK119" s="3"/>
      <c r="NZL119" s="3"/>
      <c r="NZM119" s="3"/>
      <c r="NZN119" s="3"/>
      <c r="NZO119" s="3"/>
      <c r="NZP119" s="3"/>
      <c r="NZQ119" s="3"/>
      <c r="NZR119" s="3"/>
      <c r="NZS119" s="3"/>
      <c r="NZT119" s="3"/>
      <c r="NZU119" s="3"/>
      <c r="NZV119" s="3"/>
      <c r="NZW119" s="3"/>
      <c r="NZX119" s="3"/>
      <c r="NZY119" s="3"/>
      <c r="NZZ119" s="3"/>
      <c r="OAA119" s="3"/>
      <c r="OAB119" s="3"/>
      <c r="OAC119" s="3"/>
      <c r="OAD119" s="3"/>
      <c r="OAE119" s="3"/>
      <c r="OAF119" s="3"/>
      <c r="OAG119" s="3"/>
      <c r="OAH119" s="3"/>
      <c r="OAI119" s="3"/>
      <c r="OAJ119" s="3"/>
      <c r="OAK119" s="3"/>
      <c r="OAL119" s="3"/>
      <c r="OAM119" s="3"/>
      <c r="OAN119" s="3"/>
      <c r="OAO119" s="3"/>
      <c r="OAP119" s="3"/>
      <c r="OAQ119" s="3"/>
      <c r="OAR119" s="3"/>
      <c r="OAS119" s="3"/>
      <c r="OAT119" s="3"/>
      <c r="OAU119" s="3"/>
      <c r="OAV119" s="3"/>
      <c r="OAW119" s="3"/>
      <c r="OAX119" s="3"/>
      <c r="OAY119" s="3"/>
      <c r="OAZ119" s="3"/>
      <c r="OBA119" s="3"/>
      <c r="OBB119" s="3"/>
      <c r="OBC119" s="3"/>
      <c r="OBD119" s="3"/>
      <c r="OBE119" s="3"/>
      <c r="OBF119" s="3"/>
      <c r="OBG119" s="3"/>
      <c r="OBH119" s="3"/>
      <c r="OBI119" s="3"/>
      <c r="OBJ119" s="3"/>
      <c r="OBK119" s="3"/>
      <c r="OBL119" s="3"/>
      <c r="OBM119" s="3"/>
      <c r="OBN119" s="3"/>
      <c r="OBO119" s="3"/>
      <c r="OBP119" s="3"/>
      <c r="OBQ119" s="3"/>
      <c r="OBR119" s="3"/>
      <c r="OBS119" s="3"/>
      <c r="OBT119" s="3"/>
      <c r="OBU119" s="3"/>
      <c r="OBV119" s="3"/>
      <c r="OBW119" s="3"/>
      <c r="OBX119" s="3"/>
      <c r="OBY119" s="3"/>
      <c r="OBZ119" s="3"/>
      <c r="OCA119" s="3"/>
      <c r="OCB119" s="3"/>
      <c r="OCC119" s="3"/>
      <c r="OCD119" s="3"/>
      <c r="OCE119" s="3"/>
      <c r="OCF119" s="3"/>
      <c r="OCG119" s="3"/>
      <c r="OCH119" s="3"/>
      <c r="OCI119" s="3"/>
      <c r="OCJ119" s="3"/>
      <c r="OCK119" s="3"/>
      <c r="OCL119" s="3"/>
      <c r="OCM119" s="3"/>
      <c r="OCN119" s="3"/>
      <c r="OCO119" s="3"/>
      <c r="OCP119" s="3"/>
      <c r="OCQ119" s="3"/>
      <c r="OCR119" s="3"/>
      <c r="OCS119" s="3"/>
      <c r="OCT119" s="3"/>
      <c r="OCU119" s="3"/>
      <c r="OCV119" s="3"/>
      <c r="OCW119" s="3"/>
      <c r="OCX119" s="3"/>
      <c r="OCY119" s="3"/>
      <c r="OCZ119" s="3"/>
      <c r="ODA119" s="3"/>
      <c r="ODB119" s="3"/>
      <c r="ODC119" s="3"/>
      <c r="ODD119" s="3"/>
      <c r="ODE119" s="3"/>
      <c r="ODF119" s="3"/>
      <c r="ODG119" s="3"/>
      <c r="ODH119" s="3"/>
      <c r="ODI119" s="3"/>
      <c r="ODJ119" s="3"/>
      <c r="ODK119" s="3"/>
      <c r="ODL119" s="3"/>
      <c r="ODM119" s="3"/>
      <c r="ODN119" s="3"/>
      <c r="ODO119" s="3"/>
      <c r="ODP119" s="3"/>
      <c r="ODQ119" s="3"/>
      <c r="ODR119" s="3"/>
      <c r="ODS119" s="3"/>
      <c r="ODT119" s="3"/>
      <c r="ODU119" s="3"/>
      <c r="ODV119" s="3"/>
      <c r="ODW119" s="3"/>
      <c r="ODX119" s="3"/>
      <c r="ODY119" s="3"/>
      <c r="ODZ119" s="3"/>
      <c r="OEA119" s="3"/>
      <c r="OEB119" s="3"/>
      <c r="OEC119" s="3"/>
      <c r="OED119" s="3"/>
      <c r="OEE119" s="3"/>
      <c r="OEF119" s="3"/>
      <c r="OEG119" s="3"/>
      <c r="OEH119" s="3"/>
      <c r="OEI119" s="3"/>
      <c r="OEJ119" s="3"/>
      <c r="OEK119" s="3"/>
      <c r="OEL119" s="3"/>
      <c r="OEM119" s="3"/>
      <c r="OEN119" s="3"/>
      <c r="OEO119" s="3"/>
      <c r="OEP119" s="3"/>
      <c r="OEQ119" s="3"/>
      <c r="OER119" s="3"/>
      <c r="OES119" s="3"/>
      <c r="OET119" s="3"/>
      <c r="OEU119" s="3"/>
      <c r="OEV119" s="3"/>
      <c r="OEW119" s="3"/>
      <c r="OEX119" s="3"/>
      <c r="OEY119" s="3"/>
      <c r="OEZ119" s="3"/>
      <c r="OFA119" s="3"/>
      <c r="OFB119" s="3"/>
      <c r="OFC119" s="3"/>
      <c r="OFD119" s="3"/>
      <c r="OFE119" s="3"/>
      <c r="OFF119" s="3"/>
      <c r="OFG119" s="3"/>
      <c r="OFH119" s="3"/>
      <c r="OFI119" s="3"/>
      <c r="OFJ119" s="3"/>
      <c r="OFK119" s="3"/>
      <c r="OFL119" s="3"/>
      <c r="OFM119" s="3"/>
      <c r="OFN119" s="3"/>
      <c r="OFO119" s="3"/>
      <c r="OFP119" s="3"/>
      <c r="OFQ119" s="3"/>
      <c r="OFR119" s="3"/>
      <c r="OFS119" s="3"/>
      <c r="OFT119" s="3"/>
      <c r="OFU119" s="3"/>
      <c r="OFV119" s="3"/>
      <c r="OFW119" s="3"/>
      <c r="OFX119" s="3"/>
      <c r="OFY119" s="3"/>
      <c r="OFZ119" s="3"/>
      <c r="OGA119" s="3"/>
      <c r="OGB119" s="3"/>
      <c r="OGC119" s="3"/>
      <c r="OGD119" s="3"/>
      <c r="OGE119" s="3"/>
      <c r="OGF119" s="3"/>
      <c r="OGG119" s="3"/>
      <c r="OGH119" s="3"/>
      <c r="OGI119" s="3"/>
      <c r="OGJ119" s="3"/>
      <c r="OGK119" s="3"/>
      <c r="OGL119" s="3"/>
      <c r="OGM119" s="3"/>
      <c r="OGN119" s="3"/>
      <c r="OGO119" s="3"/>
      <c r="OGP119" s="3"/>
      <c r="OGQ119" s="3"/>
      <c r="OGR119" s="3"/>
      <c r="OGS119" s="3"/>
      <c r="OGT119" s="3"/>
      <c r="OGU119" s="3"/>
      <c r="OGV119" s="3"/>
      <c r="OGW119" s="3"/>
      <c r="OGX119" s="3"/>
      <c r="OGY119" s="3"/>
      <c r="OGZ119" s="3"/>
      <c r="OHA119" s="3"/>
      <c r="OHB119" s="3"/>
      <c r="OHC119" s="3"/>
      <c r="OHD119" s="3"/>
      <c r="OHE119" s="3"/>
      <c r="OHF119" s="3"/>
      <c r="OHG119" s="3"/>
      <c r="OHH119" s="3"/>
      <c r="OHI119" s="3"/>
      <c r="OHJ119" s="3"/>
      <c r="OHK119" s="3"/>
      <c r="OHL119" s="3"/>
      <c r="OHM119" s="3"/>
      <c r="OHN119" s="3"/>
      <c r="OHO119" s="3"/>
      <c r="OHP119" s="3"/>
      <c r="OHQ119" s="3"/>
      <c r="OHR119" s="3"/>
      <c r="OHS119" s="3"/>
      <c r="OHT119" s="3"/>
      <c r="OHU119" s="3"/>
      <c r="OHV119" s="3"/>
      <c r="OHW119" s="3"/>
      <c r="OHX119" s="3"/>
      <c r="OHY119" s="3"/>
      <c r="OHZ119" s="3"/>
      <c r="OIA119" s="3"/>
      <c r="OIB119" s="3"/>
      <c r="OIC119" s="3"/>
      <c r="OID119" s="3"/>
      <c r="OIE119" s="3"/>
      <c r="OIF119" s="3"/>
      <c r="OIG119" s="3"/>
      <c r="OIH119" s="3"/>
      <c r="OII119" s="3"/>
      <c r="OIJ119" s="3"/>
      <c r="OIK119" s="3"/>
      <c r="OIL119" s="3"/>
      <c r="OIM119" s="3"/>
      <c r="OIN119" s="3"/>
      <c r="OIO119" s="3"/>
      <c r="OIP119" s="3"/>
      <c r="OIQ119" s="3"/>
      <c r="OIR119" s="3"/>
      <c r="OIS119" s="3"/>
      <c r="OIT119" s="3"/>
      <c r="OIU119" s="3"/>
      <c r="OIV119" s="3"/>
      <c r="OIW119" s="3"/>
      <c r="OIX119" s="3"/>
      <c r="OIY119" s="3"/>
      <c r="OIZ119" s="3"/>
      <c r="OJA119" s="3"/>
      <c r="OJB119" s="3"/>
      <c r="OJC119" s="3"/>
      <c r="OJD119" s="3"/>
      <c r="OJE119" s="3"/>
      <c r="OJF119" s="3"/>
      <c r="OJG119" s="3"/>
      <c r="OJH119" s="3"/>
      <c r="OJI119" s="3"/>
      <c r="OJJ119" s="3"/>
      <c r="OJK119" s="3"/>
      <c r="OJL119" s="3"/>
      <c r="OJM119" s="3"/>
      <c r="OJN119" s="3"/>
      <c r="OJO119" s="3"/>
      <c r="OJP119" s="3"/>
      <c r="OJQ119" s="3"/>
      <c r="OJR119" s="3"/>
      <c r="OJS119" s="3"/>
      <c r="OJT119" s="3"/>
      <c r="OJU119" s="3"/>
      <c r="OJV119" s="3"/>
      <c r="OJW119" s="3"/>
      <c r="OJX119" s="3"/>
      <c r="OJY119" s="3"/>
      <c r="OJZ119" s="3"/>
      <c r="OKA119" s="3"/>
      <c r="OKB119" s="3"/>
      <c r="OKC119" s="3"/>
      <c r="OKD119" s="3"/>
      <c r="OKE119" s="3"/>
      <c r="OKF119" s="3"/>
      <c r="OKG119" s="3"/>
      <c r="OKH119" s="3"/>
      <c r="OKI119" s="3"/>
      <c r="OKJ119" s="3"/>
      <c r="OKK119" s="3"/>
      <c r="OKL119" s="3"/>
      <c r="OKM119" s="3"/>
      <c r="OKN119" s="3"/>
      <c r="OKO119" s="3"/>
      <c r="OKP119" s="3"/>
      <c r="OKQ119" s="3"/>
      <c r="OKR119" s="3"/>
      <c r="OKS119" s="3"/>
      <c r="OKT119" s="3"/>
      <c r="OKU119" s="3"/>
      <c r="OKV119" s="3"/>
      <c r="OKW119" s="3"/>
      <c r="OKX119" s="3"/>
      <c r="OKY119" s="3"/>
      <c r="OKZ119" s="3"/>
      <c r="OLA119" s="3"/>
      <c r="OLB119" s="3"/>
      <c r="OLC119" s="3"/>
      <c r="OLD119" s="3"/>
      <c r="OLE119" s="3"/>
      <c r="OLF119" s="3"/>
      <c r="OLG119" s="3"/>
      <c r="OLH119" s="3"/>
      <c r="OLI119" s="3"/>
      <c r="OLJ119" s="3"/>
      <c r="OLK119" s="3"/>
      <c r="OLL119" s="3"/>
      <c r="OLM119" s="3"/>
      <c r="OLN119" s="3"/>
      <c r="OLO119" s="3"/>
      <c r="OLP119" s="3"/>
      <c r="OLQ119" s="3"/>
      <c r="OLR119" s="3"/>
      <c r="OLS119" s="3"/>
      <c r="OLT119" s="3"/>
      <c r="OLU119" s="3"/>
      <c r="OLV119" s="3"/>
      <c r="OLW119" s="3"/>
      <c r="OLX119" s="3"/>
      <c r="OLY119" s="3"/>
      <c r="OLZ119" s="3"/>
      <c r="OMA119" s="3"/>
      <c r="OMB119" s="3"/>
      <c r="OMC119" s="3"/>
      <c r="OMD119" s="3"/>
      <c r="OME119" s="3"/>
      <c r="OMF119" s="3"/>
      <c r="OMG119" s="3"/>
      <c r="OMH119" s="3"/>
      <c r="OMI119" s="3"/>
      <c r="OMJ119" s="3"/>
      <c r="OMK119" s="3"/>
      <c r="OML119" s="3"/>
      <c r="OMM119" s="3"/>
      <c r="OMN119" s="3"/>
      <c r="OMO119" s="3"/>
      <c r="OMP119" s="3"/>
      <c r="OMQ119" s="3"/>
      <c r="OMR119" s="3"/>
      <c r="OMS119" s="3"/>
      <c r="OMT119" s="3"/>
      <c r="OMU119" s="3"/>
      <c r="OMV119" s="3"/>
      <c r="OMW119" s="3"/>
      <c r="OMX119" s="3"/>
      <c r="OMY119" s="3"/>
      <c r="OMZ119" s="3"/>
      <c r="ONA119" s="3"/>
      <c r="ONB119" s="3"/>
      <c r="ONC119" s="3"/>
      <c r="OND119" s="3"/>
      <c r="ONE119" s="3"/>
      <c r="ONF119" s="3"/>
      <c r="ONG119" s="3"/>
      <c r="ONH119" s="3"/>
      <c r="ONI119" s="3"/>
      <c r="ONJ119" s="3"/>
      <c r="ONK119" s="3"/>
      <c r="ONL119" s="3"/>
      <c r="ONM119" s="3"/>
      <c r="ONN119" s="3"/>
      <c r="ONO119" s="3"/>
      <c r="ONP119" s="3"/>
      <c r="ONQ119" s="3"/>
      <c r="ONR119" s="3"/>
      <c r="ONS119" s="3"/>
      <c r="ONT119" s="3"/>
      <c r="ONU119" s="3"/>
      <c r="ONV119" s="3"/>
      <c r="ONW119" s="3"/>
      <c r="ONX119" s="3"/>
      <c r="ONY119" s="3"/>
      <c r="ONZ119" s="3"/>
      <c r="OOA119" s="3"/>
      <c r="OOB119" s="3"/>
      <c r="OOC119" s="3"/>
      <c r="OOD119" s="3"/>
      <c r="OOE119" s="3"/>
      <c r="OOF119" s="3"/>
      <c r="OOG119" s="3"/>
      <c r="OOH119" s="3"/>
      <c r="OOI119" s="3"/>
      <c r="OOJ119" s="3"/>
      <c r="OOK119" s="3"/>
      <c r="OOL119" s="3"/>
      <c r="OOM119" s="3"/>
      <c r="OON119" s="3"/>
      <c r="OOO119" s="3"/>
      <c r="OOP119" s="3"/>
      <c r="OOQ119" s="3"/>
      <c r="OOR119" s="3"/>
      <c r="OOS119" s="3"/>
      <c r="OOT119" s="3"/>
      <c r="OOU119" s="3"/>
      <c r="OOV119" s="3"/>
      <c r="OOW119" s="3"/>
      <c r="OOX119" s="3"/>
      <c r="OOY119" s="3"/>
      <c r="OOZ119" s="3"/>
      <c r="OPA119" s="3"/>
      <c r="OPB119" s="3"/>
      <c r="OPC119" s="3"/>
      <c r="OPD119" s="3"/>
      <c r="OPE119" s="3"/>
      <c r="OPF119" s="3"/>
      <c r="OPG119" s="3"/>
      <c r="OPH119" s="3"/>
      <c r="OPI119" s="3"/>
      <c r="OPJ119" s="3"/>
      <c r="OPK119" s="3"/>
      <c r="OPL119" s="3"/>
      <c r="OPM119" s="3"/>
      <c r="OPN119" s="3"/>
      <c r="OPO119" s="3"/>
      <c r="OPP119" s="3"/>
      <c r="OPQ119" s="3"/>
      <c r="OPR119" s="3"/>
      <c r="OPS119" s="3"/>
      <c r="OPT119" s="3"/>
      <c r="OPU119" s="3"/>
      <c r="OPV119" s="3"/>
      <c r="OPW119" s="3"/>
      <c r="OPX119" s="3"/>
      <c r="OPY119" s="3"/>
      <c r="OPZ119" s="3"/>
      <c r="OQA119" s="3"/>
      <c r="OQB119" s="3"/>
      <c r="OQC119" s="3"/>
      <c r="OQD119" s="3"/>
      <c r="OQE119" s="3"/>
      <c r="OQF119" s="3"/>
      <c r="OQG119" s="3"/>
      <c r="OQH119" s="3"/>
      <c r="OQI119" s="3"/>
      <c r="OQJ119" s="3"/>
      <c r="OQK119" s="3"/>
      <c r="OQL119" s="3"/>
      <c r="OQM119" s="3"/>
      <c r="OQN119" s="3"/>
      <c r="OQO119" s="3"/>
      <c r="OQP119" s="3"/>
      <c r="OQQ119" s="3"/>
      <c r="OQR119" s="3"/>
      <c r="OQS119" s="3"/>
      <c r="OQT119" s="3"/>
      <c r="OQU119" s="3"/>
      <c r="OQV119" s="3"/>
      <c r="OQW119" s="3"/>
      <c r="OQX119" s="3"/>
      <c r="OQY119" s="3"/>
      <c r="OQZ119" s="3"/>
      <c r="ORA119" s="3"/>
      <c r="ORB119" s="3"/>
      <c r="ORC119" s="3"/>
      <c r="ORD119" s="3"/>
      <c r="ORE119" s="3"/>
      <c r="ORF119" s="3"/>
      <c r="ORG119" s="3"/>
      <c r="ORH119" s="3"/>
      <c r="ORI119" s="3"/>
      <c r="ORJ119" s="3"/>
      <c r="ORK119" s="3"/>
      <c r="ORL119" s="3"/>
      <c r="ORM119" s="3"/>
      <c r="ORN119" s="3"/>
      <c r="ORO119" s="3"/>
      <c r="ORP119" s="3"/>
      <c r="ORQ119" s="3"/>
      <c r="ORR119" s="3"/>
      <c r="ORS119" s="3"/>
      <c r="ORT119" s="3"/>
      <c r="ORU119" s="3"/>
      <c r="ORV119" s="3"/>
      <c r="ORW119" s="3"/>
      <c r="ORX119" s="3"/>
      <c r="ORY119" s="3"/>
      <c r="ORZ119" s="3"/>
      <c r="OSA119" s="3"/>
      <c r="OSB119" s="3"/>
      <c r="OSC119" s="3"/>
      <c r="OSD119" s="3"/>
      <c r="OSE119" s="3"/>
      <c r="OSF119" s="3"/>
      <c r="OSG119" s="3"/>
      <c r="OSH119" s="3"/>
      <c r="OSI119" s="3"/>
      <c r="OSJ119" s="3"/>
      <c r="OSK119" s="3"/>
      <c r="OSL119" s="3"/>
      <c r="OSM119" s="3"/>
      <c r="OSN119" s="3"/>
      <c r="OSO119" s="3"/>
      <c r="OSP119" s="3"/>
      <c r="OSQ119" s="3"/>
      <c r="OSR119" s="3"/>
      <c r="OSS119" s="3"/>
      <c r="OST119" s="3"/>
      <c r="OSU119" s="3"/>
      <c r="OSV119" s="3"/>
      <c r="OSW119" s="3"/>
      <c r="OSX119" s="3"/>
      <c r="OSY119" s="3"/>
      <c r="OSZ119" s="3"/>
      <c r="OTA119" s="3"/>
      <c r="OTB119" s="3"/>
      <c r="OTC119" s="3"/>
      <c r="OTD119" s="3"/>
      <c r="OTE119" s="3"/>
      <c r="OTF119" s="3"/>
      <c r="OTG119" s="3"/>
      <c r="OTH119" s="3"/>
      <c r="OTI119" s="3"/>
      <c r="OTJ119" s="3"/>
      <c r="OTK119" s="3"/>
      <c r="OTL119" s="3"/>
      <c r="OTM119" s="3"/>
      <c r="OTN119" s="3"/>
      <c r="OTO119" s="3"/>
      <c r="OTP119" s="3"/>
      <c r="OTQ119" s="3"/>
      <c r="OTR119" s="3"/>
      <c r="OTS119" s="3"/>
      <c r="OTT119" s="3"/>
      <c r="OTU119" s="3"/>
      <c r="OTV119" s="3"/>
      <c r="OTW119" s="3"/>
      <c r="OTX119" s="3"/>
      <c r="OTY119" s="3"/>
      <c r="OTZ119" s="3"/>
      <c r="OUA119" s="3"/>
      <c r="OUB119" s="3"/>
      <c r="OUC119" s="3"/>
      <c r="OUD119" s="3"/>
      <c r="OUE119" s="3"/>
      <c r="OUF119" s="3"/>
      <c r="OUG119" s="3"/>
      <c r="OUH119" s="3"/>
      <c r="OUI119" s="3"/>
      <c r="OUJ119" s="3"/>
      <c r="OUK119" s="3"/>
      <c r="OUL119" s="3"/>
      <c r="OUM119" s="3"/>
      <c r="OUN119" s="3"/>
      <c r="OUO119" s="3"/>
      <c r="OUP119" s="3"/>
      <c r="OUQ119" s="3"/>
      <c r="OUR119" s="3"/>
      <c r="OUS119" s="3"/>
      <c r="OUT119" s="3"/>
      <c r="OUU119" s="3"/>
      <c r="OUV119" s="3"/>
      <c r="OUW119" s="3"/>
      <c r="OUX119" s="3"/>
      <c r="OUY119" s="3"/>
      <c r="OUZ119" s="3"/>
      <c r="OVA119" s="3"/>
      <c r="OVB119" s="3"/>
      <c r="OVC119" s="3"/>
      <c r="OVD119" s="3"/>
      <c r="OVE119" s="3"/>
      <c r="OVF119" s="3"/>
      <c r="OVG119" s="3"/>
      <c r="OVH119" s="3"/>
      <c r="OVI119" s="3"/>
      <c r="OVJ119" s="3"/>
      <c r="OVK119" s="3"/>
      <c r="OVL119" s="3"/>
      <c r="OVM119" s="3"/>
      <c r="OVN119" s="3"/>
      <c r="OVO119" s="3"/>
      <c r="OVP119" s="3"/>
      <c r="OVQ119" s="3"/>
      <c r="OVR119" s="3"/>
      <c r="OVS119" s="3"/>
      <c r="OVT119" s="3"/>
      <c r="OVU119" s="3"/>
      <c r="OVV119" s="3"/>
      <c r="OVW119" s="3"/>
      <c r="OVX119" s="3"/>
      <c r="OVY119" s="3"/>
      <c r="OVZ119" s="3"/>
      <c r="OWA119" s="3"/>
      <c r="OWB119" s="3"/>
      <c r="OWC119" s="3"/>
      <c r="OWD119" s="3"/>
      <c r="OWE119" s="3"/>
      <c r="OWF119" s="3"/>
      <c r="OWG119" s="3"/>
      <c r="OWH119" s="3"/>
      <c r="OWI119" s="3"/>
      <c r="OWJ119" s="3"/>
      <c r="OWK119" s="3"/>
      <c r="OWL119" s="3"/>
      <c r="OWM119" s="3"/>
      <c r="OWN119" s="3"/>
      <c r="OWO119" s="3"/>
      <c r="OWP119" s="3"/>
      <c r="OWQ119" s="3"/>
      <c r="OWR119" s="3"/>
      <c r="OWS119" s="3"/>
      <c r="OWT119" s="3"/>
      <c r="OWU119" s="3"/>
      <c r="OWV119" s="3"/>
      <c r="OWW119" s="3"/>
      <c r="OWX119" s="3"/>
      <c r="OWY119" s="3"/>
      <c r="OWZ119" s="3"/>
      <c r="OXA119" s="3"/>
      <c r="OXB119" s="3"/>
      <c r="OXC119" s="3"/>
      <c r="OXD119" s="3"/>
      <c r="OXE119" s="3"/>
      <c r="OXF119" s="3"/>
      <c r="OXG119" s="3"/>
      <c r="OXH119" s="3"/>
      <c r="OXI119" s="3"/>
      <c r="OXJ119" s="3"/>
      <c r="OXK119" s="3"/>
      <c r="OXL119" s="3"/>
      <c r="OXM119" s="3"/>
      <c r="OXN119" s="3"/>
      <c r="OXO119" s="3"/>
      <c r="OXP119" s="3"/>
      <c r="OXQ119" s="3"/>
      <c r="OXR119" s="3"/>
      <c r="OXS119" s="3"/>
      <c r="OXT119" s="3"/>
      <c r="OXU119" s="3"/>
      <c r="OXV119" s="3"/>
      <c r="OXW119" s="3"/>
      <c r="OXX119" s="3"/>
      <c r="OXY119" s="3"/>
      <c r="OXZ119" s="3"/>
      <c r="OYA119" s="3"/>
      <c r="OYB119" s="3"/>
      <c r="OYC119" s="3"/>
      <c r="OYD119" s="3"/>
      <c r="OYE119" s="3"/>
      <c r="OYF119" s="3"/>
      <c r="OYG119" s="3"/>
      <c r="OYH119" s="3"/>
      <c r="OYI119" s="3"/>
      <c r="OYJ119" s="3"/>
      <c r="OYK119" s="3"/>
      <c r="OYL119" s="3"/>
      <c r="OYM119" s="3"/>
      <c r="OYN119" s="3"/>
      <c r="OYO119" s="3"/>
      <c r="OYP119" s="3"/>
      <c r="OYQ119" s="3"/>
      <c r="OYR119" s="3"/>
      <c r="OYS119" s="3"/>
      <c r="OYT119" s="3"/>
      <c r="OYU119" s="3"/>
      <c r="OYV119" s="3"/>
      <c r="OYW119" s="3"/>
      <c r="OYX119" s="3"/>
      <c r="OYY119" s="3"/>
      <c r="OYZ119" s="3"/>
      <c r="OZA119" s="3"/>
      <c r="OZB119" s="3"/>
      <c r="OZC119" s="3"/>
      <c r="OZD119" s="3"/>
      <c r="OZE119" s="3"/>
      <c r="OZF119" s="3"/>
      <c r="OZG119" s="3"/>
      <c r="OZH119" s="3"/>
      <c r="OZI119" s="3"/>
      <c r="OZJ119" s="3"/>
      <c r="OZK119" s="3"/>
      <c r="OZL119" s="3"/>
      <c r="OZM119" s="3"/>
      <c r="OZN119" s="3"/>
      <c r="OZO119" s="3"/>
      <c r="OZP119" s="3"/>
      <c r="OZQ119" s="3"/>
      <c r="OZR119" s="3"/>
      <c r="OZS119" s="3"/>
      <c r="OZT119" s="3"/>
      <c r="OZU119" s="3"/>
      <c r="OZV119" s="3"/>
      <c r="OZW119" s="3"/>
      <c r="OZX119" s="3"/>
      <c r="OZY119" s="3"/>
      <c r="OZZ119" s="3"/>
      <c r="PAA119" s="3"/>
      <c r="PAB119" s="3"/>
      <c r="PAC119" s="3"/>
      <c r="PAD119" s="3"/>
      <c r="PAE119" s="3"/>
      <c r="PAF119" s="3"/>
      <c r="PAG119" s="3"/>
      <c r="PAH119" s="3"/>
      <c r="PAI119" s="3"/>
      <c r="PAJ119" s="3"/>
      <c r="PAK119" s="3"/>
      <c r="PAL119" s="3"/>
      <c r="PAM119" s="3"/>
      <c r="PAN119" s="3"/>
      <c r="PAO119" s="3"/>
      <c r="PAP119" s="3"/>
      <c r="PAQ119" s="3"/>
      <c r="PAR119" s="3"/>
      <c r="PAS119" s="3"/>
      <c r="PAT119" s="3"/>
      <c r="PAU119" s="3"/>
      <c r="PAV119" s="3"/>
      <c r="PAW119" s="3"/>
      <c r="PAX119" s="3"/>
      <c r="PAY119" s="3"/>
      <c r="PAZ119" s="3"/>
      <c r="PBA119" s="3"/>
      <c r="PBB119" s="3"/>
      <c r="PBC119" s="3"/>
      <c r="PBD119" s="3"/>
      <c r="PBE119" s="3"/>
      <c r="PBF119" s="3"/>
      <c r="PBG119" s="3"/>
      <c r="PBH119" s="3"/>
      <c r="PBI119" s="3"/>
      <c r="PBJ119" s="3"/>
      <c r="PBK119" s="3"/>
      <c r="PBL119" s="3"/>
      <c r="PBM119" s="3"/>
      <c r="PBN119" s="3"/>
      <c r="PBO119" s="3"/>
      <c r="PBP119" s="3"/>
      <c r="PBQ119" s="3"/>
      <c r="PBR119" s="3"/>
      <c r="PBS119" s="3"/>
      <c r="PBT119" s="3"/>
      <c r="PBU119" s="3"/>
      <c r="PBV119" s="3"/>
      <c r="PBW119" s="3"/>
      <c r="PBX119" s="3"/>
      <c r="PBY119" s="3"/>
      <c r="PBZ119" s="3"/>
      <c r="PCA119" s="3"/>
      <c r="PCB119" s="3"/>
      <c r="PCC119" s="3"/>
      <c r="PCD119" s="3"/>
      <c r="PCE119" s="3"/>
      <c r="PCF119" s="3"/>
      <c r="PCG119" s="3"/>
      <c r="PCH119" s="3"/>
      <c r="PCI119" s="3"/>
      <c r="PCJ119" s="3"/>
      <c r="PCK119" s="3"/>
      <c r="PCL119" s="3"/>
      <c r="PCM119" s="3"/>
      <c r="PCN119" s="3"/>
      <c r="PCO119" s="3"/>
      <c r="PCP119" s="3"/>
      <c r="PCQ119" s="3"/>
      <c r="PCR119" s="3"/>
      <c r="PCS119" s="3"/>
      <c r="PCT119" s="3"/>
      <c r="PCU119" s="3"/>
      <c r="PCV119" s="3"/>
      <c r="PCW119" s="3"/>
      <c r="PCX119" s="3"/>
      <c r="PCY119" s="3"/>
      <c r="PCZ119" s="3"/>
      <c r="PDA119" s="3"/>
      <c r="PDB119" s="3"/>
      <c r="PDC119" s="3"/>
      <c r="PDD119" s="3"/>
      <c r="PDE119" s="3"/>
      <c r="PDF119" s="3"/>
      <c r="PDG119" s="3"/>
      <c r="PDH119" s="3"/>
      <c r="PDI119" s="3"/>
      <c r="PDJ119" s="3"/>
      <c r="PDK119" s="3"/>
      <c r="PDL119" s="3"/>
      <c r="PDM119" s="3"/>
      <c r="PDN119" s="3"/>
      <c r="PDO119" s="3"/>
      <c r="PDP119" s="3"/>
      <c r="PDQ119" s="3"/>
      <c r="PDR119" s="3"/>
      <c r="PDS119" s="3"/>
      <c r="PDT119" s="3"/>
      <c r="PDU119" s="3"/>
      <c r="PDV119" s="3"/>
      <c r="PDW119" s="3"/>
      <c r="PDX119" s="3"/>
      <c r="PDY119" s="3"/>
      <c r="PDZ119" s="3"/>
      <c r="PEA119" s="3"/>
      <c r="PEB119" s="3"/>
      <c r="PEC119" s="3"/>
      <c r="PED119" s="3"/>
      <c r="PEE119" s="3"/>
      <c r="PEF119" s="3"/>
      <c r="PEG119" s="3"/>
      <c r="PEH119" s="3"/>
      <c r="PEI119" s="3"/>
      <c r="PEJ119" s="3"/>
      <c r="PEK119" s="3"/>
      <c r="PEL119" s="3"/>
      <c r="PEM119" s="3"/>
      <c r="PEN119" s="3"/>
      <c r="PEO119" s="3"/>
      <c r="PEP119" s="3"/>
      <c r="PEQ119" s="3"/>
      <c r="PER119" s="3"/>
      <c r="PES119" s="3"/>
      <c r="PET119" s="3"/>
      <c r="PEU119" s="3"/>
      <c r="PEV119" s="3"/>
      <c r="PEW119" s="3"/>
      <c r="PEX119" s="3"/>
      <c r="PEY119" s="3"/>
      <c r="PEZ119" s="3"/>
      <c r="PFA119" s="3"/>
      <c r="PFB119" s="3"/>
      <c r="PFC119" s="3"/>
      <c r="PFD119" s="3"/>
      <c r="PFE119" s="3"/>
      <c r="PFF119" s="3"/>
      <c r="PFG119" s="3"/>
      <c r="PFH119" s="3"/>
      <c r="PFI119" s="3"/>
      <c r="PFJ119" s="3"/>
      <c r="PFK119" s="3"/>
      <c r="PFL119" s="3"/>
      <c r="PFM119" s="3"/>
      <c r="PFN119" s="3"/>
      <c r="PFO119" s="3"/>
      <c r="PFP119" s="3"/>
      <c r="PFQ119" s="3"/>
      <c r="PFR119" s="3"/>
      <c r="PFS119" s="3"/>
      <c r="PFT119" s="3"/>
      <c r="PFU119" s="3"/>
      <c r="PFV119" s="3"/>
      <c r="PFW119" s="3"/>
      <c r="PFX119" s="3"/>
      <c r="PFY119" s="3"/>
      <c r="PFZ119" s="3"/>
      <c r="PGA119" s="3"/>
      <c r="PGB119" s="3"/>
      <c r="PGC119" s="3"/>
      <c r="PGD119" s="3"/>
      <c r="PGE119" s="3"/>
      <c r="PGF119" s="3"/>
      <c r="PGG119" s="3"/>
      <c r="PGH119" s="3"/>
      <c r="PGI119" s="3"/>
      <c r="PGJ119" s="3"/>
      <c r="PGK119" s="3"/>
      <c r="PGL119" s="3"/>
      <c r="PGM119" s="3"/>
      <c r="PGN119" s="3"/>
      <c r="PGO119" s="3"/>
      <c r="PGP119" s="3"/>
      <c r="PGQ119" s="3"/>
      <c r="PGR119" s="3"/>
      <c r="PGS119" s="3"/>
      <c r="PGT119" s="3"/>
      <c r="PGU119" s="3"/>
      <c r="PGV119" s="3"/>
      <c r="PGW119" s="3"/>
      <c r="PGX119" s="3"/>
      <c r="PGY119" s="3"/>
      <c r="PGZ119" s="3"/>
      <c r="PHA119" s="3"/>
      <c r="PHB119" s="3"/>
      <c r="PHC119" s="3"/>
      <c r="PHD119" s="3"/>
      <c r="PHE119" s="3"/>
      <c r="PHF119" s="3"/>
      <c r="PHG119" s="3"/>
      <c r="PHH119" s="3"/>
      <c r="PHI119" s="3"/>
      <c r="PHJ119" s="3"/>
      <c r="PHK119" s="3"/>
      <c r="PHL119" s="3"/>
      <c r="PHM119" s="3"/>
      <c r="PHN119" s="3"/>
      <c r="PHO119" s="3"/>
      <c r="PHP119" s="3"/>
      <c r="PHQ119" s="3"/>
      <c r="PHR119" s="3"/>
      <c r="PHS119" s="3"/>
      <c r="PHT119" s="3"/>
      <c r="PHU119" s="3"/>
      <c r="PHV119" s="3"/>
      <c r="PHW119" s="3"/>
      <c r="PHX119" s="3"/>
      <c r="PHY119" s="3"/>
      <c r="PHZ119" s="3"/>
      <c r="PIA119" s="3"/>
      <c r="PIB119" s="3"/>
      <c r="PIC119" s="3"/>
      <c r="PID119" s="3"/>
      <c r="PIE119" s="3"/>
      <c r="PIF119" s="3"/>
      <c r="PIG119" s="3"/>
      <c r="PIH119" s="3"/>
      <c r="PII119" s="3"/>
      <c r="PIJ119" s="3"/>
      <c r="PIK119" s="3"/>
      <c r="PIL119" s="3"/>
      <c r="PIM119" s="3"/>
      <c r="PIN119" s="3"/>
      <c r="PIO119" s="3"/>
      <c r="PIP119" s="3"/>
      <c r="PIQ119" s="3"/>
      <c r="PIR119" s="3"/>
      <c r="PIS119" s="3"/>
      <c r="PIT119" s="3"/>
      <c r="PIU119" s="3"/>
      <c r="PIV119" s="3"/>
      <c r="PIW119" s="3"/>
      <c r="PIX119" s="3"/>
      <c r="PIY119" s="3"/>
      <c r="PIZ119" s="3"/>
      <c r="PJA119" s="3"/>
      <c r="PJB119" s="3"/>
      <c r="PJC119" s="3"/>
      <c r="PJD119" s="3"/>
      <c r="PJE119" s="3"/>
      <c r="PJF119" s="3"/>
      <c r="PJG119" s="3"/>
      <c r="PJH119" s="3"/>
      <c r="PJI119" s="3"/>
      <c r="PJJ119" s="3"/>
      <c r="PJK119" s="3"/>
      <c r="PJL119" s="3"/>
      <c r="PJM119" s="3"/>
      <c r="PJN119" s="3"/>
      <c r="PJO119" s="3"/>
      <c r="PJP119" s="3"/>
      <c r="PJQ119" s="3"/>
      <c r="PJR119" s="3"/>
      <c r="PJS119" s="3"/>
      <c r="PJT119" s="3"/>
      <c r="PJU119" s="3"/>
      <c r="PJV119" s="3"/>
      <c r="PJW119" s="3"/>
      <c r="PJX119" s="3"/>
      <c r="PJY119" s="3"/>
      <c r="PJZ119" s="3"/>
      <c r="PKA119" s="3"/>
      <c r="PKB119" s="3"/>
      <c r="PKC119" s="3"/>
      <c r="PKD119" s="3"/>
      <c r="PKE119" s="3"/>
      <c r="PKF119" s="3"/>
      <c r="PKG119" s="3"/>
      <c r="PKH119" s="3"/>
      <c r="PKI119" s="3"/>
      <c r="PKJ119" s="3"/>
      <c r="PKK119" s="3"/>
      <c r="PKL119" s="3"/>
      <c r="PKM119" s="3"/>
      <c r="PKN119" s="3"/>
      <c r="PKO119" s="3"/>
      <c r="PKP119" s="3"/>
      <c r="PKQ119" s="3"/>
      <c r="PKR119" s="3"/>
      <c r="PKS119" s="3"/>
      <c r="PKT119" s="3"/>
      <c r="PKU119" s="3"/>
      <c r="PKV119" s="3"/>
      <c r="PKW119" s="3"/>
      <c r="PKX119" s="3"/>
      <c r="PKY119" s="3"/>
      <c r="PKZ119" s="3"/>
      <c r="PLA119" s="3"/>
      <c r="PLB119" s="3"/>
      <c r="PLC119" s="3"/>
      <c r="PLD119" s="3"/>
      <c r="PLE119" s="3"/>
      <c r="PLF119" s="3"/>
      <c r="PLG119" s="3"/>
      <c r="PLH119" s="3"/>
      <c r="PLI119" s="3"/>
      <c r="PLJ119" s="3"/>
      <c r="PLK119" s="3"/>
      <c r="PLL119" s="3"/>
      <c r="PLM119" s="3"/>
      <c r="PLN119" s="3"/>
      <c r="PLO119" s="3"/>
      <c r="PLP119" s="3"/>
      <c r="PLQ119" s="3"/>
      <c r="PLR119" s="3"/>
      <c r="PLS119" s="3"/>
      <c r="PLT119" s="3"/>
      <c r="PLU119" s="3"/>
      <c r="PLV119" s="3"/>
      <c r="PLW119" s="3"/>
      <c r="PLX119" s="3"/>
      <c r="PLY119" s="3"/>
      <c r="PLZ119" s="3"/>
      <c r="PMA119" s="3"/>
      <c r="PMB119" s="3"/>
      <c r="PMC119" s="3"/>
      <c r="PMD119" s="3"/>
      <c r="PME119" s="3"/>
      <c r="PMF119" s="3"/>
      <c r="PMG119" s="3"/>
      <c r="PMH119" s="3"/>
      <c r="PMI119" s="3"/>
      <c r="PMJ119" s="3"/>
      <c r="PMK119" s="3"/>
      <c r="PML119" s="3"/>
      <c r="PMM119" s="3"/>
      <c r="PMN119" s="3"/>
      <c r="PMO119" s="3"/>
      <c r="PMP119" s="3"/>
      <c r="PMQ119" s="3"/>
      <c r="PMR119" s="3"/>
      <c r="PMS119" s="3"/>
      <c r="PMT119" s="3"/>
      <c r="PMU119" s="3"/>
      <c r="PMV119" s="3"/>
      <c r="PMW119" s="3"/>
      <c r="PMX119" s="3"/>
      <c r="PMY119" s="3"/>
      <c r="PMZ119" s="3"/>
      <c r="PNA119" s="3"/>
      <c r="PNB119" s="3"/>
      <c r="PNC119" s="3"/>
      <c r="PND119" s="3"/>
      <c r="PNE119" s="3"/>
      <c r="PNF119" s="3"/>
      <c r="PNG119" s="3"/>
      <c r="PNH119" s="3"/>
      <c r="PNI119" s="3"/>
      <c r="PNJ119" s="3"/>
      <c r="PNK119" s="3"/>
      <c r="PNL119" s="3"/>
      <c r="PNM119" s="3"/>
      <c r="PNN119" s="3"/>
      <c r="PNO119" s="3"/>
      <c r="PNP119" s="3"/>
      <c r="PNQ119" s="3"/>
      <c r="PNR119" s="3"/>
      <c r="PNS119" s="3"/>
      <c r="PNT119" s="3"/>
      <c r="PNU119" s="3"/>
      <c r="PNV119" s="3"/>
      <c r="PNW119" s="3"/>
      <c r="PNX119" s="3"/>
      <c r="PNY119" s="3"/>
      <c r="PNZ119" s="3"/>
      <c r="POA119" s="3"/>
      <c r="POB119" s="3"/>
      <c r="POC119" s="3"/>
      <c r="POD119" s="3"/>
      <c r="POE119" s="3"/>
      <c r="POF119" s="3"/>
      <c r="POG119" s="3"/>
      <c r="POH119" s="3"/>
      <c r="POI119" s="3"/>
      <c r="POJ119" s="3"/>
      <c r="POK119" s="3"/>
      <c r="POL119" s="3"/>
      <c r="POM119" s="3"/>
      <c r="PON119" s="3"/>
      <c r="POO119" s="3"/>
      <c r="POP119" s="3"/>
      <c r="POQ119" s="3"/>
      <c r="POR119" s="3"/>
      <c r="POS119" s="3"/>
      <c r="POT119" s="3"/>
      <c r="POU119" s="3"/>
      <c r="POV119" s="3"/>
      <c r="POW119" s="3"/>
      <c r="POX119" s="3"/>
      <c r="POY119" s="3"/>
      <c r="POZ119" s="3"/>
      <c r="PPA119" s="3"/>
      <c r="PPB119" s="3"/>
      <c r="PPC119" s="3"/>
      <c r="PPD119" s="3"/>
      <c r="PPE119" s="3"/>
      <c r="PPF119" s="3"/>
      <c r="PPG119" s="3"/>
      <c r="PPH119" s="3"/>
      <c r="PPI119" s="3"/>
      <c r="PPJ119" s="3"/>
      <c r="PPK119" s="3"/>
      <c r="PPL119" s="3"/>
      <c r="PPM119" s="3"/>
      <c r="PPN119" s="3"/>
      <c r="PPO119" s="3"/>
      <c r="PPP119" s="3"/>
      <c r="PPQ119" s="3"/>
      <c r="PPR119" s="3"/>
      <c r="PPS119" s="3"/>
      <c r="PPT119" s="3"/>
      <c r="PPU119" s="3"/>
      <c r="PPV119" s="3"/>
      <c r="PPW119" s="3"/>
      <c r="PPX119" s="3"/>
      <c r="PPY119" s="3"/>
      <c r="PPZ119" s="3"/>
      <c r="PQA119" s="3"/>
      <c r="PQB119" s="3"/>
      <c r="PQC119" s="3"/>
      <c r="PQD119" s="3"/>
      <c r="PQE119" s="3"/>
      <c r="PQF119" s="3"/>
      <c r="PQG119" s="3"/>
      <c r="PQH119" s="3"/>
      <c r="PQI119" s="3"/>
      <c r="PQJ119" s="3"/>
      <c r="PQK119" s="3"/>
      <c r="PQL119" s="3"/>
      <c r="PQM119" s="3"/>
      <c r="PQN119" s="3"/>
      <c r="PQO119" s="3"/>
      <c r="PQP119" s="3"/>
      <c r="PQQ119" s="3"/>
      <c r="PQR119" s="3"/>
      <c r="PQS119" s="3"/>
      <c r="PQT119" s="3"/>
      <c r="PQU119" s="3"/>
      <c r="PQV119" s="3"/>
      <c r="PQW119" s="3"/>
      <c r="PQX119" s="3"/>
      <c r="PQY119" s="3"/>
      <c r="PQZ119" s="3"/>
      <c r="PRA119" s="3"/>
      <c r="PRB119" s="3"/>
      <c r="PRC119" s="3"/>
      <c r="PRD119" s="3"/>
      <c r="PRE119" s="3"/>
      <c r="PRF119" s="3"/>
      <c r="PRG119" s="3"/>
      <c r="PRH119" s="3"/>
      <c r="PRI119" s="3"/>
      <c r="PRJ119" s="3"/>
      <c r="PRK119" s="3"/>
      <c r="PRL119" s="3"/>
      <c r="PRM119" s="3"/>
      <c r="PRN119" s="3"/>
      <c r="PRO119" s="3"/>
      <c r="PRP119" s="3"/>
      <c r="PRQ119" s="3"/>
      <c r="PRR119" s="3"/>
      <c r="PRS119" s="3"/>
      <c r="PRT119" s="3"/>
      <c r="PRU119" s="3"/>
      <c r="PRV119" s="3"/>
      <c r="PRW119" s="3"/>
      <c r="PRX119" s="3"/>
      <c r="PRY119" s="3"/>
      <c r="PRZ119" s="3"/>
      <c r="PSA119" s="3"/>
      <c r="PSB119" s="3"/>
      <c r="PSC119" s="3"/>
      <c r="PSD119" s="3"/>
      <c r="PSE119" s="3"/>
      <c r="PSF119" s="3"/>
      <c r="PSG119" s="3"/>
      <c r="PSH119" s="3"/>
      <c r="PSI119" s="3"/>
      <c r="PSJ119" s="3"/>
      <c r="PSK119" s="3"/>
      <c r="PSL119" s="3"/>
      <c r="PSM119" s="3"/>
      <c r="PSN119" s="3"/>
      <c r="PSO119" s="3"/>
      <c r="PSP119" s="3"/>
      <c r="PSQ119" s="3"/>
      <c r="PSR119" s="3"/>
      <c r="PSS119" s="3"/>
      <c r="PST119" s="3"/>
      <c r="PSU119" s="3"/>
      <c r="PSV119" s="3"/>
      <c r="PSW119" s="3"/>
      <c r="PSX119" s="3"/>
      <c r="PSY119" s="3"/>
      <c r="PSZ119" s="3"/>
      <c r="PTA119" s="3"/>
      <c r="PTB119" s="3"/>
      <c r="PTC119" s="3"/>
      <c r="PTD119" s="3"/>
      <c r="PTE119" s="3"/>
      <c r="PTF119" s="3"/>
      <c r="PTG119" s="3"/>
      <c r="PTH119" s="3"/>
      <c r="PTI119" s="3"/>
      <c r="PTJ119" s="3"/>
      <c r="PTK119" s="3"/>
      <c r="PTL119" s="3"/>
      <c r="PTM119" s="3"/>
      <c r="PTN119" s="3"/>
      <c r="PTO119" s="3"/>
      <c r="PTP119" s="3"/>
      <c r="PTQ119" s="3"/>
      <c r="PTR119" s="3"/>
      <c r="PTS119" s="3"/>
      <c r="PTT119" s="3"/>
      <c r="PTU119" s="3"/>
      <c r="PTV119" s="3"/>
      <c r="PTW119" s="3"/>
      <c r="PTX119" s="3"/>
      <c r="PTY119" s="3"/>
      <c r="PTZ119" s="3"/>
      <c r="PUA119" s="3"/>
      <c r="PUB119" s="3"/>
      <c r="PUC119" s="3"/>
      <c r="PUD119" s="3"/>
      <c r="PUE119" s="3"/>
      <c r="PUF119" s="3"/>
      <c r="PUG119" s="3"/>
      <c r="PUH119" s="3"/>
      <c r="PUI119" s="3"/>
      <c r="PUJ119" s="3"/>
      <c r="PUK119" s="3"/>
      <c r="PUL119" s="3"/>
      <c r="PUM119" s="3"/>
      <c r="PUN119" s="3"/>
      <c r="PUO119" s="3"/>
      <c r="PUP119" s="3"/>
      <c r="PUQ119" s="3"/>
      <c r="PUR119" s="3"/>
      <c r="PUS119" s="3"/>
      <c r="PUT119" s="3"/>
      <c r="PUU119" s="3"/>
      <c r="PUV119" s="3"/>
      <c r="PUW119" s="3"/>
      <c r="PUX119" s="3"/>
      <c r="PUY119" s="3"/>
      <c r="PUZ119" s="3"/>
      <c r="PVA119" s="3"/>
      <c r="PVB119" s="3"/>
      <c r="PVC119" s="3"/>
      <c r="PVD119" s="3"/>
      <c r="PVE119" s="3"/>
      <c r="PVF119" s="3"/>
      <c r="PVG119" s="3"/>
      <c r="PVH119" s="3"/>
      <c r="PVI119" s="3"/>
      <c r="PVJ119" s="3"/>
      <c r="PVK119" s="3"/>
      <c r="PVL119" s="3"/>
      <c r="PVM119" s="3"/>
      <c r="PVN119" s="3"/>
      <c r="PVO119" s="3"/>
      <c r="PVP119" s="3"/>
      <c r="PVQ119" s="3"/>
      <c r="PVR119" s="3"/>
      <c r="PVS119" s="3"/>
      <c r="PVT119" s="3"/>
      <c r="PVU119" s="3"/>
      <c r="PVV119" s="3"/>
      <c r="PVW119" s="3"/>
      <c r="PVX119" s="3"/>
      <c r="PVY119" s="3"/>
      <c r="PVZ119" s="3"/>
      <c r="PWA119" s="3"/>
      <c r="PWB119" s="3"/>
      <c r="PWC119" s="3"/>
      <c r="PWD119" s="3"/>
      <c r="PWE119" s="3"/>
      <c r="PWF119" s="3"/>
      <c r="PWG119" s="3"/>
      <c r="PWH119" s="3"/>
      <c r="PWI119" s="3"/>
      <c r="PWJ119" s="3"/>
      <c r="PWK119" s="3"/>
      <c r="PWL119" s="3"/>
      <c r="PWM119" s="3"/>
      <c r="PWN119" s="3"/>
      <c r="PWO119" s="3"/>
      <c r="PWP119" s="3"/>
      <c r="PWQ119" s="3"/>
      <c r="PWR119" s="3"/>
      <c r="PWS119" s="3"/>
      <c r="PWT119" s="3"/>
      <c r="PWU119" s="3"/>
      <c r="PWV119" s="3"/>
      <c r="PWW119" s="3"/>
      <c r="PWX119" s="3"/>
      <c r="PWY119" s="3"/>
      <c r="PWZ119" s="3"/>
      <c r="PXA119" s="3"/>
      <c r="PXB119" s="3"/>
      <c r="PXC119" s="3"/>
      <c r="PXD119" s="3"/>
      <c r="PXE119" s="3"/>
      <c r="PXF119" s="3"/>
      <c r="PXG119" s="3"/>
      <c r="PXH119" s="3"/>
      <c r="PXI119" s="3"/>
      <c r="PXJ119" s="3"/>
      <c r="PXK119" s="3"/>
      <c r="PXL119" s="3"/>
      <c r="PXM119" s="3"/>
      <c r="PXN119" s="3"/>
      <c r="PXO119" s="3"/>
      <c r="PXP119" s="3"/>
      <c r="PXQ119" s="3"/>
      <c r="PXR119" s="3"/>
      <c r="PXS119" s="3"/>
      <c r="PXT119" s="3"/>
      <c r="PXU119" s="3"/>
      <c r="PXV119" s="3"/>
      <c r="PXW119" s="3"/>
      <c r="PXX119" s="3"/>
      <c r="PXY119" s="3"/>
      <c r="PXZ119" s="3"/>
      <c r="PYA119" s="3"/>
      <c r="PYB119" s="3"/>
      <c r="PYC119" s="3"/>
      <c r="PYD119" s="3"/>
      <c r="PYE119" s="3"/>
      <c r="PYF119" s="3"/>
      <c r="PYG119" s="3"/>
      <c r="PYH119" s="3"/>
      <c r="PYI119" s="3"/>
      <c r="PYJ119" s="3"/>
      <c r="PYK119" s="3"/>
      <c r="PYL119" s="3"/>
      <c r="PYM119" s="3"/>
      <c r="PYN119" s="3"/>
      <c r="PYO119" s="3"/>
      <c r="PYP119" s="3"/>
      <c r="PYQ119" s="3"/>
      <c r="PYR119" s="3"/>
      <c r="PYS119" s="3"/>
      <c r="PYT119" s="3"/>
      <c r="PYU119" s="3"/>
      <c r="PYV119" s="3"/>
      <c r="PYW119" s="3"/>
      <c r="PYX119" s="3"/>
      <c r="PYY119" s="3"/>
      <c r="PYZ119" s="3"/>
      <c r="PZA119" s="3"/>
      <c r="PZB119" s="3"/>
      <c r="PZC119" s="3"/>
      <c r="PZD119" s="3"/>
      <c r="PZE119" s="3"/>
      <c r="PZF119" s="3"/>
      <c r="PZG119" s="3"/>
      <c r="PZH119" s="3"/>
      <c r="PZI119" s="3"/>
      <c r="PZJ119" s="3"/>
      <c r="PZK119" s="3"/>
      <c r="PZL119" s="3"/>
      <c r="PZM119" s="3"/>
      <c r="PZN119" s="3"/>
      <c r="PZO119" s="3"/>
      <c r="PZP119" s="3"/>
      <c r="PZQ119" s="3"/>
      <c r="PZR119" s="3"/>
      <c r="PZS119" s="3"/>
      <c r="PZT119" s="3"/>
      <c r="PZU119" s="3"/>
      <c r="PZV119" s="3"/>
      <c r="PZW119" s="3"/>
      <c r="PZX119" s="3"/>
      <c r="PZY119" s="3"/>
      <c r="PZZ119" s="3"/>
      <c r="QAA119" s="3"/>
      <c r="QAB119" s="3"/>
      <c r="QAC119" s="3"/>
      <c r="QAD119" s="3"/>
      <c r="QAE119" s="3"/>
      <c r="QAF119" s="3"/>
      <c r="QAG119" s="3"/>
      <c r="QAH119" s="3"/>
      <c r="QAI119" s="3"/>
      <c r="QAJ119" s="3"/>
      <c r="QAK119" s="3"/>
      <c r="QAL119" s="3"/>
      <c r="QAM119" s="3"/>
      <c r="QAN119" s="3"/>
      <c r="QAO119" s="3"/>
      <c r="QAP119" s="3"/>
      <c r="QAQ119" s="3"/>
      <c r="QAR119" s="3"/>
      <c r="QAS119" s="3"/>
      <c r="QAT119" s="3"/>
      <c r="QAU119" s="3"/>
      <c r="QAV119" s="3"/>
      <c r="QAW119" s="3"/>
      <c r="QAX119" s="3"/>
      <c r="QAY119" s="3"/>
      <c r="QAZ119" s="3"/>
      <c r="QBA119" s="3"/>
      <c r="QBB119" s="3"/>
      <c r="QBC119" s="3"/>
      <c r="QBD119" s="3"/>
      <c r="QBE119" s="3"/>
      <c r="QBF119" s="3"/>
      <c r="QBG119" s="3"/>
      <c r="QBH119" s="3"/>
      <c r="QBI119" s="3"/>
      <c r="QBJ119" s="3"/>
      <c r="QBK119" s="3"/>
      <c r="QBL119" s="3"/>
      <c r="QBM119" s="3"/>
      <c r="QBN119" s="3"/>
      <c r="QBO119" s="3"/>
      <c r="QBP119" s="3"/>
      <c r="QBQ119" s="3"/>
      <c r="QBR119" s="3"/>
      <c r="QBS119" s="3"/>
      <c r="QBT119" s="3"/>
      <c r="QBU119" s="3"/>
      <c r="QBV119" s="3"/>
      <c r="QBW119" s="3"/>
      <c r="QBX119" s="3"/>
      <c r="QBY119" s="3"/>
      <c r="QBZ119" s="3"/>
      <c r="QCA119" s="3"/>
      <c r="QCB119" s="3"/>
      <c r="QCC119" s="3"/>
      <c r="QCD119" s="3"/>
      <c r="QCE119" s="3"/>
      <c r="QCF119" s="3"/>
      <c r="QCG119" s="3"/>
      <c r="QCH119" s="3"/>
      <c r="QCI119" s="3"/>
      <c r="QCJ119" s="3"/>
      <c r="QCK119" s="3"/>
      <c r="QCL119" s="3"/>
      <c r="QCM119" s="3"/>
      <c r="QCN119" s="3"/>
      <c r="QCO119" s="3"/>
      <c r="QCP119" s="3"/>
      <c r="QCQ119" s="3"/>
      <c r="QCR119" s="3"/>
      <c r="QCS119" s="3"/>
      <c r="QCT119" s="3"/>
      <c r="QCU119" s="3"/>
      <c r="QCV119" s="3"/>
      <c r="QCW119" s="3"/>
      <c r="QCX119" s="3"/>
      <c r="QCY119" s="3"/>
      <c r="QCZ119" s="3"/>
      <c r="QDA119" s="3"/>
      <c r="QDB119" s="3"/>
      <c r="QDC119" s="3"/>
      <c r="QDD119" s="3"/>
      <c r="QDE119" s="3"/>
      <c r="QDF119" s="3"/>
      <c r="QDG119" s="3"/>
      <c r="QDH119" s="3"/>
      <c r="QDI119" s="3"/>
      <c r="QDJ119" s="3"/>
      <c r="QDK119" s="3"/>
      <c r="QDL119" s="3"/>
      <c r="QDM119" s="3"/>
      <c r="QDN119" s="3"/>
      <c r="QDO119" s="3"/>
      <c r="QDP119" s="3"/>
      <c r="QDQ119" s="3"/>
      <c r="QDR119" s="3"/>
      <c r="QDS119" s="3"/>
      <c r="QDT119" s="3"/>
      <c r="QDU119" s="3"/>
      <c r="QDV119" s="3"/>
      <c r="QDW119" s="3"/>
      <c r="QDX119" s="3"/>
      <c r="QDY119" s="3"/>
      <c r="QDZ119" s="3"/>
      <c r="QEA119" s="3"/>
      <c r="QEB119" s="3"/>
      <c r="QEC119" s="3"/>
      <c r="QED119" s="3"/>
      <c r="QEE119" s="3"/>
      <c r="QEF119" s="3"/>
      <c r="QEG119" s="3"/>
      <c r="QEH119" s="3"/>
      <c r="QEI119" s="3"/>
      <c r="QEJ119" s="3"/>
      <c r="QEK119" s="3"/>
      <c r="QEL119" s="3"/>
      <c r="QEM119" s="3"/>
      <c r="QEN119" s="3"/>
      <c r="QEO119" s="3"/>
      <c r="QEP119" s="3"/>
      <c r="QEQ119" s="3"/>
      <c r="QER119" s="3"/>
      <c r="QES119" s="3"/>
      <c r="QET119" s="3"/>
      <c r="QEU119" s="3"/>
      <c r="QEV119" s="3"/>
      <c r="QEW119" s="3"/>
      <c r="QEX119" s="3"/>
      <c r="QEY119" s="3"/>
      <c r="QEZ119" s="3"/>
      <c r="QFA119" s="3"/>
      <c r="QFB119" s="3"/>
      <c r="QFC119" s="3"/>
      <c r="QFD119" s="3"/>
      <c r="QFE119" s="3"/>
      <c r="QFF119" s="3"/>
      <c r="QFG119" s="3"/>
      <c r="QFH119" s="3"/>
      <c r="QFI119" s="3"/>
      <c r="QFJ119" s="3"/>
      <c r="QFK119" s="3"/>
      <c r="QFL119" s="3"/>
      <c r="QFM119" s="3"/>
      <c r="QFN119" s="3"/>
      <c r="QFO119" s="3"/>
      <c r="QFP119" s="3"/>
      <c r="QFQ119" s="3"/>
      <c r="QFR119" s="3"/>
      <c r="QFS119" s="3"/>
      <c r="QFT119" s="3"/>
      <c r="QFU119" s="3"/>
      <c r="QFV119" s="3"/>
      <c r="QFW119" s="3"/>
      <c r="QFX119" s="3"/>
      <c r="QFY119" s="3"/>
      <c r="QFZ119" s="3"/>
      <c r="QGA119" s="3"/>
      <c r="QGB119" s="3"/>
      <c r="QGC119" s="3"/>
      <c r="QGD119" s="3"/>
      <c r="QGE119" s="3"/>
      <c r="QGF119" s="3"/>
      <c r="QGG119" s="3"/>
      <c r="QGH119" s="3"/>
      <c r="QGI119" s="3"/>
      <c r="QGJ119" s="3"/>
      <c r="QGK119" s="3"/>
      <c r="QGL119" s="3"/>
      <c r="QGM119" s="3"/>
      <c r="QGN119" s="3"/>
      <c r="QGO119" s="3"/>
      <c r="QGP119" s="3"/>
      <c r="QGQ119" s="3"/>
      <c r="QGR119" s="3"/>
      <c r="QGS119" s="3"/>
      <c r="QGT119" s="3"/>
      <c r="QGU119" s="3"/>
      <c r="QGV119" s="3"/>
      <c r="QGW119" s="3"/>
      <c r="QGX119" s="3"/>
      <c r="QGY119" s="3"/>
      <c r="QGZ119" s="3"/>
      <c r="QHA119" s="3"/>
      <c r="QHB119" s="3"/>
      <c r="QHC119" s="3"/>
      <c r="QHD119" s="3"/>
      <c r="QHE119" s="3"/>
      <c r="QHF119" s="3"/>
      <c r="QHG119" s="3"/>
      <c r="QHH119" s="3"/>
      <c r="QHI119" s="3"/>
      <c r="QHJ119" s="3"/>
      <c r="QHK119" s="3"/>
      <c r="QHL119" s="3"/>
      <c r="QHM119" s="3"/>
      <c r="QHN119" s="3"/>
      <c r="QHO119" s="3"/>
      <c r="QHP119" s="3"/>
      <c r="QHQ119" s="3"/>
      <c r="QHR119" s="3"/>
      <c r="QHS119" s="3"/>
      <c r="QHT119" s="3"/>
      <c r="QHU119" s="3"/>
      <c r="QHV119" s="3"/>
      <c r="QHW119" s="3"/>
      <c r="QHX119" s="3"/>
      <c r="QHY119" s="3"/>
      <c r="QHZ119" s="3"/>
      <c r="QIA119" s="3"/>
      <c r="QIB119" s="3"/>
      <c r="QIC119" s="3"/>
      <c r="QID119" s="3"/>
      <c r="QIE119" s="3"/>
      <c r="QIF119" s="3"/>
      <c r="QIG119" s="3"/>
      <c r="QIH119" s="3"/>
      <c r="QII119" s="3"/>
      <c r="QIJ119" s="3"/>
      <c r="QIK119" s="3"/>
      <c r="QIL119" s="3"/>
      <c r="QIM119" s="3"/>
      <c r="QIN119" s="3"/>
      <c r="QIO119" s="3"/>
      <c r="QIP119" s="3"/>
      <c r="QIQ119" s="3"/>
      <c r="QIR119" s="3"/>
      <c r="QIS119" s="3"/>
      <c r="QIT119" s="3"/>
      <c r="QIU119" s="3"/>
      <c r="QIV119" s="3"/>
      <c r="QIW119" s="3"/>
      <c r="QIX119" s="3"/>
      <c r="QIY119" s="3"/>
      <c r="QIZ119" s="3"/>
      <c r="QJA119" s="3"/>
      <c r="QJB119" s="3"/>
      <c r="QJC119" s="3"/>
      <c r="QJD119" s="3"/>
      <c r="QJE119" s="3"/>
      <c r="QJF119" s="3"/>
      <c r="QJG119" s="3"/>
      <c r="QJH119" s="3"/>
      <c r="QJI119" s="3"/>
      <c r="QJJ119" s="3"/>
      <c r="QJK119" s="3"/>
      <c r="QJL119" s="3"/>
      <c r="QJM119" s="3"/>
      <c r="QJN119" s="3"/>
      <c r="QJO119" s="3"/>
      <c r="QJP119" s="3"/>
      <c r="QJQ119" s="3"/>
      <c r="QJR119" s="3"/>
      <c r="QJS119" s="3"/>
      <c r="QJT119" s="3"/>
      <c r="QJU119" s="3"/>
      <c r="QJV119" s="3"/>
      <c r="QJW119" s="3"/>
      <c r="QJX119" s="3"/>
      <c r="QJY119" s="3"/>
      <c r="QJZ119" s="3"/>
      <c r="QKA119" s="3"/>
      <c r="QKB119" s="3"/>
      <c r="QKC119" s="3"/>
      <c r="QKD119" s="3"/>
      <c r="QKE119" s="3"/>
      <c r="QKF119" s="3"/>
      <c r="QKG119" s="3"/>
      <c r="QKH119" s="3"/>
      <c r="QKI119" s="3"/>
      <c r="QKJ119" s="3"/>
      <c r="QKK119" s="3"/>
      <c r="QKL119" s="3"/>
      <c r="QKM119" s="3"/>
      <c r="QKN119" s="3"/>
      <c r="QKO119" s="3"/>
      <c r="QKP119" s="3"/>
      <c r="QKQ119" s="3"/>
      <c r="QKR119" s="3"/>
      <c r="QKS119" s="3"/>
      <c r="QKT119" s="3"/>
      <c r="QKU119" s="3"/>
      <c r="QKV119" s="3"/>
      <c r="QKW119" s="3"/>
      <c r="QKX119" s="3"/>
      <c r="QKY119" s="3"/>
      <c r="QKZ119" s="3"/>
      <c r="QLA119" s="3"/>
      <c r="QLB119" s="3"/>
      <c r="QLC119" s="3"/>
      <c r="QLD119" s="3"/>
      <c r="QLE119" s="3"/>
      <c r="QLF119" s="3"/>
      <c r="QLG119" s="3"/>
      <c r="QLH119" s="3"/>
      <c r="QLI119" s="3"/>
      <c r="QLJ119" s="3"/>
      <c r="QLK119" s="3"/>
      <c r="QLL119" s="3"/>
      <c r="QLM119" s="3"/>
      <c r="QLN119" s="3"/>
      <c r="QLO119" s="3"/>
      <c r="QLP119" s="3"/>
      <c r="QLQ119" s="3"/>
      <c r="QLR119" s="3"/>
      <c r="QLS119" s="3"/>
      <c r="QLT119" s="3"/>
      <c r="QLU119" s="3"/>
      <c r="QLV119" s="3"/>
      <c r="QLW119" s="3"/>
      <c r="QLX119" s="3"/>
      <c r="QLY119" s="3"/>
      <c r="QLZ119" s="3"/>
      <c r="QMA119" s="3"/>
      <c r="QMB119" s="3"/>
      <c r="QMC119" s="3"/>
      <c r="QMD119" s="3"/>
      <c r="QME119" s="3"/>
      <c r="QMF119" s="3"/>
      <c r="QMG119" s="3"/>
      <c r="QMH119" s="3"/>
      <c r="QMI119" s="3"/>
      <c r="QMJ119" s="3"/>
      <c r="QMK119" s="3"/>
      <c r="QML119" s="3"/>
      <c r="QMM119" s="3"/>
      <c r="QMN119" s="3"/>
      <c r="QMO119" s="3"/>
      <c r="QMP119" s="3"/>
      <c r="QMQ119" s="3"/>
      <c r="QMR119" s="3"/>
      <c r="QMS119" s="3"/>
      <c r="QMT119" s="3"/>
      <c r="QMU119" s="3"/>
      <c r="QMV119" s="3"/>
      <c r="QMW119" s="3"/>
      <c r="QMX119" s="3"/>
      <c r="QMY119" s="3"/>
      <c r="QMZ119" s="3"/>
      <c r="QNA119" s="3"/>
      <c r="QNB119" s="3"/>
      <c r="QNC119" s="3"/>
      <c r="QND119" s="3"/>
      <c r="QNE119" s="3"/>
      <c r="QNF119" s="3"/>
      <c r="QNG119" s="3"/>
      <c r="QNH119" s="3"/>
      <c r="QNI119" s="3"/>
      <c r="QNJ119" s="3"/>
      <c r="QNK119" s="3"/>
      <c r="QNL119" s="3"/>
      <c r="QNM119" s="3"/>
      <c r="QNN119" s="3"/>
      <c r="QNO119" s="3"/>
      <c r="QNP119" s="3"/>
      <c r="QNQ119" s="3"/>
      <c r="QNR119" s="3"/>
      <c r="QNS119" s="3"/>
      <c r="QNT119" s="3"/>
      <c r="QNU119" s="3"/>
      <c r="QNV119" s="3"/>
      <c r="QNW119" s="3"/>
      <c r="QNX119" s="3"/>
      <c r="QNY119" s="3"/>
      <c r="QNZ119" s="3"/>
      <c r="QOA119" s="3"/>
      <c r="QOB119" s="3"/>
      <c r="QOC119" s="3"/>
      <c r="QOD119" s="3"/>
      <c r="QOE119" s="3"/>
      <c r="QOF119" s="3"/>
      <c r="QOG119" s="3"/>
      <c r="QOH119" s="3"/>
      <c r="QOI119" s="3"/>
      <c r="QOJ119" s="3"/>
      <c r="QOK119" s="3"/>
      <c r="QOL119" s="3"/>
      <c r="QOM119" s="3"/>
      <c r="QON119" s="3"/>
      <c r="QOO119" s="3"/>
      <c r="QOP119" s="3"/>
      <c r="QOQ119" s="3"/>
      <c r="QOR119" s="3"/>
      <c r="QOS119" s="3"/>
      <c r="QOT119" s="3"/>
      <c r="QOU119" s="3"/>
      <c r="QOV119" s="3"/>
      <c r="QOW119" s="3"/>
      <c r="QOX119" s="3"/>
      <c r="QOY119" s="3"/>
      <c r="QOZ119" s="3"/>
      <c r="QPA119" s="3"/>
      <c r="QPB119" s="3"/>
      <c r="QPC119" s="3"/>
      <c r="QPD119" s="3"/>
      <c r="QPE119" s="3"/>
      <c r="QPF119" s="3"/>
      <c r="QPG119" s="3"/>
      <c r="QPH119" s="3"/>
      <c r="QPI119" s="3"/>
      <c r="QPJ119" s="3"/>
      <c r="QPK119" s="3"/>
      <c r="QPL119" s="3"/>
      <c r="QPM119" s="3"/>
      <c r="QPN119" s="3"/>
      <c r="QPO119" s="3"/>
      <c r="QPP119" s="3"/>
      <c r="QPQ119" s="3"/>
      <c r="QPR119" s="3"/>
      <c r="QPS119" s="3"/>
      <c r="QPT119" s="3"/>
      <c r="QPU119" s="3"/>
      <c r="QPV119" s="3"/>
      <c r="QPW119" s="3"/>
      <c r="QPX119" s="3"/>
      <c r="QPY119" s="3"/>
      <c r="QPZ119" s="3"/>
      <c r="QQA119" s="3"/>
      <c r="QQB119" s="3"/>
      <c r="QQC119" s="3"/>
      <c r="QQD119" s="3"/>
      <c r="QQE119" s="3"/>
      <c r="QQF119" s="3"/>
      <c r="QQG119" s="3"/>
      <c r="QQH119" s="3"/>
      <c r="QQI119" s="3"/>
      <c r="QQJ119" s="3"/>
      <c r="QQK119" s="3"/>
      <c r="QQL119" s="3"/>
      <c r="QQM119" s="3"/>
      <c r="QQN119" s="3"/>
      <c r="QQO119" s="3"/>
      <c r="QQP119" s="3"/>
      <c r="QQQ119" s="3"/>
      <c r="QQR119" s="3"/>
      <c r="QQS119" s="3"/>
      <c r="QQT119" s="3"/>
      <c r="QQU119" s="3"/>
      <c r="QQV119" s="3"/>
      <c r="QQW119" s="3"/>
      <c r="QQX119" s="3"/>
      <c r="QQY119" s="3"/>
      <c r="QQZ119" s="3"/>
      <c r="QRA119" s="3"/>
      <c r="QRB119" s="3"/>
      <c r="QRC119" s="3"/>
      <c r="QRD119" s="3"/>
      <c r="QRE119" s="3"/>
      <c r="QRF119" s="3"/>
      <c r="QRG119" s="3"/>
      <c r="QRH119" s="3"/>
      <c r="QRI119" s="3"/>
      <c r="QRJ119" s="3"/>
      <c r="QRK119" s="3"/>
      <c r="QRL119" s="3"/>
      <c r="QRM119" s="3"/>
      <c r="QRN119" s="3"/>
      <c r="QRO119" s="3"/>
      <c r="QRP119" s="3"/>
      <c r="QRQ119" s="3"/>
      <c r="QRR119" s="3"/>
      <c r="QRS119" s="3"/>
      <c r="QRT119" s="3"/>
      <c r="QRU119" s="3"/>
      <c r="QRV119" s="3"/>
      <c r="QRW119" s="3"/>
      <c r="QRX119" s="3"/>
      <c r="QRY119" s="3"/>
      <c r="QRZ119" s="3"/>
      <c r="QSA119" s="3"/>
      <c r="QSB119" s="3"/>
      <c r="QSC119" s="3"/>
      <c r="QSD119" s="3"/>
      <c r="QSE119" s="3"/>
      <c r="QSF119" s="3"/>
      <c r="QSG119" s="3"/>
      <c r="QSH119" s="3"/>
      <c r="QSI119" s="3"/>
      <c r="QSJ119" s="3"/>
      <c r="QSK119" s="3"/>
      <c r="QSL119" s="3"/>
      <c r="QSM119" s="3"/>
      <c r="QSN119" s="3"/>
      <c r="QSO119" s="3"/>
      <c r="QSP119" s="3"/>
      <c r="QSQ119" s="3"/>
      <c r="QSR119" s="3"/>
      <c r="QSS119" s="3"/>
      <c r="QST119" s="3"/>
      <c r="QSU119" s="3"/>
      <c r="QSV119" s="3"/>
      <c r="QSW119" s="3"/>
      <c r="QSX119" s="3"/>
      <c r="QSY119" s="3"/>
      <c r="QSZ119" s="3"/>
      <c r="QTA119" s="3"/>
      <c r="QTB119" s="3"/>
      <c r="QTC119" s="3"/>
      <c r="QTD119" s="3"/>
      <c r="QTE119" s="3"/>
      <c r="QTF119" s="3"/>
      <c r="QTG119" s="3"/>
      <c r="QTH119" s="3"/>
      <c r="QTI119" s="3"/>
      <c r="QTJ119" s="3"/>
      <c r="QTK119" s="3"/>
      <c r="QTL119" s="3"/>
      <c r="QTM119" s="3"/>
      <c r="QTN119" s="3"/>
      <c r="QTO119" s="3"/>
      <c r="QTP119" s="3"/>
      <c r="QTQ119" s="3"/>
      <c r="QTR119" s="3"/>
      <c r="QTS119" s="3"/>
      <c r="QTT119" s="3"/>
      <c r="QTU119" s="3"/>
      <c r="QTV119" s="3"/>
      <c r="QTW119" s="3"/>
      <c r="QTX119" s="3"/>
      <c r="QTY119" s="3"/>
      <c r="QTZ119" s="3"/>
      <c r="QUA119" s="3"/>
      <c r="QUB119" s="3"/>
      <c r="QUC119" s="3"/>
      <c r="QUD119" s="3"/>
      <c r="QUE119" s="3"/>
      <c r="QUF119" s="3"/>
      <c r="QUG119" s="3"/>
      <c r="QUH119" s="3"/>
      <c r="QUI119" s="3"/>
      <c r="QUJ119" s="3"/>
      <c r="QUK119" s="3"/>
      <c r="QUL119" s="3"/>
      <c r="QUM119" s="3"/>
      <c r="QUN119" s="3"/>
      <c r="QUO119" s="3"/>
      <c r="QUP119" s="3"/>
      <c r="QUQ119" s="3"/>
      <c r="QUR119" s="3"/>
      <c r="QUS119" s="3"/>
      <c r="QUT119" s="3"/>
      <c r="QUU119" s="3"/>
      <c r="QUV119" s="3"/>
      <c r="QUW119" s="3"/>
      <c r="QUX119" s="3"/>
      <c r="QUY119" s="3"/>
      <c r="QUZ119" s="3"/>
      <c r="QVA119" s="3"/>
      <c r="QVB119" s="3"/>
      <c r="QVC119" s="3"/>
      <c r="QVD119" s="3"/>
      <c r="QVE119" s="3"/>
      <c r="QVF119" s="3"/>
      <c r="QVG119" s="3"/>
      <c r="QVH119" s="3"/>
      <c r="QVI119" s="3"/>
      <c r="QVJ119" s="3"/>
      <c r="QVK119" s="3"/>
      <c r="QVL119" s="3"/>
      <c r="QVM119" s="3"/>
      <c r="QVN119" s="3"/>
      <c r="QVO119" s="3"/>
      <c r="QVP119" s="3"/>
      <c r="QVQ119" s="3"/>
      <c r="QVR119" s="3"/>
      <c r="QVS119" s="3"/>
      <c r="QVT119" s="3"/>
      <c r="QVU119" s="3"/>
      <c r="QVV119" s="3"/>
      <c r="QVW119" s="3"/>
      <c r="QVX119" s="3"/>
      <c r="QVY119" s="3"/>
      <c r="QVZ119" s="3"/>
      <c r="QWA119" s="3"/>
      <c r="QWB119" s="3"/>
      <c r="QWC119" s="3"/>
      <c r="QWD119" s="3"/>
      <c r="QWE119" s="3"/>
      <c r="QWF119" s="3"/>
      <c r="QWG119" s="3"/>
      <c r="QWH119" s="3"/>
      <c r="QWI119" s="3"/>
      <c r="QWJ119" s="3"/>
      <c r="QWK119" s="3"/>
      <c r="QWL119" s="3"/>
      <c r="QWM119" s="3"/>
      <c r="QWN119" s="3"/>
      <c r="QWO119" s="3"/>
      <c r="QWP119" s="3"/>
      <c r="QWQ119" s="3"/>
      <c r="QWR119" s="3"/>
      <c r="QWS119" s="3"/>
      <c r="QWT119" s="3"/>
      <c r="QWU119" s="3"/>
      <c r="QWV119" s="3"/>
      <c r="QWW119" s="3"/>
      <c r="QWX119" s="3"/>
      <c r="QWY119" s="3"/>
      <c r="QWZ119" s="3"/>
      <c r="QXA119" s="3"/>
      <c r="QXB119" s="3"/>
      <c r="QXC119" s="3"/>
      <c r="QXD119" s="3"/>
      <c r="QXE119" s="3"/>
      <c r="QXF119" s="3"/>
      <c r="QXG119" s="3"/>
      <c r="QXH119" s="3"/>
      <c r="QXI119" s="3"/>
      <c r="QXJ119" s="3"/>
      <c r="QXK119" s="3"/>
      <c r="QXL119" s="3"/>
      <c r="QXM119" s="3"/>
      <c r="QXN119" s="3"/>
      <c r="QXO119" s="3"/>
      <c r="QXP119" s="3"/>
      <c r="QXQ119" s="3"/>
      <c r="QXR119" s="3"/>
      <c r="QXS119" s="3"/>
      <c r="QXT119" s="3"/>
      <c r="QXU119" s="3"/>
      <c r="QXV119" s="3"/>
      <c r="QXW119" s="3"/>
      <c r="QXX119" s="3"/>
      <c r="QXY119" s="3"/>
      <c r="QXZ119" s="3"/>
      <c r="QYA119" s="3"/>
      <c r="QYB119" s="3"/>
      <c r="QYC119" s="3"/>
      <c r="QYD119" s="3"/>
      <c r="QYE119" s="3"/>
      <c r="QYF119" s="3"/>
      <c r="QYG119" s="3"/>
      <c r="QYH119" s="3"/>
      <c r="QYI119" s="3"/>
      <c r="QYJ119" s="3"/>
      <c r="QYK119" s="3"/>
      <c r="QYL119" s="3"/>
      <c r="QYM119" s="3"/>
      <c r="QYN119" s="3"/>
      <c r="QYO119" s="3"/>
      <c r="QYP119" s="3"/>
      <c r="QYQ119" s="3"/>
      <c r="QYR119" s="3"/>
      <c r="QYS119" s="3"/>
      <c r="QYT119" s="3"/>
      <c r="QYU119" s="3"/>
      <c r="QYV119" s="3"/>
      <c r="QYW119" s="3"/>
      <c r="QYX119" s="3"/>
      <c r="QYY119" s="3"/>
      <c r="QYZ119" s="3"/>
      <c r="QZA119" s="3"/>
      <c r="QZB119" s="3"/>
      <c r="QZC119" s="3"/>
      <c r="QZD119" s="3"/>
      <c r="QZE119" s="3"/>
      <c r="QZF119" s="3"/>
      <c r="QZG119" s="3"/>
      <c r="QZH119" s="3"/>
      <c r="QZI119" s="3"/>
      <c r="QZJ119" s="3"/>
      <c r="QZK119" s="3"/>
      <c r="QZL119" s="3"/>
      <c r="QZM119" s="3"/>
      <c r="QZN119" s="3"/>
      <c r="QZO119" s="3"/>
      <c r="QZP119" s="3"/>
      <c r="QZQ119" s="3"/>
      <c r="QZR119" s="3"/>
      <c r="QZS119" s="3"/>
      <c r="QZT119" s="3"/>
      <c r="QZU119" s="3"/>
      <c r="QZV119" s="3"/>
      <c r="QZW119" s="3"/>
      <c r="QZX119" s="3"/>
      <c r="QZY119" s="3"/>
      <c r="QZZ119" s="3"/>
      <c r="RAA119" s="3"/>
      <c r="RAB119" s="3"/>
      <c r="RAC119" s="3"/>
      <c r="RAD119" s="3"/>
      <c r="RAE119" s="3"/>
      <c r="RAF119" s="3"/>
      <c r="RAG119" s="3"/>
      <c r="RAH119" s="3"/>
      <c r="RAI119" s="3"/>
      <c r="RAJ119" s="3"/>
      <c r="RAK119" s="3"/>
      <c r="RAL119" s="3"/>
      <c r="RAM119" s="3"/>
      <c r="RAN119" s="3"/>
      <c r="RAO119" s="3"/>
      <c r="RAP119" s="3"/>
      <c r="RAQ119" s="3"/>
      <c r="RAR119" s="3"/>
      <c r="RAS119" s="3"/>
      <c r="RAT119" s="3"/>
      <c r="RAU119" s="3"/>
      <c r="RAV119" s="3"/>
      <c r="RAW119" s="3"/>
      <c r="RAX119" s="3"/>
      <c r="RAY119" s="3"/>
      <c r="RAZ119" s="3"/>
      <c r="RBA119" s="3"/>
      <c r="RBB119" s="3"/>
      <c r="RBC119" s="3"/>
      <c r="RBD119" s="3"/>
      <c r="RBE119" s="3"/>
      <c r="RBF119" s="3"/>
      <c r="RBG119" s="3"/>
      <c r="RBH119" s="3"/>
      <c r="RBI119" s="3"/>
      <c r="RBJ119" s="3"/>
      <c r="RBK119" s="3"/>
      <c r="RBL119" s="3"/>
      <c r="RBM119" s="3"/>
      <c r="RBN119" s="3"/>
      <c r="RBO119" s="3"/>
      <c r="RBP119" s="3"/>
      <c r="RBQ119" s="3"/>
      <c r="RBR119" s="3"/>
      <c r="RBS119" s="3"/>
      <c r="RBT119" s="3"/>
      <c r="RBU119" s="3"/>
      <c r="RBV119" s="3"/>
      <c r="RBW119" s="3"/>
      <c r="RBX119" s="3"/>
      <c r="RBY119" s="3"/>
      <c r="RBZ119" s="3"/>
      <c r="RCA119" s="3"/>
      <c r="RCB119" s="3"/>
      <c r="RCC119" s="3"/>
      <c r="RCD119" s="3"/>
      <c r="RCE119" s="3"/>
      <c r="RCF119" s="3"/>
      <c r="RCG119" s="3"/>
      <c r="RCH119" s="3"/>
      <c r="RCI119" s="3"/>
      <c r="RCJ119" s="3"/>
      <c r="RCK119" s="3"/>
      <c r="RCL119" s="3"/>
      <c r="RCM119" s="3"/>
      <c r="RCN119" s="3"/>
      <c r="RCO119" s="3"/>
      <c r="RCP119" s="3"/>
      <c r="RCQ119" s="3"/>
      <c r="RCR119" s="3"/>
      <c r="RCS119" s="3"/>
      <c r="RCT119" s="3"/>
      <c r="RCU119" s="3"/>
      <c r="RCV119" s="3"/>
      <c r="RCW119" s="3"/>
      <c r="RCX119" s="3"/>
      <c r="RCY119" s="3"/>
      <c r="RCZ119" s="3"/>
      <c r="RDA119" s="3"/>
      <c r="RDB119" s="3"/>
      <c r="RDC119" s="3"/>
      <c r="RDD119" s="3"/>
      <c r="RDE119" s="3"/>
      <c r="RDF119" s="3"/>
      <c r="RDG119" s="3"/>
      <c r="RDH119" s="3"/>
      <c r="RDI119" s="3"/>
      <c r="RDJ119" s="3"/>
      <c r="RDK119" s="3"/>
      <c r="RDL119" s="3"/>
      <c r="RDM119" s="3"/>
      <c r="RDN119" s="3"/>
      <c r="RDO119" s="3"/>
      <c r="RDP119" s="3"/>
      <c r="RDQ119" s="3"/>
      <c r="RDR119" s="3"/>
      <c r="RDS119" s="3"/>
      <c r="RDT119" s="3"/>
      <c r="RDU119" s="3"/>
      <c r="RDV119" s="3"/>
      <c r="RDW119" s="3"/>
      <c r="RDX119" s="3"/>
      <c r="RDY119" s="3"/>
      <c r="RDZ119" s="3"/>
      <c r="REA119" s="3"/>
      <c r="REB119" s="3"/>
      <c r="REC119" s="3"/>
      <c r="RED119" s="3"/>
      <c r="REE119" s="3"/>
      <c r="REF119" s="3"/>
      <c r="REG119" s="3"/>
      <c r="REH119" s="3"/>
      <c r="REI119" s="3"/>
      <c r="REJ119" s="3"/>
      <c r="REK119" s="3"/>
      <c r="REL119" s="3"/>
      <c r="REM119" s="3"/>
      <c r="REN119" s="3"/>
      <c r="REO119" s="3"/>
      <c r="REP119" s="3"/>
      <c r="REQ119" s="3"/>
      <c r="RER119" s="3"/>
      <c r="RES119" s="3"/>
      <c r="RET119" s="3"/>
      <c r="REU119" s="3"/>
      <c r="REV119" s="3"/>
      <c r="REW119" s="3"/>
      <c r="REX119" s="3"/>
      <c r="REY119" s="3"/>
      <c r="REZ119" s="3"/>
      <c r="RFA119" s="3"/>
      <c r="RFB119" s="3"/>
      <c r="RFC119" s="3"/>
      <c r="RFD119" s="3"/>
      <c r="RFE119" s="3"/>
      <c r="RFF119" s="3"/>
      <c r="RFG119" s="3"/>
      <c r="RFH119" s="3"/>
      <c r="RFI119" s="3"/>
      <c r="RFJ119" s="3"/>
      <c r="RFK119" s="3"/>
      <c r="RFL119" s="3"/>
      <c r="RFM119" s="3"/>
      <c r="RFN119" s="3"/>
      <c r="RFO119" s="3"/>
      <c r="RFP119" s="3"/>
      <c r="RFQ119" s="3"/>
      <c r="RFR119" s="3"/>
      <c r="RFS119" s="3"/>
      <c r="RFT119" s="3"/>
      <c r="RFU119" s="3"/>
      <c r="RFV119" s="3"/>
      <c r="RFW119" s="3"/>
      <c r="RFX119" s="3"/>
      <c r="RFY119" s="3"/>
      <c r="RFZ119" s="3"/>
      <c r="RGA119" s="3"/>
      <c r="RGB119" s="3"/>
      <c r="RGC119" s="3"/>
      <c r="RGD119" s="3"/>
      <c r="RGE119" s="3"/>
      <c r="RGF119" s="3"/>
      <c r="RGG119" s="3"/>
      <c r="RGH119" s="3"/>
      <c r="RGI119" s="3"/>
      <c r="RGJ119" s="3"/>
      <c r="RGK119" s="3"/>
      <c r="RGL119" s="3"/>
      <c r="RGM119" s="3"/>
      <c r="RGN119" s="3"/>
      <c r="RGO119" s="3"/>
      <c r="RGP119" s="3"/>
      <c r="RGQ119" s="3"/>
      <c r="RGR119" s="3"/>
      <c r="RGS119" s="3"/>
      <c r="RGT119" s="3"/>
      <c r="RGU119" s="3"/>
      <c r="RGV119" s="3"/>
      <c r="RGW119" s="3"/>
      <c r="RGX119" s="3"/>
      <c r="RGY119" s="3"/>
      <c r="RGZ119" s="3"/>
      <c r="RHA119" s="3"/>
      <c r="RHB119" s="3"/>
      <c r="RHC119" s="3"/>
      <c r="RHD119" s="3"/>
      <c r="RHE119" s="3"/>
      <c r="RHF119" s="3"/>
      <c r="RHG119" s="3"/>
      <c r="RHH119" s="3"/>
      <c r="RHI119" s="3"/>
      <c r="RHJ119" s="3"/>
      <c r="RHK119" s="3"/>
      <c r="RHL119" s="3"/>
      <c r="RHM119" s="3"/>
      <c r="RHN119" s="3"/>
      <c r="RHO119" s="3"/>
      <c r="RHP119" s="3"/>
      <c r="RHQ119" s="3"/>
      <c r="RHR119" s="3"/>
      <c r="RHS119" s="3"/>
      <c r="RHT119" s="3"/>
      <c r="RHU119" s="3"/>
      <c r="RHV119" s="3"/>
      <c r="RHW119" s="3"/>
      <c r="RHX119" s="3"/>
      <c r="RHY119" s="3"/>
      <c r="RHZ119" s="3"/>
      <c r="RIA119" s="3"/>
      <c r="RIB119" s="3"/>
      <c r="RIC119" s="3"/>
      <c r="RID119" s="3"/>
      <c r="RIE119" s="3"/>
      <c r="RIF119" s="3"/>
      <c r="RIG119" s="3"/>
      <c r="RIH119" s="3"/>
      <c r="RII119" s="3"/>
      <c r="RIJ119" s="3"/>
      <c r="RIK119" s="3"/>
      <c r="RIL119" s="3"/>
      <c r="RIM119" s="3"/>
      <c r="RIN119" s="3"/>
      <c r="RIO119" s="3"/>
      <c r="RIP119" s="3"/>
      <c r="RIQ119" s="3"/>
      <c r="RIR119" s="3"/>
      <c r="RIS119" s="3"/>
      <c r="RIT119" s="3"/>
      <c r="RIU119" s="3"/>
      <c r="RIV119" s="3"/>
      <c r="RIW119" s="3"/>
      <c r="RIX119" s="3"/>
      <c r="RIY119" s="3"/>
      <c r="RIZ119" s="3"/>
      <c r="RJA119" s="3"/>
      <c r="RJB119" s="3"/>
      <c r="RJC119" s="3"/>
      <c r="RJD119" s="3"/>
      <c r="RJE119" s="3"/>
      <c r="RJF119" s="3"/>
      <c r="RJG119" s="3"/>
      <c r="RJH119" s="3"/>
      <c r="RJI119" s="3"/>
      <c r="RJJ119" s="3"/>
      <c r="RJK119" s="3"/>
      <c r="RJL119" s="3"/>
      <c r="RJM119" s="3"/>
      <c r="RJN119" s="3"/>
      <c r="RJO119" s="3"/>
      <c r="RJP119" s="3"/>
      <c r="RJQ119" s="3"/>
      <c r="RJR119" s="3"/>
      <c r="RJS119" s="3"/>
      <c r="RJT119" s="3"/>
      <c r="RJU119" s="3"/>
      <c r="RJV119" s="3"/>
      <c r="RJW119" s="3"/>
      <c r="RJX119" s="3"/>
      <c r="RJY119" s="3"/>
      <c r="RJZ119" s="3"/>
      <c r="RKA119" s="3"/>
      <c r="RKB119" s="3"/>
      <c r="RKC119" s="3"/>
      <c r="RKD119" s="3"/>
      <c r="RKE119" s="3"/>
      <c r="RKF119" s="3"/>
      <c r="RKG119" s="3"/>
      <c r="RKH119" s="3"/>
      <c r="RKI119" s="3"/>
      <c r="RKJ119" s="3"/>
      <c r="RKK119" s="3"/>
      <c r="RKL119" s="3"/>
      <c r="RKM119" s="3"/>
      <c r="RKN119" s="3"/>
      <c r="RKO119" s="3"/>
      <c r="RKP119" s="3"/>
      <c r="RKQ119" s="3"/>
      <c r="RKR119" s="3"/>
      <c r="RKS119" s="3"/>
      <c r="RKT119" s="3"/>
      <c r="RKU119" s="3"/>
      <c r="RKV119" s="3"/>
      <c r="RKW119" s="3"/>
      <c r="RKX119" s="3"/>
      <c r="RKY119" s="3"/>
      <c r="RKZ119" s="3"/>
      <c r="RLA119" s="3"/>
      <c r="RLB119" s="3"/>
      <c r="RLC119" s="3"/>
      <c r="RLD119" s="3"/>
      <c r="RLE119" s="3"/>
      <c r="RLF119" s="3"/>
      <c r="RLG119" s="3"/>
      <c r="RLH119" s="3"/>
      <c r="RLI119" s="3"/>
      <c r="RLJ119" s="3"/>
      <c r="RLK119" s="3"/>
      <c r="RLL119" s="3"/>
      <c r="RLM119" s="3"/>
      <c r="RLN119" s="3"/>
      <c r="RLO119" s="3"/>
      <c r="RLP119" s="3"/>
      <c r="RLQ119" s="3"/>
      <c r="RLR119" s="3"/>
      <c r="RLS119" s="3"/>
      <c r="RLT119" s="3"/>
      <c r="RLU119" s="3"/>
      <c r="RLV119" s="3"/>
      <c r="RLW119" s="3"/>
      <c r="RLX119" s="3"/>
      <c r="RLY119" s="3"/>
      <c r="RLZ119" s="3"/>
      <c r="RMA119" s="3"/>
      <c r="RMB119" s="3"/>
      <c r="RMC119" s="3"/>
      <c r="RMD119" s="3"/>
      <c r="RME119" s="3"/>
      <c r="RMF119" s="3"/>
      <c r="RMG119" s="3"/>
      <c r="RMH119" s="3"/>
      <c r="RMI119" s="3"/>
      <c r="RMJ119" s="3"/>
      <c r="RMK119" s="3"/>
      <c r="RML119" s="3"/>
      <c r="RMM119" s="3"/>
      <c r="RMN119" s="3"/>
      <c r="RMO119" s="3"/>
      <c r="RMP119" s="3"/>
      <c r="RMQ119" s="3"/>
      <c r="RMR119" s="3"/>
      <c r="RMS119" s="3"/>
      <c r="RMT119" s="3"/>
      <c r="RMU119" s="3"/>
      <c r="RMV119" s="3"/>
      <c r="RMW119" s="3"/>
      <c r="RMX119" s="3"/>
      <c r="RMY119" s="3"/>
      <c r="RMZ119" s="3"/>
      <c r="RNA119" s="3"/>
      <c r="RNB119" s="3"/>
      <c r="RNC119" s="3"/>
      <c r="RND119" s="3"/>
      <c r="RNE119" s="3"/>
      <c r="RNF119" s="3"/>
      <c r="RNG119" s="3"/>
      <c r="RNH119" s="3"/>
      <c r="RNI119" s="3"/>
      <c r="RNJ119" s="3"/>
      <c r="RNK119" s="3"/>
      <c r="RNL119" s="3"/>
      <c r="RNM119" s="3"/>
      <c r="RNN119" s="3"/>
      <c r="RNO119" s="3"/>
      <c r="RNP119" s="3"/>
      <c r="RNQ119" s="3"/>
      <c r="RNR119" s="3"/>
      <c r="RNS119" s="3"/>
      <c r="RNT119" s="3"/>
      <c r="RNU119" s="3"/>
      <c r="RNV119" s="3"/>
      <c r="RNW119" s="3"/>
      <c r="RNX119" s="3"/>
      <c r="RNY119" s="3"/>
      <c r="RNZ119" s="3"/>
      <c r="ROA119" s="3"/>
      <c r="ROB119" s="3"/>
      <c r="ROC119" s="3"/>
      <c r="ROD119" s="3"/>
      <c r="ROE119" s="3"/>
      <c r="ROF119" s="3"/>
      <c r="ROG119" s="3"/>
      <c r="ROH119" s="3"/>
      <c r="ROI119" s="3"/>
      <c r="ROJ119" s="3"/>
      <c r="ROK119" s="3"/>
      <c r="ROL119" s="3"/>
      <c r="ROM119" s="3"/>
      <c r="RON119" s="3"/>
      <c r="ROO119" s="3"/>
      <c r="ROP119" s="3"/>
      <c r="ROQ119" s="3"/>
      <c r="ROR119" s="3"/>
      <c r="ROS119" s="3"/>
      <c r="ROT119" s="3"/>
      <c r="ROU119" s="3"/>
      <c r="ROV119" s="3"/>
      <c r="ROW119" s="3"/>
      <c r="ROX119" s="3"/>
      <c r="ROY119" s="3"/>
      <c r="ROZ119" s="3"/>
      <c r="RPA119" s="3"/>
      <c r="RPB119" s="3"/>
      <c r="RPC119" s="3"/>
      <c r="RPD119" s="3"/>
      <c r="RPE119" s="3"/>
      <c r="RPF119" s="3"/>
      <c r="RPG119" s="3"/>
      <c r="RPH119" s="3"/>
      <c r="RPI119" s="3"/>
      <c r="RPJ119" s="3"/>
      <c r="RPK119" s="3"/>
      <c r="RPL119" s="3"/>
      <c r="RPM119" s="3"/>
      <c r="RPN119" s="3"/>
      <c r="RPO119" s="3"/>
      <c r="RPP119" s="3"/>
      <c r="RPQ119" s="3"/>
      <c r="RPR119" s="3"/>
      <c r="RPS119" s="3"/>
      <c r="RPT119" s="3"/>
      <c r="RPU119" s="3"/>
      <c r="RPV119" s="3"/>
      <c r="RPW119" s="3"/>
      <c r="RPX119" s="3"/>
      <c r="RPY119" s="3"/>
      <c r="RPZ119" s="3"/>
      <c r="RQA119" s="3"/>
      <c r="RQB119" s="3"/>
      <c r="RQC119" s="3"/>
      <c r="RQD119" s="3"/>
      <c r="RQE119" s="3"/>
      <c r="RQF119" s="3"/>
      <c r="RQG119" s="3"/>
      <c r="RQH119" s="3"/>
      <c r="RQI119" s="3"/>
      <c r="RQJ119" s="3"/>
      <c r="RQK119" s="3"/>
      <c r="RQL119" s="3"/>
      <c r="RQM119" s="3"/>
      <c r="RQN119" s="3"/>
      <c r="RQO119" s="3"/>
      <c r="RQP119" s="3"/>
      <c r="RQQ119" s="3"/>
      <c r="RQR119" s="3"/>
      <c r="RQS119" s="3"/>
      <c r="RQT119" s="3"/>
      <c r="RQU119" s="3"/>
      <c r="RQV119" s="3"/>
      <c r="RQW119" s="3"/>
      <c r="RQX119" s="3"/>
      <c r="RQY119" s="3"/>
      <c r="RQZ119" s="3"/>
      <c r="RRA119" s="3"/>
      <c r="RRB119" s="3"/>
      <c r="RRC119" s="3"/>
      <c r="RRD119" s="3"/>
      <c r="RRE119" s="3"/>
      <c r="RRF119" s="3"/>
      <c r="RRG119" s="3"/>
      <c r="RRH119" s="3"/>
      <c r="RRI119" s="3"/>
      <c r="RRJ119" s="3"/>
      <c r="RRK119" s="3"/>
      <c r="RRL119" s="3"/>
      <c r="RRM119" s="3"/>
      <c r="RRN119" s="3"/>
      <c r="RRO119" s="3"/>
      <c r="RRP119" s="3"/>
      <c r="RRQ119" s="3"/>
      <c r="RRR119" s="3"/>
      <c r="RRS119" s="3"/>
      <c r="RRT119" s="3"/>
      <c r="RRU119" s="3"/>
      <c r="RRV119" s="3"/>
      <c r="RRW119" s="3"/>
      <c r="RRX119" s="3"/>
      <c r="RRY119" s="3"/>
      <c r="RRZ119" s="3"/>
      <c r="RSA119" s="3"/>
      <c r="RSB119" s="3"/>
      <c r="RSC119" s="3"/>
      <c r="RSD119" s="3"/>
      <c r="RSE119" s="3"/>
      <c r="RSF119" s="3"/>
      <c r="RSG119" s="3"/>
      <c r="RSH119" s="3"/>
      <c r="RSI119" s="3"/>
      <c r="RSJ119" s="3"/>
      <c r="RSK119" s="3"/>
      <c r="RSL119" s="3"/>
      <c r="RSM119" s="3"/>
      <c r="RSN119" s="3"/>
      <c r="RSO119" s="3"/>
      <c r="RSP119" s="3"/>
      <c r="RSQ119" s="3"/>
      <c r="RSR119" s="3"/>
      <c r="RSS119" s="3"/>
      <c r="RST119" s="3"/>
      <c r="RSU119" s="3"/>
      <c r="RSV119" s="3"/>
      <c r="RSW119" s="3"/>
      <c r="RSX119" s="3"/>
      <c r="RSY119" s="3"/>
      <c r="RSZ119" s="3"/>
      <c r="RTA119" s="3"/>
      <c r="RTB119" s="3"/>
      <c r="RTC119" s="3"/>
      <c r="RTD119" s="3"/>
      <c r="RTE119" s="3"/>
      <c r="RTF119" s="3"/>
      <c r="RTG119" s="3"/>
      <c r="RTH119" s="3"/>
      <c r="RTI119" s="3"/>
      <c r="RTJ119" s="3"/>
      <c r="RTK119" s="3"/>
      <c r="RTL119" s="3"/>
      <c r="RTM119" s="3"/>
      <c r="RTN119" s="3"/>
      <c r="RTO119" s="3"/>
      <c r="RTP119" s="3"/>
      <c r="RTQ119" s="3"/>
      <c r="RTR119" s="3"/>
      <c r="RTS119" s="3"/>
      <c r="RTT119" s="3"/>
      <c r="RTU119" s="3"/>
      <c r="RTV119" s="3"/>
      <c r="RTW119" s="3"/>
      <c r="RTX119" s="3"/>
      <c r="RTY119" s="3"/>
      <c r="RTZ119" s="3"/>
      <c r="RUA119" s="3"/>
      <c r="RUB119" s="3"/>
      <c r="RUC119" s="3"/>
      <c r="RUD119" s="3"/>
      <c r="RUE119" s="3"/>
      <c r="RUF119" s="3"/>
      <c r="RUG119" s="3"/>
      <c r="RUH119" s="3"/>
      <c r="RUI119" s="3"/>
      <c r="RUJ119" s="3"/>
      <c r="RUK119" s="3"/>
      <c r="RUL119" s="3"/>
      <c r="RUM119" s="3"/>
      <c r="RUN119" s="3"/>
      <c r="RUO119" s="3"/>
      <c r="RUP119" s="3"/>
      <c r="RUQ119" s="3"/>
      <c r="RUR119" s="3"/>
      <c r="RUS119" s="3"/>
      <c r="RUT119" s="3"/>
      <c r="RUU119" s="3"/>
      <c r="RUV119" s="3"/>
      <c r="RUW119" s="3"/>
      <c r="RUX119" s="3"/>
      <c r="RUY119" s="3"/>
      <c r="RUZ119" s="3"/>
      <c r="RVA119" s="3"/>
      <c r="RVB119" s="3"/>
      <c r="RVC119" s="3"/>
      <c r="RVD119" s="3"/>
      <c r="RVE119" s="3"/>
      <c r="RVF119" s="3"/>
      <c r="RVG119" s="3"/>
      <c r="RVH119" s="3"/>
      <c r="RVI119" s="3"/>
      <c r="RVJ119" s="3"/>
      <c r="RVK119" s="3"/>
      <c r="RVL119" s="3"/>
      <c r="RVM119" s="3"/>
      <c r="RVN119" s="3"/>
      <c r="RVO119" s="3"/>
      <c r="RVP119" s="3"/>
      <c r="RVQ119" s="3"/>
      <c r="RVR119" s="3"/>
      <c r="RVS119" s="3"/>
      <c r="RVT119" s="3"/>
      <c r="RVU119" s="3"/>
      <c r="RVV119" s="3"/>
      <c r="RVW119" s="3"/>
      <c r="RVX119" s="3"/>
      <c r="RVY119" s="3"/>
      <c r="RVZ119" s="3"/>
      <c r="RWA119" s="3"/>
      <c r="RWB119" s="3"/>
      <c r="RWC119" s="3"/>
      <c r="RWD119" s="3"/>
      <c r="RWE119" s="3"/>
      <c r="RWF119" s="3"/>
      <c r="RWG119" s="3"/>
      <c r="RWH119" s="3"/>
      <c r="RWI119" s="3"/>
      <c r="RWJ119" s="3"/>
      <c r="RWK119" s="3"/>
      <c r="RWL119" s="3"/>
      <c r="RWM119" s="3"/>
      <c r="RWN119" s="3"/>
      <c r="RWO119" s="3"/>
      <c r="RWP119" s="3"/>
      <c r="RWQ119" s="3"/>
      <c r="RWR119" s="3"/>
      <c r="RWS119" s="3"/>
      <c r="RWT119" s="3"/>
      <c r="RWU119" s="3"/>
      <c r="RWV119" s="3"/>
      <c r="RWW119" s="3"/>
      <c r="RWX119" s="3"/>
      <c r="RWY119" s="3"/>
      <c r="RWZ119" s="3"/>
      <c r="RXA119" s="3"/>
      <c r="RXB119" s="3"/>
      <c r="RXC119" s="3"/>
      <c r="RXD119" s="3"/>
      <c r="RXE119" s="3"/>
      <c r="RXF119" s="3"/>
      <c r="RXG119" s="3"/>
      <c r="RXH119" s="3"/>
      <c r="RXI119" s="3"/>
      <c r="RXJ119" s="3"/>
      <c r="RXK119" s="3"/>
      <c r="RXL119" s="3"/>
      <c r="RXM119" s="3"/>
      <c r="RXN119" s="3"/>
      <c r="RXO119" s="3"/>
      <c r="RXP119" s="3"/>
      <c r="RXQ119" s="3"/>
      <c r="RXR119" s="3"/>
      <c r="RXS119" s="3"/>
      <c r="RXT119" s="3"/>
      <c r="RXU119" s="3"/>
      <c r="RXV119" s="3"/>
      <c r="RXW119" s="3"/>
      <c r="RXX119" s="3"/>
      <c r="RXY119" s="3"/>
      <c r="RXZ119" s="3"/>
      <c r="RYA119" s="3"/>
      <c r="RYB119" s="3"/>
      <c r="RYC119" s="3"/>
      <c r="RYD119" s="3"/>
      <c r="RYE119" s="3"/>
      <c r="RYF119" s="3"/>
      <c r="RYG119" s="3"/>
      <c r="RYH119" s="3"/>
      <c r="RYI119" s="3"/>
      <c r="RYJ119" s="3"/>
      <c r="RYK119" s="3"/>
      <c r="RYL119" s="3"/>
      <c r="RYM119" s="3"/>
      <c r="RYN119" s="3"/>
      <c r="RYO119" s="3"/>
      <c r="RYP119" s="3"/>
      <c r="RYQ119" s="3"/>
      <c r="RYR119" s="3"/>
      <c r="RYS119" s="3"/>
      <c r="RYT119" s="3"/>
      <c r="RYU119" s="3"/>
      <c r="RYV119" s="3"/>
      <c r="RYW119" s="3"/>
      <c r="RYX119" s="3"/>
      <c r="RYY119" s="3"/>
      <c r="RYZ119" s="3"/>
      <c r="RZA119" s="3"/>
      <c r="RZB119" s="3"/>
      <c r="RZC119" s="3"/>
      <c r="RZD119" s="3"/>
      <c r="RZE119" s="3"/>
      <c r="RZF119" s="3"/>
      <c r="RZG119" s="3"/>
      <c r="RZH119" s="3"/>
      <c r="RZI119" s="3"/>
      <c r="RZJ119" s="3"/>
      <c r="RZK119" s="3"/>
      <c r="RZL119" s="3"/>
      <c r="RZM119" s="3"/>
      <c r="RZN119" s="3"/>
      <c r="RZO119" s="3"/>
      <c r="RZP119" s="3"/>
      <c r="RZQ119" s="3"/>
      <c r="RZR119" s="3"/>
      <c r="RZS119" s="3"/>
      <c r="RZT119" s="3"/>
      <c r="RZU119" s="3"/>
      <c r="RZV119" s="3"/>
      <c r="RZW119" s="3"/>
      <c r="RZX119" s="3"/>
      <c r="RZY119" s="3"/>
      <c r="RZZ119" s="3"/>
      <c r="SAA119" s="3"/>
      <c r="SAB119" s="3"/>
      <c r="SAC119" s="3"/>
      <c r="SAD119" s="3"/>
      <c r="SAE119" s="3"/>
      <c r="SAF119" s="3"/>
      <c r="SAG119" s="3"/>
      <c r="SAH119" s="3"/>
      <c r="SAI119" s="3"/>
      <c r="SAJ119" s="3"/>
      <c r="SAK119" s="3"/>
      <c r="SAL119" s="3"/>
      <c r="SAM119" s="3"/>
      <c r="SAN119" s="3"/>
      <c r="SAO119" s="3"/>
      <c r="SAP119" s="3"/>
      <c r="SAQ119" s="3"/>
      <c r="SAR119" s="3"/>
      <c r="SAS119" s="3"/>
      <c r="SAT119" s="3"/>
      <c r="SAU119" s="3"/>
      <c r="SAV119" s="3"/>
      <c r="SAW119" s="3"/>
      <c r="SAX119" s="3"/>
      <c r="SAY119" s="3"/>
      <c r="SAZ119" s="3"/>
      <c r="SBA119" s="3"/>
      <c r="SBB119" s="3"/>
      <c r="SBC119" s="3"/>
      <c r="SBD119" s="3"/>
      <c r="SBE119" s="3"/>
      <c r="SBF119" s="3"/>
      <c r="SBG119" s="3"/>
      <c r="SBH119" s="3"/>
      <c r="SBI119" s="3"/>
      <c r="SBJ119" s="3"/>
      <c r="SBK119" s="3"/>
      <c r="SBL119" s="3"/>
      <c r="SBM119" s="3"/>
      <c r="SBN119" s="3"/>
      <c r="SBO119" s="3"/>
      <c r="SBP119" s="3"/>
      <c r="SBQ119" s="3"/>
      <c r="SBR119" s="3"/>
      <c r="SBS119" s="3"/>
      <c r="SBT119" s="3"/>
      <c r="SBU119" s="3"/>
      <c r="SBV119" s="3"/>
      <c r="SBW119" s="3"/>
      <c r="SBX119" s="3"/>
      <c r="SBY119" s="3"/>
      <c r="SBZ119" s="3"/>
      <c r="SCA119" s="3"/>
      <c r="SCB119" s="3"/>
      <c r="SCC119" s="3"/>
      <c r="SCD119" s="3"/>
      <c r="SCE119" s="3"/>
      <c r="SCF119" s="3"/>
      <c r="SCG119" s="3"/>
      <c r="SCH119" s="3"/>
      <c r="SCI119" s="3"/>
      <c r="SCJ119" s="3"/>
      <c r="SCK119" s="3"/>
      <c r="SCL119" s="3"/>
      <c r="SCM119" s="3"/>
      <c r="SCN119" s="3"/>
      <c r="SCO119" s="3"/>
      <c r="SCP119" s="3"/>
      <c r="SCQ119" s="3"/>
      <c r="SCR119" s="3"/>
      <c r="SCS119" s="3"/>
      <c r="SCT119" s="3"/>
      <c r="SCU119" s="3"/>
      <c r="SCV119" s="3"/>
      <c r="SCW119" s="3"/>
      <c r="SCX119" s="3"/>
      <c r="SCY119" s="3"/>
      <c r="SCZ119" s="3"/>
      <c r="SDA119" s="3"/>
      <c r="SDB119" s="3"/>
      <c r="SDC119" s="3"/>
      <c r="SDD119" s="3"/>
      <c r="SDE119" s="3"/>
      <c r="SDF119" s="3"/>
      <c r="SDG119" s="3"/>
      <c r="SDH119" s="3"/>
      <c r="SDI119" s="3"/>
      <c r="SDJ119" s="3"/>
      <c r="SDK119" s="3"/>
      <c r="SDL119" s="3"/>
      <c r="SDM119" s="3"/>
      <c r="SDN119" s="3"/>
      <c r="SDO119" s="3"/>
      <c r="SDP119" s="3"/>
      <c r="SDQ119" s="3"/>
      <c r="SDR119" s="3"/>
      <c r="SDS119" s="3"/>
      <c r="SDT119" s="3"/>
      <c r="SDU119" s="3"/>
      <c r="SDV119" s="3"/>
      <c r="SDW119" s="3"/>
      <c r="SDX119" s="3"/>
      <c r="SDY119" s="3"/>
      <c r="SDZ119" s="3"/>
      <c r="SEA119" s="3"/>
      <c r="SEB119" s="3"/>
      <c r="SEC119" s="3"/>
      <c r="SED119" s="3"/>
      <c r="SEE119" s="3"/>
      <c r="SEF119" s="3"/>
      <c r="SEG119" s="3"/>
      <c r="SEH119" s="3"/>
      <c r="SEI119" s="3"/>
      <c r="SEJ119" s="3"/>
      <c r="SEK119" s="3"/>
      <c r="SEL119" s="3"/>
      <c r="SEM119" s="3"/>
      <c r="SEN119" s="3"/>
      <c r="SEO119" s="3"/>
      <c r="SEP119" s="3"/>
      <c r="SEQ119" s="3"/>
      <c r="SER119" s="3"/>
      <c r="SES119" s="3"/>
      <c r="SET119" s="3"/>
      <c r="SEU119" s="3"/>
      <c r="SEV119" s="3"/>
      <c r="SEW119" s="3"/>
      <c r="SEX119" s="3"/>
      <c r="SEY119" s="3"/>
      <c r="SEZ119" s="3"/>
      <c r="SFA119" s="3"/>
      <c r="SFB119" s="3"/>
      <c r="SFC119" s="3"/>
      <c r="SFD119" s="3"/>
      <c r="SFE119" s="3"/>
      <c r="SFF119" s="3"/>
      <c r="SFG119" s="3"/>
      <c r="SFH119" s="3"/>
      <c r="SFI119" s="3"/>
      <c r="SFJ119" s="3"/>
      <c r="SFK119" s="3"/>
      <c r="SFL119" s="3"/>
      <c r="SFM119" s="3"/>
      <c r="SFN119" s="3"/>
      <c r="SFO119" s="3"/>
      <c r="SFP119" s="3"/>
      <c r="SFQ119" s="3"/>
      <c r="SFR119" s="3"/>
      <c r="SFS119" s="3"/>
      <c r="SFT119" s="3"/>
      <c r="SFU119" s="3"/>
      <c r="SFV119" s="3"/>
      <c r="SFW119" s="3"/>
      <c r="SFX119" s="3"/>
      <c r="SFY119" s="3"/>
      <c r="SFZ119" s="3"/>
      <c r="SGA119" s="3"/>
      <c r="SGB119" s="3"/>
      <c r="SGC119" s="3"/>
      <c r="SGD119" s="3"/>
      <c r="SGE119" s="3"/>
      <c r="SGF119" s="3"/>
      <c r="SGG119" s="3"/>
      <c r="SGH119" s="3"/>
      <c r="SGI119" s="3"/>
      <c r="SGJ119" s="3"/>
      <c r="SGK119" s="3"/>
      <c r="SGL119" s="3"/>
      <c r="SGM119" s="3"/>
      <c r="SGN119" s="3"/>
      <c r="SGO119" s="3"/>
      <c r="SGP119" s="3"/>
      <c r="SGQ119" s="3"/>
      <c r="SGR119" s="3"/>
      <c r="SGS119" s="3"/>
      <c r="SGT119" s="3"/>
      <c r="SGU119" s="3"/>
      <c r="SGV119" s="3"/>
      <c r="SGW119" s="3"/>
      <c r="SGX119" s="3"/>
      <c r="SGY119" s="3"/>
      <c r="SGZ119" s="3"/>
      <c r="SHA119" s="3"/>
      <c r="SHB119" s="3"/>
      <c r="SHC119" s="3"/>
      <c r="SHD119" s="3"/>
      <c r="SHE119" s="3"/>
      <c r="SHF119" s="3"/>
      <c r="SHG119" s="3"/>
      <c r="SHH119" s="3"/>
      <c r="SHI119" s="3"/>
      <c r="SHJ119" s="3"/>
      <c r="SHK119" s="3"/>
      <c r="SHL119" s="3"/>
      <c r="SHM119" s="3"/>
      <c r="SHN119" s="3"/>
      <c r="SHO119" s="3"/>
      <c r="SHP119" s="3"/>
      <c r="SHQ119" s="3"/>
      <c r="SHR119" s="3"/>
      <c r="SHS119" s="3"/>
      <c r="SHT119" s="3"/>
      <c r="SHU119" s="3"/>
      <c r="SHV119" s="3"/>
      <c r="SHW119" s="3"/>
      <c r="SHX119" s="3"/>
      <c r="SHY119" s="3"/>
      <c r="SHZ119" s="3"/>
      <c r="SIA119" s="3"/>
      <c r="SIB119" s="3"/>
      <c r="SIC119" s="3"/>
      <c r="SID119" s="3"/>
      <c r="SIE119" s="3"/>
      <c r="SIF119" s="3"/>
      <c r="SIG119" s="3"/>
      <c r="SIH119" s="3"/>
      <c r="SII119" s="3"/>
      <c r="SIJ119" s="3"/>
      <c r="SIK119" s="3"/>
      <c r="SIL119" s="3"/>
      <c r="SIM119" s="3"/>
      <c r="SIN119" s="3"/>
      <c r="SIO119" s="3"/>
      <c r="SIP119" s="3"/>
      <c r="SIQ119" s="3"/>
      <c r="SIR119" s="3"/>
      <c r="SIS119" s="3"/>
      <c r="SIT119" s="3"/>
      <c r="SIU119" s="3"/>
      <c r="SIV119" s="3"/>
      <c r="SIW119" s="3"/>
      <c r="SIX119" s="3"/>
      <c r="SIY119" s="3"/>
      <c r="SIZ119" s="3"/>
      <c r="SJA119" s="3"/>
      <c r="SJB119" s="3"/>
      <c r="SJC119" s="3"/>
      <c r="SJD119" s="3"/>
      <c r="SJE119" s="3"/>
      <c r="SJF119" s="3"/>
      <c r="SJG119" s="3"/>
      <c r="SJH119" s="3"/>
      <c r="SJI119" s="3"/>
      <c r="SJJ119" s="3"/>
      <c r="SJK119" s="3"/>
      <c r="SJL119" s="3"/>
      <c r="SJM119" s="3"/>
      <c r="SJN119" s="3"/>
      <c r="SJO119" s="3"/>
      <c r="SJP119" s="3"/>
      <c r="SJQ119" s="3"/>
      <c r="SJR119" s="3"/>
      <c r="SJS119" s="3"/>
      <c r="SJT119" s="3"/>
      <c r="SJU119" s="3"/>
      <c r="SJV119" s="3"/>
      <c r="SJW119" s="3"/>
      <c r="SJX119" s="3"/>
      <c r="SJY119" s="3"/>
      <c r="SJZ119" s="3"/>
      <c r="SKA119" s="3"/>
      <c r="SKB119" s="3"/>
      <c r="SKC119" s="3"/>
      <c r="SKD119" s="3"/>
      <c r="SKE119" s="3"/>
      <c r="SKF119" s="3"/>
      <c r="SKG119" s="3"/>
      <c r="SKH119" s="3"/>
      <c r="SKI119" s="3"/>
      <c r="SKJ119" s="3"/>
      <c r="SKK119" s="3"/>
      <c r="SKL119" s="3"/>
      <c r="SKM119" s="3"/>
      <c r="SKN119" s="3"/>
      <c r="SKO119" s="3"/>
      <c r="SKP119" s="3"/>
      <c r="SKQ119" s="3"/>
      <c r="SKR119" s="3"/>
      <c r="SKS119" s="3"/>
      <c r="SKT119" s="3"/>
      <c r="SKU119" s="3"/>
      <c r="SKV119" s="3"/>
      <c r="SKW119" s="3"/>
      <c r="SKX119" s="3"/>
      <c r="SKY119" s="3"/>
      <c r="SKZ119" s="3"/>
      <c r="SLA119" s="3"/>
      <c r="SLB119" s="3"/>
      <c r="SLC119" s="3"/>
      <c r="SLD119" s="3"/>
      <c r="SLE119" s="3"/>
      <c r="SLF119" s="3"/>
      <c r="SLG119" s="3"/>
      <c r="SLH119" s="3"/>
      <c r="SLI119" s="3"/>
      <c r="SLJ119" s="3"/>
      <c r="SLK119" s="3"/>
      <c r="SLL119" s="3"/>
      <c r="SLM119" s="3"/>
      <c r="SLN119" s="3"/>
      <c r="SLO119" s="3"/>
      <c r="SLP119" s="3"/>
      <c r="SLQ119" s="3"/>
      <c r="SLR119" s="3"/>
      <c r="SLS119" s="3"/>
      <c r="SLT119" s="3"/>
      <c r="SLU119" s="3"/>
      <c r="SLV119" s="3"/>
      <c r="SLW119" s="3"/>
      <c r="SLX119" s="3"/>
      <c r="SLY119" s="3"/>
      <c r="SLZ119" s="3"/>
      <c r="SMA119" s="3"/>
      <c r="SMB119" s="3"/>
      <c r="SMC119" s="3"/>
      <c r="SMD119" s="3"/>
      <c r="SME119" s="3"/>
      <c r="SMF119" s="3"/>
      <c r="SMG119" s="3"/>
      <c r="SMH119" s="3"/>
      <c r="SMI119" s="3"/>
      <c r="SMJ119" s="3"/>
      <c r="SMK119" s="3"/>
      <c r="SML119" s="3"/>
      <c r="SMM119" s="3"/>
      <c r="SMN119" s="3"/>
      <c r="SMO119" s="3"/>
      <c r="SMP119" s="3"/>
      <c r="SMQ119" s="3"/>
      <c r="SMR119" s="3"/>
      <c r="SMS119" s="3"/>
      <c r="SMT119" s="3"/>
      <c r="SMU119" s="3"/>
      <c r="SMV119" s="3"/>
      <c r="SMW119" s="3"/>
      <c r="SMX119" s="3"/>
      <c r="SMY119" s="3"/>
      <c r="SMZ119" s="3"/>
      <c r="SNA119" s="3"/>
      <c r="SNB119" s="3"/>
      <c r="SNC119" s="3"/>
      <c r="SND119" s="3"/>
      <c r="SNE119" s="3"/>
      <c r="SNF119" s="3"/>
      <c r="SNG119" s="3"/>
      <c r="SNH119" s="3"/>
      <c r="SNI119" s="3"/>
      <c r="SNJ119" s="3"/>
      <c r="SNK119" s="3"/>
      <c r="SNL119" s="3"/>
      <c r="SNM119" s="3"/>
      <c r="SNN119" s="3"/>
      <c r="SNO119" s="3"/>
      <c r="SNP119" s="3"/>
      <c r="SNQ119" s="3"/>
      <c r="SNR119" s="3"/>
      <c r="SNS119" s="3"/>
      <c r="SNT119" s="3"/>
      <c r="SNU119" s="3"/>
      <c r="SNV119" s="3"/>
      <c r="SNW119" s="3"/>
      <c r="SNX119" s="3"/>
      <c r="SNY119" s="3"/>
      <c r="SNZ119" s="3"/>
      <c r="SOA119" s="3"/>
      <c r="SOB119" s="3"/>
      <c r="SOC119" s="3"/>
      <c r="SOD119" s="3"/>
      <c r="SOE119" s="3"/>
      <c r="SOF119" s="3"/>
      <c r="SOG119" s="3"/>
      <c r="SOH119" s="3"/>
      <c r="SOI119" s="3"/>
      <c r="SOJ119" s="3"/>
      <c r="SOK119" s="3"/>
      <c r="SOL119" s="3"/>
      <c r="SOM119" s="3"/>
      <c r="SON119" s="3"/>
      <c r="SOO119" s="3"/>
      <c r="SOP119" s="3"/>
      <c r="SOQ119" s="3"/>
      <c r="SOR119" s="3"/>
      <c r="SOS119" s="3"/>
      <c r="SOT119" s="3"/>
      <c r="SOU119" s="3"/>
      <c r="SOV119" s="3"/>
      <c r="SOW119" s="3"/>
      <c r="SOX119" s="3"/>
      <c r="SOY119" s="3"/>
      <c r="SOZ119" s="3"/>
      <c r="SPA119" s="3"/>
      <c r="SPB119" s="3"/>
      <c r="SPC119" s="3"/>
      <c r="SPD119" s="3"/>
      <c r="SPE119" s="3"/>
      <c r="SPF119" s="3"/>
      <c r="SPG119" s="3"/>
      <c r="SPH119" s="3"/>
      <c r="SPI119" s="3"/>
      <c r="SPJ119" s="3"/>
      <c r="SPK119" s="3"/>
      <c r="SPL119" s="3"/>
      <c r="SPM119" s="3"/>
      <c r="SPN119" s="3"/>
      <c r="SPO119" s="3"/>
      <c r="SPP119" s="3"/>
      <c r="SPQ119" s="3"/>
      <c r="SPR119" s="3"/>
      <c r="SPS119" s="3"/>
      <c r="SPT119" s="3"/>
      <c r="SPU119" s="3"/>
      <c r="SPV119" s="3"/>
      <c r="SPW119" s="3"/>
      <c r="SPX119" s="3"/>
      <c r="SPY119" s="3"/>
      <c r="SPZ119" s="3"/>
      <c r="SQA119" s="3"/>
      <c r="SQB119" s="3"/>
      <c r="SQC119" s="3"/>
      <c r="SQD119" s="3"/>
      <c r="SQE119" s="3"/>
      <c r="SQF119" s="3"/>
      <c r="SQG119" s="3"/>
      <c r="SQH119" s="3"/>
      <c r="SQI119" s="3"/>
      <c r="SQJ119" s="3"/>
      <c r="SQK119" s="3"/>
      <c r="SQL119" s="3"/>
      <c r="SQM119" s="3"/>
      <c r="SQN119" s="3"/>
      <c r="SQO119" s="3"/>
      <c r="SQP119" s="3"/>
      <c r="SQQ119" s="3"/>
      <c r="SQR119" s="3"/>
      <c r="SQS119" s="3"/>
      <c r="SQT119" s="3"/>
      <c r="SQU119" s="3"/>
      <c r="SQV119" s="3"/>
      <c r="SQW119" s="3"/>
      <c r="SQX119" s="3"/>
      <c r="SQY119" s="3"/>
      <c r="SQZ119" s="3"/>
      <c r="SRA119" s="3"/>
      <c r="SRB119" s="3"/>
      <c r="SRC119" s="3"/>
      <c r="SRD119" s="3"/>
      <c r="SRE119" s="3"/>
      <c r="SRF119" s="3"/>
      <c r="SRG119" s="3"/>
      <c r="SRH119" s="3"/>
      <c r="SRI119" s="3"/>
      <c r="SRJ119" s="3"/>
      <c r="SRK119" s="3"/>
      <c r="SRL119" s="3"/>
      <c r="SRM119" s="3"/>
      <c r="SRN119" s="3"/>
      <c r="SRO119" s="3"/>
      <c r="SRP119" s="3"/>
      <c r="SRQ119" s="3"/>
      <c r="SRR119" s="3"/>
      <c r="SRS119" s="3"/>
      <c r="SRT119" s="3"/>
      <c r="SRU119" s="3"/>
      <c r="SRV119" s="3"/>
      <c r="SRW119" s="3"/>
      <c r="SRX119" s="3"/>
      <c r="SRY119" s="3"/>
      <c r="SRZ119" s="3"/>
      <c r="SSA119" s="3"/>
      <c r="SSB119" s="3"/>
      <c r="SSC119" s="3"/>
      <c r="SSD119" s="3"/>
      <c r="SSE119" s="3"/>
      <c r="SSF119" s="3"/>
      <c r="SSG119" s="3"/>
      <c r="SSH119" s="3"/>
      <c r="SSI119" s="3"/>
      <c r="SSJ119" s="3"/>
      <c r="SSK119" s="3"/>
      <c r="SSL119" s="3"/>
      <c r="SSM119" s="3"/>
      <c r="SSN119" s="3"/>
      <c r="SSO119" s="3"/>
      <c r="SSP119" s="3"/>
      <c r="SSQ119" s="3"/>
      <c r="SSR119" s="3"/>
      <c r="SSS119" s="3"/>
      <c r="SST119" s="3"/>
      <c r="SSU119" s="3"/>
      <c r="SSV119" s="3"/>
      <c r="SSW119" s="3"/>
      <c r="SSX119" s="3"/>
      <c r="SSY119" s="3"/>
      <c r="SSZ119" s="3"/>
      <c r="STA119" s="3"/>
      <c r="STB119" s="3"/>
      <c r="STC119" s="3"/>
      <c r="STD119" s="3"/>
      <c r="STE119" s="3"/>
      <c r="STF119" s="3"/>
      <c r="STG119" s="3"/>
      <c r="STH119" s="3"/>
      <c r="STI119" s="3"/>
      <c r="STJ119" s="3"/>
      <c r="STK119" s="3"/>
      <c r="STL119" s="3"/>
      <c r="STM119" s="3"/>
      <c r="STN119" s="3"/>
      <c r="STO119" s="3"/>
      <c r="STP119" s="3"/>
      <c r="STQ119" s="3"/>
      <c r="STR119" s="3"/>
      <c r="STS119" s="3"/>
      <c r="STT119" s="3"/>
      <c r="STU119" s="3"/>
      <c r="STV119" s="3"/>
      <c r="STW119" s="3"/>
      <c r="STX119" s="3"/>
      <c r="STY119" s="3"/>
      <c r="STZ119" s="3"/>
      <c r="SUA119" s="3"/>
      <c r="SUB119" s="3"/>
      <c r="SUC119" s="3"/>
      <c r="SUD119" s="3"/>
      <c r="SUE119" s="3"/>
      <c r="SUF119" s="3"/>
      <c r="SUG119" s="3"/>
      <c r="SUH119" s="3"/>
      <c r="SUI119" s="3"/>
      <c r="SUJ119" s="3"/>
      <c r="SUK119" s="3"/>
      <c r="SUL119" s="3"/>
      <c r="SUM119" s="3"/>
      <c r="SUN119" s="3"/>
      <c r="SUO119" s="3"/>
      <c r="SUP119" s="3"/>
      <c r="SUQ119" s="3"/>
      <c r="SUR119" s="3"/>
      <c r="SUS119" s="3"/>
      <c r="SUT119" s="3"/>
      <c r="SUU119" s="3"/>
      <c r="SUV119" s="3"/>
      <c r="SUW119" s="3"/>
      <c r="SUX119" s="3"/>
      <c r="SUY119" s="3"/>
      <c r="SUZ119" s="3"/>
      <c r="SVA119" s="3"/>
      <c r="SVB119" s="3"/>
      <c r="SVC119" s="3"/>
      <c r="SVD119" s="3"/>
      <c r="SVE119" s="3"/>
      <c r="SVF119" s="3"/>
      <c r="SVG119" s="3"/>
      <c r="SVH119" s="3"/>
      <c r="SVI119" s="3"/>
      <c r="SVJ119" s="3"/>
      <c r="SVK119" s="3"/>
      <c r="SVL119" s="3"/>
      <c r="SVM119" s="3"/>
      <c r="SVN119" s="3"/>
      <c r="SVO119" s="3"/>
      <c r="SVP119" s="3"/>
      <c r="SVQ119" s="3"/>
      <c r="SVR119" s="3"/>
      <c r="SVS119" s="3"/>
      <c r="SVT119" s="3"/>
      <c r="SVU119" s="3"/>
      <c r="SVV119" s="3"/>
      <c r="SVW119" s="3"/>
      <c r="SVX119" s="3"/>
      <c r="SVY119" s="3"/>
      <c r="SVZ119" s="3"/>
      <c r="SWA119" s="3"/>
      <c r="SWB119" s="3"/>
      <c r="SWC119" s="3"/>
      <c r="SWD119" s="3"/>
      <c r="SWE119" s="3"/>
      <c r="SWF119" s="3"/>
      <c r="SWG119" s="3"/>
      <c r="SWH119" s="3"/>
      <c r="SWI119" s="3"/>
      <c r="SWJ119" s="3"/>
      <c r="SWK119" s="3"/>
      <c r="SWL119" s="3"/>
      <c r="SWM119" s="3"/>
      <c r="SWN119" s="3"/>
      <c r="SWO119" s="3"/>
      <c r="SWP119" s="3"/>
      <c r="SWQ119" s="3"/>
      <c r="SWR119" s="3"/>
      <c r="SWS119" s="3"/>
      <c r="SWT119" s="3"/>
      <c r="SWU119" s="3"/>
      <c r="SWV119" s="3"/>
      <c r="SWW119" s="3"/>
      <c r="SWX119" s="3"/>
      <c r="SWY119" s="3"/>
      <c r="SWZ119" s="3"/>
      <c r="SXA119" s="3"/>
      <c r="SXB119" s="3"/>
      <c r="SXC119" s="3"/>
      <c r="SXD119" s="3"/>
      <c r="SXE119" s="3"/>
      <c r="SXF119" s="3"/>
      <c r="SXG119" s="3"/>
      <c r="SXH119" s="3"/>
      <c r="SXI119" s="3"/>
      <c r="SXJ119" s="3"/>
      <c r="SXK119" s="3"/>
      <c r="SXL119" s="3"/>
      <c r="SXM119" s="3"/>
      <c r="SXN119" s="3"/>
      <c r="SXO119" s="3"/>
      <c r="SXP119" s="3"/>
      <c r="SXQ119" s="3"/>
      <c r="SXR119" s="3"/>
      <c r="SXS119" s="3"/>
      <c r="SXT119" s="3"/>
      <c r="SXU119" s="3"/>
      <c r="SXV119" s="3"/>
      <c r="SXW119" s="3"/>
      <c r="SXX119" s="3"/>
      <c r="SXY119" s="3"/>
      <c r="SXZ119" s="3"/>
      <c r="SYA119" s="3"/>
      <c r="SYB119" s="3"/>
      <c r="SYC119" s="3"/>
      <c r="SYD119" s="3"/>
      <c r="SYE119" s="3"/>
      <c r="SYF119" s="3"/>
      <c r="SYG119" s="3"/>
      <c r="SYH119" s="3"/>
      <c r="SYI119" s="3"/>
      <c r="SYJ119" s="3"/>
      <c r="SYK119" s="3"/>
      <c r="SYL119" s="3"/>
      <c r="SYM119" s="3"/>
      <c r="SYN119" s="3"/>
      <c r="SYO119" s="3"/>
      <c r="SYP119" s="3"/>
      <c r="SYQ119" s="3"/>
      <c r="SYR119" s="3"/>
      <c r="SYS119" s="3"/>
      <c r="SYT119" s="3"/>
      <c r="SYU119" s="3"/>
      <c r="SYV119" s="3"/>
      <c r="SYW119" s="3"/>
      <c r="SYX119" s="3"/>
      <c r="SYY119" s="3"/>
      <c r="SYZ119" s="3"/>
      <c r="SZA119" s="3"/>
      <c r="SZB119" s="3"/>
      <c r="SZC119" s="3"/>
      <c r="SZD119" s="3"/>
      <c r="SZE119" s="3"/>
      <c r="SZF119" s="3"/>
      <c r="SZG119" s="3"/>
      <c r="SZH119" s="3"/>
      <c r="SZI119" s="3"/>
      <c r="SZJ119" s="3"/>
      <c r="SZK119" s="3"/>
      <c r="SZL119" s="3"/>
      <c r="SZM119" s="3"/>
      <c r="SZN119" s="3"/>
      <c r="SZO119" s="3"/>
      <c r="SZP119" s="3"/>
      <c r="SZQ119" s="3"/>
      <c r="SZR119" s="3"/>
      <c r="SZS119" s="3"/>
      <c r="SZT119" s="3"/>
      <c r="SZU119" s="3"/>
      <c r="SZV119" s="3"/>
      <c r="SZW119" s="3"/>
      <c r="SZX119" s="3"/>
      <c r="SZY119" s="3"/>
      <c r="SZZ119" s="3"/>
      <c r="TAA119" s="3"/>
      <c r="TAB119" s="3"/>
      <c r="TAC119" s="3"/>
      <c r="TAD119" s="3"/>
      <c r="TAE119" s="3"/>
      <c r="TAF119" s="3"/>
      <c r="TAG119" s="3"/>
      <c r="TAH119" s="3"/>
      <c r="TAI119" s="3"/>
      <c r="TAJ119" s="3"/>
      <c r="TAK119" s="3"/>
      <c r="TAL119" s="3"/>
      <c r="TAM119" s="3"/>
      <c r="TAN119" s="3"/>
      <c r="TAO119" s="3"/>
      <c r="TAP119" s="3"/>
      <c r="TAQ119" s="3"/>
      <c r="TAR119" s="3"/>
      <c r="TAS119" s="3"/>
      <c r="TAT119" s="3"/>
      <c r="TAU119" s="3"/>
      <c r="TAV119" s="3"/>
      <c r="TAW119" s="3"/>
      <c r="TAX119" s="3"/>
      <c r="TAY119" s="3"/>
      <c r="TAZ119" s="3"/>
      <c r="TBA119" s="3"/>
      <c r="TBB119" s="3"/>
      <c r="TBC119" s="3"/>
      <c r="TBD119" s="3"/>
      <c r="TBE119" s="3"/>
      <c r="TBF119" s="3"/>
      <c r="TBG119" s="3"/>
      <c r="TBH119" s="3"/>
      <c r="TBI119" s="3"/>
      <c r="TBJ119" s="3"/>
      <c r="TBK119" s="3"/>
      <c r="TBL119" s="3"/>
      <c r="TBM119" s="3"/>
      <c r="TBN119" s="3"/>
      <c r="TBO119" s="3"/>
      <c r="TBP119" s="3"/>
      <c r="TBQ119" s="3"/>
      <c r="TBR119" s="3"/>
      <c r="TBS119" s="3"/>
      <c r="TBT119" s="3"/>
      <c r="TBU119" s="3"/>
      <c r="TBV119" s="3"/>
      <c r="TBW119" s="3"/>
      <c r="TBX119" s="3"/>
      <c r="TBY119" s="3"/>
      <c r="TBZ119" s="3"/>
      <c r="TCA119" s="3"/>
      <c r="TCB119" s="3"/>
      <c r="TCC119" s="3"/>
      <c r="TCD119" s="3"/>
      <c r="TCE119" s="3"/>
      <c r="TCF119" s="3"/>
      <c r="TCG119" s="3"/>
      <c r="TCH119" s="3"/>
      <c r="TCI119" s="3"/>
      <c r="TCJ119" s="3"/>
      <c r="TCK119" s="3"/>
      <c r="TCL119" s="3"/>
      <c r="TCM119" s="3"/>
      <c r="TCN119" s="3"/>
      <c r="TCO119" s="3"/>
      <c r="TCP119" s="3"/>
      <c r="TCQ119" s="3"/>
      <c r="TCR119" s="3"/>
      <c r="TCS119" s="3"/>
      <c r="TCT119" s="3"/>
      <c r="TCU119" s="3"/>
      <c r="TCV119" s="3"/>
      <c r="TCW119" s="3"/>
      <c r="TCX119" s="3"/>
      <c r="TCY119" s="3"/>
      <c r="TCZ119" s="3"/>
      <c r="TDA119" s="3"/>
      <c r="TDB119" s="3"/>
      <c r="TDC119" s="3"/>
      <c r="TDD119" s="3"/>
      <c r="TDE119" s="3"/>
      <c r="TDF119" s="3"/>
      <c r="TDG119" s="3"/>
      <c r="TDH119" s="3"/>
      <c r="TDI119" s="3"/>
      <c r="TDJ119" s="3"/>
      <c r="TDK119" s="3"/>
      <c r="TDL119" s="3"/>
      <c r="TDM119" s="3"/>
      <c r="TDN119" s="3"/>
      <c r="TDO119" s="3"/>
      <c r="TDP119" s="3"/>
      <c r="TDQ119" s="3"/>
      <c r="TDR119" s="3"/>
      <c r="TDS119" s="3"/>
      <c r="TDT119" s="3"/>
      <c r="TDU119" s="3"/>
      <c r="TDV119" s="3"/>
      <c r="TDW119" s="3"/>
      <c r="TDX119" s="3"/>
      <c r="TDY119" s="3"/>
      <c r="TDZ119" s="3"/>
      <c r="TEA119" s="3"/>
      <c r="TEB119" s="3"/>
      <c r="TEC119" s="3"/>
      <c r="TED119" s="3"/>
      <c r="TEE119" s="3"/>
      <c r="TEF119" s="3"/>
      <c r="TEG119" s="3"/>
      <c r="TEH119" s="3"/>
      <c r="TEI119" s="3"/>
      <c r="TEJ119" s="3"/>
      <c r="TEK119" s="3"/>
      <c r="TEL119" s="3"/>
      <c r="TEM119" s="3"/>
      <c r="TEN119" s="3"/>
      <c r="TEO119" s="3"/>
      <c r="TEP119" s="3"/>
      <c r="TEQ119" s="3"/>
      <c r="TER119" s="3"/>
      <c r="TES119" s="3"/>
      <c r="TET119" s="3"/>
      <c r="TEU119" s="3"/>
      <c r="TEV119" s="3"/>
      <c r="TEW119" s="3"/>
      <c r="TEX119" s="3"/>
      <c r="TEY119" s="3"/>
      <c r="TEZ119" s="3"/>
      <c r="TFA119" s="3"/>
      <c r="TFB119" s="3"/>
      <c r="TFC119" s="3"/>
      <c r="TFD119" s="3"/>
      <c r="TFE119" s="3"/>
      <c r="TFF119" s="3"/>
      <c r="TFG119" s="3"/>
      <c r="TFH119" s="3"/>
      <c r="TFI119" s="3"/>
      <c r="TFJ119" s="3"/>
      <c r="TFK119" s="3"/>
      <c r="TFL119" s="3"/>
      <c r="TFM119" s="3"/>
      <c r="TFN119" s="3"/>
      <c r="TFO119" s="3"/>
      <c r="TFP119" s="3"/>
      <c r="TFQ119" s="3"/>
      <c r="TFR119" s="3"/>
      <c r="TFS119" s="3"/>
      <c r="TFT119" s="3"/>
      <c r="TFU119" s="3"/>
      <c r="TFV119" s="3"/>
      <c r="TFW119" s="3"/>
      <c r="TFX119" s="3"/>
      <c r="TFY119" s="3"/>
      <c r="TFZ119" s="3"/>
      <c r="TGA119" s="3"/>
      <c r="TGB119" s="3"/>
      <c r="TGC119" s="3"/>
      <c r="TGD119" s="3"/>
      <c r="TGE119" s="3"/>
      <c r="TGF119" s="3"/>
      <c r="TGG119" s="3"/>
      <c r="TGH119" s="3"/>
      <c r="TGI119" s="3"/>
      <c r="TGJ119" s="3"/>
      <c r="TGK119" s="3"/>
      <c r="TGL119" s="3"/>
      <c r="TGM119" s="3"/>
      <c r="TGN119" s="3"/>
      <c r="TGO119" s="3"/>
      <c r="TGP119" s="3"/>
      <c r="TGQ119" s="3"/>
      <c r="TGR119" s="3"/>
      <c r="TGS119" s="3"/>
      <c r="TGT119" s="3"/>
      <c r="TGU119" s="3"/>
      <c r="TGV119" s="3"/>
      <c r="TGW119" s="3"/>
      <c r="TGX119" s="3"/>
      <c r="TGY119" s="3"/>
      <c r="TGZ119" s="3"/>
      <c r="THA119" s="3"/>
      <c r="THB119" s="3"/>
      <c r="THC119" s="3"/>
      <c r="THD119" s="3"/>
      <c r="THE119" s="3"/>
      <c r="THF119" s="3"/>
      <c r="THG119" s="3"/>
      <c r="THH119" s="3"/>
      <c r="THI119" s="3"/>
      <c r="THJ119" s="3"/>
      <c r="THK119" s="3"/>
      <c r="THL119" s="3"/>
      <c r="THM119" s="3"/>
      <c r="THN119" s="3"/>
      <c r="THO119" s="3"/>
      <c r="THP119" s="3"/>
      <c r="THQ119" s="3"/>
      <c r="THR119" s="3"/>
      <c r="THS119" s="3"/>
      <c r="THT119" s="3"/>
      <c r="THU119" s="3"/>
      <c r="THV119" s="3"/>
      <c r="THW119" s="3"/>
      <c r="THX119" s="3"/>
      <c r="THY119" s="3"/>
      <c r="THZ119" s="3"/>
      <c r="TIA119" s="3"/>
      <c r="TIB119" s="3"/>
      <c r="TIC119" s="3"/>
      <c r="TID119" s="3"/>
      <c r="TIE119" s="3"/>
      <c r="TIF119" s="3"/>
      <c r="TIG119" s="3"/>
      <c r="TIH119" s="3"/>
      <c r="TII119" s="3"/>
      <c r="TIJ119" s="3"/>
      <c r="TIK119" s="3"/>
      <c r="TIL119" s="3"/>
      <c r="TIM119" s="3"/>
      <c r="TIN119" s="3"/>
      <c r="TIO119" s="3"/>
      <c r="TIP119" s="3"/>
      <c r="TIQ119" s="3"/>
      <c r="TIR119" s="3"/>
      <c r="TIS119" s="3"/>
      <c r="TIT119" s="3"/>
      <c r="TIU119" s="3"/>
      <c r="TIV119" s="3"/>
      <c r="TIW119" s="3"/>
      <c r="TIX119" s="3"/>
      <c r="TIY119" s="3"/>
      <c r="TIZ119" s="3"/>
      <c r="TJA119" s="3"/>
      <c r="TJB119" s="3"/>
      <c r="TJC119" s="3"/>
      <c r="TJD119" s="3"/>
      <c r="TJE119" s="3"/>
      <c r="TJF119" s="3"/>
      <c r="TJG119" s="3"/>
      <c r="TJH119" s="3"/>
      <c r="TJI119" s="3"/>
      <c r="TJJ119" s="3"/>
      <c r="TJK119" s="3"/>
      <c r="TJL119" s="3"/>
      <c r="TJM119" s="3"/>
      <c r="TJN119" s="3"/>
      <c r="TJO119" s="3"/>
      <c r="TJP119" s="3"/>
      <c r="TJQ119" s="3"/>
      <c r="TJR119" s="3"/>
      <c r="TJS119" s="3"/>
      <c r="TJT119" s="3"/>
      <c r="TJU119" s="3"/>
      <c r="TJV119" s="3"/>
      <c r="TJW119" s="3"/>
      <c r="TJX119" s="3"/>
      <c r="TJY119" s="3"/>
      <c r="TJZ119" s="3"/>
      <c r="TKA119" s="3"/>
      <c r="TKB119" s="3"/>
      <c r="TKC119" s="3"/>
      <c r="TKD119" s="3"/>
      <c r="TKE119" s="3"/>
      <c r="TKF119" s="3"/>
      <c r="TKG119" s="3"/>
      <c r="TKH119" s="3"/>
      <c r="TKI119" s="3"/>
      <c r="TKJ119" s="3"/>
      <c r="TKK119" s="3"/>
      <c r="TKL119" s="3"/>
      <c r="TKM119" s="3"/>
      <c r="TKN119" s="3"/>
      <c r="TKO119" s="3"/>
      <c r="TKP119" s="3"/>
      <c r="TKQ119" s="3"/>
      <c r="TKR119" s="3"/>
      <c r="TKS119" s="3"/>
      <c r="TKT119" s="3"/>
      <c r="TKU119" s="3"/>
      <c r="TKV119" s="3"/>
      <c r="TKW119" s="3"/>
      <c r="TKX119" s="3"/>
      <c r="TKY119" s="3"/>
      <c r="TKZ119" s="3"/>
      <c r="TLA119" s="3"/>
      <c r="TLB119" s="3"/>
      <c r="TLC119" s="3"/>
      <c r="TLD119" s="3"/>
      <c r="TLE119" s="3"/>
      <c r="TLF119" s="3"/>
      <c r="TLG119" s="3"/>
      <c r="TLH119" s="3"/>
      <c r="TLI119" s="3"/>
      <c r="TLJ119" s="3"/>
      <c r="TLK119" s="3"/>
      <c r="TLL119" s="3"/>
      <c r="TLM119" s="3"/>
      <c r="TLN119" s="3"/>
      <c r="TLO119" s="3"/>
      <c r="TLP119" s="3"/>
      <c r="TLQ119" s="3"/>
      <c r="TLR119" s="3"/>
      <c r="TLS119" s="3"/>
      <c r="TLT119" s="3"/>
      <c r="TLU119" s="3"/>
      <c r="TLV119" s="3"/>
      <c r="TLW119" s="3"/>
      <c r="TLX119" s="3"/>
      <c r="TLY119" s="3"/>
      <c r="TLZ119" s="3"/>
      <c r="TMA119" s="3"/>
      <c r="TMB119" s="3"/>
      <c r="TMC119" s="3"/>
      <c r="TMD119" s="3"/>
      <c r="TME119" s="3"/>
      <c r="TMF119" s="3"/>
      <c r="TMG119" s="3"/>
      <c r="TMH119" s="3"/>
      <c r="TMI119" s="3"/>
      <c r="TMJ119" s="3"/>
      <c r="TMK119" s="3"/>
      <c r="TML119" s="3"/>
      <c r="TMM119" s="3"/>
      <c r="TMN119" s="3"/>
      <c r="TMO119" s="3"/>
      <c r="TMP119" s="3"/>
      <c r="TMQ119" s="3"/>
      <c r="TMR119" s="3"/>
      <c r="TMS119" s="3"/>
      <c r="TMT119" s="3"/>
      <c r="TMU119" s="3"/>
      <c r="TMV119" s="3"/>
      <c r="TMW119" s="3"/>
      <c r="TMX119" s="3"/>
      <c r="TMY119" s="3"/>
      <c r="TMZ119" s="3"/>
      <c r="TNA119" s="3"/>
      <c r="TNB119" s="3"/>
      <c r="TNC119" s="3"/>
      <c r="TND119" s="3"/>
      <c r="TNE119" s="3"/>
      <c r="TNF119" s="3"/>
      <c r="TNG119" s="3"/>
      <c r="TNH119" s="3"/>
      <c r="TNI119" s="3"/>
      <c r="TNJ119" s="3"/>
      <c r="TNK119" s="3"/>
      <c r="TNL119" s="3"/>
      <c r="TNM119" s="3"/>
      <c r="TNN119" s="3"/>
      <c r="TNO119" s="3"/>
      <c r="TNP119" s="3"/>
      <c r="TNQ119" s="3"/>
      <c r="TNR119" s="3"/>
      <c r="TNS119" s="3"/>
      <c r="TNT119" s="3"/>
      <c r="TNU119" s="3"/>
      <c r="TNV119" s="3"/>
      <c r="TNW119" s="3"/>
      <c r="TNX119" s="3"/>
      <c r="TNY119" s="3"/>
      <c r="TNZ119" s="3"/>
      <c r="TOA119" s="3"/>
      <c r="TOB119" s="3"/>
      <c r="TOC119" s="3"/>
      <c r="TOD119" s="3"/>
      <c r="TOE119" s="3"/>
      <c r="TOF119" s="3"/>
      <c r="TOG119" s="3"/>
      <c r="TOH119" s="3"/>
      <c r="TOI119" s="3"/>
      <c r="TOJ119" s="3"/>
      <c r="TOK119" s="3"/>
      <c r="TOL119" s="3"/>
      <c r="TOM119" s="3"/>
      <c r="TON119" s="3"/>
      <c r="TOO119" s="3"/>
      <c r="TOP119" s="3"/>
      <c r="TOQ119" s="3"/>
      <c r="TOR119" s="3"/>
      <c r="TOS119" s="3"/>
      <c r="TOT119" s="3"/>
      <c r="TOU119" s="3"/>
      <c r="TOV119" s="3"/>
      <c r="TOW119" s="3"/>
      <c r="TOX119" s="3"/>
      <c r="TOY119" s="3"/>
      <c r="TOZ119" s="3"/>
      <c r="TPA119" s="3"/>
      <c r="TPB119" s="3"/>
      <c r="TPC119" s="3"/>
      <c r="TPD119" s="3"/>
      <c r="TPE119" s="3"/>
      <c r="TPF119" s="3"/>
      <c r="TPG119" s="3"/>
      <c r="TPH119" s="3"/>
      <c r="TPI119" s="3"/>
      <c r="TPJ119" s="3"/>
      <c r="TPK119" s="3"/>
      <c r="TPL119" s="3"/>
      <c r="TPM119" s="3"/>
      <c r="TPN119" s="3"/>
      <c r="TPO119" s="3"/>
      <c r="TPP119" s="3"/>
      <c r="TPQ119" s="3"/>
      <c r="TPR119" s="3"/>
      <c r="TPS119" s="3"/>
      <c r="TPT119" s="3"/>
      <c r="TPU119" s="3"/>
      <c r="TPV119" s="3"/>
      <c r="TPW119" s="3"/>
      <c r="TPX119" s="3"/>
      <c r="TPY119" s="3"/>
      <c r="TPZ119" s="3"/>
      <c r="TQA119" s="3"/>
      <c r="TQB119" s="3"/>
      <c r="TQC119" s="3"/>
      <c r="TQD119" s="3"/>
      <c r="TQE119" s="3"/>
      <c r="TQF119" s="3"/>
      <c r="TQG119" s="3"/>
      <c r="TQH119" s="3"/>
      <c r="TQI119" s="3"/>
      <c r="TQJ119" s="3"/>
      <c r="TQK119" s="3"/>
      <c r="TQL119" s="3"/>
      <c r="TQM119" s="3"/>
      <c r="TQN119" s="3"/>
      <c r="TQO119" s="3"/>
      <c r="TQP119" s="3"/>
      <c r="TQQ119" s="3"/>
      <c r="TQR119" s="3"/>
      <c r="TQS119" s="3"/>
      <c r="TQT119" s="3"/>
      <c r="TQU119" s="3"/>
      <c r="TQV119" s="3"/>
      <c r="TQW119" s="3"/>
      <c r="TQX119" s="3"/>
      <c r="TQY119" s="3"/>
      <c r="TQZ119" s="3"/>
      <c r="TRA119" s="3"/>
      <c r="TRB119" s="3"/>
      <c r="TRC119" s="3"/>
      <c r="TRD119" s="3"/>
      <c r="TRE119" s="3"/>
      <c r="TRF119" s="3"/>
      <c r="TRG119" s="3"/>
      <c r="TRH119" s="3"/>
      <c r="TRI119" s="3"/>
      <c r="TRJ119" s="3"/>
      <c r="TRK119" s="3"/>
      <c r="TRL119" s="3"/>
      <c r="TRM119" s="3"/>
      <c r="TRN119" s="3"/>
      <c r="TRO119" s="3"/>
      <c r="TRP119" s="3"/>
      <c r="TRQ119" s="3"/>
      <c r="TRR119" s="3"/>
      <c r="TRS119" s="3"/>
      <c r="TRT119" s="3"/>
      <c r="TRU119" s="3"/>
      <c r="TRV119" s="3"/>
      <c r="TRW119" s="3"/>
      <c r="TRX119" s="3"/>
      <c r="TRY119" s="3"/>
      <c r="TRZ119" s="3"/>
      <c r="TSA119" s="3"/>
      <c r="TSB119" s="3"/>
      <c r="TSC119" s="3"/>
      <c r="TSD119" s="3"/>
      <c r="TSE119" s="3"/>
      <c r="TSF119" s="3"/>
      <c r="TSG119" s="3"/>
      <c r="TSH119" s="3"/>
      <c r="TSI119" s="3"/>
      <c r="TSJ119" s="3"/>
      <c r="TSK119" s="3"/>
      <c r="TSL119" s="3"/>
      <c r="TSM119" s="3"/>
      <c r="TSN119" s="3"/>
      <c r="TSO119" s="3"/>
      <c r="TSP119" s="3"/>
      <c r="TSQ119" s="3"/>
      <c r="TSR119" s="3"/>
      <c r="TSS119" s="3"/>
      <c r="TST119" s="3"/>
      <c r="TSU119" s="3"/>
      <c r="TSV119" s="3"/>
      <c r="TSW119" s="3"/>
      <c r="TSX119" s="3"/>
      <c r="TSY119" s="3"/>
      <c r="TSZ119" s="3"/>
      <c r="TTA119" s="3"/>
      <c r="TTB119" s="3"/>
      <c r="TTC119" s="3"/>
      <c r="TTD119" s="3"/>
      <c r="TTE119" s="3"/>
      <c r="TTF119" s="3"/>
      <c r="TTG119" s="3"/>
      <c r="TTH119" s="3"/>
      <c r="TTI119" s="3"/>
      <c r="TTJ119" s="3"/>
      <c r="TTK119" s="3"/>
      <c r="TTL119" s="3"/>
      <c r="TTM119" s="3"/>
      <c r="TTN119" s="3"/>
      <c r="TTO119" s="3"/>
      <c r="TTP119" s="3"/>
      <c r="TTQ119" s="3"/>
      <c r="TTR119" s="3"/>
      <c r="TTS119" s="3"/>
      <c r="TTT119" s="3"/>
      <c r="TTU119" s="3"/>
      <c r="TTV119" s="3"/>
      <c r="TTW119" s="3"/>
      <c r="TTX119" s="3"/>
      <c r="TTY119" s="3"/>
      <c r="TTZ119" s="3"/>
      <c r="TUA119" s="3"/>
      <c r="TUB119" s="3"/>
      <c r="TUC119" s="3"/>
      <c r="TUD119" s="3"/>
      <c r="TUE119" s="3"/>
      <c r="TUF119" s="3"/>
      <c r="TUG119" s="3"/>
      <c r="TUH119" s="3"/>
      <c r="TUI119" s="3"/>
      <c r="TUJ119" s="3"/>
      <c r="TUK119" s="3"/>
      <c r="TUL119" s="3"/>
      <c r="TUM119" s="3"/>
      <c r="TUN119" s="3"/>
      <c r="TUO119" s="3"/>
      <c r="TUP119" s="3"/>
      <c r="TUQ119" s="3"/>
      <c r="TUR119" s="3"/>
      <c r="TUS119" s="3"/>
      <c r="TUT119" s="3"/>
      <c r="TUU119" s="3"/>
      <c r="TUV119" s="3"/>
      <c r="TUW119" s="3"/>
      <c r="TUX119" s="3"/>
      <c r="TUY119" s="3"/>
      <c r="TUZ119" s="3"/>
      <c r="TVA119" s="3"/>
      <c r="TVB119" s="3"/>
      <c r="TVC119" s="3"/>
      <c r="TVD119" s="3"/>
      <c r="TVE119" s="3"/>
      <c r="TVF119" s="3"/>
      <c r="TVG119" s="3"/>
      <c r="TVH119" s="3"/>
      <c r="TVI119" s="3"/>
      <c r="TVJ119" s="3"/>
      <c r="TVK119" s="3"/>
      <c r="TVL119" s="3"/>
      <c r="TVM119" s="3"/>
      <c r="TVN119" s="3"/>
      <c r="TVO119" s="3"/>
      <c r="TVP119" s="3"/>
      <c r="TVQ119" s="3"/>
      <c r="TVR119" s="3"/>
      <c r="TVS119" s="3"/>
      <c r="TVT119" s="3"/>
      <c r="TVU119" s="3"/>
      <c r="TVV119" s="3"/>
      <c r="TVW119" s="3"/>
      <c r="TVX119" s="3"/>
      <c r="TVY119" s="3"/>
      <c r="TVZ119" s="3"/>
      <c r="TWA119" s="3"/>
      <c r="TWB119" s="3"/>
      <c r="TWC119" s="3"/>
      <c r="TWD119" s="3"/>
      <c r="TWE119" s="3"/>
      <c r="TWF119" s="3"/>
      <c r="TWG119" s="3"/>
      <c r="TWH119" s="3"/>
      <c r="TWI119" s="3"/>
      <c r="TWJ119" s="3"/>
      <c r="TWK119" s="3"/>
      <c r="TWL119" s="3"/>
      <c r="TWM119" s="3"/>
      <c r="TWN119" s="3"/>
      <c r="TWO119" s="3"/>
      <c r="TWP119" s="3"/>
      <c r="TWQ119" s="3"/>
      <c r="TWR119" s="3"/>
      <c r="TWS119" s="3"/>
      <c r="TWT119" s="3"/>
      <c r="TWU119" s="3"/>
      <c r="TWV119" s="3"/>
      <c r="TWW119" s="3"/>
      <c r="TWX119" s="3"/>
      <c r="TWY119" s="3"/>
      <c r="TWZ119" s="3"/>
      <c r="TXA119" s="3"/>
      <c r="TXB119" s="3"/>
      <c r="TXC119" s="3"/>
      <c r="TXD119" s="3"/>
      <c r="TXE119" s="3"/>
      <c r="TXF119" s="3"/>
      <c r="TXG119" s="3"/>
      <c r="TXH119" s="3"/>
      <c r="TXI119" s="3"/>
      <c r="TXJ119" s="3"/>
      <c r="TXK119" s="3"/>
      <c r="TXL119" s="3"/>
      <c r="TXM119" s="3"/>
      <c r="TXN119" s="3"/>
      <c r="TXO119" s="3"/>
      <c r="TXP119" s="3"/>
      <c r="TXQ119" s="3"/>
      <c r="TXR119" s="3"/>
      <c r="TXS119" s="3"/>
      <c r="TXT119" s="3"/>
      <c r="TXU119" s="3"/>
      <c r="TXV119" s="3"/>
      <c r="TXW119" s="3"/>
      <c r="TXX119" s="3"/>
      <c r="TXY119" s="3"/>
      <c r="TXZ119" s="3"/>
      <c r="TYA119" s="3"/>
      <c r="TYB119" s="3"/>
      <c r="TYC119" s="3"/>
      <c r="TYD119" s="3"/>
      <c r="TYE119" s="3"/>
      <c r="TYF119" s="3"/>
      <c r="TYG119" s="3"/>
      <c r="TYH119" s="3"/>
      <c r="TYI119" s="3"/>
      <c r="TYJ119" s="3"/>
      <c r="TYK119" s="3"/>
      <c r="TYL119" s="3"/>
      <c r="TYM119" s="3"/>
      <c r="TYN119" s="3"/>
      <c r="TYO119" s="3"/>
      <c r="TYP119" s="3"/>
      <c r="TYQ119" s="3"/>
      <c r="TYR119" s="3"/>
      <c r="TYS119" s="3"/>
      <c r="TYT119" s="3"/>
      <c r="TYU119" s="3"/>
      <c r="TYV119" s="3"/>
      <c r="TYW119" s="3"/>
      <c r="TYX119" s="3"/>
      <c r="TYY119" s="3"/>
      <c r="TYZ119" s="3"/>
      <c r="TZA119" s="3"/>
      <c r="TZB119" s="3"/>
      <c r="TZC119" s="3"/>
      <c r="TZD119" s="3"/>
      <c r="TZE119" s="3"/>
      <c r="TZF119" s="3"/>
      <c r="TZG119" s="3"/>
      <c r="TZH119" s="3"/>
      <c r="TZI119" s="3"/>
      <c r="TZJ119" s="3"/>
      <c r="TZK119" s="3"/>
      <c r="TZL119" s="3"/>
      <c r="TZM119" s="3"/>
      <c r="TZN119" s="3"/>
      <c r="TZO119" s="3"/>
      <c r="TZP119" s="3"/>
      <c r="TZQ119" s="3"/>
      <c r="TZR119" s="3"/>
      <c r="TZS119" s="3"/>
      <c r="TZT119" s="3"/>
      <c r="TZU119" s="3"/>
      <c r="TZV119" s="3"/>
      <c r="TZW119" s="3"/>
      <c r="TZX119" s="3"/>
      <c r="TZY119" s="3"/>
      <c r="TZZ119" s="3"/>
      <c r="UAA119" s="3"/>
      <c r="UAB119" s="3"/>
      <c r="UAC119" s="3"/>
      <c r="UAD119" s="3"/>
      <c r="UAE119" s="3"/>
      <c r="UAF119" s="3"/>
      <c r="UAG119" s="3"/>
      <c r="UAH119" s="3"/>
      <c r="UAI119" s="3"/>
      <c r="UAJ119" s="3"/>
      <c r="UAK119" s="3"/>
      <c r="UAL119" s="3"/>
      <c r="UAM119" s="3"/>
      <c r="UAN119" s="3"/>
      <c r="UAO119" s="3"/>
      <c r="UAP119" s="3"/>
      <c r="UAQ119" s="3"/>
      <c r="UAR119" s="3"/>
      <c r="UAS119" s="3"/>
      <c r="UAT119" s="3"/>
      <c r="UAU119" s="3"/>
      <c r="UAV119" s="3"/>
      <c r="UAW119" s="3"/>
      <c r="UAX119" s="3"/>
      <c r="UAY119" s="3"/>
      <c r="UAZ119" s="3"/>
      <c r="UBA119" s="3"/>
      <c r="UBB119" s="3"/>
      <c r="UBC119" s="3"/>
      <c r="UBD119" s="3"/>
      <c r="UBE119" s="3"/>
      <c r="UBF119" s="3"/>
      <c r="UBG119" s="3"/>
      <c r="UBH119" s="3"/>
      <c r="UBI119" s="3"/>
      <c r="UBJ119" s="3"/>
      <c r="UBK119" s="3"/>
      <c r="UBL119" s="3"/>
      <c r="UBM119" s="3"/>
      <c r="UBN119" s="3"/>
      <c r="UBO119" s="3"/>
      <c r="UBP119" s="3"/>
      <c r="UBQ119" s="3"/>
      <c r="UBR119" s="3"/>
      <c r="UBS119" s="3"/>
      <c r="UBT119" s="3"/>
      <c r="UBU119" s="3"/>
      <c r="UBV119" s="3"/>
      <c r="UBW119" s="3"/>
      <c r="UBX119" s="3"/>
      <c r="UBY119" s="3"/>
      <c r="UBZ119" s="3"/>
      <c r="UCA119" s="3"/>
      <c r="UCB119" s="3"/>
      <c r="UCC119" s="3"/>
      <c r="UCD119" s="3"/>
      <c r="UCE119" s="3"/>
      <c r="UCF119" s="3"/>
      <c r="UCG119" s="3"/>
      <c r="UCH119" s="3"/>
      <c r="UCI119" s="3"/>
      <c r="UCJ119" s="3"/>
      <c r="UCK119" s="3"/>
      <c r="UCL119" s="3"/>
      <c r="UCM119" s="3"/>
      <c r="UCN119" s="3"/>
      <c r="UCO119" s="3"/>
      <c r="UCP119" s="3"/>
      <c r="UCQ119" s="3"/>
      <c r="UCR119" s="3"/>
      <c r="UCS119" s="3"/>
      <c r="UCT119" s="3"/>
      <c r="UCU119" s="3"/>
      <c r="UCV119" s="3"/>
      <c r="UCW119" s="3"/>
      <c r="UCX119" s="3"/>
      <c r="UCY119" s="3"/>
      <c r="UCZ119" s="3"/>
      <c r="UDA119" s="3"/>
      <c r="UDB119" s="3"/>
      <c r="UDC119" s="3"/>
      <c r="UDD119" s="3"/>
      <c r="UDE119" s="3"/>
      <c r="UDF119" s="3"/>
      <c r="UDG119" s="3"/>
      <c r="UDH119" s="3"/>
      <c r="UDI119" s="3"/>
      <c r="UDJ119" s="3"/>
      <c r="UDK119" s="3"/>
      <c r="UDL119" s="3"/>
      <c r="UDM119" s="3"/>
      <c r="UDN119" s="3"/>
      <c r="UDO119" s="3"/>
      <c r="UDP119" s="3"/>
      <c r="UDQ119" s="3"/>
      <c r="UDR119" s="3"/>
      <c r="UDS119" s="3"/>
      <c r="UDT119" s="3"/>
      <c r="UDU119" s="3"/>
      <c r="UDV119" s="3"/>
      <c r="UDW119" s="3"/>
      <c r="UDX119" s="3"/>
      <c r="UDY119" s="3"/>
      <c r="UDZ119" s="3"/>
      <c r="UEA119" s="3"/>
      <c r="UEB119" s="3"/>
      <c r="UEC119" s="3"/>
      <c r="UED119" s="3"/>
      <c r="UEE119" s="3"/>
      <c r="UEF119" s="3"/>
      <c r="UEG119" s="3"/>
      <c r="UEH119" s="3"/>
      <c r="UEI119" s="3"/>
      <c r="UEJ119" s="3"/>
      <c r="UEK119" s="3"/>
      <c r="UEL119" s="3"/>
      <c r="UEM119" s="3"/>
      <c r="UEN119" s="3"/>
      <c r="UEO119" s="3"/>
      <c r="UEP119" s="3"/>
      <c r="UEQ119" s="3"/>
      <c r="UER119" s="3"/>
      <c r="UES119" s="3"/>
      <c r="UET119" s="3"/>
      <c r="UEU119" s="3"/>
      <c r="UEV119" s="3"/>
      <c r="UEW119" s="3"/>
      <c r="UEX119" s="3"/>
      <c r="UEY119" s="3"/>
      <c r="UEZ119" s="3"/>
      <c r="UFA119" s="3"/>
      <c r="UFB119" s="3"/>
      <c r="UFC119" s="3"/>
      <c r="UFD119" s="3"/>
      <c r="UFE119" s="3"/>
      <c r="UFF119" s="3"/>
      <c r="UFG119" s="3"/>
      <c r="UFH119" s="3"/>
      <c r="UFI119" s="3"/>
      <c r="UFJ119" s="3"/>
      <c r="UFK119" s="3"/>
      <c r="UFL119" s="3"/>
      <c r="UFM119" s="3"/>
      <c r="UFN119" s="3"/>
      <c r="UFO119" s="3"/>
      <c r="UFP119" s="3"/>
      <c r="UFQ119" s="3"/>
      <c r="UFR119" s="3"/>
      <c r="UFS119" s="3"/>
      <c r="UFT119" s="3"/>
      <c r="UFU119" s="3"/>
      <c r="UFV119" s="3"/>
      <c r="UFW119" s="3"/>
      <c r="UFX119" s="3"/>
      <c r="UFY119" s="3"/>
      <c r="UFZ119" s="3"/>
      <c r="UGA119" s="3"/>
      <c r="UGB119" s="3"/>
      <c r="UGC119" s="3"/>
      <c r="UGD119" s="3"/>
      <c r="UGE119" s="3"/>
      <c r="UGF119" s="3"/>
      <c r="UGG119" s="3"/>
      <c r="UGH119" s="3"/>
      <c r="UGI119" s="3"/>
      <c r="UGJ119" s="3"/>
      <c r="UGK119" s="3"/>
      <c r="UGL119" s="3"/>
      <c r="UGM119" s="3"/>
      <c r="UGN119" s="3"/>
      <c r="UGO119" s="3"/>
      <c r="UGP119" s="3"/>
      <c r="UGQ119" s="3"/>
      <c r="UGR119" s="3"/>
      <c r="UGS119" s="3"/>
      <c r="UGT119" s="3"/>
      <c r="UGU119" s="3"/>
      <c r="UGV119" s="3"/>
      <c r="UGW119" s="3"/>
      <c r="UGX119" s="3"/>
      <c r="UGY119" s="3"/>
      <c r="UGZ119" s="3"/>
      <c r="UHA119" s="3"/>
      <c r="UHB119" s="3"/>
      <c r="UHC119" s="3"/>
      <c r="UHD119" s="3"/>
      <c r="UHE119" s="3"/>
      <c r="UHF119" s="3"/>
      <c r="UHG119" s="3"/>
      <c r="UHH119" s="3"/>
      <c r="UHI119" s="3"/>
      <c r="UHJ119" s="3"/>
      <c r="UHK119" s="3"/>
      <c r="UHL119" s="3"/>
      <c r="UHM119" s="3"/>
      <c r="UHN119" s="3"/>
      <c r="UHO119" s="3"/>
      <c r="UHP119" s="3"/>
      <c r="UHQ119" s="3"/>
      <c r="UHR119" s="3"/>
      <c r="UHS119" s="3"/>
      <c r="UHT119" s="3"/>
      <c r="UHU119" s="3"/>
      <c r="UHV119" s="3"/>
      <c r="UHW119" s="3"/>
      <c r="UHX119" s="3"/>
      <c r="UHY119" s="3"/>
      <c r="UHZ119" s="3"/>
      <c r="UIA119" s="3"/>
      <c r="UIB119" s="3"/>
      <c r="UIC119" s="3"/>
      <c r="UID119" s="3"/>
      <c r="UIE119" s="3"/>
      <c r="UIF119" s="3"/>
      <c r="UIG119" s="3"/>
      <c r="UIH119" s="3"/>
      <c r="UII119" s="3"/>
      <c r="UIJ119" s="3"/>
      <c r="UIK119" s="3"/>
      <c r="UIL119" s="3"/>
      <c r="UIM119" s="3"/>
      <c r="UIN119" s="3"/>
      <c r="UIO119" s="3"/>
      <c r="UIP119" s="3"/>
      <c r="UIQ119" s="3"/>
      <c r="UIR119" s="3"/>
      <c r="UIS119" s="3"/>
      <c r="UIT119" s="3"/>
      <c r="UIU119" s="3"/>
      <c r="UIV119" s="3"/>
      <c r="UIW119" s="3"/>
      <c r="UIX119" s="3"/>
      <c r="UIY119" s="3"/>
      <c r="UIZ119" s="3"/>
      <c r="UJA119" s="3"/>
      <c r="UJB119" s="3"/>
      <c r="UJC119" s="3"/>
      <c r="UJD119" s="3"/>
      <c r="UJE119" s="3"/>
      <c r="UJF119" s="3"/>
      <c r="UJG119" s="3"/>
      <c r="UJH119" s="3"/>
      <c r="UJI119" s="3"/>
      <c r="UJJ119" s="3"/>
      <c r="UJK119" s="3"/>
      <c r="UJL119" s="3"/>
      <c r="UJM119" s="3"/>
      <c r="UJN119" s="3"/>
      <c r="UJO119" s="3"/>
      <c r="UJP119" s="3"/>
      <c r="UJQ119" s="3"/>
      <c r="UJR119" s="3"/>
      <c r="UJS119" s="3"/>
      <c r="UJT119" s="3"/>
      <c r="UJU119" s="3"/>
      <c r="UJV119" s="3"/>
      <c r="UJW119" s="3"/>
      <c r="UJX119" s="3"/>
      <c r="UJY119" s="3"/>
      <c r="UJZ119" s="3"/>
      <c r="UKA119" s="3"/>
      <c r="UKB119" s="3"/>
      <c r="UKC119" s="3"/>
      <c r="UKD119" s="3"/>
      <c r="UKE119" s="3"/>
      <c r="UKF119" s="3"/>
      <c r="UKG119" s="3"/>
      <c r="UKH119" s="3"/>
      <c r="UKI119" s="3"/>
      <c r="UKJ119" s="3"/>
      <c r="UKK119" s="3"/>
      <c r="UKL119" s="3"/>
      <c r="UKM119" s="3"/>
      <c r="UKN119" s="3"/>
      <c r="UKO119" s="3"/>
      <c r="UKP119" s="3"/>
      <c r="UKQ119" s="3"/>
      <c r="UKR119" s="3"/>
      <c r="UKS119" s="3"/>
      <c r="UKT119" s="3"/>
      <c r="UKU119" s="3"/>
      <c r="UKV119" s="3"/>
      <c r="UKW119" s="3"/>
      <c r="UKX119" s="3"/>
      <c r="UKY119" s="3"/>
      <c r="UKZ119" s="3"/>
      <c r="ULA119" s="3"/>
      <c r="ULB119" s="3"/>
      <c r="ULC119" s="3"/>
      <c r="ULD119" s="3"/>
      <c r="ULE119" s="3"/>
      <c r="ULF119" s="3"/>
      <c r="ULG119" s="3"/>
      <c r="ULH119" s="3"/>
      <c r="ULI119" s="3"/>
      <c r="ULJ119" s="3"/>
      <c r="ULK119" s="3"/>
      <c r="ULL119" s="3"/>
      <c r="ULM119" s="3"/>
      <c r="ULN119" s="3"/>
      <c r="ULO119" s="3"/>
      <c r="ULP119" s="3"/>
      <c r="ULQ119" s="3"/>
      <c r="ULR119" s="3"/>
      <c r="ULS119" s="3"/>
      <c r="ULT119" s="3"/>
      <c r="ULU119" s="3"/>
      <c r="ULV119" s="3"/>
      <c r="ULW119" s="3"/>
      <c r="ULX119" s="3"/>
      <c r="ULY119" s="3"/>
      <c r="ULZ119" s="3"/>
      <c r="UMA119" s="3"/>
      <c r="UMB119" s="3"/>
      <c r="UMC119" s="3"/>
      <c r="UMD119" s="3"/>
      <c r="UME119" s="3"/>
      <c r="UMF119" s="3"/>
      <c r="UMG119" s="3"/>
      <c r="UMH119" s="3"/>
      <c r="UMI119" s="3"/>
      <c r="UMJ119" s="3"/>
      <c r="UMK119" s="3"/>
      <c r="UML119" s="3"/>
      <c r="UMM119" s="3"/>
      <c r="UMN119" s="3"/>
      <c r="UMO119" s="3"/>
      <c r="UMP119" s="3"/>
      <c r="UMQ119" s="3"/>
      <c r="UMR119" s="3"/>
      <c r="UMS119" s="3"/>
      <c r="UMT119" s="3"/>
      <c r="UMU119" s="3"/>
      <c r="UMV119" s="3"/>
      <c r="UMW119" s="3"/>
      <c r="UMX119" s="3"/>
      <c r="UMY119" s="3"/>
      <c r="UMZ119" s="3"/>
      <c r="UNA119" s="3"/>
      <c r="UNB119" s="3"/>
      <c r="UNC119" s="3"/>
      <c r="UND119" s="3"/>
      <c r="UNE119" s="3"/>
      <c r="UNF119" s="3"/>
      <c r="UNG119" s="3"/>
      <c r="UNH119" s="3"/>
      <c r="UNI119" s="3"/>
      <c r="UNJ119" s="3"/>
      <c r="UNK119" s="3"/>
      <c r="UNL119" s="3"/>
      <c r="UNM119" s="3"/>
      <c r="UNN119" s="3"/>
      <c r="UNO119" s="3"/>
      <c r="UNP119" s="3"/>
      <c r="UNQ119" s="3"/>
      <c r="UNR119" s="3"/>
      <c r="UNS119" s="3"/>
      <c r="UNT119" s="3"/>
      <c r="UNU119" s="3"/>
      <c r="UNV119" s="3"/>
      <c r="UNW119" s="3"/>
      <c r="UNX119" s="3"/>
      <c r="UNY119" s="3"/>
      <c r="UNZ119" s="3"/>
      <c r="UOA119" s="3"/>
      <c r="UOB119" s="3"/>
      <c r="UOC119" s="3"/>
      <c r="UOD119" s="3"/>
      <c r="UOE119" s="3"/>
      <c r="UOF119" s="3"/>
      <c r="UOG119" s="3"/>
      <c r="UOH119" s="3"/>
      <c r="UOI119" s="3"/>
      <c r="UOJ119" s="3"/>
      <c r="UOK119" s="3"/>
      <c r="UOL119" s="3"/>
      <c r="UOM119" s="3"/>
      <c r="UON119" s="3"/>
      <c r="UOO119" s="3"/>
      <c r="UOP119" s="3"/>
      <c r="UOQ119" s="3"/>
      <c r="UOR119" s="3"/>
      <c r="UOS119" s="3"/>
      <c r="UOT119" s="3"/>
      <c r="UOU119" s="3"/>
      <c r="UOV119" s="3"/>
      <c r="UOW119" s="3"/>
      <c r="UOX119" s="3"/>
      <c r="UOY119" s="3"/>
      <c r="UOZ119" s="3"/>
      <c r="UPA119" s="3"/>
      <c r="UPB119" s="3"/>
      <c r="UPC119" s="3"/>
      <c r="UPD119" s="3"/>
      <c r="UPE119" s="3"/>
      <c r="UPF119" s="3"/>
      <c r="UPG119" s="3"/>
      <c r="UPH119" s="3"/>
      <c r="UPI119" s="3"/>
      <c r="UPJ119" s="3"/>
      <c r="UPK119" s="3"/>
      <c r="UPL119" s="3"/>
      <c r="UPM119" s="3"/>
      <c r="UPN119" s="3"/>
      <c r="UPO119" s="3"/>
      <c r="UPP119" s="3"/>
      <c r="UPQ119" s="3"/>
      <c r="UPR119" s="3"/>
      <c r="UPS119" s="3"/>
      <c r="UPT119" s="3"/>
      <c r="UPU119" s="3"/>
      <c r="UPV119" s="3"/>
      <c r="UPW119" s="3"/>
      <c r="UPX119" s="3"/>
      <c r="UPY119" s="3"/>
      <c r="UPZ119" s="3"/>
      <c r="UQA119" s="3"/>
      <c r="UQB119" s="3"/>
      <c r="UQC119" s="3"/>
      <c r="UQD119" s="3"/>
      <c r="UQE119" s="3"/>
      <c r="UQF119" s="3"/>
      <c r="UQG119" s="3"/>
      <c r="UQH119" s="3"/>
      <c r="UQI119" s="3"/>
      <c r="UQJ119" s="3"/>
      <c r="UQK119" s="3"/>
      <c r="UQL119" s="3"/>
      <c r="UQM119" s="3"/>
      <c r="UQN119" s="3"/>
      <c r="UQO119" s="3"/>
      <c r="UQP119" s="3"/>
      <c r="UQQ119" s="3"/>
      <c r="UQR119" s="3"/>
      <c r="UQS119" s="3"/>
      <c r="UQT119" s="3"/>
      <c r="UQU119" s="3"/>
      <c r="UQV119" s="3"/>
      <c r="UQW119" s="3"/>
      <c r="UQX119" s="3"/>
      <c r="UQY119" s="3"/>
      <c r="UQZ119" s="3"/>
      <c r="URA119" s="3"/>
      <c r="URB119" s="3"/>
      <c r="URC119" s="3"/>
      <c r="URD119" s="3"/>
      <c r="URE119" s="3"/>
      <c r="URF119" s="3"/>
      <c r="URG119" s="3"/>
      <c r="URH119" s="3"/>
      <c r="URI119" s="3"/>
      <c r="URJ119" s="3"/>
      <c r="URK119" s="3"/>
      <c r="URL119" s="3"/>
      <c r="URM119" s="3"/>
      <c r="URN119" s="3"/>
      <c r="URO119" s="3"/>
      <c r="URP119" s="3"/>
      <c r="URQ119" s="3"/>
      <c r="URR119" s="3"/>
      <c r="URS119" s="3"/>
      <c r="URT119" s="3"/>
      <c r="URU119" s="3"/>
      <c r="URV119" s="3"/>
      <c r="URW119" s="3"/>
      <c r="URX119" s="3"/>
      <c r="URY119" s="3"/>
      <c r="URZ119" s="3"/>
      <c r="USA119" s="3"/>
      <c r="USB119" s="3"/>
      <c r="USC119" s="3"/>
      <c r="USD119" s="3"/>
      <c r="USE119" s="3"/>
      <c r="USF119" s="3"/>
      <c r="USG119" s="3"/>
      <c r="USH119" s="3"/>
      <c r="USI119" s="3"/>
      <c r="USJ119" s="3"/>
      <c r="USK119" s="3"/>
      <c r="USL119" s="3"/>
      <c r="USM119" s="3"/>
      <c r="USN119" s="3"/>
      <c r="USO119" s="3"/>
      <c r="USP119" s="3"/>
      <c r="USQ119" s="3"/>
      <c r="USR119" s="3"/>
      <c r="USS119" s="3"/>
      <c r="UST119" s="3"/>
      <c r="USU119" s="3"/>
      <c r="USV119" s="3"/>
      <c r="USW119" s="3"/>
      <c r="USX119" s="3"/>
      <c r="USY119" s="3"/>
      <c r="USZ119" s="3"/>
      <c r="UTA119" s="3"/>
      <c r="UTB119" s="3"/>
      <c r="UTC119" s="3"/>
      <c r="UTD119" s="3"/>
      <c r="UTE119" s="3"/>
      <c r="UTF119" s="3"/>
      <c r="UTG119" s="3"/>
      <c r="UTH119" s="3"/>
      <c r="UTI119" s="3"/>
      <c r="UTJ119" s="3"/>
      <c r="UTK119" s="3"/>
      <c r="UTL119" s="3"/>
      <c r="UTM119" s="3"/>
      <c r="UTN119" s="3"/>
      <c r="UTO119" s="3"/>
      <c r="UTP119" s="3"/>
      <c r="UTQ119" s="3"/>
      <c r="UTR119" s="3"/>
      <c r="UTS119" s="3"/>
      <c r="UTT119" s="3"/>
      <c r="UTU119" s="3"/>
      <c r="UTV119" s="3"/>
      <c r="UTW119" s="3"/>
      <c r="UTX119" s="3"/>
      <c r="UTY119" s="3"/>
      <c r="UTZ119" s="3"/>
      <c r="UUA119" s="3"/>
      <c r="UUB119" s="3"/>
      <c r="UUC119" s="3"/>
      <c r="UUD119" s="3"/>
      <c r="UUE119" s="3"/>
      <c r="UUF119" s="3"/>
      <c r="UUG119" s="3"/>
      <c r="UUH119" s="3"/>
      <c r="UUI119" s="3"/>
      <c r="UUJ119" s="3"/>
      <c r="UUK119" s="3"/>
      <c r="UUL119" s="3"/>
      <c r="UUM119" s="3"/>
      <c r="UUN119" s="3"/>
      <c r="UUO119" s="3"/>
      <c r="UUP119" s="3"/>
      <c r="UUQ119" s="3"/>
      <c r="UUR119" s="3"/>
      <c r="UUS119" s="3"/>
      <c r="UUT119" s="3"/>
      <c r="UUU119" s="3"/>
      <c r="UUV119" s="3"/>
      <c r="UUW119" s="3"/>
      <c r="UUX119" s="3"/>
      <c r="UUY119" s="3"/>
      <c r="UUZ119" s="3"/>
      <c r="UVA119" s="3"/>
      <c r="UVB119" s="3"/>
      <c r="UVC119" s="3"/>
      <c r="UVD119" s="3"/>
      <c r="UVE119" s="3"/>
      <c r="UVF119" s="3"/>
      <c r="UVG119" s="3"/>
      <c r="UVH119" s="3"/>
      <c r="UVI119" s="3"/>
      <c r="UVJ119" s="3"/>
      <c r="UVK119" s="3"/>
      <c r="UVL119" s="3"/>
      <c r="UVM119" s="3"/>
      <c r="UVN119" s="3"/>
      <c r="UVO119" s="3"/>
      <c r="UVP119" s="3"/>
      <c r="UVQ119" s="3"/>
      <c r="UVR119" s="3"/>
      <c r="UVS119" s="3"/>
      <c r="UVT119" s="3"/>
      <c r="UVU119" s="3"/>
      <c r="UVV119" s="3"/>
      <c r="UVW119" s="3"/>
      <c r="UVX119" s="3"/>
      <c r="UVY119" s="3"/>
      <c r="UVZ119" s="3"/>
      <c r="UWA119" s="3"/>
      <c r="UWB119" s="3"/>
      <c r="UWC119" s="3"/>
      <c r="UWD119" s="3"/>
      <c r="UWE119" s="3"/>
      <c r="UWF119" s="3"/>
      <c r="UWG119" s="3"/>
      <c r="UWH119" s="3"/>
      <c r="UWI119" s="3"/>
      <c r="UWJ119" s="3"/>
      <c r="UWK119" s="3"/>
      <c r="UWL119" s="3"/>
      <c r="UWM119" s="3"/>
      <c r="UWN119" s="3"/>
      <c r="UWO119" s="3"/>
      <c r="UWP119" s="3"/>
      <c r="UWQ119" s="3"/>
      <c r="UWR119" s="3"/>
      <c r="UWS119" s="3"/>
      <c r="UWT119" s="3"/>
      <c r="UWU119" s="3"/>
      <c r="UWV119" s="3"/>
      <c r="UWW119" s="3"/>
      <c r="UWX119" s="3"/>
      <c r="UWY119" s="3"/>
      <c r="UWZ119" s="3"/>
      <c r="UXA119" s="3"/>
      <c r="UXB119" s="3"/>
      <c r="UXC119" s="3"/>
      <c r="UXD119" s="3"/>
      <c r="UXE119" s="3"/>
      <c r="UXF119" s="3"/>
      <c r="UXG119" s="3"/>
      <c r="UXH119" s="3"/>
      <c r="UXI119" s="3"/>
      <c r="UXJ119" s="3"/>
      <c r="UXK119" s="3"/>
      <c r="UXL119" s="3"/>
      <c r="UXM119" s="3"/>
      <c r="UXN119" s="3"/>
      <c r="UXO119" s="3"/>
      <c r="UXP119" s="3"/>
      <c r="UXQ119" s="3"/>
      <c r="UXR119" s="3"/>
      <c r="UXS119" s="3"/>
      <c r="UXT119" s="3"/>
      <c r="UXU119" s="3"/>
      <c r="UXV119" s="3"/>
      <c r="UXW119" s="3"/>
      <c r="UXX119" s="3"/>
      <c r="UXY119" s="3"/>
      <c r="UXZ119" s="3"/>
      <c r="UYA119" s="3"/>
      <c r="UYB119" s="3"/>
      <c r="UYC119" s="3"/>
      <c r="UYD119" s="3"/>
      <c r="UYE119" s="3"/>
      <c r="UYF119" s="3"/>
      <c r="UYG119" s="3"/>
      <c r="UYH119" s="3"/>
      <c r="UYI119" s="3"/>
      <c r="UYJ119" s="3"/>
      <c r="UYK119" s="3"/>
      <c r="UYL119" s="3"/>
      <c r="UYM119" s="3"/>
      <c r="UYN119" s="3"/>
      <c r="UYO119" s="3"/>
      <c r="UYP119" s="3"/>
      <c r="UYQ119" s="3"/>
      <c r="UYR119" s="3"/>
      <c r="UYS119" s="3"/>
      <c r="UYT119" s="3"/>
      <c r="UYU119" s="3"/>
      <c r="UYV119" s="3"/>
      <c r="UYW119" s="3"/>
      <c r="UYX119" s="3"/>
      <c r="UYY119" s="3"/>
      <c r="UYZ119" s="3"/>
      <c r="UZA119" s="3"/>
      <c r="UZB119" s="3"/>
      <c r="UZC119" s="3"/>
      <c r="UZD119" s="3"/>
      <c r="UZE119" s="3"/>
      <c r="UZF119" s="3"/>
      <c r="UZG119" s="3"/>
      <c r="UZH119" s="3"/>
      <c r="UZI119" s="3"/>
      <c r="UZJ119" s="3"/>
      <c r="UZK119" s="3"/>
      <c r="UZL119" s="3"/>
      <c r="UZM119" s="3"/>
      <c r="UZN119" s="3"/>
      <c r="UZO119" s="3"/>
      <c r="UZP119" s="3"/>
      <c r="UZQ119" s="3"/>
      <c r="UZR119" s="3"/>
      <c r="UZS119" s="3"/>
      <c r="UZT119" s="3"/>
      <c r="UZU119" s="3"/>
      <c r="UZV119" s="3"/>
      <c r="UZW119" s="3"/>
      <c r="UZX119" s="3"/>
      <c r="UZY119" s="3"/>
      <c r="UZZ119" s="3"/>
      <c r="VAA119" s="3"/>
      <c r="VAB119" s="3"/>
      <c r="VAC119" s="3"/>
      <c r="VAD119" s="3"/>
      <c r="VAE119" s="3"/>
      <c r="VAF119" s="3"/>
      <c r="VAG119" s="3"/>
      <c r="VAH119" s="3"/>
      <c r="VAI119" s="3"/>
      <c r="VAJ119" s="3"/>
      <c r="VAK119" s="3"/>
      <c r="VAL119" s="3"/>
      <c r="VAM119" s="3"/>
      <c r="VAN119" s="3"/>
      <c r="VAO119" s="3"/>
      <c r="VAP119" s="3"/>
      <c r="VAQ119" s="3"/>
      <c r="VAR119" s="3"/>
      <c r="VAS119" s="3"/>
      <c r="VAT119" s="3"/>
      <c r="VAU119" s="3"/>
      <c r="VAV119" s="3"/>
      <c r="VAW119" s="3"/>
      <c r="VAX119" s="3"/>
      <c r="VAY119" s="3"/>
      <c r="VAZ119" s="3"/>
      <c r="VBA119" s="3"/>
      <c r="VBB119" s="3"/>
      <c r="VBC119" s="3"/>
      <c r="VBD119" s="3"/>
      <c r="VBE119" s="3"/>
      <c r="VBF119" s="3"/>
      <c r="VBG119" s="3"/>
      <c r="VBH119" s="3"/>
      <c r="VBI119" s="3"/>
      <c r="VBJ119" s="3"/>
      <c r="VBK119" s="3"/>
      <c r="VBL119" s="3"/>
      <c r="VBM119" s="3"/>
      <c r="VBN119" s="3"/>
      <c r="VBO119" s="3"/>
      <c r="VBP119" s="3"/>
      <c r="VBQ119" s="3"/>
      <c r="VBR119" s="3"/>
      <c r="VBS119" s="3"/>
      <c r="VBT119" s="3"/>
      <c r="VBU119" s="3"/>
      <c r="VBV119" s="3"/>
      <c r="VBW119" s="3"/>
      <c r="VBX119" s="3"/>
      <c r="VBY119" s="3"/>
      <c r="VBZ119" s="3"/>
      <c r="VCA119" s="3"/>
      <c r="VCB119" s="3"/>
      <c r="VCC119" s="3"/>
      <c r="VCD119" s="3"/>
      <c r="VCE119" s="3"/>
      <c r="VCF119" s="3"/>
      <c r="VCG119" s="3"/>
      <c r="VCH119" s="3"/>
      <c r="VCI119" s="3"/>
      <c r="VCJ119" s="3"/>
      <c r="VCK119" s="3"/>
      <c r="VCL119" s="3"/>
      <c r="VCM119" s="3"/>
      <c r="VCN119" s="3"/>
      <c r="VCO119" s="3"/>
      <c r="VCP119" s="3"/>
      <c r="VCQ119" s="3"/>
      <c r="VCR119" s="3"/>
      <c r="VCS119" s="3"/>
      <c r="VCT119" s="3"/>
      <c r="VCU119" s="3"/>
      <c r="VCV119" s="3"/>
      <c r="VCW119" s="3"/>
      <c r="VCX119" s="3"/>
      <c r="VCY119" s="3"/>
      <c r="VCZ119" s="3"/>
      <c r="VDA119" s="3"/>
      <c r="VDB119" s="3"/>
      <c r="VDC119" s="3"/>
      <c r="VDD119" s="3"/>
      <c r="VDE119" s="3"/>
      <c r="VDF119" s="3"/>
      <c r="VDG119" s="3"/>
      <c r="VDH119" s="3"/>
      <c r="VDI119" s="3"/>
      <c r="VDJ119" s="3"/>
      <c r="VDK119" s="3"/>
      <c r="VDL119" s="3"/>
      <c r="VDM119" s="3"/>
      <c r="VDN119" s="3"/>
      <c r="VDO119" s="3"/>
      <c r="VDP119" s="3"/>
      <c r="VDQ119" s="3"/>
      <c r="VDR119" s="3"/>
      <c r="VDS119" s="3"/>
      <c r="VDT119" s="3"/>
      <c r="VDU119" s="3"/>
      <c r="VDV119" s="3"/>
      <c r="VDW119" s="3"/>
      <c r="VDX119" s="3"/>
      <c r="VDY119" s="3"/>
      <c r="VDZ119" s="3"/>
      <c r="VEA119" s="3"/>
      <c r="VEB119" s="3"/>
      <c r="VEC119" s="3"/>
      <c r="VED119" s="3"/>
      <c r="VEE119" s="3"/>
      <c r="VEF119" s="3"/>
      <c r="VEG119" s="3"/>
      <c r="VEH119" s="3"/>
      <c r="VEI119" s="3"/>
      <c r="VEJ119" s="3"/>
      <c r="VEK119" s="3"/>
      <c r="VEL119" s="3"/>
      <c r="VEM119" s="3"/>
      <c r="VEN119" s="3"/>
      <c r="VEO119" s="3"/>
      <c r="VEP119" s="3"/>
      <c r="VEQ119" s="3"/>
      <c r="VER119" s="3"/>
      <c r="VES119" s="3"/>
      <c r="VET119" s="3"/>
      <c r="VEU119" s="3"/>
      <c r="VEV119" s="3"/>
      <c r="VEW119" s="3"/>
      <c r="VEX119" s="3"/>
      <c r="VEY119" s="3"/>
      <c r="VEZ119" s="3"/>
      <c r="VFA119" s="3"/>
      <c r="VFB119" s="3"/>
      <c r="VFC119" s="3"/>
      <c r="VFD119" s="3"/>
      <c r="VFE119" s="3"/>
      <c r="VFF119" s="3"/>
      <c r="VFG119" s="3"/>
      <c r="VFH119" s="3"/>
      <c r="VFI119" s="3"/>
      <c r="VFJ119" s="3"/>
      <c r="VFK119" s="3"/>
      <c r="VFL119" s="3"/>
      <c r="VFM119" s="3"/>
      <c r="VFN119" s="3"/>
      <c r="VFO119" s="3"/>
      <c r="VFP119" s="3"/>
      <c r="VFQ119" s="3"/>
      <c r="VFR119" s="3"/>
      <c r="VFS119" s="3"/>
      <c r="VFT119" s="3"/>
      <c r="VFU119" s="3"/>
      <c r="VFV119" s="3"/>
      <c r="VFW119" s="3"/>
      <c r="VFX119" s="3"/>
      <c r="VFY119" s="3"/>
      <c r="VFZ119" s="3"/>
      <c r="VGA119" s="3"/>
      <c r="VGB119" s="3"/>
      <c r="VGC119" s="3"/>
      <c r="VGD119" s="3"/>
      <c r="VGE119" s="3"/>
      <c r="VGF119" s="3"/>
      <c r="VGG119" s="3"/>
      <c r="VGH119" s="3"/>
      <c r="VGI119" s="3"/>
      <c r="VGJ119" s="3"/>
      <c r="VGK119" s="3"/>
      <c r="VGL119" s="3"/>
      <c r="VGM119" s="3"/>
      <c r="VGN119" s="3"/>
      <c r="VGO119" s="3"/>
      <c r="VGP119" s="3"/>
      <c r="VGQ119" s="3"/>
      <c r="VGR119" s="3"/>
      <c r="VGS119" s="3"/>
      <c r="VGT119" s="3"/>
      <c r="VGU119" s="3"/>
      <c r="VGV119" s="3"/>
      <c r="VGW119" s="3"/>
      <c r="VGX119" s="3"/>
      <c r="VGY119" s="3"/>
      <c r="VGZ119" s="3"/>
      <c r="VHA119" s="3"/>
      <c r="VHB119" s="3"/>
      <c r="VHC119" s="3"/>
      <c r="VHD119" s="3"/>
      <c r="VHE119" s="3"/>
      <c r="VHF119" s="3"/>
      <c r="VHG119" s="3"/>
      <c r="VHH119" s="3"/>
      <c r="VHI119" s="3"/>
      <c r="VHJ119" s="3"/>
      <c r="VHK119" s="3"/>
      <c r="VHL119" s="3"/>
      <c r="VHM119"/>
      <c r="VHN119"/>
      <c r="VHO119"/>
      <c r="VHP119"/>
      <c r="VHQ119"/>
      <c r="VHR119"/>
      <c r="VHS119"/>
      <c r="VHT119"/>
      <c r="VHU119"/>
      <c r="VHV119"/>
      <c r="VHW119"/>
      <c r="VHX119"/>
      <c r="VHY119"/>
      <c r="VHZ119"/>
      <c r="VIA119"/>
      <c r="VIB119"/>
      <c r="VIC119"/>
      <c r="VID119"/>
      <c r="VIE119"/>
      <c r="VIF119"/>
      <c r="VIG119"/>
      <c r="VIH119"/>
      <c r="VII119"/>
      <c r="VIJ119"/>
      <c r="VIK119"/>
      <c r="VIL119"/>
      <c r="VIM119"/>
      <c r="VIN119"/>
      <c r="VIO119"/>
      <c r="VIP119"/>
      <c r="VIQ119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</row>
    <row r="120" spans="1:15485" s="1" customFormat="1">
      <c r="B120" s="75"/>
      <c r="C120" s="236" t="s">
        <v>138</v>
      </c>
      <c r="D120" s="154"/>
      <c r="E120" s="237" t="s">
        <v>9</v>
      </c>
      <c r="F120" s="155">
        <v>0</v>
      </c>
      <c r="G120" s="155">
        <v>0</v>
      </c>
      <c r="H120" s="155">
        <v>10041</v>
      </c>
      <c r="I120" s="155">
        <v>10393</v>
      </c>
      <c r="J120" s="155">
        <v>3201</v>
      </c>
      <c r="K120" s="155">
        <v>3232</v>
      </c>
      <c r="L120" s="155">
        <v>4624</v>
      </c>
      <c r="M120" s="155">
        <v>0</v>
      </c>
      <c r="N120" s="155"/>
      <c r="O120" s="155">
        <v>15414</v>
      </c>
      <c r="P120" s="155">
        <v>15054</v>
      </c>
      <c r="Q120" s="155">
        <v>15074</v>
      </c>
      <c r="R120" s="155">
        <v>14961</v>
      </c>
      <c r="S120" s="155">
        <v>14961</v>
      </c>
      <c r="T120" s="155">
        <v>96513</v>
      </c>
      <c r="U120" s="155">
        <v>16149</v>
      </c>
      <c r="V120" s="155"/>
      <c r="W120" s="155">
        <v>10259</v>
      </c>
      <c r="X120" s="155">
        <v>0</v>
      </c>
      <c r="Y120" s="155">
        <v>10239</v>
      </c>
      <c r="Z120" s="155">
        <v>10106</v>
      </c>
      <c r="AA120" s="155">
        <v>15218</v>
      </c>
      <c r="AB120" s="155"/>
      <c r="AC120" s="155">
        <v>14718</v>
      </c>
      <c r="AD120" s="155">
        <v>15100</v>
      </c>
      <c r="AE120" s="155">
        <v>5135</v>
      </c>
      <c r="AF120" s="155">
        <v>5167</v>
      </c>
      <c r="AG120" s="155">
        <v>5163</v>
      </c>
      <c r="AH120" s="155">
        <v>57101</v>
      </c>
      <c r="AI120" s="155">
        <v>0</v>
      </c>
      <c r="AJ120" s="155">
        <v>0</v>
      </c>
      <c r="AK120" s="171"/>
      <c r="AL120" s="169">
        <f>SUM(F120:AJ120)</f>
        <v>367823</v>
      </c>
      <c r="AN120" s="126"/>
      <c r="BH120" s="266"/>
      <c r="BZ120" s="1">
        <v>5170.6535000000003</v>
      </c>
    </row>
    <row r="121" spans="1:15485" s="1" customFormat="1">
      <c r="B121" s="75"/>
      <c r="C121" s="236" t="s">
        <v>135</v>
      </c>
      <c r="D121" s="154"/>
      <c r="E121" s="237" t="s">
        <v>9</v>
      </c>
      <c r="F121" s="155">
        <v>0</v>
      </c>
      <c r="G121" s="155">
        <v>0</v>
      </c>
      <c r="H121" s="155">
        <v>4603.5540000000001</v>
      </c>
      <c r="I121" s="155">
        <v>10096.541999999999</v>
      </c>
      <c r="J121" s="155">
        <v>10712.304000000002</v>
      </c>
      <c r="K121" s="155">
        <v>3196.098</v>
      </c>
      <c r="L121" s="155">
        <v>2443.5</v>
      </c>
      <c r="M121" s="155">
        <v>2443.5</v>
      </c>
      <c r="N121" s="155">
        <v>0</v>
      </c>
      <c r="O121" s="155">
        <v>2932.2000000000003</v>
      </c>
      <c r="P121" s="155">
        <v>14661.815000000001</v>
      </c>
      <c r="Q121" s="155">
        <v>15844.469000000001</v>
      </c>
      <c r="R121" s="155">
        <v>15082.097000000002</v>
      </c>
      <c r="S121" s="155">
        <v>14955.035000000002</v>
      </c>
      <c r="T121" s="155">
        <v>14943.146360000002</v>
      </c>
      <c r="U121" s="155">
        <v>83944.593880000015</v>
      </c>
      <c r="V121" s="155">
        <v>14670.95002</v>
      </c>
      <c r="W121" s="155">
        <v>14068.040260000002</v>
      </c>
      <c r="X121" s="155">
        <v>5316.9557000000004</v>
      </c>
      <c r="Y121" s="155">
        <v>4936.5699800000002</v>
      </c>
      <c r="Z121" s="155">
        <v>5014.59782</v>
      </c>
      <c r="AA121" s="155">
        <v>15326.23918</v>
      </c>
      <c r="AB121" s="155">
        <v>0</v>
      </c>
      <c r="AC121" s="155">
        <v>15062.89522</v>
      </c>
      <c r="AD121" s="155">
        <v>14886.429680000001</v>
      </c>
      <c r="AE121" s="155">
        <v>15091.252760000003</v>
      </c>
      <c r="AF121" s="155">
        <v>5121.8861000000006</v>
      </c>
      <c r="AG121" s="155">
        <v>5170.6535000000003</v>
      </c>
      <c r="AH121" s="155">
        <v>5160.90002</v>
      </c>
      <c r="AI121" s="155">
        <v>0</v>
      </c>
      <c r="AJ121" s="155">
        <v>14633.742099999999</v>
      </c>
      <c r="AK121" s="171"/>
      <c r="AL121" s="169">
        <f>SUM(F121:AJ121)</f>
        <v>330319.96658000001</v>
      </c>
      <c r="AN121" s="126"/>
      <c r="BZ121" s="1">
        <v>5160.90002</v>
      </c>
    </row>
    <row r="122" spans="1:15485" s="1" customFormat="1" ht="14.25">
      <c r="B122" s="75"/>
      <c r="C122" s="238" t="s">
        <v>66</v>
      </c>
      <c r="D122" s="79"/>
      <c r="E122" s="239" t="s">
        <v>9</v>
      </c>
      <c r="F122" s="91">
        <f>SUM(F125:F127)*9.774</f>
        <v>0</v>
      </c>
      <c r="G122" s="91">
        <f t="shared" ref="G122:Q122" si="84">SUM(G125:G127)*9.774</f>
        <v>0</v>
      </c>
      <c r="H122" s="91">
        <f t="shared" si="84"/>
        <v>4603.5539999999992</v>
      </c>
      <c r="I122" s="91">
        <f t="shared" si="84"/>
        <v>10096.541999999999</v>
      </c>
      <c r="J122" s="91">
        <f t="shared" si="84"/>
        <v>10712.303999999998</v>
      </c>
      <c r="K122" s="91">
        <f t="shared" si="84"/>
        <v>3196.0979999999995</v>
      </c>
      <c r="L122" s="91">
        <f t="shared" si="84"/>
        <v>2443.5</v>
      </c>
      <c r="M122" s="91">
        <f t="shared" si="84"/>
        <v>2443.5</v>
      </c>
      <c r="N122" s="91">
        <f t="shared" si="84"/>
        <v>0</v>
      </c>
      <c r="O122" s="91">
        <f t="shared" si="84"/>
        <v>2932.2</v>
      </c>
      <c r="P122" s="91">
        <f t="shared" si="84"/>
        <v>14660.999999999998</v>
      </c>
      <c r="Q122" s="91">
        <f t="shared" si="84"/>
        <v>15843.653999999999</v>
      </c>
      <c r="R122" s="91">
        <f>SUM(R125:R127)*9.774</f>
        <v>15081.281999999999</v>
      </c>
      <c r="S122" s="91">
        <f>SUM(S125:S127)*9.774</f>
        <v>14954.22</v>
      </c>
      <c r="T122" s="91">
        <f>SUM(T125:T127)*9.75348</f>
        <v>14942.33136</v>
      </c>
      <c r="U122" s="91">
        <f t="shared" ref="U122:AJ122" si="85">SUM(U125:U127)*9.75348</f>
        <v>83938.448879999996</v>
      </c>
      <c r="V122" s="91">
        <f t="shared" si="85"/>
        <v>14669.233919999999</v>
      </c>
      <c r="W122" s="91">
        <f t="shared" si="85"/>
        <v>14064.51816</v>
      </c>
      <c r="X122" s="91">
        <f t="shared" si="85"/>
        <v>5315.6466</v>
      </c>
      <c r="Y122" s="91">
        <f t="shared" si="85"/>
        <v>4935.2608799999998</v>
      </c>
      <c r="Z122" s="91">
        <f t="shared" si="85"/>
        <v>5013.2887199999996</v>
      </c>
      <c r="AA122" s="91">
        <f t="shared" si="85"/>
        <v>15322.71708</v>
      </c>
      <c r="AB122" s="91">
        <f t="shared" si="85"/>
        <v>0</v>
      </c>
      <c r="AC122" s="91">
        <f t="shared" si="85"/>
        <v>15059.37312</v>
      </c>
      <c r="AD122" s="91">
        <f t="shared" si="85"/>
        <v>14883.81048</v>
      </c>
      <c r="AE122" s="91">
        <f t="shared" si="85"/>
        <v>15088.63356</v>
      </c>
      <c r="AF122" s="91">
        <f t="shared" si="85"/>
        <v>5120.5770000000002</v>
      </c>
      <c r="AG122" s="91">
        <f t="shared" si="85"/>
        <v>5169.3444</v>
      </c>
      <c r="AH122" s="91">
        <f t="shared" si="85"/>
        <v>5159.5909199999996</v>
      </c>
      <c r="AI122" s="91">
        <f t="shared" si="85"/>
        <v>0</v>
      </c>
      <c r="AJ122" s="91">
        <f t="shared" si="85"/>
        <v>14630.22</v>
      </c>
      <c r="AK122" s="125"/>
      <c r="AL122" s="127">
        <f>SUM(F122:AJ122)</f>
        <v>330280.8490799999</v>
      </c>
      <c r="AN122" s="126"/>
    </row>
    <row r="123" spans="1:15485" s="1" customFormat="1" ht="14.25">
      <c r="B123" s="75"/>
      <c r="C123" s="238" t="s">
        <v>67</v>
      </c>
      <c r="D123" s="79"/>
      <c r="E123" s="239" t="s">
        <v>9</v>
      </c>
      <c r="F123" s="91">
        <f t="shared" ref="F123:AJ123" si="86">F121-F122</f>
        <v>0</v>
      </c>
      <c r="G123" s="91">
        <f t="shared" si="86"/>
        <v>0</v>
      </c>
      <c r="H123" s="91">
        <f t="shared" si="86"/>
        <v>0</v>
      </c>
      <c r="I123" s="91">
        <f t="shared" si="86"/>
        <v>0</v>
      </c>
      <c r="J123" s="91">
        <f t="shared" si="86"/>
        <v>0</v>
      </c>
      <c r="K123" s="91">
        <f t="shared" si="86"/>
        <v>0</v>
      </c>
      <c r="L123" s="91">
        <f t="shared" si="86"/>
        <v>0</v>
      </c>
      <c r="M123" s="91">
        <f t="shared" si="86"/>
        <v>0</v>
      </c>
      <c r="N123" s="91">
        <f t="shared" si="86"/>
        <v>0</v>
      </c>
      <c r="O123" s="91">
        <f t="shared" si="86"/>
        <v>0</v>
      </c>
      <c r="P123" s="91">
        <f t="shared" si="86"/>
        <v>0.81500000000232831</v>
      </c>
      <c r="Q123" s="91">
        <f t="shared" si="86"/>
        <v>0.81500000000232831</v>
      </c>
      <c r="R123" s="64">
        <v>0</v>
      </c>
      <c r="S123" s="64">
        <v>0</v>
      </c>
      <c r="T123" s="91">
        <f t="shared" si="86"/>
        <v>0.81500000000232831</v>
      </c>
      <c r="U123" s="91">
        <f t="shared" si="86"/>
        <v>6.1450000000186265</v>
      </c>
      <c r="V123" s="91">
        <f t="shared" si="86"/>
        <v>1.716100000001461</v>
      </c>
      <c r="W123" s="91">
        <f t="shared" si="86"/>
        <v>3.5221000000019558</v>
      </c>
      <c r="X123" s="91">
        <f t="shared" si="86"/>
        <v>1.3091000000003987</v>
      </c>
      <c r="Y123" s="91">
        <f t="shared" si="86"/>
        <v>1.3091000000003987</v>
      </c>
      <c r="Z123" s="91">
        <f t="shared" si="86"/>
        <v>1.3091000000003987</v>
      </c>
      <c r="AA123" s="91">
        <f t="shared" si="86"/>
        <v>3.5221000000001368</v>
      </c>
      <c r="AB123" s="91">
        <f t="shared" si="86"/>
        <v>0</v>
      </c>
      <c r="AC123" s="91">
        <f t="shared" si="86"/>
        <v>3.5221000000001368</v>
      </c>
      <c r="AD123" s="91">
        <f t="shared" si="86"/>
        <v>2.6192000000010012</v>
      </c>
      <c r="AE123" s="91">
        <f t="shared" si="86"/>
        <v>2.6192000000028202</v>
      </c>
      <c r="AF123" s="91">
        <f t="shared" si="86"/>
        <v>1.3091000000003987</v>
      </c>
      <c r="AG123" s="91">
        <f t="shared" si="86"/>
        <v>1.3091000000003987</v>
      </c>
      <c r="AH123" s="91">
        <f t="shared" si="86"/>
        <v>1.3091000000003987</v>
      </c>
      <c r="AI123" s="91">
        <f t="shared" ref="AI123" si="87">AI121-AI122</f>
        <v>0</v>
      </c>
      <c r="AJ123" s="91">
        <f t="shared" si="86"/>
        <v>3.5221000000001368</v>
      </c>
      <c r="AK123" s="125"/>
      <c r="AL123" s="127">
        <f>SUM(F123:AJ123)</f>
        <v>37.487500000035652</v>
      </c>
      <c r="AN123" s="270"/>
      <c r="BZ123" s="3">
        <v>5121.8861000000006</v>
      </c>
      <c r="CA123" s="1">
        <v>5170.6535000000003</v>
      </c>
      <c r="CB123" s="1">
        <v>5160.90002</v>
      </c>
    </row>
    <row r="124" spans="1:15485" s="1" customFormat="1" ht="14.25">
      <c r="B124" s="75"/>
      <c r="C124" s="238" t="s">
        <v>68</v>
      </c>
      <c r="D124" s="79"/>
      <c r="E124" s="75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125"/>
      <c r="AL124" s="173" t="s">
        <v>68</v>
      </c>
      <c r="AN124" s="126"/>
    </row>
    <row r="125" spans="1:15485" s="7" customFormat="1" ht="14.25">
      <c r="B125" s="156"/>
      <c r="C125" s="157" t="s">
        <v>136</v>
      </c>
      <c r="D125" s="45"/>
      <c r="E125" s="241" t="s">
        <v>70</v>
      </c>
      <c r="F125" s="158">
        <v>0</v>
      </c>
      <c r="G125" s="158">
        <v>0</v>
      </c>
      <c r="H125" s="158">
        <v>0</v>
      </c>
      <c r="I125" s="158">
        <v>0</v>
      </c>
      <c r="J125" s="158">
        <v>0</v>
      </c>
      <c r="K125" s="158">
        <v>327</v>
      </c>
      <c r="L125" s="158">
        <v>250</v>
      </c>
      <c r="M125" s="158">
        <v>250</v>
      </c>
      <c r="N125" s="158">
        <v>0</v>
      </c>
      <c r="O125" s="158">
        <v>300</v>
      </c>
      <c r="P125" s="158">
        <v>0</v>
      </c>
      <c r="Q125" s="158">
        <v>0</v>
      </c>
      <c r="R125" s="158">
        <v>0</v>
      </c>
      <c r="S125" s="158">
        <v>0</v>
      </c>
      <c r="T125" s="158">
        <v>0</v>
      </c>
      <c r="U125" s="158">
        <v>0</v>
      </c>
      <c r="V125" s="158">
        <v>0</v>
      </c>
      <c r="W125" s="158">
        <v>0</v>
      </c>
      <c r="X125" s="158">
        <v>545</v>
      </c>
      <c r="Y125" s="158">
        <v>506</v>
      </c>
      <c r="Z125" s="158">
        <v>514</v>
      </c>
      <c r="AA125" s="158">
        <v>0</v>
      </c>
      <c r="AB125" s="158">
        <v>0</v>
      </c>
      <c r="AC125" s="158">
        <v>0</v>
      </c>
      <c r="AD125" s="158">
        <v>0</v>
      </c>
      <c r="AE125" s="158">
        <v>0</v>
      </c>
      <c r="AF125" s="158">
        <v>525</v>
      </c>
      <c r="AG125" s="158">
        <v>530</v>
      </c>
      <c r="AH125" s="158">
        <v>529</v>
      </c>
      <c r="AI125" s="158">
        <v>0</v>
      </c>
      <c r="AJ125" s="158">
        <v>0</v>
      </c>
      <c r="AK125" s="174"/>
      <c r="AL125" s="177">
        <f>SUM(F125:AJ125)</f>
        <v>4276</v>
      </c>
      <c r="AN125" s="176"/>
    </row>
    <row r="126" spans="1:15485" s="7" customFormat="1" ht="14.25">
      <c r="B126" s="156"/>
      <c r="C126" s="157" t="s">
        <v>137</v>
      </c>
      <c r="D126" s="45"/>
      <c r="E126" s="241" t="s">
        <v>70</v>
      </c>
      <c r="F126" s="158">
        <v>0</v>
      </c>
      <c r="G126" s="158">
        <v>0</v>
      </c>
      <c r="H126" s="158">
        <v>471</v>
      </c>
      <c r="I126" s="158">
        <v>1033</v>
      </c>
      <c r="J126" s="158">
        <v>1096</v>
      </c>
      <c r="K126" s="158"/>
      <c r="L126" s="158"/>
      <c r="M126" s="158"/>
      <c r="N126" s="158"/>
      <c r="O126" s="158"/>
      <c r="P126" s="158">
        <v>1500</v>
      </c>
      <c r="Q126" s="158">
        <v>1621</v>
      </c>
      <c r="R126" s="158">
        <v>1543</v>
      </c>
      <c r="S126" s="158">
        <v>1530</v>
      </c>
      <c r="T126" s="158">
        <v>1532</v>
      </c>
      <c r="U126" s="158">
        <v>0</v>
      </c>
      <c r="V126" s="158">
        <v>1504</v>
      </c>
      <c r="W126" s="158">
        <v>1442</v>
      </c>
      <c r="X126" s="158">
        <v>0</v>
      </c>
      <c r="Y126" s="158">
        <v>0</v>
      </c>
      <c r="Z126" s="158">
        <v>0</v>
      </c>
      <c r="AA126" s="158">
        <v>1571</v>
      </c>
      <c r="AB126" s="158"/>
      <c r="AC126" s="158">
        <v>1544</v>
      </c>
      <c r="AD126" s="158">
        <v>1526</v>
      </c>
      <c r="AE126" s="158">
        <v>1547</v>
      </c>
      <c r="AF126" s="158">
        <v>0</v>
      </c>
      <c r="AG126" s="158">
        <v>0</v>
      </c>
      <c r="AH126" s="158">
        <v>0</v>
      </c>
      <c r="AI126" s="158">
        <v>0</v>
      </c>
      <c r="AJ126" s="158">
        <v>1500</v>
      </c>
      <c r="AK126" s="174"/>
      <c r="AL126" s="177">
        <f>SUM(F126:AJ126)</f>
        <v>20960</v>
      </c>
      <c r="AN126" s="176"/>
    </row>
    <row r="127" spans="1:15485" s="7" customFormat="1" ht="14.25">
      <c r="B127" s="156"/>
      <c r="C127" s="157" t="s">
        <v>142</v>
      </c>
      <c r="D127" s="45"/>
      <c r="E127" s="241" t="s">
        <v>70</v>
      </c>
      <c r="F127" s="158">
        <v>0</v>
      </c>
      <c r="G127" s="158">
        <v>0</v>
      </c>
      <c r="H127" s="158">
        <v>0</v>
      </c>
      <c r="I127" s="158">
        <v>0</v>
      </c>
      <c r="J127" s="158">
        <v>0</v>
      </c>
      <c r="K127" s="158">
        <v>0</v>
      </c>
      <c r="L127" s="158">
        <v>0</v>
      </c>
      <c r="M127" s="158">
        <v>0</v>
      </c>
      <c r="N127" s="158">
        <v>0</v>
      </c>
      <c r="O127" s="158">
        <v>0</v>
      </c>
      <c r="P127" s="158">
        <v>0</v>
      </c>
      <c r="Q127" s="158">
        <v>0</v>
      </c>
      <c r="R127" s="158">
        <v>0</v>
      </c>
      <c r="S127" s="158">
        <v>0</v>
      </c>
      <c r="T127" s="158">
        <v>0</v>
      </c>
      <c r="U127" s="158">
        <v>8606</v>
      </c>
      <c r="V127" s="158">
        <v>0</v>
      </c>
      <c r="W127" s="158">
        <v>0</v>
      </c>
      <c r="X127" s="158">
        <v>0</v>
      </c>
      <c r="Y127" s="158">
        <v>0</v>
      </c>
      <c r="Z127" s="158">
        <v>0</v>
      </c>
      <c r="AA127" s="158">
        <v>0</v>
      </c>
      <c r="AB127" s="158">
        <v>0</v>
      </c>
      <c r="AC127" s="158">
        <v>0</v>
      </c>
      <c r="AD127" s="158">
        <v>0</v>
      </c>
      <c r="AE127" s="158">
        <v>0</v>
      </c>
      <c r="AF127" s="158">
        <v>0</v>
      </c>
      <c r="AG127" s="158">
        <v>0</v>
      </c>
      <c r="AH127" s="158">
        <v>0</v>
      </c>
      <c r="AI127" s="158">
        <v>0</v>
      </c>
      <c r="AJ127" s="158">
        <v>0</v>
      </c>
      <c r="AK127" s="174"/>
      <c r="AL127" s="177">
        <f>SUM(F127:AJ127)</f>
        <v>8606</v>
      </c>
      <c r="AN127" s="176"/>
    </row>
    <row r="128" spans="1:15485" s="1" customFormat="1" ht="14.25">
      <c r="B128" s="75"/>
      <c r="C128" s="238" t="s">
        <v>72</v>
      </c>
      <c r="D128" s="79"/>
      <c r="E128" s="75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125"/>
      <c r="AL128" s="173" t="s">
        <v>72</v>
      </c>
      <c r="AN128" s="126"/>
    </row>
    <row r="129" spans="1:15485" s="1" customFormat="1" ht="14.25">
      <c r="B129" s="75"/>
      <c r="C129" s="157" t="s">
        <v>136</v>
      </c>
      <c r="D129" s="79"/>
      <c r="E129" s="239" t="s">
        <v>72</v>
      </c>
      <c r="F129" s="64">
        <f>F125*24</f>
        <v>0</v>
      </c>
      <c r="G129" s="64">
        <f t="shared" ref="G129:AJ129" si="88">G125*24</f>
        <v>0</v>
      </c>
      <c r="H129" s="64">
        <f t="shared" si="88"/>
        <v>0</v>
      </c>
      <c r="I129" s="64">
        <f t="shared" si="88"/>
        <v>0</v>
      </c>
      <c r="J129" s="64">
        <f t="shared" si="88"/>
        <v>0</v>
      </c>
      <c r="K129" s="64">
        <f t="shared" si="88"/>
        <v>7848</v>
      </c>
      <c r="L129" s="64">
        <f t="shared" si="88"/>
        <v>6000</v>
      </c>
      <c r="M129" s="64">
        <f t="shared" si="88"/>
        <v>6000</v>
      </c>
      <c r="N129" s="64">
        <f t="shared" si="88"/>
        <v>0</v>
      </c>
      <c r="O129" s="64">
        <f t="shared" si="88"/>
        <v>7200</v>
      </c>
      <c r="P129" s="64">
        <f t="shared" si="88"/>
        <v>0</v>
      </c>
      <c r="Q129" s="64">
        <f t="shared" si="88"/>
        <v>0</v>
      </c>
      <c r="R129" s="64">
        <f t="shared" si="88"/>
        <v>0</v>
      </c>
      <c r="S129" s="64">
        <f t="shared" si="88"/>
        <v>0</v>
      </c>
      <c r="T129" s="64">
        <f t="shared" si="88"/>
        <v>0</v>
      </c>
      <c r="U129" s="64">
        <f t="shared" si="88"/>
        <v>0</v>
      </c>
      <c r="V129" s="64">
        <f t="shared" si="88"/>
        <v>0</v>
      </c>
      <c r="W129" s="64">
        <f t="shared" si="88"/>
        <v>0</v>
      </c>
      <c r="X129" s="64">
        <f t="shared" si="88"/>
        <v>13080</v>
      </c>
      <c r="Y129" s="64">
        <f t="shared" si="88"/>
        <v>12144</v>
      </c>
      <c r="Z129" s="64">
        <f t="shared" si="88"/>
        <v>12336</v>
      </c>
      <c r="AA129" s="64">
        <f t="shared" si="88"/>
        <v>0</v>
      </c>
      <c r="AB129" s="64">
        <f t="shared" si="88"/>
        <v>0</v>
      </c>
      <c r="AC129" s="64">
        <f t="shared" si="88"/>
        <v>0</v>
      </c>
      <c r="AD129" s="64">
        <f t="shared" si="88"/>
        <v>0</v>
      </c>
      <c r="AE129" s="64">
        <f t="shared" si="88"/>
        <v>0</v>
      </c>
      <c r="AF129" s="64">
        <f t="shared" si="88"/>
        <v>12600</v>
      </c>
      <c r="AG129" s="64">
        <f t="shared" si="88"/>
        <v>12720</v>
      </c>
      <c r="AH129" s="64">
        <f t="shared" si="88"/>
        <v>12696</v>
      </c>
      <c r="AI129" s="64">
        <f t="shared" si="88"/>
        <v>0</v>
      </c>
      <c r="AJ129" s="64">
        <f t="shared" si="88"/>
        <v>0</v>
      </c>
      <c r="AK129" s="125"/>
      <c r="AL129" s="175">
        <f>AL125*24</f>
        <v>102624</v>
      </c>
      <c r="AN129" s="270"/>
    </row>
    <row r="130" spans="1:15485" s="1" customFormat="1" ht="14.25">
      <c r="B130" s="75"/>
      <c r="C130" s="157" t="s">
        <v>137</v>
      </c>
      <c r="D130" s="79"/>
      <c r="E130" s="239" t="s">
        <v>72</v>
      </c>
      <c r="F130" s="64">
        <f>F126*12</f>
        <v>0</v>
      </c>
      <c r="G130" s="64">
        <f t="shared" ref="G130:AJ131" si="89">G126*12</f>
        <v>0</v>
      </c>
      <c r="H130" s="64">
        <f t="shared" si="89"/>
        <v>5652</v>
      </c>
      <c r="I130" s="64">
        <f t="shared" si="89"/>
        <v>12396</v>
      </c>
      <c r="J130" s="64">
        <f t="shared" si="89"/>
        <v>13152</v>
      </c>
      <c r="K130" s="64">
        <f t="shared" si="89"/>
        <v>0</v>
      </c>
      <c r="L130" s="64">
        <f t="shared" si="89"/>
        <v>0</v>
      </c>
      <c r="M130" s="64">
        <f t="shared" si="89"/>
        <v>0</v>
      </c>
      <c r="N130" s="64">
        <f t="shared" si="89"/>
        <v>0</v>
      </c>
      <c r="O130" s="64">
        <f t="shared" si="89"/>
        <v>0</v>
      </c>
      <c r="P130" s="64">
        <f t="shared" si="89"/>
        <v>18000</v>
      </c>
      <c r="Q130" s="64">
        <f t="shared" si="89"/>
        <v>19452</v>
      </c>
      <c r="R130" s="64">
        <f t="shared" si="89"/>
        <v>18516</v>
      </c>
      <c r="S130" s="64">
        <f t="shared" si="89"/>
        <v>18360</v>
      </c>
      <c r="T130" s="64">
        <f t="shared" si="89"/>
        <v>18384</v>
      </c>
      <c r="U130" s="64">
        <f t="shared" si="89"/>
        <v>0</v>
      </c>
      <c r="V130" s="64">
        <f t="shared" si="89"/>
        <v>18048</v>
      </c>
      <c r="W130" s="64">
        <f t="shared" si="89"/>
        <v>17304</v>
      </c>
      <c r="X130" s="64">
        <f t="shared" si="89"/>
        <v>0</v>
      </c>
      <c r="Y130" s="64">
        <f t="shared" si="89"/>
        <v>0</v>
      </c>
      <c r="Z130" s="64">
        <f t="shared" si="89"/>
        <v>0</v>
      </c>
      <c r="AA130" s="64">
        <f t="shared" si="89"/>
        <v>18852</v>
      </c>
      <c r="AB130" s="64">
        <f t="shared" si="89"/>
        <v>0</v>
      </c>
      <c r="AC130" s="64">
        <f t="shared" si="89"/>
        <v>18528</v>
      </c>
      <c r="AD130" s="64">
        <f t="shared" si="89"/>
        <v>18312</v>
      </c>
      <c r="AE130" s="64">
        <f t="shared" si="89"/>
        <v>18564</v>
      </c>
      <c r="AF130" s="64">
        <f t="shared" si="89"/>
        <v>0</v>
      </c>
      <c r="AG130" s="64">
        <f t="shared" si="89"/>
        <v>0</v>
      </c>
      <c r="AH130" s="64">
        <f t="shared" si="89"/>
        <v>0</v>
      </c>
      <c r="AI130" s="64">
        <f t="shared" si="89"/>
        <v>0</v>
      </c>
      <c r="AJ130" s="64">
        <f t="shared" si="89"/>
        <v>18000</v>
      </c>
      <c r="AK130" s="125"/>
      <c r="AL130" s="175">
        <f>AL126*12</f>
        <v>251520</v>
      </c>
      <c r="AN130" s="126"/>
    </row>
    <row r="131" spans="1:15485" s="1" customFormat="1" ht="14.25">
      <c r="B131" s="75"/>
      <c r="C131" s="157" t="s">
        <v>142</v>
      </c>
      <c r="D131" s="79"/>
      <c r="E131" s="239" t="s">
        <v>72</v>
      </c>
      <c r="F131" s="64">
        <f>F127*6</f>
        <v>0</v>
      </c>
      <c r="G131" s="64">
        <f t="shared" ref="G131:AC131" si="90">G127*6</f>
        <v>0</v>
      </c>
      <c r="H131" s="64">
        <f t="shared" si="90"/>
        <v>0</v>
      </c>
      <c r="I131" s="64">
        <f t="shared" si="90"/>
        <v>0</v>
      </c>
      <c r="J131" s="64">
        <f t="shared" si="90"/>
        <v>0</v>
      </c>
      <c r="K131" s="64">
        <f t="shared" si="90"/>
        <v>0</v>
      </c>
      <c r="L131" s="64">
        <f t="shared" si="90"/>
        <v>0</v>
      </c>
      <c r="M131" s="64">
        <f t="shared" si="90"/>
        <v>0</v>
      </c>
      <c r="N131" s="64">
        <f t="shared" si="90"/>
        <v>0</v>
      </c>
      <c r="O131" s="64">
        <f t="shared" si="90"/>
        <v>0</v>
      </c>
      <c r="P131" s="64">
        <f t="shared" si="90"/>
        <v>0</v>
      </c>
      <c r="Q131" s="64">
        <f t="shared" si="90"/>
        <v>0</v>
      </c>
      <c r="R131" s="64">
        <f t="shared" si="90"/>
        <v>0</v>
      </c>
      <c r="S131" s="64">
        <f t="shared" si="90"/>
        <v>0</v>
      </c>
      <c r="T131" s="64">
        <f t="shared" si="90"/>
        <v>0</v>
      </c>
      <c r="U131" s="64">
        <f t="shared" si="90"/>
        <v>51636</v>
      </c>
      <c r="V131" s="64">
        <f t="shared" si="90"/>
        <v>0</v>
      </c>
      <c r="W131" s="64">
        <f t="shared" si="90"/>
        <v>0</v>
      </c>
      <c r="X131" s="64">
        <f t="shared" si="90"/>
        <v>0</v>
      </c>
      <c r="Y131" s="64">
        <f t="shared" si="90"/>
        <v>0</v>
      </c>
      <c r="Z131" s="64">
        <f t="shared" si="90"/>
        <v>0</v>
      </c>
      <c r="AA131" s="64">
        <f t="shared" si="90"/>
        <v>0</v>
      </c>
      <c r="AB131" s="64">
        <f t="shared" si="90"/>
        <v>0</v>
      </c>
      <c r="AC131" s="64">
        <f t="shared" si="90"/>
        <v>0</v>
      </c>
      <c r="AD131" s="64">
        <f t="shared" si="89"/>
        <v>0</v>
      </c>
      <c r="AE131" s="64">
        <f t="shared" si="89"/>
        <v>0</v>
      </c>
      <c r="AF131" s="64">
        <f t="shared" si="89"/>
        <v>0</v>
      </c>
      <c r="AG131" s="64">
        <f t="shared" si="89"/>
        <v>0</v>
      </c>
      <c r="AH131" s="64">
        <f t="shared" si="89"/>
        <v>0</v>
      </c>
      <c r="AI131" s="64">
        <f t="shared" si="89"/>
        <v>0</v>
      </c>
      <c r="AJ131" s="64">
        <f t="shared" si="89"/>
        <v>0</v>
      </c>
      <c r="AK131" s="125"/>
      <c r="AL131" s="175">
        <f>AL127*6</f>
        <v>51636</v>
      </c>
      <c r="AN131" s="126"/>
    </row>
    <row r="132" spans="1:15485" s="1" customFormat="1" ht="14.25">
      <c r="B132" s="75"/>
      <c r="C132" s="238" t="s">
        <v>73</v>
      </c>
      <c r="D132" s="79"/>
      <c r="E132" s="239" t="s">
        <v>74</v>
      </c>
      <c r="F132" s="64">
        <f>F121*45/1700</f>
        <v>0</v>
      </c>
      <c r="G132" s="64">
        <f t="shared" ref="G132:AI132" si="91">G121*45/1700</f>
        <v>0</v>
      </c>
      <c r="H132" s="64">
        <f t="shared" si="91"/>
        <v>121.85878235294118</v>
      </c>
      <c r="I132" s="64">
        <f t="shared" si="91"/>
        <v>267.2614058823529</v>
      </c>
      <c r="J132" s="64">
        <f t="shared" si="91"/>
        <v>283.56098823529419</v>
      </c>
      <c r="K132" s="64">
        <f t="shared" si="91"/>
        <v>84.602594117647058</v>
      </c>
      <c r="L132" s="64">
        <f t="shared" si="91"/>
        <v>64.680882352941182</v>
      </c>
      <c r="M132" s="64">
        <f t="shared" si="91"/>
        <v>64.680882352941182</v>
      </c>
      <c r="N132" s="64">
        <f t="shared" si="91"/>
        <v>0</v>
      </c>
      <c r="O132" s="64">
        <f t="shared" si="91"/>
        <v>77.617058823529405</v>
      </c>
      <c r="P132" s="64">
        <f t="shared" si="91"/>
        <v>388.10686764705883</v>
      </c>
      <c r="Q132" s="64">
        <f t="shared" si="91"/>
        <v>419.41241470588238</v>
      </c>
      <c r="R132" s="64">
        <f t="shared" si="91"/>
        <v>399.23197941176477</v>
      </c>
      <c r="S132" s="64">
        <f t="shared" si="91"/>
        <v>395.86857352941183</v>
      </c>
      <c r="T132" s="64">
        <f t="shared" si="91"/>
        <v>395.55387423529419</v>
      </c>
      <c r="U132" s="64">
        <f t="shared" si="91"/>
        <v>2222.0627791764709</v>
      </c>
      <c r="V132" s="64">
        <f t="shared" si="91"/>
        <v>388.34867700000001</v>
      </c>
      <c r="W132" s="64">
        <f t="shared" si="91"/>
        <v>372.38930100000005</v>
      </c>
      <c r="X132" s="64">
        <f>X121*45/1700</f>
        <v>140.74294500000002</v>
      </c>
      <c r="Y132" s="64">
        <f>Y121*45/1700</f>
        <v>130.67391123529413</v>
      </c>
      <c r="Z132" s="64">
        <f t="shared" si="91"/>
        <v>132.73935405882352</v>
      </c>
      <c r="AA132" s="64">
        <f t="shared" si="91"/>
        <v>405.69456652941176</v>
      </c>
      <c r="AB132" s="64">
        <f t="shared" si="91"/>
        <v>0</v>
      </c>
      <c r="AC132" s="64">
        <f t="shared" si="91"/>
        <v>398.72369699999996</v>
      </c>
      <c r="AD132" s="64">
        <f t="shared" si="91"/>
        <v>394.05255035294124</v>
      </c>
      <c r="AE132" s="64">
        <f t="shared" si="91"/>
        <v>399.47433776470598</v>
      </c>
      <c r="AF132" s="64">
        <f t="shared" si="91"/>
        <v>135.5793379411765</v>
      </c>
      <c r="AG132" s="64">
        <f t="shared" si="91"/>
        <v>136.87023970588237</v>
      </c>
      <c r="AH132" s="64">
        <f t="shared" si="91"/>
        <v>136.61205935294117</v>
      </c>
      <c r="AI132" s="64">
        <f t="shared" si="91"/>
        <v>0</v>
      </c>
      <c r="AJ132" s="64">
        <f>AJ121*45/1700</f>
        <v>387.3637614705882</v>
      </c>
      <c r="AK132" s="125"/>
      <c r="AL132" s="175">
        <f>SUM(F132:AJ132)</f>
        <v>8743.7638212352958</v>
      </c>
      <c r="AN132" s="126"/>
    </row>
    <row r="133" spans="1:15485" s="1" customFormat="1" ht="14.25">
      <c r="B133" s="75"/>
      <c r="C133" s="238" t="s">
        <v>75</v>
      </c>
      <c r="D133" s="79"/>
      <c r="E133" s="239" t="s">
        <v>76</v>
      </c>
      <c r="F133" s="64">
        <f t="shared" ref="F133:AG133" si="92">SUM(F125:F127)/500</f>
        <v>0</v>
      </c>
      <c r="G133" s="64">
        <f t="shared" si="92"/>
        <v>0</v>
      </c>
      <c r="H133" s="64">
        <f t="shared" si="92"/>
        <v>0.94199999999999995</v>
      </c>
      <c r="I133" s="64">
        <f t="shared" si="92"/>
        <v>2.0659999999999998</v>
      </c>
      <c r="J133" s="64">
        <f t="shared" si="92"/>
        <v>2.1920000000000002</v>
      </c>
      <c r="K133" s="64">
        <f t="shared" si="92"/>
        <v>0.65400000000000003</v>
      </c>
      <c r="L133" s="64">
        <f t="shared" si="92"/>
        <v>0.5</v>
      </c>
      <c r="M133" s="64">
        <f t="shared" si="92"/>
        <v>0.5</v>
      </c>
      <c r="N133" s="64">
        <f t="shared" si="92"/>
        <v>0</v>
      </c>
      <c r="O133" s="64">
        <f t="shared" si="92"/>
        <v>0.6</v>
      </c>
      <c r="P133" s="64">
        <f>SUM(P125:P127)/500</f>
        <v>3</v>
      </c>
      <c r="Q133" s="64">
        <f t="shared" si="92"/>
        <v>3.242</v>
      </c>
      <c r="R133" s="64">
        <f t="shared" si="92"/>
        <v>3.0859999999999999</v>
      </c>
      <c r="S133" s="64">
        <f t="shared" si="92"/>
        <v>3.06</v>
      </c>
      <c r="T133" s="64">
        <f t="shared" si="92"/>
        <v>3.0640000000000001</v>
      </c>
      <c r="U133" s="64">
        <f t="shared" si="92"/>
        <v>17.212</v>
      </c>
      <c r="V133" s="64">
        <f>SUM(V125:V127)/500</f>
        <v>3.008</v>
      </c>
      <c r="W133" s="64">
        <f t="shared" si="92"/>
        <v>2.8839999999999999</v>
      </c>
      <c r="X133" s="64">
        <f>SUM(X125:X127)/500</f>
        <v>1.0900000000000001</v>
      </c>
      <c r="Y133" s="64">
        <f t="shared" si="92"/>
        <v>1.012</v>
      </c>
      <c r="Z133" s="64">
        <f t="shared" si="92"/>
        <v>1.028</v>
      </c>
      <c r="AA133" s="64">
        <f t="shared" si="92"/>
        <v>3.1419999999999999</v>
      </c>
      <c r="AB133" s="64">
        <f t="shared" si="92"/>
        <v>0</v>
      </c>
      <c r="AC133" s="64">
        <f t="shared" si="92"/>
        <v>3.0880000000000001</v>
      </c>
      <c r="AD133" s="64">
        <f t="shared" si="92"/>
        <v>3.052</v>
      </c>
      <c r="AE133" s="64">
        <f t="shared" si="92"/>
        <v>3.0939999999999999</v>
      </c>
      <c r="AF133" s="64">
        <f t="shared" si="92"/>
        <v>1.05</v>
      </c>
      <c r="AG133" s="64">
        <f t="shared" si="92"/>
        <v>1.06</v>
      </c>
      <c r="AH133" s="64">
        <f>SUM(AH125:AH127)/500</f>
        <v>1.0580000000000001</v>
      </c>
      <c r="AI133" s="64">
        <f t="shared" ref="AI133" si="93">SUM(AI125:AI127)/500</f>
        <v>0</v>
      </c>
      <c r="AJ133" s="64">
        <f>SUM(AJ125:AJ127)/500</f>
        <v>3</v>
      </c>
      <c r="AK133" s="125"/>
      <c r="AL133" s="175">
        <f>SUM(F133:AJ133)</f>
        <v>67.684000000000012</v>
      </c>
      <c r="AN133" s="126"/>
    </row>
    <row r="134" spans="1:15485" s="1" customFormat="1" hidden="1">
      <c r="A134" s="3"/>
      <c r="B134" s="61"/>
      <c r="C134" s="40" t="s">
        <v>77</v>
      </c>
      <c r="D134" s="59"/>
      <c r="E134" s="59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111"/>
      <c r="AD134" s="60"/>
      <c r="AE134" s="60"/>
      <c r="AF134" s="60"/>
      <c r="AG134" s="60"/>
      <c r="AH134" s="60"/>
      <c r="AI134" s="111"/>
      <c r="AJ134" s="111"/>
      <c r="AK134" s="115"/>
      <c r="AL134" s="223" t="s">
        <v>78</v>
      </c>
      <c r="AM134" s="3"/>
      <c r="AN134" s="3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  <c r="AAA134" s="3"/>
      <c r="AAB134" s="3"/>
      <c r="AAC134" s="3"/>
      <c r="AAD134" s="3"/>
      <c r="AAE134" s="3"/>
      <c r="AAF134" s="3"/>
      <c r="AAG134" s="3"/>
      <c r="AAH134" s="3"/>
      <c r="AAI134" s="3"/>
      <c r="AAJ134" s="3"/>
      <c r="AAK134" s="3"/>
      <c r="AAL134" s="3"/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F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  <c r="AQK134" s="3"/>
      <c r="AQL134" s="3"/>
      <c r="AQM134" s="3"/>
      <c r="AQN134" s="3"/>
      <c r="AQO134" s="3"/>
      <c r="AQP134" s="3"/>
      <c r="AQQ134" s="3"/>
      <c r="AQR134" s="3"/>
      <c r="AQS134" s="3"/>
      <c r="AQT134" s="3"/>
      <c r="AQU134" s="3"/>
      <c r="AQV134" s="3"/>
      <c r="AQW134" s="3"/>
      <c r="AQX134" s="3"/>
      <c r="AQY134" s="3"/>
      <c r="AQZ134" s="3"/>
      <c r="ARA134" s="3"/>
      <c r="ARB134" s="3"/>
      <c r="ARC134" s="3"/>
      <c r="ARD134" s="3"/>
      <c r="ARE134" s="3"/>
      <c r="ARF134" s="3"/>
      <c r="ARG134" s="3"/>
      <c r="ARH134" s="3"/>
      <c r="ARI134" s="3"/>
      <c r="ARJ134" s="3"/>
      <c r="ARK134" s="3"/>
      <c r="ARL134" s="3"/>
      <c r="ARM134" s="3"/>
      <c r="ARN134" s="3"/>
      <c r="ARO134" s="3"/>
      <c r="ARP134" s="3"/>
      <c r="ARQ134" s="3"/>
      <c r="ARR134" s="3"/>
      <c r="ARS134" s="3"/>
      <c r="ART134" s="3"/>
      <c r="ARU134" s="3"/>
      <c r="ARV134" s="3"/>
      <c r="ARW134" s="3"/>
      <c r="ARX134" s="3"/>
      <c r="ARY134" s="3"/>
      <c r="ARZ134" s="3"/>
      <c r="ASA134" s="3"/>
      <c r="ASB134" s="3"/>
      <c r="ASC134" s="3"/>
      <c r="ASD134" s="3"/>
      <c r="ASE134" s="3"/>
      <c r="ASF134" s="3"/>
      <c r="ASG134" s="3"/>
      <c r="ASH134" s="3"/>
      <c r="ASI134" s="3"/>
      <c r="ASJ134" s="3"/>
      <c r="ASK134" s="3"/>
      <c r="ASL134" s="3"/>
      <c r="ASM134" s="3"/>
      <c r="ASN134" s="3"/>
      <c r="ASO134" s="3"/>
      <c r="ASP134" s="3"/>
      <c r="ASQ134" s="3"/>
      <c r="ASR134" s="3"/>
      <c r="ASS134" s="3"/>
      <c r="AST134" s="3"/>
      <c r="ASU134" s="3"/>
      <c r="ASV134" s="3"/>
      <c r="ASW134" s="3"/>
      <c r="ASX134" s="3"/>
      <c r="ASY134" s="3"/>
      <c r="ASZ134" s="3"/>
      <c r="ATA134" s="3"/>
      <c r="ATB134" s="3"/>
      <c r="ATC134" s="3"/>
      <c r="ATD134" s="3"/>
      <c r="ATE134" s="3"/>
      <c r="ATF134" s="3"/>
      <c r="ATG134" s="3"/>
      <c r="ATH134" s="3"/>
      <c r="ATI134" s="3"/>
      <c r="ATJ134" s="3"/>
      <c r="ATK134" s="3"/>
      <c r="ATL134" s="3"/>
      <c r="ATM134" s="3"/>
      <c r="ATN134" s="3"/>
      <c r="ATO134" s="3"/>
      <c r="ATP134" s="3"/>
      <c r="ATQ134" s="3"/>
      <c r="ATR134" s="3"/>
      <c r="ATS134" s="3"/>
      <c r="ATT134" s="3"/>
      <c r="ATU134" s="3"/>
      <c r="ATV134" s="3"/>
      <c r="ATW134" s="3"/>
      <c r="ATX134" s="3"/>
      <c r="ATY134" s="3"/>
      <c r="ATZ134" s="3"/>
      <c r="AUA134" s="3"/>
      <c r="AUB134" s="3"/>
      <c r="AUC134" s="3"/>
      <c r="AUD134" s="3"/>
      <c r="AUE134" s="3"/>
      <c r="AUF134" s="3"/>
      <c r="AUG134" s="3"/>
      <c r="AUH134" s="3"/>
      <c r="AUI134" s="3"/>
      <c r="AUJ134" s="3"/>
      <c r="AUK134" s="3"/>
      <c r="AUL134" s="3"/>
      <c r="AUM134" s="3"/>
      <c r="AUN134" s="3"/>
      <c r="AUO134" s="3"/>
      <c r="AUP134" s="3"/>
      <c r="AUQ134" s="3"/>
      <c r="AUR134" s="3"/>
      <c r="AUS134" s="3"/>
      <c r="AUT134" s="3"/>
      <c r="AUU134" s="3"/>
      <c r="AUV134" s="3"/>
      <c r="AUW134" s="3"/>
      <c r="AUX134" s="3"/>
      <c r="AUY134" s="3"/>
      <c r="AUZ134" s="3"/>
      <c r="AVA134" s="3"/>
      <c r="AVB134" s="3"/>
      <c r="AVC134" s="3"/>
      <c r="AVD134" s="3"/>
      <c r="AVE134" s="3"/>
      <c r="AVF134" s="3"/>
      <c r="AVG134" s="3"/>
      <c r="AVH134" s="3"/>
      <c r="AVI134" s="3"/>
      <c r="AVJ134" s="3"/>
      <c r="AVK134" s="3"/>
      <c r="AVL134" s="3"/>
      <c r="AVM134" s="3"/>
      <c r="AVN134" s="3"/>
      <c r="AVO134" s="3"/>
      <c r="AVP134" s="3"/>
      <c r="AVQ134" s="3"/>
      <c r="AVR134" s="3"/>
      <c r="AVS134" s="3"/>
      <c r="AVT134" s="3"/>
      <c r="AVU134" s="3"/>
      <c r="AVV134" s="3"/>
      <c r="AVW134" s="3"/>
      <c r="AVX134" s="3"/>
      <c r="AVY134" s="3"/>
      <c r="AVZ134" s="3"/>
      <c r="AWA134" s="3"/>
      <c r="AWB134" s="3"/>
      <c r="AWC134" s="3"/>
      <c r="AWD134" s="3"/>
      <c r="AWE134" s="3"/>
      <c r="AWF134" s="3"/>
      <c r="AWG134" s="3"/>
      <c r="AWH134" s="3"/>
      <c r="AWI134" s="3"/>
      <c r="AWJ134" s="3"/>
      <c r="AWK134" s="3"/>
      <c r="AWL134" s="3"/>
      <c r="AWM134" s="3"/>
      <c r="AWN134" s="3"/>
      <c r="AWO134" s="3"/>
      <c r="AWP134" s="3"/>
      <c r="AWQ134" s="3"/>
      <c r="AWR134" s="3"/>
      <c r="AWS134" s="3"/>
      <c r="AWT134" s="3"/>
      <c r="AWU134" s="3"/>
      <c r="AWV134" s="3"/>
      <c r="AWW134" s="3"/>
      <c r="AWX134" s="3"/>
      <c r="AWY134" s="3"/>
      <c r="AWZ134" s="3"/>
      <c r="AXA134" s="3"/>
      <c r="AXB134" s="3"/>
      <c r="AXC134" s="3"/>
      <c r="AXD134" s="3"/>
      <c r="AXE134" s="3"/>
      <c r="AXF134" s="3"/>
      <c r="AXG134" s="3"/>
      <c r="AXH134" s="3"/>
      <c r="AXI134" s="3"/>
      <c r="AXJ134" s="3"/>
      <c r="AXK134" s="3"/>
      <c r="AXL134" s="3"/>
      <c r="AXM134" s="3"/>
      <c r="AXN134" s="3"/>
      <c r="AXO134" s="3"/>
      <c r="AXP134" s="3"/>
      <c r="AXQ134" s="3"/>
      <c r="AXR134" s="3"/>
      <c r="AXS134" s="3"/>
      <c r="AXT134" s="3"/>
      <c r="AXU134" s="3"/>
      <c r="AXV134" s="3"/>
      <c r="AXW134" s="3"/>
      <c r="AXX134" s="3"/>
      <c r="AXY134" s="3"/>
      <c r="AXZ134" s="3"/>
      <c r="AYA134" s="3"/>
      <c r="AYB134" s="3"/>
      <c r="AYC134" s="3"/>
      <c r="AYD134" s="3"/>
      <c r="AYE134" s="3"/>
      <c r="AYF134" s="3"/>
      <c r="AYG134" s="3"/>
      <c r="AYH134" s="3"/>
      <c r="AYI134" s="3"/>
      <c r="AYJ134" s="3"/>
      <c r="AYK134" s="3"/>
      <c r="AYL134" s="3"/>
      <c r="AYM134" s="3"/>
      <c r="AYN134" s="3"/>
      <c r="AYO134" s="3"/>
      <c r="AYP134" s="3"/>
      <c r="AYQ134" s="3"/>
      <c r="AYR134" s="3"/>
      <c r="AYS134" s="3"/>
      <c r="AYT134" s="3"/>
      <c r="AYU134" s="3"/>
      <c r="AYV134" s="3"/>
      <c r="AYW134" s="3"/>
      <c r="AYX134" s="3"/>
      <c r="AYY134" s="3"/>
      <c r="AYZ134" s="3"/>
      <c r="AZA134" s="3"/>
      <c r="AZB134" s="3"/>
      <c r="AZC134" s="3"/>
      <c r="AZD134" s="3"/>
      <c r="AZE134" s="3"/>
      <c r="AZF134" s="3"/>
      <c r="AZG134" s="3"/>
      <c r="AZH134" s="3"/>
      <c r="AZI134" s="3"/>
      <c r="AZJ134" s="3"/>
      <c r="AZK134" s="3"/>
      <c r="AZL134" s="3"/>
      <c r="AZM134" s="3"/>
      <c r="AZN134" s="3"/>
      <c r="AZO134" s="3"/>
      <c r="AZP134" s="3"/>
      <c r="AZQ134" s="3"/>
      <c r="AZR134" s="3"/>
      <c r="AZS134" s="3"/>
      <c r="AZT134" s="3"/>
      <c r="AZU134" s="3"/>
      <c r="AZV134" s="3"/>
      <c r="AZW134" s="3"/>
      <c r="AZX134" s="3"/>
      <c r="AZY134" s="3"/>
      <c r="AZZ134" s="3"/>
      <c r="BAA134" s="3"/>
      <c r="BAB134" s="3"/>
      <c r="BAC134" s="3"/>
      <c r="BAD134" s="3"/>
      <c r="BAE134" s="3"/>
      <c r="BAF134" s="3"/>
      <c r="BAG134" s="3"/>
      <c r="BAH134" s="3"/>
      <c r="BAI134" s="3"/>
      <c r="BAJ134" s="3"/>
      <c r="BAK134" s="3"/>
      <c r="BAL134" s="3"/>
      <c r="BAM134" s="3"/>
      <c r="BAN134" s="3"/>
      <c r="BAO134" s="3"/>
      <c r="BAP134" s="3"/>
      <c r="BAQ134" s="3"/>
      <c r="BAR134" s="3"/>
      <c r="BAS134" s="3"/>
      <c r="BAT134" s="3"/>
      <c r="BAU134" s="3"/>
      <c r="BAV134" s="3"/>
      <c r="BAW134" s="3"/>
      <c r="BAX134" s="3"/>
      <c r="BAY134" s="3"/>
      <c r="BAZ134" s="3"/>
      <c r="BBA134" s="3"/>
      <c r="BBB134" s="3"/>
      <c r="BBC134" s="3"/>
      <c r="BBD134" s="3"/>
      <c r="BBE134" s="3"/>
      <c r="BBF134" s="3"/>
      <c r="BBG134" s="3"/>
      <c r="BBH134" s="3"/>
      <c r="BBI134" s="3"/>
      <c r="BBJ134" s="3"/>
      <c r="BBK134" s="3"/>
      <c r="BBL134" s="3"/>
      <c r="BBM134" s="3"/>
      <c r="BBN134" s="3"/>
      <c r="BBO134" s="3"/>
      <c r="BBP134" s="3"/>
      <c r="BBQ134" s="3"/>
      <c r="BBR134" s="3"/>
      <c r="BBS134" s="3"/>
      <c r="BBT134" s="3"/>
      <c r="BBU134" s="3"/>
      <c r="BBV134" s="3"/>
      <c r="BBW134" s="3"/>
      <c r="BBX134" s="3"/>
      <c r="BBY134" s="3"/>
      <c r="BBZ134" s="3"/>
      <c r="BCA134" s="3"/>
      <c r="BCB134" s="3"/>
      <c r="BCC134" s="3"/>
      <c r="BCD134" s="3"/>
      <c r="BCE134" s="3"/>
      <c r="BCF134" s="3"/>
      <c r="BCG134" s="3"/>
      <c r="BCH134" s="3"/>
      <c r="BCI134" s="3"/>
      <c r="BCJ134" s="3"/>
      <c r="BCK134" s="3"/>
      <c r="BCL134" s="3"/>
      <c r="BCM134" s="3"/>
      <c r="BCN134" s="3"/>
      <c r="BCO134" s="3"/>
      <c r="BCP134" s="3"/>
      <c r="BCQ134" s="3"/>
      <c r="BCR134" s="3"/>
      <c r="BCS134" s="3"/>
      <c r="BCT134" s="3"/>
      <c r="BCU134" s="3"/>
      <c r="BCV134" s="3"/>
      <c r="BCW134" s="3"/>
      <c r="BCX134" s="3"/>
      <c r="BCY134" s="3"/>
      <c r="BCZ134" s="3"/>
      <c r="BDA134" s="3"/>
      <c r="BDB134" s="3"/>
      <c r="BDC134" s="3"/>
      <c r="BDD134" s="3"/>
      <c r="BDE134" s="3"/>
      <c r="BDF134" s="3"/>
      <c r="BDG134" s="3"/>
      <c r="BDH134" s="3"/>
      <c r="BDI134" s="3"/>
      <c r="BDJ134" s="3"/>
      <c r="BDK134" s="3"/>
      <c r="BDL134" s="3"/>
      <c r="BDM134" s="3"/>
      <c r="BDN134" s="3"/>
      <c r="BDO134" s="3"/>
      <c r="BDP134" s="3"/>
      <c r="BDQ134" s="3"/>
      <c r="BDR134" s="3"/>
      <c r="BDS134" s="3"/>
      <c r="BDT134" s="3"/>
      <c r="BDU134" s="3"/>
      <c r="BDV134" s="3"/>
      <c r="BDW134" s="3"/>
      <c r="BDX134" s="3"/>
      <c r="BDY134" s="3"/>
      <c r="BDZ134" s="3"/>
      <c r="BEA134" s="3"/>
      <c r="BEB134" s="3"/>
      <c r="BEC134" s="3"/>
      <c r="BED134" s="3"/>
      <c r="BEE134" s="3"/>
      <c r="BEF134" s="3"/>
      <c r="BEG134" s="3"/>
      <c r="BEH134" s="3"/>
      <c r="BEI134" s="3"/>
      <c r="BEJ134" s="3"/>
      <c r="BEK134" s="3"/>
      <c r="BEL134" s="3"/>
      <c r="BEM134" s="3"/>
      <c r="BEN134" s="3"/>
      <c r="BEO134" s="3"/>
      <c r="BEP134" s="3"/>
      <c r="BEQ134" s="3"/>
      <c r="BER134" s="3"/>
      <c r="BES134" s="3"/>
      <c r="BET134" s="3"/>
      <c r="BEU134" s="3"/>
      <c r="BEV134" s="3"/>
      <c r="BEW134" s="3"/>
      <c r="BEX134" s="3"/>
      <c r="BEY134" s="3"/>
      <c r="BEZ134" s="3"/>
      <c r="BFA134" s="3"/>
      <c r="BFB134" s="3"/>
      <c r="BFC134" s="3"/>
      <c r="BFD134" s="3"/>
      <c r="BFE134" s="3"/>
      <c r="BFF134" s="3"/>
      <c r="BFG134" s="3"/>
      <c r="BFH134" s="3"/>
      <c r="BFI134" s="3"/>
      <c r="BFJ134" s="3"/>
      <c r="BFK134" s="3"/>
      <c r="BFL134" s="3"/>
      <c r="BFM134" s="3"/>
      <c r="BFN134" s="3"/>
      <c r="BFO134" s="3"/>
      <c r="BFP134" s="3"/>
      <c r="BFQ134" s="3"/>
      <c r="BFR134" s="3"/>
      <c r="BFS134" s="3"/>
      <c r="BFT134" s="3"/>
      <c r="BFU134" s="3"/>
      <c r="BFV134" s="3"/>
      <c r="BFW134" s="3"/>
      <c r="BFX134" s="3"/>
      <c r="BFY134" s="3"/>
      <c r="BFZ134" s="3"/>
      <c r="BGA134" s="3"/>
      <c r="BGB134" s="3"/>
      <c r="BGC134" s="3"/>
      <c r="BGD134" s="3"/>
      <c r="BGE134" s="3"/>
      <c r="BGF134" s="3"/>
      <c r="BGG134" s="3"/>
      <c r="BGH134" s="3"/>
      <c r="BGI134" s="3"/>
      <c r="BGJ134" s="3"/>
      <c r="BGK134" s="3"/>
      <c r="BGL134" s="3"/>
      <c r="BGM134" s="3"/>
      <c r="BGN134" s="3"/>
      <c r="BGO134" s="3"/>
      <c r="BGP134" s="3"/>
      <c r="BGQ134" s="3"/>
      <c r="BGR134" s="3"/>
      <c r="BGS134" s="3"/>
      <c r="BGT134" s="3"/>
      <c r="BGU134" s="3"/>
      <c r="BGV134" s="3"/>
      <c r="BGW134" s="3"/>
      <c r="BGX134" s="3"/>
      <c r="BGY134" s="3"/>
      <c r="BGZ134" s="3"/>
      <c r="BHA134" s="3"/>
      <c r="BHB134" s="3"/>
      <c r="BHC134" s="3"/>
      <c r="BHD134" s="3"/>
      <c r="BHE134" s="3"/>
      <c r="BHF134" s="3"/>
      <c r="BHG134" s="3"/>
      <c r="BHH134" s="3"/>
      <c r="BHI134" s="3"/>
      <c r="BHJ134" s="3"/>
      <c r="BHK134" s="3"/>
      <c r="BHL134" s="3"/>
      <c r="BHM134" s="3"/>
      <c r="BHN134" s="3"/>
      <c r="BHO134" s="3"/>
      <c r="BHP134" s="3"/>
      <c r="BHQ134" s="3"/>
      <c r="BHR134" s="3"/>
      <c r="BHS134" s="3"/>
      <c r="BHT134" s="3"/>
      <c r="BHU134" s="3"/>
      <c r="BHV134" s="3"/>
      <c r="BHW134" s="3"/>
      <c r="BHX134" s="3"/>
      <c r="BHY134" s="3"/>
      <c r="BHZ134" s="3"/>
      <c r="BIA134" s="3"/>
      <c r="BIB134" s="3"/>
      <c r="BIC134" s="3"/>
      <c r="BID134" s="3"/>
      <c r="BIE134" s="3"/>
      <c r="BIF134" s="3"/>
      <c r="BIG134" s="3"/>
      <c r="BIH134" s="3"/>
      <c r="BII134" s="3"/>
      <c r="BIJ134" s="3"/>
      <c r="BIK134" s="3"/>
      <c r="BIL134" s="3"/>
      <c r="BIM134" s="3"/>
      <c r="BIN134" s="3"/>
      <c r="BIO134" s="3"/>
      <c r="BIP134" s="3"/>
      <c r="BIQ134" s="3"/>
      <c r="BIR134" s="3"/>
      <c r="BIS134" s="3"/>
      <c r="BIT134" s="3"/>
      <c r="BIU134" s="3"/>
      <c r="BIV134" s="3"/>
      <c r="BIW134" s="3"/>
      <c r="BIX134" s="3"/>
      <c r="BIY134" s="3"/>
      <c r="BIZ134" s="3"/>
      <c r="BJA134" s="3"/>
      <c r="BJB134" s="3"/>
      <c r="BJC134" s="3"/>
      <c r="BJD134" s="3"/>
      <c r="BJE134" s="3"/>
      <c r="BJF134" s="3"/>
      <c r="BJG134" s="3"/>
      <c r="BJH134" s="3"/>
      <c r="BJI134" s="3"/>
      <c r="BJJ134" s="3"/>
      <c r="BJK134" s="3"/>
      <c r="BJL134" s="3"/>
      <c r="BJM134" s="3"/>
      <c r="BJN134" s="3"/>
      <c r="BJO134" s="3"/>
      <c r="BJP134" s="3"/>
      <c r="BJQ134" s="3"/>
      <c r="BJR134" s="3"/>
      <c r="BJS134" s="3"/>
      <c r="BJT134" s="3"/>
      <c r="BJU134" s="3"/>
      <c r="BJV134" s="3"/>
      <c r="BJW134" s="3"/>
      <c r="BJX134" s="3"/>
      <c r="BJY134" s="3"/>
      <c r="BJZ134" s="3"/>
      <c r="BKA134" s="3"/>
      <c r="BKB134" s="3"/>
      <c r="BKC134" s="3"/>
      <c r="BKD134" s="3"/>
      <c r="BKE134" s="3"/>
      <c r="BKF134" s="3"/>
      <c r="BKG134" s="3"/>
      <c r="BKH134" s="3"/>
      <c r="BKI134" s="3"/>
      <c r="BKJ134" s="3"/>
      <c r="BKK134" s="3"/>
      <c r="BKL134" s="3"/>
      <c r="BKM134" s="3"/>
      <c r="BKN134" s="3"/>
      <c r="BKO134" s="3"/>
      <c r="BKP134" s="3"/>
      <c r="BKQ134" s="3"/>
      <c r="BKR134" s="3"/>
      <c r="BKS134" s="3"/>
      <c r="BKT134" s="3"/>
      <c r="BKU134" s="3"/>
      <c r="BKV134" s="3"/>
      <c r="BKW134" s="3"/>
      <c r="BKX134" s="3"/>
      <c r="BKY134" s="3"/>
      <c r="BKZ134" s="3"/>
      <c r="BLA134" s="3"/>
      <c r="BLB134" s="3"/>
      <c r="BLC134" s="3"/>
      <c r="BLD134" s="3"/>
      <c r="BLE134" s="3"/>
      <c r="BLF134" s="3"/>
      <c r="BLG134" s="3"/>
      <c r="BLH134" s="3"/>
      <c r="BLI134" s="3"/>
      <c r="BLJ134" s="3"/>
      <c r="BLK134" s="3"/>
      <c r="BLL134" s="3"/>
      <c r="BLM134" s="3"/>
      <c r="BLN134" s="3"/>
      <c r="BLO134" s="3"/>
      <c r="BLP134" s="3"/>
      <c r="BLQ134" s="3"/>
      <c r="BLR134" s="3"/>
      <c r="BLS134" s="3"/>
      <c r="BLT134" s="3"/>
      <c r="BLU134" s="3"/>
      <c r="BLV134" s="3"/>
      <c r="BLW134" s="3"/>
      <c r="BLX134" s="3"/>
      <c r="BLY134" s="3"/>
      <c r="BLZ134" s="3"/>
      <c r="BMA134" s="3"/>
      <c r="BMB134" s="3"/>
      <c r="BMC134" s="3"/>
      <c r="BMD134" s="3"/>
      <c r="BME134" s="3"/>
      <c r="BMF134" s="3"/>
      <c r="BMG134" s="3"/>
      <c r="BMH134" s="3"/>
      <c r="BMI134" s="3"/>
      <c r="BMJ134" s="3"/>
      <c r="BMK134" s="3"/>
      <c r="BML134" s="3"/>
      <c r="BMM134" s="3"/>
      <c r="BMN134" s="3"/>
      <c r="BMO134" s="3"/>
      <c r="BMP134" s="3"/>
      <c r="BMQ134" s="3"/>
      <c r="BMR134" s="3"/>
      <c r="BMS134" s="3"/>
      <c r="BMT134" s="3"/>
      <c r="BMU134" s="3"/>
      <c r="BMV134" s="3"/>
      <c r="BMW134" s="3"/>
      <c r="BMX134" s="3"/>
      <c r="BMY134" s="3"/>
      <c r="BMZ134" s="3"/>
      <c r="BNA134" s="3"/>
      <c r="BNB134" s="3"/>
      <c r="BNC134" s="3"/>
      <c r="BND134" s="3"/>
      <c r="BNE134" s="3"/>
      <c r="BNF134" s="3"/>
      <c r="BNG134" s="3"/>
      <c r="BNH134" s="3"/>
      <c r="BNI134" s="3"/>
      <c r="BNJ134" s="3"/>
      <c r="BNK134" s="3"/>
      <c r="BNL134" s="3"/>
      <c r="BNM134" s="3"/>
      <c r="BNN134" s="3"/>
      <c r="BNO134" s="3"/>
      <c r="BNP134" s="3"/>
      <c r="BNQ134" s="3"/>
      <c r="BNR134" s="3"/>
      <c r="BNS134" s="3"/>
      <c r="BNT134" s="3"/>
      <c r="BNU134" s="3"/>
      <c r="BNV134" s="3"/>
      <c r="BNW134" s="3"/>
      <c r="BNX134" s="3"/>
      <c r="BNY134" s="3"/>
      <c r="BNZ134" s="3"/>
      <c r="BOA134" s="3"/>
      <c r="BOB134" s="3"/>
      <c r="BOC134" s="3"/>
      <c r="BOD134" s="3"/>
      <c r="BOE134" s="3"/>
      <c r="BOF134" s="3"/>
      <c r="BOG134" s="3"/>
      <c r="BOH134" s="3"/>
      <c r="BOI134" s="3"/>
      <c r="BOJ134" s="3"/>
      <c r="BOK134" s="3"/>
      <c r="BOL134" s="3"/>
      <c r="BOM134" s="3"/>
      <c r="BON134" s="3"/>
      <c r="BOO134" s="3"/>
      <c r="BOP134" s="3"/>
      <c r="BOQ134" s="3"/>
      <c r="BOR134" s="3"/>
      <c r="BOS134" s="3"/>
      <c r="BOT134" s="3"/>
      <c r="BOU134" s="3"/>
      <c r="BOV134" s="3"/>
      <c r="BOW134" s="3"/>
      <c r="BOX134" s="3"/>
      <c r="BOY134" s="3"/>
      <c r="BOZ134" s="3"/>
      <c r="BPA134" s="3"/>
      <c r="BPB134" s="3"/>
      <c r="BPC134" s="3"/>
      <c r="BPD134" s="3"/>
      <c r="BPE134" s="3"/>
      <c r="BPF134" s="3"/>
      <c r="BPG134" s="3"/>
      <c r="BPH134" s="3"/>
      <c r="BPI134" s="3"/>
      <c r="BPJ134" s="3"/>
      <c r="BPK134" s="3"/>
      <c r="BPL134" s="3"/>
      <c r="BPM134" s="3"/>
      <c r="BPN134" s="3"/>
      <c r="BPO134" s="3"/>
      <c r="BPP134" s="3"/>
      <c r="BPQ134" s="3"/>
      <c r="BPR134" s="3"/>
      <c r="BPS134" s="3"/>
      <c r="BPT134" s="3"/>
      <c r="BPU134" s="3"/>
      <c r="BPV134" s="3"/>
      <c r="BPW134" s="3"/>
      <c r="BPX134" s="3"/>
      <c r="BPY134" s="3"/>
      <c r="BPZ134" s="3"/>
      <c r="BQA134" s="3"/>
      <c r="BQB134" s="3"/>
      <c r="BQC134" s="3"/>
      <c r="BQD134" s="3"/>
      <c r="BQE134" s="3"/>
      <c r="BQF134" s="3"/>
      <c r="BQG134" s="3"/>
      <c r="BQH134" s="3"/>
      <c r="BQI134" s="3"/>
      <c r="BQJ134" s="3"/>
      <c r="BQK134" s="3"/>
      <c r="BQL134" s="3"/>
      <c r="BQM134" s="3"/>
      <c r="BQN134" s="3"/>
      <c r="BQO134" s="3"/>
      <c r="BQP134" s="3"/>
      <c r="BQQ134" s="3"/>
      <c r="BQR134" s="3"/>
      <c r="BQS134" s="3"/>
      <c r="BQT134" s="3"/>
      <c r="BQU134" s="3"/>
      <c r="BQV134" s="3"/>
      <c r="BQW134" s="3"/>
      <c r="BQX134" s="3"/>
      <c r="BQY134" s="3"/>
      <c r="BQZ134" s="3"/>
      <c r="BRA134" s="3"/>
      <c r="BRB134" s="3"/>
      <c r="BRC134" s="3"/>
      <c r="BRD134" s="3"/>
      <c r="BRE134" s="3"/>
      <c r="BRF134" s="3"/>
      <c r="BRG134" s="3"/>
      <c r="BRH134" s="3"/>
      <c r="BRI134" s="3"/>
      <c r="BRJ134" s="3"/>
      <c r="BRK134" s="3"/>
      <c r="BRL134" s="3"/>
      <c r="BRM134" s="3"/>
      <c r="BRN134" s="3"/>
      <c r="BRO134" s="3"/>
      <c r="BRP134" s="3"/>
      <c r="BRQ134" s="3"/>
      <c r="BRR134" s="3"/>
      <c r="BRS134" s="3"/>
      <c r="BRT134" s="3"/>
      <c r="BRU134" s="3"/>
      <c r="BRV134" s="3"/>
      <c r="BRW134" s="3"/>
      <c r="BRX134" s="3"/>
      <c r="BRY134" s="3"/>
      <c r="BRZ134" s="3"/>
      <c r="BSA134" s="3"/>
      <c r="BSB134" s="3"/>
      <c r="BSC134" s="3"/>
      <c r="BSD134" s="3"/>
      <c r="BSE134" s="3"/>
      <c r="BSF134" s="3"/>
      <c r="BSG134" s="3"/>
      <c r="BSH134" s="3"/>
      <c r="BSI134" s="3"/>
      <c r="BSJ134" s="3"/>
      <c r="BSK134" s="3"/>
      <c r="BSL134" s="3"/>
      <c r="BSM134" s="3"/>
      <c r="BSN134" s="3"/>
      <c r="BSO134" s="3"/>
      <c r="BSP134" s="3"/>
      <c r="BSQ134" s="3"/>
      <c r="BSR134" s="3"/>
      <c r="BSS134" s="3"/>
      <c r="BST134" s="3"/>
      <c r="BSU134" s="3"/>
      <c r="BSV134" s="3"/>
      <c r="BSW134" s="3"/>
      <c r="BSX134" s="3"/>
      <c r="BSY134" s="3"/>
      <c r="BSZ134" s="3"/>
      <c r="BTA134" s="3"/>
      <c r="BTB134" s="3"/>
      <c r="BTC134" s="3"/>
      <c r="BTD134" s="3"/>
      <c r="BTE134" s="3"/>
      <c r="BTF134" s="3"/>
      <c r="BTG134" s="3"/>
      <c r="BTH134" s="3"/>
      <c r="BTI134" s="3"/>
      <c r="BTJ134" s="3"/>
      <c r="BTK134" s="3"/>
      <c r="BTL134" s="3"/>
      <c r="BTM134" s="3"/>
      <c r="BTN134" s="3"/>
      <c r="BTO134" s="3"/>
      <c r="BTP134" s="3"/>
      <c r="BTQ134" s="3"/>
      <c r="BTR134" s="3"/>
      <c r="BTS134" s="3"/>
      <c r="BTT134" s="3"/>
      <c r="BTU134" s="3"/>
      <c r="BTV134" s="3"/>
      <c r="BTW134" s="3"/>
      <c r="BTX134" s="3"/>
      <c r="BTY134" s="3"/>
      <c r="BTZ134" s="3"/>
      <c r="BUA134" s="3"/>
      <c r="BUB134" s="3"/>
      <c r="BUC134" s="3"/>
      <c r="BUD134" s="3"/>
      <c r="BUE134" s="3"/>
      <c r="BUF134" s="3"/>
      <c r="BUG134" s="3"/>
      <c r="BUH134" s="3"/>
      <c r="BUI134" s="3"/>
      <c r="BUJ134" s="3"/>
      <c r="BUK134" s="3"/>
      <c r="BUL134" s="3"/>
      <c r="BUM134" s="3"/>
      <c r="BUN134" s="3"/>
      <c r="BUO134" s="3"/>
      <c r="BUP134" s="3"/>
      <c r="BUQ134" s="3"/>
      <c r="BUR134" s="3"/>
      <c r="BUS134" s="3"/>
      <c r="BUT134" s="3"/>
      <c r="BUU134" s="3"/>
      <c r="BUV134" s="3"/>
      <c r="BUW134" s="3"/>
      <c r="BUX134" s="3"/>
      <c r="BUY134" s="3"/>
      <c r="BUZ134" s="3"/>
      <c r="BVA134" s="3"/>
      <c r="BVB134" s="3"/>
      <c r="BVC134" s="3"/>
      <c r="BVD134" s="3"/>
      <c r="BVE134" s="3"/>
      <c r="BVF134" s="3"/>
      <c r="BVG134" s="3"/>
      <c r="BVH134" s="3"/>
      <c r="BVI134" s="3"/>
      <c r="BVJ134" s="3"/>
      <c r="BVK134" s="3"/>
      <c r="BVL134" s="3"/>
      <c r="BVM134" s="3"/>
      <c r="BVN134" s="3"/>
      <c r="BVO134" s="3"/>
      <c r="BVP134" s="3"/>
      <c r="BVQ134" s="3"/>
      <c r="BVR134" s="3"/>
      <c r="BVS134" s="3"/>
      <c r="BVT134" s="3"/>
      <c r="BVU134" s="3"/>
      <c r="BVV134" s="3"/>
      <c r="BVW134" s="3"/>
      <c r="BVX134" s="3"/>
      <c r="BVY134" s="3"/>
      <c r="BVZ134" s="3"/>
      <c r="BWA134" s="3"/>
      <c r="BWB134" s="3"/>
      <c r="BWC134" s="3"/>
      <c r="BWD134" s="3"/>
      <c r="BWE134" s="3"/>
      <c r="BWF134" s="3"/>
      <c r="BWG134" s="3"/>
      <c r="BWH134" s="3"/>
      <c r="BWI134" s="3"/>
      <c r="BWJ134" s="3"/>
      <c r="BWK134" s="3"/>
      <c r="BWL134" s="3"/>
      <c r="BWM134" s="3"/>
      <c r="BWN134" s="3"/>
      <c r="BWO134" s="3"/>
      <c r="BWP134" s="3"/>
      <c r="BWQ134" s="3"/>
      <c r="BWR134" s="3"/>
      <c r="BWS134" s="3"/>
      <c r="BWT134" s="3"/>
      <c r="BWU134" s="3"/>
      <c r="BWV134" s="3"/>
      <c r="BWW134" s="3"/>
      <c r="BWX134" s="3"/>
      <c r="BWY134" s="3"/>
      <c r="BWZ134" s="3"/>
      <c r="BXA134" s="3"/>
      <c r="BXB134" s="3"/>
      <c r="BXC134" s="3"/>
      <c r="BXD134" s="3"/>
      <c r="BXE134" s="3"/>
      <c r="BXF134" s="3"/>
      <c r="BXG134" s="3"/>
      <c r="BXH134" s="3"/>
      <c r="BXI134" s="3"/>
      <c r="BXJ134" s="3"/>
      <c r="BXK134" s="3"/>
      <c r="BXL134" s="3"/>
      <c r="BXM134" s="3"/>
      <c r="BXN134" s="3"/>
      <c r="BXO134" s="3"/>
      <c r="BXP134" s="3"/>
      <c r="BXQ134" s="3"/>
      <c r="BXR134" s="3"/>
      <c r="BXS134" s="3"/>
      <c r="BXT134" s="3"/>
      <c r="BXU134" s="3"/>
      <c r="BXV134" s="3"/>
      <c r="BXW134" s="3"/>
      <c r="BXX134" s="3"/>
      <c r="BXY134" s="3"/>
      <c r="BXZ134" s="3"/>
      <c r="BYA134" s="3"/>
      <c r="BYB134" s="3"/>
      <c r="BYC134" s="3"/>
      <c r="BYD134" s="3"/>
      <c r="BYE134" s="3"/>
      <c r="BYF134" s="3"/>
      <c r="BYG134" s="3"/>
      <c r="BYH134" s="3"/>
      <c r="BYI134" s="3"/>
      <c r="BYJ134" s="3"/>
      <c r="BYK134" s="3"/>
      <c r="BYL134" s="3"/>
      <c r="BYM134" s="3"/>
      <c r="BYN134" s="3"/>
      <c r="BYO134" s="3"/>
      <c r="BYP134" s="3"/>
      <c r="BYQ134" s="3"/>
      <c r="BYR134" s="3"/>
      <c r="BYS134" s="3"/>
      <c r="BYT134" s="3"/>
      <c r="BYU134" s="3"/>
      <c r="BYV134" s="3"/>
      <c r="BYW134" s="3"/>
      <c r="BYX134" s="3"/>
      <c r="BYY134" s="3"/>
      <c r="BYZ134" s="3"/>
      <c r="BZA134" s="3"/>
      <c r="BZB134" s="3"/>
      <c r="BZC134" s="3"/>
      <c r="BZD134" s="3"/>
      <c r="BZE134" s="3"/>
      <c r="BZF134" s="3"/>
      <c r="BZG134" s="3"/>
      <c r="BZH134" s="3"/>
      <c r="BZI134" s="3"/>
      <c r="BZJ134" s="3"/>
      <c r="BZK134" s="3"/>
      <c r="BZL134" s="3"/>
      <c r="BZM134" s="3"/>
      <c r="BZN134" s="3"/>
      <c r="BZO134" s="3"/>
      <c r="BZP134" s="3"/>
      <c r="BZQ134" s="3"/>
      <c r="BZR134" s="3"/>
      <c r="BZS134" s="3"/>
      <c r="BZT134" s="3"/>
      <c r="BZU134" s="3"/>
      <c r="BZV134" s="3"/>
      <c r="BZW134" s="3"/>
      <c r="BZX134" s="3"/>
      <c r="BZY134" s="3"/>
      <c r="BZZ134" s="3"/>
      <c r="CAA134" s="3"/>
      <c r="CAB134" s="3"/>
      <c r="CAC134" s="3"/>
      <c r="CAD134" s="3"/>
      <c r="CAE134" s="3"/>
      <c r="CAF134" s="3"/>
      <c r="CAG134" s="3"/>
      <c r="CAH134" s="3"/>
      <c r="CAI134" s="3"/>
      <c r="CAJ134" s="3"/>
      <c r="CAK134" s="3"/>
      <c r="CAL134" s="3"/>
      <c r="CAM134" s="3"/>
      <c r="CAN134" s="3"/>
      <c r="CAO134" s="3"/>
      <c r="CAP134" s="3"/>
      <c r="CAQ134" s="3"/>
      <c r="CAR134" s="3"/>
      <c r="CAS134" s="3"/>
      <c r="CAT134" s="3"/>
      <c r="CAU134" s="3"/>
      <c r="CAV134" s="3"/>
      <c r="CAW134" s="3"/>
      <c r="CAX134" s="3"/>
      <c r="CAY134" s="3"/>
      <c r="CAZ134" s="3"/>
      <c r="CBA134" s="3"/>
      <c r="CBB134" s="3"/>
      <c r="CBC134" s="3"/>
      <c r="CBD134" s="3"/>
      <c r="CBE134" s="3"/>
      <c r="CBF134" s="3"/>
      <c r="CBG134" s="3"/>
      <c r="CBH134" s="3"/>
      <c r="CBI134" s="3"/>
      <c r="CBJ134" s="3"/>
      <c r="CBK134" s="3"/>
      <c r="CBL134" s="3"/>
      <c r="CBM134" s="3"/>
      <c r="CBN134" s="3"/>
      <c r="CBO134" s="3"/>
      <c r="CBP134" s="3"/>
      <c r="CBQ134" s="3"/>
      <c r="CBR134" s="3"/>
      <c r="CBS134" s="3"/>
      <c r="CBT134" s="3"/>
      <c r="CBU134" s="3"/>
      <c r="CBV134" s="3"/>
      <c r="CBW134" s="3"/>
      <c r="CBX134" s="3"/>
      <c r="CBY134" s="3"/>
      <c r="CBZ134" s="3"/>
      <c r="CCA134" s="3"/>
      <c r="CCB134" s="3"/>
      <c r="CCC134" s="3"/>
      <c r="CCD134" s="3"/>
      <c r="CCE134" s="3"/>
      <c r="CCF134" s="3"/>
      <c r="CCG134" s="3"/>
      <c r="CCH134" s="3"/>
      <c r="CCI134" s="3"/>
      <c r="CCJ134" s="3"/>
      <c r="CCK134" s="3"/>
      <c r="CCL134" s="3"/>
      <c r="CCM134" s="3"/>
      <c r="CCN134" s="3"/>
      <c r="CCO134" s="3"/>
      <c r="CCP134" s="3"/>
      <c r="CCQ134" s="3"/>
      <c r="CCR134" s="3"/>
      <c r="CCS134" s="3"/>
      <c r="CCT134" s="3"/>
      <c r="CCU134" s="3"/>
      <c r="CCV134" s="3"/>
      <c r="CCW134" s="3"/>
      <c r="CCX134" s="3"/>
      <c r="CCY134" s="3"/>
      <c r="CCZ134" s="3"/>
      <c r="CDA134" s="3"/>
      <c r="CDB134" s="3"/>
      <c r="CDC134" s="3"/>
      <c r="CDD134" s="3"/>
      <c r="CDE134" s="3"/>
      <c r="CDF134" s="3"/>
      <c r="CDG134" s="3"/>
      <c r="CDH134" s="3"/>
      <c r="CDI134" s="3"/>
      <c r="CDJ134" s="3"/>
      <c r="CDK134" s="3"/>
      <c r="CDL134" s="3"/>
      <c r="CDM134" s="3"/>
      <c r="CDN134" s="3"/>
      <c r="CDO134" s="3"/>
      <c r="CDP134" s="3"/>
      <c r="CDQ134" s="3"/>
      <c r="CDR134" s="3"/>
      <c r="CDS134" s="3"/>
      <c r="CDT134" s="3"/>
      <c r="CDU134" s="3"/>
      <c r="CDV134" s="3"/>
      <c r="CDW134" s="3"/>
      <c r="CDX134" s="3"/>
      <c r="CDY134" s="3"/>
      <c r="CDZ134" s="3"/>
      <c r="CEA134" s="3"/>
      <c r="CEB134" s="3"/>
      <c r="CEC134" s="3"/>
      <c r="CED134" s="3"/>
      <c r="CEE134" s="3"/>
      <c r="CEF134" s="3"/>
      <c r="CEG134" s="3"/>
      <c r="CEH134" s="3"/>
      <c r="CEI134" s="3"/>
      <c r="CEJ134" s="3"/>
      <c r="CEK134" s="3"/>
      <c r="CEL134" s="3"/>
      <c r="CEM134" s="3"/>
      <c r="CEN134" s="3"/>
      <c r="CEO134" s="3"/>
      <c r="CEP134" s="3"/>
      <c r="CEQ134" s="3"/>
      <c r="CER134" s="3"/>
      <c r="CES134" s="3"/>
      <c r="CET134" s="3"/>
      <c r="CEU134" s="3"/>
      <c r="CEV134" s="3"/>
      <c r="CEW134" s="3"/>
      <c r="CEX134" s="3"/>
      <c r="CEY134" s="3"/>
      <c r="CEZ134" s="3"/>
      <c r="CFA134" s="3"/>
      <c r="CFB134" s="3"/>
      <c r="CFC134" s="3"/>
      <c r="CFD134" s="3"/>
      <c r="CFE134" s="3"/>
      <c r="CFF134" s="3"/>
      <c r="CFG134" s="3"/>
      <c r="CFH134" s="3"/>
      <c r="CFI134" s="3"/>
      <c r="CFJ134" s="3"/>
      <c r="CFK134" s="3"/>
      <c r="CFL134" s="3"/>
      <c r="CFM134" s="3"/>
      <c r="CFN134" s="3"/>
      <c r="CFO134" s="3"/>
      <c r="CFP134" s="3"/>
      <c r="CFQ134" s="3"/>
      <c r="CFR134" s="3"/>
      <c r="CFS134" s="3"/>
      <c r="CFT134" s="3"/>
      <c r="CFU134" s="3"/>
      <c r="CFV134" s="3"/>
      <c r="CFW134" s="3"/>
      <c r="CFX134" s="3"/>
      <c r="CFY134" s="3"/>
      <c r="CFZ134" s="3"/>
      <c r="CGA134" s="3"/>
      <c r="CGB134" s="3"/>
      <c r="CGC134" s="3"/>
      <c r="CGD134" s="3"/>
      <c r="CGE134" s="3"/>
      <c r="CGF134" s="3"/>
      <c r="CGG134" s="3"/>
      <c r="CGH134" s="3"/>
      <c r="CGI134" s="3"/>
      <c r="CGJ134" s="3"/>
      <c r="CGK134" s="3"/>
      <c r="CGL134" s="3"/>
      <c r="CGM134" s="3"/>
      <c r="CGN134" s="3"/>
      <c r="CGO134" s="3"/>
      <c r="CGP134" s="3"/>
      <c r="CGQ134" s="3"/>
      <c r="CGR134" s="3"/>
      <c r="CGS134" s="3"/>
      <c r="CGT134" s="3"/>
      <c r="CGU134" s="3"/>
      <c r="CGV134" s="3"/>
      <c r="CGW134" s="3"/>
      <c r="CGX134" s="3"/>
      <c r="CGY134" s="3"/>
      <c r="CGZ134" s="3"/>
      <c r="CHA134" s="3"/>
      <c r="CHB134" s="3"/>
      <c r="CHC134" s="3"/>
      <c r="CHD134" s="3"/>
      <c r="CHE134" s="3"/>
      <c r="CHF134" s="3"/>
      <c r="CHG134" s="3"/>
      <c r="CHH134" s="3"/>
      <c r="CHI134" s="3"/>
      <c r="CHJ134" s="3"/>
      <c r="CHK134" s="3"/>
      <c r="CHL134" s="3"/>
      <c r="CHM134" s="3"/>
      <c r="CHN134" s="3"/>
      <c r="CHO134" s="3"/>
      <c r="CHP134" s="3"/>
      <c r="CHQ134" s="3"/>
      <c r="CHR134" s="3"/>
      <c r="CHS134" s="3"/>
      <c r="CHT134" s="3"/>
      <c r="CHU134" s="3"/>
      <c r="CHV134" s="3"/>
      <c r="CHW134" s="3"/>
      <c r="CHX134" s="3"/>
      <c r="CHY134" s="3"/>
      <c r="CHZ134" s="3"/>
      <c r="CIA134" s="3"/>
      <c r="CIB134" s="3"/>
      <c r="CIC134" s="3"/>
      <c r="CID134" s="3"/>
      <c r="CIE134" s="3"/>
      <c r="CIF134" s="3"/>
      <c r="CIG134" s="3"/>
      <c r="CIH134" s="3"/>
      <c r="CII134" s="3"/>
      <c r="CIJ134" s="3"/>
      <c r="CIK134" s="3"/>
      <c r="CIL134" s="3"/>
      <c r="CIM134" s="3"/>
      <c r="CIN134" s="3"/>
      <c r="CIO134" s="3"/>
      <c r="CIP134" s="3"/>
      <c r="CIQ134" s="3"/>
      <c r="CIR134" s="3"/>
      <c r="CIS134" s="3"/>
      <c r="CIT134" s="3"/>
      <c r="CIU134" s="3"/>
      <c r="CIV134" s="3"/>
      <c r="CIW134" s="3"/>
      <c r="CIX134" s="3"/>
      <c r="CIY134" s="3"/>
      <c r="CIZ134" s="3"/>
      <c r="CJA134" s="3"/>
      <c r="CJB134" s="3"/>
      <c r="CJC134" s="3"/>
      <c r="CJD134" s="3"/>
      <c r="CJE134" s="3"/>
      <c r="CJF134" s="3"/>
      <c r="CJG134" s="3"/>
      <c r="CJH134" s="3"/>
      <c r="CJI134" s="3"/>
      <c r="CJJ134" s="3"/>
      <c r="CJK134" s="3"/>
      <c r="CJL134" s="3"/>
      <c r="CJM134" s="3"/>
      <c r="CJN134" s="3"/>
      <c r="CJO134" s="3"/>
      <c r="CJP134" s="3"/>
      <c r="CJQ134" s="3"/>
      <c r="CJR134" s="3"/>
      <c r="CJS134" s="3"/>
      <c r="CJT134" s="3"/>
      <c r="CJU134" s="3"/>
      <c r="CJV134" s="3"/>
      <c r="CJW134" s="3"/>
      <c r="CJX134" s="3"/>
      <c r="CJY134" s="3"/>
      <c r="CJZ134" s="3"/>
      <c r="CKA134" s="3"/>
      <c r="CKB134" s="3"/>
      <c r="CKC134" s="3"/>
      <c r="CKD134" s="3"/>
      <c r="CKE134" s="3"/>
      <c r="CKF134" s="3"/>
      <c r="CKG134" s="3"/>
      <c r="CKH134" s="3"/>
      <c r="CKI134" s="3"/>
      <c r="CKJ134" s="3"/>
      <c r="CKK134" s="3"/>
      <c r="CKL134" s="3"/>
      <c r="CKM134" s="3"/>
      <c r="CKN134" s="3"/>
      <c r="CKO134" s="3"/>
      <c r="CKP134" s="3"/>
      <c r="CKQ134" s="3"/>
      <c r="CKR134" s="3"/>
      <c r="CKS134" s="3"/>
      <c r="CKT134" s="3"/>
      <c r="CKU134" s="3"/>
      <c r="CKV134" s="3"/>
      <c r="CKW134" s="3"/>
      <c r="CKX134" s="3"/>
      <c r="CKY134" s="3"/>
      <c r="CKZ134" s="3"/>
      <c r="CLA134" s="3"/>
      <c r="CLB134" s="3"/>
      <c r="CLC134" s="3"/>
      <c r="CLD134" s="3"/>
      <c r="CLE134" s="3"/>
      <c r="CLF134" s="3"/>
      <c r="CLG134" s="3"/>
      <c r="CLH134" s="3"/>
      <c r="CLI134" s="3"/>
      <c r="CLJ134" s="3"/>
      <c r="CLK134" s="3"/>
      <c r="CLL134" s="3"/>
      <c r="CLM134" s="3"/>
      <c r="CLN134" s="3"/>
      <c r="CLO134" s="3"/>
      <c r="CLP134" s="3"/>
      <c r="CLQ134" s="3"/>
      <c r="CLR134" s="3"/>
      <c r="CLS134" s="3"/>
      <c r="CLT134" s="3"/>
      <c r="CLU134" s="3"/>
      <c r="CLV134" s="3"/>
      <c r="CLW134" s="3"/>
      <c r="CLX134" s="3"/>
      <c r="CLY134" s="3"/>
      <c r="CLZ134" s="3"/>
      <c r="CMA134" s="3"/>
      <c r="CMB134" s="3"/>
      <c r="CMC134" s="3"/>
      <c r="CMD134" s="3"/>
      <c r="CME134" s="3"/>
      <c r="CMF134" s="3"/>
      <c r="CMG134" s="3"/>
      <c r="CMH134" s="3"/>
      <c r="CMI134" s="3"/>
      <c r="CMJ134" s="3"/>
      <c r="CMK134" s="3"/>
      <c r="CML134" s="3"/>
      <c r="CMM134" s="3"/>
      <c r="CMN134" s="3"/>
      <c r="CMO134" s="3"/>
      <c r="CMP134" s="3"/>
      <c r="CMQ134" s="3"/>
      <c r="CMR134" s="3"/>
      <c r="CMS134" s="3"/>
      <c r="CMT134" s="3"/>
      <c r="CMU134" s="3"/>
      <c r="CMV134" s="3"/>
      <c r="CMW134" s="3"/>
      <c r="CMX134" s="3"/>
      <c r="CMY134" s="3"/>
      <c r="CMZ134" s="3"/>
      <c r="CNA134" s="3"/>
      <c r="CNB134" s="3"/>
      <c r="CNC134" s="3"/>
      <c r="CND134" s="3"/>
      <c r="CNE134" s="3"/>
      <c r="CNF134" s="3"/>
      <c r="CNG134" s="3"/>
      <c r="CNH134" s="3"/>
      <c r="CNI134" s="3"/>
      <c r="CNJ134" s="3"/>
      <c r="CNK134" s="3"/>
      <c r="CNL134" s="3"/>
      <c r="CNM134" s="3"/>
      <c r="CNN134" s="3"/>
      <c r="CNO134" s="3"/>
      <c r="CNP134" s="3"/>
      <c r="CNQ134" s="3"/>
      <c r="CNR134" s="3"/>
      <c r="CNS134" s="3"/>
      <c r="CNT134" s="3"/>
      <c r="CNU134" s="3"/>
      <c r="CNV134" s="3"/>
      <c r="CNW134" s="3"/>
      <c r="CNX134" s="3"/>
      <c r="CNY134" s="3"/>
      <c r="CNZ134" s="3"/>
      <c r="COA134" s="3"/>
      <c r="COB134" s="3"/>
      <c r="COC134" s="3"/>
      <c r="COD134" s="3"/>
      <c r="COE134" s="3"/>
      <c r="COF134" s="3"/>
      <c r="COG134" s="3"/>
      <c r="COH134" s="3"/>
      <c r="COI134" s="3"/>
      <c r="COJ134" s="3"/>
      <c r="COK134" s="3"/>
      <c r="COL134" s="3"/>
      <c r="COM134" s="3"/>
      <c r="CON134" s="3"/>
      <c r="COO134" s="3"/>
      <c r="COP134" s="3"/>
      <c r="COQ134" s="3"/>
      <c r="COR134" s="3"/>
      <c r="COS134" s="3"/>
      <c r="COT134" s="3"/>
      <c r="COU134" s="3"/>
      <c r="COV134" s="3"/>
      <c r="COW134" s="3"/>
      <c r="COX134" s="3"/>
      <c r="COY134" s="3"/>
      <c r="COZ134" s="3"/>
      <c r="CPA134" s="3"/>
      <c r="CPB134" s="3"/>
      <c r="CPC134" s="3"/>
      <c r="CPD134" s="3"/>
      <c r="CPE134" s="3"/>
      <c r="CPF134" s="3"/>
      <c r="CPG134" s="3"/>
      <c r="CPH134" s="3"/>
      <c r="CPI134" s="3"/>
      <c r="CPJ134" s="3"/>
      <c r="CPK134" s="3"/>
      <c r="CPL134" s="3"/>
      <c r="CPM134" s="3"/>
      <c r="CPN134" s="3"/>
      <c r="CPO134" s="3"/>
      <c r="CPP134" s="3"/>
      <c r="CPQ134" s="3"/>
      <c r="CPR134" s="3"/>
      <c r="CPS134" s="3"/>
      <c r="CPT134" s="3"/>
      <c r="CPU134" s="3"/>
      <c r="CPV134" s="3"/>
      <c r="CPW134" s="3"/>
      <c r="CPX134" s="3"/>
      <c r="CPY134" s="3"/>
      <c r="CPZ134" s="3"/>
      <c r="CQA134" s="3"/>
      <c r="CQB134" s="3"/>
      <c r="CQC134" s="3"/>
      <c r="CQD134" s="3"/>
      <c r="CQE134" s="3"/>
      <c r="CQF134" s="3"/>
      <c r="CQG134" s="3"/>
      <c r="CQH134" s="3"/>
      <c r="CQI134" s="3"/>
      <c r="CQJ134" s="3"/>
      <c r="CQK134" s="3"/>
      <c r="CQL134" s="3"/>
      <c r="CQM134" s="3"/>
      <c r="CQN134" s="3"/>
      <c r="CQO134" s="3"/>
      <c r="CQP134" s="3"/>
      <c r="CQQ134" s="3"/>
      <c r="CQR134" s="3"/>
      <c r="CQS134" s="3"/>
      <c r="CQT134" s="3"/>
      <c r="CQU134" s="3"/>
      <c r="CQV134" s="3"/>
      <c r="CQW134" s="3"/>
      <c r="CQX134" s="3"/>
      <c r="CQY134" s="3"/>
      <c r="CQZ134" s="3"/>
      <c r="CRA134" s="3"/>
      <c r="CRB134" s="3"/>
      <c r="CRC134" s="3"/>
      <c r="CRD134" s="3"/>
      <c r="CRE134" s="3"/>
      <c r="CRF134" s="3"/>
      <c r="CRG134" s="3"/>
      <c r="CRH134" s="3"/>
      <c r="CRI134" s="3"/>
      <c r="CRJ134" s="3"/>
      <c r="CRK134" s="3"/>
      <c r="CRL134" s="3"/>
      <c r="CRM134" s="3"/>
      <c r="CRN134" s="3"/>
      <c r="CRO134" s="3"/>
      <c r="CRP134" s="3"/>
      <c r="CRQ134" s="3"/>
      <c r="CRR134" s="3"/>
      <c r="CRS134" s="3"/>
      <c r="CRT134" s="3"/>
      <c r="CRU134" s="3"/>
      <c r="CRV134" s="3"/>
      <c r="CRW134" s="3"/>
      <c r="CRX134" s="3"/>
      <c r="CRY134" s="3"/>
      <c r="CRZ134" s="3"/>
      <c r="CSA134" s="3"/>
      <c r="CSB134" s="3"/>
      <c r="CSC134" s="3"/>
      <c r="CSD134" s="3"/>
      <c r="CSE134" s="3"/>
      <c r="CSF134" s="3"/>
      <c r="CSG134" s="3"/>
      <c r="CSH134" s="3"/>
      <c r="CSI134" s="3"/>
      <c r="CSJ134" s="3"/>
      <c r="CSK134" s="3"/>
      <c r="CSL134" s="3"/>
      <c r="CSM134" s="3"/>
      <c r="CSN134" s="3"/>
      <c r="CSO134" s="3"/>
      <c r="CSP134" s="3"/>
      <c r="CSQ134" s="3"/>
      <c r="CSR134" s="3"/>
      <c r="CSS134" s="3"/>
      <c r="CST134" s="3"/>
      <c r="CSU134" s="3"/>
      <c r="CSV134" s="3"/>
      <c r="CSW134" s="3"/>
      <c r="CSX134" s="3"/>
      <c r="CSY134" s="3"/>
      <c r="CSZ134" s="3"/>
      <c r="CTA134" s="3"/>
      <c r="CTB134" s="3"/>
      <c r="CTC134" s="3"/>
      <c r="CTD134" s="3"/>
      <c r="CTE134" s="3"/>
      <c r="CTF134" s="3"/>
      <c r="CTG134" s="3"/>
      <c r="CTH134" s="3"/>
      <c r="CTI134" s="3"/>
      <c r="CTJ134" s="3"/>
      <c r="CTK134" s="3"/>
      <c r="CTL134" s="3"/>
      <c r="CTM134" s="3"/>
      <c r="CTN134" s="3"/>
      <c r="CTO134" s="3"/>
      <c r="CTP134" s="3"/>
      <c r="CTQ134" s="3"/>
      <c r="CTR134" s="3"/>
      <c r="CTS134" s="3"/>
      <c r="CTT134" s="3"/>
      <c r="CTU134" s="3"/>
      <c r="CTV134" s="3"/>
      <c r="CTW134" s="3"/>
      <c r="CTX134" s="3"/>
      <c r="CTY134" s="3"/>
      <c r="CTZ134" s="3"/>
      <c r="CUA134" s="3"/>
      <c r="CUB134" s="3"/>
      <c r="CUC134" s="3"/>
      <c r="CUD134" s="3"/>
      <c r="CUE134" s="3"/>
      <c r="CUF134" s="3"/>
      <c r="CUG134" s="3"/>
      <c r="CUH134" s="3"/>
      <c r="CUI134" s="3"/>
      <c r="CUJ134" s="3"/>
      <c r="CUK134" s="3"/>
      <c r="CUL134" s="3"/>
      <c r="CUM134" s="3"/>
      <c r="CUN134" s="3"/>
      <c r="CUO134" s="3"/>
      <c r="CUP134" s="3"/>
      <c r="CUQ134" s="3"/>
      <c r="CUR134" s="3"/>
      <c r="CUS134" s="3"/>
      <c r="CUT134" s="3"/>
      <c r="CUU134" s="3"/>
      <c r="CUV134" s="3"/>
      <c r="CUW134" s="3"/>
      <c r="CUX134" s="3"/>
      <c r="CUY134" s="3"/>
      <c r="CUZ134" s="3"/>
      <c r="CVA134" s="3"/>
      <c r="CVB134" s="3"/>
      <c r="CVC134" s="3"/>
      <c r="CVD134" s="3"/>
      <c r="CVE134" s="3"/>
      <c r="CVF134" s="3"/>
      <c r="CVG134" s="3"/>
      <c r="CVH134" s="3"/>
      <c r="CVI134" s="3"/>
      <c r="CVJ134" s="3"/>
      <c r="CVK134" s="3"/>
      <c r="CVL134" s="3"/>
      <c r="CVM134" s="3"/>
      <c r="CVN134" s="3"/>
      <c r="CVO134" s="3"/>
      <c r="CVP134" s="3"/>
      <c r="CVQ134" s="3"/>
      <c r="CVR134" s="3"/>
      <c r="CVS134" s="3"/>
      <c r="CVT134" s="3"/>
      <c r="CVU134" s="3"/>
      <c r="CVV134" s="3"/>
      <c r="CVW134" s="3"/>
      <c r="CVX134" s="3"/>
      <c r="CVY134" s="3"/>
      <c r="CVZ134" s="3"/>
      <c r="CWA134" s="3"/>
      <c r="CWB134" s="3"/>
      <c r="CWC134" s="3"/>
      <c r="CWD134" s="3"/>
      <c r="CWE134" s="3"/>
      <c r="CWF134" s="3"/>
      <c r="CWG134" s="3"/>
      <c r="CWH134" s="3"/>
      <c r="CWI134" s="3"/>
      <c r="CWJ134" s="3"/>
      <c r="CWK134" s="3"/>
      <c r="CWL134" s="3"/>
      <c r="CWM134" s="3"/>
      <c r="CWN134" s="3"/>
      <c r="CWO134" s="3"/>
      <c r="CWP134" s="3"/>
      <c r="CWQ134" s="3"/>
      <c r="CWR134" s="3"/>
      <c r="CWS134" s="3"/>
      <c r="CWT134" s="3"/>
      <c r="CWU134" s="3"/>
      <c r="CWV134" s="3"/>
      <c r="CWW134" s="3"/>
      <c r="CWX134" s="3"/>
      <c r="CWY134" s="3"/>
      <c r="CWZ134" s="3"/>
      <c r="CXA134" s="3"/>
      <c r="CXB134" s="3"/>
      <c r="CXC134" s="3"/>
      <c r="CXD134" s="3"/>
      <c r="CXE134" s="3"/>
      <c r="CXF134" s="3"/>
      <c r="CXG134" s="3"/>
      <c r="CXH134" s="3"/>
      <c r="CXI134" s="3"/>
      <c r="CXJ134" s="3"/>
      <c r="CXK134" s="3"/>
      <c r="CXL134" s="3"/>
      <c r="CXM134" s="3"/>
      <c r="CXN134" s="3"/>
      <c r="CXO134" s="3"/>
      <c r="CXP134" s="3"/>
      <c r="CXQ134" s="3"/>
      <c r="CXR134" s="3"/>
      <c r="CXS134" s="3"/>
      <c r="CXT134" s="3"/>
      <c r="CXU134" s="3"/>
      <c r="CXV134" s="3"/>
      <c r="CXW134" s="3"/>
      <c r="CXX134" s="3"/>
      <c r="CXY134" s="3"/>
      <c r="CXZ134" s="3"/>
      <c r="CYA134" s="3"/>
      <c r="CYB134" s="3"/>
      <c r="CYC134" s="3"/>
      <c r="CYD134" s="3"/>
      <c r="CYE134" s="3"/>
      <c r="CYF134" s="3"/>
      <c r="CYG134" s="3"/>
      <c r="CYH134" s="3"/>
      <c r="CYI134" s="3"/>
      <c r="CYJ134" s="3"/>
      <c r="CYK134" s="3"/>
      <c r="CYL134" s="3"/>
      <c r="CYM134" s="3"/>
      <c r="CYN134" s="3"/>
      <c r="CYO134" s="3"/>
      <c r="CYP134" s="3"/>
      <c r="CYQ134" s="3"/>
      <c r="CYR134" s="3"/>
      <c r="CYS134" s="3"/>
      <c r="CYT134" s="3"/>
      <c r="CYU134" s="3"/>
      <c r="CYV134" s="3"/>
      <c r="CYW134" s="3"/>
      <c r="CYX134" s="3"/>
      <c r="CYY134" s="3"/>
      <c r="CYZ134" s="3"/>
      <c r="CZA134" s="3"/>
      <c r="CZB134" s="3"/>
      <c r="CZC134" s="3"/>
      <c r="CZD134" s="3"/>
      <c r="CZE134" s="3"/>
      <c r="CZF134" s="3"/>
      <c r="CZG134" s="3"/>
      <c r="CZH134" s="3"/>
      <c r="CZI134" s="3"/>
      <c r="CZJ134" s="3"/>
      <c r="CZK134" s="3"/>
      <c r="CZL134" s="3"/>
      <c r="CZM134" s="3"/>
      <c r="CZN134" s="3"/>
      <c r="CZO134" s="3"/>
      <c r="CZP134" s="3"/>
      <c r="CZQ134" s="3"/>
      <c r="CZR134" s="3"/>
      <c r="CZS134" s="3"/>
      <c r="CZT134" s="3"/>
      <c r="CZU134" s="3"/>
      <c r="CZV134" s="3"/>
      <c r="CZW134" s="3"/>
      <c r="CZX134" s="3"/>
      <c r="CZY134" s="3"/>
      <c r="CZZ134" s="3"/>
      <c r="DAA134" s="3"/>
      <c r="DAB134" s="3"/>
      <c r="DAC134" s="3"/>
      <c r="DAD134" s="3"/>
      <c r="DAE134" s="3"/>
      <c r="DAF134" s="3"/>
      <c r="DAG134" s="3"/>
      <c r="DAH134" s="3"/>
      <c r="DAI134" s="3"/>
      <c r="DAJ134" s="3"/>
      <c r="DAK134" s="3"/>
      <c r="DAL134" s="3"/>
      <c r="DAM134" s="3"/>
      <c r="DAN134" s="3"/>
      <c r="DAO134" s="3"/>
      <c r="DAP134" s="3"/>
      <c r="DAQ134" s="3"/>
      <c r="DAR134" s="3"/>
      <c r="DAS134" s="3"/>
      <c r="DAT134" s="3"/>
      <c r="DAU134" s="3"/>
      <c r="DAV134" s="3"/>
      <c r="DAW134" s="3"/>
      <c r="DAX134" s="3"/>
      <c r="DAY134" s="3"/>
      <c r="DAZ134" s="3"/>
      <c r="DBA134" s="3"/>
      <c r="DBB134" s="3"/>
      <c r="DBC134" s="3"/>
      <c r="DBD134" s="3"/>
      <c r="DBE134" s="3"/>
      <c r="DBF134" s="3"/>
      <c r="DBG134" s="3"/>
      <c r="DBH134" s="3"/>
      <c r="DBI134" s="3"/>
      <c r="DBJ134" s="3"/>
      <c r="DBK134" s="3"/>
      <c r="DBL134" s="3"/>
      <c r="DBM134" s="3"/>
      <c r="DBN134" s="3"/>
      <c r="DBO134" s="3"/>
      <c r="DBP134" s="3"/>
      <c r="DBQ134" s="3"/>
      <c r="DBR134" s="3"/>
      <c r="DBS134" s="3"/>
      <c r="DBT134" s="3"/>
      <c r="DBU134" s="3"/>
      <c r="DBV134" s="3"/>
      <c r="DBW134" s="3"/>
      <c r="DBX134" s="3"/>
      <c r="DBY134" s="3"/>
      <c r="DBZ134" s="3"/>
      <c r="DCA134" s="3"/>
      <c r="DCB134" s="3"/>
      <c r="DCC134" s="3"/>
      <c r="DCD134" s="3"/>
      <c r="DCE134" s="3"/>
      <c r="DCF134" s="3"/>
      <c r="DCG134" s="3"/>
      <c r="DCH134" s="3"/>
      <c r="DCI134" s="3"/>
      <c r="DCJ134" s="3"/>
      <c r="DCK134" s="3"/>
      <c r="DCL134" s="3"/>
      <c r="DCM134" s="3"/>
      <c r="DCN134" s="3"/>
      <c r="DCO134" s="3"/>
      <c r="DCP134" s="3"/>
      <c r="DCQ134" s="3"/>
      <c r="DCR134" s="3"/>
      <c r="DCS134" s="3"/>
      <c r="DCT134" s="3"/>
      <c r="DCU134" s="3"/>
      <c r="DCV134" s="3"/>
      <c r="DCW134" s="3"/>
      <c r="DCX134" s="3"/>
      <c r="DCY134" s="3"/>
      <c r="DCZ134" s="3"/>
      <c r="DDA134" s="3"/>
      <c r="DDB134" s="3"/>
      <c r="DDC134" s="3"/>
      <c r="DDD134" s="3"/>
      <c r="DDE134" s="3"/>
      <c r="DDF134" s="3"/>
      <c r="DDG134" s="3"/>
      <c r="DDH134" s="3"/>
      <c r="DDI134" s="3"/>
      <c r="DDJ134" s="3"/>
      <c r="DDK134" s="3"/>
      <c r="DDL134" s="3"/>
      <c r="DDM134" s="3"/>
      <c r="DDN134" s="3"/>
      <c r="DDO134" s="3"/>
      <c r="DDP134" s="3"/>
      <c r="DDQ134" s="3"/>
      <c r="DDR134" s="3"/>
      <c r="DDS134" s="3"/>
      <c r="DDT134" s="3"/>
      <c r="DDU134" s="3"/>
      <c r="DDV134" s="3"/>
      <c r="DDW134" s="3"/>
      <c r="DDX134" s="3"/>
      <c r="DDY134" s="3"/>
      <c r="DDZ134" s="3"/>
      <c r="DEA134" s="3"/>
      <c r="DEB134" s="3"/>
      <c r="DEC134" s="3"/>
      <c r="DED134" s="3"/>
      <c r="DEE134" s="3"/>
      <c r="DEF134" s="3"/>
      <c r="DEG134" s="3"/>
      <c r="DEH134" s="3"/>
      <c r="DEI134" s="3"/>
      <c r="DEJ134" s="3"/>
      <c r="DEK134" s="3"/>
      <c r="DEL134" s="3"/>
      <c r="DEM134" s="3"/>
      <c r="DEN134" s="3"/>
      <c r="DEO134" s="3"/>
      <c r="DEP134" s="3"/>
      <c r="DEQ134" s="3"/>
      <c r="DER134" s="3"/>
      <c r="DES134" s="3"/>
      <c r="DET134" s="3"/>
      <c r="DEU134" s="3"/>
      <c r="DEV134" s="3"/>
      <c r="DEW134" s="3"/>
      <c r="DEX134" s="3"/>
      <c r="DEY134" s="3"/>
      <c r="DEZ134" s="3"/>
      <c r="DFA134" s="3"/>
      <c r="DFB134" s="3"/>
      <c r="DFC134" s="3"/>
      <c r="DFD134" s="3"/>
      <c r="DFE134" s="3"/>
      <c r="DFF134" s="3"/>
      <c r="DFG134" s="3"/>
      <c r="DFH134" s="3"/>
      <c r="DFI134" s="3"/>
      <c r="DFJ134" s="3"/>
      <c r="DFK134" s="3"/>
      <c r="DFL134" s="3"/>
      <c r="DFM134" s="3"/>
      <c r="DFN134" s="3"/>
      <c r="DFO134" s="3"/>
      <c r="DFP134" s="3"/>
      <c r="DFQ134" s="3"/>
      <c r="DFR134" s="3"/>
      <c r="DFS134" s="3"/>
      <c r="DFT134" s="3"/>
      <c r="DFU134" s="3"/>
      <c r="DFV134" s="3"/>
      <c r="DFW134" s="3"/>
      <c r="DFX134" s="3"/>
      <c r="DFY134" s="3"/>
      <c r="DFZ134" s="3"/>
      <c r="DGA134" s="3"/>
      <c r="DGB134" s="3"/>
      <c r="DGC134" s="3"/>
      <c r="DGD134" s="3"/>
      <c r="DGE134" s="3"/>
      <c r="DGF134" s="3"/>
      <c r="DGG134" s="3"/>
      <c r="DGH134" s="3"/>
      <c r="DGI134" s="3"/>
      <c r="DGJ134" s="3"/>
      <c r="DGK134" s="3"/>
      <c r="DGL134" s="3"/>
      <c r="DGM134" s="3"/>
      <c r="DGN134" s="3"/>
      <c r="DGO134" s="3"/>
      <c r="DGP134" s="3"/>
      <c r="DGQ134" s="3"/>
      <c r="DGR134" s="3"/>
      <c r="DGS134" s="3"/>
      <c r="DGT134" s="3"/>
      <c r="DGU134" s="3"/>
      <c r="DGV134" s="3"/>
      <c r="DGW134" s="3"/>
      <c r="DGX134" s="3"/>
      <c r="DGY134" s="3"/>
      <c r="DGZ134" s="3"/>
      <c r="DHA134" s="3"/>
      <c r="DHB134" s="3"/>
      <c r="DHC134" s="3"/>
      <c r="DHD134" s="3"/>
      <c r="DHE134" s="3"/>
      <c r="DHF134" s="3"/>
      <c r="DHG134" s="3"/>
      <c r="DHH134" s="3"/>
      <c r="DHI134" s="3"/>
      <c r="DHJ134" s="3"/>
      <c r="DHK134" s="3"/>
      <c r="DHL134" s="3"/>
      <c r="DHM134" s="3"/>
      <c r="DHN134" s="3"/>
      <c r="DHO134" s="3"/>
      <c r="DHP134" s="3"/>
      <c r="DHQ134" s="3"/>
      <c r="DHR134" s="3"/>
      <c r="DHS134" s="3"/>
      <c r="DHT134" s="3"/>
      <c r="DHU134" s="3"/>
      <c r="DHV134" s="3"/>
      <c r="DHW134" s="3"/>
      <c r="DHX134" s="3"/>
      <c r="DHY134" s="3"/>
      <c r="DHZ134" s="3"/>
      <c r="DIA134" s="3"/>
      <c r="DIB134" s="3"/>
      <c r="DIC134" s="3"/>
      <c r="DID134" s="3"/>
      <c r="DIE134" s="3"/>
      <c r="DIF134" s="3"/>
      <c r="DIG134" s="3"/>
      <c r="DIH134" s="3"/>
      <c r="DII134" s="3"/>
      <c r="DIJ134" s="3"/>
      <c r="DIK134" s="3"/>
      <c r="DIL134" s="3"/>
      <c r="DIM134" s="3"/>
      <c r="DIN134" s="3"/>
      <c r="DIO134" s="3"/>
      <c r="DIP134" s="3"/>
      <c r="DIQ134" s="3"/>
      <c r="DIR134" s="3"/>
      <c r="DIS134" s="3"/>
      <c r="DIT134" s="3"/>
      <c r="DIU134" s="3"/>
      <c r="DIV134" s="3"/>
      <c r="DIW134" s="3"/>
      <c r="DIX134" s="3"/>
      <c r="DIY134" s="3"/>
      <c r="DIZ134" s="3"/>
      <c r="DJA134" s="3"/>
      <c r="DJB134" s="3"/>
      <c r="DJC134" s="3"/>
      <c r="DJD134" s="3"/>
      <c r="DJE134" s="3"/>
      <c r="DJF134" s="3"/>
      <c r="DJG134" s="3"/>
      <c r="DJH134" s="3"/>
      <c r="DJI134" s="3"/>
      <c r="DJJ134" s="3"/>
      <c r="DJK134" s="3"/>
      <c r="DJL134" s="3"/>
      <c r="DJM134" s="3"/>
      <c r="DJN134" s="3"/>
      <c r="DJO134" s="3"/>
      <c r="DJP134" s="3"/>
      <c r="DJQ134" s="3"/>
      <c r="DJR134" s="3"/>
      <c r="DJS134" s="3"/>
      <c r="DJT134" s="3"/>
      <c r="DJU134" s="3"/>
      <c r="DJV134" s="3"/>
      <c r="DJW134" s="3"/>
      <c r="DJX134" s="3"/>
      <c r="DJY134" s="3"/>
      <c r="DJZ134" s="3"/>
      <c r="DKA134" s="3"/>
      <c r="DKB134" s="3"/>
      <c r="DKC134" s="3"/>
      <c r="DKD134" s="3"/>
      <c r="DKE134" s="3"/>
      <c r="DKF134" s="3"/>
      <c r="DKG134" s="3"/>
      <c r="DKH134" s="3"/>
      <c r="DKI134" s="3"/>
      <c r="DKJ134" s="3"/>
      <c r="DKK134" s="3"/>
      <c r="DKL134" s="3"/>
      <c r="DKM134" s="3"/>
      <c r="DKN134" s="3"/>
      <c r="DKO134" s="3"/>
      <c r="DKP134" s="3"/>
      <c r="DKQ134" s="3"/>
      <c r="DKR134" s="3"/>
      <c r="DKS134" s="3"/>
      <c r="DKT134" s="3"/>
      <c r="DKU134" s="3"/>
      <c r="DKV134" s="3"/>
      <c r="DKW134" s="3"/>
      <c r="DKX134" s="3"/>
      <c r="DKY134" s="3"/>
      <c r="DKZ134" s="3"/>
      <c r="DLA134" s="3"/>
      <c r="DLB134" s="3"/>
      <c r="DLC134" s="3"/>
      <c r="DLD134" s="3"/>
      <c r="DLE134" s="3"/>
      <c r="DLF134" s="3"/>
      <c r="DLG134" s="3"/>
      <c r="DLH134" s="3"/>
      <c r="DLI134" s="3"/>
      <c r="DLJ134" s="3"/>
      <c r="DLK134" s="3"/>
      <c r="DLL134" s="3"/>
      <c r="DLM134" s="3"/>
      <c r="DLN134" s="3"/>
      <c r="DLO134" s="3"/>
      <c r="DLP134" s="3"/>
      <c r="DLQ134" s="3"/>
      <c r="DLR134" s="3"/>
      <c r="DLS134" s="3"/>
      <c r="DLT134" s="3"/>
      <c r="DLU134" s="3"/>
      <c r="DLV134" s="3"/>
      <c r="DLW134" s="3"/>
      <c r="DLX134" s="3"/>
      <c r="DLY134" s="3"/>
      <c r="DLZ134" s="3"/>
      <c r="DMA134" s="3"/>
      <c r="DMB134" s="3"/>
      <c r="DMC134" s="3"/>
      <c r="DMD134" s="3"/>
      <c r="DME134" s="3"/>
      <c r="DMF134" s="3"/>
      <c r="DMG134" s="3"/>
      <c r="DMH134" s="3"/>
      <c r="DMI134" s="3"/>
      <c r="DMJ134" s="3"/>
      <c r="DMK134" s="3"/>
      <c r="DML134" s="3"/>
      <c r="DMM134" s="3"/>
      <c r="DMN134" s="3"/>
      <c r="DMO134" s="3"/>
      <c r="DMP134" s="3"/>
      <c r="DMQ134" s="3"/>
      <c r="DMR134" s="3"/>
      <c r="DMS134" s="3"/>
      <c r="DMT134" s="3"/>
      <c r="DMU134" s="3"/>
      <c r="DMV134" s="3"/>
      <c r="DMW134" s="3"/>
      <c r="DMX134" s="3"/>
      <c r="DMY134" s="3"/>
      <c r="DMZ134" s="3"/>
      <c r="DNA134" s="3"/>
      <c r="DNB134" s="3"/>
      <c r="DNC134" s="3"/>
      <c r="DND134" s="3"/>
      <c r="DNE134" s="3"/>
      <c r="DNF134" s="3"/>
      <c r="DNG134" s="3"/>
      <c r="DNH134" s="3"/>
      <c r="DNI134" s="3"/>
      <c r="DNJ134" s="3"/>
      <c r="DNK134" s="3"/>
      <c r="DNL134" s="3"/>
      <c r="DNM134" s="3"/>
      <c r="DNN134" s="3"/>
      <c r="DNO134" s="3"/>
      <c r="DNP134" s="3"/>
      <c r="DNQ134" s="3"/>
      <c r="DNR134" s="3"/>
      <c r="DNS134" s="3"/>
      <c r="DNT134" s="3"/>
      <c r="DNU134" s="3"/>
      <c r="DNV134" s="3"/>
      <c r="DNW134" s="3"/>
      <c r="DNX134" s="3"/>
      <c r="DNY134" s="3"/>
      <c r="DNZ134" s="3"/>
      <c r="DOA134" s="3"/>
      <c r="DOB134" s="3"/>
      <c r="DOC134" s="3"/>
      <c r="DOD134" s="3"/>
      <c r="DOE134" s="3"/>
      <c r="DOF134" s="3"/>
      <c r="DOG134" s="3"/>
      <c r="DOH134" s="3"/>
      <c r="DOI134" s="3"/>
      <c r="DOJ134" s="3"/>
      <c r="DOK134" s="3"/>
      <c r="DOL134" s="3"/>
      <c r="DOM134" s="3"/>
      <c r="DON134" s="3"/>
      <c r="DOO134" s="3"/>
      <c r="DOP134" s="3"/>
      <c r="DOQ134" s="3"/>
      <c r="DOR134" s="3"/>
      <c r="DOS134" s="3"/>
      <c r="DOT134" s="3"/>
      <c r="DOU134" s="3"/>
      <c r="DOV134" s="3"/>
      <c r="DOW134" s="3"/>
      <c r="DOX134" s="3"/>
      <c r="DOY134" s="3"/>
      <c r="DOZ134" s="3"/>
      <c r="DPA134" s="3"/>
      <c r="DPB134" s="3"/>
      <c r="DPC134" s="3"/>
      <c r="DPD134" s="3"/>
      <c r="DPE134" s="3"/>
      <c r="DPF134" s="3"/>
      <c r="DPG134" s="3"/>
      <c r="DPH134" s="3"/>
      <c r="DPI134" s="3"/>
      <c r="DPJ134" s="3"/>
      <c r="DPK134" s="3"/>
      <c r="DPL134" s="3"/>
      <c r="DPM134" s="3"/>
      <c r="DPN134" s="3"/>
      <c r="DPO134" s="3"/>
      <c r="DPP134" s="3"/>
      <c r="DPQ134" s="3"/>
      <c r="DPR134" s="3"/>
      <c r="DPS134" s="3"/>
      <c r="DPT134" s="3"/>
      <c r="DPU134" s="3"/>
      <c r="DPV134" s="3"/>
      <c r="DPW134" s="3"/>
      <c r="DPX134" s="3"/>
      <c r="DPY134" s="3"/>
      <c r="DPZ134" s="3"/>
      <c r="DQA134" s="3"/>
      <c r="DQB134" s="3"/>
      <c r="DQC134" s="3"/>
      <c r="DQD134" s="3"/>
      <c r="DQE134" s="3"/>
      <c r="DQF134" s="3"/>
      <c r="DQG134" s="3"/>
      <c r="DQH134" s="3"/>
      <c r="DQI134" s="3"/>
      <c r="DQJ134" s="3"/>
      <c r="DQK134" s="3"/>
      <c r="DQL134" s="3"/>
      <c r="DQM134" s="3"/>
      <c r="DQN134" s="3"/>
      <c r="DQO134" s="3"/>
      <c r="DQP134" s="3"/>
      <c r="DQQ134" s="3"/>
      <c r="DQR134" s="3"/>
      <c r="DQS134" s="3"/>
      <c r="DQT134" s="3"/>
      <c r="DQU134" s="3"/>
      <c r="DQV134" s="3"/>
      <c r="DQW134" s="3"/>
      <c r="DQX134" s="3"/>
      <c r="DQY134" s="3"/>
      <c r="DQZ134" s="3"/>
      <c r="DRA134" s="3"/>
      <c r="DRB134" s="3"/>
      <c r="DRC134" s="3"/>
      <c r="DRD134" s="3"/>
      <c r="DRE134" s="3"/>
      <c r="DRF134" s="3"/>
      <c r="DRG134" s="3"/>
      <c r="DRH134" s="3"/>
      <c r="DRI134" s="3"/>
      <c r="DRJ134" s="3"/>
      <c r="DRK134" s="3"/>
      <c r="DRL134" s="3"/>
      <c r="DRM134" s="3"/>
      <c r="DRN134" s="3"/>
      <c r="DRO134" s="3"/>
      <c r="DRP134" s="3"/>
      <c r="DRQ134" s="3"/>
      <c r="DRR134" s="3"/>
      <c r="DRS134" s="3"/>
      <c r="DRT134" s="3"/>
      <c r="DRU134" s="3"/>
      <c r="DRV134" s="3"/>
      <c r="DRW134" s="3"/>
      <c r="DRX134" s="3"/>
      <c r="DRY134" s="3"/>
      <c r="DRZ134" s="3"/>
      <c r="DSA134" s="3"/>
      <c r="DSB134" s="3"/>
      <c r="DSC134" s="3"/>
      <c r="DSD134" s="3"/>
      <c r="DSE134" s="3"/>
      <c r="DSF134" s="3"/>
      <c r="DSG134" s="3"/>
      <c r="DSH134" s="3"/>
      <c r="DSI134" s="3"/>
      <c r="DSJ134" s="3"/>
      <c r="DSK134" s="3"/>
      <c r="DSL134" s="3"/>
      <c r="DSM134" s="3"/>
      <c r="DSN134" s="3"/>
      <c r="DSO134" s="3"/>
      <c r="DSP134" s="3"/>
      <c r="DSQ134" s="3"/>
      <c r="DSR134" s="3"/>
      <c r="DSS134" s="3"/>
      <c r="DST134" s="3"/>
      <c r="DSU134" s="3"/>
      <c r="DSV134" s="3"/>
      <c r="DSW134" s="3"/>
      <c r="DSX134" s="3"/>
      <c r="DSY134" s="3"/>
      <c r="DSZ134" s="3"/>
      <c r="DTA134" s="3"/>
      <c r="DTB134" s="3"/>
      <c r="DTC134" s="3"/>
      <c r="DTD134" s="3"/>
      <c r="DTE134" s="3"/>
      <c r="DTF134" s="3"/>
      <c r="DTG134" s="3"/>
      <c r="DTH134" s="3"/>
      <c r="DTI134" s="3"/>
      <c r="DTJ134" s="3"/>
      <c r="DTK134" s="3"/>
      <c r="DTL134" s="3"/>
      <c r="DTM134" s="3"/>
      <c r="DTN134" s="3"/>
      <c r="DTO134" s="3"/>
      <c r="DTP134" s="3"/>
      <c r="DTQ134" s="3"/>
      <c r="DTR134" s="3"/>
      <c r="DTS134" s="3"/>
      <c r="DTT134" s="3"/>
      <c r="DTU134" s="3"/>
      <c r="DTV134" s="3"/>
      <c r="DTW134" s="3"/>
      <c r="DTX134" s="3"/>
      <c r="DTY134" s="3"/>
      <c r="DTZ134" s="3"/>
      <c r="DUA134" s="3"/>
      <c r="DUB134" s="3"/>
      <c r="DUC134" s="3"/>
      <c r="DUD134" s="3"/>
      <c r="DUE134" s="3"/>
      <c r="DUF134" s="3"/>
      <c r="DUG134" s="3"/>
      <c r="DUH134" s="3"/>
      <c r="DUI134" s="3"/>
      <c r="DUJ134" s="3"/>
      <c r="DUK134" s="3"/>
      <c r="DUL134" s="3"/>
      <c r="DUM134" s="3"/>
      <c r="DUN134" s="3"/>
      <c r="DUO134" s="3"/>
      <c r="DUP134" s="3"/>
      <c r="DUQ134" s="3"/>
      <c r="DUR134" s="3"/>
      <c r="DUS134" s="3"/>
      <c r="DUT134" s="3"/>
      <c r="DUU134" s="3"/>
      <c r="DUV134" s="3"/>
      <c r="DUW134" s="3"/>
      <c r="DUX134" s="3"/>
      <c r="DUY134" s="3"/>
      <c r="DUZ134" s="3"/>
      <c r="DVA134" s="3"/>
      <c r="DVB134" s="3"/>
      <c r="DVC134" s="3"/>
      <c r="DVD134" s="3"/>
      <c r="DVE134" s="3"/>
      <c r="DVF134" s="3"/>
      <c r="DVG134" s="3"/>
      <c r="DVH134" s="3"/>
      <c r="DVI134" s="3"/>
      <c r="DVJ134" s="3"/>
      <c r="DVK134" s="3"/>
      <c r="DVL134" s="3"/>
      <c r="DVM134" s="3"/>
      <c r="DVN134" s="3"/>
      <c r="DVO134" s="3"/>
      <c r="DVP134" s="3"/>
      <c r="DVQ134" s="3"/>
      <c r="DVR134" s="3"/>
      <c r="DVS134" s="3"/>
      <c r="DVT134" s="3"/>
      <c r="DVU134" s="3"/>
      <c r="DVV134" s="3"/>
      <c r="DVW134" s="3"/>
      <c r="DVX134" s="3"/>
      <c r="DVY134" s="3"/>
      <c r="DVZ134" s="3"/>
      <c r="DWA134" s="3"/>
      <c r="DWB134" s="3"/>
      <c r="DWC134" s="3"/>
      <c r="DWD134" s="3"/>
      <c r="DWE134" s="3"/>
      <c r="DWF134" s="3"/>
      <c r="DWG134" s="3"/>
      <c r="DWH134" s="3"/>
      <c r="DWI134" s="3"/>
      <c r="DWJ134" s="3"/>
      <c r="DWK134" s="3"/>
      <c r="DWL134" s="3"/>
      <c r="DWM134" s="3"/>
      <c r="DWN134" s="3"/>
      <c r="DWO134" s="3"/>
      <c r="DWP134" s="3"/>
      <c r="DWQ134" s="3"/>
      <c r="DWR134" s="3"/>
      <c r="DWS134" s="3"/>
      <c r="DWT134" s="3"/>
      <c r="DWU134" s="3"/>
      <c r="DWV134" s="3"/>
      <c r="DWW134" s="3"/>
      <c r="DWX134" s="3"/>
      <c r="DWY134" s="3"/>
      <c r="DWZ134" s="3"/>
      <c r="DXA134" s="3"/>
      <c r="DXB134" s="3"/>
      <c r="DXC134" s="3"/>
      <c r="DXD134" s="3"/>
      <c r="DXE134" s="3"/>
      <c r="DXF134" s="3"/>
      <c r="DXG134" s="3"/>
      <c r="DXH134" s="3"/>
      <c r="DXI134" s="3"/>
      <c r="DXJ134" s="3"/>
      <c r="DXK134" s="3"/>
      <c r="DXL134" s="3"/>
      <c r="DXM134" s="3"/>
      <c r="DXN134" s="3"/>
      <c r="DXO134" s="3"/>
      <c r="DXP134" s="3"/>
      <c r="DXQ134" s="3"/>
      <c r="DXR134" s="3"/>
      <c r="DXS134" s="3"/>
      <c r="DXT134" s="3"/>
      <c r="DXU134" s="3"/>
      <c r="DXV134" s="3"/>
      <c r="DXW134" s="3"/>
      <c r="DXX134" s="3"/>
      <c r="DXY134" s="3"/>
      <c r="DXZ134" s="3"/>
      <c r="DYA134" s="3"/>
      <c r="DYB134" s="3"/>
      <c r="DYC134" s="3"/>
      <c r="DYD134" s="3"/>
      <c r="DYE134" s="3"/>
      <c r="DYF134" s="3"/>
      <c r="DYG134" s="3"/>
      <c r="DYH134" s="3"/>
      <c r="DYI134" s="3"/>
      <c r="DYJ134" s="3"/>
      <c r="DYK134" s="3"/>
      <c r="DYL134" s="3"/>
      <c r="DYM134" s="3"/>
      <c r="DYN134" s="3"/>
      <c r="DYO134" s="3"/>
      <c r="DYP134" s="3"/>
      <c r="DYQ134" s="3"/>
      <c r="DYR134" s="3"/>
      <c r="DYS134" s="3"/>
      <c r="DYT134" s="3"/>
      <c r="DYU134" s="3"/>
      <c r="DYV134" s="3"/>
      <c r="DYW134" s="3"/>
      <c r="DYX134" s="3"/>
      <c r="DYY134" s="3"/>
      <c r="DYZ134" s="3"/>
      <c r="DZA134" s="3"/>
      <c r="DZB134" s="3"/>
      <c r="DZC134" s="3"/>
      <c r="DZD134" s="3"/>
      <c r="DZE134" s="3"/>
      <c r="DZF134" s="3"/>
      <c r="DZG134" s="3"/>
      <c r="DZH134" s="3"/>
      <c r="DZI134" s="3"/>
      <c r="DZJ134" s="3"/>
      <c r="DZK134" s="3"/>
      <c r="DZL134" s="3"/>
      <c r="DZM134" s="3"/>
      <c r="DZN134" s="3"/>
      <c r="DZO134" s="3"/>
      <c r="DZP134" s="3"/>
      <c r="DZQ134" s="3"/>
      <c r="DZR134" s="3"/>
      <c r="DZS134" s="3"/>
      <c r="DZT134" s="3"/>
      <c r="DZU134" s="3"/>
      <c r="DZV134" s="3"/>
      <c r="DZW134" s="3"/>
      <c r="DZX134" s="3"/>
      <c r="DZY134" s="3"/>
      <c r="DZZ134" s="3"/>
      <c r="EAA134" s="3"/>
      <c r="EAB134" s="3"/>
      <c r="EAC134" s="3"/>
      <c r="EAD134" s="3"/>
      <c r="EAE134" s="3"/>
      <c r="EAF134" s="3"/>
      <c r="EAG134" s="3"/>
      <c r="EAH134" s="3"/>
      <c r="EAI134" s="3"/>
      <c r="EAJ134" s="3"/>
      <c r="EAK134" s="3"/>
      <c r="EAL134" s="3"/>
      <c r="EAM134" s="3"/>
      <c r="EAN134" s="3"/>
      <c r="EAO134" s="3"/>
      <c r="EAP134" s="3"/>
      <c r="EAQ134" s="3"/>
      <c r="EAR134" s="3"/>
      <c r="EAS134" s="3"/>
      <c r="EAT134" s="3"/>
      <c r="EAU134" s="3"/>
      <c r="EAV134" s="3"/>
      <c r="EAW134" s="3"/>
      <c r="EAX134" s="3"/>
      <c r="EAY134" s="3"/>
      <c r="EAZ134" s="3"/>
      <c r="EBA134" s="3"/>
      <c r="EBB134" s="3"/>
      <c r="EBC134" s="3"/>
      <c r="EBD134" s="3"/>
      <c r="EBE134" s="3"/>
      <c r="EBF134" s="3"/>
      <c r="EBG134" s="3"/>
      <c r="EBH134" s="3"/>
      <c r="EBI134" s="3"/>
      <c r="EBJ134" s="3"/>
      <c r="EBK134" s="3"/>
      <c r="EBL134" s="3"/>
      <c r="EBM134" s="3"/>
      <c r="EBN134" s="3"/>
      <c r="EBO134" s="3"/>
      <c r="EBP134" s="3"/>
      <c r="EBQ134" s="3"/>
      <c r="EBR134" s="3"/>
      <c r="EBS134" s="3"/>
      <c r="EBT134" s="3"/>
      <c r="EBU134" s="3"/>
      <c r="EBV134" s="3"/>
      <c r="EBW134" s="3"/>
      <c r="EBX134" s="3"/>
      <c r="EBY134" s="3"/>
      <c r="EBZ134" s="3"/>
      <c r="ECA134" s="3"/>
      <c r="ECB134" s="3"/>
      <c r="ECC134" s="3"/>
      <c r="ECD134" s="3"/>
      <c r="ECE134" s="3"/>
      <c r="ECF134" s="3"/>
      <c r="ECG134" s="3"/>
      <c r="ECH134" s="3"/>
      <c r="ECI134" s="3"/>
      <c r="ECJ134" s="3"/>
      <c r="ECK134" s="3"/>
      <c r="ECL134" s="3"/>
      <c r="ECM134" s="3"/>
      <c r="ECN134" s="3"/>
      <c r="ECO134" s="3"/>
      <c r="ECP134" s="3"/>
      <c r="ECQ134" s="3"/>
      <c r="ECR134" s="3"/>
      <c r="ECS134" s="3"/>
      <c r="ECT134" s="3"/>
      <c r="ECU134" s="3"/>
      <c r="ECV134" s="3"/>
      <c r="ECW134" s="3"/>
      <c r="ECX134" s="3"/>
      <c r="ECY134" s="3"/>
      <c r="ECZ134" s="3"/>
      <c r="EDA134" s="3"/>
      <c r="EDB134" s="3"/>
      <c r="EDC134" s="3"/>
      <c r="EDD134" s="3"/>
      <c r="EDE134" s="3"/>
      <c r="EDF134" s="3"/>
      <c r="EDG134" s="3"/>
      <c r="EDH134" s="3"/>
      <c r="EDI134" s="3"/>
      <c r="EDJ134" s="3"/>
      <c r="EDK134" s="3"/>
      <c r="EDL134" s="3"/>
      <c r="EDM134" s="3"/>
      <c r="EDN134" s="3"/>
      <c r="EDO134" s="3"/>
      <c r="EDP134" s="3"/>
      <c r="EDQ134" s="3"/>
      <c r="EDR134" s="3"/>
      <c r="EDS134" s="3"/>
      <c r="EDT134" s="3"/>
      <c r="EDU134" s="3"/>
      <c r="EDV134" s="3"/>
      <c r="EDW134" s="3"/>
      <c r="EDX134" s="3"/>
      <c r="EDY134" s="3"/>
      <c r="EDZ134" s="3"/>
      <c r="EEA134" s="3"/>
      <c r="EEB134" s="3"/>
      <c r="EEC134" s="3"/>
      <c r="EED134" s="3"/>
      <c r="EEE134" s="3"/>
      <c r="EEF134" s="3"/>
      <c r="EEG134" s="3"/>
      <c r="EEH134" s="3"/>
      <c r="EEI134" s="3"/>
      <c r="EEJ134" s="3"/>
      <c r="EEK134" s="3"/>
      <c r="EEL134" s="3"/>
      <c r="EEM134" s="3"/>
      <c r="EEN134" s="3"/>
      <c r="EEO134" s="3"/>
      <c r="EEP134" s="3"/>
      <c r="EEQ134" s="3"/>
      <c r="EER134" s="3"/>
      <c r="EES134" s="3"/>
      <c r="EET134" s="3"/>
      <c r="EEU134" s="3"/>
      <c r="EEV134" s="3"/>
      <c r="EEW134" s="3"/>
      <c r="EEX134" s="3"/>
      <c r="EEY134" s="3"/>
      <c r="EEZ134" s="3"/>
      <c r="EFA134" s="3"/>
      <c r="EFB134" s="3"/>
      <c r="EFC134" s="3"/>
      <c r="EFD134" s="3"/>
      <c r="EFE134" s="3"/>
      <c r="EFF134" s="3"/>
      <c r="EFG134" s="3"/>
      <c r="EFH134" s="3"/>
      <c r="EFI134" s="3"/>
      <c r="EFJ134" s="3"/>
      <c r="EFK134" s="3"/>
      <c r="EFL134" s="3"/>
      <c r="EFM134" s="3"/>
      <c r="EFN134" s="3"/>
      <c r="EFO134" s="3"/>
      <c r="EFP134" s="3"/>
      <c r="EFQ134" s="3"/>
      <c r="EFR134" s="3"/>
      <c r="EFS134" s="3"/>
      <c r="EFT134" s="3"/>
      <c r="EFU134" s="3"/>
      <c r="EFV134" s="3"/>
      <c r="EFW134" s="3"/>
      <c r="EFX134" s="3"/>
      <c r="EFY134" s="3"/>
      <c r="EFZ134" s="3"/>
      <c r="EGA134" s="3"/>
      <c r="EGB134" s="3"/>
      <c r="EGC134" s="3"/>
      <c r="EGD134" s="3"/>
      <c r="EGE134" s="3"/>
      <c r="EGF134" s="3"/>
      <c r="EGG134" s="3"/>
      <c r="EGH134" s="3"/>
      <c r="EGI134" s="3"/>
      <c r="EGJ134" s="3"/>
      <c r="EGK134" s="3"/>
      <c r="EGL134" s="3"/>
      <c r="EGM134" s="3"/>
      <c r="EGN134" s="3"/>
      <c r="EGO134" s="3"/>
      <c r="EGP134" s="3"/>
      <c r="EGQ134" s="3"/>
      <c r="EGR134" s="3"/>
      <c r="EGS134" s="3"/>
      <c r="EGT134" s="3"/>
      <c r="EGU134" s="3"/>
      <c r="EGV134" s="3"/>
      <c r="EGW134" s="3"/>
      <c r="EGX134" s="3"/>
      <c r="EGY134" s="3"/>
      <c r="EGZ134" s="3"/>
      <c r="EHA134" s="3"/>
      <c r="EHB134" s="3"/>
      <c r="EHC134" s="3"/>
      <c r="EHD134" s="3"/>
      <c r="EHE134" s="3"/>
      <c r="EHF134" s="3"/>
      <c r="EHG134" s="3"/>
      <c r="EHH134" s="3"/>
      <c r="EHI134" s="3"/>
      <c r="EHJ134" s="3"/>
      <c r="EHK134" s="3"/>
      <c r="EHL134" s="3"/>
      <c r="EHM134" s="3"/>
      <c r="EHN134" s="3"/>
      <c r="EHO134" s="3"/>
      <c r="EHP134" s="3"/>
      <c r="EHQ134" s="3"/>
      <c r="EHR134" s="3"/>
      <c r="EHS134" s="3"/>
      <c r="EHT134" s="3"/>
      <c r="EHU134" s="3"/>
      <c r="EHV134" s="3"/>
      <c r="EHW134" s="3"/>
      <c r="EHX134" s="3"/>
      <c r="EHY134" s="3"/>
      <c r="EHZ134" s="3"/>
      <c r="EIA134" s="3"/>
      <c r="EIB134" s="3"/>
      <c r="EIC134" s="3"/>
      <c r="EID134" s="3"/>
      <c r="EIE134" s="3"/>
      <c r="EIF134" s="3"/>
      <c r="EIG134" s="3"/>
      <c r="EIH134" s="3"/>
      <c r="EII134" s="3"/>
      <c r="EIJ134" s="3"/>
      <c r="EIK134" s="3"/>
      <c r="EIL134" s="3"/>
      <c r="EIM134" s="3"/>
      <c r="EIN134" s="3"/>
      <c r="EIO134" s="3"/>
      <c r="EIP134" s="3"/>
      <c r="EIQ134" s="3"/>
      <c r="EIR134" s="3"/>
      <c r="EIS134" s="3"/>
      <c r="EIT134" s="3"/>
      <c r="EIU134" s="3"/>
      <c r="EIV134" s="3"/>
      <c r="EIW134" s="3"/>
      <c r="EIX134" s="3"/>
      <c r="EIY134" s="3"/>
      <c r="EIZ134" s="3"/>
      <c r="EJA134" s="3"/>
      <c r="EJB134" s="3"/>
      <c r="EJC134" s="3"/>
      <c r="EJD134" s="3"/>
      <c r="EJE134" s="3"/>
      <c r="EJF134" s="3"/>
      <c r="EJG134" s="3"/>
      <c r="EJH134" s="3"/>
      <c r="EJI134" s="3"/>
      <c r="EJJ134" s="3"/>
      <c r="EJK134" s="3"/>
      <c r="EJL134" s="3"/>
      <c r="EJM134" s="3"/>
      <c r="EJN134" s="3"/>
      <c r="EJO134" s="3"/>
      <c r="EJP134" s="3"/>
      <c r="EJQ134" s="3"/>
      <c r="EJR134" s="3"/>
      <c r="EJS134" s="3"/>
      <c r="EJT134" s="3"/>
      <c r="EJU134" s="3"/>
      <c r="EJV134" s="3"/>
      <c r="EJW134" s="3"/>
      <c r="EJX134" s="3"/>
      <c r="EJY134" s="3"/>
      <c r="EJZ134" s="3"/>
      <c r="EKA134" s="3"/>
      <c r="EKB134" s="3"/>
      <c r="EKC134" s="3"/>
      <c r="EKD134" s="3"/>
      <c r="EKE134" s="3"/>
      <c r="EKF134" s="3"/>
      <c r="EKG134" s="3"/>
      <c r="EKH134" s="3"/>
      <c r="EKI134" s="3"/>
      <c r="EKJ134" s="3"/>
      <c r="EKK134" s="3"/>
      <c r="EKL134" s="3"/>
      <c r="EKM134" s="3"/>
      <c r="EKN134" s="3"/>
      <c r="EKO134" s="3"/>
      <c r="EKP134" s="3"/>
      <c r="EKQ134" s="3"/>
      <c r="EKR134" s="3"/>
      <c r="EKS134" s="3"/>
      <c r="EKT134" s="3"/>
      <c r="EKU134" s="3"/>
      <c r="EKV134" s="3"/>
      <c r="EKW134" s="3"/>
      <c r="EKX134" s="3"/>
      <c r="EKY134" s="3"/>
      <c r="EKZ134" s="3"/>
      <c r="ELA134" s="3"/>
      <c r="ELB134" s="3"/>
      <c r="ELC134" s="3"/>
      <c r="ELD134" s="3"/>
      <c r="ELE134" s="3"/>
      <c r="ELF134" s="3"/>
      <c r="ELG134" s="3"/>
      <c r="ELH134" s="3"/>
      <c r="ELI134" s="3"/>
      <c r="ELJ134" s="3"/>
      <c r="ELK134" s="3"/>
      <c r="ELL134" s="3"/>
      <c r="ELM134" s="3"/>
      <c r="ELN134" s="3"/>
      <c r="ELO134" s="3"/>
      <c r="ELP134" s="3"/>
      <c r="ELQ134" s="3"/>
      <c r="ELR134" s="3"/>
      <c r="ELS134" s="3"/>
      <c r="ELT134" s="3"/>
      <c r="ELU134" s="3"/>
      <c r="ELV134" s="3"/>
      <c r="ELW134" s="3"/>
      <c r="ELX134" s="3"/>
      <c r="ELY134" s="3"/>
      <c r="ELZ134" s="3"/>
      <c r="EMA134" s="3"/>
      <c r="EMB134" s="3"/>
      <c r="EMC134" s="3"/>
      <c r="EMD134" s="3"/>
      <c r="EME134" s="3"/>
      <c r="EMF134" s="3"/>
      <c r="EMG134" s="3"/>
      <c r="EMH134" s="3"/>
      <c r="EMI134" s="3"/>
      <c r="EMJ134" s="3"/>
      <c r="EMK134" s="3"/>
      <c r="EML134" s="3"/>
      <c r="EMM134" s="3"/>
      <c r="EMN134" s="3"/>
      <c r="EMO134" s="3"/>
      <c r="EMP134" s="3"/>
      <c r="EMQ134" s="3"/>
      <c r="EMR134" s="3"/>
      <c r="EMS134" s="3"/>
      <c r="EMT134" s="3"/>
      <c r="EMU134" s="3"/>
      <c r="EMV134" s="3"/>
      <c r="EMW134" s="3"/>
      <c r="EMX134" s="3"/>
      <c r="EMY134" s="3"/>
      <c r="EMZ134" s="3"/>
      <c r="ENA134" s="3"/>
      <c r="ENB134" s="3"/>
      <c r="ENC134" s="3"/>
      <c r="END134" s="3"/>
      <c r="ENE134" s="3"/>
      <c r="ENF134" s="3"/>
      <c r="ENG134" s="3"/>
      <c r="ENH134" s="3"/>
      <c r="ENI134" s="3"/>
      <c r="ENJ134" s="3"/>
      <c r="ENK134" s="3"/>
      <c r="ENL134" s="3"/>
      <c r="ENM134" s="3"/>
      <c r="ENN134" s="3"/>
      <c r="ENO134" s="3"/>
      <c r="ENP134" s="3"/>
      <c r="ENQ134" s="3"/>
      <c r="ENR134" s="3"/>
      <c r="ENS134" s="3"/>
      <c r="ENT134" s="3"/>
      <c r="ENU134" s="3"/>
      <c r="ENV134" s="3"/>
      <c r="ENW134" s="3"/>
      <c r="ENX134" s="3"/>
      <c r="ENY134" s="3"/>
      <c r="ENZ134" s="3"/>
      <c r="EOA134" s="3"/>
      <c r="EOB134" s="3"/>
      <c r="EOC134" s="3"/>
      <c r="EOD134" s="3"/>
      <c r="EOE134" s="3"/>
      <c r="EOF134" s="3"/>
      <c r="EOG134" s="3"/>
      <c r="EOH134" s="3"/>
      <c r="EOI134" s="3"/>
      <c r="EOJ134" s="3"/>
      <c r="EOK134" s="3"/>
      <c r="EOL134" s="3"/>
      <c r="EOM134" s="3"/>
      <c r="EON134" s="3"/>
      <c r="EOO134" s="3"/>
      <c r="EOP134" s="3"/>
      <c r="EOQ134" s="3"/>
      <c r="EOR134" s="3"/>
      <c r="EOS134" s="3"/>
      <c r="EOT134" s="3"/>
      <c r="EOU134" s="3"/>
      <c r="EOV134" s="3"/>
      <c r="EOW134" s="3"/>
      <c r="EOX134" s="3"/>
      <c r="EOY134" s="3"/>
      <c r="EOZ134" s="3"/>
      <c r="EPA134" s="3"/>
      <c r="EPB134" s="3"/>
      <c r="EPC134" s="3"/>
      <c r="EPD134" s="3"/>
      <c r="EPE134" s="3"/>
      <c r="EPF134" s="3"/>
      <c r="EPG134" s="3"/>
      <c r="EPH134" s="3"/>
      <c r="EPI134" s="3"/>
      <c r="EPJ134" s="3"/>
      <c r="EPK134" s="3"/>
      <c r="EPL134" s="3"/>
      <c r="EPM134" s="3"/>
      <c r="EPN134" s="3"/>
      <c r="EPO134" s="3"/>
      <c r="EPP134" s="3"/>
      <c r="EPQ134" s="3"/>
      <c r="EPR134" s="3"/>
      <c r="EPS134" s="3"/>
      <c r="EPT134" s="3"/>
      <c r="EPU134" s="3"/>
      <c r="EPV134" s="3"/>
      <c r="EPW134" s="3"/>
      <c r="EPX134" s="3"/>
      <c r="EPY134" s="3"/>
      <c r="EPZ134" s="3"/>
      <c r="EQA134" s="3"/>
      <c r="EQB134" s="3"/>
      <c r="EQC134" s="3"/>
      <c r="EQD134" s="3"/>
      <c r="EQE134" s="3"/>
      <c r="EQF134" s="3"/>
      <c r="EQG134" s="3"/>
      <c r="EQH134" s="3"/>
      <c r="EQI134" s="3"/>
      <c r="EQJ134" s="3"/>
      <c r="EQK134" s="3"/>
      <c r="EQL134" s="3"/>
      <c r="EQM134" s="3"/>
      <c r="EQN134" s="3"/>
      <c r="EQO134" s="3"/>
      <c r="EQP134" s="3"/>
      <c r="EQQ134" s="3"/>
      <c r="EQR134" s="3"/>
      <c r="EQS134" s="3"/>
      <c r="EQT134" s="3"/>
      <c r="EQU134" s="3"/>
      <c r="EQV134" s="3"/>
      <c r="EQW134" s="3"/>
      <c r="EQX134" s="3"/>
      <c r="EQY134" s="3"/>
      <c r="EQZ134" s="3"/>
      <c r="ERA134" s="3"/>
      <c r="ERB134" s="3"/>
      <c r="ERC134" s="3"/>
      <c r="ERD134" s="3"/>
      <c r="ERE134" s="3"/>
      <c r="ERF134" s="3"/>
      <c r="ERG134" s="3"/>
      <c r="ERH134" s="3"/>
      <c r="ERI134" s="3"/>
      <c r="ERJ134" s="3"/>
      <c r="ERK134" s="3"/>
      <c r="ERL134" s="3"/>
      <c r="ERM134" s="3"/>
      <c r="ERN134" s="3"/>
      <c r="ERO134" s="3"/>
      <c r="ERP134" s="3"/>
      <c r="ERQ134" s="3"/>
      <c r="ERR134" s="3"/>
      <c r="ERS134" s="3"/>
      <c r="ERT134" s="3"/>
      <c r="ERU134" s="3"/>
      <c r="ERV134" s="3"/>
      <c r="ERW134" s="3"/>
      <c r="ERX134" s="3"/>
      <c r="ERY134" s="3"/>
      <c r="ERZ134" s="3"/>
      <c r="ESA134" s="3"/>
      <c r="ESB134" s="3"/>
      <c r="ESC134" s="3"/>
      <c r="ESD134" s="3"/>
      <c r="ESE134" s="3"/>
      <c r="ESF134" s="3"/>
      <c r="ESG134" s="3"/>
      <c r="ESH134" s="3"/>
      <c r="ESI134" s="3"/>
      <c r="ESJ134" s="3"/>
      <c r="ESK134" s="3"/>
      <c r="ESL134" s="3"/>
      <c r="ESM134" s="3"/>
      <c r="ESN134" s="3"/>
      <c r="ESO134" s="3"/>
      <c r="ESP134" s="3"/>
      <c r="ESQ134" s="3"/>
      <c r="ESR134" s="3"/>
      <c r="ESS134" s="3"/>
      <c r="EST134" s="3"/>
      <c r="ESU134" s="3"/>
      <c r="ESV134" s="3"/>
      <c r="ESW134" s="3"/>
      <c r="ESX134" s="3"/>
      <c r="ESY134" s="3"/>
      <c r="ESZ134" s="3"/>
      <c r="ETA134" s="3"/>
      <c r="ETB134" s="3"/>
      <c r="ETC134" s="3"/>
      <c r="ETD134" s="3"/>
      <c r="ETE134" s="3"/>
      <c r="ETF134" s="3"/>
      <c r="ETG134" s="3"/>
      <c r="ETH134" s="3"/>
      <c r="ETI134" s="3"/>
      <c r="ETJ134" s="3"/>
      <c r="ETK134" s="3"/>
      <c r="ETL134" s="3"/>
      <c r="ETM134" s="3"/>
      <c r="ETN134" s="3"/>
      <c r="ETO134" s="3"/>
      <c r="ETP134" s="3"/>
      <c r="ETQ134" s="3"/>
      <c r="ETR134" s="3"/>
      <c r="ETS134" s="3"/>
      <c r="ETT134" s="3"/>
      <c r="ETU134" s="3"/>
      <c r="ETV134" s="3"/>
      <c r="ETW134" s="3"/>
      <c r="ETX134" s="3"/>
      <c r="ETY134" s="3"/>
      <c r="ETZ134" s="3"/>
      <c r="EUA134" s="3"/>
      <c r="EUB134" s="3"/>
      <c r="EUC134" s="3"/>
      <c r="EUD134" s="3"/>
      <c r="EUE134" s="3"/>
      <c r="EUF134" s="3"/>
      <c r="EUG134" s="3"/>
      <c r="EUH134" s="3"/>
      <c r="EUI134" s="3"/>
      <c r="EUJ134" s="3"/>
      <c r="EUK134" s="3"/>
      <c r="EUL134" s="3"/>
      <c r="EUM134" s="3"/>
      <c r="EUN134" s="3"/>
      <c r="EUO134" s="3"/>
      <c r="EUP134" s="3"/>
      <c r="EUQ134" s="3"/>
      <c r="EUR134" s="3"/>
      <c r="EUS134" s="3"/>
      <c r="EUT134" s="3"/>
      <c r="EUU134" s="3"/>
      <c r="EUV134" s="3"/>
      <c r="EUW134" s="3"/>
      <c r="EUX134" s="3"/>
      <c r="EUY134" s="3"/>
      <c r="EUZ134" s="3"/>
      <c r="EVA134" s="3"/>
      <c r="EVB134" s="3"/>
      <c r="EVC134" s="3"/>
      <c r="EVD134" s="3"/>
      <c r="EVE134" s="3"/>
      <c r="EVF134" s="3"/>
      <c r="EVG134" s="3"/>
      <c r="EVH134" s="3"/>
      <c r="EVI134" s="3"/>
      <c r="EVJ134" s="3"/>
      <c r="EVK134" s="3"/>
      <c r="EVL134" s="3"/>
      <c r="EVM134" s="3"/>
      <c r="EVN134" s="3"/>
      <c r="EVO134" s="3"/>
      <c r="EVP134" s="3"/>
      <c r="EVQ134" s="3"/>
      <c r="EVR134" s="3"/>
      <c r="EVS134" s="3"/>
      <c r="EVT134" s="3"/>
      <c r="EVU134" s="3"/>
      <c r="EVV134" s="3"/>
      <c r="EVW134" s="3"/>
      <c r="EVX134" s="3"/>
      <c r="EVY134" s="3"/>
      <c r="EVZ134" s="3"/>
      <c r="EWA134" s="3"/>
      <c r="EWB134" s="3"/>
      <c r="EWC134" s="3"/>
      <c r="EWD134" s="3"/>
      <c r="EWE134" s="3"/>
      <c r="EWF134" s="3"/>
      <c r="EWG134" s="3"/>
      <c r="EWH134" s="3"/>
      <c r="EWI134" s="3"/>
      <c r="EWJ134" s="3"/>
      <c r="EWK134" s="3"/>
      <c r="EWL134" s="3"/>
      <c r="EWM134" s="3"/>
      <c r="EWN134" s="3"/>
      <c r="EWO134" s="3"/>
      <c r="EWP134" s="3"/>
      <c r="EWQ134" s="3"/>
      <c r="EWR134" s="3"/>
      <c r="EWS134" s="3"/>
      <c r="EWT134" s="3"/>
      <c r="EWU134" s="3"/>
      <c r="EWV134" s="3"/>
      <c r="EWW134" s="3"/>
      <c r="EWX134" s="3"/>
      <c r="EWY134" s="3"/>
      <c r="EWZ134" s="3"/>
      <c r="EXA134" s="3"/>
      <c r="EXB134" s="3"/>
      <c r="EXC134" s="3"/>
      <c r="EXD134" s="3"/>
      <c r="EXE134" s="3"/>
      <c r="EXF134" s="3"/>
      <c r="EXG134" s="3"/>
      <c r="EXH134" s="3"/>
      <c r="EXI134" s="3"/>
      <c r="EXJ134" s="3"/>
      <c r="EXK134" s="3"/>
      <c r="EXL134" s="3"/>
      <c r="EXM134" s="3"/>
      <c r="EXN134" s="3"/>
      <c r="EXO134" s="3"/>
      <c r="EXP134" s="3"/>
      <c r="EXQ134" s="3"/>
      <c r="EXR134" s="3"/>
      <c r="EXS134" s="3"/>
      <c r="EXT134" s="3"/>
      <c r="EXU134" s="3"/>
      <c r="EXV134" s="3"/>
      <c r="EXW134" s="3"/>
      <c r="EXX134" s="3"/>
      <c r="EXY134" s="3"/>
      <c r="EXZ134" s="3"/>
      <c r="EYA134" s="3"/>
      <c r="EYB134" s="3"/>
      <c r="EYC134" s="3"/>
      <c r="EYD134" s="3"/>
      <c r="EYE134" s="3"/>
      <c r="EYF134" s="3"/>
      <c r="EYG134" s="3"/>
      <c r="EYH134" s="3"/>
      <c r="EYI134" s="3"/>
      <c r="EYJ134" s="3"/>
      <c r="EYK134" s="3"/>
      <c r="EYL134" s="3"/>
      <c r="EYM134" s="3"/>
      <c r="EYN134" s="3"/>
      <c r="EYO134" s="3"/>
      <c r="EYP134" s="3"/>
      <c r="EYQ134" s="3"/>
      <c r="EYR134" s="3"/>
      <c r="EYS134" s="3"/>
      <c r="EYT134" s="3"/>
      <c r="EYU134" s="3"/>
      <c r="EYV134" s="3"/>
      <c r="EYW134" s="3"/>
      <c r="EYX134" s="3"/>
      <c r="EYY134" s="3"/>
      <c r="EYZ134" s="3"/>
      <c r="EZA134" s="3"/>
      <c r="EZB134" s="3"/>
      <c r="EZC134" s="3"/>
      <c r="EZD134" s="3"/>
      <c r="EZE134" s="3"/>
      <c r="EZF134" s="3"/>
      <c r="EZG134" s="3"/>
      <c r="EZH134" s="3"/>
      <c r="EZI134" s="3"/>
      <c r="EZJ134" s="3"/>
      <c r="EZK134" s="3"/>
      <c r="EZL134" s="3"/>
      <c r="EZM134" s="3"/>
      <c r="EZN134" s="3"/>
      <c r="EZO134" s="3"/>
      <c r="EZP134" s="3"/>
      <c r="EZQ134" s="3"/>
      <c r="EZR134" s="3"/>
      <c r="EZS134" s="3"/>
      <c r="EZT134" s="3"/>
      <c r="EZU134" s="3"/>
      <c r="EZV134" s="3"/>
      <c r="EZW134" s="3"/>
      <c r="EZX134" s="3"/>
      <c r="EZY134" s="3"/>
      <c r="EZZ134" s="3"/>
      <c r="FAA134" s="3"/>
      <c r="FAB134" s="3"/>
      <c r="FAC134" s="3"/>
      <c r="FAD134" s="3"/>
      <c r="FAE134" s="3"/>
      <c r="FAF134" s="3"/>
      <c r="FAG134" s="3"/>
      <c r="FAH134" s="3"/>
      <c r="FAI134" s="3"/>
      <c r="FAJ134" s="3"/>
      <c r="FAK134" s="3"/>
      <c r="FAL134" s="3"/>
      <c r="FAM134" s="3"/>
      <c r="FAN134" s="3"/>
      <c r="FAO134" s="3"/>
      <c r="FAP134" s="3"/>
      <c r="FAQ134" s="3"/>
      <c r="FAR134" s="3"/>
      <c r="FAS134" s="3"/>
      <c r="FAT134" s="3"/>
      <c r="FAU134" s="3"/>
      <c r="FAV134" s="3"/>
      <c r="FAW134" s="3"/>
      <c r="FAX134" s="3"/>
      <c r="FAY134" s="3"/>
      <c r="FAZ134" s="3"/>
      <c r="FBA134" s="3"/>
      <c r="FBB134" s="3"/>
      <c r="FBC134" s="3"/>
      <c r="FBD134" s="3"/>
      <c r="FBE134" s="3"/>
      <c r="FBF134" s="3"/>
      <c r="FBG134" s="3"/>
      <c r="FBH134" s="3"/>
      <c r="FBI134" s="3"/>
      <c r="FBJ134" s="3"/>
      <c r="FBK134" s="3"/>
      <c r="FBL134" s="3"/>
      <c r="FBM134" s="3"/>
      <c r="FBN134" s="3"/>
      <c r="FBO134" s="3"/>
      <c r="FBP134" s="3"/>
      <c r="FBQ134" s="3"/>
      <c r="FBR134" s="3"/>
      <c r="FBS134" s="3"/>
      <c r="FBT134" s="3"/>
      <c r="FBU134" s="3"/>
      <c r="FBV134" s="3"/>
      <c r="FBW134" s="3"/>
      <c r="FBX134" s="3"/>
      <c r="FBY134" s="3"/>
      <c r="FBZ134" s="3"/>
      <c r="FCA134" s="3"/>
      <c r="FCB134" s="3"/>
      <c r="FCC134" s="3"/>
      <c r="FCD134" s="3"/>
      <c r="FCE134" s="3"/>
      <c r="FCF134" s="3"/>
      <c r="FCG134" s="3"/>
      <c r="FCH134" s="3"/>
      <c r="FCI134" s="3"/>
      <c r="FCJ134" s="3"/>
      <c r="FCK134" s="3"/>
      <c r="FCL134" s="3"/>
      <c r="FCM134" s="3"/>
      <c r="FCN134" s="3"/>
      <c r="FCO134" s="3"/>
      <c r="FCP134" s="3"/>
      <c r="FCQ134" s="3"/>
      <c r="FCR134" s="3"/>
      <c r="FCS134" s="3"/>
      <c r="FCT134" s="3"/>
      <c r="FCU134" s="3"/>
      <c r="FCV134" s="3"/>
      <c r="FCW134" s="3"/>
      <c r="FCX134" s="3"/>
      <c r="FCY134" s="3"/>
      <c r="FCZ134" s="3"/>
      <c r="FDA134" s="3"/>
      <c r="FDB134" s="3"/>
      <c r="FDC134" s="3"/>
      <c r="FDD134" s="3"/>
      <c r="FDE134" s="3"/>
      <c r="FDF134" s="3"/>
      <c r="FDG134" s="3"/>
      <c r="FDH134" s="3"/>
      <c r="FDI134" s="3"/>
      <c r="FDJ134" s="3"/>
      <c r="FDK134" s="3"/>
      <c r="FDL134" s="3"/>
      <c r="FDM134" s="3"/>
      <c r="FDN134" s="3"/>
      <c r="FDO134" s="3"/>
      <c r="FDP134" s="3"/>
      <c r="FDQ134" s="3"/>
      <c r="FDR134" s="3"/>
      <c r="FDS134" s="3"/>
      <c r="FDT134" s="3"/>
      <c r="FDU134" s="3"/>
      <c r="FDV134" s="3"/>
      <c r="FDW134" s="3"/>
      <c r="FDX134" s="3"/>
      <c r="FDY134" s="3"/>
      <c r="FDZ134" s="3"/>
      <c r="FEA134" s="3"/>
      <c r="FEB134" s="3"/>
      <c r="FEC134" s="3"/>
      <c r="FED134" s="3"/>
      <c r="FEE134" s="3"/>
      <c r="FEF134" s="3"/>
      <c r="FEG134" s="3"/>
      <c r="FEH134" s="3"/>
      <c r="FEI134" s="3"/>
      <c r="FEJ134" s="3"/>
      <c r="FEK134" s="3"/>
      <c r="FEL134" s="3"/>
      <c r="FEM134" s="3"/>
      <c r="FEN134" s="3"/>
      <c r="FEO134" s="3"/>
      <c r="FEP134" s="3"/>
      <c r="FEQ134" s="3"/>
      <c r="FER134" s="3"/>
      <c r="FES134" s="3"/>
      <c r="FET134" s="3"/>
      <c r="FEU134" s="3"/>
      <c r="FEV134" s="3"/>
      <c r="FEW134" s="3"/>
      <c r="FEX134" s="3"/>
      <c r="FEY134" s="3"/>
      <c r="FEZ134" s="3"/>
      <c r="FFA134" s="3"/>
      <c r="FFB134" s="3"/>
      <c r="FFC134" s="3"/>
      <c r="FFD134" s="3"/>
      <c r="FFE134" s="3"/>
      <c r="FFF134" s="3"/>
      <c r="FFG134" s="3"/>
      <c r="FFH134" s="3"/>
      <c r="FFI134" s="3"/>
      <c r="FFJ134" s="3"/>
      <c r="FFK134" s="3"/>
      <c r="FFL134" s="3"/>
      <c r="FFM134" s="3"/>
      <c r="FFN134" s="3"/>
      <c r="FFO134" s="3"/>
      <c r="FFP134" s="3"/>
      <c r="FFQ134" s="3"/>
      <c r="FFR134" s="3"/>
      <c r="FFS134" s="3"/>
      <c r="FFT134" s="3"/>
      <c r="FFU134" s="3"/>
      <c r="FFV134" s="3"/>
      <c r="FFW134" s="3"/>
      <c r="FFX134" s="3"/>
      <c r="FFY134" s="3"/>
      <c r="FFZ134" s="3"/>
      <c r="FGA134" s="3"/>
      <c r="FGB134" s="3"/>
      <c r="FGC134" s="3"/>
      <c r="FGD134" s="3"/>
      <c r="FGE134" s="3"/>
      <c r="FGF134" s="3"/>
      <c r="FGG134" s="3"/>
      <c r="FGH134" s="3"/>
      <c r="FGI134" s="3"/>
      <c r="FGJ134" s="3"/>
      <c r="FGK134" s="3"/>
      <c r="FGL134" s="3"/>
      <c r="FGM134" s="3"/>
      <c r="FGN134" s="3"/>
      <c r="FGO134" s="3"/>
      <c r="FGP134" s="3"/>
      <c r="FGQ134" s="3"/>
      <c r="FGR134" s="3"/>
      <c r="FGS134" s="3"/>
      <c r="FGT134" s="3"/>
      <c r="FGU134" s="3"/>
      <c r="FGV134" s="3"/>
      <c r="FGW134" s="3"/>
      <c r="FGX134" s="3"/>
      <c r="FGY134" s="3"/>
      <c r="FGZ134" s="3"/>
      <c r="FHA134" s="3"/>
      <c r="FHB134" s="3"/>
      <c r="FHC134" s="3"/>
      <c r="FHD134" s="3"/>
      <c r="FHE134" s="3"/>
      <c r="FHF134" s="3"/>
      <c r="FHG134" s="3"/>
      <c r="FHH134" s="3"/>
      <c r="FHI134" s="3"/>
      <c r="FHJ134" s="3"/>
      <c r="FHK134" s="3"/>
      <c r="FHL134" s="3"/>
      <c r="FHM134" s="3"/>
      <c r="FHN134" s="3"/>
      <c r="FHO134" s="3"/>
      <c r="FHP134" s="3"/>
      <c r="FHQ134" s="3"/>
      <c r="FHR134" s="3"/>
      <c r="FHS134" s="3"/>
      <c r="FHT134" s="3"/>
      <c r="FHU134" s="3"/>
      <c r="FHV134" s="3"/>
      <c r="FHW134" s="3"/>
      <c r="FHX134" s="3"/>
      <c r="FHY134" s="3"/>
      <c r="FHZ134" s="3"/>
      <c r="FIA134" s="3"/>
      <c r="FIB134" s="3"/>
      <c r="FIC134" s="3"/>
      <c r="FID134" s="3"/>
      <c r="FIE134" s="3"/>
      <c r="FIF134" s="3"/>
      <c r="FIG134" s="3"/>
      <c r="FIH134" s="3"/>
      <c r="FII134" s="3"/>
      <c r="FIJ134" s="3"/>
      <c r="FIK134" s="3"/>
      <c r="FIL134" s="3"/>
      <c r="FIM134" s="3"/>
      <c r="FIN134" s="3"/>
      <c r="FIO134" s="3"/>
      <c r="FIP134" s="3"/>
      <c r="FIQ134" s="3"/>
      <c r="FIR134" s="3"/>
      <c r="FIS134" s="3"/>
      <c r="FIT134" s="3"/>
      <c r="FIU134" s="3"/>
      <c r="FIV134" s="3"/>
      <c r="FIW134" s="3"/>
      <c r="FIX134" s="3"/>
      <c r="FIY134" s="3"/>
      <c r="FIZ134" s="3"/>
      <c r="FJA134" s="3"/>
      <c r="FJB134" s="3"/>
      <c r="FJC134" s="3"/>
      <c r="FJD134" s="3"/>
      <c r="FJE134" s="3"/>
      <c r="FJF134" s="3"/>
      <c r="FJG134" s="3"/>
      <c r="FJH134" s="3"/>
      <c r="FJI134" s="3"/>
      <c r="FJJ134" s="3"/>
      <c r="FJK134" s="3"/>
      <c r="FJL134" s="3"/>
      <c r="FJM134" s="3"/>
      <c r="FJN134" s="3"/>
      <c r="FJO134" s="3"/>
      <c r="FJP134" s="3"/>
      <c r="FJQ134" s="3"/>
      <c r="FJR134" s="3"/>
      <c r="FJS134" s="3"/>
      <c r="FJT134" s="3"/>
      <c r="FJU134" s="3"/>
      <c r="FJV134" s="3"/>
      <c r="FJW134" s="3"/>
      <c r="FJX134" s="3"/>
      <c r="FJY134" s="3"/>
      <c r="FJZ134" s="3"/>
      <c r="FKA134" s="3"/>
      <c r="FKB134" s="3"/>
      <c r="FKC134" s="3"/>
      <c r="FKD134" s="3"/>
      <c r="FKE134" s="3"/>
      <c r="FKF134" s="3"/>
      <c r="FKG134" s="3"/>
      <c r="FKH134" s="3"/>
      <c r="FKI134" s="3"/>
      <c r="FKJ134" s="3"/>
      <c r="FKK134" s="3"/>
      <c r="FKL134" s="3"/>
      <c r="FKM134" s="3"/>
      <c r="FKN134" s="3"/>
      <c r="FKO134" s="3"/>
      <c r="FKP134" s="3"/>
      <c r="FKQ134" s="3"/>
      <c r="FKR134" s="3"/>
      <c r="FKS134" s="3"/>
      <c r="FKT134" s="3"/>
      <c r="FKU134" s="3"/>
      <c r="FKV134" s="3"/>
      <c r="FKW134" s="3"/>
      <c r="FKX134" s="3"/>
      <c r="FKY134" s="3"/>
      <c r="FKZ134" s="3"/>
      <c r="FLA134" s="3"/>
      <c r="FLB134" s="3"/>
      <c r="FLC134" s="3"/>
      <c r="FLD134" s="3"/>
      <c r="FLE134" s="3"/>
      <c r="FLF134" s="3"/>
      <c r="FLG134" s="3"/>
      <c r="FLH134" s="3"/>
      <c r="FLI134" s="3"/>
      <c r="FLJ134" s="3"/>
      <c r="FLK134" s="3"/>
      <c r="FLL134" s="3"/>
      <c r="FLM134" s="3"/>
      <c r="FLN134" s="3"/>
      <c r="FLO134" s="3"/>
      <c r="FLP134" s="3"/>
      <c r="FLQ134" s="3"/>
      <c r="FLR134" s="3"/>
      <c r="FLS134" s="3"/>
      <c r="FLT134" s="3"/>
      <c r="FLU134" s="3"/>
      <c r="FLV134" s="3"/>
      <c r="FLW134" s="3"/>
      <c r="FLX134" s="3"/>
      <c r="FLY134" s="3"/>
      <c r="FLZ134" s="3"/>
      <c r="FMA134" s="3"/>
      <c r="FMB134" s="3"/>
      <c r="FMC134" s="3"/>
      <c r="FMD134" s="3"/>
      <c r="FME134" s="3"/>
      <c r="FMF134" s="3"/>
      <c r="FMG134" s="3"/>
      <c r="FMH134" s="3"/>
      <c r="FMI134" s="3"/>
      <c r="FMJ134" s="3"/>
      <c r="FMK134" s="3"/>
      <c r="FML134" s="3"/>
      <c r="FMM134" s="3"/>
      <c r="FMN134" s="3"/>
      <c r="FMO134" s="3"/>
      <c r="FMP134" s="3"/>
      <c r="FMQ134" s="3"/>
      <c r="FMR134" s="3"/>
      <c r="FMS134" s="3"/>
      <c r="FMT134" s="3"/>
      <c r="FMU134" s="3"/>
      <c r="FMV134" s="3"/>
      <c r="FMW134" s="3"/>
      <c r="FMX134" s="3"/>
      <c r="FMY134" s="3"/>
      <c r="FMZ134" s="3"/>
      <c r="FNA134" s="3"/>
      <c r="FNB134" s="3"/>
      <c r="FNC134" s="3"/>
      <c r="FND134" s="3"/>
      <c r="FNE134" s="3"/>
      <c r="FNF134" s="3"/>
      <c r="FNG134" s="3"/>
      <c r="FNH134" s="3"/>
      <c r="FNI134" s="3"/>
      <c r="FNJ134" s="3"/>
      <c r="FNK134" s="3"/>
      <c r="FNL134" s="3"/>
      <c r="FNM134" s="3"/>
      <c r="FNN134" s="3"/>
      <c r="FNO134" s="3"/>
      <c r="FNP134" s="3"/>
      <c r="FNQ134" s="3"/>
      <c r="FNR134" s="3"/>
      <c r="FNS134" s="3"/>
      <c r="FNT134" s="3"/>
      <c r="FNU134" s="3"/>
      <c r="FNV134" s="3"/>
      <c r="FNW134" s="3"/>
      <c r="FNX134" s="3"/>
      <c r="FNY134" s="3"/>
      <c r="FNZ134" s="3"/>
      <c r="FOA134" s="3"/>
      <c r="FOB134" s="3"/>
      <c r="FOC134" s="3"/>
      <c r="FOD134" s="3"/>
      <c r="FOE134" s="3"/>
      <c r="FOF134" s="3"/>
      <c r="FOG134" s="3"/>
      <c r="FOH134" s="3"/>
      <c r="FOI134" s="3"/>
      <c r="FOJ134" s="3"/>
      <c r="FOK134" s="3"/>
      <c r="FOL134" s="3"/>
      <c r="FOM134" s="3"/>
      <c r="FON134" s="3"/>
      <c r="FOO134" s="3"/>
      <c r="FOP134" s="3"/>
      <c r="FOQ134" s="3"/>
      <c r="FOR134" s="3"/>
      <c r="FOS134" s="3"/>
      <c r="FOT134" s="3"/>
      <c r="FOU134" s="3"/>
      <c r="FOV134" s="3"/>
      <c r="FOW134" s="3"/>
      <c r="FOX134" s="3"/>
      <c r="FOY134" s="3"/>
      <c r="FOZ134" s="3"/>
      <c r="FPA134" s="3"/>
      <c r="FPB134" s="3"/>
      <c r="FPC134" s="3"/>
      <c r="FPD134" s="3"/>
      <c r="FPE134" s="3"/>
      <c r="FPF134" s="3"/>
      <c r="FPG134" s="3"/>
      <c r="FPH134" s="3"/>
      <c r="FPI134" s="3"/>
      <c r="FPJ134" s="3"/>
      <c r="FPK134" s="3"/>
      <c r="FPL134" s="3"/>
      <c r="FPM134" s="3"/>
      <c r="FPN134" s="3"/>
      <c r="FPO134" s="3"/>
      <c r="FPP134" s="3"/>
      <c r="FPQ134" s="3"/>
      <c r="FPR134" s="3"/>
      <c r="FPS134" s="3"/>
      <c r="FPT134" s="3"/>
      <c r="FPU134" s="3"/>
      <c r="FPV134" s="3"/>
      <c r="FPW134" s="3"/>
      <c r="FPX134" s="3"/>
      <c r="FPY134" s="3"/>
      <c r="FPZ134" s="3"/>
      <c r="FQA134" s="3"/>
      <c r="FQB134" s="3"/>
      <c r="FQC134" s="3"/>
      <c r="FQD134" s="3"/>
      <c r="FQE134" s="3"/>
      <c r="FQF134" s="3"/>
      <c r="FQG134" s="3"/>
      <c r="FQH134" s="3"/>
      <c r="FQI134" s="3"/>
      <c r="FQJ134" s="3"/>
      <c r="FQK134" s="3"/>
      <c r="FQL134" s="3"/>
      <c r="FQM134" s="3"/>
      <c r="FQN134" s="3"/>
      <c r="FQO134" s="3"/>
      <c r="FQP134" s="3"/>
      <c r="FQQ134" s="3"/>
      <c r="FQR134" s="3"/>
      <c r="FQS134" s="3"/>
      <c r="FQT134" s="3"/>
      <c r="FQU134" s="3"/>
      <c r="FQV134" s="3"/>
      <c r="FQW134" s="3"/>
      <c r="FQX134" s="3"/>
      <c r="FQY134" s="3"/>
      <c r="FQZ134" s="3"/>
      <c r="FRA134" s="3"/>
      <c r="FRB134" s="3"/>
      <c r="FRC134" s="3"/>
      <c r="FRD134" s="3"/>
      <c r="FRE134" s="3"/>
      <c r="FRF134" s="3"/>
      <c r="FRG134" s="3"/>
      <c r="FRH134" s="3"/>
      <c r="FRI134" s="3"/>
      <c r="FRJ134" s="3"/>
      <c r="FRK134" s="3"/>
      <c r="FRL134" s="3"/>
      <c r="FRM134" s="3"/>
      <c r="FRN134" s="3"/>
      <c r="FRO134" s="3"/>
      <c r="FRP134" s="3"/>
      <c r="FRQ134" s="3"/>
      <c r="FRR134" s="3"/>
      <c r="FRS134" s="3"/>
      <c r="FRT134" s="3"/>
      <c r="FRU134" s="3"/>
      <c r="FRV134" s="3"/>
      <c r="FRW134" s="3"/>
      <c r="FRX134" s="3"/>
      <c r="FRY134" s="3"/>
      <c r="FRZ134" s="3"/>
      <c r="FSA134" s="3"/>
      <c r="FSB134" s="3"/>
      <c r="FSC134" s="3"/>
      <c r="FSD134" s="3"/>
      <c r="FSE134" s="3"/>
      <c r="FSF134" s="3"/>
      <c r="FSG134" s="3"/>
      <c r="FSH134" s="3"/>
      <c r="FSI134" s="3"/>
      <c r="FSJ134" s="3"/>
      <c r="FSK134" s="3"/>
      <c r="FSL134" s="3"/>
      <c r="FSM134" s="3"/>
      <c r="FSN134" s="3"/>
      <c r="FSO134" s="3"/>
      <c r="FSP134" s="3"/>
      <c r="FSQ134" s="3"/>
      <c r="FSR134" s="3"/>
      <c r="FSS134" s="3"/>
      <c r="FST134" s="3"/>
      <c r="FSU134" s="3"/>
      <c r="FSV134" s="3"/>
      <c r="FSW134" s="3"/>
      <c r="FSX134" s="3"/>
      <c r="FSY134" s="3"/>
      <c r="FSZ134" s="3"/>
      <c r="FTA134" s="3"/>
      <c r="FTB134" s="3"/>
      <c r="FTC134" s="3"/>
      <c r="FTD134" s="3"/>
      <c r="FTE134" s="3"/>
      <c r="FTF134" s="3"/>
      <c r="FTG134" s="3"/>
      <c r="FTH134" s="3"/>
      <c r="FTI134" s="3"/>
      <c r="FTJ134" s="3"/>
      <c r="FTK134" s="3"/>
      <c r="FTL134" s="3"/>
      <c r="FTM134" s="3"/>
      <c r="FTN134" s="3"/>
      <c r="FTO134" s="3"/>
      <c r="FTP134" s="3"/>
      <c r="FTQ134" s="3"/>
      <c r="FTR134" s="3"/>
      <c r="FTS134" s="3"/>
      <c r="FTT134" s="3"/>
      <c r="FTU134" s="3"/>
      <c r="FTV134" s="3"/>
      <c r="FTW134" s="3"/>
      <c r="FTX134" s="3"/>
      <c r="FTY134" s="3"/>
      <c r="FTZ134" s="3"/>
      <c r="FUA134" s="3"/>
      <c r="FUB134" s="3"/>
      <c r="FUC134" s="3"/>
      <c r="FUD134" s="3"/>
      <c r="FUE134" s="3"/>
      <c r="FUF134" s="3"/>
      <c r="FUG134" s="3"/>
      <c r="FUH134" s="3"/>
      <c r="FUI134" s="3"/>
      <c r="FUJ134" s="3"/>
      <c r="FUK134" s="3"/>
      <c r="FUL134" s="3"/>
      <c r="FUM134" s="3"/>
      <c r="FUN134" s="3"/>
      <c r="FUO134" s="3"/>
      <c r="FUP134" s="3"/>
      <c r="FUQ134" s="3"/>
      <c r="FUR134" s="3"/>
      <c r="FUS134" s="3"/>
      <c r="FUT134" s="3"/>
      <c r="FUU134" s="3"/>
      <c r="FUV134" s="3"/>
      <c r="FUW134" s="3"/>
      <c r="FUX134" s="3"/>
      <c r="FUY134" s="3"/>
      <c r="FUZ134" s="3"/>
      <c r="FVA134" s="3"/>
      <c r="FVB134" s="3"/>
      <c r="FVC134" s="3"/>
      <c r="FVD134" s="3"/>
      <c r="FVE134" s="3"/>
      <c r="FVF134" s="3"/>
      <c r="FVG134" s="3"/>
      <c r="FVH134" s="3"/>
      <c r="FVI134" s="3"/>
      <c r="FVJ134" s="3"/>
      <c r="FVK134" s="3"/>
      <c r="FVL134" s="3"/>
      <c r="FVM134" s="3"/>
      <c r="FVN134" s="3"/>
      <c r="FVO134" s="3"/>
      <c r="FVP134" s="3"/>
      <c r="FVQ134" s="3"/>
      <c r="FVR134" s="3"/>
      <c r="FVS134" s="3"/>
      <c r="FVT134" s="3"/>
      <c r="FVU134" s="3"/>
      <c r="FVV134" s="3"/>
      <c r="FVW134" s="3"/>
      <c r="FVX134" s="3"/>
      <c r="FVY134" s="3"/>
      <c r="FVZ134" s="3"/>
      <c r="FWA134" s="3"/>
      <c r="FWB134" s="3"/>
      <c r="FWC134" s="3"/>
      <c r="FWD134" s="3"/>
      <c r="FWE134" s="3"/>
      <c r="FWF134" s="3"/>
      <c r="FWG134" s="3"/>
      <c r="FWH134" s="3"/>
      <c r="FWI134" s="3"/>
      <c r="FWJ134" s="3"/>
      <c r="FWK134" s="3"/>
      <c r="FWL134" s="3"/>
      <c r="FWM134" s="3"/>
      <c r="FWN134" s="3"/>
      <c r="FWO134" s="3"/>
      <c r="FWP134" s="3"/>
      <c r="FWQ134" s="3"/>
      <c r="FWR134" s="3"/>
      <c r="FWS134" s="3"/>
      <c r="FWT134" s="3"/>
      <c r="FWU134" s="3"/>
      <c r="FWV134" s="3"/>
      <c r="FWW134" s="3"/>
      <c r="FWX134" s="3"/>
      <c r="FWY134" s="3"/>
      <c r="FWZ134" s="3"/>
      <c r="FXA134" s="3"/>
      <c r="FXB134" s="3"/>
      <c r="FXC134" s="3"/>
      <c r="FXD134" s="3"/>
      <c r="FXE134" s="3"/>
      <c r="FXF134" s="3"/>
      <c r="FXG134" s="3"/>
      <c r="FXH134" s="3"/>
      <c r="FXI134" s="3"/>
      <c r="FXJ134" s="3"/>
      <c r="FXK134" s="3"/>
      <c r="FXL134" s="3"/>
      <c r="FXM134" s="3"/>
      <c r="FXN134" s="3"/>
      <c r="FXO134" s="3"/>
      <c r="FXP134" s="3"/>
      <c r="FXQ134" s="3"/>
      <c r="FXR134" s="3"/>
      <c r="FXS134" s="3"/>
      <c r="FXT134" s="3"/>
      <c r="FXU134" s="3"/>
      <c r="FXV134" s="3"/>
      <c r="FXW134" s="3"/>
      <c r="FXX134" s="3"/>
      <c r="FXY134" s="3"/>
      <c r="FXZ134" s="3"/>
      <c r="FYA134" s="3"/>
      <c r="FYB134" s="3"/>
      <c r="FYC134" s="3"/>
      <c r="FYD134" s="3"/>
      <c r="FYE134" s="3"/>
      <c r="FYF134" s="3"/>
      <c r="FYG134" s="3"/>
      <c r="FYH134" s="3"/>
      <c r="FYI134" s="3"/>
      <c r="FYJ134" s="3"/>
      <c r="FYK134" s="3"/>
      <c r="FYL134" s="3"/>
      <c r="FYM134" s="3"/>
      <c r="FYN134" s="3"/>
      <c r="FYO134" s="3"/>
      <c r="FYP134" s="3"/>
      <c r="FYQ134" s="3"/>
      <c r="FYR134" s="3"/>
      <c r="FYS134" s="3"/>
      <c r="FYT134" s="3"/>
      <c r="FYU134" s="3"/>
      <c r="FYV134" s="3"/>
      <c r="FYW134" s="3"/>
      <c r="FYX134" s="3"/>
      <c r="FYY134" s="3"/>
      <c r="FYZ134" s="3"/>
      <c r="FZA134" s="3"/>
      <c r="FZB134" s="3"/>
      <c r="FZC134" s="3"/>
      <c r="FZD134" s="3"/>
      <c r="FZE134" s="3"/>
      <c r="FZF134" s="3"/>
      <c r="FZG134" s="3"/>
      <c r="FZH134" s="3"/>
      <c r="FZI134" s="3"/>
      <c r="FZJ134" s="3"/>
      <c r="FZK134" s="3"/>
      <c r="FZL134" s="3"/>
      <c r="FZM134" s="3"/>
      <c r="FZN134" s="3"/>
      <c r="FZO134" s="3"/>
      <c r="FZP134" s="3"/>
      <c r="FZQ134" s="3"/>
      <c r="FZR134" s="3"/>
      <c r="FZS134" s="3"/>
      <c r="FZT134" s="3"/>
      <c r="FZU134" s="3"/>
      <c r="FZV134" s="3"/>
      <c r="FZW134" s="3"/>
      <c r="FZX134" s="3"/>
      <c r="FZY134" s="3"/>
      <c r="FZZ134" s="3"/>
      <c r="GAA134" s="3"/>
      <c r="GAB134" s="3"/>
      <c r="GAC134" s="3"/>
      <c r="GAD134" s="3"/>
      <c r="GAE134" s="3"/>
      <c r="GAF134" s="3"/>
      <c r="GAG134" s="3"/>
      <c r="GAH134" s="3"/>
      <c r="GAI134" s="3"/>
      <c r="GAJ134" s="3"/>
      <c r="GAK134" s="3"/>
      <c r="GAL134" s="3"/>
      <c r="GAM134" s="3"/>
      <c r="GAN134" s="3"/>
      <c r="GAO134" s="3"/>
      <c r="GAP134" s="3"/>
      <c r="GAQ134" s="3"/>
      <c r="GAR134" s="3"/>
      <c r="GAS134" s="3"/>
      <c r="GAT134" s="3"/>
      <c r="GAU134" s="3"/>
      <c r="GAV134" s="3"/>
      <c r="GAW134" s="3"/>
      <c r="GAX134" s="3"/>
      <c r="GAY134" s="3"/>
      <c r="GAZ134" s="3"/>
      <c r="GBA134" s="3"/>
      <c r="GBB134" s="3"/>
      <c r="GBC134" s="3"/>
      <c r="GBD134" s="3"/>
      <c r="GBE134" s="3"/>
      <c r="GBF134" s="3"/>
      <c r="GBG134" s="3"/>
      <c r="GBH134" s="3"/>
      <c r="GBI134" s="3"/>
      <c r="GBJ134" s="3"/>
      <c r="GBK134" s="3"/>
      <c r="GBL134" s="3"/>
      <c r="GBM134" s="3"/>
      <c r="GBN134" s="3"/>
      <c r="GBO134" s="3"/>
      <c r="GBP134" s="3"/>
      <c r="GBQ134" s="3"/>
      <c r="GBR134" s="3"/>
      <c r="GBS134" s="3"/>
      <c r="GBT134" s="3"/>
      <c r="GBU134" s="3"/>
      <c r="GBV134" s="3"/>
      <c r="GBW134" s="3"/>
      <c r="GBX134" s="3"/>
      <c r="GBY134" s="3"/>
      <c r="GBZ134" s="3"/>
      <c r="GCA134" s="3"/>
      <c r="GCB134" s="3"/>
      <c r="GCC134" s="3"/>
      <c r="GCD134" s="3"/>
      <c r="GCE134" s="3"/>
      <c r="GCF134" s="3"/>
      <c r="GCG134" s="3"/>
      <c r="GCH134" s="3"/>
      <c r="GCI134" s="3"/>
      <c r="GCJ134" s="3"/>
      <c r="GCK134" s="3"/>
      <c r="GCL134" s="3"/>
      <c r="GCM134" s="3"/>
      <c r="GCN134" s="3"/>
      <c r="GCO134" s="3"/>
      <c r="GCP134" s="3"/>
      <c r="GCQ134" s="3"/>
      <c r="GCR134" s="3"/>
      <c r="GCS134" s="3"/>
      <c r="GCT134" s="3"/>
      <c r="GCU134" s="3"/>
      <c r="GCV134" s="3"/>
      <c r="GCW134" s="3"/>
      <c r="GCX134" s="3"/>
      <c r="GCY134" s="3"/>
      <c r="GCZ134" s="3"/>
      <c r="GDA134" s="3"/>
      <c r="GDB134" s="3"/>
      <c r="GDC134" s="3"/>
      <c r="GDD134" s="3"/>
      <c r="GDE134" s="3"/>
      <c r="GDF134" s="3"/>
      <c r="GDG134" s="3"/>
      <c r="GDH134" s="3"/>
      <c r="GDI134" s="3"/>
      <c r="GDJ134" s="3"/>
      <c r="GDK134" s="3"/>
      <c r="GDL134" s="3"/>
      <c r="GDM134" s="3"/>
      <c r="GDN134" s="3"/>
      <c r="GDO134" s="3"/>
      <c r="GDP134" s="3"/>
      <c r="GDQ134" s="3"/>
      <c r="GDR134" s="3"/>
      <c r="GDS134" s="3"/>
      <c r="GDT134" s="3"/>
      <c r="GDU134" s="3"/>
      <c r="GDV134" s="3"/>
      <c r="GDW134" s="3"/>
      <c r="GDX134" s="3"/>
      <c r="GDY134" s="3"/>
      <c r="GDZ134" s="3"/>
      <c r="GEA134" s="3"/>
      <c r="GEB134" s="3"/>
      <c r="GEC134" s="3"/>
      <c r="GED134" s="3"/>
      <c r="GEE134" s="3"/>
      <c r="GEF134" s="3"/>
      <c r="GEG134" s="3"/>
      <c r="GEH134" s="3"/>
      <c r="GEI134" s="3"/>
      <c r="GEJ134" s="3"/>
      <c r="GEK134" s="3"/>
      <c r="GEL134" s="3"/>
      <c r="GEM134" s="3"/>
      <c r="GEN134" s="3"/>
      <c r="GEO134" s="3"/>
      <c r="GEP134" s="3"/>
      <c r="GEQ134" s="3"/>
      <c r="GER134" s="3"/>
      <c r="GES134" s="3"/>
      <c r="GET134" s="3"/>
      <c r="GEU134" s="3"/>
      <c r="GEV134" s="3"/>
      <c r="GEW134" s="3"/>
      <c r="GEX134" s="3"/>
      <c r="GEY134" s="3"/>
      <c r="GEZ134" s="3"/>
      <c r="GFA134" s="3"/>
      <c r="GFB134" s="3"/>
      <c r="GFC134" s="3"/>
      <c r="GFD134" s="3"/>
      <c r="GFE134" s="3"/>
      <c r="GFF134" s="3"/>
      <c r="GFG134" s="3"/>
      <c r="GFH134" s="3"/>
      <c r="GFI134" s="3"/>
      <c r="GFJ134" s="3"/>
      <c r="GFK134" s="3"/>
      <c r="GFL134" s="3"/>
      <c r="GFM134" s="3"/>
      <c r="GFN134" s="3"/>
      <c r="GFO134" s="3"/>
      <c r="GFP134" s="3"/>
      <c r="GFQ134" s="3"/>
      <c r="GFR134" s="3"/>
      <c r="GFS134" s="3"/>
      <c r="GFT134" s="3"/>
      <c r="GFU134" s="3"/>
      <c r="GFV134" s="3"/>
      <c r="GFW134" s="3"/>
      <c r="GFX134" s="3"/>
      <c r="GFY134" s="3"/>
      <c r="GFZ134" s="3"/>
      <c r="GGA134" s="3"/>
      <c r="GGB134" s="3"/>
      <c r="GGC134" s="3"/>
      <c r="GGD134" s="3"/>
      <c r="GGE134" s="3"/>
      <c r="GGF134" s="3"/>
      <c r="GGG134" s="3"/>
      <c r="GGH134" s="3"/>
      <c r="GGI134" s="3"/>
      <c r="GGJ134" s="3"/>
      <c r="GGK134" s="3"/>
      <c r="GGL134" s="3"/>
      <c r="GGM134" s="3"/>
      <c r="GGN134" s="3"/>
      <c r="GGO134" s="3"/>
      <c r="GGP134" s="3"/>
      <c r="GGQ134" s="3"/>
      <c r="GGR134" s="3"/>
      <c r="GGS134" s="3"/>
      <c r="GGT134" s="3"/>
      <c r="GGU134" s="3"/>
      <c r="GGV134" s="3"/>
      <c r="GGW134" s="3"/>
      <c r="GGX134" s="3"/>
      <c r="GGY134" s="3"/>
      <c r="GGZ134" s="3"/>
      <c r="GHA134" s="3"/>
      <c r="GHB134" s="3"/>
      <c r="GHC134" s="3"/>
      <c r="GHD134" s="3"/>
      <c r="GHE134" s="3"/>
      <c r="GHF134" s="3"/>
      <c r="GHG134" s="3"/>
      <c r="GHH134" s="3"/>
      <c r="GHI134" s="3"/>
      <c r="GHJ134" s="3"/>
      <c r="GHK134" s="3"/>
      <c r="GHL134" s="3"/>
      <c r="GHM134" s="3"/>
      <c r="GHN134" s="3"/>
      <c r="GHO134" s="3"/>
      <c r="GHP134" s="3"/>
      <c r="GHQ134" s="3"/>
      <c r="GHR134" s="3"/>
      <c r="GHS134" s="3"/>
      <c r="GHT134" s="3"/>
      <c r="GHU134" s="3"/>
      <c r="GHV134" s="3"/>
      <c r="GHW134" s="3"/>
      <c r="GHX134" s="3"/>
      <c r="GHY134" s="3"/>
      <c r="GHZ134" s="3"/>
      <c r="GIA134" s="3"/>
      <c r="GIB134" s="3"/>
      <c r="GIC134" s="3"/>
      <c r="GID134" s="3"/>
      <c r="GIE134" s="3"/>
      <c r="GIF134" s="3"/>
      <c r="GIG134" s="3"/>
      <c r="GIH134" s="3"/>
      <c r="GII134" s="3"/>
      <c r="GIJ134" s="3"/>
      <c r="GIK134" s="3"/>
      <c r="GIL134" s="3"/>
      <c r="GIM134" s="3"/>
      <c r="GIN134" s="3"/>
      <c r="GIO134" s="3"/>
      <c r="GIP134" s="3"/>
      <c r="GIQ134" s="3"/>
      <c r="GIR134" s="3"/>
      <c r="GIS134" s="3"/>
      <c r="GIT134" s="3"/>
      <c r="GIU134" s="3"/>
      <c r="GIV134" s="3"/>
      <c r="GIW134" s="3"/>
      <c r="GIX134" s="3"/>
      <c r="GIY134" s="3"/>
      <c r="GIZ134" s="3"/>
      <c r="GJA134" s="3"/>
      <c r="GJB134" s="3"/>
      <c r="GJC134" s="3"/>
      <c r="GJD134" s="3"/>
      <c r="GJE134" s="3"/>
      <c r="GJF134" s="3"/>
      <c r="GJG134" s="3"/>
      <c r="GJH134" s="3"/>
      <c r="GJI134" s="3"/>
      <c r="GJJ134" s="3"/>
      <c r="GJK134" s="3"/>
      <c r="GJL134" s="3"/>
      <c r="GJM134" s="3"/>
      <c r="GJN134" s="3"/>
      <c r="GJO134" s="3"/>
      <c r="GJP134" s="3"/>
      <c r="GJQ134" s="3"/>
      <c r="GJR134" s="3"/>
      <c r="GJS134" s="3"/>
      <c r="GJT134" s="3"/>
      <c r="GJU134" s="3"/>
      <c r="GJV134" s="3"/>
      <c r="GJW134" s="3"/>
      <c r="GJX134" s="3"/>
      <c r="GJY134" s="3"/>
      <c r="GJZ134" s="3"/>
      <c r="GKA134" s="3"/>
      <c r="GKB134" s="3"/>
      <c r="GKC134" s="3"/>
      <c r="GKD134" s="3"/>
      <c r="GKE134" s="3"/>
      <c r="GKF134" s="3"/>
      <c r="GKG134" s="3"/>
      <c r="GKH134" s="3"/>
      <c r="GKI134" s="3"/>
      <c r="GKJ134" s="3"/>
      <c r="GKK134" s="3"/>
      <c r="GKL134" s="3"/>
      <c r="GKM134" s="3"/>
      <c r="GKN134" s="3"/>
      <c r="GKO134" s="3"/>
      <c r="GKP134" s="3"/>
      <c r="GKQ134" s="3"/>
      <c r="GKR134" s="3"/>
      <c r="GKS134" s="3"/>
      <c r="GKT134" s="3"/>
      <c r="GKU134" s="3"/>
      <c r="GKV134" s="3"/>
      <c r="GKW134" s="3"/>
      <c r="GKX134" s="3"/>
      <c r="GKY134" s="3"/>
      <c r="GKZ134" s="3"/>
      <c r="GLA134" s="3"/>
      <c r="GLB134" s="3"/>
      <c r="GLC134" s="3"/>
      <c r="GLD134" s="3"/>
      <c r="GLE134" s="3"/>
      <c r="GLF134" s="3"/>
      <c r="GLG134" s="3"/>
      <c r="GLH134" s="3"/>
      <c r="GLI134" s="3"/>
      <c r="GLJ134" s="3"/>
      <c r="GLK134" s="3"/>
      <c r="GLL134" s="3"/>
      <c r="GLM134" s="3"/>
      <c r="GLN134" s="3"/>
      <c r="GLO134" s="3"/>
      <c r="GLP134" s="3"/>
      <c r="GLQ134" s="3"/>
      <c r="GLR134" s="3"/>
      <c r="GLS134" s="3"/>
      <c r="GLT134" s="3"/>
      <c r="GLU134" s="3"/>
      <c r="GLV134" s="3"/>
      <c r="GLW134" s="3"/>
      <c r="GLX134" s="3"/>
      <c r="GLY134" s="3"/>
      <c r="GLZ134" s="3"/>
      <c r="GMA134" s="3"/>
      <c r="GMB134" s="3"/>
      <c r="GMC134" s="3"/>
      <c r="GMD134" s="3"/>
      <c r="GME134" s="3"/>
      <c r="GMF134" s="3"/>
      <c r="GMG134" s="3"/>
      <c r="GMH134" s="3"/>
      <c r="GMI134" s="3"/>
      <c r="GMJ134" s="3"/>
      <c r="GMK134" s="3"/>
      <c r="GML134" s="3"/>
      <c r="GMM134" s="3"/>
      <c r="GMN134" s="3"/>
      <c r="GMO134" s="3"/>
      <c r="GMP134" s="3"/>
      <c r="GMQ134" s="3"/>
      <c r="GMR134" s="3"/>
      <c r="GMS134" s="3"/>
      <c r="GMT134" s="3"/>
      <c r="GMU134" s="3"/>
      <c r="GMV134" s="3"/>
      <c r="GMW134" s="3"/>
      <c r="GMX134" s="3"/>
      <c r="GMY134" s="3"/>
      <c r="GMZ134" s="3"/>
      <c r="GNA134" s="3"/>
      <c r="GNB134" s="3"/>
      <c r="GNC134" s="3"/>
      <c r="GND134" s="3"/>
      <c r="GNE134" s="3"/>
      <c r="GNF134" s="3"/>
      <c r="GNG134" s="3"/>
      <c r="GNH134" s="3"/>
      <c r="GNI134" s="3"/>
      <c r="GNJ134" s="3"/>
      <c r="GNK134" s="3"/>
      <c r="GNL134" s="3"/>
      <c r="GNM134" s="3"/>
      <c r="GNN134" s="3"/>
      <c r="GNO134" s="3"/>
      <c r="GNP134" s="3"/>
      <c r="GNQ134" s="3"/>
      <c r="GNR134" s="3"/>
      <c r="GNS134" s="3"/>
      <c r="GNT134" s="3"/>
      <c r="GNU134" s="3"/>
      <c r="GNV134" s="3"/>
      <c r="GNW134" s="3"/>
      <c r="GNX134" s="3"/>
      <c r="GNY134" s="3"/>
      <c r="GNZ134" s="3"/>
      <c r="GOA134" s="3"/>
      <c r="GOB134" s="3"/>
      <c r="GOC134" s="3"/>
      <c r="GOD134" s="3"/>
      <c r="GOE134" s="3"/>
      <c r="GOF134" s="3"/>
      <c r="GOG134" s="3"/>
      <c r="GOH134" s="3"/>
      <c r="GOI134" s="3"/>
      <c r="GOJ134" s="3"/>
      <c r="GOK134" s="3"/>
      <c r="GOL134" s="3"/>
      <c r="GOM134" s="3"/>
      <c r="GON134" s="3"/>
      <c r="GOO134" s="3"/>
      <c r="GOP134" s="3"/>
      <c r="GOQ134" s="3"/>
      <c r="GOR134" s="3"/>
      <c r="GOS134" s="3"/>
      <c r="GOT134" s="3"/>
      <c r="GOU134" s="3"/>
      <c r="GOV134" s="3"/>
      <c r="GOW134" s="3"/>
      <c r="GOX134" s="3"/>
      <c r="GOY134" s="3"/>
      <c r="GOZ134" s="3"/>
      <c r="GPA134" s="3"/>
      <c r="GPB134" s="3"/>
      <c r="GPC134" s="3"/>
      <c r="GPD134" s="3"/>
      <c r="GPE134" s="3"/>
      <c r="GPF134" s="3"/>
      <c r="GPG134" s="3"/>
      <c r="GPH134" s="3"/>
      <c r="GPI134" s="3"/>
      <c r="GPJ134" s="3"/>
      <c r="GPK134" s="3"/>
      <c r="GPL134" s="3"/>
      <c r="GPM134" s="3"/>
      <c r="GPN134" s="3"/>
      <c r="GPO134" s="3"/>
      <c r="GPP134" s="3"/>
      <c r="GPQ134" s="3"/>
      <c r="GPR134" s="3"/>
      <c r="GPS134" s="3"/>
      <c r="GPT134" s="3"/>
      <c r="GPU134" s="3"/>
      <c r="GPV134" s="3"/>
      <c r="GPW134" s="3"/>
      <c r="GPX134" s="3"/>
      <c r="GPY134" s="3"/>
      <c r="GPZ134" s="3"/>
      <c r="GQA134" s="3"/>
      <c r="GQB134" s="3"/>
      <c r="GQC134" s="3"/>
      <c r="GQD134" s="3"/>
      <c r="GQE134" s="3"/>
      <c r="GQF134" s="3"/>
      <c r="GQG134" s="3"/>
      <c r="GQH134" s="3"/>
      <c r="GQI134" s="3"/>
      <c r="GQJ134" s="3"/>
      <c r="GQK134" s="3"/>
      <c r="GQL134" s="3"/>
      <c r="GQM134" s="3"/>
      <c r="GQN134" s="3"/>
      <c r="GQO134" s="3"/>
      <c r="GQP134" s="3"/>
      <c r="GQQ134" s="3"/>
      <c r="GQR134" s="3"/>
      <c r="GQS134" s="3"/>
      <c r="GQT134" s="3"/>
      <c r="GQU134" s="3"/>
      <c r="GQV134" s="3"/>
      <c r="GQW134" s="3"/>
      <c r="GQX134" s="3"/>
      <c r="GQY134" s="3"/>
      <c r="GQZ134" s="3"/>
      <c r="GRA134" s="3"/>
      <c r="GRB134" s="3"/>
      <c r="GRC134" s="3"/>
      <c r="GRD134" s="3"/>
      <c r="GRE134" s="3"/>
      <c r="GRF134" s="3"/>
      <c r="GRG134" s="3"/>
      <c r="GRH134" s="3"/>
      <c r="GRI134" s="3"/>
      <c r="GRJ134" s="3"/>
      <c r="GRK134" s="3"/>
      <c r="GRL134" s="3"/>
      <c r="GRM134" s="3"/>
      <c r="GRN134" s="3"/>
      <c r="GRO134" s="3"/>
      <c r="GRP134" s="3"/>
      <c r="GRQ134" s="3"/>
      <c r="GRR134" s="3"/>
      <c r="GRS134" s="3"/>
      <c r="GRT134" s="3"/>
      <c r="GRU134" s="3"/>
      <c r="GRV134" s="3"/>
      <c r="GRW134" s="3"/>
      <c r="GRX134" s="3"/>
      <c r="GRY134" s="3"/>
      <c r="GRZ134" s="3"/>
      <c r="GSA134" s="3"/>
      <c r="GSB134" s="3"/>
      <c r="GSC134" s="3"/>
      <c r="GSD134" s="3"/>
      <c r="GSE134" s="3"/>
      <c r="GSF134" s="3"/>
      <c r="GSG134" s="3"/>
      <c r="GSH134" s="3"/>
      <c r="GSI134" s="3"/>
      <c r="GSJ134" s="3"/>
      <c r="GSK134" s="3"/>
      <c r="GSL134" s="3"/>
      <c r="GSM134" s="3"/>
      <c r="GSN134" s="3"/>
      <c r="GSO134" s="3"/>
      <c r="GSP134" s="3"/>
      <c r="GSQ134" s="3"/>
      <c r="GSR134" s="3"/>
      <c r="GSS134" s="3"/>
      <c r="GST134" s="3"/>
      <c r="GSU134" s="3"/>
      <c r="GSV134" s="3"/>
      <c r="GSW134" s="3"/>
      <c r="GSX134" s="3"/>
      <c r="GSY134" s="3"/>
      <c r="GSZ134" s="3"/>
      <c r="GTA134" s="3"/>
      <c r="GTB134" s="3"/>
      <c r="GTC134" s="3"/>
      <c r="GTD134" s="3"/>
      <c r="GTE134" s="3"/>
      <c r="GTF134" s="3"/>
      <c r="GTG134" s="3"/>
      <c r="GTH134" s="3"/>
      <c r="GTI134" s="3"/>
      <c r="GTJ134" s="3"/>
      <c r="GTK134" s="3"/>
      <c r="GTL134" s="3"/>
      <c r="GTM134" s="3"/>
      <c r="GTN134" s="3"/>
      <c r="GTO134" s="3"/>
      <c r="GTP134" s="3"/>
      <c r="GTQ134" s="3"/>
      <c r="GTR134" s="3"/>
      <c r="GTS134" s="3"/>
      <c r="GTT134" s="3"/>
      <c r="GTU134" s="3"/>
      <c r="GTV134" s="3"/>
      <c r="GTW134" s="3"/>
      <c r="GTX134" s="3"/>
      <c r="GTY134" s="3"/>
      <c r="GTZ134" s="3"/>
      <c r="GUA134" s="3"/>
      <c r="GUB134" s="3"/>
      <c r="GUC134" s="3"/>
      <c r="GUD134" s="3"/>
      <c r="GUE134" s="3"/>
      <c r="GUF134" s="3"/>
      <c r="GUG134" s="3"/>
      <c r="GUH134" s="3"/>
      <c r="GUI134" s="3"/>
      <c r="GUJ134" s="3"/>
      <c r="GUK134" s="3"/>
      <c r="GUL134" s="3"/>
      <c r="GUM134" s="3"/>
      <c r="GUN134" s="3"/>
      <c r="GUO134" s="3"/>
      <c r="GUP134" s="3"/>
      <c r="GUQ134" s="3"/>
      <c r="GUR134" s="3"/>
      <c r="GUS134" s="3"/>
      <c r="GUT134" s="3"/>
      <c r="GUU134" s="3"/>
      <c r="GUV134" s="3"/>
      <c r="GUW134" s="3"/>
      <c r="GUX134" s="3"/>
      <c r="GUY134" s="3"/>
      <c r="GUZ134" s="3"/>
      <c r="GVA134" s="3"/>
      <c r="GVB134" s="3"/>
      <c r="GVC134" s="3"/>
      <c r="GVD134" s="3"/>
      <c r="GVE134" s="3"/>
      <c r="GVF134" s="3"/>
      <c r="GVG134" s="3"/>
      <c r="GVH134" s="3"/>
      <c r="GVI134" s="3"/>
      <c r="GVJ134" s="3"/>
      <c r="GVK134" s="3"/>
      <c r="GVL134" s="3"/>
      <c r="GVM134" s="3"/>
      <c r="GVN134" s="3"/>
      <c r="GVO134" s="3"/>
      <c r="GVP134" s="3"/>
      <c r="GVQ134" s="3"/>
      <c r="GVR134" s="3"/>
      <c r="GVS134" s="3"/>
      <c r="GVT134" s="3"/>
      <c r="GVU134" s="3"/>
      <c r="GVV134" s="3"/>
      <c r="GVW134" s="3"/>
      <c r="GVX134" s="3"/>
      <c r="GVY134" s="3"/>
      <c r="GVZ134" s="3"/>
      <c r="GWA134" s="3"/>
      <c r="GWB134" s="3"/>
      <c r="GWC134" s="3"/>
      <c r="GWD134" s="3"/>
      <c r="GWE134" s="3"/>
      <c r="GWF134" s="3"/>
      <c r="GWG134" s="3"/>
      <c r="GWH134" s="3"/>
      <c r="GWI134" s="3"/>
      <c r="GWJ134" s="3"/>
      <c r="GWK134" s="3"/>
      <c r="GWL134" s="3"/>
      <c r="GWM134" s="3"/>
      <c r="GWN134" s="3"/>
      <c r="GWO134" s="3"/>
      <c r="GWP134" s="3"/>
      <c r="GWQ134" s="3"/>
      <c r="GWR134" s="3"/>
      <c r="GWS134" s="3"/>
      <c r="GWT134" s="3"/>
      <c r="GWU134" s="3"/>
      <c r="GWV134" s="3"/>
      <c r="GWW134" s="3"/>
      <c r="GWX134" s="3"/>
      <c r="GWY134" s="3"/>
      <c r="GWZ134" s="3"/>
      <c r="GXA134" s="3"/>
      <c r="GXB134" s="3"/>
      <c r="GXC134" s="3"/>
      <c r="GXD134" s="3"/>
      <c r="GXE134" s="3"/>
      <c r="GXF134" s="3"/>
      <c r="GXG134" s="3"/>
      <c r="GXH134" s="3"/>
      <c r="GXI134" s="3"/>
      <c r="GXJ134" s="3"/>
      <c r="GXK134" s="3"/>
      <c r="GXL134" s="3"/>
      <c r="GXM134" s="3"/>
      <c r="GXN134" s="3"/>
      <c r="GXO134" s="3"/>
      <c r="GXP134" s="3"/>
      <c r="GXQ134" s="3"/>
      <c r="GXR134" s="3"/>
      <c r="GXS134" s="3"/>
      <c r="GXT134" s="3"/>
      <c r="GXU134" s="3"/>
      <c r="GXV134" s="3"/>
      <c r="GXW134" s="3"/>
      <c r="GXX134" s="3"/>
      <c r="GXY134" s="3"/>
      <c r="GXZ134" s="3"/>
      <c r="GYA134" s="3"/>
      <c r="GYB134" s="3"/>
      <c r="GYC134" s="3"/>
      <c r="GYD134" s="3"/>
      <c r="GYE134" s="3"/>
      <c r="GYF134" s="3"/>
      <c r="GYG134" s="3"/>
      <c r="GYH134" s="3"/>
      <c r="GYI134" s="3"/>
      <c r="GYJ134" s="3"/>
      <c r="GYK134" s="3"/>
      <c r="GYL134" s="3"/>
      <c r="GYM134" s="3"/>
      <c r="GYN134" s="3"/>
      <c r="GYO134" s="3"/>
      <c r="GYP134" s="3"/>
      <c r="GYQ134" s="3"/>
      <c r="GYR134" s="3"/>
      <c r="GYS134" s="3"/>
      <c r="GYT134" s="3"/>
      <c r="GYU134" s="3"/>
      <c r="GYV134" s="3"/>
      <c r="GYW134" s="3"/>
      <c r="GYX134" s="3"/>
      <c r="GYY134" s="3"/>
      <c r="GYZ134" s="3"/>
      <c r="GZA134" s="3"/>
      <c r="GZB134" s="3"/>
      <c r="GZC134" s="3"/>
      <c r="GZD134" s="3"/>
      <c r="GZE134" s="3"/>
      <c r="GZF134" s="3"/>
      <c r="GZG134" s="3"/>
      <c r="GZH134" s="3"/>
      <c r="GZI134" s="3"/>
      <c r="GZJ134" s="3"/>
      <c r="GZK134" s="3"/>
      <c r="GZL134" s="3"/>
      <c r="GZM134" s="3"/>
      <c r="GZN134" s="3"/>
      <c r="GZO134" s="3"/>
      <c r="GZP134" s="3"/>
      <c r="GZQ134" s="3"/>
      <c r="GZR134" s="3"/>
      <c r="GZS134" s="3"/>
      <c r="GZT134" s="3"/>
      <c r="GZU134" s="3"/>
      <c r="GZV134" s="3"/>
      <c r="GZW134" s="3"/>
      <c r="GZX134" s="3"/>
      <c r="GZY134" s="3"/>
      <c r="GZZ134" s="3"/>
      <c r="HAA134" s="3"/>
      <c r="HAB134" s="3"/>
      <c r="HAC134" s="3"/>
      <c r="HAD134" s="3"/>
      <c r="HAE134" s="3"/>
      <c r="HAF134" s="3"/>
      <c r="HAG134" s="3"/>
      <c r="HAH134" s="3"/>
      <c r="HAI134" s="3"/>
      <c r="HAJ134" s="3"/>
      <c r="HAK134" s="3"/>
      <c r="HAL134" s="3"/>
      <c r="HAM134" s="3"/>
      <c r="HAN134" s="3"/>
      <c r="HAO134" s="3"/>
      <c r="HAP134" s="3"/>
      <c r="HAQ134" s="3"/>
      <c r="HAR134" s="3"/>
      <c r="HAS134" s="3"/>
      <c r="HAT134" s="3"/>
      <c r="HAU134" s="3"/>
      <c r="HAV134" s="3"/>
      <c r="HAW134" s="3"/>
      <c r="HAX134" s="3"/>
      <c r="HAY134" s="3"/>
      <c r="HAZ134" s="3"/>
      <c r="HBA134" s="3"/>
      <c r="HBB134" s="3"/>
      <c r="HBC134" s="3"/>
      <c r="HBD134" s="3"/>
      <c r="HBE134" s="3"/>
      <c r="HBF134" s="3"/>
      <c r="HBG134" s="3"/>
      <c r="HBH134" s="3"/>
      <c r="HBI134" s="3"/>
      <c r="HBJ134" s="3"/>
      <c r="HBK134" s="3"/>
      <c r="HBL134" s="3"/>
      <c r="HBM134" s="3"/>
      <c r="HBN134" s="3"/>
      <c r="HBO134" s="3"/>
      <c r="HBP134" s="3"/>
      <c r="HBQ134" s="3"/>
      <c r="HBR134" s="3"/>
      <c r="HBS134" s="3"/>
      <c r="HBT134" s="3"/>
      <c r="HBU134" s="3"/>
      <c r="HBV134" s="3"/>
      <c r="HBW134" s="3"/>
      <c r="HBX134" s="3"/>
      <c r="HBY134" s="3"/>
      <c r="HBZ134" s="3"/>
      <c r="HCA134" s="3"/>
      <c r="HCB134" s="3"/>
      <c r="HCC134" s="3"/>
      <c r="HCD134" s="3"/>
      <c r="HCE134" s="3"/>
      <c r="HCF134" s="3"/>
      <c r="HCG134" s="3"/>
      <c r="HCH134" s="3"/>
      <c r="HCI134" s="3"/>
      <c r="HCJ134" s="3"/>
      <c r="HCK134" s="3"/>
      <c r="HCL134" s="3"/>
      <c r="HCM134" s="3"/>
      <c r="HCN134" s="3"/>
      <c r="HCO134" s="3"/>
      <c r="HCP134" s="3"/>
      <c r="HCQ134" s="3"/>
      <c r="HCR134" s="3"/>
      <c r="HCS134" s="3"/>
      <c r="HCT134" s="3"/>
      <c r="HCU134" s="3"/>
      <c r="HCV134" s="3"/>
      <c r="HCW134" s="3"/>
      <c r="HCX134" s="3"/>
      <c r="HCY134" s="3"/>
      <c r="HCZ134" s="3"/>
      <c r="HDA134" s="3"/>
      <c r="HDB134" s="3"/>
      <c r="HDC134" s="3"/>
      <c r="HDD134" s="3"/>
      <c r="HDE134" s="3"/>
      <c r="HDF134" s="3"/>
      <c r="HDG134" s="3"/>
      <c r="HDH134" s="3"/>
      <c r="HDI134" s="3"/>
      <c r="HDJ134" s="3"/>
      <c r="HDK134" s="3"/>
      <c r="HDL134" s="3"/>
      <c r="HDM134" s="3"/>
      <c r="HDN134" s="3"/>
      <c r="HDO134" s="3"/>
      <c r="HDP134" s="3"/>
      <c r="HDQ134" s="3"/>
      <c r="HDR134" s="3"/>
      <c r="HDS134" s="3"/>
      <c r="HDT134" s="3"/>
      <c r="HDU134" s="3"/>
      <c r="HDV134" s="3"/>
      <c r="HDW134" s="3"/>
      <c r="HDX134" s="3"/>
      <c r="HDY134" s="3"/>
      <c r="HDZ134" s="3"/>
      <c r="HEA134" s="3"/>
      <c r="HEB134" s="3"/>
      <c r="HEC134" s="3"/>
      <c r="HED134" s="3"/>
      <c r="HEE134" s="3"/>
      <c r="HEF134" s="3"/>
      <c r="HEG134" s="3"/>
      <c r="HEH134" s="3"/>
      <c r="HEI134" s="3"/>
      <c r="HEJ134" s="3"/>
      <c r="HEK134" s="3"/>
      <c r="HEL134" s="3"/>
      <c r="HEM134" s="3"/>
      <c r="HEN134" s="3"/>
      <c r="HEO134" s="3"/>
      <c r="HEP134" s="3"/>
      <c r="HEQ134" s="3"/>
      <c r="HER134" s="3"/>
      <c r="HES134" s="3"/>
      <c r="HET134" s="3"/>
      <c r="HEU134" s="3"/>
      <c r="HEV134" s="3"/>
      <c r="HEW134" s="3"/>
      <c r="HEX134" s="3"/>
      <c r="HEY134" s="3"/>
      <c r="HEZ134" s="3"/>
      <c r="HFA134" s="3"/>
      <c r="HFB134" s="3"/>
      <c r="HFC134" s="3"/>
      <c r="HFD134" s="3"/>
      <c r="HFE134" s="3"/>
      <c r="HFF134" s="3"/>
      <c r="HFG134" s="3"/>
      <c r="HFH134" s="3"/>
      <c r="HFI134" s="3"/>
      <c r="HFJ134" s="3"/>
      <c r="HFK134" s="3"/>
      <c r="HFL134" s="3"/>
      <c r="HFM134" s="3"/>
      <c r="HFN134" s="3"/>
      <c r="HFO134" s="3"/>
      <c r="HFP134" s="3"/>
      <c r="HFQ134" s="3"/>
      <c r="HFR134" s="3"/>
      <c r="HFS134" s="3"/>
      <c r="HFT134" s="3"/>
      <c r="HFU134" s="3"/>
      <c r="HFV134" s="3"/>
      <c r="HFW134" s="3"/>
      <c r="HFX134" s="3"/>
      <c r="HFY134" s="3"/>
      <c r="HFZ134" s="3"/>
      <c r="HGA134" s="3"/>
      <c r="HGB134" s="3"/>
      <c r="HGC134" s="3"/>
      <c r="HGD134" s="3"/>
      <c r="HGE134" s="3"/>
      <c r="HGF134" s="3"/>
      <c r="HGG134" s="3"/>
      <c r="HGH134" s="3"/>
      <c r="HGI134" s="3"/>
      <c r="HGJ134" s="3"/>
      <c r="HGK134" s="3"/>
      <c r="HGL134" s="3"/>
      <c r="HGM134" s="3"/>
      <c r="HGN134" s="3"/>
      <c r="HGO134" s="3"/>
      <c r="HGP134" s="3"/>
      <c r="HGQ134" s="3"/>
      <c r="HGR134" s="3"/>
      <c r="HGS134" s="3"/>
      <c r="HGT134" s="3"/>
      <c r="HGU134" s="3"/>
      <c r="HGV134" s="3"/>
      <c r="HGW134" s="3"/>
      <c r="HGX134" s="3"/>
      <c r="HGY134" s="3"/>
      <c r="HGZ134" s="3"/>
      <c r="HHA134" s="3"/>
      <c r="HHB134" s="3"/>
      <c r="HHC134" s="3"/>
      <c r="HHD134" s="3"/>
      <c r="HHE134" s="3"/>
      <c r="HHF134" s="3"/>
      <c r="HHG134" s="3"/>
      <c r="HHH134" s="3"/>
      <c r="HHI134" s="3"/>
      <c r="HHJ134" s="3"/>
      <c r="HHK134" s="3"/>
      <c r="HHL134" s="3"/>
      <c r="HHM134" s="3"/>
      <c r="HHN134" s="3"/>
      <c r="HHO134" s="3"/>
      <c r="HHP134" s="3"/>
      <c r="HHQ134" s="3"/>
      <c r="HHR134" s="3"/>
      <c r="HHS134" s="3"/>
      <c r="HHT134" s="3"/>
      <c r="HHU134" s="3"/>
      <c r="HHV134" s="3"/>
      <c r="HHW134" s="3"/>
      <c r="HHX134" s="3"/>
      <c r="HHY134" s="3"/>
      <c r="HHZ134" s="3"/>
      <c r="HIA134" s="3"/>
      <c r="HIB134" s="3"/>
      <c r="HIC134" s="3"/>
      <c r="HID134" s="3"/>
      <c r="HIE134" s="3"/>
      <c r="HIF134" s="3"/>
      <c r="HIG134" s="3"/>
      <c r="HIH134" s="3"/>
      <c r="HII134" s="3"/>
      <c r="HIJ134" s="3"/>
      <c r="HIK134" s="3"/>
      <c r="HIL134" s="3"/>
      <c r="HIM134" s="3"/>
      <c r="HIN134" s="3"/>
      <c r="HIO134" s="3"/>
      <c r="HIP134" s="3"/>
      <c r="HIQ134" s="3"/>
      <c r="HIR134" s="3"/>
      <c r="HIS134" s="3"/>
      <c r="HIT134" s="3"/>
      <c r="HIU134" s="3"/>
      <c r="HIV134" s="3"/>
      <c r="HIW134" s="3"/>
      <c r="HIX134" s="3"/>
      <c r="HIY134" s="3"/>
      <c r="HIZ134" s="3"/>
      <c r="HJA134" s="3"/>
      <c r="HJB134" s="3"/>
      <c r="HJC134" s="3"/>
      <c r="HJD134" s="3"/>
      <c r="HJE134" s="3"/>
      <c r="HJF134" s="3"/>
      <c r="HJG134" s="3"/>
      <c r="HJH134" s="3"/>
      <c r="HJI134" s="3"/>
      <c r="HJJ134" s="3"/>
      <c r="HJK134" s="3"/>
      <c r="HJL134" s="3"/>
      <c r="HJM134" s="3"/>
      <c r="HJN134" s="3"/>
      <c r="HJO134" s="3"/>
      <c r="HJP134" s="3"/>
      <c r="HJQ134" s="3"/>
      <c r="HJR134" s="3"/>
      <c r="HJS134" s="3"/>
      <c r="HJT134" s="3"/>
      <c r="HJU134" s="3"/>
      <c r="HJV134" s="3"/>
      <c r="HJW134" s="3"/>
      <c r="HJX134" s="3"/>
      <c r="HJY134" s="3"/>
      <c r="HJZ134" s="3"/>
      <c r="HKA134" s="3"/>
      <c r="HKB134" s="3"/>
      <c r="HKC134" s="3"/>
      <c r="HKD134" s="3"/>
      <c r="HKE134" s="3"/>
      <c r="HKF134" s="3"/>
      <c r="HKG134" s="3"/>
      <c r="HKH134" s="3"/>
      <c r="HKI134" s="3"/>
      <c r="HKJ134" s="3"/>
      <c r="HKK134" s="3"/>
      <c r="HKL134" s="3"/>
      <c r="HKM134" s="3"/>
      <c r="HKN134" s="3"/>
      <c r="HKO134" s="3"/>
      <c r="HKP134" s="3"/>
      <c r="HKQ134" s="3"/>
      <c r="HKR134" s="3"/>
      <c r="HKS134" s="3"/>
      <c r="HKT134" s="3"/>
      <c r="HKU134" s="3"/>
      <c r="HKV134" s="3"/>
      <c r="HKW134" s="3"/>
      <c r="HKX134" s="3"/>
      <c r="HKY134" s="3"/>
      <c r="HKZ134" s="3"/>
      <c r="HLA134" s="3"/>
      <c r="HLB134" s="3"/>
      <c r="HLC134" s="3"/>
      <c r="HLD134" s="3"/>
      <c r="HLE134" s="3"/>
      <c r="HLF134" s="3"/>
      <c r="HLG134" s="3"/>
      <c r="HLH134" s="3"/>
      <c r="HLI134" s="3"/>
      <c r="HLJ134" s="3"/>
      <c r="HLK134" s="3"/>
      <c r="HLL134" s="3"/>
      <c r="HLM134" s="3"/>
      <c r="HLN134" s="3"/>
      <c r="HLO134" s="3"/>
      <c r="HLP134" s="3"/>
      <c r="HLQ134" s="3"/>
      <c r="HLR134" s="3"/>
      <c r="HLS134" s="3"/>
      <c r="HLT134" s="3"/>
      <c r="HLU134" s="3"/>
      <c r="HLV134" s="3"/>
      <c r="HLW134" s="3"/>
      <c r="HLX134" s="3"/>
      <c r="HLY134" s="3"/>
      <c r="HLZ134" s="3"/>
      <c r="HMA134" s="3"/>
      <c r="HMB134" s="3"/>
      <c r="HMC134" s="3"/>
      <c r="HMD134" s="3"/>
      <c r="HME134" s="3"/>
      <c r="HMF134" s="3"/>
      <c r="HMG134" s="3"/>
      <c r="HMH134" s="3"/>
      <c r="HMI134" s="3"/>
      <c r="HMJ134" s="3"/>
      <c r="HMK134" s="3"/>
      <c r="HML134" s="3"/>
      <c r="HMM134" s="3"/>
      <c r="HMN134" s="3"/>
      <c r="HMO134" s="3"/>
      <c r="HMP134" s="3"/>
      <c r="HMQ134" s="3"/>
      <c r="HMR134" s="3"/>
      <c r="HMS134" s="3"/>
      <c r="HMT134" s="3"/>
      <c r="HMU134" s="3"/>
      <c r="HMV134" s="3"/>
      <c r="HMW134" s="3"/>
      <c r="HMX134" s="3"/>
      <c r="HMY134" s="3"/>
      <c r="HMZ134" s="3"/>
      <c r="HNA134" s="3"/>
      <c r="HNB134" s="3"/>
      <c r="HNC134" s="3"/>
      <c r="HND134" s="3"/>
      <c r="HNE134" s="3"/>
      <c r="HNF134" s="3"/>
      <c r="HNG134" s="3"/>
      <c r="HNH134" s="3"/>
      <c r="HNI134" s="3"/>
      <c r="HNJ134" s="3"/>
      <c r="HNK134" s="3"/>
      <c r="HNL134" s="3"/>
      <c r="HNM134" s="3"/>
      <c r="HNN134" s="3"/>
      <c r="HNO134" s="3"/>
      <c r="HNP134" s="3"/>
      <c r="HNQ134" s="3"/>
      <c r="HNR134" s="3"/>
      <c r="HNS134" s="3"/>
      <c r="HNT134" s="3"/>
      <c r="HNU134" s="3"/>
      <c r="HNV134" s="3"/>
      <c r="HNW134" s="3"/>
      <c r="HNX134" s="3"/>
      <c r="HNY134" s="3"/>
      <c r="HNZ134" s="3"/>
      <c r="HOA134" s="3"/>
      <c r="HOB134" s="3"/>
      <c r="HOC134" s="3"/>
      <c r="HOD134" s="3"/>
      <c r="HOE134" s="3"/>
      <c r="HOF134" s="3"/>
      <c r="HOG134" s="3"/>
      <c r="HOH134" s="3"/>
      <c r="HOI134" s="3"/>
      <c r="HOJ134" s="3"/>
      <c r="HOK134" s="3"/>
      <c r="HOL134" s="3"/>
      <c r="HOM134" s="3"/>
      <c r="HON134" s="3"/>
      <c r="HOO134" s="3"/>
      <c r="HOP134" s="3"/>
      <c r="HOQ134" s="3"/>
      <c r="HOR134" s="3"/>
      <c r="HOS134" s="3"/>
      <c r="HOT134" s="3"/>
      <c r="HOU134" s="3"/>
      <c r="HOV134" s="3"/>
      <c r="HOW134" s="3"/>
      <c r="HOX134" s="3"/>
      <c r="HOY134" s="3"/>
      <c r="HOZ134" s="3"/>
      <c r="HPA134" s="3"/>
      <c r="HPB134" s="3"/>
      <c r="HPC134" s="3"/>
      <c r="HPD134" s="3"/>
      <c r="HPE134" s="3"/>
      <c r="HPF134" s="3"/>
      <c r="HPG134" s="3"/>
      <c r="HPH134" s="3"/>
      <c r="HPI134" s="3"/>
      <c r="HPJ134" s="3"/>
      <c r="HPK134" s="3"/>
      <c r="HPL134" s="3"/>
      <c r="HPM134" s="3"/>
      <c r="HPN134" s="3"/>
      <c r="HPO134" s="3"/>
      <c r="HPP134" s="3"/>
      <c r="HPQ134" s="3"/>
      <c r="HPR134" s="3"/>
      <c r="HPS134" s="3"/>
      <c r="HPT134" s="3"/>
      <c r="HPU134" s="3"/>
      <c r="HPV134" s="3"/>
      <c r="HPW134" s="3"/>
      <c r="HPX134" s="3"/>
      <c r="HPY134" s="3"/>
      <c r="HPZ134" s="3"/>
      <c r="HQA134" s="3"/>
      <c r="HQB134" s="3"/>
      <c r="HQC134" s="3"/>
      <c r="HQD134" s="3"/>
      <c r="HQE134" s="3"/>
      <c r="HQF134" s="3"/>
      <c r="HQG134" s="3"/>
      <c r="HQH134" s="3"/>
      <c r="HQI134" s="3"/>
      <c r="HQJ134" s="3"/>
      <c r="HQK134" s="3"/>
      <c r="HQL134" s="3"/>
      <c r="HQM134" s="3"/>
      <c r="HQN134" s="3"/>
      <c r="HQO134" s="3"/>
      <c r="HQP134" s="3"/>
      <c r="HQQ134" s="3"/>
      <c r="HQR134" s="3"/>
      <c r="HQS134" s="3"/>
      <c r="HQT134" s="3"/>
      <c r="HQU134" s="3"/>
      <c r="HQV134" s="3"/>
      <c r="HQW134" s="3"/>
      <c r="HQX134" s="3"/>
      <c r="HQY134" s="3"/>
      <c r="HQZ134" s="3"/>
      <c r="HRA134" s="3"/>
      <c r="HRB134" s="3"/>
      <c r="HRC134" s="3"/>
      <c r="HRD134" s="3"/>
      <c r="HRE134" s="3"/>
      <c r="HRF134" s="3"/>
      <c r="HRG134" s="3"/>
      <c r="HRH134" s="3"/>
      <c r="HRI134" s="3"/>
      <c r="HRJ134" s="3"/>
      <c r="HRK134" s="3"/>
      <c r="HRL134" s="3"/>
      <c r="HRM134" s="3"/>
      <c r="HRN134" s="3"/>
      <c r="HRO134" s="3"/>
      <c r="HRP134" s="3"/>
      <c r="HRQ134" s="3"/>
      <c r="HRR134" s="3"/>
      <c r="HRS134" s="3"/>
      <c r="HRT134" s="3"/>
      <c r="HRU134" s="3"/>
      <c r="HRV134" s="3"/>
      <c r="HRW134" s="3"/>
      <c r="HRX134" s="3"/>
      <c r="HRY134" s="3"/>
      <c r="HRZ134" s="3"/>
      <c r="HSA134" s="3"/>
      <c r="HSB134" s="3"/>
      <c r="HSC134" s="3"/>
      <c r="HSD134" s="3"/>
      <c r="HSE134" s="3"/>
      <c r="HSF134" s="3"/>
      <c r="HSG134" s="3"/>
      <c r="HSH134" s="3"/>
      <c r="HSI134" s="3"/>
      <c r="HSJ134" s="3"/>
      <c r="HSK134" s="3"/>
      <c r="HSL134" s="3"/>
      <c r="HSM134" s="3"/>
      <c r="HSN134" s="3"/>
      <c r="HSO134" s="3"/>
      <c r="HSP134" s="3"/>
      <c r="HSQ134" s="3"/>
      <c r="HSR134" s="3"/>
      <c r="HSS134" s="3"/>
      <c r="HST134" s="3"/>
      <c r="HSU134" s="3"/>
      <c r="HSV134" s="3"/>
      <c r="HSW134" s="3"/>
      <c r="HSX134" s="3"/>
      <c r="HSY134" s="3"/>
      <c r="HSZ134" s="3"/>
      <c r="HTA134" s="3"/>
      <c r="HTB134" s="3"/>
      <c r="HTC134" s="3"/>
      <c r="HTD134" s="3"/>
      <c r="HTE134" s="3"/>
      <c r="HTF134" s="3"/>
      <c r="HTG134" s="3"/>
      <c r="HTH134" s="3"/>
      <c r="HTI134" s="3"/>
      <c r="HTJ134" s="3"/>
      <c r="HTK134" s="3"/>
      <c r="HTL134" s="3"/>
      <c r="HTM134" s="3"/>
      <c r="HTN134" s="3"/>
      <c r="HTO134" s="3"/>
      <c r="HTP134" s="3"/>
      <c r="HTQ134" s="3"/>
      <c r="HTR134" s="3"/>
      <c r="HTS134" s="3"/>
      <c r="HTT134" s="3"/>
      <c r="HTU134" s="3"/>
      <c r="HTV134" s="3"/>
      <c r="HTW134" s="3"/>
      <c r="HTX134" s="3"/>
      <c r="HTY134" s="3"/>
      <c r="HTZ134" s="3"/>
      <c r="HUA134" s="3"/>
      <c r="HUB134" s="3"/>
      <c r="HUC134" s="3"/>
      <c r="HUD134" s="3"/>
      <c r="HUE134" s="3"/>
      <c r="HUF134" s="3"/>
      <c r="HUG134" s="3"/>
      <c r="HUH134" s="3"/>
      <c r="HUI134" s="3"/>
      <c r="HUJ134" s="3"/>
      <c r="HUK134" s="3"/>
      <c r="HUL134" s="3"/>
      <c r="HUM134" s="3"/>
      <c r="HUN134" s="3"/>
      <c r="HUO134" s="3"/>
      <c r="HUP134" s="3"/>
      <c r="HUQ134" s="3"/>
      <c r="HUR134" s="3"/>
      <c r="HUS134" s="3"/>
      <c r="HUT134" s="3"/>
      <c r="HUU134" s="3"/>
      <c r="HUV134" s="3"/>
      <c r="HUW134" s="3"/>
      <c r="HUX134" s="3"/>
      <c r="HUY134" s="3"/>
      <c r="HUZ134" s="3"/>
      <c r="HVA134" s="3"/>
      <c r="HVB134" s="3"/>
      <c r="HVC134" s="3"/>
      <c r="HVD134" s="3"/>
      <c r="HVE134" s="3"/>
      <c r="HVF134" s="3"/>
      <c r="HVG134" s="3"/>
      <c r="HVH134" s="3"/>
      <c r="HVI134" s="3"/>
      <c r="HVJ134" s="3"/>
      <c r="HVK134" s="3"/>
      <c r="HVL134" s="3"/>
      <c r="HVM134" s="3"/>
      <c r="HVN134" s="3"/>
      <c r="HVO134" s="3"/>
      <c r="HVP134" s="3"/>
      <c r="HVQ134" s="3"/>
      <c r="HVR134" s="3"/>
      <c r="HVS134" s="3"/>
      <c r="HVT134" s="3"/>
      <c r="HVU134" s="3"/>
      <c r="HVV134" s="3"/>
      <c r="HVW134" s="3"/>
      <c r="HVX134" s="3"/>
      <c r="HVY134" s="3"/>
      <c r="HVZ134" s="3"/>
      <c r="HWA134" s="3"/>
      <c r="HWB134" s="3"/>
      <c r="HWC134" s="3"/>
      <c r="HWD134" s="3"/>
      <c r="HWE134" s="3"/>
      <c r="HWF134" s="3"/>
      <c r="HWG134" s="3"/>
      <c r="HWH134" s="3"/>
      <c r="HWI134" s="3"/>
      <c r="HWJ134" s="3"/>
      <c r="HWK134" s="3"/>
      <c r="HWL134" s="3"/>
      <c r="HWM134" s="3"/>
      <c r="HWN134" s="3"/>
      <c r="HWO134" s="3"/>
      <c r="HWP134" s="3"/>
      <c r="HWQ134" s="3"/>
      <c r="HWR134" s="3"/>
      <c r="HWS134" s="3"/>
      <c r="HWT134" s="3"/>
      <c r="HWU134" s="3"/>
      <c r="HWV134" s="3"/>
      <c r="HWW134" s="3"/>
      <c r="HWX134" s="3"/>
      <c r="HWY134" s="3"/>
      <c r="HWZ134" s="3"/>
      <c r="HXA134" s="3"/>
      <c r="HXB134" s="3"/>
      <c r="HXC134" s="3"/>
      <c r="HXD134" s="3"/>
      <c r="HXE134" s="3"/>
      <c r="HXF134" s="3"/>
      <c r="HXG134" s="3"/>
      <c r="HXH134" s="3"/>
      <c r="HXI134" s="3"/>
      <c r="HXJ134" s="3"/>
      <c r="HXK134" s="3"/>
      <c r="HXL134" s="3"/>
      <c r="HXM134" s="3"/>
      <c r="HXN134" s="3"/>
      <c r="HXO134" s="3"/>
      <c r="HXP134" s="3"/>
      <c r="HXQ134" s="3"/>
      <c r="HXR134" s="3"/>
      <c r="HXS134" s="3"/>
      <c r="HXT134" s="3"/>
      <c r="HXU134" s="3"/>
      <c r="HXV134" s="3"/>
      <c r="HXW134" s="3"/>
      <c r="HXX134" s="3"/>
      <c r="HXY134" s="3"/>
      <c r="HXZ134" s="3"/>
      <c r="HYA134" s="3"/>
      <c r="HYB134" s="3"/>
      <c r="HYC134" s="3"/>
      <c r="HYD134" s="3"/>
      <c r="HYE134" s="3"/>
      <c r="HYF134" s="3"/>
      <c r="HYG134" s="3"/>
      <c r="HYH134" s="3"/>
      <c r="HYI134" s="3"/>
      <c r="HYJ134" s="3"/>
      <c r="HYK134" s="3"/>
      <c r="HYL134" s="3"/>
      <c r="HYM134" s="3"/>
      <c r="HYN134" s="3"/>
      <c r="HYO134" s="3"/>
      <c r="HYP134" s="3"/>
      <c r="HYQ134" s="3"/>
      <c r="HYR134" s="3"/>
      <c r="HYS134" s="3"/>
      <c r="HYT134" s="3"/>
      <c r="HYU134" s="3"/>
      <c r="HYV134" s="3"/>
      <c r="HYW134" s="3"/>
      <c r="HYX134" s="3"/>
      <c r="HYY134" s="3"/>
      <c r="HYZ134" s="3"/>
      <c r="HZA134" s="3"/>
      <c r="HZB134" s="3"/>
      <c r="HZC134" s="3"/>
      <c r="HZD134" s="3"/>
      <c r="HZE134" s="3"/>
      <c r="HZF134" s="3"/>
      <c r="HZG134" s="3"/>
      <c r="HZH134" s="3"/>
      <c r="HZI134" s="3"/>
      <c r="HZJ134" s="3"/>
      <c r="HZK134" s="3"/>
      <c r="HZL134" s="3"/>
      <c r="HZM134" s="3"/>
      <c r="HZN134" s="3"/>
      <c r="HZO134" s="3"/>
      <c r="HZP134" s="3"/>
      <c r="HZQ134" s="3"/>
      <c r="HZR134" s="3"/>
      <c r="HZS134" s="3"/>
      <c r="HZT134" s="3"/>
      <c r="HZU134" s="3"/>
      <c r="HZV134" s="3"/>
      <c r="HZW134" s="3"/>
      <c r="HZX134" s="3"/>
      <c r="HZY134" s="3"/>
      <c r="HZZ134" s="3"/>
      <c r="IAA134" s="3"/>
      <c r="IAB134" s="3"/>
      <c r="IAC134" s="3"/>
      <c r="IAD134" s="3"/>
      <c r="IAE134" s="3"/>
      <c r="IAF134" s="3"/>
      <c r="IAG134" s="3"/>
      <c r="IAH134" s="3"/>
      <c r="IAI134" s="3"/>
      <c r="IAJ134" s="3"/>
      <c r="IAK134" s="3"/>
      <c r="IAL134" s="3"/>
      <c r="IAM134" s="3"/>
      <c r="IAN134" s="3"/>
      <c r="IAO134" s="3"/>
      <c r="IAP134" s="3"/>
      <c r="IAQ134" s="3"/>
      <c r="IAR134" s="3"/>
      <c r="IAS134" s="3"/>
      <c r="IAT134" s="3"/>
      <c r="IAU134" s="3"/>
      <c r="IAV134" s="3"/>
      <c r="IAW134" s="3"/>
      <c r="IAX134" s="3"/>
      <c r="IAY134" s="3"/>
      <c r="IAZ134" s="3"/>
      <c r="IBA134" s="3"/>
      <c r="IBB134" s="3"/>
      <c r="IBC134" s="3"/>
      <c r="IBD134" s="3"/>
      <c r="IBE134" s="3"/>
      <c r="IBF134" s="3"/>
      <c r="IBG134" s="3"/>
      <c r="IBH134" s="3"/>
      <c r="IBI134" s="3"/>
      <c r="IBJ134" s="3"/>
      <c r="IBK134" s="3"/>
      <c r="IBL134" s="3"/>
      <c r="IBM134" s="3"/>
      <c r="IBN134" s="3"/>
      <c r="IBO134" s="3"/>
      <c r="IBP134" s="3"/>
      <c r="IBQ134" s="3"/>
      <c r="IBR134" s="3"/>
      <c r="IBS134" s="3"/>
      <c r="IBT134" s="3"/>
      <c r="IBU134" s="3"/>
      <c r="IBV134" s="3"/>
      <c r="IBW134" s="3"/>
      <c r="IBX134" s="3"/>
      <c r="IBY134" s="3"/>
      <c r="IBZ134" s="3"/>
      <c r="ICA134" s="3"/>
      <c r="ICB134" s="3"/>
      <c r="ICC134" s="3"/>
      <c r="ICD134" s="3"/>
      <c r="ICE134" s="3"/>
      <c r="ICF134" s="3"/>
      <c r="ICG134" s="3"/>
      <c r="ICH134" s="3"/>
      <c r="ICI134" s="3"/>
      <c r="ICJ134" s="3"/>
      <c r="ICK134" s="3"/>
      <c r="ICL134" s="3"/>
      <c r="ICM134" s="3"/>
      <c r="ICN134" s="3"/>
      <c r="ICO134" s="3"/>
      <c r="ICP134" s="3"/>
      <c r="ICQ134" s="3"/>
      <c r="ICR134" s="3"/>
      <c r="ICS134" s="3"/>
      <c r="ICT134" s="3"/>
      <c r="ICU134" s="3"/>
      <c r="ICV134" s="3"/>
      <c r="ICW134" s="3"/>
      <c r="ICX134" s="3"/>
      <c r="ICY134" s="3"/>
      <c r="ICZ134" s="3"/>
      <c r="IDA134" s="3"/>
      <c r="IDB134" s="3"/>
      <c r="IDC134" s="3"/>
      <c r="IDD134" s="3"/>
      <c r="IDE134" s="3"/>
      <c r="IDF134" s="3"/>
      <c r="IDG134" s="3"/>
      <c r="IDH134" s="3"/>
      <c r="IDI134" s="3"/>
      <c r="IDJ134" s="3"/>
      <c r="IDK134" s="3"/>
      <c r="IDL134" s="3"/>
      <c r="IDM134" s="3"/>
      <c r="IDN134" s="3"/>
      <c r="IDO134" s="3"/>
      <c r="IDP134" s="3"/>
      <c r="IDQ134" s="3"/>
      <c r="IDR134" s="3"/>
      <c r="IDS134" s="3"/>
      <c r="IDT134" s="3"/>
      <c r="IDU134" s="3"/>
      <c r="IDV134" s="3"/>
      <c r="IDW134" s="3"/>
      <c r="IDX134" s="3"/>
      <c r="IDY134" s="3"/>
      <c r="IDZ134" s="3"/>
      <c r="IEA134" s="3"/>
      <c r="IEB134" s="3"/>
      <c r="IEC134" s="3"/>
      <c r="IED134" s="3"/>
      <c r="IEE134" s="3"/>
      <c r="IEF134" s="3"/>
      <c r="IEG134" s="3"/>
      <c r="IEH134" s="3"/>
      <c r="IEI134" s="3"/>
      <c r="IEJ134" s="3"/>
      <c r="IEK134" s="3"/>
      <c r="IEL134" s="3"/>
      <c r="IEM134" s="3"/>
      <c r="IEN134" s="3"/>
      <c r="IEO134" s="3"/>
      <c r="IEP134" s="3"/>
      <c r="IEQ134" s="3"/>
      <c r="IER134" s="3"/>
      <c r="IES134" s="3"/>
      <c r="IET134" s="3"/>
      <c r="IEU134" s="3"/>
      <c r="IEV134" s="3"/>
      <c r="IEW134" s="3"/>
      <c r="IEX134" s="3"/>
      <c r="IEY134" s="3"/>
      <c r="IEZ134" s="3"/>
      <c r="IFA134" s="3"/>
      <c r="IFB134" s="3"/>
      <c r="IFC134" s="3"/>
      <c r="IFD134" s="3"/>
      <c r="IFE134" s="3"/>
      <c r="IFF134" s="3"/>
      <c r="IFG134" s="3"/>
      <c r="IFH134" s="3"/>
      <c r="IFI134" s="3"/>
      <c r="IFJ134" s="3"/>
      <c r="IFK134" s="3"/>
      <c r="IFL134" s="3"/>
      <c r="IFM134" s="3"/>
      <c r="IFN134" s="3"/>
      <c r="IFO134" s="3"/>
      <c r="IFP134" s="3"/>
      <c r="IFQ134" s="3"/>
      <c r="IFR134" s="3"/>
      <c r="IFS134" s="3"/>
      <c r="IFT134" s="3"/>
      <c r="IFU134" s="3"/>
      <c r="IFV134" s="3"/>
      <c r="IFW134" s="3"/>
      <c r="IFX134" s="3"/>
      <c r="IFY134" s="3"/>
      <c r="IFZ134" s="3"/>
      <c r="IGA134" s="3"/>
      <c r="IGB134" s="3"/>
      <c r="IGC134" s="3"/>
      <c r="IGD134" s="3"/>
      <c r="IGE134" s="3"/>
      <c r="IGF134" s="3"/>
      <c r="IGG134" s="3"/>
      <c r="IGH134" s="3"/>
      <c r="IGI134" s="3"/>
      <c r="IGJ134" s="3"/>
      <c r="IGK134" s="3"/>
      <c r="IGL134" s="3"/>
      <c r="IGM134" s="3"/>
      <c r="IGN134" s="3"/>
      <c r="IGO134" s="3"/>
      <c r="IGP134" s="3"/>
      <c r="IGQ134" s="3"/>
      <c r="IGR134" s="3"/>
      <c r="IGS134" s="3"/>
      <c r="IGT134" s="3"/>
      <c r="IGU134" s="3"/>
      <c r="IGV134" s="3"/>
      <c r="IGW134" s="3"/>
      <c r="IGX134" s="3"/>
      <c r="IGY134" s="3"/>
      <c r="IGZ134" s="3"/>
      <c r="IHA134" s="3"/>
      <c r="IHB134" s="3"/>
      <c r="IHC134" s="3"/>
      <c r="IHD134" s="3"/>
      <c r="IHE134" s="3"/>
      <c r="IHF134" s="3"/>
      <c r="IHG134" s="3"/>
      <c r="IHH134" s="3"/>
      <c r="IHI134" s="3"/>
      <c r="IHJ134" s="3"/>
      <c r="IHK134" s="3"/>
      <c r="IHL134" s="3"/>
      <c r="IHM134" s="3"/>
      <c r="IHN134" s="3"/>
      <c r="IHO134" s="3"/>
      <c r="IHP134" s="3"/>
      <c r="IHQ134" s="3"/>
      <c r="IHR134" s="3"/>
      <c r="IHS134" s="3"/>
      <c r="IHT134" s="3"/>
      <c r="IHU134" s="3"/>
      <c r="IHV134" s="3"/>
      <c r="IHW134" s="3"/>
      <c r="IHX134" s="3"/>
      <c r="IHY134" s="3"/>
      <c r="IHZ134" s="3"/>
      <c r="IIA134" s="3"/>
      <c r="IIB134" s="3"/>
      <c r="IIC134" s="3"/>
      <c r="IID134" s="3"/>
      <c r="IIE134" s="3"/>
      <c r="IIF134" s="3"/>
      <c r="IIG134" s="3"/>
      <c r="IIH134" s="3"/>
      <c r="III134" s="3"/>
      <c r="IIJ134" s="3"/>
      <c r="IIK134" s="3"/>
      <c r="IIL134" s="3"/>
      <c r="IIM134" s="3"/>
      <c r="IIN134" s="3"/>
      <c r="IIO134" s="3"/>
      <c r="IIP134" s="3"/>
      <c r="IIQ134" s="3"/>
      <c r="IIR134" s="3"/>
      <c r="IIS134" s="3"/>
      <c r="IIT134" s="3"/>
      <c r="IIU134" s="3"/>
      <c r="IIV134" s="3"/>
      <c r="IIW134" s="3"/>
      <c r="IIX134" s="3"/>
      <c r="IIY134" s="3"/>
      <c r="IIZ134" s="3"/>
      <c r="IJA134" s="3"/>
      <c r="IJB134" s="3"/>
      <c r="IJC134" s="3"/>
      <c r="IJD134" s="3"/>
      <c r="IJE134" s="3"/>
      <c r="IJF134" s="3"/>
      <c r="IJG134" s="3"/>
      <c r="IJH134" s="3"/>
      <c r="IJI134" s="3"/>
      <c r="IJJ134" s="3"/>
      <c r="IJK134" s="3"/>
      <c r="IJL134" s="3"/>
      <c r="IJM134" s="3"/>
      <c r="IJN134" s="3"/>
      <c r="IJO134" s="3"/>
      <c r="IJP134" s="3"/>
      <c r="IJQ134" s="3"/>
      <c r="IJR134" s="3"/>
      <c r="IJS134" s="3"/>
      <c r="IJT134" s="3"/>
      <c r="IJU134" s="3"/>
      <c r="IJV134" s="3"/>
      <c r="IJW134" s="3"/>
      <c r="IJX134" s="3"/>
      <c r="IJY134" s="3"/>
      <c r="IJZ134" s="3"/>
      <c r="IKA134" s="3"/>
      <c r="IKB134" s="3"/>
      <c r="IKC134" s="3"/>
      <c r="IKD134" s="3"/>
      <c r="IKE134" s="3"/>
      <c r="IKF134" s="3"/>
      <c r="IKG134" s="3"/>
      <c r="IKH134" s="3"/>
      <c r="IKI134" s="3"/>
      <c r="IKJ134" s="3"/>
      <c r="IKK134" s="3"/>
      <c r="IKL134" s="3"/>
      <c r="IKM134" s="3"/>
      <c r="IKN134" s="3"/>
      <c r="IKO134" s="3"/>
      <c r="IKP134" s="3"/>
      <c r="IKQ134" s="3"/>
      <c r="IKR134" s="3"/>
      <c r="IKS134" s="3"/>
      <c r="IKT134" s="3"/>
      <c r="IKU134" s="3"/>
      <c r="IKV134" s="3"/>
      <c r="IKW134" s="3"/>
      <c r="IKX134" s="3"/>
      <c r="IKY134" s="3"/>
      <c r="IKZ134" s="3"/>
      <c r="ILA134" s="3"/>
      <c r="ILB134" s="3"/>
      <c r="ILC134" s="3"/>
      <c r="ILD134" s="3"/>
      <c r="ILE134" s="3"/>
      <c r="ILF134" s="3"/>
      <c r="ILG134" s="3"/>
      <c r="ILH134" s="3"/>
      <c r="ILI134" s="3"/>
      <c r="ILJ134" s="3"/>
      <c r="ILK134" s="3"/>
      <c r="ILL134" s="3"/>
      <c r="ILM134" s="3"/>
      <c r="ILN134" s="3"/>
      <c r="ILO134" s="3"/>
      <c r="ILP134" s="3"/>
      <c r="ILQ134" s="3"/>
      <c r="ILR134" s="3"/>
      <c r="ILS134" s="3"/>
      <c r="ILT134" s="3"/>
      <c r="ILU134" s="3"/>
      <c r="ILV134" s="3"/>
      <c r="ILW134" s="3"/>
      <c r="ILX134" s="3"/>
      <c r="ILY134" s="3"/>
      <c r="ILZ134" s="3"/>
      <c r="IMA134" s="3"/>
      <c r="IMB134" s="3"/>
      <c r="IMC134" s="3"/>
      <c r="IMD134" s="3"/>
      <c r="IME134" s="3"/>
      <c r="IMF134" s="3"/>
      <c r="IMG134" s="3"/>
      <c r="IMH134" s="3"/>
      <c r="IMI134" s="3"/>
      <c r="IMJ134" s="3"/>
      <c r="IMK134" s="3"/>
      <c r="IML134" s="3"/>
      <c r="IMM134" s="3"/>
      <c r="IMN134" s="3"/>
      <c r="IMO134" s="3"/>
      <c r="IMP134" s="3"/>
      <c r="IMQ134" s="3"/>
      <c r="IMR134" s="3"/>
      <c r="IMS134" s="3"/>
      <c r="IMT134" s="3"/>
      <c r="IMU134" s="3"/>
      <c r="IMV134" s="3"/>
      <c r="IMW134" s="3"/>
      <c r="IMX134" s="3"/>
      <c r="IMY134" s="3"/>
      <c r="IMZ134" s="3"/>
      <c r="INA134" s="3"/>
      <c r="INB134" s="3"/>
      <c r="INC134" s="3"/>
      <c r="IND134" s="3"/>
      <c r="INE134" s="3"/>
      <c r="INF134" s="3"/>
      <c r="ING134" s="3"/>
      <c r="INH134" s="3"/>
      <c r="INI134" s="3"/>
      <c r="INJ134" s="3"/>
      <c r="INK134" s="3"/>
      <c r="INL134" s="3"/>
      <c r="INM134" s="3"/>
      <c r="INN134" s="3"/>
      <c r="INO134" s="3"/>
      <c r="INP134" s="3"/>
      <c r="INQ134" s="3"/>
      <c r="INR134" s="3"/>
      <c r="INS134" s="3"/>
      <c r="INT134" s="3"/>
      <c r="INU134" s="3"/>
      <c r="INV134" s="3"/>
      <c r="INW134" s="3"/>
      <c r="INX134" s="3"/>
      <c r="INY134" s="3"/>
      <c r="INZ134" s="3"/>
      <c r="IOA134" s="3"/>
      <c r="IOB134" s="3"/>
      <c r="IOC134" s="3"/>
      <c r="IOD134" s="3"/>
      <c r="IOE134" s="3"/>
      <c r="IOF134" s="3"/>
      <c r="IOG134" s="3"/>
      <c r="IOH134" s="3"/>
      <c r="IOI134" s="3"/>
      <c r="IOJ134" s="3"/>
      <c r="IOK134" s="3"/>
      <c r="IOL134" s="3"/>
      <c r="IOM134" s="3"/>
      <c r="ION134" s="3"/>
      <c r="IOO134" s="3"/>
      <c r="IOP134" s="3"/>
      <c r="IOQ134" s="3"/>
      <c r="IOR134" s="3"/>
      <c r="IOS134" s="3"/>
      <c r="IOT134" s="3"/>
      <c r="IOU134" s="3"/>
      <c r="IOV134" s="3"/>
      <c r="IOW134" s="3"/>
      <c r="IOX134" s="3"/>
      <c r="IOY134" s="3"/>
      <c r="IOZ134" s="3"/>
      <c r="IPA134" s="3"/>
      <c r="IPB134" s="3"/>
      <c r="IPC134" s="3"/>
      <c r="IPD134" s="3"/>
      <c r="IPE134" s="3"/>
      <c r="IPF134" s="3"/>
      <c r="IPG134" s="3"/>
      <c r="IPH134" s="3"/>
      <c r="IPI134" s="3"/>
      <c r="IPJ134" s="3"/>
      <c r="IPK134" s="3"/>
      <c r="IPL134" s="3"/>
      <c r="IPM134" s="3"/>
      <c r="IPN134" s="3"/>
      <c r="IPO134" s="3"/>
      <c r="IPP134" s="3"/>
      <c r="IPQ134" s="3"/>
      <c r="IPR134" s="3"/>
      <c r="IPS134" s="3"/>
      <c r="IPT134" s="3"/>
      <c r="IPU134" s="3"/>
      <c r="IPV134" s="3"/>
      <c r="IPW134" s="3"/>
      <c r="IPX134" s="3"/>
      <c r="IPY134" s="3"/>
      <c r="IPZ134" s="3"/>
      <c r="IQA134" s="3"/>
      <c r="IQB134" s="3"/>
      <c r="IQC134" s="3"/>
      <c r="IQD134" s="3"/>
      <c r="IQE134" s="3"/>
      <c r="IQF134" s="3"/>
      <c r="IQG134" s="3"/>
      <c r="IQH134" s="3"/>
      <c r="IQI134" s="3"/>
      <c r="IQJ134" s="3"/>
      <c r="IQK134" s="3"/>
      <c r="IQL134" s="3"/>
      <c r="IQM134" s="3"/>
      <c r="IQN134" s="3"/>
      <c r="IQO134" s="3"/>
      <c r="IQP134" s="3"/>
      <c r="IQQ134" s="3"/>
      <c r="IQR134" s="3"/>
      <c r="IQS134" s="3"/>
      <c r="IQT134" s="3"/>
      <c r="IQU134" s="3"/>
      <c r="IQV134" s="3"/>
      <c r="IQW134" s="3"/>
      <c r="IQX134" s="3"/>
      <c r="IQY134" s="3"/>
      <c r="IQZ134" s="3"/>
      <c r="IRA134" s="3"/>
      <c r="IRB134" s="3"/>
      <c r="IRC134" s="3"/>
      <c r="IRD134" s="3"/>
      <c r="IRE134" s="3"/>
      <c r="IRF134" s="3"/>
      <c r="IRG134" s="3"/>
      <c r="IRH134" s="3"/>
      <c r="IRI134" s="3"/>
      <c r="IRJ134" s="3"/>
      <c r="IRK134" s="3"/>
      <c r="IRL134" s="3"/>
      <c r="IRM134" s="3"/>
      <c r="IRN134" s="3"/>
      <c r="IRO134" s="3"/>
      <c r="IRP134" s="3"/>
      <c r="IRQ134" s="3"/>
      <c r="IRR134" s="3"/>
      <c r="IRS134" s="3"/>
      <c r="IRT134" s="3"/>
      <c r="IRU134" s="3"/>
      <c r="IRV134" s="3"/>
      <c r="IRW134" s="3"/>
      <c r="IRX134" s="3"/>
      <c r="IRY134" s="3"/>
      <c r="IRZ134" s="3"/>
      <c r="ISA134" s="3"/>
      <c r="ISB134" s="3"/>
      <c r="ISC134" s="3"/>
      <c r="ISD134" s="3"/>
      <c r="ISE134" s="3"/>
      <c r="ISF134" s="3"/>
      <c r="ISG134" s="3"/>
      <c r="ISH134" s="3"/>
      <c r="ISI134" s="3"/>
      <c r="ISJ134" s="3"/>
      <c r="ISK134" s="3"/>
      <c r="ISL134" s="3"/>
      <c r="ISM134" s="3"/>
      <c r="ISN134" s="3"/>
      <c r="ISO134" s="3"/>
      <c r="ISP134" s="3"/>
      <c r="ISQ134" s="3"/>
      <c r="ISR134" s="3"/>
      <c r="ISS134" s="3"/>
      <c r="IST134" s="3"/>
      <c r="ISU134" s="3"/>
      <c r="ISV134" s="3"/>
      <c r="ISW134" s="3"/>
      <c r="ISX134" s="3"/>
      <c r="ISY134" s="3"/>
      <c r="ISZ134" s="3"/>
      <c r="ITA134" s="3"/>
      <c r="ITB134" s="3"/>
      <c r="ITC134" s="3"/>
      <c r="ITD134" s="3"/>
      <c r="ITE134" s="3"/>
      <c r="ITF134" s="3"/>
      <c r="ITG134" s="3"/>
      <c r="ITH134" s="3"/>
      <c r="ITI134" s="3"/>
      <c r="ITJ134" s="3"/>
      <c r="ITK134" s="3"/>
      <c r="ITL134" s="3"/>
      <c r="ITM134" s="3"/>
      <c r="ITN134" s="3"/>
      <c r="ITO134" s="3"/>
      <c r="ITP134" s="3"/>
      <c r="ITQ134" s="3"/>
      <c r="ITR134" s="3"/>
      <c r="ITS134" s="3"/>
      <c r="ITT134" s="3"/>
      <c r="ITU134" s="3"/>
      <c r="ITV134" s="3"/>
      <c r="ITW134" s="3"/>
      <c r="ITX134" s="3"/>
      <c r="ITY134" s="3"/>
      <c r="ITZ134" s="3"/>
      <c r="IUA134" s="3"/>
      <c r="IUB134" s="3"/>
      <c r="IUC134" s="3"/>
      <c r="IUD134" s="3"/>
      <c r="IUE134" s="3"/>
      <c r="IUF134" s="3"/>
      <c r="IUG134" s="3"/>
      <c r="IUH134" s="3"/>
      <c r="IUI134" s="3"/>
      <c r="IUJ134" s="3"/>
      <c r="IUK134" s="3"/>
      <c r="IUL134" s="3"/>
      <c r="IUM134" s="3"/>
      <c r="IUN134" s="3"/>
      <c r="IUO134" s="3"/>
      <c r="IUP134" s="3"/>
      <c r="IUQ134" s="3"/>
      <c r="IUR134" s="3"/>
      <c r="IUS134" s="3"/>
      <c r="IUT134" s="3"/>
      <c r="IUU134" s="3"/>
      <c r="IUV134" s="3"/>
      <c r="IUW134" s="3"/>
      <c r="IUX134" s="3"/>
      <c r="IUY134" s="3"/>
      <c r="IUZ134" s="3"/>
      <c r="IVA134" s="3"/>
      <c r="IVB134" s="3"/>
      <c r="IVC134" s="3"/>
      <c r="IVD134" s="3"/>
      <c r="IVE134" s="3"/>
      <c r="IVF134" s="3"/>
      <c r="IVG134" s="3"/>
      <c r="IVH134" s="3"/>
      <c r="IVI134" s="3"/>
      <c r="IVJ134" s="3"/>
      <c r="IVK134" s="3"/>
      <c r="IVL134" s="3"/>
      <c r="IVM134" s="3"/>
      <c r="IVN134" s="3"/>
      <c r="IVO134" s="3"/>
      <c r="IVP134" s="3"/>
      <c r="IVQ134" s="3"/>
      <c r="IVR134" s="3"/>
      <c r="IVS134" s="3"/>
      <c r="IVT134" s="3"/>
      <c r="IVU134" s="3"/>
      <c r="IVV134" s="3"/>
      <c r="IVW134" s="3"/>
      <c r="IVX134" s="3"/>
      <c r="IVY134" s="3"/>
      <c r="IVZ134" s="3"/>
      <c r="IWA134" s="3"/>
      <c r="IWB134" s="3"/>
      <c r="IWC134" s="3"/>
      <c r="IWD134" s="3"/>
      <c r="IWE134" s="3"/>
      <c r="IWF134" s="3"/>
      <c r="IWG134" s="3"/>
      <c r="IWH134" s="3"/>
      <c r="IWI134" s="3"/>
      <c r="IWJ134" s="3"/>
      <c r="IWK134" s="3"/>
      <c r="IWL134" s="3"/>
      <c r="IWM134" s="3"/>
      <c r="IWN134" s="3"/>
      <c r="IWO134" s="3"/>
      <c r="IWP134" s="3"/>
      <c r="IWQ134" s="3"/>
      <c r="IWR134" s="3"/>
      <c r="IWS134" s="3"/>
      <c r="IWT134" s="3"/>
      <c r="IWU134" s="3"/>
      <c r="IWV134" s="3"/>
      <c r="IWW134" s="3"/>
      <c r="IWX134" s="3"/>
      <c r="IWY134" s="3"/>
      <c r="IWZ134" s="3"/>
      <c r="IXA134" s="3"/>
      <c r="IXB134" s="3"/>
      <c r="IXC134" s="3"/>
      <c r="IXD134" s="3"/>
      <c r="IXE134" s="3"/>
      <c r="IXF134" s="3"/>
      <c r="IXG134" s="3"/>
      <c r="IXH134" s="3"/>
      <c r="IXI134" s="3"/>
      <c r="IXJ134" s="3"/>
      <c r="IXK134" s="3"/>
      <c r="IXL134" s="3"/>
      <c r="IXM134" s="3"/>
      <c r="IXN134" s="3"/>
      <c r="IXO134" s="3"/>
      <c r="IXP134" s="3"/>
      <c r="IXQ134" s="3"/>
      <c r="IXR134" s="3"/>
      <c r="IXS134" s="3"/>
      <c r="IXT134" s="3"/>
      <c r="IXU134" s="3"/>
      <c r="IXV134" s="3"/>
      <c r="IXW134" s="3"/>
      <c r="IXX134" s="3"/>
      <c r="IXY134" s="3"/>
      <c r="IXZ134" s="3"/>
      <c r="IYA134" s="3"/>
      <c r="IYB134" s="3"/>
      <c r="IYC134" s="3"/>
      <c r="IYD134" s="3"/>
      <c r="IYE134" s="3"/>
      <c r="IYF134" s="3"/>
      <c r="IYG134" s="3"/>
      <c r="IYH134" s="3"/>
      <c r="IYI134" s="3"/>
      <c r="IYJ134" s="3"/>
      <c r="IYK134" s="3"/>
      <c r="IYL134" s="3"/>
      <c r="IYM134" s="3"/>
      <c r="IYN134" s="3"/>
      <c r="IYO134" s="3"/>
      <c r="IYP134" s="3"/>
      <c r="IYQ134" s="3"/>
      <c r="IYR134" s="3"/>
      <c r="IYS134" s="3"/>
      <c r="IYT134" s="3"/>
      <c r="IYU134" s="3"/>
      <c r="IYV134" s="3"/>
      <c r="IYW134" s="3"/>
      <c r="IYX134" s="3"/>
      <c r="IYY134" s="3"/>
      <c r="IYZ134" s="3"/>
      <c r="IZA134" s="3"/>
      <c r="IZB134" s="3"/>
      <c r="IZC134" s="3"/>
      <c r="IZD134" s="3"/>
      <c r="IZE134" s="3"/>
      <c r="IZF134" s="3"/>
      <c r="IZG134" s="3"/>
      <c r="IZH134" s="3"/>
      <c r="IZI134" s="3"/>
      <c r="IZJ134" s="3"/>
      <c r="IZK134" s="3"/>
      <c r="IZL134" s="3"/>
      <c r="IZM134" s="3"/>
      <c r="IZN134" s="3"/>
      <c r="IZO134" s="3"/>
      <c r="IZP134" s="3"/>
      <c r="IZQ134" s="3"/>
      <c r="IZR134" s="3"/>
      <c r="IZS134" s="3"/>
      <c r="IZT134" s="3"/>
      <c r="IZU134" s="3"/>
      <c r="IZV134" s="3"/>
      <c r="IZW134" s="3"/>
      <c r="IZX134" s="3"/>
      <c r="IZY134" s="3"/>
      <c r="IZZ134" s="3"/>
      <c r="JAA134" s="3"/>
      <c r="JAB134" s="3"/>
      <c r="JAC134" s="3"/>
      <c r="JAD134" s="3"/>
      <c r="JAE134" s="3"/>
      <c r="JAF134" s="3"/>
      <c r="JAG134" s="3"/>
      <c r="JAH134" s="3"/>
      <c r="JAI134" s="3"/>
      <c r="JAJ134" s="3"/>
      <c r="JAK134" s="3"/>
      <c r="JAL134" s="3"/>
      <c r="JAM134" s="3"/>
      <c r="JAN134" s="3"/>
      <c r="JAO134" s="3"/>
      <c r="JAP134" s="3"/>
      <c r="JAQ134" s="3"/>
      <c r="JAR134" s="3"/>
      <c r="JAS134" s="3"/>
      <c r="JAT134" s="3"/>
      <c r="JAU134" s="3"/>
      <c r="JAV134" s="3"/>
      <c r="JAW134" s="3"/>
      <c r="JAX134" s="3"/>
      <c r="JAY134" s="3"/>
      <c r="JAZ134" s="3"/>
      <c r="JBA134" s="3"/>
      <c r="JBB134" s="3"/>
      <c r="JBC134" s="3"/>
      <c r="JBD134" s="3"/>
      <c r="JBE134" s="3"/>
      <c r="JBF134" s="3"/>
      <c r="JBG134" s="3"/>
      <c r="JBH134" s="3"/>
      <c r="JBI134" s="3"/>
      <c r="JBJ134" s="3"/>
      <c r="JBK134" s="3"/>
      <c r="JBL134" s="3"/>
      <c r="JBM134" s="3"/>
      <c r="JBN134" s="3"/>
      <c r="JBO134" s="3"/>
      <c r="JBP134" s="3"/>
      <c r="JBQ134" s="3"/>
      <c r="JBR134" s="3"/>
      <c r="JBS134" s="3"/>
      <c r="JBT134" s="3"/>
      <c r="JBU134" s="3"/>
      <c r="JBV134" s="3"/>
      <c r="JBW134" s="3"/>
      <c r="JBX134" s="3"/>
      <c r="JBY134" s="3"/>
      <c r="JBZ134" s="3"/>
      <c r="JCA134" s="3"/>
      <c r="JCB134" s="3"/>
      <c r="JCC134" s="3"/>
      <c r="JCD134" s="3"/>
      <c r="JCE134" s="3"/>
      <c r="JCF134" s="3"/>
      <c r="JCG134" s="3"/>
      <c r="JCH134" s="3"/>
      <c r="JCI134" s="3"/>
      <c r="JCJ134" s="3"/>
      <c r="JCK134" s="3"/>
      <c r="JCL134" s="3"/>
      <c r="JCM134" s="3"/>
      <c r="JCN134" s="3"/>
      <c r="JCO134" s="3"/>
      <c r="JCP134" s="3"/>
      <c r="JCQ134" s="3"/>
      <c r="JCR134" s="3"/>
      <c r="JCS134" s="3"/>
      <c r="JCT134" s="3"/>
      <c r="JCU134" s="3"/>
      <c r="JCV134" s="3"/>
      <c r="JCW134" s="3"/>
      <c r="JCX134" s="3"/>
      <c r="JCY134" s="3"/>
      <c r="JCZ134" s="3"/>
      <c r="JDA134" s="3"/>
      <c r="JDB134" s="3"/>
      <c r="JDC134" s="3"/>
      <c r="JDD134" s="3"/>
      <c r="JDE134" s="3"/>
      <c r="JDF134" s="3"/>
      <c r="JDG134" s="3"/>
      <c r="JDH134" s="3"/>
      <c r="JDI134" s="3"/>
      <c r="JDJ134" s="3"/>
      <c r="JDK134" s="3"/>
      <c r="JDL134" s="3"/>
      <c r="JDM134" s="3"/>
      <c r="JDN134" s="3"/>
      <c r="JDO134" s="3"/>
      <c r="JDP134" s="3"/>
      <c r="JDQ134" s="3"/>
      <c r="JDR134" s="3"/>
      <c r="JDS134" s="3"/>
      <c r="JDT134" s="3"/>
      <c r="JDU134" s="3"/>
      <c r="JDV134" s="3"/>
      <c r="JDW134" s="3"/>
      <c r="JDX134" s="3"/>
      <c r="JDY134" s="3"/>
      <c r="JDZ134" s="3"/>
      <c r="JEA134" s="3"/>
      <c r="JEB134" s="3"/>
      <c r="JEC134" s="3"/>
      <c r="JED134" s="3"/>
      <c r="JEE134" s="3"/>
      <c r="JEF134" s="3"/>
      <c r="JEG134" s="3"/>
      <c r="JEH134" s="3"/>
      <c r="JEI134" s="3"/>
      <c r="JEJ134" s="3"/>
      <c r="JEK134" s="3"/>
      <c r="JEL134" s="3"/>
      <c r="JEM134" s="3"/>
      <c r="JEN134" s="3"/>
      <c r="JEO134" s="3"/>
      <c r="JEP134" s="3"/>
      <c r="JEQ134" s="3"/>
      <c r="JER134" s="3"/>
      <c r="JES134" s="3"/>
      <c r="JET134" s="3"/>
      <c r="JEU134" s="3"/>
      <c r="JEV134" s="3"/>
      <c r="JEW134" s="3"/>
      <c r="JEX134" s="3"/>
      <c r="JEY134" s="3"/>
      <c r="JEZ134" s="3"/>
      <c r="JFA134" s="3"/>
      <c r="JFB134" s="3"/>
      <c r="JFC134" s="3"/>
      <c r="JFD134" s="3"/>
      <c r="JFE134" s="3"/>
      <c r="JFF134" s="3"/>
      <c r="JFG134" s="3"/>
      <c r="JFH134" s="3"/>
      <c r="JFI134" s="3"/>
      <c r="JFJ134" s="3"/>
      <c r="JFK134" s="3"/>
      <c r="JFL134" s="3"/>
      <c r="JFM134" s="3"/>
      <c r="JFN134" s="3"/>
      <c r="JFO134" s="3"/>
      <c r="JFP134" s="3"/>
      <c r="JFQ134" s="3"/>
      <c r="JFR134" s="3"/>
      <c r="JFS134" s="3"/>
      <c r="JFT134" s="3"/>
      <c r="JFU134" s="3"/>
      <c r="JFV134" s="3"/>
      <c r="JFW134" s="3"/>
      <c r="JFX134" s="3"/>
      <c r="JFY134" s="3"/>
      <c r="JFZ134" s="3"/>
      <c r="JGA134" s="3"/>
      <c r="JGB134" s="3"/>
      <c r="JGC134" s="3"/>
      <c r="JGD134" s="3"/>
      <c r="JGE134" s="3"/>
      <c r="JGF134" s="3"/>
      <c r="JGG134" s="3"/>
      <c r="JGH134" s="3"/>
      <c r="JGI134" s="3"/>
      <c r="JGJ134" s="3"/>
      <c r="JGK134" s="3"/>
      <c r="JGL134" s="3"/>
      <c r="JGM134" s="3"/>
      <c r="JGN134" s="3"/>
      <c r="JGO134" s="3"/>
      <c r="JGP134" s="3"/>
      <c r="JGQ134" s="3"/>
      <c r="JGR134" s="3"/>
      <c r="JGS134" s="3"/>
      <c r="JGT134" s="3"/>
      <c r="JGU134" s="3"/>
      <c r="JGV134" s="3"/>
      <c r="JGW134" s="3"/>
      <c r="JGX134" s="3"/>
      <c r="JGY134" s="3"/>
      <c r="JGZ134" s="3"/>
      <c r="JHA134" s="3"/>
      <c r="JHB134" s="3"/>
      <c r="JHC134" s="3"/>
      <c r="JHD134" s="3"/>
      <c r="JHE134" s="3"/>
      <c r="JHF134" s="3"/>
      <c r="JHG134" s="3"/>
      <c r="JHH134" s="3"/>
      <c r="JHI134" s="3"/>
      <c r="JHJ134" s="3"/>
      <c r="JHK134" s="3"/>
      <c r="JHL134" s="3"/>
      <c r="JHM134" s="3"/>
      <c r="JHN134" s="3"/>
      <c r="JHO134" s="3"/>
      <c r="JHP134" s="3"/>
      <c r="JHQ134" s="3"/>
      <c r="JHR134" s="3"/>
      <c r="JHS134" s="3"/>
      <c r="JHT134" s="3"/>
      <c r="JHU134" s="3"/>
      <c r="JHV134" s="3"/>
      <c r="JHW134" s="3"/>
      <c r="JHX134" s="3"/>
      <c r="JHY134" s="3"/>
      <c r="JHZ134" s="3"/>
      <c r="JIA134" s="3"/>
      <c r="JIB134" s="3"/>
      <c r="JIC134" s="3"/>
      <c r="JID134" s="3"/>
      <c r="JIE134" s="3"/>
      <c r="JIF134" s="3"/>
      <c r="JIG134" s="3"/>
      <c r="JIH134" s="3"/>
      <c r="JII134" s="3"/>
      <c r="JIJ134" s="3"/>
      <c r="JIK134" s="3"/>
      <c r="JIL134" s="3"/>
      <c r="JIM134" s="3"/>
      <c r="JIN134" s="3"/>
      <c r="JIO134" s="3"/>
      <c r="JIP134" s="3"/>
      <c r="JIQ134" s="3"/>
      <c r="JIR134" s="3"/>
      <c r="JIS134" s="3"/>
      <c r="JIT134" s="3"/>
      <c r="JIU134" s="3"/>
      <c r="JIV134" s="3"/>
      <c r="JIW134" s="3"/>
      <c r="JIX134" s="3"/>
      <c r="JIY134" s="3"/>
      <c r="JIZ134" s="3"/>
      <c r="JJA134" s="3"/>
      <c r="JJB134" s="3"/>
      <c r="JJC134" s="3"/>
      <c r="JJD134" s="3"/>
      <c r="JJE134" s="3"/>
      <c r="JJF134" s="3"/>
      <c r="JJG134" s="3"/>
      <c r="JJH134" s="3"/>
      <c r="JJI134" s="3"/>
      <c r="JJJ134" s="3"/>
      <c r="JJK134" s="3"/>
      <c r="JJL134" s="3"/>
      <c r="JJM134" s="3"/>
      <c r="JJN134" s="3"/>
      <c r="JJO134" s="3"/>
      <c r="JJP134" s="3"/>
      <c r="JJQ134" s="3"/>
      <c r="JJR134" s="3"/>
      <c r="JJS134" s="3"/>
      <c r="JJT134" s="3"/>
      <c r="JJU134" s="3"/>
      <c r="JJV134" s="3"/>
      <c r="JJW134" s="3"/>
      <c r="JJX134" s="3"/>
      <c r="JJY134" s="3"/>
      <c r="JJZ134" s="3"/>
      <c r="JKA134" s="3"/>
      <c r="JKB134" s="3"/>
      <c r="JKC134" s="3"/>
      <c r="JKD134" s="3"/>
      <c r="JKE134" s="3"/>
      <c r="JKF134" s="3"/>
      <c r="JKG134" s="3"/>
      <c r="JKH134" s="3"/>
      <c r="JKI134" s="3"/>
      <c r="JKJ134" s="3"/>
      <c r="JKK134" s="3"/>
      <c r="JKL134" s="3"/>
      <c r="JKM134" s="3"/>
      <c r="JKN134" s="3"/>
      <c r="JKO134" s="3"/>
      <c r="JKP134" s="3"/>
      <c r="JKQ134" s="3"/>
      <c r="JKR134" s="3"/>
      <c r="JKS134" s="3"/>
      <c r="JKT134" s="3"/>
      <c r="JKU134" s="3"/>
      <c r="JKV134" s="3"/>
      <c r="JKW134" s="3"/>
      <c r="JKX134" s="3"/>
      <c r="JKY134" s="3"/>
      <c r="JKZ134" s="3"/>
      <c r="JLA134" s="3"/>
      <c r="JLB134" s="3"/>
      <c r="JLC134" s="3"/>
      <c r="JLD134" s="3"/>
      <c r="JLE134" s="3"/>
      <c r="JLF134" s="3"/>
      <c r="JLG134" s="3"/>
      <c r="JLH134" s="3"/>
      <c r="JLI134" s="3"/>
      <c r="JLJ134" s="3"/>
      <c r="JLK134" s="3"/>
      <c r="JLL134" s="3"/>
      <c r="JLM134" s="3"/>
      <c r="JLN134" s="3"/>
      <c r="JLO134" s="3"/>
      <c r="JLP134" s="3"/>
      <c r="JLQ134" s="3"/>
      <c r="JLR134" s="3"/>
      <c r="JLS134" s="3"/>
      <c r="JLT134" s="3"/>
      <c r="JLU134" s="3"/>
      <c r="JLV134" s="3"/>
      <c r="JLW134" s="3"/>
      <c r="JLX134" s="3"/>
      <c r="JLY134" s="3"/>
      <c r="JLZ134" s="3"/>
      <c r="JMA134" s="3"/>
      <c r="JMB134" s="3"/>
      <c r="JMC134" s="3"/>
      <c r="JMD134" s="3"/>
      <c r="JME134" s="3"/>
      <c r="JMF134" s="3"/>
      <c r="JMG134" s="3"/>
      <c r="JMH134" s="3"/>
      <c r="JMI134" s="3"/>
      <c r="JMJ134" s="3"/>
      <c r="JMK134" s="3"/>
      <c r="JML134" s="3"/>
      <c r="JMM134" s="3"/>
      <c r="JMN134" s="3"/>
      <c r="JMO134" s="3"/>
      <c r="JMP134" s="3"/>
      <c r="JMQ134" s="3"/>
      <c r="JMR134" s="3"/>
      <c r="JMS134" s="3"/>
      <c r="JMT134" s="3"/>
      <c r="JMU134" s="3"/>
      <c r="JMV134" s="3"/>
      <c r="JMW134" s="3"/>
      <c r="JMX134" s="3"/>
      <c r="JMY134" s="3"/>
      <c r="JMZ134" s="3"/>
      <c r="JNA134" s="3"/>
      <c r="JNB134" s="3"/>
      <c r="JNC134" s="3"/>
      <c r="JND134" s="3"/>
      <c r="JNE134" s="3"/>
      <c r="JNF134" s="3"/>
      <c r="JNG134" s="3"/>
      <c r="JNH134" s="3"/>
      <c r="JNI134" s="3"/>
      <c r="JNJ134" s="3"/>
      <c r="JNK134" s="3"/>
      <c r="JNL134" s="3"/>
      <c r="JNM134" s="3"/>
      <c r="JNN134" s="3"/>
      <c r="JNO134" s="3"/>
      <c r="JNP134" s="3"/>
      <c r="JNQ134" s="3"/>
      <c r="JNR134" s="3"/>
      <c r="JNS134" s="3"/>
      <c r="JNT134" s="3"/>
      <c r="JNU134" s="3"/>
      <c r="JNV134" s="3"/>
      <c r="JNW134" s="3"/>
      <c r="JNX134" s="3"/>
      <c r="JNY134" s="3"/>
      <c r="JNZ134" s="3"/>
      <c r="JOA134" s="3"/>
      <c r="JOB134" s="3"/>
      <c r="JOC134" s="3"/>
      <c r="JOD134" s="3"/>
      <c r="JOE134" s="3"/>
      <c r="JOF134" s="3"/>
      <c r="JOG134" s="3"/>
      <c r="JOH134" s="3"/>
      <c r="JOI134" s="3"/>
      <c r="JOJ134" s="3"/>
      <c r="JOK134" s="3"/>
      <c r="JOL134" s="3"/>
      <c r="JOM134" s="3"/>
      <c r="JON134" s="3"/>
      <c r="JOO134" s="3"/>
      <c r="JOP134" s="3"/>
      <c r="JOQ134" s="3"/>
      <c r="JOR134" s="3"/>
      <c r="JOS134" s="3"/>
      <c r="JOT134" s="3"/>
      <c r="JOU134" s="3"/>
      <c r="JOV134" s="3"/>
      <c r="JOW134" s="3"/>
      <c r="JOX134" s="3"/>
      <c r="JOY134" s="3"/>
      <c r="JOZ134" s="3"/>
      <c r="JPA134" s="3"/>
      <c r="JPB134" s="3"/>
      <c r="JPC134" s="3"/>
      <c r="JPD134" s="3"/>
      <c r="JPE134" s="3"/>
      <c r="JPF134" s="3"/>
      <c r="JPG134" s="3"/>
      <c r="JPH134" s="3"/>
      <c r="JPI134" s="3"/>
      <c r="JPJ134" s="3"/>
      <c r="JPK134" s="3"/>
      <c r="JPL134" s="3"/>
      <c r="JPM134" s="3"/>
      <c r="JPN134" s="3"/>
      <c r="JPO134" s="3"/>
      <c r="JPP134" s="3"/>
      <c r="JPQ134" s="3"/>
      <c r="JPR134" s="3"/>
      <c r="JPS134" s="3"/>
      <c r="JPT134" s="3"/>
      <c r="JPU134" s="3"/>
      <c r="JPV134" s="3"/>
      <c r="JPW134" s="3"/>
      <c r="JPX134" s="3"/>
      <c r="JPY134" s="3"/>
      <c r="JPZ134" s="3"/>
      <c r="JQA134" s="3"/>
      <c r="JQB134" s="3"/>
      <c r="JQC134" s="3"/>
      <c r="JQD134" s="3"/>
      <c r="JQE134" s="3"/>
      <c r="JQF134" s="3"/>
      <c r="JQG134" s="3"/>
      <c r="JQH134" s="3"/>
      <c r="JQI134" s="3"/>
      <c r="JQJ134" s="3"/>
      <c r="JQK134" s="3"/>
      <c r="JQL134" s="3"/>
      <c r="JQM134" s="3"/>
      <c r="JQN134" s="3"/>
      <c r="JQO134" s="3"/>
      <c r="JQP134" s="3"/>
      <c r="JQQ134" s="3"/>
      <c r="JQR134" s="3"/>
      <c r="JQS134" s="3"/>
      <c r="JQT134" s="3"/>
      <c r="JQU134" s="3"/>
      <c r="JQV134" s="3"/>
      <c r="JQW134" s="3"/>
      <c r="JQX134" s="3"/>
      <c r="JQY134" s="3"/>
      <c r="JQZ134" s="3"/>
      <c r="JRA134" s="3"/>
      <c r="JRB134" s="3"/>
      <c r="JRC134" s="3"/>
      <c r="JRD134" s="3"/>
      <c r="JRE134" s="3"/>
      <c r="JRF134" s="3"/>
      <c r="JRG134" s="3"/>
      <c r="JRH134" s="3"/>
      <c r="JRI134" s="3"/>
      <c r="JRJ134" s="3"/>
      <c r="JRK134" s="3"/>
      <c r="JRL134" s="3"/>
      <c r="JRM134" s="3"/>
      <c r="JRN134" s="3"/>
      <c r="JRO134" s="3"/>
      <c r="JRP134" s="3"/>
      <c r="JRQ134" s="3"/>
      <c r="JRR134" s="3"/>
      <c r="JRS134" s="3"/>
      <c r="JRT134" s="3"/>
      <c r="JRU134" s="3"/>
      <c r="JRV134" s="3"/>
      <c r="JRW134" s="3"/>
      <c r="JRX134" s="3"/>
      <c r="JRY134" s="3"/>
      <c r="JRZ134" s="3"/>
      <c r="JSA134" s="3"/>
      <c r="JSB134" s="3"/>
      <c r="JSC134" s="3"/>
      <c r="JSD134" s="3"/>
      <c r="JSE134" s="3"/>
      <c r="JSF134" s="3"/>
      <c r="JSG134" s="3"/>
      <c r="JSH134" s="3"/>
      <c r="JSI134" s="3"/>
      <c r="JSJ134" s="3"/>
      <c r="JSK134" s="3"/>
      <c r="JSL134" s="3"/>
      <c r="JSM134" s="3"/>
      <c r="JSN134" s="3"/>
      <c r="JSO134" s="3"/>
      <c r="JSP134" s="3"/>
      <c r="JSQ134" s="3"/>
      <c r="JSR134" s="3"/>
      <c r="JSS134" s="3"/>
      <c r="JST134" s="3"/>
      <c r="JSU134" s="3"/>
      <c r="JSV134" s="3"/>
      <c r="JSW134" s="3"/>
      <c r="JSX134" s="3"/>
      <c r="JSY134" s="3"/>
      <c r="JSZ134" s="3"/>
      <c r="JTA134" s="3"/>
      <c r="JTB134" s="3"/>
      <c r="JTC134" s="3"/>
      <c r="JTD134" s="3"/>
      <c r="JTE134" s="3"/>
      <c r="JTF134" s="3"/>
      <c r="JTG134" s="3"/>
      <c r="JTH134" s="3"/>
      <c r="JTI134" s="3"/>
      <c r="JTJ134" s="3"/>
      <c r="JTK134" s="3"/>
      <c r="JTL134" s="3"/>
      <c r="JTM134" s="3"/>
      <c r="JTN134" s="3"/>
      <c r="JTO134" s="3"/>
      <c r="JTP134" s="3"/>
      <c r="JTQ134" s="3"/>
      <c r="JTR134" s="3"/>
      <c r="JTS134" s="3"/>
      <c r="JTT134" s="3"/>
      <c r="JTU134" s="3"/>
      <c r="JTV134" s="3"/>
      <c r="JTW134" s="3"/>
      <c r="JTX134" s="3"/>
      <c r="JTY134" s="3"/>
      <c r="JTZ134" s="3"/>
      <c r="JUA134" s="3"/>
      <c r="JUB134" s="3"/>
      <c r="JUC134" s="3"/>
      <c r="JUD134" s="3"/>
      <c r="JUE134" s="3"/>
      <c r="JUF134" s="3"/>
      <c r="JUG134" s="3"/>
      <c r="JUH134" s="3"/>
      <c r="JUI134" s="3"/>
      <c r="JUJ134" s="3"/>
      <c r="JUK134" s="3"/>
      <c r="JUL134" s="3"/>
      <c r="JUM134" s="3"/>
      <c r="JUN134" s="3"/>
      <c r="JUO134" s="3"/>
      <c r="JUP134" s="3"/>
      <c r="JUQ134" s="3"/>
      <c r="JUR134" s="3"/>
      <c r="JUS134" s="3"/>
      <c r="JUT134" s="3"/>
      <c r="JUU134" s="3"/>
      <c r="JUV134" s="3"/>
      <c r="JUW134" s="3"/>
      <c r="JUX134" s="3"/>
      <c r="JUY134" s="3"/>
      <c r="JUZ134" s="3"/>
      <c r="JVA134" s="3"/>
      <c r="JVB134" s="3"/>
      <c r="JVC134" s="3"/>
      <c r="JVD134" s="3"/>
      <c r="JVE134" s="3"/>
      <c r="JVF134" s="3"/>
      <c r="JVG134" s="3"/>
      <c r="JVH134" s="3"/>
      <c r="JVI134" s="3"/>
      <c r="JVJ134" s="3"/>
      <c r="JVK134" s="3"/>
      <c r="JVL134" s="3"/>
      <c r="JVM134" s="3"/>
      <c r="JVN134" s="3"/>
      <c r="JVO134" s="3"/>
      <c r="JVP134" s="3"/>
      <c r="JVQ134" s="3"/>
      <c r="JVR134" s="3"/>
      <c r="JVS134" s="3"/>
      <c r="JVT134" s="3"/>
      <c r="JVU134" s="3"/>
      <c r="JVV134" s="3"/>
      <c r="JVW134" s="3"/>
      <c r="JVX134" s="3"/>
      <c r="JVY134" s="3"/>
      <c r="JVZ134" s="3"/>
      <c r="JWA134" s="3"/>
      <c r="JWB134" s="3"/>
      <c r="JWC134" s="3"/>
      <c r="JWD134" s="3"/>
      <c r="JWE134" s="3"/>
      <c r="JWF134" s="3"/>
      <c r="JWG134" s="3"/>
      <c r="JWH134" s="3"/>
      <c r="JWI134" s="3"/>
      <c r="JWJ134" s="3"/>
      <c r="JWK134" s="3"/>
      <c r="JWL134" s="3"/>
      <c r="JWM134" s="3"/>
      <c r="JWN134" s="3"/>
      <c r="JWO134" s="3"/>
      <c r="JWP134" s="3"/>
      <c r="JWQ134" s="3"/>
      <c r="JWR134" s="3"/>
      <c r="JWS134" s="3"/>
      <c r="JWT134" s="3"/>
      <c r="JWU134" s="3"/>
      <c r="JWV134" s="3"/>
      <c r="JWW134" s="3"/>
      <c r="JWX134" s="3"/>
      <c r="JWY134" s="3"/>
      <c r="JWZ134" s="3"/>
      <c r="JXA134" s="3"/>
      <c r="JXB134" s="3"/>
      <c r="JXC134" s="3"/>
      <c r="JXD134" s="3"/>
      <c r="JXE134" s="3"/>
      <c r="JXF134" s="3"/>
      <c r="JXG134" s="3"/>
      <c r="JXH134" s="3"/>
      <c r="JXI134" s="3"/>
      <c r="JXJ134" s="3"/>
      <c r="JXK134" s="3"/>
      <c r="JXL134" s="3"/>
      <c r="JXM134" s="3"/>
      <c r="JXN134" s="3"/>
      <c r="JXO134" s="3"/>
      <c r="JXP134" s="3"/>
      <c r="JXQ134" s="3"/>
      <c r="JXR134" s="3"/>
      <c r="JXS134" s="3"/>
      <c r="JXT134" s="3"/>
      <c r="JXU134" s="3"/>
      <c r="JXV134" s="3"/>
      <c r="JXW134" s="3"/>
      <c r="JXX134" s="3"/>
      <c r="JXY134" s="3"/>
      <c r="JXZ134" s="3"/>
      <c r="JYA134" s="3"/>
      <c r="JYB134" s="3"/>
      <c r="JYC134" s="3"/>
      <c r="JYD134" s="3"/>
      <c r="JYE134" s="3"/>
      <c r="JYF134" s="3"/>
      <c r="JYG134" s="3"/>
      <c r="JYH134" s="3"/>
      <c r="JYI134" s="3"/>
      <c r="JYJ134" s="3"/>
      <c r="JYK134" s="3"/>
      <c r="JYL134" s="3"/>
      <c r="JYM134" s="3"/>
      <c r="JYN134" s="3"/>
      <c r="JYO134" s="3"/>
      <c r="JYP134" s="3"/>
      <c r="JYQ134" s="3"/>
      <c r="JYR134" s="3"/>
      <c r="JYS134" s="3"/>
      <c r="JYT134" s="3"/>
      <c r="JYU134" s="3"/>
      <c r="JYV134" s="3"/>
      <c r="JYW134" s="3"/>
      <c r="JYX134" s="3"/>
      <c r="JYY134" s="3"/>
      <c r="JYZ134" s="3"/>
      <c r="JZA134" s="3"/>
      <c r="JZB134" s="3"/>
      <c r="JZC134" s="3"/>
      <c r="JZD134" s="3"/>
      <c r="JZE134" s="3"/>
      <c r="JZF134" s="3"/>
      <c r="JZG134" s="3"/>
      <c r="JZH134" s="3"/>
      <c r="JZI134" s="3"/>
      <c r="JZJ134" s="3"/>
      <c r="JZK134" s="3"/>
      <c r="JZL134" s="3"/>
      <c r="JZM134" s="3"/>
      <c r="JZN134" s="3"/>
      <c r="JZO134" s="3"/>
      <c r="JZP134" s="3"/>
      <c r="JZQ134" s="3"/>
      <c r="JZR134" s="3"/>
      <c r="JZS134" s="3"/>
      <c r="JZT134" s="3"/>
      <c r="JZU134" s="3"/>
      <c r="JZV134" s="3"/>
      <c r="JZW134" s="3"/>
      <c r="JZX134" s="3"/>
      <c r="JZY134" s="3"/>
      <c r="JZZ134" s="3"/>
      <c r="KAA134" s="3"/>
      <c r="KAB134" s="3"/>
      <c r="KAC134" s="3"/>
      <c r="KAD134" s="3"/>
      <c r="KAE134" s="3"/>
      <c r="KAF134" s="3"/>
      <c r="KAG134" s="3"/>
      <c r="KAH134" s="3"/>
      <c r="KAI134" s="3"/>
      <c r="KAJ134" s="3"/>
      <c r="KAK134" s="3"/>
      <c r="KAL134" s="3"/>
      <c r="KAM134" s="3"/>
      <c r="KAN134" s="3"/>
      <c r="KAO134" s="3"/>
      <c r="KAP134" s="3"/>
      <c r="KAQ134" s="3"/>
      <c r="KAR134" s="3"/>
      <c r="KAS134" s="3"/>
      <c r="KAT134" s="3"/>
      <c r="KAU134" s="3"/>
      <c r="KAV134" s="3"/>
      <c r="KAW134" s="3"/>
      <c r="KAX134" s="3"/>
      <c r="KAY134" s="3"/>
      <c r="KAZ134" s="3"/>
      <c r="KBA134" s="3"/>
      <c r="KBB134" s="3"/>
      <c r="KBC134" s="3"/>
      <c r="KBD134" s="3"/>
      <c r="KBE134" s="3"/>
      <c r="KBF134" s="3"/>
      <c r="KBG134" s="3"/>
      <c r="KBH134" s="3"/>
      <c r="KBI134" s="3"/>
      <c r="KBJ134" s="3"/>
      <c r="KBK134" s="3"/>
      <c r="KBL134" s="3"/>
      <c r="KBM134" s="3"/>
      <c r="KBN134" s="3"/>
      <c r="KBO134" s="3"/>
      <c r="KBP134" s="3"/>
      <c r="KBQ134" s="3"/>
      <c r="KBR134" s="3"/>
      <c r="KBS134" s="3"/>
      <c r="KBT134" s="3"/>
      <c r="KBU134" s="3"/>
      <c r="KBV134" s="3"/>
      <c r="KBW134" s="3"/>
      <c r="KBX134" s="3"/>
      <c r="KBY134" s="3"/>
      <c r="KBZ134" s="3"/>
      <c r="KCA134" s="3"/>
      <c r="KCB134" s="3"/>
      <c r="KCC134" s="3"/>
      <c r="KCD134" s="3"/>
      <c r="KCE134" s="3"/>
      <c r="KCF134" s="3"/>
      <c r="KCG134" s="3"/>
      <c r="KCH134" s="3"/>
      <c r="KCI134" s="3"/>
      <c r="KCJ134" s="3"/>
      <c r="KCK134" s="3"/>
      <c r="KCL134" s="3"/>
      <c r="KCM134" s="3"/>
      <c r="KCN134" s="3"/>
      <c r="KCO134" s="3"/>
      <c r="KCP134" s="3"/>
      <c r="KCQ134" s="3"/>
      <c r="KCR134" s="3"/>
      <c r="KCS134" s="3"/>
      <c r="KCT134" s="3"/>
      <c r="KCU134" s="3"/>
      <c r="KCV134" s="3"/>
      <c r="KCW134" s="3"/>
      <c r="KCX134" s="3"/>
      <c r="KCY134" s="3"/>
      <c r="KCZ134" s="3"/>
      <c r="KDA134" s="3"/>
      <c r="KDB134" s="3"/>
      <c r="KDC134" s="3"/>
      <c r="KDD134" s="3"/>
      <c r="KDE134" s="3"/>
      <c r="KDF134" s="3"/>
      <c r="KDG134" s="3"/>
      <c r="KDH134" s="3"/>
      <c r="KDI134" s="3"/>
      <c r="KDJ134" s="3"/>
      <c r="KDK134" s="3"/>
      <c r="KDL134" s="3"/>
      <c r="KDM134" s="3"/>
      <c r="KDN134" s="3"/>
      <c r="KDO134" s="3"/>
      <c r="KDP134" s="3"/>
      <c r="KDQ134" s="3"/>
      <c r="KDR134" s="3"/>
      <c r="KDS134" s="3"/>
      <c r="KDT134" s="3"/>
      <c r="KDU134" s="3"/>
      <c r="KDV134" s="3"/>
      <c r="KDW134" s="3"/>
      <c r="KDX134" s="3"/>
      <c r="KDY134" s="3"/>
      <c r="KDZ134" s="3"/>
      <c r="KEA134" s="3"/>
      <c r="KEB134" s="3"/>
      <c r="KEC134" s="3"/>
      <c r="KED134" s="3"/>
      <c r="KEE134" s="3"/>
      <c r="KEF134" s="3"/>
      <c r="KEG134" s="3"/>
      <c r="KEH134" s="3"/>
      <c r="KEI134" s="3"/>
      <c r="KEJ134" s="3"/>
      <c r="KEK134" s="3"/>
      <c r="KEL134" s="3"/>
      <c r="KEM134" s="3"/>
      <c r="KEN134" s="3"/>
      <c r="KEO134" s="3"/>
      <c r="KEP134" s="3"/>
      <c r="KEQ134" s="3"/>
      <c r="KER134" s="3"/>
      <c r="KES134" s="3"/>
      <c r="KET134" s="3"/>
      <c r="KEU134" s="3"/>
      <c r="KEV134" s="3"/>
      <c r="KEW134" s="3"/>
      <c r="KEX134" s="3"/>
      <c r="KEY134" s="3"/>
      <c r="KEZ134" s="3"/>
      <c r="KFA134" s="3"/>
      <c r="KFB134" s="3"/>
      <c r="KFC134" s="3"/>
      <c r="KFD134" s="3"/>
      <c r="KFE134" s="3"/>
      <c r="KFF134" s="3"/>
      <c r="KFG134" s="3"/>
      <c r="KFH134" s="3"/>
      <c r="KFI134" s="3"/>
      <c r="KFJ134" s="3"/>
      <c r="KFK134" s="3"/>
      <c r="KFL134" s="3"/>
      <c r="KFM134" s="3"/>
      <c r="KFN134" s="3"/>
      <c r="KFO134" s="3"/>
      <c r="KFP134" s="3"/>
      <c r="KFQ134" s="3"/>
      <c r="KFR134" s="3"/>
      <c r="KFS134" s="3"/>
      <c r="KFT134" s="3"/>
      <c r="KFU134" s="3"/>
      <c r="KFV134" s="3"/>
      <c r="KFW134" s="3"/>
      <c r="KFX134" s="3"/>
      <c r="KFY134" s="3"/>
      <c r="KFZ134" s="3"/>
      <c r="KGA134" s="3"/>
      <c r="KGB134" s="3"/>
      <c r="KGC134" s="3"/>
      <c r="KGD134" s="3"/>
      <c r="KGE134" s="3"/>
      <c r="KGF134" s="3"/>
      <c r="KGG134" s="3"/>
      <c r="KGH134" s="3"/>
      <c r="KGI134" s="3"/>
      <c r="KGJ134" s="3"/>
      <c r="KGK134" s="3"/>
      <c r="KGL134" s="3"/>
      <c r="KGM134" s="3"/>
      <c r="KGN134" s="3"/>
      <c r="KGO134" s="3"/>
      <c r="KGP134" s="3"/>
      <c r="KGQ134" s="3"/>
      <c r="KGR134" s="3"/>
      <c r="KGS134" s="3"/>
      <c r="KGT134" s="3"/>
      <c r="KGU134" s="3"/>
      <c r="KGV134" s="3"/>
      <c r="KGW134" s="3"/>
      <c r="KGX134" s="3"/>
      <c r="KGY134" s="3"/>
      <c r="KGZ134" s="3"/>
      <c r="KHA134" s="3"/>
      <c r="KHB134" s="3"/>
      <c r="KHC134" s="3"/>
      <c r="KHD134" s="3"/>
      <c r="KHE134" s="3"/>
      <c r="KHF134" s="3"/>
      <c r="KHG134" s="3"/>
      <c r="KHH134" s="3"/>
      <c r="KHI134" s="3"/>
      <c r="KHJ134" s="3"/>
      <c r="KHK134" s="3"/>
      <c r="KHL134" s="3"/>
      <c r="KHM134" s="3"/>
      <c r="KHN134" s="3"/>
      <c r="KHO134" s="3"/>
      <c r="KHP134" s="3"/>
      <c r="KHQ134" s="3"/>
      <c r="KHR134" s="3"/>
      <c r="KHS134" s="3"/>
      <c r="KHT134" s="3"/>
      <c r="KHU134" s="3"/>
      <c r="KHV134" s="3"/>
      <c r="KHW134" s="3"/>
      <c r="KHX134" s="3"/>
      <c r="KHY134" s="3"/>
      <c r="KHZ134" s="3"/>
      <c r="KIA134" s="3"/>
      <c r="KIB134" s="3"/>
      <c r="KIC134" s="3"/>
      <c r="KID134" s="3"/>
      <c r="KIE134" s="3"/>
      <c r="KIF134" s="3"/>
      <c r="KIG134" s="3"/>
      <c r="KIH134" s="3"/>
      <c r="KII134" s="3"/>
      <c r="KIJ134" s="3"/>
      <c r="KIK134" s="3"/>
      <c r="KIL134" s="3"/>
      <c r="KIM134" s="3"/>
      <c r="KIN134" s="3"/>
      <c r="KIO134" s="3"/>
      <c r="KIP134" s="3"/>
      <c r="KIQ134" s="3"/>
      <c r="KIR134" s="3"/>
      <c r="KIS134" s="3"/>
      <c r="KIT134" s="3"/>
      <c r="KIU134" s="3"/>
      <c r="KIV134" s="3"/>
      <c r="KIW134" s="3"/>
      <c r="KIX134" s="3"/>
      <c r="KIY134" s="3"/>
      <c r="KIZ134" s="3"/>
      <c r="KJA134" s="3"/>
      <c r="KJB134" s="3"/>
      <c r="KJC134" s="3"/>
      <c r="KJD134" s="3"/>
      <c r="KJE134" s="3"/>
      <c r="KJF134" s="3"/>
      <c r="KJG134" s="3"/>
      <c r="KJH134" s="3"/>
      <c r="KJI134" s="3"/>
      <c r="KJJ134" s="3"/>
      <c r="KJK134" s="3"/>
      <c r="KJL134" s="3"/>
      <c r="KJM134" s="3"/>
      <c r="KJN134" s="3"/>
      <c r="KJO134" s="3"/>
      <c r="KJP134" s="3"/>
      <c r="KJQ134" s="3"/>
      <c r="KJR134" s="3"/>
      <c r="KJS134" s="3"/>
      <c r="KJT134" s="3"/>
      <c r="KJU134" s="3"/>
      <c r="KJV134" s="3"/>
      <c r="KJW134" s="3"/>
      <c r="KJX134" s="3"/>
      <c r="KJY134" s="3"/>
      <c r="KJZ134" s="3"/>
      <c r="KKA134" s="3"/>
      <c r="KKB134" s="3"/>
      <c r="KKC134" s="3"/>
      <c r="KKD134" s="3"/>
      <c r="KKE134" s="3"/>
      <c r="KKF134" s="3"/>
      <c r="KKG134" s="3"/>
      <c r="KKH134" s="3"/>
      <c r="KKI134" s="3"/>
      <c r="KKJ134" s="3"/>
      <c r="KKK134" s="3"/>
      <c r="KKL134" s="3"/>
      <c r="KKM134" s="3"/>
      <c r="KKN134" s="3"/>
      <c r="KKO134" s="3"/>
      <c r="KKP134" s="3"/>
      <c r="KKQ134" s="3"/>
      <c r="KKR134" s="3"/>
      <c r="KKS134" s="3"/>
      <c r="KKT134" s="3"/>
      <c r="KKU134" s="3"/>
      <c r="KKV134" s="3"/>
      <c r="KKW134" s="3"/>
      <c r="KKX134" s="3"/>
      <c r="KKY134" s="3"/>
      <c r="KKZ134" s="3"/>
      <c r="KLA134" s="3"/>
      <c r="KLB134" s="3"/>
      <c r="KLC134" s="3"/>
      <c r="KLD134" s="3"/>
      <c r="KLE134" s="3"/>
      <c r="KLF134" s="3"/>
      <c r="KLG134" s="3"/>
      <c r="KLH134" s="3"/>
      <c r="KLI134" s="3"/>
      <c r="KLJ134" s="3"/>
      <c r="KLK134" s="3"/>
      <c r="KLL134" s="3"/>
      <c r="KLM134" s="3"/>
      <c r="KLN134" s="3"/>
      <c r="KLO134" s="3"/>
      <c r="KLP134" s="3"/>
      <c r="KLQ134" s="3"/>
      <c r="KLR134" s="3"/>
      <c r="KLS134" s="3"/>
      <c r="KLT134" s="3"/>
      <c r="KLU134" s="3"/>
      <c r="KLV134" s="3"/>
      <c r="KLW134" s="3"/>
      <c r="KLX134" s="3"/>
      <c r="KLY134" s="3"/>
      <c r="KLZ134" s="3"/>
      <c r="KMA134" s="3"/>
      <c r="KMB134" s="3"/>
      <c r="KMC134" s="3"/>
      <c r="KMD134" s="3"/>
      <c r="KME134" s="3"/>
      <c r="KMF134" s="3"/>
      <c r="KMG134" s="3"/>
      <c r="KMH134" s="3"/>
      <c r="KMI134" s="3"/>
      <c r="KMJ134" s="3"/>
      <c r="KMK134" s="3"/>
      <c r="KML134" s="3"/>
      <c r="KMM134" s="3"/>
      <c r="KMN134" s="3"/>
      <c r="KMO134" s="3"/>
      <c r="KMP134" s="3"/>
      <c r="KMQ134" s="3"/>
      <c r="KMR134" s="3"/>
      <c r="KMS134" s="3"/>
      <c r="KMT134" s="3"/>
      <c r="KMU134" s="3"/>
      <c r="KMV134" s="3"/>
      <c r="KMW134" s="3"/>
      <c r="KMX134" s="3"/>
      <c r="KMY134" s="3"/>
      <c r="KMZ134" s="3"/>
      <c r="KNA134" s="3"/>
      <c r="KNB134" s="3"/>
      <c r="KNC134" s="3"/>
      <c r="KND134" s="3"/>
      <c r="KNE134" s="3"/>
      <c r="KNF134" s="3"/>
      <c r="KNG134" s="3"/>
      <c r="KNH134" s="3"/>
      <c r="KNI134" s="3"/>
      <c r="KNJ134" s="3"/>
      <c r="KNK134" s="3"/>
      <c r="KNL134" s="3"/>
      <c r="KNM134" s="3"/>
      <c r="KNN134" s="3"/>
      <c r="KNO134" s="3"/>
      <c r="KNP134" s="3"/>
      <c r="KNQ134" s="3"/>
      <c r="KNR134" s="3"/>
      <c r="KNS134" s="3"/>
      <c r="KNT134" s="3"/>
      <c r="KNU134" s="3"/>
      <c r="KNV134" s="3"/>
      <c r="KNW134" s="3"/>
      <c r="KNX134" s="3"/>
      <c r="KNY134" s="3"/>
      <c r="KNZ134" s="3"/>
      <c r="KOA134" s="3"/>
      <c r="KOB134" s="3"/>
      <c r="KOC134" s="3"/>
      <c r="KOD134" s="3"/>
      <c r="KOE134" s="3"/>
      <c r="KOF134" s="3"/>
      <c r="KOG134" s="3"/>
      <c r="KOH134" s="3"/>
      <c r="KOI134" s="3"/>
      <c r="KOJ134" s="3"/>
      <c r="KOK134" s="3"/>
      <c r="KOL134" s="3"/>
      <c r="KOM134" s="3"/>
      <c r="KON134" s="3"/>
      <c r="KOO134" s="3"/>
      <c r="KOP134" s="3"/>
      <c r="KOQ134" s="3"/>
      <c r="KOR134" s="3"/>
      <c r="KOS134" s="3"/>
      <c r="KOT134" s="3"/>
      <c r="KOU134" s="3"/>
      <c r="KOV134" s="3"/>
      <c r="KOW134" s="3"/>
      <c r="KOX134" s="3"/>
      <c r="KOY134" s="3"/>
      <c r="KOZ134" s="3"/>
      <c r="KPA134" s="3"/>
      <c r="KPB134" s="3"/>
      <c r="KPC134" s="3"/>
      <c r="KPD134" s="3"/>
      <c r="KPE134" s="3"/>
      <c r="KPF134" s="3"/>
      <c r="KPG134" s="3"/>
      <c r="KPH134" s="3"/>
      <c r="KPI134" s="3"/>
      <c r="KPJ134" s="3"/>
      <c r="KPK134" s="3"/>
      <c r="KPL134" s="3"/>
      <c r="KPM134" s="3"/>
      <c r="KPN134" s="3"/>
      <c r="KPO134" s="3"/>
      <c r="KPP134" s="3"/>
      <c r="KPQ134" s="3"/>
      <c r="KPR134" s="3"/>
      <c r="KPS134" s="3"/>
      <c r="KPT134" s="3"/>
      <c r="KPU134" s="3"/>
      <c r="KPV134" s="3"/>
      <c r="KPW134" s="3"/>
      <c r="KPX134" s="3"/>
      <c r="KPY134" s="3"/>
      <c r="KPZ134" s="3"/>
      <c r="KQA134" s="3"/>
      <c r="KQB134" s="3"/>
      <c r="KQC134" s="3"/>
      <c r="KQD134" s="3"/>
      <c r="KQE134" s="3"/>
      <c r="KQF134" s="3"/>
      <c r="KQG134" s="3"/>
      <c r="KQH134" s="3"/>
      <c r="KQI134" s="3"/>
      <c r="KQJ134" s="3"/>
      <c r="KQK134" s="3"/>
      <c r="KQL134" s="3"/>
      <c r="KQM134" s="3"/>
      <c r="KQN134" s="3"/>
      <c r="KQO134" s="3"/>
      <c r="KQP134" s="3"/>
      <c r="KQQ134" s="3"/>
      <c r="KQR134" s="3"/>
      <c r="KQS134" s="3"/>
      <c r="KQT134" s="3"/>
      <c r="KQU134" s="3"/>
      <c r="KQV134" s="3"/>
      <c r="KQW134" s="3"/>
      <c r="KQX134" s="3"/>
      <c r="KQY134" s="3"/>
      <c r="KQZ134" s="3"/>
      <c r="KRA134" s="3"/>
      <c r="KRB134" s="3"/>
      <c r="KRC134" s="3"/>
      <c r="KRD134" s="3"/>
      <c r="KRE134" s="3"/>
      <c r="KRF134" s="3"/>
      <c r="KRG134" s="3"/>
      <c r="KRH134" s="3"/>
      <c r="KRI134" s="3"/>
      <c r="KRJ134" s="3"/>
      <c r="KRK134" s="3"/>
      <c r="KRL134" s="3"/>
      <c r="KRM134" s="3"/>
      <c r="KRN134" s="3"/>
      <c r="KRO134" s="3"/>
      <c r="KRP134" s="3"/>
      <c r="KRQ134" s="3"/>
      <c r="KRR134" s="3"/>
      <c r="KRS134" s="3"/>
      <c r="KRT134" s="3"/>
      <c r="KRU134" s="3"/>
      <c r="KRV134" s="3"/>
      <c r="KRW134" s="3"/>
      <c r="KRX134" s="3"/>
      <c r="KRY134" s="3"/>
      <c r="KRZ134" s="3"/>
      <c r="KSA134" s="3"/>
      <c r="KSB134" s="3"/>
      <c r="KSC134" s="3"/>
      <c r="KSD134" s="3"/>
      <c r="KSE134" s="3"/>
      <c r="KSF134" s="3"/>
      <c r="KSG134" s="3"/>
      <c r="KSH134" s="3"/>
      <c r="KSI134" s="3"/>
      <c r="KSJ134" s="3"/>
      <c r="KSK134" s="3"/>
      <c r="KSL134" s="3"/>
      <c r="KSM134" s="3"/>
      <c r="KSN134" s="3"/>
      <c r="KSO134" s="3"/>
      <c r="KSP134" s="3"/>
      <c r="KSQ134" s="3"/>
      <c r="KSR134" s="3"/>
      <c r="KSS134" s="3"/>
      <c r="KST134" s="3"/>
      <c r="KSU134" s="3"/>
      <c r="KSV134" s="3"/>
      <c r="KSW134" s="3"/>
      <c r="KSX134" s="3"/>
      <c r="KSY134" s="3"/>
      <c r="KSZ134" s="3"/>
      <c r="KTA134" s="3"/>
      <c r="KTB134" s="3"/>
      <c r="KTC134" s="3"/>
      <c r="KTD134" s="3"/>
      <c r="KTE134" s="3"/>
      <c r="KTF134" s="3"/>
      <c r="KTG134" s="3"/>
      <c r="KTH134" s="3"/>
      <c r="KTI134" s="3"/>
      <c r="KTJ134" s="3"/>
      <c r="KTK134" s="3"/>
      <c r="KTL134" s="3"/>
      <c r="KTM134" s="3"/>
      <c r="KTN134" s="3"/>
      <c r="KTO134" s="3"/>
      <c r="KTP134" s="3"/>
      <c r="KTQ134" s="3"/>
      <c r="KTR134" s="3"/>
      <c r="KTS134" s="3"/>
      <c r="KTT134" s="3"/>
      <c r="KTU134" s="3"/>
      <c r="KTV134" s="3"/>
      <c r="KTW134" s="3"/>
      <c r="KTX134" s="3"/>
      <c r="KTY134" s="3"/>
      <c r="KTZ134" s="3"/>
      <c r="KUA134" s="3"/>
      <c r="KUB134" s="3"/>
      <c r="KUC134" s="3"/>
      <c r="KUD134" s="3"/>
      <c r="KUE134" s="3"/>
      <c r="KUF134" s="3"/>
      <c r="KUG134" s="3"/>
      <c r="KUH134" s="3"/>
      <c r="KUI134" s="3"/>
      <c r="KUJ134" s="3"/>
      <c r="KUK134" s="3"/>
      <c r="KUL134" s="3"/>
      <c r="KUM134" s="3"/>
      <c r="KUN134" s="3"/>
      <c r="KUO134" s="3"/>
      <c r="KUP134" s="3"/>
      <c r="KUQ134" s="3"/>
      <c r="KUR134" s="3"/>
      <c r="KUS134" s="3"/>
      <c r="KUT134" s="3"/>
      <c r="KUU134" s="3"/>
      <c r="KUV134" s="3"/>
      <c r="KUW134" s="3"/>
      <c r="KUX134" s="3"/>
      <c r="KUY134" s="3"/>
      <c r="KUZ134" s="3"/>
      <c r="KVA134" s="3"/>
      <c r="KVB134" s="3"/>
      <c r="KVC134" s="3"/>
      <c r="KVD134" s="3"/>
      <c r="KVE134" s="3"/>
      <c r="KVF134" s="3"/>
      <c r="KVG134" s="3"/>
      <c r="KVH134" s="3"/>
      <c r="KVI134" s="3"/>
      <c r="KVJ134" s="3"/>
      <c r="KVK134" s="3"/>
      <c r="KVL134" s="3"/>
      <c r="KVM134" s="3"/>
      <c r="KVN134" s="3"/>
      <c r="KVO134" s="3"/>
      <c r="KVP134" s="3"/>
      <c r="KVQ134" s="3"/>
      <c r="KVR134" s="3"/>
      <c r="KVS134" s="3"/>
      <c r="KVT134" s="3"/>
      <c r="KVU134" s="3"/>
      <c r="KVV134" s="3"/>
      <c r="KVW134" s="3"/>
      <c r="KVX134" s="3"/>
      <c r="KVY134" s="3"/>
      <c r="KVZ134" s="3"/>
      <c r="KWA134" s="3"/>
      <c r="KWB134" s="3"/>
      <c r="KWC134" s="3"/>
      <c r="KWD134" s="3"/>
      <c r="KWE134" s="3"/>
      <c r="KWF134" s="3"/>
      <c r="KWG134" s="3"/>
      <c r="KWH134" s="3"/>
      <c r="KWI134" s="3"/>
      <c r="KWJ134" s="3"/>
      <c r="KWK134" s="3"/>
      <c r="KWL134" s="3"/>
      <c r="KWM134" s="3"/>
      <c r="KWN134" s="3"/>
      <c r="KWO134" s="3"/>
      <c r="KWP134" s="3"/>
      <c r="KWQ134" s="3"/>
      <c r="KWR134" s="3"/>
      <c r="KWS134" s="3"/>
      <c r="KWT134" s="3"/>
      <c r="KWU134" s="3"/>
      <c r="KWV134" s="3"/>
      <c r="KWW134" s="3"/>
      <c r="KWX134" s="3"/>
      <c r="KWY134" s="3"/>
      <c r="KWZ134" s="3"/>
      <c r="KXA134" s="3"/>
      <c r="KXB134" s="3"/>
      <c r="KXC134" s="3"/>
      <c r="KXD134" s="3"/>
      <c r="KXE134" s="3"/>
      <c r="KXF134" s="3"/>
      <c r="KXG134" s="3"/>
      <c r="KXH134" s="3"/>
      <c r="KXI134" s="3"/>
      <c r="KXJ134" s="3"/>
      <c r="KXK134" s="3"/>
      <c r="KXL134" s="3"/>
      <c r="KXM134" s="3"/>
      <c r="KXN134" s="3"/>
      <c r="KXO134" s="3"/>
      <c r="KXP134" s="3"/>
      <c r="KXQ134" s="3"/>
      <c r="KXR134" s="3"/>
      <c r="KXS134" s="3"/>
      <c r="KXT134" s="3"/>
      <c r="KXU134" s="3"/>
      <c r="KXV134" s="3"/>
      <c r="KXW134" s="3"/>
      <c r="KXX134" s="3"/>
      <c r="KXY134" s="3"/>
      <c r="KXZ134" s="3"/>
      <c r="KYA134" s="3"/>
      <c r="KYB134" s="3"/>
      <c r="KYC134" s="3"/>
      <c r="KYD134" s="3"/>
      <c r="KYE134" s="3"/>
      <c r="KYF134" s="3"/>
      <c r="KYG134" s="3"/>
      <c r="KYH134" s="3"/>
      <c r="KYI134" s="3"/>
      <c r="KYJ134" s="3"/>
      <c r="KYK134" s="3"/>
      <c r="KYL134" s="3"/>
      <c r="KYM134" s="3"/>
      <c r="KYN134" s="3"/>
      <c r="KYO134" s="3"/>
      <c r="KYP134" s="3"/>
      <c r="KYQ134" s="3"/>
      <c r="KYR134" s="3"/>
      <c r="KYS134" s="3"/>
      <c r="KYT134" s="3"/>
      <c r="KYU134" s="3"/>
      <c r="KYV134" s="3"/>
      <c r="KYW134" s="3"/>
      <c r="KYX134" s="3"/>
      <c r="KYY134" s="3"/>
      <c r="KYZ134" s="3"/>
      <c r="KZA134" s="3"/>
      <c r="KZB134" s="3"/>
      <c r="KZC134" s="3"/>
      <c r="KZD134" s="3"/>
      <c r="KZE134" s="3"/>
      <c r="KZF134" s="3"/>
      <c r="KZG134" s="3"/>
      <c r="KZH134" s="3"/>
      <c r="KZI134" s="3"/>
      <c r="KZJ134" s="3"/>
      <c r="KZK134" s="3"/>
      <c r="KZL134" s="3"/>
      <c r="KZM134" s="3"/>
      <c r="KZN134" s="3"/>
      <c r="KZO134" s="3"/>
      <c r="KZP134" s="3"/>
      <c r="KZQ134" s="3"/>
      <c r="KZR134" s="3"/>
      <c r="KZS134" s="3"/>
      <c r="KZT134" s="3"/>
      <c r="KZU134" s="3"/>
      <c r="KZV134" s="3"/>
      <c r="KZW134" s="3"/>
      <c r="KZX134" s="3"/>
      <c r="KZY134" s="3"/>
      <c r="KZZ134" s="3"/>
      <c r="LAA134" s="3"/>
      <c r="LAB134" s="3"/>
      <c r="LAC134" s="3"/>
      <c r="LAD134" s="3"/>
      <c r="LAE134" s="3"/>
      <c r="LAF134" s="3"/>
      <c r="LAG134" s="3"/>
      <c r="LAH134" s="3"/>
      <c r="LAI134" s="3"/>
      <c r="LAJ134" s="3"/>
      <c r="LAK134" s="3"/>
      <c r="LAL134" s="3"/>
      <c r="LAM134" s="3"/>
      <c r="LAN134" s="3"/>
      <c r="LAO134" s="3"/>
      <c r="LAP134" s="3"/>
      <c r="LAQ134" s="3"/>
      <c r="LAR134" s="3"/>
      <c r="LAS134" s="3"/>
      <c r="LAT134" s="3"/>
      <c r="LAU134" s="3"/>
      <c r="LAV134" s="3"/>
      <c r="LAW134" s="3"/>
      <c r="LAX134" s="3"/>
      <c r="LAY134" s="3"/>
      <c r="LAZ134" s="3"/>
      <c r="LBA134" s="3"/>
      <c r="LBB134" s="3"/>
      <c r="LBC134" s="3"/>
      <c r="LBD134" s="3"/>
      <c r="LBE134" s="3"/>
      <c r="LBF134" s="3"/>
      <c r="LBG134" s="3"/>
      <c r="LBH134" s="3"/>
      <c r="LBI134" s="3"/>
      <c r="LBJ134" s="3"/>
      <c r="LBK134" s="3"/>
      <c r="LBL134" s="3"/>
      <c r="LBM134" s="3"/>
      <c r="LBN134" s="3"/>
      <c r="LBO134" s="3"/>
      <c r="LBP134" s="3"/>
      <c r="LBQ134" s="3"/>
      <c r="LBR134" s="3"/>
      <c r="LBS134" s="3"/>
      <c r="LBT134" s="3"/>
      <c r="LBU134" s="3"/>
      <c r="LBV134" s="3"/>
      <c r="LBW134" s="3"/>
      <c r="LBX134" s="3"/>
      <c r="LBY134" s="3"/>
      <c r="LBZ134" s="3"/>
      <c r="LCA134" s="3"/>
      <c r="LCB134" s="3"/>
      <c r="LCC134" s="3"/>
      <c r="LCD134" s="3"/>
      <c r="LCE134" s="3"/>
      <c r="LCF134" s="3"/>
      <c r="LCG134" s="3"/>
      <c r="LCH134" s="3"/>
      <c r="LCI134" s="3"/>
      <c r="LCJ134" s="3"/>
      <c r="LCK134" s="3"/>
      <c r="LCL134" s="3"/>
      <c r="LCM134" s="3"/>
      <c r="LCN134" s="3"/>
      <c r="LCO134" s="3"/>
      <c r="LCP134" s="3"/>
      <c r="LCQ134" s="3"/>
      <c r="LCR134" s="3"/>
      <c r="LCS134" s="3"/>
      <c r="LCT134" s="3"/>
      <c r="LCU134" s="3"/>
      <c r="LCV134" s="3"/>
      <c r="LCW134" s="3"/>
      <c r="LCX134" s="3"/>
      <c r="LCY134" s="3"/>
      <c r="LCZ134" s="3"/>
      <c r="LDA134" s="3"/>
      <c r="LDB134" s="3"/>
      <c r="LDC134" s="3"/>
      <c r="LDD134" s="3"/>
      <c r="LDE134" s="3"/>
      <c r="LDF134" s="3"/>
      <c r="LDG134" s="3"/>
      <c r="LDH134" s="3"/>
      <c r="LDI134" s="3"/>
      <c r="LDJ134" s="3"/>
      <c r="LDK134" s="3"/>
      <c r="LDL134" s="3"/>
      <c r="LDM134" s="3"/>
      <c r="LDN134" s="3"/>
      <c r="LDO134" s="3"/>
      <c r="LDP134" s="3"/>
      <c r="LDQ134" s="3"/>
      <c r="LDR134" s="3"/>
      <c r="LDS134" s="3"/>
      <c r="LDT134" s="3"/>
      <c r="LDU134" s="3"/>
      <c r="LDV134" s="3"/>
      <c r="LDW134" s="3"/>
      <c r="LDX134" s="3"/>
      <c r="LDY134" s="3"/>
      <c r="LDZ134" s="3"/>
      <c r="LEA134" s="3"/>
      <c r="LEB134" s="3"/>
      <c r="LEC134" s="3"/>
      <c r="LED134" s="3"/>
      <c r="LEE134" s="3"/>
      <c r="LEF134" s="3"/>
      <c r="LEG134" s="3"/>
      <c r="LEH134" s="3"/>
      <c r="LEI134" s="3"/>
      <c r="LEJ134" s="3"/>
      <c r="LEK134" s="3"/>
      <c r="LEL134" s="3"/>
      <c r="LEM134" s="3"/>
      <c r="LEN134" s="3"/>
      <c r="LEO134" s="3"/>
      <c r="LEP134" s="3"/>
      <c r="LEQ134" s="3"/>
      <c r="LER134" s="3"/>
      <c r="LES134" s="3"/>
      <c r="LET134" s="3"/>
      <c r="LEU134" s="3"/>
      <c r="LEV134" s="3"/>
      <c r="LEW134" s="3"/>
      <c r="LEX134" s="3"/>
      <c r="LEY134" s="3"/>
      <c r="LEZ134" s="3"/>
      <c r="LFA134" s="3"/>
      <c r="LFB134" s="3"/>
      <c r="LFC134" s="3"/>
      <c r="LFD134" s="3"/>
      <c r="LFE134" s="3"/>
      <c r="LFF134" s="3"/>
      <c r="LFG134" s="3"/>
      <c r="LFH134" s="3"/>
      <c r="LFI134" s="3"/>
      <c r="LFJ134" s="3"/>
      <c r="LFK134" s="3"/>
      <c r="LFL134" s="3"/>
      <c r="LFM134" s="3"/>
      <c r="LFN134" s="3"/>
      <c r="LFO134" s="3"/>
      <c r="LFP134" s="3"/>
      <c r="LFQ134" s="3"/>
      <c r="LFR134" s="3"/>
      <c r="LFS134" s="3"/>
      <c r="LFT134" s="3"/>
      <c r="LFU134" s="3"/>
      <c r="LFV134" s="3"/>
      <c r="LFW134" s="3"/>
      <c r="LFX134" s="3"/>
      <c r="LFY134" s="3"/>
      <c r="LFZ134" s="3"/>
      <c r="LGA134" s="3"/>
      <c r="LGB134" s="3"/>
      <c r="LGC134" s="3"/>
      <c r="LGD134" s="3"/>
      <c r="LGE134" s="3"/>
      <c r="LGF134" s="3"/>
      <c r="LGG134" s="3"/>
      <c r="LGH134" s="3"/>
      <c r="LGI134" s="3"/>
      <c r="LGJ134" s="3"/>
      <c r="LGK134" s="3"/>
      <c r="LGL134" s="3"/>
      <c r="LGM134" s="3"/>
      <c r="LGN134" s="3"/>
      <c r="LGO134" s="3"/>
      <c r="LGP134" s="3"/>
      <c r="LGQ134" s="3"/>
      <c r="LGR134" s="3"/>
      <c r="LGS134" s="3"/>
      <c r="LGT134" s="3"/>
      <c r="LGU134" s="3"/>
      <c r="LGV134" s="3"/>
      <c r="LGW134" s="3"/>
      <c r="LGX134" s="3"/>
      <c r="LGY134" s="3"/>
      <c r="LGZ134" s="3"/>
      <c r="LHA134" s="3"/>
      <c r="LHB134" s="3"/>
      <c r="LHC134" s="3"/>
      <c r="LHD134" s="3"/>
      <c r="LHE134" s="3"/>
      <c r="LHF134" s="3"/>
      <c r="LHG134" s="3"/>
      <c r="LHH134" s="3"/>
      <c r="LHI134" s="3"/>
      <c r="LHJ134" s="3"/>
      <c r="LHK134" s="3"/>
      <c r="LHL134" s="3"/>
      <c r="LHM134" s="3"/>
      <c r="LHN134" s="3"/>
      <c r="LHO134" s="3"/>
      <c r="LHP134" s="3"/>
      <c r="LHQ134" s="3"/>
      <c r="LHR134" s="3"/>
      <c r="LHS134" s="3"/>
      <c r="LHT134" s="3"/>
      <c r="LHU134" s="3"/>
      <c r="LHV134" s="3"/>
      <c r="LHW134" s="3"/>
      <c r="LHX134" s="3"/>
      <c r="LHY134" s="3"/>
      <c r="LHZ134" s="3"/>
      <c r="LIA134" s="3"/>
      <c r="LIB134" s="3"/>
      <c r="LIC134" s="3"/>
      <c r="LID134" s="3"/>
      <c r="LIE134" s="3"/>
      <c r="LIF134" s="3"/>
      <c r="LIG134" s="3"/>
      <c r="LIH134" s="3"/>
      <c r="LII134" s="3"/>
      <c r="LIJ134" s="3"/>
      <c r="LIK134" s="3"/>
      <c r="LIL134" s="3"/>
      <c r="LIM134" s="3"/>
      <c r="LIN134" s="3"/>
      <c r="LIO134" s="3"/>
      <c r="LIP134" s="3"/>
      <c r="LIQ134" s="3"/>
      <c r="LIR134" s="3"/>
      <c r="LIS134" s="3"/>
      <c r="LIT134" s="3"/>
      <c r="LIU134" s="3"/>
      <c r="LIV134" s="3"/>
      <c r="LIW134" s="3"/>
      <c r="LIX134" s="3"/>
      <c r="LIY134" s="3"/>
      <c r="LIZ134" s="3"/>
      <c r="LJA134" s="3"/>
      <c r="LJB134" s="3"/>
      <c r="LJC134" s="3"/>
      <c r="LJD134" s="3"/>
      <c r="LJE134" s="3"/>
      <c r="LJF134" s="3"/>
      <c r="LJG134" s="3"/>
      <c r="LJH134" s="3"/>
      <c r="LJI134" s="3"/>
      <c r="LJJ134" s="3"/>
      <c r="LJK134" s="3"/>
      <c r="LJL134" s="3"/>
      <c r="LJM134" s="3"/>
      <c r="LJN134" s="3"/>
      <c r="LJO134" s="3"/>
      <c r="LJP134" s="3"/>
      <c r="LJQ134" s="3"/>
      <c r="LJR134" s="3"/>
      <c r="LJS134" s="3"/>
      <c r="LJT134" s="3"/>
      <c r="LJU134" s="3"/>
      <c r="LJV134" s="3"/>
      <c r="LJW134" s="3"/>
      <c r="LJX134" s="3"/>
      <c r="LJY134" s="3"/>
      <c r="LJZ134" s="3"/>
      <c r="LKA134" s="3"/>
      <c r="LKB134" s="3"/>
      <c r="LKC134" s="3"/>
      <c r="LKD134" s="3"/>
      <c r="LKE134" s="3"/>
      <c r="LKF134" s="3"/>
      <c r="LKG134" s="3"/>
      <c r="LKH134" s="3"/>
      <c r="LKI134" s="3"/>
      <c r="LKJ134" s="3"/>
      <c r="LKK134" s="3"/>
      <c r="LKL134" s="3"/>
      <c r="LKM134" s="3"/>
      <c r="LKN134" s="3"/>
      <c r="LKO134" s="3"/>
      <c r="LKP134" s="3"/>
      <c r="LKQ134" s="3"/>
      <c r="LKR134" s="3"/>
      <c r="LKS134" s="3"/>
      <c r="LKT134" s="3"/>
      <c r="LKU134" s="3"/>
      <c r="LKV134" s="3"/>
      <c r="LKW134" s="3"/>
      <c r="LKX134" s="3"/>
      <c r="LKY134" s="3"/>
      <c r="LKZ134" s="3"/>
      <c r="LLA134" s="3"/>
      <c r="LLB134" s="3"/>
      <c r="LLC134" s="3"/>
      <c r="LLD134" s="3"/>
      <c r="LLE134" s="3"/>
      <c r="LLF134" s="3"/>
      <c r="LLG134" s="3"/>
      <c r="LLH134" s="3"/>
      <c r="LLI134" s="3"/>
      <c r="LLJ134" s="3"/>
      <c r="LLK134" s="3"/>
      <c r="LLL134" s="3"/>
      <c r="LLM134" s="3"/>
      <c r="LLN134" s="3"/>
      <c r="LLO134" s="3"/>
      <c r="LLP134" s="3"/>
      <c r="LLQ134" s="3"/>
      <c r="LLR134" s="3"/>
      <c r="LLS134" s="3"/>
      <c r="LLT134" s="3"/>
      <c r="LLU134" s="3"/>
      <c r="LLV134" s="3"/>
      <c r="LLW134" s="3"/>
      <c r="LLX134" s="3"/>
      <c r="LLY134" s="3"/>
      <c r="LLZ134" s="3"/>
      <c r="LMA134" s="3"/>
      <c r="LMB134" s="3"/>
      <c r="LMC134" s="3"/>
      <c r="LMD134" s="3"/>
      <c r="LME134" s="3"/>
      <c r="LMF134" s="3"/>
      <c r="LMG134" s="3"/>
      <c r="LMH134" s="3"/>
      <c r="LMI134" s="3"/>
      <c r="LMJ134" s="3"/>
      <c r="LMK134" s="3"/>
      <c r="LML134" s="3"/>
      <c r="LMM134" s="3"/>
      <c r="LMN134" s="3"/>
      <c r="LMO134" s="3"/>
      <c r="LMP134" s="3"/>
      <c r="LMQ134" s="3"/>
      <c r="LMR134" s="3"/>
      <c r="LMS134" s="3"/>
      <c r="LMT134" s="3"/>
      <c r="LMU134" s="3"/>
      <c r="LMV134" s="3"/>
      <c r="LMW134" s="3"/>
      <c r="LMX134" s="3"/>
      <c r="LMY134" s="3"/>
      <c r="LMZ134" s="3"/>
      <c r="LNA134" s="3"/>
      <c r="LNB134" s="3"/>
      <c r="LNC134" s="3"/>
      <c r="LND134" s="3"/>
      <c r="LNE134" s="3"/>
      <c r="LNF134" s="3"/>
      <c r="LNG134" s="3"/>
      <c r="LNH134" s="3"/>
      <c r="LNI134" s="3"/>
      <c r="LNJ134" s="3"/>
      <c r="LNK134" s="3"/>
      <c r="LNL134" s="3"/>
      <c r="LNM134" s="3"/>
      <c r="LNN134" s="3"/>
      <c r="LNO134" s="3"/>
      <c r="LNP134" s="3"/>
      <c r="LNQ134" s="3"/>
      <c r="LNR134" s="3"/>
      <c r="LNS134" s="3"/>
      <c r="LNT134" s="3"/>
      <c r="LNU134" s="3"/>
      <c r="LNV134" s="3"/>
      <c r="LNW134" s="3"/>
      <c r="LNX134" s="3"/>
      <c r="LNY134" s="3"/>
      <c r="LNZ134" s="3"/>
      <c r="LOA134" s="3"/>
      <c r="LOB134" s="3"/>
      <c r="LOC134" s="3"/>
      <c r="LOD134" s="3"/>
      <c r="LOE134" s="3"/>
      <c r="LOF134" s="3"/>
      <c r="LOG134" s="3"/>
      <c r="LOH134" s="3"/>
      <c r="LOI134" s="3"/>
      <c r="LOJ134" s="3"/>
      <c r="LOK134" s="3"/>
      <c r="LOL134" s="3"/>
      <c r="LOM134" s="3"/>
      <c r="LON134" s="3"/>
      <c r="LOO134" s="3"/>
      <c r="LOP134" s="3"/>
      <c r="LOQ134" s="3"/>
      <c r="LOR134" s="3"/>
      <c r="LOS134" s="3"/>
      <c r="LOT134" s="3"/>
      <c r="LOU134" s="3"/>
      <c r="LOV134" s="3"/>
      <c r="LOW134" s="3"/>
      <c r="LOX134" s="3"/>
      <c r="LOY134" s="3"/>
      <c r="LOZ134" s="3"/>
      <c r="LPA134" s="3"/>
      <c r="LPB134" s="3"/>
      <c r="LPC134" s="3"/>
      <c r="LPD134" s="3"/>
      <c r="LPE134" s="3"/>
      <c r="LPF134" s="3"/>
      <c r="LPG134" s="3"/>
      <c r="LPH134" s="3"/>
      <c r="LPI134" s="3"/>
      <c r="LPJ134" s="3"/>
      <c r="LPK134" s="3"/>
      <c r="LPL134" s="3"/>
      <c r="LPM134" s="3"/>
      <c r="LPN134" s="3"/>
      <c r="LPO134" s="3"/>
      <c r="LPP134" s="3"/>
      <c r="LPQ134" s="3"/>
      <c r="LPR134" s="3"/>
      <c r="LPS134" s="3"/>
      <c r="LPT134" s="3"/>
      <c r="LPU134" s="3"/>
      <c r="LPV134" s="3"/>
      <c r="LPW134" s="3"/>
      <c r="LPX134" s="3"/>
      <c r="LPY134" s="3"/>
      <c r="LPZ134" s="3"/>
      <c r="LQA134" s="3"/>
      <c r="LQB134" s="3"/>
      <c r="LQC134" s="3"/>
      <c r="LQD134" s="3"/>
      <c r="LQE134" s="3"/>
      <c r="LQF134" s="3"/>
      <c r="LQG134" s="3"/>
      <c r="LQH134" s="3"/>
      <c r="LQI134" s="3"/>
      <c r="LQJ134" s="3"/>
      <c r="LQK134" s="3"/>
      <c r="LQL134" s="3"/>
      <c r="LQM134" s="3"/>
      <c r="LQN134" s="3"/>
      <c r="LQO134" s="3"/>
      <c r="LQP134" s="3"/>
      <c r="LQQ134" s="3"/>
      <c r="LQR134" s="3"/>
      <c r="LQS134" s="3"/>
      <c r="LQT134" s="3"/>
      <c r="LQU134" s="3"/>
      <c r="LQV134" s="3"/>
      <c r="LQW134" s="3"/>
      <c r="LQX134" s="3"/>
      <c r="LQY134" s="3"/>
      <c r="LQZ134" s="3"/>
      <c r="LRA134" s="3"/>
      <c r="LRB134" s="3"/>
      <c r="LRC134" s="3"/>
      <c r="LRD134" s="3"/>
      <c r="LRE134" s="3"/>
      <c r="LRF134" s="3"/>
      <c r="LRG134" s="3"/>
      <c r="LRH134" s="3"/>
      <c r="LRI134" s="3"/>
      <c r="LRJ134" s="3"/>
      <c r="LRK134" s="3"/>
      <c r="LRL134" s="3"/>
      <c r="LRM134" s="3"/>
      <c r="LRN134" s="3"/>
      <c r="LRO134" s="3"/>
      <c r="LRP134" s="3"/>
      <c r="LRQ134" s="3"/>
      <c r="LRR134" s="3"/>
      <c r="LRS134" s="3"/>
      <c r="LRT134" s="3"/>
      <c r="LRU134" s="3"/>
      <c r="LRV134" s="3"/>
      <c r="LRW134" s="3"/>
      <c r="LRX134" s="3"/>
      <c r="LRY134" s="3"/>
      <c r="LRZ134" s="3"/>
      <c r="LSA134" s="3"/>
      <c r="LSB134" s="3"/>
      <c r="LSC134" s="3"/>
      <c r="LSD134" s="3"/>
      <c r="LSE134" s="3"/>
      <c r="LSF134" s="3"/>
      <c r="LSG134" s="3"/>
      <c r="LSH134" s="3"/>
      <c r="LSI134" s="3"/>
      <c r="LSJ134" s="3"/>
      <c r="LSK134" s="3"/>
      <c r="LSL134" s="3"/>
      <c r="LSM134" s="3"/>
      <c r="LSN134" s="3"/>
      <c r="LSO134" s="3"/>
      <c r="LSP134" s="3"/>
      <c r="LSQ134" s="3"/>
      <c r="LSR134" s="3"/>
      <c r="LSS134" s="3"/>
      <c r="LST134" s="3"/>
      <c r="LSU134" s="3"/>
      <c r="LSV134" s="3"/>
      <c r="LSW134" s="3"/>
      <c r="LSX134" s="3"/>
      <c r="LSY134" s="3"/>
      <c r="LSZ134" s="3"/>
      <c r="LTA134" s="3"/>
      <c r="LTB134" s="3"/>
      <c r="LTC134" s="3"/>
      <c r="LTD134" s="3"/>
      <c r="LTE134" s="3"/>
      <c r="LTF134" s="3"/>
      <c r="LTG134" s="3"/>
      <c r="LTH134" s="3"/>
      <c r="LTI134" s="3"/>
      <c r="LTJ134" s="3"/>
      <c r="LTK134" s="3"/>
      <c r="LTL134" s="3"/>
      <c r="LTM134" s="3"/>
      <c r="LTN134" s="3"/>
      <c r="LTO134" s="3"/>
      <c r="LTP134" s="3"/>
      <c r="LTQ134" s="3"/>
      <c r="LTR134" s="3"/>
      <c r="LTS134" s="3"/>
      <c r="LTT134" s="3"/>
      <c r="LTU134" s="3"/>
      <c r="LTV134" s="3"/>
      <c r="LTW134" s="3"/>
      <c r="LTX134" s="3"/>
      <c r="LTY134" s="3"/>
      <c r="LTZ134" s="3"/>
      <c r="LUA134" s="3"/>
      <c r="LUB134" s="3"/>
      <c r="LUC134" s="3"/>
      <c r="LUD134" s="3"/>
      <c r="LUE134" s="3"/>
      <c r="LUF134" s="3"/>
      <c r="LUG134" s="3"/>
      <c r="LUH134" s="3"/>
      <c r="LUI134" s="3"/>
      <c r="LUJ134" s="3"/>
      <c r="LUK134" s="3"/>
      <c r="LUL134" s="3"/>
      <c r="LUM134" s="3"/>
      <c r="LUN134" s="3"/>
      <c r="LUO134" s="3"/>
      <c r="LUP134" s="3"/>
      <c r="LUQ134" s="3"/>
      <c r="LUR134" s="3"/>
      <c r="LUS134" s="3"/>
      <c r="LUT134" s="3"/>
      <c r="LUU134" s="3"/>
      <c r="LUV134" s="3"/>
      <c r="LUW134" s="3"/>
      <c r="LUX134" s="3"/>
      <c r="LUY134" s="3"/>
      <c r="LUZ134" s="3"/>
      <c r="LVA134" s="3"/>
      <c r="LVB134" s="3"/>
      <c r="LVC134" s="3"/>
      <c r="LVD134" s="3"/>
      <c r="LVE134" s="3"/>
      <c r="LVF134" s="3"/>
      <c r="LVG134" s="3"/>
      <c r="LVH134" s="3"/>
      <c r="LVI134" s="3"/>
      <c r="LVJ134" s="3"/>
      <c r="LVK134" s="3"/>
      <c r="LVL134" s="3"/>
      <c r="LVM134" s="3"/>
      <c r="LVN134" s="3"/>
      <c r="LVO134" s="3"/>
      <c r="LVP134" s="3"/>
      <c r="LVQ134" s="3"/>
      <c r="LVR134" s="3"/>
      <c r="LVS134" s="3"/>
      <c r="LVT134" s="3"/>
      <c r="LVU134" s="3"/>
      <c r="LVV134" s="3"/>
      <c r="LVW134" s="3"/>
      <c r="LVX134" s="3"/>
      <c r="LVY134" s="3"/>
      <c r="LVZ134" s="3"/>
      <c r="LWA134" s="3"/>
      <c r="LWB134" s="3"/>
      <c r="LWC134" s="3"/>
      <c r="LWD134" s="3"/>
      <c r="LWE134" s="3"/>
      <c r="LWF134" s="3"/>
      <c r="LWG134" s="3"/>
      <c r="LWH134" s="3"/>
      <c r="LWI134" s="3"/>
      <c r="LWJ134" s="3"/>
      <c r="LWK134" s="3"/>
      <c r="LWL134" s="3"/>
      <c r="LWM134" s="3"/>
      <c r="LWN134" s="3"/>
      <c r="LWO134" s="3"/>
      <c r="LWP134" s="3"/>
      <c r="LWQ134" s="3"/>
      <c r="LWR134" s="3"/>
      <c r="LWS134" s="3"/>
      <c r="LWT134" s="3"/>
      <c r="LWU134" s="3"/>
      <c r="LWV134" s="3"/>
      <c r="LWW134" s="3"/>
      <c r="LWX134" s="3"/>
      <c r="LWY134" s="3"/>
      <c r="LWZ134" s="3"/>
      <c r="LXA134" s="3"/>
      <c r="LXB134" s="3"/>
      <c r="LXC134" s="3"/>
      <c r="LXD134" s="3"/>
      <c r="LXE134" s="3"/>
      <c r="LXF134" s="3"/>
      <c r="LXG134" s="3"/>
      <c r="LXH134" s="3"/>
      <c r="LXI134" s="3"/>
      <c r="LXJ134" s="3"/>
      <c r="LXK134" s="3"/>
      <c r="LXL134" s="3"/>
      <c r="LXM134" s="3"/>
      <c r="LXN134" s="3"/>
      <c r="LXO134" s="3"/>
      <c r="LXP134" s="3"/>
      <c r="LXQ134" s="3"/>
      <c r="LXR134" s="3"/>
      <c r="LXS134" s="3"/>
      <c r="LXT134" s="3"/>
      <c r="LXU134" s="3"/>
      <c r="LXV134" s="3"/>
      <c r="LXW134" s="3"/>
      <c r="LXX134" s="3"/>
      <c r="LXY134" s="3"/>
      <c r="LXZ134" s="3"/>
      <c r="LYA134" s="3"/>
      <c r="LYB134" s="3"/>
      <c r="LYC134" s="3"/>
      <c r="LYD134" s="3"/>
      <c r="LYE134" s="3"/>
      <c r="LYF134" s="3"/>
      <c r="LYG134" s="3"/>
      <c r="LYH134" s="3"/>
      <c r="LYI134" s="3"/>
      <c r="LYJ134" s="3"/>
      <c r="LYK134" s="3"/>
      <c r="LYL134" s="3"/>
      <c r="LYM134" s="3"/>
      <c r="LYN134" s="3"/>
      <c r="LYO134" s="3"/>
      <c r="LYP134" s="3"/>
      <c r="LYQ134" s="3"/>
      <c r="LYR134" s="3"/>
      <c r="LYS134" s="3"/>
      <c r="LYT134" s="3"/>
      <c r="LYU134" s="3"/>
      <c r="LYV134" s="3"/>
      <c r="LYW134" s="3"/>
      <c r="LYX134" s="3"/>
      <c r="LYY134" s="3"/>
      <c r="LYZ134" s="3"/>
      <c r="LZA134" s="3"/>
      <c r="LZB134" s="3"/>
      <c r="LZC134" s="3"/>
      <c r="LZD134" s="3"/>
      <c r="LZE134" s="3"/>
      <c r="LZF134" s="3"/>
      <c r="LZG134" s="3"/>
      <c r="LZH134" s="3"/>
      <c r="LZI134" s="3"/>
      <c r="LZJ134" s="3"/>
      <c r="LZK134" s="3"/>
      <c r="LZL134" s="3"/>
      <c r="LZM134" s="3"/>
      <c r="LZN134" s="3"/>
      <c r="LZO134" s="3"/>
      <c r="LZP134" s="3"/>
      <c r="LZQ134" s="3"/>
      <c r="LZR134" s="3"/>
      <c r="LZS134" s="3"/>
      <c r="LZT134" s="3"/>
      <c r="LZU134" s="3"/>
      <c r="LZV134" s="3"/>
      <c r="LZW134" s="3"/>
      <c r="LZX134" s="3"/>
      <c r="LZY134" s="3"/>
      <c r="LZZ134" s="3"/>
      <c r="MAA134" s="3"/>
      <c r="MAB134" s="3"/>
      <c r="MAC134" s="3"/>
      <c r="MAD134" s="3"/>
      <c r="MAE134" s="3"/>
      <c r="MAF134" s="3"/>
      <c r="MAG134" s="3"/>
      <c r="MAH134" s="3"/>
      <c r="MAI134" s="3"/>
      <c r="MAJ134" s="3"/>
      <c r="MAK134" s="3"/>
      <c r="MAL134" s="3"/>
      <c r="MAM134" s="3"/>
      <c r="MAN134" s="3"/>
      <c r="MAO134" s="3"/>
      <c r="MAP134" s="3"/>
      <c r="MAQ134" s="3"/>
      <c r="MAR134" s="3"/>
      <c r="MAS134" s="3"/>
      <c r="MAT134" s="3"/>
      <c r="MAU134" s="3"/>
      <c r="MAV134" s="3"/>
      <c r="MAW134" s="3"/>
      <c r="MAX134" s="3"/>
      <c r="MAY134" s="3"/>
      <c r="MAZ134" s="3"/>
      <c r="MBA134" s="3"/>
      <c r="MBB134" s="3"/>
      <c r="MBC134" s="3"/>
      <c r="MBD134" s="3"/>
      <c r="MBE134" s="3"/>
      <c r="MBF134" s="3"/>
      <c r="MBG134" s="3"/>
      <c r="MBH134" s="3"/>
      <c r="MBI134" s="3"/>
      <c r="MBJ134" s="3"/>
      <c r="MBK134" s="3"/>
      <c r="MBL134" s="3"/>
      <c r="MBM134" s="3"/>
      <c r="MBN134" s="3"/>
      <c r="MBO134" s="3"/>
      <c r="MBP134" s="3"/>
      <c r="MBQ134" s="3"/>
      <c r="MBR134" s="3"/>
      <c r="MBS134" s="3"/>
      <c r="MBT134" s="3"/>
      <c r="MBU134" s="3"/>
      <c r="MBV134" s="3"/>
      <c r="MBW134" s="3"/>
      <c r="MBX134" s="3"/>
      <c r="MBY134" s="3"/>
      <c r="MBZ134" s="3"/>
      <c r="MCA134" s="3"/>
      <c r="MCB134" s="3"/>
      <c r="MCC134" s="3"/>
      <c r="MCD134" s="3"/>
      <c r="MCE134" s="3"/>
      <c r="MCF134" s="3"/>
      <c r="MCG134" s="3"/>
      <c r="MCH134" s="3"/>
      <c r="MCI134" s="3"/>
      <c r="MCJ134" s="3"/>
      <c r="MCK134" s="3"/>
      <c r="MCL134" s="3"/>
      <c r="MCM134" s="3"/>
      <c r="MCN134" s="3"/>
      <c r="MCO134" s="3"/>
      <c r="MCP134" s="3"/>
      <c r="MCQ134" s="3"/>
      <c r="MCR134" s="3"/>
      <c r="MCS134" s="3"/>
      <c r="MCT134" s="3"/>
      <c r="MCU134" s="3"/>
      <c r="MCV134" s="3"/>
      <c r="MCW134" s="3"/>
      <c r="MCX134" s="3"/>
      <c r="MCY134" s="3"/>
      <c r="MCZ134" s="3"/>
      <c r="MDA134" s="3"/>
      <c r="MDB134" s="3"/>
      <c r="MDC134" s="3"/>
      <c r="MDD134" s="3"/>
      <c r="MDE134" s="3"/>
      <c r="MDF134" s="3"/>
      <c r="MDG134" s="3"/>
      <c r="MDH134" s="3"/>
      <c r="MDI134" s="3"/>
      <c r="MDJ134" s="3"/>
      <c r="MDK134" s="3"/>
      <c r="MDL134" s="3"/>
      <c r="MDM134" s="3"/>
      <c r="MDN134" s="3"/>
      <c r="MDO134" s="3"/>
      <c r="MDP134" s="3"/>
      <c r="MDQ134" s="3"/>
      <c r="MDR134" s="3"/>
      <c r="MDS134" s="3"/>
      <c r="MDT134" s="3"/>
      <c r="MDU134" s="3"/>
      <c r="MDV134" s="3"/>
      <c r="MDW134" s="3"/>
      <c r="MDX134" s="3"/>
      <c r="MDY134" s="3"/>
      <c r="MDZ134" s="3"/>
      <c r="MEA134" s="3"/>
      <c r="MEB134" s="3"/>
      <c r="MEC134" s="3"/>
      <c r="MED134" s="3"/>
      <c r="MEE134" s="3"/>
      <c r="MEF134" s="3"/>
      <c r="MEG134" s="3"/>
      <c r="MEH134" s="3"/>
      <c r="MEI134" s="3"/>
      <c r="MEJ134" s="3"/>
      <c r="MEK134" s="3"/>
      <c r="MEL134" s="3"/>
      <c r="MEM134" s="3"/>
      <c r="MEN134" s="3"/>
      <c r="MEO134" s="3"/>
      <c r="MEP134" s="3"/>
      <c r="MEQ134" s="3"/>
      <c r="MER134" s="3"/>
      <c r="MES134" s="3"/>
      <c r="MET134" s="3"/>
      <c r="MEU134" s="3"/>
      <c r="MEV134" s="3"/>
      <c r="MEW134" s="3"/>
      <c r="MEX134" s="3"/>
      <c r="MEY134" s="3"/>
      <c r="MEZ134" s="3"/>
      <c r="MFA134" s="3"/>
      <c r="MFB134" s="3"/>
      <c r="MFC134" s="3"/>
      <c r="MFD134" s="3"/>
      <c r="MFE134" s="3"/>
      <c r="MFF134" s="3"/>
      <c r="MFG134" s="3"/>
      <c r="MFH134" s="3"/>
      <c r="MFI134" s="3"/>
      <c r="MFJ134" s="3"/>
      <c r="MFK134" s="3"/>
      <c r="MFL134" s="3"/>
      <c r="MFM134" s="3"/>
      <c r="MFN134" s="3"/>
      <c r="MFO134" s="3"/>
      <c r="MFP134" s="3"/>
      <c r="MFQ134" s="3"/>
      <c r="MFR134" s="3"/>
      <c r="MFS134" s="3"/>
      <c r="MFT134" s="3"/>
      <c r="MFU134" s="3"/>
      <c r="MFV134" s="3"/>
      <c r="MFW134" s="3"/>
      <c r="MFX134" s="3"/>
      <c r="MFY134" s="3"/>
      <c r="MFZ134" s="3"/>
      <c r="MGA134" s="3"/>
      <c r="MGB134" s="3"/>
      <c r="MGC134" s="3"/>
      <c r="MGD134" s="3"/>
      <c r="MGE134" s="3"/>
      <c r="MGF134" s="3"/>
      <c r="MGG134" s="3"/>
      <c r="MGH134" s="3"/>
      <c r="MGI134" s="3"/>
      <c r="MGJ134" s="3"/>
      <c r="MGK134" s="3"/>
      <c r="MGL134" s="3"/>
      <c r="MGM134" s="3"/>
      <c r="MGN134" s="3"/>
      <c r="MGO134" s="3"/>
      <c r="MGP134" s="3"/>
      <c r="MGQ134" s="3"/>
      <c r="MGR134" s="3"/>
      <c r="MGS134" s="3"/>
      <c r="MGT134" s="3"/>
      <c r="MGU134" s="3"/>
      <c r="MGV134" s="3"/>
      <c r="MGW134" s="3"/>
      <c r="MGX134" s="3"/>
      <c r="MGY134" s="3"/>
      <c r="MGZ134" s="3"/>
      <c r="MHA134" s="3"/>
      <c r="MHB134" s="3"/>
      <c r="MHC134" s="3"/>
      <c r="MHD134" s="3"/>
      <c r="MHE134" s="3"/>
      <c r="MHF134" s="3"/>
      <c r="MHG134" s="3"/>
      <c r="MHH134" s="3"/>
      <c r="MHI134" s="3"/>
      <c r="MHJ134" s="3"/>
      <c r="MHK134" s="3"/>
      <c r="MHL134" s="3"/>
      <c r="MHM134" s="3"/>
      <c r="MHN134" s="3"/>
      <c r="MHO134" s="3"/>
      <c r="MHP134" s="3"/>
      <c r="MHQ134" s="3"/>
      <c r="MHR134" s="3"/>
      <c r="MHS134" s="3"/>
      <c r="MHT134" s="3"/>
      <c r="MHU134" s="3"/>
      <c r="MHV134" s="3"/>
      <c r="MHW134" s="3"/>
      <c r="MHX134" s="3"/>
      <c r="MHY134" s="3"/>
      <c r="MHZ134" s="3"/>
      <c r="MIA134" s="3"/>
      <c r="MIB134" s="3"/>
      <c r="MIC134" s="3"/>
      <c r="MID134" s="3"/>
      <c r="MIE134" s="3"/>
      <c r="MIF134" s="3"/>
      <c r="MIG134" s="3"/>
      <c r="MIH134" s="3"/>
      <c r="MII134" s="3"/>
      <c r="MIJ134" s="3"/>
      <c r="MIK134" s="3"/>
      <c r="MIL134" s="3"/>
      <c r="MIM134" s="3"/>
      <c r="MIN134" s="3"/>
      <c r="MIO134" s="3"/>
      <c r="MIP134" s="3"/>
      <c r="MIQ134" s="3"/>
      <c r="MIR134" s="3"/>
      <c r="MIS134" s="3"/>
      <c r="MIT134" s="3"/>
      <c r="MIU134" s="3"/>
      <c r="MIV134" s="3"/>
      <c r="MIW134" s="3"/>
      <c r="MIX134" s="3"/>
      <c r="MIY134" s="3"/>
      <c r="MIZ134" s="3"/>
      <c r="MJA134" s="3"/>
      <c r="MJB134" s="3"/>
      <c r="MJC134" s="3"/>
      <c r="MJD134" s="3"/>
      <c r="MJE134" s="3"/>
      <c r="MJF134" s="3"/>
      <c r="MJG134" s="3"/>
      <c r="MJH134" s="3"/>
      <c r="MJI134" s="3"/>
      <c r="MJJ134" s="3"/>
      <c r="MJK134" s="3"/>
      <c r="MJL134" s="3"/>
      <c r="MJM134" s="3"/>
      <c r="MJN134" s="3"/>
      <c r="MJO134" s="3"/>
      <c r="MJP134" s="3"/>
      <c r="MJQ134" s="3"/>
      <c r="MJR134" s="3"/>
      <c r="MJS134" s="3"/>
      <c r="MJT134" s="3"/>
      <c r="MJU134" s="3"/>
      <c r="MJV134" s="3"/>
      <c r="MJW134" s="3"/>
      <c r="MJX134" s="3"/>
      <c r="MJY134" s="3"/>
      <c r="MJZ134" s="3"/>
      <c r="MKA134" s="3"/>
      <c r="MKB134" s="3"/>
      <c r="MKC134" s="3"/>
      <c r="MKD134" s="3"/>
      <c r="MKE134" s="3"/>
      <c r="MKF134" s="3"/>
      <c r="MKG134" s="3"/>
      <c r="MKH134" s="3"/>
      <c r="MKI134" s="3"/>
      <c r="MKJ134" s="3"/>
      <c r="MKK134" s="3"/>
      <c r="MKL134" s="3"/>
      <c r="MKM134" s="3"/>
      <c r="MKN134" s="3"/>
      <c r="MKO134" s="3"/>
      <c r="MKP134" s="3"/>
      <c r="MKQ134" s="3"/>
      <c r="MKR134" s="3"/>
      <c r="MKS134" s="3"/>
      <c r="MKT134" s="3"/>
      <c r="MKU134" s="3"/>
      <c r="MKV134" s="3"/>
      <c r="MKW134" s="3"/>
      <c r="MKX134" s="3"/>
      <c r="MKY134" s="3"/>
      <c r="MKZ134" s="3"/>
      <c r="MLA134" s="3"/>
      <c r="MLB134" s="3"/>
      <c r="MLC134" s="3"/>
      <c r="MLD134" s="3"/>
      <c r="MLE134" s="3"/>
      <c r="MLF134" s="3"/>
      <c r="MLG134" s="3"/>
      <c r="MLH134" s="3"/>
      <c r="MLI134" s="3"/>
      <c r="MLJ134" s="3"/>
      <c r="MLK134" s="3"/>
      <c r="MLL134" s="3"/>
      <c r="MLM134" s="3"/>
      <c r="MLN134" s="3"/>
      <c r="MLO134" s="3"/>
      <c r="MLP134" s="3"/>
      <c r="MLQ134" s="3"/>
      <c r="MLR134" s="3"/>
      <c r="MLS134" s="3"/>
      <c r="MLT134" s="3"/>
      <c r="MLU134" s="3"/>
      <c r="MLV134" s="3"/>
      <c r="MLW134" s="3"/>
      <c r="MLX134" s="3"/>
      <c r="MLY134" s="3"/>
      <c r="MLZ134" s="3"/>
      <c r="MMA134" s="3"/>
      <c r="MMB134" s="3"/>
      <c r="MMC134" s="3"/>
      <c r="MMD134" s="3"/>
      <c r="MME134" s="3"/>
      <c r="MMF134" s="3"/>
      <c r="MMG134" s="3"/>
      <c r="MMH134" s="3"/>
      <c r="MMI134" s="3"/>
      <c r="MMJ134" s="3"/>
      <c r="MMK134" s="3"/>
      <c r="MML134" s="3"/>
      <c r="MMM134" s="3"/>
      <c r="MMN134" s="3"/>
      <c r="MMO134" s="3"/>
      <c r="MMP134" s="3"/>
      <c r="MMQ134" s="3"/>
      <c r="MMR134" s="3"/>
      <c r="MMS134" s="3"/>
      <c r="MMT134" s="3"/>
      <c r="MMU134" s="3"/>
      <c r="MMV134" s="3"/>
      <c r="MMW134" s="3"/>
      <c r="MMX134" s="3"/>
      <c r="MMY134" s="3"/>
      <c r="MMZ134" s="3"/>
      <c r="MNA134" s="3"/>
      <c r="MNB134" s="3"/>
      <c r="MNC134" s="3"/>
      <c r="MND134" s="3"/>
      <c r="MNE134" s="3"/>
      <c r="MNF134" s="3"/>
      <c r="MNG134" s="3"/>
      <c r="MNH134" s="3"/>
      <c r="MNI134" s="3"/>
      <c r="MNJ134" s="3"/>
      <c r="MNK134" s="3"/>
      <c r="MNL134" s="3"/>
      <c r="MNM134" s="3"/>
      <c r="MNN134" s="3"/>
      <c r="MNO134" s="3"/>
      <c r="MNP134" s="3"/>
      <c r="MNQ134" s="3"/>
      <c r="MNR134" s="3"/>
      <c r="MNS134" s="3"/>
      <c r="MNT134" s="3"/>
      <c r="MNU134" s="3"/>
      <c r="MNV134" s="3"/>
      <c r="MNW134" s="3"/>
      <c r="MNX134" s="3"/>
      <c r="MNY134" s="3"/>
      <c r="MNZ134" s="3"/>
      <c r="MOA134" s="3"/>
      <c r="MOB134" s="3"/>
      <c r="MOC134" s="3"/>
      <c r="MOD134" s="3"/>
      <c r="MOE134" s="3"/>
      <c r="MOF134" s="3"/>
      <c r="MOG134" s="3"/>
      <c r="MOH134" s="3"/>
      <c r="MOI134" s="3"/>
      <c r="MOJ134" s="3"/>
      <c r="MOK134" s="3"/>
      <c r="MOL134" s="3"/>
      <c r="MOM134" s="3"/>
      <c r="MON134" s="3"/>
      <c r="MOO134" s="3"/>
      <c r="MOP134" s="3"/>
      <c r="MOQ134" s="3"/>
      <c r="MOR134" s="3"/>
      <c r="MOS134" s="3"/>
      <c r="MOT134" s="3"/>
      <c r="MOU134" s="3"/>
      <c r="MOV134" s="3"/>
      <c r="MOW134" s="3"/>
      <c r="MOX134" s="3"/>
      <c r="MOY134" s="3"/>
      <c r="MOZ134" s="3"/>
      <c r="MPA134" s="3"/>
      <c r="MPB134" s="3"/>
      <c r="MPC134" s="3"/>
      <c r="MPD134" s="3"/>
      <c r="MPE134" s="3"/>
      <c r="MPF134" s="3"/>
      <c r="MPG134" s="3"/>
      <c r="MPH134" s="3"/>
      <c r="MPI134" s="3"/>
      <c r="MPJ134" s="3"/>
      <c r="MPK134" s="3"/>
      <c r="MPL134" s="3"/>
      <c r="MPM134" s="3"/>
      <c r="MPN134" s="3"/>
      <c r="MPO134" s="3"/>
      <c r="MPP134" s="3"/>
      <c r="MPQ134" s="3"/>
      <c r="MPR134" s="3"/>
      <c r="MPS134" s="3"/>
      <c r="MPT134" s="3"/>
      <c r="MPU134" s="3"/>
      <c r="MPV134" s="3"/>
      <c r="MPW134" s="3"/>
      <c r="MPX134" s="3"/>
      <c r="MPY134" s="3"/>
      <c r="MPZ134" s="3"/>
      <c r="MQA134" s="3"/>
      <c r="MQB134" s="3"/>
      <c r="MQC134" s="3"/>
      <c r="MQD134" s="3"/>
      <c r="MQE134" s="3"/>
      <c r="MQF134" s="3"/>
      <c r="MQG134" s="3"/>
      <c r="MQH134" s="3"/>
      <c r="MQI134" s="3"/>
      <c r="MQJ134" s="3"/>
      <c r="MQK134" s="3"/>
      <c r="MQL134" s="3"/>
      <c r="MQM134" s="3"/>
      <c r="MQN134" s="3"/>
      <c r="MQO134" s="3"/>
      <c r="MQP134" s="3"/>
      <c r="MQQ134" s="3"/>
      <c r="MQR134" s="3"/>
      <c r="MQS134" s="3"/>
      <c r="MQT134" s="3"/>
      <c r="MQU134" s="3"/>
      <c r="MQV134" s="3"/>
      <c r="MQW134" s="3"/>
      <c r="MQX134" s="3"/>
      <c r="MQY134" s="3"/>
      <c r="MQZ134" s="3"/>
      <c r="MRA134" s="3"/>
      <c r="MRB134" s="3"/>
      <c r="MRC134" s="3"/>
      <c r="MRD134" s="3"/>
      <c r="MRE134" s="3"/>
      <c r="MRF134" s="3"/>
      <c r="MRG134" s="3"/>
      <c r="MRH134" s="3"/>
      <c r="MRI134" s="3"/>
      <c r="MRJ134" s="3"/>
      <c r="MRK134" s="3"/>
      <c r="MRL134" s="3"/>
      <c r="MRM134" s="3"/>
      <c r="MRN134" s="3"/>
      <c r="MRO134" s="3"/>
      <c r="MRP134" s="3"/>
      <c r="MRQ134" s="3"/>
      <c r="MRR134" s="3"/>
      <c r="MRS134" s="3"/>
      <c r="MRT134" s="3"/>
      <c r="MRU134" s="3"/>
      <c r="MRV134" s="3"/>
      <c r="MRW134" s="3"/>
      <c r="MRX134" s="3"/>
      <c r="MRY134" s="3"/>
      <c r="MRZ134" s="3"/>
      <c r="MSA134" s="3"/>
      <c r="MSB134" s="3"/>
      <c r="MSC134" s="3"/>
      <c r="MSD134" s="3"/>
      <c r="MSE134" s="3"/>
      <c r="MSF134" s="3"/>
      <c r="MSG134" s="3"/>
      <c r="MSH134" s="3"/>
      <c r="MSI134" s="3"/>
      <c r="MSJ134" s="3"/>
      <c r="MSK134" s="3"/>
      <c r="MSL134" s="3"/>
      <c r="MSM134" s="3"/>
      <c r="MSN134" s="3"/>
      <c r="MSO134" s="3"/>
      <c r="MSP134" s="3"/>
      <c r="MSQ134" s="3"/>
      <c r="MSR134" s="3"/>
      <c r="MSS134" s="3"/>
      <c r="MST134" s="3"/>
      <c r="MSU134" s="3"/>
      <c r="MSV134" s="3"/>
      <c r="MSW134" s="3"/>
      <c r="MSX134" s="3"/>
      <c r="MSY134" s="3"/>
      <c r="MSZ134" s="3"/>
      <c r="MTA134" s="3"/>
      <c r="MTB134" s="3"/>
      <c r="MTC134" s="3"/>
      <c r="MTD134" s="3"/>
      <c r="MTE134" s="3"/>
      <c r="MTF134" s="3"/>
      <c r="MTG134" s="3"/>
      <c r="MTH134" s="3"/>
      <c r="MTI134" s="3"/>
      <c r="MTJ134" s="3"/>
      <c r="MTK134" s="3"/>
      <c r="MTL134" s="3"/>
      <c r="MTM134" s="3"/>
      <c r="MTN134" s="3"/>
      <c r="MTO134" s="3"/>
      <c r="MTP134" s="3"/>
      <c r="MTQ134" s="3"/>
      <c r="MTR134" s="3"/>
      <c r="MTS134" s="3"/>
      <c r="MTT134" s="3"/>
      <c r="MTU134" s="3"/>
      <c r="MTV134" s="3"/>
      <c r="MTW134" s="3"/>
      <c r="MTX134" s="3"/>
      <c r="MTY134" s="3"/>
      <c r="MTZ134" s="3"/>
      <c r="MUA134" s="3"/>
      <c r="MUB134" s="3"/>
      <c r="MUC134" s="3"/>
      <c r="MUD134" s="3"/>
      <c r="MUE134" s="3"/>
      <c r="MUF134" s="3"/>
      <c r="MUG134" s="3"/>
      <c r="MUH134" s="3"/>
      <c r="MUI134" s="3"/>
      <c r="MUJ134" s="3"/>
      <c r="MUK134" s="3"/>
      <c r="MUL134" s="3"/>
      <c r="MUM134" s="3"/>
      <c r="MUN134" s="3"/>
      <c r="MUO134" s="3"/>
      <c r="MUP134" s="3"/>
      <c r="MUQ134" s="3"/>
      <c r="MUR134" s="3"/>
      <c r="MUS134" s="3"/>
      <c r="MUT134" s="3"/>
      <c r="MUU134" s="3"/>
      <c r="MUV134" s="3"/>
      <c r="MUW134" s="3"/>
      <c r="MUX134" s="3"/>
      <c r="MUY134" s="3"/>
      <c r="MUZ134" s="3"/>
      <c r="MVA134" s="3"/>
      <c r="MVB134" s="3"/>
      <c r="MVC134" s="3"/>
      <c r="MVD134" s="3"/>
      <c r="MVE134" s="3"/>
      <c r="MVF134" s="3"/>
      <c r="MVG134" s="3"/>
      <c r="MVH134" s="3"/>
      <c r="MVI134" s="3"/>
      <c r="MVJ134" s="3"/>
      <c r="MVK134" s="3"/>
      <c r="MVL134" s="3"/>
      <c r="MVM134" s="3"/>
      <c r="MVN134" s="3"/>
      <c r="MVO134" s="3"/>
      <c r="MVP134" s="3"/>
      <c r="MVQ134" s="3"/>
      <c r="MVR134" s="3"/>
      <c r="MVS134" s="3"/>
      <c r="MVT134" s="3"/>
      <c r="MVU134" s="3"/>
      <c r="MVV134" s="3"/>
      <c r="MVW134" s="3"/>
      <c r="MVX134" s="3"/>
      <c r="MVY134" s="3"/>
      <c r="MVZ134" s="3"/>
      <c r="MWA134" s="3"/>
      <c r="MWB134" s="3"/>
      <c r="MWC134" s="3"/>
      <c r="MWD134" s="3"/>
      <c r="MWE134" s="3"/>
      <c r="MWF134" s="3"/>
      <c r="MWG134" s="3"/>
      <c r="MWH134" s="3"/>
      <c r="MWI134" s="3"/>
      <c r="MWJ134" s="3"/>
      <c r="MWK134" s="3"/>
      <c r="MWL134" s="3"/>
      <c r="MWM134" s="3"/>
      <c r="MWN134" s="3"/>
      <c r="MWO134" s="3"/>
      <c r="MWP134" s="3"/>
      <c r="MWQ134" s="3"/>
      <c r="MWR134" s="3"/>
      <c r="MWS134" s="3"/>
      <c r="MWT134" s="3"/>
      <c r="MWU134" s="3"/>
      <c r="MWV134" s="3"/>
      <c r="MWW134" s="3"/>
      <c r="MWX134" s="3"/>
      <c r="MWY134" s="3"/>
      <c r="MWZ134" s="3"/>
      <c r="MXA134" s="3"/>
      <c r="MXB134" s="3"/>
      <c r="MXC134" s="3"/>
      <c r="MXD134" s="3"/>
      <c r="MXE134" s="3"/>
      <c r="MXF134" s="3"/>
      <c r="MXG134" s="3"/>
      <c r="MXH134" s="3"/>
      <c r="MXI134" s="3"/>
      <c r="MXJ134" s="3"/>
      <c r="MXK134" s="3"/>
      <c r="MXL134" s="3"/>
      <c r="MXM134" s="3"/>
      <c r="MXN134" s="3"/>
      <c r="MXO134" s="3"/>
      <c r="MXP134" s="3"/>
      <c r="MXQ134" s="3"/>
      <c r="MXR134" s="3"/>
      <c r="MXS134" s="3"/>
      <c r="MXT134" s="3"/>
      <c r="MXU134" s="3"/>
      <c r="MXV134" s="3"/>
      <c r="MXW134" s="3"/>
      <c r="MXX134" s="3"/>
      <c r="MXY134" s="3"/>
      <c r="MXZ134" s="3"/>
      <c r="MYA134" s="3"/>
      <c r="MYB134" s="3"/>
      <c r="MYC134" s="3"/>
      <c r="MYD134" s="3"/>
      <c r="MYE134" s="3"/>
      <c r="MYF134" s="3"/>
      <c r="MYG134" s="3"/>
      <c r="MYH134" s="3"/>
      <c r="MYI134" s="3"/>
      <c r="MYJ134" s="3"/>
      <c r="MYK134" s="3"/>
      <c r="MYL134" s="3"/>
      <c r="MYM134" s="3"/>
      <c r="MYN134" s="3"/>
      <c r="MYO134" s="3"/>
      <c r="MYP134" s="3"/>
      <c r="MYQ134" s="3"/>
      <c r="MYR134" s="3"/>
      <c r="MYS134" s="3"/>
      <c r="MYT134" s="3"/>
      <c r="MYU134" s="3"/>
      <c r="MYV134" s="3"/>
      <c r="MYW134" s="3"/>
      <c r="MYX134" s="3"/>
      <c r="MYY134" s="3"/>
      <c r="MYZ134" s="3"/>
      <c r="MZA134" s="3"/>
      <c r="MZB134" s="3"/>
      <c r="MZC134" s="3"/>
      <c r="MZD134" s="3"/>
      <c r="MZE134" s="3"/>
      <c r="MZF134" s="3"/>
      <c r="MZG134" s="3"/>
      <c r="MZH134" s="3"/>
      <c r="MZI134" s="3"/>
      <c r="MZJ134" s="3"/>
      <c r="MZK134" s="3"/>
      <c r="MZL134" s="3"/>
      <c r="MZM134" s="3"/>
      <c r="MZN134" s="3"/>
      <c r="MZO134" s="3"/>
      <c r="MZP134" s="3"/>
      <c r="MZQ134" s="3"/>
      <c r="MZR134" s="3"/>
      <c r="MZS134" s="3"/>
      <c r="MZT134" s="3"/>
      <c r="MZU134" s="3"/>
      <c r="MZV134" s="3"/>
      <c r="MZW134" s="3"/>
      <c r="MZX134" s="3"/>
      <c r="MZY134" s="3"/>
      <c r="MZZ134" s="3"/>
      <c r="NAA134" s="3"/>
      <c r="NAB134" s="3"/>
      <c r="NAC134" s="3"/>
      <c r="NAD134" s="3"/>
      <c r="NAE134" s="3"/>
      <c r="NAF134" s="3"/>
      <c r="NAG134" s="3"/>
      <c r="NAH134" s="3"/>
      <c r="NAI134" s="3"/>
      <c r="NAJ134" s="3"/>
      <c r="NAK134" s="3"/>
      <c r="NAL134" s="3"/>
      <c r="NAM134" s="3"/>
      <c r="NAN134" s="3"/>
      <c r="NAO134" s="3"/>
      <c r="NAP134" s="3"/>
      <c r="NAQ134" s="3"/>
      <c r="NAR134" s="3"/>
      <c r="NAS134" s="3"/>
      <c r="NAT134" s="3"/>
      <c r="NAU134" s="3"/>
      <c r="NAV134" s="3"/>
      <c r="NAW134" s="3"/>
      <c r="NAX134" s="3"/>
      <c r="NAY134" s="3"/>
      <c r="NAZ134" s="3"/>
      <c r="NBA134" s="3"/>
      <c r="NBB134" s="3"/>
      <c r="NBC134" s="3"/>
      <c r="NBD134" s="3"/>
      <c r="NBE134" s="3"/>
      <c r="NBF134" s="3"/>
      <c r="NBG134" s="3"/>
      <c r="NBH134" s="3"/>
      <c r="NBI134" s="3"/>
      <c r="NBJ134" s="3"/>
      <c r="NBK134" s="3"/>
      <c r="NBL134" s="3"/>
      <c r="NBM134" s="3"/>
      <c r="NBN134" s="3"/>
      <c r="NBO134" s="3"/>
      <c r="NBP134" s="3"/>
      <c r="NBQ134" s="3"/>
      <c r="NBR134" s="3"/>
      <c r="NBS134" s="3"/>
      <c r="NBT134" s="3"/>
      <c r="NBU134" s="3"/>
      <c r="NBV134" s="3"/>
      <c r="NBW134" s="3"/>
      <c r="NBX134" s="3"/>
      <c r="NBY134" s="3"/>
      <c r="NBZ134" s="3"/>
      <c r="NCA134" s="3"/>
      <c r="NCB134" s="3"/>
      <c r="NCC134" s="3"/>
      <c r="NCD134" s="3"/>
      <c r="NCE134" s="3"/>
      <c r="NCF134" s="3"/>
      <c r="NCG134" s="3"/>
      <c r="NCH134" s="3"/>
      <c r="NCI134" s="3"/>
      <c r="NCJ134" s="3"/>
      <c r="NCK134" s="3"/>
      <c r="NCL134" s="3"/>
      <c r="NCM134" s="3"/>
      <c r="NCN134" s="3"/>
      <c r="NCO134" s="3"/>
      <c r="NCP134" s="3"/>
      <c r="NCQ134" s="3"/>
      <c r="NCR134" s="3"/>
      <c r="NCS134" s="3"/>
      <c r="NCT134" s="3"/>
      <c r="NCU134" s="3"/>
      <c r="NCV134" s="3"/>
      <c r="NCW134" s="3"/>
      <c r="NCX134" s="3"/>
      <c r="NCY134" s="3"/>
      <c r="NCZ134" s="3"/>
      <c r="NDA134" s="3"/>
      <c r="NDB134" s="3"/>
      <c r="NDC134" s="3"/>
      <c r="NDD134" s="3"/>
      <c r="NDE134" s="3"/>
      <c r="NDF134" s="3"/>
      <c r="NDG134" s="3"/>
      <c r="NDH134" s="3"/>
      <c r="NDI134" s="3"/>
      <c r="NDJ134" s="3"/>
      <c r="NDK134" s="3"/>
      <c r="NDL134" s="3"/>
      <c r="NDM134" s="3"/>
      <c r="NDN134" s="3"/>
      <c r="NDO134" s="3"/>
      <c r="NDP134" s="3"/>
      <c r="NDQ134" s="3"/>
      <c r="NDR134" s="3"/>
      <c r="NDS134" s="3"/>
      <c r="NDT134" s="3"/>
      <c r="NDU134" s="3"/>
      <c r="NDV134" s="3"/>
      <c r="NDW134" s="3"/>
      <c r="NDX134" s="3"/>
      <c r="NDY134" s="3"/>
      <c r="NDZ134" s="3"/>
      <c r="NEA134" s="3"/>
      <c r="NEB134" s="3"/>
      <c r="NEC134" s="3"/>
      <c r="NED134" s="3"/>
      <c r="NEE134" s="3"/>
      <c r="NEF134" s="3"/>
      <c r="NEG134" s="3"/>
      <c r="NEH134" s="3"/>
      <c r="NEI134" s="3"/>
      <c r="NEJ134" s="3"/>
      <c r="NEK134" s="3"/>
      <c r="NEL134" s="3"/>
      <c r="NEM134" s="3"/>
      <c r="NEN134" s="3"/>
      <c r="NEO134" s="3"/>
      <c r="NEP134" s="3"/>
      <c r="NEQ134" s="3"/>
      <c r="NER134" s="3"/>
      <c r="NES134" s="3"/>
      <c r="NET134" s="3"/>
      <c r="NEU134" s="3"/>
      <c r="NEV134" s="3"/>
      <c r="NEW134" s="3"/>
      <c r="NEX134" s="3"/>
      <c r="NEY134" s="3"/>
      <c r="NEZ134" s="3"/>
      <c r="NFA134" s="3"/>
      <c r="NFB134" s="3"/>
      <c r="NFC134" s="3"/>
      <c r="NFD134" s="3"/>
      <c r="NFE134" s="3"/>
      <c r="NFF134" s="3"/>
      <c r="NFG134" s="3"/>
      <c r="NFH134" s="3"/>
      <c r="NFI134" s="3"/>
      <c r="NFJ134" s="3"/>
      <c r="NFK134" s="3"/>
      <c r="NFL134" s="3"/>
      <c r="NFM134" s="3"/>
      <c r="NFN134" s="3"/>
      <c r="NFO134" s="3"/>
      <c r="NFP134" s="3"/>
      <c r="NFQ134" s="3"/>
      <c r="NFR134" s="3"/>
      <c r="NFS134" s="3"/>
      <c r="NFT134" s="3"/>
      <c r="NFU134" s="3"/>
      <c r="NFV134" s="3"/>
      <c r="NFW134" s="3"/>
      <c r="NFX134" s="3"/>
      <c r="NFY134" s="3"/>
      <c r="NFZ134" s="3"/>
      <c r="NGA134" s="3"/>
      <c r="NGB134" s="3"/>
      <c r="NGC134" s="3"/>
      <c r="NGD134" s="3"/>
      <c r="NGE134" s="3"/>
      <c r="NGF134" s="3"/>
      <c r="NGG134" s="3"/>
      <c r="NGH134" s="3"/>
      <c r="NGI134" s="3"/>
      <c r="NGJ134" s="3"/>
      <c r="NGK134" s="3"/>
      <c r="NGL134" s="3"/>
      <c r="NGM134" s="3"/>
      <c r="NGN134" s="3"/>
      <c r="NGO134" s="3"/>
      <c r="NGP134" s="3"/>
      <c r="NGQ134" s="3"/>
      <c r="NGR134" s="3"/>
      <c r="NGS134" s="3"/>
      <c r="NGT134" s="3"/>
      <c r="NGU134" s="3"/>
      <c r="NGV134" s="3"/>
      <c r="NGW134" s="3"/>
      <c r="NGX134" s="3"/>
      <c r="NGY134" s="3"/>
      <c r="NGZ134" s="3"/>
      <c r="NHA134" s="3"/>
      <c r="NHB134" s="3"/>
      <c r="NHC134" s="3"/>
      <c r="NHD134" s="3"/>
      <c r="NHE134" s="3"/>
      <c r="NHF134" s="3"/>
      <c r="NHG134" s="3"/>
      <c r="NHH134" s="3"/>
      <c r="NHI134" s="3"/>
      <c r="NHJ134" s="3"/>
      <c r="NHK134" s="3"/>
      <c r="NHL134" s="3"/>
      <c r="NHM134" s="3"/>
      <c r="NHN134" s="3"/>
      <c r="NHO134" s="3"/>
      <c r="NHP134" s="3"/>
      <c r="NHQ134" s="3"/>
      <c r="NHR134" s="3"/>
      <c r="NHS134" s="3"/>
      <c r="NHT134" s="3"/>
      <c r="NHU134" s="3"/>
      <c r="NHV134" s="3"/>
      <c r="NHW134" s="3"/>
      <c r="NHX134" s="3"/>
      <c r="NHY134" s="3"/>
      <c r="NHZ134" s="3"/>
      <c r="NIA134" s="3"/>
      <c r="NIB134" s="3"/>
      <c r="NIC134" s="3"/>
      <c r="NID134" s="3"/>
      <c r="NIE134" s="3"/>
      <c r="NIF134" s="3"/>
      <c r="NIG134" s="3"/>
      <c r="NIH134" s="3"/>
      <c r="NII134" s="3"/>
      <c r="NIJ134" s="3"/>
      <c r="NIK134" s="3"/>
      <c r="NIL134" s="3"/>
      <c r="NIM134" s="3"/>
      <c r="NIN134" s="3"/>
      <c r="NIO134" s="3"/>
      <c r="NIP134" s="3"/>
      <c r="NIQ134" s="3"/>
      <c r="NIR134" s="3"/>
      <c r="NIS134" s="3"/>
      <c r="NIT134" s="3"/>
      <c r="NIU134" s="3"/>
      <c r="NIV134" s="3"/>
      <c r="NIW134" s="3"/>
      <c r="NIX134" s="3"/>
      <c r="NIY134" s="3"/>
      <c r="NIZ134" s="3"/>
      <c r="NJA134" s="3"/>
      <c r="NJB134" s="3"/>
      <c r="NJC134" s="3"/>
      <c r="NJD134" s="3"/>
      <c r="NJE134" s="3"/>
      <c r="NJF134" s="3"/>
      <c r="NJG134" s="3"/>
      <c r="NJH134" s="3"/>
      <c r="NJI134" s="3"/>
      <c r="NJJ134" s="3"/>
      <c r="NJK134" s="3"/>
      <c r="NJL134" s="3"/>
      <c r="NJM134" s="3"/>
      <c r="NJN134" s="3"/>
      <c r="NJO134" s="3"/>
      <c r="NJP134" s="3"/>
      <c r="NJQ134" s="3"/>
      <c r="NJR134" s="3"/>
      <c r="NJS134" s="3"/>
      <c r="NJT134" s="3"/>
      <c r="NJU134" s="3"/>
      <c r="NJV134" s="3"/>
      <c r="NJW134" s="3"/>
      <c r="NJX134" s="3"/>
      <c r="NJY134" s="3"/>
      <c r="NJZ134" s="3"/>
      <c r="NKA134" s="3"/>
      <c r="NKB134" s="3"/>
      <c r="NKC134" s="3"/>
      <c r="NKD134" s="3"/>
      <c r="NKE134" s="3"/>
      <c r="NKF134" s="3"/>
      <c r="NKG134" s="3"/>
      <c r="NKH134" s="3"/>
      <c r="NKI134" s="3"/>
      <c r="NKJ134" s="3"/>
      <c r="NKK134" s="3"/>
      <c r="NKL134" s="3"/>
      <c r="NKM134" s="3"/>
      <c r="NKN134" s="3"/>
      <c r="NKO134" s="3"/>
      <c r="NKP134" s="3"/>
      <c r="NKQ134" s="3"/>
      <c r="NKR134" s="3"/>
      <c r="NKS134" s="3"/>
      <c r="NKT134" s="3"/>
      <c r="NKU134" s="3"/>
      <c r="NKV134" s="3"/>
      <c r="NKW134" s="3"/>
      <c r="NKX134" s="3"/>
      <c r="NKY134" s="3"/>
      <c r="NKZ134" s="3"/>
      <c r="NLA134" s="3"/>
      <c r="NLB134" s="3"/>
      <c r="NLC134" s="3"/>
      <c r="NLD134" s="3"/>
      <c r="NLE134" s="3"/>
      <c r="NLF134" s="3"/>
      <c r="NLG134" s="3"/>
      <c r="NLH134" s="3"/>
      <c r="NLI134" s="3"/>
      <c r="NLJ134" s="3"/>
      <c r="NLK134" s="3"/>
      <c r="NLL134" s="3"/>
      <c r="NLM134" s="3"/>
      <c r="NLN134" s="3"/>
      <c r="NLO134" s="3"/>
      <c r="NLP134" s="3"/>
      <c r="NLQ134" s="3"/>
      <c r="NLR134" s="3"/>
      <c r="NLS134" s="3"/>
      <c r="NLT134" s="3"/>
      <c r="NLU134" s="3"/>
      <c r="NLV134" s="3"/>
      <c r="NLW134" s="3"/>
      <c r="NLX134" s="3"/>
      <c r="NLY134" s="3"/>
      <c r="NLZ134" s="3"/>
      <c r="NMA134" s="3"/>
      <c r="NMB134" s="3"/>
      <c r="NMC134" s="3"/>
      <c r="NMD134" s="3"/>
      <c r="NME134" s="3"/>
      <c r="NMF134" s="3"/>
      <c r="NMG134" s="3"/>
      <c r="NMH134" s="3"/>
      <c r="NMI134" s="3"/>
      <c r="NMJ134" s="3"/>
      <c r="NMK134" s="3"/>
      <c r="NML134" s="3"/>
      <c r="NMM134" s="3"/>
      <c r="NMN134" s="3"/>
      <c r="NMO134" s="3"/>
      <c r="NMP134" s="3"/>
      <c r="NMQ134" s="3"/>
      <c r="NMR134" s="3"/>
      <c r="NMS134" s="3"/>
      <c r="NMT134" s="3"/>
      <c r="NMU134" s="3"/>
      <c r="NMV134" s="3"/>
      <c r="NMW134" s="3"/>
      <c r="NMX134" s="3"/>
      <c r="NMY134" s="3"/>
      <c r="NMZ134" s="3"/>
      <c r="NNA134" s="3"/>
      <c r="NNB134" s="3"/>
      <c r="NNC134" s="3"/>
      <c r="NND134" s="3"/>
      <c r="NNE134" s="3"/>
      <c r="NNF134" s="3"/>
      <c r="NNG134" s="3"/>
      <c r="NNH134" s="3"/>
      <c r="NNI134" s="3"/>
      <c r="NNJ134" s="3"/>
      <c r="NNK134" s="3"/>
      <c r="NNL134" s="3"/>
      <c r="NNM134" s="3"/>
      <c r="NNN134" s="3"/>
      <c r="NNO134" s="3"/>
      <c r="NNP134" s="3"/>
      <c r="NNQ134" s="3"/>
      <c r="NNR134" s="3"/>
      <c r="NNS134" s="3"/>
      <c r="NNT134" s="3"/>
      <c r="NNU134" s="3"/>
      <c r="NNV134" s="3"/>
      <c r="NNW134" s="3"/>
      <c r="NNX134" s="3"/>
      <c r="NNY134" s="3"/>
      <c r="NNZ134" s="3"/>
      <c r="NOA134" s="3"/>
      <c r="NOB134" s="3"/>
      <c r="NOC134" s="3"/>
      <c r="NOD134" s="3"/>
      <c r="NOE134" s="3"/>
      <c r="NOF134" s="3"/>
      <c r="NOG134" s="3"/>
      <c r="NOH134" s="3"/>
      <c r="NOI134" s="3"/>
      <c r="NOJ134" s="3"/>
      <c r="NOK134" s="3"/>
      <c r="NOL134" s="3"/>
      <c r="NOM134" s="3"/>
      <c r="NON134" s="3"/>
      <c r="NOO134" s="3"/>
      <c r="NOP134" s="3"/>
      <c r="NOQ134" s="3"/>
      <c r="NOR134" s="3"/>
      <c r="NOS134" s="3"/>
      <c r="NOT134" s="3"/>
      <c r="NOU134" s="3"/>
      <c r="NOV134" s="3"/>
      <c r="NOW134" s="3"/>
      <c r="NOX134" s="3"/>
      <c r="NOY134" s="3"/>
      <c r="NOZ134" s="3"/>
      <c r="NPA134" s="3"/>
      <c r="NPB134" s="3"/>
      <c r="NPC134" s="3"/>
      <c r="NPD134" s="3"/>
      <c r="NPE134" s="3"/>
      <c r="NPF134" s="3"/>
      <c r="NPG134" s="3"/>
      <c r="NPH134" s="3"/>
      <c r="NPI134" s="3"/>
      <c r="NPJ134" s="3"/>
      <c r="NPK134" s="3"/>
      <c r="NPL134" s="3"/>
      <c r="NPM134" s="3"/>
      <c r="NPN134" s="3"/>
      <c r="NPO134" s="3"/>
      <c r="NPP134" s="3"/>
      <c r="NPQ134" s="3"/>
      <c r="NPR134" s="3"/>
      <c r="NPS134" s="3"/>
      <c r="NPT134" s="3"/>
      <c r="NPU134" s="3"/>
      <c r="NPV134" s="3"/>
      <c r="NPW134" s="3"/>
      <c r="NPX134" s="3"/>
      <c r="NPY134" s="3"/>
      <c r="NPZ134" s="3"/>
      <c r="NQA134" s="3"/>
      <c r="NQB134" s="3"/>
      <c r="NQC134" s="3"/>
      <c r="NQD134" s="3"/>
      <c r="NQE134" s="3"/>
      <c r="NQF134" s="3"/>
      <c r="NQG134" s="3"/>
      <c r="NQH134" s="3"/>
      <c r="NQI134" s="3"/>
      <c r="NQJ134" s="3"/>
      <c r="NQK134" s="3"/>
      <c r="NQL134" s="3"/>
      <c r="NQM134" s="3"/>
      <c r="NQN134" s="3"/>
      <c r="NQO134" s="3"/>
      <c r="NQP134" s="3"/>
      <c r="NQQ134" s="3"/>
      <c r="NQR134" s="3"/>
      <c r="NQS134" s="3"/>
      <c r="NQT134" s="3"/>
      <c r="NQU134" s="3"/>
      <c r="NQV134" s="3"/>
      <c r="NQW134" s="3"/>
      <c r="NQX134" s="3"/>
      <c r="NQY134" s="3"/>
      <c r="NQZ134" s="3"/>
      <c r="NRA134" s="3"/>
      <c r="NRB134" s="3"/>
      <c r="NRC134" s="3"/>
      <c r="NRD134" s="3"/>
      <c r="NRE134" s="3"/>
      <c r="NRF134" s="3"/>
      <c r="NRG134" s="3"/>
      <c r="NRH134" s="3"/>
      <c r="NRI134" s="3"/>
      <c r="NRJ134" s="3"/>
      <c r="NRK134" s="3"/>
      <c r="NRL134" s="3"/>
      <c r="NRM134" s="3"/>
      <c r="NRN134" s="3"/>
      <c r="NRO134" s="3"/>
      <c r="NRP134" s="3"/>
      <c r="NRQ134" s="3"/>
      <c r="NRR134" s="3"/>
      <c r="NRS134" s="3"/>
      <c r="NRT134" s="3"/>
      <c r="NRU134" s="3"/>
      <c r="NRV134" s="3"/>
      <c r="NRW134" s="3"/>
      <c r="NRX134" s="3"/>
      <c r="NRY134" s="3"/>
      <c r="NRZ134" s="3"/>
      <c r="NSA134" s="3"/>
      <c r="NSB134" s="3"/>
      <c r="NSC134" s="3"/>
      <c r="NSD134" s="3"/>
      <c r="NSE134" s="3"/>
      <c r="NSF134" s="3"/>
      <c r="NSG134" s="3"/>
      <c r="NSH134" s="3"/>
      <c r="NSI134" s="3"/>
      <c r="NSJ134" s="3"/>
      <c r="NSK134" s="3"/>
      <c r="NSL134" s="3"/>
      <c r="NSM134" s="3"/>
      <c r="NSN134" s="3"/>
      <c r="NSO134" s="3"/>
      <c r="NSP134" s="3"/>
      <c r="NSQ134" s="3"/>
      <c r="NSR134" s="3"/>
      <c r="NSS134" s="3"/>
      <c r="NST134" s="3"/>
      <c r="NSU134" s="3"/>
      <c r="NSV134" s="3"/>
      <c r="NSW134" s="3"/>
      <c r="NSX134" s="3"/>
      <c r="NSY134" s="3"/>
      <c r="NSZ134" s="3"/>
      <c r="NTA134" s="3"/>
      <c r="NTB134" s="3"/>
      <c r="NTC134" s="3"/>
      <c r="NTD134" s="3"/>
      <c r="NTE134" s="3"/>
      <c r="NTF134" s="3"/>
      <c r="NTG134" s="3"/>
      <c r="NTH134" s="3"/>
      <c r="NTI134" s="3"/>
      <c r="NTJ134" s="3"/>
      <c r="NTK134" s="3"/>
      <c r="NTL134" s="3"/>
      <c r="NTM134" s="3"/>
      <c r="NTN134" s="3"/>
      <c r="NTO134" s="3"/>
      <c r="NTP134" s="3"/>
      <c r="NTQ134" s="3"/>
      <c r="NTR134" s="3"/>
      <c r="NTS134" s="3"/>
      <c r="NTT134" s="3"/>
      <c r="NTU134" s="3"/>
      <c r="NTV134" s="3"/>
      <c r="NTW134" s="3"/>
      <c r="NTX134" s="3"/>
      <c r="NTY134" s="3"/>
      <c r="NTZ134" s="3"/>
      <c r="NUA134" s="3"/>
      <c r="NUB134" s="3"/>
      <c r="NUC134" s="3"/>
      <c r="NUD134" s="3"/>
      <c r="NUE134" s="3"/>
      <c r="NUF134" s="3"/>
      <c r="NUG134" s="3"/>
      <c r="NUH134" s="3"/>
      <c r="NUI134" s="3"/>
      <c r="NUJ134" s="3"/>
      <c r="NUK134" s="3"/>
      <c r="NUL134" s="3"/>
      <c r="NUM134" s="3"/>
      <c r="NUN134" s="3"/>
      <c r="NUO134" s="3"/>
      <c r="NUP134" s="3"/>
      <c r="NUQ134" s="3"/>
      <c r="NUR134" s="3"/>
      <c r="NUS134" s="3"/>
      <c r="NUT134" s="3"/>
      <c r="NUU134" s="3"/>
      <c r="NUV134" s="3"/>
      <c r="NUW134" s="3"/>
      <c r="NUX134" s="3"/>
      <c r="NUY134" s="3"/>
      <c r="NUZ134" s="3"/>
      <c r="NVA134" s="3"/>
      <c r="NVB134" s="3"/>
      <c r="NVC134" s="3"/>
      <c r="NVD134" s="3"/>
      <c r="NVE134" s="3"/>
      <c r="NVF134" s="3"/>
      <c r="NVG134" s="3"/>
      <c r="NVH134" s="3"/>
      <c r="NVI134" s="3"/>
      <c r="NVJ134" s="3"/>
      <c r="NVK134" s="3"/>
      <c r="NVL134" s="3"/>
      <c r="NVM134" s="3"/>
      <c r="NVN134" s="3"/>
      <c r="NVO134" s="3"/>
      <c r="NVP134" s="3"/>
      <c r="NVQ134" s="3"/>
      <c r="NVR134" s="3"/>
      <c r="NVS134" s="3"/>
      <c r="NVT134" s="3"/>
      <c r="NVU134" s="3"/>
      <c r="NVV134" s="3"/>
      <c r="NVW134" s="3"/>
      <c r="NVX134" s="3"/>
      <c r="NVY134" s="3"/>
      <c r="NVZ134" s="3"/>
      <c r="NWA134" s="3"/>
      <c r="NWB134" s="3"/>
      <c r="NWC134" s="3"/>
      <c r="NWD134" s="3"/>
      <c r="NWE134" s="3"/>
      <c r="NWF134" s="3"/>
      <c r="NWG134" s="3"/>
      <c r="NWH134" s="3"/>
      <c r="NWI134" s="3"/>
      <c r="NWJ134" s="3"/>
      <c r="NWK134" s="3"/>
      <c r="NWL134" s="3"/>
      <c r="NWM134" s="3"/>
      <c r="NWN134" s="3"/>
      <c r="NWO134" s="3"/>
      <c r="NWP134" s="3"/>
      <c r="NWQ134" s="3"/>
      <c r="NWR134" s="3"/>
      <c r="NWS134" s="3"/>
      <c r="NWT134" s="3"/>
      <c r="NWU134" s="3"/>
      <c r="NWV134" s="3"/>
      <c r="NWW134" s="3"/>
      <c r="NWX134" s="3"/>
      <c r="NWY134" s="3"/>
      <c r="NWZ134" s="3"/>
      <c r="NXA134" s="3"/>
      <c r="NXB134" s="3"/>
      <c r="NXC134" s="3"/>
      <c r="NXD134" s="3"/>
      <c r="NXE134" s="3"/>
      <c r="NXF134" s="3"/>
      <c r="NXG134" s="3"/>
      <c r="NXH134" s="3"/>
      <c r="NXI134" s="3"/>
      <c r="NXJ134" s="3"/>
      <c r="NXK134" s="3"/>
      <c r="NXL134" s="3"/>
      <c r="NXM134" s="3"/>
      <c r="NXN134" s="3"/>
      <c r="NXO134" s="3"/>
      <c r="NXP134" s="3"/>
      <c r="NXQ134" s="3"/>
      <c r="NXR134" s="3"/>
      <c r="NXS134" s="3"/>
      <c r="NXT134" s="3"/>
      <c r="NXU134" s="3"/>
      <c r="NXV134" s="3"/>
      <c r="NXW134" s="3"/>
      <c r="NXX134" s="3"/>
      <c r="NXY134" s="3"/>
      <c r="NXZ134" s="3"/>
      <c r="NYA134" s="3"/>
      <c r="NYB134" s="3"/>
      <c r="NYC134" s="3"/>
      <c r="NYD134" s="3"/>
      <c r="NYE134" s="3"/>
      <c r="NYF134" s="3"/>
      <c r="NYG134" s="3"/>
      <c r="NYH134" s="3"/>
      <c r="NYI134" s="3"/>
      <c r="NYJ134" s="3"/>
      <c r="NYK134" s="3"/>
      <c r="NYL134" s="3"/>
      <c r="NYM134" s="3"/>
      <c r="NYN134" s="3"/>
      <c r="NYO134" s="3"/>
      <c r="NYP134" s="3"/>
      <c r="NYQ134" s="3"/>
      <c r="NYR134" s="3"/>
      <c r="NYS134" s="3"/>
      <c r="NYT134" s="3"/>
      <c r="NYU134" s="3"/>
      <c r="NYV134" s="3"/>
      <c r="NYW134" s="3"/>
      <c r="NYX134" s="3"/>
      <c r="NYY134" s="3"/>
      <c r="NYZ134" s="3"/>
      <c r="NZA134" s="3"/>
      <c r="NZB134" s="3"/>
      <c r="NZC134" s="3"/>
      <c r="NZD134" s="3"/>
      <c r="NZE134" s="3"/>
      <c r="NZF134" s="3"/>
      <c r="NZG134" s="3"/>
      <c r="NZH134" s="3"/>
      <c r="NZI134" s="3"/>
      <c r="NZJ134" s="3"/>
      <c r="NZK134" s="3"/>
      <c r="NZL134" s="3"/>
      <c r="NZM134" s="3"/>
      <c r="NZN134" s="3"/>
      <c r="NZO134" s="3"/>
      <c r="NZP134" s="3"/>
      <c r="NZQ134" s="3"/>
      <c r="NZR134" s="3"/>
      <c r="NZS134" s="3"/>
      <c r="NZT134" s="3"/>
      <c r="NZU134" s="3"/>
      <c r="NZV134" s="3"/>
      <c r="NZW134" s="3"/>
      <c r="NZX134" s="3"/>
      <c r="NZY134" s="3"/>
      <c r="NZZ134" s="3"/>
      <c r="OAA134" s="3"/>
      <c r="OAB134" s="3"/>
      <c r="OAC134" s="3"/>
      <c r="OAD134" s="3"/>
      <c r="OAE134" s="3"/>
      <c r="OAF134" s="3"/>
      <c r="OAG134" s="3"/>
      <c r="OAH134" s="3"/>
      <c r="OAI134" s="3"/>
      <c r="OAJ134" s="3"/>
      <c r="OAK134" s="3"/>
      <c r="OAL134" s="3"/>
      <c r="OAM134" s="3"/>
      <c r="OAN134" s="3"/>
      <c r="OAO134" s="3"/>
      <c r="OAP134" s="3"/>
      <c r="OAQ134" s="3"/>
      <c r="OAR134" s="3"/>
      <c r="OAS134" s="3"/>
      <c r="OAT134" s="3"/>
      <c r="OAU134" s="3"/>
      <c r="OAV134" s="3"/>
      <c r="OAW134" s="3"/>
      <c r="OAX134" s="3"/>
      <c r="OAY134" s="3"/>
      <c r="OAZ134" s="3"/>
      <c r="OBA134" s="3"/>
      <c r="OBB134" s="3"/>
      <c r="OBC134" s="3"/>
      <c r="OBD134" s="3"/>
      <c r="OBE134" s="3"/>
      <c r="OBF134" s="3"/>
      <c r="OBG134" s="3"/>
      <c r="OBH134" s="3"/>
      <c r="OBI134" s="3"/>
      <c r="OBJ134" s="3"/>
      <c r="OBK134" s="3"/>
      <c r="OBL134" s="3"/>
      <c r="OBM134" s="3"/>
      <c r="OBN134" s="3"/>
      <c r="OBO134" s="3"/>
      <c r="OBP134" s="3"/>
      <c r="OBQ134" s="3"/>
      <c r="OBR134" s="3"/>
      <c r="OBS134" s="3"/>
      <c r="OBT134" s="3"/>
      <c r="OBU134" s="3"/>
      <c r="OBV134" s="3"/>
      <c r="OBW134" s="3"/>
      <c r="OBX134" s="3"/>
      <c r="OBY134" s="3"/>
      <c r="OBZ134" s="3"/>
      <c r="OCA134" s="3"/>
      <c r="OCB134" s="3"/>
      <c r="OCC134" s="3"/>
      <c r="OCD134" s="3"/>
      <c r="OCE134" s="3"/>
      <c r="OCF134" s="3"/>
      <c r="OCG134" s="3"/>
      <c r="OCH134" s="3"/>
      <c r="OCI134" s="3"/>
      <c r="OCJ134" s="3"/>
      <c r="OCK134" s="3"/>
      <c r="OCL134" s="3"/>
      <c r="OCM134" s="3"/>
      <c r="OCN134" s="3"/>
      <c r="OCO134" s="3"/>
      <c r="OCP134" s="3"/>
      <c r="OCQ134" s="3"/>
      <c r="OCR134" s="3"/>
      <c r="OCS134" s="3"/>
      <c r="OCT134" s="3"/>
      <c r="OCU134" s="3"/>
      <c r="OCV134" s="3"/>
      <c r="OCW134" s="3"/>
      <c r="OCX134" s="3"/>
      <c r="OCY134" s="3"/>
      <c r="OCZ134" s="3"/>
      <c r="ODA134" s="3"/>
      <c r="ODB134" s="3"/>
      <c r="ODC134" s="3"/>
      <c r="ODD134" s="3"/>
      <c r="ODE134" s="3"/>
      <c r="ODF134" s="3"/>
      <c r="ODG134" s="3"/>
      <c r="ODH134" s="3"/>
      <c r="ODI134" s="3"/>
      <c r="ODJ134" s="3"/>
      <c r="ODK134" s="3"/>
      <c r="ODL134" s="3"/>
      <c r="ODM134" s="3"/>
      <c r="ODN134" s="3"/>
      <c r="ODO134" s="3"/>
      <c r="ODP134" s="3"/>
      <c r="ODQ134" s="3"/>
      <c r="ODR134" s="3"/>
      <c r="ODS134" s="3"/>
      <c r="ODT134" s="3"/>
      <c r="ODU134" s="3"/>
      <c r="ODV134" s="3"/>
      <c r="ODW134" s="3"/>
      <c r="ODX134" s="3"/>
      <c r="ODY134" s="3"/>
      <c r="ODZ134" s="3"/>
      <c r="OEA134" s="3"/>
      <c r="OEB134" s="3"/>
      <c r="OEC134" s="3"/>
      <c r="OED134" s="3"/>
      <c r="OEE134" s="3"/>
      <c r="OEF134" s="3"/>
      <c r="OEG134" s="3"/>
      <c r="OEH134" s="3"/>
      <c r="OEI134" s="3"/>
      <c r="OEJ134" s="3"/>
      <c r="OEK134" s="3"/>
      <c r="OEL134" s="3"/>
      <c r="OEM134" s="3"/>
      <c r="OEN134" s="3"/>
      <c r="OEO134" s="3"/>
      <c r="OEP134" s="3"/>
      <c r="OEQ134" s="3"/>
      <c r="OER134" s="3"/>
      <c r="OES134" s="3"/>
      <c r="OET134" s="3"/>
      <c r="OEU134" s="3"/>
      <c r="OEV134" s="3"/>
      <c r="OEW134" s="3"/>
      <c r="OEX134" s="3"/>
      <c r="OEY134" s="3"/>
      <c r="OEZ134" s="3"/>
      <c r="OFA134" s="3"/>
      <c r="OFB134" s="3"/>
      <c r="OFC134" s="3"/>
      <c r="OFD134" s="3"/>
      <c r="OFE134" s="3"/>
      <c r="OFF134" s="3"/>
      <c r="OFG134" s="3"/>
      <c r="OFH134" s="3"/>
      <c r="OFI134" s="3"/>
      <c r="OFJ134" s="3"/>
      <c r="OFK134" s="3"/>
      <c r="OFL134" s="3"/>
      <c r="OFM134" s="3"/>
      <c r="OFN134" s="3"/>
      <c r="OFO134" s="3"/>
      <c r="OFP134" s="3"/>
      <c r="OFQ134" s="3"/>
      <c r="OFR134" s="3"/>
      <c r="OFS134" s="3"/>
      <c r="OFT134" s="3"/>
      <c r="OFU134" s="3"/>
      <c r="OFV134" s="3"/>
      <c r="OFW134" s="3"/>
      <c r="OFX134" s="3"/>
      <c r="OFY134" s="3"/>
      <c r="OFZ134" s="3"/>
      <c r="OGA134" s="3"/>
      <c r="OGB134" s="3"/>
      <c r="OGC134" s="3"/>
      <c r="OGD134" s="3"/>
      <c r="OGE134" s="3"/>
      <c r="OGF134" s="3"/>
      <c r="OGG134" s="3"/>
      <c r="OGH134" s="3"/>
      <c r="OGI134" s="3"/>
      <c r="OGJ134" s="3"/>
      <c r="OGK134" s="3"/>
      <c r="OGL134" s="3"/>
      <c r="OGM134" s="3"/>
      <c r="OGN134" s="3"/>
      <c r="OGO134" s="3"/>
      <c r="OGP134" s="3"/>
      <c r="OGQ134" s="3"/>
      <c r="OGR134" s="3"/>
      <c r="OGS134" s="3"/>
      <c r="OGT134" s="3"/>
      <c r="OGU134" s="3"/>
      <c r="OGV134" s="3"/>
      <c r="OGW134" s="3"/>
      <c r="OGX134" s="3"/>
      <c r="OGY134" s="3"/>
      <c r="OGZ134" s="3"/>
      <c r="OHA134" s="3"/>
      <c r="OHB134" s="3"/>
      <c r="OHC134" s="3"/>
      <c r="OHD134" s="3"/>
      <c r="OHE134" s="3"/>
      <c r="OHF134" s="3"/>
      <c r="OHG134" s="3"/>
      <c r="OHH134" s="3"/>
      <c r="OHI134" s="3"/>
      <c r="OHJ134" s="3"/>
      <c r="OHK134" s="3"/>
      <c r="OHL134" s="3"/>
      <c r="OHM134" s="3"/>
      <c r="OHN134" s="3"/>
      <c r="OHO134" s="3"/>
      <c r="OHP134" s="3"/>
      <c r="OHQ134" s="3"/>
      <c r="OHR134" s="3"/>
      <c r="OHS134" s="3"/>
      <c r="OHT134" s="3"/>
      <c r="OHU134" s="3"/>
      <c r="OHV134" s="3"/>
      <c r="OHW134" s="3"/>
      <c r="OHX134" s="3"/>
      <c r="OHY134" s="3"/>
      <c r="OHZ134" s="3"/>
      <c r="OIA134" s="3"/>
      <c r="OIB134" s="3"/>
      <c r="OIC134" s="3"/>
      <c r="OID134" s="3"/>
      <c r="OIE134" s="3"/>
      <c r="OIF134" s="3"/>
      <c r="OIG134" s="3"/>
      <c r="OIH134" s="3"/>
      <c r="OII134" s="3"/>
      <c r="OIJ134" s="3"/>
      <c r="OIK134" s="3"/>
      <c r="OIL134" s="3"/>
      <c r="OIM134" s="3"/>
      <c r="OIN134" s="3"/>
      <c r="OIO134" s="3"/>
      <c r="OIP134" s="3"/>
      <c r="OIQ134" s="3"/>
      <c r="OIR134" s="3"/>
      <c r="OIS134" s="3"/>
      <c r="OIT134" s="3"/>
      <c r="OIU134" s="3"/>
      <c r="OIV134" s="3"/>
      <c r="OIW134" s="3"/>
      <c r="OIX134" s="3"/>
      <c r="OIY134" s="3"/>
      <c r="OIZ134" s="3"/>
      <c r="OJA134" s="3"/>
      <c r="OJB134" s="3"/>
      <c r="OJC134" s="3"/>
      <c r="OJD134" s="3"/>
      <c r="OJE134" s="3"/>
      <c r="OJF134" s="3"/>
      <c r="OJG134" s="3"/>
      <c r="OJH134" s="3"/>
      <c r="OJI134" s="3"/>
      <c r="OJJ134" s="3"/>
      <c r="OJK134" s="3"/>
      <c r="OJL134" s="3"/>
      <c r="OJM134" s="3"/>
      <c r="OJN134" s="3"/>
      <c r="OJO134" s="3"/>
      <c r="OJP134" s="3"/>
      <c r="OJQ134" s="3"/>
      <c r="OJR134" s="3"/>
      <c r="OJS134" s="3"/>
      <c r="OJT134" s="3"/>
      <c r="OJU134" s="3"/>
      <c r="OJV134" s="3"/>
      <c r="OJW134" s="3"/>
      <c r="OJX134" s="3"/>
      <c r="OJY134" s="3"/>
      <c r="OJZ134" s="3"/>
      <c r="OKA134" s="3"/>
      <c r="OKB134" s="3"/>
      <c r="OKC134" s="3"/>
      <c r="OKD134" s="3"/>
      <c r="OKE134" s="3"/>
      <c r="OKF134" s="3"/>
      <c r="OKG134" s="3"/>
      <c r="OKH134" s="3"/>
      <c r="OKI134" s="3"/>
      <c r="OKJ134" s="3"/>
      <c r="OKK134" s="3"/>
      <c r="OKL134" s="3"/>
      <c r="OKM134" s="3"/>
      <c r="OKN134" s="3"/>
      <c r="OKO134" s="3"/>
      <c r="OKP134" s="3"/>
      <c r="OKQ134" s="3"/>
      <c r="OKR134" s="3"/>
      <c r="OKS134" s="3"/>
      <c r="OKT134" s="3"/>
      <c r="OKU134" s="3"/>
      <c r="OKV134" s="3"/>
      <c r="OKW134" s="3"/>
      <c r="OKX134" s="3"/>
      <c r="OKY134" s="3"/>
      <c r="OKZ134" s="3"/>
      <c r="OLA134" s="3"/>
      <c r="OLB134" s="3"/>
      <c r="OLC134" s="3"/>
      <c r="OLD134" s="3"/>
      <c r="OLE134" s="3"/>
      <c r="OLF134" s="3"/>
      <c r="OLG134" s="3"/>
      <c r="OLH134" s="3"/>
      <c r="OLI134" s="3"/>
      <c r="OLJ134" s="3"/>
      <c r="OLK134" s="3"/>
      <c r="OLL134" s="3"/>
      <c r="OLM134" s="3"/>
      <c r="OLN134" s="3"/>
      <c r="OLO134" s="3"/>
      <c r="OLP134" s="3"/>
      <c r="OLQ134" s="3"/>
      <c r="OLR134" s="3"/>
      <c r="OLS134" s="3"/>
      <c r="OLT134" s="3"/>
      <c r="OLU134" s="3"/>
      <c r="OLV134" s="3"/>
      <c r="OLW134" s="3"/>
      <c r="OLX134" s="3"/>
      <c r="OLY134" s="3"/>
      <c r="OLZ134" s="3"/>
      <c r="OMA134" s="3"/>
      <c r="OMB134" s="3"/>
      <c r="OMC134" s="3"/>
      <c r="OMD134" s="3"/>
      <c r="OME134" s="3"/>
      <c r="OMF134" s="3"/>
      <c r="OMG134" s="3"/>
      <c r="OMH134" s="3"/>
      <c r="OMI134" s="3"/>
      <c r="OMJ134" s="3"/>
      <c r="OMK134" s="3"/>
      <c r="OML134" s="3"/>
      <c r="OMM134" s="3"/>
      <c r="OMN134" s="3"/>
      <c r="OMO134" s="3"/>
      <c r="OMP134" s="3"/>
      <c r="OMQ134" s="3"/>
      <c r="OMR134" s="3"/>
      <c r="OMS134" s="3"/>
      <c r="OMT134" s="3"/>
      <c r="OMU134" s="3"/>
      <c r="OMV134" s="3"/>
      <c r="OMW134" s="3"/>
      <c r="OMX134" s="3"/>
      <c r="OMY134" s="3"/>
      <c r="OMZ134" s="3"/>
      <c r="ONA134" s="3"/>
      <c r="ONB134" s="3"/>
      <c r="ONC134" s="3"/>
      <c r="OND134" s="3"/>
      <c r="ONE134" s="3"/>
      <c r="ONF134" s="3"/>
      <c r="ONG134" s="3"/>
      <c r="ONH134" s="3"/>
      <c r="ONI134" s="3"/>
      <c r="ONJ134" s="3"/>
      <c r="ONK134" s="3"/>
      <c r="ONL134" s="3"/>
      <c r="ONM134" s="3"/>
      <c r="ONN134" s="3"/>
      <c r="ONO134" s="3"/>
      <c r="ONP134" s="3"/>
      <c r="ONQ134" s="3"/>
      <c r="ONR134" s="3"/>
      <c r="ONS134" s="3"/>
      <c r="ONT134" s="3"/>
      <c r="ONU134" s="3"/>
      <c r="ONV134" s="3"/>
      <c r="ONW134" s="3"/>
      <c r="ONX134" s="3"/>
      <c r="ONY134" s="3"/>
      <c r="ONZ134" s="3"/>
      <c r="OOA134" s="3"/>
      <c r="OOB134" s="3"/>
      <c r="OOC134" s="3"/>
      <c r="OOD134" s="3"/>
      <c r="OOE134" s="3"/>
      <c r="OOF134" s="3"/>
      <c r="OOG134" s="3"/>
      <c r="OOH134" s="3"/>
      <c r="OOI134" s="3"/>
      <c r="OOJ134" s="3"/>
      <c r="OOK134" s="3"/>
      <c r="OOL134" s="3"/>
      <c r="OOM134" s="3"/>
      <c r="OON134" s="3"/>
      <c r="OOO134" s="3"/>
      <c r="OOP134" s="3"/>
      <c r="OOQ134" s="3"/>
      <c r="OOR134" s="3"/>
      <c r="OOS134" s="3"/>
      <c r="OOT134" s="3"/>
      <c r="OOU134" s="3"/>
      <c r="OOV134" s="3"/>
      <c r="OOW134" s="3"/>
      <c r="OOX134" s="3"/>
      <c r="OOY134" s="3"/>
      <c r="OOZ134" s="3"/>
      <c r="OPA134" s="3"/>
      <c r="OPB134" s="3"/>
      <c r="OPC134" s="3"/>
      <c r="OPD134" s="3"/>
      <c r="OPE134" s="3"/>
      <c r="OPF134" s="3"/>
      <c r="OPG134" s="3"/>
      <c r="OPH134" s="3"/>
      <c r="OPI134" s="3"/>
      <c r="OPJ134" s="3"/>
      <c r="OPK134" s="3"/>
      <c r="OPL134" s="3"/>
      <c r="OPM134" s="3"/>
      <c r="OPN134" s="3"/>
      <c r="OPO134" s="3"/>
      <c r="OPP134" s="3"/>
      <c r="OPQ134" s="3"/>
      <c r="OPR134" s="3"/>
      <c r="OPS134" s="3"/>
      <c r="OPT134" s="3"/>
      <c r="OPU134" s="3"/>
      <c r="OPV134" s="3"/>
      <c r="OPW134" s="3"/>
      <c r="OPX134" s="3"/>
      <c r="OPY134" s="3"/>
      <c r="OPZ134" s="3"/>
      <c r="OQA134" s="3"/>
      <c r="OQB134" s="3"/>
      <c r="OQC134" s="3"/>
      <c r="OQD134" s="3"/>
      <c r="OQE134" s="3"/>
      <c r="OQF134" s="3"/>
      <c r="OQG134" s="3"/>
      <c r="OQH134" s="3"/>
      <c r="OQI134" s="3"/>
      <c r="OQJ134" s="3"/>
      <c r="OQK134" s="3"/>
      <c r="OQL134" s="3"/>
      <c r="OQM134" s="3"/>
      <c r="OQN134" s="3"/>
      <c r="OQO134" s="3"/>
      <c r="OQP134" s="3"/>
      <c r="OQQ134" s="3"/>
      <c r="OQR134" s="3"/>
      <c r="OQS134" s="3"/>
      <c r="OQT134" s="3"/>
      <c r="OQU134" s="3"/>
      <c r="OQV134" s="3"/>
      <c r="OQW134" s="3"/>
      <c r="OQX134" s="3"/>
      <c r="OQY134" s="3"/>
      <c r="OQZ134" s="3"/>
      <c r="ORA134" s="3"/>
      <c r="ORB134" s="3"/>
      <c r="ORC134" s="3"/>
      <c r="ORD134" s="3"/>
      <c r="ORE134" s="3"/>
      <c r="ORF134" s="3"/>
      <c r="ORG134" s="3"/>
      <c r="ORH134" s="3"/>
      <c r="ORI134" s="3"/>
      <c r="ORJ134" s="3"/>
      <c r="ORK134" s="3"/>
      <c r="ORL134" s="3"/>
      <c r="ORM134" s="3"/>
      <c r="ORN134" s="3"/>
      <c r="ORO134" s="3"/>
      <c r="ORP134" s="3"/>
      <c r="ORQ134" s="3"/>
      <c r="ORR134" s="3"/>
      <c r="ORS134" s="3"/>
      <c r="ORT134" s="3"/>
      <c r="ORU134" s="3"/>
      <c r="ORV134" s="3"/>
      <c r="ORW134" s="3"/>
      <c r="ORX134" s="3"/>
      <c r="ORY134" s="3"/>
      <c r="ORZ134" s="3"/>
      <c r="OSA134" s="3"/>
      <c r="OSB134" s="3"/>
      <c r="OSC134" s="3"/>
      <c r="OSD134" s="3"/>
      <c r="OSE134" s="3"/>
      <c r="OSF134" s="3"/>
      <c r="OSG134" s="3"/>
      <c r="OSH134" s="3"/>
      <c r="OSI134" s="3"/>
      <c r="OSJ134" s="3"/>
      <c r="OSK134" s="3"/>
      <c r="OSL134" s="3"/>
      <c r="OSM134" s="3"/>
      <c r="OSN134" s="3"/>
      <c r="OSO134" s="3"/>
      <c r="OSP134" s="3"/>
      <c r="OSQ134" s="3"/>
      <c r="OSR134" s="3"/>
      <c r="OSS134" s="3"/>
      <c r="OST134" s="3"/>
      <c r="OSU134" s="3"/>
      <c r="OSV134" s="3"/>
      <c r="OSW134" s="3"/>
      <c r="OSX134" s="3"/>
      <c r="OSY134" s="3"/>
      <c r="OSZ134" s="3"/>
      <c r="OTA134" s="3"/>
      <c r="OTB134" s="3"/>
      <c r="OTC134" s="3"/>
      <c r="OTD134" s="3"/>
      <c r="OTE134" s="3"/>
      <c r="OTF134" s="3"/>
      <c r="OTG134" s="3"/>
      <c r="OTH134" s="3"/>
      <c r="OTI134" s="3"/>
      <c r="OTJ134" s="3"/>
      <c r="OTK134" s="3"/>
      <c r="OTL134" s="3"/>
      <c r="OTM134" s="3"/>
      <c r="OTN134" s="3"/>
      <c r="OTO134" s="3"/>
      <c r="OTP134" s="3"/>
      <c r="OTQ134" s="3"/>
      <c r="OTR134" s="3"/>
      <c r="OTS134" s="3"/>
      <c r="OTT134" s="3"/>
      <c r="OTU134" s="3"/>
      <c r="OTV134" s="3"/>
      <c r="OTW134" s="3"/>
      <c r="OTX134" s="3"/>
      <c r="OTY134" s="3"/>
      <c r="OTZ134" s="3"/>
      <c r="OUA134" s="3"/>
      <c r="OUB134" s="3"/>
      <c r="OUC134" s="3"/>
      <c r="OUD134" s="3"/>
      <c r="OUE134" s="3"/>
      <c r="OUF134" s="3"/>
      <c r="OUG134" s="3"/>
      <c r="OUH134" s="3"/>
      <c r="OUI134" s="3"/>
      <c r="OUJ134" s="3"/>
      <c r="OUK134" s="3"/>
      <c r="OUL134" s="3"/>
      <c r="OUM134" s="3"/>
      <c r="OUN134" s="3"/>
      <c r="OUO134" s="3"/>
      <c r="OUP134" s="3"/>
      <c r="OUQ134" s="3"/>
      <c r="OUR134" s="3"/>
      <c r="OUS134" s="3"/>
      <c r="OUT134" s="3"/>
      <c r="OUU134" s="3"/>
      <c r="OUV134" s="3"/>
      <c r="OUW134" s="3"/>
      <c r="OUX134" s="3"/>
      <c r="OUY134" s="3"/>
      <c r="OUZ134" s="3"/>
      <c r="OVA134" s="3"/>
      <c r="OVB134" s="3"/>
      <c r="OVC134" s="3"/>
      <c r="OVD134" s="3"/>
      <c r="OVE134" s="3"/>
      <c r="OVF134" s="3"/>
      <c r="OVG134" s="3"/>
      <c r="OVH134" s="3"/>
      <c r="OVI134" s="3"/>
      <c r="OVJ134" s="3"/>
      <c r="OVK134" s="3"/>
      <c r="OVL134" s="3"/>
      <c r="OVM134" s="3"/>
      <c r="OVN134" s="3"/>
      <c r="OVO134" s="3"/>
      <c r="OVP134" s="3"/>
      <c r="OVQ134" s="3"/>
      <c r="OVR134" s="3"/>
      <c r="OVS134" s="3"/>
      <c r="OVT134" s="3"/>
      <c r="OVU134" s="3"/>
      <c r="OVV134" s="3"/>
      <c r="OVW134" s="3"/>
      <c r="OVX134" s="3"/>
      <c r="OVY134" s="3"/>
      <c r="OVZ134" s="3"/>
      <c r="OWA134" s="3"/>
      <c r="OWB134" s="3"/>
      <c r="OWC134" s="3"/>
      <c r="OWD134" s="3"/>
      <c r="OWE134" s="3"/>
      <c r="OWF134" s="3"/>
      <c r="OWG134" s="3"/>
      <c r="OWH134" s="3"/>
      <c r="OWI134" s="3"/>
      <c r="OWJ134" s="3"/>
      <c r="OWK134" s="3"/>
      <c r="OWL134" s="3"/>
      <c r="OWM134" s="3"/>
      <c r="OWN134" s="3"/>
      <c r="OWO134" s="3"/>
      <c r="OWP134" s="3"/>
      <c r="OWQ134" s="3"/>
      <c r="OWR134" s="3"/>
      <c r="OWS134" s="3"/>
      <c r="OWT134" s="3"/>
      <c r="OWU134" s="3"/>
      <c r="OWV134" s="3"/>
      <c r="OWW134" s="3"/>
      <c r="OWX134" s="3"/>
      <c r="OWY134" s="3"/>
      <c r="OWZ134" s="3"/>
      <c r="OXA134" s="3"/>
      <c r="OXB134" s="3"/>
      <c r="OXC134" s="3"/>
      <c r="OXD134" s="3"/>
      <c r="OXE134" s="3"/>
      <c r="OXF134" s="3"/>
      <c r="OXG134" s="3"/>
      <c r="OXH134" s="3"/>
      <c r="OXI134" s="3"/>
      <c r="OXJ134" s="3"/>
      <c r="OXK134" s="3"/>
      <c r="OXL134" s="3"/>
      <c r="OXM134" s="3"/>
      <c r="OXN134" s="3"/>
      <c r="OXO134" s="3"/>
      <c r="OXP134" s="3"/>
      <c r="OXQ134" s="3"/>
      <c r="OXR134" s="3"/>
      <c r="OXS134" s="3"/>
      <c r="OXT134" s="3"/>
      <c r="OXU134" s="3"/>
      <c r="OXV134" s="3"/>
      <c r="OXW134" s="3"/>
      <c r="OXX134" s="3"/>
      <c r="OXY134" s="3"/>
      <c r="OXZ134" s="3"/>
      <c r="OYA134" s="3"/>
      <c r="OYB134" s="3"/>
      <c r="OYC134" s="3"/>
      <c r="OYD134" s="3"/>
      <c r="OYE134" s="3"/>
      <c r="OYF134" s="3"/>
      <c r="OYG134" s="3"/>
      <c r="OYH134" s="3"/>
      <c r="OYI134" s="3"/>
      <c r="OYJ134" s="3"/>
      <c r="OYK134" s="3"/>
      <c r="OYL134" s="3"/>
      <c r="OYM134" s="3"/>
      <c r="OYN134" s="3"/>
      <c r="OYO134" s="3"/>
      <c r="OYP134" s="3"/>
      <c r="OYQ134" s="3"/>
      <c r="OYR134" s="3"/>
      <c r="OYS134" s="3"/>
      <c r="OYT134" s="3"/>
      <c r="OYU134" s="3"/>
      <c r="OYV134" s="3"/>
      <c r="OYW134" s="3"/>
      <c r="OYX134" s="3"/>
      <c r="OYY134" s="3"/>
      <c r="OYZ134" s="3"/>
      <c r="OZA134" s="3"/>
      <c r="OZB134" s="3"/>
      <c r="OZC134" s="3"/>
      <c r="OZD134" s="3"/>
      <c r="OZE134" s="3"/>
      <c r="OZF134" s="3"/>
      <c r="OZG134" s="3"/>
      <c r="OZH134" s="3"/>
      <c r="OZI134" s="3"/>
      <c r="OZJ134" s="3"/>
      <c r="OZK134" s="3"/>
      <c r="OZL134" s="3"/>
      <c r="OZM134" s="3"/>
      <c r="OZN134" s="3"/>
      <c r="OZO134" s="3"/>
      <c r="OZP134" s="3"/>
      <c r="OZQ134" s="3"/>
      <c r="OZR134" s="3"/>
      <c r="OZS134" s="3"/>
      <c r="OZT134" s="3"/>
      <c r="OZU134" s="3"/>
      <c r="OZV134" s="3"/>
      <c r="OZW134" s="3"/>
      <c r="OZX134" s="3"/>
      <c r="OZY134" s="3"/>
      <c r="OZZ134" s="3"/>
      <c r="PAA134" s="3"/>
      <c r="PAB134" s="3"/>
      <c r="PAC134" s="3"/>
      <c r="PAD134" s="3"/>
      <c r="PAE134" s="3"/>
      <c r="PAF134" s="3"/>
      <c r="PAG134" s="3"/>
      <c r="PAH134" s="3"/>
      <c r="PAI134" s="3"/>
      <c r="PAJ134" s="3"/>
      <c r="PAK134" s="3"/>
      <c r="PAL134" s="3"/>
      <c r="PAM134" s="3"/>
      <c r="PAN134" s="3"/>
      <c r="PAO134" s="3"/>
      <c r="PAP134" s="3"/>
      <c r="PAQ134" s="3"/>
      <c r="PAR134" s="3"/>
      <c r="PAS134" s="3"/>
      <c r="PAT134" s="3"/>
      <c r="PAU134" s="3"/>
      <c r="PAV134" s="3"/>
      <c r="PAW134" s="3"/>
      <c r="PAX134" s="3"/>
      <c r="PAY134" s="3"/>
      <c r="PAZ134" s="3"/>
      <c r="PBA134" s="3"/>
      <c r="PBB134" s="3"/>
      <c r="PBC134" s="3"/>
      <c r="PBD134" s="3"/>
      <c r="PBE134" s="3"/>
      <c r="PBF134" s="3"/>
      <c r="PBG134" s="3"/>
      <c r="PBH134" s="3"/>
      <c r="PBI134" s="3"/>
      <c r="PBJ134" s="3"/>
      <c r="PBK134" s="3"/>
      <c r="PBL134" s="3"/>
      <c r="PBM134" s="3"/>
      <c r="PBN134" s="3"/>
      <c r="PBO134" s="3"/>
      <c r="PBP134" s="3"/>
      <c r="PBQ134" s="3"/>
      <c r="PBR134" s="3"/>
      <c r="PBS134" s="3"/>
      <c r="PBT134" s="3"/>
      <c r="PBU134" s="3"/>
      <c r="PBV134" s="3"/>
      <c r="PBW134" s="3"/>
      <c r="PBX134" s="3"/>
      <c r="PBY134" s="3"/>
      <c r="PBZ134" s="3"/>
      <c r="PCA134" s="3"/>
      <c r="PCB134" s="3"/>
      <c r="PCC134" s="3"/>
      <c r="PCD134" s="3"/>
      <c r="PCE134" s="3"/>
      <c r="PCF134" s="3"/>
      <c r="PCG134" s="3"/>
      <c r="PCH134" s="3"/>
      <c r="PCI134" s="3"/>
      <c r="PCJ134" s="3"/>
      <c r="PCK134" s="3"/>
      <c r="PCL134" s="3"/>
      <c r="PCM134" s="3"/>
      <c r="PCN134" s="3"/>
      <c r="PCO134" s="3"/>
      <c r="PCP134" s="3"/>
      <c r="PCQ134" s="3"/>
      <c r="PCR134" s="3"/>
      <c r="PCS134" s="3"/>
      <c r="PCT134" s="3"/>
      <c r="PCU134" s="3"/>
      <c r="PCV134" s="3"/>
      <c r="PCW134" s="3"/>
      <c r="PCX134" s="3"/>
      <c r="PCY134" s="3"/>
      <c r="PCZ134" s="3"/>
      <c r="PDA134" s="3"/>
      <c r="PDB134" s="3"/>
      <c r="PDC134" s="3"/>
      <c r="PDD134" s="3"/>
      <c r="PDE134" s="3"/>
      <c r="PDF134" s="3"/>
      <c r="PDG134" s="3"/>
      <c r="PDH134" s="3"/>
      <c r="PDI134" s="3"/>
      <c r="PDJ134" s="3"/>
      <c r="PDK134" s="3"/>
      <c r="PDL134" s="3"/>
      <c r="PDM134" s="3"/>
      <c r="PDN134" s="3"/>
      <c r="PDO134" s="3"/>
      <c r="PDP134" s="3"/>
      <c r="PDQ134" s="3"/>
      <c r="PDR134" s="3"/>
      <c r="PDS134" s="3"/>
      <c r="PDT134" s="3"/>
      <c r="PDU134" s="3"/>
      <c r="PDV134" s="3"/>
      <c r="PDW134" s="3"/>
      <c r="PDX134" s="3"/>
      <c r="PDY134" s="3"/>
      <c r="PDZ134" s="3"/>
      <c r="PEA134" s="3"/>
      <c r="PEB134" s="3"/>
      <c r="PEC134" s="3"/>
      <c r="PED134" s="3"/>
      <c r="PEE134" s="3"/>
      <c r="PEF134" s="3"/>
      <c r="PEG134" s="3"/>
      <c r="PEH134" s="3"/>
      <c r="PEI134" s="3"/>
      <c r="PEJ134" s="3"/>
      <c r="PEK134" s="3"/>
      <c r="PEL134" s="3"/>
      <c r="PEM134" s="3"/>
      <c r="PEN134" s="3"/>
      <c r="PEO134" s="3"/>
      <c r="PEP134" s="3"/>
      <c r="PEQ134" s="3"/>
      <c r="PER134" s="3"/>
      <c r="PES134" s="3"/>
      <c r="PET134" s="3"/>
      <c r="PEU134" s="3"/>
      <c r="PEV134" s="3"/>
      <c r="PEW134" s="3"/>
      <c r="PEX134" s="3"/>
      <c r="PEY134" s="3"/>
      <c r="PEZ134" s="3"/>
      <c r="PFA134" s="3"/>
      <c r="PFB134" s="3"/>
      <c r="PFC134" s="3"/>
      <c r="PFD134" s="3"/>
      <c r="PFE134" s="3"/>
      <c r="PFF134" s="3"/>
      <c r="PFG134" s="3"/>
      <c r="PFH134" s="3"/>
      <c r="PFI134" s="3"/>
      <c r="PFJ134" s="3"/>
      <c r="PFK134" s="3"/>
      <c r="PFL134" s="3"/>
      <c r="PFM134" s="3"/>
      <c r="PFN134" s="3"/>
      <c r="PFO134" s="3"/>
      <c r="PFP134" s="3"/>
      <c r="PFQ134" s="3"/>
      <c r="PFR134" s="3"/>
      <c r="PFS134" s="3"/>
      <c r="PFT134" s="3"/>
      <c r="PFU134" s="3"/>
      <c r="PFV134" s="3"/>
      <c r="PFW134" s="3"/>
      <c r="PFX134" s="3"/>
      <c r="PFY134" s="3"/>
      <c r="PFZ134" s="3"/>
      <c r="PGA134" s="3"/>
      <c r="PGB134" s="3"/>
      <c r="PGC134" s="3"/>
      <c r="PGD134" s="3"/>
      <c r="PGE134" s="3"/>
      <c r="PGF134" s="3"/>
      <c r="PGG134" s="3"/>
      <c r="PGH134" s="3"/>
      <c r="PGI134" s="3"/>
      <c r="PGJ134" s="3"/>
      <c r="PGK134" s="3"/>
      <c r="PGL134" s="3"/>
      <c r="PGM134" s="3"/>
      <c r="PGN134" s="3"/>
      <c r="PGO134" s="3"/>
      <c r="PGP134" s="3"/>
      <c r="PGQ134" s="3"/>
      <c r="PGR134" s="3"/>
      <c r="PGS134" s="3"/>
      <c r="PGT134" s="3"/>
      <c r="PGU134" s="3"/>
      <c r="PGV134" s="3"/>
      <c r="PGW134" s="3"/>
      <c r="PGX134" s="3"/>
      <c r="PGY134" s="3"/>
      <c r="PGZ134" s="3"/>
      <c r="PHA134" s="3"/>
      <c r="PHB134" s="3"/>
      <c r="PHC134" s="3"/>
      <c r="PHD134" s="3"/>
      <c r="PHE134" s="3"/>
      <c r="PHF134" s="3"/>
      <c r="PHG134" s="3"/>
      <c r="PHH134" s="3"/>
      <c r="PHI134" s="3"/>
      <c r="PHJ134" s="3"/>
      <c r="PHK134" s="3"/>
      <c r="PHL134" s="3"/>
      <c r="PHM134" s="3"/>
      <c r="PHN134" s="3"/>
      <c r="PHO134" s="3"/>
      <c r="PHP134" s="3"/>
      <c r="PHQ134" s="3"/>
      <c r="PHR134" s="3"/>
      <c r="PHS134" s="3"/>
      <c r="PHT134" s="3"/>
      <c r="PHU134" s="3"/>
      <c r="PHV134" s="3"/>
      <c r="PHW134" s="3"/>
      <c r="PHX134" s="3"/>
      <c r="PHY134" s="3"/>
      <c r="PHZ134" s="3"/>
      <c r="PIA134" s="3"/>
      <c r="PIB134" s="3"/>
      <c r="PIC134" s="3"/>
      <c r="PID134" s="3"/>
      <c r="PIE134" s="3"/>
      <c r="PIF134" s="3"/>
      <c r="PIG134" s="3"/>
      <c r="PIH134" s="3"/>
      <c r="PII134" s="3"/>
      <c r="PIJ134" s="3"/>
      <c r="PIK134" s="3"/>
      <c r="PIL134" s="3"/>
      <c r="PIM134" s="3"/>
      <c r="PIN134" s="3"/>
      <c r="PIO134" s="3"/>
      <c r="PIP134" s="3"/>
      <c r="PIQ134" s="3"/>
      <c r="PIR134" s="3"/>
      <c r="PIS134" s="3"/>
      <c r="PIT134" s="3"/>
      <c r="PIU134" s="3"/>
      <c r="PIV134" s="3"/>
      <c r="PIW134" s="3"/>
      <c r="PIX134" s="3"/>
      <c r="PIY134" s="3"/>
      <c r="PIZ134" s="3"/>
      <c r="PJA134" s="3"/>
      <c r="PJB134" s="3"/>
      <c r="PJC134" s="3"/>
      <c r="PJD134" s="3"/>
      <c r="PJE134" s="3"/>
      <c r="PJF134" s="3"/>
      <c r="PJG134" s="3"/>
      <c r="PJH134" s="3"/>
      <c r="PJI134" s="3"/>
      <c r="PJJ134" s="3"/>
      <c r="PJK134" s="3"/>
      <c r="PJL134" s="3"/>
      <c r="PJM134" s="3"/>
      <c r="PJN134" s="3"/>
      <c r="PJO134" s="3"/>
      <c r="PJP134" s="3"/>
      <c r="PJQ134" s="3"/>
      <c r="PJR134" s="3"/>
      <c r="PJS134" s="3"/>
      <c r="PJT134" s="3"/>
      <c r="PJU134" s="3"/>
      <c r="PJV134" s="3"/>
      <c r="PJW134" s="3"/>
      <c r="PJX134" s="3"/>
      <c r="PJY134" s="3"/>
      <c r="PJZ134" s="3"/>
      <c r="PKA134" s="3"/>
      <c r="PKB134" s="3"/>
      <c r="PKC134" s="3"/>
      <c r="PKD134" s="3"/>
      <c r="PKE134" s="3"/>
      <c r="PKF134" s="3"/>
      <c r="PKG134" s="3"/>
      <c r="PKH134" s="3"/>
      <c r="PKI134" s="3"/>
      <c r="PKJ134" s="3"/>
      <c r="PKK134" s="3"/>
      <c r="PKL134" s="3"/>
      <c r="PKM134" s="3"/>
      <c r="PKN134" s="3"/>
      <c r="PKO134" s="3"/>
      <c r="PKP134" s="3"/>
      <c r="PKQ134" s="3"/>
      <c r="PKR134" s="3"/>
      <c r="PKS134" s="3"/>
      <c r="PKT134" s="3"/>
      <c r="PKU134" s="3"/>
      <c r="PKV134" s="3"/>
      <c r="PKW134" s="3"/>
      <c r="PKX134" s="3"/>
      <c r="PKY134" s="3"/>
      <c r="PKZ134" s="3"/>
      <c r="PLA134" s="3"/>
      <c r="PLB134" s="3"/>
      <c r="PLC134" s="3"/>
      <c r="PLD134" s="3"/>
      <c r="PLE134" s="3"/>
      <c r="PLF134" s="3"/>
      <c r="PLG134" s="3"/>
      <c r="PLH134" s="3"/>
      <c r="PLI134" s="3"/>
      <c r="PLJ134" s="3"/>
      <c r="PLK134" s="3"/>
      <c r="PLL134" s="3"/>
      <c r="PLM134" s="3"/>
      <c r="PLN134" s="3"/>
      <c r="PLO134" s="3"/>
      <c r="PLP134" s="3"/>
      <c r="PLQ134" s="3"/>
      <c r="PLR134" s="3"/>
      <c r="PLS134" s="3"/>
      <c r="PLT134" s="3"/>
      <c r="PLU134" s="3"/>
      <c r="PLV134" s="3"/>
      <c r="PLW134" s="3"/>
      <c r="PLX134" s="3"/>
      <c r="PLY134" s="3"/>
      <c r="PLZ134" s="3"/>
      <c r="PMA134" s="3"/>
      <c r="PMB134" s="3"/>
      <c r="PMC134" s="3"/>
      <c r="PMD134" s="3"/>
      <c r="PME134" s="3"/>
      <c r="PMF134" s="3"/>
      <c r="PMG134" s="3"/>
      <c r="PMH134" s="3"/>
      <c r="PMI134" s="3"/>
      <c r="PMJ134" s="3"/>
      <c r="PMK134" s="3"/>
      <c r="PML134" s="3"/>
      <c r="PMM134" s="3"/>
      <c r="PMN134" s="3"/>
      <c r="PMO134" s="3"/>
      <c r="PMP134" s="3"/>
      <c r="PMQ134" s="3"/>
      <c r="PMR134" s="3"/>
      <c r="PMS134" s="3"/>
      <c r="PMT134" s="3"/>
      <c r="PMU134" s="3"/>
      <c r="PMV134" s="3"/>
      <c r="PMW134" s="3"/>
      <c r="PMX134" s="3"/>
      <c r="PMY134" s="3"/>
      <c r="PMZ134" s="3"/>
      <c r="PNA134" s="3"/>
      <c r="PNB134" s="3"/>
      <c r="PNC134" s="3"/>
      <c r="PND134" s="3"/>
      <c r="PNE134" s="3"/>
      <c r="PNF134" s="3"/>
      <c r="PNG134" s="3"/>
      <c r="PNH134" s="3"/>
      <c r="PNI134" s="3"/>
      <c r="PNJ134" s="3"/>
      <c r="PNK134" s="3"/>
      <c r="PNL134" s="3"/>
      <c r="PNM134" s="3"/>
      <c r="PNN134" s="3"/>
      <c r="PNO134" s="3"/>
      <c r="PNP134" s="3"/>
      <c r="PNQ134" s="3"/>
      <c r="PNR134" s="3"/>
      <c r="PNS134" s="3"/>
      <c r="PNT134" s="3"/>
      <c r="PNU134" s="3"/>
      <c r="PNV134" s="3"/>
      <c r="PNW134" s="3"/>
      <c r="PNX134" s="3"/>
      <c r="PNY134" s="3"/>
      <c r="PNZ134" s="3"/>
      <c r="POA134" s="3"/>
      <c r="POB134" s="3"/>
      <c r="POC134" s="3"/>
      <c r="POD134" s="3"/>
      <c r="POE134" s="3"/>
      <c r="POF134" s="3"/>
      <c r="POG134" s="3"/>
      <c r="POH134" s="3"/>
      <c r="POI134" s="3"/>
      <c r="POJ134" s="3"/>
      <c r="POK134" s="3"/>
      <c r="POL134" s="3"/>
      <c r="POM134" s="3"/>
      <c r="PON134" s="3"/>
      <c r="POO134" s="3"/>
      <c r="POP134" s="3"/>
      <c r="POQ134" s="3"/>
      <c r="POR134" s="3"/>
      <c r="POS134" s="3"/>
      <c r="POT134" s="3"/>
      <c r="POU134" s="3"/>
      <c r="POV134" s="3"/>
      <c r="POW134" s="3"/>
      <c r="POX134" s="3"/>
      <c r="POY134" s="3"/>
      <c r="POZ134" s="3"/>
      <c r="PPA134" s="3"/>
      <c r="PPB134" s="3"/>
      <c r="PPC134" s="3"/>
      <c r="PPD134" s="3"/>
      <c r="PPE134" s="3"/>
      <c r="PPF134" s="3"/>
      <c r="PPG134" s="3"/>
      <c r="PPH134" s="3"/>
      <c r="PPI134" s="3"/>
      <c r="PPJ134" s="3"/>
      <c r="PPK134" s="3"/>
      <c r="PPL134" s="3"/>
      <c r="PPM134" s="3"/>
      <c r="PPN134" s="3"/>
      <c r="PPO134" s="3"/>
      <c r="PPP134" s="3"/>
      <c r="PPQ134" s="3"/>
      <c r="PPR134" s="3"/>
      <c r="PPS134" s="3"/>
      <c r="PPT134" s="3"/>
      <c r="PPU134" s="3"/>
      <c r="PPV134" s="3"/>
      <c r="PPW134" s="3"/>
      <c r="PPX134" s="3"/>
      <c r="PPY134" s="3"/>
      <c r="PPZ134" s="3"/>
      <c r="PQA134" s="3"/>
      <c r="PQB134" s="3"/>
      <c r="PQC134" s="3"/>
      <c r="PQD134" s="3"/>
      <c r="PQE134" s="3"/>
      <c r="PQF134" s="3"/>
      <c r="PQG134" s="3"/>
      <c r="PQH134" s="3"/>
      <c r="PQI134" s="3"/>
      <c r="PQJ134" s="3"/>
      <c r="PQK134" s="3"/>
      <c r="PQL134" s="3"/>
      <c r="PQM134" s="3"/>
      <c r="PQN134" s="3"/>
      <c r="PQO134" s="3"/>
      <c r="PQP134" s="3"/>
      <c r="PQQ134" s="3"/>
      <c r="PQR134" s="3"/>
      <c r="PQS134" s="3"/>
      <c r="PQT134" s="3"/>
      <c r="PQU134" s="3"/>
      <c r="PQV134" s="3"/>
      <c r="PQW134" s="3"/>
      <c r="PQX134" s="3"/>
      <c r="PQY134" s="3"/>
      <c r="PQZ134" s="3"/>
      <c r="PRA134" s="3"/>
      <c r="PRB134" s="3"/>
      <c r="PRC134" s="3"/>
      <c r="PRD134" s="3"/>
      <c r="PRE134" s="3"/>
      <c r="PRF134" s="3"/>
      <c r="PRG134" s="3"/>
      <c r="PRH134" s="3"/>
      <c r="PRI134" s="3"/>
      <c r="PRJ134" s="3"/>
      <c r="PRK134" s="3"/>
      <c r="PRL134" s="3"/>
      <c r="PRM134" s="3"/>
      <c r="PRN134" s="3"/>
      <c r="PRO134" s="3"/>
      <c r="PRP134" s="3"/>
      <c r="PRQ134" s="3"/>
      <c r="PRR134" s="3"/>
      <c r="PRS134" s="3"/>
      <c r="PRT134" s="3"/>
      <c r="PRU134" s="3"/>
      <c r="PRV134" s="3"/>
      <c r="PRW134" s="3"/>
      <c r="PRX134" s="3"/>
      <c r="PRY134" s="3"/>
      <c r="PRZ134" s="3"/>
      <c r="PSA134" s="3"/>
      <c r="PSB134" s="3"/>
      <c r="PSC134" s="3"/>
      <c r="PSD134" s="3"/>
      <c r="PSE134" s="3"/>
      <c r="PSF134" s="3"/>
      <c r="PSG134" s="3"/>
      <c r="PSH134" s="3"/>
      <c r="PSI134" s="3"/>
      <c r="PSJ134" s="3"/>
      <c r="PSK134" s="3"/>
      <c r="PSL134" s="3"/>
      <c r="PSM134" s="3"/>
      <c r="PSN134" s="3"/>
      <c r="PSO134" s="3"/>
      <c r="PSP134" s="3"/>
      <c r="PSQ134" s="3"/>
      <c r="PSR134" s="3"/>
      <c r="PSS134" s="3"/>
      <c r="PST134" s="3"/>
      <c r="PSU134" s="3"/>
      <c r="PSV134" s="3"/>
      <c r="PSW134" s="3"/>
      <c r="PSX134" s="3"/>
      <c r="PSY134" s="3"/>
      <c r="PSZ134" s="3"/>
      <c r="PTA134" s="3"/>
      <c r="PTB134" s="3"/>
      <c r="PTC134" s="3"/>
      <c r="PTD134" s="3"/>
      <c r="PTE134" s="3"/>
      <c r="PTF134" s="3"/>
      <c r="PTG134" s="3"/>
      <c r="PTH134" s="3"/>
      <c r="PTI134" s="3"/>
      <c r="PTJ134" s="3"/>
      <c r="PTK134" s="3"/>
      <c r="PTL134" s="3"/>
      <c r="PTM134" s="3"/>
      <c r="PTN134" s="3"/>
      <c r="PTO134" s="3"/>
      <c r="PTP134" s="3"/>
      <c r="PTQ134" s="3"/>
      <c r="PTR134" s="3"/>
      <c r="PTS134" s="3"/>
      <c r="PTT134" s="3"/>
      <c r="PTU134" s="3"/>
      <c r="PTV134" s="3"/>
      <c r="PTW134" s="3"/>
      <c r="PTX134" s="3"/>
      <c r="PTY134" s="3"/>
      <c r="PTZ134" s="3"/>
      <c r="PUA134" s="3"/>
      <c r="PUB134" s="3"/>
      <c r="PUC134" s="3"/>
      <c r="PUD134" s="3"/>
      <c r="PUE134" s="3"/>
      <c r="PUF134" s="3"/>
      <c r="PUG134" s="3"/>
      <c r="PUH134" s="3"/>
      <c r="PUI134" s="3"/>
      <c r="PUJ134" s="3"/>
      <c r="PUK134" s="3"/>
      <c r="PUL134" s="3"/>
      <c r="PUM134" s="3"/>
      <c r="PUN134" s="3"/>
      <c r="PUO134" s="3"/>
      <c r="PUP134" s="3"/>
      <c r="PUQ134" s="3"/>
      <c r="PUR134" s="3"/>
      <c r="PUS134" s="3"/>
      <c r="PUT134" s="3"/>
      <c r="PUU134" s="3"/>
      <c r="PUV134" s="3"/>
      <c r="PUW134" s="3"/>
      <c r="PUX134" s="3"/>
      <c r="PUY134" s="3"/>
      <c r="PUZ134" s="3"/>
      <c r="PVA134" s="3"/>
      <c r="PVB134" s="3"/>
      <c r="PVC134" s="3"/>
      <c r="PVD134" s="3"/>
      <c r="PVE134" s="3"/>
      <c r="PVF134" s="3"/>
      <c r="PVG134" s="3"/>
      <c r="PVH134" s="3"/>
      <c r="PVI134" s="3"/>
      <c r="PVJ134" s="3"/>
      <c r="PVK134" s="3"/>
      <c r="PVL134" s="3"/>
      <c r="PVM134" s="3"/>
      <c r="PVN134" s="3"/>
      <c r="PVO134" s="3"/>
      <c r="PVP134" s="3"/>
      <c r="PVQ134" s="3"/>
      <c r="PVR134" s="3"/>
      <c r="PVS134" s="3"/>
      <c r="PVT134" s="3"/>
      <c r="PVU134" s="3"/>
      <c r="PVV134" s="3"/>
      <c r="PVW134" s="3"/>
      <c r="PVX134" s="3"/>
      <c r="PVY134" s="3"/>
      <c r="PVZ134" s="3"/>
      <c r="PWA134" s="3"/>
      <c r="PWB134" s="3"/>
      <c r="PWC134" s="3"/>
      <c r="PWD134" s="3"/>
      <c r="PWE134" s="3"/>
      <c r="PWF134" s="3"/>
      <c r="PWG134" s="3"/>
      <c r="PWH134" s="3"/>
      <c r="PWI134" s="3"/>
      <c r="PWJ134" s="3"/>
      <c r="PWK134" s="3"/>
      <c r="PWL134" s="3"/>
      <c r="PWM134" s="3"/>
      <c r="PWN134" s="3"/>
      <c r="PWO134" s="3"/>
      <c r="PWP134" s="3"/>
      <c r="PWQ134" s="3"/>
      <c r="PWR134" s="3"/>
      <c r="PWS134" s="3"/>
      <c r="PWT134" s="3"/>
      <c r="PWU134" s="3"/>
      <c r="PWV134" s="3"/>
      <c r="PWW134" s="3"/>
      <c r="PWX134" s="3"/>
      <c r="PWY134" s="3"/>
      <c r="PWZ134" s="3"/>
      <c r="PXA134" s="3"/>
      <c r="PXB134" s="3"/>
      <c r="PXC134" s="3"/>
      <c r="PXD134" s="3"/>
      <c r="PXE134" s="3"/>
      <c r="PXF134" s="3"/>
      <c r="PXG134" s="3"/>
      <c r="PXH134" s="3"/>
      <c r="PXI134" s="3"/>
      <c r="PXJ134" s="3"/>
      <c r="PXK134" s="3"/>
      <c r="PXL134" s="3"/>
      <c r="PXM134" s="3"/>
      <c r="PXN134" s="3"/>
      <c r="PXO134" s="3"/>
      <c r="PXP134" s="3"/>
      <c r="PXQ134" s="3"/>
      <c r="PXR134" s="3"/>
      <c r="PXS134" s="3"/>
      <c r="PXT134" s="3"/>
      <c r="PXU134" s="3"/>
      <c r="PXV134" s="3"/>
      <c r="PXW134" s="3"/>
      <c r="PXX134" s="3"/>
      <c r="PXY134" s="3"/>
      <c r="PXZ134" s="3"/>
      <c r="PYA134" s="3"/>
      <c r="PYB134" s="3"/>
      <c r="PYC134" s="3"/>
      <c r="PYD134" s="3"/>
      <c r="PYE134" s="3"/>
      <c r="PYF134" s="3"/>
      <c r="PYG134" s="3"/>
      <c r="PYH134" s="3"/>
      <c r="PYI134" s="3"/>
      <c r="PYJ134" s="3"/>
      <c r="PYK134" s="3"/>
      <c r="PYL134" s="3"/>
      <c r="PYM134" s="3"/>
      <c r="PYN134" s="3"/>
      <c r="PYO134" s="3"/>
      <c r="PYP134" s="3"/>
      <c r="PYQ134" s="3"/>
      <c r="PYR134" s="3"/>
      <c r="PYS134" s="3"/>
      <c r="PYT134" s="3"/>
      <c r="PYU134" s="3"/>
      <c r="PYV134" s="3"/>
      <c r="PYW134" s="3"/>
      <c r="PYX134" s="3"/>
      <c r="PYY134" s="3"/>
      <c r="PYZ134" s="3"/>
      <c r="PZA134" s="3"/>
      <c r="PZB134" s="3"/>
      <c r="PZC134" s="3"/>
      <c r="PZD134" s="3"/>
      <c r="PZE134" s="3"/>
      <c r="PZF134" s="3"/>
      <c r="PZG134" s="3"/>
      <c r="PZH134" s="3"/>
      <c r="PZI134" s="3"/>
      <c r="PZJ134" s="3"/>
      <c r="PZK134" s="3"/>
      <c r="PZL134" s="3"/>
      <c r="PZM134" s="3"/>
      <c r="PZN134" s="3"/>
      <c r="PZO134" s="3"/>
      <c r="PZP134" s="3"/>
      <c r="PZQ134" s="3"/>
      <c r="PZR134" s="3"/>
      <c r="PZS134" s="3"/>
      <c r="PZT134" s="3"/>
      <c r="PZU134" s="3"/>
      <c r="PZV134" s="3"/>
      <c r="PZW134" s="3"/>
      <c r="PZX134" s="3"/>
      <c r="PZY134" s="3"/>
      <c r="PZZ134" s="3"/>
      <c r="QAA134" s="3"/>
      <c r="QAB134" s="3"/>
      <c r="QAC134" s="3"/>
      <c r="QAD134" s="3"/>
      <c r="QAE134" s="3"/>
      <c r="QAF134" s="3"/>
      <c r="QAG134" s="3"/>
      <c r="QAH134" s="3"/>
      <c r="QAI134" s="3"/>
      <c r="QAJ134" s="3"/>
      <c r="QAK134" s="3"/>
      <c r="QAL134" s="3"/>
      <c r="QAM134" s="3"/>
      <c r="QAN134" s="3"/>
      <c r="QAO134" s="3"/>
      <c r="QAP134" s="3"/>
      <c r="QAQ134" s="3"/>
      <c r="QAR134" s="3"/>
      <c r="QAS134" s="3"/>
      <c r="QAT134" s="3"/>
      <c r="QAU134" s="3"/>
      <c r="QAV134" s="3"/>
      <c r="QAW134" s="3"/>
      <c r="QAX134" s="3"/>
      <c r="QAY134" s="3"/>
      <c r="QAZ134" s="3"/>
      <c r="QBA134" s="3"/>
      <c r="QBB134" s="3"/>
      <c r="QBC134" s="3"/>
      <c r="QBD134" s="3"/>
      <c r="QBE134" s="3"/>
      <c r="QBF134" s="3"/>
      <c r="QBG134" s="3"/>
      <c r="QBH134" s="3"/>
      <c r="QBI134" s="3"/>
      <c r="QBJ134" s="3"/>
      <c r="QBK134" s="3"/>
      <c r="QBL134" s="3"/>
      <c r="QBM134" s="3"/>
      <c r="QBN134" s="3"/>
      <c r="QBO134" s="3"/>
      <c r="QBP134" s="3"/>
      <c r="QBQ134" s="3"/>
      <c r="QBR134" s="3"/>
      <c r="QBS134" s="3"/>
      <c r="QBT134" s="3"/>
      <c r="QBU134" s="3"/>
      <c r="QBV134" s="3"/>
      <c r="QBW134" s="3"/>
      <c r="QBX134" s="3"/>
      <c r="QBY134" s="3"/>
      <c r="QBZ134" s="3"/>
      <c r="QCA134" s="3"/>
      <c r="QCB134" s="3"/>
      <c r="QCC134" s="3"/>
      <c r="QCD134" s="3"/>
      <c r="QCE134" s="3"/>
      <c r="QCF134" s="3"/>
      <c r="QCG134" s="3"/>
      <c r="QCH134" s="3"/>
      <c r="QCI134" s="3"/>
      <c r="QCJ134" s="3"/>
      <c r="QCK134" s="3"/>
      <c r="QCL134" s="3"/>
      <c r="QCM134" s="3"/>
      <c r="QCN134" s="3"/>
      <c r="QCO134" s="3"/>
      <c r="QCP134" s="3"/>
      <c r="QCQ134" s="3"/>
      <c r="QCR134" s="3"/>
      <c r="QCS134" s="3"/>
      <c r="QCT134" s="3"/>
      <c r="QCU134" s="3"/>
      <c r="QCV134" s="3"/>
      <c r="QCW134" s="3"/>
      <c r="QCX134" s="3"/>
      <c r="QCY134" s="3"/>
      <c r="QCZ134" s="3"/>
      <c r="QDA134" s="3"/>
      <c r="QDB134" s="3"/>
      <c r="QDC134" s="3"/>
      <c r="QDD134" s="3"/>
      <c r="QDE134" s="3"/>
      <c r="QDF134" s="3"/>
      <c r="QDG134" s="3"/>
      <c r="QDH134" s="3"/>
      <c r="QDI134" s="3"/>
      <c r="QDJ134" s="3"/>
      <c r="QDK134" s="3"/>
      <c r="QDL134" s="3"/>
      <c r="QDM134" s="3"/>
      <c r="QDN134" s="3"/>
      <c r="QDO134" s="3"/>
      <c r="QDP134" s="3"/>
      <c r="QDQ134" s="3"/>
      <c r="QDR134" s="3"/>
      <c r="QDS134" s="3"/>
      <c r="QDT134" s="3"/>
      <c r="QDU134" s="3"/>
      <c r="QDV134" s="3"/>
      <c r="QDW134" s="3"/>
      <c r="QDX134" s="3"/>
      <c r="QDY134" s="3"/>
      <c r="QDZ134" s="3"/>
      <c r="QEA134" s="3"/>
      <c r="QEB134" s="3"/>
      <c r="QEC134" s="3"/>
      <c r="QED134" s="3"/>
      <c r="QEE134" s="3"/>
      <c r="QEF134" s="3"/>
      <c r="QEG134" s="3"/>
      <c r="QEH134" s="3"/>
      <c r="QEI134" s="3"/>
      <c r="QEJ134" s="3"/>
      <c r="QEK134" s="3"/>
      <c r="QEL134" s="3"/>
      <c r="QEM134" s="3"/>
      <c r="QEN134" s="3"/>
      <c r="QEO134" s="3"/>
      <c r="QEP134" s="3"/>
      <c r="QEQ134" s="3"/>
      <c r="QER134" s="3"/>
      <c r="QES134" s="3"/>
      <c r="QET134" s="3"/>
      <c r="QEU134" s="3"/>
      <c r="QEV134" s="3"/>
      <c r="QEW134" s="3"/>
      <c r="QEX134" s="3"/>
      <c r="QEY134" s="3"/>
      <c r="QEZ134" s="3"/>
      <c r="QFA134" s="3"/>
      <c r="QFB134" s="3"/>
      <c r="QFC134" s="3"/>
      <c r="QFD134" s="3"/>
      <c r="QFE134" s="3"/>
      <c r="QFF134" s="3"/>
      <c r="QFG134" s="3"/>
      <c r="QFH134" s="3"/>
      <c r="QFI134" s="3"/>
      <c r="QFJ134" s="3"/>
      <c r="QFK134" s="3"/>
      <c r="QFL134" s="3"/>
      <c r="QFM134" s="3"/>
      <c r="QFN134" s="3"/>
      <c r="QFO134" s="3"/>
      <c r="QFP134" s="3"/>
      <c r="QFQ134" s="3"/>
      <c r="QFR134" s="3"/>
      <c r="QFS134" s="3"/>
      <c r="QFT134" s="3"/>
      <c r="QFU134" s="3"/>
      <c r="QFV134" s="3"/>
      <c r="QFW134" s="3"/>
      <c r="QFX134" s="3"/>
      <c r="QFY134" s="3"/>
      <c r="QFZ134" s="3"/>
      <c r="QGA134" s="3"/>
      <c r="QGB134" s="3"/>
      <c r="QGC134" s="3"/>
      <c r="QGD134" s="3"/>
      <c r="QGE134" s="3"/>
      <c r="QGF134" s="3"/>
      <c r="QGG134" s="3"/>
      <c r="QGH134" s="3"/>
      <c r="QGI134" s="3"/>
      <c r="QGJ134" s="3"/>
      <c r="QGK134" s="3"/>
      <c r="QGL134" s="3"/>
      <c r="QGM134" s="3"/>
      <c r="QGN134" s="3"/>
      <c r="QGO134" s="3"/>
      <c r="QGP134" s="3"/>
      <c r="QGQ134" s="3"/>
      <c r="QGR134" s="3"/>
      <c r="QGS134" s="3"/>
      <c r="QGT134" s="3"/>
      <c r="QGU134" s="3"/>
      <c r="QGV134" s="3"/>
      <c r="QGW134" s="3"/>
      <c r="QGX134" s="3"/>
      <c r="QGY134" s="3"/>
      <c r="QGZ134" s="3"/>
      <c r="QHA134" s="3"/>
      <c r="QHB134" s="3"/>
      <c r="QHC134" s="3"/>
      <c r="QHD134" s="3"/>
      <c r="QHE134" s="3"/>
      <c r="QHF134" s="3"/>
      <c r="QHG134" s="3"/>
      <c r="QHH134" s="3"/>
      <c r="QHI134" s="3"/>
      <c r="QHJ134" s="3"/>
      <c r="QHK134" s="3"/>
      <c r="QHL134" s="3"/>
      <c r="QHM134" s="3"/>
      <c r="QHN134" s="3"/>
      <c r="QHO134" s="3"/>
      <c r="QHP134" s="3"/>
      <c r="QHQ134" s="3"/>
      <c r="QHR134" s="3"/>
      <c r="QHS134" s="3"/>
      <c r="QHT134" s="3"/>
      <c r="QHU134" s="3"/>
      <c r="QHV134" s="3"/>
      <c r="QHW134" s="3"/>
      <c r="QHX134" s="3"/>
      <c r="QHY134" s="3"/>
      <c r="QHZ134" s="3"/>
      <c r="QIA134" s="3"/>
      <c r="QIB134" s="3"/>
      <c r="QIC134" s="3"/>
      <c r="QID134" s="3"/>
      <c r="QIE134" s="3"/>
      <c r="QIF134" s="3"/>
      <c r="QIG134" s="3"/>
      <c r="QIH134" s="3"/>
      <c r="QII134" s="3"/>
      <c r="QIJ134" s="3"/>
      <c r="QIK134" s="3"/>
      <c r="QIL134" s="3"/>
      <c r="QIM134" s="3"/>
      <c r="QIN134" s="3"/>
      <c r="QIO134" s="3"/>
      <c r="QIP134" s="3"/>
      <c r="QIQ134" s="3"/>
      <c r="QIR134" s="3"/>
      <c r="QIS134" s="3"/>
      <c r="QIT134" s="3"/>
      <c r="QIU134" s="3"/>
      <c r="QIV134" s="3"/>
      <c r="QIW134" s="3"/>
      <c r="QIX134" s="3"/>
      <c r="QIY134" s="3"/>
      <c r="QIZ134" s="3"/>
      <c r="QJA134" s="3"/>
      <c r="QJB134" s="3"/>
      <c r="QJC134" s="3"/>
      <c r="QJD134" s="3"/>
      <c r="QJE134" s="3"/>
      <c r="QJF134" s="3"/>
      <c r="QJG134" s="3"/>
      <c r="QJH134" s="3"/>
      <c r="QJI134" s="3"/>
      <c r="QJJ134" s="3"/>
      <c r="QJK134" s="3"/>
      <c r="QJL134" s="3"/>
      <c r="QJM134" s="3"/>
      <c r="QJN134" s="3"/>
      <c r="QJO134" s="3"/>
      <c r="QJP134" s="3"/>
      <c r="QJQ134" s="3"/>
      <c r="QJR134" s="3"/>
      <c r="QJS134" s="3"/>
      <c r="QJT134" s="3"/>
      <c r="QJU134" s="3"/>
      <c r="QJV134" s="3"/>
      <c r="QJW134" s="3"/>
      <c r="QJX134" s="3"/>
      <c r="QJY134" s="3"/>
      <c r="QJZ134" s="3"/>
      <c r="QKA134" s="3"/>
      <c r="QKB134" s="3"/>
      <c r="QKC134" s="3"/>
      <c r="QKD134" s="3"/>
      <c r="QKE134" s="3"/>
      <c r="QKF134" s="3"/>
      <c r="QKG134" s="3"/>
      <c r="QKH134" s="3"/>
      <c r="QKI134" s="3"/>
      <c r="QKJ134" s="3"/>
      <c r="QKK134" s="3"/>
      <c r="QKL134" s="3"/>
      <c r="QKM134" s="3"/>
      <c r="QKN134" s="3"/>
      <c r="QKO134" s="3"/>
      <c r="QKP134" s="3"/>
      <c r="QKQ134" s="3"/>
      <c r="QKR134" s="3"/>
      <c r="QKS134" s="3"/>
      <c r="QKT134" s="3"/>
      <c r="QKU134" s="3"/>
      <c r="QKV134" s="3"/>
      <c r="QKW134" s="3"/>
      <c r="QKX134" s="3"/>
      <c r="QKY134" s="3"/>
      <c r="QKZ134" s="3"/>
      <c r="QLA134" s="3"/>
      <c r="QLB134" s="3"/>
      <c r="QLC134" s="3"/>
      <c r="QLD134" s="3"/>
      <c r="QLE134" s="3"/>
      <c r="QLF134" s="3"/>
      <c r="QLG134" s="3"/>
      <c r="QLH134" s="3"/>
      <c r="QLI134" s="3"/>
      <c r="QLJ134" s="3"/>
      <c r="QLK134" s="3"/>
      <c r="QLL134" s="3"/>
      <c r="QLM134" s="3"/>
      <c r="QLN134" s="3"/>
      <c r="QLO134" s="3"/>
      <c r="QLP134" s="3"/>
      <c r="QLQ134" s="3"/>
      <c r="QLR134" s="3"/>
      <c r="QLS134" s="3"/>
      <c r="QLT134" s="3"/>
      <c r="QLU134" s="3"/>
      <c r="QLV134" s="3"/>
      <c r="QLW134" s="3"/>
      <c r="QLX134" s="3"/>
      <c r="QLY134" s="3"/>
      <c r="QLZ134" s="3"/>
      <c r="QMA134" s="3"/>
      <c r="QMB134" s="3"/>
      <c r="QMC134" s="3"/>
      <c r="QMD134" s="3"/>
      <c r="QME134" s="3"/>
      <c r="QMF134" s="3"/>
      <c r="QMG134" s="3"/>
      <c r="QMH134" s="3"/>
      <c r="QMI134" s="3"/>
      <c r="QMJ134" s="3"/>
      <c r="QMK134" s="3"/>
      <c r="QML134" s="3"/>
      <c r="QMM134" s="3"/>
      <c r="QMN134" s="3"/>
      <c r="QMO134" s="3"/>
      <c r="QMP134" s="3"/>
      <c r="QMQ134" s="3"/>
      <c r="QMR134" s="3"/>
      <c r="QMS134" s="3"/>
      <c r="QMT134" s="3"/>
      <c r="QMU134" s="3"/>
      <c r="QMV134" s="3"/>
      <c r="QMW134" s="3"/>
      <c r="QMX134" s="3"/>
      <c r="QMY134" s="3"/>
      <c r="QMZ134" s="3"/>
      <c r="QNA134" s="3"/>
      <c r="QNB134" s="3"/>
      <c r="QNC134" s="3"/>
      <c r="QND134" s="3"/>
      <c r="QNE134" s="3"/>
      <c r="QNF134" s="3"/>
      <c r="QNG134" s="3"/>
      <c r="QNH134" s="3"/>
      <c r="QNI134" s="3"/>
      <c r="QNJ134" s="3"/>
      <c r="QNK134" s="3"/>
      <c r="QNL134" s="3"/>
      <c r="QNM134" s="3"/>
      <c r="QNN134" s="3"/>
      <c r="QNO134" s="3"/>
      <c r="QNP134" s="3"/>
      <c r="QNQ134" s="3"/>
      <c r="QNR134" s="3"/>
      <c r="QNS134" s="3"/>
      <c r="QNT134" s="3"/>
      <c r="QNU134" s="3"/>
      <c r="QNV134" s="3"/>
      <c r="QNW134" s="3"/>
      <c r="QNX134" s="3"/>
      <c r="QNY134" s="3"/>
      <c r="QNZ134" s="3"/>
      <c r="QOA134" s="3"/>
      <c r="QOB134" s="3"/>
      <c r="QOC134" s="3"/>
      <c r="QOD134" s="3"/>
      <c r="QOE134" s="3"/>
      <c r="QOF134" s="3"/>
      <c r="QOG134" s="3"/>
      <c r="QOH134" s="3"/>
      <c r="QOI134" s="3"/>
      <c r="QOJ134" s="3"/>
      <c r="QOK134" s="3"/>
      <c r="QOL134" s="3"/>
      <c r="QOM134" s="3"/>
      <c r="QON134" s="3"/>
      <c r="QOO134" s="3"/>
      <c r="QOP134" s="3"/>
      <c r="QOQ134" s="3"/>
      <c r="QOR134" s="3"/>
      <c r="QOS134" s="3"/>
      <c r="QOT134" s="3"/>
      <c r="QOU134" s="3"/>
      <c r="QOV134" s="3"/>
      <c r="QOW134" s="3"/>
      <c r="QOX134" s="3"/>
      <c r="QOY134" s="3"/>
      <c r="QOZ134" s="3"/>
      <c r="QPA134" s="3"/>
      <c r="QPB134" s="3"/>
      <c r="QPC134" s="3"/>
      <c r="QPD134" s="3"/>
      <c r="QPE134" s="3"/>
      <c r="QPF134" s="3"/>
      <c r="QPG134" s="3"/>
      <c r="QPH134" s="3"/>
      <c r="QPI134" s="3"/>
      <c r="QPJ134" s="3"/>
      <c r="QPK134" s="3"/>
      <c r="QPL134" s="3"/>
      <c r="QPM134" s="3"/>
      <c r="QPN134" s="3"/>
      <c r="QPO134" s="3"/>
      <c r="QPP134" s="3"/>
      <c r="QPQ134" s="3"/>
      <c r="QPR134" s="3"/>
      <c r="QPS134" s="3"/>
      <c r="QPT134" s="3"/>
      <c r="QPU134" s="3"/>
      <c r="QPV134" s="3"/>
      <c r="QPW134" s="3"/>
      <c r="QPX134" s="3"/>
      <c r="QPY134" s="3"/>
      <c r="QPZ134" s="3"/>
      <c r="QQA134" s="3"/>
      <c r="QQB134" s="3"/>
      <c r="QQC134" s="3"/>
      <c r="QQD134" s="3"/>
      <c r="QQE134" s="3"/>
      <c r="QQF134" s="3"/>
      <c r="QQG134" s="3"/>
      <c r="QQH134" s="3"/>
      <c r="QQI134" s="3"/>
      <c r="QQJ134" s="3"/>
      <c r="QQK134" s="3"/>
      <c r="QQL134" s="3"/>
      <c r="QQM134" s="3"/>
      <c r="QQN134" s="3"/>
      <c r="QQO134" s="3"/>
      <c r="QQP134" s="3"/>
      <c r="QQQ134" s="3"/>
      <c r="QQR134" s="3"/>
      <c r="QQS134" s="3"/>
      <c r="QQT134" s="3"/>
      <c r="QQU134" s="3"/>
      <c r="QQV134" s="3"/>
      <c r="QQW134" s="3"/>
      <c r="QQX134" s="3"/>
      <c r="QQY134" s="3"/>
      <c r="QQZ134" s="3"/>
      <c r="QRA134" s="3"/>
      <c r="QRB134" s="3"/>
      <c r="QRC134" s="3"/>
      <c r="QRD134" s="3"/>
      <c r="QRE134" s="3"/>
      <c r="QRF134" s="3"/>
      <c r="QRG134" s="3"/>
      <c r="QRH134" s="3"/>
      <c r="QRI134" s="3"/>
      <c r="QRJ134" s="3"/>
      <c r="QRK134" s="3"/>
      <c r="QRL134" s="3"/>
      <c r="QRM134" s="3"/>
      <c r="QRN134" s="3"/>
      <c r="QRO134" s="3"/>
      <c r="QRP134" s="3"/>
      <c r="QRQ134" s="3"/>
      <c r="QRR134" s="3"/>
      <c r="QRS134" s="3"/>
      <c r="QRT134" s="3"/>
      <c r="QRU134" s="3"/>
      <c r="QRV134" s="3"/>
      <c r="QRW134" s="3"/>
      <c r="QRX134" s="3"/>
      <c r="QRY134" s="3"/>
      <c r="QRZ134" s="3"/>
      <c r="QSA134" s="3"/>
      <c r="QSB134" s="3"/>
      <c r="QSC134" s="3"/>
      <c r="QSD134" s="3"/>
      <c r="QSE134" s="3"/>
      <c r="QSF134" s="3"/>
      <c r="QSG134" s="3"/>
      <c r="QSH134" s="3"/>
      <c r="QSI134" s="3"/>
      <c r="QSJ134" s="3"/>
      <c r="QSK134" s="3"/>
      <c r="QSL134" s="3"/>
      <c r="QSM134" s="3"/>
      <c r="QSN134" s="3"/>
      <c r="QSO134" s="3"/>
      <c r="QSP134" s="3"/>
      <c r="QSQ134" s="3"/>
      <c r="QSR134" s="3"/>
      <c r="QSS134" s="3"/>
      <c r="QST134" s="3"/>
      <c r="QSU134" s="3"/>
      <c r="QSV134" s="3"/>
      <c r="QSW134" s="3"/>
      <c r="QSX134" s="3"/>
      <c r="QSY134" s="3"/>
      <c r="QSZ134" s="3"/>
      <c r="QTA134" s="3"/>
      <c r="QTB134" s="3"/>
      <c r="QTC134" s="3"/>
      <c r="QTD134" s="3"/>
      <c r="QTE134" s="3"/>
      <c r="QTF134" s="3"/>
      <c r="QTG134" s="3"/>
      <c r="QTH134" s="3"/>
      <c r="QTI134" s="3"/>
      <c r="QTJ134" s="3"/>
      <c r="QTK134" s="3"/>
      <c r="QTL134" s="3"/>
      <c r="QTM134" s="3"/>
      <c r="QTN134" s="3"/>
      <c r="QTO134" s="3"/>
      <c r="QTP134" s="3"/>
      <c r="QTQ134" s="3"/>
      <c r="QTR134" s="3"/>
      <c r="QTS134" s="3"/>
      <c r="QTT134" s="3"/>
      <c r="QTU134" s="3"/>
      <c r="QTV134" s="3"/>
      <c r="QTW134" s="3"/>
      <c r="QTX134" s="3"/>
      <c r="QTY134" s="3"/>
      <c r="QTZ134" s="3"/>
      <c r="QUA134" s="3"/>
      <c r="QUB134" s="3"/>
      <c r="QUC134" s="3"/>
      <c r="QUD134" s="3"/>
      <c r="QUE134" s="3"/>
      <c r="QUF134" s="3"/>
      <c r="QUG134" s="3"/>
      <c r="QUH134" s="3"/>
      <c r="QUI134" s="3"/>
      <c r="QUJ134" s="3"/>
      <c r="QUK134" s="3"/>
      <c r="QUL134" s="3"/>
      <c r="QUM134" s="3"/>
      <c r="QUN134" s="3"/>
      <c r="QUO134" s="3"/>
      <c r="QUP134" s="3"/>
      <c r="QUQ134" s="3"/>
      <c r="QUR134" s="3"/>
      <c r="QUS134" s="3"/>
      <c r="QUT134" s="3"/>
      <c r="QUU134" s="3"/>
      <c r="QUV134" s="3"/>
      <c r="QUW134" s="3"/>
      <c r="QUX134" s="3"/>
      <c r="QUY134" s="3"/>
      <c r="QUZ134" s="3"/>
      <c r="QVA134" s="3"/>
      <c r="QVB134" s="3"/>
      <c r="QVC134" s="3"/>
      <c r="QVD134" s="3"/>
      <c r="QVE134" s="3"/>
      <c r="QVF134" s="3"/>
      <c r="QVG134" s="3"/>
      <c r="QVH134" s="3"/>
      <c r="QVI134" s="3"/>
      <c r="QVJ134" s="3"/>
      <c r="QVK134" s="3"/>
      <c r="QVL134" s="3"/>
      <c r="QVM134" s="3"/>
      <c r="QVN134" s="3"/>
      <c r="QVO134" s="3"/>
      <c r="QVP134" s="3"/>
      <c r="QVQ134" s="3"/>
      <c r="QVR134" s="3"/>
      <c r="QVS134" s="3"/>
      <c r="QVT134" s="3"/>
      <c r="QVU134" s="3"/>
      <c r="QVV134" s="3"/>
      <c r="QVW134" s="3"/>
      <c r="QVX134" s="3"/>
      <c r="QVY134" s="3"/>
      <c r="QVZ134" s="3"/>
      <c r="QWA134" s="3"/>
      <c r="QWB134" s="3"/>
      <c r="QWC134" s="3"/>
      <c r="QWD134" s="3"/>
      <c r="QWE134" s="3"/>
      <c r="QWF134" s="3"/>
      <c r="QWG134" s="3"/>
      <c r="QWH134" s="3"/>
      <c r="QWI134" s="3"/>
      <c r="QWJ134" s="3"/>
      <c r="QWK134" s="3"/>
      <c r="QWL134" s="3"/>
      <c r="QWM134" s="3"/>
      <c r="QWN134" s="3"/>
      <c r="QWO134" s="3"/>
      <c r="QWP134" s="3"/>
      <c r="QWQ134" s="3"/>
      <c r="QWR134" s="3"/>
      <c r="QWS134" s="3"/>
      <c r="QWT134" s="3"/>
      <c r="QWU134" s="3"/>
      <c r="QWV134" s="3"/>
      <c r="QWW134" s="3"/>
      <c r="QWX134" s="3"/>
      <c r="QWY134" s="3"/>
      <c r="QWZ134" s="3"/>
      <c r="QXA134" s="3"/>
      <c r="QXB134" s="3"/>
      <c r="QXC134" s="3"/>
      <c r="QXD134" s="3"/>
      <c r="QXE134" s="3"/>
      <c r="QXF134" s="3"/>
      <c r="QXG134" s="3"/>
      <c r="QXH134" s="3"/>
      <c r="QXI134" s="3"/>
      <c r="QXJ134" s="3"/>
      <c r="QXK134" s="3"/>
      <c r="QXL134" s="3"/>
      <c r="QXM134" s="3"/>
      <c r="QXN134" s="3"/>
      <c r="QXO134" s="3"/>
      <c r="QXP134" s="3"/>
      <c r="QXQ134" s="3"/>
      <c r="QXR134" s="3"/>
      <c r="QXS134" s="3"/>
      <c r="QXT134" s="3"/>
      <c r="QXU134" s="3"/>
      <c r="QXV134" s="3"/>
      <c r="QXW134" s="3"/>
      <c r="QXX134" s="3"/>
      <c r="QXY134" s="3"/>
      <c r="QXZ134" s="3"/>
      <c r="QYA134" s="3"/>
      <c r="QYB134" s="3"/>
      <c r="QYC134" s="3"/>
      <c r="QYD134" s="3"/>
      <c r="QYE134" s="3"/>
      <c r="QYF134" s="3"/>
      <c r="QYG134" s="3"/>
      <c r="QYH134" s="3"/>
      <c r="QYI134" s="3"/>
      <c r="QYJ134" s="3"/>
      <c r="QYK134" s="3"/>
      <c r="QYL134" s="3"/>
      <c r="QYM134" s="3"/>
      <c r="QYN134" s="3"/>
      <c r="QYO134" s="3"/>
      <c r="QYP134" s="3"/>
      <c r="QYQ134" s="3"/>
      <c r="QYR134" s="3"/>
      <c r="QYS134" s="3"/>
      <c r="QYT134" s="3"/>
      <c r="QYU134" s="3"/>
      <c r="QYV134" s="3"/>
      <c r="QYW134" s="3"/>
      <c r="QYX134" s="3"/>
      <c r="QYY134" s="3"/>
      <c r="QYZ134" s="3"/>
      <c r="QZA134" s="3"/>
      <c r="QZB134" s="3"/>
      <c r="QZC134" s="3"/>
      <c r="QZD134" s="3"/>
      <c r="QZE134" s="3"/>
      <c r="QZF134" s="3"/>
      <c r="QZG134" s="3"/>
      <c r="QZH134" s="3"/>
      <c r="QZI134" s="3"/>
      <c r="QZJ134" s="3"/>
      <c r="QZK134" s="3"/>
      <c r="QZL134" s="3"/>
      <c r="QZM134" s="3"/>
      <c r="QZN134" s="3"/>
      <c r="QZO134" s="3"/>
      <c r="QZP134" s="3"/>
      <c r="QZQ134" s="3"/>
      <c r="QZR134" s="3"/>
      <c r="QZS134" s="3"/>
      <c r="QZT134" s="3"/>
      <c r="QZU134" s="3"/>
      <c r="QZV134" s="3"/>
      <c r="QZW134" s="3"/>
      <c r="QZX134" s="3"/>
      <c r="QZY134" s="3"/>
      <c r="QZZ134" s="3"/>
      <c r="RAA134" s="3"/>
      <c r="RAB134" s="3"/>
      <c r="RAC134" s="3"/>
      <c r="RAD134" s="3"/>
      <c r="RAE134" s="3"/>
      <c r="RAF134" s="3"/>
      <c r="RAG134" s="3"/>
      <c r="RAH134" s="3"/>
      <c r="RAI134" s="3"/>
      <c r="RAJ134" s="3"/>
      <c r="RAK134" s="3"/>
      <c r="RAL134" s="3"/>
      <c r="RAM134" s="3"/>
      <c r="RAN134" s="3"/>
      <c r="RAO134" s="3"/>
      <c r="RAP134" s="3"/>
      <c r="RAQ134" s="3"/>
      <c r="RAR134" s="3"/>
      <c r="RAS134" s="3"/>
      <c r="RAT134" s="3"/>
      <c r="RAU134" s="3"/>
      <c r="RAV134" s="3"/>
      <c r="RAW134" s="3"/>
      <c r="RAX134" s="3"/>
      <c r="RAY134" s="3"/>
      <c r="RAZ134" s="3"/>
      <c r="RBA134" s="3"/>
      <c r="RBB134" s="3"/>
      <c r="RBC134" s="3"/>
      <c r="RBD134" s="3"/>
      <c r="RBE134" s="3"/>
      <c r="RBF134" s="3"/>
      <c r="RBG134" s="3"/>
      <c r="RBH134" s="3"/>
      <c r="RBI134" s="3"/>
      <c r="RBJ134" s="3"/>
      <c r="RBK134" s="3"/>
      <c r="RBL134" s="3"/>
      <c r="RBM134" s="3"/>
      <c r="RBN134" s="3"/>
      <c r="RBO134" s="3"/>
      <c r="RBP134" s="3"/>
      <c r="RBQ134" s="3"/>
      <c r="RBR134" s="3"/>
      <c r="RBS134" s="3"/>
      <c r="RBT134" s="3"/>
      <c r="RBU134" s="3"/>
      <c r="RBV134" s="3"/>
      <c r="RBW134" s="3"/>
      <c r="RBX134" s="3"/>
      <c r="RBY134" s="3"/>
      <c r="RBZ134" s="3"/>
      <c r="RCA134" s="3"/>
      <c r="RCB134" s="3"/>
      <c r="RCC134" s="3"/>
      <c r="RCD134" s="3"/>
      <c r="RCE134" s="3"/>
      <c r="RCF134" s="3"/>
      <c r="RCG134" s="3"/>
      <c r="RCH134" s="3"/>
      <c r="RCI134" s="3"/>
      <c r="RCJ134" s="3"/>
      <c r="RCK134" s="3"/>
      <c r="RCL134" s="3"/>
      <c r="RCM134" s="3"/>
      <c r="RCN134" s="3"/>
      <c r="RCO134" s="3"/>
      <c r="RCP134" s="3"/>
      <c r="RCQ134" s="3"/>
      <c r="RCR134" s="3"/>
      <c r="RCS134" s="3"/>
      <c r="RCT134" s="3"/>
      <c r="RCU134" s="3"/>
      <c r="RCV134" s="3"/>
      <c r="RCW134" s="3"/>
      <c r="RCX134" s="3"/>
      <c r="RCY134" s="3"/>
      <c r="RCZ134" s="3"/>
      <c r="RDA134" s="3"/>
      <c r="RDB134" s="3"/>
      <c r="RDC134" s="3"/>
      <c r="RDD134" s="3"/>
      <c r="RDE134" s="3"/>
      <c r="RDF134" s="3"/>
      <c r="RDG134" s="3"/>
      <c r="RDH134" s="3"/>
      <c r="RDI134" s="3"/>
      <c r="RDJ134" s="3"/>
      <c r="RDK134" s="3"/>
      <c r="RDL134" s="3"/>
      <c r="RDM134" s="3"/>
      <c r="RDN134" s="3"/>
      <c r="RDO134" s="3"/>
      <c r="RDP134" s="3"/>
      <c r="RDQ134" s="3"/>
      <c r="RDR134" s="3"/>
      <c r="RDS134" s="3"/>
      <c r="RDT134" s="3"/>
      <c r="RDU134" s="3"/>
      <c r="RDV134" s="3"/>
      <c r="RDW134" s="3"/>
      <c r="RDX134" s="3"/>
      <c r="RDY134" s="3"/>
      <c r="RDZ134" s="3"/>
      <c r="REA134" s="3"/>
      <c r="REB134" s="3"/>
      <c r="REC134" s="3"/>
      <c r="RED134" s="3"/>
      <c r="REE134" s="3"/>
      <c r="REF134" s="3"/>
      <c r="REG134" s="3"/>
      <c r="REH134" s="3"/>
      <c r="REI134" s="3"/>
      <c r="REJ134" s="3"/>
      <c r="REK134" s="3"/>
      <c r="REL134" s="3"/>
      <c r="REM134" s="3"/>
      <c r="REN134" s="3"/>
      <c r="REO134" s="3"/>
      <c r="REP134" s="3"/>
      <c r="REQ134" s="3"/>
      <c r="RER134" s="3"/>
      <c r="RES134" s="3"/>
      <c r="RET134" s="3"/>
      <c r="REU134" s="3"/>
      <c r="REV134" s="3"/>
      <c r="REW134" s="3"/>
      <c r="REX134" s="3"/>
      <c r="REY134" s="3"/>
      <c r="REZ134" s="3"/>
      <c r="RFA134" s="3"/>
      <c r="RFB134" s="3"/>
      <c r="RFC134" s="3"/>
      <c r="RFD134" s="3"/>
      <c r="RFE134" s="3"/>
      <c r="RFF134" s="3"/>
      <c r="RFG134" s="3"/>
      <c r="RFH134" s="3"/>
      <c r="RFI134" s="3"/>
      <c r="RFJ134" s="3"/>
      <c r="RFK134" s="3"/>
      <c r="RFL134" s="3"/>
      <c r="RFM134" s="3"/>
      <c r="RFN134" s="3"/>
      <c r="RFO134" s="3"/>
      <c r="RFP134" s="3"/>
      <c r="RFQ134" s="3"/>
      <c r="RFR134" s="3"/>
      <c r="RFS134" s="3"/>
      <c r="RFT134" s="3"/>
      <c r="RFU134" s="3"/>
      <c r="RFV134" s="3"/>
      <c r="RFW134" s="3"/>
      <c r="RFX134" s="3"/>
      <c r="RFY134" s="3"/>
      <c r="RFZ134" s="3"/>
      <c r="RGA134" s="3"/>
      <c r="RGB134" s="3"/>
      <c r="RGC134" s="3"/>
      <c r="RGD134" s="3"/>
      <c r="RGE134" s="3"/>
      <c r="RGF134" s="3"/>
      <c r="RGG134" s="3"/>
      <c r="RGH134" s="3"/>
      <c r="RGI134" s="3"/>
      <c r="RGJ134" s="3"/>
      <c r="RGK134" s="3"/>
      <c r="RGL134" s="3"/>
      <c r="RGM134" s="3"/>
      <c r="RGN134" s="3"/>
      <c r="RGO134" s="3"/>
      <c r="RGP134" s="3"/>
      <c r="RGQ134" s="3"/>
      <c r="RGR134" s="3"/>
      <c r="RGS134" s="3"/>
      <c r="RGT134" s="3"/>
      <c r="RGU134" s="3"/>
      <c r="RGV134" s="3"/>
      <c r="RGW134" s="3"/>
      <c r="RGX134" s="3"/>
      <c r="RGY134" s="3"/>
      <c r="RGZ134" s="3"/>
      <c r="RHA134" s="3"/>
      <c r="RHB134" s="3"/>
      <c r="RHC134" s="3"/>
      <c r="RHD134" s="3"/>
      <c r="RHE134" s="3"/>
      <c r="RHF134" s="3"/>
      <c r="RHG134" s="3"/>
      <c r="RHH134" s="3"/>
      <c r="RHI134" s="3"/>
      <c r="RHJ134" s="3"/>
      <c r="RHK134" s="3"/>
      <c r="RHL134" s="3"/>
      <c r="RHM134" s="3"/>
      <c r="RHN134" s="3"/>
      <c r="RHO134" s="3"/>
      <c r="RHP134" s="3"/>
      <c r="RHQ134" s="3"/>
      <c r="RHR134" s="3"/>
      <c r="RHS134" s="3"/>
      <c r="RHT134" s="3"/>
      <c r="RHU134" s="3"/>
      <c r="RHV134" s="3"/>
      <c r="RHW134" s="3"/>
      <c r="RHX134" s="3"/>
      <c r="RHY134" s="3"/>
      <c r="RHZ134" s="3"/>
      <c r="RIA134" s="3"/>
      <c r="RIB134" s="3"/>
      <c r="RIC134" s="3"/>
      <c r="RID134" s="3"/>
      <c r="RIE134" s="3"/>
      <c r="RIF134" s="3"/>
      <c r="RIG134" s="3"/>
      <c r="RIH134" s="3"/>
      <c r="RII134" s="3"/>
      <c r="RIJ134" s="3"/>
      <c r="RIK134" s="3"/>
      <c r="RIL134" s="3"/>
      <c r="RIM134" s="3"/>
      <c r="RIN134" s="3"/>
      <c r="RIO134" s="3"/>
      <c r="RIP134" s="3"/>
      <c r="RIQ134" s="3"/>
      <c r="RIR134" s="3"/>
      <c r="RIS134" s="3"/>
      <c r="RIT134" s="3"/>
      <c r="RIU134" s="3"/>
      <c r="RIV134" s="3"/>
      <c r="RIW134" s="3"/>
      <c r="RIX134" s="3"/>
      <c r="RIY134" s="3"/>
      <c r="RIZ134" s="3"/>
      <c r="RJA134" s="3"/>
      <c r="RJB134" s="3"/>
      <c r="RJC134" s="3"/>
      <c r="RJD134" s="3"/>
      <c r="RJE134" s="3"/>
      <c r="RJF134" s="3"/>
      <c r="RJG134" s="3"/>
      <c r="RJH134" s="3"/>
      <c r="RJI134" s="3"/>
      <c r="RJJ134" s="3"/>
      <c r="RJK134" s="3"/>
      <c r="RJL134" s="3"/>
      <c r="RJM134" s="3"/>
      <c r="RJN134" s="3"/>
      <c r="RJO134" s="3"/>
      <c r="RJP134" s="3"/>
      <c r="RJQ134" s="3"/>
      <c r="RJR134" s="3"/>
      <c r="RJS134" s="3"/>
      <c r="RJT134" s="3"/>
      <c r="RJU134" s="3"/>
      <c r="RJV134" s="3"/>
      <c r="RJW134" s="3"/>
      <c r="RJX134" s="3"/>
      <c r="RJY134" s="3"/>
      <c r="RJZ134" s="3"/>
      <c r="RKA134" s="3"/>
      <c r="RKB134" s="3"/>
      <c r="RKC134" s="3"/>
      <c r="RKD134" s="3"/>
      <c r="RKE134" s="3"/>
      <c r="RKF134" s="3"/>
      <c r="RKG134" s="3"/>
      <c r="RKH134" s="3"/>
      <c r="RKI134" s="3"/>
      <c r="RKJ134" s="3"/>
      <c r="RKK134" s="3"/>
      <c r="RKL134" s="3"/>
      <c r="RKM134" s="3"/>
      <c r="RKN134" s="3"/>
      <c r="RKO134" s="3"/>
      <c r="RKP134" s="3"/>
      <c r="RKQ134" s="3"/>
      <c r="RKR134" s="3"/>
      <c r="RKS134" s="3"/>
      <c r="RKT134" s="3"/>
      <c r="RKU134" s="3"/>
      <c r="RKV134" s="3"/>
      <c r="RKW134" s="3"/>
      <c r="RKX134" s="3"/>
      <c r="RKY134" s="3"/>
      <c r="RKZ134" s="3"/>
      <c r="RLA134" s="3"/>
      <c r="RLB134" s="3"/>
      <c r="RLC134" s="3"/>
      <c r="RLD134" s="3"/>
      <c r="RLE134" s="3"/>
      <c r="RLF134" s="3"/>
      <c r="RLG134" s="3"/>
      <c r="RLH134" s="3"/>
      <c r="RLI134" s="3"/>
      <c r="RLJ134" s="3"/>
      <c r="RLK134" s="3"/>
      <c r="RLL134" s="3"/>
      <c r="RLM134" s="3"/>
      <c r="RLN134" s="3"/>
      <c r="RLO134" s="3"/>
      <c r="RLP134" s="3"/>
      <c r="RLQ134" s="3"/>
      <c r="RLR134" s="3"/>
      <c r="RLS134" s="3"/>
      <c r="RLT134" s="3"/>
      <c r="RLU134" s="3"/>
      <c r="RLV134" s="3"/>
      <c r="RLW134" s="3"/>
      <c r="RLX134" s="3"/>
      <c r="RLY134" s="3"/>
      <c r="RLZ134" s="3"/>
      <c r="RMA134" s="3"/>
      <c r="RMB134" s="3"/>
      <c r="RMC134" s="3"/>
      <c r="RMD134" s="3"/>
      <c r="RME134" s="3"/>
      <c r="RMF134" s="3"/>
      <c r="RMG134" s="3"/>
      <c r="RMH134" s="3"/>
      <c r="RMI134" s="3"/>
      <c r="RMJ134" s="3"/>
      <c r="RMK134" s="3"/>
      <c r="RML134" s="3"/>
      <c r="RMM134" s="3"/>
      <c r="RMN134" s="3"/>
      <c r="RMO134" s="3"/>
      <c r="RMP134" s="3"/>
      <c r="RMQ134" s="3"/>
      <c r="RMR134" s="3"/>
      <c r="RMS134" s="3"/>
      <c r="RMT134" s="3"/>
      <c r="RMU134" s="3"/>
      <c r="RMV134" s="3"/>
      <c r="RMW134" s="3"/>
      <c r="RMX134" s="3"/>
      <c r="RMY134" s="3"/>
      <c r="RMZ134" s="3"/>
      <c r="RNA134" s="3"/>
      <c r="RNB134" s="3"/>
      <c r="RNC134" s="3"/>
      <c r="RND134" s="3"/>
      <c r="RNE134" s="3"/>
      <c r="RNF134" s="3"/>
      <c r="RNG134" s="3"/>
      <c r="RNH134" s="3"/>
      <c r="RNI134" s="3"/>
      <c r="RNJ134" s="3"/>
      <c r="RNK134" s="3"/>
      <c r="RNL134" s="3"/>
      <c r="RNM134" s="3"/>
      <c r="RNN134" s="3"/>
      <c r="RNO134" s="3"/>
      <c r="RNP134" s="3"/>
      <c r="RNQ134" s="3"/>
      <c r="RNR134" s="3"/>
      <c r="RNS134" s="3"/>
      <c r="RNT134" s="3"/>
      <c r="RNU134" s="3"/>
      <c r="RNV134" s="3"/>
      <c r="RNW134" s="3"/>
      <c r="RNX134" s="3"/>
      <c r="RNY134" s="3"/>
      <c r="RNZ134" s="3"/>
      <c r="ROA134" s="3"/>
      <c r="ROB134" s="3"/>
      <c r="ROC134" s="3"/>
      <c r="ROD134" s="3"/>
      <c r="ROE134" s="3"/>
      <c r="ROF134" s="3"/>
      <c r="ROG134" s="3"/>
      <c r="ROH134" s="3"/>
      <c r="ROI134" s="3"/>
      <c r="ROJ134" s="3"/>
      <c r="ROK134" s="3"/>
      <c r="ROL134" s="3"/>
      <c r="ROM134" s="3"/>
      <c r="RON134" s="3"/>
      <c r="ROO134" s="3"/>
      <c r="ROP134" s="3"/>
      <c r="ROQ134" s="3"/>
      <c r="ROR134" s="3"/>
      <c r="ROS134" s="3"/>
      <c r="ROT134" s="3"/>
      <c r="ROU134" s="3"/>
      <c r="ROV134" s="3"/>
      <c r="ROW134" s="3"/>
      <c r="ROX134" s="3"/>
      <c r="ROY134" s="3"/>
      <c r="ROZ134" s="3"/>
      <c r="RPA134" s="3"/>
      <c r="RPB134" s="3"/>
      <c r="RPC134" s="3"/>
      <c r="RPD134" s="3"/>
      <c r="RPE134" s="3"/>
      <c r="RPF134" s="3"/>
      <c r="RPG134" s="3"/>
      <c r="RPH134" s="3"/>
      <c r="RPI134" s="3"/>
      <c r="RPJ134" s="3"/>
      <c r="RPK134" s="3"/>
      <c r="RPL134" s="3"/>
      <c r="RPM134" s="3"/>
      <c r="RPN134" s="3"/>
      <c r="RPO134" s="3"/>
      <c r="RPP134" s="3"/>
      <c r="RPQ134" s="3"/>
      <c r="RPR134" s="3"/>
      <c r="RPS134" s="3"/>
      <c r="RPT134" s="3"/>
      <c r="RPU134" s="3"/>
      <c r="RPV134" s="3"/>
      <c r="RPW134" s="3"/>
      <c r="RPX134" s="3"/>
      <c r="RPY134" s="3"/>
      <c r="RPZ134" s="3"/>
      <c r="RQA134" s="3"/>
      <c r="RQB134" s="3"/>
      <c r="RQC134" s="3"/>
      <c r="RQD134" s="3"/>
      <c r="RQE134" s="3"/>
      <c r="RQF134" s="3"/>
      <c r="RQG134" s="3"/>
      <c r="RQH134" s="3"/>
      <c r="RQI134" s="3"/>
      <c r="RQJ134" s="3"/>
      <c r="RQK134" s="3"/>
      <c r="RQL134" s="3"/>
      <c r="RQM134" s="3"/>
      <c r="RQN134" s="3"/>
      <c r="RQO134" s="3"/>
      <c r="RQP134" s="3"/>
      <c r="RQQ134" s="3"/>
      <c r="RQR134" s="3"/>
      <c r="RQS134" s="3"/>
      <c r="RQT134" s="3"/>
      <c r="RQU134" s="3"/>
      <c r="RQV134" s="3"/>
      <c r="RQW134" s="3"/>
      <c r="RQX134" s="3"/>
      <c r="RQY134" s="3"/>
      <c r="RQZ134" s="3"/>
      <c r="RRA134" s="3"/>
      <c r="RRB134" s="3"/>
      <c r="RRC134" s="3"/>
      <c r="RRD134" s="3"/>
      <c r="RRE134" s="3"/>
      <c r="RRF134" s="3"/>
      <c r="RRG134" s="3"/>
      <c r="RRH134" s="3"/>
      <c r="RRI134" s="3"/>
      <c r="RRJ134" s="3"/>
      <c r="RRK134" s="3"/>
      <c r="RRL134" s="3"/>
      <c r="RRM134" s="3"/>
      <c r="RRN134" s="3"/>
      <c r="RRO134" s="3"/>
      <c r="RRP134" s="3"/>
      <c r="RRQ134" s="3"/>
      <c r="RRR134" s="3"/>
      <c r="RRS134" s="3"/>
      <c r="RRT134" s="3"/>
      <c r="RRU134" s="3"/>
      <c r="RRV134" s="3"/>
      <c r="RRW134" s="3"/>
      <c r="RRX134" s="3"/>
      <c r="RRY134" s="3"/>
      <c r="RRZ134" s="3"/>
      <c r="RSA134" s="3"/>
      <c r="RSB134" s="3"/>
      <c r="RSC134" s="3"/>
      <c r="RSD134" s="3"/>
      <c r="RSE134" s="3"/>
      <c r="RSF134" s="3"/>
      <c r="RSG134" s="3"/>
      <c r="RSH134" s="3"/>
      <c r="RSI134" s="3"/>
      <c r="RSJ134" s="3"/>
      <c r="RSK134" s="3"/>
      <c r="RSL134" s="3"/>
      <c r="RSM134" s="3"/>
      <c r="RSN134" s="3"/>
      <c r="RSO134" s="3"/>
      <c r="RSP134" s="3"/>
      <c r="RSQ134" s="3"/>
      <c r="RSR134" s="3"/>
      <c r="RSS134" s="3"/>
      <c r="RST134" s="3"/>
      <c r="RSU134" s="3"/>
      <c r="RSV134" s="3"/>
      <c r="RSW134" s="3"/>
      <c r="RSX134" s="3"/>
      <c r="RSY134" s="3"/>
      <c r="RSZ134" s="3"/>
      <c r="RTA134" s="3"/>
      <c r="RTB134" s="3"/>
      <c r="RTC134" s="3"/>
      <c r="RTD134" s="3"/>
      <c r="RTE134" s="3"/>
      <c r="RTF134" s="3"/>
      <c r="RTG134" s="3"/>
      <c r="RTH134" s="3"/>
      <c r="RTI134" s="3"/>
      <c r="RTJ134" s="3"/>
      <c r="RTK134" s="3"/>
      <c r="RTL134" s="3"/>
      <c r="RTM134" s="3"/>
      <c r="RTN134" s="3"/>
      <c r="RTO134" s="3"/>
      <c r="RTP134" s="3"/>
      <c r="RTQ134" s="3"/>
      <c r="RTR134" s="3"/>
      <c r="RTS134" s="3"/>
      <c r="RTT134" s="3"/>
      <c r="RTU134" s="3"/>
      <c r="RTV134" s="3"/>
      <c r="RTW134" s="3"/>
      <c r="RTX134" s="3"/>
      <c r="RTY134" s="3"/>
      <c r="RTZ134" s="3"/>
      <c r="RUA134" s="3"/>
      <c r="RUB134" s="3"/>
      <c r="RUC134" s="3"/>
      <c r="RUD134" s="3"/>
      <c r="RUE134" s="3"/>
      <c r="RUF134" s="3"/>
      <c r="RUG134" s="3"/>
      <c r="RUH134" s="3"/>
      <c r="RUI134" s="3"/>
      <c r="RUJ134" s="3"/>
      <c r="RUK134" s="3"/>
      <c r="RUL134" s="3"/>
      <c r="RUM134" s="3"/>
      <c r="RUN134" s="3"/>
      <c r="RUO134" s="3"/>
      <c r="RUP134" s="3"/>
      <c r="RUQ134" s="3"/>
      <c r="RUR134" s="3"/>
      <c r="RUS134" s="3"/>
      <c r="RUT134" s="3"/>
      <c r="RUU134" s="3"/>
      <c r="RUV134" s="3"/>
      <c r="RUW134" s="3"/>
      <c r="RUX134" s="3"/>
      <c r="RUY134" s="3"/>
      <c r="RUZ134" s="3"/>
      <c r="RVA134" s="3"/>
      <c r="RVB134" s="3"/>
      <c r="RVC134" s="3"/>
      <c r="RVD134" s="3"/>
      <c r="RVE134" s="3"/>
      <c r="RVF134" s="3"/>
      <c r="RVG134" s="3"/>
      <c r="RVH134" s="3"/>
      <c r="RVI134" s="3"/>
      <c r="RVJ134" s="3"/>
      <c r="RVK134" s="3"/>
      <c r="RVL134" s="3"/>
      <c r="RVM134" s="3"/>
      <c r="RVN134" s="3"/>
      <c r="RVO134" s="3"/>
      <c r="RVP134" s="3"/>
      <c r="RVQ134" s="3"/>
      <c r="RVR134" s="3"/>
      <c r="RVS134" s="3"/>
      <c r="RVT134" s="3"/>
      <c r="RVU134" s="3"/>
      <c r="RVV134" s="3"/>
      <c r="RVW134" s="3"/>
      <c r="RVX134" s="3"/>
      <c r="RVY134" s="3"/>
      <c r="RVZ134" s="3"/>
      <c r="RWA134" s="3"/>
      <c r="RWB134" s="3"/>
      <c r="RWC134" s="3"/>
      <c r="RWD134" s="3"/>
      <c r="RWE134" s="3"/>
      <c r="RWF134" s="3"/>
      <c r="RWG134" s="3"/>
      <c r="RWH134" s="3"/>
      <c r="RWI134" s="3"/>
      <c r="RWJ134" s="3"/>
      <c r="RWK134" s="3"/>
      <c r="RWL134" s="3"/>
      <c r="RWM134" s="3"/>
      <c r="RWN134" s="3"/>
      <c r="RWO134" s="3"/>
      <c r="RWP134" s="3"/>
      <c r="RWQ134" s="3"/>
      <c r="RWR134" s="3"/>
      <c r="RWS134" s="3"/>
      <c r="RWT134" s="3"/>
      <c r="RWU134" s="3"/>
      <c r="RWV134" s="3"/>
      <c r="RWW134" s="3"/>
      <c r="RWX134" s="3"/>
      <c r="RWY134" s="3"/>
      <c r="RWZ134" s="3"/>
      <c r="RXA134" s="3"/>
      <c r="RXB134" s="3"/>
      <c r="RXC134" s="3"/>
      <c r="RXD134" s="3"/>
      <c r="RXE134" s="3"/>
      <c r="RXF134" s="3"/>
      <c r="RXG134" s="3"/>
      <c r="RXH134" s="3"/>
      <c r="RXI134" s="3"/>
      <c r="RXJ134" s="3"/>
      <c r="RXK134" s="3"/>
      <c r="RXL134" s="3"/>
      <c r="RXM134" s="3"/>
      <c r="RXN134" s="3"/>
      <c r="RXO134" s="3"/>
      <c r="RXP134" s="3"/>
      <c r="RXQ134" s="3"/>
      <c r="RXR134" s="3"/>
      <c r="RXS134" s="3"/>
      <c r="RXT134" s="3"/>
      <c r="RXU134" s="3"/>
      <c r="RXV134" s="3"/>
      <c r="RXW134" s="3"/>
      <c r="RXX134" s="3"/>
      <c r="RXY134" s="3"/>
      <c r="RXZ134" s="3"/>
      <c r="RYA134" s="3"/>
      <c r="RYB134" s="3"/>
      <c r="RYC134" s="3"/>
      <c r="RYD134" s="3"/>
      <c r="RYE134" s="3"/>
      <c r="RYF134" s="3"/>
      <c r="RYG134" s="3"/>
      <c r="RYH134" s="3"/>
      <c r="RYI134" s="3"/>
      <c r="RYJ134" s="3"/>
      <c r="RYK134" s="3"/>
      <c r="RYL134" s="3"/>
      <c r="RYM134" s="3"/>
      <c r="RYN134" s="3"/>
      <c r="RYO134" s="3"/>
      <c r="RYP134" s="3"/>
      <c r="RYQ134" s="3"/>
      <c r="RYR134" s="3"/>
      <c r="RYS134" s="3"/>
      <c r="RYT134" s="3"/>
      <c r="RYU134" s="3"/>
      <c r="RYV134" s="3"/>
      <c r="RYW134" s="3"/>
      <c r="RYX134" s="3"/>
      <c r="RYY134" s="3"/>
      <c r="RYZ134" s="3"/>
      <c r="RZA134" s="3"/>
      <c r="RZB134" s="3"/>
      <c r="RZC134" s="3"/>
      <c r="RZD134" s="3"/>
      <c r="RZE134" s="3"/>
      <c r="RZF134" s="3"/>
      <c r="RZG134" s="3"/>
      <c r="RZH134" s="3"/>
      <c r="RZI134" s="3"/>
      <c r="RZJ134" s="3"/>
      <c r="RZK134" s="3"/>
      <c r="RZL134" s="3"/>
      <c r="RZM134" s="3"/>
      <c r="RZN134" s="3"/>
      <c r="RZO134" s="3"/>
      <c r="RZP134" s="3"/>
      <c r="RZQ134" s="3"/>
      <c r="RZR134" s="3"/>
      <c r="RZS134" s="3"/>
      <c r="RZT134" s="3"/>
      <c r="RZU134" s="3"/>
      <c r="RZV134" s="3"/>
      <c r="RZW134" s="3"/>
      <c r="RZX134" s="3"/>
      <c r="RZY134" s="3"/>
      <c r="RZZ134" s="3"/>
      <c r="SAA134" s="3"/>
      <c r="SAB134" s="3"/>
      <c r="SAC134" s="3"/>
      <c r="SAD134" s="3"/>
      <c r="SAE134" s="3"/>
      <c r="SAF134" s="3"/>
      <c r="SAG134" s="3"/>
      <c r="SAH134" s="3"/>
      <c r="SAI134" s="3"/>
      <c r="SAJ134" s="3"/>
      <c r="SAK134" s="3"/>
      <c r="SAL134" s="3"/>
      <c r="SAM134" s="3"/>
      <c r="SAN134" s="3"/>
      <c r="SAO134" s="3"/>
      <c r="SAP134" s="3"/>
      <c r="SAQ134" s="3"/>
      <c r="SAR134" s="3"/>
      <c r="SAS134" s="3"/>
      <c r="SAT134" s="3"/>
      <c r="SAU134" s="3"/>
      <c r="SAV134" s="3"/>
      <c r="SAW134" s="3"/>
      <c r="SAX134" s="3"/>
      <c r="SAY134" s="3"/>
      <c r="SAZ134" s="3"/>
      <c r="SBA134" s="3"/>
      <c r="SBB134" s="3"/>
      <c r="SBC134" s="3"/>
      <c r="SBD134" s="3"/>
      <c r="SBE134" s="3"/>
      <c r="SBF134" s="3"/>
      <c r="SBG134" s="3"/>
      <c r="SBH134" s="3"/>
      <c r="SBI134" s="3"/>
      <c r="SBJ134" s="3"/>
      <c r="SBK134" s="3"/>
      <c r="SBL134" s="3"/>
      <c r="SBM134" s="3"/>
      <c r="SBN134" s="3"/>
      <c r="SBO134" s="3"/>
      <c r="SBP134" s="3"/>
      <c r="SBQ134" s="3"/>
      <c r="SBR134" s="3"/>
      <c r="SBS134" s="3"/>
      <c r="SBT134" s="3"/>
      <c r="SBU134" s="3"/>
      <c r="SBV134" s="3"/>
      <c r="SBW134" s="3"/>
      <c r="SBX134" s="3"/>
      <c r="SBY134" s="3"/>
      <c r="SBZ134" s="3"/>
      <c r="SCA134" s="3"/>
      <c r="SCB134" s="3"/>
      <c r="SCC134" s="3"/>
      <c r="SCD134" s="3"/>
      <c r="SCE134" s="3"/>
      <c r="SCF134" s="3"/>
      <c r="SCG134" s="3"/>
      <c r="SCH134" s="3"/>
      <c r="SCI134" s="3"/>
      <c r="SCJ134" s="3"/>
      <c r="SCK134" s="3"/>
      <c r="SCL134" s="3"/>
      <c r="SCM134" s="3"/>
      <c r="SCN134" s="3"/>
      <c r="SCO134" s="3"/>
      <c r="SCP134" s="3"/>
      <c r="SCQ134" s="3"/>
      <c r="SCR134" s="3"/>
      <c r="SCS134" s="3"/>
      <c r="SCT134" s="3"/>
      <c r="SCU134" s="3"/>
      <c r="SCV134" s="3"/>
      <c r="SCW134" s="3"/>
      <c r="SCX134" s="3"/>
      <c r="SCY134" s="3"/>
      <c r="SCZ134" s="3"/>
      <c r="SDA134" s="3"/>
      <c r="SDB134" s="3"/>
      <c r="SDC134" s="3"/>
      <c r="SDD134" s="3"/>
      <c r="SDE134" s="3"/>
      <c r="SDF134" s="3"/>
      <c r="SDG134" s="3"/>
      <c r="SDH134" s="3"/>
      <c r="SDI134" s="3"/>
      <c r="SDJ134" s="3"/>
      <c r="SDK134" s="3"/>
      <c r="SDL134" s="3"/>
      <c r="SDM134" s="3"/>
      <c r="SDN134" s="3"/>
      <c r="SDO134" s="3"/>
      <c r="SDP134" s="3"/>
      <c r="SDQ134" s="3"/>
      <c r="SDR134" s="3"/>
      <c r="SDS134" s="3"/>
      <c r="SDT134" s="3"/>
      <c r="SDU134" s="3"/>
      <c r="SDV134" s="3"/>
      <c r="SDW134" s="3"/>
      <c r="SDX134" s="3"/>
      <c r="SDY134" s="3"/>
      <c r="SDZ134" s="3"/>
      <c r="SEA134" s="3"/>
      <c r="SEB134" s="3"/>
      <c r="SEC134" s="3"/>
      <c r="SED134" s="3"/>
      <c r="SEE134" s="3"/>
      <c r="SEF134" s="3"/>
      <c r="SEG134" s="3"/>
      <c r="SEH134" s="3"/>
      <c r="SEI134" s="3"/>
      <c r="SEJ134" s="3"/>
      <c r="SEK134" s="3"/>
      <c r="SEL134" s="3"/>
      <c r="SEM134" s="3"/>
      <c r="SEN134" s="3"/>
      <c r="SEO134" s="3"/>
      <c r="SEP134" s="3"/>
      <c r="SEQ134" s="3"/>
      <c r="SER134" s="3"/>
      <c r="SES134" s="3"/>
      <c r="SET134" s="3"/>
      <c r="SEU134" s="3"/>
      <c r="SEV134" s="3"/>
      <c r="SEW134" s="3"/>
      <c r="SEX134" s="3"/>
      <c r="SEY134" s="3"/>
      <c r="SEZ134" s="3"/>
      <c r="SFA134" s="3"/>
      <c r="SFB134" s="3"/>
      <c r="SFC134" s="3"/>
      <c r="SFD134" s="3"/>
      <c r="SFE134" s="3"/>
      <c r="SFF134" s="3"/>
      <c r="SFG134" s="3"/>
      <c r="SFH134" s="3"/>
      <c r="SFI134" s="3"/>
      <c r="SFJ134" s="3"/>
      <c r="SFK134" s="3"/>
      <c r="SFL134" s="3"/>
      <c r="SFM134" s="3"/>
      <c r="SFN134" s="3"/>
      <c r="SFO134" s="3"/>
      <c r="SFP134" s="3"/>
      <c r="SFQ134" s="3"/>
      <c r="SFR134" s="3"/>
      <c r="SFS134" s="3"/>
      <c r="SFT134" s="3"/>
      <c r="SFU134" s="3"/>
      <c r="SFV134" s="3"/>
      <c r="SFW134" s="3"/>
      <c r="SFX134" s="3"/>
      <c r="SFY134" s="3"/>
      <c r="SFZ134" s="3"/>
      <c r="SGA134" s="3"/>
      <c r="SGB134" s="3"/>
      <c r="SGC134" s="3"/>
      <c r="SGD134" s="3"/>
      <c r="SGE134" s="3"/>
      <c r="SGF134" s="3"/>
      <c r="SGG134" s="3"/>
      <c r="SGH134" s="3"/>
      <c r="SGI134" s="3"/>
      <c r="SGJ134" s="3"/>
      <c r="SGK134" s="3"/>
      <c r="SGL134" s="3"/>
      <c r="SGM134" s="3"/>
      <c r="SGN134" s="3"/>
      <c r="SGO134" s="3"/>
      <c r="SGP134" s="3"/>
      <c r="SGQ134" s="3"/>
      <c r="SGR134" s="3"/>
      <c r="SGS134" s="3"/>
      <c r="SGT134" s="3"/>
      <c r="SGU134" s="3"/>
      <c r="SGV134" s="3"/>
      <c r="SGW134" s="3"/>
      <c r="SGX134" s="3"/>
      <c r="SGY134" s="3"/>
      <c r="SGZ134" s="3"/>
      <c r="SHA134" s="3"/>
      <c r="SHB134" s="3"/>
      <c r="SHC134" s="3"/>
      <c r="SHD134" s="3"/>
      <c r="SHE134" s="3"/>
      <c r="SHF134" s="3"/>
      <c r="SHG134" s="3"/>
      <c r="SHH134" s="3"/>
      <c r="SHI134" s="3"/>
      <c r="SHJ134" s="3"/>
      <c r="SHK134" s="3"/>
      <c r="SHL134" s="3"/>
      <c r="SHM134" s="3"/>
      <c r="SHN134" s="3"/>
      <c r="SHO134" s="3"/>
      <c r="SHP134" s="3"/>
      <c r="SHQ134" s="3"/>
      <c r="SHR134" s="3"/>
      <c r="SHS134" s="3"/>
      <c r="SHT134" s="3"/>
      <c r="SHU134" s="3"/>
      <c r="SHV134" s="3"/>
      <c r="SHW134" s="3"/>
      <c r="SHX134" s="3"/>
      <c r="SHY134" s="3"/>
      <c r="SHZ134" s="3"/>
      <c r="SIA134" s="3"/>
      <c r="SIB134" s="3"/>
      <c r="SIC134" s="3"/>
      <c r="SID134" s="3"/>
      <c r="SIE134" s="3"/>
      <c r="SIF134" s="3"/>
      <c r="SIG134" s="3"/>
      <c r="SIH134" s="3"/>
      <c r="SII134" s="3"/>
      <c r="SIJ134" s="3"/>
      <c r="SIK134" s="3"/>
      <c r="SIL134" s="3"/>
      <c r="SIM134" s="3"/>
      <c r="SIN134" s="3"/>
      <c r="SIO134" s="3"/>
      <c r="SIP134" s="3"/>
      <c r="SIQ134" s="3"/>
      <c r="SIR134" s="3"/>
      <c r="SIS134" s="3"/>
      <c r="SIT134" s="3"/>
      <c r="SIU134" s="3"/>
      <c r="SIV134" s="3"/>
      <c r="SIW134" s="3"/>
      <c r="SIX134" s="3"/>
      <c r="SIY134" s="3"/>
      <c r="SIZ134" s="3"/>
      <c r="SJA134" s="3"/>
      <c r="SJB134" s="3"/>
      <c r="SJC134" s="3"/>
      <c r="SJD134" s="3"/>
      <c r="SJE134" s="3"/>
      <c r="SJF134" s="3"/>
      <c r="SJG134" s="3"/>
      <c r="SJH134" s="3"/>
      <c r="SJI134" s="3"/>
      <c r="SJJ134" s="3"/>
      <c r="SJK134" s="3"/>
      <c r="SJL134" s="3"/>
      <c r="SJM134" s="3"/>
      <c r="SJN134" s="3"/>
      <c r="SJO134" s="3"/>
      <c r="SJP134" s="3"/>
      <c r="SJQ134" s="3"/>
      <c r="SJR134" s="3"/>
      <c r="SJS134" s="3"/>
      <c r="SJT134" s="3"/>
      <c r="SJU134" s="3"/>
      <c r="SJV134" s="3"/>
      <c r="SJW134" s="3"/>
      <c r="SJX134" s="3"/>
      <c r="SJY134" s="3"/>
      <c r="SJZ134" s="3"/>
      <c r="SKA134" s="3"/>
      <c r="SKB134" s="3"/>
      <c r="SKC134" s="3"/>
      <c r="SKD134" s="3"/>
      <c r="SKE134" s="3"/>
      <c r="SKF134" s="3"/>
      <c r="SKG134" s="3"/>
      <c r="SKH134" s="3"/>
      <c r="SKI134" s="3"/>
      <c r="SKJ134" s="3"/>
      <c r="SKK134" s="3"/>
      <c r="SKL134" s="3"/>
      <c r="SKM134" s="3"/>
      <c r="SKN134" s="3"/>
      <c r="SKO134" s="3"/>
      <c r="SKP134" s="3"/>
      <c r="SKQ134" s="3"/>
      <c r="SKR134" s="3"/>
      <c r="SKS134" s="3"/>
      <c r="SKT134" s="3"/>
      <c r="SKU134" s="3"/>
      <c r="SKV134" s="3"/>
      <c r="SKW134" s="3"/>
      <c r="SKX134" s="3"/>
      <c r="SKY134" s="3"/>
      <c r="SKZ134" s="3"/>
      <c r="SLA134" s="3"/>
      <c r="SLB134" s="3"/>
      <c r="SLC134" s="3"/>
      <c r="SLD134" s="3"/>
      <c r="SLE134" s="3"/>
      <c r="SLF134" s="3"/>
      <c r="SLG134" s="3"/>
      <c r="SLH134" s="3"/>
      <c r="SLI134" s="3"/>
      <c r="SLJ134" s="3"/>
      <c r="SLK134" s="3"/>
      <c r="SLL134" s="3"/>
      <c r="SLM134" s="3"/>
      <c r="SLN134" s="3"/>
      <c r="SLO134" s="3"/>
      <c r="SLP134" s="3"/>
      <c r="SLQ134" s="3"/>
      <c r="SLR134" s="3"/>
      <c r="SLS134" s="3"/>
      <c r="SLT134" s="3"/>
      <c r="SLU134" s="3"/>
      <c r="SLV134" s="3"/>
      <c r="SLW134" s="3"/>
      <c r="SLX134" s="3"/>
      <c r="SLY134" s="3"/>
      <c r="SLZ134" s="3"/>
      <c r="SMA134" s="3"/>
      <c r="SMB134" s="3"/>
      <c r="SMC134" s="3"/>
      <c r="SMD134" s="3"/>
      <c r="SME134" s="3"/>
      <c r="SMF134" s="3"/>
      <c r="SMG134" s="3"/>
      <c r="SMH134" s="3"/>
      <c r="SMI134" s="3"/>
      <c r="SMJ134" s="3"/>
      <c r="SMK134" s="3"/>
      <c r="SML134" s="3"/>
      <c r="SMM134" s="3"/>
      <c r="SMN134" s="3"/>
      <c r="SMO134" s="3"/>
      <c r="SMP134" s="3"/>
      <c r="SMQ134" s="3"/>
      <c r="SMR134" s="3"/>
      <c r="SMS134" s="3"/>
      <c r="SMT134" s="3"/>
      <c r="SMU134" s="3"/>
      <c r="SMV134" s="3"/>
      <c r="SMW134" s="3"/>
      <c r="SMX134" s="3"/>
      <c r="SMY134" s="3"/>
      <c r="SMZ134" s="3"/>
      <c r="SNA134" s="3"/>
      <c r="SNB134" s="3"/>
      <c r="SNC134" s="3"/>
      <c r="SND134" s="3"/>
      <c r="SNE134" s="3"/>
      <c r="SNF134" s="3"/>
      <c r="SNG134" s="3"/>
      <c r="SNH134" s="3"/>
      <c r="SNI134" s="3"/>
      <c r="SNJ134" s="3"/>
      <c r="SNK134" s="3"/>
      <c r="SNL134" s="3"/>
      <c r="SNM134" s="3"/>
      <c r="SNN134" s="3"/>
      <c r="SNO134" s="3"/>
      <c r="SNP134" s="3"/>
      <c r="SNQ134" s="3"/>
      <c r="SNR134" s="3"/>
      <c r="SNS134" s="3"/>
      <c r="SNT134" s="3"/>
      <c r="SNU134" s="3"/>
      <c r="SNV134" s="3"/>
      <c r="SNW134" s="3"/>
      <c r="SNX134" s="3"/>
      <c r="SNY134" s="3"/>
      <c r="SNZ134" s="3"/>
      <c r="SOA134" s="3"/>
      <c r="SOB134" s="3"/>
      <c r="SOC134" s="3"/>
      <c r="SOD134" s="3"/>
      <c r="SOE134" s="3"/>
      <c r="SOF134" s="3"/>
      <c r="SOG134" s="3"/>
      <c r="SOH134" s="3"/>
      <c r="SOI134" s="3"/>
      <c r="SOJ134" s="3"/>
      <c r="SOK134" s="3"/>
      <c r="SOL134" s="3"/>
      <c r="SOM134" s="3"/>
      <c r="SON134" s="3"/>
      <c r="SOO134" s="3"/>
      <c r="SOP134" s="3"/>
      <c r="SOQ134" s="3"/>
      <c r="SOR134" s="3"/>
      <c r="SOS134" s="3"/>
      <c r="SOT134" s="3"/>
      <c r="SOU134" s="3"/>
      <c r="SOV134" s="3"/>
      <c r="SOW134" s="3"/>
      <c r="SOX134" s="3"/>
      <c r="SOY134" s="3"/>
      <c r="SOZ134" s="3"/>
      <c r="SPA134" s="3"/>
      <c r="SPB134" s="3"/>
      <c r="SPC134" s="3"/>
      <c r="SPD134" s="3"/>
      <c r="SPE134" s="3"/>
      <c r="SPF134" s="3"/>
      <c r="SPG134" s="3"/>
      <c r="SPH134" s="3"/>
      <c r="SPI134" s="3"/>
      <c r="SPJ134" s="3"/>
      <c r="SPK134" s="3"/>
      <c r="SPL134" s="3"/>
      <c r="SPM134" s="3"/>
      <c r="SPN134" s="3"/>
      <c r="SPO134" s="3"/>
      <c r="SPP134" s="3"/>
      <c r="SPQ134" s="3"/>
      <c r="SPR134" s="3"/>
      <c r="SPS134" s="3"/>
      <c r="SPT134" s="3"/>
      <c r="SPU134" s="3"/>
      <c r="SPV134" s="3"/>
      <c r="SPW134" s="3"/>
      <c r="SPX134" s="3"/>
      <c r="SPY134" s="3"/>
      <c r="SPZ134" s="3"/>
      <c r="SQA134" s="3"/>
      <c r="SQB134" s="3"/>
      <c r="SQC134" s="3"/>
      <c r="SQD134" s="3"/>
      <c r="SQE134" s="3"/>
      <c r="SQF134" s="3"/>
      <c r="SQG134" s="3"/>
      <c r="SQH134" s="3"/>
      <c r="SQI134" s="3"/>
      <c r="SQJ134" s="3"/>
      <c r="SQK134" s="3"/>
      <c r="SQL134" s="3"/>
      <c r="SQM134" s="3"/>
      <c r="SQN134" s="3"/>
      <c r="SQO134" s="3"/>
      <c r="SQP134" s="3"/>
      <c r="SQQ134" s="3"/>
      <c r="SQR134" s="3"/>
      <c r="SQS134" s="3"/>
      <c r="SQT134" s="3"/>
      <c r="SQU134" s="3"/>
      <c r="SQV134" s="3"/>
      <c r="SQW134" s="3"/>
      <c r="SQX134" s="3"/>
      <c r="SQY134" s="3"/>
      <c r="SQZ134" s="3"/>
      <c r="SRA134" s="3"/>
      <c r="SRB134" s="3"/>
      <c r="SRC134" s="3"/>
      <c r="SRD134" s="3"/>
      <c r="SRE134" s="3"/>
      <c r="SRF134" s="3"/>
      <c r="SRG134" s="3"/>
      <c r="SRH134" s="3"/>
      <c r="SRI134" s="3"/>
      <c r="SRJ134" s="3"/>
      <c r="SRK134" s="3"/>
      <c r="SRL134" s="3"/>
      <c r="SRM134" s="3"/>
      <c r="SRN134" s="3"/>
      <c r="SRO134" s="3"/>
      <c r="SRP134" s="3"/>
      <c r="SRQ134" s="3"/>
      <c r="SRR134" s="3"/>
      <c r="SRS134" s="3"/>
      <c r="SRT134" s="3"/>
      <c r="SRU134" s="3"/>
      <c r="SRV134" s="3"/>
      <c r="SRW134" s="3"/>
      <c r="SRX134" s="3"/>
      <c r="SRY134" s="3"/>
      <c r="SRZ134" s="3"/>
      <c r="SSA134" s="3"/>
      <c r="SSB134" s="3"/>
      <c r="SSC134" s="3"/>
      <c r="SSD134" s="3"/>
      <c r="SSE134" s="3"/>
      <c r="SSF134" s="3"/>
      <c r="SSG134" s="3"/>
      <c r="SSH134" s="3"/>
      <c r="SSI134" s="3"/>
      <c r="SSJ134" s="3"/>
      <c r="SSK134" s="3"/>
      <c r="SSL134" s="3"/>
      <c r="SSM134" s="3"/>
      <c r="SSN134" s="3"/>
      <c r="SSO134" s="3"/>
      <c r="SSP134" s="3"/>
      <c r="SSQ134" s="3"/>
      <c r="SSR134" s="3"/>
      <c r="SSS134" s="3"/>
      <c r="SST134" s="3"/>
      <c r="SSU134" s="3"/>
      <c r="SSV134" s="3"/>
      <c r="SSW134" s="3"/>
      <c r="SSX134" s="3"/>
      <c r="SSY134" s="3"/>
      <c r="SSZ134" s="3"/>
      <c r="STA134" s="3"/>
      <c r="STB134" s="3"/>
      <c r="STC134" s="3"/>
      <c r="STD134" s="3"/>
      <c r="STE134" s="3"/>
      <c r="STF134" s="3"/>
      <c r="STG134" s="3"/>
      <c r="STH134" s="3"/>
      <c r="STI134" s="3"/>
      <c r="STJ134" s="3"/>
      <c r="STK134" s="3"/>
      <c r="STL134" s="3"/>
      <c r="STM134" s="3"/>
      <c r="STN134" s="3"/>
      <c r="STO134" s="3"/>
      <c r="STP134" s="3"/>
      <c r="STQ134" s="3"/>
      <c r="STR134" s="3"/>
      <c r="STS134" s="3"/>
      <c r="STT134" s="3"/>
      <c r="STU134" s="3"/>
      <c r="STV134" s="3"/>
      <c r="STW134" s="3"/>
      <c r="STX134" s="3"/>
      <c r="STY134" s="3"/>
      <c r="STZ134" s="3"/>
      <c r="SUA134" s="3"/>
      <c r="SUB134" s="3"/>
      <c r="SUC134" s="3"/>
      <c r="SUD134" s="3"/>
      <c r="SUE134" s="3"/>
      <c r="SUF134" s="3"/>
      <c r="SUG134" s="3"/>
      <c r="SUH134" s="3"/>
      <c r="SUI134" s="3"/>
      <c r="SUJ134" s="3"/>
      <c r="SUK134" s="3"/>
      <c r="SUL134" s="3"/>
      <c r="SUM134" s="3"/>
      <c r="SUN134" s="3"/>
      <c r="SUO134" s="3"/>
      <c r="SUP134" s="3"/>
      <c r="SUQ134" s="3"/>
      <c r="SUR134" s="3"/>
      <c r="SUS134" s="3"/>
      <c r="SUT134" s="3"/>
      <c r="SUU134" s="3"/>
      <c r="SUV134" s="3"/>
      <c r="SUW134" s="3"/>
      <c r="SUX134" s="3"/>
      <c r="SUY134" s="3"/>
      <c r="SUZ134" s="3"/>
      <c r="SVA134" s="3"/>
      <c r="SVB134" s="3"/>
      <c r="SVC134" s="3"/>
      <c r="SVD134" s="3"/>
      <c r="SVE134" s="3"/>
      <c r="SVF134" s="3"/>
      <c r="SVG134" s="3"/>
      <c r="SVH134" s="3"/>
      <c r="SVI134" s="3"/>
      <c r="SVJ134" s="3"/>
      <c r="SVK134" s="3"/>
      <c r="SVL134" s="3"/>
      <c r="SVM134" s="3"/>
      <c r="SVN134" s="3"/>
      <c r="SVO134" s="3"/>
      <c r="SVP134" s="3"/>
      <c r="SVQ134" s="3"/>
      <c r="SVR134" s="3"/>
      <c r="SVS134" s="3"/>
      <c r="SVT134" s="3"/>
      <c r="SVU134" s="3"/>
      <c r="SVV134" s="3"/>
      <c r="SVW134" s="3"/>
      <c r="SVX134" s="3"/>
      <c r="SVY134" s="3"/>
      <c r="SVZ134" s="3"/>
      <c r="SWA134" s="3"/>
      <c r="SWB134" s="3"/>
      <c r="SWC134" s="3"/>
      <c r="SWD134" s="3"/>
      <c r="SWE134" s="3"/>
      <c r="SWF134" s="3"/>
      <c r="SWG134" s="3"/>
      <c r="SWH134" s="3"/>
      <c r="SWI134" s="3"/>
      <c r="SWJ134" s="3"/>
      <c r="SWK134" s="3"/>
      <c r="SWL134" s="3"/>
      <c r="SWM134" s="3"/>
      <c r="SWN134" s="3"/>
      <c r="SWO134" s="3"/>
      <c r="SWP134" s="3"/>
      <c r="SWQ134" s="3"/>
      <c r="SWR134" s="3"/>
      <c r="SWS134" s="3"/>
      <c r="SWT134" s="3"/>
      <c r="SWU134" s="3"/>
      <c r="SWV134" s="3"/>
      <c r="SWW134" s="3"/>
      <c r="SWX134" s="3"/>
      <c r="SWY134" s="3"/>
      <c r="SWZ134" s="3"/>
      <c r="SXA134" s="3"/>
      <c r="SXB134" s="3"/>
      <c r="SXC134" s="3"/>
      <c r="SXD134" s="3"/>
      <c r="SXE134" s="3"/>
      <c r="SXF134" s="3"/>
      <c r="SXG134" s="3"/>
      <c r="SXH134" s="3"/>
      <c r="SXI134" s="3"/>
      <c r="SXJ134" s="3"/>
      <c r="SXK134" s="3"/>
      <c r="SXL134" s="3"/>
      <c r="SXM134" s="3"/>
      <c r="SXN134" s="3"/>
      <c r="SXO134" s="3"/>
      <c r="SXP134" s="3"/>
      <c r="SXQ134" s="3"/>
      <c r="SXR134" s="3"/>
      <c r="SXS134" s="3"/>
      <c r="SXT134" s="3"/>
      <c r="SXU134" s="3"/>
      <c r="SXV134" s="3"/>
      <c r="SXW134" s="3"/>
      <c r="SXX134" s="3"/>
      <c r="SXY134" s="3"/>
      <c r="SXZ134" s="3"/>
      <c r="SYA134" s="3"/>
      <c r="SYB134" s="3"/>
      <c r="SYC134" s="3"/>
      <c r="SYD134" s="3"/>
      <c r="SYE134" s="3"/>
      <c r="SYF134" s="3"/>
      <c r="SYG134" s="3"/>
      <c r="SYH134" s="3"/>
      <c r="SYI134" s="3"/>
      <c r="SYJ134" s="3"/>
      <c r="SYK134" s="3"/>
      <c r="SYL134" s="3"/>
      <c r="SYM134" s="3"/>
      <c r="SYN134" s="3"/>
      <c r="SYO134" s="3"/>
      <c r="SYP134" s="3"/>
      <c r="SYQ134" s="3"/>
      <c r="SYR134" s="3"/>
      <c r="SYS134" s="3"/>
      <c r="SYT134" s="3"/>
      <c r="SYU134" s="3"/>
      <c r="SYV134" s="3"/>
      <c r="SYW134" s="3"/>
      <c r="SYX134" s="3"/>
      <c r="SYY134" s="3"/>
      <c r="SYZ134" s="3"/>
      <c r="SZA134" s="3"/>
      <c r="SZB134" s="3"/>
      <c r="SZC134" s="3"/>
      <c r="SZD134" s="3"/>
      <c r="SZE134" s="3"/>
      <c r="SZF134" s="3"/>
      <c r="SZG134" s="3"/>
      <c r="SZH134" s="3"/>
      <c r="SZI134" s="3"/>
      <c r="SZJ134" s="3"/>
      <c r="SZK134" s="3"/>
      <c r="SZL134" s="3"/>
      <c r="SZM134" s="3"/>
      <c r="SZN134" s="3"/>
      <c r="SZO134" s="3"/>
      <c r="SZP134" s="3"/>
      <c r="SZQ134" s="3"/>
      <c r="SZR134" s="3"/>
      <c r="SZS134" s="3"/>
      <c r="SZT134" s="3"/>
      <c r="SZU134" s="3"/>
      <c r="SZV134" s="3"/>
      <c r="SZW134" s="3"/>
      <c r="SZX134" s="3"/>
      <c r="SZY134" s="3"/>
      <c r="SZZ134" s="3"/>
      <c r="TAA134" s="3"/>
      <c r="TAB134" s="3"/>
      <c r="TAC134" s="3"/>
      <c r="TAD134" s="3"/>
      <c r="TAE134" s="3"/>
      <c r="TAF134" s="3"/>
      <c r="TAG134" s="3"/>
      <c r="TAH134" s="3"/>
      <c r="TAI134" s="3"/>
      <c r="TAJ134" s="3"/>
      <c r="TAK134" s="3"/>
      <c r="TAL134" s="3"/>
      <c r="TAM134" s="3"/>
      <c r="TAN134" s="3"/>
      <c r="TAO134" s="3"/>
      <c r="TAP134" s="3"/>
      <c r="TAQ134" s="3"/>
      <c r="TAR134" s="3"/>
      <c r="TAS134" s="3"/>
      <c r="TAT134" s="3"/>
      <c r="TAU134" s="3"/>
      <c r="TAV134" s="3"/>
      <c r="TAW134" s="3"/>
      <c r="TAX134" s="3"/>
      <c r="TAY134" s="3"/>
      <c r="TAZ134" s="3"/>
      <c r="TBA134" s="3"/>
      <c r="TBB134" s="3"/>
      <c r="TBC134" s="3"/>
      <c r="TBD134" s="3"/>
      <c r="TBE134" s="3"/>
      <c r="TBF134" s="3"/>
      <c r="TBG134" s="3"/>
      <c r="TBH134" s="3"/>
      <c r="TBI134" s="3"/>
      <c r="TBJ134" s="3"/>
      <c r="TBK134" s="3"/>
      <c r="TBL134" s="3"/>
      <c r="TBM134" s="3"/>
      <c r="TBN134" s="3"/>
      <c r="TBO134" s="3"/>
      <c r="TBP134" s="3"/>
      <c r="TBQ134" s="3"/>
      <c r="TBR134" s="3"/>
      <c r="TBS134" s="3"/>
      <c r="TBT134" s="3"/>
      <c r="TBU134" s="3"/>
      <c r="TBV134" s="3"/>
      <c r="TBW134" s="3"/>
      <c r="TBX134" s="3"/>
      <c r="TBY134" s="3"/>
      <c r="TBZ134" s="3"/>
      <c r="TCA134" s="3"/>
      <c r="TCB134" s="3"/>
      <c r="TCC134" s="3"/>
      <c r="TCD134" s="3"/>
      <c r="TCE134" s="3"/>
      <c r="TCF134" s="3"/>
      <c r="TCG134" s="3"/>
      <c r="TCH134" s="3"/>
      <c r="TCI134" s="3"/>
      <c r="TCJ134" s="3"/>
      <c r="TCK134" s="3"/>
      <c r="TCL134" s="3"/>
      <c r="TCM134" s="3"/>
      <c r="TCN134" s="3"/>
      <c r="TCO134" s="3"/>
      <c r="TCP134" s="3"/>
      <c r="TCQ134" s="3"/>
      <c r="TCR134" s="3"/>
      <c r="TCS134" s="3"/>
      <c r="TCT134" s="3"/>
      <c r="TCU134" s="3"/>
      <c r="TCV134" s="3"/>
      <c r="TCW134" s="3"/>
      <c r="TCX134" s="3"/>
      <c r="TCY134" s="3"/>
      <c r="TCZ134" s="3"/>
      <c r="TDA134" s="3"/>
      <c r="TDB134" s="3"/>
      <c r="TDC134" s="3"/>
      <c r="TDD134" s="3"/>
      <c r="TDE134" s="3"/>
      <c r="TDF134" s="3"/>
      <c r="TDG134" s="3"/>
      <c r="TDH134" s="3"/>
      <c r="TDI134" s="3"/>
      <c r="TDJ134" s="3"/>
      <c r="TDK134" s="3"/>
      <c r="TDL134" s="3"/>
      <c r="TDM134" s="3"/>
      <c r="TDN134" s="3"/>
      <c r="TDO134" s="3"/>
      <c r="TDP134" s="3"/>
      <c r="TDQ134" s="3"/>
      <c r="TDR134" s="3"/>
      <c r="TDS134" s="3"/>
      <c r="TDT134" s="3"/>
      <c r="TDU134" s="3"/>
      <c r="TDV134" s="3"/>
      <c r="TDW134" s="3"/>
      <c r="TDX134" s="3"/>
      <c r="TDY134" s="3"/>
      <c r="TDZ134" s="3"/>
      <c r="TEA134" s="3"/>
      <c r="TEB134" s="3"/>
      <c r="TEC134" s="3"/>
      <c r="TED134" s="3"/>
      <c r="TEE134" s="3"/>
      <c r="TEF134" s="3"/>
      <c r="TEG134" s="3"/>
      <c r="TEH134" s="3"/>
      <c r="TEI134" s="3"/>
      <c r="TEJ134" s="3"/>
      <c r="TEK134" s="3"/>
      <c r="TEL134" s="3"/>
      <c r="TEM134" s="3"/>
      <c r="TEN134" s="3"/>
      <c r="TEO134" s="3"/>
      <c r="TEP134" s="3"/>
      <c r="TEQ134" s="3"/>
      <c r="TER134" s="3"/>
      <c r="TES134" s="3"/>
      <c r="TET134" s="3"/>
      <c r="TEU134" s="3"/>
      <c r="TEV134" s="3"/>
      <c r="TEW134" s="3"/>
      <c r="TEX134" s="3"/>
      <c r="TEY134" s="3"/>
      <c r="TEZ134" s="3"/>
      <c r="TFA134" s="3"/>
      <c r="TFB134" s="3"/>
      <c r="TFC134" s="3"/>
      <c r="TFD134" s="3"/>
      <c r="TFE134" s="3"/>
      <c r="TFF134" s="3"/>
      <c r="TFG134" s="3"/>
      <c r="TFH134" s="3"/>
      <c r="TFI134" s="3"/>
      <c r="TFJ134" s="3"/>
      <c r="TFK134" s="3"/>
      <c r="TFL134" s="3"/>
      <c r="TFM134" s="3"/>
      <c r="TFN134" s="3"/>
      <c r="TFO134" s="3"/>
      <c r="TFP134" s="3"/>
      <c r="TFQ134" s="3"/>
      <c r="TFR134" s="3"/>
      <c r="TFS134" s="3"/>
      <c r="TFT134" s="3"/>
      <c r="TFU134" s="3"/>
      <c r="TFV134" s="3"/>
      <c r="TFW134" s="3"/>
      <c r="TFX134" s="3"/>
      <c r="TFY134" s="3"/>
      <c r="TFZ134" s="3"/>
      <c r="TGA134" s="3"/>
      <c r="TGB134" s="3"/>
      <c r="TGC134" s="3"/>
      <c r="TGD134" s="3"/>
      <c r="TGE134" s="3"/>
      <c r="TGF134" s="3"/>
      <c r="TGG134" s="3"/>
      <c r="TGH134" s="3"/>
      <c r="TGI134" s="3"/>
      <c r="TGJ134" s="3"/>
      <c r="TGK134" s="3"/>
      <c r="TGL134" s="3"/>
      <c r="TGM134" s="3"/>
      <c r="TGN134" s="3"/>
      <c r="TGO134" s="3"/>
      <c r="TGP134" s="3"/>
      <c r="TGQ134" s="3"/>
      <c r="TGR134" s="3"/>
      <c r="TGS134" s="3"/>
      <c r="TGT134" s="3"/>
      <c r="TGU134" s="3"/>
      <c r="TGV134" s="3"/>
      <c r="TGW134" s="3"/>
      <c r="TGX134" s="3"/>
      <c r="TGY134" s="3"/>
      <c r="TGZ134" s="3"/>
      <c r="THA134" s="3"/>
      <c r="THB134" s="3"/>
      <c r="THC134" s="3"/>
      <c r="THD134" s="3"/>
      <c r="THE134" s="3"/>
      <c r="THF134" s="3"/>
      <c r="THG134" s="3"/>
      <c r="THH134" s="3"/>
      <c r="THI134" s="3"/>
      <c r="THJ134" s="3"/>
      <c r="THK134" s="3"/>
      <c r="THL134" s="3"/>
      <c r="THM134" s="3"/>
      <c r="THN134" s="3"/>
      <c r="THO134" s="3"/>
      <c r="THP134" s="3"/>
      <c r="THQ134" s="3"/>
      <c r="THR134" s="3"/>
      <c r="THS134" s="3"/>
      <c r="THT134" s="3"/>
      <c r="THU134" s="3"/>
      <c r="THV134" s="3"/>
      <c r="THW134" s="3"/>
      <c r="THX134" s="3"/>
      <c r="THY134" s="3"/>
      <c r="THZ134" s="3"/>
      <c r="TIA134" s="3"/>
      <c r="TIB134" s="3"/>
      <c r="TIC134" s="3"/>
      <c r="TID134" s="3"/>
      <c r="TIE134" s="3"/>
      <c r="TIF134" s="3"/>
      <c r="TIG134" s="3"/>
      <c r="TIH134" s="3"/>
      <c r="TII134" s="3"/>
      <c r="TIJ134" s="3"/>
      <c r="TIK134" s="3"/>
      <c r="TIL134" s="3"/>
      <c r="TIM134" s="3"/>
      <c r="TIN134" s="3"/>
      <c r="TIO134" s="3"/>
      <c r="TIP134" s="3"/>
      <c r="TIQ134" s="3"/>
      <c r="TIR134" s="3"/>
      <c r="TIS134" s="3"/>
      <c r="TIT134" s="3"/>
      <c r="TIU134" s="3"/>
      <c r="TIV134" s="3"/>
      <c r="TIW134" s="3"/>
      <c r="TIX134" s="3"/>
      <c r="TIY134" s="3"/>
      <c r="TIZ134" s="3"/>
      <c r="TJA134" s="3"/>
      <c r="TJB134" s="3"/>
      <c r="TJC134" s="3"/>
      <c r="TJD134" s="3"/>
      <c r="TJE134" s="3"/>
      <c r="TJF134" s="3"/>
      <c r="TJG134" s="3"/>
      <c r="TJH134" s="3"/>
      <c r="TJI134" s="3"/>
      <c r="TJJ134" s="3"/>
      <c r="TJK134" s="3"/>
      <c r="TJL134" s="3"/>
      <c r="TJM134" s="3"/>
      <c r="TJN134" s="3"/>
      <c r="TJO134" s="3"/>
      <c r="TJP134" s="3"/>
      <c r="TJQ134" s="3"/>
      <c r="TJR134" s="3"/>
      <c r="TJS134" s="3"/>
      <c r="TJT134" s="3"/>
      <c r="TJU134" s="3"/>
      <c r="TJV134" s="3"/>
      <c r="TJW134" s="3"/>
      <c r="TJX134" s="3"/>
      <c r="TJY134" s="3"/>
      <c r="TJZ134" s="3"/>
      <c r="TKA134" s="3"/>
      <c r="TKB134" s="3"/>
      <c r="TKC134" s="3"/>
      <c r="TKD134" s="3"/>
      <c r="TKE134" s="3"/>
      <c r="TKF134" s="3"/>
      <c r="TKG134" s="3"/>
      <c r="TKH134" s="3"/>
      <c r="TKI134" s="3"/>
      <c r="TKJ134" s="3"/>
      <c r="TKK134" s="3"/>
      <c r="TKL134" s="3"/>
      <c r="TKM134" s="3"/>
      <c r="TKN134" s="3"/>
      <c r="TKO134" s="3"/>
      <c r="TKP134" s="3"/>
      <c r="TKQ134" s="3"/>
      <c r="TKR134" s="3"/>
      <c r="TKS134" s="3"/>
      <c r="TKT134" s="3"/>
      <c r="TKU134" s="3"/>
      <c r="TKV134" s="3"/>
      <c r="TKW134" s="3"/>
      <c r="TKX134" s="3"/>
      <c r="TKY134" s="3"/>
      <c r="TKZ134" s="3"/>
      <c r="TLA134" s="3"/>
      <c r="TLB134" s="3"/>
      <c r="TLC134" s="3"/>
      <c r="TLD134" s="3"/>
      <c r="TLE134" s="3"/>
      <c r="TLF134" s="3"/>
      <c r="TLG134" s="3"/>
      <c r="TLH134" s="3"/>
      <c r="TLI134" s="3"/>
      <c r="TLJ134" s="3"/>
      <c r="TLK134" s="3"/>
      <c r="TLL134" s="3"/>
      <c r="TLM134" s="3"/>
      <c r="TLN134" s="3"/>
      <c r="TLO134" s="3"/>
      <c r="TLP134" s="3"/>
      <c r="TLQ134" s="3"/>
      <c r="TLR134" s="3"/>
      <c r="TLS134" s="3"/>
      <c r="TLT134" s="3"/>
      <c r="TLU134" s="3"/>
      <c r="TLV134" s="3"/>
      <c r="TLW134" s="3"/>
      <c r="TLX134" s="3"/>
      <c r="TLY134" s="3"/>
      <c r="TLZ134" s="3"/>
      <c r="TMA134" s="3"/>
      <c r="TMB134" s="3"/>
      <c r="TMC134" s="3"/>
      <c r="TMD134" s="3"/>
      <c r="TME134" s="3"/>
      <c r="TMF134" s="3"/>
      <c r="TMG134" s="3"/>
      <c r="TMH134" s="3"/>
      <c r="TMI134" s="3"/>
      <c r="TMJ134" s="3"/>
      <c r="TMK134" s="3"/>
      <c r="TML134" s="3"/>
      <c r="TMM134" s="3"/>
      <c r="TMN134" s="3"/>
      <c r="TMO134" s="3"/>
      <c r="TMP134" s="3"/>
      <c r="TMQ134" s="3"/>
      <c r="TMR134" s="3"/>
      <c r="TMS134" s="3"/>
      <c r="TMT134" s="3"/>
      <c r="TMU134" s="3"/>
      <c r="TMV134" s="3"/>
      <c r="TMW134" s="3"/>
      <c r="TMX134" s="3"/>
      <c r="TMY134" s="3"/>
      <c r="TMZ134" s="3"/>
      <c r="TNA134" s="3"/>
      <c r="TNB134" s="3"/>
      <c r="TNC134" s="3"/>
      <c r="TND134" s="3"/>
      <c r="TNE134" s="3"/>
      <c r="TNF134" s="3"/>
      <c r="TNG134" s="3"/>
      <c r="TNH134" s="3"/>
      <c r="TNI134" s="3"/>
      <c r="TNJ134" s="3"/>
      <c r="TNK134" s="3"/>
      <c r="TNL134" s="3"/>
      <c r="TNM134" s="3"/>
      <c r="TNN134" s="3"/>
      <c r="TNO134" s="3"/>
      <c r="TNP134" s="3"/>
      <c r="TNQ134" s="3"/>
      <c r="TNR134" s="3"/>
      <c r="TNS134" s="3"/>
      <c r="TNT134" s="3"/>
      <c r="TNU134" s="3"/>
      <c r="TNV134" s="3"/>
      <c r="TNW134" s="3"/>
      <c r="TNX134" s="3"/>
      <c r="TNY134" s="3"/>
      <c r="TNZ134" s="3"/>
      <c r="TOA134" s="3"/>
      <c r="TOB134" s="3"/>
      <c r="TOC134" s="3"/>
      <c r="TOD134" s="3"/>
      <c r="TOE134" s="3"/>
      <c r="TOF134" s="3"/>
      <c r="TOG134" s="3"/>
      <c r="TOH134" s="3"/>
      <c r="TOI134" s="3"/>
      <c r="TOJ134" s="3"/>
      <c r="TOK134" s="3"/>
      <c r="TOL134" s="3"/>
      <c r="TOM134" s="3"/>
      <c r="TON134" s="3"/>
      <c r="TOO134" s="3"/>
      <c r="TOP134" s="3"/>
      <c r="TOQ134" s="3"/>
      <c r="TOR134" s="3"/>
      <c r="TOS134" s="3"/>
      <c r="TOT134" s="3"/>
      <c r="TOU134" s="3"/>
      <c r="TOV134" s="3"/>
      <c r="TOW134" s="3"/>
      <c r="TOX134" s="3"/>
      <c r="TOY134" s="3"/>
      <c r="TOZ134" s="3"/>
      <c r="TPA134" s="3"/>
      <c r="TPB134" s="3"/>
      <c r="TPC134" s="3"/>
      <c r="TPD134" s="3"/>
      <c r="TPE134" s="3"/>
      <c r="TPF134" s="3"/>
      <c r="TPG134" s="3"/>
      <c r="TPH134" s="3"/>
      <c r="TPI134" s="3"/>
      <c r="TPJ134" s="3"/>
      <c r="TPK134" s="3"/>
      <c r="TPL134" s="3"/>
      <c r="TPM134" s="3"/>
      <c r="TPN134" s="3"/>
      <c r="TPO134" s="3"/>
      <c r="TPP134" s="3"/>
      <c r="TPQ134" s="3"/>
      <c r="TPR134" s="3"/>
      <c r="TPS134" s="3"/>
      <c r="TPT134" s="3"/>
      <c r="TPU134" s="3"/>
      <c r="TPV134" s="3"/>
      <c r="TPW134" s="3"/>
      <c r="TPX134" s="3"/>
      <c r="TPY134" s="3"/>
      <c r="TPZ134" s="3"/>
      <c r="TQA134" s="3"/>
      <c r="TQB134" s="3"/>
      <c r="TQC134" s="3"/>
      <c r="TQD134" s="3"/>
      <c r="TQE134" s="3"/>
      <c r="TQF134" s="3"/>
      <c r="TQG134" s="3"/>
      <c r="TQH134" s="3"/>
      <c r="TQI134" s="3"/>
      <c r="TQJ134" s="3"/>
      <c r="TQK134" s="3"/>
      <c r="TQL134" s="3"/>
      <c r="TQM134" s="3"/>
      <c r="TQN134" s="3"/>
      <c r="TQO134" s="3"/>
      <c r="TQP134" s="3"/>
      <c r="TQQ134" s="3"/>
      <c r="TQR134" s="3"/>
      <c r="TQS134" s="3"/>
      <c r="TQT134" s="3"/>
      <c r="TQU134" s="3"/>
      <c r="TQV134" s="3"/>
      <c r="TQW134" s="3"/>
      <c r="TQX134" s="3"/>
      <c r="TQY134" s="3"/>
      <c r="TQZ134" s="3"/>
      <c r="TRA134" s="3"/>
      <c r="TRB134" s="3"/>
      <c r="TRC134" s="3"/>
      <c r="TRD134" s="3"/>
      <c r="TRE134" s="3"/>
      <c r="TRF134" s="3"/>
      <c r="TRG134" s="3"/>
      <c r="TRH134" s="3"/>
      <c r="TRI134" s="3"/>
      <c r="TRJ134" s="3"/>
      <c r="TRK134" s="3"/>
      <c r="TRL134" s="3"/>
      <c r="TRM134" s="3"/>
      <c r="TRN134" s="3"/>
      <c r="TRO134" s="3"/>
      <c r="TRP134" s="3"/>
      <c r="TRQ134" s="3"/>
      <c r="TRR134" s="3"/>
      <c r="TRS134" s="3"/>
      <c r="TRT134" s="3"/>
      <c r="TRU134" s="3"/>
      <c r="TRV134" s="3"/>
      <c r="TRW134" s="3"/>
      <c r="TRX134" s="3"/>
      <c r="TRY134" s="3"/>
      <c r="TRZ134" s="3"/>
      <c r="TSA134" s="3"/>
      <c r="TSB134" s="3"/>
      <c r="TSC134" s="3"/>
      <c r="TSD134" s="3"/>
      <c r="TSE134" s="3"/>
      <c r="TSF134" s="3"/>
      <c r="TSG134" s="3"/>
      <c r="TSH134" s="3"/>
      <c r="TSI134" s="3"/>
      <c r="TSJ134" s="3"/>
      <c r="TSK134" s="3"/>
      <c r="TSL134" s="3"/>
      <c r="TSM134" s="3"/>
      <c r="TSN134" s="3"/>
      <c r="TSO134" s="3"/>
      <c r="TSP134" s="3"/>
      <c r="TSQ134" s="3"/>
      <c r="TSR134" s="3"/>
      <c r="TSS134" s="3"/>
      <c r="TST134" s="3"/>
      <c r="TSU134" s="3"/>
      <c r="TSV134" s="3"/>
      <c r="TSW134" s="3"/>
      <c r="TSX134" s="3"/>
      <c r="TSY134" s="3"/>
      <c r="TSZ134" s="3"/>
      <c r="TTA134" s="3"/>
      <c r="TTB134" s="3"/>
      <c r="TTC134" s="3"/>
      <c r="TTD134" s="3"/>
      <c r="TTE134" s="3"/>
      <c r="TTF134" s="3"/>
      <c r="TTG134" s="3"/>
      <c r="TTH134" s="3"/>
      <c r="TTI134" s="3"/>
      <c r="TTJ134" s="3"/>
      <c r="TTK134" s="3"/>
      <c r="TTL134" s="3"/>
      <c r="TTM134" s="3"/>
      <c r="TTN134" s="3"/>
      <c r="TTO134" s="3"/>
      <c r="TTP134" s="3"/>
      <c r="TTQ134" s="3"/>
      <c r="TTR134" s="3"/>
      <c r="TTS134" s="3"/>
      <c r="TTT134" s="3"/>
      <c r="TTU134" s="3"/>
      <c r="TTV134" s="3"/>
      <c r="TTW134" s="3"/>
      <c r="TTX134" s="3"/>
      <c r="TTY134" s="3"/>
      <c r="TTZ134" s="3"/>
      <c r="TUA134" s="3"/>
      <c r="TUB134" s="3"/>
      <c r="TUC134" s="3"/>
      <c r="TUD134" s="3"/>
      <c r="TUE134" s="3"/>
      <c r="TUF134" s="3"/>
      <c r="TUG134" s="3"/>
      <c r="TUH134" s="3"/>
      <c r="TUI134" s="3"/>
      <c r="TUJ134" s="3"/>
      <c r="TUK134" s="3"/>
      <c r="TUL134" s="3"/>
      <c r="TUM134" s="3"/>
      <c r="TUN134" s="3"/>
      <c r="TUO134" s="3"/>
      <c r="TUP134" s="3"/>
      <c r="TUQ134" s="3"/>
      <c r="TUR134" s="3"/>
      <c r="TUS134" s="3"/>
      <c r="TUT134" s="3"/>
      <c r="TUU134" s="3"/>
      <c r="TUV134" s="3"/>
      <c r="TUW134" s="3"/>
      <c r="TUX134" s="3"/>
      <c r="TUY134" s="3"/>
      <c r="TUZ134" s="3"/>
      <c r="TVA134" s="3"/>
      <c r="TVB134" s="3"/>
      <c r="TVC134" s="3"/>
      <c r="TVD134" s="3"/>
      <c r="TVE134" s="3"/>
      <c r="TVF134" s="3"/>
      <c r="TVG134" s="3"/>
      <c r="TVH134" s="3"/>
      <c r="TVI134" s="3"/>
      <c r="TVJ134" s="3"/>
      <c r="TVK134" s="3"/>
      <c r="TVL134" s="3"/>
      <c r="TVM134" s="3"/>
      <c r="TVN134" s="3"/>
      <c r="TVO134" s="3"/>
      <c r="TVP134" s="3"/>
      <c r="TVQ134" s="3"/>
      <c r="TVR134" s="3"/>
      <c r="TVS134" s="3"/>
      <c r="TVT134" s="3"/>
      <c r="TVU134" s="3"/>
      <c r="TVV134" s="3"/>
      <c r="TVW134" s="3"/>
      <c r="TVX134" s="3"/>
      <c r="TVY134" s="3"/>
      <c r="TVZ134" s="3"/>
      <c r="TWA134" s="3"/>
      <c r="TWB134" s="3"/>
      <c r="TWC134" s="3"/>
      <c r="TWD134" s="3"/>
      <c r="TWE134" s="3"/>
      <c r="TWF134" s="3"/>
      <c r="TWG134" s="3"/>
      <c r="TWH134" s="3"/>
      <c r="TWI134" s="3"/>
      <c r="TWJ134" s="3"/>
      <c r="TWK134" s="3"/>
      <c r="TWL134" s="3"/>
      <c r="TWM134" s="3"/>
      <c r="TWN134" s="3"/>
      <c r="TWO134" s="3"/>
      <c r="TWP134" s="3"/>
      <c r="TWQ134" s="3"/>
      <c r="TWR134" s="3"/>
      <c r="TWS134" s="3"/>
      <c r="TWT134" s="3"/>
      <c r="TWU134" s="3"/>
      <c r="TWV134" s="3"/>
      <c r="TWW134" s="3"/>
      <c r="TWX134" s="3"/>
      <c r="TWY134" s="3"/>
      <c r="TWZ134" s="3"/>
      <c r="TXA134" s="3"/>
      <c r="TXB134" s="3"/>
      <c r="TXC134" s="3"/>
      <c r="TXD134" s="3"/>
      <c r="TXE134" s="3"/>
      <c r="TXF134" s="3"/>
      <c r="TXG134" s="3"/>
      <c r="TXH134" s="3"/>
      <c r="TXI134" s="3"/>
      <c r="TXJ134" s="3"/>
      <c r="TXK134" s="3"/>
      <c r="TXL134" s="3"/>
      <c r="TXM134" s="3"/>
      <c r="TXN134" s="3"/>
      <c r="TXO134" s="3"/>
      <c r="TXP134" s="3"/>
      <c r="TXQ134" s="3"/>
      <c r="TXR134" s="3"/>
      <c r="TXS134" s="3"/>
      <c r="TXT134" s="3"/>
      <c r="TXU134" s="3"/>
      <c r="TXV134" s="3"/>
      <c r="TXW134" s="3"/>
      <c r="TXX134" s="3"/>
      <c r="TXY134" s="3"/>
      <c r="TXZ134" s="3"/>
      <c r="TYA134" s="3"/>
      <c r="TYB134" s="3"/>
      <c r="TYC134" s="3"/>
      <c r="TYD134" s="3"/>
      <c r="TYE134" s="3"/>
      <c r="TYF134" s="3"/>
      <c r="TYG134" s="3"/>
      <c r="TYH134" s="3"/>
      <c r="TYI134" s="3"/>
      <c r="TYJ134" s="3"/>
      <c r="TYK134" s="3"/>
      <c r="TYL134" s="3"/>
      <c r="TYM134" s="3"/>
      <c r="TYN134" s="3"/>
      <c r="TYO134" s="3"/>
      <c r="TYP134" s="3"/>
      <c r="TYQ134" s="3"/>
      <c r="TYR134" s="3"/>
      <c r="TYS134" s="3"/>
      <c r="TYT134" s="3"/>
      <c r="TYU134" s="3"/>
      <c r="TYV134" s="3"/>
      <c r="TYW134" s="3"/>
      <c r="TYX134" s="3"/>
      <c r="TYY134" s="3"/>
      <c r="TYZ134" s="3"/>
      <c r="TZA134" s="3"/>
      <c r="TZB134" s="3"/>
      <c r="TZC134" s="3"/>
      <c r="TZD134" s="3"/>
      <c r="TZE134" s="3"/>
      <c r="TZF134" s="3"/>
      <c r="TZG134" s="3"/>
      <c r="TZH134" s="3"/>
      <c r="TZI134" s="3"/>
      <c r="TZJ134" s="3"/>
      <c r="TZK134" s="3"/>
      <c r="TZL134" s="3"/>
      <c r="TZM134" s="3"/>
      <c r="TZN134" s="3"/>
      <c r="TZO134" s="3"/>
      <c r="TZP134" s="3"/>
      <c r="TZQ134" s="3"/>
      <c r="TZR134" s="3"/>
      <c r="TZS134" s="3"/>
      <c r="TZT134" s="3"/>
      <c r="TZU134" s="3"/>
      <c r="TZV134" s="3"/>
      <c r="TZW134" s="3"/>
      <c r="TZX134" s="3"/>
      <c r="TZY134" s="3"/>
      <c r="TZZ134" s="3"/>
      <c r="UAA134" s="3"/>
      <c r="UAB134" s="3"/>
      <c r="UAC134" s="3"/>
      <c r="UAD134" s="3"/>
      <c r="UAE134" s="3"/>
      <c r="UAF134" s="3"/>
      <c r="UAG134" s="3"/>
      <c r="UAH134" s="3"/>
      <c r="UAI134" s="3"/>
      <c r="UAJ134" s="3"/>
      <c r="UAK134" s="3"/>
      <c r="UAL134" s="3"/>
      <c r="UAM134" s="3"/>
      <c r="UAN134" s="3"/>
      <c r="UAO134" s="3"/>
      <c r="UAP134" s="3"/>
      <c r="UAQ134" s="3"/>
      <c r="UAR134" s="3"/>
      <c r="UAS134" s="3"/>
      <c r="UAT134" s="3"/>
      <c r="UAU134" s="3"/>
      <c r="UAV134" s="3"/>
      <c r="UAW134" s="3"/>
      <c r="UAX134" s="3"/>
      <c r="UAY134" s="3"/>
      <c r="UAZ134" s="3"/>
      <c r="UBA134" s="3"/>
      <c r="UBB134" s="3"/>
      <c r="UBC134" s="3"/>
      <c r="UBD134" s="3"/>
      <c r="UBE134" s="3"/>
      <c r="UBF134" s="3"/>
      <c r="UBG134" s="3"/>
      <c r="UBH134" s="3"/>
      <c r="UBI134" s="3"/>
      <c r="UBJ134" s="3"/>
      <c r="UBK134" s="3"/>
      <c r="UBL134" s="3"/>
      <c r="UBM134" s="3"/>
      <c r="UBN134" s="3"/>
      <c r="UBO134" s="3"/>
      <c r="UBP134" s="3"/>
      <c r="UBQ134" s="3"/>
      <c r="UBR134" s="3"/>
      <c r="UBS134" s="3"/>
      <c r="UBT134" s="3"/>
      <c r="UBU134" s="3"/>
      <c r="UBV134" s="3"/>
      <c r="UBW134" s="3"/>
      <c r="UBX134" s="3"/>
      <c r="UBY134" s="3"/>
      <c r="UBZ134" s="3"/>
      <c r="UCA134" s="3"/>
      <c r="UCB134" s="3"/>
      <c r="UCC134" s="3"/>
      <c r="UCD134" s="3"/>
      <c r="UCE134" s="3"/>
      <c r="UCF134" s="3"/>
      <c r="UCG134" s="3"/>
      <c r="UCH134" s="3"/>
      <c r="UCI134" s="3"/>
      <c r="UCJ134" s="3"/>
      <c r="UCK134" s="3"/>
      <c r="UCL134" s="3"/>
      <c r="UCM134" s="3"/>
      <c r="UCN134" s="3"/>
      <c r="UCO134" s="3"/>
      <c r="UCP134" s="3"/>
      <c r="UCQ134" s="3"/>
      <c r="UCR134" s="3"/>
      <c r="UCS134" s="3"/>
      <c r="UCT134" s="3"/>
      <c r="UCU134" s="3"/>
      <c r="UCV134" s="3"/>
      <c r="UCW134" s="3"/>
      <c r="UCX134" s="3"/>
      <c r="UCY134" s="3"/>
      <c r="UCZ134" s="3"/>
      <c r="UDA134" s="3"/>
      <c r="UDB134" s="3"/>
      <c r="UDC134" s="3"/>
      <c r="UDD134" s="3"/>
      <c r="UDE134" s="3"/>
      <c r="UDF134" s="3"/>
      <c r="UDG134" s="3"/>
      <c r="UDH134" s="3"/>
      <c r="UDI134" s="3"/>
      <c r="UDJ134" s="3"/>
      <c r="UDK134" s="3"/>
      <c r="UDL134" s="3"/>
      <c r="UDM134" s="3"/>
      <c r="UDN134" s="3"/>
      <c r="UDO134" s="3"/>
      <c r="UDP134" s="3"/>
      <c r="UDQ134" s="3"/>
      <c r="UDR134" s="3"/>
      <c r="UDS134" s="3"/>
      <c r="UDT134" s="3"/>
      <c r="UDU134" s="3"/>
      <c r="UDV134" s="3"/>
      <c r="UDW134" s="3"/>
      <c r="UDX134" s="3"/>
      <c r="UDY134" s="3"/>
      <c r="UDZ134" s="3"/>
      <c r="UEA134" s="3"/>
      <c r="UEB134" s="3"/>
      <c r="UEC134" s="3"/>
      <c r="UED134" s="3"/>
      <c r="UEE134" s="3"/>
      <c r="UEF134" s="3"/>
      <c r="UEG134" s="3"/>
      <c r="UEH134" s="3"/>
      <c r="UEI134" s="3"/>
      <c r="UEJ134" s="3"/>
      <c r="UEK134" s="3"/>
      <c r="UEL134" s="3"/>
      <c r="UEM134" s="3"/>
      <c r="UEN134" s="3"/>
      <c r="UEO134" s="3"/>
      <c r="UEP134" s="3"/>
      <c r="UEQ134" s="3"/>
      <c r="UER134" s="3"/>
      <c r="UES134" s="3"/>
      <c r="UET134" s="3"/>
      <c r="UEU134" s="3"/>
      <c r="UEV134" s="3"/>
      <c r="UEW134" s="3"/>
      <c r="UEX134" s="3"/>
      <c r="UEY134" s="3"/>
      <c r="UEZ134" s="3"/>
      <c r="UFA134" s="3"/>
      <c r="UFB134" s="3"/>
      <c r="UFC134" s="3"/>
      <c r="UFD134" s="3"/>
      <c r="UFE134" s="3"/>
      <c r="UFF134" s="3"/>
      <c r="UFG134" s="3"/>
      <c r="UFH134" s="3"/>
      <c r="UFI134" s="3"/>
      <c r="UFJ134" s="3"/>
      <c r="UFK134" s="3"/>
      <c r="UFL134" s="3"/>
      <c r="UFM134" s="3"/>
      <c r="UFN134" s="3"/>
      <c r="UFO134" s="3"/>
      <c r="UFP134" s="3"/>
      <c r="UFQ134" s="3"/>
      <c r="UFR134" s="3"/>
      <c r="UFS134" s="3"/>
      <c r="UFT134" s="3"/>
      <c r="UFU134" s="3"/>
      <c r="UFV134" s="3"/>
      <c r="UFW134" s="3"/>
      <c r="UFX134" s="3"/>
      <c r="UFY134" s="3"/>
      <c r="UFZ134" s="3"/>
      <c r="UGA134" s="3"/>
      <c r="UGB134" s="3"/>
      <c r="UGC134" s="3"/>
      <c r="UGD134" s="3"/>
      <c r="UGE134" s="3"/>
      <c r="UGF134" s="3"/>
      <c r="UGG134" s="3"/>
      <c r="UGH134" s="3"/>
      <c r="UGI134" s="3"/>
      <c r="UGJ134" s="3"/>
      <c r="UGK134" s="3"/>
      <c r="UGL134" s="3"/>
      <c r="UGM134" s="3"/>
      <c r="UGN134" s="3"/>
      <c r="UGO134" s="3"/>
      <c r="UGP134" s="3"/>
      <c r="UGQ134" s="3"/>
      <c r="UGR134" s="3"/>
      <c r="UGS134" s="3"/>
      <c r="UGT134" s="3"/>
      <c r="UGU134" s="3"/>
      <c r="UGV134" s="3"/>
      <c r="UGW134" s="3"/>
      <c r="UGX134" s="3"/>
      <c r="UGY134" s="3"/>
      <c r="UGZ134" s="3"/>
      <c r="UHA134" s="3"/>
      <c r="UHB134" s="3"/>
      <c r="UHC134" s="3"/>
      <c r="UHD134" s="3"/>
      <c r="UHE134" s="3"/>
      <c r="UHF134" s="3"/>
      <c r="UHG134" s="3"/>
      <c r="UHH134" s="3"/>
      <c r="UHI134" s="3"/>
      <c r="UHJ134" s="3"/>
      <c r="UHK134" s="3"/>
      <c r="UHL134" s="3"/>
      <c r="UHM134" s="3"/>
      <c r="UHN134" s="3"/>
      <c r="UHO134" s="3"/>
      <c r="UHP134" s="3"/>
      <c r="UHQ134" s="3"/>
      <c r="UHR134" s="3"/>
      <c r="UHS134" s="3"/>
      <c r="UHT134" s="3"/>
      <c r="UHU134" s="3"/>
      <c r="UHV134" s="3"/>
      <c r="UHW134" s="3"/>
      <c r="UHX134" s="3"/>
      <c r="UHY134" s="3"/>
      <c r="UHZ134" s="3"/>
      <c r="UIA134" s="3"/>
      <c r="UIB134" s="3"/>
      <c r="UIC134" s="3"/>
      <c r="UID134" s="3"/>
      <c r="UIE134" s="3"/>
      <c r="UIF134" s="3"/>
      <c r="UIG134" s="3"/>
      <c r="UIH134" s="3"/>
      <c r="UII134" s="3"/>
      <c r="UIJ134" s="3"/>
      <c r="UIK134" s="3"/>
      <c r="UIL134" s="3"/>
      <c r="UIM134" s="3"/>
      <c r="UIN134" s="3"/>
      <c r="UIO134" s="3"/>
      <c r="UIP134" s="3"/>
      <c r="UIQ134" s="3"/>
      <c r="UIR134" s="3"/>
      <c r="UIS134" s="3"/>
      <c r="UIT134" s="3"/>
      <c r="UIU134" s="3"/>
      <c r="UIV134" s="3"/>
      <c r="UIW134" s="3"/>
      <c r="UIX134" s="3"/>
      <c r="UIY134" s="3"/>
      <c r="UIZ134" s="3"/>
      <c r="UJA134" s="3"/>
      <c r="UJB134" s="3"/>
      <c r="UJC134" s="3"/>
      <c r="UJD134" s="3"/>
      <c r="UJE134" s="3"/>
      <c r="UJF134" s="3"/>
      <c r="UJG134" s="3"/>
      <c r="UJH134" s="3"/>
      <c r="UJI134" s="3"/>
      <c r="UJJ134" s="3"/>
      <c r="UJK134" s="3"/>
      <c r="UJL134" s="3"/>
      <c r="UJM134" s="3"/>
      <c r="UJN134" s="3"/>
      <c r="UJO134" s="3"/>
      <c r="UJP134" s="3"/>
      <c r="UJQ134" s="3"/>
      <c r="UJR134" s="3"/>
      <c r="UJS134" s="3"/>
      <c r="UJT134" s="3"/>
      <c r="UJU134" s="3"/>
      <c r="UJV134" s="3"/>
      <c r="UJW134" s="3"/>
      <c r="UJX134" s="3"/>
      <c r="UJY134" s="3"/>
      <c r="UJZ134" s="3"/>
      <c r="UKA134" s="3"/>
      <c r="UKB134" s="3"/>
      <c r="UKC134" s="3"/>
      <c r="UKD134" s="3"/>
      <c r="UKE134" s="3"/>
      <c r="UKF134" s="3"/>
      <c r="UKG134" s="3"/>
      <c r="UKH134" s="3"/>
      <c r="UKI134" s="3"/>
      <c r="UKJ134" s="3"/>
      <c r="UKK134" s="3"/>
      <c r="UKL134" s="3"/>
      <c r="UKM134" s="3"/>
      <c r="UKN134" s="3"/>
      <c r="UKO134" s="3"/>
      <c r="UKP134" s="3"/>
      <c r="UKQ134" s="3"/>
      <c r="UKR134" s="3"/>
      <c r="UKS134" s="3"/>
      <c r="UKT134" s="3"/>
      <c r="UKU134" s="3"/>
      <c r="UKV134" s="3"/>
      <c r="UKW134" s="3"/>
      <c r="UKX134" s="3"/>
      <c r="UKY134" s="3"/>
      <c r="UKZ134" s="3"/>
      <c r="ULA134" s="3"/>
      <c r="ULB134" s="3"/>
      <c r="ULC134" s="3"/>
      <c r="ULD134" s="3"/>
      <c r="ULE134" s="3"/>
      <c r="ULF134" s="3"/>
      <c r="ULG134" s="3"/>
      <c r="ULH134" s="3"/>
      <c r="ULI134" s="3"/>
      <c r="ULJ134" s="3"/>
      <c r="ULK134" s="3"/>
      <c r="ULL134" s="3"/>
      <c r="ULM134" s="3"/>
      <c r="ULN134" s="3"/>
      <c r="ULO134" s="3"/>
      <c r="ULP134" s="3"/>
      <c r="ULQ134" s="3"/>
      <c r="ULR134" s="3"/>
      <c r="ULS134" s="3"/>
      <c r="ULT134" s="3"/>
      <c r="ULU134" s="3"/>
      <c r="ULV134" s="3"/>
      <c r="ULW134" s="3"/>
      <c r="ULX134" s="3"/>
      <c r="ULY134" s="3"/>
      <c r="ULZ134" s="3"/>
      <c r="UMA134" s="3"/>
      <c r="UMB134" s="3"/>
      <c r="UMC134" s="3"/>
      <c r="UMD134" s="3"/>
      <c r="UME134" s="3"/>
      <c r="UMF134" s="3"/>
      <c r="UMG134" s="3"/>
      <c r="UMH134" s="3"/>
      <c r="UMI134" s="3"/>
      <c r="UMJ134" s="3"/>
      <c r="UMK134" s="3"/>
      <c r="UML134" s="3"/>
      <c r="UMM134" s="3"/>
      <c r="UMN134" s="3"/>
      <c r="UMO134" s="3"/>
      <c r="UMP134" s="3"/>
      <c r="UMQ134" s="3"/>
      <c r="UMR134" s="3"/>
      <c r="UMS134" s="3"/>
      <c r="UMT134" s="3"/>
      <c r="UMU134" s="3"/>
      <c r="UMV134" s="3"/>
      <c r="UMW134" s="3"/>
      <c r="UMX134" s="3"/>
      <c r="UMY134" s="3"/>
      <c r="UMZ134" s="3"/>
      <c r="UNA134" s="3"/>
      <c r="UNB134" s="3"/>
      <c r="UNC134" s="3"/>
      <c r="UND134" s="3"/>
      <c r="UNE134" s="3"/>
      <c r="UNF134" s="3"/>
      <c r="UNG134" s="3"/>
      <c r="UNH134" s="3"/>
      <c r="UNI134" s="3"/>
      <c r="UNJ134" s="3"/>
      <c r="UNK134" s="3"/>
      <c r="UNL134" s="3"/>
      <c r="UNM134" s="3"/>
      <c r="UNN134" s="3"/>
      <c r="UNO134" s="3"/>
      <c r="UNP134" s="3"/>
      <c r="UNQ134" s="3"/>
      <c r="UNR134" s="3"/>
      <c r="UNS134" s="3"/>
      <c r="UNT134" s="3"/>
      <c r="UNU134" s="3"/>
      <c r="UNV134" s="3"/>
      <c r="UNW134" s="3"/>
      <c r="UNX134" s="3"/>
      <c r="UNY134" s="3"/>
      <c r="UNZ134" s="3"/>
      <c r="UOA134" s="3"/>
      <c r="UOB134" s="3"/>
      <c r="UOC134" s="3"/>
      <c r="UOD134" s="3"/>
      <c r="UOE134" s="3"/>
      <c r="UOF134" s="3"/>
      <c r="UOG134" s="3"/>
      <c r="UOH134" s="3"/>
      <c r="UOI134" s="3"/>
      <c r="UOJ134" s="3"/>
      <c r="UOK134" s="3"/>
      <c r="UOL134" s="3"/>
      <c r="UOM134" s="3"/>
      <c r="UON134" s="3"/>
      <c r="UOO134" s="3"/>
      <c r="UOP134" s="3"/>
      <c r="UOQ134" s="3"/>
      <c r="UOR134" s="3"/>
      <c r="UOS134" s="3"/>
      <c r="UOT134" s="3"/>
      <c r="UOU134" s="3"/>
      <c r="UOV134" s="3"/>
      <c r="UOW134" s="3"/>
      <c r="UOX134" s="3"/>
      <c r="UOY134" s="3"/>
      <c r="UOZ134" s="3"/>
      <c r="UPA134" s="3"/>
      <c r="UPB134" s="3"/>
      <c r="UPC134" s="3"/>
      <c r="UPD134" s="3"/>
      <c r="UPE134" s="3"/>
      <c r="UPF134" s="3"/>
      <c r="UPG134" s="3"/>
      <c r="UPH134" s="3"/>
      <c r="UPI134" s="3"/>
      <c r="UPJ134" s="3"/>
      <c r="UPK134" s="3"/>
      <c r="UPL134" s="3"/>
      <c r="UPM134" s="3"/>
      <c r="UPN134" s="3"/>
      <c r="UPO134" s="3"/>
      <c r="UPP134" s="3"/>
      <c r="UPQ134" s="3"/>
      <c r="UPR134" s="3"/>
      <c r="UPS134" s="3"/>
      <c r="UPT134" s="3"/>
      <c r="UPU134" s="3"/>
      <c r="UPV134" s="3"/>
      <c r="UPW134" s="3"/>
      <c r="UPX134" s="3"/>
      <c r="UPY134" s="3"/>
      <c r="UPZ134" s="3"/>
      <c r="UQA134" s="3"/>
      <c r="UQB134" s="3"/>
      <c r="UQC134" s="3"/>
      <c r="UQD134" s="3"/>
      <c r="UQE134" s="3"/>
      <c r="UQF134" s="3"/>
      <c r="UQG134" s="3"/>
      <c r="UQH134" s="3"/>
      <c r="UQI134" s="3"/>
      <c r="UQJ134" s="3"/>
      <c r="UQK134" s="3"/>
      <c r="UQL134" s="3"/>
      <c r="UQM134" s="3"/>
      <c r="UQN134" s="3"/>
      <c r="UQO134" s="3"/>
      <c r="UQP134" s="3"/>
      <c r="UQQ134" s="3"/>
      <c r="UQR134" s="3"/>
      <c r="UQS134" s="3"/>
      <c r="UQT134" s="3"/>
      <c r="UQU134" s="3"/>
      <c r="UQV134" s="3"/>
      <c r="UQW134" s="3"/>
      <c r="UQX134" s="3"/>
      <c r="UQY134" s="3"/>
      <c r="UQZ134" s="3"/>
      <c r="URA134" s="3"/>
      <c r="URB134" s="3"/>
      <c r="URC134" s="3"/>
      <c r="URD134" s="3"/>
      <c r="URE134" s="3"/>
      <c r="URF134" s="3"/>
      <c r="URG134" s="3"/>
      <c r="URH134" s="3"/>
      <c r="URI134" s="3"/>
      <c r="URJ134" s="3"/>
      <c r="URK134" s="3"/>
      <c r="URL134" s="3"/>
      <c r="URM134" s="3"/>
      <c r="URN134" s="3"/>
      <c r="URO134" s="3"/>
      <c r="URP134" s="3"/>
      <c r="URQ134" s="3"/>
      <c r="URR134" s="3"/>
      <c r="URS134" s="3"/>
      <c r="URT134" s="3"/>
      <c r="URU134" s="3"/>
      <c r="URV134" s="3"/>
      <c r="URW134" s="3"/>
      <c r="URX134" s="3"/>
      <c r="URY134" s="3"/>
      <c r="URZ134" s="3"/>
      <c r="USA134" s="3"/>
      <c r="USB134" s="3"/>
      <c r="USC134" s="3"/>
      <c r="USD134" s="3"/>
      <c r="USE134" s="3"/>
      <c r="USF134" s="3"/>
      <c r="USG134" s="3"/>
      <c r="USH134" s="3"/>
      <c r="USI134" s="3"/>
      <c r="USJ134" s="3"/>
      <c r="USK134" s="3"/>
      <c r="USL134" s="3"/>
      <c r="USM134" s="3"/>
      <c r="USN134" s="3"/>
      <c r="USO134" s="3"/>
      <c r="USP134" s="3"/>
      <c r="USQ134" s="3"/>
      <c r="USR134" s="3"/>
      <c r="USS134" s="3"/>
      <c r="UST134" s="3"/>
      <c r="USU134" s="3"/>
      <c r="USV134" s="3"/>
      <c r="USW134" s="3"/>
      <c r="USX134" s="3"/>
      <c r="USY134" s="3"/>
      <c r="USZ134" s="3"/>
      <c r="UTA134" s="3"/>
      <c r="UTB134" s="3"/>
      <c r="UTC134" s="3"/>
      <c r="UTD134" s="3"/>
      <c r="UTE134" s="3"/>
      <c r="UTF134" s="3"/>
      <c r="UTG134" s="3"/>
      <c r="UTH134" s="3"/>
      <c r="UTI134" s="3"/>
      <c r="UTJ134" s="3"/>
      <c r="UTK134" s="3"/>
      <c r="UTL134" s="3"/>
      <c r="UTM134" s="3"/>
      <c r="UTN134" s="3"/>
      <c r="UTO134" s="3"/>
      <c r="UTP134" s="3"/>
      <c r="UTQ134" s="3"/>
      <c r="UTR134" s="3"/>
      <c r="UTS134" s="3"/>
      <c r="UTT134" s="3"/>
      <c r="UTU134" s="3"/>
      <c r="UTV134" s="3"/>
      <c r="UTW134" s="3"/>
      <c r="UTX134" s="3"/>
      <c r="UTY134" s="3"/>
      <c r="UTZ134" s="3"/>
      <c r="UUA134" s="3"/>
      <c r="UUB134" s="3"/>
      <c r="UUC134" s="3"/>
      <c r="UUD134" s="3"/>
      <c r="UUE134" s="3"/>
      <c r="UUF134" s="3"/>
      <c r="UUG134" s="3"/>
      <c r="UUH134" s="3"/>
      <c r="UUI134" s="3"/>
      <c r="UUJ134" s="3"/>
      <c r="UUK134" s="3"/>
      <c r="UUL134" s="3"/>
      <c r="UUM134" s="3"/>
      <c r="UUN134" s="3"/>
      <c r="UUO134" s="3"/>
      <c r="UUP134" s="3"/>
      <c r="UUQ134" s="3"/>
      <c r="UUR134" s="3"/>
      <c r="UUS134" s="3"/>
      <c r="UUT134" s="3"/>
      <c r="UUU134" s="3"/>
      <c r="UUV134" s="3"/>
      <c r="UUW134" s="3"/>
      <c r="UUX134" s="3"/>
      <c r="UUY134" s="3"/>
      <c r="UUZ134" s="3"/>
      <c r="UVA134" s="3"/>
      <c r="UVB134" s="3"/>
      <c r="UVC134" s="3"/>
      <c r="UVD134" s="3"/>
      <c r="UVE134" s="3"/>
      <c r="UVF134" s="3"/>
      <c r="UVG134" s="3"/>
      <c r="UVH134" s="3"/>
      <c r="UVI134" s="3"/>
      <c r="UVJ134" s="3"/>
      <c r="UVK134" s="3"/>
      <c r="UVL134" s="3"/>
      <c r="UVM134" s="3"/>
      <c r="UVN134" s="3"/>
      <c r="UVO134" s="3"/>
      <c r="UVP134" s="3"/>
      <c r="UVQ134" s="3"/>
      <c r="UVR134" s="3"/>
      <c r="UVS134" s="3"/>
      <c r="UVT134" s="3"/>
      <c r="UVU134" s="3"/>
      <c r="UVV134" s="3"/>
      <c r="UVW134" s="3"/>
      <c r="UVX134" s="3"/>
      <c r="UVY134" s="3"/>
      <c r="UVZ134" s="3"/>
      <c r="UWA134" s="3"/>
      <c r="UWB134" s="3"/>
      <c r="UWC134" s="3"/>
      <c r="UWD134" s="3"/>
      <c r="UWE134" s="3"/>
      <c r="UWF134" s="3"/>
      <c r="UWG134" s="3"/>
      <c r="UWH134" s="3"/>
      <c r="UWI134" s="3"/>
      <c r="UWJ134" s="3"/>
      <c r="UWK134" s="3"/>
      <c r="UWL134" s="3"/>
      <c r="UWM134" s="3"/>
      <c r="UWN134" s="3"/>
      <c r="UWO134" s="3"/>
      <c r="UWP134" s="3"/>
      <c r="UWQ134" s="3"/>
      <c r="UWR134" s="3"/>
      <c r="UWS134" s="3"/>
      <c r="UWT134" s="3"/>
      <c r="UWU134" s="3"/>
      <c r="UWV134" s="3"/>
      <c r="UWW134" s="3"/>
      <c r="UWX134" s="3"/>
      <c r="UWY134" s="3"/>
      <c r="UWZ134" s="3"/>
      <c r="UXA134" s="3"/>
      <c r="UXB134" s="3"/>
      <c r="UXC134" s="3"/>
      <c r="UXD134" s="3"/>
      <c r="UXE134" s="3"/>
      <c r="UXF134" s="3"/>
      <c r="UXG134" s="3"/>
      <c r="UXH134" s="3"/>
      <c r="UXI134" s="3"/>
      <c r="UXJ134" s="3"/>
      <c r="UXK134" s="3"/>
      <c r="UXL134" s="3"/>
      <c r="UXM134" s="3"/>
      <c r="UXN134" s="3"/>
      <c r="UXO134" s="3"/>
      <c r="UXP134" s="3"/>
      <c r="UXQ134" s="3"/>
      <c r="UXR134" s="3"/>
      <c r="UXS134" s="3"/>
      <c r="UXT134" s="3"/>
      <c r="UXU134" s="3"/>
      <c r="UXV134" s="3"/>
      <c r="UXW134" s="3"/>
      <c r="UXX134" s="3"/>
      <c r="UXY134" s="3"/>
      <c r="UXZ134" s="3"/>
      <c r="UYA134" s="3"/>
      <c r="UYB134" s="3"/>
      <c r="UYC134" s="3"/>
      <c r="UYD134" s="3"/>
      <c r="UYE134" s="3"/>
      <c r="UYF134" s="3"/>
      <c r="UYG134" s="3"/>
      <c r="UYH134" s="3"/>
      <c r="UYI134" s="3"/>
      <c r="UYJ134" s="3"/>
      <c r="UYK134" s="3"/>
      <c r="UYL134" s="3"/>
      <c r="UYM134" s="3"/>
      <c r="UYN134" s="3"/>
      <c r="UYO134" s="3"/>
      <c r="UYP134" s="3"/>
      <c r="UYQ134" s="3"/>
      <c r="UYR134" s="3"/>
      <c r="UYS134" s="3"/>
      <c r="UYT134" s="3"/>
      <c r="UYU134" s="3"/>
      <c r="UYV134" s="3"/>
      <c r="UYW134" s="3"/>
      <c r="UYX134" s="3"/>
      <c r="UYY134" s="3"/>
      <c r="UYZ134" s="3"/>
      <c r="UZA134" s="3"/>
      <c r="UZB134" s="3"/>
      <c r="UZC134" s="3"/>
      <c r="UZD134" s="3"/>
      <c r="UZE134" s="3"/>
      <c r="UZF134" s="3"/>
      <c r="UZG134" s="3"/>
      <c r="UZH134" s="3"/>
      <c r="UZI134" s="3"/>
      <c r="UZJ134" s="3"/>
      <c r="UZK134" s="3"/>
      <c r="UZL134" s="3"/>
      <c r="UZM134" s="3"/>
      <c r="UZN134" s="3"/>
      <c r="UZO134" s="3"/>
      <c r="UZP134" s="3"/>
      <c r="UZQ134" s="3"/>
      <c r="UZR134" s="3"/>
      <c r="UZS134" s="3"/>
      <c r="UZT134" s="3"/>
      <c r="UZU134" s="3"/>
      <c r="UZV134" s="3"/>
      <c r="UZW134" s="3"/>
      <c r="UZX134" s="3"/>
      <c r="UZY134" s="3"/>
      <c r="UZZ134" s="3"/>
      <c r="VAA134" s="3"/>
      <c r="VAB134" s="3"/>
      <c r="VAC134" s="3"/>
      <c r="VAD134" s="3"/>
      <c r="VAE134" s="3"/>
      <c r="VAF134" s="3"/>
      <c r="VAG134" s="3"/>
      <c r="VAH134" s="3"/>
      <c r="VAI134" s="3"/>
      <c r="VAJ134" s="3"/>
      <c r="VAK134" s="3"/>
      <c r="VAL134" s="3"/>
      <c r="VAM134" s="3"/>
      <c r="VAN134" s="3"/>
      <c r="VAO134" s="3"/>
      <c r="VAP134" s="3"/>
      <c r="VAQ134" s="3"/>
      <c r="VAR134" s="3"/>
      <c r="VAS134" s="3"/>
      <c r="VAT134" s="3"/>
      <c r="VAU134" s="3"/>
      <c r="VAV134" s="3"/>
      <c r="VAW134" s="3"/>
      <c r="VAX134" s="3"/>
      <c r="VAY134" s="3"/>
      <c r="VAZ134" s="3"/>
      <c r="VBA134" s="3"/>
      <c r="VBB134" s="3"/>
      <c r="VBC134" s="3"/>
      <c r="VBD134" s="3"/>
      <c r="VBE134" s="3"/>
      <c r="VBF134" s="3"/>
      <c r="VBG134" s="3"/>
      <c r="VBH134" s="3"/>
      <c r="VBI134" s="3"/>
      <c r="VBJ134" s="3"/>
      <c r="VBK134" s="3"/>
      <c r="VBL134" s="3"/>
      <c r="VBM134" s="3"/>
      <c r="VBN134" s="3"/>
      <c r="VBO134" s="3"/>
      <c r="VBP134" s="3"/>
      <c r="VBQ134" s="3"/>
      <c r="VBR134" s="3"/>
      <c r="VBS134" s="3"/>
      <c r="VBT134" s="3"/>
      <c r="VBU134" s="3"/>
      <c r="VBV134" s="3"/>
      <c r="VBW134" s="3"/>
      <c r="VBX134" s="3"/>
      <c r="VBY134" s="3"/>
      <c r="VBZ134" s="3"/>
      <c r="VCA134" s="3"/>
      <c r="VCB134" s="3"/>
      <c r="VCC134" s="3"/>
      <c r="VCD134" s="3"/>
      <c r="VCE134" s="3"/>
      <c r="VCF134" s="3"/>
      <c r="VCG134" s="3"/>
      <c r="VCH134" s="3"/>
      <c r="VCI134" s="3"/>
      <c r="VCJ134" s="3"/>
      <c r="VCK134" s="3"/>
      <c r="VCL134" s="3"/>
      <c r="VCM134" s="3"/>
      <c r="VCN134" s="3"/>
      <c r="VCO134" s="3"/>
      <c r="VCP134" s="3"/>
      <c r="VCQ134" s="3"/>
      <c r="VCR134" s="3"/>
      <c r="VCS134" s="3"/>
      <c r="VCT134" s="3"/>
      <c r="VCU134" s="3"/>
      <c r="VCV134" s="3"/>
      <c r="VCW134" s="3"/>
      <c r="VCX134" s="3"/>
      <c r="VCY134" s="3"/>
      <c r="VCZ134" s="3"/>
      <c r="VDA134" s="3"/>
      <c r="VDB134" s="3"/>
      <c r="VDC134" s="3"/>
      <c r="VDD134" s="3"/>
      <c r="VDE134" s="3"/>
      <c r="VDF134" s="3"/>
      <c r="VDG134" s="3"/>
      <c r="VDH134" s="3"/>
      <c r="VDI134" s="3"/>
      <c r="VDJ134" s="3"/>
      <c r="VDK134" s="3"/>
      <c r="VDL134" s="3"/>
      <c r="VDM134" s="3"/>
      <c r="VDN134" s="3"/>
      <c r="VDO134" s="3"/>
      <c r="VDP134" s="3"/>
      <c r="VDQ134" s="3"/>
      <c r="VDR134" s="3"/>
      <c r="VDS134" s="3"/>
      <c r="VDT134" s="3"/>
      <c r="VDU134" s="3"/>
      <c r="VDV134" s="3"/>
      <c r="VDW134" s="3"/>
      <c r="VDX134" s="3"/>
      <c r="VDY134" s="3"/>
      <c r="VDZ134" s="3"/>
      <c r="VEA134" s="3"/>
      <c r="VEB134" s="3"/>
      <c r="VEC134" s="3"/>
      <c r="VED134" s="3"/>
      <c r="VEE134" s="3"/>
      <c r="VEF134" s="3"/>
      <c r="VEG134" s="3"/>
      <c r="VEH134" s="3"/>
      <c r="VEI134" s="3"/>
      <c r="VEJ134" s="3"/>
      <c r="VEK134" s="3"/>
      <c r="VEL134" s="3"/>
      <c r="VEM134" s="3"/>
      <c r="VEN134" s="3"/>
      <c r="VEO134" s="3"/>
      <c r="VEP134" s="3"/>
      <c r="VEQ134" s="3"/>
      <c r="VER134" s="3"/>
      <c r="VES134" s="3"/>
      <c r="VET134" s="3"/>
      <c r="VEU134" s="3"/>
      <c r="VEV134" s="3"/>
      <c r="VEW134" s="3"/>
      <c r="VEX134" s="3"/>
      <c r="VEY134" s="3"/>
      <c r="VEZ134" s="3"/>
      <c r="VFA134" s="3"/>
      <c r="VFB134" s="3"/>
      <c r="VFC134" s="3"/>
      <c r="VFD134" s="3"/>
      <c r="VFE134" s="3"/>
      <c r="VFF134" s="3"/>
      <c r="VFG134" s="3"/>
      <c r="VFH134" s="3"/>
      <c r="VFI134" s="3"/>
      <c r="VFJ134" s="3"/>
      <c r="VFK134" s="3"/>
      <c r="VFL134" s="3"/>
      <c r="VFM134" s="3"/>
      <c r="VFN134" s="3"/>
      <c r="VFO134" s="3"/>
      <c r="VFP134" s="3"/>
      <c r="VFQ134" s="3"/>
      <c r="VFR134" s="3"/>
      <c r="VFS134" s="3"/>
      <c r="VFT134" s="3"/>
      <c r="VFU134" s="3"/>
      <c r="VFV134" s="3"/>
      <c r="VFW134" s="3"/>
      <c r="VFX134" s="3"/>
      <c r="VFY134" s="3"/>
      <c r="VFZ134" s="3"/>
      <c r="VGA134" s="3"/>
      <c r="VGB134" s="3"/>
      <c r="VGC134" s="3"/>
      <c r="VGD134" s="3"/>
      <c r="VGE134" s="3"/>
      <c r="VGF134" s="3"/>
      <c r="VGG134" s="3"/>
      <c r="VGH134" s="3"/>
      <c r="VGI134" s="3"/>
      <c r="VGJ134" s="3"/>
      <c r="VGK134" s="3"/>
      <c r="VGL134" s="3"/>
      <c r="VGM134" s="3"/>
      <c r="VGN134" s="3"/>
      <c r="VGO134" s="3"/>
      <c r="VGP134" s="3"/>
      <c r="VGQ134" s="3"/>
      <c r="VGR134" s="3"/>
      <c r="VGS134" s="3"/>
      <c r="VGT134" s="3"/>
      <c r="VGU134" s="3"/>
      <c r="VGV134" s="3"/>
      <c r="VGW134" s="3"/>
      <c r="VGX134" s="3"/>
      <c r="VGY134" s="3"/>
      <c r="VGZ134" s="3"/>
      <c r="VHA134" s="3"/>
      <c r="VHB134" s="3"/>
      <c r="VHC134" s="3"/>
      <c r="VHD134" s="3"/>
      <c r="VHE134" s="3"/>
      <c r="VHF134" s="3"/>
      <c r="VHG134" s="3"/>
      <c r="VHH134" s="3"/>
      <c r="VHI134" s="3"/>
      <c r="VHJ134" s="3"/>
      <c r="VHK134" s="3"/>
      <c r="VHL134" s="3"/>
      <c r="VHM134"/>
      <c r="VHN134"/>
      <c r="VHO134"/>
      <c r="VHP134"/>
      <c r="VHQ134"/>
      <c r="VHR134"/>
      <c r="VHS134"/>
      <c r="VHT134"/>
      <c r="VHU134"/>
      <c r="VHV134"/>
      <c r="VHW134"/>
      <c r="VHX134"/>
      <c r="VHY134"/>
      <c r="VHZ134"/>
      <c r="VIA134"/>
      <c r="VIB134"/>
      <c r="VIC134"/>
      <c r="VID134"/>
      <c r="VIE134"/>
      <c r="VIF134"/>
      <c r="VIG134"/>
      <c r="VIH134"/>
      <c r="VII134"/>
      <c r="VIJ134"/>
      <c r="VIK134"/>
      <c r="VIL134"/>
      <c r="VIM134"/>
      <c r="VIN134"/>
      <c r="VIO134"/>
      <c r="VIP134"/>
      <c r="VIQ134"/>
      <c r="VIR134"/>
      <c r="VIS134"/>
      <c r="VIT134"/>
      <c r="VIU134"/>
      <c r="VIV134"/>
      <c r="VIW134"/>
      <c r="VIX134"/>
      <c r="VIY134"/>
      <c r="VIZ134"/>
      <c r="VJA134"/>
      <c r="VJB134"/>
      <c r="VJC134"/>
      <c r="VJD134"/>
      <c r="VJE134"/>
      <c r="VJF134"/>
      <c r="VJG134"/>
      <c r="VJH134"/>
      <c r="VJI134"/>
      <c r="VJJ134"/>
      <c r="VJK134"/>
      <c r="VJL134"/>
      <c r="VJM134"/>
      <c r="VJN134"/>
      <c r="VJO134"/>
      <c r="VJP134"/>
      <c r="VJQ134"/>
      <c r="VJR134"/>
      <c r="VJS134"/>
      <c r="VJT134"/>
      <c r="VJU134"/>
      <c r="VJV134"/>
      <c r="VJW134"/>
      <c r="VJX134"/>
      <c r="VJY134"/>
      <c r="VJZ134"/>
      <c r="VKA134"/>
      <c r="VKB134"/>
      <c r="VKC134"/>
      <c r="VKD134"/>
      <c r="VKE134"/>
      <c r="VKF134"/>
      <c r="VKG134"/>
      <c r="VKH134"/>
      <c r="VKI134"/>
      <c r="VKJ134"/>
      <c r="VKK134"/>
      <c r="VKL134"/>
      <c r="VKM134"/>
      <c r="VKN134"/>
      <c r="VKO134"/>
      <c r="VKP134"/>
      <c r="VKQ134"/>
      <c r="VKR134"/>
      <c r="VKS134"/>
      <c r="VKT134"/>
      <c r="VKU134"/>
      <c r="VKV134"/>
      <c r="VKW134"/>
      <c r="VKX134"/>
      <c r="VKY134"/>
      <c r="VKZ134"/>
      <c r="VLA134"/>
      <c r="VLB134"/>
      <c r="VLC134"/>
      <c r="VLD134"/>
      <c r="VLE134"/>
      <c r="VLF134"/>
      <c r="VLG134"/>
      <c r="VLH134"/>
      <c r="VLI134"/>
      <c r="VLJ134"/>
      <c r="VLK134"/>
      <c r="VLL134"/>
      <c r="VLM134"/>
      <c r="VLN134"/>
      <c r="VLO134"/>
      <c r="VLP134"/>
      <c r="VLQ134"/>
      <c r="VLR134"/>
      <c r="VLS134"/>
      <c r="VLT134"/>
      <c r="VLU134"/>
      <c r="VLV134"/>
      <c r="VLW134"/>
      <c r="VLX134"/>
      <c r="VLY134"/>
      <c r="VLZ134"/>
      <c r="VMA134"/>
      <c r="VMB134"/>
      <c r="VMC134"/>
      <c r="VMD134"/>
      <c r="VME134"/>
      <c r="VMF134"/>
      <c r="VMG134"/>
      <c r="VMH134"/>
      <c r="VMI134"/>
      <c r="VMJ134"/>
      <c r="VMK134"/>
      <c r="VML134"/>
      <c r="VMM134"/>
      <c r="VMN134"/>
      <c r="VMO134"/>
      <c r="VMP134"/>
      <c r="VMQ134"/>
      <c r="VMR134"/>
      <c r="VMS134"/>
      <c r="VMT134"/>
      <c r="VMU134"/>
      <c r="VMV134"/>
      <c r="VMW134"/>
      <c r="VMX134"/>
      <c r="VMY134"/>
      <c r="VMZ134"/>
      <c r="VNA134"/>
      <c r="VNB134"/>
      <c r="VNC134"/>
      <c r="VND134"/>
      <c r="VNE134"/>
      <c r="VNF134"/>
      <c r="VNG134"/>
      <c r="VNH134"/>
      <c r="VNI134"/>
      <c r="VNJ134"/>
      <c r="VNK134"/>
      <c r="VNL134"/>
      <c r="VNM134"/>
      <c r="VNN134"/>
      <c r="VNO134"/>
      <c r="VNP134"/>
      <c r="VNQ134"/>
      <c r="VNR134"/>
      <c r="VNS134"/>
      <c r="VNT134"/>
      <c r="VNU134"/>
      <c r="VNV134"/>
      <c r="VNW134"/>
      <c r="VNX134"/>
      <c r="VNY134"/>
      <c r="VNZ134"/>
      <c r="VOA134"/>
      <c r="VOB134"/>
      <c r="VOC134"/>
      <c r="VOD134"/>
      <c r="VOE134"/>
      <c r="VOF134"/>
      <c r="VOG134"/>
      <c r="VOH134"/>
      <c r="VOI134"/>
      <c r="VOJ134"/>
      <c r="VOK134"/>
      <c r="VOL134"/>
      <c r="VOM134"/>
      <c r="VON134"/>
      <c r="VOO134"/>
      <c r="VOP134"/>
      <c r="VOQ134"/>
      <c r="VOR134"/>
      <c r="VOS134"/>
      <c r="VOT134"/>
      <c r="VOU134"/>
      <c r="VOV134"/>
      <c r="VOW134"/>
      <c r="VOX134"/>
      <c r="VOY134"/>
      <c r="VOZ134"/>
      <c r="VPA134"/>
      <c r="VPB134"/>
      <c r="VPC134"/>
      <c r="VPD134"/>
      <c r="VPE134"/>
      <c r="VPF134"/>
      <c r="VPG134"/>
      <c r="VPH134"/>
      <c r="VPI134"/>
      <c r="VPJ134"/>
      <c r="VPK134"/>
      <c r="VPL134"/>
      <c r="VPM134"/>
      <c r="VPN134"/>
      <c r="VPO134"/>
      <c r="VPP134"/>
      <c r="VPQ134"/>
      <c r="VPR134"/>
      <c r="VPS134"/>
      <c r="VPT134"/>
      <c r="VPU134"/>
      <c r="VPV134"/>
      <c r="VPW134"/>
      <c r="VPX134"/>
      <c r="VPY134"/>
      <c r="VPZ134"/>
      <c r="VQA134"/>
      <c r="VQB134"/>
      <c r="VQC134"/>
      <c r="VQD134"/>
      <c r="VQE134"/>
      <c r="VQF134"/>
      <c r="VQG134"/>
      <c r="VQH134"/>
      <c r="VQI134"/>
      <c r="VQJ134"/>
      <c r="VQK134"/>
      <c r="VQL134"/>
      <c r="VQM134"/>
      <c r="VQN134"/>
      <c r="VQO134"/>
      <c r="VQP134"/>
      <c r="VQQ134"/>
      <c r="VQR134"/>
      <c r="VQS134"/>
      <c r="VQT134"/>
      <c r="VQU134"/>
      <c r="VQV134"/>
      <c r="VQW134"/>
      <c r="VQX134"/>
      <c r="VQY134"/>
      <c r="VQZ134"/>
      <c r="VRA134"/>
      <c r="VRB134"/>
      <c r="VRC134"/>
      <c r="VRD134"/>
      <c r="VRE134"/>
      <c r="VRF134"/>
      <c r="VRG134"/>
      <c r="VRH134"/>
      <c r="VRI134"/>
      <c r="VRJ134"/>
      <c r="VRK134"/>
      <c r="VRL134"/>
      <c r="VRM134"/>
      <c r="VRN134"/>
      <c r="VRO134"/>
      <c r="VRP134"/>
      <c r="VRQ134"/>
      <c r="VRR134"/>
      <c r="VRS134"/>
      <c r="VRT134"/>
      <c r="VRU134"/>
      <c r="VRV134"/>
      <c r="VRW134"/>
      <c r="VRX134"/>
      <c r="VRY134"/>
      <c r="VRZ134"/>
      <c r="VSA134"/>
      <c r="VSB134"/>
      <c r="VSC134"/>
      <c r="VSD134"/>
      <c r="VSE134"/>
      <c r="VSF134"/>
      <c r="VSG134"/>
      <c r="VSH134"/>
      <c r="VSI134"/>
      <c r="VSJ134"/>
      <c r="VSK134"/>
      <c r="VSL134"/>
      <c r="VSM134"/>
      <c r="VSN134"/>
      <c r="VSO134"/>
      <c r="VSP134"/>
      <c r="VSQ134"/>
      <c r="VSR134"/>
      <c r="VSS134"/>
      <c r="VST134"/>
      <c r="VSU134"/>
      <c r="VSV134"/>
      <c r="VSW134"/>
      <c r="VSX134"/>
      <c r="VSY134"/>
      <c r="VSZ134"/>
      <c r="VTA134"/>
      <c r="VTB134"/>
      <c r="VTC134"/>
      <c r="VTD134"/>
      <c r="VTE134"/>
      <c r="VTF134"/>
      <c r="VTG134"/>
      <c r="VTH134"/>
      <c r="VTI134"/>
      <c r="VTJ134"/>
      <c r="VTK134"/>
      <c r="VTL134"/>
      <c r="VTM134"/>
      <c r="VTN134"/>
      <c r="VTO134"/>
      <c r="VTP134"/>
      <c r="VTQ134"/>
      <c r="VTR134"/>
      <c r="VTS134"/>
      <c r="VTT134"/>
      <c r="VTU134"/>
      <c r="VTV134"/>
      <c r="VTW134"/>
      <c r="VTX134"/>
      <c r="VTY134"/>
      <c r="VTZ134"/>
      <c r="VUA134"/>
      <c r="VUB134"/>
      <c r="VUC134"/>
      <c r="VUD134"/>
      <c r="VUE134"/>
      <c r="VUF134"/>
      <c r="VUG134"/>
      <c r="VUH134"/>
      <c r="VUI134"/>
      <c r="VUJ134"/>
      <c r="VUK134"/>
      <c r="VUL134"/>
      <c r="VUM134"/>
      <c r="VUN134"/>
      <c r="VUO134"/>
      <c r="VUP134"/>
      <c r="VUQ134"/>
      <c r="VUR134"/>
      <c r="VUS134"/>
      <c r="VUT134"/>
      <c r="VUU134"/>
      <c r="VUV134"/>
      <c r="VUW134"/>
      <c r="VUX134"/>
      <c r="VUY134"/>
      <c r="VUZ134"/>
      <c r="VVA134"/>
      <c r="VVB134"/>
      <c r="VVC134"/>
      <c r="VVD134"/>
      <c r="VVE134"/>
      <c r="VVF134"/>
      <c r="VVG134"/>
      <c r="VVH134"/>
      <c r="VVI134"/>
      <c r="VVJ134"/>
      <c r="VVK134"/>
      <c r="VVL134"/>
      <c r="VVM134"/>
      <c r="VVN134"/>
      <c r="VVO134"/>
      <c r="VVP134"/>
      <c r="VVQ134"/>
      <c r="VVR134"/>
      <c r="VVS134"/>
      <c r="VVT134"/>
      <c r="VVU134"/>
      <c r="VVV134"/>
      <c r="VVW134"/>
      <c r="VVX134"/>
      <c r="VVY134"/>
      <c r="VVZ134"/>
      <c r="VWA134"/>
      <c r="VWB134"/>
      <c r="VWC134"/>
      <c r="VWD134"/>
      <c r="VWE134"/>
      <c r="VWF134"/>
      <c r="VWG134"/>
      <c r="VWH134"/>
      <c r="VWI134"/>
      <c r="VWJ134"/>
      <c r="VWK134"/>
      <c r="VWL134"/>
      <c r="VWM134"/>
      <c r="VWN134"/>
      <c r="VWO134"/>
    </row>
    <row r="135" spans="1:15485" s="1" customFormat="1" ht="14.25" hidden="1">
      <c r="B135" s="75"/>
      <c r="C135" s="238" t="s">
        <v>68</v>
      </c>
      <c r="D135" s="79"/>
      <c r="E135" s="75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125"/>
      <c r="AL135" s="173" t="s">
        <v>68</v>
      </c>
      <c r="AN135" s="126"/>
    </row>
    <row r="136" spans="1:15485" s="1" customFormat="1" ht="14.25" hidden="1">
      <c r="B136" s="75"/>
      <c r="C136" s="157" t="s">
        <v>136</v>
      </c>
      <c r="D136" s="79"/>
      <c r="E136" s="239" t="s">
        <v>70</v>
      </c>
      <c r="F136" s="64">
        <v>0</v>
      </c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125"/>
      <c r="AL136" s="175">
        <f t="shared" ref="AL136:AL137" si="94">SUM(F136:AJ136)</f>
        <v>0</v>
      </c>
      <c r="AN136" s="126"/>
    </row>
    <row r="137" spans="1:15485" s="1" customFormat="1" ht="14.25" hidden="1">
      <c r="B137" s="75"/>
      <c r="C137" s="157" t="s">
        <v>137</v>
      </c>
      <c r="D137" s="79"/>
      <c r="E137" s="239" t="s">
        <v>70</v>
      </c>
      <c r="F137" s="64">
        <v>0</v>
      </c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125"/>
      <c r="AL137" s="175">
        <f t="shared" si="94"/>
        <v>0</v>
      </c>
      <c r="AN137" s="126"/>
    </row>
    <row r="138" spans="1:15485" s="1" customFormat="1" ht="14.25" hidden="1">
      <c r="B138" s="75"/>
      <c r="C138" s="238" t="s">
        <v>72</v>
      </c>
      <c r="D138" s="79"/>
      <c r="E138" s="75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125"/>
      <c r="AL138" s="173" t="s">
        <v>72</v>
      </c>
      <c r="AN138" s="126"/>
    </row>
    <row r="139" spans="1:15485" s="1" customFormat="1" ht="14.25" hidden="1">
      <c r="B139" s="75"/>
      <c r="C139" s="157" t="s">
        <v>136</v>
      </c>
      <c r="D139" s="79"/>
      <c r="E139" s="239" t="s">
        <v>72</v>
      </c>
      <c r="F139" s="64">
        <v>0</v>
      </c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125"/>
      <c r="AL139" s="175">
        <f t="shared" ref="AL139:AL140" si="95">SUM(F139:AJ139)</f>
        <v>0</v>
      </c>
      <c r="AN139" s="126"/>
    </row>
    <row r="140" spans="1:15485" s="1" customFormat="1" ht="14.25" hidden="1">
      <c r="B140" s="75"/>
      <c r="C140" s="157" t="s">
        <v>137</v>
      </c>
      <c r="D140" s="79"/>
      <c r="E140" s="239" t="s">
        <v>72</v>
      </c>
      <c r="F140" s="64">
        <v>0</v>
      </c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125"/>
      <c r="AL140" s="175">
        <f t="shared" si="95"/>
        <v>0</v>
      </c>
      <c r="AN140" s="126"/>
    </row>
    <row r="141" spans="1:15485" s="1" customFormat="1" hidden="1">
      <c r="A141" s="3"/>
      <c r="B141" s="61"/>
      <c r="C141" s="40" t="s">
        <v>79</v>
      </c>
      <c r="D141" s="59"/>
      <c r="E141" s="59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111"/>
      <c r="AD141" s="60"/>
      <c r="AE141" s="60"/>
      <c r="AF141" s="60"/>
      <c r="AG141" s="60"/>
      <c r="AH141" s="111"/>
      <c r="AI141" s="111"/>
      <c r="AJ141" s="111"/>
      <c r="AK141" s="115"/>
      <c r="AL141" s="223" t="s">
        <v>78</v>
      </c>
      <c r="AM141" s="3"/>
      <c r="AN141" s="3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  <c r="AAA141" s="3"/>
      <c r="AAB141" s="3"/>
      <c r="AAC141" s="3"/>
      <c r="AAD141" s="3"/>
      <c r="AAE141" s="3"/>
      <c r="AAF141" s="3"/>
      <c r="AAG141" s="3"/>
      <c r="AAH141" s="3"/>
      <c r="AAI141" s="3"/>
      <c r="AAJ141" s="3"/>
      <c r="AAK141" s="3"/>
      <c r="AAL141" s="3"/>
      <c r="AAM141" s="3"/>
      <c r="AAN141" s="3"/>
      <c r="AAO141" s="3"/>
      <c r="AAP141" s="3"/>
      <c r="AAQ141" s="3"/>
      <c r="AAR141" s="3"/>
      <c r="AAS141" s="3"/>
      <c r="AAT141" s="3"/>
      <c r="AAU141" s="3"/>
      <c r="AAV141" s="3"/>
      <c r="AAW141" s="3"/>
      <c r="AAX141" s="3"/>
      <c r="AAY141" s="3"/>
      <c r="AAZ141" s="3"/>
      <c r="ABA141" s="3"/>
      <c r="ABB141" s="3"/>
      <c r="ABC141" s="3"/>
      <c r="ABD141" s="3"/>
      <c r="ABE141" s="3"/>
      <c r="ABF141" s="3"/>
      <c r="ABG141" s="3"/>
      <c r="ABH141" s="3"/>
      <c r="ABI141" s="3"/>
      <c r="ABJ141" s="3"/>
      <c r="ABK141" s="3"/>
      <c r="ABL141" s="3"/>
      <c r="ABM141" s="3"/>
      <c r="ABN141" s="3"/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  <c r="AQK141" s="3"/>
      <c r="AQL141" s="3"/>
      <c r="AQM141" s="3"/>
      <c r="AQN141" s="3"/>
      <c r="AQO141" s="3"/>
      <c r="AQP141" s="3"/>
      <c r="AQQ141" s="3"/>
      <c r="AQR141" s="3"/>
      <c r="AQS141" s="3"/>
      <c r="AQT141" s="3"/>
      <c r="AQU141" s="3"/>
      <c r="AQV141" s="3"/>
      <c r="AQW141" s="3"/>
      <c r="AQX141" s="3"/>
      <c r="AQY141" s="3"/>
      <c r="AQZ141" s="3"/>
      <c r="ARA141" s="3"/>
      <c r="ARB141" s="3"/>
      <c r="ARC141" s="3"/>
      <c r="ARD141" s="3"/>
      <c r="ARE141" s="3"/>
      <c r="ARF141" s="3"/>
      <c r="ARG141" s="3"/>
      <c r="ARH141" s="3"/>
      <c r="ARI141" s="3"/>
      <c r="ARJ141" s="3"/>
      <c r="ARK141" s="3"/>
      <c r="ARL141" s="3"/>
      <c r="ARM141" s="3"/>
      <c r="ARN141" s="3"/>
      <c r="ARO141" s="3"/>
      <c r="ARP141" s="3"/>
      <c r="ARQ141" s="3"/>
      <c r="ARR141" s="3"/>
      <c r="ARS141" s="3"/>
      <c r="ART141" s="3"/>
      <c r="ARU141" s="3"/>
      <c r="ARV141" s="3"/>
      <c r="ARW141" s="3"/>
      <c r="ARX141" s="3"/>
      <c r="ARY141" s="3"/>
      <c r="ARZ141" s="3"/>
      <c r="ASA141" s="3"/>
      <c r="ASB141" s="3"/>
      <c r="ASC141" s="3"/>
      <c r="ASD141" s="3"/>
      <c r="ASE141" s="3"/>
      <c r="ASF141" s="3"/>
      <c r="ASG141" s="3"/>
      <c r="ASH141" s="3"/>
      <c r="ASI141" s="3"/>
      <c r="ASJ141" s="3"/>
      <c r="ASK141" s="3"/>
      <c r="ASL141" s="3"/>
      <c r="ASM141" s="3"/>
      <c r="ASN141" s="3"/>
      <c r="ASO141" s="3"/>
      <c r="ASP141" s="3"/>
      <c r="ASQ141" s="3"/>
      <c r="ASR141" s="3"/>
      <c r="ASS141" s="3"/>
      <c r="AST141" s="3"/>
      <c r="ASU141" s="3"/>
      <c r="ASV141" s="3"/>
      <c r="ASW141" s="3"/>
      <c r="ASX141" s="3"/>
      <c r="ASY141" s="3"/>
      <c r="ASZ141" s="3"/>
      <c r="ATA141" s="3"/>
      <c r="ATB141" s="3"/>
      <c r="ATC141" s="3"/>
      <c r="ATD141" s="3"/>
      <c r="ATE141" s="3"/>
      <c r="ATF141" s="3"/>
      <c r="ATG141" s="3"/>
      <c r="ATH141" s="3"/>
      <c r="ATI141" s="3"/>
      <c r="ATJ141" s="3"/>
      <c r="ATK141" s="3"/>
      <c r="ATL141" s="3"/>
      <c r="ATM141" s="3"/>
      <c r="ATN141" s="3"/>
      <c r="ATO141" s="3"/>
      <c r="ATP141" s="3"/>
      <c r="ATQ141" s="3"/>
      <c r="ATR141" s="3"/>
      <c r="ATS141" s="3"/>
      <c r="ATT141" s="3"/>
      <c r="ATU141" s="3"/>
      <c r="ATV141" s="3"/>
      <c r="ATW141" s="3"/>
      <c r="ATX141" s="3"/>
      <c r="ATY141" s="3"/>
      <c r="ATZ141" s="3"/>
      <c r="AUA141" s="3"/>
      <c r="AUB141" s="3"/>
      <c r="AUC141" s="3"/>
      <c r="AUD141" s="3"/>
      <c r="AUE141" s="3"/>
      <c r="AUF141" s="3"/>
      <c r="AUG141" s="3"/>
      <c r="AUH141" s="3"/>
      <c r="AUI141" s="3"/>
      <c r="AUJ141" s="3"/>
      <c r="AUK141" s="3"/>
      <c r="AUL141" s="3"/>
      <c r="AUM141" s="3"/>
      <c r="AUN141" s="3"/>
      <c r="AUO141" s="3"/>
      <c r="AUP141" s="3"/>
      <c r="AUQ141" s="3"/>
      <c r="AUR141" s="3"/>
      <c r="AUS141" s="3"/>
      <c r="AUT141" s="3"/>
      <c r="AUU141" s="3"/>
      <c r="AUV141" s="3"/>
      <c r="AUW141" s="3"/>
      <c r="AUX141" s="3"/>
      <c r="AUY141" s="3"/>
      <c r="AUZ141" s="3"/>
      <c r="AVA141" s="3"/>
      <c r="AVB141" s="3"/>
      <c r="AVC141" s="3"/>
      <c r="AVD141" s="3"/>
      <c r="AVE141" s="3"/>
      <c r="AVF141" s="3"/>
      <c r="AVG141" s="3"/>
      <c r="AVH141" s="3"/>
      <c r="AVI141" s="3"/>
      <c r="AVJ141" s="3"/>
      <c r="AVK141" s="3"/>
      <c r="AVL141" s="3"/>
      <c r="AVM141" s="3"/>
      <c r="AVN141" s="3"/>
      <c r="AVO141" s="3"/>
      <c r="AVP141" s="3"/>
      <c r="AVQ141" s="3"/>
      <c r="AVR141" s="3"/>
      <c r="AVS141" s="3"/>
      <c r="AVT141" s="3"/>
      <c r="AVU141" s="3"/>
      <c r="AVV141" s="3"/>
      <c r="AVW141" s="3"/>
      <c r="AVX141" s="3"/>
      <c r="AVY141" s="3"/>
      <c r="AVZ141" s="3"/>
      <c r="AWA141" s="3"/>
      <c r="AWB141" s="3"/>
      <c r="AWC141" s="3"/>
      <c r="AWD141" s="3"/>
      <c r="AWE141" s="3"/>
      <c r="AWF141" s="3"/>
      <c r="AWG141" s="3"/>
      <c r="AWH141" s="3"/>
      <c r="AWI141" s="3"/>
      <c r="AWJ141" s="3"/>
      <c r="AWK141" s="3"/>
      <c r="AWL141" s="3"/>
      <c r="AWM141" s="3"/>
      <c r="AWN141" s="3"/>
      <c r="AWO141" s="3"/>
      <c r="AWP141" s="3"/>
      <c r="AWQ141" s="3"/>
      <c r="AWR141" s="3"/>
      <c r="AWS141" s="3"/>
      <c r="AWT141" s="3"/>
      <c r="AWU141" s="3"/>
      <c r="AWV141" s="3"/>
      <c r="AWW141" s="3"/>
      <c r="AWX141" s="3"/>
      <c r="AWY141" s="3"/>
      <c r="AWZ141" s="3"/>
      <c r="AXA141" s="3"/>
      <c r="AXB141" s="3"/>
      <c r="AXC141" s="3"/>
      <c r="AXD141" s="3"/>
      <c r="AXE141" s="3"/>
      <c r="AXF141" s="3"/>
      <c r="AXG141" s="3"/>
      <c r="AXH141" s="3"/>
      <c r="AXI141" s="3"/>
      <c r="AXJ141" s="3"/>
      <c r="AXK141" s="3"/>
      <c r="AXL141" s="3"/>
      <c r="AXM141" s="3"/>
      <c r="AXN141" s="3"/>
      <c r="AXO141" s="3"/>
      <c r="AXP141" s="3"/>
      <c r="AXQ141" s="3"/>
      <c r="AXR141" s="3"/>
      <c r="AXS141" s="3"/>
      <c r="AXT141" s="3"/>
      <c r="AXU141" s="3"/>
      <c r="AXV141" s="3"/>
      <c r="AXW141" s="3"/>
      <c r="AXX141" s="3"/>
      <c r="AXY141" s="3"/>
      <c r="AXZ141" s="3"/>
      <c r="AYA141" s="3"/>
      <c r="AYB141" s="3"/>
      <c r="AYC141" s="3"/>
      <c r="AYD141" s="3"/>
      <c r="AYE141" s="3"/>
      <c r="AYF141" s="3"/>
      <c r="AYG141" s="3"/>
      <c r="AYH141" s="3"/>
      <c r="AYI141" s="3"/>
      <c r="AYJ141" s="3"/>
      <c r="AYK141" s="3"/>
      <c r="AYL141" s="3"/>
      <c r="AYM141" s="3"/>
      <c r="AYN141" s="3"/>
      <c r="AYO141" s="3"/>
      <c r="AYP141" s="3"/>
      <c r="AYQ141" s="3"/>
      <c r="AYR141" s="3"/>
      <c r="AYS141" s="3"/>
      <c r="AYT141" s="3"/>
      <c r="AYU141" s="3"/>
      <c r="AYV141" s="3"/>
      <c r="AYW141" s="3"/>
      <c r="AYX141" s="3"/>
      <c r="AYY141" s="3"/>
      <c r="AYZ141" s="3"/>
      <c r="AZA141" s="3"/>
      <c r="AZB141" s="3"/>
      <c r="AZC141" s="3"/>
      <c r="AZD141" s="3"/>
      <c r="AZE141" s="3"/>
      <c r="AZF141" s="3"/>
      <c r="AZG141" s="3"/>
      <c r="AZH141" s="3"/>
      <c r="AZI141" s="3"/>
      <c r="AZJ141" s="3"/>
      <c r="AZK141" s="3"/>
      <c r="AZL141" s="3"/>
      <c r="AZM141" s="3"/>
      <c r="AZN141" s="3"/>
      <c r="AZO141" s="3"/>
      <c r="AZP141" s="3"/>
      <c r="AZQ141" s="3"/>
      <c r="AZR141" s="3"/>
      <c r="AZS141" s="3"/>
      <c r="AZT141" s="3"/>
      <c r="AZU141" s="3"/>
      <c r="AZV141" s="3"/>
      <c r="AZW141" s="3"/>
      <c r="AZX141" s="3"/>
      <c r="AZY141" s="3"/>
      <c r="AZZ141" s="3"/>
      <c r="BAA141" s="3"/>
      <c r="BAB141" s="3"/>
      <c r="BAC141" s="3"/>
      <c r="BAD141" s="3"/>
      <c r="BAE141" s="3"/>
      <c r="BAF141" s="3"/>
      <c r="BAG141" s="3"/>
      <c r="BAH141" s="3"/>
      <c r="BAI141" s="3"/>
      <c r="BAJ141" s="3"/>
      <c r="BAK141" s="3"/>
      <c r="BAL141" s="3"/>
      <c r="BAM141" s="3"/>
      <c r="BAN141" s="3"/>
      <c r="BAO141" s="3"/>
      <c r="BAP141" s="3"/>
      <c r="BAQ141" s="3"/>
      <c r="BAR141" s="3"/>
      <c r="BAS141" s="3"/>
      <c r="BAT141" s="3"/>
      <c r="BAU141" s="3"/>
      <c r="BAV141" s="3"/>
      <c r="BAW141" s="3"/>
      <c r="BAX141" s="3"/>
      <c r="BAY141" s="3"/>
      <c r="BAZ141" s="3"/>
      <c r="BBA141" s="3"/>
      <c r="BBB141" s="3"/>
      <c r="BBC141" s="3"/>
      <c r="BBD141" s="3"/>
      <c r="BBE141" s="3"/>
      <c r="BBF141" s="3"/>
      <c r="BBG141" s="3"/>
      <c r="BBH141" s="3"/>
      <c r="BBI141" s="3"/>
      <c r="BBJ141" s="3"/>
      <c r="BBK141" s="3"/>
      <c r="BBL141" s="3"/>
      <c r="BBM141" s="3"/>
      <c r="BBN141" s="3"/>
      <c r="BBO141" s="3"/>
      <c r="BBP141" s="3"/>
      <c r="BBQ141" s="3"/>
      <c r="BBR141" s="3"/>
      <c r="BBS141" s="3"/>
      <c r="BBT141" s="3"/>
      <c r="BBU141" s="3"/>
      <c r="BBV141" s="3"/>
      <c r="BBW141" s="3"/>
      <c r="BBX141" s="3"/>
      <c r="BBY141" s="3"/>
      <c r="BBZ141" s="3"/>
      <c r="BCA141" s="3"/>
      <c r="BCB141" s="3"/>
      <c r="BCC141" s="3"/>
      <c r="BCD141" s="3"/>
      <c r="BCE141" s="3"/>
      <c r="BCF141" s="3"/>
      <c r="BCG141" s="3"/>
      <c r="BCH141" s="3"/>
      <c r="BCI141" s="3"/>
      <c r="BCJ141" s="3"/>
      <c r="BCK141" s="3"/>
      <c r="BCL141" s="3"/>
      <c r="BCM141" s="3"/>
      <c r="BCN141" s="3"/>
      <c r="BCO141" s="3"/>
      <c r="BCP141" s="3"/>
      <c r="BCQ141" s="3"/>
      <c r="BCR141" s="3"/>
      <c r="BCS141" s="3"/>
      <c r="BCT141" s="3"/>
      <c r="BCU141" s="3"/>
      <c r="BCV141" s="3"/>
      <c r="BCW141" s="3"/>
      <c r="BCX141" s="3"/>
      <c r="BCY141" s="3"/>
      <c r="BCZ141" s="3"/>
      <c r="BDA141" s="3"/>
      <c r="BDB141" s="3"/>
      <c r="BDC141" s="3"/>
      <c r="BDD141" s="3"/>
      <c r="BDE141" s="3"/>
      <c r="BDF141" s="3"/>
      <c r="BDG141" s="3"/>
      <c r="BDH141" s="3"/>
      <c r="BDI141" s="3"/>
      <c r="BDJ141" s="3"/>
      <c r="BDK141" s="3"/>
      <c r="BDL141" s="3"/>
      <c r="BDM141" s="3"/>
      <c r="BDN141" s="3"/>
      <c r="BDO141" s="3"/>
      <c r="BDP141" s="3"/>
      <c r="BDQ141" s="3"/>
      <c r="BDR141" s="3"/>
      <c r="BDS141" s="3"/>
      <c r="BDT141" s="3"/>
      <c r="BDU141" s="3"/>
      <c r="BDV141" s="3"/>
      <c r="BDW141" s="3"/>
      <c r="BDX141" s="3"/>
      <c r="BDY141" s="3"/>
      <c r="BDZ141" s="3"/>
      <c r="BEA141" s="3"/>
      <c r="BEB141" s="3"/>
      <c r="BEC141" s="3"/>
      <c r="BED141" s="3"/>
      <c r="BEE141" s="3"/>
      <c r="BEF141" s="3"/>
      <c r="BEG141" s="3"/>
      <c r="BEH141" s="3"/>
      <c r="BEI141" s="3"/>
      <c r="BEJ141" s="3"/>
      <c r="BEK141" s="3"/>
      <c r="BEL141" s="3"/>
      <c r="BEM141" s="3"/>
      <c r="BEN141" s="3"/>
      <c r="BEO141" s="3"/>
      <c r="BEP141" s="3"/>
      <c r="BEQ141" s="3"/>
      <c r="BER141" s="3"/>
      <c r="BES141" s="3"/>
      <c r="BET141" s="3"/>
      <c r="BEU141" s="3"/>
      <c r="BEV141" s="3"/>
      <c r="BEW141" s="3"/>
      <c r="BEX141" s="3"/>
      <c r="BEY141" s="3"/>
      <c r="BEZ141" s="3"/>
      <c r="BFA141" s="3"/>
      <c r="BFB141" s="3"/>
      <c r="BFC141" s="3"/>
      <c r="BFD141" s="3"/>
      <c r="BFE141" s="3"/>
      <c r="BFF141" s="3"/>
      <c r="BFG141" s="3"/>
      <c r="BFH141" s="3"/>
      <c r="BFI141" s="3"/>
      <c r="BFJ141" s="3"/>
      <c r="BFK141" s="3"/>
      <c r="BFL141" s="3"/>
      <c r="BFM141" s="3"/>
      <c r="BFN141" s="3"/>
      <c r="BFO141" s="3"/>
      <c r="BFP141" s="3"/>
      <c r="BFQ141" s="3"/>
      <c r="BFR141" s="3"/>
      <c r="BFS141" s="3"/>
      <c r="BFT141" s="3"/>
      <c r="BFU141" s="3"/>
      <c r="BFV141" s="3"/>
      <c r="BFW141" s="3"/>
      <c r="BFX141" s="3"/>
      <c r="BFY141" s="3"/>
      <c r="BFZ141" s="3"/>
      <c r="BGA141" s="3"/>
      <c r="BGB141" s="3"/>
      <c r="BGC141" s="3"/>
      <c r="BGD141" s="3"/>
      <c r="BGE141" s="3"/>
      <c r="BGF141" s="3"/>
      <c r="BGG141" s="3"/>
      <c r="BGH141" s="3"/>
      <c r="BGI141" s="3"/>
      <c r="BGJ141" s="3"/>
      <c r="BGK141" s="3"/>
      <c r="BGL141" s="3"/>
      <c r="BGM141" s="3"/>
      <c r="BGN141" s="3"/>
      <c r="BGO141" s="3"/>
      <c r="BGP141" s="3"/>
      <c r="BGQ141" s="3"/>
      <c r="BGR141" s="3"/>
      <c r="BGS141" s="3"/>
      <c r="BGT141" s="3"/>
      <c r="BGU141" s="3"/>
      <c r="BGV141" s="3"/>
      <c r="BGW141" s="3"/>
      <c r="BGX141" s="3"/>
      <c r="BGY141" s="3"/>
      <c r="BGZ141" s="3"/>
      <c r="BHA141" s="3"/>
      <c r="BHB141" s="3"/>
      <c r="BHC141" s="3"/>
      <c r="BHD141" s="3"/>
      <c r="BHE141" s="3"/>
      <c r="BHF141" s="3"/>
      <c r="BHG141" s="3"/>
      <c r="BHH141" s="3"/>
      <c r="BHI141" s="3"/>
      <c r="BHJ141" s="3"/>
      <c r="BHK141" s="3"/>
      <c r="BHL141" s="3"/>
      <c r="BHM141" s="3"/>
      <c r="BHN141" s="3"/>
      <c r="BHO141" s="3"/>
      <c r="BHP141" s="3"/>
      <c r="BHQ141" s="3"/>
      <c r="BHR141" s="3"/>
      <c r="BHS141" s="3"/>
      <c r="BHT141" s="3"/>
      <c r="BHU141" s="3"/>
      <c r="BHV141" s="3"/>
      <c r="BHW141" s="3"/>
      <c r="BHX141" s="3"/>
      <c r="BHY141" s="3"/>
      <c r="BHZ141" s="3"/>
      <c r="BIA141" s="3"/>
      <c r="BIB141" s="3"/>
      <c r="BIC141" s="3"/>
      <c r="BID141" s="3"/>
      <c r="BIE141" s="3"/>
      <c r="BIF141" s="3"/>
      <c r="BIG141" s="3"/>
      <c r="BIH141" s="3"/>
      <c r="BII141" s="3"/>
      <c r="BIJ141" s="3"/>
      <c r="BIK141" s="3"/>
      <c r="BIL141" s="3"/>
      <c r="BIM141" s="3"/>
      <c r="BIN141" s="3"/>
      <c r="BIO141" s="3"/>
      <c r="BIP141" s="3"/>
      <c r="BIQ141" s="3"/>
      <c r="BIR141" s="3"/>
      <c r="BIS141" s="3"/>
      <c r="BIT141" s="3"/>
      <c r="BIU141" s="3"/>
      <c r="BIV141" s="3"/>
      <c r="BIW141" s="3"/>
      <c r="BIX141" s="3"/>
      <c r="BIY141" s="3"/>
      <c r="BIZ141" s="3"/>
      <c r="BJA141" s="3"/>
      <c r="BJB141" s="3"/>
      <c r="BJC141" s="3"/>
      <c r="BJD141" s="3"/>
      <c r="BJE141" s="3"/>
      <c r="BJF141" s="3"/>
      <c r="BJG141" s="3"/>
      <c r="BJH141" s="3"/>
      <c r="BJI141" s="3"/>
      <c r="BJJ141" s="3"/>
      <c r="BJK141" s="3"/>
      <c r="BJL141" s="3"/>
      <c r="BJM141" s="3"/>
      <c r="BJN141" s="3"/>
      <c r="BJO141" s="3"/>
      <c r="BJP141" s="3"/>
      <c r="BJQ141" s="3"/>
      <c r="BJR141" s="3"/>
      <c r="BJS141" s="3"/>
      <c r="BJT141" s="3"/>
      <c r="BJU141" s="3"/>
      <c r="BJV141" s="3"/>
      <c r="BJW141" s="3"/>
      <c r="BJX141" s="3"/>
      <c r="BJY141" s="3"/>
      <c r="BJZ141" s="3"/>
      <c r="BKA141" s="3"/>
      <c r="BKB141" s="3"/>
      <c r="BKC141" s="3"/>
      <c r="BKD141" s="3"/>
      <c r="BKE141" s="3"/>
      <c r="BKF141" s="3"/>
      <c r="BKG141" s="3"/>
      <c r="BKH141" s="3"/>
      <c r="BKI141" s="3"/>
      <c r="BKJ141" s="3"/>
      <c r="BKK141" s="3"/>
      <c r="BKL141" s="3"/>
      <c r="BKM141" s="3"/>
      <c r="BKN141" s="3"/>
      <c r="BKO141" s="3"/>
      <c r="BKP141" s="3"/>
      <c r="BKQ141" s="3"/>
      <c r="BKR141" s="3"/>
      <c r="BKS141" s="3"/>
      <c r="BKT141" s="3"/>
      <c r="BKU141" s="3"/>
      <c r="BKV141" s="3"/>
      <c r="BKW141" s="3"/>
      <c r="BKX141" s="3"/>
      <c r="BKY141" s="3"/>
      <c r="BKZ141" s="3"/>
      <c r="BLA141" s="3"/>
      <c r="BLB141" s="3"/>
      <c r="BLC141" s="3"/>
      <c r="BLD141" s="3"/>
      <c r="BLE141" s="3"/>
      <c r="BLF141" s="3"/>
      <c r="BLG141" s="3"/>
      <c r="BLH141" s="3"/>
      <c r="BLI141" s="3"/>
      <c r="BLJ141" s="3"/>
      <c r="BLK141" s="3"/>
      <c r="BLL141" s="3"/>
      <c r="BLM141" s="3"/>
      <c r="BLN141" s="3"/>
      <c r="BLO141" s="3"/>
      <c r="BLP141" s="3"/>
      <c r="BLQ141" s="3"/>
      <c r="BLR141" s="3"/>
      <c r="BLS141" s="3"/>
      <c r="BLT141" s="3"/>
      <c r="BLU141" s="3"/>
      <c r="BLV141" s="3"/>
      <c r="BLW141" s="3"/>
      <c r="BLX141" s="3"/>
      <c r="BLY141" s="3"/>
      <c r="BLZ141" s="3"/>
      <c r="BMA141" s="3"/>
      <c r="BMB141" s="3"/>
      <c r="BMC141" s="3"/>
      <c r="BMD141" s="3"/>
      <c r="BME141" s="3"/>
      <c r="BMF141" s="3"/>
      <c r="BMG141" s="3"/>
      <c r="BMH141" s="3"/>
      <c r="BMI141" s="3"/>
      <c r="BMJ141" s="3"/>
      <c r="BMK141" s="3"/>
      <c r="BML141" s="3"/>
      <c r="BMM141" s="3"/>
      <c r="BMN141" s="3"/>
      <c r="BMO141" s="3"/>
      <c r="BMP141" s="3"/>
      <c r="BMQ141" s="3"/>
      <c r="BMR141" s="3"/>
      <c r="BMS141" s="3"/>
      <c r="BMT141" s="3"/>
      <c r="BMU141" s="3"/>
      <c r="BMV141" s="3"/>
      <c r="BMW141" s="3"/>
      <c r="BMX141" s="3"/>
      <c r="BMY141" s="3"/>
      <c r="BMZ141" s="3"/>
      <c r="BNA141" s="3"/>
      <c r="BNB141" s="3"/>
      <c r="BNC141" s="3"/>
      <c r="BND141" s="3"/>
      <c r="BNE141" s="3"/>
      <c r="BNF141" s="3"/>
      <c r="BNG141" s="3"/>
      <c r="BNH141" s="3"/>
      <c r="BNI141" s="3"/>
      <c r="BNJ141" s="3"/>
      <c r="BNK141" s="3"/>
      <c r="BNL141" s="3"/>
      <c r="BNM141" s="3"/>
      <c r="BNN141" s="3"/>
      <c r="BNO141" s="3"/>
      <c r="BNP141" s="3"/>
      <c r="BNQ141" s="3"/>
      <c r="BNR141" s="3"/>
      <c r="BNS141" s="3"/>
      <c r="BNT141" s="3"/>
      <c r="BNU141" s="3"/>
      <c r="BNV141" s="3"/>
      <c r="BNW141" s="3"/>
      <c r="BNX141" s="3"/>
      <c r="BNY141" s="3"/>
      <c r="BNZ141" s="3"/>
      <c r="BOA141" s="3"/>
      <c r="BOB141" s="3"/>
      <c r="BOC141" s="3"/>
      <c r="BOD141" s="3"/>
      <c r="BOE141" s="3"/>
      <c r="BOF141" s="3"/>
      <c r="BOG141" s="3"/>
      <c r="BOH141" s="3"/>
      <c r="BOI141" s="3"/>
      <c r="BOJ141" s="3"/>
      <c r="BOK141" s="3"/>
      <c r="BOL141" s="3"/>
      <c r="BOM141" s="3"/>
      <c r="BON141" s="3"/>
      <c r="BOO141" s="3"/>
      <c r="BOP141" s="3"/>
      <c r="BOQ141" s="3"/>
      <c r="BOR141" s="3"/>
      <c r="BOS141" s="3"/>
      <c r="BOT141" s="3"/>
      <c r="BOU141" s="3"/>
      <c r="BOV141" s="3"/>
      <c r="BOW141" s="3"/>
      <c r="BOX141" s="3"/>
      <c r="BOY141" s="3"/>
      <c r="BOZ141" s="3"/>
      <c r="BPA141" s="3"/>
      <c r="BPB141" s="3"/>
      <c r="BPC141" s="3"/>
      <c r="BPD141" s="3"/>
      <c r="BPE141" s="3"/>
      <c r="BPF141" s="3"/>
      <c r="BPG141" s="3"/>
      <c r="BPH141" s="3"/>
      <c r="BPI141" s="3"/>
      <c r="BPJ141" s="3"/>
      <c r="BPK141" s="3"/>
      <c r="BPL141" s="3"/>
      <c r="BPM141" s="3"/>
      <c r="BPN141" s="3"/>
      <c r="BPO141" s="3"/>
      <c r="BPP141" s="3"/>
      <c r="BPQ141" s="3"/>
      <c r="BPR141" s="3"/>
      <c r="BPS141" s="3"/>
      <c r="BPT141" s="3"/>
      <c r="BPU141" s="3"/>
      <c r="BPV141" s="3"/>
      <c r="BPW141" s="3"/>
      <c r="BPX141" s="3"/>
      <c r="BPY141" s="3"/>
      <c r="BPZ141" s="3"/>
      <c r="BQA141" s="3"/>
      <c r="BQB141" s="3"/>
      <c r="BQC141" s="3"/>
      <c r="BQD141" s="3"/>
      <c r="BQE141" s="3"/>
      <c r="BQF141" s="3"/>
      <c r="BQG141" s="3"/>
      <c r="BQH141" s="3"/>
      <c r="BQI141" s="3"/>
      <c r="BQJ141" s="3"/>
      <c r="BQK141" s="3"/>
      <c r="BQL141" s="3"/>
      <c r="BQM141" s="3"/>
      <c r="BQN141" s="3"/>
      <c r="BQO141" s="3"/>
      <c r="BQP141" s="3"/>
      <c r="BQQ141" s="3"/>
      <c r="BQR141" s="3"/>
      <c r="BQS141" s="3"/>
      <c r="BQT141" s="3"/>
      <c r="BQU141" s="3"/>
      <c r="BQV141" s="3"/>
      <c r="BQW141" s="3"/>
      <c r="BQX141" s="3"/>
      <c r="BQY141" s="3"/>
      <c r="BQZ141" s="3"/>
      <c r="BRA141" s="3"/>
      <c r="BRB141" s="3"/>
      <c r="BRC141" s="3"/>
      <c r="BRD141" s="3"/>
      <c r="BRE141" s="3"/>
      <c r="BRF141" s="3"/>
      <c r="BRG141" s="3"/>
      <c r="BRH141" s="3"/>
      <c r="BRI141" s="3"/>
      <c r="BRJ141" s="3"/>
      <c r="BRK141" s="3"/>
      <c r="BRL141" s="3"/>
      <c r="BRM141" s="3"/>
      <c r="BRN141" s="3"/>
      <c r="BRO141" s="3"/>
      <c r="BRP141" s="3"/>
      <c r="BRQ141" s="3"/>
      <c r="BRR141" s="3"/>
      <c r="BRS141" s="3"/>
      <c r="BRT141" s="3"/>
      <c r="BRU141" s="3"/>
      <c r="BRV141" s="3"/>
      <c r="BRW141" s="3"/>
      <c r="BRX141" s="3"/>
      <c r="BRY141" s="3"/>
      <c r="BRZ141" s="3"/>
      <c r="BSA141" s="3"/>
      <c r="BSB141" s="3"/>
      <c r="BSC141" s="3"/>
      <c r="BSD141" s="3"/>
      <c r="BSE141" s="3"/>
      <c r="BSF141" s="3"/>
      <c r="BSG141" s="3"/>
      <c r="BSH141" s="3"/>
      <c r="BSI141" s="3"/>
      <c r="BSJ141" s="3"/>
      <c r="BSK141" s="3"/>
      <c r="BSL141" s="3"/>
      <c r="BSM141" s="3"/>
      <c r="BSN141" s="3"/>
      <c r="BSO141" s="3"/>
      <c r="BSP141" s="3"/>
      <c r="BSQ141" s="3"/>
      <c r="BSR141" s="3"/>
      <c r="BSS141" s="3"/>
      <c r="BST141" s="3"/>
      <c r="BSU141" s="3"/>
      <c r="BSV141" s="3"/>
      <c r="BSW141" s="3"/>
      <c r="BSX141" s="3"/>
      <c r="BSY141" s="3"/>
      <c r="BSZ141" s="3"/>
      <c r="BTA141" s="3"/>
      <c r="BTB141" s="3"/>
      <c r="BTC141" s="3"/>
      <c r="BTD141" s="3"/>
      <c r="BTE141" s="3"/>
      <c r="BTF141" s="3"/>
      <c r="BTG141" s="3"/>
      <c r="BTH141" s="3"/>
      <c r="BTI141" s="3"/>
      <c r="BTJ141" s="3"/>
      <c r="BTK141" s="3"/>
      <c r="BTL141" s="3"/>
      <c r="BTM141" s="3"/>
      <c r="BTN141" s="3"/>
      <c r="BTO141" s="3"/>
      <c r="BTP141" s="3"/>
      <c r="BTQ141" s="3"/>
      <c r="BTR141" s="3"/>
      <c r="BTS141" s="3"/>
      <c r="BTT141" s="3"/>
      <c r="BTU141" s="3"/>
      <c r="BTV141" s="3"/>
      <c r="BTW141" s="3"/>
      <c r="BTX141" s="3"/>
      <c r="BTY141" s="3"/>
      <c r="BTZ141" s="3"/>
      <c r="BUA141" s="3"/>
      <c r="BUB141" s="3"/>
      <c r="BUC141" s="3"/>
      <c r="BUD141" s="3"/>
      <c r="BUE141" s="3"/>
      <c r="BUF141" s="3"/>
      <c r="BUG141" s="3"/>
      <c r="BUH141" s="3"/>
      <c r="BUI141" s="3"/>
      <c r="BUJ141" s="3"/>
      <c r="BUK141" s="3"/>
      <c r="BUL141" s="3"/>
      <c r="BUM141" s="3"/>
      <c r="BUN141" s="3"/>
      <c r="BUO141" s="3"/>
      <c r="BUP141" s="3"/>
      <c r="BUQ141" s="3"/>
      <c r="BUR141" s="3"/>
      <c r="BUS141" s="3"/>
      <c r="BUT141" s="3"/>
      <c r="BUU141" s="3"/>
      <c r="BUV141" s="3"/>
      <c r="BUW141" s="3"/>
      <c r="BUX141" s="3"/>
      <c r="BUY141" s="3"/>
      <c r="BUZ141" s="3"/>
      <c r="BVA141" s="3"/>
      <c r="BVB141" s="3"/>
      <c r="BVC141" s="3"/>
      <c r="BVD141" s="3"/>
      <c r="BVE141" s="3"/>
      <c r="BVF141" s="3"/>
      <c r="BVG141" s="3"/>
      <c r="BVH141" s="3"/>
      <c r="BVI141" s="3"/>
      <c r="BVJ141" s="3"/>
      <c r="BVK141" s="3"/>
      <c r="BVL141" s="3"/>
      <c r="BVM141" s="3"/>
      <c r="BVN141" s="3"/>
      <c r="BVO141" s="3"/>
      <c r="BVP141" s="3"/>
      <c r="BVQ141" s="3"/>
      <c r="BVR141" s="3"/>
      <c r="BVS141" s="3"/>
      <c r="BVT141" s="3"/>
      <c r="BVU141" s="3"/>
      <c r="BVV141" s="3"/>
      <c r="BVW141" s="3"/>
      <c r="BVX141" s="3"/>
      <c r="BVY141" s="3"/>
      <c r="BVZ141" s="3"/>
      <c r="BWA141" s="3"/>
      <c r="BWB141" s="3"/>
      <c r="BWC141" s="3"/>
      <c r="BWD141" s="3"/>
      <c r="BWE141" s="3"/>
      <c r="BWF141" s="3"/>
      <c r="BWG141" s="3"/>
      <c r="BWH141" s="3"/>
      <c r="BWI141" s="3"/>
      <c r="BWJ141" s="3"/>
      <c r="BWK141" s="3"/>
      <c r="BWL141" s="3"/>
      <c r="BWM141" s="3"/>
      <c r="BWN141" s="3"/>
      <c r="BWO141" s="3"/>
      <c r="BWP141" s="3"/>
      <c r="BWQ141" s="3"/>
      <c r="BWR141" s="3"/>
      <c r="BWS141" s="3"/>
      <c r="BWT141" s="3"/>
      <c r="BWU141" s="3"/>
      <c r="BWV141" s="3"/>
      <c r="BWW141" s="3"/>
      <c r="BWX141" s="3"/>
      <c r="BWY141" s="3"/>
      <c r="BWZ141" s="3"/>
      <c r="BXA141" s="3"/>
      <c r="BXB141" s="3"/>
      <c r="BXC141" s="3"/>
      <c r="BXD141" s="3"/>
      <c r="BXE141" s="3"/>
      <c r="BXF141" s="3"/>
      <c r="BXG141" s="3"/>
      <c r="BXH141" s="3"/>
      <c r="BXI141" s="3"/>
      <c r="BXJ141" s="3"/>
      <c r="BXK141" s="3"/>
      <c r="BXL141" s="3"/>
      <c r="BXM141" s="3"/>
      <c r="BXN141" s="3"/>
      <c r="BXO141" s="3"/>
      <c r="BXP141" s="3"/>
      <c r="BXQ141" s="3"/>
      <c r="BXR141" s="3"/>
      <c r="BXS141" s="3"/>
      <c r="BXT141" s="3"/>
      <c r="BXU141" s="3"/>
      <c r="BXV141" s="3"/>
      <c r="BXW141" s="3"/>
      <c r="BXX141" s="3"/>
      <c r="BXY141" s="3"/>
      <c r="BXZ141" s="3"/>
      <c r="BYA141" s="3"/>
      <c r="BYB141" s="3"/>
      <c r="BYC141" s="3"/>
      <c r="BYD141" s="3"/>
      <c r="BYE141" s="3"/>
      <c r="BYF141" s="3"/>
      <c r="BYG141" s="3"/>
      <c r="BYH141" s="3"/>
      <c r="BYI141" s="3"/>
      <c r="BYJ141" s="3"/>
      <c r="BYK141" s="3"/>
      <c r="BYL141" s="3"/>
      <c r="BYM141" s="3"/>
      <c r="BYN141" s="3"/>
      <c r="BYO141" s="3"/>
      <c r="BYP141" s="3"/>
      <c r="BYQ141" s="3"/>
      <c r="BYR141" s="3"/>
      <c r="BYS141" s="3"/>
      <c r="BYT141" s="3"/>
      <c r="BYU141" s="3"/>
      <c r="BYV141" s="3"/>
      <c r="BYW141" s="3"/>
      <c r="BYX141" s="3"/>
      <c r="BYY141" s="3"/>
      <c r="BYZ141" s="3"/>
      <c r="BZA141" s="3"/>
      <c r="BZB141" s="3"/>
      <c r="BZC141" s="3"/>
      <c r="BZD141" s="3"/>
      <c r="BZE141" s="3"/>
      <c r="BZF141" s="3"/>
      <c r="BZG141" s="3"/>
      <c r="BZH141" s="3"/>
      <c r="BZI141" s="3"/>
      <c r="BZJ141" s="3"/>
      <c r="BZK141" s="3"/>
      <c r="BZL141" s="3"/>
      <c r="BZM141" s="3"/>
      <c r="BZN141" s="3"/>
      <c r="BZO141" s="3"/>
      <c r="BZP141" s="3"/>
      <c r="BZQ141" s="3"/>
      <c r="BZR141" s="3"/>
      <c r="BZS141" s="3"/>
      <c r="BZT141" s="3"/>
      <c r="BZU141" s="3"/>
      <c r="BZV141" s="3"/>
      <c r="BZW141" s="3"/>
      <c r="BZX141" s="3"/>
      <c r="BZY141" s="3"/>
      <c r="BZZ141" s="3"/>
      <c r="CAA141" s="3"/>
      <c r="CAB141" s="3"/>
      <c r="CAC141" s="3"/>
      <c r="CAD141" s="3"/>
      <c r="CAE141" s="3"/>
      <c r="CAF141" s="3"/>
      <c r="CAG141" s="3"/>
      <c r="CAH141" s="3"/>
      <c r="CAI141" s="3"/>
      <c r="CAJ141" s="3"/>
      <c r="CAK141" s="3"/>
      <c r="CAL141" s="3"/>
      <c r="CAM141" s="3"/>
      <c r="CAN141" s="3"/>
      <c r="CAO141" s="3"/>
      <c r="CAP141" s="3"/>
      <c r="CAQ141" s="3"/>
      <c r="CAR141" s="3"/>
      <c r="CAS141" s="3"/>
      <c r="CAT141" s="3"/>
      <c r="CAU141" s="3"/>
      <c r="CAV141" s="3"/>
      <c r="CAW141" s="3"/>
      <c r="CAX141" s="3"/>
      <c r="CAY141" s="3"/>
      <c r="CAZ141" s="3"/>
      <c r="CBA141" s="3"/>
      <c r="CBB141" s="3"/>
      <c r="CBC141" s="3"/>
      <c r="CBD141" s="3"/>
      <c r="CBE141" s="3"/>
      <c r="CBF141" s="3"/>
      <c r="CBG141" s="3"/>
      <c r="CBH141" s="3"/>
      <c r="CBI141" s="3"/>
      <c r="CBJ141" s="3"/>
      <c r="CBK141" s="3"/>
      <c r="CBL141" s="3"/>
      <c r="CBM141" s="3"/>
      <c r="CBN141" s="3"/>
      <c r="CBO141" s="3"/>
      <c r="CBP141" s="3"/>
      <c r="CBQ141" s="3"/>
      <c r="CBR141" s="3"/>
      <c r="CBS141" s="3"/>
      <c r="CBT141" s="3"/>
      <c r="CBU141" s="3"/>
      <c r="CBV141" s="3"/>
      <c r="CBW141" s="3"/>
      <c r="CBX141" s="3"/>
      <c r="CBY141" s="3"/>
      <c r="CBZ141" s="3"/>
      <c r="CCA141" s="3"/>
      <c r="CCB141" s="3"/>
      <c r="CCC141" s="3"/>
      <c r="CCD141" s="3"/>
      <c r="CCE141" s="3"/>
      <c r="CCF141" s="3"/>
      <c r="CCG141" s="3"/>
      <c r="CCH141" s="3"/>
      <c r="CCI141" s="3"/>
      <c r="CCJ141" s="3"/>
      <c r="CCK141" s="3"/>
      <c r="CCL141" s="3"/>
      <c r="CCM141" s="3"/>
      <c r="CCN141" s="3"/>
      <c r="CCO141" s="3"/>
      <c r="CCP141" s="3"/>
      <c r="CCQ141" s="3"/>
      <c r="CCR141" s="3"/>
      <c r="CCS141" s="3"/>
      <c r="CCT141" s="3"/>
      <c r="CCU141" s="3"/>
      <c r="CCV141" s="3"/>
      <c r="CCW141" s="3"/>
      <c r="CCX141" s="3"/>
      <c r="CCY141" s="3"/>
      <c r="CCZ141" s="3"/>
      <c r="CDA141" s="3"/>
      <c r="CDB141" s="3"/>
      <c r="CDC141" s="3"/>
      <c r="CDD141" s="3"/>
      <c r="CDE141" s="3"/>
      <c r="CDF141" s="3"/>
      <c r="CDG141" s="3"/>
      <c r="CDH141" s="3"/>
      <c r="CDI141" s="3"/>
      <c r="CDJ141" s="3"/>
      <c r="CDK141" s="3"/>
      <c r="CDL141" s="3"/>
      <c r="CDM141" s="3"/>
      <c r="CDN141" s="3"/>
      <c r="CDO141" s="3"/>
      <c r="CDP141" s="3"/>
      <c r="CDQ141" s="3"/>
      <c r="CDR141" s="3"/>
      <c r="CDS141" s="3"/>
      <c r="CDT141" s="3"/>
      <c r="CDU141" s="3"/>
      <c r="CDV141" s="3"/>
      <c r="CDW141" s="3"/>
      <c r="CDX141" s="3"/>
      <c r="CDY141" s="3"/>
      <c r="CDZ141" s="3"/>
      <c r="CEA141" s="3"/>
      <c r="CEB141" s="3"/>
      <c r="CEC141" s="3"/>
      <c r="CED141" s="3"/>
      <c r="CEE141" s="3"/>
      <c r="CEF141" s="3"/>
      <c r="CEG141" s="3"/>
      <c r="CEH141" s="3"/>
      <c r="CEI141" s="3"/>
      <c r="CEJ141" s="3"/>
      <c r="CEK141" s="3"/>
      <c r="CEL141" s="3"/>
      <c r="CEM141" s="3"/>
      <c r="CEN141" s="3"/>
      <c r="CEO141" s="3"/>
      <c r="CEP141" s="3"/>
      <c r="CEQ141" s="3"/>
      <c r="CER141" s="3"/>
      <c r="CES141" s="3"/>
      <c r="CET141" s="3"/>
      <c r="CEU141" s="3"/>
      <c r="CEV141" s="3"/>
      <c r="CEW141" s="3"/>
      <c r="CEX141" s="3"/>
      <c r="CEY141" s="3"/>
      <c r="CEZ141" s="3"/>
      <c r="CFA141" s="3"/>
      <c r="CFB141" s="3"/>
      <c r="CFC141" s="3"/>
      <c r="CFD141" s="3"/>
      <c r="CFE141" s="3"/>
      <c r="CFF141" s="3"/>
      <c r="CFG141" s="3"/>
      <c r="CFH141" s="3"/>
      <c r="CFI141" s="3"/>
      <c r="CFJ141" s="3"/>
      <c r="CFK141" s="3"/>
      <c r="CFL141" s="3"/>
      <c r="CFM141" s="3"/>
      <c r="CFN141" s="3"/>
      <c r="CFO141" s="3"/>
      <c r="CFP141" s="3"/>
      <c r="CFQ141" s="3"/>
      <c r="CFR141" s="3"/>
      <c r="CFS141" s="3"/>
      <c r="CFT141" s="3"/>
      <c r="CFU141" s="3"/>
      <c r="CFV141" s="3"/>
      <c r="CFW141" s="3"/>
      <c r="CFX141" s="3"/>
      <c r="CFY141" s="3"/>
      <c r="CFZ141" s="3"/>
      <c r="CGA141" s="3"/>
      <c r="CGB141" s="3"/>
      <c r="CGC141" s="3"/>
      <c r="CGD141" s="3"/>
      <c r="CGE141" s="3"/>
      <c r="CGF141" s="3"/>
      <c r="CGG141" s="3"/>
      <c r="CGH141" s="3"/>
      <c r="CGI141" s="3"/>
      <c r="CGJ141" s="3"/>
      <c r="CGK141" s="3"/>
      <c r="CGL141" s="3"/>
      <c r="CGM141" s="3"/>
      <c r="CGN141" s="3"/>
      <c r="CGO141" s="3"/>
      <c r="CGP141" s="3"/>
      <c r="CGQ141" s="3"/>
      <c r="CGR141" s="3"/>
      <c r="CGS141" s="3"/>
      <c r="CGT141" s="3"/>
      <c r="CGU141" s="3"/>
      <c r="CGV141" s="3"/>
      <c r="CGW141" s="3"/>
      <c r="CGX141" s="3"/>
      <c r="CGY141" s="3"/>
      <c r="CGZ141" s="3"/>
      <c r="CHA141" s="3"/>
      <c r="CHB141" s="3"/>
      <c r="CHC141" s="3"/>
      <c r="CHD141" s="3"/>
      <c r="CHE141" s="3"/>
      <c r="CHF141" s="3"/>
      <c r="CHG141" s="3"/>
      <c r="CHH141" s="3"/>
      <c r="CHI141" s="3"/>
      <c r="CHJ141" s="3"/>
      <c r="CHK141" s="3"/>
      <c r="CHL141" s="3"/>
      <c r="CHM141" s="3"/>
      <c r="CHN141" s="3"/>
      <c r="CHO141" s="3"/>
      <c r="CHP141" s="3"/>
      <c r="CHQ141" s="3"/>
      <c r="CHR141" s="3"/>
      <c r="CHS141" s="3"/>
      <c r="CHT141" s="3"/>
      <c r="CHU141" s="3"/>
      <c r="CHV141" s="3"/>
      <c r="CHW141" s="3"/>
      <c r="CHX141" s="3"/>
      <c r="CHY141" s="3"/>
      <c r="CHZ141" s="3"/>
      <c r="CIA141" s="3"/>
      <c r="CIB141" s="3"/>
      <c r="CIC141" s="3"/>
      <c r="CID141" s="3"/>
      <c r="CIE141" s="3"/>
      <c r="CIF141" s="3"/>
      <c r="CIG141" s="3"/>
      <c r="CIH141" s="3"/>
      <c r="CII141" s="3"/>
      <c r="CIJ141" s="3"/>
      <c r="CIK141" s="3"/>
      <c r="CIL141" s="3"/>
      <c r="CIM141" s="3"/>
      <c r="CIN141" s="3"/>
      <c r="CIO141" s="3"/>
      <c r="CIP141" s="3"/>
      <c r="CIQ141" s="3"/>
      <c r="CIR141" s="3"/>
      <c r="CIS141" s="3"/>
      <c r="CIT141" s="3"/>
      <c r="CIU141" s="3"/>
      <c r="CIV141" s="3"/>
      <c r="CIW141" s="3"/>
      <c r="CIX141" s="3"/>
      <c r="CIY141" s="3"/>
      <c r="CIZ141" s="3"/>
      <c r="CJA141" s="3"/>
      <c r="CJB141" s="3"/>
      <c r="CJC141" s="3"/>
      <c r="CJD141" s="3"/>
      <c r="CJE141" s="3"/>
      <c r="CJF141" s="3"/>
      <c r="CJG141" s="3"/>
      <c r="CJH141" s="3"/>
      <c r="CJI141" s="3"/>
      <c r="CJJ141" s="3"/>
      <c r="CJK141" s="3"/>
      <c r="CJL141" s="3"/>
      <c r="CJM141" s="3"/>
      <c r="CJN141" s="3"/>
      <c r="CJO141" s="3"/>
      <c r="CJP141" s="3"/>
      <c r="CJQ141" s="3"/>
      <c r="CJR141" s="3"/>
      <c r="CJS141" s="3"/>
      <c r="CJT141" s="3"/>
      <c r="CJU141" s="3"/>
      <c r="CJV141" s="3"/>
      <c r="CJW141" s="3"/>
      <c r="CJX141" s="3"/>
      <c r="CJY141" s="3"/>
      <c r="CJZ141" s="3"/>
      <c r="CKA141" s="3"/>
      <c r="CKB141" s="3"/>
      <c r="CKC141" s="3"/>
      <c r="CKD141" s="3"/>
      <c r="CKE141" s="3"/>
      <c r="CKF141" s="3"/>
      <c r="CKG141" s="3"/>
      <c r="CKH141" s="3"/>
      <c r="CKI141" s="3"/>
      <c r="CKJ141" s="3"/>
      <c r="CKK141" s="3"/>
      <c r="CKL141" s="3"/>
      <c r="CKM141" s="3"/>
      <c r="CKN141" s="3"/>
      <c r="CKO141" s="3"/>
      <c r="CKP141" s="3"/>
      <c r="CKQ141" s="3"/>
      <c r="CKR141" s="3"/>
      <c r="CKS141" s="3"/>
      <c r="CKT141" s="3"/>
      <c r="CKU141" s="3"/>
      <c r="CKV141" s="3"/>
      <c r="CKW141" s="3"/>
      <c r="CKX141" s="3"/>
      <c r="CKY141" s="3"/>
      <c r="CKZ141" s="3"/>
      <c r="CLA141" s="3"/>
      <c r="CLB141" s="3"/>
      <c r="CLC141" s="3"/>
      <c r="CLD141" s="3"/>
      <c r="CLE141" s="3"/>
      <c r="CLF141" s="3"/>
      <c r="CLG141" s="3"/>
      <c r="CLH141" s="3"/>
      <c r="CLI141" s="3"/>
      <c r="CLJ141" s="3"/>
      <c r="CLK141" s="3"/>
      <c r="CLL141" s="3"/>
      <c r="CLM141" s="3"/>
      <c r="CLN141" s="3"/>
      <c r="CLO141" s="3"/>
      <c r="CLP141" s="3"/>
      <c r="CLQ141" s="3"/>
      <c r="CLR141" s="3"/>
      <c r="CLS141" s="3"/>
      <c r="CLT141" s="3"/>
      <c r="CLU141" s="3"/>
      <c r="CLV141" s="3"/>
      <c r="CLW141" s="3"/>
      <c r="CLX141" s="3"/>
      <c r="CLY141" s="3"/>
      <c r="CLZ141" s="3"/>
      <c r="CMA141" s="3"/>
      <c r="CMB141" s="3"/>
      <c r="CMC141" s="3"/>
      <c r="CMD141" s="3"/>
      <c r="CME141" s="3"/>
      <c r="CMF141" s="3"/>
      <c r="CMG141" s="3"/>
      <c r="CMH141" s="3"/>
      <c r="CMI141" s="3"/>
      <c r="CMJ141" s="3"/>
      <c r="CMK141" s="3"/>
      <c r="CML141" s="3"/>
      <c r="CMM141" s="3"/>
      <c r="CMN141" s="3"/>
      <c r="CMO141" s="3"/>
      <c r="CMP141" s="3"/>
      <c r="CMQ141" s="3"/>
      <c r="CMR141" s="3"/>
      <c r="CMS141" s="3"/>
      <c r="CMT141" s="3"/>
      <c r="CMU141" s="3"/>
      <c r="CMV141" s="3"/>
      <c r="CMW141" s="3"/>
      <c r="CMX141" s="3"/>
      <c r="CMY141" s="3"/>
      <c r="CMZ141" s="3"/>
      <c r="CNA141" s="3"/>
      <c r="CNB141" s="3"/>
      <c r="CNC141" s="3"/>
      <c r="CND141" s="3"/>
      <c r="CNE141" s="3"/>
      <c r="CNF141" s="3"/>
      <c r="CNG141" s="3"/>
      <c r="CNH141" s="3"/>
      <c r="CNI141" s="3"/>
      <c r="CNJ141" s="3"/>
      <c r="CNK141" s="3"/>
      <c r="CNL141" s="3"/>
      <c r="CNM141" s="3"/>
      <c r="CNN141" s="3"/>
      <c r="CNO141" s="3"/>
      <c r="CNP141" s="3"/>
      <c r="CNQ141" s="3"/>
      <c r="CNR141" s="3"/>
      <c r="CNS141" s="3"/>
      <c r="CNT141" s="3"/>
      <c r="CNU141" s="3"/>
      <c r="CNV141" s="3"/>
      <c r="CNW141" s="3"/>
      <c r="CNX141" s="3"/>
      <c r="CNY141" s="3"/>
      <c r="CNZ141" s="3"/>
      <c r="COA141" s="3"/>
      <c r="COB141" s="3"/>
      <c r="COC141" s="3"/>
      <c r="COD141" s="3"/>
      <c r="COE141" s="3"/>
      <c r="COF141" s="3"/>
      <c r="COG141" s="3"/>
      <c r="COH141" s="3"/>
      <c r="COI141" s="3"/>
      <c r="COJ141" s="3"/>
      <c r="COK141" s="3"/>
      <c r="COL141" s="3"/>
      <c r="COM141" s="3"/>
      <c r="CON141" s="3"/>
      <c r="COO141" s="3"/>
      <c r="COP141" s="3"/>
      <c r="COQ141" s="3"/>
      <c r="COR141" s="3"/>
      <c r="COS141" s="3"/>
      <c r="COT141" s="3"/>
      <c r="COU141" s="3"/>
      <c r="COV141" s="3"/>
      <c r="COW141" s="3"/>
      <c r="COX141" s="3"/>
      <c r="COY141" s="3"/>
      <c r="COZ141" s="3"/>
      <c r="CPA141" s="3"/>
      <c r="CPB141" s="3"/>
      <c r="CPC141" s="3"/>
      <c r="CPD141" s="3"/>
      <c r="CPE141" s="3"/>
      <c r="CPF141" s="3"/>
      <c r="CPG141" s="3"/>
      <c r="CPH141" s="3"/>
      <c r="CPI141" s="3"/>
      <c r="CPJ141" s="3"/>
      <c r="CPK141" s="3"/>
      <c r="CPL141" s="3"/>
      <c r="CPM141" s="3"/>
      <c r="CPN141" s="3"/>
      <c r="CPO141" s="3"/>
      <c r="CPP141" s="3"/>
      <c r="CPQ141" s="3"/>
      <c r="CPR141" s="3"/>
      <c r="CPS141" s="3"/>
      <c r="CPT141" s="3"/>
      <c r="CPU141" s="3"/>
      <c r="CPV141" s="3"/>
      <c r="CPW141" s="3"/>
      <c r="CPX141" s="3"/>
      <c r="CPY141" s="3"/>
      <c r="CPZ141" s="3"/>
      <c r="CQA141" s="3"/>
      <c r="CQB141" s="3"/>
      <c r="CQC141" s="3"/>
      <c r="CQD141" s="3"/>
      <c r="CQE141" s="3"/>
      <c r="CQF141" s="3"/>
      <c r="CQG141" s="3"/>
      <c r="CQH141" s="3"/>
      <c r="CQI141" s="3"/>
      <c r="CQJ141" s="3"/>
      <c r="CQK141" s="3"/>
      <c r="CQL141" s="3"/>
      <c r="CQM141" s="3"/>
      <c r="CQN141" s="3"/>
      <c r="CQO141" s="3"/>
      <c r="CQP141" s="3"/>
      <c r="CQQ141" s="3"/>
      <c r="CQR141" s="3"/>
      <c r="CQS141" s="3"/>
      <c r="CQT141" s="3"/>
      <c r="CQU141" s="3"/>
      <c r="CQV141" s="3"/>
      <c r="CQW141" s="3"/>
      <c r="CQX141" s="3"/>
      <c r="CQY141" s="3"/>
      <c r="CQZ141" s="3"/>
      <c r="CRA141" s="3"/>
      <c r="CRB141" s="3"/>
      <c r="CRC141" s="3"/>
      <c r="CRD141" s="3"/>
      <c r="CRE141" s="3"/>
      <c r="CRF141" s="3"/>
      <c r="CRG141" s="3"/>
      <c r="CRH141" s="3"/>
      <c r="CRI141" s="3"/>
      <c r="CRJ141" s="3"/>
      <c r="CRK141" s="3"/>
      <c r="CRL141" s="3"/>
      <c r="CRM141" s="3"/>
      <c r="CRN141" s="3"/>
      <c r="CRO141" s="3"/>
      <c r="CRP141" s="3"/>
      <c r="CRQ141" s="3"/>
      <c r="CRR141" s="3"/>
      <c r="CRS141" s="3"/>
      <c r="CRT141" s="3"/>
      <c r="CRU141" s="3"/>
      <c r="CRV141" s="3"/>
      <c r="CRW141" s="3"/>
      <c r="CRX141" s="3"/>
      <c r="CRY141" s="3"/>
      <c r="CRZ141" s="3"/>
      <c r="CSA141" s="3"/>
      <c r="CSB141" s="3"/>
      <c r="CSC141" s="3"/>
      <c r="CSD141" s="3"/>
      <c r="CSE141" s="3"/>
      <c r="CSF141" s="3"/>
      <c r="CSG141" s="3"/>
      <c r="CSH141" s="3"/>
      <c r="CSI141" s="3"/>
      <c r="CSJ141" s="3"/>
      <c r="CSK141" s="3"/>
      <c r="CSL141" s="3"/>
      <c r="CSM141" s="3"/>
      <c r="CSN141" s="3"/>
      <c r="CSO141" s="3"/>
      <c r="CSP141" s="3"/>
      <c r="CSQ141" s="3"/>
      <c r="CSR141" s="3"/>
      <c r="CSS141" s="3"/>
      <c r="CST141" s="3"/>
      <c r="CSU141" s="3"/>
      <c r="CSV141" s="3"/>
      <c r="CSW141" s="3"/>
      <c r="CSX141" s="3"/>
      <c r="CSY141" s="3"/>
      <c r="CSZ141" s="3"/>
      <c r="CTA141" s="3"/>
      <c r="CTB141" s="3"/>
      <c r="CTC141" s="3"/>
      <c r="CTD141" s="3"/>
      <c r="CTE141" s="3"/>
      <c r="CTF141" s="3"/>
      <c r="CTG141" s="3"/>
      <c r="CTH141" s="3"/>
      <c r="CTI141" s="3"/>
      <c r="CTJ141" s="3"/>
      <c r="CTK141" s="3"/>
      <c r="CTL141" s="3"/>
      <c r="CTM141" s="3"/>
      <c r="CTN141" s="3"/>
      <c r="CTO141" s="3"/>
      <c r="CTP141" s="3"/>
      <c r="CTQ141" s="3"/>
      <c r="CTR141" s="3"/>
      <c r="CTS141" s="3"/>
      <c r="CTT141" s="3"/>
      <c r="CTU141" s="3"/>
      <c r="CTV141" s="3"/>
      <c r="CTW141" s="3"/>
      <c r="CTX141" s="3"/>
      <c r="CTY141" s="3"/>
      <c r="CTZ141" s="3"/>
      <c r="CUA141" s="3"/>
      <c r="CUB141" s="3"/>
      <c r="CUC141" s="3"/>
      <c r="CUD141" s="3"/>
      <c r="CUE141" s="3"/>
      <c r="CUF141" s="3"/>
      <c r="CUG141" s="3"/>
      <c r="CUH141" s="3"/>
      <c r="CUI141" s="3"/>
      <c r="CUJ141" s="3"/>
      <c r="CUK141" s="3"/>
      <c r="CUL141" s="3"/>
      <c r="CUM141" s="3"/>
      <c r="CUN141" s="3"/>
      <c r="CUO141" s="3"/>
      <c r="CUP141" s="3"/>
      <c r="CUQ141" s="3"/>
      <c r="CUR141" s="3"/>
      <c r="CUS141" s="3"/>
      <c r="CUT141" s="3"/>
      <c r="CUU141" s="3"/>
      <c r="CUV141" s="3"/>
      <c r="CUW141" s="3"/>
      <c r="CUX141" s="3"/>
      <c r="CUY141" s="3"/>
      <c r="CUZ141" s="3"/>
      <c r="CVA141" s="3"/>
      <c r="CVB141" s="3"/>
      <c r="CVC141" s="3"/>
      <c r="CVD141" s="3"/>
      <c r="CVE141" s="3"/>
      <c r="CVF141" s="3"/>
      <c r="CVG141" s="3"/>
      <c r="CVH141" s="3"/>
      <c r="CVI141" s="3"/>
      <c r="CVJ141" s="3"/>
      <c r="CVK141" s="3"/>
      <c r="CVL141" s="3"/>
      <c r="CVM141" s="3"/>
      <c r="CVN141" s="3"/>
      <c r="CVO141" s="3"/>
      <c r="CVP141" s="3"/>
      <c r="CVQ141" s="3"/>
      <c r="CVR141" s="3"/>
      <c r="CVS141" s="3"/>
      <c r="CVT141" s="3"/>
      <c r="CVU141" s="3"/>
      <c r="CVV141" s="3"/>
      <c r="CVW141" s="3"/>
      <c r="CVX141" s="3"/>
      <c r="CVY141" s="3"/>
      <c r="CVZ141" s="3"/>
      <c r="CWA141" s="3"/>
      <c r="CWB141" s="3"/>
      <c r="CWC141" s="3"/>
      <c r="CWD141" s="3"/>
      <c r="CWE141" s="3"/>
      <c r="CWF141" s="3"/>
      <c r="CWG141" s="3"/>
      <c r="CWH141" s="3"/>
      <c r="CWI141" s="3"/>
      <c r="CWJ141" s="3"/>
      <c r="CWK141" s="3"/>
      <c r="CWL141" s="3"/>
      <c r="CWM141" s="3"/>
      <c r="CWN141" s="3"/>
      <c r="CWO141" s="3"/>
      <c r="CWP141" s="3"/>
      <c r="CWQ141" s="3"/>
      <c r="CWR141" s="3"/>
      <c r="CWS141" s="3"/>
      <c r="CWT141" s="3"/>
      <c r="CWU141" s="3"/>
      <c r="CWV141" s="3"/>
      <c r="CWW141" s="3"/>
      <c r="CWX141" s="3"/>
      <c r="CWY141" s="3"/>
      <c r="CWZ141" s="3"/>
      <c r="CXA141" s="3"/>
      <c r="CXB141" s="3"/>
      <c r="CXC141" s="3"/>
      <c r="CXD141" s="3"/>
      <c r="CXE141" s="3"/>
      <c r="CXF141" s="3"/>
      <c r="CXG141" s="3"/>
      <c r="CXH141" s="3"/>
      <c r="CXI141" s="3"/>
      <c r="CXJ141" s="3"/>
      <c r="CXK141" s="3"/>
      <c r="CXL141" s="3"/>
      <c r="CXM141" s="3"/>
      <c r="CXN141" s="3"/>
      <c r="CXO141" s="3"/>
      <c r="CXP141" s="3"/>
      <c r="CXQ141" s="3"/>
      <c r="CXR141" s="3"/>
      <c r="CXS141" s="3"/>
      <c r="CXT141" s="3"/>
      <c r="CXU141" s="3"/>
      <c r="CXV141" s="3"/>
      <c r="CXW141" s="3"/>
      <c r="CXX141" s="3"/>
      <c r="CXY141" s="3"/>
      <c r="CXZ141" s="3"/>
      <c r="CYA141" s="3"/>
      <c r="CYB141" s="3"/>
      <c r="CYC141" s="3"/>
      <c r="CYD141" s="3"/>
      <c r="CYE141" s="3"/>
      <c r="CYF141" s="3"/>
      <c r="CYG141" s="3"/>
      <c r="CYH141" s="3"/>
      <c r="CYI141" s="3"/>
      <c r="CYJ141" s="3"/>
      <c r="CYK141" s="3"/>
      <c r="CYL141" s="3"/>
      <c r="CYM141" s="3"/>
      <c r="CYN141" s="3"/>
      <c r="CYO141" s="3"/>
      <c r="CYP141" s="3"/>
      <c r="CYQ141" s="3"/>
      <c r="CYR141" s="3"/>
      <c r="CYS141" s="3"/>
      <c r="CYT141" s="3"/>
      <c r="CYU141" s="3"/>
      <c r="CYV141" s="3"/>
      <c r="CYW141" s="3"/>
      <c r="CYX141" s="3"/>
      <c r="CYY141" s="3"/>
      <c r="CYZ141" s="3"/>
      <c r="CZA141" s="3"/>
      <c r="CZB141" s="3"/>
      <c r="CZC141" s="3"/>
      <c r="CZD141" s="3"/>
      <c r="CZE141" s="3"/>
      <c r="CZF141" s="3"/>
      <c r="CZG141" s="3"/>
      <c r="CZH141" s="3"/>
      <c r="CZI141" s="3"/>
      <c r="CZJ141" s="3"/>
      <c r="CZK141" s="3"/>
      <c r="CZL141" s="3"/>
      <c r="CZM141" s="3"/>
      <c r="CZN141" s="3"/>
      <c r="CZO141" s="3"/>
      <c r="CZP141" s="3"/>
      <c r="CZQ141" s="3"/>
      <c r="CZR141" s="3"/>
      <c r="CZS141" s="3"/>
      <c r="CZT141" s="3"/>
      <c r="CZU141" s="3"/>
      <c r="CZV141" s="3"/>
      <c r="CZW141" s="3"/>
      <c r="CZX141" s="3"/>
      <c r="CZY141" s="3"/>
      <c r="CZZ141" s="3"/>
      <c r="DAA141" s="3"/>
      <c r="DAB141" s="3"/>
      <c r="DAC141" s="3"/>
      <c r="DAD141" s="3"/>
      <c r="DAE141" s="3"/>
      <c r="DAF141" s="3"/>
      <c r="DAG141" s="3"/>
      <c r="DAH141" s="3"/>
      <c r="DAI141" s="3"/>
      <c r="DAJ141" s="3"/>
      <c r="DAK141" s="3"/>
      <c r="DAL141" s="3"/>
      <c r="DAM141" s="3"/>
      <c r="DAN141" s="3"/>
      <c r="DAO141" s="3"/>
      <c r="DAP141" s="3"/>
      <c r="DAQ141" s="3"/>
      <c r="DAR141" s="3"/>
      <c r="DAS141" s="3"/>
      <c r="DAT141" s="3"/>
      <c r="DAU141" s="3"/>
      <c r="DAV141" s="3"/>
      <c r="DAW141" s="3"/>
      <c r="DAX141" s="3"/>
      <c r="DAY141" s="3"/>
      <c r="DAZ141" s="3"/>
      <c r="DBA141" s="3"/>
      <c r="DBB141" s="3"/>
      <c r="DBC141" s="3"/>
      <c r="DBD141" s="3"/>
      <c r="DBE141" s="3"/>
      <c r="DBF141" s="3"/>
      <c r="DBG141" s="3"/>
      <c r="DBH141" s="3"/>
      <c r="DBI141" s="3"/>
      <c r="DBJ141" s="3"/>
      <c r="DBK141" s="3"/>
      <c r="DBL141" s="3"/>
      <c r="DBM141" s="3"/>
      <c r="DBN141" s="3"/>
      <c r="DBO141" s="3"/>
      <c r="DBP141" s="3"/>
      <c r="DBQ141" s="3"/>
      <c r="DBR141" s="3"/>
      <c r="DBS141" s="3"/>
      <c r="DBT141" s="3"/>
      <c r="DBU141" s="3"/>
      <c r="DBV141" s="3"/>
      <c r="DBW141" s="3"/>
      <c r="DBX141" s="3"/>
      <c r="DBY141" s="3"/>
      <c r="DBZ141" s="3"/>
      <c r="DCA141" s="3"/>
      <c r="DCB141" s="3"/>
      <c r="DCC141" s="3"/>
      <c r="DCD141" s="3"/>
      <c r="DCE141" s="3"/>
      <c r="DCF141" s="3"/>
      <c r="DCG141" s="3"/>
      <c r="DCH141" s="3"/>
      <c r="DCI141" s="3"/>
      <c r="DCJ141" s="3"/>
      <c r="DCK141" s="3"/>
      <c r="DCL141" s="3"/>
      <c r="DCM141" s="3"/>
      <c r="DCN141" s="3"/>
      <c r="DCO141" s="3"/>
      <c r="DCP141" s="3"/>
      <c r="DCQ141" s="3"/>
      <c r="DCR141" s="3"/>
      <c r="DCS141" s="3"/>
      <c r="DCT141" s="3"/>
      <c r="DCU141" s="3"/>
      <c r="DCV141" s="3"/>
      <c r="DCW141" s="3"/>
      <c r="DCX141" s="3"/>
      <c r="DCY141" s="3"/>
      <c r="DCZ141" s="3"/>
      <c r="DDA141" s="3"/>
      <c r="DDB141" s="3"/>
      <c r="DDC141" s="3"/>
      <c r="DDD141" s="3"/>
      <c r="DDE141" s="3"/>
      <c r="DDF141" s="3"/>
      <c r="DDG141" s="3"/>
      <c r="DDH141" s="3"/>
      <c r="DDI141" s="3"/>
      <c r="DDJ141" s="3"/>
      <c r="DDK141" s="3"/>
      <c r="DDL141" s="3"/>
      <c r="DDM141" s="3"/>
      <c r="DDN141" s="3"/>
      <c r="DDO141" s="3"/>
      <c r="DDP141" s="3"/>
      <c r="DDQ141" s="3"/>
      <c r="DDR141" s="3"/>
      <c r="DDS141" s="3"/>
      <c r="DDT141" s="3"/>
      <c r="DDU141" s="3"/>
      <c r="DDV141" s="3"/>
      <c r="DDW141" s="3"/>
      <c r="DDX141" s="3"/>
      <c r="DDY141" s="3"/>
      <c r="DDZ141" s="3"/>
      <c r="DEA141" s="3"/>
      <c r="DEB141" s="3"/>
      <c r="DEC141" s="3"/>
      <c r="DED141" s="3"/>
      <c r="DEE141" s="3"/>
      <c r="DEF141" s="3"/>
      <c r="DEG141" s="3"/>
      <c r="DEH141" s="3"/>
      <c r="DEI141" s="3"/>
      <c r="DEJ141" s="3"/>
      <c r="DEK141" s="3"/>
      <c r="DEL141" s="3"/>
      <c r="DEM141" s="3"/>
      <c r="DEN141" s="3"/>
      <c r="DEO141" s="3"/>
      <c r="DEP141" s="3"/>
      <c r="DEQ141" s="3"/>
      <c r="DER141" s="3"/>
      <c r="DES141" s="3"/>
      <c r="DET141" s="3"/>
      <c r="DEU141" s="3"/>
      <c r="DEV141" s="3"/>
      <c r="DEW141" s="3"/>
      <c r="DEX141" s="3"/>
      <c r="DEY141" s="3"/>
      <c r="DEZ141" s="3"/>
      <c r="DFA141" s="3"/>
      <c r="DFB141" s="3"/>
      <c r="DFC141" s="3"/>
      <c r="DFD141" s="3"/>
      <c r="DFE141" s="3"/>
      <c r="DFF141" s="3"/>
      <c r="DFG141" s="3"/>
      <c r="DFH141" s="3"/>
      <c r="DFI141" s="3"/>
      <c r="DFJ141" s="3"/>
      <c r="DFK141" s="3"/>
      <c r="DFL141" s="3"/>
      <c r="DFM141" s="3"/>
      <c r="DFN141" s="3"/>
      <c r="DFO141" s="3"/>
      <c r="DFP141" s="3"/>
      <c r="DFQ141" s="3"/>
      <c r="DFR141" s="3"/>
      <c r="DFS141" s="3"/>
      <c r="DFT141" s="3"/>
      <c r="DFU141" s="3"/>
      <c r="DFV141" s="3"/>
      <c r="DFW141" s="3"/>
      <c r="DFX141" s="3"/>
      <c r="DFY141" s="3"/>
      <c r="DFZ141" s="3"/>
      <c r="DGA141" s="3"/>
      <c r="DGB141" s="3"/>
      <c r="DGC141" s="3"/>
      <c r="DGD141" s="3"/>
      <c r="DGE141" s="3"/>
      <c r="DGF141" s="3"/>
      <c r="DGG141" s="3"/>
      <c r="DGH141" s="3"/>
      <c r="DGI141" s="3"/>
      <c r="DGJ141" s="3"/>
      <c r="DGK141" s="3"/>
      <c r="DGL141" s="3"/>
      <c r="DGM141" s="3"/>
      <c r="DGN141" s="3"/>
      <c r="DGO141" s="3"/>
      <c r="DGP141" s="3"/>
      <c r="DGQ141" s="3"/>
      <c r="DGR141" s="3"/>
      <c r="DGS141" s="3"/>
      <c r="DGT141" s="3"/>
      <c r="DGU141" s="3"/>
      <c r="DGV141" s="3"/>
      <c r="DGW141" s="3"/>
      <c r="DGX141" s="3"/>
      <c r="DGY141" s="3"/>
      <c r="DGZ141" s="3"/>
      <c r="DHA141" s="3"/>
      <c r="DHB141" s="3"/>
      <c r="DHC141" s="3"/>
      <c r="DHD141" s="3"/>
      <c r="DHE141" s="3"/>
      <c r="DHF141" s="3"/>
      <c r="DHG141" s="3"/>
      <c r="DHH141" s="3"/>
      <c r="DHI141" s="3"/>
      <c r="DHJ141" s="3"/>
      <c r="DHK141" s="3"/>
      <c r="DHL141" s="3"/>
      <c r="DHM141" s="3"/>
      <c r="DHN141" s="3"/>
      <c r="DHO141" s="3"/>
      <c r="DHP141" s="3"/>
      <c r="DHQ141" s="3"/>
      <c r="DHR141" s="3"/>
      <c r="DHS141" s="3"/>
      <c r="DHT141" s="3"/>
      <c r="DHU141" s="3"/>
      <c r="DHV141" s="3"/>
      <c r="DHW141" s="3"/>
      <c r="DHX141" s="3"/>
      <c r="DHY141" s="3"/>
      <c r="DHZ141" s="3"/>
      <c r="DIA141" s="3"/>
      <c r="DIB141" s="3"/>
      <c r="DIC141" s="3"/>
      <c r="DID141" s="3"/>
      <c r="DIE141" s="3"/>
      <c r="DIF141" s="3"/>
      <c r="DIG141" s="3"/>
      <c r="DIH141" s="3"/>
      <c r="DII141" s="3"/>
      <c r="DIJ141" s="3"/>
      <c r="DIK141" s="3"/>
      <c r="DIL141" s="3"/>
      <c r="DIM141" s="3"/>
      <c r="DIN141" s="3"/>
      <c r="DIO141" s="3"/>
      <c r="DIP141" s="3"/>
      <c r="DIQ141" s="3"/>
      <c r="DIR141" s="3"/>
      <c r="DIS141" s="3"/>
      <c r="DIT141" s="3"/>
      <c r="DIU141" s="3"/>
      <c r="DIV141" s="3"/>
      <c r="DIW141" s="3"/>
      <c r="DIX141" s="3"/>
      <c r="DIY141" s="3"/>
      <c r="DIZ141" s="3"/>
      <c r="DJA141" s="3"/>
      <c r="DJB141" s="3"/>
      <c r="DJC141" s="3"/>
      <c r="DJD141" s="3"/>
      <c r="DJE141" s="3"/>
      <c r="DJF141" s="3"/>
      <c r="DJG141" s="3"/>
      <c r="DJH141" s="3"/>
      <c r="DJI141" s="3"/>
      <c r="DJJ141" s="3"/>
      <c r="DJK141" s="3"/>
      <c r="DJL141" s="3"/>
      <c r="DJM141" s="3"/>
      <c r="DJN141" s="3"/>
      <c r="DJO141" s="3"/>
      <c r="DJP141" s="3"/>
      <c r="DJQ141" s="3"/>
      <c r="DJR141" s="3"/>
      <c r="DJS141" s="3"/>
      <c r="DJT141" s="3"/>
      <c r="DJU141" s="3"/>
      <c r="DJV141" s="3"/>
      <c r="DJW141" s="3"/>
      <c r="DJX141" s="3"/>
      <c r="DJY141" s="3"/>
      <c r="DJZ141" s="3"/>
      <c r="DKA141" s="3"/>
      <c r="DKB141" s="3"/>
      <c r="DKC141" s="3"/>
      <c r="DKD141" s="3"/>
      <c r="DKE141" s="3"/>
      <c r="DKF141" s="3"/>
      <c r="DKG141" s="3"/>
      <c r="DKH141" s="3"/>
      <c r="DKI141" s="3"/>
      <c r="DKJ141" s="3"/>
      <c r="DKK141" s="3"/>
      <c r="DKL141" s="3"/>
      <c r="DKM141" s="3"/>
      <c r="DKN141" s="3"/>
      <c r="DKO141" s="3"/>
      <c r="DKP141" s="3"/>
      <c r="DKQ141" s="3"/>
      <c r="DKR141" s="3"/>
      <c r="DKS141" s="3"/>
      <c r="DKT141" s="3"/>
      <c r="DKU141" s="3"/>
      <c r="DKV141" s="3"/>
      <c r="DKW141" s="3"/>
      <c r="DKX141" s="3"/>
      <c r="DKY141" s="3"/>
      <c r="DKZ141" s="3"/>
      <c r="DLA141" s="3"/>
      <c r="DLB141" s="3"/>
      <c r="DLC141" s="3"/>
      <c r="DLD141" s="3"/>
      <c r="DLE141" s="3"/>
      <c r="DLF141" s="3"/>
      <c r="DLG141" s="3"/>
      <c r="DLH141" s="3"/>
      <c r="DLI141" s="3"/>
      <c r="DLJ141" s="3"/>
      <c r="DLK141" s="3"/>
      <c r="DLL141" s="3"/>
      <c r="DLM141" s="3"/>
      <c r="DLN141" s="3"/>
      <c r="DLO141" s="3"/>
      <c r="DLP141" s="3"/>
      <c r="DLQ141" s="3"/>
      <c r="DLR141" s="3"/>
      <c r="DLS141" s="3"/>
      <c r="DLT141" s="3"/>
      <c r="DLU141" s="3"/>
      <c r="DLV141" s="3"/>
      <c r="DLW141" s="3"/>
      <c r="DLX141" s="3"/>
      <c r="DLY141" s="3"/>
      <c r="DLZ141" s="3"/>
      <c r="DMA141" s="3"/>
      <c r="DMB141" s="3"/>
      <c r="DMC141" s="3"/>
      <c r="DMD141" s="3"/>
      <c r="DME141" s="3"/>
      <c r="DMF141" s="3"/>
      <c r="DMG141" s="3"/>
      <c r="DMH141" s="3"/>
      <c r="DMI141" s="3"/>
      <c r="DMJ141" s="3"/>
      <c r="DMK141" s="3"/>
      <c r="DML141" s="3"/>
      <c r="DMM141" s="3"/>
      <c r="DMN141" s="3"/>
      <c r="DMO141" s="3"/>
      <c r="DMP141" s="3"/>
      <c r="DMQ141" s="3"/>
      <c r="DMR141" s="3"/>
      <c r="DMS141" s="3"/>
      <c r="DMT141" s="3"/>
      <c r="DMU141" s="3"/>
      <c r="DMV141" s="3"/>
      <c r="DMW141" s="3"/>
      <c r="DMX141" s="3"/>
      <c r="DMY141" s="3"/>
      <c r="DMZ141" s="3"/>
      <c r="DNA141" s="3"/>
      <c r="DNB141" s="3"/>
      <c r="DNC141" s="3"/>
      <c r="DND141" s="3"/>
      <c r="DNE141" s="3"/>
      <c r="DNF141" s="3"/>
      <c r="DNG141" s="3"/>
      <c r="DNH141" s="3"/>
      <c r="DNI141" s="3"/>
      <c r="DNJ141" s="3"/>
      <c r="DNK141" s="3"/>
      <c r="DNL141" s="3"/>
      <c r="DNM141" s="3"/>
      <c r="DNN141" s="3"/>
      <c r="DNO141" s="3"/>
      <c r="DNP141" s="3"/>
      <c r="DNQ141" s="3"/>
      <c r="DNR141" s="3"/>
      <c r="DNS141" s="3"/>
      <c r="DNT141" s="3"/>
      <c r="DNU141" s="3"/>
      <c r="DNV141" s="3"/>
      <c r="DNW141" s="3"/>
      <c r="DNX141" s="3"/>
      <c r="DNY141" s="3"/>
      <c r="DNZ141" s="3"/>
      <c r="DOA141" s="3"/>
      <c r="DOB141" s="3"/>
      <c r="DOC141" s="3"/>
      <c r="DOD141" s="3"/>
      <c r="DOE141" s="3"/>
      <c r="DOF141" s="3"/>
      <c r="DOG141" s="3"/>
      <c r="DOH141" s="3"/>
      <c r="DOI141" s="3"/>
      <c r="DOJ141" s="3"/>
      <c r="DOK141" s="3"/>
      <c r="DOL141" s="3"/>
      <c r="DOM141" s="3"/>
      <c r="DON141" s="3"/>
      <c r="DOO141" s="3"/>
      <c r="DOP141" s="3"/>
      <c r="DOQ141" s="3"/>
      <c r="DOR141" s="3"/>
      <c r="DOS141" s="3"/>
      <c r="DOT141" s="3"/>
      <c r="DOU141" s="3"/>
      <c r="DOV141" s="3"/>
      <c r="DOW141" s="3"/>
      <c r="DOX141" s="3"/>
      <c r="DOY141" s="3"/>
      <c r="DOZ141" s="3"/>
      <c r="DPA141" s="3"/>
      <c r="DPB141" s="3"/>
      <c r="DPC141" s="3"/>
      <c r="DPD141" s="3"/>
      <c r="DPE141" s="3"/>
      <c r="DPF141" s="3"/>
      <c r="DPG141" s="3"/>
      <c r="DPH141" s="3"/>
      <c r="DPI141" s="3"/>
      <c r="DPJ141" s="3"/>
      <c r="DPK141" s="3"/>
      <c r="DPL141" s="3"/>
      <c r="DPM141" s="3"/>
      <c r="DPN141" s="3"/>
      <c r="DPO141" s="3"/>
      <c r="DPP141" s="3"/>
      <c r="DPQ141" s="3"/>
      <c r="DPR141" s="3"/>
      <c r="DPS141" s="3"/>
      <c r="DPT141" s="3"/>
      <c r="DPU141" s="3"/>
      <c r="DPV141" s="3"/>
      <c r="DPW141" s="3"/>
      <c r="DPX141" s="3"/>
      <c r="DPY141" s="3"/>
      <c r="DPZ141" s="3"/>
      <c r="DQA141" s="3"/>
      <c r="DQB141" s="3"/>
      <c r="DQC141" s="3"/>
      <c r="DQD141" s="3"/>
      <c r="DQE141" s="3"/>
      <c r="DQF141" s="3"/>
      <c r="DQG141" s="3"/>
      <c r="DQH141" s="3"/>
      <c r="DQI141" s="3"/>
      <c r="DQJ141" s="3"/>
      <c r="DQK141" s="3"/>
      <c r="DQL141" s="3"/>
      <c r="DQM141" s="3"/>
      <c r="DQN141" s="3"/>
      <c r="DQO141" s="3"/>
      <c r="DQP141" s="3"/>
      <c r="DQQ141" s="3"/>
      <c r="DQR141" s="3"/>
      <c r="DQS141" s="3"/>
      <c r="DQT141" s="3"/>
      <c r="DQU141" s="3"/>
      <c r="DQV141" s="3"/>
      <c r="DQW141" s="3"/>
      <c r="DQX141" s="3"/>
      <c r="DQY141" s="3"/>
      <c r="DQZ141" s="3"/>
      <c r="DRA141" s="3"/>
      <c r="DRB141" s="3"/>
      <c r="DRC141" s="3"/>
      <c r="DRD141" s="3"/>
      <c r="DRE141" s="3"/>
      <c r="DRF141" s="3"/>
      <c r="DRG141" s="3"/>
      <c r="DRH141" s="3"/>
      <c r="DRI141" s="3"/>
      <c r="DRJ141" s="3"/>
      <c r="DRK141" s="3"/>
      <c r="DRL141" s="3"/>
      <c r="DRM141" s="3"/>
      <c r="DRN141" s="3"/>
      <c r="DRO141" s="3"/>
      <c r="DRP141" s="3"/>
      <c r="DRQ141" s="3"/>
      <c r="DRR141" s="3"/>
      <c r="DRS141" s="3"/>
      <c r="DRT141" s="3"/>
      <c r="DRU141" s="3"/>
      <c r="DRV141" s="3"/>
      <c r="DRW141" s="3"/>
      <c r="DRX141" s="3"/>
      <c r="DRY141" s="3"/>
      <c r="DRZ141" s="3"/>
      <c r="DSA141" s="3"/>
      <c r="DSB141" s="3"/>
      <c r="DSC141" s="3"/>
      <c r="DSD141" s="3"/>
      <c r="DSE141" s="3"/>
      <c r="DSF141" s="3"/>
      <c r="DSG141" s="3"/>
      <c r="DSH141" s="3"/>
      <c r="DSI141" s="3"/>
      <c r="DSJ141" s="3"/>
      <c r="DSK141" s="3"/>
      <c r="DSL141" s="3"/>
      <c r="DSM141" s="3"/>
      <c r="DSN141" s="3"/>
      <c r="DSO141" s="3"/>
      <c r="DSP141" s="3"/>
      <c r="DSQ141" s="3"/>
      <c r="DSR141" s="3"/>
      <c r="DSS141" s="3"/>
      <c r="DST141" s="3"/>
      <c r="DSU141" s="3"/>
      <c r="DSV141" s="3"/>
      <c r="DSW141" s="3"/>
      <c r="DSX141" s="3"/>
      <c r="DSY141" s="3"/>
      <c r="DSZ141" s="3"/>
      <c r="DTA141" s="3"/>
      <c r="DTB141" s="3"/>
      <c r="DTC141" s="3"/>
      <c r="DTD141" s="3"/>
      <c r="DTE141" s="3"/>
      <c r="DTF141" s="3"/>
      <c r="DTG141" s="3"/>
      <c r="DTH141" s="3"/>
      <c r="DTI141" s="3"/>
      <c r="DTJ141" s="3"/>
      <c r="DTK141" s="3"/>
      <c r="DTL141" s="3"/>
      <c r="DTM141" s="3"/>
      <c r="DTN141" s="3"/>
      <c r="DTO141" s="3"/>
      <c r="DTP141" s="3"/>
      <c r="DTQ141" s="3"/>
      <c r="DTR141" s="3"/>
      <c r="DTS141" s="3"/>
      <c r="DTT141" s="3"/>
      <c r="DTU141" s="3"/>
      <c r="DTV141" s="3"/>
      <c r="DTW141" s="3"/>
      <c r="DTX141" s="3"/>
      <c r="DTY141" s="3"/>
      <c r="DTZ141" s="3"/>
      <c r="DUA141" s="3"/>
      <c r="DUB141" s="3"/>
      <c r="DUC141" s="3"/>
      <c r="DUD141" s="3"/>
      <c r="DUE141" s="3"/>
      <c r="DUF141" s="3"/>
      <c r="DUG141" s="3"/>
      <c r="DUH141" s="3"/>
      <c r="DUI141" s="3"/>
      <c r="DUJ141" s="3"/>
      <c r="DUK141" s="3"/>
      <c r="DUL141" s="3"/>
      <c r="DUM141" s="3"/>
      <c r="DUN141" s="3"/>
      <c r="DUO141" s="3"/>
      <c r="DUP141" s="3"/>
      <c r="DUQ141" s="3"/>
      <c r="DUR141" s="3"/>
      <c r="DUS141" s="3"/>
      <c r="DUT141" s="3"/>
      <c r="DUU141" s="3"/>
      <c r="DUV141" s="3"/>
      <c r="DUW141" s="3"/>
      <c r="DUX141" s="3"/>
      <c r="DUY141" s="3"/>
      <c r="DUZ141" s="3"/>
      <c r="DVA141" s="3"/>
      <c r="DVB141" s="3"/>
      <c r="DVC141" s="3"/>
      <c r="DVD141" s="3"/>
      <c r="DVE141" s="3"/>
      <c r="DVF141" s="3"/>
      <c r="DVG141" s="3"/>
      <c r="DVH141" s="3"/>
      <c r="DVI141" s="3"/>
      <c r="DVJ141" s="3"/>
      <c r="DVK141" s="3"/>
      <c r="DVL141" s="3"/>
      <c r="DVM141" s="3"/>
      <c r="DVN141" s="3"/>
      <c r="DVO141" s="3"/>
      <c r="DVP141" s="3"/>
      <c r="DVQ141" s="3"/>
      <c r="DVR141" s="3"/>
      <c r="DVS141" s="3"/>
      <c r="DVT141" s="3"/>
      <c r="DVU141" s="3"/>
      <c r="DVV141" s="3"/>
      <c r="DVW141" s="3"/>
      <c r="DVX141" s="3"/>
      <c r="DVY141" s="3"/>
      <c r="DVZ141" s="3"/>
      <c r="DWA141" s="3"/>
      <c r="DWB141" s="3"/>
      <c r="DWC141" s="3"/>
      <c r="DWD141" s="3"/>
      <c r="DWE141" s="3"/>
      <c r="DWF141" s="3"/>
      <c r="DWG141" s="3"/>
      <c r="DWH141" s="3"/>
      <c r="DWI141" s="3"/>
      <c r="DWJ141" s="3"/>
      <c r="DWK141" s="3"/>
      <c r="DWL141" s="3"/>
      <c r="DWM141" s="3"/>
      <c r="DWN141" s="3"/>
      <c r="DWO141" s="3"/>
      <c r="DWP141" s="3"/>
      <c r="DWQ141" s="3"/>
      <c r="DWR141" s="3"/>
      <c r="DWS141" s="3"/>
      <c r="DWT141" s="3"/>
      <c r="DWU141" s="3"/>
      <c r="DWV141" s="3"/>
      <c r="DWW141" s="3"/>
      <c r="DWX141" s="3"/>
      <c r="DWY141" s="3"/>
      <c r="DWZ141" s="3"/>
      <c r="DXA141" s="3"/>
      <c r="DXB141" s="3"/>
      <c r="DXC141" s="3"/>
      <c r="DXD141" s="3"/>
      <c r="DXE141" s="3"/>
      <c r="DXF141" s="3"/>
      <c r="DXG141" s="3"/>
      <c r="DXH141" s="3"/>
      <c r="DXI141" s="3"/>
      <c r="DXJ141" s="3"/>
      <c r="DXK141" s="3"/>
      <c r="DXL141" s="3"/>
      <c r="DXM141" s="3"/>
      <c r="DXN141" s="3"/>
      <c r="DXO141" s="3"/>
      <c r="DXP141" s="3"/>
      <c r="DXQ141" s="3"/>
      <c r="DXR141" s="3"/>
      <c r="DXS141" s="3"/>
      <c r="DXT141" s="3"/>
      <c r="DXU141" s="3"/>
      <c r="DXV141" s="3"/>
      <c r="DXW141" s="3"/>
      <c r="DXX141" s="3"/>
      <c r="DXY141" s="3"/>
      <c r="DXZ141" s="3"/>
      <c r="DYA141" s="3"/>
      <c r="DYB141" s="3"/>
      <c r="DYC141" s="3"/>
      <c r="DYD141" s="3"/>
      <c r="DYE141" s="3"/>
      <c r="DYF141" s="3"/>
      <c r="DYG141" s="3"/>
      <c r="DYH141" s="3"/>
      <c r="DYI141" s="3"/>
      <c r="DYJ141" s="3"/>
      <c r="DYK141" s="3"/>
      <c r="DYL141" s="3"/>
      <c r="DYM141" s="3"/>
      <c r="DYN141" s="3"/>
      <c r="DYO141" s="3"/>
      <c r="DYP141" s="3"/>
      <c r="DYQ141" s="3"/>
      <c r="DYR141" s="3"/>
      <c r="DYS141" s="3"/>
      <c r="DYT141" s="3"/>
      <c r="DYU141" s="3"/>
      <c r="DYV141" s="3"/>
      <c r="DYW141" s="3"/>
      <c r="DYX141" s="3"/>
      <c r="DYY141" s="3"/>
      <c r="DYZ141" s="3"/>
      <c r="DZA141" s="3"/>
      <c r="DZB141" s="3"/>
      <c r="DZC141" s="3"/>
      <c r="DZD141" s="3"/>
      <c r="DZE141" s="3"/>
      <c r="DZF141" s="3"/>
      <c r="DZG141" s="3"/>
      <c r="DZH141" s="3"/>
      <c r="DZI141" s="3"/>
      <c r="DZJ141" s="3"/>
      <c r="DZK141" s="3"/>
      <c r="DZL141" s="3"/>
      <c r="DZM141" s="3"/>
      <c r="DZN141" s="3"/>
      <c r="DZO141" s="3"/>
      <c r="DZP141" s="3"/>
      <c r="DZQ141" s="3"/>
      <c r="DZR141" s="3"/>
      <c r="DZS141" s="3"/>
      <c r="DZT141" s="3"/>
      <c r="DZU141" s="3"/>
      <c r="DZV141" s="3"/>
      <c r="DZW141" s="3"/>
      <c r="DZX141" s="3"/>
      <c r="DZY141" s="3"/>
      <c r="DZZ141" s="3"/>
      <c r="EAA141" s="3"/>
      <c r="EAB141" s="3"/>
      <c r="EAC141" s="3"/>
      <c r="EAD141" s="3"/>
      <c r="EAE141" s="3"/>
      <c r="EAF141" s="3"/>
      <c r="EAG141" s="3"/>
      <c r="EAH141" s="3"/>
      <c r="EAI141" s="3"/>
      <c r="EAJ141" s="3"/>
      <c r="EAK141" s="3"/>
      <c r="EAL141" s="3"/>
      <c r="EAM141" s="3"/>
      <c r="EAN141" s="3"/>
      <c r="EAO141" s="3"/>
      <c r="EAP141" s="3"/>
      <c r="EAQ141" s="3"/>
      <c r="EAR141" s="3"/>
      <c r="EAS141" s="3"/>
      <c r="EAT141" s="3"/>
      <c r="EAU141" s="3"/>
      <c r="EAV141" s="3"/>
      <c r="EAW141" s="3"/>
      <c r="EAX141" s="3"/>
      <c r="EAY141" s="3"/>
      <c r="EAZ141" s="3"/>
      <c r="EBA141" s="3"/>
      <c r="EBB141" s="3"/>
      <c r="EBC141" s="3"/>
      <c r="EBD141" s="3"/>
      <c r="EBE141" s="3"/>
      <c r="EBF141" s="3"/>
      <c r="EBG141" s="3"/>
      <c r="EBH141" s="3"/>
      <c r="EBI141" s="3"/>
      <c r="EBJ141" s="3"/>
      <c r="EBK141" s="3"/>
      <c r="EBL141" s="3"/>
      <c r="EBM141" s="3"/>
      <c r="EBN141" s="3"/>
      <c r="EBO141" s="3"/>
      <c r="EBP141" s="3"/>
      <c r="EBQ141" s="3"/>
      <c r="EBR141" s="3"/>
      <c r="EBS141" s="3"/>
      <c r="EBT141" s="3"/>
      <c r="EBU141" s="3"/>
      <c r="EBV141" s="3"/>
      <c r="EBW141" s="3"/>
      <c r="EBX141" s="3"/>
      <c r="EBY141" s="3"/>
      <c r="EBZ141" s="3"/>
      <c r="ECA141" s="3"/>
      <c r="ECB141" s="3"/>
      <c r="ECC141" s="3"/>
      <c r="ECD141" s="3"/>
      <c r="ECE141" s="3"/>
      <c r="ECF141" s="3"/>
      <c r="ECG141" s="3"/>
      <c r="ECH141" s="3"/>
      <c r="ECI141" s="3"/>
      <c r="ECJ141" s="3"/>
      <c r="ECK141" s="3"/>
      <c r="ECL141" s="3"/>
      <c r="ECM141" s="3"/>
      <c r="ECN141" s="3"/>
      <c r="ECO141" s="3"/>
      <c r="ECP141" s="3"/>
      <c r="ECQ141" s="3"/>
      <c r="ECR141" s="3"/>
      <c r="ECS141" s="3"/>
      <c r="ECT141" s="3"/>
      <c r="ECU141" s="3"/>
      <c r="ECV141" s="3"/>
      <c r="ECW141" s="3"/>
      <c r="ECX141" s="3"/>
      <c r="ECY141" s="3"/>
      <c r="ECZ141" s="3"/>
      <c r="EDA141" s="3"/>
      <c r="EDB141" s="3"/>
      <c r="EDC141" s="3"/>
      <c r="EDD141" s="3"/>
      <c r="EDE141" s="3"/>
      <c r="EDF141" s="3"/>
      <c r="EDG141" s="3"/>
      <c r="EDH141" s="3"/>
      <c r="EDI141" s="3"/>
      <c r="EDJ141" s="3"/>
      <c r="EDK141" s="3"/>
      <c r="EDL141" s="3"/>
      <c r="EDM141" s="3"/>
      <c r="EDN141" s="3"/>
      <c r="EDO141" s="3"/>
      <c r="EDP141" s="3"/>
      <c r="EDQ141" s="3"/>
      <c r="EDR141" s="3"/>
      <c r="EDS141" s="3"/>
      <c r="EDT141" s="3"/>
      <c r="EDU141" s="3"/>
      <c r="EDV141" s="3"/>
      <c r="EDW141" s="3"/>
      <c r="EDX141" s="3"/>
      <c r="EDY141" s="3"/>
      <c r="EDZ141" s="3"/>
      <c r="EEA141" s="3"/>
      <c r="EEB141" s="3"/>
      <c r="EEC141" s="3"/>
      <c r="EED141" s="3"/>
      <c r="EEE141" s="3"/>
      <c r="EEF141" s="3"/>
      <c r="EEG141" s="3"/>
      <c r="EEH141" s="3"/>
      <c r="EEI141" s="3"/>
      <c r="EEJ141" s="3"/>
      <c r="EEK141" s="3"/>
      <c r="EEL141" s="3"/>
      <c r="EEM141" s="3"/>
      <c r="EEN141" s="3"/>
      <c r="EEO141" s="3"/>
      <c r="EEP141" s="3"/>
      <c r="EEQ141" s="3"/>
      <c r="EER141" s="3"/>
      <c r="EES141" s="3"/>
      <c r="EET141" s="3"/>
      <c r="EEU141" s="3"/>
      <c r="EEV141" s="3"/>
      <c r="EEW141" s="3"/>
      <c r="EEX141" s="3"/>
      <c r="EEY141" s="3"/>
      <c r="EEZ141" s="3"/>
      <c r="EFA141" s="3"/>
      <c r="EFB141" s="3"/>
      <c r="EFC141" s="3"/>
      <c r="EFD141" s="3"/>
      <c r="EFE141" s="3"/>
      <c r="EFF141" s="3"/>
      <c r="EFG141" s="3"/>
      <c r="EFH141" s="3"/>
      <c r="EFI141" s="3"/>
      <c r="EFJ141" s="3"/>
      <c r="EFK141" s="3"/>
      <c r="EFL141" s="3"/>
      <c r="EFM141" s="3"/>
      <c r="EFN141" s="3"/>
      <c r="EFO141" s="3"/>
      <c r="EFP141" s="3"/>
      <c r="EFQ141" s="3"/>
      <c r="EFR141" s="3"/>
      <c r="EFS141" s="3"/>
      <c r="EFT141" s="3"/>
      <c r="EFU141" s="3"/>
      <c r="EFV141" s="3"/>
      <c r="EFW141" s="3"/>
      <c r="EFX141" s="3"/>
      <c r="EFY141" s="3"/>
      <c r="EFZ141" s="3"/>
      <c r="EGA141" s="3"/>
      <c r="EGB141" s="3"/>
      <c r="EGC141" s="3"/>
      <c r="EGD141" s="3"/>
      <c r="EGE141" s="3"/>
      <c r="EGF141" s="3"/>
      <c r="EGG141" s="3"/>
      <c r="EGH141" s="3"/>
      <c r="EGI141" s="3"/>
      <c r="EGJ141" s="3"/>
      <c r="EGK141" s="3"/>
      <c r="EGL141" s="3"/>
      <c r="EGM141" s="3"/>
      <c r="EGN141" s="3"/>
      <c r="EGO141" s="3"/>
      <c r="EGP141" s="3"/>
      <c r="EGQ141" s="3"/>
      <c r="EGR141" s="3"/>
      <c r="EGS141" s="3"/>
      <c r="EGT141" s="3"/>
      <c r="EGU141" s="3"/>
      <c r="EGV141" s="3"/>
      <c r="EGW141" s="3"/>
      <c r="EGX141" s="3"/>
      <c r="EGY141" s="3"/>
      <c r="EGZ141" s="3"/>
      <c r="EHA141" s="3"/>
      <c r="EHB141" s="3"/>
      <c r="EHC141" s="3"/>
      <c r="EHD141" s="3"/>
      <c r="EHE141" s="3"/>
      <c r="EHF141" s="3"/>
      <c r="EHG141" s="3"/>
      <c r="EHH141" s="3"/>
      <c r="EHI141" s="3"/>
      <c r="EHJ141" s="3"/>
      <c r="EHK141" s="3"/>
      <c r="EHL141" s="3"/>
      <c r="EHM141" s="3"/>
      <c r="EHN141" s="3"/>
      <c r="EHO141" s="3"/>
      <c r="EHP141" s="3"/>
      <c r="EHQ141" s="3"/>
      <c r="EHR141" s="3"/>
      <c r="EHS141" s="3"/>
      <c r="EHT141" s="3"/>
      <c r="EHU141" s="3"/>
      <c r="EHV141" s="3"/>
      <c r="EHW141" s="3"/>
      <c r="EHX141" s="3"/>
      <c r="EHY141" s="3"/>
      <c r="EHZ141" s="3"/>
      <c r="EIA141" s="3"/>
      <c r="EIB141" s="3"/>
      <c r="EIC141" s="3"/>
      <c r="EID141" s="3"/>
      <c r="EIE141" s="3"/>
      <c r="EIF141" s="3"/>
      <c r="EIG141" s="3"/>
      <c r="EIH141" s="3"/>
      <c r="EII141" s="3"/>
      <c r="EIJ141" s="3"/>
      <c r="EIK141" s="3"/>
      <c r="EIL141" s="3"/>
      <c r="EIM141" s="3"/>
      <c r="EIN141" s="3"/>
      <c r="EIO141" s="3"/>
      <c r="EIP141" s="3"/>
      <c r="EIQ141" s="3"/>
      <c r="EIR141" s="3"/>
      <c r="EIS141" s="3"/>
      <c r="EIT141" s="3"/>
      <c r="EIU141" s="3"/>
      <c r="EIV141" s="3"/>
      <c r="EIW141" s="3"/>
      <c r="EIX141" s="3"/>
      <c r="EIY141" s="3"/>
      <c r="EIZ141" s="3"/>
      <c r="EJA141" s="3"/>
      <c r="EJB141" s="3"/>
      <c r="EJC141" s="3"/>
      <c r="EJD141" s="3"/>
      <c r="EJE141" s="3"/>
      <c r="EJF141" s="3"/>
      <c r="EJG141" s="3"/>
      <c r="EJH141" s="3"/>
      <c r="EJI141" s="3"/>
      <c r="EJJ141" s="3"/>
      <c r="EJK141" s="3"/>
      <c r="EJL141" s="3"/>
      <c r="EJM141" s="3"/>
      <c r="EJN141" s="3"/>
      <c r="EJO141" s="3"/>
      <c r="EJP141" s="3"/>
      <c r="EJQ141" s="3"/>
      <c r="EJR141" s="3"/>
      <c r="EJS141" s="3"/>
      <c r="EJT141" s="3"/>
      <c r="EJU141" s="3"/>
      <c r="EJV141" s="3"/>
      <c r="EJW141" s="3"/>
      <c r="EJX141" s="3"/>
      <c r="EJY141" s="3"/>
      <c r="EJZ141" s="3"/>
      <c r="EKA141" s="3"/>
      <c r="EKB141" s="3"/>
      <c r="EKC141" s="3"/>
      <c r="EKD141" s="3"/>
      <c r="EKE141" s="3"/>
      <c r="EKF141" s="3"/>
      <c r="EKG141" s="3"/>
      <c r="EKH141" s="3"/>
      <c r="EKI141" s="3"/>
      <c r="EKJ141" s="3"/>
      <c r="EKK141" s="3"/>
      <c r="EKL141" s="3"/>
      <c r="EKM141" s="3"/>
      <c r="EKN141" s="3"/>
      <c r="EKO141" s="3"/>
      <c r="EKP141" s="3"/>
      <c r="EKQ141" s="3"/>
      <c r="EKR141" s="3"/>
      <c r="EKS141" s="3"/>
      <c r="EKT141" s="3"/>
      <c r="EKU141" s="3"/>
      <c r="EKV141" s="3"/>
      <c r="EKW141" s="3"/>
      <c r="EKX141" s="3"/>
      <c r="EKY141" s="3"/>
      <c r="EKZ141" s="3"/>
      <c r="ELA141" s="3"/>
      <c r="ELB141" s="3"/>
      <c r="ELC141" s="3"/>
      <c r="ELD141" s="3"/>
      <c r="ELE141" s="3"/>
      <c r="ELF141" s="3"/>
      <c r="ELG141" s="3"/>
      <c r="ELH141" s="3"/>
      <c r="ELI141" s="3"/>
      <c r="ELJ141" s="3"/>
      <c r="ELK141" s="3"/>
      <c r="ELL141" s="3"/>
      <c r="ELM141" s="3"/>
      <c r="ELN141" s="3"/>
      <c r="ELO141" s="3"/>
      <c r="ELP141" s="3"/>
      <c r="ELQ141" s="3"/>
      <c r="ELR141" s="3"/>
      <c r="ELS141" s="3"/>
      <c r="ELT141" s="3"/>
      <c r="ELU141" s="3"/>
      <c r="ELV141" s="3"/>
      <c r="ELW141" s="3"/>
      <c r="ELX141" s="3"/>
      <c r="ELY141" s="3"/>
      <c r="ELZ141" s="3"/>
      <c r="EMA141" s="3"/>
      <c r="EMB141" s="3"/>
      <c r="EMC141" s="3"/>
      <c r="EMD141" s="3"/>
      <c r="EME141" s="3"/>
      <c r="EMF141" s="3"/>
      <c r="EMG141" s="3"/>
      <c r="EMH141" s="3"/>
      <c r="EMI141" s="3"/>
      <c r="EMJ141" s="3"/>
      <c r="EMK141" s="3"/>
      <c r="EML141" s="3"/>
      <c r="EMM141" s="3"/>
      <c r="EMN141" s="3"/>
      <c r="EMO141" s="3"/>
      <c r="EMP141" s="3"/>
      <c r="EMQ141" s="3"/>
      <c r="EMR141" s="3"/>
      <c r="EMS141" s="3"/>
      <c r="EMT141" s="3"/>
      <c r="EMU141" s="3"/>
      <c r="EMV141" s="3"/>
      <c r="EMW141" s="3"/>
      <c r="EMX141" s="3"/>
      <c r="EMY141" s="3"/>
      <c r="EMZ141" s="3"/>
      <c r="ENA141" s="3"/>
      <c r="ENB141" s="3"/>
      <c r="ENC141" s="3"/>
      <c r="END141" s="3"/>
      <c r="ENE141" s="3"/>
      <c r="ENF141" s="3"/>
      <c r="ENG141" s="3"/>
      <c r="ENH141" s="3"/>
      <c r="ENI141" s="3"/>
      <c r="ENJ141" s="3"/>
      <c r="ENK141" s="3"/>
      <c r="ENL141" s="3"/>
      <c r="ENM141" s="3"/>
      <c r="ENN141" s="3"/>
      <c r="ENO141" s="3"/>
      <c r="ENP141" s="3"/>
      <c r="ENQ141" s="3"/>
      <c r="ENR141" s="3"/>
      <c r="ENS141" s="3"/>
      <c r="ENT141" s="3"/>
      <c r="ENU141" s="3"/>
      <c r="ENV141" s="3"/>
      <c r="ENW141" s="3"/>
      <c r="ENX141" s="3"/>
      <c r="ENY141" s="3"/>
      <c r="ENZ141" s="3"/>
      <c r="EOA141" s="3"/>
      <c r="EOB141" s="3"/>
      <c r="EOC141" s="3"/>
      <c r="EOD141" s="3"/>
      <c r="EOE141" s="3"/>
      <c r="EOF141" s="3"/>
      <c r="EOG141" s="3"/>
      <c r="EOH141" s="3"/>
      <c r="EOI141" s="3"/>
      <c r="EOJ141" s="3"/>
      <c r="EOK141" s="3"/>
      <c r="EOL141" s="3"/>
      <c r="EOM141" s="3"/>
      <c r="EON141" s="3"/>
      <c r="EOO141" s="3"/>
      <c r="EOP141" s="3"/>
      <c r="EOQ141" s="3"/>
      <c r="EOR141" s="3"/>
      <c r="EOS141" s="3"/>
      <c r="EOT141" s="3"/>
      <c r="EOU141" s="3"/>
      <c r="EOV141" s="3"/>
      <c r="EOW141" s="3"/>
      <c r="EOX141" s="3"/>
      <c r="EOY141" s="3"/>
      <c r="EOZ141" s="3"/>
      <c r="EPA141" s="3"/>
      <c r="EPB141" s="3"/>
      <c r="EPC141" s="3"/>
      <c r="EPD141" s="3"/>
      <c r="EPE141" s="3"/>
      <c r="EPF141" s="3"/>
      <c r="EPG141" s="3"/>
      <c r="EPH141" s="3"/>
      <c r="EPI141" s="3"/>
      <c r="EPJ141" s="3"/>
      <c r="EPK141" s="3"/>
      <c r="EPL141" s="3"/>
      <c r="EPM141" s="3"/>
      <c r="EPN141" s="3"/>
      <c r="EPO141" s="3"/>
      <c r="EPP141" s="3"/>
      <c r="EPQ141" s="3"/>
      <c r="EPR141" s="3"/>
      <c r="EPS141" s="3"/>
      <c r="EPT141" s="3"/>
      <c r="EPU141" s="3"/>
      <c r="EPV141" s="3"/>
      <c r="EPW141" s="3"/>
      <c r="EPX141" s="3"/>
      <c r="EPY141" s="3"/>
      <c r="EPZ141" s="3"/>
      <c r="EQA141" s="3"/>
      <c r="EQB141" s="3"/>
      <c r="EQC141" s="3"/>
      <c r="EQD141" s="3"/>
      <c r="EQE141" s="3"/>
      <c r="EQF141" s="3"/>
      <c r="EQG141" s="3"/>
      <c r="EQH141" s="3"/>
      <c r="EQI141" s="3"/>
      <c r="EQJ141" s="3"/>
      <c r="EQK141" s="3"/>
      <c r="EQL141" s="3"/>
      <c r="EQM141" s="3"/>
      <c r="EQN141" s="3"/>
      <c r="EQO141" s="3"/>
      <c r="EQP141" s="3"/>
      <c r="EQQ141" s="3"/>
      <c r="EQR141" s="3"/>
      <c r="EQS141" s="3"/>
      <c r="EQT141" s="3"/>
      <c r="EQU141" s="3"/>
      <c r="EQV141" s="3"/>
      <c r="EQW141" s="3"/>
      <c r="EQX141" s="3"/>
      <c r="EQY141" s="3"/>
      <c r="EQZ141" s="3"/>
      <c r="ERA141" s="3"/>
      <c r="ERB141" s="3"/>
      <c r="ERC141" s="3"/>
      <c r="ERD141" s="3"/>
      <c r="ERE141" s="3"/>
      <c r="ERF141" s="3"/>
      <c r="ERG141" s="3"/>
      <c r="ERH141" s="3"/>
      <c r="ERI141" s="3"/>
      <c r="ERJ141" s="3"/>
      <c r="ERK141" s="3"/>
      <c r="ERL141" s="3"/>
      <c r="ERM141" s="3"/>
      <c r="ERN141" s="3"/>
      <c r="ERO141" s="3"/>
      <c r="ERP141" s="3"/>
      <c r="ERQ141" s="3"/>
      <c r="ERR141" s="3"/>
      <c r="ERS141" s="3"/>
      <c r="ERT141" s="3"/>
      <c r="ERU141" s="3"/>
      <c r="ERV141" s="3"/>
      <c r="ERW141" s="3"/>
      <c r="ERX141" s="3"/>
      <c r="ERY141" s="3"/>
      <c r="ERZ141" s="3"/>
      <c r="ESA141" s="3"/>
      <c r="ESB141" s="3"/>
      <c r="ESC141" s="3"/>
      <c r="ESD141" s="3"/>
      <c r="ESE141" s="3"/>
      <c r="ESF141" s="3"/>
      <c r="ESG141" s="3"/>
      <c r="ESH141" s="3"/>
      <c r="ESI141" s="3"/>
      <c r="ESJ141" s="3"/>
      <c r="ESK141" s="3"/>
      <c r="ESL141" s="3"/>
      <c r="ESM141" s="3"/>
      <c r="ESN141" s="3"/>
      <c r="ESO141" s="3"/>
      <c r="ESP141" s="3"/>
      <c r="ESQ141" s="3"/>
      <c r="ESR141" s="3"/>
      <c r="ESS141" s="3"/>
      <c r="EST141" s="3"/>
      <c r="ESU141" s="3"/>
      <c r="ESV141" s="3"/>
      <c r="ESW141" s="3"/>
      <c r="ESX141" s="3"/>
      <c r="ESY141" s="3"/>
      <c r="ESZ141" s="3"/>
      <c r="ETA141" s="3"/>
      <c r="ETB141" s="3"/>
      <c r="ETC141" s="3"/>
      <c r="ETD141" s="3"/>
      <c r="ETE141" s="3"/>
      <c r="ETF141" s="3"/>
      <c r="ETG141" s="3"/>
      <c r="ETH141" s="3"/>
      <c r="ETI141" s="3"/>
      <c r="ETJ141" s="3"/>
      <c r="ETK141" s="3"/>
      <c r="ETL141" s="3"/>
      <c r="ETM141" s="3"/>
      <c r="ETN141" s="3"/>
      <c r="ETO141" s="3"/>
      <c r="ETP141" s="3"/>
      <c r="ETQ141" s="3"/>
      <c r="ETR141" s="3"/>
      <c r="ETS141" s="3"/>
      <c r="ETT141" s="3"/>
      <c r="ETU141" s="3"/>
      <c r="ETV141" s="3"/>
      <c r="ETW141" s="3"/>
      <c r="ETX141" s="3"/>
      <c r="ETY141" s="3"/>
      <c r="ETZ141" s="3"/>
      <c r="EUA141" s="3"/>
      <c r="EUB141" s="3"/>
      <c r="EUC141" s="3"/>
      <c r="EUD141" s="3"/>
      <c r="EUE141" s="3"/>
      <c r="EUF141" s="3"/>
      <c r="EUG141" s="3"/>
      <c r="EUH141" s="3"/>
      <c r="EUI141" s="3"/>
      <c r="EUJ141" s="3"/>
      <c r="EUK141" s="3"/>
      <c r="EUL141" s="3"/>
      <c r="EUM141" s="3"/>
      <c r="EUN141" s="3"/>
      <c r="EUO141" s="3"/>
      <c r="EUP141" s="3"/>
      <c r="EUQ141" s="3"/>
      <c r="EUR141" s="3"/>
      <c r="EUS141" s="3"/>
      <c r="EUT141" s="3"/>
      <c r="EUU141" s="3"/>
      <c r="EUV141" s="3"/>
      <c r="EUW141" s="3"/>
      <c r="EUX141" s="3"/>
      <c r="EUY141" s="3"/>
      <c r="EUZ141" s="3"/>
      <c r="EVA141" s="3"/>
      <c r="EVB141" s="3"/>
      <c r="EVC141" s="3"/>
      <c r="EVD141" s="3"/>
      <c r="EVE141" s="3"/>
      <c r="EVF141" s="3"/>
      <c r="EVG141" s="3"/>
      <c r="EVH141" s="3"/>
      <c r="EVI141" s="3"/>
      <c r="EVJ141" s="3"/>
      <c r="EVK141" s="3"/>
      <c r="EVL141" s="3"/>
      <c r="EVM141" s="3"/>
      <c r="EVN141" s="3"/>
      <c r="EVO141" s="3"/>
      <c r="EVP141" s="3"/>
      <c r="EVQ141" s="3"/>
      <c r="EVR141" s="3"/>
      <c r="EVS141" s="3"/>
      <c r="EVT141" s="3"/>
      <c r="EVU141" s="3"/>
      <c r="EVV141" s="3"/>
      <c r="EVW141" s="3"/>
      <c r="EVX141" s="3"/>
      <c r="EVY141" s="3"/>
      <c r="EVZ141" s="3"/>
      <c r="EWA141" s="3"/>
      <c r="EWB141" s="3"/>
      <c r="EWC141" s="3"/>
      <c r="EWD141" s="3"/>
      <c r="EWE141" s="3"/>
      <c r="EWF141" s="3"/>
      <c r="EWG141" s="3"/>
      <c r="EWH141" s="3"/>
      <c r="EWI141" s="3"/>
      <c r="EWJ141" s="3"/>
      <c r="EWK141" s="3"/>
      <c r="EWL141" s="3"/>
      <c r="EWM141" s="3"/>
      <c r="EWN141" s="3"/>
      <c r="EWO141" s="3"/>
      <c r="EWP141" s="3"/>
      <c r="EWQ141" s="3"/>
      <c r="EWR141" s="3"/>
      <c r="EWS141" s="3"/>
      <c r="EWT141" s="3"/>
      <c r="EWU141" s="3"/>
      <c r="EWV141" s="3"/>
      <c r="EWW141" s="3"/>
      <c r="EWX141" s="3"/>
      <c r="EWY141" s="3"/>
      <c r="EWZ141" s="3"/>
      <c r="EXA141" s="3"/>
      <c r="EXB141" s="3"/>
      <c r="EXC141" s="3"/>
      <c r="EXD141" s="3"/>
      <c r="EXE141" s="3"/>
      <c r="EXF141" s="3"/>
      <c r="EXG141" s="3"/>
      <c r="EXH141" s="3"/>
      <c r="EXI141" s="3"/>
      <c r="EXJ141" s="3"/>
      <c r="EXK141" s="3"/>
      <c r="EXL141" s="3"/>
      <c r="EXM141" s="3"/>
      <c r="EXN141" s="3"/>
      <c r="EXO141" s="3"/>
      <c r="EXP141" s="3"/>
      <c r="EXQ141" s="3"/>
      <c r="EXR141" s="3"/>
      <c r="EXS141" s="3"/>
      <c r="EXT141" s="3"/>
      <c r="EXU141" s="3"/>
      <c r="EXV141" s="3"/>
      <c r="EXW141" s="3"/>
      <c r="EXX141" s="3"/>
      <c r="EXY141" s="3"/>
      <c r="EXZ141" s="3"/>
      <c r="EYA141" s="3"/>
      <c r="EYB141" s="3"/>
      <c r="EYC141" s="3"/>
      <c r="EYD141" s="3"/>
      <c r="EYE141" s="3"/>
      <c r="EYF141" s="3"/>
      <c r="EYG141" s="3"/>
      <c r="EYH141" s="3"/>
      <c r="EYI141" s="3"/>
      <c r="EYJ141" s="3"/>
      <c r="EYK141" s="3"/>
      <c r="EYL141" s="3"/>
      <c r="EYM141" s="3"/>
      <c r="EYN141" s="3"/>
      <c r="EYO141" s="3"/>
      <c r="EYP141" s="3"/>
      <c r="EYQ141" s="3"/>
      <c r="EYR141" s="3"/>
      <c r="EYS141" s="3"/>
      <c r="EYT141" s="3"/>
      <c r="EYU141" s="3"/>
      <c r="EYV141" s="3"/>
      <c r="EYW141" s="3"/>
      <c r="EYX141" s="3"/>
      <c r="EYY141" s="3"/>
      <c r="EYZ141" s="3"/>
      <c r="EZA141" s="3"/>
      <c r="EZB141" s="3"/>
      <c r="EZC141" s="3"/>
      <c r="EZD141" s="3"/>
      <c r="EZE141" s="3"/>
      <c r="EZF141" s="3"/>
      <c r="EZG141" s="3"/>
      <c r="EZH141" s="3"/>
      <c r="EZI141" s="3"/>
      <c r="EZJ141" s="3"/>
      <c r="EZK141" s="3"/>
      <c r="EZL141" s="3"/>
      <c r="EZM141" s="3"/>
      <c r="EZN141" s="3"/>
      <c r="EZO141" s="3"/>
      <c r="EZP141" s="3"/>
      <c r="EZQ141" s="3"/>
      <c r="EZR141" s="3"/>
      <c r="EZS141" s="3"/>
      <c r="EZT141" s="3"/>
      <c r="EZU141" s="3"/>
      <c r="EZV141" s="3"/>
      <c r="EZW141" s="3"/>
      <c r="EZX141" s="3"/>
      <c r="EZY141" s="3"/>
      <c r="EZZ141" s="3"/>
      <c r="FAA141" s="3"/>
      <c r="FAB141" s="3"/>
      <c r="FAC141" s="3"/>
      <c r="FAD141" s="3"/>
      <c r="FAE141" s="3"/>
      <c r="FAF141" s="3"/>
      <c r="FAG141" s="3"/>
      <c r="FAH141" s="3"/>
      <c r="FAI141" s="3"/>
      <c r="FAJ141" s="3"/>
      <c r="FAK141" s="3"/>
      <c r="FAL141" s="3"/>
      <c r="FAM141" s="3"/>
      <c r="FAN141" s="3"/>
      <c r="FAO141" s="3"/>
      <c r="FAP141" s="3"/>
      <c r="FAQ141" s="3"/>
      <c r="FAR141" s="3"/>
      <c r="FAS141" s="3"/>
      <c r="FAT141" s="3"/>
      <c r="FAU141" s="3"/>
      <c r="FAV141" s="3"/>
      <c r="FAW141" s="3"/>
      <c r="FAX141" s="3"/>
      <c r="FAY141" s="3"/>
      <c r="FAZ141" s="3"/>
      <c r="FBA141" s="3"/>
      <c r="FBB141" s="3"/>
      <c r="FBC141" s="3"/>
      <c r="FBD141" s="3"/>
      <c r="FBE141" s="3"/>
      <c r="FBF141" s="3"/>
      <c r="FBG141" s="3"/>
      <c r="FBH141" s="3"/>
      <c r="FBI141" s="3"/>
      <c r="FBJ141" s="3"/>
      <c r="FBK141" s="3"/>
      <c r="FBL141" s="3"/>
      <c r="FBM141" s="3"/>
      <c r="FBN141" s="3"/>
      <c r="FBO141" s="3"/>
      <c r="FBP141" s="3"/>
      <c r="FBQ141" s="3"/>
      <c r="FBR141" s="3"/>
      <c r="FBS141" s="3"/>
      <c r="FBT141" s="3"/>
      <c r="FBU141" s="3"/>
      <c r="FBV141" s="3"/>
      <c r="FBW141" s="3"/>
      <c r="FBX141" s="3"/>
      <c r="FBY141" s="3"/>
      <c r="FBZ141" s="3"/>
      <c r="FCA141" s="3"/>
      <c r="FCB141" s="3"/>
      <c r="FCC141" s="3"/>
      <c r="FCD141" s="3"/>
      <c r="FCE141" s="3"/>
      <c r="FCF141" s="3"/>
      <c r="FCG141" s="3"/>
      <c r="FCH141" s="3"/>
      <c r="FCI141" s="3"/>
      <c r="FCJ141" s="3"/>
      <c r="FCK141" s="3"/>
      <c r="FCL141" s="3"/>
      <c r="FCM141" s="3"/>
      <c r="FCN141" s="3"/>
      <c r="FCO141" s="3"/>
      <c r="FCP141" s="3"/>
      <c r="FCQ141" s="3"/>
      <c r="FCR141" s="3"/>
      <c r="FCS141" s="3"/>
      <c r="FCT141" s="3"/>
      <c r="FCU141" s="3"/>
      <c r="FCV141" s="3"/>
      <c r="FCW141" s="3"/>
      <c r="FCX141" s="3"/>
      <c r="FCY141" s="3"/>
      <c r="FCZ141" s="3"/>
      <c r="FDA141" s="3"/>
      <c r="FDB141" s="3"/>
      <c r="FDC141" s="3"/>
      <c r="FDD141" s="3"/>
      <c r="FDE141" s="3"/>
      <c r="FDF141" s="3"/>
      <c r="FDG141" s="3"/>
      <c r="FDH141" s="3"/>
      <c r="FDI141" s="3"/>
      <c r="FDJ141" s="3"/>
      <c r="FDK141" s="3"/>
      <c r="FDL141" s="3"/>
      <c r="FDM141" s="3"/>
      <c r="FDN141" s="3"/>
      <c r="FDO141" s="3"/>
      <c r="FDP141" s="3"/>
      <c r="FDQ141" s="3"/>
      <c r="FDR141" s="3"/>
      <c r="FDS141" s="3"/>
      <c r="FDT141" s="3"/>
      <c r="FDU141" s="3"/>
      <c r="FDV141" s="3"/>
      <c r="FDW141" s="3"/>
      <c r="FDX141" s="3"/>
      <c r="FDY141" s="3"/>
      <c r="FDZ141" s="3"/>
      <c r="FEA141" s="3"/>
      <c r="FEB141" s="3"/>
      <c r="FEC141" s="3"/>
      <c r="FED141" s="3"/>
      <c r="FEE141" s="3"/>
      <c r="FEF141" s="3"/>
      <c r="FEG141" s="3"/>
      <c r="FEH141" s="3"/>
      <c r="FEI141" s="3"/>
      <c r="FEJ141" s="3"/>
      <c r="FEK141" s="3"/>
      <c r="FEL141" s="3"/>
      <c r="FEM141" s="3"/>
      <c r="FEN141" s="3"/>
      <c r="FEO141" s="3"/>
      <c r="FEP141" s="3"/>
      <c r="FEQ141" s="3"/>
      <c r="FER141" s="3"/>
      <c r="FES141" s="3"/>
      <c r="FET141" s="3"/>
      <c r="FEU141" s="3"/>
      <c r="FEV141" s="3"/>
      <c r="FEW141" s="3"/>
      <c r="FEX141" s="3"/>
      <c r="FEY141" s="3"/>
      <c r="FEZ141" s="3"/>
      <c r="FFA141" s="3"/>
      <c r="FFB141" s="3"/>
      <c r="FFC141" s="3"/>
      <c r="FFD141" s="3"/>
      <c r="FFE141" s="3"/>
      <c r="FFF141" s="3"/>
      <c r="FFG141" s="3"/>
      <c r="FFH141" s="3"/>
      <c r="FFI141" s="3"/>
      <c r="FFJ141" s="3"/>
      <c r="FFK141" s="3"/>
      <c r="FFL141" s="3"/>
      <c r="FFM141" s="3"/>
      <c r="FFN141" s="3"/>
      <c r="FFO141" s="3"/>
      <c r="FFP141" s="3"/>
      <c r="FFQ141" s="3"/>
      <c r="FFR141" s="3"/>
      <c r="FFS141" s="3"/>
      <c r="FFT141" s="3"/>
      <c r="FFU141" s="3"/>
      <c r="FFV141" s="3"/>
      <c r="FFW141" s="3"/>
      <c r="FFX141" s="3"/>
      <c r="FFY141" s="3"/>
      <c r="FFZ141" s="3"/>
      <c r="FGA141" s="3"/>
      <c r="FGB141" s="3"/>
      <c r="FGC141" s="3"/>
      <c r="FGD141" s="3"/>
      <c r="FGE141" s="3"/>
      <c r="FGF141" s="3"/>
      <c r="FGG141" s="3"/>
      <c r="FGH141" s="3"/>
      <c r="FGI141" s="3"/>
      <c r="FGJ141" s="3"/>
      <c r="FGK141" s="3"/>
      <c r="FGL141" s="3"/>
      <c r="FGM141" s="3"/>
      <c r="FGN141" s="3"/>
      <c r="FGO141" s="3"/>
      <c r="FGP141" s="3"/>
      <c r="FGQ141" s="3"/>
      <c r="FGR141" s="3"/>
      <c r="FGS141" s="3"/>
      <c r="FGT141" s="3"/>
      <c r="FGU141" s="3"/>
      <c r="FGV141" s="3"/>
      <c r="FGW141" s="3"/>
      <c r="FGX141" s="3"/>
      <c r="FGY141" s="3"/>
      <c r="FGZ141" s="3"/>
      <c r="FHA141" s="3"/>
      <c r="FHB141" s="3"/>
      <c r="FHC141" s="3"/>
      <c r="FHD141" s="3"/>
      <c r="FHE141" s="3"/>
      <c r="FHF141" s="3"/>
      <c r="FHG141" s="3"/>
      <c r="FHH141" s="3"/>
      <c r="FHI141" s="3"/>
      <c r="FHJ141" s="3"/>
      <c r="FHK141" s="3"/>
      <c r="FHL141" s="3"/>
      <c r="FHM141" s="3"/>
      <c r="FHN141" s="3"/>
      <c r="FHO141" s="3"/>
      <c r="FHP141" s="3"/>
      <c r="FHQ141" s="3"/>
      <c r="FHR141" s="3"/>
      <c r="FHS141" s="3"/>
      <c r="FHT141" s="3"/>
      <c r="FHU141" s="3"/>
      <c r="FHV141" s="3"/>
      <c r="FHW141" s="3"/>
      <c r="FHX141" s="3"/>
      <c r="FHY141" s="3"/>
      <c r="FHZ141" s="3"/>
      <c r="FIA141" s="3"/>
      <c r="FIB141" s="3"/>
      <c r="FIC141" s="3"/>
      <c r="FID141" s="3"/>
      <c r="FIE141" s="3"/>
      <c r="FIF141" s="3"/>
      <c r="FIG141" s="3"/>
      <c r="FIH141" s="3"/>
      <c r="FII141" s="3"/>
      <c r="FIJ141" s="3"/>
      <c r="FIK141" s="3"/>
      <c r="FIL141" s="3"/>
      <c r="FIM141" s="3"/>
      <c r="FIN141" s="3"/>
      <c r="FIO141" s="3"/>
      <c r="FIP141" s="3"/>
      <c r="FIQ141" s="3"/>
      <c r="FIR141" s="3"/>
      <c r="FIS141" s="3"/>
      <c r="FIT141" s="3"/>
      <c r="FIU141" s="3"/>
      <c r="FIV141" s="3"/>
      <c r="FIW141" s="3"/>
      <c r="FIX141" s="3"/>
      <c r="FIY141" s="3"/>
      <c r="FIZ141" s="3"/>
      <c r="FJA141" s="3"/>
      <c r="FJB141" s="3"/>
      <c r="FJC141" s="3"/>
      <c r="FJD141" s="3"/>
      <c r="FJE141" s="3"/>
      <c r="FJF141" s="3"/>
      <c r="FJG141" s="3"/>
      <c r="FJH141" s="3"/>
      <c r="FJI141" s="3"/>
      <c r="FJJ141" s="3"/>
      <c r="FJK141" s="3"/>
      <c r="FJL141" s="3"/>
      <c r="FJM141" s="3"/>
      <c r="FJN141" s="3"/>
      <c r="FJO141" s="3"/>
      <c r="FJP141" s="3"/>
      <c r="FJQ141" s="3"/>
      <c r="FJR141" s="3"/>
      <c r="FJS141" s="3"/>
      <c r="FJT141" s="3"/>
      <c r="FJU141" s="3"/>
      <c r="FJV141" s="3"/>
      <c r="FJW141" s="3"/>
      <c r="FJX141" s="3"/>
      <c r="FJY141" s="3"/>
      <c r="FJZ141" s="3"/>
      <c r="FKA141" s="3"/>
      <c r="FKB141" s="3"/>
      <c r="FKC141" s="3"/>
      <c r="FKD141" s="3"/>
      <c r="FKE141" s="3"/>
      <c r="FKF141" s="3"/>
      <c r="FKG141" s="3"/>
      <c r="FKH141" s="3"/>
      <c r="FKI141" s="3"/>
      <c r="FKJ141" s="3"/>
      <c r="FKK141" s="3"/>
      <c r="FKL141" s="3"/>
      <c r="FKM141" s="3"/>
      <c r="FKN141" s="3"/>
      <c r="FKO141" s="3"/>
      <c r="FKP141" s="3"/>
      <c r="FKQ141" s="3"/>
      <c r="FKR141" s="3"/>
      <c r="FKS141" s="3"/>
      <c r="FKT141" s="3"/>
      <c r="FKU141" s="3"/>
      <c r="FKV141" s="3"/>
      <c r="FKW141" s="3"/>
      <c r="FKX141" s="3"/>
      <c r="FKY141" s="3"/>
      <c r="FKZ141" s="3"/>
      <c r="FLA141" s="3"/>
      <c r="FLB141" s="3"/>
      <c r="FLC141" s="3"/>
      <c r="FLD141" s="3"/>
      <c r="FLE141" s="3"/>
      <c r="FLF141" s="3"/>
      <c r="FLG141" s="3"/>
      <c r="FLH141" s="3"/>
      <c r="FLI141" s="3"/>
      <c r="FLJ141" s="3"/>
      <c r="FLK141" s="3"/>
      <c r="FLL141" s="3"/>
      <c r="FLM141" s="3"/>
      <c r="FLN141" s="3"/>
      <c r="FLO141" s="3"/>
      <c r="FLP141" s="3"/>
      <c r="FLQ141" s="3"/>
      <c r="FLR141" s="3"/>
      <c r="FLS141" s="3"/>
      <c r="FLT141" s="3"/>
      <c r="FLU141" s="3"/>
      <c r="FLV141" s="3"/>
      <c r="FLW141" s="3"/>
      <c r="FLX141" s="3"/>
      <c r="FLY141" s="3"/>
      <c r="FLZ141" s="3"/>
      <c r="FMA141" s="3"/>
      <c r="FMB141" s="3"/>
      <c r="FMC141" s="3"/>
      <c r="FMD141" s="3"/>
      <c r="FME141" s="3"/>
      <c r="FMF141" s="3"/>
      <c r="FMG141" s="3"/>
      <c r="FMH141" s="3"/>
      <c r="FMI141" s="3"/>
      <c r="FMJ141" s="3"/>
      <c r="FMK141" s="3"/>
      <c r="FML141" s="3"/>
      <c r="FMM141" s="3"/>
      <c r="FMN141" s="3"/>
      <c r="FMO141" s="3"/>
      <c r="FMP141" s="3"/>
      <c r="FMQ141" s="3"/>
      <c r="FMR141" s="3"/>
      <c r="FMS141" s="3"/>
      <c r="FMT141" s="3"/>
      <c r="FMU141" s="3"/>
      <c r="FMV141" s="3"/>
      <c r="FMW141" s="3"/>
      <c r="FMX141" s="3"/>
      <c r="FMY141" s="3"/>
      <c r="FMZ141" s="3"/>
      <c r="FNA141" s="3"/>
      <c r="FNB141" s="3"/>
      <c r="FNC141" s="3"/>
      <c r="FND141" s="3"/>
      <c r="FNE141" s="3"/>
      <c r="FNF141" s="3"/>
      <c r="FNG141" s="3"/>
      <c r="FNH141" s="3"/>
      <c r="FNI141" s="3"/>
      <c r="FNJ141" s="3"/>
      <c r="FNK141" s="3"/>
      <c r="FNL141" s="3"/>
      <c r="FNM141" s="3"/>
      <c r="FNN141" s="3"/>
      <c r="FNO141" s="3"/>
      <c r="FNP141" s="3"/>
      <c r="FNQ141" s="3"/>
      <c r="FNR141" s="3"/>
      <c r="FNS141" s="3"/>
      <c r="FNT141" s="3"/>
      <c r="FNU141" s="3"/>
      <c r="FNV141" s="3"/>
      <c r="FNW141" s="3"/>
      <c r="FNX141" s="3"/>
      <c r="FNY141" s="3"/>
      <c r="FNZ141" s="3"/>
      <c r="FOA141" s="3"/>
      <c r="FOB141" s="3"/>
      <c r="FOC141" s="3"/>
      <c r="FOD141" s="3"/>
      <c r="FOE141" s="3"/>
      <c r="FOF141" s="3"/>
      <c r="FOG141" s="3"/>
      <c r="FOH141" s="3"/>
      <c r="FOI141" s="3"/>
      <c r="FOJ141" s="3"/>
      <c r="FOK141" s="3"/>
      <c r="FOL141" s="3"/>
      <c r="FOM141" s="3"/>
      <c r="FON141" s="3"/>
      <c r="FOO141" s="3"/>
      <c r="FOP141" s="3"/>
      <c r="FOQ141" s="3"/>
      <c r="FOR141" s="3"/>
      <c r="FOS141" s="3"/>
      <c r="FOT141" s="3"/>
      <c r="FOU141" s="3"/>
      <c r="FOV141" s="3"/>
      <c r="FOW141" s="3"/>
      <c r="FOX141" s="3"/>
      <c r="FOY141" s="3"/>
      <c r="FOZ141" s="3"/>
      <c r="FPA141" s="3"/>
      <c r="FPB141" s="3"/>
      <c r="FPC141" s="3"/>
      <c r="FPD141" s="3"/>
      <c r="FPE141" s="3"/>
      <c r="FPF141" s="3"/>
      <c r="FPG141" s="3"/>
      <c r="FPH141" s="3"/>
      <c r="FPI141" s="3"/>
      <c r="FPJ141" s="3"/>
      <c r="FPK141" s="3"/>
      <c r="FPL141" s="3"/>
      <c r="FPM141" s="3"/>
      <c r="FPN141" s="3"/>
      <c r="FPO141" s="3"/>
      <c r="FPP141" s="3"/>
      <c r="FPQ141" s="3"/>
      <c r="FPR141" s="3"/>
      <c r="FPS141" s="3"/>
      <c r="FPT141" s="3"/>
      <c r="FPU141" s="3"/>
      <c r="FPV141" s="3"/>
      <c r="FPW141" s="3"/>
      <c r="FPX141" s="3"/>
      <c r="FPY141" s="3"/>
      <c r="FPZ141" s="3"/>
      <c r="FQA141" s="3"/>
      <c r="FQB141" s="3"/>
      <c r="FQC141" s="3"/>
      <c r="FQD141" s="3"/>
      <c r="FQE141" s="3"/>
      <c r="FQF141" s="3"/>
      <c r="FQG141" s="3"/>
      <c r="FQH141" s="3"/>
      <c r="FQI141" s="3"/>
      <c r="FQJ141" s="3"/>
      <c r="FQK141" s="3"/>
      <c r="FQL141" s="3"/>
      <c r="FQM141" s="3"/>
      <c r="FQN141" s="3"/>
      <c r="FQO141" s="3"/>
      <c r="FQP141" s="3"/>
      <c r="FQQ141" s="3"/>
      <c r="FQR141" s="3"/>
      <c r="FQS141" s="3"/>
      <c r="FQT141" s="3"/>
      <c r="FQU141" s="3"/>
      <c r="FQV141" s="3"/>
      <c r="FQW141" s="3"/>
      <c r="FQX141" s="3"/>
      <c r="FQY141" s="3"/>
      <c r="FQZ141" s="3"/>
      <c r="FRA141" s="3"/>
      <c r="FRB141" s="3"/>
      <c r="FRC141" s="3"/>
      <c r="FRD141" s="3"/>
      <c r="FRE141" s="3"/>
      <c r="FRF141" s="3"/>
      <c r="FRG141" s="3"/>
      <c r="FRH141" s="3"/>
      <c r="FRI141" s="3"/>
      <c r="FRJ141" s="3"/>
      <c r="FRK141" s="3"/>
      <c r="FRL141" s="3"/>
      <c r="FRM141" s="3"/>
      <c r="FRN141" s="3"/>
      <c r="FRO141" s="3"/>
      <c r="FRP141" s="3"/>
      <c r="FRQ141" s="3"/>
      <c r="FRR141" s="3"/>
      <c r="FRS141" s="3"/>
      <c r="FRT141" s="3"/>
      <c r="FRU141" s="3"/>
      <c r="FRV141" s="3"/>
      <c r="FRW141" s="3"/>
      <c r="FRX141" s="3"/>
      <c r="FRY141" s="3"/>
      <c r="FRZ141" s="3"/>
      <c r="FSA141" s="3"/>
      <c r="FSB141" s="3"/>
      <c r="FSC141" s="3"/>
      <c r="FSD141" s="3"/>
      <c r="FSE141" s="3"/>
      <c r="FSF141" s="3"/>
      <c r="FSG141" s="3"/>
      <c r="FSH141" s="3"/>
      <c r="FSI141" s="3"/>
      <c r="FSJ141" s="3"/>
      <c r="FSK141" s="3"/>
      <c r="FSL141" s="3"/>
      <c r="FSM141" s="3"/>
      <c r="FSN141" s="3"/>
      <c r="FSO141" s="3"/>
      <c r="FSP141" s="3"/>
      <c r="FSQ141" s="3"/>
      <c r="FSR141" s="3"/>
      <c r="FSS141" s="3"/>
      <c r="FST141" s="3"/>
      <c r="FSU141" s="3"/>
      <c r="FSV141" s="3"/>
      <c r="FSW141" s="3"/>
      <c r="FSX141" s="3"/>
      <c r="FSY141" s="3"/>
      <c r="FSZ141" s="3"/>
      <c r="FTA141" s="3"/>
      <c r="FTB141" s="3"/>
      <c r="FTC141" s="3"/>
      <c r="FTD141" s="3"/>
      <c r="FTE141" s="3"/>
      <c r="FTF141" s="3"/>
      <c r="FTG141" s="3"/>
      <c r="FTH141" s="3"/>
      <c r="FTI141" s="3"/>
      <c r="FTJ141" s="3"/>
      <c r="FTK141" s="3"/>
      <c r="FTL141" s="3"/>
      <c r="FTM141" s="3"/>
      <c r="FTN141" s="3"/>
      <c r="FTO141" s="3"/>
      <c r="FTP141" s="3"/>
      <c r="FTQ141" s="3"/>
      <c r="FTR141" s="3"/>
      <c r="FTS141" s="3"/>
      <c r="FTT141" s="3"/>
      <c r="FTU141" s="3"/>
      <c r="FTV141" s="3"/>
      <c r="FTW141" s="3"/>
      <c r="FTX141" s="3"/>
      <c r="FTY141" s="3"/>
      <c r="FTZ141" s="3"/>
      <c r="FUA141" s="3"/>
      <c r="FUB141" s="3"/>
      <c r="FUC141" s="3"/>
      <c r="FUD141" s="3"/>
      <c r="FUE141" s="3"/>
      <c r="FUF141" s="3"/>
      <c r="FUG141" s="3"/>
      <c r="FUH141" s="3"/>
      <c r="FUI141" s="3"/>
      <c r="FUJ141" s="3"/>
      <c r="FUK141" s="3"/>
      <c r="FUL141" s="3"/>
      <c r="FUM141" s="3"/>
      <c r="FUN141" s="3"/>
      <c r="FUO141" s="3"/>
      <c r="FUP141" s="3"/>
      <c r="FUQ141" s="3"/>
      <c r="FUR141" s="3"/>
      <c r="FUS141" s="3"/>
      <c r="FUT141" s="3"/>
      <c r="FUU141" s="3"/>
      <c r="FUV141" s="3"/>
      <c r="FUW141" s="3"/>
      <c r="FUX141" s="3"/>
      <c r="FUY141" s="3"/>
      <c r="FUZ141" s="3"/>
      <c r="FVA141" s="3"/>
      <c r="FVB141" s="3"/>
      <c r="FVC141" s="3"/>
      <c r="FVD141" s="3"/>
      <c r="FVE141" s="3"/>
      <c r="FVF141" s="3"/>
      <c r="FVG141" s="3"/>
      <c r="FVH141" s="3"/>
      <c r="FVI141" s="3"/>
      <c r="FVJ141" s="3"/>
      <c r="FVK141" s="3"/>
      <c r="FVL141" s="3"/>
      <c r="FVM141" s="3"/>
      <c r="FVN141" s="3"/>
      <c r="FVO141" s="3"/>
      <c r="FVP141" s="3"/>
      <c r="FVQ141" s="3"/>
      <c r="FVR141" s="3"/>
      <c r="FVS141" s="3"/>
      <c r="FVT141" s="3"/>
      <c r="FVU141" s="3"/>
      <c r="FVV141" s="3"/>
      <c r="FVW141" s="3"/>
      <c r="FVX141" s="3"/>
      <c r="FVY141" s="3"/>
      <c r="FVZ141" s="3"/>
      <c r="FWA141" s="3"/>
      <c r="FWB141" s="3"/>
      <c r="FWC141" s="3"/>
      <c r="FWD141" s="3"/>
      <c r="FWE141" s="3"/>
      <c r="FWF141" s="3"/>
      <c r="FWG141" s="3"/>
      <c r="FWH141" s="3"/>
      <c r="FWI141" s="3"/>
      <c r="FWJ141" s="3"/>
      <c r="FWK141" s="3"/>
      <c r="FWL141" s="3"/>
      <c r="FWM141" s="3"/>
      <c r="FWN141" s="3"/>
      <c r="FWO141" s="3"/>
      <c r="FWP141" s="3"/>
      <c r="FWQ141" s="3"/>
      <c r="FWR141" s="3"/>
      <c r="FWS141" s="3"/>
      <c r="FWT141" s="3"/>
      <c r="FWU141" s="3"/>
      <c r="FWV141" s="3"/>
      <c r="FWW141" s="3"/>
      <c r="FWX141" s="3"/>
      <c r="FWY141" s="3"/>
      <c r="FWZ141" s="3"/>
      <c r="FXA141" s="3"/>
      <c r="FXB141" s="3"/>
      <c r="FXC141" s="3"/>
      <c r="FXD141" s="3"/>
      <c r="FXE141" s="3"/>
      <c r="FXF141" s="3"/>
      <c r="FXG141" s="3"/>
      <c r="FXH141" s="3"/>
      <c r="FXI141" s="3"/>
      <c r="FXJ141" s="3"/>
      <c r="FXK141" s="3"/>
      <c r="FXL141" s="3"/>
      <c r="FXM141" s="3"/>
      <c r="FXN141" s="3"/>
      <c r="FXO141" s="3"/>
      <c r="FXP141" s="3"/>
      <c r="FXQ141" s="3"/>
      <c r="FXR141" s="3"/>
      <c r="FXS141" s="3"/>
      <c r="FXT141" s="3"/>
      <c r="FXU141" s="3"/>
      <c r="FXV141" s="3"/>
      <c r="FXW141" s="3"/>
      <c r="FXX141" s="3"/>
      <c r="FXY141" s="3"/>
      <c r="FXZ141" s="3"/>
      <c r="FYA141" s="3"/>
      <c r="FYB141" s="3"/>
      <c r="FYC141" s="3"/>
      <c r="FYD141" s="3"/>
      <c r="FYE141" s="3"/>
      <c r="FYF141" s="3"/>
      <c r="FYG141" s="3"/>
      <c r="FYH141" s="3"/>
      <c r="FYI141" s="3"/>
      <c r="FYJ141" s="3"/>
      <c r="FYK141" s="3"/>
      <c r="FYL141" s="3"/>
      <c r="FYM141" s="3"/>
      <c r="FYN141" s="3"/>
      <c r="FYO141" s="3"/>
      <c r="FYP141" s="3"/>
      <c r="FYQ141" s="3"/>
      <c r="FYR141" s="3"/>
      <c r="FYS141" s="3"/>
      <c r="FYT141" s="3"/>
      <c r="FYU141" s="3"/>
      <c r="FYV141" s="3"/>
      <c r="FYW141" s="3"/>
      <c r="FYX141" s="3"/>
      <c r="FYY141" s="3"/>
      <c r="FYZ141" s="3"/>
      <c r="FZA141" s="3"/>
      <c r="FZB141" s="3"/>
      <c r="FZC141" s="3"/>
      <c r="FZD141" s="3"/>
      <c r="FZE141" s="3"/>
      <c r="FZF141" s="3"/>
      <c r="FZG141" s="3"/>
      <c r="FZH141" s="3"/>
      <c r="FZI141" s="3"/>
      <c r="FZJ141" s="3"/>
      <c r="FZK141" s="3"/>
      <c r="FZL141" s="3"/>
      <c r="FZM141" s="3"/>
      <c r="FZN141" s="3"/>
      <c r="FZO141" s="3"/>
      <c r="FZP141" s="3"/>
      <c r="FZQ141" s="3"/>
      <c r="FZR141" s="3"/>
      <c r="FZS141" s="3"/>
      <c r="FZT141" s="3"/>
      <c r="FZU141" s="3"/>
      <c r="FZV141" s="3"/>
      <c r="FZW141" s="3"/>
      <c r="FZX141" s="3"/>
      <c r="FZY141" s="3"/>
      <c r="FZZ141" s="3"/>
      <c r="GAA141" s="3"/>
      <c r="GAB141" s="3"/>
      <c r="GAC141" s="3"/>
      <c r="GAD141" s="3"/>
      <c r="GAE141" s="3"/>
      <c r="GAF141" s="3"/>
      <c r="GAG141" s="3"/>
      <c r="GAH141" s="3"/>
      <c r="GAI141" s="3"/>
      <c r="GAJ141" s="3"/>
      <c r="GAK141" s="3"/>
      <c r="GAL141" s="3"/>
      <c r="GAM141" s="3"/>
      <c r="GAN141" s="3"/>
      <c r="GAO141" s="3"/>
      <c r="GAP141" s="3"/>
      <c r="GAQ141" s="3"/>
      <c r="GAR141" s="3"/>
      <c r="GAS141" s="3"/>
      <c r="GAT141" s="3"/>
      <c r="GAU141" s="3"/>
      <c r="GAV141" s="3"/>
      <c r="GAW141" s="3"/>
      <c r="GAX141" s="3"/>
      <c r="GAY141" s="3"/>
      <c r="GAZ141" s="3"/>
      <c r="GBA141" s="3"/>
      <c r="GBB141" s="3"/>
      <c r="GBC141" s="3"/>
      <c r="GBD141" s="3"/>
      <c r="GBE141" s="3"/>
      <c r="GBF141" s="3"/>
      <c r="GBG141" s="3"/>
      <c r="GBH141" s="3"/>
      <c r="GBI141" s="3"/>
      <c r="GBJ141" s="3"/>
      <c r="GBK141" s="3"/>
      <c r="GBL141" s="3"/>
      <c r="GBM141" s="3"/>
      <c r="GBN141" s="3"/>
      <c r="GBO141" s="3"/>
      <c r="GBP141" s="3"/>
      <c r="GBQ141" s="3"/>
      <c r="GBR141" s="3"/>
      <c r="GBS141" s="3"/>
      <c r="GBT141" s="3"/>
      <c r="GBU141" s="3"/>
      <c r="GBV141" s="3"/>
      <c r="GBW141" s="3"/>
      <c r="GBX141" s="3"/>
      <c r="GBY141" s="3"/>
      <c r="GBZ141" s="3"/>
      <c r="GCA141" s="3"/>
      <c r="GCB141" s="3"/>
      <c r="GCC141" s="3"/>
      <c r="GCD141" s="3"/>
      <c r="GCE141" s="3"/>
      <c r="GCF141" s="3"/>
      <c r="GCG141" s="3"/>
      <c r="GCH141" s="3"/>
      <c r="GCI141" s="3"/>
      <c r="GCJ141" s="3"/>
      <c r="GCK141" s="3"/>
      <c r="GCL141" s="3"/>
      <c r="GCM141" s="3"/>
      <c r="GCN141" s="3"/>
      <c r="GCO141" s="3"/>
      <c r="GCP141" s="3"/>
      <c r="GCQ141" s="3"/>
      <c r="GCR141" s="3"/>
      <c r="GCS141" s="3"/>
      <c r="GCT141" s="3"/>
      <c r="GCU141" s="3"/>
      <c r="GCV141" s="3"/>
      <c r="GCW141" s="3"/>
      <c r="GCX141" s="3"/>
      <c r="GCY141" s="3"/>
      <c r="GCZ141" s="3"/>
      <c r="GDA141" s="3"/>
      <c r="GDB141" s="3"/>
      <c r="GDC141" s="3"/>
      <c r="GDD141" s="3"/>
      <c r="GDE141" s="3"/>
      <c r="GDF141" s="3"/>
      <c r="GDG141" s="3"/>
      <c r="GDH141" s="3"/>
      <c r="GDI141" s="3"/>
      <c r="GDJ141" s="3"/>
      <c r="GDK141" s="3"/>
      <c r="GDL141" s="3"/>
      <c r="GDM141" s="3"/>
      <c r="GDN141" s="3"/>
      <c r="GDO141" s="3"/>
      <c r="GDP141" s="3"/>
      <c r="GDQ141" s="3"/>
      <c r="GDR141" s="3"/>
      <c r="GDS141" s="3"/>
      <c r="GDT141" s="3"/>
      <c r="GDU141" s="3"/>
      <c r="GDV141" s="3"/>
      <c r="GDW141" s="3"/>
      <c r="GDX141" s="3"/>
      <c r="GDY141" s="3"/>
      <c r="GDZ141" s="3"/>
      <c r="GEA141" s="3"/>
      <c r="GEB141" s="3"/>
      <c r="GEC141" s="3"/>
      <c r="GED141" s="3"/>
      <c r="GEE141" s="3"/>
      <c r="GEF141" s="3"/>
      <c r="GEG141" s="3"/>
      <c r="GEH141" s="3"/>
      <c r="GEI141" s="3"/>
      <c r="GEJ141" s="3"/>
      <c r="GEK141" s="3"/>
      <c r="GEL141" s="3"/>
      <c r="GEM141" s="3"/>
      <c r="GEN141" s="3"/>
      <c r="GEO141" s="3"/>
      <c r="GEP141" s="3"/>
      <c r="GEQ141" s="3"/>
      <c r="GER141" s="3"/>
      <c r="GES141" s="3"/>
      <c r="GET141" s="3"/>
      <c r="GEU141" s="3"/>
      <c r="GEV141" s="3"/>
      <c r="GEW141" s="3"/>
      <c r="GEX141" s="3"/>
      <c r="GEY141" s="3"/>
      <c r="GEZ141" s="3"/>
      <c r="GFA141" s="3"/>
      <c r="GFB141" s="3"/>
      <c r="GFC141" s="3"/>
      <c r="GFD141" s="3"/>
      <c r="GFE141" s="3"/>
      <c r="GFF141" s="3"/>
      <c r="GFG141" s="3"/>
      <c r="GFH141" s="3"/>
      <c r="GFI141" s="3"/>
      <c r="GFJ141" s="3"/>
      <c r="GFK141" s="3"/>
      <c r="GFL141" s="3"/>
      <c r="GFM141" s="3"/>
      <c r="GFN141" s="3"/>
      <c r="GFO141" s="3"/>
      <c r="GFP141" s="3"/>
      <c r="GFQ141" s="3"/>
      <c r="GFR141" s="3"/>
      <c r="GFS141" s="3"/>
      <c r="GFT141" s="3"/>
      <c r="GFU141" s="3"/>
      <c r="GFV141" s="3"/>
      <c r="GFW141" s="3"/>
      <c r="GFX141" s="3"/>
      <c r="GFY141" s="3"/>
      <c r="GFZ141" s="3"/>
      <c r="GGA141" s="3"/>
      <c r="GGB141" s="3"/>
      <c r="GGC141" s="3"/>
      <c r="GGD141" s="3"/>
      <c r="GGE141" s="3"/>
      <c r="GGF141" s="3"/>
      <c r="GGG141" s="3"/>
      <c r="GGH141" s="3"/>
      <c r="GGI141" s="3"/>
      <c r="GGJ141" s="3"/>
      <c r="GGK141" s="3"/>
      <c r="GGL141" s="3"/>
      <c r="GGM141" s="3"/>
      <c r="GGN141" s="3"/>
      <c r="GGO141" s="3"/>
      <c r="GGP141" s="3"/>
      <c r="GGQ141" s="3"/>
      <c r="GGR141" s="3"/>
      <c r="GGS141" s="3"/>
      <c r="GGT141" s="3"/>
      <c r="GGU141" s="3"/>
      <c r="GGV141" s="3"/>
      <c r="GGW141" s="3"/>
      <c r="GGX141" s="3"/>
      <c r="GGY141" s="3"/>
      <c r="GGZ141" s="3"/>
      <c r="GHA141" s="3"/>
      <c r="GHB141" s="3"/>
      <c r="GHC141" s="3"/>
      <c r="GHD141" s="3"/>
      <c r="GHE141" s="3"/>
      <c r="GHF141" s="3"/>
      <c r="GHG141" s="3"/>
      <c r="GHH141" s="3"/>
      <c r="GHI141" s="3"/>
      <c r="GHJ141" s="3"/>
      <c r="GHK141" s="3"/>
      <c r="GHL141" s="3"/>
      <c r="GHM141" s="3"/>
      <c r="GHN141" s="3"/>
      <c r="GHO141" s="3"/>
      <c r="GHP141" s="3"/>
      <c r="GHQ141" s="3"/>
      <c r="GHR141" s="3"/>
      <c r="GHS141" s="3"/>
      <c r="GHT141" s="3"/>
      <c r="GHU141" s="3"/>
      <c r="GHV141" s="3"/>
      <c r="GHW141" s="3"/>
      <c r="GHX141" s="3"/>
      <c r="GHY141" s="3"/>
      <c r="GHZ141" s="3"/>
      <c r="GIA141" s="3"/>
      <c r="GIB141" s="3"/>
      <c r="GIC141" s="3"/>
      <c r="GID141" s="3"/>
      <c r="GIE141" s="3"/>
      <c r="GIF141" s="3"/>
      <c r="GIG141" s="3"/>
      <c r="GIH141" s="3"/>
      <c r="GII141" s="3"/>
      <c r="GIJ141" s="3"/>
      <c r="GIK141" s="3"/>
      <c r="GIL141" s="3"/>
      <c r="GIM141" s="3"/>
      <c r="GIN141" s="3"/>
      <c r="GIO141" s="3"/>
      <c r="GIP141" s="3"/>
      <c r="GIQ141" s="3"/>
      <c r="GIR141" s="3"/>
      <c r="GIS141" s="3"/>
      <c r="GIT141" s="3"/>
      <c r="GIU141" s="3"/>
      <c r="GIV141" s="3"/>
      <c r="GIW141" s="3"/>
      <c r="GIX141" s="3"/>
      <c r="GIY141" s="3"/>
      <c r="GIZ141" s="3"/>
      <c r="GJA141" s="3"/>
      <c r="GJB141" s="3"/>
      <c r="GJC141" s="3"/>
      <c r="GJD141" s="3"/>
      <c r="GJE141" s="3"/>
      <c r="GJF141" s="3"/>
      <c r="GJG141" s="3"/>
      <c r="GJH141" s="3"/>
      <c r="GJI141" s="3"/>
      <c r="GJJ141" s="3"/>
      <c r="GJK141" s="3"/>
      <c r="GJL141" s="3"/>
      <c r="GJM141" s="3"/>
      <c r="GJN141" s="3"/>
      <c r="GJO141" s="3"/>
      <c r="GJP141" s="3"/>
      <c r="GJQ141" s="3"/>
      <c r="GJR141" s="3"/>
      <c r="GJS141" s="3"/>
      <c r="GJT141" s="3"/>
      <c r="GJU141" s="3"/>
      <c r="GJV141" s="3"/>
      <c r="GJW141" s="3"/>
      <c r="GJX141" s="3"/>
      <c r="GJY141" s="3"/>
      <c r="GJZ141" s="3"/>
      <c r="GKA141" s="3"/>
      <c r="GKB141" s="3"/>
      <c r="GKC141" s="3"/>
      <c r="GKD141" s="3"/>
      <c r="GKE141" s="3"/>
      <c r="GKF141" s="3"/>
      <c r="GKG141" s="3"/>
      <c r="GKH141" s="3"/>
      <c r="GKI141" s="3"/>
      <c r="GKJ141" s="3"/>
      <c r="GKK141" s="3"/>
      <c r="GKL141" s="3"/>
      <c r="GKM141" s="3"/>
      <c r="GKN141" s="3"/>
      <c r="GKO141" s="3"/>
      <c r="GKP141" s="3"/>
      <c r="GKQ141" s="3"/>
      <c r="GKR141" s="3"/>
      <c r="GKS141" s="3"/>
      <c r="GKT141" s="3"/>
      <c r="GKU141" s="3"/>
      <c r="GKV141" s="3"/>
      <c r="GKW141" s="3"/>
      <c r="GKX141" s="3"/>
      <c r="GKY141" s="3"/>
      <c r="GKZ141" s="3"/>
      <c r="GLA141" s="3"/>
      <c r="GLB141" s="3"/>
      <c r="GLC141" s="3"/>
      <c r="GLD141" s="3"/>
      <c r="GLE141" s="3"/>
      <c r="GLF141" s="3"/>
      <c r="GLG141" s="3"/>
      <c r="GLH141" s="3"/>
      <c r="GLI141" s="3"/>
      <c r="GLJ141" s="3"/>
      <c r="GLK141" s="3"/>
      <c r="GLL141" s="3"/>
      <c r="GLM141" s="3"/>
      <c r="GLN141" s="3"/>
      <c r="GLO141" s="3"/>
      <c r="GLP141" s="3"/>
      <c r="GLQ141" s="3"/>
      <c r="GLR141" s="3"/>
      <c r="GLS141" s="3"/>
      <c r="GLT141" s="3"/>
      <c r="GLU141" s="3"/>
      <c r="GLV141" s="3"/>
      <c r="GLW141" s="3"/>
      <c r="GLX141" s="3"/>
      <c r="GLY141" s="3"/>
      <c r="GLZ141" s="3"/>
      <c r="GMA141" s="3"/>
      <c r="GMB141" s="3"/>
      <c r="GMC141" s="3"/>
      <c r="GMD141" s="3"/>
      <c r="GME141" s="3"/>
      <c r="GMF141" s="3"/>
      <c r="GMG141" s="3"/>
      <c r="GMH141" s="3"/>
      <c r="GMI141" s="3"/>
      <c r="GMJ141" s="3"/>
      <c r="GMK141" s="3"/>
      <c r="GML141" s="3"/>
      <c r="GMM141" s="3"/>
      <c r="GMN141" s="3"/>
      <c r="GMO141" s="3"/>
      <c r="GMP141" s="3"/>
      <c r="GMQ141" s="3"/>
      <c r="GMR141" s="3"/>
      <c r="GMS141" s="3"/>
      <c r="GMT141" s="3"/>
      <c r="GMU141" s="3"/>
      <c r="GMV141" s="3"/>
      <c r="GMW141" s="3"/>
      <c r="GMX141" s="3"/>
      <c r="GMY141" s="3"/>
      <c r="GMZ141" s="3"/>
      <c r="GNA141" s="3"/>
      <c r="GNB141" s="3"/>
      <c r="GNC141" s="3"/>
      <c r="GND141" s="3"/>
      <c r="GNE141" s="3"/>
      <c r="GNF141" s="3"/>
      <c r="GNG141" s="3"/>
      <c r="GNH141" s="3"/>
      <c r="GNI141" s="3"/>
      <c r="GNJ141" s="3"/>
      <c r="GNK141" s="3"/>
      <c r="GNL141" s="3"/>
      <c r="GNM141" s="3"/>
      <c r="GNN141" s="3"/>
      <c r="GNO141" s="3"/>
      <c r="GNP141" s="3"/>
      <c r="GNQ141" s="3"/>
      <c r="GNR141" s="3"/>
      <c r="GNS141" s="3"/>
      <c r="GNT141" s="3"/>
      <c r="GNU141" s="3"/>
      <c r="GNV141" s="3"/>
      <c r="GNW141" s="3"/>
      <c r="GNX141" s="3"/>
      <c r="GNY141" s="3"/>
      <c r="GNZ141" s="3"/>
      <c r="GOA141" s="3"/>
      <c r="GOB141" s="3"/>
      <c r="GOC141" s="3"/>
      <c r="GOD141" s="3"/>
      <c r="GOE141" s="3"/>
      <c r="GOF141" s="3"/>
      <c r="GOG141" s="3"/>
      <c r="GOH141" s="3"/>
      <c r="GOI141" s="3"/>
      <c r="GOJ141" s="3"/>
      <c r="GOK141" s="3"/>
      <c r="GOL141" s="3"/>
      <c r="GOM141" s="3"/>
      <c r="GON141" s="3"/>
      <c r="GOO141" s="3"/>
      <c r="GOP141" s="3"/>
      <c r="GOQ141" s="3"/>
      <c r="GOR141" s="3"/>
      <c r="GOS141" s="3"/>
      <c r="GOT141" s="3"/>
      <c r="GOU141" s="3"/>
      <c r="GOV141" s="3"/>
      <c r="GOW141" s="3"/>
      <c r="GOX141" s="3"/>
      <c r="GOY141" s="3"/>
      <c r="GOZ141" s="3"/>
      <c r="GPA141" s="3"/>
      <c r="GPB141" s="3"/>
      <c r="GPC141" s="3"/>
      <c r="GPD141" s="3"/>
      <c r="GPE141" s="3"/>
      <c r="GPF141" s="3"/>
      <c r="GPG141" s="3"/>
      <c r="GPH141" s="3"/>
      <c r="GPI141" s="3"/>
      <c r="GPJ141" s="3"/>
      <c r="GPK141" s="3"/>
      <c r="GPL141" s="3"/>
      <c r="GPM141" s="3"/>
      <c r="GPN141" s="3"/>
      <c r="GPO141" s="3"/>
      <c r="GPP141" s="3"/>
      <c r="GPQ141" s="3"/>
      <c r="GPR141" s="3"/>
      <c r="GPS141" s="3"/>
      <c r="GPT141" s="3"/>
      <c r="GPU141" s="3"/>
      <c r="GPV141" s="3"/>
      <c r="GPW141" s="3"/>
      <c r="GPX141" s="3"/>
      <c r="GPY141" s="3"/>
      <c r="GPZ141" s="3"/>
      <c r="GQA141" s="3"/>
      <c r="GQB141" s="3"/>
      <c r="GQC141" s="3"/>
      <c r="GQD141" s="3"/>
      <c r="GQE141" s="3"/>
      <c r="GQF141" s="3"/>
      <c r="GQG141" s="3"/>
      <c r="GQH141" s="3"/>
      <c r="GQI141" s="3"/>
      <c r="GQJ141" s="3"/>
      <c r="GQK141" s="3"/>
      <c r="GQL141" s="3"/>
      <c r="GQM141" s="3"/>
      <c r="GQN141" s="3"/>
      <c r="GQO141" s="3"/>
      <c r="GQP141" s="3"/>
      <c r="GQQ141" s="3"/>
      <c r="GQR141" s="3"/>
      <c r="GQS141" s="3"/>
      <c r="GQT141" s="3"/>
      <c r="GQU141" s="3"/>
      <c r="GQV141" s="3"/>
      <c r="GQW141" s="3"/>
      <c r="GQX141" s="3"/>
      <c r="GQY141" s="3"/>
      <c r="GQZ141" s="3"/>
      <c r="GRA141" s="3"/>
      <c r="GRB141" s="3"/>
      <c r="GRC141" s="3"/>
      <c r="GRD141" s="3"/>
      <c r="GRE141" s="3"/>
      <c r="GRF141" s="3"/>
      <c r="GRG141" s="3"/>
      <c r="GRH141" s="3"/>
      <c r="GRI141" s="3"/>
      <c r="GRJ141" s="3"/>
      <c r="GRK141" s="3"/>
      <c r="GRL141" s="3"/>
      <c r="GRM141" s="3"/>
      <c r="GRN141" s="3"/>
      <c r="GRO141" s="3"/>
      <c r="GRP141" s="3"/>
      <c r="GRQ141" s="3"/>
      <c r="GRR141" s="3"/>
      <c r="GRS141" s="3"/>
      <c r="GRT141" s="3"/>
      <c r="GRU141" s="3"/>
      <c r="GRV141" s="3"/>
      <c r="GRW141" s="3"/>
      <c r="GRX141" s="3"/>
      <c r="GRY141" s="3"/>
      <c r="GRZ141" s="3"/>
      <c r="GSA141" s="3"/>
      <c r="GSB141" s="3"/>
      <c r="GSC141" s="3"/>
      <c r="GSD141" s="3"/>
      <c r="GSE141" s="3"/>
      <c r="GSF141" s="3"/>
      <c r="GSG141" s="3"/>
      <c r="GSH141" s="3"/>
      <c r="GSI141" s="3"/>
      <c r="GSJ141" s="3"/>
      <c r="GSK141" s="3"/>
      <c r="GSL141" s="3"/>
      <c r="GSM141" s="3"/>
      <c r="GSN141" s="3"/>
      <c r="GSO141" s="3"/>
      <c r="GSP141" s="3"/>
      <c r="GSQ141" s="3"/>
      <c r="GSR141" s="3"/>
      <c r="GSS141" s="3"/>
      <c r="GST141" s="3"/>
      <c r="GSU141" s="3"/>
      <c r="GSV141" s="3"/>
      <c r="GSW141" s="3"/>
      <c r="GSX141" s="3"/>
      <c r="GSY141" s="3"/>
      <c r="GSZ141" s="3"/>
      <c r="GTA141" s="3"/>
      <c r="GTB141" s="3"/>
      <c r="GTC141" s="3"/>
      <c r="GTD141" s="3"/>
      <c r="GTE141" s="3"/>
      <c r="GTF141" s="3"/>
      <c r="GTG141" s="3"/>
      <c r="GTH141" s="3"/>
      <c r="GTI141" s="3"/>
      <c r="GTJ141" s="3"/>
      <c r="GTK141" s="3"/>
      <c r="GTL141" s="3"/>
      <c r="GTM141" s="3"/>
      <c r="GTN141" s="3"/>
      <c r="GTO141" s="3"/>
      <c r="GTP141" s="3"/>
      <c r="GTQ141" s="3"/>
      <c r="GTR141" s="3"/>
      <c r="GTS141" s="3"/>
      <c r="GTT141" s="3"/>
      <c r="GTU141" s="3"/>
      <c r="GTV141" s="3"/>
      <c r="GTW141" s="3"/>
      <c r="GTX141" s="3"/>
      <c r="GTY141" s="3"/>
      <c r="GTZ141" s="3"/>
      <c r="GUA141" s="3"/>
      <c r="GUB141" s="3"/>
      <c r="GUC141" s="3"/>
      <c r="GUD141" s="3"/>
      <c r="GUE141" s="3"/>
      <c r="GUF141" s="3"/>
      <c r="GUG141" s="3"/>
      <c r="GUH141" s="3"/>
      <c r="GUI141" s="3"/>
      <c r="GUJ141" s="3"/>
      <c r="GUK141" s="3"/>
      <c r="GUL141" s="3"/>
      <c r="GUM141" s="3"/>
      <c r="GUN141" s="3"/>
      <c r="GUO141" s="3"/>
      <c r="GUP141" s="3"/>
      <c r="GUQ141" s="3"/>
      <c r="GUR141" s="3"/>
      <c r="GUS141" s="3"/>
      <c r="GUT141" s="3"/>
      <c r="GUU141" s="3"/>
      <c r="GUV141" s="3"/>
      <c r="GUW141" s="3"/>
      <c r="GUX141" s="3"/>
      <c r="GUY141" s="3"/>
      <c r="GUZ141" s="3"/>
      <c r="GVA141" s="3"/>
      <c r="GVB141" s="3"/>
      <c r="GVC141" s="3"/>
      <c r="GVD141" s="3"/>
      <c r="GVE141" s="3"/>
      <c r="GVF141" s="3"/>
      <c r="GVG141" s="3"/>
      <c r="GVH141" s="3"/>
      <c r="GVI141" s="3"/>
      <c r="GVJ141" s="3"/>
      <c r="GVK141" s="3"/>
      <c r="GVL141" s="3"/>
      <c r="GVM141" s="3"/>
      <c r="GVN141" s="3"/>
      <c r="GVO141" s="3"/>
      <c r="GVP141" s="3"/>
      <c r="GVQ141" s="3"/>
      <c r="GVR141" s="3"/>
      <c r="GVS141" s="3"/>
      <c r="GVT141" s="3"/>
      <c r="GVU141" s="3"/>
      <c r="GVV141" s="3"/>
      <c r="GVW141" s="3"/>
      <c r="GVX141" s="3"/>
      <c r="GVY141" s="3"/>
      <c r="GVZ141" s="3"/>
      <c r="GWA141" s="3"/>
      <c r="GWB141" s="3"/>
      <c r="GWC141" s="3"/>
      <c r="GWD141" s="3"/>
      <c r="GWE141" s="3"/>
      <c r="GWF141" s="3"/>
      <c r="GWG141" s="3"/>
      <c r="GWH141" s="3"/>
      <c r="GWI141" s="3"/>
      <c r="GWJ141" s="3"/>
      <c r="GWK141" s="3"/>
      <c r="GWL141" s="3"/>
      <c r="GWM141" s="3"/>
      <c r="GWN141" s="3"/>
      <c r="GWO141" s="3"/>
      <c r="GWP141" s="3"/>
      <c r="GWQ141" s="3"/>
      <c r="GWR141" s="3"/>
      <c r="GWS141" s="3"/>
      <c r="GWT141" s="3"/>
      <c r="GWU141" s="3"/>
      <c r="GWV141" s="3"/>
      <c r="GWW141" s="3"/>
      <c r="GWX141" s="3"/>
      <c r="GWY141" s="3"/>
      <c r="GWZ141" s="3"/>
      <c r="GXA141" s="3"/>
      <c r="GXB141" s="3"/>
      <c r="GXC141" s="3"/>
      <c r="GXD141" s="3"/>
      <c r="GXE141" s="3"/>
      <c r="GXF141" s="3"/>
      <c r="GXG141" s="3"/>
      <c r="GXH141" s="3"/>
      <c r="GXI141" s="3"/>
      <c r="GXJ141" s="3"/>
      <c r="GXK141" s="3"/>
      <c r="GXL141" s="3"/>
      <c r="GXM141" s="3"/>
      <c r="GXN141" s="3"/>
      <c r="GXO141" s="3"/>
      <c r="GXP141" s="3"/>
      <c r="GXQ141" s="3"/>
      <c r="GXR141" s="3"/>
      <c r="GXS141" s="3"/>
      <c r="GXT141" s="3"/>
      <c r="GXU141" s="3"/>
      <c r="GXV141" s="3"/>
      <c r="GXW141" s="3"/>
      <c r="GXX141" s="3"/>
      <c r="GXY141" s="3"/>
      <c r="GXZ141" s="3"/>
      <c r="GYA141" s="3"/>
      <c r="GYB141" s="3"/>
      <c r="GYC141" s="3"/>
      <c r="GYD141" s="3"/>
      <c r="GYE141" s="3"/>
      <c r="GYF141" s="3"/>
      <c r="GYG141" s="3"/>
      <c r="GYH141" s="3"/>
      <c r="GYI141" s="3"/>
      <c r="GYJ141" s="3"/>
      <c r="GYK141" s="3"/>
      <c r="GYL141" s="3"/>
      <c r="GYM141" s="3"/>
      <c r="GYN141" s="3"/>
      <c r="GYO141" s="3"/>
      <c r="GYP141" s="3"/>
      <c r="GYQ141" s="3"/>
      <c r="GYR141" s="3"/>
      <c r="GYS141" s="3"/>
      <c r="GYT141" s="3"/>
      <c r="GYU141" s="3"/>
      <c r="GYV141" s="3"/>
      <c r="GYW141" s="3"/>
      <c r="GYX141" s="3"/>
      <c r="GYY141" s="3"/>
      <c r="GYZ141" s="3"/>
      <c r="GZA141" s="3"/>
      <c r="GZB141" s="3"/>
      <c r="GZC141" s="3"/>
      <c r="GZD141" s="3"/>
      <c r="GZE141" s="3"/>
      <c r="GZF141" s="3"/>
      <c r="GZG141" s="3"/>
      <c r="GZH141" s="3"/>
      <c r="GZI141" s="3"/>
      <c r="GZJ141" s="3"/>
      <c r="GZK141" s="3"/>
      <c r="GZL141" s="3"/>
      <c r="GZM141" s="3"/>
      <c r="GZN141" s="3"/>
      <c r="GZO141" s="3"/>
      <c r="GZP141" s="3"/>
      <c r="GZQ141" s="3"/>
      <c r="GZR141" s="3"/>
      <c r="GZS141" s="3"/>
      <c r="GZT141" s="3"/>
      <c r="GZU141" s="3"/>
      <c r="GZV141" s="3"/>
      <c r="GZW141" s="3"/>
      <c r="GZX141" s="3"/>
      <c r="GZY141" s="3"/>
      <c r="GZZ141" s="3"/>
      <c r="HAA141" s="3"/>
      <c r="HAB141" s="3"/>
      <c r="HAC141" s="3"/>
      <c r="HAD141" s="3"/>
      <c r="HAE141" s="3"/>
      <c r="HAF141" s="3"/>
      <c r="HAG141" s="3"/>
      <c r="HAH141" s="3"/>
      <c r="HAI141" s="3"/>
      <c r="HAJ141" s="3"/>
      <c r="HAK141" s="3"/>
      <c r="HAL141" s="3"/>
      <c r="HAM141" s="3"/>
      <c r="HAN141" s="3"/>
      <c r="HAO141" s="3"/>
      <c r="HAP141" s="3"/>
      <c r="HAQ141" s="3"/>
      <c r="HAR141" s="3"/>
      <c r="HAS141" s="3"/>
      <c r="HAT141" s="3"/>
      <c r="HAU141" s="3"/>
      <c r="HAV141" s="3"/>
      <c r="HAW141" s="3"/>
      <c r="HAX141" s="3"/>
      <c r="HAY141" s="3"/>
      <c r="HAZ141" s="3"/>
      <c r="HBA141" s="3"/>
      <c r="HBB141" s="3"/>
      <c r="HBC141" s="3"/>
      <c r="HBD141" s="3"/>
      <c r="HBE141" s="3"/>
      <c r="HBF141" s="3"/>
      <c r="HBG141" s="3"/>
      <c r="HBH141" s="3"/>
      <c r="HBI141" s="3"/>
      <c r="HBJ141" s="3"/>
      <c r="HBK141" s="3"/>
      <c r="HBL141" s="3"/>
      <c r="HBM141" s="3"/>
      <c r="HBN141" s="3"/>
      <c r="HBO141" s="3"/>
      <c r="HBP141" s="3"/>
      <c r="HBQ141" s="3"/>
      <c r="HBR141" s="3"/>
      <c r="HBS141" s="3"/>
      <c r="HBT141" s="3"/>
      <c r="HBU141" s="3"/>
      <c r="HBV141" s="3"/>
      <c r="HBW141" s="3"/>
      <c r="HBX141" s="3"/>
      <c r="HBY141" s="3"/>
      <c r="HBZ141" s="3"/>
      <c r="HCA141" s="3"/>
      <c r="HCB141" s="3"/>
      <c r="HCC141" s="3"/>
      <c r="HCD141" s="3"/>
      <c r="HCE141" s="3"/>
      <c r="HCF141" s="3"/>
      <c r="HCG141" s="3"/>
      <c r="HCH141" s="3"/>
      <c r="HCI141" s="3"/>
      <c r="HCJ141" s="3"/>
      <c r="HCK141" s="3"/>
      <c r="HCL141" s="3"/>
      <c r="HCM141" s="3"/>
      <c r="HCN141" s="3"/>
      <c r="HCO141" s="3"/>
      <c r="HCP141" s="3"/>
      <c r="HCQ141" s="3"/>
      <c r="HCR141" s="3"/>
      <c r="HCS141" s="3"/>
      <c r="HCT141" s="3"/>
      <c r="HCU141" s="3"/>
      <c r="HCV141" s="3"/>
      <c r="HCW141" s="3"/>
      <c r="HCX141" s="3"/>
      <c r="HCY141" s="3"/>
      <c r="HCZ141" s="3"/>
      <c r="HDA141" s="3"/>
      <c r="HDB141" s="3"/>
      <c r="HDC141" s="3"/>
      <c r="HDD141" s="3"/>
      <c r="HDE141" s="3"/>
      <c r="HDF141" s="3"/>
      <c r="HDG141" s="3"/>
      <c r="HDH141" s="3"/>
      <c r="HDI141" s="3"/>
      <c r="HDJ141" s="3"/>
      <c r="HDK141" s="3"/>
      <c r="HDL141" s="3"/>
      <c r="HDM141" s="3"/>
      <c r="HDN141" s="3"/>
      <c r="HDO141" s="3"/>
      <c r="HDP141" s="3"/>
      <c r="HDQ141" s="3"/>
      <c r="HDR141" s="3"/>
      <c r="HDS141" s="3"/>
      <c r="HDT141" s="3"/>
      <c r="HDU141" s="3"/>
      <c r="HDV141" s="3"/>
      <c r="HDW141" s="3"/>
      <c r="HDX141" s="3"/>
      <c r="HDY141" s="3"/>
      <c r="HDZ141" s="3"/>
      <c r="HEA141" s="3"/>
      <c r="HEB141" s="3"/>
      <c r="HEC141" s="3"/>
      <c r="HED141" s="3"/>
      <c r="HEE141" s="3"/>
      <c r="HEF141" s="3"/>
      <c r="HEG141" s="3"/>
      <c r="HEH141" s="3"/>
      <c r="HEI141" s="3"/>
      <c r="HEJ141" s="3"/>
      <c r="HEK141" s="3"/>
      <c r="HEL141" s="3"/>
      <c r="HEM141" s="3"/>
      <c r="HEN141" s="3"/>
      <c r="HEO141" s="3"/>
      <c r="HEP141" s="3"/>
      <c r="HEQ141" s="3"/>
      <c r="HER141" s="3"/>
      <c r="HES141" s="3"/>
      <c r="HET141" s="3"/>
      <c r="HEU141" s="3"/>
      <c r="HEV141" s="3"/>
      <c r="HEW141" s="3"/>
      <c r="HEX141" s="3"/>
      <c r="HEY141" s="3"/>
      <c r="HEZ141" s="3"/>
      <c r="HFA141" s="3"/>
      <c r="HFB141" s="3"/>
      <c r="HFC141" s="3"/>
      <c r="HFD141" s="3"/>
      <c r="HFE141" s="3"/>
      <c r="HFF141" s="3"/>
      <c r="HFG141" s="3"/>
      <c r="HFH141" s="3"/>
      <c r="HFI141" s="3"/>
      <c r="HFJ141" s="3"/>
      <c r="HFK141" s="3"/>
      <c r="HFL141" s="3"/>
      <c r="HFM141" s="3"/>
      <c r="HFN141" s="3"/>
      <c r="HFO141" s="3"/>
      <c r="HFP141" s="3"/>
      <c r="HFQ141" s="3"/>
      <c r="HFR141" s="3"/>
      <c r="HFS141" s="3"/>
      <c r="HFT141" s="3"/>
      <c r="HFU141" s="3"/>
      <c r="HFV141" s="3"/>
      <c r="HFW141" s="3"/>
      <c r="HFX141" s="3"/>
      <c r="HFY141" s="3"/>
      <c r="HFZ141" s="3"/>
      <c r="HGA141" s="3"/>
      <c r="HGB141" s="3"/>
      <c r="HGC141" s="3"/>
      <c r="HGD141" s="3"/>
      <c r="HGE141" s="3"/>
      <c r="HGF141" s="3"/>
      <c r="HGG141" s="3"/>
      <c r="HGH141" s="3"/>
      <c r="HGI141" s="3"/>
      <c r="HGJ141" s="3"/>
      <c r="HGK141" s="3"/>
      <c r="HGL141" s="3"/>
      <c r="HGM141" s="3"/>
      <c r="HGN141" s="3"/>
      <c r="HGO141" s="3"/>
      <c r="HGP141" s="3"/>
      <c r="HGQ141" s="3"/>
      <c r="HGR141" s="3"/>
      <c r="HGS141" s="3"/>
      <c r="HGT141" s="3"/>
      <c r="HGU141" s="3"/>
      <c r="HGV141" s="3"/>
      <c r="HGW141" s="3"/>
      <c r="HGX141" s="3"/>
      <c r="HGY141" s="3"/>
      <c r="HGZ141" s="3"/>
      <c r="HHA141" s="3"/>
      <c r="HHB141" s="3"/>
      <c r="HHC141" s="3"/>
      <c r="HHD141" s="3"/>
      <c r="HHE141" s="3"/>
      <c r="HHF141" s="3"/>
      <c r="HHG141" s="3"/>
      <c r="HHH141" s="3"/>
      <c r="HHI141" s="3"/>
      <c r="HHJ141" s="3"/>
      <c r="HHK141" s="3"/>
      <c r="HHL141" s="3"/>
      <c r="HHM141" s="3"/>
      <c r="HHN141" s="3"/>
      <c r="HHO141" s="3"/>
      <c r="HHP141" s="3"/>
      <c r="HHQ141" s="3"/>
      <c r="HHR141" s="3"/>
      <c r="HHS141" s="3"/>
      <c r="HHT141" s="3"/>
      <c r="HHU141" s="3"/>
      <c r="HHV141" s="3"/>
      <c r="HHW141" s="3"/>
      <c r="HHX141" s="3"/>
      <c r="HHY141" s="3"/>
      <c r="HHZ141" s="3"/>
      <c r="HIA141" s="3"/>
      <c r="HIB141" s="3"/>
      <c r="HIC141" s="3"/>
      <c r="HID141" s="3"/>
      <c r="HIE141" s="3"/>
      <c r="HIF141" s="3"/>
      <c r="HIG141" s="3"/>
      <c r="HIH141" s="3"/>
      <c r="HII141" s="3"/>
      <c r="HIJ141" s="3"/>
      <c r="HIK141" s="3"/>
      <c r="HIL141" s="3"/>
      <c r="HIM141" s="3"/>
      <c r="HIN141" s="3"/>
      <c r="HIO141" s="3"/>
      <c r="HIP141" s="3"/>
      <c r="HIQ141" s="3"/>
      <c r="HIR141" s="3"/>
      <c r="HIS141" s="3"/>
      <c r="HIT141" s="3"/>
      <c r="HIU141" s="3"/>
      <c r="HIV141" s="3"/>
      <c r="HIW141" s="3"/>
      <c r="HIX141" s="3"/>
      <c r="HIY141" s="3"/>
      <c r="HIZ141" s="3"/>
      <c r="HJA141" s="3"/>
      <c r="HJB141" s="3"/>
      <c r="HJC141" s="3"/>
      <c r="HJD141" s="3"/>
      <c r="HJE141" s="3"/>
      <c r="HJF141" s="3"/>
      <c r="HJG141" s="3"/>
      <c r="HJH141" s="3"/>
      <c r="HJI141" s="3"/>
      <c r="HJJ141" s="3"/>
      <c r="HJK141" s="3"/>
      <c r="HJL141" s="3"/>
      <c r="HJM141" s="3"/>
      <c r="HJN141" s="3"/>
      <c r="HJO141" s="3"/>
      <c r="HJP141" s="3"/>
      <c r="HJQ141" s="3"/>
      <c r="HJR141" s="3"/>
      <c r="HJS141" s="3"/>
      <c r="HJT141" s="3"/>
      <c r="HJU141" s="3"/>
      <c r="HJV141" s="3"/>
      <c r="HJW141" s="3"/>
      <c r="HJX141" s="3"/>
      <c r="HJY141" s="3"/>
      <c r="HJZ141" s="3"/>
      <c r="HKA141" s="3"/>
      <c r="HKB141" s="3"/>
      <c r="HKC141" s="3"/>
      <c r="HKD141" s="3"/>
      <c r="HKE141" s="3"/>
      <c r="HKF141" s="3"/>
      <c r="HKG141" s="3"/>
      <c r="HKH141" s="3"/>
      <c r="HKI141" s="3"/>
      <c r="HKJ141" s="3"/>
      <c r="HKK141" s="3"/>
      <c r="HKL141" s="3"/>
      <c r="HKM141" s="3"/>
      <c r="HKN141" s="3"/>
      <c r="HKO141" s="3"/>
      <c r="HKP141" s="3"/>
      <c r="HKQ141" s="3"/>
      <c r="HKR141" s="3"/>
      <c r="HKS141" s="3"/>
      <c r="HKT141" s="3"/>
      <c r="HKU141" s="3"/>
      <c r="HKV141" s="3"/>
      <c r="HKW141" s="3"/>
      <c r="HKX141" s="3"/>
      <c r="HKY141" s="3"/>
      <c r="HKZ141" s="3"/>
      <c r="HLA141" s="3"/>
      <c r="HLB141" s="3"/>
      <c r="HLC141" s="3"/>
      <c r="HLD141" s="3"/>
      <c r="HLE141" s="3"/>
      <c r="HLF141" s="3"/>
      <c r="HLG141" s="3"/>
      <c r="HLH141" s="3"/>
      <c r="HLI141" s="3"/>
      <c r="HLJ141" s="3"/>
      <c r="HLK141" s="3"/>
      <c r="HLL141" s="3"/>
      <c r="HLM141" s="3"/>
      <c r="HLN141" s="3"/>
      <c r="HLO141" s="3"/>
      <c r="HLP141" s="3"/>
      <c r="HLQ141" s="3"/>
      <c r="HLR141" s="3"/>
      <c r="HLS141" s="3"/>
      <c r="HLT141" s="3"/>
      <c r="HLU141" s="3"/>
      <c r="HLV141" s="3"/>
      <c r="HLW141" s="3"/>
      <c r="HLX141" s="3"/>
      <c r="HLY141" s="3"/>
      <c r="HLZ141" s="3"/>
      <c r="HMA141" s="3"/>
      <c r="HMB141" s="3"/>
      <c r="HMC141" s="3"/>
      <c r="HMD141" s="3"/>
      <c r="HME141" s="3"/>
      <c r="HMF141" s="3"/>
      <c r="HMG141" s="3"/>
      <c r="HMH141" s="3"/>
      <c r="HMI141" s="3"/>
      <c r="HMJ141" s="3"/>
      <c r="HMK141" s="3"/>
      <c r="HML141" s="3"/>
      <c r="HMM141" s="3"/>
      <c r="HMN141" s="3"/>
      <c r="HMO141" s="3"/>
      <c r="HMP141" s="3"/>
      <c r="HMQ141" s="3"/>
      <c r="HMR141" s="3"/>
      <c r="HMS141" s="3"/>
      <c r="HMT141" s="3"/>
      <c r="HMU141" s="3"/>
      <c r="HMV141" s="3"/>
      <c r="HMW141" s="3"/>
      <c r="HMX141" s="3"/>
      <c r="HMY141" s="3"/>
      <c r="HMZ141" s="3"/>
      <c r="HNA141" s="3"/>
      <c r="HNB141" s="3"/>
      <c r="HNC141" s="3"/>
      <c r="HND141" s="3"/>
      <c r="HNE141" s="3"/>
      <c r="HNF141" s="3"/>
      <c r="HNG141" s="3"/>
      <c r="HNH141" s="3"/>
      <c r="HNI141" s="3"/>
      <c r="HNJ141" s="3"/>
      <c r="HNK141" s="3"/>
      <c r="HNL141" s="3"/>
      <c r="HNM141" s="3"/>
      <c r="HNN141" s="3"/>
      <c r="HNO141" s="3"/>
      <c r="HNP141" s="3"/>
      <c r="HNQ141" s="3"/>
      <c r="HNR141" s="3"/>
      <c r="HNS141" s="3"/>
      <c r="HNT141" s="3"/>
      <c r="HNU141" s="3"/>
      <c r="HNV141" s="3"/>
      <c r="HNW141" s="3"/>
      <c r="HNX141" s="3"/>
      <c r="HNY141" s="3"/>
      <c r="HNZ141" s="3"/>
      <c r="HOA141" s="3"/>
      <c r="HOB141" s="3"/>
      <c r="HOC141" s="3"/>
      <c r="HOD141" s="3"/>
      <c r="HOE141" s="3"/>
      <c r="HOF141" s="3"/>
      <c r="HOG141" s="3"/>
      <c r="HOH141" s="3"/>
      <c r="HOI141" s="3"/>
      <c r="HOJ141" s="3"/>
      <c r="HOK141" s="3"/>
      <c r="HOL141" s="3"/>
      <c r="HOM141" s="3"/>
      <c r="HON141" s="3"/>
      <c r="HOO141" s="3"/>
      <c r="HOP141" s="3"/>
      <c r="HOQ141" s="3"/>
      <c r="HOR141" s="3"/>
      <c r="HOS141" s="3"/>
      <c r="HOT141" s="3"/>
      <c r="HOU141" s="3"/>
      <c r="HOV141" s="3"/>
      <c r="HOW141" s="3"/>
      <c r="HOX141" s="3"/>
      <c r="HOY141" s="3"/>
      <c r="HOZ141" s="3"/>
      <c r="HPA141" s="3"/>
      <c r="HPB141" s="3"/>
      <c r="HPC141" s="3"/>
      <c r="HPD141" s="3"/>
      <c r="HPE141" s="3"/>
      <c r="HPF141" s="3"/>
      <c r="HPG141" s="3"/>
      <c r="HPH141" s="3"/>
      <c r="HPI141" s="3"/>
      <c r="HPJ141" s="3"/>
      <c r="HPK141" s="3"/>
      <c r="HPL141" s="3"/>
      <c r="HPM141" s="3"/>
      <c r="HPN141" s="3"/>
      <c r="HPO141" s="3"/>
      <c r="HPP141" s="3"/>
      <c r="HPQ141" s="3"/>
      <c r="HPR141" s="3"/>
      <c r="HPS141" s="3"/>
      <c r="HPT141" s="3"/>
      <c r="HPU141" s="3"/>
      <c r="HPV141" s="3"/>
      <c r="HPW141" s="3"/>
      <c r="HPX141" s="3"/>
      <c r="HPY141" s="3"/>
      <c r="HPZ141" s="3"/>
      <c r="HQA141" s="3"/>
      <c r="HQB141" s="3"/>
      <c r="HQC141" s="3"/>
      <c r="HQD141" s="3"/>
      <c r="HQE141" s="3"/>
      <c r="HQF141" s="3"/>
      <c r="HQG141" s="3"/>
      <c r="HQH141" s="3"/>
      <c r="HQI141" s="3"/>
      <c r="HQJ141" s="3"/>
      <c r="HQK141" s="3"/>
      <c r="HQL141" s="3"/>
      <c r="HQM141" s="3"/>
      <c r="HQN141" s="3"/>
      <c r="HQO141" s="3"/>
      <c r="HQP141" s="3"/>
      <c r="HQQ141" s="3"/>
      <c r="HQR141" s="3"/>
      <c r="HQS141" s="3"/>
      <c r="HQT141" s="3"/>
      <c r="HQU141" s="3"/>
      <c r="HQV141" s="3"/>
      <c r="HQW141" s="3"/>
      <c r="HQX141" s="3"/>
      <c r="HQY141" s="3"/>
      <c r="HQZ141" s="3"/>
      <c r="HRA141" s="3"/>
      <c r="HRB141" s="3"/>
      <c r="HRC141" s="3"/>
      <c r="HRD141" s="3"/>
      <c r="HRE141" s="3"/>
      <c r="HRF141" s="3"/>
      <c r="HRG141" s="3"/>
      <c r="HRH141" s="3"/>
      <c r="HRI141" s="3"/>
      <c r="HRJ141" s="3"/>
      <c r="HRK141" s="3"/>
      <c r="HRL141" s="3"/>
      <c r="HRM141" s="3"/>
      <c r="HRN141" s="3"/>
      <c r="HRO141" s="3"/>
      <c r="HRP141" s="3"/>
      <c r="HRQ141" s="3"/>
      <c r="HRR141" s="3"/>
      <c r="HRS141" s="3"/>
      <c r="HRT141" s="3"/>
      <c r="HRU141" s="3"/>
      <c r="HRV141" s="3"/>
      <c r="HRW141" s="3"/>
      <c r="HRX141" s="3"/>
      <c r="HRY141" s="3"/>
      <c r="HRZ141" s="3"/>
      <c r="HSA141" s="3"/>
      <c r="HSB141" s="3"/>
      <c r="HSC141" s="3"/>
      <c r="HSD141" s="3"/>
      <c r="HSE141" s="3"/>
      <c r="HSF141" s="3"/>
      <c r="HSG141" s="3"/>
      <c r="HSH141" s="3"/>
      <c r="HSI141" s="3"/>
      <c r="HSJ141" s="3"/>
      <c r="HSK141" s="3"/>
      <c r="HSL141" s="3"/>
      <c r="HSM141" s="3"/>
      <c r="HSN141" s="3"/>
      <c r="HSO141" s="3"/>
      <c r="HSP141" s="3"/>
      <c r="HSQ141" s="3"/>
      <c r="HSR141" s="3"/>
      <c r="HSS141" s="3"/>
      <c r="HST141" s="3"/>
      <c r="HSU141" s="3"/>
      <c r="HSV141" s="3"/>
      <c r="HSW141" s="3"/>
      <c r="HSX141" s="3"/>
      <c r="HSY141" s="3"/>
      <c r="HSZ141" s="3"/>
      <c r="HTA141" s="3"/>
      <c r="HTB141" s="3"/>
      <c r="HTC141" s="3"/>
      <c r="HTD141" s="3"/>
      <c r="HTE141" s="3"/>
      <c r="HTF141" s="3"/>
      <c r="HTG141" s="3"/>
      <c r="HTH141" s="3"/>
      <c r="HTI141" s="3"/>
      <c r="HTJ141" s="3"/>
      <c r="HTK141" s="3"/>
      <c r="HTL141" s="3"/>
      <c r="HTM141" s="3"/>
      <c r="HTN141" s="3"/>
      <c r="HTO141" s="3"/>
      <c r="HTP141" s="3"/>
      <c r="HTQ141" s="3"/>
      <c r="HTR141" s="3"/>
      <c r="HTS141" s="3"/>
      <c r="HTT141" s="3"/>
      <c r="HTU141" s="3"/>
      <c r="HTV141" s="3"/>
      <c r="HTW141" s="3"/>
      <c r="HTX141" s="3"/>
      <c r="HTY141" s="3"/>
      <c r="HTZ141" s="3"/>
      <c r="HUA141" s="3"/>
      <c r="HUB141" s="3"/>
      <c r="HUC141" s="3"/>
      <c r="HUD141" s="3"/>
      <c r="HUE141" s="3"/>
      <c r="HUF141" s="3"/>
      <c r="HUG141" s="3"/>
      <c r="HUH141" s="3"/>
      <c r="HUI141" s="3"/>
      <c r="HUJ141" s="3"/>
      <c r="HUK141" s="3"/>
      <c r="HUL141" s="3"/>
      <c r="HUM141" s="3"/>
      <c r="HUN141" s="3"/>
      <c r="HUO141" s="3"/>
      <c r="HUP141" s="3"/>
      <c r="HUQ141" s="3"/>
      <c r="HUR141" s="3"/>
      <c r="HUS141" s="3"/>
      <c r="HUT141" s="3"/>
      <c r="HUU141" s="3"/>
      <c r="HUV141" s="3"/>
      <c r="HUW141" s="3"/>
      <c r="HUX141" s="3"/>
      <c r="HUY141" s="3"/>
      <c r="HUZ141" s="3"/>
      <c r="HVA141" s="3"/>
      <c r="HVB141" s="3"/>
      <c r="HVC141" s="3"/>
      <c r="HVD141" s="3"/>
      <c r="HVE141" s="3"/>
      <c r="HVF141" s="3"/>
      <c r="HVG141" s="3"/>
      <c r="HVH141" s="3"/>
      <c r="HVI141" s="3"/>
      <c r="HVJ141" s="3"/>
      <c r="HVK141" s="3"/>
      <c r="HVL141" s="3"/>
      <c r="HVM141" s="3"/>
      <c r="HVN141" s="3"/>
      <c r="HVO141" s="3"/>
      <c r="HVP141" s="3"/>
      <c r="HVQ141" s="3"/>
      <c r="HVR141" s="3"/>
      <c r="HVS141" s="3"/>
      <c r="HVT141" s="3"/>
      <c r="HVU141" s="3"/>
      <c r="HVV141" s="3"/>
      <c r="HVW141" s="3"/>
      <c r="HVX141" s="3"/>
      <c r="HVY141" s="3"/>
      <c r="HVZ141" s="3"/>
      <c r="HWA141" s="3"/>
      <c r="HWB141" s="3"/>
      <c r="HWC141" s="3"/>
      <c r="HWD141" s="3"/>
      <c r="HWE141" s="3"/>
      <c r="HWF141" s="3"/>
      <c r="HWG141" s="3"/>
      <c r="HWH141" s="3"/>
      <c r="HWI141" s="3"/>
      <c r="HWJ141" s="3"/>
      <c r="HWK141" s="3"/>
      <c r="HWL141" s="3"/>
      <c r="HWM141" s="3"/>
      <c r="HWN141" s="3"/>
      <c r="HWO141" s="3"/>
      <c r="HWP141" s="3"/>
      <c r="HWQ141" s="3"/>
      <c r="HWR141" s="3"/>
      <c r="HWS141" s="3"/>
      <c r="HWT141" s="3"/>
      <c r="HWU141" s="3"/>
      <c r="HWV141" s="3"/>
      <c r="HWW141" s="3"/>
      <c r="HWX141" s="3"/>
      <c r="HWY141" s="3"/>
      <c r="HWZ141" s="3"/>
      <c r="HXA141" s="3"/>
      <c r="HXB141" s="3"/>
      <c r="HXC141" s="3"/>
      <c r="HXD141" s="3"/>
      <c r="HXE141" s="3"/>
      <c r="HXF141" s="3"/>
      <c r="HXG141" s="3"/>
      <c r="HXH141" s="3"/>
      <c r="HXI141" s="3"/>
      <c r="HXJ141" s="3"/>
      <c r="HXK141" s="3"/>
      <c r="HXL141" s="3"/>
      <c r="HXM141" s="3"/>
      <c r="HXN141" s="3"/>
      <c r="HXO141" s="3"/>
      <c r="HXP141" s="3"/>
      <c r="HXQ141" s="3"/>
      <c r="HXR141" s="3"/>
      <c r="HXS141" s="3"/>
      <c r="HXT141" s="3"/>
      <c r="HXU141" s="3"/>
      <c r="HXV141" s="3"/>
      <c r="HXW141" s="3"/>
      <c r="HXX141" s="3"/>
      <c r="HXY141" s="3"/>
      <c r="HXZ141" s="3"/>
      <c r="HYA141" s="3"/>
      <c r="HYB141" s="3"/>
      <c r="HYC141" s="3"/>
      <c r="HYD141" s="3"/>
      <c r="HYE141" s="3"/>
      <c r="HYF141" s="3"/>
      <c r="HYG141" s="3"/>
      <c r="HYH141" s="3"/>
      <c r="HYI141" s="3"/>
      <c r="HYJ141" s="3"/>
      <c r="HYK141" s="3"/>
      <c r="HYL141" s="3"/>
      <c r="HYM141" s="3"/>
      <c r="HYN141" s="3"/>
      <c r="HYO141" s="3"/>
      <c r="HYP141" s="3"/>
      <c r="HYQ141" s="3"/>
      <c r="HYR141" s="3"/>
      <c r="HYS141" s="3"/>
      <c r="HYT141" s="3"/>
      <c r="HYU141" s="3"/>
      <c r="HYV141" s="3"/>
      <c r="HYW141" s="3"/>
      <c r="HYX141" s="3"/>
      <c r="HYY141" s="3"/>
      <c r="HYZ141" s="3"/>
      <c r="HZA141" s="3"/>
      <c r="HZB141" s="3"/>
      <c r="HZC141" s="3"/>
      <c r="HZD141" s="3"/>
      <c r="HZE141" s="3"/>
      <c r="HZF141" s="3"/>
      <c r="HZG141" s="3"/>
      <c r="HZH141" s="3"/>
      <c r="HZI141" s="3"/>
      <c r="HZJ141" s="3"/>
      <c r="HZK141" s="3"/>
      <c r="HZL141" s="3"/>
      <c r="HZM141" s="3"/>
      <c r="HZN141" s="3"/>
      <c r="HZO141" s="3"/>
      <c r="HZP141" s="3"/>
      <c r="HZQ141" s="3"/>
      <c r="HZR141" s="3"/>
      <c r="HZS141" s="3"/>
      <c r="HZT141" s="3"/>
      <c r="HZU141" s="3"/>
      <c r="HZV141" s="3"/>
      <c r="HZW141" s="3"/>
      <c r="HZX141" s="3"/>
      <c r="HZY141" s="3"/>
      <c r="HZZ141" s="3"/>
      <c r="IAA141" s="3"/>
      <c r="IAB141" s="3"/>
      <c r="IAC141" s="3"/>
      <c r="IAD141" s="3"/>
      <c r="IAE141" s="3"/>
      <c r="IAF141" s="3"/>
      <c r="IAG141" s="3"/>
      <c r="IAH141" s="3"/>
      <c r="IAI141" s="3"/>
      <c r="IAJ141" s="3"/>
      <c r="IAK141" s="3"/>
      <c r="IAL141" s="3"/>
      <c r="IAM141" s="3"/>
      <c r="IAN141" s="3"/>
      <c r="IAO141" s="3"/>
      <c r="IAP141" s="3"/>
      <c r="IAQ141" s="3"/>
      <c r="IAR141" s="3"/>
      <c r="IAS141" s="3"/>
      <c r="IAT141" s="3"/>
      <c r="IAU141" s="3"/>
      <c r="IAV141" s="3"/>
      <c r="IAW141" s="3"/>
      <c r="IAX141" s="3"/>
      <c r="IAY141" s="3"/>
      <c r="IAZ141" s="3"/>
      <c r="IBA141" s="3"/>
      <c r="IBB141" s="3"/>
      <c r="IBC141" s="3"/>
      <c r="IBD141" s="3"/>
      <c r="IBE141" s="3"/>
      <c r="IBF141" s="3"/>
      <c r="IBG141" s="3"/>
      <c r="IBH141" s="3"/>
      <c r="IBI141" s="3"/>
      <c r="IBJ141" s="3"/>
      <c r="IBK141" s="3"/>
      <c r="IBL141" s="3"/>
      <c r="IBM141" s="3"/>
      <c r="IBN141" s="3"/>
      <c r="IBO141" s="3"/>
      <c r="IBP141" s="3"/>
      <c r="IBQ141" s="3"/>
      <c r="IBR141" s="3"/>
      <c r="IBS141" s="3"/>
      <c r="IBT141" s="3"/>
      <c r="IBU141" s="3"/>
      <c r="IBV141" s="3"/>
      <c r="IBW141" s="3"/>
      <c r="IBX141" s="3"/>
      <c r="IBY141" s="3"/>
      <c r="IBZ141" s="3"/>
      <c r="ICA141" s="3"/>
      <c r="ICB141" s="3"/>
      <c r="ICC141" s="3"/>
      <c r="ICD141" s="3"/>
      <c r="ICE141" s="3"/>
      <c r="ICF141" s="3"/>
      <c r="ICG141" s="3"/>
      <c r="ICH141" s="3"/>
      <c r="ICI141" s="3"/>
      <c r="ICJ141" s="3"/>
      <c r="ICK141" s="3"/>
      <c r="ICL141" s="3"/>
      <c r="ICM141" s="3"/>
      <c r="ICN141" s="3"/>
      <c r="ICO141" s="3"/>
      <c r="ICP141" s="3"/>
      <c r="ICQ141" s="3"/>
      <c r="ICR141" s="3"/>
      <c r="ICS141" s="3"/>
      <c r="ICT141" s="3"/>
      <c r="ICU141" s="3"/>
      <c r="ICV141" s="3"/>
      <c r="ICW141" s="3"/>
      <c r="ICX141" s="3"/>
      <c r="ICY141" s="3"/>
      <c r="ICZ141" s="3"/>
      <c r="IDA141" s="3"/>
      <c r="IDB141" s="3"/>
      <c r="IDC141" s="3"/>
      <c r="IDD141" s="3"/>
      <c r="IDE141" s="3"/>
      <c r="IDF141" s="3"/>
      <c r="IDG141" s="3"/>
      <c r="IDH141" s="3"/>
      <c r="IDI141" s="3"/>
      <c r="IDJ141" s="3"/>
      <c r="IDK141" s="3"/>
      <c r="IDL141" s="3"/>
      <c r="IDM141" s="3"/>
      <c r="IDN141" s="3"/>
      <c r="IDO141" s="3"/>
      <c r="IDP141" s="3"/>
      <c r="IDQ141" s="3"/>
      <c r="IDR141" s="3"/>
      <c r="IDS141" s="3"/>
      <c r="IDT141" s="3"/>
      <c r="IDU141" s="3"/>
      <c r="IDV141" s="3"/>
      <c r="IDW141" s="3"/>
      <c r="IDX141" s="3"/>
      <c r="IDY141" s="3"/>
      <c r="IDZ141" s="3"/>
      <c r="IEA141" s="3"/>
      <c r="IEB141" s="3"/>
      <c r="IEC141" s="3"/>
      <c r="IED141" s="3"/>
      <c r="IEE141" s="3"/>
      <c r="IEF141" s="3"/>
      <c r="IEG141" s="3"/>
      <c r="IEH141" s="3"/>
      <c r="IEI141" s="3"/>
      <c r="IEJ141" s="3"/>
      <c r="IEK141" s="3"/>
      <c r="IEL141" s="3"/>
      <c r="IEM141" s="3"/>
      <c r="IEN141" s="3"/>
      <c r="IEO141" s="3"/>
      <c r="IEP141" s="3"/>
      <c r="IEQ141" s="3"/>
      <c r="IER141" s="3"/>
      <c r="IES141" s="3"/>
      <c r="IET141" s="3"/>
      <c r="IEU141" s="3"/>
      <c r="IEV141" s="3"/>
      <c r="IEW141" s="3"/>
      <c r="IEX141" s="3"/>
      <c r="IEY141" s="3"/>
      <c r="IEZ141" s="3"/>
      <c r="IFA141" s="3"/>
      <c r="IFB141" s="3"/>
      <c r="IFC141" s="3"/>
      <c r="IFD141" s="3"/>
      <c r="IFE141" s="3"/>
      <c r="IFF141" s="3"/>
      <c r="IFG141" s="3"/>
      <c r="IFH141" s="3"/>
      <c r="IFI141" s="3"/>
      <c r="IFJ141" s="3"/>
      <c r="IFK141" s="3"/>
      <c r="IFL141" s="3"/>
      <c r="IFM141" s="3"/>
      <c r="IFN141" s="3"/>
      <c r="IFO141" s="3"/>
      <c r="IFP141" s="3"/>
      <c r="IFQ141" s="3"/>
      <c r="IFR141" s="3"/>
      <c r="IFS141" s="3"/>
      <c r="IFT141" s="3"/>
      <c r="IFU141" s="3"/>
      <c r="IFV141" s="3"/>
      <c r="IFW141" s="3"/>
      <c r="IFX141" s="3"/>
      <c r="IFY141" s="3"/>
      <c r="IFZ141" s="3"/>
      <c r="IGA141" s="3"/>
      <c r="IGB141" s="3"/>
      <c r="IGC141" s="3"/>
      <c r="IGD141" s="3"/>
      <c r="IGE141" s="3"/>
      <c r="IGF141" s="3"/>
      <c r="IGG141" s="3"/>
      <c r="IGH141" s="3"/>
      <c r="IGI141" s="3"/>
      <c r="IGJ141" s="3"/>
      <c r="IGK141" s="3"/>
      <c r="IGL141" s="3"/>
      <c r="IGM141" s="3"/>
      <c r="IGN141" s="3"/>
      <c r="IGO141" s="3"/>
      <c r="IGP141" s="3"/>
      <c r="IGQ141" s="3"/>
      <c r="IGR141" s="3"/>
      <c r="IGS141" s="3"/>
      <c r="IGT141" s="3"/>
      <c r="IGU141" s="3"/>
      <c r="IGV141" s="3"/>
      <c r="IGW141" s="3"/>
      <c r="IGX141" s="3"/>
      <c r="IGY141" s="3"/>
      <c r="IGZ141" s="3"/>
      <c r="IHA141" s="3"/>
      <c r="IHB141" s="3"/>
      <c r="IHC141" s="3"/>
      <c r="IHD141" s="3"/>
      <c r="IHE141" s="3"/>
      <c r="IHF141" s="3"/>
      <c r="IHG141" s="3"/>
      <c r="IHH141" s="3"/>
      <c r="IHI141" s="3"/>
      <c r="IHJ141" s="3"/>
      <c r="IHK141" s="3"/>
      <c r="IHL141" s="3"/>
      <c r="IHM141" s="3"/>
      <c r="IHN141" s="3"/>
      <c r="IHO141" s="3"/>
      <c r="IHP141" s="3"/>
      <c r="IHQ141" s="3"/>
      <c r="IHR141" s="3"/>
      <c r="IHS141" s="3"/>
      <c r="IHT141" s="3"/>
      <c r="IHU141" s="3"/>
      <c r="IHV141" s="3"/>
      <c r="IHW141" s="3"/>
      <c r="IHX141" s="3"/>
      <c r="IHY141" s="3"/>
      <c r="IHZ141" s="3"/>
      <c r="IIA141" s="3"/>
      <c r="IIB141" s="3"/>
      <c r="IIC141" s="3"/>
      <c r="IID141" s="3"/>
      <c r="IIE141" s="3"/>
      <c r="IIF141" s="3"/>
      <c r="IIG141" s="3"/>
      <c r="IIH141" s="3"/>
      <c r="III141" s="3"/>
      <c r="IIJ141" s="3"/>
      <c r="IIK141" s="3"/>
      <c r="IIL141" s="3"/>
      <c r="IIM141" s="3"/>
      <c r="IIN141" s="3"/>
      <c r="IIO141" s="3"/>
      <c r="IIP141" s="3"/>
      <c r="IIQ141" s="3"/>
      <c r="IIR141" s="3"/>
      <c r="IIS141" s="3"/>
      <c r="IIT141" s="3"/>
      <c r="IIU141" s="3"/>
      <c r="IIV141" s="3"/>
      <c r="IIW141" s="3"/>
      <c r="IIX141" s="3"/>
      <c r="IIY141" s="3"/>
      <c r="IIZ141" s="3"/>
      <c r="IJA141" s="3"/>
      <c r="IJB141" s="3"/>
      <c r="IJC141" s="3"/>
      <c r="IJD141" s="3"/>
      <c r="IJE141" s="3"/>
      <c r="IJF141" s="3"/>
      <c r="IJG141" s="3"/>
      <c r="IJH141" s="3"/>
      <c r="IJI141" s="3"/>
      <c r="IJJ141" s="3"/>
      <c r="IJK141" s="3"/>
      <c r="IJL141" s="3"/>
      <c r="IJM141" s="3"/>
      <c r="IJN141" s="3"/>
      <c r="IJO141" s="3"/>
      <c r="IJP141" s="3"/>
      <c r="IJQ141" s="3"/>
      <c r="IJR141" s="3"/>
      <c r="IJS141" s="3"/>
      <c r="IJT141" s="3"/>
      <c r="IJU141" s="3"/>
      <c r="IJV141" s="3"/>
      <c r="IJW141" s="3"/>
      <c r="IJX141" s="3"/>
      <c r="IJY141" s="3"/>
      <c r="IJZ141" s="3"/>
      <c r="IKA141" s="3"/>
      <c r="IKB141" s="3"/>
      <c r="IKC141" s="3"/>
      <c r="IKD141" s="3"/>
      <c r="IKE141" s="3"/>
      <c r="IKF141" s="3"/>
      <c r="IKG141" s="3"/>
      <c r="IKH141" s="3"/>
      <c r="IKI141" s="3"/>
      <c r="IKJ141" s="3"/>
      <c r="IKK141" s="3"/>
      <c r="IKL141" s="3"/>
      <c r="IKM141" s="3"/>
      <c r="IKN141" s="3"/>
      <c r="IKO141" s="3"/>
      <c r="IKP141" s="3"/>
      <c r="IKQ141" s="3"/>
      <c r="IKR141" s="3"/>
      <c r="IKS141" s="3"/>
      <c r="IKT141" s="3"/>
      <c r="IKU141" s="3"/>
      <c r="IKV141" s="3"/>
      <c r="IKW141" s="3"/>
      <c r="IKX141" s="3"/>
      <c r="IKY141" s="3"/>
      <c r="IKZ141" s="3"/>
      <c r="ILA141" s="3"/>
      <c r="ILB141" s="3"/>
      <c r="ILC141" s="3"/>
      <c r="ILD141" s="3"/>
      <c r="ILE141" s="3"/>
      <c r="ILF141" s="3"/>
      <c r="ILG141" s="3"/>
      <c r="ILH141" s="3"/>
      <c r="ILI141" s="3"/>
      <c r="ILJ141" s="3"/>
      <c r="ILK141" s="3"/>
      <c r="ILL141" s="3"/>
      <c r="ILM141" s="3"/>
      <c r="ILN141" s="3"/>
      <c r="ILO141" s="3"/>
      <c r="ILP141" s="3"/>
      <c r="ILQ141" s="3"/>
      <c r="ILR141" s="3"/>
      <c r="ILS141" s="3"/>
      <c r="ILT141" s="3"/>
      <c r="ILU141" s="3"/>
      <c r="ILV141" s="3"/>
      <c r="ILW141" s="3"/>
      <c r="ILX141" s="3"/>
      <c r="ILY141" s="3"/>
      <c r="ILZ141" s="3"/>
      <c r="IMA141" s="3"/>
      <c r="IMB141" s="3"/>
      <c r="IMC141" s="3"/>
      <c r="IMD141" s="3"/>
      <c r="IME141" s="3"/>
      <c r="IMF141" s="3"/>
      <c r="IMG141" s="3"/>
      <c r="IMH141" s="3"/>
      <c r="IMI141" s="3"/>
      <c r="IMJ141" s="3"/>
      <c r="IMK141" s="3"/>
      <c r="IML141" s="3"/>
      <c r="IMM141" s="3"/>
      <c r="IMN141" s="3"/>
      <c r="IMO141" s="3"/>
      <c r="IMP141" s="3"/>
      <c r="IMQ141" s="3"/>
      <c r="IMR141" s="3"/>
      <c r="IMS141" s="3"/>
      <c r="IMT141" s="3"/>
      <c r="IMU141" s="3"/>
      <c r="IMV141" s="3"/>
      <c r="IMW141" s="3"/>
      <c r="IMX141" s="3"/>
      <c r="IMY141" s="3"/>
      <c r="IMZ141" s="3"/>
      <c r="INA141" s="3"/>
      <c r="INB141" s="3"/>
      <c r="INC141" s="3"/>
      <c r="IND141" s="3"/>
      <c r="INE141" s="3"/>
      <c r="INF141" s="3"/>
      <c r="ING141" s="3"/>
      <c r="INH141" s="3"/>
      <c r="INI141" s="3"/>
      <c r="INJ141" s="3"/>
      <c r="INK141" s="3"/>
      <c r="INL141" s="3"/>
      <c r="INM141" s="3"/>
      <c r="INN141" s="3"/>
      <c r="INO141" s="3"/>
      <c r="INP141" s="3"/>
      <c r="INQ141" s="3"/>
      <c r="INR141" s="3"/>
      <c r="INS141" s="3"/>
      <c r="INT141" s="3"/>
      <c r="INU141" s="3"/>
      <c r="INV141" s="3"/>
      <c r="INW141" s="3"/>
      <c r="INX141" s="3"/>
      <c r="INY141" s="3"/>
      <c r="INZ141" s="3"/>
      <c r="IOA141" s="3"/>
      <c r="IOB141" s="3"/>
      <c r="IOC141" s="3"/>
      <c r="IOD141" s="3"/>
      <c r="IOE141" s="3"/>
      <c r="IOF141" s="3"/>
      <c r="IOG141" s="3"/>
      <c r="IOH141" s="3"/>
      <c r="IOI141" s="3"/>
      <c r="IOJ141" s="3"/>
      <c r="IOK141" s="3"/>
      <c r="IOL141" s="3"/>
      <c r="IOM141" s="3"/>
      <c r="ION141" s="3"/>
      <c r="IOO141" s="3"/>
      <c r="IOP141" s="3"/>
      <c r="IOQ141" s="3"/>
      <c r="IOR141" s="3"/>
      <c r="IOS141" s="3"/>
      <c r="IOT141" s="3"/>
      <c r="IOU141" s="3"/>
      <c r="IOV141" s="3"/>
      <c r="IOW141" s="3"/>
      <c r="IOX141" s="3"/>
      <c r="IOY141" s="3"/>
      <c r="IOZ141" s="3"/>
      <c r="IPA141" s="3"/>
      <c r="IPB141" s="3"/>
      <c r="IPC141" s="3"/>
      <c r="IPD141" s="3"/>
      <c r="IPE141" s="3"/>
      <c r="IPF141" s="3"/>
      <c r="IPG141" s="3"/>
      <c r="IPH141" s="3"/>
      <c r="IPI141" s="3"/>
      <c r="IPJ141" s="3"/>
      <c r="IPK141" s="3"/>
      <c r="IPL141" s="3"/>
      <c r="IPM141" s="3"/>
      <c r="IPN141" s="3"/>
      <c r="IPO141" s="3"/>
      <c r="IPP141" s="3"/>
      <c r="IPQ141" s="3"/>
      <c r="IPR141" s="3"/>
      <c r="IPS141" s="3"/>
      <c r="IPT141" s="3"/>
      <c r="IPU141" s="3"/>
      <c r="IPV141" s="3"/>
      <c r="IPW141" s="3"/>
      <c r="IPX141" s="3"/>
      <c r="IPY141" s="3"/>
      <c r="IPZ141" s="3"/>
      <c r="IQA141" s="3"/>
      <c r="IQB141" s="3"/>
      <c r="IQC141" s="3"/>
      <c r="IQD141" s="3"/>
      <c r="IQE141" s="3"/>
      <c r="IQF141" s="3"/>
      <c r="IQG141" s="3"/>
      <c r="IQH141" s="3"/>
      <c r="IQI141" s="3"/>
      <c r="IQJ141" s="3"/>
      <c r="IQK141" s="3"/>
      <c r="IQL141" s="3"/>
      <c r="IQM141" s="3"/>
      <c r="IQN141" s="3"/>
      <c r="IQO141" s="3"/>
      <c r="IQP141" s="3"/>
      <c r="IQQ141" s="3"/>
      <c r="IQR141" s="3"/>
      <c r="IQS141" s="3"/>
      <c r="IQT141" s="3"/>
      <c r="IQU141" s="3"/>
      <c r="IQV141" s="3"/>
      <c r="IQW141" s="3"/>
      <c r="IQX141" s="3"/>
      <c r="IQY141" s="3"/>
      <c r="IQZ141" s="3"/>
      <c r="IRA141" s="3"/>
      <c r="IRB141" s="3"/>
      <c r="IRC141" s="3"/>
      <c r="IRD141" s="3"/>
      <c r="IRE141" s="3"/>
      <c r="IRF141" s="3"/>
      <c r="IRG141" s="3"/>
      <c r="IRH141" s="3"/>
      <c r="IRI141" s="3"/>
      <c r="IRJ141" s="3"/>
      <c r="IRK141" s="3"/>
      <c r="IRL141" s="3"/>
      <c r="IRM141" s="3"/>
      <c r="IRN141" s="3"/>
      <c r="IRO141" s="3"/>
      <c r="IRP141" s="3"/>
      <c r="IRQ141" s="3"/>
      <c r="IRR141" s="3"/>
      <c r="IRS141" s="3"/>
      <c r="IRT141" s="3"/>
      <c r="IRU141" s="3"/>
      <c r="IRV141" s="3"/>
      <c r="IRW141" s="3"/>
      <c r="IRX141" s="3"/>
      <c r="IRY141" s="3"/>
      <c r="IRZ141" s="3"/>
      <c r="ISA141" s="3"/>
      <c r="ISB141" s="3"/>
      <c r="ISC141" s="3"/>
      <c r="ISD141" s="3"/>
      <c r="ISE141" s="3"/>
      <c r="ISF141" s="3"/>
      <c r="ISG141" s="3"/>
      <c r="ISH141" s="3"/>
      <c r="ISI141" s="3"/>
      <c r="ISJ141" s="3"/>
      <c r="ISK141" s="3"/>
      <c r="ISL141" s="3"/>
      <c r="ISM141" s="3"/>
      <c r="ISN141" s="3"/>
      <c r="ISO141" s="3"/>
      <c r="ISP141" s="3"/>
      <c r="ISQ141" s="3"/>
      <c r="ISR141" s="3"/>
      <c r="ISS141" s="3"/>
      <c r="IST141" s="3"/>
      <c r="ISU141" s="3"/>
      <c r="ISV141" s="3"/>
      <c r="ISW141" s="3"/>
      <c r="ISX141" s="3"/>
      <c r="ISY141" s="3"/>
      <c r="ISZ141" s="3"/>
      <c r="ITA141" s="3"/>
      <c r="ITB141" s="3"/>
      <c r="ITC141" s="3"/>
      <c r="ITD141" s="3"/>
      <c r="ITE141" s="3"/>
      <c r="ITF141" s="3"/>
      <c r="ITG141" s="3"/>
      <c r="ITH141" s="3"/>
      <c r="ITI141" s="3"/>
      <c r="ITJ141" s="3"/>
      <c r="ITK141" s="3"/>
      <c r="ITL141" s="3"/>
      <c r="ITM141" s="3"/>
      <c r="ITN141" s="3"/>
      <c r="ITO141" s="3"/>
      <c r="ITP141" s="3"/>
      <c r="ITQ141" s="3"/>
      <c r="ITR141" s="3"/>
      <c r="ITS141" s="3"/>
      <c r="ITT141" s="3"/>
      <c r="ITU141" s="3"/>
      <c r="ITV141" s="3"/>
      <c r="ITW141" s="3"/>
      <c r="ITX141" s="3"/>
      <c r="ITY141" s="3"/>
      <c r="ITZ141" s="3"/>
      <c r="IUA141" s="3"/>
      <c r="IUB141" s="3"/>
      <c r="IUC141" s="3"/>
      <c r="IUD141" s="3"/>
      <c r="IUE141" s="3"/>
      <c r="IUF141" s="3"/>
      <c r="IUG141" s="3"/>
      <c r="IUH141" s="3"/>
      <c r="IUI141" s="3"/>
      <c r="IUJ141" s="3"/>
      <c r="IUK141" s="3"/>
      <c r="IUL141" s="3"/>
      <c r="IUM141" s="3"/>
      <c r="IUN141" s="3"/>
      <c r="IUO141" s="3"/>
      <c r="IUP141" s="3"/>
      <c r="IUQ141" s="3"/>
      <c r="IUR141" s="3"/>
      <c r="IUS141" s="3"/>
      <c r="IUT141" s="3"/>
      <c r="IUU141" s="3"/>
      <c r="IUV141" s="3"/>
      <c r="IUW141" s="3"/>
      <c r="IUX141" s="3"/>
      <c r="IUY141" s="3"/>
      <c r="IUZ141" s="3"/>
      <c r="IVA141" s="3"/>
      <c r="IVB141" s="3"/>
      <c r="IVC141" s="3"/>
      <c r="IVD141" s="3"/>
      <c r="IVE141" s="3"/>
      <c r="IVF141" s="3"/>
      <c r="IVG141" s="3"/>
      <c r="IVH141" s="3"/>
      <c r="IVI141" s="3"/>
      <c r="IVJ141" s="3"/>
      <c r="IVK141" s="3"/>
      <c r="IVL141" s="3"/>
      <c r="IVM141" s="3"/>
      <c r="IVN141" s="3"/>
      <c r="IVO141" s="3"/>
      <c r="IVP141" s="3"/>
      <c r="IVQ141" s="3"/>
      <c r="IVR141" s="3"/>
      <c r="IVS141" s="3"/>
      <c r="IVT141" s="3"/>
      <c r="IVU141" s="3"/>
      <c r="IVV141" s="3"/>
      <c r="IVW141" s="3"/>
      <c r="IVX141" s="3"/>
      <c r="IVY141" s="3"/>
      <c r="IVZ141" s="3"/>
      <c r="IWA141" s="3"/>
      <c r="IWB141" s="3"/>
      <c r="IWC141" s="3"/>
      <c r="IWD141" s="3"/>
      <c r="IWE141" s="3"/>
      <c r="IWF141" s="3"/>
      <c r="IWG141" s="3"/>
      <c r="IWH141" s="3"/>
      <c r="IWI141" s="3"/>
      <c r="IWJ141" s="3"/>
      <c r="IWK141" s="3"/>
      <c r="IWL141" s="3"/>
      <c r="IWM141" s="3"/>
      <c r="IWN141" s="3"/>
      <c r="IWO141" s="3"/>
      <c r="IWP141" s="3"/>
      <c r="IWQ141" s="3"/>
      <c r="IWR141" s="3"/>
      <c r="IWS141" s="3"/>
      <c r="IWT141" s="3"/>
      <c r="IWU141" s="3"/>
      <c r="IWV141" s="3"/>
      <c r="IWW141" s="3"/>
      <c r="IWX141" s="3"/>
      <c r="IWY141" s="3"/>
      <c r="IWZ141" s="3"/>
      <c r="IXA141" s="3"/>
      <c r="IXB141" s="3"/>
      <c r="IXC141" s="3"/>
      <c r="IXD141" s="3"/>
      <c r="IXE141" s="3"/>
      <c r="IXF141" s="3"/>
      <c r="IXG141" s="3"/>
      <c r="IXH141" s="3"/>
      <c r="IXI141" s="3"/>
      <c r="IXJ141" s="3"/>
      <c r="IXK141" s="3"/>
      <c r="IXL141" s="3"/>
      <c r="IXM141" s="3"/>
      <c r="IXN141" s="3"/>
      <c r="IXO141" s="3"/>
      <c r="IXP141" s="3"/>
      <c r="IXQ141" s="3"/>
      <c r="IXR141" s="3"/>
      <c r="IXS141" s="3"/>
      <c r="IXT141" s="3"/>
      <c r="IXU141" s="3"/>
      <c r="IXV141" s="3"/>
      <c r="IXW141" s="3"/>
      <c r="IXX141" s="3"/>
      <c r="IXY141" s="3"/>
      <c r="IXZ141" s="3"/>
      <c r="IYA141" s="3"/>
      <c r="IYB141" s="3"/>
      <c r="IYC141" s="3"/>
      <c r="IYD141" s="3"/>
      <c r="IYE141" s="3"/>
      <c r="IYF141" s="3"/>
      <c r="IYG141" s="3"/>
      <c r="IYH141" s="3"/>
      <c r="IYI141" s="3"/>
      <c r="IYJ141" s="3"/>
      <c r="IYK141" s="3"/>
      <c r="IYL141" s="3"/>
      <c r="IYM141" s="3"/>
      <c r="IYN141" s="3"/>
      <c r="IYO141" s="3"/>
      <c r="IYP141" s="3"/>
      <c r="IYQ141" s="3"/>
      <c r="IYR141" s="3"/>
      <c r="IYS141" s="3"/>
      <c r="IYT141" s="3"/>
      <c r="IYU141" s="3"/>
      <c r="IYV141" s="3"/>
      <c r="IYW141" s="3"/>
      <c r="IYX141" s="3"/>
      <c r="IYY141" s="3"/>
      <c r="IYZ141" s="3"/>
      <c r="IZA141" s="3"/>
      <c r="IZB141" s="3"/>
      <c r="IZC141" s="3"/>
      <c r="IZD141" s="3"/>
      <c r="IZE141" s="3"/>
      <c r="IZF141" s="3"/>
      <c r="IZG141" s="3"/>
      <c r="IZH141" s="3"/>
      <c r="IZI141" s="3"/>
      <c r="IZJ141" s="3"/>
      <c r="IZK141" s="3"/>
      <c r="IZL141" s="3"/>
      <c r="IZM141" s="3"/>
      <c r="IZN141" s="3"/>
      <c r="IZO141" s="3"/>
      <c r="IZP141" s="3"/>
      <c r="IZQ141" s="3"/>
      <c r="IZR141" s="3"/>
      <c r="IZS141" s="3"/>
      <c r="IZT141" s="3"/>
      <c r="IZU141" s="3"/>
      <c r="IZV141" s="3"/>
      <c r="IZW141" s="3"/>
      <c r="IZX141" s="3"/>
      <c r="IZY141" s="3"/>
      <c r="IZZ141" s="3"/>
      <c r="JAA141" s="3"/>
      <c r="JAB141" s="3"/>
      <c r="JAC141" s="3"/>
      <c r="JAD141" s="3"/>
      <c r="JAE141" s="3"/>
      <c r="JAF141" s="3"/>
      <c r="JAG141" s="3"/>
      <c r="JAH141" s="3"/>
      <c r="JAI141" s="3"/>
      <c r="JAJ141" s="3"/>
      <c r="JAK141" s="3"/>
      <c r="JAL141" s="3"/>
      <c r="JAM141" s="3"/>
      <c r="JAN141" s="3"/>
      <c r="JAO141" s="3"/>
      <c r="JAP141" s="3"/>
      <c r="JAQ141" s="3"/>
      <c r="JAR141" s="3"/>
      <c r="JAS141" s="3"/>
      <c r="JAT141" s="3"/>
      <c r="JAU141" s="3"/>
      <c r="JAV141" s="3"/>
      <c r="JAW141" s="3"/>
      <c r="JAX141" s="3"/>
      <c r="JAY141" s="3"/>
      <c r="JAZ141" s="3"/>
      <c r="JBA141" s="3"/>
      <c r="JBB141" s="3"/>
      <c r="JBC141" s="3"/>
      <c r="JBD141" s="3"/>
      <c r="JBE141" s="3"/>
      <c r="JBF141" s="3"/>
      <c r="JBG141" s="3"/>
      <c r="JBH141" s="3"/>
      <c r="JBI141" s="3"/>
      <c r="JBJ141" s="3"/>
      <c r="JBK141" s="3"/>
      <c r="JBL141" s="3"/>
      <c r="JBM141" s="3"/>
      <c r="JBN141" s="3"/>
      <c r="JBO141" s="3"/>
      <c r="JBP141" s="3"/>
      <c r="JBQ141" s="3"/>
      <c r="JBR141" s="3"/>
      <c r="JBS141" s="3"/>
      <c r="JBT141" s="3"/>
      <c r="JBU141" s="3"/>
      <c r="JBV141" s="3"/>
      <c r="JBW141" s="3"/>
      <c r="JBX141" s="3"/>
      <c r="JBY141" s="3"/>
      <c r="JBZ141" s="3"/>
      <c r="JCA141" s="3"/>
      <c r="JCB141" s="3"/>
      <c r="JCC141" s="3"/>
      <c r="JCD141" s="3"/>
      <c r="JCE141" s="3"/>
      <c r="JCF141" s="3"/>
      <c r="JCG141" s="3"/>
      <c r="JCH141" s="3"/>
      <c r="JCI141" s="3"/>
      <c r="JCJ141" s="3"/>
      <c r="JCK141" s="3"/>
      <c r="JCL141" s="3"/>
      <c r="JCM141" s="3"/>
      <c r="JCN141" s="3"/>
      <c r="JCO141" s="3"/>
      <c r="JCP141" s="3"/>
      <c r="JCQ141" s="3"/>
      <c r="JCR141" s="3"/>
      <c r="JCS141" s="3"/>
      <c r="JCT141" s="3"/>
      <c r="JCU141" s="3"/>
      <c r="JCV141" s="3"/>
      <c r="JCW141" s="3"/>
      <c r="JCX141" s="3"/>
      <c r="JCY141" s="3"/>
      <c r="JCZ141" s="3"/>
      <c r="JDA141" s="3"/>
      <c r="JDB141" s="3"/>
      <c r="JDC141" s="3"/>
      <c r="JDD141" s="3"/>
      <c r="JDE141" s="3"/>
      <c r="JDF141" s="3"/>
      <c r="JDG141" s="3"/>
      <c r="JDH141" s="3"/>
      <c r="JDI141" s="3"/>
      <c r="JDJ141" s="3"/>
      <c r="JDK141" s="3"/>
      <c r="JDL141" s="3"/>
      <c r="JDM141" s="3"/>
      <c r="JDN141" s="3"/>
      <c r="JDO141" s="3"/>
      <c r="JDP141" s="3"/>
      <c r="JDQ141" s="3"/>
      <c r="JDR141" s="3"/>
      <c r="JDS141" s="3"/>
      <c r="JDT141" s="3"/>
      <c r="JDU141" s="3"/>
      <c r="JDV141" s="3"/>
      <c r="JDW141" s="3"/>
      <c r="JDX141" s="3"/>
      <c r="JDY141" s="3"/>
      <c r="JDZ141" s="3"/>
      <c r="JEA141" s="3"/>
      <c r="JEB141" s="3"/>
      <c r="JEC141" s="3"/>
      <c r="JED141" s="3"/>
      <c r="JEE141" s="3"/>
      <c r="JEF141" s="3"/>
      <c r="JEG141" s="3"/>
      <c r="JEH141" s="3"/>
      <c r="JEI141" s="3"/>
      <c r="JEJ141" s="3"/>
      <c r="JEK141" s="3"/>
      <c r="JEL141" s="3"/>
      <c r="JEM141" s="3"/>
      <c r="JEN141" s="3"/>
      <c r="JEO141" s="3"/>
      <c r="JEP141" s="3"/>
      <c r="JEQ141" s="3"/>
      <c r="JER141" s="3"/>
      <c r="JES141" s="3"/>
      <c r="JET141" s="3"/>
      <c r="JEU141" s="3"/>
      <c r="JEV141" s="3"/>
      <c r="JEW141" s="3"/>
      <c r="JEX141" s="3"/>
      <c r="JEY141" s="3"/>
      <c r="JEZ141" s="3"/>
      <c r="JFA141" s="3"/>
      <c r="JFB141" s="3"/>
      <c r="JFC141" s="3"/>
      <c r="JFD141" s="3"/>
      <c r="JFE141" s="3"/>
      <c r="JFF141" s="3"/>
      <c r="JFG141" s="3"/>
      <c r="JFH141" s="3"/>
      <c r="JFI141" s="3"/>
      <c r="JFJ141" s="3"/>
      <c r="JFK141" s="3"/>
      <c r="JFL141" s="3"/>
      <c r="JFM141" s="3"/>
      <c r="JFN141" s="3"/>
      <c r="JFO141" s="3"/>
      <c r="JFP141" s="3"/>
      <c r="JFQ141" s="3"/>
      <c r="JFR141" s="3"/>
      <c r="JFS141" s="3"/>
      <c r="JFT141" s="3"/>
      <c r="JFU141" s="3"/>
      <c r="JFV141" s="3"/>
      <c r="JFW141" s="3"/>
      <c r="JFX141" s="3"/>
      <c r="JFY141" s="3"/>
      <c r="JFZ141" s="3"/>
      <c r="JGA141" s="3"/>
      <c r="JGB141" s="3"/>
      <c r="JGC141" s="3"/>
      <c r="JGD141" s="3"/>
      <c r="JGE141" s="3"/>
      <c r="JGF141" s="3"/>
      <c r="JGG141" s="3"/>
      <c r="JGH141" s="3"/>
      <c r="JGI141" s="3"/>
      <c r="JGJ141" s="3"/>
      <c r="JGK141" s="3"/>
      <c r="JGL141" s="3"/>
      <c r="JGM141" s="3"/>
      <c r="JGN141" s="3"/>
      <c r="JGO141" s="3"/>
      <c r="JGP141" s="3"/>
      <c r="JGQ141" s="3"/>
      <c r="JGR141" s="3"/>
      <c r="JGS141" s="3"/>
      <c r="JGT141" s="3"/>
      <c r="JGU141" s="3"/>
      <c r="JGV141" s="3"/>
      <c r="JGW141" s="3"/>
      <c r="JGX141" s="3"/>
      <c r="JGY141" s="3"/>
      <c r="JGZ141" s="3"/>
      <c r="JHA141" s="3"/>
      <c r="JHB141" s="3"/>
      <c r="JHC141" s="3"/>
      <c r="JHD141" s="3"/>
      <c r="JHE141" s="3"/>
      <c r="JHF141" s="3"/>
      <c r="JHG141" s="3"/>
      <c r="JHH141" s="3"/>
      <c r="JHI141" s="3"/>
      <c r="JHJ141" s="3"/>
      <c r="JHK141" s="3"/>
      <c r="JHL141" s="3"/>
      <c r="JHM141" s="3"/>
      <c r="JHN141" s="3"/>
      <c r="JHO141" s="3"/>
      <c r="JHP141" s="3"/>
      <c r="JHQ141" s="3"/>
      <c r="JHR141" s="3"/>
      <c r="JHS141" s="3"/>
      <c r="JHT141" s="3"/>
      <c r="JHU141" s="3"/>
      <c r="JHV141" s="3"/>
      <c r="JHW141" s="3"/>
      <c r="JHX141" s="3"/>
      <c r="JHY141" s="3"/>
      <c r="JHZ141" s="3"/>
      <c r="JIA141" s="3"/>
      <c r="JIB141" s="3"/>
      <c r="JIC141" s="3"/>
      <c r="JID141" s="3"/>
      <c r="JIE141" s="3"/>
      <c r="JIF141" s="3"/>
      <c r="JIG141" s="3"/>
      <c r="JIH141" s="3"/>
      <c r="JII141" s="3"/>
      <c r="JIJ141" s="3"/>
      <c r="JIK141" s="3"/>
      <c r="JIL141" s="3"/>
      <c r="JIM141" s="3"/>
      <c r="JIN141" s="3"/>
      <c r="JIO141" s="3"/>
      <c r="JIP141" s="3"/>
      <c r="JIQ141" s="3"/>
      <c r="JIR141" s="3"/>
      <c r="JIS141" s="3"/>
      <c r="JIT141" s="3"/>
      <c r="JIU141" s="3"/>
      <c r="JIV141" s="3"/>
      <c r="JIW141" s="3"/>
      <c r="JIX141" s="3"/>
      <c r="JIY141" s="3"/>
      <c r="JIZ141" s="3"/>
      <c r="JJA141" s="3"/>
      <c r="JJB141" s="3"/>
      <c r="JJC141" s="3"/>
      <c r="JJD141" s="3"/>
      <c r="JJE141" s="3"/>
      <c r="JJF141" s="3"/>
      <c r="JJG141" s="3"/>
      <c r="JJH141" s="3"/>
      <c r="JJI141" s="3"/>
      <c r="JJJ141" s="3"/>
      <c r="JJK141" s="3"/>
      <c r="JJL141" s="3"/>
      <c r="JJM141" s="3"/>
      <c r="JJN141" s="3"/>
      <c r="JJO141" s="3"/>
      <c r="JJP141" s="3"/>
      <c r="JJQ141" s="3"/>
      <c r="JJR141" s="3"/>
      <c r="JJS141" s="3"/>
      <c r="JJT141" s="3"/>
      <c r="JJU141" s="3"/>
      <c r="JJV141" s="3"/>
      <c r="JJW141" s="3"/>
      <c r="JJX141" s="3"/>
      <c r="JJY141" s="3"/>
      <c r="JJZ141" s="3"/>
      <c r="JKA141" s="3"/>
      <c r="JKB141" s="3"/>
      <c r="JKC141" s="3"/>
      <c r="JKD141" s="3"/>
      <c r="JKE141" s="3"/>
      <c r="JKF141" s="3"/>
      <c r="JKG141" s="3"/>
      <c r="JKH141" s="3"/>
      <c r="JKI141" s="3"/>
      <c r="JKJ141" s="3"/>
      <c r="JKK141" s="3"/>
      <c r="JKL141" s="3"/>
      <c r="JKM141" s="3"/>
      <c r="JKN141" s="3"/>
      <c r="JKO141" s="3"/>
      <c r="JKP141" s="3"/>
      <c r="JKQ141" s="3"/>
      <c r="JKR141" s="3"/>
      <c r="JKS141" s="3"/>
      <c r="JKT141" s="3"/>
      <c r="JKU141" s="3"/>
      <c r="JKV141" s="3"/>
      <c r="JKW141" s="3"/>
      <c r="JKX141" s="3"/>
      <c r="JKY141" s="3"/>
      <c r="JKZ141" s="3"/>
      <c r="JLA141" s="3"/>
      <c r="JLB141" s="3"/>
      <c r="JLC141" s="3"/>
      <c r="JLD141" s="3"/>
      <c r="JLE141" s="3"/>
      <c r="JLF141" s="3"/>
      <c r="JLG141" s="3"/>
      <c r="JLH141" s="3"/>
      <c r="JLI141" s="3"/>
      <c r="JLJ141" s="3"/>
      <c r="JLK141" s="3"/>
      <c r="JLL141" s="3"/>
      <c r="JLM141" s="3"/>
      <c r="JLN141" s="3"/>
      <c r="JLO141" s="3"/>
      <c r="JLP141" s="3"/>
      <c r="JLQ141" s="3"/>
      <c r="JLR141" s="3"/>
      <c r="JLS141" s="3"/>
      <c r="JLT141" s="3"/>
      <c r="JLU141" s="3"/>
      <c r="JLV141" s="3"/>
      <c r="JLW141" s="3"/>
      <c r="JLX141" s="3"/>
      <c r="JLY141" s="3"/>
      <c r="JLZ141" s="3"/>
      <c r="JMA141" s="3"/>
      <c r="JMB141" s="3"/>
      <c r="JMC141" s="3"/>
      <c r="JMD141" s="3"/>
      <c r="JME141" s="3"/>
      <c r="JMF141" s="3"/>
      <c r="JMG141" s="3"/>
      <c r="JMH141" s="3"/>
      <c r="JMI141" s="3"/>
      <c r="JMJ141" s="3"/>
      <c r="JMK141" s="3"/>
      <c r="JML141" s="3"/>
      <c r="JMM141" s="3"/>
      <c r="JMN141" s="3"/>
      <c r="JMO141" s="3"/>
      <c r="JMP141" s="3"/>
      <c r="JMQ141" s="3"/>
      <c r="JMR141" s="3"/>
      <c r="JMS141" s="3"/>
      <c r="JMT141" s="3"/>
      <c r="JMU141" s="3"/>
      <c r="JMV141" s="3"/>
      <c r="JMW141" s="3"/>
      <c r="JMX141" s="3"/>
      <c r="JMY141" s="3"/>
      <c r="JMZ141" s="3"/>
      <c r="JNA141" s="3"/>
      <c r="JNB141" s="3"/>
      <c r="JNC141" s="3"/>
      <c r="JND141" s="3"/>
      <c r="JNE141" s="3"/>
      <c r="JNF141" s="3"/>
      <c r="JNG141" s="3"/>
      <c r="JNH141" s="3"/>
      <c r="JNI141" s="3"/>
      <c r="JNJ141" s="3"/>
      <c r="JNK141" s="3"/>
      <c r="JNL141" s="3"/>
      <c r="JNM141" s="3"/>
      <c r="JNN141" s="3"/>
      <c r="JNO141" s="3"/>
      <c r="JNP141" s="3"/>
      <c r="JNQ141" s="3"/>
      <c r="JNR141" s="3"/>
      <c r="JNS141" s="3"/>
      <c r="JNT141" s="3"/>
      <c r="JNU141" s="3"/>
      <c r="JNV141" s="3"/>
      <c r="JNW141" s="3"/>
      <c r="JNX141" s="3"/>
      <c r="JNY141" s="3"/>
      <c r="JNZ141" s="3"/>
      <c r="JOA141" s="3"/>
      <c r="JOB141" s="3"/>
      <c r="JOC141" s="3"/>
      <c r="JOD141" s="3"/>
      <c r="JOE141" s="3"/>
      <c r="JOF141" s="3"/>
      <c r="JOG141" s="3"/>
      <c r="JOH141" s="3"/>
      <c r="JOI141" s="3"/>
      <c r="JOJ141" s="3"/>
      <c r="JOK141" s="3"/>
      <c r="JOL141" s="3"/>
      <c r="JOM141" s="3"/>
      <c r="JON141" s="3"/>
      <c r="JOO141" s="3"/>
      <c r="JOP141" s="3"/>
      <c r="JOQ141" s="3"/>
      <c r="JOR141" s="3"/>
      <c r="JOS141" s="3"/>
      <c r="JOT141" s="3"/>
      <c r="JOU141" s="3"/>
      <c r="JOV141" s="3"/>
      <c r="JOW141" s="3"/>
      <c r="JOX141" s="3"/>
      <c r="JOY141" s="3"/>
      <c r="JOZ141" s="3"/>
      <c r="JPA141" s="3"/>
      <c r="JPB141" s="3"/>
      <c r="JPC141" s="3"/>
      <c r="JPD141" s="3"/>
      <c r="JPE141" s="3"/>
      <c r="JPF141" s="3"/>
      <c r="JPG141" s="3"/>
      <c r="JPH141" s="3"/>
      <c r="JPI141" s="3"/>
      <c r="JPJ141" s="3"/>
      <c r="JPK141" s="3"/>
      <c r="JPL141" s="3"/>
      <c r="JPM141" s="3"/>
      <c r="JPN141" s="3"/>
      <c r="JPO141" s="3"/>
      <c r="JPP141" s="3"/>
      <c r="JPQ141" s="3"/>
      <c r="JPR141" s="3"/>
      <c r="JPS141" s="3"/>
      <c r="JPT141" s="3"/>
      <c r="JPU141" s="3"/>
      <c r="JPV141" s="3"/>
      <c r="JPW141" s="3"/>
      <c r="JPX141" s="3"/>
      <c r="JPY141" s="3"/>
      <c r="JPZ141" s="3"/>
      <c r="JQA141" s="3"/>
      <c r="JQB141" s="3"/>
      <c r="JQC141" s="3"/>
      <c r="JQD141" s="3"/>
      <c r="JQE141" s="3"/>
      <c r="JQF141" s="3"/>
      <c r="JQG141" s="3"/>
      <c r="JQH141" s="3"/>
      <c r="JQI141" s="3"/>
      <c r="JQJ141" s="3"/>
      <c r="JQK141" s="3"/>
      <c r="JQL141" s="3"/>
      <c r="JQM141" s="3"/>
      <c r="JQN141" s="3"/>
      <c r="JQO141" s="3"/>
      <c r="JQP141" s="3"/>
      <c r="JQQ141" s="3"/>
      <c r="JQR141" s="3"/>
      <c r="JQS141" s="3"/>
      <c r="JQT141" s="3"/>
      <c r="JQU141" s="3"/>
      <c r="JQV141" s="3"/>
      <c r="JQW141" s="3"/>
      <c r="JQX141" s="3"/>
      <c r="JQY141" s="3"/>
      <c r="JQZ141" s="3"/>
      <c r="JRA141" s="3"/>
      <c r="JRB141" s="3"/>
      <c r="JRC141" s="3"/>
      <c r="JRD141" s="3"/>
      <c r="JRE141" s="3"/>
      <c r="JRF141" s="3"/>
      <c r="JRG141" s="3"/>
      <c r="JRH141" s="3"/>
      <c r="JRI141" s="3"/>
      <c r="JRJ141" s="3"/>
      <c r="JRK141" s="3"/>
      <c r="JRL141" s="3"/>
      <c r="JRM141" s="3"/>
      <c r="JRN141" s="3"/>
      <c r="JRO141" s="3"/>
      <c r="JRP141" s="3"/>
      <c r="JRQ141" s="3"/>
      <c r="JRR141" s="3"/>
      <c r="JRS141" s="3"/>
      <c r="JRT141" s="3"/>
      <c r="JRU141" s="3"/>
      <c r="JRV141" s="3"/>
      <c r="JRW141" s="3"/>
      <c r="JRX141" s="3"/>
      <c r="JRY141" s="3"/>
      <c r="JRZ141" s="3"/>
      <c r="JSA141" s="3"/>
      <c r="JSB141" s="3"/>
      <c r="JSC141" s="3"/>
      <c r="JSD141" s="3"/>
      <c r="JSE141" s="3"/>
      <c r="JSF141" s="3"/>
      <c r="JSG141" s="3"/>
      <c r="JSH141" s="3"/>
      <c r="JSI141" s="3"/>
      <c r="JSJ141" s="3"/>
      <c r="JSK141" s="3"/>
      <c r="JSL141" s="3"/>
      <c r="JSM141" s="3"/>
      <c r="JSN141" s="3"/>
      <c r="JSO141" s="3"/>
      <c r="JSP141" s="3"/>
      <c r="JSQ141" s="3"/>
      <c r="JSR141" s="3"/>
      <c r="JSS141" s="3"/>
      <c r="JST141" s="3"/>
      <c r="JSU141" s="3"/>
      <c r="JSV141" s="3"/>
      <c r="JSW141" s="3"/>
      <c r="JSX141" s="3"/>
      <c r="JSY141" s="3"/>
      <c r="JSZ141" s="3"/>
      <c r="JTA141" s="3"/>
      <c r="JTB141" s="3"/>
      <c r="JTC141" s="3"/>
      <c r="JTD141" s="3"/>
      <c r="JTE141" s="3"/>
      <c r="JTF141" s="3"/>
      <c r="JTG141" s="3"/>
      <c r="JTH141" s="3"/>
      <c r="JTI141" s="3"/>
      <c r="JTJ141" s="3"/>
      <c r="JTK141" s="3"/>
      <c r="JTL141" s="3"/>
      <c r="JTM141" s="3"/>
      <c r="JTN141" s="3"/>
      <c r="JTO141" s="3"/>
      <c r="JTP141" s="3"/>
      <c r="JTQ141" s="3"/>
      <c r="JTR141" s="3"/>
      <c r="JTS141" s="3"/>
      <c r="JTT141" s="3"/>
      <c r="JTU141" s="3"/>
      <c r="JTV141" s="3"/>
      <c r="JTW141" s="3"/>
      <c r="JTX141" s="3"/>
      <c r="JTY141" s="3"/>
      <c r="JTZ141" s="3"/>
      <c r="JUA141" s="3"/>
      <c r="JUB141" s="3"/>
      <c r="JUC141" s="3"/>
      <c r="JUD141" s="3"/>
      <c r="JUE141" s="3"/>
      <c r="JUF141" s="3"/>
      <c r="JUG141" s="3"/>
      <c r="JUH141" s="3"/>
      <c r="JUI141" s="3"/>
      <c r="JUJ141" s="3"/>
      <c r="JUK141" s="3"/>
      <c r="JUL141" s="3"/>
      <c r="JUM141" s="3"/>
      <c r="JUN141" s="3"/>
      <c r="JUO141" s="3"/>
      <c r="JUP141" s="3"/>
      <c r="JUQ141" s="3"/>
      <c r="JUR141" s="3"/>
      <c r="JUS141" s="3"/>
      <c r="JUT141" s="3"/>
      <c r="JUU141" s="3"/>
      <c r="JUV141" s="3"/>
      <c r="JUW141" s="3"/>
      <c r="JUX141" s="3"/>
      <c r="JUY141" s="3"/>
      <c r="JUZ141" s="3"/>
      <c r="JVA141" s="3"/>
      <c r="JVB141" s="3"/>
      <c r="JVC141" s="3"/>
      <c r="JVD141" s="3"/>
      <c r="JVE141" s="3"/>
      <c r="JVF141" s="3"/>
      <c r="JVG141" s="3"/>
      <c r="JVH141" s="3"/>
      <c r="JVI141" s="3"/>
      <c r="JVJ141" s="3"/>
      <c r="JVK141" s="3"/>
      <c r="JVL141" s="3"/>
      <c r="JVM141" s="3"/>
      <c r="JVN141" s="3"/>
      <c r="JVO141" s="3"/>
      <c r="JVP141" s="3"/>
      <c r="JVQ141" s="3"/>
      <c r="JVR141" s="3"/>
      <c r="JVS141" s="3"/>
      <c r="JVT141" s="3"/>
      <c r="JVU141" s="3"/>
      <c r="JVV141" s="3"/>
      <c r="JVW141" s="3"/>
      <c r="JVX141" s="3"/>
      <c r="JVY141" s="3"/>
      <c r="JVZ141" s="3"/>
      <c r="JWA141" s="3"/>
      <c r="JWB141" s="3"/>
      <c r="JWC141" s="3"/>
      <c r="JWD141" s="3"/>
      <c r="JWE141" s="3"/>
      <c r="JWF141" s="3"/>
      <c r="JWG141" s="3"/>
      <c r="JWH141" s="3"/>
      <c r="JWI141" s="3"/>
      <c r="JWJ141" s="3"/>
      <c r="JWK141" s="3"/>
      <c r="JWL141" s="3"/>
      <c r="JWM141" s="3"/>
      <c r="JWN141" s="3"/>
      <c r="JWO141" s="3"/>
      <c r="JWP141" s="3"/>
      <c r="JWQ141" s="3"/>
      <c r="JWR141" s="3"/>
      <c r="JWS141" s="3"/>
      <c r="JWT141" s="3"/>
      <c r="JWU141" s="3"/>
      <c r="JWV141" s="3"/>
      <c r="JWW141" s="3"/>
      <c r="JWX141" s="3"/>
      <c r="JWY141" s="3"/>
      <c r="JWZ141" s="3"/>
      <c r="JXA141" s="3"/>
      <c r="JXB141" s="3"/>
      <c r="JXC141" s="3"/>
      <c r="JXD141" s="3"/>
      <c r="JXE141" s="3"/>
      <c r="JXF141" s="3"/>
      <c r="JXG141" s="3"/>
      <c r="JXH141" s="3"/>
      <c r="JXI141" s="3"/>
      <c r="JXJ141" s="3"/>
      <c r="JXK141" s="3"/>
      <c r="JXL141" s="3"/>
      <c r="JXM141" s="3"/>
      <c r="JXN141" s="3"/>
      <c r="JXO141" s="3"/>
      <c r="JXP141" s="3"/>
      <c r="JXQ141" s="3"/>
      <c r="JXR141" s="3"/>
      <c r="JXS141" s="3"/>
      <c r="JXT141" s="3"/>
      <c r="JXU141" s="3"/>
      <c r="JXV141" s="3"/>
      <c r="JXW141" s="3"/>
      <c r="JXX141" s="3"/>
      <c r="JXY141" s="3"/>
      <c r="JXZ141" s="3"/>
      <c r="JYA141" s="3"/>
      <c r="JYB141" s="3"/>
      <c r="JYC141" s="3"/>
      <c r="JYD141" s="3"/>
      <c r="JYE141" s="3"/>
      <c r="JYF141" s="3"/>
      <c r="JYG141" s="3"/>
      <c r="JYH141" s="3"/>
      <c r="JYI141" s="3"/>
      <c r="JYJ141" s="3"/>
      <c r="JYK141" s="3"/>
      <c r="JYL141" s="3"/>
      <c r="JYM141" s="3"/>
      <c r="JYN141" s="3"/>
      <c r="JYO141" s="3"/>
      <c r="JYP141" s="3"/>
      <c r="JYQ141" s="3"/>
      <c r="JYR141" s="3"/>
      <c r="JYS141" s="3"/>
      <c r="JYT141" s="3"/>
      <c r="JYU141" s="3"/>
      <c r="JYV141" s="3"/>
      <c r="JYW141" s="3"/>
      <c r="JYX141" s="3"/>
      <c r="JYY141" s="3"/>
      <c r="JYZ141" s="3"/>
      <c r="JZA141" s="3"/>
      <c r="JZB141" s="3"/>
      <c r="JZC141" s="3"/>
      <c r="JZD141" s="3"/>
      <c r="JZE141" s="3"/>
      <c r="JZF141" s="3"/>
      <c r="JZG141" s="3"/>
      <c r="JZH141" s="3"/>
      <c r="JZI141" s="3"/>
      <c r="JZJ141" s="3"/>
      <c r="JZK141" s="3"/>
      <c r="JZL141" s="3"/>
      <c r="JZM141" s="3"/>
      <c r="JZN141" s="3"/>
      <c r="JZO141" s="3"/>
      <c r="JZP141" s="3"/>
      <c r="JZQ141" s="3"/>
      <c r="JZR141" s="3"/>
      <c r="JZS141" s="3"/>
      <c r="JZT141" s="3"/>
      <c r="JZU141" s="3"/>
      <c r="JZV141" s="3"/>
      <c r="JZW141" s="3"/>
      <c r="JZX141" s="3"/>
      <c r="JZY141" s="3"/>
      <c r="JZZ141" s="3"/>
      <c r="KAA141" s="3"/>
      <c r="KAB141" s="3"/>
      <c r="KAC141" s="3"/>
      <c r="KAD141" s="3"/>
      <c r="KAE141" s="3"/>
      <c r="KAF141" s="3"/>
      <c r="KAG141" s="3"/>
      <c r="KAH141" s="3"/>
      <c r="KAI141" s="3"/>
      <c r="KAJ141" s="3"/>
      <c r="KAK141" s="3"/>
      <c r="KAL141" s="3"/>
      <c r="KAM141" s="3"/>
      <c r="KAN141" s="3"/>
      <c r="KAO141" s="3"/>
      <c r="KAP141" s="3"/>
      <c r="KAQ141" s="3"/>
      <c r="KAR141" s="3"/>
      <c r="KAS141" s="3"/>
      <c r="KAT141" s="3"/>
      <c r="KAU141" s="3"/>
      <c r="KAV141" s="3"/>
      <c r="KAW141" s="3"/>
      <c r="KAX141" s="3"/>
      <c r="KAY141" s="3"/>
      <c r="KAZ141" s="3"/>
      <c r="KBA141" s="3"/>
      <c r="KBB141" s="3"/>
      <c r="KBC141" s="3"/>
      <c r="KBD141" s="3"/>
      <c r="KBE141" s="3"/>
      <c r="KBF141" s="3"/>
      <c r="KBG141" s="3"/>
      <c r="KBH141" s="3"/>
      <c r="KBI141" s="3"/>
      <c r="KBJ141" s="3"/>
      <c r="KBK141" s="3"/>
      <c r="KBL141" s="3"/>
      <c r="KBM141" s="3"/>
      <c r="KBN141" s="3"/>
      <c r="KBO141" s="3"/>
      <c r="KBP141" s="3"/>
      <c r="KBQ141" s="3"/>
      <c r="KBR141" s="3"/>
      <c r="KBS141" s="3"/>
      <c r="KBT141" s="3"/>
      <c r="KBU141" s="3"/>
      <c r="KBV141" s="3"/>
      <c r="KBW141" s="3"/>
      <c r="KBX141" s="3"/>
      <c r="KBY141" s="3"/>
      <c r="KBZ141" s="3"/>
      <c r="KCA141" s="3"/>
      <c r="KCB141" s="3"/>
      <c r="KCC141" s="3"/>
      <c r="KCD141" s="3"/>
      <c r="KCE141" s="3"/>
      <c r="KCF141" s="3"/>
      <c r="KCG141" s="3"/>
      <c r="KCH141" s="3"/>
      <c r="KCI141" s="3"/>
      <c r="KCJ141" s="3"/>
      <c r="KCK141" s="3"/>
      <c r="KCL141" s="3"/>
      <c r="KCM141" s="3"/>
      <c r="KCN141" s="3"/>
      <c r="KCO141" s="3"/>
      <c r="KCP141" s="3"/>
      <c r="KCQ141" s="3"/>
      <c r="KCR141" s="3"/>
      <c r="KCS141" s="3"/>
      <c r="KCT141" s="3"/>
      <c r="KCU141" s="3"/>
      <c r="KCV141" s="3"/>
      <c r="KCW141" s="3"/>
      <c r="KCX141" s="3"/>
      <c r="KCY141" s="3"/>
      <c r="KCZ141" s="3"/>
      <c r="KDA141" s="3"/>
      <c r="KDB141" s="3"/>
      <c r="KDC141" s="3"/>
      <c r="KDD141" s="3"/>
      <c r="KDE141" s="3"/>
      <c r="KDF141" s="3"/>
      <c r="KDG141" s="3"/>
      <c r="KDH141" s="3"/>
      <c r="KDI141" s="3"/>
      <c r="KDJ141" s="3"/>
      <c r="KDK141" s="3"/>
      <c r="KDL141" s="3"/>
      <c r="KDM141" s="3"/>
      <c r="KDN141" s="3"/>
      <c r="KDO141" s="3"/>
      <c r="KDP141" s="3"/>
      <c r="KDQ141" s="3"/>
      <c r="KDR141" s="3"/>
      <c r="KDS141" s="3"/>
      <c r="KDT141" s="3"/>
      <c r="KDU141" s="3"/>
      <c r="KDV141" s="3"/>
      <c r="KDW141" s="3"/>
      <c r="KDX141" s="3"/>
      <c r="KDY141" s="3"/>
      <c r="KDZ141" s="3"/>
      <c r="KEA141" s="3"/>
      <c r="KEB141" s="3"/>
      <c r="KEC141" s="3"/>
      <c r="KED141" s="3"/>
      <c r="KEE141" s="3"/>
      <c r="KEF141" s="3"/>
      <c r="KEG141" s="3"/>
      <c r="KEH141" s="3"/>
      <c r="KEI141" s="3"/>
      <c r="KEJ141" s="3"/>
      <c r="KEK141" s="3"/>
      <c r="KEL141" s="3"/>
      <c r="KEM141" s="3"/>
      <c r="KEN141" s="3"/>
      <c r="KEO141" s="3"/>
      <c r="KEP141" s="3"/>
      <c r="KEQ141" s="3"/>
      <c r="KER141" s="3"/>
      <c r="KES141" s="3"/>
      <c r="KET141" s="3"/>
      <c r="KEU141" s="3"/>
      <c r="KEV141" s="3"/>
      <c r="KEW141" s="3"/>
      <c r="KEX141" s="3"/>
      <c r="KEY141" s="3"/>
      <c r="KEZ141" s="3"/>
      <c r="KFA141" s="3"/>
      <c r="KFB141" s="3"/>
      <c r="KFC141" s="3"/>
      <c r="KFD141" s="3"/>
      <c r="KFE141" s="3"/>
      <c r="KFF141" s="3"/>
      <c r="KFG141" s="3"/>
      <c r="KFH141" s="3"/>
      <c r="KFI141" s="3"/>
      <c r="KFJ141" s="3"/>
      <c r="KFK141" s="3"/>
      <c r="KFL141" s="3"/>
      <c r="KFM141" s="3"/>
      <c r="KFN141" s="3"/>
      <c r="KFO141" s="3"/>
      <c r="KFP141" s="3"/>
      <c r="KFQ141" s="3"/>
      <c r="KFR141" s="3"/>
      <c r="KFS141" s="3"/>
      <c r="KFT141" s="3"/>
      <c r="KFU141" s="3"/>
      <c r="KFV141" s="3"/>
      <c r="KFW141" s="3"/>
      <c r="KFX141" s="3"/>
      <c r="KFY141" s="3"/>
      <c r="KFZ141" s="3"/>
      <c r="KGA141" s="3"/>
      <c r="KGB141" s="3"/>
      <c r="KGC141" s="3"/>
      <c r="KGD141" s="3"/>
      <c r="KGE141" s="3"/>
      <c r="KGF141" s="3"/>
      <c r="KGG141" s="3"/>
      <c r="KGH141" s="3"/>
      <c r="KGI141" s="3"/>
      <c r="KGJ141" s="3"/>
      <c r="KGK141" s="3"/>
      <c r="KGL141" s="3"/>
      <c r="KGM141" s="3"/>
      <c r="KGN141" s="3"/>
      <c r="KGO141" s="3"/>
      <c r="KGP141" s="3"/>
      <c r="KGQ141" s="3"/>
      <c r="KGR141" s="3"/>
      <c r="KGS141" s="3"/>
      <c r="KGT141" s="3"/>
      <c r="KGU141" s="3"/>
      <c r="KGV141" s="3"/>
      <c r="KGW141" s="3"/>
      <c r="KGX141" s="3"/>
      <c r="KGY141" s="3"/>
      <c r="KGZ141" s="3"/>
      <c r="KHA141" s="3"/>
      <c r="KHB141" s="3"/>
      <c r="KHC141" s="3"/>
      <c r="KHD141" s="3"/>
      <c r="KHE141" s="3"/>
      <c r="KHF141" s="3"/>
      <c r="KHG141" s="3"/>
      <c r="KHH141" s="3"/>
      <c r="KHI141" s="3"/>
      <c r="KHJ141" s="3"/>
      <c r="KHK141" s="3"/>
      <c r="KHL141" s="3"/>
      <c r="KHM141" s="3"/>
      <c r="KHN141" s="3"/>
      <c r="KHO141" s="3"/>
      <c r="KHP141" s="3"/>
      <c r="KHQ141" s="3"/>
      <c r="KHR141" s="3"/>
      <c r="KHS141" s="3"/>
      <c r="KHT141" s="3"/>
      <c r="KHU141" s="3"/>
      <c r="KHV141" s="3"/>
      <c r="KHW141" s="3"/>
      <c r="KHX141" s="3"/>
      <c r="KHY141" s="3"/>
      <c r="KHZ141" s="3"/>
      <c r="KIA141" s="3"/>
      <c r="KIB141" s="3"/>
      <c r="KIC141" s="3"/>
      <c r="KID141" s="3"/>
      <c r="KIE141" s="3"/>
      <c r="KIF141" s="3"/>
      <c r="KIG141" s="3"/>
      <c r="KIH141" s="3"/>
      <c r="KII141" s="3"/>
      <c r="KIJ141" s="3"/>
      <c r="KIK141" s="3"/>
      <c r="KIL141" s="3"/>
      <c r="KIM141" s="3"/>
      <c r="KIN141" s="3"/>
      <c r="KIO141" s="3"/>
      <c r="KIP141" s="3"/>
      <c r="KIQ141" s="3"/>
      <c r="KIR141" s="3"/>
      <c r="KIS141" s="3"/>
      <c r="KIT141" s="3"/>
      <c r="KIU141" s="3"/>
      <c r="KIV141" s="3"/>
      <c r="KIW141" s="3"/>
      <c r="KIX141" s="3"/>
      <c r="KIY141" s="3"/>
      <c r="KIZ141" s="3"/>
      <c r="KJA141" s="3"/>
      <c r="KJB141" s="3"/>
      <c r="KJC141" s="3"/>
      <c r="KJD141" s="3"/>
      <c r="KJE141" s="3"/>
      <c r="KJF141" s="3"/>
      <c r="KJG141" s="3"/>
      <c r="KJH141" s="3"/>
      <c r="KJI141" s="3"/>
      <c r="KJJ141" s="3"/>
      <c r="KJK141" s="3"/>
      <c r="KJL141" s="3"/>
      <c r="KJM141" s="3"/>
      <c r="KJN141" s="3"/>
      <c r="KJO141" s="3"/>
      <c r="KJP141" s="3"/>
      <c r="KJQ141" s="3"/>
      <c r="KJR141" s="3"/>
      <c r="KJS141" s="3"/>
      <c r="KJT141" s="3"/>
      <c r="KJU141" s="3"/>
      <c r="KJV141" s="3"/>
      <c r="KJW141" s="3"/>
      <c r="KJX141" s="3"/>
      <c r="KJY141" s="3"/>
      <c r="KJZ141" s="3"/>
      <c r="KKA141" s="3"/>
      <c r="KKB141" s="3"/>
      <c r="KKC141" s="3"/>
      <c r="KKD141" s="3"/>
      <c r="KKE141" s="3"/>
      <c r="KKF141" s="3"/>
      <c r="KKG141" s="3"/>
      <c r="KKH141" s="3"/>
      <c r="KKI141" s="3"/>
      <c r="KKJ141" s="3"/>
      <c r="KKK141" s="3"/>
      <c r="KKL141" s="3"/>
      <c r="KKM141" s="3"/>
      <c r="KKN141" s="3"/>
      <c r="KKO141" s="3"/>
      <c r="KKP141" s="3"/>
      <c r="KKQ141" s="3"/>
      <c r="KKR141" s="3"/>
      <c r="KKS141" s="3"/>
      <c r="KKT141" s="3"/>
      <c r="KKU141" s="3"/>
      <c r="KKV141" s="3"/>
      <c r="KKW141" s="3"/>
      <c r="KKX141" s="3"/>
      <c r="KKY141" s="3"/>
      <c r="KKZ141" s="3"/>
      <c r="KLA141" s="3"/>
      <c r="KLB141" s="3"/>
      <c r="KLC141" s="3"/>
      <c r="KLD141" s="3"/>
      <c r="KLE141" s="3"/>
      <c r="KLF141" s="3"/>
      <c r="KLG141" s="3"/>
      <c r="KLH141" s="3"/>
      <c r="KLI141" s="3"/>
      <c r="KLJ141" s="3"/>
      <c r="KLK141" s="3"/>
      <c r="KLL141" s="3"/>
      <c r="KLM141" s="3"/>
      <c r="KLN141" s="3"/>
      <c r="KLO141" s="3"/>
      <c r="KLP141" s="3"/>
      <c r="KLQ141" s="3"/>
      <c r="KLR141" s="3"/>
      <c r="KLS141" s="3"/>
      <c r="KLT141" s="3"/>
      <c r="KLU141" s="3"/>
      <c r="KLV141" s="3"/>
      <c r="KLW141" s="3"/>
      <c r="KLX141" s="3"/>
      <c r="KLY141" s="3"/>
      <c r="KLZ141" s="3"/>
      <c r="KMA141" s="3"/>
      <c r="KMB141" s="3"/>
      <c r="KMC141" s="3"/>
      <c r="KMD141" s="3"/>
      <c r="KME141" s="3"/>
      <c r="KMF141" s="3"/>
      <c r="KMG141" s="3"/>
      <c r="KMH141" s="3"/>
      <c r="KMI141" s="3"/>
      <c r="KMJ141" s="3"/>
      <c r="KMK141" s="3"/>
      <c r="KML141" s="3"/>
      <c r="KMM141" s="3"/>
      <c r="KMN141" s="3"/>
      <c r="KMO141" s="3"/>
      <c r="KMP141" s="3"/>
      <c r="KMQ141" s="3"/>
      <c r="KMR141" s="3"/>
      <c r="KMS141" s="3"/>
      <c r="KMT141" s="3"/>
      <c r="KMU141" s="3"/>
      <c r="KMV141" s="3"/>
      <c r="KMW141" s="3"/>
      <c r="KMX141" s="3"/>
      <c r="KMY141" s="3"/>
      <c r="KMZ141" s="3"/>
      <c r="KNA141" s="3"/>
      <c r="KNB141" s="3"/>
      <c r="KNC141" s="3"/>
      <c r="KND141" s="3"/>
      <c r="KNE141" s="3"/>
      <c r="KNF141" s="3"/>
      <c r="KNG141" s="3"/>
      <c r="KNH141" s="3"/>
      <c r="KNI141" s="3"/>
      <c r="KNJ141" s="3"/>
      <c r="KNK141" s="3"/>
      <c r="KNL141" s="3"/>
      <c r="KNM141" s="3"/>
      <c r="KNN141" s="3"/>
      <c r="KNO141" s="3"/>
      <c r="KNP141" s="3"/>
      <c r="KNQ141" s="3"/>
      <c r="KNR141" s="3"/>
      <c r="KNS141" s="3"/>
      <c r="KNT141" s="3"/>
      <c r="KNU141" s="3"/>
      <c r="KNV141" s="3"/>
      <c r="KNW141" s="3"/>
      <c r="KNX141" s="3"/>
      <c r="KNY141" s="3"/>
      <c r="KNZ141" s="3"/>
      <c r="KOA141" s="3"/>
      <c r="KOB141" s="3"/>
      <c r="KOC141" s="3"/>
      <c r="KOD141" s="3"/>
      <c r="KOE141" s="3"/>
      <c r="KOF141" s="3"/>
      <c r="KOG141" s="3"/>
      <c r="KOH141" s="3"/>
      <c r="KOI141" s="3"/>
      <c r="KOJ141" s="3"/>
      <c r="KOK141" s="3"/>
      <c r="KOL141" s="3"/>
      <c r="KOM141" s="3"/>
      <c r="KON141" s="3"/>
      <c r="KOO141" s="3"/>
      <c r="KOP141" s="3"/>
      <c r="KOQ141" s="3"/>
      <c r="KOR141" s="3"/>
      <c r="KOS141" s="3"/>
      <c r="KOT141" s="3"/>
      <c r="KOU141" s="3"/>
      <c r="KOV141" s="3"/>
      <c r="KOW141" s="3"/>
      <c r="KOX141" s="3"/>
      <c r="KOY141" s="3"/>
      <c r="KOZ141" s="3"/>
      <c r="KPA141" s="3"/>
      <c r="KPB141" s="3"/>
      <c r="KPC141" s="3"/>
      <c r="KPD141" s="3"/>
      <c r="KPE141" s="3"/>
      <c r="KPF141" s="3"/>
      <c r="KPG141" s="3"/>
      <c r="KPH141" s="3"/>
      <c r="KPI141" s="3"/>
      <c r="KPJ141" s="3"/>
      <c r="KPK141" s="3"/>
      <c r="KPL141" s="3"/>
      <c r="KPM141" s="3"/>
      <c r="KPN141" s="3"/>
      <c r="KPO141" s="3"/>
      <c r="KPP141" s="3"/>
      <c r="KPQ141" s="3"/>
      <c r="KPR141" s="3"/>
      <c r="KPS141" s="3"/>
      <c r="KPT141" s="3"/>
      <c r="KPU141" s="3"/>
      <c r="KPV141" s="3"/>
      <c r="KPW141" s="3"/>
      <c r="KPX141" s="3"/>
      <c r="KPY141" s="3"/>
      <c r="KPZ141" s="3"/>
      <c r="KQA141" s="3"/>
      <c r="KQB141" s="3"/>
      <c r="KQC141" s="3"/>
      <c r="KQD141" s="3"/>
      <c r="KQE141" s="3"/>
      <c r="KQF141" s="3"/>
      <c r="KQG141" s="3"/>
      <c r="KQH141" s="3"/>
      <c r="KQI141" s="3"/>
      <c r="KQJ141" s="3"/>
      <c r="KQK141" s="3"/>
      <c r="KQL141" s="3"/>
      <c r="KQM141" s="3"/>
      <c r="KQN141" s="3"/>
      <c r="KQO141" s="3"/>
      <c r="KQP141" s="3"/>
      <c r="KQQ141" s="3"/>
      <c r="KQR141" s="3"/>
      <c r="KQS141" s="3"/>
      <c r="KQT141" s="3"/>
      <c r="KQU141" s="3"/>
      <c r="KQV141" s="3"/>
      <c r="KQW141" s="3"/>
      <c r="KQX141" s="3"/>
      <c r="KQY141" s="3"/>
      <c r="KQZ141" s="3"/>
      <c r="KRA141" s="3"/>
      <c r="KRB141" s="3"/>
      <c r="KRC141" s="3"/>
      <c r="KRD141" s="3"/>
      <c r="KRE141" s="3"/>
      <c r="KRF141" s="3"/>
      <c r="KRG141" s="3"/>
      <c r="KRH141" s="3"/>
      <c r="KRI141" s="3"/>
      <c r="KRJ141" s="3"/>
      <c r="KRK141" s="3"/>
      <c r="KRL141" s="3"/>
      <c r="KRM141" s="3"/>
      <c r="KRN141" s="3"/>
      <c r="KRO141" s="3"/>
      <c r="KRP141" s="3"/>
      <c r="KRQ141" s="3"/>
      <c r="KRR141" s="3"/>
      <c r="KRS141" s="3"/>
      <c r="KRT141" s="3"/>
      <c r="KRU141" s="3"/>
      <c r="KRV141" s="3"/>
      <c r="KRW141" s="3"/>
      <c r="KRX141" s="3"/>
      <c r="KRY141" s="3"/>
      <c r="KRZ141" s="3"/>
      <c r="KSA141" s="3"/>
      <c r="KSB141" s="3"/>
      <c r="KSC141" s="3"/>
      <c r="KSD141" s="3"/>
      <c r="KSE141" s="3"/>
      <c r="KSF141" s="3"/>
      <c r="KSG141" s="3"/>
      <c r="KSH141" s="3"/>
      <c r="KSI141" s="3"/>
      <c r="KSJ141" s="3"/>
      <c r="KSK141" s="3"/>
      <c r="KSL141" s="3"/>
      <c r="KSM141" s="3"/>
      <c r="KSN141" s="3"/>
      <c r="KSO141" s="3"/>
      <c r="KSP141" s="3"/>
      <c r="KSQ141" s="3"/>
      <c r="KSR141" s="3"/>
      <c r="KSS141" s="3"/>
      <c r="KST141" s="3"/>
      <c r="KSU141" s="3"/>
      <c r="KSV141" s="3"/>
      <c r="KSW141" s="3"/>
      <c r="KSX141" s="3"/>
      <c r="KSY141" s="3"/>
      <c r="KSZ141" s="3"/>
      <c r="KTA141" s="3"/>
      <c r="KTB141" s="3"/>
      <c r="KTC141" s="3"/>
      <c r="KTD141" s="3"/>
      <c r="KTE141" s="3"/>
      <c r="KTF141" s="3"/>
      <c r="KTG141" s="3"/>
      <c r="KTH141" s="3"/>
      <c r="KTI141" s="3"/>
      <c r="KTJ141" s="3"/>
      <c r="KTK141" s="3"/>
      <c r="KTL141" s="3"/>
      <c r="KTM141" s="3"/>
      <c r="KTN141" s="3"/>
      <c r="KTO141" s="3"/>
      <c r="KTP141" s="3"/>
      <c r="KTQ141" s="3"/>
      <c r="KTR141" s="3"/>
      <c r="KTS141" s="3"/>
      <c r="KTT141" s="3"/>
      <c r="KTU141" s="3"/>
      <c r="KTV141" s="3"/>
      <c r="KTW141" s="3"/>
      <c r="KTX141" s="3"/>
      <c r="KTY141" s="3"/>
      <c r="KTZ141" s="3"/>
      <c r="KUA141" s="3"/>
      <c r="KUB141" s="3"/>
      <c r="KUC141" s="3"/>
      <c r="KUD141" s="3"/>
      <c r="KUE141" s="3"/>
      <c r="KUF141" s="3"/>
      <c r="KUG141" s="3"/>
      <c r="KUH141" s="3"/>
      <c r="KUI141" s="3"/>
      <c r="KUJ141" s="3"/>
      <c r="KUK141" s="3"/>
      <c r="KUL141" s="3"/>
      <c r="KUM141" s="3"/>
      <c r="KUN141" s="3"/>
      <c r="KUO141" s="3"/>
      <c r="KUP141" s="3"/>
      <c r="KUQ141" s="3"/>
      <c r="KUR141" s="3"/>
      <c r="KUS141" s="3"/>
      <c r="KUT141" s="3"/>
      <c r="KUU141" s="3"/>
      <c r="KUV141" s="3"/>
      <c r="KUW141" s="3"/>
      <c r="KUX141" s="3"/>
      <c r="KUY141" s="3"/>
      <c r="KUZ141" s="3"/>
      <c r="KVA141" s="3"/>
      <c r="KVB141" s="3"/>
      <c r="KVC141" s="3"/>
      <c r="KVD141" s="3"/>
      <c r="KVE141" s="3"/>
      <c r="KVF141" s="3"/>
      <c r="KVG141" s="3"/>
      <c r="KVH141" s="3"/>
      <c r="KVI141" s="3"/>
      <c r="KVJ141" s="3"/>
      <c r="KVK141" s="3"/>
      <c r="KVL141" s="3"/>
      <c r="KVM141" s="3"/>
      <c r="KVN141" s="3"/>
      <c r="KVO141" s="3"/>
      <c r="KVP141" s="3"/>
      <c r="KVQ141" s="3"/>
      <c r="KVR141" s="3"/>
      <c r="KVS141" s="3"/>
      <c r="KVT141" s="3"/>
      <c r="KVU141" s="3"/>
      <c r="KVV141" s="3"/>
      <c r="KVW141" s="3"/>
      <c r="KVX141" s="3"/>
      <c r="KVY141" s="3"/>
      <c r="KVZ141" s="3"/>
      <c r="KWA141" s="3"/>
      <c r="KWB141" s="3"/>
      <c r="KWC141" s="3"/>
      <c r="KWD141" s="3"/>
      <c r="KWE141" s="3"/>
      <c r="KWF141" s="3"/>
      <c r="KWG141" s="3"/>
      <c r="KWH141" s="3"/>
      <c r="KWI141" s="3"/>
      <c r="KWJ141" s="3"/>
      <c r="KWK141" s="3"/>
      <c r="KWL141" s="3"/>
      <c r="KWM141" s="3"/>
      <c r="KWN141" s="3"/>
      <c r="KWO141" s="3"/>
      <c r="KWP141" s="3"/>
      <c r="KWQ141" s="3"/>
      <c r="KWR141" s="3"/>
      <c r="KWS141" s="3"/>
      <c r="KWT141" s="3"/>
      <c r="KWU141" s="3"/>
      <c r="KWV141" s="3"/>
      <c r="KWW141" s="3"/>
      <c r="KWX141" s="3"/>
      <c r="KWY141" s="3"/>
      <c r="KWZ141" s="3"/>
      <c r="KXA141" s="3"/>
      <c r="KXB141" s="3"/>
      <c r="KXC141" s="3"/>
      <c r="KXD141" s="3"/>
      <c r="KXE141" s="3"/>
      <c r="KXF141" s="3"/>
      <c r="KXG141" s="3"/>
      <c r="KXH141" s="3"/>
      <c r="KXI141" s="3"/>
      <c r="KXJ141" s="3"/>
      <c r="KXK141" s="3"/>
      <c r="KXL141" s="3"/>
      <c r="KXM141" s="3"/>
      <c r="KXN141" s="3"/>
      <c r="KXO141" s="3"/>
      <c r="KXP141" s="3"/>
      <c r="KXQ141" s="3"/>
      <c r="KXR141" s="3"/>
      <c r="KXS141" s="3"/>
      <c r="KXT141" s="3"/>
      <c r="KXU141" s="3"/>
      <c r="KXV141" s="3"/>
      <c r="KXW141" s="3"/>
      <c r="KXX141" s="3"/>
      <c r="KXY141" s="3"/>
      <c r="KXZ141" s="3"/>
      <c r="KYA141" s="3"/>
      <c r="KYB141" s="3"/>
      <c r="KYC141" s="3"/>
      <c r="KYD141" s="3"/>
      <c r="KYE141" s="3"/>
      <c r="KYF141" s="3"/>
      <c r="KYG141" s="3"/>
      <c r="KYH141" s="3"/>
      <c r="KYI141" s="3"/>
      <c r="KYJ141" s="3"/>
      <c r="KYK141" s="3"/>
      <c r="KYL141" s="3"/>
      <c r="KYM141" s="3"/>
      <c r="KYN141" s="3"/>
      <c r="KYO141" s="3"/>
      <c r="KYP141" s="3"/>
      <c r="KYQ141" s="3"/>
      <c r="KYR141" s="3"/>
      <c r="KYS141" s="3"/>
      <c r="KYT141" s="3"/>
      <c r="KYU141" s="3"/>
      <c r="KYV141" s="3"/>
      <c r="KYW141" s="3"/>
      <c r="KYX141" s="3"/>
      <c r="KYY141" s="3"/>
      <c r="KYZ141" s="3"/>
      <c r="KZA141" s="3"/>
      <c r="KZB141" s="3"/>
      <c r="KZC141" s="3"/>
      <c r="KZD141" s="3"/>
      <c r="KZE141" s="3"/>
      <c r="KZF141" s="3"/>
      <c r="KZG141" s="3"/>
      <c r="KZH141" s="3"/>
      <c r="KZI141" s="3"/>
      <c r="KZJ141" s="3"/>
      <c r="KZK141" s="3"/>
      <c r="KZL141" s="3"/>
      <c r="KZM141" s="3"/>
      <c r="KZN141" s="3"/>
      <c r="KZO141" s="3"/>
      <c r="KZP141" s="3"/>
      <c r="KZQ141" s="3"/>
      <c r="KZR141" s="3"/>
      <c r="KZS141" s="3"/>
      <c r="KZT141" s="3"/>
      <c r="KZU141" s="3"/>
      <c r="KZV141" s="3"/>
      <c r="KZW141" s="3"/>
      <c r="KZX141" s="3"/>
      <c r="KZY141" s="3"/>
      <c r="KZZ141" s="3"/>
      <c r="LAA141" s="3"/>
      <c r="LAB141" s="3"/>
      <c r="LAC141" s="3"/>
      <c r="LAD141" s="3"/>
      <c r="LAE141" s="3"/>
      <c r="LAF141" s="3"/>
      <c r="LAG141" s="3"/>
      <c r="LAH141" s="3"/>
      <c r="LAI141" s="3"/>
      <c r="LAJ141" s="3"/>
      <c r="LAK141" s="3"/>
      <c r="LAL141" s="3"/>
      <c r="LAM141" s="3"/>
      <c r="LAN141" s="3"/>
      <c r="LAO141" s="3"/>
      <c r="LAP141" s="3"/>
      <c r="LAQ141" s="3"/>
      <c r="LAR141" s="3"/>
      <c r="LAS141" s="3"/>
      <c r="LAT141" s="3"/>
      <c r="LAU141" s="3"/>
      <c r="LAV141" s="3"/>
      <c r="LAW141" s="3"/>
      <c r="LAX141" s="3"/>
      <c r="LAY141" s="3"/>
      <c r="LAZ141" s="3"/>
      <c r="LBA141" s="3"/>
      <c r="LBB141" s="3"/>
      <c r="LBC141" s="3"/>
      <c r="LBD141" s="3"/>
      <c r="LBE141" s="3"/>
      <c r="LBF141" s="3"/>
      <c r="LBG141" s="3"/>
      <c r="LBH141" s="3"/>
      <c r="LBI141" s="3"/>
      <c r="LBJ141" s="3"/>
      <c r="LBK141" s="3"/>
      <c r="LBL141" s="3"/>
      <c r="LBM141" s="3"/>
      <c r="LBN141" s="3"/>
      <c r="LBO141" s="3"/>
      <c r="LBP141" s="3"/>
      <c r="LBQ141" s="3"/>
      <c r="LBR141" s="3"/>
      <c r="LBS141" s="3"/>
      <c r="LBT141" s="3"/>
      <c r="LBU141" s="3"/>
      <c r="LBV141" s="3"/>
      <c r="LBW141" s="3"/>
      <c r="LBX141" s="3"/>
      <c r="LBY141" s="3"/>
      <c r="LBZ141" s="3"/>
      <c r="LCA141" s="3"/>
      <c r="LCB141" s="3"/>
      <c r="LCC141" s="3"/>
      <c r="LCD141" s="3"/>
      <c r="LCE141" s="3"/>
      <c r="LCF141" s="3"/>
      <c r="LCG141" s="3"/>
      <c r="LCH141" s="3"/>
      <c r="LCI141" s="3"/>
      <c r="LCJ141" s="3"/>
      <c r="LCK141" s="3"/>
      <c r="LCL141" s="3"/>
      <c r="LCM141" s="3"/>
      <c r="LCN141" s="3"/>
      <c r="LCO141" s="3"/>
      <c r="LCP141" s="3"/>
      <c r="LCQ141" s="3"/>
      <c r="LCR141" s="3"/>
      <c r="LCS141" s="3"/>
      <c r="LCT141" s="3"/>
      <c r="LCU141" s="3"/>
      <c r="LCV141" s="3"/>
      <c r="LCW141" s="3"/>
      <c r="LCX141" s="3"/>
      <c r="LCY141" s="3"/>
      <c r="LCZ141" s="3"/>
      <c r="LDA141" s="3"/>
      <c r="LDB141" s="3"/>
      <c r="LDC141" s="3"/>
      <c r="LDD141" s="3"/>
      <c r="LDE141" s="3"/>
      <c r="LDF141" s="3"/>
      <c r="LDG141" s="3"/>
      <c r="LDH141" s="3"/>
      <c r="LDI141" s="3"/>
      <c r="LDJ141" s="3"/>
      <c r="LDK141" s="3"/>
      <c r="LDL141" s="3"/>
      <c r="LDM141" s="3"/>
      <c r="LDN141" s="3"/>
      <c r="LDO141" s="3"/>
      <c r="LDP141" s="3"/>
      <c r="LDQ141" s="3"/>
      <c r="LDR141" s="3"/>
      <c r="LDS141" s="3"/>
      <c r="LDT141" s="3"/>
      <c r="LDU141" s="3"/>
      <c r="LDV141" s="3"/>
      <c r="LDW141" s="3"/>
      <c r="LDX141" s="3"/>
      <c r="LDY141" s="3"/>
      <c r="LDZ141" s="3"/>
      <c r="LEA141" s="3"/>
      <c r="LEB141" s="3"/>
      <c r="LEC141" s="3"/>
      <c r="LED141" s="3"/>
      <c r="LEE141" s="3"/>
      <c r="LEF141" s="3"/>
      <c r="LEG141" s="3"/>
      <c r="LEH141" s="3"/>
      <c r="LEI141" s="3"/>
      <c r="LEJ141" s="3"/>
      <c r="LEK141" s="3"/>
      <c r="LEL141" s="3"/>
      <c r="LEM141" s="3"/>
      <c r="LEN141" s="3"/>
      <c r="LEO141" s="3"/>
      <c r="LEP141" s="3"/>
      <c r="LEQ141" s="3"/>
      <c r="LER141" s="3"/>
      <c r="LES141" s="3"/>
      <c r="LET141" s="3"/>
      <c r="LEU141" s="3"/>
      <c r="LEV141" s="3"/>
      <c r="LEW141" s="3"/>
      <c r="LEX141" s="3"/>
      <c r="LEY141" s="3"/>
      <c r="LEZ141" s="3"/>
      <c r="LFA141" s="3"/>
      <c r="LFB141" s="3"/>
      <c r="LFC141" s="3"/>
      <c r="LFD141" s="3"/>
      <c r="LFE141" s="3"/>
      <c r="LFF141" s="3"/>
      <c r="LFG141" s="3"/>
      <c r="LFH141" s="3"/>
      <c r="LFI141" s="3"/>
      <c r="LFJ141" s="3"/>
      <c r="LFK141" s="3"/>
      <c r="LFL141" s="3"/>
      <c r="LFM141" s="3"/>
      <c r="LFN141" s="3"/>
      <c r="LFO141" s="3"/>
      <c r="LFP141" s="3"/>
      <c r="LFQ141" s="3"/>
      <c r="LFR141" s="3"/>
      <c r="LFS141" s="3"/>
      <c r="LFT141" s="3"/>
      <c r="LFU141" s="3"/>
      <c r="LFV141" s="3"/>
      <c r="LFW141" s="3"/>
      <c r="LFX141" s="3"/>
      <c r="LFY141" s="3"/>
      <c r="LFZ141" s="3"/>
      <c r="LGA141" s="3"/>
      <c r="LGB141" s="3"/>
      <c r="LGC141" s="3"/>
      <c r="LGD141" s="3"/>
      <c r="LGE141" s="3"/>
      <c r="LGF141" s="3"/>
      <c r="LGG141" s="3"/>
      <c r="LGH141" s="3"/>
      <c r="LGI141" s="3"/>
      <c r="LGJ141" s="3"/>
      <c r="LGK141" s="3"/>
      <c r="LGL141" s="3"/>
      <c r="LGM141" s="3"/>
      <c r="LGN141" s="3"/>
      <c r="LGO141" s="3"/>
      <c r="LGP141" s="3"/>
      <c r="LGQ141" s="3"/>
      <c r="LGR141" s="3"/>
      <c r="LGS141" s="3"/>
      <c r="LGT141" s="3"/>
      <c r="LGU141" s="3"/>
      <c r="LGV141" s="3"/>
      <c r="LGW141" s="3"/>
      <c r="LGX141" s="3"/>
      <c r="LGY141" s="3"/>
      <c r="LGZ141" s="3"/>
      <c r="LHA141" s="3"/>
      <c r="LHB141" s="3"/>
      <c r="LHC141" s="3"/>
      <c r="LHD141" s="3"/>
      <c r="LHE141" s="3"/>
      <c r="LHF141" s="3"/>
      <c r="LHG141" s="3"/>
      <c r="LHH141" s="3"/>
      <c r="LHI141" s="3"/>
      <c r="LHJ141" s="3"/>
      <c r="LHK141" s="3"/>
      <c r="LHL141" s="3"/>
      <c r="LHM141" s="3"/>
      <c r="LHN141" s="3"/>
      <c r="LHO141" s="3"/>
      <c r="LHP141" s="3"/>
      <c r="LHQ141" s="3"/>
      <c r="LHR141" s="3"/>
      <c r="LHS141" s="3"/>
      <c r="LHT141" s="3"/>
      <c r="LHU141" s="3"/>
      <c r="LHV141" s="3"/>
      <c r="LHW141" s="3"/>
      <c r="LHX141" s="3"/>
      <c r="LHY141" s="3"/>
      <c r="LHZ141" s="3"/>
      <c r="LIA141" s="3"/>
      <c r="LIB141" s="3"/>
      <c r="LIC141" s="3"/>
      <c r="LID141" s="3"/>
      <c r="LIE141" s="3"/>
      <c r="LIF141" s="3"/>
      <c r="LIG141" s="3"/>
      <c r="LIH141" s="3"/>
      <c r="LII141" s="3"/>
      <c r="LIJ141" s="3"/>
      <c r="LIK141" s="3"/>
      <c r="LIL141" s="3"/>
      <c r="LIM141" s="3"/>
      <c r="LIN141" s="3"/>
      <c r="LIO141" s="3"/>
      <c r="LIP141" s="3"/>
      <c r="LIQ141" s="3"/>
      <c r="LIR141" s="3"/>
      <c r="LIS141" s="3"/>
      <c r="LIT141" s="3"/>
      <c r="LIU141" s="3"/>
      <c r="LIV141" s="3"/>
      <c r="LIW141" s="3"/>
      <c r="LIX141" s="3"/>
      <c r="LIY141" s="3"/>
      <c r="LIZ141" s="3"/>
      <c r="LJA141" s="3"/>
      <c r="LJB141" s="3"/>
      <c r="LJC141" s="3"/>
      <c r="LJD141" s="3"/>
      <c r="LJE141" s="3"/>
      <c r="LJF141" s="3"/>
      <c r="LJG141" s="3"/>
      <c r="LJH141" s="3"/>
      <c r="LJI141" s="3"/>
      <c r="LJJ141" s="3"/>
      <c r="LJK141" s="3"/>
      <c r="LJL141" s="3"/>
      <c r="LJM141" s="3"/>
      <c r="LJN141" s="3"/>
      <c r="LJO141" s="3"/>
      <c r="LJP141" s="3"/>
      <c r="LJQ141" s="3"/>
      <c r="LJR141" s="3"/>
      <c r="LJS141" s="3"/>
      <c r="LJT141" s="3"/>
      <c r="LJU141" s="3"/>
      <c r="LJV141" s="3"/>
      <c r="LJW141" s="3"/>
      <c r="LJX141" s="3"/>
      <c r="LJY141" s="3"/>
      <c r="LJZ141" s="3"/>
      <c r="LKA141" s="3"/>
      <c r="LKB141" s="3"/>
      <c r="LKC141" s="3"/>
      <c r="LKD141" s="3"/>
      <c r="LKE141" s="3"/>
      <c r="LKF141" s="3"/>
      <c r="LKG141" s="3"/>
      <c r="LKH141" s="3"/>
      <c r="LKI141" s="3"/>
      <c r="LKJ141" s="3"/>
      <c r="LKK141" s="3"/>
      <c r="LKL141" s="3"/>
      <c r="LKM141" s="3"/>
      <c r="LKN141" s="3"/>
      <c r="LKO141" s="3"/>
      <c r="LKP141" s="3"/>
      <c r="LKQ141" s="3"/>
      <c r="LKR141" s="3"/>
      <c r="LKS141" s="3"/>
      <c r="LKT141" s="3"/>
      <c r="LKU141" s="3"/>
      <c r="LKV141" s="3"/>
      <c r="LKW141" s="3"/>
      <c r="LKX141" s="3"/>
      <c r="LKY141" s="3"/>
      <c r="LKZ141" s="3"/>
      <c r="LLA141" s="3"/>
      <c r="LLB141" s="3"/>
      <c r="LLC141" s="3"/>
      <c r="LLD141" s="3"/>
      <c r="LLE141" s="3"/>
      <c r="LLF141" s="3"/>
      <c r="LLG141" s="3"/>
      <c r="LLH141" s="3"/>
      <c r="LLI141" s="3"/>
      <c r="LLJ141" s="3"/>
      <c r="LLK141" s="3"/>
      <c r="LLL141" s="3"/>
      <c r="LLM141" s="3"/>
      <c r="LLN141" s="3"/>
      <c r="LLO141" s="3"/>
      <c r="LLP141" s="3"/>
      <c r="LLQ141" s="3"/>
      <c r="LLR141" s="3"/>
      <c r="LLS141" s="3"/>
      <c r="LLT141" s="3"/>
      <c r="LLU141" s="3"/>
      <c r="LLV141" s="3"/>
      <c r="LLW141" s="3"/>
      <c r="LLX141" s="3"/>
      <c r="LLY141" s="3"/>
      <c r="LLZ141" s="3"/>
      <c r="LMA141" s="3"/>
      <c r="LMB141" s="3"/>
      <c r="LMC141" s="3"/>
      <c r="LMD141" s="3"/>
      <c r="LME141" s="3"/>
      <c r="LMF141" s="3"/>
      <c r="LMG141" s="3"/>
      <c r="LMH141" s="3"/>
      <c r="LMI141" s="3"/>
      <c r="LMJ141" s="3"/>
      <c r="LMK141" s="3"/>
      <c r="LML141" s="3"/>
      <c r="LMM141" s="3"/>
      <c r="LMN141" s="3"/>
      <c r="LMO141" s="3"/>
      <c r="LMP141" s="3"/>
      <c r="LMQ141" s="3"/>
      <c r="LMR141" s="3"/>
      <c r="LMS141" s="3"/>
      <c r="LMT141" s="3"/>
      <c r="LMU141" s="3"/>
      <c r="LMV141" s="3"/>
      <c r="LMW141" s="3"/>
      <c r="LMX141" s="3"/>
      <c r="LMY141" s="3"/>
      <c r="LMZ141" s="3"/>
      <c r="LNA141" s="3"/>
      <c r="LNB141" s="3"/>
      <c r="LNC141" s="3"/>
      <c r="LND141" s="3"/>
      <c r="LNE141" s="3"/>
      <c r="LNF141" s="3"/>
      <c r="LNG141" s="3"/>
      <c r="LNH141" s="3"/>
      <c r="LNI141" s="3"/>
      <c r="LNJ141" s="3"/>
      <c r="LNK141" s="3"/>
      <c r="LNL141" s="3"/>
      <c r="LNM141" s="3"/>
      <c r="LNN141" s="3"/>
      <c r="LNO141" s="3"/>
      <c r="LNP141" s="3"/>
      <c r="LNQ141" s="3"/>
      <c r="LNR141" s="3"/>
      <c r="LNS141" s="3"/>
      <c r="LNT141" s="3"/>
      <c r="LNU141" s="3"/>
      <c r="LNV141" s="3"/>
      <c r="LNW141" s="3"/>
      <c r="LNX141" s="3"/>
      <c r="LNY141" s="3"/>
      <c r="LNZ141" s="3"/>
      <c r="LOA141" s="3"/>
      <c r="LOB141" s="3"/>
      <c r="LOC141" s="3"/>
      <c r="LOD141" s="3"/>
      <c r="LOE141" s="3"/>
      <c r="LOF141" s="3"/>
      <c r="LOG141" s="3"/>
      <c r="LOH141" s="3"/>
      <c r="LOI141" s="3"/>
      <c r="LOJ141" s="3"/>
      <c r="LOK141" s="3"/>
      <c r="LOL141" s="3"/>
      <c r="LOM141" s="3"/>
      <c r="LON141" s="3"/>
      <c r="LOO141" s="3"/>
      <c r="LOP141" s="3"/>
      <c r="LOQ141" s="3"/>
      <c r="LOR141" s="3"/>
      <c r="LOS141" s="3"/>
      <c r="LOT141" s="3"/>
      <c r="LOU141" s="3"/>
      <c r="LOV141" s="3"/>
      <c r="LOW141" s="3"/>
      <c r="LOX141" s="3"/>
      <c r="LOY141" s="3"/>
      <c r="LOZ141" s="3"/>
      <c r="LPA141" s="3"/>
      <c r="LPB141" s="3"/>
      <c r="LPC141" s="3"/>
      <c r="LPD141" s="3"/>
      <c r="LPE141" s="3"/>
      <c r="LPF141" s="3"/>
      <c r="LPG141" s="3"/>
      <c r="LPH141" s="3"/>
      <c r="LPI141" s="3"/>
      <c r="LPJ141" s="3"/>
      <c r="LPK141" s="3"/>
      <c r="LPL141" s="3"/>
      <c r="LPM141" s="3"/>
      <c r="LPN141" s="3"/>
      <c r="LPO141" s="3"/>
      <c r="LPP141" s="3"/>
      <c r="LPQ141" s="3"/>
      <c r="LPR141" s="3"/>
      <c r="LPS141" s="3"/>
      <c r="LPT141" s="3"/>
      <c r="LPU141" s="3"/>
      <c r="LPV141" s="3"/>
      <c r="LPW141" s="3"/>
      <c r="LPX141" s="3"/>
      <c r="LPY141" s="3"/>
      <c r="LPZ141" s="3"/>
      <c r="LQA141" s="3"/>
      <c r="LQB141" s="3"/>
      <c r="LQC141" s="3"/>
      <c r="LQD141" s="3"/>
      <c r="LQE141" s="3"/>
      <c r="LQF141" s="3"/>
      <c r="LQG141" s="3"/>
      <c r="LQH141" s="3"/>
      <c r="LQI141" s="3"/>
      <c r="LQJ141" s="3"/>
      <c r="LQK141" s="3"/>
      <c r="LQL141" s="3"/>
      <c r="LQM141" s="3"/>
      <c r="LQN141" s="3"/>
      <c r="LQO141" s="3"/>
      <c r="LQP141" s="3"/>
      <c r="LQQ141" s="3"/>
      <c r="LQR141" s="3"/>
      <c r="LQS141" s="3"/>
      <c r="LQT141" s="3"/>
      <c r="LQU141" s="3"/>
      <c r="LQV141" s="3"/>
      <c r="LQW141" s="3"/>
      <c r="LQX141" s="3"/>
      <c r="LQY141" s="3"/>
      <c r="LQZ141" s="3"/>
      <c r="LRA141" s="3"/>
      <c r="LRB141" s="3"/>
      <c r="LRC141" s="3"/>
      <c r="LRD141" s="3"/>
      <c r="LRE141" s="3"/>
      <c r="LRF141" s="3"/>
      <c r="LRG141" s="3"/>
      <c r="LRH141" s="3"/>
      <c r="LRI141" s="3"/>
      <c r="LRJ141" s="3"/>
      <c r="LRK141" s="3"/>
      <c r="LRL141" s="3"/>
      <c r="LRM141" s="3"/>
      <c r="LRN141" s="3"/>
      <c r="LRO141" s="3"/>
      <c r="LRP141" s="3"/>
      <c r="LRQ141" s="3"/>
      <c r="LRR141" s="3"/>
      <c r="LRS141" s="3"/>
      <c r="LRT141" s="3"/>
      <c r="LRU141" s="3"/>
      <c r="LRV141" s="3"/>
      <c r="LRW141" s="3"/>
      <c r="LRX141" s="3"/>
      <c r="LRY141" s="3"/>
      <c r="LRZ141" s="3"/>
      <c r="LSA141" s="3"/>
      <c r="LSB141" s="3"/>
      <c r="LSC141" s="3"/>
      <c r="LSD141" s="3"/>
      <c r="LSE141" s="3"/>
      <c r="LSF141" s="3"/>
      <c r="LSG141" s="3"/>
      <c r="LSH141" s="3"/>
      <c r="LSI141" s="3"/>
      <c r="LSJ141" s="3"/>
      <c r="LSK141" s="3"/>
      <c r="LSL141" s="3"/>
      <c r="LSM141" s="3"/>
      <c r="LSN141" s="3"/>
      <c r="LSO141" s="3"/>
      <c r="LSP141" s="3"/>
      <c r="LSQ141" s="3"/>
      <c r="LSR141" s="3"/>
      <c r="LSS141" s="3"/>
      <c r="LST141" s="3"/>
      <c r="LSU141" s="3"/>
      <c r="LSV141" s="3"/>
      <c r="LSW141" s="3"/>
      <c r="LSX141" s="3"/>
      <c r="LSY141" s="3"/>
      <c r="LSZ141" s="3"/>
      <c r="LTA141" s="3"/>
      <c r="LTB141" s="3"/>
      <c r="LTC141" s="3"/>
      <c r="LTD141" s="3"/>
      <c r="LTE141" s="3"/>
      <c r="LTF141" s="3"/>
      <c r="LTG141" s="3"/>
      <c r="LTH141" s="3"/>
      <c r="LTI141" s="3"/>
      <c r="LTJ141" s="3"/>
      <c r="LTK141" s="3"/>
      <c r="LTL141" s="3"/>
      <c r="LTM141" s="3"/>
      <c r="LTN141" s="3"/>
      <c r="LTO141" s="3"/>
      <c r="LTP141" s="3"/>
      <c r="LTQ141" s="3"/>
      <c r="LTR141" s="3"/>
      <c r="LTS141" s="3"/>
      <c r="LTT141" s="3"/>
      <c r="LTU141" s="3"/>
      <c r="LTV141" s="3"/>
      <c r="LTW141" s="3"/>
      <c r="LTX141" s="3"/>
      <c r="LTY141" s="3"/>
      <c r="LTZ141" s="3"/>
      <c r="LUA141" s="3"/>
      <c r="LUB141" s="3"/>
      <c r="LUC141" s="3"/>
      <c r="LUD141" s="3"/>
      <c r="LUE141" s="3"/>
      <c r="LUF141" s="3"/>
      <c r="LUG141" s="3"/>
      <c r="LUH141" s="3"/>
      <c r="LUI141" s="3"/>
      <c r="LUJ141" s="3"/>
      <c r="LUK141" s="3"/>
      <c r="LUL141" s="3"/>
      <c r="LUM141" s="3"/>
      <c r="LUN141" s="3"/>
      <c r="LUO141" s="3"/>
      <c r="LUP141" s="3"/>
      <c r="LUQ141" s="3"/>
      <c r="LUR141" s="3"/>
      <c r="LUS141" s="3"/>
      <c r="LUT141" s="3"/>
      <c r="LUU141" s="3"/>
      <c r="LUV141" s="3"/>
      <c r="LUW141" s="3"/>
      <c r="LUX141" s="3"/>
      <c r="LUY141" s="3"/>
      <c r="LUZ141" s="3"/>
      <c r="LVA141" s="3"/>
      <c r="LVB141" s="3"/>
      <c r="LVC141" s="3"/>
      <c r="LVD141" s="3"/>
      <c r="LVE141" s="3"/>
      <c r="LVF141" s="3"/>
      <c r="LVG141" s="3"/>
      <c r="LVH141" s="3"/>
      <c r="LVI141" s="3"/>
      <c r="LVJ141" s="3"/>
      <c r="LVK141" s="3"/>
      <c r="LVL141" s="3"/>
      <c r="LVM141" s="3"/>
      <c r="LVN141" s="3"/>
      <c r="LVO141" s="3"/>
      <c r="LVP141" s="3"/>
      <c r="LVQ141" s="3"/>
      <c r="LVR141" s="3"/>
      <c r="LVS141" s="3"/>
      <c r="LVT141" s="3"/>
      <c r="LVU141" s="3"/>
      <c r="LVV141" s="3"/>
      <c r="LVW141" s="3"/>
      <c r="LVX141" s="3"/>
      <c r="LVY141" s="3"/>
      <c r="LVZ141" s="3"/>
      <c r="LWA141" s="3"/>
      <c r="LWB141" s="3"/>
      <c r="LWC141" s="3"/>
      <c r="LWD141" s="3"/>
      <c r="LWE141" s="3"/>
      <c r="LWF141" s="3"/>
      <c r="LWG141" s="3"/>
      <c r="LWH141" s="3"/>
      <c r="LWI141" s="3"/>
      <c r="LWJ141" s="3"/>
      <c r="LWK141" s="3"/>
      <c r="LWL141" s="3"/>
      <c r="LWM141" s="3"/>
      <c r="LWN141" s="3"/>
      <c r="LWO141" s="3"/>
      <c r="LWP141" s="3"/>
      <c r="LWQ141" s="3"/>
      <c r="LWR141" s="3"/>
      <c r="LWS141" s="3"/>
      <c r="LWT141" s="3"/>
      <c r="LWU141" s="3"/>
      <c r="LWV141" s="3"/>
      <c r="LWW141" s="3"/>
      <c r="LWX141" s="3"/>
      <c r="LWY141" s="3"/>
      <c r="LWZ141" s="3"/>
      <c r="LXA141" s="3"/>
      <c r="LXB141" s="3"/>
      <c r="LXC141" s="3"/>
      <c r="LXD141" s="3"/>
      <c r="LXE141" s="3"/>
      <c r="LXF141" s="3"/>
      <c r="LXG141" s="3"/>
      <c r="LXH141" s="3"/>
      <c r="LXI141" s="3"/>
      <c r="LXJ141" s="3"/>
      <c r="LXK141" s="3"/>
      <c r="LXL141" s="3"/>
      <c r="LXM141" s="3"/>
      <c r="LXN141" s="3"/>
      <c r="LXO141" s="3"/>
      <c r="LXP141" s="3"/>
      <c r="LXQ141" s="3"/>
      <c r="LXR141" s="3"/>
      <c r="LXS141" s="3"/>
      <c r="LXT141" s="3"/>
      <c r="LXU141" s="3"/>
      <c r="LXV141" s="3"/>
      <c r="LXW141" s="3"/>
      <c r="LXX141" s="3"/>
      <c r="LXY141" s="3"/>
      <c r="LXZ141" s="3"/>
      <c r="LYA141" s="3"/>
      <c r="LYB141" s="3"/>
      <c r="LYC141" s="3"/>
      <c r="LYD141" s="3"/>
      <c r="LYE141" s="3"/>
      <c r="LYF141" s="3"/>
      <c r="LYG141" s="3"/>
      <c r="LYH141" s="3"/>
      <c r="LYI141" s="3"/>
      <c r="LYJ141" s="3"/>
      <c r="LYK141" s="3"/>
      <c r="LYL141" s="3"/>
      <c r="LYM141" s="3"/>
      <c r="LYN141" s="3"/>
      <c r="LYO141" s="3"/>
      <c r="LYP141" s="3"/>
      <c r="LYQ141" s="3"/>
      <c r="LYR141" s="3"/>
      <c r="LYS141" s="3"/>
      <c r="LYT141" s="3"/>
      <c r="LYU141" s="3"/>
      <c r="LYV141" s="3"/>
      <c r="LYW141" s="3"/>
      <c r="LYX141" s="3"/>
      <c r="LYY141" s="3"/>
      <c r="LYZ141" s="3"/>
      <c r="LZA141" s="3"/>
      <c r="LZB141" s="3"/>
      <c r="LZC141" s="3"/>
      <c r="LZD141" s="3"/>
      <c r="LZE141" s="3"/>
      <c r="LZF141" s="3"/>
      <c r="LZG141" s="3"/>
      <c r="LZH141" s="3"/>
      <c r="LZI141" s="3"/>
      <c r="LZJ141" s="3"/>
      <c r="LZK141" s="3"/>
      <c r="LZL141" s="3"/>
      <c r="LZM141" s="3"/>
      <c r="LZN141" s="3"/>
      <c r="LZO141" s="3"/>
      <c r="LZP141" s="3"/>
      <c r="LZQ141" s="3"/>
      <c r="LZR141" s="3"/>
      <c r="LZS141" s="3"/>
      <c r="LZT141" s="3"/>
      <c r="LZU141" s="3"/>
      <c r="LZV141" s="3"/>
      <c r="LZW141" s="3"/>
      <c r="LZX141" s="3"/>
      <c r="LZY141" s="3"/>
      <c r="LZZ141" s="3"/>
      <c r="MAA141" s="3"/>
      <c r="MAB141" s="3"/>
      <c r="MAC141" s="3"/>
      <c r="MAD141" s="3"/>
      <c r="MAE141" s="3"/>
      <c r="MAF141" s="3"/>
      <c r="MAG141" s="3"/>
      <c r="MAH141" s="3"/>
      <c r="MAI141" s="3"/>
      <c r="MAJ141" s="3"/>
      <c r="MAK141" s="3"/>
      <c r="MAL141" s="3"/>
      <c r="MAM141" s="3"/>
      <c r="MAN141" s="3"/>
      <c r="MAO141" s="3"/>
      <c r="MAP141" s="3"/>
      <c r="MAQ141" s="3"/>
      <c r="MAR141" s="3"/>
      <c r="MAS141" s="3"/>
      <c r="MAT141" s="3"/>
      <c r="MAU141" s="3"/>
      <c r="MAV141" s="3"/>
      <c r="MAW141" s="3"/>
      <c r="MAX141" s="3"/>
      <c r="MAY141" s="3"/>
      <c r="MAZ141" s="3"/>
      <c r="MBA141" s="3"/>
      <c r="MBB141" s="3"/>
      <c r="MBC141" s="3"/>
      <c r="MBD141" s="3"/>
      <c r="MBE141" s="3"/>
      <c r="MBF141" s="3"/>
      <c r="MBG141" s="3"/>
      <c r="MBH141" s="3"/>
      <c r="MBI141" s="3"/>
      <c r="MBJ141" s="3"/>
      <c r="MBK141" s="3"/>
      <c r="MBL141" s="3"/>
      <c r="MBM141" s="3"/>
      <c r="MBN141" s="3"/>
      <c r="MBO141" s="3"/>
      <c r="MBP141" s="3"/>
      <c r="MBQ141" s="3"/>
      <c r="MBR141" s="3"/>
      <c r="MBS141" s="3"/>
      <c r="MBT141" s="3"/>
      <c r="MBU141" s="3"/>
      <c r="MBV141" s="3"/>
      <c r="MBW141" s="3"/>
      <c r="MBX141" s="3"/>
      <c r="MBY141" s="3"/>
      <c r="MBZ141" s="3"/>
      <c r="MCA141" s="3"/>
      <c r="MCB141" s="3"/>
      <c r="MCC141" s="3"/>
      <c r="MCD141" s="3"/>
      <c r="MCE141" s="3"/>
      <c r="MCF141" s="3"/>
      <c r="MCG141" s="3"/>
      <c r="MCH141" s="3"/>
      <c r="MCI141" s="3"/>
      <c r="MCJ141" s="3"/>
      <c r="MCK141" s="3"/>
      <c r="MCL141" s="3"/>
      <c r="MCM141" s="3"/>
      <c r="MCN141" s="3"/>
      <c r="MCO141" s="3"/>
      <c r="MCP141" s="3"/>
      <c r="MCQ141" s="3"/>
      <c r="MCR141" s="3"/>
      <c r="MCS141" s="3"/>
      <c r="MCT141" s="3"/>
      <c r="MCU141" s="3"/>
      <c r="MCV141" s="3"/>
      <c r="MCW141" s="3"/>
      <c r="MCX141" s="3"/>
      <c r="MCY141" s="3"/>
      <c r="MCZ141" s="3"/>
      <c r="MDA141" s="3"/>
      <c r="MDB141" s="3"/>
      <c r="MDC141" s="3"/>
      <c r="MDD141" s="3"/>
      <c r="MDE141" s="3"/>
      <c r="MDF141" s="3"/>
      <c r="MDG141" s="3"/>
      <c r="MDH141" s="3"/>
      <c r="MDI141" s="3"/>
      <c r="MDJ141" s="3"/>
      <c r="MDK141" s="3"/>
      <c r="MDL141" s="3"/>
      <c r="MDM141" s="3"/>
      <c r="MDN141" s="3"/>
      <c r="MDO141" s="3"/>
      <c r="MDP141" s="3"/>
      <c r="MDQ141" s="3"/>
      <c r="MDR141" s="3"/>
      <c r="MDS141" s="3"/>
      <c r="MDT141" s="3"/>
      <c r="MDU141" s="3"/>
      <c r="MDV141" s="3"/>
      <c r="MDW141" s="3"/>
      <c r="MDX141" s="3"/>
      <c r="MDY141" s="3"/>
      <c r="MDZ141" s="3"/>
      <c r="MEA141" s="3"/>
      <c r="MEB141" s="3"/>
      <c r="MEC141" s="3"/>
      <c r="MED141" s="3"/>
      <c r="MEE141" s="3"/>
      <c r="MEF141" s="3"/>
      <c r="MEG141" s="3"/>
      <c r="MEH141" s="3"/>
      <c r="MEI141" s="3"/>
      <c r="MEJ141" s="3"/>
      <c r="MEK141" s="3"/>
      <c r="MEL141" s="3"/>
      <c r="MEM141" s="3"/>
      <c r="MEN141" s="3"/>
      <c r="MEO141" s="3"/>
      <c r="MEP141" s="3"/>
      <c r="MEQ141" s="3"/>
      <c r="MER141" s="3"/>
      <c r="MES141" s="3"/>
      <c r="MET141" s="3"/>
      <c r="MEU141" s="3"/>
      <c r="MEV141" s="3"/>
      <c r="MEW141" s="3"/>
      <c r="MEX141" s="3"/>
      <c r="MEY141" s="3"/>
      <c r="MEZ141" s="3"/>
      <c r="MFA141" s="3"/>
      <c r="MFB141" s="3"/>
      <c r="MFC141" s="3"/>
      <c r="MFD141" s="3"/>
      <c r="MFE141" s="3"/>
      <c r="MFF141" s="3"/>
      <c r="MFG141" s="3"/>
      <c r="MFH141" s="3"/>
      <c r="MFI141" s="3"/>
      <c r="MFJ141" s="3"/>
      <c r="MFK141" s="3"/>
      <c r="MFL141" s="3"/>
      <c r="MFM141" s="3"/>
      <c r="MFN141" s="3"/>
      <c r="MFO141" s="3"/>
      <c r="MFP141" s="3"/>
      <c r="MFQ141" s="3"/>
      <c r="MFR141" s="3"/>
      <c r="MFS141" s="3"/>
      <c r="MFT141" s="3"/>
      <c r="MFU141" s="3"/>
      <c r="MFV141" s="3"/>
      <c r="MFW141" s="3"/>
      <c r="MFX141" s="3"/>
      <c r="MFY141" s="3"/>
      <c r="MFZ141" s="3"/>
      <c r="MGA141" s="3"/>
      <c r="MGB141" s="3"/>
      <c r="MGC141" s="3"/>
      <c r="MGD141" s="3"/>
      <c r="MGE141" s="3"/>
      <c r="MGF141" s="3"/>
      <c r="MGG141" s="3"/>
      <c r="MGH141" s="3"/>
      <c r="MGI141" s="3"/>
      <c r="MGJ141" s="3"/>
      <c r="MGK141" s="3"/>
      <c r="MGL141" s="3"/>
      <c r="MGM141" s="3"/>
      <c r="MGN141" s="3"/>
      <c r="MGO141" s="3"/>
      <c r="MGP141" s="3"/>
      <c r="MGQ141" s="3"/>
      <c r="MGR141" s="3"/>
      <c r="MGS141" s="3"/>
      <c r="MGT141" s="3"/>
      <c r="MGU141" s="3"/>
      <c r="MGV141" s="3"/>
      <c r="MGW141" s="3"/>
      <c r="MGX141" s="3"/>
      <c r="MGY141" s="3"/>
      <c r="MGZ141" s="3"/>
      <c r="MHA141" s="3"/>
      <c r="MHB141" s="3"/>
      <c r="MHC141" s="3"/>
      <c r="MHD141" s="3"/>
      <c r="MHE141" s="3"/>
      <c r="MHF141" s="3"/>
      <c r="MHG141" s="3"/>
      <c r="MHH141" s="3"/>
      <c r="MHI141" s="3"/>
      <c r="MHJ141" s="3"/>
      <c r="MHK141" s="3"/>
      <c r="MHL141" s="3"/>
      <c r="MHM141" s="3"/>
      <c r="MHN141" s="3"/>
      <c r="MHO141" s="3"/>
      <c r="MHP141" s="3"/>
      <c r="MHQ141" s="3"/>
      <c r="MHR141" s="3"/>
      <c r="MHS141" s="3"/>
      <c r="MHT141" s="3"/>
      <c r="MHU141" s="3"/>
      <c r="MHV141" s="3"/>
      <c r="MHW141" s="3"/>
      <c r="MHX141" s="3"/>
      <c r="MHY141" s="3"/>
      <c r="MHZ141" s="3"/>
      <c r="MIA141" s="3"/>
      <c r="MIB141" s="3"/>
      <c r="MIC141" s="3"/>
      <c r="MID141" s="3"/>
      <c r="MIE141" s="3"/>
      <c r="MIF141" s="3"/>
      <c r="MIG141" s="3"/>
      <c r="MIH141" s="3"/>
      <c r="MII141" s="3"/>
      <c r="MIJ141" s="3"/>
      <c r="MIK141" s="3"/>
      <c r="MIL141" s="3"/>
      <c r="MIM141" s="3"/>
      <c r="MIN141" s="3"/>
      <c r="MIO141" s="3"/>
      <c r="MIP141" s="3"/>
      <c r="MIQ141" s="3"/>
      <c r="MIR141" s="3"/>
      <c r="MIS141" s="3"/>
      <c r="MIT141" s="3"/>
      <c r="MIU141" s="3"/>
      <c r="MIV141" s="3"/>
      <c r="MIW141" s="3"/>
      <c r="MIX141" s="3"/>
      <c r="MIY141" s="3"/>
      <c r="MIZ141" s="3"/>
      <c r="MJA141" s="3"/>
      <c r="MJB141" s="3"/>
      <c r="MJC141" s="3"/>
      <c r="MJD141" s="3"/>
      <c r="MJE141" s="3"/>
      <c r="MJF141" s="3"/>
      <c r="MJG141" s="3"/>
      <c r="MJH141" s="3"/>
      <c r="MJI141" s="3"/>
      <c r="MJJ141" s="3"/>
      <c r="MJK141" s="3"/>
      <c r="MJL141" s="3"/>
      <c r="MJM141" s="3"/>
      <c r="MJN141" s="3"/>
      <c r="MJO141" s="3"/>
      <c r="MJP141" s="3"/>
      <c r="MJQ141" s="3"/>
      <c r="MJR141" s="3"/>
      <c r="MJS141" s="3"/>
      <c r="MJT141" s="3"/>
      <c r="MJU141" s="3"/>
      <c r="MJV141" s="3"/>
      <c r="MJW141" s="3"/>
      <c r="MJX141" s="3"/>
      <c r="MJY141" s="3"/>
      <c r="MJZ141" s="3"/>
      <c r="MKA141" s="3"/>
      <c r="MKB141" s="3"/>
      <c r="MKC141" s="3"/>
      <c r="MKD141" s="3"/>
      <c r="MKE141" s="3"/>
      <c r="MKF141" s="3"/>
      <c r="MKG141" s="3"/>
      <c r="MKH141" s="3"/>
      <c r="MKI141" s="3"/>
      <c r="MKJ141" s="3"/>
      <c r="MKK141" s="3"/>
      <c r="MKL141" s="3"/>
      <c r="MKM141" s="3"/>
      <c r="MKN141" s="3"/>
      <c r="MKO141" s="3"/>
      <c r="MKP141" s="3"/>
      <c r="MKQ141" s="3"/>
      <c r="MKR141" s="3"/>
      <c r="MKS141" s="3"/>
      <c r="MKT141" s="3"/>
      <c r="MKU141" s="3"/>
      <c r="MKV141" s="3"/>
      <c r="MKW141" s="3"/>
      <c r="MKX141" s="3"/>
      <c r="MKY141" s="3"/>
      <c r="MKZ141" s="3"/>
      <c r="MLA141" s="3"/>
      <c r="MLB141" s="3"/>
      <c r="MLC141" s="3"/>
      <c r="MLD141" s="3"/>
      <c r="MLE141" s="3"/>
      <c r="MLF141" s="3"/>
      <c r="MLG141" s="3"/>
      <c r="MLH141" s="3"/>
      <c r="MLI141" s="3"/>
      <c r="MLJ141" s="3"/>
      <c r="MLK141" s="3"/>
      <c r="MLL141" s="3"/>
      <c r="MLM141" s="3"/>
      <c r="MLN141" s="3"/>
      <c r="MLO141" s="3"/>
      <c r="MLP141" s="3"/>
      <c r="MLQ141" s="3"/>
      <c r="MLR141" s="3"/>
      <c r="MLS141" s="3"/>
      <c r="MLT141" s="3"/>
      <c r="MLU141" s="3"/>
      <c r="MLV141" s="3"/>
      <c r="MLW141" s="3"/>
      <c r="MLX141" s="3"/>
      <c r="MLY141" s="3"/>
      <c r="MLZ141" s="3"/>
      <c r="MMA141" s="3"/>
      <c r="MMB141" s="3"/>
      <c r="MMC141" s="3"/>
      <c r="MMD141" s="3"/>
      <c r="MME141" s="3"/>
      <c r="MMF141" s="3"/>
      <c r="MMG141" s="3"/>
      <c r="MMH141" s="3"/>
      <c r="MMI141" s="3"/>
      <c r="MMJ141" s="3"/>
      <c r="MMK141" s="3"/>
      <c r="MML141" s="3"/>
      <c r="MMM141" s="3"/>
      <c r="MMN141" s="3"/>
      <c r="MMO141" s="3"/>
      <c r="MMP141" s="3"/>
      <c r="MMQ141" s="3"/>
      <c r="MMR141" s="3"/>
      <c r="MMS141" s="3"/>
      <c r="MMT141" s="3"/>
      <c r="MMU141" s="3"/>
      <c r="MMV141" s="3"/>
      <c r="MMW141" s="3"/>
      <c r="MMX141" s="3"/>
      <c r="MMY141" s="3"/>
      <c r="MMZ141" s="3"/>
      <c r="MNA141" s="3"/>
      <c r="MNB141" s="3"/>
      <c r="MNC141" s="3"/>
      <c r="MND141" s="3"/>
      <c r="MNE141" s="3"/>
      <c r="MNF141" s="3"/>
      <c r="MNG141" s="3"/>
      <c r="MNH141" s="3"/>
      <c r="MNI141" s="3"/>
      <c r="MNJ141" s="3"/>
      <c r="MNK141" s="3"/>
      <c r="MNL141" s="3"/>
      <c r="MNM141" s="3"/>
      <c r="MNN141" s="3"/>
      <c r="MNO141" s="3"/>
      <c r="MNP141" s="3"/>
      <c r="MNQ141" s="3"/>
      <c r="MNR141" s="3"/>
      <c r="MNS141" s="3"/>
      <c r="MNT141" s="3"/>
      <c r="MNU141" s="3"/>
      <c r="MNV141" s="3"/>
      <c r="MNW141" s="3"/>
      <c r="MNX141" s="3"/>
      <c r="MNY141" s="3"/>
      <c r="MNZ141" s="3"/>
      <c r="MOA141" s="3"/>
      <c r="MOB141" s="3"/>
      <c r="MOC141" s="3"/>
      <c r="MOD141" s="3"/>
      <c r="MOE141" s="3"/>
      <c r="MOF141" s="3"/>
      <c r="MOG141" s="3"/>
      <c r="MOH141" s="3"/>
      <c r="MOI141" s="3"/>
      <c r="MOJ141" s="3"/>
      <c r="MOK141" s="3"/>
      <c r="MOL141" s="3"/>
      <c r="MOM141" s="3"/>
      <c r="MON141" s="3"/>
      <c r="MOO141" s="3"/>
      <c r="MOP141" s="3"/>
      <c r="MOQ141" s="3"/>
      <c r="MOR141" s="3"/>
      <c r="MOS141" s="3"/>
      <c r="MOT141" s="3"/>
      <c r="MOU141" s="3"/>
      <c r="MOV141" s="3"/>
      <c r="MOW141" s="3"/>
      <c r="MOX141" s="3"/>
      <c r="MOY141" s="3"/>
      <c r="MOZ141" s="3"/>
      <c r="MPA141" s="3"/>
      <c r="MPB141" s="3"/>
      <c r="MPC141" s="3"/>
      <c r="MPD141" s="3"/>
      <c r="MPE141" s="3"/>
      <c r="MPF141" s="3"/>
      <c r="MPG141" s="3"/>
      <c r="MPH141" s="3"/>
      <c r="MPI141" s="3"/>
      <c r="MPJ141" s="3"/>
      <c r="MPK141" s="3"/>
      <c r="MPL141" s="3"/>
      <c r="MPM141" s="3"/>
      <c r="MPN141" s="3"/>
      <c r="MPO141" s="3"/>
      <c r="MPP141" s="3"/>
      <c r="MPQ141" s="3"/>
      <c r="MPR141" s="3"/>
      <c r="MPS141" s="3"/>
      <c r="MPT141" s="3"/>
      <c r="MPU141" s="3"/>
      <c r="MPV141" s="3"/>
      <c r="MPW141" s="3"/>
      <c r="MPX141" s="3"/>
      <c r="MPY141" s="3"/>
      <c r="MPZ141" s="3"/>
      <c r="MQA141" s="3"/>
      <c r="MQB141" s="3"/>
      <c r="MQC141" s="3"/>
      <c r="MQD141" s="3"/>
      <c r="MQE141" s="3"/>
      <c r="MQF141" s="3"/>
      <c r="MQG141" s="3"/>
      <c r="MQH141" s="3"/>
      <c r="MQI141" s="3"/>
      <c r="MQJ141" s="3"/>
      <c r="MQK141" s="3"/>
      <c r="MQL141" s="3"/>
      <c r="MQM141" s="3"/>
      <c r="MQN141" s="3"/>
      <c r="MQO141" s="3"/>
      <c r="MQP141" s="3"/>
      <c r="MQQ141" s="3"/>
      <c r="MQR141" s="3"/>
      <c r="MQS141" s="3"/>
      <c r="MQT141" s="3"/>
      <c r="MQU141" s="3"/>
      <c r="MQV141" s="3"/>
      <c r="MQW141" s="3"/>
      <c r="MQX141" s="3"/>
      <c r="MQY141" s="3"/>
      <c r="MQZ141" s="3"/>
      <c r="MRA141" s="3"/>
      <c r="MRB141" s="3"/>
      <c r="MRC141" s="3"/>
      <c r="MRD141" s="3"/>
      <c r="MRE141" s="3"/>
      <c r="MRF141" s="3"/>
      <c r="MRG141" s="3"/>
      <c r="MRH141" s="3"/>
      <c r="MRI141" s="3"/>
      <c r="MRJ141" s="3"/>
      <c r="MRK141" s="3"/>
      <c r="MRL141" s="3"/>
      <c r="MRM141" s="3"/>
      <c r="MRN141" s="3"/>
      <c r="MRO141" s="3"/>
      <c r="MRP141" s="3"/>
      <c r="MRQ141" s="3"/>
      <c r="MRR141" s="3"/>
      <c r="MRS141" s="3"/>
      <c r="MRT141" s="3"/>
      <c r="MRU141" s="3"/>
      <c r="MRV141" s="3"/>
      <c r="MRW141" s="3"/>
      <c r="MRX141" s="3"/>
      <c r="MRY141" s="3"/>
      <c r="MRZ141" s="3"/>
      <c r="MSA141" s="3"/>
      <c r="MSB141" s="3"/>
      <c r="MSC141" s="3"/>
      <c r="MSD141" s="3"/>
      <c r="MSE141" s="3"/>
      <c r="MSF141" s="3"/>
      <c r="MSG141" s="3"/>
      <c r="MSH141" s="3"/>
      <c r="MSI141" s="3"/>
      <c r="MSJ141" s="3"/>
      <c r="MSK141" s="3"/>
      <c r="MSL141" s="3"/>
      <c r="MSM141" s="3"/>
      <c r="MSN141" s="3"/>
      <c r="MSO141" s="3"/>
      <c r="MSP141" s="3"/>
      <c r="MSQ141" s="3"/>
      <c r="MSR141" s="3"/>
      <c r="MSS141" s="3"/>
      <c r="MST141" s="3"/>
      <c r="MSU141" s="3"/>
      <c r="MSV141" s="3"/>
      <c r="MSW141" s="3"/>
      <c r="MSX141" s="3"/>
      <c r="MSY141" s="3"/>
      <c r="MSZ141" s="3"/>
      <c r="MTA141" s="3"/>
      <c r="MTB141" s="3"/>
      <c r="MTC141" s="3"/>
      <c r="MTD141" s="3"/>
      <c r="MTE141" s="3"/>
      <c r="MTF141" s="3"/>
      <c r="MTG141" s="3"/>
      <c r="MTH141" s="3"/>
      <c r="MTI141" s="3"/>
      <c r="MTJ141" s="3"/>
      <c r="MTK141" s="3"/>
      <c r="MTL141" s="3"/>
      <c r="MTM141" s="3"/>
      <c r="MTN141" s="3"/>
      <c r="MTO141" s="3"/>
      <c r="MTP141" s="3"/>
      <c r="MTQ141" s="3"/>
      <c r="MTR141" s="3"/>
      <c r="MTS141" s="3"/>
      <c r="MTT141" s="3"/>
      <c r="MTU141" s="3"/>
      <c r="MTV141" s="3"/>
      <c r="MTW141" s="3"/>
      <c r="MTX141" s="3"/>
      <c r="MTY141" s="3"/>
      <c r="MTZ141" s="3"/>
      <c r="MUA141" s="3"/>
      <c r="MUB141" s="3"/>
      <c r="MUC141" s="3"/>
      <c r="MUD141" s="3"/>
      <c r="MUE141" s="3"/>
      <c r="MUF141" s="3"/>
      <c r="MUG141" s="3"/>
      <c r="MUH141" s="3"/>
      <c r="MUI141" s="3"/>
      <c r="MUJ141" s="3"/>
      <c r="MUK141" s="3"/>
      <c r="MUL141" s="3"/>
      <c r="MUM141" s="3"/>
      <c r="MUN141" s="3"/>
      <c r="MUO141" s="3"/>
      <c r="MUP141" s="3"/>
      <c r="MUQ141" s="3"/>
      <c r="MUR141" s="3"/>
      <c r="MUS141" s="3"/>
      <c r="MUT141" s="3"/>
      <c r="MUU141" s="3"/>
      <c r="MUV141" s="3"/>
      <c r="MUW141" s="3"/>
      <c r="MUX141" s="3"/>
      <c r="MUY141" s="3"/>
      <c r="MUZ141" s="3"/>
      <c r="MVA141" s="3"/>
      <c r="MVB141" s="3"/>
      <c r="MVC141" s="3"/>
      <c r="MVD141" s="3"/>
      <c r="MVE141" s="3"/>
      <c r="MVF141" s="3"/>
      <c r="MVG141" s="3"/>
      <c r="MVH141" s="3"/>
      <c r="MVI141" s="3"/>
      <c r="MVJ141" s="3"/>
      <c r="MVK141" s="3"/>
      <c r="MVL141" s="3"/>
      <c r="MVM141" s="3"/>
      <c r="MVN141" s="3"/>
      <c r="MVO141" s="3"/>
      <c r="MVP141" s="3"/>
      <c r="MVQ141" s="3"/>
      <c r="MVR141" s="3"/>
      <c r="MVS141" s="3"/>
      <c r="MVT141" s="3"/>
      <c r="MVU141" s="3"/>
      <c r="MVV141" s="3"/>
      <c r="MVW141" s="3"/>
      <c r="MVX141" s="3"/>
      <c r="MVY141" s="3"/>
      <c r="MVZ141" s="3"/>
      <c r="MWA141" s="3"/>
      <c r="MWB141" s="3"/>
      <c r="MWC141" s="3"/>
      <c r="MWD141" s="3"/>
      <c r="MWE141" s="3"/>
      <c r="MWF141" s="3"/>
      <c r="MWG141" s="3"/>
      <c r="MWH141" s="3"/>
      <c r="MWI141" s="3"/>
      <c r="MWJ141" s="3"/>
      <c r="MWK141" s="3"/>
      <c r="MWL141" s="3"/>
      <c r="MWM141" s="3"/>
      <c r="MWN141" s="3"/>
      <c r="MWO141" s="3"/>
      <c r="MWP141" s="3"/>
      <c r="MWQ141" s="3"/>
      <c r="MWR141" s="3"/>
      <c r="MWS141" s="3"/>
      <c r="MWT141" s="3"/>
      <c r="MWU141" s="3"/>
      <c r="MWV141" s="3"/>
      <c r="MWW141" s="3"/>
      <c r="MWX141" s="3"/>
      <c r="MWY141" s="3"/>
      <c r="MWZ141" s="3"/>
      <c r="MXA141" s="3"/>
      <c r="MXB141" s="3"/>
      <c r="MXC141" s="3"/>
      <c r="MXD141" s="3"/>
      <c r="MXE141" s="3"/>
      <c r="MXF141" s="3"/>
      <c r="MXG141" s="3"/>
      <c r="MXH141" s="3"/>
      <c r="MXI141" s="3"/>
      <c r="MXJ141" s="3"/>
      <c r="MXK141" s="3"/>
      <c r="MXL141" s="3"/>
      <c r="MXM141" s="3"/>
      <c r="MXN141" s="3"/>
      <c r="MXO141" s="3"/>
      <c r="MXP141" s="3"/>
      <c r="MXQ141" s="3"/>
      <c r="MXR141" s="3"/>
      <c r="MXS141" s="3"/>
      <c r="MXT141" s="3"/>
      <c r="MXU141" s="3"/>
      <c r="MXV141" s="3"/>
      <c r="MXW141" s="3"/>
      <c r="MXX141" s="3"/>
      <c r="MXY141" s="3"/>
      <c r="MXZ141" s="3"/>
      <c r="MYA141" s="3"/>
      <c r="MYB141" s="3"/>
      <c r="MYC141" s="3"/>
      <c r="MYD141" s="3"/>
      <c r="MYE141" s="3"/>
      <c r="MYF141" s="3"/>
      <c r="MYG141" s="3"/>
      <c r="MYH141" s="3"/>
      <c r="MYI141" s="3"/>
      <c r="MYJ141" s="3"/>
      <c r="MYK141" s="3"/>
      <c r="MYL141" s="3"/>
      <c r="MYM141" s="3"/>
      <c r="MYN141" s="3"/>
      <c r="MYO141" s="3"/>
      <c r="MYP141" s="3"/>
      <c r="MYQ141" s="3"/>
      <c r="MYR141" s="3"/>
      <c r="MYS141" s="3"/>
      <c r="MYT141" s="3"/>
      <c r="MYU141" s="3"/>
      <c r="MYV141" s="3"/>
      <c r="MYW141" s="3"/>
      <c r="MYX141" s="3"/>
      <c r="MYY141" s="3"/>
      <c r="MYZ141" s="3"/>
      <c r="MZA141" s="3"/>
      <c r="MZB141" s="3"/>
      <c r="MZC141" s="3"/>
      <c r="MZD141" s="3"/>
      <c r="MZE141" s="3"/>
      <c r="MZF141" s="3"/>
      <c r="MZG141" s="3"/>
      <c r="MZH141" s="3"/>
      <c r="MZI141" s="3"/>
      <c r="MZJ141" s="3"/>
      <c r="MZK141" s="3"/>
      <c r="MZL141" s="3"/>
      <c r="MZM141" s="3"/>
      <c r="MZN141" s="3"/>
      <c r="MZO141" s="3"/>
      <c r="MZP141" s="3"/>
      <c r="MZQ141" s="3"/>
      <c r="MZR141" s="3"/>
      <c r="MZS141" s="3"/>
      <c r="MZT141" s="3"/>
      <c r="MZU141" s="3"/>
      <c r="MZV141" s="3"/>
      <c r="MZW141" s="3"/>
      <c r="MZX141" s="3"/>
      <c r="MZY141" s="3"/>
      <c r="MZZ141" s="3"/>
      <c r="NAA141" s="3"/>
      <c r="NAB141" s="3"/>
      <c r="NAC141" s="3"/>
      <c r="NAD141" s="3"/>
      <c r="NAE141" s="3"/>
      <c r="NAF141" s="3"/>
      <c r="NAG141" s="3"/>
      <c r="NAH141" s="3"/>
      <c r="NAI141" s="3"/>
      <c r="NAJ141" s="3"/>
      <c r="NAK141" s="3"/>
      <c r="NAL141" s="3"/>
      <c r="NAM141" s="3"/>
      <c r="NAN141" s="3"/>
      <c r="NAO141" s="3"/>
      <c r="NAP141" s="3"/>
      <c r="NAQ141" s="3"/>
      <c r="NAR141" s="3"/>
      <c r="NAS141" s="3"/>
      <c r="NAT141" s="3"/>
      <c r="NAU141" s="3"/>
      <c r="NAV141" s="3"/>
      <c r="NAW141" s="3"/>
      <c r="NAX141" s="3"/>
      <c r="NAY141" s="3"/>
      <c r="NAZ141" s="3"/>
      <c r="NBA141" s="3"/>
      <c r="NBB141" s="3"/>
      <c r="NBC141" s="3"/>
      <c r="NBD141" s="3"/>
      <c r="NBE141" s="3"/>
      <c r="NBF141" s="3"/>
      <c r="NBG141" s="3"/>
      <c r="NBH141" s="3"/>
      <c r="NBI141" s="3"/>
      <c r="NBJ141" s="3"/>
      <c r="NBK141" s="3"/>
      <c r="NBL141" s="3"/>
      <c r="NBM141" s="3"/>
      <c r="NBN141" s="3"/>
      <c r="NBO141" s="3"/>
      <c r="NBP141" s="3"/>
      <c r="NBQ141" s="3"/>
      <c r="NBR141" s="3"/>
      <c r="NBS141" s="3"/>
      <c r="NBT141" s="3"/>
      <c r="NBU141" s="3"/>
      <c r="NBV141" s="3"/>
      <c r="NBW141" s="3"/>
      <c r="NBX141" s="3"/>
      <c r="NBY141" s="3"/>
      <c r="NBZ141" s="3"/>
      <c r="NCA141" s="3"/>
      <c r="NCB141" s="3"/>
      <c r="NCC141" s="3"/>
      <c r="NCD141" s="3"/>
      <c r="NCE141" s="3"/>
      <c r="NCF141" s="3"/>
      <c r="NCG141" s="3"/>
      <c r="NCH141" s="3"/>
      <c r="NCI141" s="3"/>
      <c r="NCJ141" s="3"/>
      <c r="NCK141" s="3"/>
      <c r="NCL141" s="3"/>
      <c r="NCM141" s="3"/>
      <c r="NCN141" s="3"/>
      <c r="NCO141" s="3"/>
      <c r="NCP141" s="3"/>
      <c r="NCQ141" s="3"/>
      <c r="NCR141" s="3"/>
      <c r="NCS141" s="3"/>
      <c r="NCT141" s="3"/>
      <c r="NCU141" s="3"/>
      <c r="NCV141" s="3"/>
      <c r="NCW141" s="3"/>
      <c r="NCX141" s="3"/>
      <c r="NCY141" s="3"/>
      <c r="NCZ141" s="3"/>
      <c r="NDA141" s="3"/>
      <c r="NDB141" s="3"/>
      <c r="NDC141" s="3"/>
      <c r="NDD141" s="3"/>
      <c r="NDE141" s="3"/>
      <c r="NDF141" s="3"/>
      <c r="NDG141" s="3"/>
      <c r="NDH141" s="3"/>
      <c r="NDI141" s="3"/>
      <c r="NDJ141" s="3"/>
      <c r="NDK141" s="3"/>
      <c r="NDL141" s="3"/>
      <c r="NDM141" s="3"/>
      <c r="NDN141" s="3"/>
      <c r="NDO141" s="3"/>
      <c r="NDP141" s="3"/>
      <c r="NDQ141" s="3"/>
      <c r="NDR141" s="3"/>
      <c r="NDS141" s="3"/>
      <c r="NDT141" s="3"/>
      <c r="NDU141" s="3"/>
      <c r="NDV141" s="3"/>
      <c r="NDW141" s="3"/>
      <c r="NDX141" s="3"/>
      <c r="NDY141" s="3"/>
      <c r="NDZ141" s="3"/>
      <c r="NEA141" s="3"/>
      <c r="NEB141" s="3"/>
      <c r="NEC141" s="3"/>
      <c r="NED141" s="3"/>
      <c r="NEE141" s="3"/>
      <c r="NEF141" s="3"/>
      <c r="NEG141" s="3"/>
      <c r="NEH141" s="3"/>
      <c r="NEI141" s="3"/>
      <c r="NEJ141" s="3"/>
      <c r="NEK141" s="3"/>
      <c r="NEL141" s="3"/>
      <c r="NEM141" s="3"/>
      <c r="NEN141" s="3"/>
      <c r="NEO141" s="3"/>
      <c r="NEP141" s="3"/>
      <c r="NEQ141" s="3"/>
      <c r="NER141" s="3"/>
      <c r="NES141" s="3"/>
      <c r="NET141" s="3"/>
      <c r="NEU141" s="3"/>
      <c r="NEV141" s="3"/>
      <c r="NEW141" s="3"/>
      <c r="NEX141" s="3"/>
      <c r="NEY141" s="3"/>
      <c r="NEZ141" s="3"/>
      <c r="NFA141" s="3"/>
      <c r="NFB141" s="3"/>
      <c r="NFC141" s="3"/>
      <c r="NFD141" s="3"/>
      <c r="NFE141" s="3"/>
      <c r="NFF141" s="3"/>
      <c r="NFG141" s="3"/>
      <c r="NFH141" s="3"/>
      <c r="NFI141" s="3"/>
      <c r="NFJ141" s="3"/>
      <c r="NFK141" s="3"/>
      <c r="NFL141" s="3"/>
      <c r="NFM141" s="3"/>
      <c r="NFN141" s="3"/>
      <c r="NFO141" s="3"/>
      <c r="NFP141" s="3"/>
      <c r="NFQ141" s="3"/>
      <c r="NFR141" s="3"/>
      <c r="NFS141" s="3"/>
      <c r="NFT141" s="3"/>
      <c r="NFU141" s="3"/>
      <c r="NFV141" s="3"/>
      <c r="NFW141" s="3"/>
      <c r="NFX141" s="3"/>
      <c r="NFY141" s="3"/>
      <c r="NFZ141" s="3"/>
      <c r="NGA141" s="3"/>
      <c r="NGB141" s="3"/>
      <c r="NGC141" s="3"/>
      <c r="NGD141" s="3"/>
      <c r="NGE141" s="3"/>
      <c r="NGF141" s="3"/>
      <c r="NGG141" s="3"/>
      <c r="NGH141" s="3"/>
      <c r="NGI141" s="3"/>
      <c r="NGJ141" s="3"/>
      <c r="NGK141" s="3"/>
      <c r="NGL141" s="3"/>
      <c r="NGM141" s="3"/>
      <c r="NGN141" s="3"/>
      <c r="NGO141" s="3"/>
      <c r="NGP141" s="3"/>
      <c r="NGQ141" s="3"/>
      <c r="NGR141" s="3"/>
      <c r="NGS141" s="3"/>
      <c r="NGT141" s="3"/>
      <c r="NGU141" s="3"/>
      <c r="NGV141" s="3"/>
      <c r="NGW141" s="3"/>
      <c r="NGX141" s="3"/>
      <c r="NGY141" s="3"/>
      <c r="NGZ141" s="3"/>
      <c r="NHA141" s="3"/>
      <c r="NHB141" s="3"/>
      <c r="NHC141" s="3"/>
      <c r="NHD141" s="3"/>
      <c r="NHE141" s="3"/>
      <c r="NHF141" s="3"/>
      <c r="NHG141" s="3"/>
      <c r="NHH141" s="3"/>
      <c r="NHI141" s="3"/>
      <c r="NHJ141" s="3"/>
      <c r="NHK141" s="3"/>
      <c r="NHL141" s="3"/>
      <c r="NHM141" s="3"/>
      <c r="NHN141" s="3"/>
      <c r="NHO141" s="3"/>
      <c r="NHP141" s="3"/>
      <c r="NHQ141" s="3"/>
      <c r="NHR141" s="3"/>
      <c r="NHS141" s="3"/>
      <c r="NHT141" s="3"/>
      <c r="NHU141" s="3"/>
      <c r="NHV141" s="3"/>
      <c r="NHW141" s="3"/>
      <c r="NHX141" s="3"/>
      <c r="NHY141" s="3"/>
      <c r="NHZ141" s="3"/>
      <c r="NIA141" s="3"/>
      <c r="NIB141" s="3"/>
      <c r="NIC141" s="3"/>
      <c r="NID141" s="3"/>
      <c r="NIE141" s="3"/>
      <c r="NIF141" s="3"/>
      <c r="NIG141" s="3"/>
      <c r="NIH141" s="3"/>
      <c r="NII141" s="3"/>
      <c r="NIJ141" s="3"/>
      <c r="NIK141" s="3"/>
      <c r="NIL141" s="3"/>
      <c r="NIM141" s="3"/>
      <c r="NIN141" s="3"/>
      <c r="NIO141" s="3"/>
      <c r="NIP141" s="3"/>
      <c r="NIQ141" s="3"/>
      <c r="NIR141" s="3"/>
      <c r="NIS141" s="3"/>
      <c r="NIT141" s="3"/>
      <c r="NIU141" s="3"/>
      <c r="NIV141" s="3"/>
      <c r="NIW141" s="3"/>
      <c r="NIX141" s="3"/>
      <c r="NIY141" s="3"/>
      <c r="NIZ141" s="3"/>
      <c r="NJA141" s="3"/>
      <c r="NJB141" s="3"/>
      <c r="NJC141" s="3"/>
      <c r="NJD141" s="3"/>
      <c r="NJE141" s="3"/>
      <c r="NJF141" s="3"/>
      <c r="NJG141" s="3"/>
      <c r="NJH141" s="3"/>
      <c r="NJI141" s="3"/>
      <c r="NJJ141" s="3"/>
      <c r="NJK141" s="3"/>
      <c r="NJL141" s="3"/>
      <c r="NJM141" s="3"/>
      <c r="NJN141" s="3"/>
      <c r="NJO141" s="3"/>
      <c r="NJP141" s="3"/>
      <c r="NJQ141" s="3"/>
      <c r="NJR141" s="3"/>
      <c r="NJS141" s="3"/>
      <c r="NJT141" s="3"/>
      <c r="NJU141" s="3"/>
      <c r="NJV141" s="3"/>
      <c r="NJW141" s="3"/>
      <c r="NJX141" s="3"/>
      <c r="NJY141" s="3"/>
      <c r="NJZ141" s="3"/>
      <c r="NKA141" s="3"/>
      <c r="NKB141" s="3"/>
      <c r="NKC141" s="3"/>
      <c r="NKD141" s="3"/>
      <c r="NKE141" s="3"/>
      <c r="NKF141" s="3"/>
      <c r="NKG141" s="3"/>
      <c r="NKH141" s="3"/>
      <c r="NKI141" s="3"/>
      <c r="NKJ141" s="3"/>
      <c r="NKK141" s="3"/>
      <c r="NKL141" s="3"/>
      <c r="NKM141" s="3"/>
      <c r="NKN141" s="3"/>
      <c r="NKO141" s="3"/>
      <c r="NKP141" s="3"/>
      <c r="NKQ141" s="3"/>
      <c r="NKR141" s="3"/>
      <c r="NKS141" s="3"/>
      <c r="NKT141" s="3"/>
      <c r="NKU141" s="3"/>
      <c r="NKV141" s="3"/>
      <c r="NKW141" s="3"/>
      <c r="NKX141" s="3"/>
      <c r="NKY141" s="3"/>
      <c r="NKZ141" s="3"/>
      <c r="NLA141" s="3"/>
      <c r="NLB141" s="3"/>
      <c r="NLC141" s="3"/>
      <c r="NLD141" s="3"/>
      <c r="NLE141" s="3"/>
      <c r="NLF141" s="3"/>
      <c r="NLG141" s="3"/>
      <c r="NLH141" s="3"/>
      <c r="NLI141" s="3"/>
      <c r="NLJ141" s="3"/>
      <c r="NLK141" s="3"/>
      <c r="NLL141" s="3"/>
      <c r="NLM141" s="3"/>
      <c r="NLN141" s="3"/>
      <c r="NLO141" s="3"/>
      <c r="NLP141" s="3"/>
      <c r="NLQ141" s="3"/>
      <c r="NLR141" s="3"/>
      <c r="NLS141" s="3"/>
      <c r="NLT141" s="3"/>
      <c r="NLU141" s="3"/>
      <c r="NLV141" s="3"/>
      <c r="NLW141" s="3"/>
      <c r="NLX141" s="3"/>
      <c r="NLY141" s="3"/>
      <c r="NLZ141" s="3"/>
      <c r="NMA141" s="3"/>
      <c r="NMB141" s="3"/>
      <c r="NMC141" s="3"/>
      <c r="NMD141" s="3"/>
      <c r="NME141" s="3"/>
      <c r="NMF141" s="3"/>
      <c r="NMG141" s="3"/>
      <c r="NMH141" s="3"/>
      <c r="NMI141" s="3"/>
      <c r="NMJ141" s="3"/>
      <c r="NMK141" s="3"/>
      <c r="NML141" s="3"/>
      <c r="NMM141" s="3"/>
      <c r="NMN141" s="3"/>
      <c r="NMO141" s="3"/>
      <c r="NMP141" s="3"/>
      <c r="NMQ141" s="3"/>
      <c r="NMR141" s="3"/>
      <c r="NMS141" s="3"/>
      <c r="NMT141" s="3"/>
      <c r="NMU141" s="3"/>
      <c r="NMV141" s="3"/>
      <c r="NMW141" s="3"/>
      <c r="NMX141" s="3"/>
      <c r="NMY141" s="3"/>
      <c r="NMZ141" s="3"/>
      <c r="NNA141" s="3"/>
      <c r="NNB141" s="3"/>
      <c r="NNC141" s="3"/>
      <c r="NND141" s="3"/>
      <c r="NNE141" s="3"/>
      <c r="NNF141" s="3"/>
      <c r="NNG141" s="3"/>
      <c r="NNH141" s="3"/>
      <c r="NNI141" s="3"/>
      <c r="NNJ141" s="3"/>
      <c r="NNK141" s="3"/>
      <c r="NNL141" s="3"/>
      <c r="NNM141" s="3"/>
      <c r="NNN141" s="3"/>
      <c r="NNO141" s="3"/>
      <c r="NNP141" s="3"/>
      <c r="NNQ141" s="3"/>
      <c r="NNR141" s="3"/>
      <c r="NNS141" s="3"/>
      <c r="NNT141" s="3"/>
      <c r="NNU141" s="3"/>
      <c r="NNV141" s="3"/>
      <c r="NNW141" s="3"/>
      <c r="NNX141" s="3"/>
      <c r="NNY141" s="3"/>
      <c r="NNZ141" s="3"/>
      <c r="NOA141" s="3"/>
      <c r="NOB141" s="3"/>
      <c r="NOC141" s="3"/>
      <c r="NOD141" s="3"/>
      <c r="NOE141" s="3"/>
      <c r="NOF141" s="3"/>
      <c r="NOG141" s="3"/>
      <c r="NOH141" s="3"/>
      <c r="NOI141" s="3"/>
      <c r="NOJ141" s="3"/>
      <c r="NOK141" s="3"/>
      <c r="NOL141" s="3"/>
      <c r="NOM141" s="3"/>
      <c r="NON141" s="3"/>
      <c r="NOO141" s="3"/>
      <c r="NOP141" s="3"/>
      <c r="NOQ141" s="3"/>
      <c r="NOR141" s="3"/>
      <c r="NOS141" s="3"/>
      <c r="NOT141" s="3"/>
      <c r="NOU141" s="3"/>
      <c r="NOV141" s="3"/>
      <c r="NOW141" s="3"/>
      <c r="NOX141" s="3"/>
      <c r="NOY141" s="3"/>
      <c r="NOZ141" s="3"/>
      <c r="NPA141" s="3"/>
      <c r="NPB141" s="3"/>
      <c r="NPC141" s="3"/>
      <c r="NPD141" s="3"/>
      <c r="NPE141" s="3"/>
      <c r="NPF141" s="3"/>
      <c r="NPG141" s="3"/>
      <c r="NPH141" s="3"/>
      <c r="NPI141" s="3"/>
      <c r="NPJ141" s="3"/>
      <c r="NPK141" s="3"/>
      <c r="NPL141" s="3"/>
      <c r="NPM141" s="3"/>
      <c r="NPN141" s="3"/>
      <c r="NPO141" s="3"/>
      <c r="NPP141" s="3"/>
      <c r="NPQ141" s="3"/>
      <c r="NPR141" s="3"/>
      <c r="NPS141" s="3"/>
      <c r="NPT141" s="3"/>
      <c r="NPU141" s="3"/>
      <c r="NPV141" s="3"/>
      <c r="NPW141" s="3"/>
      <c r="NPX141" s="3"/>
      <c r="NPY141" s="3"/>
      <c r="NPZ141" s="3"/>
      <c r="NQA141" s="3"/>
      <c r="NQB141" s="3"/>
      <c r="NQC141" s="3"/>
      <c r="NQD141" s="3"/>
      <c r="NQE141" s="3"/>
      <c r="NQF141" s="3"/>
      <c r="NQG141" s="3"/>
      <c r="NQH141" s="3"/>
      <c r="NQI141" s="3"/>
      <c r="NQJ141" s="3"/>
      <c r="NQK141" s="3"/>
      <c r="NQL141" s="3"/>
      <c r="NQM141" s="3"/>
      <c r="NQN141" s="3"/>
      <c r="NQO141" s="3"/>
      <c r="NQP141" s="3"/>
      <c r="NQQ141" s="3"/>
      <c r="NQR141" s="3"/>
      <c r="NQS141" s="3"/>
      <c r="NQT141" s="3"/>
      <c r="NQU141" s="3"/>
      <c r="NQV141" s="3"/>
      <c r="NQW141" s="3"/>
      <c r="NQX141" s="3"/>
      <c r="NQY141" s="3"/>
      <c r="NQZ141" s="3"/>
      <c r="NRA141" s="3"/>
      <c r="NRB141" s="3"/>
      <c r="NRC141" s="3"/>
      <c r="NRD141" s="3"/>
      <c r="NRE141" s="3"/>
      <c r="NRF141" s="3"/>
      <c r="NRG141" s="3"/>
      <c r="NRH141" s="3"/>
      <c r="NRI141" s="3"/>
      <c r="NRJ141" s="3"/>
      <c r="NRK141" s="3"/>
      <c r="NRL141" s="3"/>
      <c r="NRM141" s="3"/>
      <c r="NRN141" s="3"/>
      <c r="NRO141" s="3"/>
      <c r="NRP141" s="3"/>
      <c r="NRQ141" s="3"/>
      <c r="NRR141" s="3"/>
      <c r="NRS141" s="3"/>
      <c r="NRT141" s="3"/>
      <c r="NRU141" s="3"/>
      <c r="NRV141" s="3"/>
      <c r="NRW141" s="3"/>
      <c r="NRX141" s="3"/>
      <c r="NRY141" s="3"/>
      <c r="NRZ141" s="3"/>
      <c r="NSA141" s="3"/>
      <c r="NSB141" s="3"/>
      <c r="NSC141" s="3"/>
      <c r="NSD141" s="3"/>
      <c r="NSE141" s="3"/>
      <c r="NSF141" s="3"/>
      <c r="NSG141" s="3"/>
      <c r="NSH141" s="3"/>
      <c r="NSI141" s="3"/>
      <c r="NSJ141" s="3"/>
      <c r="NSK141" s="3"/>
      <c r="NSL141" s="3"/>
      <c r="NSM141" s="3"/>
      <c r="NSN141" s="3"/>
      <c r="NSO141" s="3"/>
      <c r="NSP141" s="3"/>
      <c r="NSQ141" s="3"/>
      <c r="NSR141" s="3"/>
      <c r="NSS141" s="3"/>
      <c r="NST141" s="3"/>
      <c r="NSU141" s="3"/>
      <c r="NSV141" s="3"/>
      <c r="NSW141" s="3"/>
      <c r="NSX141" s="3"/>
      <c r="NSY141" s="3"/>
      <c r="NSZ141" s="3"/>
      <c r="NTA141" s="3"/>
      <c r="NTB141" s="3"/>
      <c r="NTC141" s="3"/>
      <c r="NTD141" s="3"/>
      <c r="NTE141" s="3"/>
      <c r="NTF141" s="3"/>
      <c r="NTG141" s="3"/>
      <c r="NTH141" s="3"/>
      <c r="NTI141" s="3"/>
      <c r="NTJ141" s="3"/>
      <c r="NTK141" s="3"/>
      <c r="NTL141" s="3"/>
      <c r="NTM141" s="3"/>
      <c r="NTN141" s="3"/>
      <c r="NTO141" s="3"/>
      <c r="NTP141" s="3"/>
      <c r="NTQ141" s="3"/>
      <c r="NTR141" s="3"/>
      <c r="NTS141" s="3"/>
      <c r="NTT141" s="3"/>
      <c r="NTU141" s="3"/>
      <c r="NTV141" s="3"/>
      <c r="NTW141" s="3"/>
      <c r="NTX141" s="3"/>
      <c r="NTY141" s="3"/>
      <c r="NTZ141" s="3"/>
      <c r="NUA141" s="3"/>
      <c r="NUB141" s="3"/>
      <c r="NUC141" s="3"/>
      <c r="NUD141" s="3"/>
      <c r="NUE141" s="3"/>
      <c r="NUF141" s="3"/>
      <c r="NUG141" s="3"/>
      <c r="NUH141" s="3"/>
      <c r="NUI141" s="3"/>
      <c r="NUJ141" s="3"/>
      <c r="NUK141" s="3"/>
      <c r="NUL141" s="3"/>
      <c r="NUM141" s="3"/>
      <c r="NUN141" s="3"/>
      <c r="NUO141" s="3"/>
      <c r="NUP141" s="3"/>
      <c r="NUQ141" s="3"/>
      <c r="NUR141" s="3"/>
      <c r="NUS141" s="3"/>
      <c r="NUT141" s="3"/>
      <c r="NUU141" s="3"/>
      <c r="NUV141" s="3"/>
      <c r="NUW141" s="3"/>
      <c r="NUX141" s="3"/>
      <c r="NUY141" s="3"/>
      <c r="NUZ141" s="3"/>
      <c r="NVA141" s="3"/>
      <c r="NVB141" s="3"/>
      <c r="NVC141" s="3"/>
      <c r="NVD141" s="3"/>
      <c r="NVE141" s="3"/>
      <c r="NVF141" s="3"/>
      <c r="NVG141" s="3"/>
      <c r="NVH141" s="3"/>
      <c r="NVI141" s="3"/>
      <c r="NVJ141" s="3"/>
      <c r="NVK141" s="3"/>
      <c r="NVL141" s="3"/>
      <c r="NVM141" s="3"/>
      <c r="NVN141" s="3"/>
      <c r="NVO141" s="3"/>
      <c r="NVP141" s="3"/>
      <c r="NVQ141" s="3"/>
      <c r="NVR141" s="3"/>
      <c r="NVS141" s="3"/>
      <c r="NVT141" s="3"/>
      <c r="NVU141" s="3"/>
      <c r="NVV141" s="3"/>
      <c r="NVW141" s="3"/>
      <c r="NVX141" s="3"/>
      <c r="NVY141" s="3"/>
      <c r="NVZ141" s="3"/>
      <c r="NWA141" s="3"/>
      <c r="NWB141" s="3"/>
      <c r="NWC141" s="3"/>
      <c r="NWD141" s="3"/>
      <c r="NWE141" s="3"/>
      <c r="NWF141" s="3"/>
      <c r="NWG141" s="3"/>
      <c r="NWH141" s="3"/>
      <c r="NWI141" s="3"/>
      <c r="NWJ141" s="3"/>
      <c r="NWK141" s="3"/>
      <c r="NWL141" s="3"/>
      <c r="NWM141" s="3"/>
      <c r="NWN141" s="3"/>
      <c r="NWO141" s="3"/>
      <c r="NWP141" s="3"/>
      <c r="NWQ141" s="3"/>
      <c r="NWR141" s="3"/>
      <c r="NWS141" s="3"/>
      <c r="NWT141" s="3"/>
      <c r="NWU141" s="3"/>
      <c r="NWV141" s="3"/>
      <c r="NWW141" s="3"/>
      <c r="NWX141" s="3"/>
      <c r="NWY141" s="3"/>
      <c r="NWZ141" s="3"/>
      <c r="NXA141" s="3"/>
      <c r="NXB141" s="3"/>
      <c r="NXC141" s="3"/>
      <c r="NXD141" s="3"/>
      <c r="NXE141" s="3"/>
      <c r="NXF141" s="3"/>
      <c r="NXG141" s="3"/>
      <c r="NXH141" s="3"/>
      <c r="NXI141" s="3"/>
      <c r="NXJ141" s="3"/>
      <c r="NXK141" s="3"/>
      <c r="NXL141" s="3"/>
      <c r="NXM141" s="3"/>
      <c r="NXN141" s="3"/>
      <c r="NXO141" s="3"/>
      <c r="NXP141" s="3"/>
      <c r="NXQ141" s="3"/>
      <c r="NXR141" s="3"/>
      <c r="NXS141" s="3"/>
      <c r="NXT141" s="3"/>
      <c r="NXU141" s="3"/>
      <c r="NXV141" s="3"/>
      <c r="NXW141" s="3"/>
      <c r="NXX141" s="3"/>
      <c r="NXY141" s="3"/>
      <c r="NXZ141" s="3"/>
      <c r="NYA141" s="3"/>
      <c r="NYB141" s="3"/>
      <c r="NYC141" s="3"/>
      <c r="NYD141" s="3"/>
      <c r="NYE141" s="3"/>
      <c r="NYF141" s="3"/>
      <c r="NYG141" s="3"/>
      <c r="NYH141" s="3"/>
      <c r="NYI141" s="3"/>
      <c r="NYJ141" s="3"/>
      <c r="NYK141" s="3"/>
      <c r="NYL141" s="3"/>
      <c r="NYM141" s="3"/>
      <c r="NYN141" s="3"/>
      <c r="NYO141" s="3"/>
      <c r="NYP141" s="3"/>
      <c r="NYQ141" s="3"/>
      <c r="NYR141" s="3"/>
      <c r="NYS141" s="3"/>
      <c r="NYT141" s="3"/>
      <c r="NYU141" s="3"/>
      <c r="NYV141" s="3"/>
      <c r="NYW141" s="3"/>
      <c r="NYX141" s="3"/>
      <c r="NYY141" s="3"/>
      <c r="NYZ141" s="3"/>
      <c r="NZA141" s="3"/>
      <c r="NZB141" s="3"/>
      <c r="NZC141" s="3"/>
      <c r="NZD141" s="3"/>
      <c r="NZE141" s="3"/>
      <c r="NZF141" s="3"/>
      <c r="NZG141" s="3"/>
      <c r="NZH141" s="3"/>
      <c r="NZI141" s="3"/>
      <c r="NZJ141" s="3"/>
      <c r="NZK141" s="3"/>
      <c r="NZL141" s="3"/>
      <c r="NZM141" s="3"/>
      <c r="NZN141" s="3"/>
      <c r="NZO141" s="3"/>
      <c r="NZP141" s="3"/>
      <c r="NZQ141" s="3"/>
      <c r="NZR141" s="3"/>
      <c r="NZS141" s="3"/>
      <c r="NZT141" s="3"/>
      <c r="NZU141" s="3"/>
      <c r="NZV141" s="3"/>
      <c r="NZW141" s="3"/>
      <c r="NZX141" s="3"/>
      <c r="NZY141" s="3"/>
      <c r="NZZ141" s="3"/>
      <c r="OAA141" s="3"/>
      <c r="OAB141" s="3"/>
      <c r="OAC141" s="3"/>
      <c r="OAD141" s="3"/>
      <c r="OAE141" s="3"/>
      <c r="OAF141" s="3"/>
      <c r="OAG141" s="3"/>
      <c r="OAH141" s="3"/>
      <c r="OAI141" s="3"/>
      <c r="OAJ141" s="3"/>
      <c r="OAK141" s="3"/>
      <c r="OAL141" s="3"/>
      <c r="OAM141" s="3"/>
      <c r="OAN141" s="3"/>
      <c r="OAO141" s="3"/>
      <c r="OAP141" s="3"/>
      <c r="OAQ141" s="3"/>
      <c r="OAR141" s="3"/>
      <c r="OAS141" s="3"/>
      <c r="OAT141" s="3"/>
      <c r="OAU141" s="3"/>
      <c r="OAV141" s="3"/>
      <c r="OAW141" s="3"/>
      <c r="OAX141" s="3"/>
      <c r="OAY141" s="3"/>
      <c r="OAZ141" s="3"/>
      <c r="OBA141" s="3"/>
      <c r="OBB141" s="3"/>
      <c r="OBC141" s="3"/>
      <c r="OBD141" s="3"/>
      <c r="OBE141" s="3"/>
      <c r="OBF141" s="3"/>
      <c r="OBG141" s="3"/>
      <c r="OBH141" s="3"/>
      <c r="OBI141" s="3"/>
      <c r="OBJ141" s="3"/>
      <c r="OBK141" s="3"/>
      <c r="OBL141" s="3"/>
      <c r="OBM141" s="3"/>
      <c r="OBN141" s="3"/>
      <c r="OBO141" s="3"/>
      <c r="OBP141" s="3"/>
      <c r="OBQ141" s="3"/>
      <c r="OBR141" s="3"/>
      <c r="OBS141" s="3"/>
      <c r="OBT141" s="3"/>
      <c r="OBU141" s="3"/>
      <c r="OBV141" s="3"/>
      <c r="OBW141" s="3"/>
      <c r="OBX141" s="3"/>
      <c r="OBY141" s="3"/>
      <c r="OBZ141" s="3"/>
      <c r="OCA141" s="3"/>
      <c r="OCB141" s="3"/>
      <c r="OCC141" s="3"/>
      <c r="OCD141" s="3"/>
      <c r="OCE141" s="3"/>
      <c r="OCF141" s="3"/>
      <c r="OCG141" s="3"/>
      <c r="OCH141" s="3"/>
      <c r="OCI141" s="3"/>
      <c r="OCJ141" s="3"/>
      <c r="OCK141" s="3"/>
      <c r="OCL141" s="3"/>
      <c r="OCM141" s="3"/>
      <c r="OCN141" s="3"/>
      <c r="OCO141" s="3"/>
      <c r="OCP141" s="3"/>
      <c r="OCQ141" s="3"/>
      <c r="OCR141" s="3"/>
      <c r="OCS141" s="3"/>
      <c r="OCT141" s="3"/>
      <c r="OCU141" s="3"/>
      <c r="OCV141" s="3"/>
      <c r="OCW141" s="3"/>
      <c r="OCX141" s="3"/>
      <c r="OCY141" s="3"/>
      <c r="OCZ141" s="3"/>
      <c r="ODA141" s="3"/>
      <c r="ODB141" s="3"/>
      <c r="ODC141" s="3"/>
      <c r="ODD141" s="3"/>
      <c r="ODE141" s="3"/>
      <c r="ODF141" s="3"/>
      <c r="ODG141" s="3"/>
      <c r="ODH141" s="3"/>
      <c r="ODI141" s="3"/>
      <c r="ODJ141" s="3"/>
      <c r="ODK141" s="3"/>
      <c r="ODL141" s="3"/>
      <c r="ODM141" s="3"/>
      <c r="ODN141" s="3"/>
      <c r="ODO141" s="3"/>
      <c r="ODP141" s="3"/>
      <c r="ODQ141" s="3"/>
      <c r="ODR141" s="3"/>
      <c r="ODS141" s="3"/>
      <c r="ODT141" s="3"/>
      <c r="ODU141" s="3"/>
      <c r="ODV141" s="3"/>
      <c r="ODW141" s="3"/>
      <c r="ODX141" s="3"/>
      <c r="ODY141" s="3"/>
      <c r="ODZ141" s="3"/>
      <c r="OEA141" s="3"/>
      <c r="OEB141" s="3"/>
      <c r="OEC141" s="3"/>
      <c r="OED141" s="3"/>
      <c r="OEE141" s="3"/>
      <c r="OEF141" s="3"/>
      <c r="OEG141" s="3"/>
      <c r="OEH141" s="3"/>
      <c r="OEI141" s="3"/>
      <c r="OEJ141" s="3"/>
      <c r="OEK141" s="3"/>
      <c r="OEL141" s="3"/>
      <c r="OEM141" s="3"/>
      <c r="OEN141" s="3"/>
      <c r="OEO141" s="3"/>
      <c r="OEP141" s="3"/>
      <c r="OEQ141" s="3"/>
      <c r="OER141" s="3"/>
      <c r="OES141" s="3"/>
      <c r="OET141" s="3"/>
      <c r="OEU141" s="3"/>
      <c r="OEV141" s="3"/>
      <c r="OEW141" s="3"/>
      <c r="OEX141" s="3"/>
      <c r="OEY141" s="3"/>
      <c r="OEZ141" s="3"/>
      <c r="OFA141" s="3"/>
      <c r="OFB141" s="3"/>
      <c r="OFC141" s="3"/>
      <c r="OFD141" s="3"/>
      <c r="OFE141" s="3"/>
      <c r="OFF141" s="3"/>
      <c r="OFG141" s="3"/>
      <c r="OFH141" s="3"/>
      <c r="OFI141" s="3"/>
      <c r="OFJ141" s="3"/>
      <c r="OFK141" s="3"/>
      <c r="OFL141" s="3"/>
      <c r="OFM141" s="3"/>
      <c r="OFN141" s="3"/>
      <c r="OFO141" s="3"/>
      <c r="OFP141" s="3"/>
      <c r="OFQ141" s="3"/>
      <c r="OFR141" s="3"/>
      <c r="OFS141" s="3"/>
      <c r="OFT141" s="3"/>
      <c r="OFU141" s="3"/>
      <c r="OFV141" s="3"/>
      <c r="OFW141" s="3"/>
      <c r="OFX141" s="3"/>
      <c r="OFY141" s="3"/>
      <c r="OFZ141" s="3"/>
      <c r="OGA141" s="3"/>
      <c r="OGB141" s="3"/>
      <c r="OGC141" s="3"/>
      <c r="OGD141" s="3"/>
      <c r="OGE141" s="3"/>
      <c r="OGF141" s="3"/>
      <c r="OGG141" s="3"/>
      <c r="OGH141" s="3"/>
      <c r="OGI141" s="3"/>
      <c r="OGJ141" s="3"/>
      <c r="OGK141" s="3"/>
      <c r="OGL141" s="3"/>
      <c r="OGM141" s="3"/>
      <c r="OGN141" s="3"/>
      <c r="OGO141" s="3"/>
      <c r="OGP141" s="3"/>
      <c r="OGQ141" s="3"/>
      <c r="OGR141" s="3"/>
      <c r="OGS141" s="3"/>
      <c r="OGT141" s="3"/>
      <c r="OGU141" s="3"/>
      <c r="OGV141" s="3"/>
      <c r="OGW141" s="3"/>
      <c r="OGX141" s="3"/>
      <c r="OGY141" s="3"/>
      <c r="OGZ141" s="3"/>
      <c r="OHA141" s="3"/>
      <c r="OHB141" s="3"/>
      <c r="OHC141" s="3"/>
      <c r="OHD141" s="3"/>
      <c r="OHE141" s="3"/>
      <c r="OHF141" s="3"/>
      <c r="OHG141" s="3"/>
      <c r="OHH141" s="3"/>
      <c r="OHI141" s="3"/>
      <c r="OHJ141" s="3"/>
      <c r="OHK141" s="3"/>
      <c r="OHL141" s="3"/>
      <c r="OHM141" s="3"/>
      <c r="OHN141" s="3"/>
      <c r="OHO141" s="3"/>
      <c r="OHP141" s="3"/>
      <c r="OHQ141" s="3"/>
      <c r="OHR141" s="3"/>
      <c r="OHS141" s="3"/>
      <c r="OHT141" s="3"/>
      <c r="OHU141" s="3"/>
      <c r="OHV141" s="3"/>
      <c r="OHW141" s="3"/>
      <c r="OHX141" s="3"/>
      <c r="OHY141" s="3"/>
      <c r="OHZ141" s="3"/>
      <c r="OIA141" s="3"/>
      <c r="OIB141" s="3"/>
      <c r="OIC141" s="3"/>
      <c r="OID141" s="3"/>
      <c r="OIE141" s="3"/>
      <c r="OIF141" s="3"/>
      <c r="OIG141" s="3"/>
      <c r="OIH141" s="3"/>
      <c r="OII141" s="3"/>
      <c r="OIJ141" s="3"/>
      <c r="OIK141" s="3"/>
      <c r="OIL141" s="3"/>
      <c r="OIM141" s="3"/>
      <c r="OIN141" s="3"/>
      <c r="OIO141" s="3"/>
      <c r="OIP141" s="3"/>
      <c r="OIQ141" s="3"/>
      <c r="OIR141" s="3"/>
      <c r="OIS141" s="3"/>
      <c r="OIT141" s="3"/>
      <c r="OIU141" s="3"/>
      <c r="OIV141" s="3"/>
      <c r="OIW141" s="3"/>
      <c r="OIX141" s="3"/>
      <c r="OIY141" s="3"/>
      <c r="OIZ141" s="3"/>
      <c r="OJA141" s="3"/>
      <c r="OJB141" s="3"/>
      <c r="OJC141" s="3"/>
      <c r="OJD141" s="3"/>
      <c r="OJE141" s="3"/>
      <c r="OJF141" s="3"/>
      <c r="OJG141" s="3"/>
      <c r="OJH141" s="3"/>
      <c r="OJI141" s="3"/>
      <c r="OJJ141" s="3"/>
      <c r="OJK141" s="3"/>
      <c r="OJL141" s="3"/>
      <c r="OJM141" s="3"/>
      <c r="OJN141" s="3"/>
      <c r="OJO141" s="3"/>
      <c r="OJP141" s="3"/>
      <c r="OJQ141" s="3"/>
      <c r="OJR141" s="3"/>
      <c r="OJS141" s="3"/>
      <c r="OJT141" s="3"/>
      <c r="OJU141" s="3"/>
      <c r="OJV141" s="3"/>
      <c r="OJW141" s="3"/>
      <c r="OJX141" s="3"/>
      <c r="OJY141" s="3"/>
      <c r="OJZ141" s="3"/>
      <c r="OKA141" s="3"/>
      <c r="OKB141" s="3"/>
      <c r="OKC141" s="3"/>
      <c r="OKD141" s="3"/>
      <c r="OKE141" s="3"/>
      <c r="OKF141" s="3"/>
      <c r="OKG141" s="3"/>
      <c r="OKH141" s="3"/>
      <c r="OKI141" s="3"/>
      <c r="OKJ141" s="3"/>
      <c r="OKK141" s="3"/>
      <c r="OKL141" s="3"/>
      <c r="OKM141" s="3"/>
      <c r="OKN141" s="3"/>
      <c r="OKO141" s="3"/>
      <c r="OKP141" s="3"/>
      <c r="OKQ141" s="3"/>
      <c r="OKR141" s="3"/>
      <c r="OKS141" s="3"/>
      <c r="OKT141" s="3"/>
      <c r="OKU141" s="3"/>
      <c r="OKV141" s="3"/>
      <c r="OKW141" s="3"/>
      <c r="OKX141" s="3"/>
      <c r="OKY141" s="3"/>
      <c r="OKZ141" s="3"/>
      <c r="OLA141" s="3"/>
      <c r="OLB141" s="3"/>
      <c r="OLC141" s="3"/>
      <c r="OLD141" s="3"/>
      <c r="OLE141" s="3"/>
      <c r="OLF141" s="3"/>
      <c r="OLG141" s="3"/>
      <c r="OLH141" s="3"/>
      <c r="OLI141" s="3"/>
      <c r="OLJ141" s="3"/>
      <c r="OLK141" s="3"/>
      <c r="OLL141" s="3"/>
      <c r="OLM141" s="3"/>
      <c r="OLN141" s="3"/>
      <c r="OLO141" s="3"/>
      <c r="OLP141" s="3"/>
      <c r="OLQ141" s="3"/>
      <c r="OLR141" s="3"/>
      <c r="OLS141" s="3"/>
      <c r="OLT141" s="3"/>
      <c r="OLU141" s="3"/>
      <c r="OLV141" s="3"/>
      <c r="OLW141" s="3"/>
      <c r="OLX141" s="3"/>
      <c r="OLY141" s="3"/>
      <c r="OLZ141" s="3"/>
      <c r="OMA141" s="3"/>
      <c r="OMB141" s="3"/>
      <c r="OMC141" s="3"/>
      <c r="OMD141" s="3"/>
      <c r="OME141" s="3"/>
      <c r="OMF141" s="3"/>
      <c r="OMG141" s="3"/>
      <c r="OMH141" s="3"/>
      <c r="OMI141" s="3"/>
      <c r="OMJ141" s="3"/>
      <c r="OMK141" s="3"/>
      <c r="OML141" s="3"/>
      <c r="OMM141" s="3"/>
      <c r="OMN141" s="3"/>
      <c r="OMO141" s="3"/>
      <c r="OMP141" s="3"/>
      <c r="OMQ141" s="3"/>
      <c r="OMR141" s="3"/>
      <c r="OMS141" s="3"/>
      <c r="OMT141" s="3"/>
      <c r="OMU141" s="3"/>
      <c r="OMV141" s="3"/>
      <c r="OMW141" s="3"/>
      <c r="OMX141" s="3"/>
      <c r="OMY141" s="3"/>
      <c r="OMZ141" s="3"/>
      <c r="ONA141" s="3"/>
      <c r="ONB141" s="3"/>
      <c r="ONC141" s="3"/>
      <c r="OND141" s="3"/>
      <c r="ONE141" s="3"/>
      <c r="ONF141" s="3"/>
      <c r="ONG141" s="3"/>
      <c r="ONH141" s="3"/>
      <c r="ONI141" s="3"/>
      <c r="ONJ141" s="3"/>
      <c r="ONK141" s="3"/>
      <c r="ONL141" s="3"/>
      <c r="ONM141" s="3"/>
      <c r="ONN141" s="3"/>
      <c r="ONO141" s="3"/>
      <c r="ONP141" s="3"/>
      <c r="ONQ141" s="3"/>
      <c r="ONR141" s="3"/>
      <c r="ONS141" s="3"/>
      <c r="ONT141" s="3"/>
      <c r="ONU141" s="3"/>
      <c r="ONV141" s="3"/>
      <c r="ONW141" s="3"/>
      <c r="ONX141" s="3"/>
      <c r="ONY141" s="3"/>
      <c r="ONZ141" s="3"/>
      <c r="OOA141" s="3"/>
      <c r="OOB141" s="3"/>
      <c r="OOC141" s="3"/>
      <c r="OOD141" s="3"/>
      <c r="OOE141" s="3"/>
      <c r="OOF141" s="3"/>
      <c r="OOG141" s="3"/>
      <c r="OOH141" s="3"/>
      <c r="OOI141" s="3"/>
      <c r="OOJ141" s="3"/>
      <c r="OOK141" s="3"/>
      <c r="OOL141" s="3"/>
      <c r="OOM141" s="3"/>
      <c r="OON141" s="3"/>
      <c r="OOO141" s="3"/>
      <c r="OOP141" s="3"/>
      <c r="OOQ141" s="3"/>
      <c r="OOR141" s="3"/>
      <c r="OOS141" s="3"/>
      <c r="OOT141" s="3"/>
      <c r="OOU141" s="3"/>
      <c r="OOV141" s="3"/>
      <c r="OOW141" s="3"/>
      <c r="OOX141" s="3"/>
      <c r="OOY141" s="3"/>
      <c r="OOZ141" s="3"/>
      <c r="OPA141" s="3"/>
      <c r="OPB141" s="3"/>
      <c r="OPC141" s="3"/>
      <c r="OPD141" s="3"/>
      <c r="OPE141" s="3"/>
      <c r="OPF141" s="3"/>
      <c r="OPG141" s="3"/>
      <c r="OPH141" s="3"/>
      <c r="OPI141" s="3"/>
      <c r="OPJ141" s="3"/>
      <c r="OPK141" s="3"/>
      <c r="OPL141" s="3"/>
      <c r="OPM141" s="3"/>
      <c r="OPN141" s="3"/>
      <c r="OPO141" s="3"/>
      <c r="OPP141" s="3"/>
      <c r="OPQ141" s="3"/>
      <c r="OPR141" s="3"/>
      <c r="OPS141" s="3"/>
      <c r="OPT141" s="3"/>
      <c r="OPU141" s="3"/>
      <c r="OPV141" s="3"/>
      <c r="OPW141" s="3"/>
      <c r="OPX141" s="3"/>
      <c r="OPY141" s="3"/>
      <c r="OPZ141" s="3"/>
      <c r="OQA141" s="3"/>
      <c r="OQB141" s="3"/>
      <c r="OQC141" s="3"/>
      <c r="OQD141" s="3"/>
      <c r="OQE141" s="3"/>
      <c r="OQF141" s="3"/>
      <c r="OQG141" s="3"/>
      <c r="OQH141" s="3"/>
      <c r="OQI141" s="3"/>
      <c r="OQJ141" s="3"/>
      <c r="OQK141" s="3"/>
      <c r="OQL141" s="3"/>
      <c r="OQM141" s="3"/>
      <c r="OQN141" s="3"/>
      <c r="OQO141" s="3"/>
      <c r="OQP141" s="3"/>
      <c r="OQQ141" s="3"/>
      <c r="OQR141" s="3"/>
      <c r="OQS141" s="3"/>
      <c r="OQT141" s="3"/>
      <c r="OQU141" s="3"/>
      <c r="OQV141" s="3"/>
      <c r="OQW141" s="3"/>
      <c r="OQX141" s="3"/>
      <c r="OQY141" s="3"/>
      <c r="OQZ141" s="3"/>
      <c r="ORA141" s="3"/>
      <c r="ORB141" s="3"/>
      <c r="ORC141" s="3"/>
      <c r="ORD141" s="3"/>
      <c r="ORE141" s="3"/>
      <c r="ORF141" s="3"/>
      <c r="ORG141" s="3"/>
      <c r="ORH141" s="3"/>
      <c r="ORI141" s="3"/>
      <c r="ORJ141" s="3"/>
      <c r="ORK141" s="3"/>
      <c r="ORL141" s="3"/>
      <c r="ORM141" s="3"/>
      <c r="ORN141" s="3"/>
      <c r="ORO141" s="3"/>
      <c r="ORP141" s="3"/>
      <c r="ORQ141" s="3"/>
      <c r="ORR141" s="3"/>
      <c r="ORS141" s="3"/>
      <c r="ORT141" s="3"/>
      <c r="ORU141" s="3"/>
      <c r="ORV141" s="3"/>
      <c r="ORW141" s="3"/>
      <c r="ORX141" s="3"/>
      <c r="ORY141" s="3"/>
      <c r="ORZ141" s="3"/>
      <c r="OSA141" s="3"/>
      <c r="OSB141" s="3"/>
      <c r="OSC141" s="3"/>
      <c r="OSD141" s="3"/>
      <c r="OSE141" s="3"/>
      <c r="OSF141" s="3"/>
      <c r="OSG141" s="3"/>
      <c r="OSH141" s="3"/>
      <c r="OSI141" s="3"/>
      <c r="OSJ141" s="3"/>
      <c r="OSK141" s="3"/>
      <c r="OSL141" s="3"/>
      <c r="OSM141" s="3"/>
      <c r="OSN141" s="3"/>
      <c r="OSO141" s="3"/>
      <c r="OSP141" s="3"/>
      <c r="OSQ141" s="3"/>
      <c r="OSR141" s="3"/>
      <c r="OSS141" s="3"/>
      <c r="OST141" s="3"/>
      <c r="OSU141" s="3"/>
      <c r="OSV141" s="3"/>
      <c r="OSW141" s="3"/>
      <c r="OSX141" s="3"/>
      <c r="OSY141" s="3"/>
      <c r="OSZ141" s="3"/>
      <c r="OTA141" s="3"/>
      <c r="OTB141" s="3"/>
      <c r="OTC141" s="3"/>
      <c r="OTD141" s="3"/>
      <c r="OTE141" s="3"/>
      <c r="OTF141" s="3"/>
      <c r="OTG141" s="3"/>
      <c r="OTH141" s="3"/>
      <c r="OTI141" s="3"/>
      <c r="OTJ141" s="3"/>
      <c r="OTK141" s="3"/>
      <c r="OTL141" s="3"/>
      <c r="OTM141" s="3"/>
      <c r="OTN141" s="3"/>
      <c r="OTO141" s="3"/>
      <c r="OTP141" s="3"/>
      <c r="OTQ141" s="3"/>
      <c r="OTR141" s="3"/>
      <c r="OTS141" s="3"/>
      <c r="OTT141" s="3"/>
      <c r="OTU141" s="3"/>
      <c r="OTV141" s="3"/>
      <c r="OTW141" s="3"/>
      <c r="OTX141" s="3"/>
      <c r="OTY141" s="3"/>
      <c r="OTZ141" s="3"/>
      <c r="OUA141" s="3"/>
      <c r="OUB141" s="3"/>
      <c r="OUC141" s="3"/>
      <c r="OUD141" s="3"/>
      <c r="OUE141" s="3"/>
      <c r="OUF141" s="3"/>
      <c r="OUG141" s="3"/>
      <c r="OUH141" s="3"/>
      <c r="OUI141" s="3"/>
      <c r="OUJ141" s="3"/>
      <c r="OUK141" s="3"/>
      <c r="OUL141" s="3"/>
      <c r="OUM141" s="3"/>
      <c r="OUN141" s="3"/>
      <c r="OUO141" s="3"/>
      <c r="OUP141" s="3"/>
      <c r="OUQ141" s="3"/>
      <c r="OUR141" s="3"/>
      <c r="OUS141" s="3"/>
      <c r="OUT141" s="3"/>
      <c r="OUU141" s="3"/>
      <c r="OUV141" s="3"/>
      <c r="OUW141" s="3"/>
      <c r="OUX141" s="3"/>
      <c r="OUY141" s="3"/>
      <c r="OUZ141" s="3"/>
      <c r="OVA141" s="3"/>
      <c r="OVB141" s="3"/>
      <c r="OVC141" s="3"/>
      <c r="OVD141" s="3"/>
      <c r="OVE141" s="3"/>
      <c r="OVF141" s="3"/>
      <c r="OVG141" s="3"/>
      <c r="OVH141" s="3"/>
      <c r="OVI141" s="3"/>
      <c r="OVJ141" s="3"/>
      <c r="OVK141" s="3"/>
      <c r="OVL141" s="3"/>
      <c r="OVM141" s="3"/>
      <c r="OVN141" s="3"/>
      <c r="OVO141" s="3"/>
      <c r="OVP141" s="3"/>
      <c r="OVQ141" s="3"/>
      <c r="OVR141" s="3"/>
      <c r="OVS141" s="3"/>
      <c r="OVT141" s="3"/>
      <c r="OVU141" s="3"/>
      <c r="OVV141" s="3"/>
      <c r="OVW141" s="3"/>
      <c r="OVX141" s="3"/>
      <c r="OVY141" s="3"/>
      <c r="OVZ141" s="3"/>
      <c r="OWA141" s="3"/>
      <c r="OWB141" s="3"/>
      <c r="OWC141" s="3"/>
      <c r="OWD141" s="3"/>
      <c r="OWE141" s="3"/>
      <c r="OWF141" s="3"/>
      <c r="OWG141" s="3"/>
      <c r="OWH141" s="3"/>
      <c r="OWI141" s="3"/>
      <c r="OWJ141" s="3"/>
      <c r="OWK141" s="3"/>
      <c r="OWL141" s="3"/>
      <c r="OWM141" s="3"/>
      <c r="OWN141" s="3"/>
      <c r="OWO141" s="3"/>
      <c r="OWP141" s="3"/>
      <c r="OWQ141" s="3"/>
      <c r="OWR141" s="3"/>
      <c r="OWS141" s="3"/>
      <c r="OWT141" s="3"/>
      <c r="OWU141" s="3"/>
      <c r="OWV141" s="3"/>
      <c r="OWW141" s="3"/>
      <c r="OWX141" s="3"/>
      <c r="OWY141" s="3"/>
      <c r="OWZ141" s="3"/>
      <c r="OXA141" s="3"/>
      <c r="OXB141" s="3"/>
      <c r="OXC141" s="3"/>
      <c r="OXD141" s="3"/>
      <c r="OXE141" s="3"/>
      <c r="OXF141" s="3"/>
      <c r="OXG141" s="3"/>
      <c r="OXH141" s="3"/>
      <c r="OXI141" s="3"/>
      <c r="OXJ141" s="3"/>
      <c r="OXK141" s="3"/>
      <c r="OXL141" s="3"/>
      <c r="OXM141" s="3"/>
      <c r="OXN141" s="3"/>
      <c r="OXO141" s="3"/>
      <c r="OXP141" s="3"/>
      <c r="OXQ141" s="3"/>
      <c r="OXR141" s="3"/>
      <c r="OXS141" s="3"/>
      <c r="OXT141" s="3"/>
      <c r="OXU141" s="3"/>
      <c r="OXV141" s="3"/>
      <c r="OXW141" s="3"/>
      <c r="OXX141" s="3"/>
      <c r="OXY141" s="3"/>
      <c r="OXZ141" s="3"/>
      <c r="OYA141" s="3"/>
      <c r="OYB141" s="3"/>
      <c r="OYC141" s="3"/>
      <c r="OYD141" s="3"/>
      <c r="OYE141" s="3"/>
      <c r="OYF141" s="3"/>
      <c r="OYG141" s="3"/>
      <c r="OYH141" s="3"/>
      <c r="OYI141" s="3"/>
      <c r="OYJ141" s="3"/>
      <c r="OYK141" s="3"/>
      <c r="OYL141" s="3"/>
      <c r="OYM141" s="3"/>
      <c r="OYN141" s="3"/>
      <c r="OYO141" s="3"/>
      <c r="OYP141" s="3"/>
      <c r="OYQ141" s="3"/>
      <c r="OYR141" s="3"/>
      <c r="OYS141" s="3"/>
      <c r="OYT141" s="3"/>
      <c r="OYU141" s="3"/>
      <c r="OYV141" s="3"/>
      <c r="OYW141" s="3"/>
      <c r="OYX141" s="3"/>
      <c r="OYY141" s="3"/>
      <c r="OYZ141" s="3"/>
      <c r="OZA141" s="3"/>
      <c r="OZB141" s="3"/>
      <c r="OZC141" s="3"/>
      <c r="OZD141" s="3"/>
      <c r="OZE141" s="3"/>
      <c r="OZF141" s="3"/>
      <c r="OZG141" s="3"/>
      <c r="OZH141" s="3"/>
      <c r="OZI141" s="3"/>
      <c r="OZJ141" s="3"/>
      <c r="OZK141" s="3"/>
      <c r="OZL141" s="3"/>
      <c r="OZM141" s="3"/>
      <c r="OZN141" s="3"/>
      <c r="OZO141" s="3"/>
      <c r="OZP141" s="3"/>
      <c r="OZQ141" s="3"/>
      <c r="OZR141" s="3"/>
      <c r="OZS141" s="3"/>
      <c r="OZT141" s="3"/>
      <c r="OZU141" s="3"/>
      <c r="OZV141" s="3"/>
      <c r="OZW141" s="3"/>
      <c r="OZX141" s="3"/>
      <c r="OZY141" s="3"/>
      <c r="OZZ141" s="3"/>
      <c r="PAA141" s="3"/>
      <c r="PAB141" s="3"/>
      <c r="PAC141" s="3"/>
      <c r="PAD141" s="3"/>
      <c r="PAE141" s="3"/>
      <c r="PAF141" s="3"/>
      <c r="PAG141" s="3"/>
      <c r="PAH141" s="3"/>
      <c r="PAI141" s="3"/>
      <c r="PAJ141" s="3"/>
      <c r="PAK141" s="3"/>
      <c r="PAL141" s="3"/>
      <c r="PAM141" s="3"/>
      <c r="PAN141" s="3"/>
      <c r="PAO141" s="3"/>
      <c r="PAP141" s="3"/>
      <c r="PAQ141" s="3"/>
      <c r="PAR141" s="3"/>
      <c r="PAS141" s="3"/>
      <c r="PAT141" s="3"/>
      <c r="PAU141" s="3"/>
      <c r="PAV141" s="3"/>
      <c r="PAW141" s="3"/>
      <c r="PAX141" s="3"/>
      <c r="PAY141" s="3"/>
      <c r="PAZ141" s="3"/>
      <c r="PBA141" s="3"/>
      <c r="PBB141" s="3"/>
      <c r="PBC141" s="3"/>
      <c r="PBD141" s="3"/>
      <c r="PBE141" s="3"/>
      <c r="PBF141" s="3"/>
      <c r="PBG141" s="3"/>
      <c r="PBH141" s="3"/>
      <c r="PBI141" s="3"/>
      <c r="PBJ141" s="3"/>
      <c r="PBK141" s="3"/>
      <c r="PBL141" s="3"/>
      <c r="PBM141" s="3"/>
      <c r="PBN141" s="3"/>
      <c r="PBO141" s="3"/>
      <c r="PBP141" s="3"/>
      <c r="PBQ141" s="3"/>
      <c r="PBR141" s="3"/>
      <c r="PBS141" s="3"/>
      <c r="PBT141" s="3"/>
      <c r="PBU141" s="3"/>
      <c r="PBV141" s="3"/>
      <c r="PBW141" s="3"/>
      <c r="PBX141" s="3"/>
      <c r="PBY141" s="3"/>
      <c r="PBZ141" s="3"/>
      <c r="PCA141" s="3"/>
      <c r="PCB141" s="3"/>
      <c r="PCC141" s="3"/>
      <c r="PCD141" s="3"/>
      <c r="PCE141" s="3"/>
      <c r="PCF141" s="3"/>
      <c r="PCG141" s="3"/>
      <c r="PCH141" s="3"/>
      <c r="PCI141" s="3"/>
      <c r="PCJ141" s="3"/>
      <c r="PCK141" s="3"/>
      <c r="PCL141" s="3"/>
      <c r="PCM141" s="3"/>
      <c r="PCN141" s="3"/>
      <c r="PCO141" s="3"/>
      <c r="PCP141" s="3"/>
      <c r="PCQ141" s="3"/>
      <c r="PCR141" s="3"/>
      <c r="PCS141" s="3"/>
      <c r="PCT141" s="3"/>
      <c r="PCU141" s="3"/>
      <c r="PCV141" s="3"/>
      <c r="PCW141" s="3"/>
      <c r="PCX141" s="3"/>
      <c r="PCY141" s="3"/>
      <c r="PCZ141" s="3"/>
      <c r="PDA141" s="3"/>
      <c r="PDB141" s="3"/>
      <c r="PDC141" s="3"/>
      <c r="PDD141" s="3"/>
      <c r="PDE141" s="3"/>
      <c r="PDF141" s="3"/>
      <c r="PDG141" s="3"/>
      <c r="PDH141" s="3"/>
      <c r="PDI141" s="3"/>
      <c r="PDJ141" s="3"/>
      <c r="PDK141" s="3"/>
      <c r="PDL141" s="3"/>
      <c r="PDM141" s="3"/>
      <c r="PDN141" s="3"/>
      <c r="PDO141" s="3"/>
      <c r="PDP141" s="3"/>
      <c r="PDQ141" s="3"/>
      <c r="PDR141" s="3"/>
      <c r="PDS141" s="3"/>
      <c r="PDT141" s="3"/>
      <c r="PDU141" s="3"/>
      <c r="PDV141" s="3"/>
      <c r="PDW141" s="3"/>
      <c r="PDX141" s="3"/>
      <c r="PDY141" s="3"/>
      <c r="PDZ141" s="3"/>
      <c r="PEA141" s="3"/>
      <c r="PEB141" s="3"/>
      <c r="PEC141" s="3"/>
      <c r="PED141" s="3"/>
      <c r="PEE141" s="3"/>
      <c r="PEF141" s="3"/>
      <c r="PEG141" s="3"/>
      <c r="PEH141" s="3"/>
      <c r="PEI141" s="3"/>
      <c r="PEJ141" s="3"/>
      <c r="PEK141" s="3"/>
      <c r="PEL141" s="3"/>
      <c r="PEM141" s="3"/>
      <c r="PEN141" s="3"/>
      <c r="PEO141" s="3"/>
      <c r="PEP141" s="3"/>
      <c r="PEQ141" s="3"/>
      <c r="PER141" s="3"/>
      <c r="PES141" s="3"/>
      <c r="PET141" s="3"/>
      <c r="PEU141" s="3"/>
      <c r="PEV141" s="3"/>
      <c r="PEW141" s="3"/>
      <c r="PEX141" s="3"/>
      <c r="PEY141" s="3"/>
      <c r="PEZ141" s="3"/>
      <c r="PFA141" s="3"/>
      <c r="PFB141" s="3"/>
      <c r="PFC141" s="3"/>
      <c r="PFD141" s="3"/>
      <c r="PFE141" s="3"/>
      <c r="PFF141" s="3"/>
      <c r="PFG141" s="3"/>
      <c r="PFH141" s="3"/>
      <c r="PFI141" s="3"/>
      <c r="PFJ141" s="3"/>
      <c r="PFK141" s="3"/>
      <c r="PFL141" s="3"/>
      <c r="PFM141" s="3"/>
      <c r="PFN141" s="3"/>
      <c r="PFO141" s="3"/>
      <c r="PFP141" s="3"/>
      <c r="PFQ141" s="3"/>
      <c r="PFR141" s="3"/>
      <c r="PFS141" s="3"/>
      <c r="PFT141" s="3"/>
      <c r="PFU141" s="3"/>
      <c r="PFV141" s="3"/>
      <c r="PFW141" s="3"/>
      <c r="PFX141" s="3"/>
      <c r="PFY141" s="3"/>
      <c r="PFZ141" s="3"/>
      <c r="PGA141" s="3"/>
      <c r="PGB141" s="3"/>
      <c r="PGC141" s="3"/>
      <c r="PGD141" s="3"/>
      <c r="PGE141" s="3"/>
      <c r="PGF141" s="3"/>
      <c r="PGG141" s="3"/>
      <c r="PGH141" s="3"/>
      <c r="PGI141" s="3"/>
      <c r="PGJ141" s="3"/>
      <c r="PGK141" s="3"/>
      <c r="PGL141" s="3"/>
      <c r="PGM141" s="3"/>
      <c r="PGN141" s="3"/>
      <c r="PGO141" s="3"/>
      <c r="PGP141" s="3"/>
      <c r="PGQ141" s="3"/>
      <c r="PGR141" s="3"/>
      <c r="PGS141" s="3"/>
      <c r="PGT141" s="3"/>
      <c r="PGU141" s="3"/>
      <c r="PGV141" s="3"/>
      <c r="PGW141" s="3"/>
      <c r="PGX141" s="3"/>
      <c r="PGY141" s="3"/>
      <c r="PGZ141" s="3"/>
      <c r="PHA141" s="3"/>
      <c r="PHB141" s="3"/>
      <c r="PHC141" s="3"/>
      <c r="PHD141" s="3"/>
      <c r="PHE141" s="3"/>
      <c r="PHF141" s="3"/>
      <c r="PHG141" s="3"/>
      <c r="PHH141" s="3"/>
      <c r="PHI141" s="3"/>
      <c r="PHJ141" s="3"/>
      <c r="PHK141" s="3"/>
      <c r="PHL141" s="3"/>
      <c r="PHM141" s="3"/>
      <c r="PHN141" s="3"/>
      <c r="PHO141" s="3"/>
      <c r="PHP141" s="3"/>
      <c r="PHQ141" s="3"/>
      <c r="PHR141" s="3"/>
      <c r="PHS141" s="3"/>
      <c r="PHT141" s="3"/>
      <c r="PHU141" s="3"/>
      <c r="PHV141" s="3"/>
      <c r="PHW141" s="3"/>
      <c r="PHX141" s="3"/>
      <c r="PHY141" s="3"/>
      <c r="PHZ141" s="3"/>
      <c r="PIA141" s="3"/>
      <c r="PIB141" s="3"/>
      <c r="PIC141" s="3"/>
      <c r="PID141" s="3"/>
      <c r="PIE141" s="3"/>
      <c r="PIF141" s="3"/>
      <c r="PIG141" s="3"/>
      <c r="PIH141" s="3"/>
      <c r="PII141" s="3"/>
      <c r="PIJ141" s="3"/>
      <c r="PIK141" s="3"/>
      <c r="PIL141" s="3"/>
      <c r="PIM141" s="3"/>
      <c r="PIN141" s="3"/>
      <c r="PIO141" s="3"/>
      <c r="PIP141" s="3"/>
      <c r="PIQ141" s="3"/>
      <c r="PIR141" s="3"/>
      <c r="PIS141" s="3"/>
      <c r="PIT141" s="3"/>
      <c r="PIU141" s="3"/>
      <c r="PIV141" s="3"/>
      <c r="PIW141" s="3"/>
      <c r="PIX141" s="3"/>
      <c r="PIY141" s="3"/>
      <c r="PIZ141" s="3"/>
      <c r="PJA141" s="3"/>
      <c r="PJB141" s="3"/>
      <c r="PJC141" s="3"/>
      <c r="PJD141" s="3"/>
      <c r="PJE141" s="3"/>
      <c r="PJF141" s="3"/>
      <c r="PJG141" s="3"/>
      <c r="PJH141" s="3"/>
      <c r="PJI141" s="3"/>
      <c r="PJJ141" s="3"/>
      <c r="PJK141" s="3"/>
      <c r="PJL141" s="3"/>
      <c r="PJM141" s="3"/>
      <c r="PJN141" s="3"/>
      <c r="PJO141" s="3"/>
      <c r="PJP141" s="3"/>
      <c r="PJQ141" s="3"/>
      <c r="PJR141" s="3"/>
      <c r="PJS141" s="3"/>
      <c r="PJT141" s="3"/>
      <c r="PJU141" s="3"/>
      <c r="PJV141" s="3"/>
      <c r="PJW141" s="3"/>
      <c r="PJX141" s="3"/>
      <c r="PJY141" s="3"/>
      <c r="PJZ141" s="3"/>
      <c r="PKA141" s="3"/>
      <c r="PKB141" s="3"/>
      <c r="PKC141" s="3"/>
      <c r="PKD141" s="3"/>
      <c r="PKE141" s="3"/>
      <c r="PKF141" s="3"/>
      <c r="PKG141" s="3"/>
      <c r="PKH141" s="3"/>
      <c r="PKI141" s="3"/>
      <c r="PKJ141" s="3"/>
      <c r="PKK141" s="3"/>
      <c r="PKL141" s="3"/>
      <c r="PKM141" s="3"/>
      <c r="PKN141" s="3"/>
      <c r="PKO141" s="3"/>
      <c r="PKP141" s="3"/>
      <c r="PKQ141" s="3"/>
      <c r="PKR141" s="3"/>
      <c r="PKS141" s="3"/>
      <c r="PKT141" s="3"/>
      <c r="PKU141" s="3"/>
      <c r="PKV141" s="3"/>
      <c r="PKW141" s="3"/>
      <c r="PKX141" s="3"/>
      <c r="PKY141" s="3"/>
      <c r="PKZ141" s="3"/>
      <c r="PLA141" s="3"/>
      <c r="PLB141" s="3"/>
      <c r="PLC141" s="3"/>
      <c r="PLD141" s="3"/>
      <c r="PLE141" s="3"/>
      <c r="PLF141" s="3"/>
      <c r="PLG141" s="3"/>
      <c r="PLH141" s="3"/>
      <c r="PLI141" s="3"/>
      <c r="PLJ141" s="3"/>
      <c r="PLK141" s="3"/>
      <c r="PLL141" s="3"/>
      <c r="PLM141" s="3"/>
      <c r="PLN141" s="3"/>
      <c r="PLO141" s="3"/>
      <c r="PLP141" s="3"/>
      <c r="PLQ141" s="3"/>
      <c r="PLR141" s="3"/>
      <c r="PLS141" s="3"/>
      <c r="PLT141" s="3"/>
      <c r="PLU141" s="3"/>
      <c r="PLV141" s="3"/>
      <c r="PLW141" s="3"/>
      <c r="PLX141" s="3"/>
      <c r="PLY141" s="3"/>
      <c r="PLZ141" s="3"/>
      <c r="PMA141" s="3"/>
      <c r="PMB141" s="3"/>
      <c r="PMC141" s="3"/>
      <c r="PMD141" s="3"/>
      <c r="PME141" s="3"/>
      <c r="PMF141" s="3"/>
      <c r="PMG141" s="3"/>
      <c r="PMH141" s="3"/>
      <c r="PMI141" s="3"/>
      <c r="PMJ141" s="3"/>
      <c r="PMK141" s="3"/>
      <c r="PML141" s="3"/>
      <c r="PMM141" s="3"/>
      <c r="PMN141" s="3"/>
      <c r="PMO141" s="3"/>
      <c r="PMP141" s="3"/>
      <c r="PMQ141" s="3"/>
      <c r="PMR141" s="3"/>
      <c r="PMS141" s="3"/>
      <c r="PMT141" s="3"/>
      <c r="PMU141" s="3"/>
      <c r="PMV141" s="3"/>
      <c r="PMW141" s="3"/>
      <c r="PMX141" s="3"/>
      <c r="PMY141" s="3"/>
      <c r="PMZ141" s="3"/>
      <c r="PNA141" s="3"/>
      <c r="PNB141" s="3"/>
      <c r="PNC141" s="3"/>
      <c r="PND141" s="3"/>
      <c r="PNE141" s="3"/>
      <c r="PNF141" s="3"/>
      <c r="PNG141" s="3"/>
      <c r="PNH141" s="3"/>
      <c r="PNI141" s="3"/>
      <c r="PNJ141" s="3"/>
      <c r="PNK141" s="3"/>
      <c r="PNL141" s="3"/>
      <c r="PNM141" s="3"/>
      <c r="PNN141" s="3"/>
      <c r="PNO141" s="3"/>
      <c r="PNP141" s="3"/>
      <c r="PNQ141" s="3"/>
      <c r="PNR141" s="3"/>
      <c r="PNS141" s="3"/>
      <c r="PNT141" s="3"/>
      <c r="PNU141" s="3"/>
      <c r="PNV141" s="3"/>
      <c r="PNW141" s="3"/>
      <c r="PNX141" s="3"/>
      <c r="PNY141" s="3"/>
      <c r="PNZ141" s="3"/>
      <c r="POA141" s="3"/>
      <c r="POB141" s="3"/>
      <c r="POC141" s="3"/>
      <c r="POD141" s="3"/>
      <c r="POE141" s="3"/>
      <c r="POF141" s="3"/>
      <c r="POG141" s="3"/>
      <c r="POH141" s="3"/>
      <c r="POI141" s="3"/>
      <c r="POJ141" s="3"/>
      <c r="POK141" s="3"/>
      <c r="POL141" s="3"/>
      <c r="POM141" s="3"/>
      <c r="PON141" s="3"/>
      <c r="POO141" s="3"/>
      <c r="POP141" s="3"/>
      <c r="POQ141" s="3"/>
      <c r="POR141" s="3"/>
      <c r="POS141" s="3"/>
      <c r="POT141" s="3"/>
      <c r="POU141" s="3"/>
      <c r="POV141" s="3"/>
      <c r="POW141" s="3"/>
      <c r="POX141" s="3"/>
      <c r="POY141" s="3"/>
      <c r="POZ141" s="3"/>
      <c r="PPA141" s="3"/>
      <c r="PPB141" s="3"/>
      <c r="PPC141" s="3"/>
      <c r="PPD141" s="3"/>
      <c r="PPE141" s="3"/>
      <c r="PPF141" s="3"/>
      <c r="PPG141" s="3"/>
      <c r="PPH141" s="3"/>
      <c r="PPI141" s="3"/>
      <c r="PPJ141" s="3"/>
      <c r="PPK141" s="3"/>
      <c r="PPL141" s="3"/>
      <c r="PPM141" s="3"/>
      <c r="PPN141" s="3"/>
      <c r="PPO141" s="3"/>
      <c r="PPP141" s="3"/>
      <c r="PPQ141" s="3"/>
      <c r="PPR141" s="3"/>
      <c r="PPS141" s="3"/>
      <c r="PPT141" s="3"/>
      <c r="PPU141" s="3"/>
      <c r="PPV141" s="3"/>
      <c r="PPW141" s="3"/>
      <c r="PPX141" s="3"/>
      <c r="PPY141" s="3"/>
      <c r="PPZ141" s="3"/>
      <c r="PQA141" s="3"/>
      <c r="PQB141" s="3"/>
      <c r="PQC141" s="3"/>
      <c r="PQD141" s="3"/>
      <c r="PQE141" s="3"/>
      <c r="PQF141" s="3"/>
      <c r="PQG141" s="3"/>
      <c r="PQH141" s="3"/>
      <c r="PQI141" s="3"/>
      <c r="PQJ141" s="3"/>
      <c r="PQK141" s="3"/>
      <c r="PQL141" s="3"/>
      <c r="PQM141" s="3"/>
      <c r="PQN141" s="3"/>
      <c r="PQO141" s="3"/>
      <c r="PQP141" s="3"/>
      <c r="PQQ141" s="3"/>
      <c r="PQR141" s="3"/>
      <c r="PQS141" s="3"/>
      <c r="PQT141" s="3"/>
      <c r="PQU141" s="3"/>
      <c r="PQV141" s="3"/>
      <c r="PQW141" s="3"/>
      <c r="PQX141" s="3"/>
      <c r="PQY141" s="3"/>
      <c r="PQZ141" s="3"/>
      <c r="PRA141" s="3"/>
      <c r="PRB141" s="3"/>
      <c r="PRC141" s="3"/>
      <c r="PRD141" s="3"/>
      <c r="PRE141" s="3"/>
      <c r="PRF141" s="3"/>
      <c r="PRG141" s="3"/>
      <c r="PRH141" s="3"/>
      <c r="PRI141" s="3"/>
      <c r="PRJ141" s="3"/>
      <c r="PRK141" s="3"/>
      <c r="PRL141" s="3"/>
      <c r="PRM141" s="3"/>
      <c r="PRN141" s="3"/>
      <c r="PRO141" s="3"/>
      <c r="PRP141" s="3"/>
      <c r="PRQ141" s="3"/>
      <c r="PRR141" s="3"/>
      <c r="PRS141" s="3"/>
      <c r="PRT141" s="3"/>
      <c r="PRU141" s="3"/>
      <c r="PRV141" s="3"/>
      <c r="PRW141" s="3"/>
      <c r="PRX141" s="3"/>
      <c r="PRY141" s="3"/>
      <c r="PRZ141" s="3"/>
      <c r="PSA141" s="3"/>
      <c r="PSB141" s="3"/>
      <c r="PSC141" s="3"/>
      <c r="PSD141" s="3"/>
      <c r="PSE141" s="3"/>
      <c r="PSF141" s="3"/>
      <c r="PSG141" s="3"/>
      <c r="PSH141" s="3"/>
      <c r="PSI141" s="3"/>
      <c r="PSJ141" s="3"/>
      <c r="PSK141" s="3"/>
      <c r="PSL141" s="3"/>
      <c r="PSM141" s="3"/>
      <c r="PSN141" s="3"/>
      <c r="PSO141" s="3"/>
      <c r="PSP141" s="3"/>
      <c r="PSQ141" s="3"/>
      <c r="PSR141" s="3"/>
      <c r="PSS141" s="3"/>
      <c r="PST141" s="3"/>
      <c r="PSU141" s="3"/>
      <c r="PSV141" s="3"/>
      <c r="PSW141" s="3"/>
      <c r="PSX141" s="3"/>
      <c r="PSY141" s="3"/>
      <c r="PSZ141" s="3"/>
      <c r="PTA141" s="3"/>
      <c r="PTB141" s="3"/>
      <c r="PTC141" s="3"/>
      <c r="PTD141" s="3"/>
      <c r="PTE141" s="3"/>
      <c r="PTF141" s="3"/>
      <c r="PTG141" s="3"/>
      <c r="PTH141" s="3"/>
      <c r="PTI141" s="3"/>
      <c r="PTJ141" s="3"/>
      <c r="PTK141" s="3"/>
      <c r="PTL141" s="3"/>
      <c r="PTM141" s="3"/>
      <c r="PTN141" s="3"/>
      <c r="PTO141" s="3"/>
      <c r="PTP141" s="3"/>
      <c r="PTQ141" s="3"/>
      <c r="PTR141" s="3"/>
      <c r="PTS141" s="3"/>
      <c r="PTT141" s="3"/>
      <c r="PTU141" s="3"/>
      <c r="PTV141" s="3"/>
      <c r="PTW141" s="3"/>
      <c r="PTX141" s="3"/>
      <c r="PTY141" s="3"/>
      <c r="PTZ141" s="3"/>
      <c r="PUA141" s="3"/>
      <c r="PUB141" s="3"/>
      <c r="PUC141" s="3"/>
      <c r="PUD141" s="3"/>
      <c r="PUE141" s="3"/>
      <c r="PUF141" s="3"/>
      <c r="PUG141" s="3"/>
      <c r="PUH141" s="3"/>
      <c r="PUI141" s="3"/>
      <c r="PUJ141" s="3"/>
      <c r="PUK141" s="3"/>
      <c r="PUL141" s="3"/>
      <c r="PUM141" s="3"/>
      <c r="PUN141" s="3"/>
      <c r="PUO141" s="3"/>
      <c r="PUP141" s="3"/>
      <c r="PUQ141" s="3"/>
      <c r="PUR141" s="3"/>
      <c r="PUS141" s="3"/>
      <c r="PUT141" s="3"/>
      <c r="PUU141" s="3"/>
      <c r="PUV141" s="3"/>
      <c r="PUW141" s="3"/>
      <c r="PUX141" s="3"/>
      <c r="PUY141" s="3"/>
      <c r="PUZ141" s="3"/>
      <c r="PVA141" s="3"/>
      <c r="PVB141" s="3"/>
      <c r="PVC141" s="3"/>
      <c r="PVD141" s="3"/>
      <c r="PVE141" s="3"/>
      <c r="PVF141" s="3"/>
      <c r="PVG141" s="3"/>
      <c r="PVH141" s="3"/>
      <c r="PVI141" s="3"/>
      <c r="PVJ141" s="3"/>
      <c r="PVK141" s="3"/>
      <c r="PVL141" s="3"/>
      <c r="PVM141" s="3"/>
      <c r="PVN141" s="3"/>
      <c r="PVO141" s="3"/>
      <c r="PVP141" s="3"/>
      <c r="PVQ141" s="3"/>
      <c r="PVR141" s="3"/>
      <c r="PVS141" s="3"/>
      <c r="PVT141" s="3"/>
      <c r="PVU141" s="3"/>
      <c r="PVV141" s="3"/>
      <c r="PVW141" s="3"/>
      <c r="PVX141" s="3"/>
      <c r="PVY141" s="3"/>
      <c r="PVZ141" s="3"/>
      <c r="PWA141" s="3"/>
      <c r="PWB141" s="3"/>
      <c r="PWC141" s="3"/>
      <c r="PWD141" s="3"/>
      <c r="PWE141" s="3"/>
      <c r="PWF141" s="3"/>
      <c r="PWG141" s="3"/>
      <c r="PWH141" s="3"/>
      <c r="PWI141" s="3"/>
      <c r="PWJ141" s="3"/>
      <c r="PWK141" s="3"/>
      <c r="PWL141" s="3"/>
      <c r="PWM141" s="3"/>
      <c r="PWN141" s="3"/>
      <c r="PWO141" s="3"/>
      <c r="PWP141" s="3"/>
      <c r="PWQ141" s="3"/>
      <c r="PWR141" s="3"/>
      <c r="PWS141" s="3"/>
      <c r="PWT141" s="3"/>
      <c r="PWU141" s="3"/>
      <c r="PWV141" s="3"/>
      <c r="PWW141" s="3"/>
      <c r="PWX141" s="3"/>
      <c r="PWY141" s="3"/>
      <c r="PWZ141" s="3"/>
      <c r="PXA141" s="3"/>
      <c r="PXB141" s="3"/>
      <c r="PXC141" s="3"/>
      <c r="PXD141" s="3"/>
      <c r="PXE141" s="3"/>
      <c r="PXF141" s="3"/>
      <c r="PXG141" s="3"/>
      <c r="PXH141" s="3"/>
      <c r="PXI141" s="3"/>
      <c r="PXJ141" s="3"/>
      <c r="PXK141" s="3"/>
      <c r="PXL141" s="3"/>
      <c r="PXM141" s="3"/>
      <c r="PXN141" s="3"/>
      <c r="PXO141" s="3"/>
      <c r="PXP141" s="3"/>
      <c r="PXQ141" s="3"/>
      <c r="PXR141" s="3"/>
      <c r="PXS141" s="3"/>
      <c r="PXT141" s="3"/>
      <c r="PXU141" s="3"/>
      <c r="PXV141" s="3"/>
      <c r="PXW141" s="3"/>
      <c r="PXX141" s="3"/>
      <c r="PXY141" s="3"/>
      <c r="PXZ141" s="3"/>
      <c r="PYA141" s="3"/>
      <c r="PYB141" s="3"/>
      <c r="PYC141" s="3"/>
      <c r="PYD141" s="3"/>
      <c r="PYE141" s="3"/>
      <c r="PYF141" s="3"/>
      <c r="PYG141" s="3"/>
      <c r="PYH141" s="3"/>
      <c r="PYI141" s="3"/>
      <c r="PYJ141" s="3"/>
      <c r="PYK141" s="3"/>
      <c r="PYL141" s="3"/>
      <c r="PYM141" s="3"/>
      <c r="PYN141" s="3"/>
      <c r="PYO141" s="3"/>
      <c r="PYP141" s="3"/>
      <c r="PYQ141" s="3"/>
      <c r="PYR141" s="3"/>
      <c r="PYS141" s="3"/>
      <c r="PYT141" s="3"/>
      <c r="PYU141" s="3"/>
      <c r="PYV141" s="3"/>
      <c r="PYW141" s="3"/>
      <c r="PYX141" s="3"/>
      <c r="PYY141" s="3"/>
      <c r="PYZ141" s="3"/>
      <c r="PZA141" s="3"/>
      <c r="PZB141" s="3"/>
      <c r="PZC141" s="3"/>
      <c r="PZD141" s="3"/>
      <c r="PZE141" s="3"/>
      <c r="PZF141" s="3"/>
      <c r="PZG141" s="3"/>
      <c r="PZH141" s="3"/>
      <c r="PZI141" s="3"/>
      <c r="PZJ141" s="3"/>
      <c r="PZK141" s="3"/>
      <c r="PZL141" s="3"/>
      <c r="PZM141" s="3"/>
      <c r="PZN141" s="3"/>
      <c r="PZO141" s="3"/>
      <c r="PZP141" s="3"/>
      <c r="PZQ141" s="3"/>
      <c r="PZR141" s="3"/>
      <c r="PZS141" s="3"/>
      <c r="PZT141" s="3"/>
      <c r="PZU141" s="3"/>
      <c r="PZV141" s="3"/>
      <c r="PZW141" s="3"/>
      <c r="PZX141" s="3"/>
      <c r="PZY141" s="3"/>
      <c r="PZZ141" s="3"/>
      <c r="QAA141" s="3"/>
      <c r="QAB141" s="3"/>
      <c r="QAC141" s="3"/>
      <c r="QAD141" s="3"/>
      <c r="QAE141" s="3"/>
      <c r="QAF141" s="3"/>
      <c r="QAG141" s="3"/>
      <c r="QAH141" s="3"/>
      <c r="QAI141" s="3"/>
      <c r="QAJ141" s="3"/>
      <c r="QAK141" s="3"/>
      <c r="QAL141" s="3"/>
      <c r="QAM141" s="3"/>
      <c r="QAN141" s="3"/>
      <c r="QAO141" s="3"/>
      <c r="QAP141" s="3"/>
      <c r="QAQ141" s="3"/>
      <c r="QAR141" s="3"/>
      <c r="QAS141" s="3"/>
      <c r="QAT141" s="3"/>
      <c r="QAU141" s="3"/>
      <c r="QAV141" s="3"/>
      <c r="QAW141" s="3"/>
      <c r="QAX141" s="3"/>
      <c r="QAY141" s="3"/>
      <c r="QAZ141" s="3"/>
      <c r="QBA141" s="3"/>
      <c r="QBB141" s="3"/>
      <c r="QBC141" s="3"/>
      <c r="QBD141" s="3"/>
      <c r="QBE141" s="3"/>
      <c r="QBF141" s="3"/>
      <c r="QBG141" s="3"/>
      <c r="QBH141" s="3"/>
      <c r="QBI141" s="3"/>
      <c r="QBJ141" s="3"/>
      <c r="QBK141" s="3"/>
      <c r="QBL141" s="3"/>
      <c r="QBM141" s="3"/>
      <c r="QBN141" s="3"/>
      <c r="QBO141" s="3"/>
      <c r="QBP141" s="3"/>
      <c r="QBQ141" s="3"/>
      <c r="QBR141" s="3"/>
      <c r="QBS141" s="3"/>
      <c r="QBT141" s="3"/>
      <c r="QBU141" s="3"/>
      <c r="QBV141" s="3"/>
      <c r="QBW141" s="3"/>
      <c r="QBX141" s="3"/>
      <c r="QBY141" s="3"/>
      <c r="QBZ141" s="3"/>
      <c r="QCA141" s="3"/>
      <c r="QCB141" s="3"/>
      <c r="QCC141" s="3"/>
      <c r="QCD141" s="3"/>
      <c r="QCE141" s="3"/>
      <c r="QCF141" s="3"/>
      <c r="QCG141" s="3"/>
      <c r="QCH141" s="3"/>
      <c r="QCI141" s="3"/>
      <c r="QCJ141" s="3"/>
      <c r="QCK141" s="3"/>
      <c r="QCL141" s="3"/>
      <c r="QCM141" s="3"/>
      <c r="QCN141" s="3"/>
      <c r="QCO141" s="3"/>
      <c r="QCP141" s="3"/>
      <c r="QCQ141" s="3"/>
      <c r="QCR141" s="3"/>
      <c r="QCS141" s="3"/>
      <c r="QCT141" s="3"/>
      <c r="QCU141" s="3"/>
      <c r="QCV141" s="3"/>
      <c r="QCW141" s="3"/>
      <c r="QCX141" s="3"/>
      <c r="QCY141" s="3"/>
      <c r="QCZ141" s="3"/>
      <c r="QDA141" s="3"/>
      <c r="QDB141" s="3"/>
      <c r="QDC141" s="3"/>
      <c r="QDD141" s="3"/>
      <c r="QDE141" s="3"/>
      <c r="QDF141" s="3"/>
      <c r="QDG141" s="3"/>
      <c r="QDH141" s="3"/>
      <c r="QDI141" s="3"/>
      <c r="QDJ141" s="3"/>
      <c r="QDK141" s="3"/>
      <c r="QDL141" s="3"/>
      <c r="QDM141" s="3"/>
      <c r="QDN141" s="3"/>
      <c r="QDO141" s="3"/>
      <c r="QDP141" s="3"/>
      <c r="QDQ141" s="3"/>
      <c r="QDR141" s="3"/>
      <c r="QDS141" s="3"/>
      <c r="QDT141" s="3"/>
      <c r="QDU141" s="3"/>
      <c r="QDV141" s="3"/>
      <c r="QDW141" s="3"/>
      <c r="QDX141" s="3"/>
      <c r="QDY141" s="3"/>
      <c r="QDZ141" s="3"/>
      <c r="QEA141" s="3"/>
      <c r="QEB141" s="3"/>
      <c r="QEC141" s="3"/>
      <c r="QED141" s="3"/>
      <c r="QEE141" s="3"/>
      <c r="QEF141" s="3"/>
      <c r="QEG141" s="3"/>
      <c r="QEH141" s="3"/>
      <c r="QEI141" s="3"/>
      <c r="QEJ141" s="3"/>
      <c r="QEK141" s="3"/>
      <c r="QEL141" s="3"/>
      <c r="QEM141" s="3"/>
      <c r="QEN141" s="3"/>
      <c r="QEO141" s="3"/>
      <c r="QEP141" s="3"/>
      <c r="QEQ141" s="3"/>
      <c r="QER141" s="3"/>
      <c r="QES141" s="3"/>
      <c r="QET141" s="3"/>
      <c r="QEU141" s="3"/>
      <c r="QEV141" s="3"/>
      <c r="QEW141" s="3"/>
      <c r="QEX141" s="3"/>
      <c r="QEY141" s="3"/>
      <c r="QEZ141" s="3"/>
      <c r="QFA141" s="3"/>
      <c r="QFB141" s="3"/>
      <c r="QFC141" s="3"/>
      <c r="QFD141" s="3"/>
      <c r="QFE141" s="3"/>
      <c r="QFF141" s="3"/>
      <c r="QFG141" s="3"/>
      <c r="QFH141" s="3"/>
      <c r="QFI141" s="3"/>
      <c r="QFJ141" s="3"/>
      <c r="QFK141" s="3"/>
      <c r="QFL141" s="3"/>
      <c r="QFM141" s="3"/>
      <c r="QFN141" s="3"/>
      <c r="QFO141" s="3"/>
      <c r="QFP141" s="3"/>
      <c r="QFQ141" s="3"/>
      <c r="QFR141" s="3"/>
      <c r="QFS141" s="3"/>
      <c r="QFT141" s="3"/>
      <c r="QFU141" s="3"/>
      <c r="QFV141" s="3"/>
      <c r="QFW141" s="3"/>
      <c r="QFX141" s="3"/>
      <c r="QFY141" s="3"/>
      <c r="QFZ141" s="3"/>
      <c r="QGA141" s="3"/>
      <c r="QGB141" s="3"/>
      <c r="QGC141" s="3"/>
      <c r="QGD141" s="3"/>
      <c r="QGE141" s="3"/>
      <c r="QGF141" s="3"/>
      <c r="QGG141" s="3"/>
      <c r="QGH141" s="3"/>
      <c r="QGI141" s="3"/>
      <c r="QGJ141" s="3"/>
      <c r="QGK141" s="3"/>
      <c r="QGL141" s="3"/>
      <c r="QGM141" s="3"/>
      <c r="QGN141" s="3"/>
      <c r="QGO141" s="3"/>
      <c r="QGP141" s="3"/>
      <c r="QGQ141" s="3"/>
      <c r="QGR141" s="3"/>
      <c r="QGS141" s="3"/>
      <c r="QGT141" s="3"/>
      <c r="QGU141" s="3"/>
      <c r="QGV141" s="3"/>
      <c r="QGW141" s="3"/>
      <c r="QGX141" s="3"/>
      <c r="QGY141" s="3"/>
      <c r="QGZ141" s="3"/>
      <c r="QHA141" s="3"/>
      <c r="QHB141" s="3"/>
      <c r="QHC141" s="3"/>
      <c r="QHD141" s="3"/>
      <c r="QHE141" s="3"/>
      <c r="QHF141" s="3"/>
      <c r="QHG141" s="3"/>
      <c r="QHH141" s="3"/>
      <c r="QHI141" s="3"/>
      <c r="QHJ141" s="3"/>
      <c r="QHK141" s="3"/>
      <c r="QHL141" s="3"/>
      <c r="QHM141" s="3"/>
      <c r="QHN141" s="3"/>
      <c r="QHO141" s="3"/>
      <c r="QHP141" s="3"/>
      <c r="QHQ141" s="3"/>
      <c r="QHR141" s="3"/>
      <c r="QHS141" s="3"/>
      <c r="QHT141" s="3"/>
      <c r="QHU141" s="3"/>
      <c r="QHV141" s="3"/>
      <c r="QHW141" s="3"/>
      <c r="QHX141" s="3"/>
      <c r="QHY141" s="3"/>
      <c r="QHZ141" s="3"/>
      <c r="QIA141" s="3"/>
      <c r="QIB141" s="3"/>
      <c r="QIC141" s="3"/>
      <c r="QID141" s="3"/>
      <c r="QIE141" s="3"/>
      <c r="QIF141" s="3"/>
      <c r="QIG141" s="3"/>
      <c r="QIH141" s="3"/>
      <c r="QII141" s="3"/>
      <c r="QIJ141" s="3"/>
      <c r="QIK141" s="3"/>
      <c r="QIL141" s="3"/>
      <c r="QIM141" s="3"/>
      <c r="QIN141" s="3"/>
      <c r="QIO141" s="3"/>
      <c r="QIP141" s="3"/>
      <c r="QIQ141" s="3"/>
      <c r="QIR141" s="3"/>
      <c r="QIS141" s="3"/>
      <c r="QIT141" s="3"/>
      <c r="QIU141" s="3"/>
      <c r="QIV141" s="3"/>
      <c r="QIW141" s="3"/>
      <c r="QIX141" s="3"/>
      <c r="QIY141" s="3"/>
      <c r="QIZ141" s="3"/>
      <c r="QJA141" s="3"/>
      <c r="QJB141" s="3"/>
      <c r="QJC141" s="3"/>
      <c r="QJD141" s="3"/>
      <c r="QJE141" s="3"/>
      <c r="QJF141" s="3"/>
      <c r="QJG141" s="3"/>
      <c r="QJH141" s="3"/>
      <c r="QJI141" s="3"/>
      <c r="QJJ141" s="3"/>
      <c r="QJK141" s="3"/>
      <c r="QJL141" s="3"/>
      <c r="QJM141" s="3"/>
      <c r="QJN141" s="3"/>
      <c r="QJO141" s="3"/>
      <c r="QJP141" s="3"/>
      <c r="QJQ141" s="3"/>
      <c r="QJR141" s="3"/>
      <c r="QJS141" s="3"/>
      <c r="QJT141" s="3"/>
      <c r="QJU141" s="3"/>
      <c r="QJV141" s="3"/>
      <c r="QJW141" s="3"/>
      <c r="QJX141" s="3"/>
      <c r="QJY141" s="3"/>
      <c r="QJZ141" s="3"/>
      <c r="QKA141" s="3"/>
      <c r="QKB141" s="3"/>
      <c r="QKC141" s="3"/>
      <c r="QKD141" s="3"/>
      <c r="QKE141" s="3"/>
      <c r="QKF141" s="3"/>
      <c r="QKG141" s="3"/>
      <c r="QKH141" s="3"/>
      <c r="QKI141" s="3"/>
      <c r="QKJ141" s="3"/>
      <c r="QKK141" s="3"/>
      <c r="QKL141" s="3"/>
      <c r="QKM141" s="3"/>
      <c r="QKN141" s="3"/>
      <c r="QKO141" s="3"/>
      <c r="QKP141" s="3"/>
      <c r="QKQ141" s="3"/>
      <c r="QKR141" s="3"/>
      <c r="QKS141" s="3"/>
      <c r="QKT141" s="3"/>
      <c r="QKU141" s="3"/>
      <c r="QKV141" s="3"/>
      <c r="QKW141" s="3"/>
      <c r="QKX141" s="3"/>
      <c r="QKY141" s="3"/>
      <c r="QKZ141" s="3"/>
      <c r="QLA141" s="3"/>
      <c r="QLB141" s="3"/>
      <c r="QLC141" s="3"/>
      <c r="QLD141" s="3"/>
      <c r="QLE141" s="3"/>
      <c r="QLF141" s="3"/>
      <c r="QLG141" s="3"/>
      <c r="QLH141" s="3"/>
      <c r="QLI141" s="3"/>
      <c r="QLJ141" s="3"/>
      <c r="QLK141" s="3"/>
      <c r="QLL141" s="3"/>
      <c r="QLM141" s="3"/>
      <c r="QLN141" s="3"/>
      <c r="QLO141" s="3"/>
      <c r="QLP141" s="3"/>
      <c r="QLQ141" s="3"/>
      <c r="QLR141" s="3"/>
      <c r="QLS141" s="3"/>
      <c r="QLT141" s="3"/>
      <c r="QLU141" s="3"/>
      <c r="QLV141" s="3"/>
      <c r="QLW141" s="3"/>
      <c r="QLX141" s="3"/>
      <c r="QLY141" s="3"/>
      <c r="QLZ141" s="3"/>
      <c r="QMA141" s="3"/>
      <c r="QMB141" s="3"/>
      <c r="QMC141" s="3"/>
      <c r="QMD141" s="3"/>
      <c r="QME141" s="3"/>
      <c r="QMF141" s="3"/>
      <c r="QMG141" s="3"/>
      <c r="QMH141" s="3"/>
      <c r="QMI141" s="3"/>
      <c r="QMJ141" s="3"/>
      <c r="QMK141" s="3"/>
      <c r="QML141" s="3"/>
      <c r="QMM141" s="3"/>
      <c r="QMN141" s="3"/>
      <c r="QMO141" s="3"/>
      <c r="QMP141" s="3"/>
      <c r="QMQ141" s="3"/>
      <c r="QMR141" s="3"/>
      <c r="QMS141" s="3"/>
      <c r="QMT141" s="3"/>
      <c r="QMU141" s="3"/>
      <c r="QMV141" s="3"/>
      <c r="QMW141" s="3"/>
      <c r="QMX141" s="3"/>
      <c r="QMY141" s="3"/>
      <c r="QMZ141" s="3"/>
      <c r="QNA141" s="3"/>
      <c r="QNB141" s="3"/>
      <c r="QNC141" s="3"/>
      <c r="QND141" s="3"/>
      <c r="QNE141" s="3"/>
      <c r="QNF141" s="3"/>
      <c r="QNG141" s="3"/>
      <c r="QNH141" s="3"/>
      <c r="QNI141" s="3"/>
      <c r="QNJ141" s="3"/>
      <c r="QNK141" s="3"/>
      <c r="QNL141" s="3"/>
      <c r="QNM141" s="3"/>
      <c r="QNN141" s="3"/>
      <c r="QNO141" s="3"/>
      <c r="QNP141" s="3"/>
      <c r="QNQ141" s="3"/>
      <c r="QNR141" s="3"/>
      <c r="QNS141" s="3"/>
      <c r="QNT141" s="3"/>
      <c r="QNU141" s="3"/>
      <c r="QNV141" s="3"/>
      <c r="QNW141" s="3"/>
      <c r="QNX141" s="3"/>
      <c r="QNY141" s="3"/>
      <c r="QNZ141" s="3"/>
      <c r="QOA141" s="3"/>
      <c r="QOB141" s="3"/>
      <c r="QOC141" s="3"/>
      <c r="QOD141" s="3"/>
      <c r="QOE141" s="3"/>
      <c r="QOF141" s="3"/>
      <c r="QOG141" s="3"/>
      <c r="QOH141" s="3"/>
      <c r="QOI141" s="3"/>
      <c r="QOJ141" s="3"/>
      <c r="QOK141" s="3"/>
      <c r="QOL141" s="3"/>
      <c r="QOM141" s="3"/>
      <c r="QON141" s="3"/>
      <c r="QOO141" s="3"/>
      <c r="QOP141" s="3"/>
      <c r="QOQ141" s="3"/>
      <c r="QOR141" s="3"/>
      <c r="QOS141" s="3"/>
      <c r="QOT141" s="3"/>
      <c r="QOU141" s="3"/>
      <c r="QOV141" s="3"/>
      <c r="QOW141" s="3"/>
      <c r="QOX141" s="3"/>
      <c r="QOY141" s="3"/>
      <c r="QOZ141" s="3"/>
      <c r="QPA141" s="3"/>
      <c r="QPB141" s="3"/>
      <c r="QPC141" s="3"/>
      <c r="QPD141" s="3"/>
      <c r="QPE141" s="3"/>
      <c r="QPF141" s="3"/>
      <c r="QPG141" s="3"/>
      <c r="QPH141" s="3"/>
      <c r="QPI141" s="3"/>
      <c r="QPJ141" s="3"/>
      <c r="QPK141" s="3"/>
      <c r="QPL141" s="3"/>
      <c r="QPM141" s="3"/>
      <c r="QPN141" s="3"/>
      <c r="QPO141" s="3"/>
      <c r="QPP141" s="3"/>
      <c r="QPQ141" s="3"/>
      <c r="QPR141" s="3"/>
      <c r="QPS141" s="3"/>
      <c r="QPT141" s="3"/>
      <c r="QPU141" s="3"/>
      <c r="QPV141" s="3"/>
      <c r="QPW141" s="3"/>
      <c r="QPX141" s="3"/>
      <c r="QPY141" s="3"/>
      <c r="QPZ141" s="3"/>
      <c r="QQA141" s="3"/>
      <c r="QQB141" s="3"/>
      <c r="QQC141" s="3"/>
      <c r="QQD141" s="3"/>
      <c r="QQE141" s="3"/>
      <c r="QQF141" s="3"/>
      <c r="QQG141" s="3"/>
      <c r="QQH141" s="3"/>
      <c r="QQI141" s="3"/>
      <c r="QQJ141" s="3"/>
      <c r="QQK141" s="3"/>
      <c r="QQL141" s="3"/>
      <c r="QQM141" s="3"/>
      <c r="QQN141" s="3"/>
      <c r="QQO141" s="3"/>
      <c r="QQP141" s="3"/>
      <c r="QQQ141" s="3"/>
      <c r="QQR141" s="3"/>
      <c r="QQS141" s="3"/>
      <c r="QQT141" s="3"/>
      <c r="QQU141" s="3"/>
      <c r="QQV141" s="3"/>
      <c r="QQW141" s="3"/>
      <c r="QQX141" s="3"/>
      <c r="QQY141" s="3"/>
      <c r="QQZ141" s="3"/>
      <c r="QRA141" s="3"/>
      <c r="QRB141" s="3"/>
      <c r="QRC141" s="3"/>
      <c r="QRD141" s="3"/>
      <c r="QRE141" s="3"/>
      <c r="QRF141" s="3"/>
      <c r="QRG141" s="3"/>
      <c r="QRH141" s="3"/>
      <c r="QRI141" s="3"/>
      <c r="QRJ141" s="3"/>
      <c r="QRK141" s="3"/>
      <c r="QRL141" s="3"/>
      <c r="QRM141" s="3"/>
      <c r="QRN141" s="3"/>
      <c r="QRO141" s="3"/>
      <c r="QRP141" s="3"/>
      <c r="QRQ141" s="3"/>
      <c r="QRR141" s="3"/>
      <c r="QRS141" s="3"/>
      <c r="QRT141" s="3"/>
      <c r="QRU141" s="3"/>
      <c r="QRV141" s="3"/>
      <c r="QRW141" s="3"/>
      <c r="QRX141" s="3"/>
      <c r="QRY141" s="3"/>
      <c r="QRZ141" s="3"/>
      <c r="QSA141" s="3"/>
      <c r="QSB141" s="3"/>
      <c r="QSC141" s="3"/>
      <c r="QSD141" s="3"/>
      <c r="QSE141" s="3"/>
      <c r="QSF141" s="3"/>
      <c r="QSG141" s="3"/>
      <c r="QSH141" s="3"/>
      <c r="QSI141" s="3"/>
      <c r="QSJ141" s="3"/>
      <c r="QSK141" s="3"/>
      <c r="QSL141" s="3"/>
      <c r="QSM141" s="3"/>
      <c r="QSN141" s="3"/>
      <c r="QSO141" s="3"/>
      <c r="QSP141" s="3"/>
      <c r="QSQ141" s="3"/>
      <c r="QSR141" s="3"/>
      <c r="QSS141" s="3"/>
      <c r="QST141" s="3"/>
      <c r="QSU141" s="3"/>
      <c r="QSV141" s="3"/>
      <c r="QSW141" s="3"/>
      <c r="QSX141" s="3"/>
      <c r="QSY141" s="3"/>
      <c r="QSZ141" s="3"/>
      <c r="QTA141" s="3"/>
      <c r="QTB141" s="3"/>
      <c r="QTC141" s="3"/>
      <c r="QTD141" s="3"/>
      <c r="QTE141" s="3"/>
      <c r="QTF141" s="3"/>
      <c r="QTG141" s="3"/>
      <c r="QTH141" s="3"/>
      <c r="QTI141" s="3"/>
      <c r="QTJ141" s="3"/>
      <c r="QTK141" s="3"/>
      <c r="QTL141" s="3"/>
      <c r="QTM141" s="3"/>
      <c r="QTN141" s="3"/>
      <c r="QTO141" s="3"/>
      <c r="QTP141" s="3"/>
      <c r="QTQ141" s="3"/>
      <c r="QTR141" s="3"/>
      <c r="QTS141" s="3"/>
      <c r="QTT141" s="3"/>
      <c r="QTU141" s="3"/>
      <c r="QTV141" s="3"/>
      <c r="QTW141" s="3"/>
      <c r="QTX141" s="3"/>
      <c r="QTY141" s="3"/>
      <c r="QTZ141" s="3"/>
      <c r="QUA141" s="3"/>
      <c r="QUB141" s="3"/>
      <c r="QUC141" s="3"/>
      <c r="QUD141" s="3"/>
      <c r="QUE141" s="3"/>
      <c r="QUF141" s="3"/>
      <c r="QUG141" s="3"/>
      <c r="QUH141" s="3"/>
      <c r="QUI141" s="3"/>
      <c r="QUJ141" s="3"/>
      <c r="QUK141" s="3"/>
      <c r="QUL141" s="3"/>
      <c r="QUM141" s="3"/>
      <c r="QUN141" s="3"/>
      <c r="QUO141" s="3"/>
      <c r="QUP141" s="3"/>
      <c r="QUQ141" s="3"/>
      <c r="QUR141" s="3"/>
      <c r="QUS141" s="3"/>
      <c r="QUT141" s="3"/>
      <c r="QUU141" s="3"/>
      <c r="QUV141" s="3"/>
      <c r="QUW141" s="3"/>
      <c r="QUX141" s="3"/>
      <c r="QUY141" s="3"/>
      <c r="QUZ141" s="3"/>
      <c r="QVA141" s="3"/>
      <c r="QVB141" s="3"/>
      <c r="QVC141" s="3"/>
      <c r="QVD141" s="3"/>
      <c r="QVE141" s="3"/>
      <c r="QVF141" s="3"/>
      <c r="QVG141" s="3"/>
      <c r="QVH141" s="3"/>
      <c r="QVI141" s="3"/>
      <c r="QVJ141" s="3"/>
      <c r="QVK141" s="3"/>
      <c r="QVL141" s="3"/>
      <c r="QVM141" s="3"/>
      <c r="QVN141" s="3"/>
      <c r="QVO141" s="3"/>
      <c r="QVP141" s="3"/>
      <c r="QVQ141" s="3"/>
      <c r="QVR141" s="3"/>
      <c r="QVS141" s="3"/>
      <c r="QVT141" s="3"/>
      <c r="QVU141" s="3"/>
      <c r="QVV141" s="3"/>
      <c r="QVW141" s="3"/>
      <c r="QVX141" s="3"/>
      <c r="QVY141" s="3"/>
      <c r="QVZ141" s="3"/>
      <c r="QWA141" s="3"/>
      <c r="QWB141" s="3"/>
      <c r="QWC141" s="3"/>
      <c r="QWD141" s="3"/>
      <c r="QWE141" s="3"/>
      <c r="QWF141" s="3"/>
      <c r="QWG141" s="3"/>
      <c r="QWH141" s="3"/>
      <c r="QWI141" s="3"/>
      <c r="QWJ141" s="3"/>
      <c r="QWK141" s="3"/>
      <c r="QWL141" s="3"/>
      <c r="QWM141" s="3"/>
      <c r="QWN141" s="3"/>
      <c r="QWO141" s="3"/>
      <c r="QWP141" s="3"/>
      <c r="QWQ141" s="3"/>
      <c r="QWR141" s="3"/>
      <c r="QWS141" s="3"/>
      <c r="QWT141" s="3"/>
      <c r="QWU141" s="3"/>
      <c r="QWV141" s="3"/>
      <c r="QWW141" s="3"/>
      <c r="QWX141" s="3"/>
      <c r="QWY141" s="3"/>
      <c r="QWZ141" s="3"/>
      <c r="QXA141" s="3"/>
      <c r="QXB141" s="3"/>
      <c r="QXC141" s="3"/>
      <c r="QXD141" s="3"/>
      <c r="QXE141" s="3"/>
      <c r="QXF141" s="3"/>
      <c r="QXG141" s="3"/>
      <c r="QXH141" s="3"/>
      <c r="QXI141" s="3"/>
      <c r="QXJ141" s="3"/>
      <c r="QXK141" s="3"/>
      <c r="QXL141" s="3"/>
      <c r="QXM141" s="3"/>
      <c r="QXN141" s="3"/>
      <c r="QXO141" s="3"/>
      <c r="QXP141" s="3"/>
      <c r="QXQ141" s="3"/>
      <c r="QXR141" s="3"/>
      <c r="QXS141" s="3"/>
      <c r="QXT141" s="3"/>
      <c r="QXU141" s="3"/>
      <c r="QXV141" s="3"/>
      <c r="QXW141" s="3"/>
      <c r="QXX141" s="3"/>
      <c r="QXY141" s="3"/>
      <c r="QXZ141" s="3"/>
      <c r="QYA141" s="3"/>
      <c r="QYB141" s="3"/>
      <c r="QYC141" s="3"/>
      <c r="QYD141" s="3"/>
      <c r="QYE141" s="3"/>
      <c r="QYF141" s="3"/>
      <c r="QYG141" s="3"/>
      <c r="QYH141" s="3"/>
      <c r="QYI141" s="3"/>
      <c r="QYJ141" s="3"/>
      <c r="QYK141" s="3"/>
      <c r="QYL141" s="3"/>
      <c r="QYM141" s="3"/>
      <c r="QYN141" s="3"/>
      <c r="QYO141" s="3"/>
      <c r="QYP141" s="3"/>
      <c r="QYQ141" s="3"/>
      <c r="QYR141" s="3"/>
      <c r="QYS141" s="3"/>
      <c r="QYT141" s="3"/>
      <c r="QYU141" s="3"/>
      <c r="QYV141" s="3"/>
      <c r="QYW141" s="3"/>
      <c r="QYX141" s="3"/>
      <c r="QYY141" s="3"/>
      <c r="QYZ141" s="3"/>
      <c r="QZA141" s="3"/>
      <c r="QZB141" s="3"/>
      <c r="QZC141" s="3"/>
      <c r="QZD141" s="3"/>
      <c r="QZE141" s="3"/>
      <c r="QZF141" s="3"/>
      <c r="QZG141" s="3"/>
      <c r="QZH141" s="3"/>
      <c r="QZI141" s="3"/>
      <c r="QZJ141" s="3"/>
      <c r="QZK141" s="3"/>
      <c r="QZL141" s="3"/>
      <c r="QZM141" s="3"/>
      <c r="QZN141" s="3"/>
      <c r="QZO141" s="3"/>
      <c r="QZP141" s="3"/>
      <c r="QZQ141" s="3"/>
      <c r="QZR141" s="3"/>
      <c r="QZS141" s="3"/>
      <c r="QZT141" s="3"/>
      <c r="QZU141" s="3"/>
      <c r="QZV141" s="3"/>
      <c r="QZW141" s="3"/>
      <c r="QZX141" s="3"/>
      <c r="QZY141" s="3"/>
      <c r="QZZ141" s="3"/>
      <c r="RAA141" s="3"/>
      <c r="RAB141" s="3"/>
      <c r="RAC141" s="3"/>
      <c r="RAD141" s="3"/>
      <c r="RAE141" s="3"/>
      <c r="RAF141" s="3"/>
      <c r="RAG141" s="3"/>
      <c r="RAH141" s="3"/>
      <c r="RAI141" s="3"/>
      <c r="RAJ141" s="3"/>
      <c r="RAK141" s="3"/>
      <c r="RAL141" s="3"/>
      <c r="RAM141" s="3"/>
      <c r="RAN141" s="3"/>
      <c r="RAO141" s="3"/>
      <c r="RAP141" s="3"/>
      <c r="RAQ141" s="3"/>
      <c r="RAR141" s="3"/>
      <c r="RAS141" s="3"/>
      <c r="RAT141" s="3"/>
      <c r="RAU141" s="3"/>
      <c r="RAV141" s="3"/>
      <c r="RAW141" s="3"/>
      <c r="RAX141" s="3"/>
      <c r="RAY141" s="3"/>
      <c r="RAZ141" s="3"/>
      <c r="RBA141" s="3"/>
      <c r="RBB141" s="3"/>
      <c r="RBC141" s="3"/>
      <c r="RBD141" s="3"/>
      <c r="RBE141" s="3"/>
      <c r="RBF141" s="3"/>
      <c r="RBG141" s="3"/>
      <c r="RBH141" s="3"/>
      <c r="RBI141" s="3"/>
      <c r="RBJ141" s="3"/>
      <c r="RBK141" s="3"/>
      <c r="RBL141" s="3"/>
      <c r="RBM141" s="3"/>
      <c r="RBN141" s="3"/>
      <c r="RBO141" s="3"/>
      <c r="RBP141" s="3"/>
      <c r="RBQ141" s="3"/>
      <c r="RBR141" s="3"/>
      <c r="RBS141" s="3"/>
      <c r="RBT141" s="3"/>
      <c r="RBU141" s="3"/>
      <c r="RBV141" s="3"/>
      <c r="RBW141" s="3"/>
      <c r="RBX141" s="3"/>
      <c r="RBY141" s="3"/>
      <c r="RBZ141" s="3"/>
      <c r="RCA141" s="3"/>
      <c r="RCB141" s="3"/>
      <c r="RCC141" s="3"/>
      <c r="RCD141" s="3"/>
      <c r="RCE141" s="3"/>
      <c r="RCF141" s="3"/>
      <c r="RCG141" s="3"/>
      <c r="RCH141" s="3"/>
      <c r="RCI141" s="3"/>
      <c r="RCJ141" s="3"/>
      <c r="RCK141" s="3"/>
      <c r="RCL141" s="3"/>
      <c r="RCM141" s="3"/>
      <c r="RCN141" s="3"/>
      <c r="RCO141" s="3"/>
      <c r="RCP141" s="3"/>
      <c r="RCQ141" s="3"/>
      <c r="RCR141" s="3"/>
      <c r="RCS141" s="3"/>
      <c r="RCT141" s="3"/>
      <c r="RCU141" s="3"/>
      <c r="RCV141" s="3"/>
      <c r="RCW141" s="3"/>
      <c r="RCX141" s="3"/>
      <c r="RCY141" s="3"/>
      <c r="RCZ141" s="3"/>
      <c r="RDA141" s="3"/>
      <c r="RDB141" s="3"/>
      <c r="RDC141" s="3"/>
      <c r="RDD141" s="3"/>
      <c r="RDE141" s="3"/>
      <c r="RDF141" s="3"/>
      <c r="RDG141" s="3"/>
      <c r="RDH141" s="3"/>
      <c r="RDI141" s="3"/>
      <c r="RDJ141" s="3"/>
      <c r="RDK141" s="3"/>
      <c r="RDL141" s="3"/>
      <c r="RDM141" s="3"/>
      <c r="RDN141" s="3"/>
      <c r="RDO141" s="3"/>
      <c r="RDP141" s="3"/>
      <c r="RDQ141" s="3"/>
      <c r="RDR141" s="3"/>
      <c r="RDS141" s="3"/>
      <c r="RDT141" s="3"/>
      <c r="RDU141" s="3"/>
      <c r="RDV141" s="3"/>
      <c r="RDW141" s="3"/>
      <c r="RDX141" s="3"/>
      <c r="RDY141" s="3"/>
      <c r="RDZ141" s="3"/>
      <c r="REA141" s="3"/>
      <c r="REB141" s="3"/>
      <c r="REC141" s="3"/>
      <c r="RED141" s="3"/>
      <c r="REE141" s="3"/>
      <c r="REF141" s="3"/>
      <c r="REG141" s="3"/>
      <c r="REH141" s="3"/>
      <c r="REI141" s="3"/>
      <c r="REJ141" s="3"/>
      <c r="REK141" s="3"/>
      <c r="REL141" s="3"/>
      <c r="REM141" s="3"/>
      <c r="REN141" s="3"/>
      <c r="REO141" s="3"/>
      <c r="REP141" s="3"/>
      <c r="REQ141" s="3"/>
      <c r="RER141" s="3"/>
      <c r="RES141" s="3"/>
      <c r="RET141" s="3"/>
      <c r="REU141" s="3"/>
      <c r="REV141" s="3"/>
      <c r="REW141" s="3"/>
      <c r="REX141" s="3"/>
      <c r="REY141" s="3"/>
      <c r="REZ141" s="3"/>
      <c r="RFA141" s="3"/>
      <c r="RFB141" s="3"/>
      <c r="RFC141" s="3"/>
      <c r="RFD141" s="3"/>
      <c r="RFE141" s="3"/>
      <c r="RFF141" s="3"/>
      <c r="RFG141" s="3"/>
      <c r="RFH141" s="3"/>
      <c r="RFI141" s="3"/>
      <c r="RFJ141" s="3"/>
      <c r="RFK141" s="3"/>
      <c r="RFL141" s="3"/>
      <c r="RFM141" s="3"/>
      <c r="RFN141" s="3"/>
      <c r="RFO141" s="3"/>
      <c r="RFP141" s="3"/>
      <c r="RFQ141" s="3"/>
      <c r="RFR141" s="3"/>
      <c r="RFS141" s="3"/>
      <c r="RFT141" s="3"/>
      <c r="RFU141" s="3"/>
      <c r="RFV141" s="3"/>
      <c r="RFW141" s="3"/>
      <c r="RFX141" s="3"/>
      <c r="RFY141" s="3"/>
      <c r="RFZ141" s="3"/>
      <c r="RGA141" s="3"/>
      <c r="RGB141" s="3"/>
      <c r="RGC141" s="3"/>
      <c r="RGD141" s="3"/>
      <c r="RGE141" s="3"/>
      <c r="RGF141" s="3"/>
      <c r="RGG141" s="3"/>
      <c r="RGH141" s="3"/>
      <c r="RGI141" s="3"/>
      <c r="RGJ141" s="3"/>
      <c r="RGK141" s="3"/>
      <c r="RGL141" s="3"/>
      <c r="RGM141" s="3"/>
      <c r="RGN141" s="3"/>
      <c r="RGO141" s="3"/>
      <c r="RGP141" s="3"/>
      <c r="RGQ141" s="3"/>
      <c r="RGR141" s="3"/>
      <c r="RGS141" s="3"/>
      <c r="RGT141" s="3"/>
      <c r="RGU141" s="3"/>
      <c r="RGV141" s="3"/>
      <c r="RGW141" s="3"/>
      <c r="RGX141" s="3"/>
      <c r="RGY141" s="3"/>
      <c r="RGZ141" s="3"/>
      <c r="RHA141" s="3"/>
      <c r="RHB141" s="3"/>
      <c r="RHC141" s="3"/>
      <c r="RHD141" s="3"/>
      <c r="RHE141" s="3"/>
      <c r="RHF141" s="3"/>
      <c r="RHG141" s="3"/>
      <c r="RHH141" s="3"/>
      <c r="RHI141" s="3"/>
      <c r="RHJ141" s="3"/>
      <c r="RHK141" s="3"/>
      <c r="RHL141" s="3"/>
      <c r="RHM141" s="3"/>
      <c r="RHN141" s="3"/>
      <c r="RHO141" s="3"/>
      <c r="RHP141" s="3"/>
      <c r="RHQ141" s="3"/>
      <c r="RHR141" s="3"/>
      <c r="RHS141" s="3"/>
      <c r="RHT141" s="3"/>
      <c r="RHU141" s="3"/>
      <c r="RHV141" s="3"/>
      <c r="RHW141" s="3"/>
      <c r="RHX141" s="3"/>
      <c r="RHY141" s="3"/>
      <c r="RHZ141" s="3"/>
      <c r="RIA141" s="3"/>
      <c r="RIB141" s="3"/>
      <c r="RIC141" s="3"/>
      <c r="RID141" s="3"/>
      <c r="RIE141" s="3"/>
      <c r="RIF141" s="3"/>
      <c r="RIG141" s="3"/>
      <c r="RIH141" s="3"/>
      <c r="RII141" s="3"/>
      <c r="RIJ141" s="3"/>
      <c r="RIK141" s="3"/>
      <c r="RIL141" s="3"/>
      <c r="RIM141" s="3"/>
      <c r="RIN141" s="3"/>
      <c r="RIO141" s="3"/>
      <c r="RIP141" s="3"/>
      <c r="RIQ141" s="3"/>
      <c r="RIR141" s="3"/>
      <c r="RIS141" s="3"/>
      <c r="RIT141" s="3"/>
      <c r="RIU141" s="3"/>
      <c r="RIV141" s="3"/>
      <c r="RIW141" s="3"/>
      <c r="RIX141" s="3"/>
      <c r="RIY141" s="3"/>
      <c r="RIZ141" s="3"/>
      <c r="RJA141" s="3"/>
      <c r="RJB141" s="3"/>
      <c r="RJC141" s="3"/>
      <c r="RJD141" s="3"/>
      <c r="RJE141" s="3"/>
      <c r="RJF141" s="3"/>
      <c r="RJG141" s="3"/>
      <c r="RJH141" s="3"/>
      <c r="RJI141" s="3"/>
      <c r="RJJ141" s="3"/>
      <c r="RJK141" s="3"/>
      <c r="RJL141" s="3"/>
      <c r="RJM141" s="3"/>
      <c r="RJN141" s="3"/>
      <c r="RJO141" s="3"/>
      <c r="RJP141" s="3"/>
      <c r="RJQ141" s="3"/>
      <c r="RJR141" s="3"/>
      <c r="RJS141" s="3"/>
      <c r="RJT141" s="3"/>
      <c r="RJU141" s="3"/>
      <c r="RJV141" s="3"/>
      <c r="RJW141" s="3"/>
      <c r="RJX141" s="3"/>
      <c r="RJY141" s="3"/>
      <c r="RJZ141" s="3"/>
      <c r="RKA141" s="3"/>
      <c r="RKB141" s="3"/>
      <c r="RKC141" s="3"/>
      <c r="RKD141" s="3"/>
      <c r="RKE141" s="3"/>
      <c r="RKF141" s="3"/>
      <c r="RKG141" s="3"/>
      <c r="RKH141" s="3"/>
      <c r="RKI141" s="3"/>
      <c r="RKJ141" s="3"/>
      <c r="RKK141" s="3"/>
      <c r="RKL141" s="3"/>
      <c r="RKM141" s="3"/>
      <c r="RKN141" s="3"/>
      <c r="RKO141" s="3"/>
      <c r="RKP141" s="3"/>
      <c r="RKQ141" s="3"/>
      <c r="RKR141" s="3"/>
      <c r="RKS141" s="3"/>
      <c r="RKT141" s="3"/>
      <c r="RKU141" s="3"/>
      <c r="RKV141" s="3"/>
      <c r="RKW141" s="3"/>
      <c r="RKX141" s="3"/>
      <c r="RKY141" s="3"/>
      <c r="RKZ141" s="3"/>
      <c r="RLA141" s="3"/>
      <c r="RLB141" s="3"/>
      <c r="RLC141" s="3"/>
      <c r="RLD141" s="3"/>
      <c r="RLE141" s="3"/>
      <c r="RLF141" s="3"/>
      <c r="RLG141" s="3"/>
      <c r="RLH141" s="3"/>
      <c r="RLI141" s="3"/>
      <c r="RLJ141" s="3"/>
      <c r="RLK141" s="3"/>
      <c r="RLL141" s="3"/>
      <c r="RLM141" s="3"/>
      <c r="RLN141" s="3"/>
      <c r="RLO141" s="3"/>
      <c r="RLP141" s="3"/>
      <c r="RLQ141" s="3"/>
      <c r="RLR141" s="3"/>
      <c r="RLS141" s="3"/>
      <c r="RLT141" s="3"/>
      <c r="RLU141" s="3"/>
      <c r="RLV141" s="3"/>
      <c r="RLW141" s="3"/>
      <c r="RLX141" s="3"/>
      <c r="RLY141" s="3"/>
      <c r="RLZ141" s="3"/>
      <c r="RMA141" s="3"/>
      <c r="RMB141" s="3"/>
      <c r="RMC141" s="3"/>
      <c r="RMD141" s="3"/>
      <c r="RME141" s="3"/>
      <c r="RMF141" s="3"/>
      <c r="RMG141" s="3"/>
      <c r="RMH141" s="3"/>
      <c r="RMI141" s="3"/>
      <c r="RMJ141" s="3"/>
      <c r="RMK141" s="3"/>
      <c r="RML141" s="3"/>
      <c r="RMM141" s="3"/>
      <c r="RMN141" s="3"/>
      <c r="RMO141" s="3"/>
      <c r="RMP141" s="3"/>
      <c r="RMQ141" s="3"/>
      <c r="RMR141" s="3"/>
      <c r="RMS141" s="3"/>
      <c r="RMT141" s="3"/>
      <c r="RMU141" s="3"/>
      <c r="RMV141" s="3"/>
      <c r="RMW141" s="3"/>
      <c r="RMX141" s="3"/>
      <c r="RMY141" s="3"/>
      <c r="RMZ141" s="3"/>
      <c r="RNA141" s="3"/>
      <c r="RNB141" s="3"/>
      <c r="RNC141" s="3"/>
      <c r="RND141" s="3"/>
      <c r="RNE141" s="3"/>
      <c r="RNF141" s="3"/>
      <c r="RNG141" s="3"/>
      <c r="RNH141" s="3"/>
      <c r="RNI141" s="3"/>
      <c r="RNJ141" s="3"/>
      <c r="RNK141" s="3"/>
      <c r="RNL141" s="3"/>
      <c r="RNM141" s="3"/>
      <c r="RNN141" s="3"/>
      <c r="RNO141" s="3"/>
      <c r="RNP141" s="3"/>
      <c r="RNQ141" s="3"/>
      <c r="RNR141" s="3"/>
      <c r="RNS141" s="3"/>
      <c r="RNT141" s="3"/>
      <c r="RNU141" s="3"/>
      <c r="RNV141" s="3"/>
      <c r="RNW141" s="3"/>
      <c r="RNX141" s="3"/>
      <c r="RNY141" s="3"/>
      <c r="RNZ141" s="3"/>
      <c r="ROA141" s="3"/>
      <c r="ROB141" s="3"/>
      <c r="ROC141" s="3"/>
      <c r="ROD141" s="3"/>
      <c r="ROE141" s="3"/>
      <c r="ROF141" s="3"/>
      <c r="ROG141" s="3"/>
      <c r="ROH141" s="3"/>
      <c r="ROI141" s="3"/>
      <c r="ROJ141" s="3"/>
      <c r="ROK141" s="3"/>
      <c r="ROL141" s="3"/>
      <c r="ROM141" s="3"/>
      <c r="RON141" s="3"/>
      <c r="ROO141" s="3"/>
      <c r="ROP141" s="3"/>
      <c r="ROQ141" s="3"/>
      <c r="ROR141" s="3"/>
      <c r="ROS141" s="3"/>
      <c r="ROT141" s="3"/>
      <c r="ROU141" s="3"/>
      <c r="ROV141" s="3"/>
      <c r="ROW141" s="3"/>
      <c r="ROX141" s="3"/>
      <c r="ROY141" s="3"/>
      <c r="ROZ141" s="3"/>
      <c r="RPA141" s="3"/>
      <c r="RPB141" s="3"/>
      <c r="RPC141" s="3"/>
      <c r="RPD141" s="3"/>
      <c r="RPE141" s="3"/>
      <c r="RPF141" s="3"/>
      <c r="RPG141" s="3"/>
      <c r="RPH141" s="3"/>
      <c r="RPI141" s="3"/>
      <c r="RPJ141" s="3"/>
      <c r="RPK141" s="3"/>
      <c r="RPL141" s="3"/>
      <c r="RPM141" s="3"/>
      <c r="RPN141" s="3"/>
      <c r="RPO141" s="3"/>
      <c r="RPP141" s="3"/>
      <c r="RPQ141" s="3"/>
      <c r="RPR141" s="3"/>
      <c r="RPS141" s="3"/>
      <c r="RPT141" s="3"/>
      <c r="RPU141" s="3"/>
      <c r="RPV141" s="3"/>
      <c r="RPW141" s="3"/>
      <c r="RPX141" s="3"/>
      <c r="RPY141" s="3"/>
      <c r="RPZ141" s="3"/>
      <c r="RQA141" s="3"/>
      <c r="RQB141" s="3"/>
      <c r="RQC141" s="3"/>
      <c r="RQD141" s="3"/>
      <c r="RQE141" s="3"/>
      <c r="RQF141" s="3"/>
      <c r="RQG141" s="3"/>
      <c r="RQH141" s="3"/>
      <c r="RQI141" s="3"/>
      <c r="RQJ141" s="3"/>
      <c r="RQK141" s="3"/>
      <c r="RQL141" s="3"/>
      <c r="RQM141" s="3"/>
      <c r="RQN141" s="3"/>
      <c r="RQO141" s="3"/>
      <c r="RQP141" s="3"/>
      <c r="RQQ141" s="3"/>
      <c r="RQR141" s="3"/>
      <c r="RQS141" s="3"/>
      <c r="RQT141" s="3"/>
      <c r="RQU141" s="3"/>
      <c r="RQV141" s="3"/>
      <c r="RQW141" s="3"/>
      <c r="RQX141" s="3"/>
      <c r="RQY141" s="3"/>
      <c r="RQZ141" s="3"/>
      <c r="RRA141" s="3"/>
      <c r="RRB141" s="3"/>
      <c r="RRC141" s="3"/>
      <c r="RRD141" s="3"/>
      <c r="RRE141" s="3"/>
      <c r="RRF141" s="3"/>
      <c r="RRG141" s="3"/>
      <c r="RRH141" s="3"/>
      <c r="RRI141" s="3"/>
      <c r="RRJ141" s="3"/>
      <c r="RRK141" s="3"/>
      <c r="RRL141" s="3"/>
      <c r="RRM141" s="3"/>
      <c r="RRN141" s="3"/>
      <c r="RRO141" s="3"/>
      <c r="RRP141" s="3"/>
      <c r="RRQ141" s="3"/>
      <c r="RRR141" s="3"/>
      <c r="RRS141" s="3"/>
      <c r="RRT141" s="3"/>
      <c r="RRU141" s="3"/>
      <c r="RRV141" s="3"/>
      <c r="RRW141" s="3"/>
      <c r="RRX141" s="3"/>
      <c r="RRY141" s="3"/>
      <c r="RRZ141" s="3"/>
      <c r="RSA141" s="3"/>
      <c r="RSB141" s="3"/>
      <c r="RSC141" s="3"/>
      <c r="RSD141" s="3"/>
      <c r="RSE141" s="3"/>
      <c r="RSF141" s="3"/>
      <c r="RSG141" s="3"/>
      <c r="RSH141" s="3"/>
      <c r="RSI141" s="3"/>
      <c r="RSJ141" s="3"/>
      <c r="RSK141" s="3"/>
      <c r="RSL141" s="3"/>
      <c r="RSM141" s="3"/>
      <c r="RSN141" s="3"/>
      <c r="RSO141" s="3"/>
      <c r="RSP141" s="3"/>
      <c r="RSQ141" s="3"/>
      <c r="RSR141" s="3"/>
      <c r="RSS141" s="3"/>
      <c r="RST141" s="3"/>
      <c r="RSU141" s="3"/>
      <c r="RSV141" s="3"/>
      <c r="RSW141" s="3"/>
      <c r="RSX141" s="3"/>
      <c r="RSY141" s="3"/>
      <c r="RSZ141" s="3"/>
      <c r="RTA141" s="3"/>
      <c r="RTB141" s="3"/>
      <c r="RTC141" s="3"/>
      <c r="RTD141" s="3"/>
      <c r="RTE141" s="3"/>
      <c r="RTF141" s="3"/>
      <c r="RTG141" s="3"/>
      <c r="RTH141" s="3"/>
      <c r="RTI141" s="3"/>
      <c r="RTJ141" s="3"/>
      <c r="RTK141" s="3"/>
      <c r="RTL141" s="3"/>
      <c r="RTM141" s="3"/>
      <c r="RTN141" s="3"/>
      <c r="RTO141" s="3"/>
      <c r="RTP141" s="3"/>
      <c r="RTQ141" s="3"/>
      <c r="RTR141" s="3"/>
      <c r="RTS141" s="3"/>
      <c r="RTT141" s="3"/>
      <c r="RTU141" s="3"/>
      <c r="RTV141" s="3"/>
      <c r="RTW141" s="3"/>
      <c r="RTX141" s="3"/>
      <c r="RTY141" s="3"/>
      <c r="RTZ141" s="3"/>
      <c r="RUA141" s="3"/>
      <c r="RUB141" s="3"/>
      <c r="RUC141" s="3"/>
      <c r="RUD141" s="3"/>
      <c r="RUE141" s="3"/>
      <c r="RUF141" s="3"/>
      <c r="RUG141" s="3"/>
      <c r="RUH141" s="3"/>
      <c r="RUI141" s="3"/>
      <c r="RUJ141" s="3"/>
      <c r="RUK141" s="3"/>
      <c r="RUL141" s="3"/>
      <c r="RUM141" s="3"/>
      <c r="RUN141" s="3"/>
      <c r="RUO141" s="3"/>
      <c r="RUP141" s="3"/>
      <c r="RUQ141" s="3"/>
      <c r="RUR141" s="3"/>
      <c r="RUS141" s="3"/>
      <c r="RUT141" s="3"/>
      <c r="RUU141" s="3"/>
      <c r="RUV141" s="3"/>
      <c r="RUW141" s="3"/>
      <c r="RUX141" s="3"/>
      <c r="RUY141" s="3"/>
      <c r="RUZ141" s="3"/>
      <c r="RVA141" s="3"/>
      <c r="RVB141" s="3"/>
      <c r="RVC141" s="3"/>
      <c r="RVD141" s="3"/>
      <c r="RVE141" s="3"/>
      <c r="RVF141" s="3"/>
      <c r="RVG141" s="3"/>
      <c r="RVH141" s="3"/>
      <c r="RVI141" s="3"/>
      <c r="RVJ141" s="3"/>
      <c r="RVK141" s="3"/>
      <c r="RVL141" s="3"/>
      <c r="RVM141" s="3"/>
      <c r="RVN141" s="3"/>
      <c r="RVO141" s="3"/>
      <c r="RVP141" s="3"/>
      <c r="RVQ141" s="3"/>
      <c r="RVR141" s="3"/>
      <c r="RVS141" s="3"/>
      <c r="RVT141" s="3"/>
      <c r="RVU141" s="3"/>
      <c r="RVV141" s="3"/>
      <c r="RVW141" s="3"/>
      <c r="RVX141" s="3"/>
      <c r="RVY141" s="3"/>
      <c r="RVZ141" s="3"/>
      <c r="RWA141" s="3"/>
      <c r="RWB141" s="3"/>
      <c r="RWC141" s="3"/>
      <c r="RWD141" s="3"/>
      <c r="RWE141" s="3"/>
      <c r="RWF141" s="3"/>
      <c r="RWG141" s="3"/>
      <c r="RWH141" s="3"/>
      <c r="RWI141" s="3"/>
      <c r="RWJ141" s="3"/>
      <c r="RWK141" s="3"/>
      <c r="RWL141" s="3"/>
      <c r="RWM141" s="3"/>
      <c r="RWN141" s="3"/>
      <c r="RWO141" s="3"/>
      <c r="RWP141" s="3"/>
      <c r="RWQ141" s="3"/>
      <c r="RWR141" s="3"/>
      <c r="RWS141" s="3"/>
      <c r="RWT141" s="3"/>
      <c r="RWU141" s="3"/>
      <c r="RWV141" s="3"/>
      <c r="RWW141" s="3"/>
      <c r="RWX141" s="3"/>
      <c r="RWY141" s="3"/>
      <c r="RWZ141" s="3"/>
      <c r="RXA141" s="3"/>
      <c r="RXB141" s="3"/>
      <c r="RXC141" s="3"/>
      <c r="RXD141" s="3"/>
      <c r="RXE141" s="3"/>
      <c r="RXF141" s="3"/>
      <c r="RXG141" s="3"/>
      <c r="RXH141" s="3"/>
      <c r="RXI141" s="3"/>
      <c r="RXJ141" s="3"/>
      <c r="RXK141" s="3"/>
      <c r="RXL141" s="3"/>
      <c r="RXM141" s="3"/>
      <c r="RXN141" s="3"/>
      <c r="RXO141" s="3"/>
      <c r="RXP141" s="3"/>
      <c r="RXQ141" s="3"/>
      <c r="RXR141" s="3"/>
      <c r="RXS141" s="3"/>
      <c r="RXT141" s="3"/>
      <c r="RXU141" s="3"/>
      <c r="RXV141" s="3"/>
      <c r="RXW141" s="3"/>
      <c r="RXX141" s="3"/>
      <c r="RXY141" s="3"/>
      <c r="RXZ141" s="3"/>
      <c r="RYA141" s="3"/>
      <c r="RYB141" s="3"/>
      <c r="RYC141" s="3"/>
      <c r="RYD141" s="3"/>
      <c r="RYE141" s="3"/>
      <c r="RYF141" s="3"/>
      <c r="RYG141" s="3"/>
      <c r="RYH141" s="3"/>
      <c r="RYI141" s="3"/>
      <c r="RYJ141" s="3"/>
      <c r="RYK141" s="3"/>
      <c r="RYL141" s="3"/>
      <c r="RYM141" s="3"/>
      <c r="RYN141" s="3"/>
      <c r="RYO141" s="3"/>
      <c r="RYP141" s="3"/>
      <c r="RYQ141" s="3"/>
      <c r="RYR141" s="3"/>
      <c r="RYS141" s="3"/>
      <c r="RYT141" s="3"/>
      <c r="RYU141" s="3"/>
      <c r="RYV141" s="3"/>
      <c r="RYW141" s="3"/>
      <c r="RYX141" s="3"/>
      <c r="RYY141" s="3"/>
      <c r="RYZ141" s="3"/>
      <c r="RZA141" s="3"/>
      <c r="RZB141" s="3"/>
      <c r="RZC141" s="3"/>
      <c r="RZD141" s="3"/>
      <c r="RZE141" s="3"/>
      <c r="RZF141" s="3"/>
      <c r="RZG141" s="3"/>
      <c r="RZH141" s="3"/>
      <c r="RZI141" s="3"/>
      <c r="RZJ141" s="3"/>
      <c r="RZK141" s="3"/>
      <c r="RZL141" s="3"/>
      <c r="RZM141" s="3"/>
      <c r="RZN141" s="3"/>
      <c r="RZO141" s="3"/>
      <c r="RZP141" s="3"/>
      <c r="RZQ141" s="3"/>
      <c r="RZR141" s="3"/>
      <c r="RZS141" s="3"/>
      <c r="RZT141" s="3"/>
      <c r="RZU141" s="3"/>
      <c r="RZV141" s="3"/>
      <c r="RZW141" s="3"/>
      <c r="RZX141" s="3"/>
      <c r="RZY141" s="3"/>
      <c r="RZZ141" s="3"/>
      <c r="SAA141" s="3"/>
      <c r="SAB141" s="3"/>
      <c r="SAC141" s="3"/>
      <c r="SAD141" s="3"/>
      <c r="SAE141" s="3"/>
      <c r="SAF141" s="3"/>
      <c r="SAG141" s="3"/>
      <c r="SAH141" s="3"/>
      <c r="SAI141" s="3"/>
      <c r="SAJ141" s="3"/>
      <c r="SAK141" s="3"/>
      <c r="SAL141" s="3"/>
      <c r="SAM141" s="3"/>
      <c r="SAN141" s="3"/>
      <c r="SAO141" s="3"/>
      <c r="SAP141" s="3"/>
      <c r="SAQ141" s="3"/>
      <c r="SAR141" s="3"/>
      <c r="SAS141" s="3"/>
      <c r="SAT141" s="3"/>
      <c r="SAU141" s="3"/>
      <c r="SAV141" s="3"/>
      <c r="SAW141" s="3"/>
      <c r="SAX141" s="3"/>
      <c r="SAY141" s="3"/>
      <c r="SAZ141" s="3"/>
      <c r="SBA141" s="3"/>
      <c r="SBB141" s="3"/>
      <c r="SBC141" s="3"/>
      <c r="SBD141" s="3"/>
      <c r="SBE141" s="3"/>
      <c r="SBF141" s="3"/>
      <c r="SBG141" s="3"/>
      <c r="SBH141" s="3"/>
      <c r="SBI141" s="3"/>
      <c r="SBJ141" s="3"/>
      <c r="SBK141" s="3"/>
      <c r="SBL141" s="3"/>
      <c r="SBM141" s="3"/>
      <c r="SBN141" s="3"/>
      <c r="SBO141" s="3"/>
      <c r="SBP141" s="3"/>
      <c r="SBQ141" s="3"/>
      <c r="SBR141" s="3"/>
      <c r="SBS141" s="3"/>
      <c r="SBT141" s="3"/>
      <c r="SBU141" s="3"/>
      <c r="SBV141" s="3"/>
      <c r="SBW141" s="3"/>
      <c r="SBX141" s="3"/>
      <c r="SBY141" s="3"/>
      <c r="SBZ141" s="3"/>
      <c r="SCA141" s="3"/>
      <c r="SCB141" s="3"/>
      <c r="SCC141" s="3"/>
      <c r="SCD141" s="3"/>
      <c r="SCE141" s="3"/>
      <c r="SCF141" s="3"/>
      <c r="SCG141" s="3"/>
      <c r="SCH141" s="3"/>
      <c r="SCI141" s="3"/>
      <c r="SCJ141" s="3"/>
      <c r="SCK141" s="3"/>
      <c r="SCL141" s="3"/>
      <c r="SCM141" s="3"/>
      <c r="SCN141" s="3"/>
      <c r="SCO141" s="3"/>
      <c r="SCP141" s="3"/>
      <c r="SCQ141" s="3"/>
      <c r="SCR141" s="3"/>
      <c r="SCS141" s="3"/>
      <c r="SCT141" s="3"/>
      <c r="SCU141" s="3"/>
      <c r="SCV141" s="3"/>
      <c r="SCW141" s="3"/>
      <c r="SCX141" s="3"/>
      <c r="SCY141" s="3"/>
      <c r="SCZ141" s="3"/>
      <c r="SDA141" s="3"/>
      <c r="SDB141" s="3"/>
      <c r="SDC141" s="3"/>
      <c r="SDD141" s="3"/>
      <c r="SDE141" s="3"/>
      <c r="SDF141" s="3"/>
      <c r="SDG141" s="3"/>
      <c r="SDH141" s="3"/>
      <c r="SDI141" s="3"/>
      <c r="SDJ141" s="3"/>
      <c r="SDK141" s="3"/>
      <c r="SDL141" s="3"/>
      <c r="SDM141" s="3"/>
      <c r="SDN141" s="3"/>
      <c r="SDO141" s="3"/>
      <c r="SDP141" s="3"/>
      <c r="SDQ141" s="3"/>
      <c r="SDR141" s="3"/>
      <c r="SDS141" s="3"/>
      <c r="SDT141" s="3"/>
      <c r="SDU141" s="3"/>
      <c r="SDV141" s="3"/>
      <c r="SDW141" s="3"/>
      <c r="SDX141" s="3"/>
      <c r="SDY141" s="3"/>
      <c r="SDZ141" s="3"/>
      <c r="SEA141" s="3"/>
      <c r="SEB141" s="3"/>
      <c r="SEC141" s="3"/>
      <c r="SED141" s="3"/>
      <c r="SEE141" s="3"/>
      <c r="SEF141" s="3"/>
      <c r="SEG141" s="3"/>
      <c r="SEH141" s="3"/>
      <c r="SEI141" s="3"/>
      <c r="SEJ141" s="3"/>
      <c r="SEK141" s="3"/>
      <c r="SEL141" s="3"/>
      <c r="SEM141" s="3"/>
      <c r="SEN141" s="3"/>
      <c r="SEO141" s="3"/>
      <c r="SEP141" s="3"/>
      <c r="SEQ141" s="3"/>
      <c r="SER141" s="3"/>
      <c r="SES141" s="3"/>
      <c r="SET141" s="3"/>
      <c r="SEU141" s="3"/>
      <c r="SEV141" s="3"/>
      <c r="SEW141" s="3"/>
      <c r="SEX141" s="3"/>
      <c r="SEY141" s="3"/>
      <c r="SEZ141" s="3"/>
      <c r="SFA141" s="3"/>
      <c r="SFB141" s="3"/>
      <c r="SFC141" s="3"/>
      <c r="SFD141" s="3"/>
      <c r="SFE141" s="3"/>
      <c r="SFF141" s="3"/>
      <c r="SFG141" s="3"/>
      <c r="SFH141" s="3"/>
      <c r="SFI141" s="3"/>
      <c r="SFJ141" s="3"/>
      <c r="SFK141" s="3"/>
      <c r="SFL141" s="3"/>
      <c r="SFM141" s="3"/>
      <c r="SFN141" s="3"/>
      <c r="SFO141" s="3"/>
      <c r="SFP141" s="3"/>
      <c r="SFQ141" s="3"/>
      <c r="SFR141" s="3"/>
      <c r="SFS141" s="3"/>
      <c r="SFT141" s="3"/>
      <c r="SFU141" s="3"/>
      <c r="SFV141" s="3"/>
      <c r="SFW141" s="3"/>
      <c r="SFX141" s="3"/>
      <c r="SFY141" s="3"/>
      <c r="SFZ141" s="3"/>
      <c r="SGA141" s="3"/>
      <c r="SGB141" s="3"/>
      <c r="SGC141" s="3"/>
      <c r="SGD141" s="3"/>
      <c r="SGE141" s="3"/>
      <c r="SGF141" s="3"/>
      <c r="SGG141" s="3"/>
      <c r="SGH141" s="3"/>
      <c r="SGI141" s="3"/>
      <c r="SGJ141" s="3"/>
      <c r="SGK141" s="3"/>
      <c r="SGL141" s="3"/>
      <c r="SGM141" s="3"/>
      <c r="SGN141" s="3"/>
      <c r="SGO141" s="3"/>
      <c r="SGP141" s="3"/>
      <c r="SGQ141" s="3"/>
      <c r="SGR141" s="3"/>
      <c r="SGS141" s="3"/>
      <c r="SGT141" s="3"/>
      <c r="SGU141" s="3"/>
      <c r="SGV141" s="3"/>
      <c r="SGW141" s="3"/>
      <c r="SGX141" s="3"/>
      <c r="SGY141" s="3"/>
      <c r="SGZ141" s="3"/>
      <c r="SHA141" s="3"/>
      <c r="SHB141" s="3"/>
      <c r="SHC141" s="3"/>
      <c r="SHD141" s="3"/>
      <c r="SHE141" s="3"/>
      <c r="SHF141" s="3"/>
      <c r="SHG141" s="3"/>
      <c r="SHH141" s="3"/>
      <c r="SHI141" s="3"/>
      <c r="SHJ141" s="3"/>
      <c r="SHK141" s="3"/>
      <c r="SHL141" s="3"/>
      <c r="SHM141" s="3"/>
      <c r="SHN141" s="3"/>
      <c r="SHO141" s="3"/>
      <c r="SHP141" s="3"/>
      <c r="SHQ141" s="3"/>
      <c r="SHR141" s="3"/>
      <c r="SHS141" s="3"/>
      <c r="SHT141" s="3"/>
      <c r="SHU141" s="3"/>
      <c r="SHV141" s="3"/>
      <c r="SHW141" s="3"/>
      <c r="SHX141" s="3"/>
      <c r="SHY141" s="3"/>
      <c r="SHZ141" s="3"/>
      <c r="SIA141" s="3"/>
      <c r="SIB141" s="3"/>
      <c r="SIC141" s="3"/>
      <c r="SID141" s="3"/>
      <c r="SIE141" s="3"/>
      <c r="SIF141" s="3"/>
      <c r="SIG141" s="3"/>
      <c r="SIH141" s="3"/>
      <c r="SII141" s="3"/>
      <c r="SIJ141" s="3"/>
      <c r="SIK141" s="3"/>
      <c r="SIL141" s="3"/>
      <c r="SIM141" s="3"/>
      <c r="SIN141" s="3"/>
      <c r="SIO141" s="3"/>
      <c r="SIP141" s="3"/>
      <c r="SIQ141" s="3"/>
      <c r="SIR141" s="3"/>
      <c r="SIS141" s="3"/>
      <c r="SIT141" s="3"/>
      <c r="SIU141" s="3"/>
      <c r="SIV141" s="3"/>
      <c r="SIW141" s="3"/>
      <c r="SIX141" s="3"/>
      <c r="SIY141" s="3"/>
      <c r="SIZ141" s="3"/>
      <c r="SJA141" s="3"/>
      <c r="SJB141" s="3"/>
      <c r="SJC141" s="3"/>
      <c r="SJD141" s="3"/>
      <c r="SJE141" s="3"/>
      <c r="SJF141" s="3"/>
      <c r="SJG141" s="3"/>
      <c r="SJH141" s="3"/>
      <c r="SJI141" s="3"/>
      <c r="SJJ141" s="3"/>
      <c r="SJK141" s="3"/>
      <c r="SJL141" s="3"/>
      <c r="SJM141" s="3"/>
      <c r="SJN141" s="3"/>
      <c r="SJO141" s="3"/>
      <c r="SJP141" s="3"/>
      <c r="SJQ141" s="3"/>
      <c r="SJR141" s="3"/>
      <c r="SJS141" s="3"/>
      <c r="SJT141" s="3"/>
      <c r="SJU141" s="3"/>
      <c r="SJV141" s="3"/>
      <c r="SJW141" s="3"/>
      <c r="SJX141" s="3"/>
      <c r="SJY141" s="3"/>
      <c r="SJZ141" s="3"/>
      <c r="SKA141" s="3"/>
      <c r="SKB141" s="3"/>
      <c r="SKC141" s="3"/>
      <c r="SKD141" s="3"/>
      <c r="SKE141" s="3"/>
      <c r="SKF141" s="3"/>
      <c r="SKG141" s="3"/>
      <c r="SKH141" s="3"/>
      <c r="SKI141" s="3"/>
      <c r="SKJ141" s="3"/>
      <c r="SKK141" s="3"/>
      <c r="SKL141" s="3"/>
      <c r="SKM141" s="3"/>
      <c r="SKN141" s="3"/>
      <c r="SKO141" s="3"/>
      <c r="SKP141" s="3"/>
      <c r="SKQ141" s="3"/>
      <c r="SKR141" s="3"/>
      <c r="SKS141" s="3"/>
      <c r="SKT141" s="3"/>
      <c r="SKU141" s="3"/>
      <c r="SKV141" s="3"/>
      <c r="SKW141" s="3"/>
      <c r="SKX141" s="3"/>
      <c r="SKY141" s="3"/>
      <c r="SKZ141" s="3"/>
      <c r="SLA141" s="3"/>
      <c r="SLB141" s="3"/>
      <c r="SLC141" s="3"/>
      <c r="SLD141" s="3"/>
      <c r="SLE141" s="3"/>
      <c r="SLF141" s="3"/>
      <c r="SLG141" s="3"/>
      <c r="SLH141" s="3"/>
      <c r="SLI141" s="3"/>
      <c r="SLJ141" s="3"/>
      <c r="SLK141" s="3"/>
      <c r="SLL141" s="3"/>
      <c r="SLM141" s="3"/>
      <c r="SLN141" s="3"/>
      <c r="SLO141" s="3"/>
      <c r="SLP141" s="3"/>
      <c r="SLQ141" s="3"/>
      <c r="SLR141" s="3"/>
      <c r="SLS141" s="3"/>
      <c r="SLT141" s="3"/>
      <c r="SLU141" s="3"/>
      <c r="SLV141" s="3"/>
      <c r="SLW141" s="3"/>
      <c r="SLX141" s="3"/>
      <c r="SLY141" s="3"/>
      <c r="SLZ141" s="3"/>
      <c r="SMA141" s="3"/>
      <c r="SMB141" s="3"/>
      <c r="SMC141" s="3"/>
      <c r="SMD141" s="3"/>
      <c r="SME141" s="3"/>
      <c r="SMF141" s="3"/>
      <c r="SMG141" s="3"/>
      <c r="SMH141" s="3"/>
      <c r="SMI141" s="3"/>
      <c r="SMJ141" s="3"/>
      <c r="SMK141" s="3"/>
      <c r="SML141" s="3"/>
      <c r="SMM141" s="3"/>
      <c r="SMN141" s="3"/>
      <c r="SMO141" s="3"/>
      <c r="SMP141" s="3"/>
      <c r="SMQ141" s="3"/>
      <c r="SMR141" s="3"/>
      <c r="SMS141" s="3"/>
      <c r="SMT141" s="3"/>
      <c r="SMU141" s="3"/>
      <c r="SMV141" s="3"/>
      <c r="SMW141" s="3"/>
      <c r="SMX141" s="3"/>
      <c r="SMY141" s="3"/>
      <c r="SMZ141" s="3"/>
      <c r="SNA141" s="3"/>
      <c r="SNB141" s="3"/>
      <c r="SNC141" s="3"/>
      <c r="SND141" s="3"/>
      <c r="SNE141" s="3"/>
      <c r="SNF141" s="3"/>
      <c r="SNG141" s="3"/>
      <c r="SNH141" s="3"/>
      <c r="SNI141" s="3"/>
      <c r="SNJ141" s="3"/>
      <c r="SNK141" s="3"/>
      <c r="SNL141" s="3"/>
      <c r="SNM141" s="3"/>
      <c r="SNN141" s="3"/>
      <c r="SNO141" s="3"/>
      <c r="SNP141" s="3"/>
      <c r="SNQ141" s="3"/>
      <c r="SNR141" s="3"/>
      <c r="SNS141" s="3"/>
      <c r="SNT141" s="3"/>
      <c r="SNU141" s="3"/>
      <c r="SNV141" s="3"/>
      <c r="SNW141" s="3"/>
      <c r="SNX141" s="3"/>
      <c r="SNY141" s="3"/>
      <c r="SNZ141" s="3"/>
      <c r="SOA141" s="3"/>
      <c r="SOB141" s="3"/>
      <c r="SOC141" s="3"/>
      <c r="SOD141" s="3"/>
      <c r="SOE141" s="3"/>
      <c r="SOF141" s="3"/>
      <c r="SOG141" s="3"/>
      <c r="SOH141" s="3"/>
      <c r="SOI141" s="3"/>
      <c r="SOJ141" s="3"/>
      <c r="SOK141" s="3"/>
      <c r="SOL141" s="3"/>
      <c r="SOM141" s="3"/>
      <c r="SON141" s="3"/>
      <c r="SOO141" s="3"/>
      <c r="SOP141" s="3"/>
      <c r="SOQ141" s="3"/>
      <c r="SOR141" s="3"/>
      <c r="SOS141" s="3"/>
      <c r="SOT141" s="3"/>
      <c r="SOU141" s="3"/>
      <c r="SOV141" s="3"/>
      <c r="SOW141" s="3"/>
      <c r="SOX141" s="3"/>
      <c r="SOY141" s="3"/>
      <c r="SOZ141" s="3"/>
      <c r="SPA141" s="3"/>
      <c r="SPB141" s="3"/>
      <c r="SPC141" s="3"/>
      <c r="SPD141" s="3"/>
      <c r="SPE141" s="3"/>
      <c r="SPF141" s="3"/>
      <c r="SPG141" s="3"/>
      <c r="SPH141" s="3"/>
      <c r="SPI141" s="3"/>
      <c r="SPJ141" s="3"/>
      <c r="SPK141" s="3"/>
      <c r="SPL141" s="3"/>
      <c r="SPM141" s="3"/>
      <c r="SPN141" s="3"/>
      <c r="SPO141" s="3"/>
      <c r="SPP141" s="3"/>
      <c r="SPQ141" s="3"/>
      <c r="SPR141" s="3"/>
      <c r="SPS141" s="3"/>
      <c r="SPT141" s="3"/>
      <c r="SPU141" s="3"/>
      <c r="SPV141" s="3"/>
      <c r="SPW141" s="3"/>
      <c r="SPX141" s="3"/>
      <c r="SPY141" s="3"/>
      <c r="SPZ141" s="3"/>
      <c r="SQA141" s="3"/>
      <c r="SQB141" s="3"/>
      <c r="SQC141" s="3"/>
      <c r="SQD141" s="3"/>
      <c r="SQE141" s="3"/>
      <c r="SQF141" s="3"/>
      <c r="SQG141" s="3"/>
      <c r="SQH141" s="3"/>
      <c r="SQI141" s="3"/>
      <c r="SQJ141" s="3"/>
      <c r="SQK141" s="3"/>
      <c r="SQL141" s="3"/>
      <c r="SQM141" s="3"/>
      <c r="SQN141" s="3"/>
      <c r="SQO141" s="3"/>
      <c r="SQP141" s="3"/>
      <c r="SQQ141" s="3"/>
      <c r="SQR141" s="3"/>
      <c r="SQS141" s="3"/>
      <c r="SQT141" s="3"/>
      <c r="SQU141" s="3"/>
      <c r="SQV141" s="3"/>
      <c r="SQW141" s="3"/>
      <c r="SQX141" s="3"/>
      <c r="SQY141" s="3"/>
      <c r="SQZ141" s="3"/>
      <c r="SRA141" s="3"/>
      <c r="SRB141" s="3"/>
      <c r="SRC141" s="3"/>
      <c r="SRD141" s="3"/>
      <c r="SRE141" s="3"/>
      <c r="SRF141" s="3"/>
      <c r="SRG141" s="3"/>
      <c r="SRH141" s="3"/>
      <c r="SRI141" s="3"/>
      <c r="SRJ141" s="3"/>
      <c r="SRK141" s="3"/>
      <c r="SRL141" s="3"/>
      <c r="SRM141" s="3"/>
      <c r="SRN141" s="3"/>
      <c r="SRO141" s="3"/>
      <c r="SRP141" s="3"/>
      <c r="SRQ141" s="3"/>
      <c r="SRR141" s="3"/>
      <c r="SRS141" s="3"/>
      <c r="SRT141" s="3"/>
      <c r="SRU141" s="3"/>
      <c r="SRV141" s="3"/>
      <c r="SRW141" s="3"/>
      <c r="SRX141" s="3"/>
      <c r="SRY141" s="3"/>
      <c r="SRZ141" s="3"/>
      <c r="SSA141" s="3"/>
      <c r="SSB141" s="3"/>
      <c r="SSC141" s="3"/>
      <c r="SSD141" s="3"/>
      <c r="SSE141" s="3"/>
      <c r="SSF141" s="3"/>
      <c r="SSG141" s="3"/>
      <c r="SSH141" s="3"/>
      <c r="SSI141" s="3"/>
      <c r="SSJ141" s="3"/>
      <c r="SSK141" s="3"/>
      <c r="SSL141" s="3"/>
      <c r="SSM141" s="3"/>
      <c r="SSN141" s="3"/>
      <c r="SSO141" s="3"/>
      <c r="SSP141" s="3"/>
      <c r="SSQ141" s="3"/>
      <c r="SSR141" s="3"/>
      <c r="SSS141" s="3"/>
      <c r="SST141" s="3"/>
      <c r="SSU141" s="3"/>
      <c r="SSV141" s="3"/>
      <c r="SSW141" s="3"/>
      <c r="SSX141" s="3"/>
      <c r="SSY141" s="3"/>
      <c r="SSZ141" s="3"/>
      <c r="STA141" s="3"/>
      <c r="STB141" s="3"/>
      <c r="STC141" s="3"/>
      <c r="STD141" s="3"/>
      <c r="STE141" s="3"/>
      <c r="STF141" s="3"/>
      <c r="STG141" s="3"/>
      <c r="STH141" s="3"/>
      <c r="STI141" s="3"/>
      <c r="STJ141" s="3"/>
      <c r="STK141" s="3"/>
      <c r="STL141" s="3"/>
      <c r="STM141" s="3"/>
      <c r="STN141" s="3"/>
      <c r="STO141" s="3"/>
      <c r="STP141" s="3"/>
      <c r="STQ141" s="3"/>
      <c r="STR141" s="3"/>
      <c r="STS141" s="3"/>
      <c r="STT141" s="3"/>
      <c r="STU141" s="3"/>
      <c r="STV141" s="3"/>
      <c r="STW141" s="3"/>
      <c r="STX141" s="3"/>
      <c r="STY141" s="3"/>
      <c r="STZ141" s="3"/>
      <c r="SUA141" s="3"/>
      <c r="SUB141" s="3"/>
      <c r="SUC141" s="3"/>
      <c r="SUD141" s="3"/>
      <c r="SUE141" s="3"/>
      <c r="SUF141" s="3"/>
      <c r="SUG141" s="3"/>
      <c r="SUH141" s="3"/>
      <c r="SUI141" s="3"/>
      <c r="SUJ141" s="3"/>
      <c r="SUK141" s="3"/>
      <c r="SUL141" s="3"/>
      <c r="SUM141" s="3"/>
      <c r="SUN141" s="3"/>
      <c r="SUO141" s="3"/>
      <c r="SUP141" s="3"/>
      <c r="SUQ141" s="3"/>
      <c r="SUR141" s="3"/>
      <c r="SUS141" s="3"/>
      <c r="SUT141" s="3"/>
      <c r="SUU141" s="3"/>
      <c r="SUV141" s="3"/>
      <c r="SUW141" s="3"/>
      <c r="SUX141" s="3"/>
      <c r="SUY141" s="3"/>
      <c r="SUZ141" s="3"/>
      <c r="SVA141" s="3"/>
      <c r="SVB141" s="3"/>
      <c r="SVC141" s="3"/>
      <c r="SVD141" s="3"/>
      <c r="SVE141" s="3"/>
      <c r="SVF141" s="3"/>
      <c r="SVG141" s="3"/>
      <c r="SVH141" s="3"/>
      <c r="SVI141" s="3"/>
      <c r="SVJ141" s="3"/>
      <c r="SVK141" s="3"/>
      <c r="SVL141" s="3"/>
      <c r="SVM141" s="3"/>
      <c r="SVN141" s="3"/>
      <c r="SVO141" s="3"/>
      <c r="SVP141" s="3"/>
      <c r="SVQ141" s="3"/>
      <c r="SVR141" s="3"/>
      <c r="SVS141" s="3"/>
      <c r="SVT141" s="3"/>
      <c r="SVU141" s="3"/>
      <c r="SVV141" s="3"/>
      <c r="SVW141" s="3"/>
      <c r="SVX141" s="3"/>
      <c r="SVY141" s="3"/>
      <c r="SVZ141" s="3"/>
      <c r="SWA141" s="3"/>
      <c r="SWB141" s="3"/>
      <c r="SWC141" s="3"/>
      <c r="SWD141" s="3"/>
      <c r="SWE141" s="3"/>
      <c r="SWF141" s="3"/>
      <c r="SWG141" s="3"/>
      <c r="SWH141" s="3"/>
      <c r="SWI141" s="3"/>
      <c r="SWJ141" s="3"/>
      <c r="SWK141" s="3"/>
      <c r="SWL141" s="3"/>
      <c r="SWM141" s="3"/>
      <c r="SWN141" s="3"/>
      <c r="SWO141" s="3"/>
      <c r="SWP141" s="3"/>
      <c r="SWQ141" s="3"/>
      <c r="SWR141" s="3"/>
      <c r="SWS141" s="3"/>
      <c r="SWT141" s="3"/>
      <c r="SWU141" s="3"/>
      <c r="SWV141" s="3"/>
      <c r="SWW141" s="3"/>
      <c r="SWX141" s="3"/>
      <c r="SWY141" s="3"/>
      <c r="SWZ141" s="3"/>
      <c r="SXA141" s="3"/>
      <c r="SXB141" s="3"/>
      <c r="SXC141" s="3"/>
      <c r="SXD141" s="3"/>
      <c r="SXE141" s="3"/>
      <c r="SXF141" s="3"/>
      <c r="SXG141" s="3"/>
      <c r="SXH141" s="3"/>
      <c r="SXI141" s="3"/>
      <c r="SXJ141" s="3"/>
      <c r="SXK141" s="3"/>
      <c r="SXL141" s="3"/>
      <c r="SXM141" s="3"/>
      <c r="SXN141" s="3"/>
      <c r="SXO141" s="3"/>
      <c r="SXP141" s="3"/>
      <c r="SXQ141" s="3"/>
      <c r="SXR141" s="3"/>
      <c r="SXS141" s="3"/>
      <c r="SXT141" s="3"/>
      <c r="SXU141" s="3"/>
      <c r="SXV141" s="3"/>
      <c r="SXW141" s="3"/>
      <c r="SXX141" s="3"/>
      <c r="SXY141" s="3"/>
      <c r="SXZ141" s="3"/>
      <c r="SYA141" s="3"/>
      <c r="SYB141" s="3"/>
      <c r="SYC141" s="3"/>
      <c r="SYD141" s="3"/>
      <c r="SYE141" s="3"/>
      <c r="SYF141" s="3"/>
      <c r="SYG141" s="3"/>
      <c r="SYH141" s="3"/>
      <c r="SYI141" s="3"/>
      <c r="SYJ141" s="3"/>
      <c r="SYK141" s="3"/>
      <c r="SYL141" s="3"/>
      <c r="SYM141" s="3"/>
      <c r="SYN141" s="3"/>
      <c r="SYO141" s="3"/>
      <c r="SYP141" s="3"/>
      <c r="SYQ141" s="3"/>
      <c r="SYR141" s="3"/>
      <c r="SYS141" s="3"/>
      <c r="SYT141" s="3"/>
      <c r="SYU141" s="3"/>
      <c r="SYV141" s="3"/>
      <c r="SYW141" s="3"/>
      <c r="SYX141" s="3"/>
      <c r="SYY141" s="3"/>
      <c r="SYZ141" s="3"/>
      <c r="SZA141" s="3"/>
      <c r="SZB141" s="3"/>
      <c r="SZC141" s="3"/>
      <c r="SZD141" s="3"/>
      <c r="SZE141" s="3"/>
      <c r="SZF141" s="3"/>
      <c r="SZG141" s="3"/>
      <c r="SZH141" s="3"/>
      <c r="SZI141" s="3"/>
      <c r="SZJ141" s="3"/>
      <c r="SZK141" s="3"/>
      <c r="SZL141" s="3"/>
      <c r="SZM141" s="3"/>
      <c r="SZN141" s="3"/>
      <c r="SZO141" s="3"/>
      <c r="SZP141" s="3"/>
      <c r="SZQ141" s="3"/>
      <c r="SZR141" s="3"/>
      <c r="SZS141" s="3"/>
      <c r="SZT141" s="3"/>
      <c r="SZU141" s="3"/>
      <c r="SZV141" s="3"/>
      <c r="SZW141" s="3"/>
      <c r="SZX141" s="3"/>
      <c r="SZY141" s="3"/>
      <c r="SZZ141" s="3"/>
      <c r="TAA141" s="3"/>
      <c r="TAB141" s="3"/>
      <c r="TAC141" s="3"/>
      <c r="TAD141" s="3"/>
      <c r="TAE141" s="3"/>
      <c r="TAF141" s="3"/>
      <c r="TAG141" s="3"/>
      <c r="TAH141" s="3"/>
      <c r="TAI141" s="3"/>
      <c r="TAJ141" s="3"/>
      <c r="TAK141" s="3"/>
      <c r="TAL141" s="3"/>
      <c r="TAM141" s="3"/>
      <c r="TAN141" s="3"/>
      <c r="TAO141" s="3"/>
      <c r="TAP141" s="3"/>
      <c r="TAQ141" s="3"/>
      <c r="TAR141" s="3"/>
      <c r="TAS141" s="3"/>
      <c r="TAT141" s="3"/>
      <c r="TAU141" s="3"/>
      <c r="TAV141" s="3"/>
      <c r="TAW141" s="3"/>
      <c r="TAX141" s="3"/>
      <c r="TAY141" s="3"/>
      <c r="TAZ141" s="3"/>
      <c r="TBA141" s="3"/>
      <c r="TBB141" s="3"/>
      <c r="TBC141" s="3"/>
      <c r="TBD141" s="3"/>
      <c r="TBE141" s="3"/>
      <c r="TBF141" s="3"/>
      <c r="TBG141" s="3"/>
      <c r="TBH141" s="3"/>
      <c r="TBI141" s="3"/>
      <c r="TBJ141" s="3"/>
      <c r="TBK141" s="3"/>
      <c r="TBL141" s="3"/>
      <c r="TBM141" s="3"/>
      <c r="TBN141" s="3"/>
      <c r="TBO141" s="3"/>
      <c r="TBP141" s="3"/>
      <c r="TBQ141" s="3"/>
      <c r="TBR141" s="3"/>
      <c r="TBS141" s="3"/>
      <c r="TBT141" s="3"/>
      <c r="TBU141" s="3"/>
      <c r="TBV141" s="3"/>
      <c r="TBW141" s="3"/>
      <c r="TBX141" s="3"/>
      <c r="TBY141" s="3"/>
      <c r="TBZ141" s="3"/>
      <c r="TCA141" s="3"/>
      <c r="TCB141" s="3"/>
      <c r="TCC141" s="3"/>
      <c r="TCD141" s="3"/>
      <c r="TCE141" s="3"/>
      <c r="TCF141" s="3"/>
      <c r="TCG141" s="3"/>
      <c r="TCH141" s="3"/>
      <c r="TCI141" s="3"/>
      <c r="TCJ141" s="3"/>
      <c r="TCK141" s="3"/>
      <c r="TCL141" s="3"/>
      <c r="TCM141" s="3"/>
      <c r="TCN141" s="3"/>
      <c r="TCO141" s="3"/>
      <c r="TCP141" s="3"/>
      <c r="TCQ141" s="3"/>
      <c r="TCR141" s="3"/>
      <c r="TCS141" s="3"/>
      <c r="TCT141" s="3"/>
      <c r="TCU141" s="3"/>
      <c r="TCV141" s="3"/>
      <c r="TCW141" s="3"/>
      <c r="TCX141" s="3"/>
      <c r="TCY141" s="3"/>
      <c r="TCZ141" s="3"/>
      <c r="TDA141" s="3"/>
      <c r="TDB141" s="3"/>
      <c r="TDC141" s="3"/>
      <c r="TDD141" s="3"/>
      <c r="TDE141" s="3"/>
      <c r="TDF141" s="3"/>
      <c r="TDG141" s="3"/>
      <c r="TDH141" s="3"/>
      <c r="TDI141" s="3"/>
      <c r="TDJ141" s="3"/>
      <c r="TDK141" s="3"/>
      <c r="TDL141" s="3"/>
      <c r="TDM141" s="3"/>
      <c r="TDN141" s="3"/>
      <c r="TDO141" s="3"/>
      <c r="TDP141" s="3"/>
      <c r="TDQ141" s="3"/>
      <c r="TDR141" s="3"/>
      <c r="TDS141" s="3"/>
      <c r="TDT141" s="3"/>
      <c r="TDU141" s="3"/>
      <c r="TDV141" s="3"/>
      <c r="TDW141" s="3"/>
      <c r="TDX141" s="3"/>
      <c r="TDY141" s="3"/>
      <c r="TDZ141" s="3"/>
      <c r="TEA141" s="3"/>
      <c r="TEB141" s="3"/>
      <c r="TEC141" s="3"/>
      <c r="TED141" s="3"/>
      <c r="TEE141" s="3"/>
      <c r="TEF141" s="3"/>
      <c r="TEG141" s="3"/>
      <c r="TEH141" s="3"/>
      <c r="TEI141" s="3"/>
      <c r="TEJ141" s="3"/>
      <c r="TEK141" s="3"/>
      <c r="TEL141" s="3"/>
      <c r="TEM141" s="3"/>
      <c r="TEN141" s="3"/>
      <c r="TEO141" s="3"/>
      <c r="TEP141" s="3"/>
      <c r="TEQ141" s="3"/>
      <c r="TER141" s="3"/>
      <c r="TES141" s="3"/>
      <c r="TET141" s="3"/>
      <c r="TEU141" s="3"/>
      <c r="TEV141" s="3"/>
      <c r="TEW141" s="3"/>
      <c r="TEX141" s="3"/>
      <c r="TEY141" s="3"/>
      <c r="TEZ141" s="3"/>
      <c r="TFA141" s="3"/>
      <c r="TFB141" s="3"/>
      <c r="TFC141" s="3"/>
      <c r="TFD141" s="3"/>
      <c r="TFE141" s="3"/>
      <c r="TFF141" s="3"/>
      <c r="TFG141" s="3"/>
      <c r="TFH141" s="3"/>
      <c r="TFI141" s="3"/>
      <c r="TFJ141" s="3"/>
      <c r="TFK141" s="3"/>
      <c r="TFL141" s="3"/>
      <c r="TFM141" s="3"/>
      <c r="TFN141" s="3"/>
      <c r="TFO141" s="3"/>
      <c r="TFP141" s="3"/>
      <c r="TFQ141" s="3"/>
      <c r="TFR141" s="3"/>
      <c r="TFS141" s="3"/>
      <c r="TFT141" s="3"/>
      <c r="TFU141" s="3"/>
      <c r="TFV141" s="3"/>
      <c r="TFW141" s="3"/>
      <c r="TFX141" s="3"/>
      <c r="TFY141" s="3"/>
      <c r="TFZ141" s="3"/>
      <c r="TGA141" s="3"/>
      <c r="TGB141" s="3"/>
      <c r="TGC141" s="3"/>
      <c r="TGD141" s="3"/>
      <c r="TGE141" s="3"/>
      <c r="TGF141" s="3"/>
      <c r="TGG141" s="3"/>
      <c r="TGH141" s="3"/>
      <c r="TGI141" s="3"/>
      <c r="TGJ141" s="3"/>
      <c r="TGK141" s="3"/>
      <c r="TGL141" s="3"/>
      <c r="TGM141" s="3"/>
      <c r="TGN141" s="3"/>
      <c r="TGO141" s="3"/>
      <c r="TGP141" s="3"/>
      <c r="TGQ141" s="3"/>
      <c r="TGR141" s="3"/>
      <c r="TGS141" s="3"/>
      <c r="TGT141" s="3"/>
      <c r="TGU141" s="3"/>
      <c r="TGV141" s="3"/>
      <c r="TGW141" s="3"/>
      <c r="TGX141" s="3"/>
      <c r="TGY141" s="3"/>
      <c r="TGZ141" s="3"/>
      <c r="THA141" s="3"/>
      <c r="THB141" s="3"/>
      <c r="THC141" s="3"/>
      <c r="THD141" s="3"/>
      <c r="THE141" s="3"/>
      <c r="THF141" s="3"/>
      <c r="THG141" s="3"/>
      <c r="THH141" s="3"/>
      <c r="THI141" s="3"/>
      <c r="THJ141" s="3"/>
      <c r="THK141" s="3"/>
      <c r="THL141" s="3"/>
      <c r="THM141" s="3"/>
      <c r="THN141" s="3"/>
      <c r="THO141" s="3"/>
      <c r="THP141" s="3"/>
      <c r="THQ141" s="3"/>
      <c r="THR141" s="3"/>
      <c r="THS141" s="3"/>
      <c r="THT141" s="3"/>
      <c r="THU141" s="3"/>
      <c r="THV141" s="3"/>
      <c r="THW141" s="3"/>
      <c r="THX141" s="3"/>
      <c r="THY141" s="3"/>
      <c r="THZ141" s="3"/>
      <c r="TIA141" s="3"/>
      <c r="TIB141" s="3"/>
      <c r="TIC141" s="3"/>
      <c r="TID141" s="3"/>
      <c r="TIE141" s="3"/>
      <c r="TIF141" s="3"/>
      <c r="TIG141" s="3"/>
      <c r="TIH141" s="3"/>
      <c r="TII141" s="3"/>
      <c r="TIJ141" s="3"/>
      <c r="TIK141" s="3"/>
      <c r="TIL141" s="3"/>
      <c r="TIM141" s="3"/>
      <c r="TIN141" s="3"/>
      <c r="TIO141" s="3"/>
      <c r="TIP141" s="3"/>
      <c r="TIQ141" s="3"/>
      <c r="TIR141" s="3"/>
      <c r="TIS141" s="3"/>
      <c r="TIT141" s="3"/>
      <c r="TIU141" s="3"/>
      <c r="TIV141" s="3"/>
      <c r="TIW141" s="3"/>
      <c r="TIX141" s="3"/>
      <c r="TIY141" s="3"/>
      <c r="TIZ141" s="3"/>
      <c r="TJA141" s="3"/>
      <c r="TJB141" s="3"/>
      <c r="TJC141" s="3"/>
      <c r="TJD141" s="3"/>
      <c r="TJE141" s="3"/>
      <c r="TJF141" s="3"/>
      <c r="TJG141" s="3"/>
      <c r="TJH141" s="3"/>
      <c r="TJI141" s="3"/>
      <c r="TJJ141" s="3"/>
      <c r="TJK141" s="3"/>
      <c r="TJL141" s="3"/>
      <c r="TJM141" s="3"/>
      <c r="TJN141" s="3"/>
      <c r="TJO141" s="3"/>
      <c r="TJP141" s="3"/>
      <c r="TJQ141" s="3"/>
      <c r="TJR141" s="3"/>
      <c r="TJS141" s="3"/>
      <c r="TJT141" s="3"/>
      <c r="TJU141" s="3"/>
      <c r="TJV141" s="3"/>
      <c r="TJW141" s="3"/>
      <c r="TJX141" s="3"/>
      <c r="TJY141" s="3"/>
      <c r="TJZ141" s="3"/>
      <c r="TKA141" s="3"/>
      <c r="TKB141" s="3"/>
      <c r="TKC141" s="3"/>
      <c r="TKD141" s="3"/>
      <c r="TKE141" s="3"/>
      <c r="TKF141" s="3"/>
      <c r="TKG141" s="3"/>
      <c r="TKH141" s="3"/>
      <c r="TKI141" s="3"/>
      <c r="TKJ141" s="3"/>
      <c r="TKK141" s="3"/>
      <c r="TKL141" s="3"/>
      <c r="TKM141" s="3"/>
      <c r="TKN141" s="3"/>
      <c r="TKO141" s="3"/>
      <c r="TKP141" s="3"/>
      <c r="TKQ141" s="3"/>
      <c r="TKR141" s="3"/>
      <c r="TKS141" s="3"/>
      <c r="TKT141" s="3"/>
      <c r="TKU141" s="3"/>
      <c r="TKV141" s="3"/>
      <c r="TKW141" s="3"/>
      <c r="TKX141" s="3"/>
      <c r="TKY141" s="3"/>
      <c r="TKZ141" s="3"/>
      <c r="TLA141" s="3"/>
      <c r="TLB141" s="3"/>
      <c r="TLC141" s="3"/>
      <c r="TLD141" s="3"/>
      <c r="TLE141" s="3"/>
      <c r="TLF141" s="3"/>
      <c r="TLG141" s="3"/>
      <c r="TLH141" s="3"/>
      <c r="TLI141" s="3"/>
      <c r="TLJ141" s="3"/>
      <c r="TLK141" s="3"/>
      <c r="TLL141" s="3"/>
      <c r="TLM141" s="3"/>
      <c r="TLN141" s="3"/>
      <c r="TLO141" s="3"/>
      <c r="TLP141" s="3"/>
      <c r="TLQ141" s="3"/>
      <c r="TLR141" s="3"/>
      <c r="TLS141" s="3"/>
      <c r="TLT141" s="3"/>
      <c r="TLU141" s="3"/>
      <c r="TLV141" s="3"/>
      <c r="TLW141" s="3"/>
      <c r="TLX141" s="3"/>
      <c r="TLY141" s="3"/>
      <c r="TLZ141" s="3"/>
      <c r="TMA141" s="3"/>
      <c r="TMB141" s="3"/>
      <c r="TMC141" s="3"/>
      <c r="TMD141" s="3"/>
      <c r="TME141" s="3"/>
      <c r="TMF141" s="3"/>
      <c r="TMG141" s="3"/>
      <c r="TMH141" s="3"/>
      <c r="TMI141" s="3"/>
      <c r="TMJ141" s="3"/>
      <c r="TMK141" s="3"/>
      <c r="TML141" s="3"/>
      <c r="TMM141" s="3"/>
      <c r="TMN141" s="3"/>
      <c r="TMO141" s="3"/>
      <c r="TMP141" s="3"/>
      <c r="TMQ141" s="3"/>
      <c r="TMR141" s="3"/>
      <c r="TMS141" s="3"/>
      <c r="TMT141" s="3"/>
      <c r="TMU141" s="3"/>
      <c r="TMV141" s="3"/>
      <c r="TMW141" s="3"/>
      <c r="TMX141" s="3"/>
      <c r="TMY141" s="3"/>
      <c r="TMZ141" s="3"/>
      <c r="TNA141" s="3"/>
      <c r="TNB141" s="3"/>
      <c r="TNC141" s="3"/>
      <c r="TND141" s="3"/>
      <c r="TNE141" s="3"/>
      <c r="TNF141" s="3"/>
      <c r="TNG141" s="3"/>
      <c r="TNH141" s="3"/>
      <c r="TNI141" s="3"/>
      <c r="TNJ141" s="3"/>
      <c r="TNK141" s="3"/>
      <c r="TNL141" s="3"/>
      <c r="TNM141" s="3"/>
      <c r="TNN141" s="3"/>
      <c r="TNO141" s="3"/>
      <c r="TNP141" s="3"/>
      <c r="TNQ141" s="3"/>
      <c r="TNR141" s="3"/>
      <c r="TNS141" s="3"/>
      <c r="TNT141" s="3"/>
      <c r="TNU141" s="3"/>
      <c r="TNV141" s="3"/>
      <c r="TNW141" s="3"/>
      <c r="TNX141" s="3"/>
      <c r="TNY141" s="3"/>
      <c r="TNZ141" s="3"/>
      <c r="TOA141" s="3"/>
      <c r="TOB141" s="3"/>
      <c r="TOC141" s="3"/>
      <c r="TOD141" s="3"/>
      <c r="TOE141" s="3"/>
      <c r="TOF141" s="3"/>
      <c r="TOG141" s="3"/>
      <c r="TOH141" s="3"/>
      <c r="TOI141" s="3"/>
      <c r="TOJ141" s="3"/>
      <c r="TOK141" s="3"/>
      <c r="TOL141" s="3"/>
      <c r="TOM141" s="3"/>
      <c r="TON141" s="3"/>
      <c r="TOO141" s="3"/>
      <c r="TOP141" s="3"/>
      <c r="TOQ141" s="3"/>
      <c r="TOR141" s="3"/>
      <c r="TOS141" s="3"/>
      <c r="TOT141" s="3"/>
      <c r="TOU141" s="3"/>
      <c r="TOV141" s="3"/>
      <c r="TOW141" s="3"/>
      <c r="TOX141" s="3"/>
      <c r="TOY141" s="3"/>
      <c r="TOZ141" s="3"/>
      <c r="TPA141" s="3"/>
      <c r="TPB141" s="3"/>
      <c r="TPC141" s="3"/>
      <c r="TPD141" s="3"/>
      <c r="TPE141" s="3"/>
      <c r="TPF141" s="3"/>
      <c r="TPG141" s="3"/>
      <c r="TPH141" s="3"/>
      <c r="TPI141" s="3"/>
      <c r="TPJ141" s="3"/>
      <c r="TPK141" s="3"/>
      <c r="TPL141" s="3"/>
      <c r="TPM141" s="3"/>
      <c r="TPN141" s="3"/>
      <c r="TPO141" s="3"/>
      <c r="TPP141" s="3"/>
      <c r="TPQ141" s="3"/>
      <c r="TPR141" s="3"/>
      <c r="TPS141" s="3"/>
      <c r="TPT141" s="3"/>
      <c r="TPU141" s="3"/>
      <c r="TPV141" s="3"/>
      <c r="TPW141" s="3"/>
      <c r="TPX141" s="3"/>
      <c r="TPY141" s="3"/>
      <c r="TPZ141" s="3"/>
      <c r="TQA141" s="3"/>
      <c r="TQB141" s="3"/>
      <c r="TQC141" s="3"/>
      <c r="TQD141" s="3"/>
      <c r="TQE141" s="3"/>
      <c r="TQF141" s="3"/>
      <c r="TQG141" s="3"/>
      <c r="TQH141" s="3"/>
      <c r="TQI141" s="3"/>
      <c r="TQJ141" s="3"/>
      <c r="TQK141" s="3"/>
      <c r="TQL141" s="3"/>
      <c r="TQM141" s="3"/>
      <c r="TQN141" s="3"/>
      <c r="TQO141" s="3"/>
      <c r="TQP141" s="3"/>
      <c r="TQQ141" s="3"/>
      <c r="TQR141" s="3"/>
      <c r="TQS141" s="3"/>
      <c r="TQT141" s="3"/>
      <c r="TQU141" s="3"/>
      <c r="TQV141" s="3"/>
      <c r="TQW141" s="3"/>
      <c r="TQX141" s="3"/>
      <c r="TQY141" s="3"/>
      <c r="TQZ141" s="3"/>
      <c r="TRA141" s="3"/>
      <c r="TRB141" s="3"/>
      <c r="TRC141" s="3"/>
      <c r="TRD141" s="3"/>
      <c r="TRE141" s="3"/>
      <c r="TRF141" s="3"/>
      <c r="TRG141" s="3"/>
      <c r="TRH141" s="3"/>
      <c r="TRI141" s="3"/>
      <c r="TRJ141" s="3"/>
      <c r="TRK141" s="3"/>
      <c r="TRL141" s="3"/>
      <c r="TRM141" s="3"/>
      <c r="TRN141" s="3"/>
      <c r="TRO141" s="3"/>
      <c r="TRP141" s="3"/>
      <c r="TRQ141" s="3"/>
      <c r="TRR141" s="3"/>
      <c r="TRS141" s="3"/>
      <c r="TRT141" s="3"/>
      <c r="TRU141" s="3"/>
      <c r="TRV141" s="3"/>
      <c r="TRW141" s="3"/>
      <c r="TRX141" s="3"/>
      <c r="TRY141" s="3"/>
      <c r="TRZ141" s="3"/>
      <c r="TSA141" s="3"/>
      <c r="TSB141" s="3"/>
      <c r="TSC141" s="3"/>
      <c r="TSD141" s="3"/>
      <c r="TSE141" s="3"/>
      <c r="TSF141" s="3"/>
      <c r="TSG141" s="3"/>
      <c r="TSH141" s="3"/>
      <c r="TSI141" s="3"/>
      <c r="TSJ141" s="3"/>
      <c r="TSK141" s="3"/>
      <c r="TSL141" s="3"/>
      <c r="TSM141" s="3"/>
      <c r="TSN141" s="3"/>
      <c r="TSO141" s="3"/>
      <c r="TSP141" s="3"/>
      <c r="TSQ141" s="3"/>
      <c r="TSR141" s="3"/>
      <c r="TSS141" s="3"/>
      <c r="TST141" s="3"/>
      <c r="TSU141" s="3"/>
      <c r="TSV141" s="3"/>
      <c r="TSW141" s="3"/>
      <c r="TSX141" s="3"/>
      <c r="TSY141" s="3"/>
      <c r="TSZ141" s="3"/>
      <c r="TTA141" s="3"/>
      <c r="TTB141" s="3"/>
      <c r="TTC141" s="3"/>
      <c r="TTD141" s="3"/>
      <c r="TTE141" s="3"/>
      <c r="TTF141" s="3"/>
      <c r="TTG141" s="3"/>
      <c r="TTH141" s="3"/>
      <c r="TTI141" s="3"/>
      <c r="TTJ141" s="3"/>
      <c r="TTK141" s="3"/>
      <c r="TTL141" s="3"/>
      <c r="TTM141" s="3"/>
      <c r="TTN141" s="3"/>
      <c r="TTO141" s="3"/>
      <c r="TTP141" s="3"/>
      <c r="TTQ141" s="3"/>
      <c r="TTR141" s="3"/>
      <c r="TTS141" s="3"/>
      <c r="TTT141" s="3"/>
      <c r="TTU141" s="3"/>
      <c r="TTV141" s="3"/>
      <c r="TTW141" s="3"/>
      <c r="TTX141" s="3"/>
      <c r="TTY141" s="3"/>
      <c r="TTZ141" s="3"/>
      <c r="TUA141" s="3"/>
      <c r="TUB141" s="3"/>
      <c r="TUC141" s="3"/>
      <c r="TUD141" s="3"/>
      <c r="TUE141" s="3"/>
      <c r="TUF141" s="3"/>
      <c r="TUG141" s="3"/>
      <c r="TUH141" s="3"/>
      <c r="TUI141" s="3"/>
      <c r="TUJ141" s="3"/>
      <c r="TUK141" s="3"/>
      <c r="TUL141" s="3"/>
      <c r="TUM141" s="3"/>
      <c r="TUN141" s="3"/>
      <c r="TUO141" s="3"/>
      <c r="TUP141" s="3"/>
      <c r="TUQ141" s="3"/>
      <c r="TUR141" s="3"/>
      <c r="TUS141" s="3"/>
      <c r="TUT141" s="3"/>
      <c r="TUU141" s="3"/>
      <c r="TUV141" s="3"/>
      <c r="TUW141" s="3"/>
      <c r="TUX141" s="3"/>
      <c r="TUY141" s="3"/>
      <c r="TUZ141" s="3"/>
      <c r="TVA141" s="3"/>
      <c r="TVB141" s="3"/>
      <c r="TVC141" s="3"/>
      <c r="TVD141" s="3"/>
      <c r="TVE141" s="3"/>
      <c r="TVF141" s="3"/>
      <c r="TVG141" s="3"/>
      <c r="TVH141" s="3"/>
      <c r="TVI141" s="3"/>
      <c r="TVJ141" s="3"/>
      <c r="TVK141" s="3"/>
      <c r="TVL141" s="3"/>
      <c r="TVM141" s="3"/>
      <c r="TVN141" s="3"/>
      <c r="TVO141" s="3"/>
      <c r="TVP141" s="3"/>
      <c r="TVQ141" s="3"/>
      <c r="TVR141" s="3"/>
      <c r="TVS141" s="3"/>
      <c r="TVT141" s="3"/>
      <c r="TVU141" s="3"/>
      <c r="TVV141" s="3"/>
      <c r="TVW141" s="3"/>
      <c r="TVX141" s="3"/>
      <c r="TVY141" s="3"/>
      <c r="TVZ141" s="3"/>
      <c r="TWA141" s="3"/>
      <c r="TWB141" s="3"/>
      <c r="TWC141" s="3"/>
      <c r="TWD141" s="3"/>
      <c r="TWE141" s="3"/>
      <c r="TWF141" s="3"/>
      <c r="TWG141" s="3"/>
      <c r="TWH141" s="3"/>
      <c r="TWI141" s="3"/>
      <c r="TWJ141" s="3"/>
      <c r="TWK141" s="3"/>
      <c r="TWL141" s="3"/>
      <c r="TWM141" s="3"/>
      <c r="TWN141" s="3"/>
      <c r="TWO141" s="3"/>
      <c r="TWP141" s="3"/>
      <c r="TWQ141" s="3"/>
      <c r="TWR141" s="3"/>
      <c r="TWS141" s="3"/>
      <c r="TWT141" s="3"/>
      <c r="TWU141" s="3"/>
      <c r="TWV141" s="3"/>
      <c r="TWW141" s="3"/>
      <c r="TWX141" s="3"/>
      <c r="TWY141" s="3"/>
      <c r="TWZ141" s="3"/>
      <c r="TXA141" s="3"/>
      <c r="TXB141" s="3"/>
      <c r="TXC141" s="3"/>
      <c r="TXD141" s="3"/>
      <c r="TXE141" s="3"/>
      <c r="TXF141" s="3"/>
      <c r="TXG141" s="3"/>
      <c r="TXH141" s="3"/>
      <c r="TXI141" s="3"/>
      <c r="TXJ141" s="3"/>
      <c r="TXK141" s="3"/>
      <c r="TXL141" s="3"/>
      <c r="TXM141" s="3"/>
      <c r="TXN141" s="3"/>
      <c r="TXO141" s="3"/>
      <c r="TXP141" s="3"/>
      <c r="TXQ141" s="3"/>
      <c r="TXR141" s="3"/>
      <c r="TXS141" s="3"/>
      <c r="TXT141" s="3"/>
      <c r="TXU141" s="3"/>
      <c r="TXV141" s="3"/>
      <c r="TXW141" s="3"/>
      <c r="TXX141" s="3"/>
      <c r="TXY141" s="3"/>
      <c r="TXZ141" s="3"/>
      <c r="TYA141" s="3"/>
      <c r="TYB141" s="3"/>
      <c r="TYC141" s="3"/>
      <c r="TYD141" s="3"/>
      <c r="TYE141" s="3"/>
      <c r="TYF141" s="3"/>
      <c r="TYG141" s="3"/>
      <c r="TYH141" s="3"/>
      <c r="TYI141" s="3"/>
      <c r="TYJ141" s="3"/>
      <c r="TYK141" s="3"/>
      <c r="TYL141" s="3"/>
      <c r="TYM141" s="3"/>
      <c r="TYN141" s="3"/>
      <c r="TYO141" s="3"/>
      <c r="TYP141" s="3"/>
      <c r="TYQ141" s="3"/>
      <c r="TYR141" s="3"/>
      <c r="TYS141" s="3"/>
      <c r="TYT141" s="3"/>
      <c r="TYU141" s="3"/>
      <c r="TYV141" s="3"/>
      <c r="TYW141" s="3"/>
      <c r="TYX141" s="3"/>
      <c r="TYY141" s="3"/>
      <c r="TYZ141" s="3"/>
      <c r="TZA141" s="3"/>
      <c r="TZB141" s="3"/>
      <c r="TZC141" s="3"/>
      <c r="TZD141" s="3"/>
      <c r="TZE141" s="3"/>
      <c r="TZF141" s="3"/>
      <c r="TZG141" s="3"/>
      <c r="TZH141" s="3"/>
      <c r="TZI141" s="3"/>
      <c r="TZJ141" s="3"/>
      <c r="TZK141" s="3"/>
      <c r="TZL141" s="3"/>
      <c r="TZM141" s="3"/>
      <c r="TZN141" s="3"/>
      <c r="TZO141" s="3"/>
      <c r="TZP141" s="3"/>
      <c r="TZQ141" s="3"/>
      <c r="TZR141" s="3"/>
      <c r="TZS141" s="3"/>
      <c r="TZT141" s="3"/>
      <c r="TZU141" s="3"/>
      <c r="TZV141" s="3"/>
      <c r="TZW141" s="3"/>
      <c r="TZX141" s="3"/>
      <c r="TZY141" s="3"/>
      <c r="TZZ141" s="3"/>
      <c r="UAA141" s="3"/>
      <c r="UAB141" s="3"/>
      <c r="UAC141" s="3"/>
      <c r="UAD141" s="3"/>
      <c r="UAE141" s="3"/>
      <c r="UAF141" s="3"/>
      <c r="UAG141" s="3"/>
      <c r="UAH141" s="3"/>
      <c r="UAI141" s="3"/>
      <c r="UAJ141" s="3"/>
      <c r="UAK141" s="3"/>
      <c r="UAL141" s="3"/>
      <c r="UAM141" s="3"/>
      <c r="UAN141" s="3"/>
      <c r="UAO141" s="3"/>
      <c r="UAP141" s="3"/>
      <c r="UAQ141" s="3"/>
      <c r="UAR141" s="3"/>
      <c r="UAS141" s="3"/>
      <c r="UAT141" s="3"/>
      <c r="UAU141" s="3"/>
      <c r="UAV141" s="3"/>
      <c r="UAW141" s="3"/>
      <c r="UAX141" s="3"/>
      <c r="UAY141" s="3"/>
      <c r="UAZ141" s="3"/>
      <c r="UBA141" s="3"/>
      <c r="UBB141" s="3"/>
      <c r="UBC141" s="3"/>
      <c r="UBD141" s="3"/>
      <c r="UBE141" s="3"/>
      <c r="UBF141" s="3"/>
      <c r="UBG141" s="3"/>
      <c r="UBH141" s="3"/>
      <c r="UBI141" s="3"/>
      <c r="UBJ141" s="3"/>
      <c r="UBK141" s="3"/>
      <c r="UBL141" s="3"/>
      <c r="UBM141" s="3"/>
      <c r="UBN141" s="3"/>
      <c r="UBO141" s="3"/>
      <c r="UBP141" s="3"/>
      <c r="UBQ141" s="3"/>
      <c r="UBR141" s="3"/>
      <c r="UBS141" s="3"/>
      <c r="UBT141" s="3"/>
      <c r="UBU141" s="3"/>
      <c r="UBV141" s="3"/>
      <c r="UBW141" s="3"/>
      <c r="UBX141" s="3"/>
      <c r="UBY141" s="3"/>
      <c r="UBZ141" s="3"/>
      <c r="UCA141" s="3"/>
      <c r="UCB141" s="3"/>
      <c r="UCC141" s="3"/>
      <c r="UCD141" s="3"/>
      <c r="UCE141" s="3"/>
      <c r="UCF141" s="3"/>
      <c r="UCG141" s="3"/>
      <c r="UCH141" s="3"/>
      <c r="UCI141" s="3"/>
      <c r="UCJ141" s="3"/>
      <c r="UCK141" s="3"/>
      <c r="UCL141" s="3"/>
      <c r="UCM141" s="3"/>
      <c r="UCN141" s="3"/>
      <c r="UCO141" s="3"/>
      <c r="UCP141" s="3"/>
      <c r="UCQ141" s="3"/>
      <c r="UCR141" s="3"/>
      <c r="UCS141" s="3"/>
      <c r="UCT141" s="3"/>
      <c r="UCU141" s="3"/>
      <c r="UCV141" s="3"/>
      <c r="UCW141" s="3"/>
      <c r="UCX141" s="3"/>
      <c r="UCY141" s="3"/>
      <c r="UCZ141" s="3"/>
      <c r="UDA141" s="3"/>
      <c r="UDB141" s="3"/>
      <c r="UDC141" s="3"/>
      <c r="UDD141" s="3"/>
      <c r="UDE141" s="3"/>
      <c r="UDF141" s="3"/>
      <c r="UDG141" s="3"/>
      <c r="UDH141" s="3"/>
      <c r="UDI141" s="3"/>
      <c r="UDJ141" s="3"/>
      <c r="UDK141" s="3"/>
      <c r="UDL141" s="3"/>
      <c r="UDM141" s="3"/>
      <c r="UDN141" s="3"/>
      <c r="UDO141" s="3"/>
      <c r="UDP141" s="3"/>
      <c r="UDQ141" s="3"/>
      <c r="UDR141" s="3"/>
      <c r="UDS141" s="3"/>
      <c r="UDT141" s="3"/>
      <c r="UDU141" s="3"/>
      <c r="UDV141" s="3"/>
      <c r="UDW141" s="3"/>
      <c r="UDX141" s="3"/>
      <c r="UDY141" s="3"/>
      <c r="UDZ141" s="3"/>
      <c r="UEA141" s="3"/>
      <c r="UEB141" s="3"/>
      <c r="UEC141" s="3"/>
      <c r="UED141" s="3"/>
      <c r="UEE141" s="3"/>
      <c r="UEF141" s="3"/>
      <c r="UEG141" s="3"/>
      <c r="UEH141" s="3"/>
      <c r="UEI141" s="3"/>
      <c r="UEJ141" s="3"/>
      <c r="UEK141" s="3"/>
      <c r="UEL141" s="3"/>
      <c r="UEM141" s="3"/>
      <c r="UEN141" s="3"/>
      <c r="UEO141" s="3"/>
      <c r="UEP141" s="3"/>
      <c r="UEQ141" s="3"/>
      <c r="UER141" s="3"/>
      <c r="UES141" s="3"/>
      <c r="UET141" s="3"/>
      <c r="UEU141" s="3"/>
      <c r="UEV141" s="3"/>
      <c r="UEW141" s="3"/>
      <c r="UEX141" s="3"/>
      <c r="UEY141" s="3"/>
      <c r="UEZ141" s="3"/>
      <c r="UFA141" s="3"/>
      <c r="UFB141" s="3"/>
      <c r="UFC141" s="3"/>
      <c r="UFD141" s="3"/>
      <c r="UFE141" s="3"/>
      <c r="UFF141" s="3"/>
      <c r="UFG141" s="3"/>
      <c r="UFH141" s="3"/>
      <c r="UFI141" s="3"/>
      <c r="UFJ141" s="3"/>
      <c r="UFK141" s="3"/>
      <c r="UFL141" s="3"/>
      <c r="UFM141" s="3"/>
      <c r="UFN141" s="3"/>
      <c r="UFO141" s="3"/>
      <c r="UFP141" s="3"/>
      <c r="UFQ141" s="3"/>
      <c r="UFR141" s="3"/>
      <c r="UFS141" s="3"/>
      <c r="UFT141" s="3"/>
      <c r="UFU141" s="3"/>
      <c r="UFV141" s="3"/>
      <c r="UFW141" s="3"/>
      <c r="UFX141" s="3"/>
      <c r="UFY141" s="3"/>
      <c r="UFZ141" s="3"/>
      <c r="UGA141" s="3"/>
      <c r="UGB141" s="3"/>
      <c r="UGC141" s="3"/>
      <c r="UGD141" s="3"/>
      <c r="UGE141" s="3"/>
      <c r="UGF141" s="3"/>
      <c r="UGG141" s="3"/>
      <c r="UGH141" s="3"/>
      <c r="UGI141" s="3"/>
      <c r="UGJ141" s="3"/>
      <c r="UGK141" s="3"/>
      <c r="UGL141" s="3"/>
      <c r="UGM141" s="3"/>
      <c r="UGN141" s="3"/>
      <c r="UGO141" s="3"/>
      <c r="UGP141" s="3"/>
      <c r="UGQ141" s="3"/>
      <c r="UGR141" s="3"/>
      <c r="UGS141" s="3"/>
      <c r="UGT141" s="3"/>
      <c r="UGU141" s="3"/>
      <c r="UGV141" s="3"/>
      <c r="UGW141" s="3"/>
      <c r="UGX141" s="3"/>
      <c r="UGY141" s="3"/>
      <c r="UGZ141" s="3"/>
      <c r="UHA141" s="3"/>
      <c r="UHB141" s="3"/>
      <c r="UHC141" s="3"/>
      <c r="UHD141" s="3"/>
      <c r="UHE141" s="3"/>
      <c r="UHF141" s="3"/>
      <c r="UHG141" s="3"/>
      <c r="UHH141" s="3"/>
      <c r="UHI141" s="3"/>
      <c r="UHJ141" s="3"/>
      <c r="UHK141" s="3"/>
      <c r="UHL141" s="3"/>
      <c r="UHM141" s="3"/>
      <c r="UHN141" s="3"/>
      <c r="UHO141" s="3"/>
      <c r="UHP141" s="3"/>
      <c r="UHQ141" s="3"/>
      <c r="UHR141" s="3"/>
      <c r="UHS141" s="3"/>
      <c r="UHT141" s="3"/>
      <c r="UHU141" s="3"/>
      <c r="UHV141" s="3"/>
      <c r="UHW141" s="3"/>
      <c r="UHX141" s="3"/>
      <c r="UHY141" s="3"/>
      <c r="UHZ141" s="3"/>
      <c r="UIA141" s="3"/>
      <c r="UIB141" s="3"/>
      <c r="UIC141" s="3"/>
      <c r="UID141" s="3"/>
      <c r="UIE141" s="3"/>
      <c r="UIF141" s="3"/>
      <c r="UIG141" s="3"/>
      <c r="UIH141" s="3"/>
      <c r="UII141" s="3"/>
      <c r="UIJ141" s="3"/>
      <c r="UIK141" s="3"/>
      <c r="UIL141" s="3"/>
      <c r="UIM141" s="3"/>
      <c r="UIN141" s="3"/>
      <c r="UIO141" s="3"/>
      <c r="UIP141" s="3"/>
      <c r="UIQ141" s="3"/>
      <c r="UIR141" s="3"/>
      <c r="UIS141" s="3"/>
      <c r="UIT141" s="3"/>
      <c r="UIU141" s="3"/>
      <c r="UIV141" s="3"/>
      <c r="UIW141" s="3"/>
      <c r="UIX141" s="3"/>
      <c r="UIY141" s="3"/>
      <c r="UIZ141" s="3"/>
      <c r="UJA141" s="3"/>
      <c r="UJB141" s="3"/>
      <c r="UJC141" s="3"/>
      <c r="UJD141" s="3"/>
      <c r="UJE141" s="3"/>
      <c r="UJF141" s="3"/>
      <c r="UJG141" s="3"/>
      <c r="UJH141" s="3"/>
      <c r="UJI141" s="3"/>
      <c r="UJJ141" s="3"/>
      <c r="UJK141" s="3"/>
      <c r="UJL141" s="3"/>
      <c r="UJM141" s="3"/>
      <c r="UJN141" s="3"/>
      <c r="UJO141" s="3"/>
      <c r="UJP141" s="3"/>
      <c r="UJQ141" s="3"/>
      <c r="UJR141" s="3"/>
      <c r="UJS141" s="3"/>
      <c r="UJT141" s="3"/>
      <c r="UJU141" s="3"/>
      <c r="UJV141" s="3"/>
      <c r="UJW141" s="3"/>
      <c r="UJX141" s="3"/>
      <c r="UJY141" s="3"/>
      <c r="UJZ141" s="3"/>
      <c r="UKA141" s="3"/>
      <c r="UKB141" s="3"/>
      <c r="UKC141" s="3"/>
      <c r="UKD141" s="3"/>
      <c r="UKE141" s="3"/>
      <c r="UKF141" s="3"/>
      <c r="UKG141" s="3"/>
      <c r="UKH141" s="3"/>
      <c r="UKI141" s="3"/>
      <c r="UKJ141" s="3"/>
      <c r="UKK141" s="3"/>
      <c r="UKL141" s="3"/>
      <c r="UKM141" s="3"/>
      <c r="UKN141" s="3"/>
      <c r="UKO141" s="3"/>
      <c r="UKP141" s="3"/>
      <c r="UKQ141" s="3"/>
      <c r="UKR141" s="3"/>
      <c r="UKS141" s="3"/>
      <c r="UKT141" s="3"/>
      <c r="UKU141" s="3"/>
      <c r="UKV141" s="3"/>
      <c r="UKW141" s="3"/>
      <c r="UKX141" s="3"/>
      <c r="UKY141" s="3"/>
      <c r="UKZ141" s="3"/>
      <c r="ULA141" s="3"/>
      <c r="ULB141" s="3"/>
      <c r="ULC141" s="3"/>
      <c r="ULD141" s="3"/>
      <c r="ULE141" s="3"/>
      <c r="ULF141" s="3"/>
      <c r="ULG141" s="3"/>
      <c r="ULH141" s="3"/>
      <c r="ULI141" s="3"/>
      <c r="ULJ141" s="3"/>
      <c r="ULK141" s="3"/>
      <c r="ULL141" s="3"/>
      <c r="ULM141" s="3"/>
      <c r="ULN141" s="3"/>
      <c r="ULO141" s="3"/>
      <c r="ULP141" s="3"/>
      <c r="ULQ141" s="3"/>
      <c r="ULR141" s="3"/>
      <c r="ULS141" s="3"/>
      <c r="ULT141" s="3"/>
      <c r="ULU141" s="3"/>
      <c r="ULV141" s="3"/>
      <c r="ULW141" s="3"/>
      <c r="ULX141" s="3"/>
      <c r="ULY141" s="3"/>
      <c r="ULZ141" s="3"/>
      <c r="UMA141" s="3"/>
      <c r="UMB141" s="3"/>
      <c r="UMC141" s="3"/>
      <c r="UMD141" s="3"/>
      <c r="UME141" s="3"/>
      <c r="UMF141" s="3"/>
      <c r="UMG141" s="3"/>
      <c r="UMH141" s="3"/>
      <c r="UMI141" s="3"/>
      <c r="UMJ141" s="3"/>
      <c r="UMK141" s="3"/>
      <c r="UML141" s="3"/>
      <c r="UMM141" s="3"/>
      <c r="UMN141" s="3"/>
      <c r="UMO141" s="3"/>
      <c r="UMP141" s="3"/>
      <c r="UMQ141" s="3"/>
      <c r="UMR141" s="3"/>
      <c r="UMS141" s="3"/>
      <c r="UMT141" s="3"/>
      <c r="UMU141" s="3"/>
      <c r="UMV141" s="3"/>
      <c r="UMW141" s="3"/>
      <c r="UMX141" s="3"/>
      <c r="UMY141" s="3"/>
      <c r="UMZ141" s="3"/>
      <c r="UNA141" s="3"/>
      <c r="UNB141" s="3"/>
      <c r="UNC141" s="3"/>
      <c r="UND141" s="3"/>
      <c r="UNE141" s="3"/>
      <c r="UNF141" s="3"/>
      <c r="UNG141" s="3"/>
      <c r="UNH141" s="3"/>
      <c r="UNI141" s="3"/>
      <c r="UNJ141" s="3"/>
      <c r="UNK141" s="3"/>
      <c r="UNL141" s="3"/>
      <c r="UNM141" s="3"/>
      <c r="UNN141" s="3"/>
      <c r="UNO141" s="3"/>
      <c r="UNP141" s="3"/>
      <c r="UNQ141" s="3"/>
      <c r="UNR141" s="3"/>
      <c r="UNS141" s="3"/>
      <c r="UNT141" s="3"/>
      <c r="UNU141" s="3"/>
      <c r="UNV141" s="3"/>
      <c r="UNW141" s="3"/>
      <c r="UNX141" s="3"/>
      <c r="UNY141" s="3"/>
      <c r="UNZ141" s="3"/>
      <c r="UOA141" s="3"/>
      <c r="UOB141" s="3"/>
      <c r="UOC141" s="3"/>
      <c r="UOD141" s="3"/>
      <c r="UOE141" s="3"/>
      <c r="UOF141" s="3"/>
      <c r="UOG141" s="3"/>
      <c r="UOH141" s="3"/>
      <c r="UOI141" s="3"/>
      <c r="UOJ141" s="3"/>
      <c r="UOK141" s="3"/>
      <c r="UOL141" s="3"/>
      <c r="UOM141" s="3"/>
      <c r="UON141" s="3"/>
      <c r="UOO141" s="3"/>
      <c r="UOP141" s="3"/>
      <c r="UOQ141" s="3"/>
      <c r="UOR141" s="3"/>
      <c r="UOS141" s="3"/>
      <c r="UOT141" s="3"/>
      <c r="UOU141" s="3"/>
      <c r="UOV141" s="3"/>
      <c r="UOW141" s="3"/>
      <c r="UOX141" s="3"/>
      <c r="UOY141" s="3"/>
      <c r="UOZ141" s="3"/>
      <c r="UPA141" s="3"/>
      <c r="UPB141" s="3"/>
      <c r="UPC141" s="3"/>
      <c r="UPD141" s="3"/>
      <c r="UPE141" s="3"/>
      <c r="UPF141" s="3"/>
      <c r="UPG141" s="3"/>
      <c r="UPH141" s="3"/>
      <c r="UPI141" s="3"/>
      <c r="UPJ141" s="3"/>
      <c r="UPK141" s="3"/>
      <c r="UPL141" s="3"/>
      <c r="UPM141" s="3"/>
      <c r="UPN141" s="3"/>
      <c r="UPO141" s="3"/>
      <c r="UPP141" s="3"/>
      <c r="UPQ141" s="3"/>
      <c r="UPR141" s="3"/>
      <c r="UPS141" s="3"/>
      <c r="UPT141" s="3"/>
      <c r="UPU141" s="3"/>
      <c r="UPV141" s="3"/>
      <c r="UPW141" s="3"/>
      <c r="UPX141" s="3"/>
      <c r="UPY141" s="3"/>
      <c r="UPZ141" s="3"/>
      <c r="UQA141" s="3"/>
      <c r="UQB141" s="3"/>
      <c r="UQC141" s="3"/>
      <c r="UQD141" s="3"/>
      <c r="UQE141" s="3"/>
      <c r="UQF141" s="3"/>
      <c r="UQG141" s="3"/>
      <c r="UQH141" s="3"/>
      <c r="UQI141" s="3"/>
      <c r="UQJ141" s="3"/>
      <c r="UQK141" s="3"/>
      <c r="UQL141" s="3"/>
      <c r="UQM141" s="3"/>
      <c r="UQN141" s="3"/>
      <c r="UQO141" s="3"/>
      <c r="UQP141" s="3"/>
      <c r="UQQ141" s="3"/>
      <c r="UQR141" s="3"/>
      <c r="UQS141" s="3"/>
      <c r="UQT141" s="3"/>
      <c r="UQU141" s="3"/>
      <c r="UQV141" s="3"/>
      <c r="UQW141" s="3"/>
      <c r="UQX141" s="3"/>
      <c r="UQY141" s="3"/>
      <c r="UQZ141" s="3"/>
      <c r="URA141" s="3"/>
      <c r="URB141" s="3"/>
      <c r="URC141" s="3"/>
      <c r="URD141" s="3"/>
      <c r="URE141" s="3"/>
      <c r="URF141" s="3"/>
      <c r="URG141" s="3"/>
      <c r="URH141" s="3"/>
      <c r="URI141" s="3"/>
      <c r="URJ141" s="3"/>
      <c r="URK141" s="3"/>
      <c r="URL141" s="3"/>
      <c r="URM141" s="3"/>
      <c r="URN141" s="3"/>
      <c r="URO141" s="3"/>
      <c r="URP141" s="3"/>
      <c r="URQ141" s="3"/>
      <c r="URR141" s="3"/>
      <c r="URS141" s="3"/>
      <c r="URT141" s="3"/>
      <c r="URU141" s="3"/>
      <c r="URV141" s="3"/>
      <c r="URW141" s="3"/>
      <c r="URX141" s="3"/>
      <c r="URY141" s="3"/>
      <c r="URZ141" s="3"/>
      <c r="USA141" s="3"/>
      <c r="USB141" s="3"/>
      <c r="USC141" s="3"/>
      <c r="USD141" s="3"/>
      <c r="USE141" s="3"/>
      <c r="USF141" s="3"/>
      <c r="USG141" s="3"/>
      <c r="USH141" s="3"/>
      <c r="USI141" s="3"/>
      <c r="USJ141" s="3"/>
      <c r="USK141" s="3"/>
      <c r="USL141" s="3"/>
      <c r="USM141" s="3"/>
      <c r="USN141" s="3"/>
      <c r="USO141" s="3"/>
      <c r="USP141" s="3"/>
      <c r="USQ141" s="3"/>
      <c r="USR141" s="3"/>
      <c r="USS141" s="3"/>
      <c r="UST141" s="3"/>
      <c r="USU141" s="3"/>
      <c r="USV141" s="3"/>
      <c r="USW141" s="3"/>
      <c r="USX141" s="3"/>
      <c r="USY141" s="3"/>
      <c r="USZ141" s="3"/>
      <c r="UTA141" s="3"/>
      <c r="UTB141" s="3"/>
      <c r="UTC141" s="3"/>
      <c r="UTD141" s="3"/>
      <c r="UTE141" s="3"/>
      <c r="UTF141" s="3"/>
      <c r="UTG141" s="3"/>
      <c r="UTH141" s="3"/>
      <c r="UTI141" s="3"/>
      <c r="UTJ141" s="3"/>
      <c r="UTK141" s="3"/>
      <c r="UTL141" s="3"/>
      <c r="UTM141" s="3"/>
      <c r="UTN141" s="3"/>
      <c r="UTO141" s="3"/>
      <c r="UTP141" s="3"/>
      <c r="UTQ141" s="3"/>
      <c r="UTR141" s="3"/>
      <c r="UTS141" s="3"/>
      <c r="UTT141" s="3"/>
      <c r="UTU141" s="3"/>
      <c r="UTV141" s="3"/>
      <c r="UTW141" s="3"/>
      <c r="UTX141" s="3"/>
      <c r="UTY141" s="3"/>
      <c r="UTZ141" s="3"/>
      <c r="UUA141" s="3"/>
      <c r="UUB141" s="3"/>
      <c r="UUC141" s="3"/>
      <c r="UUD141" s="3"/>
      <c r="UUE141" s="3"/>
      <c r="UUF141" s="3"/>
      <c r="UUG141" s="3"/>
      <c r="UUH141" s="3"/>
      <c r="UUI141" s="3"/>
      <c r="UUJ141" s="3"/>
      <c r="UUK141" s="3"/>
      <c r="UUL141" s="3"/>
      <c r="UUM141" s="3"/>
      <c r="UUN141" s="3"/>
      <c r="UUO141" s="3"/>
      <c r="UUP141" s="3"/>
      <c r="UUQ141" s="3"/>
      <c r="UUR141" s="3"/>
      <c r="UUS141" s="3"/>
      <c r="UUT141" s="3"/>
      <c r="UUU141" s="3"/>
      <c r="UUV141" s="3"/>
      <c r="UUW141" s="3"/>
      <c r="UUX141" s="3"/>
      <c r="UUY141" s="3"/>
      <c r="UUZ141" s="3"/>
      <c r="UVA141" s="3"/>
      <c r="UVB141" s="3"/>
      <c r="UVC141" s="3"/>
      <c r="UVD141" s="3"/>
      <c r="UVE141" s="3"/>
      <c r="UVF141" s="3"/>
      <c r="UVG141" s="3"/>
      <c r="UVH141" s="3"/>
      <c r="UVI141" s="3"/>
      <c r="UVJ141" s="3"/>
      <c r="UVK141" s="3"/>
      <c r="UVL141" s="3"/>
      <c r="UVM141" s="3"/>
      <c r="UVN141" s="3"/>
      <c r="UVO141" s="3"/>
      <c r="UVP141" s="3"/>
      <c r="UVQ141" s="3"/>
      <c r="UVR141" s="3"/>
      <c r="UVS141" s="3"/>
      <c r="UVT141" s="3"/>
      <c r="UVU141" s="3"/>
      <c r="UVV141" s="3"/>
      <c r="UVW141" s="3"/>
      <c r="UVX141" s="3"/>
      <c r="UVY141" s="3"/>
      <c r="UVZ141" s="3"/>
      <c r="UWA141" s="3"/>
      <c r="UWB141" s="3"/>
      <c r="UWC141" s="3"/>
      <c r="UWD141" s="3"/>
      <c r="UWE141" s="3"/>
      <c r="UWF141" s="3"/>
      <c r="UWG141" s="3"/>
      <c r="UWH141" s="3"/>
      <c r="UWI141" s="3"/>
      <c r="UWJ141" s="3"/>
      <c r="UWK141" s="3"/>
      <c r="UWL141" s="3"/>
      <c r="UWM141" s="3"/>
      <c r="UWN141" s="3"/>
      <c r="UWO141" s="3"/>
      <c r="UWP141" s="3"/>
      <c r="UWQ141" s="3"/>
      <c r="UWR141" s="3"/>
      <c r="UWS141" s="3"/>
      <c r="UWT141" s="3"/>
      <c r="UWU141" s="3"/>
      <c r="UWV141" s="3"/>
      <c r="UWW141" s="3"/>
      <c r="UWX141" s="3"/>
      <c r="UWY141" s="3"/>
      <c r="UWZ141" s="3"/>
      <c r="UXA141" s="3"/>
      <c r="UXB141" s="3"/>
      <c r="UXC141" s="3"/>
      <c r="UXD141" s="3"/>
      <c r="UXE141" s="3"/>
      <c r="UXF141" s="3"/>
      <c r="UXG141" s="3"/>
      <c r="UXH141" s="3"/>
      <c r="UXI141" s="3"/>
      <c r="UXJ141" s="3"/>
      <c r="UXK141" s="3"/>
      <c r="UXL141" s="3"/>
      <c r="UXM141" s="3"/>
      <c r="UXN141" s="3"/>
      <c r="UXO141" s="3"/>
      <c r="UXP141" s="3"/>
      <c r="UXQ141" s="3"/>
      <c r="UXR141" s="3"/>
      <c r="UXS141" s="3"/>
      <c r="UXT141" s="3"/>
      <c r="UXU141" s="3"/>
      <c r="UXV141" s="3"/>
      <c r="UXW141" s="3"/>
      <c r="UXX141" s="3"/>
      <c r="UXY141" s="3"/>
      <c r="UXZ141" s="3"/>
      <c r="UYA141" s="3"/>
      <c r="UYB141" s="3"/>
      <c r="UYC141" s="3"/>
      <c r="UYD141" s="3"/>
      <c r="UYE141" s="3"/>
      <c r="UYF141" s="3"/>
      <c r="UYG141" s="3"/>
      <c r="UYH141" s="3"/>
      <c r="UYI141" s="3"/>
      <c r="UYJ141" s="3"/>
      <c r="UYK141" s="3"/>
      <c r="UYL141" s="3"/>
      <c r="UYM141" s="3"/>
      <c r="UYN141" s="3"/>
      <c r="UYO141" s="3"/>
      <c r="UYP141" s="3"/>
      <c r="UYQ141" s="3"/>
      <c r="UYR141" s="3"/>
      <c r="UYS141" s="3"/>
      <c r="UYT141" s="3"/>
      <c r="UYU141" s="3"/>
      <c r="UYV141" s="3"/>
      <c r="UYW141" s="3"/>
      <c r="UYX141" s="3"/>
      <c r="UYY141" s="3"/>
      <c r="UYZ141" s="3"/>
      <c r="UZA141" s="3"/>
      <c r="UZB141" s="3"/>
      <c r="UZC141" s="3"/>
      <c r="UZD141" s="3"/>
      <c r="UZE141" s="3"/>
      <c r="UZF141" s="3"/>
      <c r="UZG141" s="3"/>
      <c r="UZH141" s="3"/>
      <c r="UZI141" s="3"/>
      <c r="UZJ141" s="3"/>
      <c r="UZK141" s="3"/>
      <c r="UZL141" s="3"/>
      <c r="UZM141" s="3"/>
      <c r="UZN141" s="3"/>
      <c r="UZO141" s="3"/>
      <c r="UZP141" s="3"/>
      <c r="UZQ141" s="3"/>
      <c r="UZR141" s="3"/>
      <c r="UZS141" s="3"/>
      <c r="UZT141" s="3"/>
      <c r="UZU141" s="3"/>
      <c r="UZV141" s="3"/>
      <c r="UZW141" s="3"/>
      <c r="UZX141" s="3"/>
      <c r="UZY141" s="3"/>
      <c r="UZZ141" s="3"/>
      <c r="VAA141" s="3"/>
      <c r="VAB141" s="3"/>
      <c r="VAC141" s="3"/>
      <c r="VAD141" s="3"/>
      <c r="VAE141" s="3"/>
      <c r="VAF141" s="3"/>
      <c r="VAG141" s="3"/>
      <c r="VAH141" s="3"/>
      <c r="VAI141" s="3"/>
      <c r="VAJ141" s="3"/>
      <c r="VAK141" s="3"/>
      <c r="VAL141" s="3"/>
      <c r="VAM141" s="3"/>
      <c r="VAN141" s="3"/>
      <c r="VAO141" s="3"/>
      <c r="VAP141" s="3"/>
      <c r="VAQ141" s="3"/>
      <c r="VAR141" s="3"/>
      <c r="VAS141" s="3"/>
      <c r="VAT141" s="3"/>
      <c r="VAU141" s="3"/>
      <c r="VAV141" s="3"/>
      <c r="VAW141" s="3"/>
      <c r="VAX141" s="3"/>
      <c r="VAY141" s="3"/>
      <c r="VAZ141" s="3"/>
      <c r="VBA141" s="3"/>
      <c r="VBB141" s="3"/>
      <c r="VBC141" s="3"/>
      <c r="VBD141" s="3"/>
      <c r="VBE141" s="3"/>
      <c r="VBF141" s="3"/>
      <c r="VBG141" s="3"/>
      <c r="VBH141" s="3"/>
      <c r="VBI141" s="3"/>
      <c r="VBJ141" s="3"/>
      <c r="VBK141" s="3"/>
      <c r="VBL141" s="3"/>
      <c r="VBM141" s="3"/>
      <c r="VBN141" s="3"/>
      <c r="VBO141" s="3"/>
      <c r="VBP141" s="3"/>
      <c r="VBQ141" s="3"/>
      <c r="VBR141" s="3"/>
      <c r="VBS141" s="3"/>
      <c r="VBT141" s="3"/>
      <c r="VBU141" s="3"/>
      <c r="VBV141" s="3"/>
      <c r="VBW141" s="3"/>
      <c r="VBX141" s="3"/>
      <c r="VBY141" s="3"/>
      <c r="VBZ141" s="3"/>
      <c r="VCA141" s="3"/>
      <c r="VCB141" s="3"/>
      <c r="VCC141" s="3"/>
      <c r="VCD141" s="3"/>
      <c r="VCE141" s="3"/>
      <c r="VCF141" s="3"/>
      <c r="VCG141" s="3"/>
      <c r="VCH141" s="3"/>
      <c r="VCI141" s="3"/>
      <c r="VCJ141" s="3"/>
      <c r="VCK141" s="3"/>
      <c r="VCL141" s="3"/>
      <c r="VCM141" s="3"/>
      <c r="VCN141" s="3"/>
      <c r="VCO141" s="3"/>
      <c r="VCP141" s="3"/>
      <c r="VCQ141" s="3"/>
      <c r="VCR141" s="3"/>
      <c r="VCS141" s="3"/>
      <c r="VCT141" s="3"/>
      <c r="VCU141" s="3"/>
      <c r="VCV141" s="3"/>
      <c r="VCW141" s="3"/>
      <c r="VCX141" s="3"/>
      <c r="VCY141" s="3"/>
      <c r="VCZ141" s="3"/>
      <c r="VDA141" s="3"/>
      <c r="VDB141" s="3"/>
      <c r="VDC141" s="3"/>
      <c r="VDD141" s="3"/>
      <c r="VDE141" s="3"/>
      <c r="VDF141" s="3"/>
      <c r="VDG141" s="3"/>
      <c r="VDH141" s="3"/>
      <c r="VDI141" s="3"/>
      <c r="VDJ141" s="3"/>
      <c r="VDK141" s="3"/>
      <c r="VDL141" s="3"/>
      <c r="VDM141" s="3"/>
      <c r="VDN141" s="3"/>
      <c r="VDO141" s="3"/>
      <c r="VDP141" s="3"/>
      <c r="VDQ141" s="3"/>
      <c r="VDR141" s="3"/>
      <c r="VDS141" s="3"/>
      <c r="VDT141" s="3"/>
      <c r="VDU141" s="3"/>
      <c r="VDV141" s="3"/>
      <c r="VDW141" s="3"/>
      <c r="VDX141" s="3"/>
      <c r="VDY141" s="3"/>
      <c r="VDZ141" s="3"/>
      <c r="VEA141" s="3"/>
      <c r="VEB141" s="3"/>
      <c r="VEC141" s="3"/>
      <c r="VED141" s="3"/>
      <c r="VEE141" s="3"/>
      <c r="VEF141" s="3"/>
      <c r="VEG141" s="3"/>
      <c r="VEH141" s="3"/>
      <c r="VEI141" s="3"/>
      <c r="VEJ141" s="3"/>
      <c r="VEK141" s="3"/>
      <c r="VEL141" s="3"/>
      <c r="VEM141" s="3"/>
      <c r="VEN141" s="3"/>
      <c r="VEO141" s="3"/>
      <c r="VEP141" s="3"/>
      <c r="VEQ141" s="3"/>
      <c r="VER141" s="3"/>
      <c r="VES141" s="3"/>
      <c r="VET141" s="3"/>
      <c r="VEU141" s="3"/>
      <c r="VEV141" s="3"/>
      <c r="VEW141" s="3"/>
      <c r="VEX141" s="3"/>
      <c r="VEY141" s="3"/>
      <c r="VEZ141" s="3"/>
      <c r="VFA141" s="3"/>
      <c r="VFB141" s="3"/>
      <c r="VFC141" s="3"/>
      <c r="VFD141" s="3"/>
      <c r="VFE141" s="3"/>
      <c r="VFF141" s="3"/>
      <c r="VFG141" s="3"/>
      <c r="VFH141" s="3"/>
      <c r="VFI141" s="3"/>
      <c r="VFJ141" s="3"/>
      <c r="VFK141" s="3"/>
      <c r="VFL141" s="3"/>
      <c r="VFM141" s="3"/>
      <c r="VFN141" s="3"/>
      <c r="VFO141" s="3"/>
      <c r="VFP141" s="3"/>
      <c r="VFQ141" s="3"/>
      <c r="VFR141" s="3"/>
      <c r="VFS141" s="3"/>
      <c r="VFT141" s="3"/>
      <c r="VFU141" s="3"/>
      <c r="VFV141" s="3"/>
      <c r="VFW141" s="3"/>
      <c r="VFX141" s="3"/>
      <c r="VFY141" s="3"/>
      <c r="VFZ141" s="3"/>
      <c r="VGA141" s="3"/>
      <c r="VGB141" s="3"/>
      <c r="VGC141" s="3"/>
      <c r="VGD141" s="3"/>
      <c r="VGE141" s="3"/>
      <c r="VGF141" s="3"/>
      <c r="VGG141" s="3"/>
      <c r="VGH141" s="3"/>
      <c r="VGI141" s="3"/>
      <c r="VGJ141" s="3"/>
      <c r="VGK141" s="3"/>
      <c r="VGL141" s="3"/>
      <c r="VGM141" s="3"/>
      <c r="VGN141" s="3"/>
      <c r="VGO141" s="3"/>
      <c r="VGP141" s="3"/>
      <c r="VGQ141" s="3"/>
      <c r="VGR141" s="3"/>
      <c r="VGS141" s="3"/>
      <c r="VGT141" s="3"/>
      <c r="VGU141" s="3"/>
      <c r="VGV141" s="3"/>
      <c r="VGW141" s="3"/>
      <c r="VGX141" s="3"/>
      <c r="VGY141" s="3"/>
      <c r="VGZ141" s="3"/>
      <c r="VHA141" s="3"/>
      <c r="VHB141" s="3"/>
      <c r="VHC141" s="3"/>
      <c r="VHD141" s="3"/>
      <c r="VHE141" s="3"/>
      <c r="VHF141" s="3"/>
      <c r="VHG141" s="3"/>
      <c r="VHH141" s="3"/>
      <c r="VHI141" s="3"/>
      <c r="VHJ141" s="3"/>
      <c r="VHK141" s="3"/>
      <c r="VHL141" s="3"/>
      <c r="VHM141"/>
      <c r="VHN141"/>
      <c r="VHO141"/>
      <c r="VHP141"/>
      <c r="VHQ141"/>
      <c r="VHR141"/>
      <c r="VHS141"/>
      <c r="VHT141"/>
      <c r="VHU141"/>
      <c r="VHV141"/>
      <c r="VHW141"/>
      <c r="VHX141"/>
      <c r="VHY141"/>
      <c r="VHZ141"/>
      <c r="VIA141"/>
      <c r="VIB141"/>
      <c r="VIC141"/>
      <c r="VID141"/>
      <c r="VIE141"/>
      <c r="VIF141"/>
      <c r="VIG141"/>
      <c r="VIH141"/>
      <c r="VII141"/>
      <c r="VIJ141"/>
      <c r="VIK141"/>
      <c r="VIL141"/>
      <c r="VIM141"/>
      <c r="VIN141"/>
      <c r="VIO141"/>
      <c r="VIP141"/>
      <c r="VIQ141"/>
      <c r="VIR141"/>
      <c r="VIS141"/>
      <c r="VIT141"/>
      <c r="VIU141"/>
      <c r="VIV141"/>
      <c r="VIW141"/>
      <c r="VIX141"/>
      <c r="VIY141"/>
      <c r="VIZ141"/>
      <c r="VJA141"/>
      <c r="VJB141"/>
      <c r="VJC141"/>
      <c r="VJD141"/>
      <c r="VJE141"/>
      <c r="VJF141"/>
      <c r="VJG141"/>
      <c r="VJH141"/>
      <c r="VJI141"/>
      <c r="VJJ141"/>
      <c r="VJK141"/>
      <c r="VJL141"/>
      <c r="VJM141"/>
      <c r="VJN141"/>
      <c r="VJO141"/>
      <c r="VJP141"/>
      <c r="VJQ141"/>
      <c r="VJR141"/>
      <c r="VJS141"/>
      <c r="VJT141"/>
      <c r="VJU141"/>
      <c r="VJV141"/>
      <c r="VJW141"/>
      <c r="VJX141"/>
      <c r="VJY141"/>
      <c r="VJZ141"/>
      <c r="VKA141"/>
      <c r="VKB141"/>
      <c r="VKC141"/>
      <c r="VKD141"/>
      <c r="VKE141"/>
      <c r="VKF141"/>
      <c r="VKG141"/>
      <c r="VKH141"/>
      <c r="VKI141"/>
      <c r="VKJ141"/>
      <c r="VKK141"/>
      <c r="VKL141"/>
      <c r="VKM141"/>
      <c r="VKN141"/>
      <c r="VKO141"/>
      <c r="VKP141"/>
      <c r="VKQ141"/>
      <c r="VKR141"/>
      <c r="VKS141"/>
      <c r="VKT141"/>
      <c r="VKU141"/>
      <c r="VKV141"/>
      <c r="VKW141"/>
      <c r="VKX141"/>
      <c r="VKY141"/>
      <c r="VKZ141"/>
      <c r="VLA141"/>
      <c r="VLB141"/>
      <c r="VLC141"/>
      <c r="VLD141"/>
      <c r="VLE141"/>
      <c r="VLF141"/>
      <c r="VLG141"/>
      <c r="VLH141"/>
      <c r="VLI141"/>
      <c r="VLJ141"/>
      <c r="VLK141"/>
      <c r="VLL141"/>
      <c r="VLM141"/>
      <c r="VLN141"/>
      <c r="VLO141"/>
      <c r="VLP141"/>
      <c r="VLQ141"/>
      <c r="VLR141"/>
      <c r="VLS141"/>
      <c r="VLT141"/>
      <c r="VLU141"/>
      <c r="VLV141"/>
      <c r="VLW141"/>
      <c r="VLX141"/>
      <c r="VLY141"/>
      <c r="VLZ141"/>
      <c r="VMA141"/>
      <c r="VMB141"/>
      <c r="VMC141"/>
      <c r="VMD141"/>
      <c r="VME141"/>
      <c r="VMF141"/>
      <c r="VMG141"/>
      <c r="VMH141"/>
      <c r="VMI141"/>
      <c r="VMJ141"/>
      <c r="VMK141"/>
      <c r="VML141"/>
      <c r="VMM141"/>
      <c r="VMN141"/>
      <c r="VMO141"/>
      <c r="VMP141"/>
      <c r="VMQ141"/>
      <c r="VMR141"/>
      <c r="VMS141"/>
      <c r="VMT141"/>
      <c r="VMU141"/>
      <c r="VMV141"/>
      <c r="VMW141"/>
      <c r="VMX141"/>
      <c r="VMY141"/>
      <c r="VMZ141"/>
      <c r="VNA141"/>
      <c r="VNB141"/>
      <c r="VNC141"/>
      <c r="VND141"/>
      <c r="VNE141"/>
      <c r="VNF141"/>
      <c r="VNG141"/>
      <c r="VNH141"/>
      <c r="VNI141"/>
      <c r="VNJ141"/>
      <c r="VNK141"/>
      <c r="VNL141"/>
      <c r="VNM141"/>
      <c r="VNN141"/>
      <c r="VNO141"/>
      <c r="VNP141"/>
      <c r="VNQ141"/>
      <c r="VNR141"/>
      <c r="VNS141"/>
      <c r="VNT141"/>
      <c r="VNU141"/>
      <c r="VNV141"/>
      <c r="VNW141"/>
      <c r="VNX141"/>
      <c r="VNY141"/>
      <c r="VNZ141"/>
      <c r="VOA141"/>
      <c r="VOB141"/>
      <c r="VOC141"/>
      <c r="VOD141"/>
      <c r="VOE141"/>
      <c r="VOF141"/>
      <c r="VOG141"/>
      <c r="VOH141"/>
      <c r="VOI141"/>
      <c r="VOJ141"/>
      <c r="VOK141"/>
      <c r="VOL141"/>
      <c r="VOM141"/>
      <c r="VON141"/>
      <c r="VOO141"/>
      <c r="VOP141"/>
      <c r="VOQ141"/>
      <c r="VOR141"/>
      <c r="VOS141"/>
      <c r="VOT141"/>
      <c r="VOU141"/>
      <c r="VOV141"/>
      <c r="VOW141"/>
      <c r="VOX141"/>
      <c r="VOY141"/>
      <c r="VOZ141"/>
      <c r="VPA141"/>
      <c r="VPB141"/>
      <c r="VPC141"/>
      <c r="VPD141"/>
      <c r="VPE141"/>
      <c r="VPF141"/>
      <c r="VPG141"/>
      <c r="VPH141"/>
      <c r="VPI141"/>
      <c r="VPJ141"/>
      <c r="VPK141"/>
      <c r="VPL141"/>
      <c r="VPM141"/>
      <c r="VPN141"/>
      <c r="VPO141"/>
      <c r="VPP141"/>
      <c r="VPQ141"/>
      <c r="VPR141"/>
      <c r="VPS141"/>
      <c r="VPT141"/>
      <c r="VPU141"/>
      <c r="VPV141"/>
      <c r="VPW141"/>
      <c r="VPX141"/>
      <c r="VPY141"/>
      <c r="VPZ141"/>
      <c r="VQA141"/>
      <c r="VQB141"/>
      <c r="VQC141"/>
      <c r="VQD141"/>
      <c r="VQE141"/>
      <c r="VQF141"/>
      <c r="VQG141"/>
      <c r="VQH141"/>
      <c r="VQI141"/>
      <c r="VQJ141"/>
      <c r="VQK141"/>
      <c r="VQL141"/>
      <c r="VQM141"/>
      <c r="VQN141"/>
      <c r="VQO141"/>
      <c r="VQP141"/>
      <c r="VQQ141"/>
      <c r="VQR141"/>
      <c r="VQS141"/>
      <c r="VQT141"/>
      <c r="VQU141"/>
      <c r="VQV141"/>
      <c r="VQW141"/>
      <c r="VQX141"/>
      <c r="VQY141"/>
      <c r="VQZ141"/>
      <c r="VRA141"/>
      <c r="VRB141"/>
      <c r="VRC141"/>
      <c r="VRD141"/>
      <c r="VRE141"/>
      <c r="VRF141"/>
      <c r="VRG141"/>
      <c r="VRH141"/>
      <c r="VRI141"/>
      <c r="VRJ141"/>
      <c r="VRK141"/>
      <c r="VRL141"/>
      <c r="VRM141"/>
      <c r="VRN141"/>
      <c r="VRO141"/>
      <c r="VRP141"/>
      <c r="VRQ141"/>
      <c r="VRR141"/>
      <c r="VRS141"/>
      <c r="VRT141"/>
      <c r="VRU141"/>
      <c r="VRV141"/>
      <c r="VRW141"/>
      <c r="VRX141"/>
      <c r="VRY141"/>
      <c r="VRZ141"/>
      <c r="VSA141"/>
      <c r="VSB141"/>
      <c r="VSC141"/>
      <c r="VSD141"/>
      <c r="VSE141"/>
      <c r="VSF141"/>
      <c r="VSG141"/>
      <c r="VSH141"/>
      <c r="VSI141"/>
      <c r="VSJ141"/>
      <c r="VSK141"/>
      <c r="VSL141"/>
      <c r="VSM141"/>
      <c r="VSN141"/>
      <c r="VSO141"/>
      <c r="VSP141"/>
      <c r="VSQ141"/>
      <c r="VSR141"/>
      <c r="VSS141"/>
      <c r="VST141"/>
      <c r="VSU141"/>
      <c r="VSV141"/>
      <c r="VSW141"/>
      <c r="VSX141"/>
      <c r="VSY141"/>
      <c r="VSZ141"/>
      <c r="VTA141"/>
      <c r="VTB141"/>
      <c r="VTC141"/>
      <c r="VTD141"/>
      <c r="VTE141"/>
      <c r="VTF141"/>
      <c r="VTG141"/>
      <c r="VTH141"/>
      <c r="VTI141"/>
      <c r="VTJ141"/>
      <c r="VTK141"/>
      <c r="VTL141"/>
      <c r="VTM141"/>
      <c r="VTN141"/>
      <c r="VTO141"/>
      <c r="VTP141"/>
      <c r="VTQ141"/>
      <c r="VTR141"/>
      <c r="VTS141"/>
      <c r="VTT141"/>
      <c r="VTU141"/>
      <c r="VTV141"/>
      <c r="VTW141"/>
      <c r="VTX141"/>
      <c r="VTY141"/>
      <c r="VTZ141"/>
      <c r="VUA141"/>
      <c r="VUB141"/>
      <c r="VUC141"/>
      <c r="VUD141"/>
      <c r="VUE141"/>
      <c r="VUF141"/>
      <c r="VUG141"/>
      <c r="VUH141"/>
      <c r="VUI141"/>
      <c r="VUJ141"/>
      <c r="VUK141"/>
      <c r="VUL141"/>
      <c r="VUM141"/>
      <c r="VUN141"/>
      <c r="VUO141"/>
      <c r="VUP141"/>
      <c r="VUQ141"/>
      <c r="VUR141"/>
      <c r="VUS141"/>
      <c r="VUT141"/>
      <c r="VUU141"/>
      <c r="VUV141"/>
      <c r="VUW141"/>
      <c r="VUX141"/>
      <c r="VUY141"/>
      <c r="VUZ141"/>
      <c r="VVA141"/>
      <c r="VVB141"/>
      <c r="VVC141"/>
      <c r="VVD141"/>
      <c r="VVE141"/>
      <c r="VVF141"/>
      <c r="VVG141"/>
      <c r="VVH141"/>
      <c r="VVI141"/>
      <c r="VVJ141"/>
      <c r="VVK141"/>
      <c r="VVL141"/>
      <c r="VVM141"/>
      <c r="VVN141"/>
      <c r="VVO141"/>
      <c r="VVP141"/>
      <c r="VVQ141"/>
      <c r="VVR141"/>
      <c r="VVS141"/>
      <c r="VVT141"/>
      <c r="VVU141"/>
      <c r="VVV141"/>
      <c r="VVW141"/>
      <c r="VVX141"/>
      <c r="VVY141"/>
      <c r="VVZ141"/>
      <c r="VWA141"/>
      <c r="VWB141"/>
      <c r="VWC141"/>
      <c r="VWD141"/>
      <c r="VWE141"/>
      <c r="VWF141"/>
      <c r="VWG141"/>
      <c r="VWH141"/>
      <c r="VWI141"/>
      <c r="VWJ141"/>
      <c r="VWK141"/>
      <c r="VWL141"/>
      <c r="VWM141"/>
      <c r="VWN141"/>
      <c r="VWO141"/>
    </row>
    <row r="142" spans="1:15485" s="1" customFormat="1" ht="14.25" hidden="1">
      <c r="B142" s="75"/>
      <c r="C142" s="238" t="s">
        <v>68</v>
      </c>
      <c r="D142" s="79"/>
      <c r="E142" s="75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125"/>
      <c r="AL142" s="173" t="s">
        <v>68</v>
      </c>
      <c r="AN142" s="126"/>
    </row>
    <row r="143" spans="1:15485" s="1" customFormat="1" ht="14.25" hidden="1">
      <c r="B143" s="75"/>
      <c r="C143" s="157" t="s">
        <v>136</v>
      </c>
      <c r="D143" s="74">
        <v>0.3</v>
      </c>
      <c r="E143" s="239" t="s">
        <v>12</v>
      </c>
      <c r="F143" s="91" t="e">
        <f t="shared" ref="F143:AJ143" si="96">F136/F125*100</f>
        <v>#DIV/0!</v>
      </c>
      <c r="G143" s="91" t="e">
        <f t="shared" si="96"/>
        <v>#DIV/0!</v>
      </c>
      <c r="H143" s="91" t="e">
        <f t="shared" si="96"/>
        <v>#DIV/0!</v>
      </c>
      <c r="I143" s="91" t="e">
        <f t="shared" si="96"/>
        <v>#DIV/0!</v>
      </c>
      <c r="J143" s="91" t="e">
        <f t="shared" si="96"/>
        <v>#DIV/0!</v>
      </c>
      <c r="K143" s="91">
        <f t="shared" si="96"/>
        <v>0</v>
      </c>
      <c r="L143" s="91">
        <f t="shared" si="96"/>
        <v>0</v>
      </c>
      <c r="M143" s="91">
        <f t="shared" si="96"/>
        <v>0</v>
      </c>
      <c r="N143" s="91" t="e">
        <f t="shared" si="96"/>
        <v>#DIV/0!</v>
      </c>
      <c r="O143" s="91">
        <f t="shared" si="96"/>
        <v>0</v>
      </c>
      <c r="P143" s="91" t="e">
        <f t="shared" si="96"/>
        <v>#DIV/0!</v>
      </c>
      <c r="Q143" s="91" t="e">
        <f t="shared" si="96"/>
        <v>#DIV/0!</v>
      </c>
      <c r="R143" s="91" t="e">
        <f t="shared" si="96"/>
        <v>#DIV/0!</v>
      </c>
      <c r="S143" s="91" t="e">
        <f t="shared" si="96"/>
        <v>#DIV/0!</v>
      </c>
      <c r="T143" s="91" t="e">
        <f t="shared" si="96"/>
        <v>#DIV/0!</v>
      </c>
      <c r="U143" s="91" t="e">
        <f t="shared" si="96"/>
        <v>#DIV/0!</v>
      </c>
      <c r="V143" s="91" t="e">
        <f t="shared" si="96"/>
        <v>#DIV/0!</v>
      </c>
      <c r="W143" s="91" t="e">
        <f t="shared" si="96"/>
        <v>#DIV/0!</v>
      </c>
      <c r="X143" s="91">
        <f t="shared" si="96"/>
        <v>0</v>
      </c>
      <c r="Y143" s="91">
        <f t="shared" si="96"/>
        <v>0</v>
      </c>
      <c r="Z143" s="91">
        <f t="shared" si="96"/>
        <v>0</v>
      </c>
      <c r="AA143" s="91" t="e">
        <f t="shared" si="96"/>
        <v>#DIV/0!</v>
      </c>
      <c r="AB143" s="91" t="e">
        <f t="shared" si="96"/>
        <v>#DIV/0!</v>
      </c>
      <c r="AC143" s="91" t="e">
        <f t="shared" si="96"/>
        <v>#DIV/0!</v>
      </c>
      <c r="AD143" s="91" t="e">
        <f t="shared" si="96"/>
        <v>#DIV/0!</v>
      </c>
      <c r="AE143" s="91" t="e">
        <f t="shared" si="96"/>
        <v>#DIV/0!</v>
      </c>
      <c r="AF143" s="91">
        <f t="shared" si="96"/>
        <v>0</v>
      </c>
      <c r="AG143" s="91">
        <f t="shared" si="96"/>
        <v>0</v>
      </c>
      <c r="AH143" s="91">
        <f t="shared" si="96"/>
        <v>0</v>
      </c>
      <c r="AI143" s="91" t="e">
        <f t="shared" ref="AI143" si="97">AI136/AI125*100</f>
        <v>#DIV/0!</v>
      </c>
      <c r="AJ143" s="91" t="e">
        <f t="shared" si="96"/>
        <v>#DIV/0!</v>
      </c>
      <c r="AK143" s="125"/>
      <c r="AL143" s="127">
        <f>AL136/AL125*100</f>
        <v>0</v>
      </c>
      <c r="AN143" s="126"/>
    </row>
    <row r="144" spans="1:15485" s="1" customFormat="1" ht="14.25" hidden="1">
      <c r="B144" s="75"/>
      <c r="C144" s="157" t="s">
        <v>137</v>
      </c>
      <c r="D144" s="74">
        <v>0.3</v>
      </c>
      <c r="E144" s="239" t="s">
        <v>12</v>
      </c>
      <c r="F144" s="91" t="e">
        <f t="shared" ref="F144:AJ144" si="98">F137/F127*100</f>
        <v>#DIV/0!</v>
      </c>
      <c r="G144" s="91" t="e">
        <f t="shared" si="98"/>
        <v>#DIV/0!</v>
      </c>
      <c r="H144" s="91" t="e">
        <f t="shared" si="98"/>
        <v>#DIV/0!</v>
      </c>
      <c r="I144" s="91" t="e">
        <f t="shared" si="98"/>
        <v>#DIV/0!</v>
      </c>
      <c r="J144" s="91" t="e">
        <f t="shared" si="98"/>
        <v>#DIV/0!</v>
      </c>
      <c r="K144" s="91" t="e">
        <f t="shared" si="98"/>
        <v>#DIV/0!</v>
      </c>
      <c r="L144" s="91" t="e">
        <f t="shared" si="98"/>
        <v>#DIV/0!</v>
      </c>
      <c r="M144" s="91" t="e">
        <f t="shared" si="98"/>
        <v>#DIV/0!</v>
      </c>
      <c r="N144" s="91" t="e">
        <f t="shared" si="98"/>
        <v>#DIV/0!</v>
      </c>
      <c r="O144" s="91" t="e">
        <f t="shared" si="98"/>
        <v>#DIV/0!</v>
      </c>
      <c r="P144" s="91" t="e">
        <f t="shared" si="98"/>
        <v>#DIV/0!</v>
      </c>
      <c r="Q144" s="91" t="e">
        <f t="shared" si="98"/>
        <v>#DIV/0!</v>
      </c>
      <c r="R144" s="91" t="e">
        <f t="shared" si="98"/>
        <v>#DIV/0!</v>
      </c>
      <c r="S144" s="91" t="e">
        <f t="shared" si="98"/>
        <v>#DIV/0!</v>
      </c>
      <c r="T144" s="91" t="e">
        <f t="shared" si="98"/>
        <v>#DIV/0!</v>
      </c>
      <c r="U144" s="91">
        <f t="shared" si="98"/>
        <v>0</v>
      </c>
      <c r="V144" s="91" t="e">
        <f t="shared" si="98"/>
        <v>#DIV/0!</v>
      </c>
      <c r="W144" s="91" t="e">
        <f t="shared" si="98"/>
        <v>#DIV/0!</v>
      </c>
      <c r="X144" s="91" t="e">
        <f t="shared" si="98"/>
        <v>#DIV/0!</v>
      </c>
      <c r="Y144" s="91" t="e">
        <f t="shared" si="98"/>
        <v>#DIV/0!</v>
      </c>
      <c r="Z144" s="91" t="e">
        <f t="shared" si="98"/>
        <v>#DIV/0!</v>
      </c>
      <c r="AA144" s="91" t="e">
        <f t="shared" si="98"/>
        <v>#DIV/0!</v>
      </c>
      <c r="AB144" s="91" t="e">
        <f t="shared" si="98"/>
        <v>#DIV/0!</v>
      </c>
      <c r="AC144" s="91" t="e">
        <f t="shared" si="98"/>
        <v>#DIV/0!</v>
      </c>
      <c r="AD144" s="91" t="e">
        <f t="shared" si="98"/>
        <v>#DIV/0!</v>
      </c>
      <c r="AE144" s="91" t="e">
        <f t="shared" si="98"/>
        <v>#DIV/0!</v>
      </c>
      <c r="AF144" s="91" t="e">
        <f t="shared" si="98"/>
        <v>#DIV/0!</v>
      </c>
      <c r="AG144" s="91" t="e">
        <f t="shared" si="98"/>
        <v>#DIV/0!</v>
      </c>
      <c r="AH144" s="91" t="e">
        <f t="shared" si="98"/>
        <v>#DIV/0!</v>
      </c>
      <c r="AI144" s="91" t="e">
        <f t="shared" ref="AI144" si="99">AI137/AI127*100</f>
        <v>#DIV/0!</v>
      </c>
      <c r="AJ144" s="91" t="e">
        <f t="shared" si="98"/>
        <v>#DIV/0!</v>
      </c>
      <c r="AK144" s="125"/>
      <c r="AL144" s="127">
        <f>AL137/AL127*100</f>
        <v>0</v>
      </c>
      <c r="AN144" s="126"/>
    </row>
    <row r="145" spans="2:60" s="1" customFormat="1" ht="14.25" hidden="1">
      <c r="B145" s="75"/>
      <c r="C145" s="238" t="s">
        <v>72</v>
      </c>
      <c r="D145" s="74"/>
      <c r="E145" s="75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125"/>
      <c r="AL145" s="173" t="s">
        <v>72</v>
      </c>
      <c r="AN145" s="126"/>
    </row>
    <row r="146" spans="2:60" s="1" customFormat="1" ht="14.25" hidden="1">
      <c r="B146" s="75"/>
      <c r="C146" s="157" t="s">
        <v>136</v>
      </c>
      <c r="D146" s="74">
        <v>0.5</v>
      </c>
      <c r="E146" s="239" t="s">
        <v>12</v>
      </c>
      <c r="F146" s="91" t="e">
        <f t="shared" ref="F146:AJ146" si="100">F139/F129*100</f>
        <v>#DIV/0!</v>
      </c>
      <c r="G146" s="91" t="e">
        <f t="shared" si="100"/>
        <v>#DIV/0!</v>
      </c>
      <c r="H146" s="91" t="e">
        <f t="shared" si="100"/>
        <v>#DIV/0!</v>
      </c>
      <c r="I146" s="91" t="e">
        <f t="shared" si="100"/>
        <v>#DIV/0!</v>
      </c>
      <c r="J146" s="91" t="e">
        <f t="shared" si="100"/>
        <v>#DIV/0!</v>
      </c>
      <c r="K146" s="91">
        <f t="shared" si="100"/>
        <v>0</v>
      </c>
      <c r="L146" s="91">
        <f t="shared" si="100"/>
        <v>0</v>
      </c>
      <c r="M146" s="91">
        <f t="shared" si="100"/>
        <v>0</v>
      </c>
      <c r="N146" s="91" t="e">
        <f t="shared" si="100"/>
        <v>#DIV/0!</v>
      </c>
      <c r="O146" s="91">
        <f t="shared" si="100"/>
        <v>0</v>
      </c>
      <c r="P146" s="91" t="e">
        <f t="shared" si="100"/>
        <v>#DIV/0!</v>
      </c>
      <c r="Q146" s="91" t="e">
        <f t="shared" si="100"/>
        <v>#DIV/0!</v>
      </c>
      <c r="R146" s="91" t="e">
        <f t="shared" si="100"/>
        <v>#DIV/0!</v>
      </c>
      <c r="S146" s="91" t="e">
        <f t="shared" si="100"/>
        <v>#DIV/0!</v>
      </c>
      <c r="T146" s="91" t="e">
        <f t="shared" si="100"/>
        <v>#DIV/0!</v>
      </c>
      <c r="U146" s="91" t="e">
        <f t="shared" si="100"/>
        <v>#DIV/0!</v>
      </c>
      <c r="V146" s="91" t="e">
        <f t="shared" si="100"/>
        <v>#DIV/0!</v>
      </c>
      <c r="W146" s="91" t="e">
        <f t="shared" si="100"/>
        <v>#DIV/0!</v>
      </c>
      <c r="X146" s="91">
        <f t="shared" si="100"/>
        <v>0</v>
      </c>
      <c r="Y146" s="91">
        <f t="shared" si="100"/>
        <v>0</v>
      </c>
      <c r="Z146" s="91">
        <f t="shared" si="100"/>
        <v>0</v>
      </c>
      <c r="AA146" s="91" t="e">
        <f t="shared" si="100"/>
        <v>#DIV/0!</v>
      </c>
      <c r="AB146" s="91" t="e">
        <f t="shared" si="100"/>
        <v>#DIV/0!</v>
      </c>
      <c r="AC146" s="91" t="e">
        <f t="shared" si="100"/>
        <v>#DIV/0!</v>
      </c>
      <c r="AD146" s="91" t="e">
        <f t="shared" si="100"/>
        <v>#DIV/0!</v>
      </c>
      <c r="AE146" s="91" t="e">
        <f t="shared" si="100"/>
        <v>#DIV/0!</v>
      </c>
      <c r="AF146" s="91">
        <f t="shared" si="100"/>
        <v>0</v>
      </c>
      <c r="AG146" s="91">
        <f t="shared" si="100"/>
        <v>0</v>
      </c>
      <c r="AH146" s="91">
        <f t="shared" si="100"/>
        <v>0</v>
      </c>
      <c r="AI146" s="91" t="e">
        <f t="shared" ref="AI146" si="101">AI139/AI129*100</f>
        <v>#DIV/0!</v>
      </c>
      <c r="AJ146" s="91" t="e">
        <f t="shared" si="100"/>
        <v>#DIV/0!</v>
      </c>
      <c r="AK146" s="125"/>
      <c r="AL146" s="127">
        <f>AL139/AL129*100</f>
        <v>0</v>
      </c>
      <c r="AN146" s="126"/>
    </row>
    <row r="147" spans="2:60" s="1" customFormat="1" ht="14.25" hidden="1">
      <c r="B147" s="75"/>
      <c r="C147" s="157" t="s">
        <v>137</v>
      </c>
      <c r="D147" s="74">
        <v>0.5</v>
      </c>
      <c r="E147" s="239" t="s">
        <v>12</v>
      </c>
      <c r="F147" s="91" t="e">
        <f t="shared" ref="F147:AJ147" si="102">F140/F131*100</f>
        <v>#DIV/0!</v>
      </c>
      <c r="G147" s="91" t="e">
        <f t="shared" si="102"/>
        <v>#DIV/0!</v>
      </c>
      <c r="H147" s="91" t="e">
        <f t="shared" si="102"/>
        <v>#DIV/0!</v>
      </c>
      <c r="I147" s="91" t="e">
        <f t="shared" si="102"/>
        <v>#DIV/0!</v>
      </c>
      <c r="J147" s="91" t="e">
        <f t="shared" si="102"/>
        <v>#DIV/0!</v>
      </c>
      <c r="K147" s="91" t="e">
        <f t="shared" si="102"/>
        <v>#DIV/0!</v>
      </c>
      <c r="L147" s="91" t="e">
        <f t="shared" si="102"/>
        <v>#DIV/0!</v>
      </c>
      <c r="M147" s="91" t="e">
        <f t="shared" si="102"/>
        <v>#DIV/0!</v>
      </c>
      <c r="N147" s="91" t="e">
        <f t="shared" si="102"/>
        <v>#DIV/0!</v>
      </c>
      <c r="O147" s="91" t="e">
        <f t="shared" si="102"/>
        <v>#DIV/0!</v>
      </c>
      <c r="P147" s="91" t="e">
        <f t="shared" si="102"/>
        <v>#DIV/0!</v>
      </c>
      <c r="Q147" s="91" t="e">
        <f t="shared" si="102"/>
        <v>#DIV/0!</v>
      </c>
      <c r="R147" s="91" t="e">
        <f t="shared" si="102"/>
        <v>#DIV/0!</v>
      </c>
      <c r="S147" s="91" t="e">
        <f t="shared" si="102"/>
        <v>#DIV/0!</v>
      </c>
      <c r="T147" s="91" t="e">
        <f t="shared" si="102"/>
        <v>#DIV/0!</v>
      </c>
      <c r="U147" s="91">
        <f t="shared" si="102"/>
        <v>0</v>
      </c>
      <c r="V147" s="91" t="e">
        <f t="shared" si="102"/>
        <v>#DIV/0!</v>
      </c>
      <c r="W147" s="91" t="e">
        <f t="shared" si="102"/>
        <v>#DIV/0!</v>
      </c>
      <c r="X147" s="91" t="e">
        <f t="shared" si="102"/>
        <v>#DIV/0!</v>
      </c>
      <c r="Y147" s="91" t="e">
        <f t="shared" si="102"/>
        <v>#DIV/0!</v>
      </c>
      <c r="Z147" s="91" t="e">
        <f t="shared" si="102"/>
        <v>#DIV/0!</v>
      </c>
      <c r="AA147" s="91" t="e">
        <f t="shared" si="102"/>
        <v>#DIV/0!</v>
      </c>
      <c r="AB147" s="91" t="e">
        <f t="shared" si="102"/>
        <v>#DIV/0!</v>
      </c>
      <c r="AC147" s="91" t="e">
        <f t="shared" si="102"/>
        <v>#DIV/0!</v>
      </c>
      <c r="AD147" s="91" t="e">
        <f t="shared" si="102"/>
        <v>#DIV/0!</v>
      </c>
      <c r="AE147" s="91" t="e">
        <f t="shared" si="102"/>
        <v>#DIV/0!</v>
      </c>
      <c r="AF147" s="91" t="e">
        <f t="shared" si="102"/>
        <v>#DIV/0!</v>
      </c>
      <c r="AG147" s="91" t="e">
        <f t="shared" si="102"/>
        <v>#DIV/0!</v>
      </c>
      <c r="AH147" s="91" t="e">
        <f t="shared" si="102"/>
        <v>#DIV/0!</v>
      </c>
      <c r="AI147" s="91" t="e">
        <f t="shared" ref="AI147" si="103">AI140/AI131*100</f>
        <v>#DIV/0!</v>
      </c>
      <c r="AJ147" s="91" t="e">
        <f t="shared" si="102"/>
        <v>#DIV/0!</v>
      </c>
      <c r="AK147" s="125"/>
      <c r="AL147" s="127">
        <f>AL140/AL131*100</f>
        <v>0</v>
      </c>
      <c r="AN147" s="126"/>
    </row>
    <row r="148" spans="2:60">
      <c r="B148" s="58">
        <v>8</v>
      </c>
      <c r="C148" s="222" t="s">
        <v>83</v>
      </c>
      <c r="D148" s="59"/>
      <c r="E148" s="88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131"/>
      <c r="AL148" s="138" t="s">
        <v>84</v>
      </c>
    </row>
    <row r="149" spans="2:60" s="1" customFormat="1">
      <c r="B149" s="65"/>
      <c r="C149" s="219" t="s">
        <v>85</v>
      </c>
      <c r="D149" s="79"/>
      <c r="E149" s="239" t="s">
        <v>86</v>
      </c>
      <c r="F149" s="91">
        <v>0</v>
      </c>
      <c r="G149" s="163">
        <v>292.36429999999382</v>
      </c>
      <c r="H149" s="161">
        <f>0.3054048*1000</f>
        <v>305.40479999999997</v>
      </c>
      <c r="I149" s="165">
        <v>973.18520000000001</v>
      </c>
      <c r="J149" s="165">
        <v>1562.1184000000001</v>
      </c>
      <c r="K149" s="165">
        <v>1680.9786999999999</v>
      </c>
      <c r="L149" s="165">
        <v>1414.9094</v>
      </c>
      <c r="M149" s="165">
        <v>1452.5306</v>
      </c>
      <c r="N149" s="165">
        <v>1464.2998</v>
      </c>
      <c r="O149" s="165">
        <v>1450.307</v>
      </c>
      <c r="P149" s="165">
        <v>1410.6158</v>
      </c>
      <c r="Q149" s="165">
        <v>1406.9285</v>
      </c>
      <c r="R149" s="165">
        <v>1478.6445000000001</v>
      </c>
      <c r="S149" s="165">
        <v>1452.5979</v>
      </c>
      <c r="T149" s="165">
        <v>1361.7008000000001</v>
      </c>
      <c r="U149" s="167">
        <v>1231.7937999999999</v>
      </c>
      <c r="V149" s="167">
        <v>1204.4146000000001</v>
      </c>
      <c r="W149" s="167">
        <v>1238.9662000000001</v>
      </c>
      <c r="X149" s="167">
        <v>1248.8861999999999</v>
      </c>
      <c r="Y149" s="167">
        <v>1237.1469</v>
      </c>
      <c r="Z149" s="167">
        <v>1174.8531</v>
      </c>
      <c r="AA149" s="165">
        <v>1319.1795999999999</v>
      </c>
      <c r="AB149" s="167">
        <v>1381.7617</v>
      </c>
      <c r="AC149" s="165">
        <v>1278.6461999999999</v>
      </c>
      <c r="AD149" s="165">
        <v>1337.3388</v>
      </c>
      <c r="AE149" s="167">
        <v>1324.0198</v>
      </c>
      <c r="AF149" s="167">
        <v>1247.0219999999999</v>
      </c>
      <c r="AG149" s="167">
        <v>1284.7329</v>
      </c>
      <c r="AH149" s="167">
        <v>1215.7421999999999</v>
      </c>
      <c r="AI149" s="167">
        <v>1184.8779</v>
      </c>
      <c r="AJ149" s="167">
        <v>1285.7324000000001</v>
      </c>
      <c r="AK149" s="125"/>
      <c r="AL149" s="178">
        <f>SUM(F149:AJ149)</f>
        <v>37901.699999999997</v>
      </c>
      <c r="AN149" s="126"/>
    </row>
    <row r="150" spans="2:60" s="5" customFormat="1">
      <c r="B150" s="80"/>
      <c r="C150" s="224" t="s">
        <v>87</v>
      </c>
      <c r="D150" s="162">
        <v>1269.566</v>
      </c>
      <c r="E150" s="225" t="s">
        <v>86</v>
      </c>
      <c r="F150" s="274">
        <v>0</v>
      </c>
      <c r="G150" s="163">
        <v>18.369599999999998</v>
      </c>
      <c r="H150" s="163">
        <v>747.91279999999995</v>
      </c>
      <c r="I150" s="165">
        <v>1400.7539999999999</v>
      </c>
      <c r="J150" s="161">
        <v>1494.0867000000001</v>
      </c>
      <c r="K150" s="166">
        <v>1251.0693000000001</v>
      </c>
      <c r="L150" s="268">
        <v>1279.5748000000001</v>
      </c>
      <c r="M150" s="165">
        <v>1293.2394999999999</v>
      </c>
      <c r="N150" s="165">
        <v>1337.2913000000001</v>
      </c>
      <c r="O150" s="167">
        <v>1266.7521999999999</v>
      </c>
      <c r="P150" s="165">
        <v>1333.3063999999999</v>
      </c>
      <c r="Q150" s="165">
        <v>1352.6065000000001</v>
      </c>
      <c r="R150" s="165">
        <v>1317.0299</v>
      </c>
      <c r="S150" s="167">
        <v>1261.5872999999999</v>
      </c>
      <c r="T150" s="167">
        <v>1138.2207000000001</v>
      </c>
      <c r="U150" s="167">
        <v>1112.3947000000001</v>
      </c>
      <c r="V150" s="167">
        <v>1144.6552999999999</v>
      </c>
      <c r="W150" s="167">
        <v>1174.4693</v>
      </c>
      <c r="X150" s="167">
        <v>1146.2182</v>
      </c>
      <c r="Y150" s="167">
        <v>1086.5976000000001</v>
      </c>
      <c r="Z150" s="167">
        <v>1227.1335999999999</v>
      </c>
      <c r="AA150" s="165">
        <v>1281.6559</v>
      </c>
      <c r="AB150" s="167">
        <v>1182.4992</v>
      </c>
      <c r="AC150" s="167">
        <v>1229.9712999999999</v>
      </c>
      <c r="AD150" s="167">
        <v>1226.5518999999999</v>
      </c>
      <c r="AE150" s="167">
        <v>1146.6214</v>
      </c>
      <c r="AF150" s="167">
        <v>1189.1955</v>
      </c>
      <c r="AG150" s="272">
        <v>1126.4177</v>
      </c>
      <c r="AH150" s="167">
        <v>1086.2360000000001</v>
      </c>
      <c r="AI150" s="167">
        <v>1188.4267</v>
      </c>
      <c r="AJ150" s="167">
        <v>1222.4603999999999</v>
      </c>
      <c r="AK150" s="129"/>
      <c r="AL150" s="179">
        <f>SUM(F150:AJ150)</f>
        <v>35263.305699999997</v>
      </c>
      <c r="AM150" s="294"/>
      <c r="AN150" s="283">
        <f>AL150/AL22</f>
        <v>1259.403775</v>
      </c>
    </row>
    <row r="151" spans="2:60">
      <c r="B151" s="81"/>
      <c r="C151" s="242" t="s">
        <v>88</v>
      </c>
      <c r="D151" s="79"/>
      <c r="E151" s="81"/>
      <c r="F151" s="274"/>
      <c r="G151" s="163"/>
      <c r="H151" s="163"/>
      <c r="I151" s="64"/>
      <c r="J151" s="163"/>
      <c r="K151" s="166"/>
      <c r="L151" s="166"/>
      <c r="M151" s="64"/>
      <c r="N151" s="64"/>
      <c r="O151" s="64"/>
      <c r="P151" s="64"/>
      <c r="Q151" s="191"/>
      <c r="R151" s="191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91"/>
      <c r="AD151" s="91"/>
      <c r="AE151" s="91"/>
      <c r="AF151" s="91"/>
      <c r="AG151" s="91"/>
      <c r="AH151" s="91"/>
      <c r="AI151" s="91"/>
      <c r="AJ151" s="91"/>
      <c r="AK151" s="131"/>
      <c r="AL151" s="200" t="s">
        <v>88</v>
      </c>
    </row>
    <row r="152" spans="2:60">
      <c r="B152" s="81"/>
      <c r="C152" s="226" t="s">
        <v>89</v>
      </c>
      <c r="D152" s="74">
        <v>253.91319999999999</v>
      </c>
      <c r="E152" s="227" t="s">
        <v>86</v>
      </c>
      <c r="F152" s="274">
        <v>0</v>
      </c>
      <c r="G152" s="198">
        <v>0</v>
      </c>
      <c r="H152" s="163">
        <v>104.1211603920467</v>
      </c>
      <c r="I152" s="167">
        <v>247.83490903908864</v>
      </c>
      <c r="J152" s="163">
        <v>261.61899945133251</v>
      </c>
      <c r="K152" s="166">
        <v>232.55848440962353</v>
      </c>
      <c r="L152" s="166">
        <v>260.79989875047312</v>
      </c>
      <c r="M152" s="167">
        <v>247.28854185499461</v>
      </c>
      <c r="N152" s="167">
        <v>263.35078409928741</v>
      </c>
      <c r="O152" s="167">
        <v>271.6628445155601</v>
      </c>
      <c r="P152" s="167">
        <v>266.8226389912399</v>
      </c>
      <c r="Q152" s="167">
        <v>279.10586999625986</v>
      </c>
      <c r="R152" s="167">
        <v>239.94728983983129</v>
      </c>
      <c r="S152" s="167">
        <v>199.00015074429197</v>
      </c>
      <c r="T152" s="167">
        <v>186.12549535725074</v>
      </c>
      <c r="U152" s="167">
        <v>186.95165785641902</v>
      </c>
      <c r="V152" s="167">
        <v>199.23490975289852</v>
      </c>
      <c r="W152" s="167">
        <v>172.64024221451785</v>
      </c>
      <c r="X152" s="167">
        <v>164.19876151644854</v>
      </c>
      <c r="Y152" s="167">
        <v>150.82331111535154</v>
      </c>
      <c r="Z152" s="167">
        <v>168.05826653780039</v>
      </c>
      <c r="AA152" s="167">
        <v>174.3829196422102</v>
      </c>
      <c r="AB152" s="167">
        <v>185.48177930963581</v>
      </c>
      <c r="AC152" s="167">
        <v>175.33653808047205</v>
      </c>
      <c r="AD152" s="167">
        <v>176.27695180849869</v>
      </c>
      <c r="AE152" s="167">
        <v>184.61409440027194</v>
      </c>
      <c r="AF152" s="167">
        <v>172.11539333210305</v>
      </c>
      <c r="AG152" s="167">
        <v>197.54687616990185</v>
      </c>
      <c r="AH152" s="167">
        <v>184.60969933351549</v>
      </c>
      <c r="AI152" s="167">
        <v>190.3054964825107</v>
      </c>
      <c r="AJ152" s="167">
        <v>182.63701065691492</v>
      </c>
      <c r="AK152" s="131"/>
      <c r="AL152" s="201">
        <f>SUM(F152:AJ152)</f>
        <v>5925.4509756507505</v>
      </c>
      <c r="AM152" s="263"/>
      <c r="BH152" s="263"/>
    </row>
    <row r="153" spans="2:60">
      <c r="B153" s="81"/>
      <c r="C153" s="226" t="s">
        <v>90</v>
      </c>
      <c r="D153" s="74">
        <v>1015.6528</v>
      </c>
      <c r="E153" s="227" t="s">
        <v>86</v>
      </c>
      <c r="F153" s="274">
        <f t="shared" ref="F153:AJ153" si="104">F154-F152</f>
        <v>0</v>
      </c>
      <c r="G153" s="163">
        <f t="shared" si="104"/>
        <v>18.369599999999998</v>
      </c>
      <c r="H153" s="163">
        <f t="shared" si="104"/>
        <v>643.79163960795324</v>
      </c>
      <c r="I153" s="167">
        <f t="shared" si="104"/>
        <v>1152.9190909609113</v>
      </c>
      <c r="J153" s="163">
        <f t="shared" si="104"/>
        <v>1232.4677005486676</v>
      </c>
      <c r="K153" s="166">
        <f t="shared" si="104"/>
        <v>1018.5108155903765</v>
      </c>
      <c r="L153" s="166">
        <f t="shared" si="104"/>
        <v>1018.7749012495269</v>
      </c>
      <c r="M153" s="167">
        <f t="shared" si="104"/>
        <v>1045.9509581450052</v>
      </c>
      <c r="N153" s="167">
        <f t="shared" si="104"/>
        <v>1073.9405159007126</v>
      </c>
      <c r="O153" s="167">
        <f t="shared" si="104"/>
        <v>995.08935548443981</v>
      </c>
      <c r="P153" s="167">
        <f t="shared" si="104"/>
        <v>1066.48376100876</v>
      </c>
      <c r="Q153" s="167">
        <f t="shared" si="104"/>
        <v>1073.5006300037403</v>
      </c>
      <c r="R153" s="167">
        <f t="shared" si="104"/>
        <v>1077.0826101601688</v>
      </c>
      <c r="S153" s="167">
        <f t="shared" si="104"/>
        <v>1062.587149255708</v>
      </c>
      <c r="T153" s="167">
        <f t="shared" si="104"/>
        <v>952.09520464274931</v>
      </c>
      <c r="U153" s="167">
        <f t="shared" si="104"/>
        <v>925.44304214358101</v>
      </c>
      <c r="V153" s="167">
        <f t="shared" si="104"/>
        <v>945.42039024710141</v>
      </c>
      <c r="W153" s="167">
        <f t="shared" si="104"/>
        <v>1001.8290577854821</v>
      </c>
      <c r="X153" s="167">
        <f t="shared" si="104"/>
        <v>982.01943848355154</v>
      </c>
      <c r="Y153" s="167">
        <f t="shared" si="104"/>
        <v>935.77428888464851</v>
      </c>
      <c r="Z153" s="167">
        <f t="shared" si="104"/>
        <v>1059.0753334621995</v>
      </c>
      <c r="AA153" s="167">
        <f t="shared" si="104"/>
        <v>1107.2729803577897</v>
      </c>
      <c r="AB153" s="167">
        <f t="shared" si="104"/>
        <v>997.01742069036413</v>
      </c>
      <c r="AC153" s="167">
        <f t="shared" si="104"/>
        <v>1054.6347619195278</v>
      </c>
      <c r="AD153" s="167">
        <f t="shared" si="104"/>
        <v>1050.2749481915012</v>
      </c>
      <c r="AE153" s="167">
        <f t="shared" si="104"/>
        <v>962.00730559972806</v>
      </c>
      <c r="AF153" s="167">
        <f t="shared" si="104"/>
        <v>1017.080106667897</v>
      </c>
      <c r="AG153" s="167">
        <f t="shared" si="104"/>
        <v>928.87082383009806</v>
      </c>
      <c r="AH153" s="167">
        <f t="shared" si="104"/>
        <v>901.62630066648467</v>
      </c>
      <c r="AI153" s="167">
        <f t="shared" ref="AI153" si="105">AI154-AI152</f>
        <v>998.12120351748922</v>
      </c>
      <c r="AJ153" s="167">
        <f t="shared" si="104"/>
        <v>1039.823389343085</v>
      </c>
      <c r="AK153" s="131"/>
      <c r="AL153" s="201">
        <f>SUM(F153:AJ153)</f>
        <v>29337.85472434925</v>
      </c>
    </row>
    <row r="154" spans="2:60" s="8" customFormat="1">
      <c r="B154" s="180"/>
      <c r="C154" s="243" t="s">
        <v>91</v>
      </c>
      <c r="D154" s="181">
        <f>SUM(D152:D153)</f>
        <v>1269.566</v>
      </c>
      <c r="E154" s="244" t="s">
        <v>86</v>
      </c>
      <c r="F154" s="275">
        <f t="shared" ref="F154:AJ154" si="106">F150</f>
        <v>0</v>
      </c>
      <c r="G154" s="182">
        <f t="shared" si="106"/>
        <v>18.369599999999998</v>
      </c>
      <c r="H154" s="182">
        <f t="shared" si="106"/>
        <v>747.91279999999995</v>
      </c>
      <c r="I154" s="197">
        <f t="shared" si="106"/>
        <v>1400.7539999999999</v>
      </c>
      <c r="J154" s="197">
        <f t="shared" si="106"/>
        <v>1494.0867000000001</v>
      </c>
      <c r="K154" s="197">
        <f t="shared" si="106"/>
        <v>1251.0693000000001</v>
      </c>
      <c r="L154" s="197">
        <f t="shared" si="106"/>
        <v>1279.5748000000001</v>
      </c>
      <c r="M154" s="197">
        <f t="shared" si="106"/>
        <v>1293.2394999999999</v>
      </c>
      <c r="N154" s="197">
        <f t="shared" si="106"/>
        <v>1337.2913000000001</v>
      </c>
      <c r="O154" s="197">
        <f t="shared" si="106"/>
        <v>1266.7521999999999</v>
      </c>
      <c r="P154" s="197">
        <f t="shared" si="106"/>
        <v>1333.3063999999999</v>
      </c>
      <c r="Q154" s="197">
        <f t="shared" si="106"/>
        <v>1352.6065000000001</v>
      </c>
      <c r="R154" s="197">
        <f t="shared" si="106"/>
        <v>1317.0299</v>
      </c>
      <c r="S154" s="197">
        <f t="shared" si="106"/>
        <v>1261.5872999999999</v>
      </c>
      <c r="T154" s="197">
        <f t="shared" si="106"/>
        <v>1138.2207000000001</v>
      </c>
      <c r="U154" s="197">
        <f t="shared" si="106"/>
        <v>1112.3947000000001</v>
      </c>
      <c r="V154" s="197">
        <f t="shared" si="106"/>
        <v>1144.6552999999999</v>
      </c>
      <c r="W154" s="197">
        <f t="shared" si="106"/>
        <v>1174.4693</v>
      </c>
      <c r="X154" s="197">
        <f t="shared" si="106"/>
        <v>1146.2182</v>
      </c>
      <c r="Y154" s="197">
        <f t="shared" si="106"/>
        <v>1086.5976000000001</v>
      </c>
      <c r="Z154" s="197">
        <f t="shared" si="106"/>
        <v>1227.1335999999999</v>
      </c>
      <c r="AA154" s="197">
        <f t="shared" si="106"/>
        <v>1281.6559</v>
      </c>
      <c r="AB154" s="197">
        <f t="shared" si="106"/>
        <v>1182.4992</v>
      </c>
      <c r="AC154" s="197">
        <f t="shared" si="106"/>
        <v>1229.9712999999999</v>
      </c>
      <c r="AD154" s="197">
        <f t="shared" si="106"/>
        <v>1226.5518999999999</v>
      </c>
      <c r="AE154" s="197">
        <f t="shared" si="106"/>
        <v>1146.6214</v>
      </c>
      <c r="AF154" s="197">
        <f t="shared" si="106"/>
        <v>1189.1955</v>
      </c>
      <c r="AG154" s="197">
        <f t="shared" si="106"/>
        <v>1126.4177</v>
      </c>
      <c r="AH154" s="197">
        <f t="shared" si="106"/>
        <v>1086.2360000000001</v>
      </c>
      <c r="AI154" s="197">
        <f t="shared" ref="AI154" si="107">AI150</f>
        <v>1188.4267</v>
      </c>
      <c r="AJ154" s="197">
        <f t="shared" si="106"/>
        <v>1222.4603999999999</v>
      </c>
      <c r="AK154" s="202"/>
      <c r="AL154" s="203">
        <f>SUM(AL152:AL153)</f>
        <v>35263.305699999997</v>
      </c>
      <c r="AM154" s="264"/>
      <c r="AN154" s="204"/>
      <c r="BH154" s="264"/>
    </row>
    <row r="155" spans="2:60" s="8" customFormat="1">
      <c r="B155" s="61">
        <v>9</v>
      </c>
      <c r="C155" s="245" t="s">
        <v>92</v>
      </c>
      <c r="D155" s="183"/>
      <c r="E155" s="183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202"/>
      <c r="AL155" s="205" t="s">
        <v>93</v>
      </c>
      <c r="AN155" s="204"/>
    </row>
    <row r="156" spans="2:60" s="8" customFormat="1">
      <c r="B156" s="61"/>
      <c r="C156" s="226" t="s">
        <v>94</v>
      </c>
      <c r="D156" s="67">
        <f>17000*24</f>
        <v>408000</v>
      </c>
      <c r="E156" s="227" t="s">
        <v>9</v>
      </c>
      <c r="F156" s="153">
        <v>0</v>
      </c>
      <c r="G156" s="153">
        <v>0</v>
      </c>
      <c r="H156" s="153">
        <v>284175</v>
      </c>
      <c r="I156" s="153">
        <v>319680</v>
      </c>
      <c r="J156" s="153">
        <v>342720</v>
      </c>
      <c r="K156" s="153">
        <f>265600+24795</f>
        <v>290395</v>
      </c>
      <c r="L156" s="153">
        <v>307200</v>
      </c>
      <c r="M156" s="153">
        <v>321120</v>
      </c>
      <c r="N156" s="153">
        <v>304800</v>
      </c>
      <c r="O156" s="153">
        <v>313440</v>
      </c>
      <c r="P156" s="153">
        <v>323280</v>
      </c>
      <c r="Q156" s="153">
        <v>325200</v>
      </c>
      <c r="R156" s="153">
        <v>313440</v>
      </c>
      <c r="S156" s="153">
        <v>311520</v>
      </c>
      <c r="T156" s="153">
        <v>277680</v>
      </c>
      <c r="U156" s="153">
        <v>275760</v>
      </c>
      <c r="V156" s="153">
        <v>306720</v>
      </c>
      <c r="W156" s="153">
        <v>300000</v>
      </c>
      <c r="X156" s="153">
        <v>297120</v>
      </c>
      <c r="Y156" s="153">
        <v>287333</v>
      </c>
      <c r="Z156" s="153">
        <v>336720</v>
      </c>
      <c r="AA156" s="153">
        <v>326640</v>
      </c>
      <c r="AB156" s="153">
        <v>303840</v>
      </c>
      <c r="AC156" s="153">
        <v>342720</v>
      </c>
      <c r="AD156" s="153">
        <v>309120</v>
      </c>
      <c r="AE156" s="153">
        <v>296400</v>
      </c>
      <c r="AF156" s="153">
        <v>303360</v>
      </c>
      <c r="AG156" s="153">
        <v>285360</v>
      </c>
      <c r="AH156" s="153">
        <v>288960</v>
      </c>
      <c r="AI156" s="153">
        <v>311520</v>
      </c>
      <c r="AJ156" s="153">
        <v>328560</v>
      </c>
      <c r="AK156" s="202"/>
      <c r="AL156" s="206">
        <f>SUM(F156:AJ156)</f>
        <v>8934783</v>
      </c>
      <c r="AM156" s="207"/>
      <c r="AN156" s="204">
        <f>AL156/AL22</f>
        <v>319099.39285714284</v>
      </c>
    </row>
    <row r="157" spans="2:60" s="8" customFormat="1">
      <c r="B157" s="61"/>
      <c r="C157" s="246" t="s">
        <v>95</v>
      </c>
      <c r="D157" s="154"/>
      <c r="E157" s="61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202"/>
      <c r="AL157" s="208" t="s">
        <v>95</v>
      </c>
      <c r="AM157" s="207"/>
      <c r="AN157" s="204">
        <f>AN156/24</f>
        <v>13295.808035714284</v>
      </c>
    </row>
    <row r="158" spans="2:60">
      <c r="B158" s="81"/>
      <c r="C158" s="226" t="s">
        <v>22</v>
      </c>
      <c r="D158" s="67">
        <v>180000</v>
      </c>
      <c r="E158" s="227" t="s">
        <v>9</v>
      </c>
      <c r="F158" s="64">
        <v>0</v>
      </c>
      <c r="G158" s="64">
        <v>0</v>
      </c>
      <c r="H158" s="64">
        <v>0</v>
      </c>
      <c r="I158" s="64">
        <v>146200</v>
      </c>
      <c r="J158" s="64">
        <v>135700</v>
      </c>
      <c r="K158" s="64">
        <v>124600</v>
      </c>
      <c r="L158" s="64">
        <v>133700</v>
      </c>
      <c r="M158" s="64">
        <v>140300</v>
      </c>
      <c r="N158" s="64">
        <v>142500</v>
      </c>
      <c r="O158" s="64">
        <v>148800</v>
      </c>
      <c r="P158" s="64">
        <v>151400</v>
      </c>
      <c r="Q158" s="64">
        <v>146900</v>
      </c>
      <c r="R158" s="64">
        <v>141500</v>
      </c>
      <c r="S158" s="64">
        <v>129300</v>
      </c>
      <c r="T158" s="64">
        <v>133900</v>
      </c>
      <c r="U158" s="64">
        <v>130600</v>
      </c>
      <c r="V158" s="64">
        <v>131800</v>
      </c>
      <c r="W158" s="64">
        <v>128920</v>
      </c>
      <c r="X158" s="64">
        <v>129370</v>
      </c>
      <c r="Y158" s="64">
        <v>126910</v>
      </c>
      <c r="Z158" s="64">
        <v>131800</v>
      </c>
      <c r="AA158" s="64">
        <v>150200</v>
      </c>
      <c r="AB158" s="64">
        <v>149100</v>
      </c>
      <c r="AC158" s="64">
        <v>143800</v>
      </c>
      <c r="AD158" s="64">
        <v>137400</v>
      </c>
      <c r="AE158" s="64">
        <v>141900</v>
      </c>
      <c r="AF158" s="64">
        <v>135700</v>
      </c>
      <c r="AG158" s="64">
        <v>135400</v>
      </c>
      <c r="AH158" s="64">
        <v>134700</v>
      </c>
      <c r="AI158" s="64">
        <v>139300</v>
      </c>
      <c r="AJ158" s="64">
        <v>139700</v>
      </c>
      <c r="AK158" s="131"/>
      <c r="AL158" s="124">
        <f>SUM(F158:AJ158)</f>
        <v>3861400</v>
      </c>
    </row>
    <row r="159" spans="2:60">
      <c r="B159" s="81"/>
      <c r="C159" s="226" t="s">
        <v>96</v>
      </c>
      <c r="D159" s="67">
        <v>122000</v>
      </c>
      <c r="E159" s="227" t="s">
        <v>9</v>
      </c>
      <c r="F159" s="64">
        <v>0</v>
      </c>
      <c r="G159" s="64">
        <v>0</v>
      </c>
      <c r="H159" s="64">
        <v>0</v>
      </c>
      <c r="I159" s="64">
        <v>78800</v>
      </c>
      <c r="J159" s="64">
        <v>110500</v>
      </c>
      <c r="K159" s="64">
        <v>93700</v>
      </c>
      <c r="L159" s="64">
        <v>98600</v>
      </c>
      <c r="M159" s="64">
        <v>92700</v>
      </c>
      <c r="N159" s="64">
        <v>89900</v>
      </c>
      <c r="O159" s="64">
        <v>82200</v>
      </c>
      <c r="P159" s="64">
        <v>96900</v>
      </c>
      <c r="Q159" s="64">
        <v>99400</v>
      </c>
      <c r="R159" s="64">
        <v>89700</v>
      </c>
      <c r="S159" s="64">
        <v>74300</v>
      </c>
      <c r="T159" s="64">
        <v>66400</v>
      </c>
      <c r="U159" s="64">
        <v>66300</v>
      </c>
      <c r="V159" s="64">
        <v>88100</v>
      </c>
      <c r="W159" s="64">
        <v>91000</v>
      </c>
      <c r="X159" s="64">
        <v>93600</v>
      </c>
      <c r="Y159" s="64">
        <v>89100</v>
      </c>
      <c r="Z159" s="64">
        <v>105500</v>
      </c>
      <c r="AA159" s="64">
        <v>91100</v>
      </c>
      <c r="AB159" s="64">
        <v>73500</v>
      </c>
      <c r="AC159" s="64">
        <v>90800</v>
      </c>
      <c r="AD159" s="64">
        <v>77200</v>
      </c>
      <c r="AE159" s="64">
        <v>88600</v>
      </c>
      <c r="AF159" s="64">
        <v>77000</v>
      </c>
      <c r="AG159" s="64">
        <v>62000</v>
      </c>
      <c r="AH159" s="64">
        <v>75000</v>
      </c>
      <c r="AI159" s="64">
        <v>91300</v>
      </c>
      <c r="AJ159" s="64">
        <v>91700</v>
      </c>
      <c r="AK159" s="131"/>
      <c r="AL159" s="124">
        <f>SUM(F159:AJ159)</f>
        <v>2424900</v>
      </c>
    </row>
    <row r="160" spans="2:60">
      <c r="B160" s="81"/>
      <c r="C160" s="226" t="s">
        <v>97</v>
      </c>
      <c r="D160" s="67">
        <f>D156-D158-D159</f>
        <v>106000</v>
      </c>
      <c r="E160" s="227" t="s">
        <v>9</v>
      </c>
      <c r="F160" s="64">
        <f t="shared" ref="F160:AJ160" si="108">F156-F158-F159</f>
        <v>0</v>
      </c>
      <c r="G160" s="64">
        <f t="shared" si="108"/>
        <v>0</v>
      </c>
      <c r="H160" s="64">
        <f t="shared" si="108"/>
        <v>284175</v>
      </c>
      <c r="I160" s="64">
        <f t="shared" si="108"/>
        <v>94680</v>
      </c>
      <c r="J160" s="64">
        <f t="shared" si="108"/>
        <v>96520</v>
      </c>
      <c r="K160" s="64">
        <f t="shared" si="108"/>
        <v>72095</v>
      </c>
      <c r="L160" s="64">
        <f t="shared" si="108"/>
        <v>74900</v>
      </c>
      <c r="M160" s="64">
        <f t="shared" si="108"/>
        <v>88120</v>
      </c>
      <c r="N160" s="64">
        <f t="shared" si="108"/>
        <v>72400</v>
      </c>
      <c r="O160" s="64">
        <f t="shared" si="108"/>
        <v>82440</v>
      </c>
      <c r="P160" s="64">
        <f t="shared" si="108"/>
        <v>74980</v>
      </c>
      <c r="Q160" s="64">
        <f t="shared" si="108"/>
        <v>78900</v>
      </c>
      <c r="R160" s="64">
        <f t="shared" si="108"/>
        <v>82240</v>
      </c>
      <c r="S160" s="64">
        <f t="shared" si="108"/>
        <v>107920</v>
      </c>
      <c r="T160" s="64">
        <f t="shared" si="108"/>
        <v>77380</v>
      </c>
      <c r="U160" s="64">
        <f t="shared" si="108"/>
        <v>78860</v>
      </c>
      <c r="V160" s="64">
        <f t="shared" si="108"/>
        <v>86820</v>
      </c>
      <c r="W160" s="64">
        <f t="shared" si="108"/>
        <v>80080</v>
      </c>
      <c r="X160" s="64">
        <f t="shared" si="108"/>
        <v>74150</v>
      </c>
      <c r="Y160" s="64">
        <f t="shared" si="108"/>
        <v>71323</v>
      </c>
      <c r="Z160" s="64">
        <f t="shared" si="108"/>
        <v>99420</v>
      </c>
      <c r="AA160" s="64">
        <f t="shared" si="108"/>
        <v>85340</v>
      </c>
      <c r="AB160" s="64">
        <f t="shared" si="108"/>
        <v>81240</v>
      </c>
      <c r="AC160" s="64">
        <f t="shared" si="108"/>
        <v>108120</v>
      </c>
      <c r="AD160" s="64">
        <f t="shared" si="108"/>
        <v>94520</v>
      </c>
      <c r="AE160" s="64">
        <f t="shared" si="108"/>
        <v>65900</v>
      </c>
      <c r="AF160" s="64">
        <f t="shared" si="108"/>
        <v>90660</v>
      </c>
      <c r="AG160" s="64">
        <f t="shared" si="108"/>
        <v>87960</v>
      </c>
      <c r="AH160" s="64">
        <f t="shared" si="108"/>
        <v>79260</v>
      </c>
      <c r="AI160" s="64">
        <f t="shared" ref="AI160" si="109">AI156-AI158-AI159</f>
        <v>80920</v>
      </c>
      <c r="AJ160" s="64">
        <f t="shared" si="108"/>
        <v>97160</v>
      </c>
      <c r="AK160" s="131"/>
      <c r="AL160" s="124">
        <f>SUM(F160:AJ160)</f>
        <v>2648483</v>
      </c>
    </row>
    <row r="161" spans="2:59" s="8" customFormat="1">
      <c r="B161" s="61"/>
      <c r="C161" s="242" t="s">
        <v>91</v>
      </c>
      <c r="D161" s="185">
        <f>SUM(D158:D160)</f>
        <v>408000</v>
      </c>
      <c r="E161" s="227" t="s">
        <v>9</v>
      </c>
      <c r="F161" s="153">
        <f t="shared" ref="F161:AJ161" si="110">SUM(F158:F160)</f>
        <v>0</v>
      </c>
      <c r="G161" s="153">
        <f t="shared" si="110"/>
        <v>0</v>
      </c>
      <c r="H161" s="153">
        <f t="shared" si="110"/>
        <v>284175</v>
      </c>
      <c r="I161" s="153">
        <f t="shared" si="110"/>
        <v>319680</v>
      </c>
      <c r="J161" s="153">
        <f t="shared" si="110"/>
        <v>342720</v>
      </c>
      <c r="K161" s="153">
        <f t="shared" si="110"/>
        <v>290395</v>
      </c>
      <c r="L161" s="153">
        <f t="shared" si="110"/>
        <v>307200</v>
      </c>
      <c r="M161" s="153">
        <f t="shared" si="110"/>
        <v>321120</v>
      </c>
      <c r="N161" s="153">
        <f t="shared" si="110"/>
        <v>304800</v>
      </c>
      <c r="O161" s="153">
        <f t="shared" si="110"/>
        <v>313440</v>
      </c>
      <c r="P161" s="153">
        <f t="shared" si="110"/>
        <v>323280</v>
      </c>
      <c r="Q161" s="153">
        <f t="shared" si="110"/>
        <v>325200</v>
      </c>
      <c r="R161" s="153">
        <f t="shared" si="110"/>
        <v>313440</v>
      </c>
      <c r="S161" s="153">
        <f t="shared" si="110"/>
        <v>311520</v>
      </c>
      <c r="T161" s="153">
        <f t="shared" si="110"/>
        <v>277680</v>
      </c>
      <c r="U161" s="153">
        <f t="shared" si="110"/>
        <v>275760</v>
      </c>
      <c r="V161" s="153">
        <f t="shared" si="110"/>
        <v>306720</v>
      </c>
      <c r="W161" s="153">
        <f t="shared" si="110"/>
        <v>300000</v>
      </c>
      <c r="X161" s="153">
        <f t="shared" si="110"/>
        <v>297120</v>
      </c>
      <c r="Y161" s="153">
        <f t="shared" si="110"/>
        <v>287333</v>
      </c>
      <c r="Z161" s="153">
        <f t="shared" si="110"/>
        <v>336720</v>
      </c>
      <c r="AA161" s="153">
        <f t="shared" si="110"/>
        <v>326640</v>
      </c>
      <c r="AB161" s="153">
        <f t="shared" si="110"/>
        <v>303840</v>
      </c>
      <c r="AC161" s="153">
        <f t="shared" si="110"/>
        <v>342720</v>
      </c>
      <c r="AD161" s="153">
        <f t="shared" si="110"/>
        <v>309120</v>
      </c>
      <c r="AE161" s="153">
        <f t="shared" si="110"/>
        <v>296400</v>
      </c>
      <c r="AF161" s="153">
        <f t="shared" si="110"/>
        <v>303360</v>
      </c>
      <c r="AG161" s="153">
        <f t="shared" si="110"/>
        <v>285360</v>
      </c>
      <c r="AH161" s="153">
        <f t="shared" si="110"/>
        <v>288960</v>
      </c>
      <c r="AI161" s="153">
        <f t="shared" ref="AI161" si="111">SUM(AI158:AI160)</f>
        <v>311520</v>
      </c>
      <c r="AJ161" s="153">
        <f t="shared" si="110"/>
        <v>328560</v>
      </c>
      <c r="AK161" s="202"/>
      <c r="AL161" s="206">
        <f>SUM(AL158:AL160)</f>
        <v>8934783</v>
      </c>
      <c r="AN161" s="204"/>
    </row>
    <row r="162" spans="2:59">
      <c r="B162" s="58">
        <v>10</v>
      </c>
      <c r="C162" s="222" t="s">
        <v>98</v>
      </c>
      <c r="D162" s="88"/>
      <c r="E162" s="88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199"/>
      <c r="AD162" s="199"/>
      <c r="AE162" s="199"/>
      <c r="AF162" s="199"/>
      <c r="AG162" s="199"/>
      <c r="AH162" s="199"/>
      <c r="AI162" s="199"/>
      <c r="AJ162" s="199"/>
      <c r="AK162" s="131"/>
      <c r="AL162" s="205" t="s">
        <v>99</v>
      </c>
    </row>
    <row r="163" spans="2:59" s="9" customFormat="1" ht="16.5">
      <c r="B163" s="46"/>
      <c r="C163" s="247" t="s">
        <v>100</v>
      </c>
      <c r="D163" s="186">
        <v>670</v>
      </c>
      <c r="E163" s="248" t="s">
        <v>140</v>
      </c>
      <c r="F163" s="187">
        <v>0</v>
      </c>
      <c r="G163" s="187">
        <v>116</v>
      </c>
      <c r="H163" s="187">
        <v>661</v>
      </c>
      <c r="I163" s="187">
        <v>657</v>
      </c>
      <c r="J163" s="187">
        <v>800</v>
      </c>
      <c r="K163" s="187">
        <v>706</v>
      </c>
      <c r="L163" s="187">
        <v>639</v>
      </c>
      <c r="M163" s="187">
        <v>705</v>
      </c>
      <c r="N163" s="187">
        <v>583</v>
      </c>
      <c r="O163" s="187">
        <v>544</v>
      </c>
      <c r="P163" s="187">
        <v>766</v>
      </c>
      <c r="Q163" s="187">
        <v>777</v>
      </c>
      <c r="R163" s="187">
        <v>654</v>
      </c>
      <c r="S163" s="187">
        <v>771</v>
      </c>
      <c r="T163" s="187">
        <v>483</v>
      </c>
      <c r="U163" s="187">
        <v>676</v>
      </c>
      <c r="V163" s="187">
        <v>697</v>
      </c>
      <c r="W163" s="187">
        <v>551</v>
      </c>
      <c r="X163" s="187">
        <v>517</v>
      </c>
      <c r="Y163" s="187">
        <v>682</v>
      </c>
      <c r="Z163" s="187">
        <v>509</v>
      </c>
      <c r="AA163" s="187">
        <v>670</v>
      </c>
      <c r="AB163" s="187">
        <v>580</v>
      </c>
      <c r="AC163" s="187">
        <v>611</v>
      </c>
      <c r="AD163" s="187">
        <v>648</v>
      </c>
      <c r="AE163" s="187">
        <v>461</v>
      </c>
      <c r="AF163" s="187">
        <v>635</v>
      </c>
      <c r="AG163" s="187">
        <v>616</v>
      </c>
      <c r="AH163" s="187">
        <v>482</v>
      </c>
      <c r="AI163" s="187">
        <v>617</v>
      </c>
      <c r="AJ163" s="187">
        <v>760</v>
      </c>
      <c r="AL163" s="209">
        <f t="shared" ref="AL163:AL169" si="112">SUM(F163:AJ163)</f>
        <v>18574</v>
      </c>
      <c r="AN163" s="135">
        <f>AL163/AL22</f>
        <v>663.35714285714289</v>
      </c>
    </row>
    <row r="164" spans="2:59" s="9" customFormat="1">
      <c r="B164" s="46"/>
      <c r="C164" s="249" t="s">
        <v>88</v>
      </c>
      <c r="D164" s="45"/>
      <c r="E164" s="46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L164" s="210" t="s">
        <v>88</v>
      </c>
      <c r="AN164" s="135"/>
    </row>
    <row r="165" spans="2:59" s="9" customFormat="1" ht="16.5">
      <c r="B165" s="46"/>
      <c r="C165" s="247" t="s">
        <v>101</v>
      </c>
      <c r="D165" s="188">
        <v>78.959999999999994</v>
      </c>
      <c r="E165" s="248" t="s">
        <v>140</v>
      </c>
      <c r="F165" s="187">
        <v>0</v>
      </c>
      <c r="G165" s="187">
        <v>6</v>
      </c>
      <c r="H165" s="187">
        <v>65</v>
      </c>
      <c r="I165" s="187">
        <v>88</v>
      </c>
      <c r="J165" s="187">
        <v>81</v>
      </c>
      <c r="K165" s="187">
        <v>92</v>
      </c>
      <c r="L165" s="187">
        <v>69</v>
      </c>
      <c r="M165" s="187">
        <v>69</v>
      </c>
      <c r="N165" s="187">
        <v>73</v>
      </c>
      <c r="O165" s="187">
        <v>58</v>
      </c>
      <c r="P165" s="187">
        <v>72</v>
      </c>
      <c r="Q165" s="187">
        <v>73</v>
      </c>
      <c r="R165" s="187">
        <v>54</v>
      </c>
      <c r="S165" s="187">
        <v>70</v>
      </c>
      <c r="T165" s="187">
        <v>72</v>
      </c>
      <c r="U165" s="187">
        <v>97</v>
      </c>
      <c r="V165" s="187">
        <v>92</v>
      </c>
      <c r="W165" s="187">
        <v>79</v>
      </c>
      <c r="X165" s="187">
        <v>58</v>
      </c>
      <c r="Y165" s="187">
        <v>89</v>
      </c>
      <c r="Z165" s="187">
        <v>39</v>
      </c>
      <c r="AA165" s="187">
        <v>95</v>
      </c>
      <c r="AB165" s="187">
        <v>44</v>
      </c>
      <c r="AC165" s="187">
        <v>39</v>
      </c>
      <c r="AD165" s="187">
        <v>39</v>
      </c>
      <c r="AE165" s="187">
        <v>76</v>
      </c>
      <c r="AF165" s="187">
        <v>60</v>
      </c>
      <c r="AG165" s="187">
        <v>66</v>
      </c>
      <c r="AH165" s="187">
        <v>45</v>
      </c>
      <c r="AI165" s="187">
        <v>87</v>
      </c>
      <c r="AJ165" s="187">
        <v>95</v>
      </c>
      <c r="AL165" s="211">
        <f t="shared" si="112"/>
        <v>2042</v>
      </c>
      <c r="AN165" s="135"/>
      <c r="BG165" s="262"/>
    </row>
    <row r="166" spans="2:59" s="9" customFormat="1" ht="16.5">
      <c r="B166" s="46"/>
      <c r="C166" s="247" t="s">
        <v>102</v>
      </c>
      <c r="D166" s="188">
        <v>118.4</v>
      </c>
      <c r="E166" s="248" t="s">
        <v>140</v>
      </c>
      <c r="F166" s="187">
        <v>0</v>
      </c>
      <c r="G166" s="187">
        <v>0</v>
      </c>
      <c r="H166" s="187">
        <v>35</v>
      </c>
      <c r="I166" s="187">
        <v>102</v>
      </c>
      <c r="J166" s="187">
        <v>107</v>
      </c>
      <c r="K166" s="187">
        <v>122</v>
      </c>
      <c r="L166" s="187">
        <v>128</v>
      </c>
      <c r="M166" s="187">
        <v>111</v>
      </c>
      <c r="N166" s="187">
        <v>110</v>
      </c>
      <c r="O166" s="187">
        <v>66</v>
      </c>
      <c r="P166" s="187">
        <v>124</v>
      </c>
      <c r="Q166" s="187">
        <v>137</v>
      </c>
      <c r="R166" s="187">
        <v>123</v>
      </c>
      <c r="S166" s="187">
        <v>110</v>
      </c>
      <c r="T166" s="187">
        <v>102</v>
      </c>
      <c r="U166" s="187">
        <v>106</v>
      </c>
      <c r="V166" s="187">
        <v>105</v>
      </c>
      <c r="W166" s="187">
        <v>96</v>
      </c>
      <c r="X166" s="187">
        <v>100</v>
      </c>
      <c r="Y166" s="187">
        <v>105</v>
      </c>
      <c r="Z166" s="187">
        <v>119</v>
      </c>
      <c r="AA166" s="187">
        <v>111</v>
      </c>
      <c r="AB166" s="187">
        <v>96</v>
      </c>
      <c r="AC166" s="187">
        <v>115</v>
      </c>
      <c r="AD166" s="187">
        <v>102</v>
      </c>
      <c r="AE166" s="187">
        <v>92</v>
      </c>
      <c r="AF166" s="187">
        <v>97</v>
      </c>
      <c r="AG166" s="187">
        <v>105</v>
      </c>
      <c r="AH166" s="187">
        <v>84</v>
      </c>
      <c r="AI166" s="187">
        <v>98</v>
      </c>
      <c r="AJ166" s="187">
        <v>93</v>
      </c>
      <c r="AL166" s="211">
        <f t="shared" si="112"/>
        <v>3001</v>
      </c>
      <c r="AM166" s="290"/>
      <c r="AN166" s="135"/>
      <c r="BG166" s="262"/>
    </row>
    <row r="167" spans="2:59" s="9" customFormat="1" ht="16.5">
      <c r="B167" s="46"/>
      <c r="C167" s="247" t="s">
        <v>103</v>
      </c>
      <c r="D167" s="186">
        <f>44.69%*D163</f>
        <v>299.423</v>
      </c>
      <c r="E167" s="248" t="s">
        <v>140</v>
      </c>
      <c r="F167" s="187">
        <v>0</v>
      </c>
      <c r="G167" s="187">
        <v>0</v>
      </c>
      <c r="H167" s="187">
        <v>379.8</v>
      </c>
      <c r="I167" s="187">
        <v>363.6</v>
      </c>
      <c r="J167" s="187">
        <v>408.3</v>
      </c>
      <c r="K167" s="187">
        <v>310.60000000000002</v>
      </c>
      <c r="L167" s="187">
        <v>276.7</v>
      </c>
      <c r="M167" s="187">
        <v>296</v>
      </c>
      <c r="N167" s="187">
        <v>315.60000000000002</v>
      </c>
      <c r="O167" s="187">
        <v>290.5</v>
      </c>
      <c r="P167" s="187">
        <v>316.5</v>
      </c>
      <c r="Q167" s="187">
        <v>300.10000000000002</v>
      </c>
      <c r="R167" s="187">
        <v>291.39999999999998</v>
      </c>
      <c r="S167" s="187">
        <v>357.2</v>
      </c>
      <c r="T167" s="187">
        <v>254.7</v>
      </c>
      <c r="U167" s="187">
        <v>280.10000000000002</v>
      </c>
      <c r="V167" s="187">
        <v>294.2</v>
      </c>
      <c r="W167" s="187">
        <v>296.3</v>
      </c>
      <c r="X167" s="187">
        <v>279.5</v>
      </c>
      <c r="Y167" s="187">
        <v>307.7</v>
      </c>
      <c r="Z167" s="187">
        <v>324.7</v>
      </c>
      <c r="AA167" s="187">
        <v>326.5</v>
      </c>
      <c r="AB167" s="187">
        <v>282</v>
      </c>
      <c r="AC167" s="187">
        <v>344.6</v>
      </c>
      <c r="AD167" s="187">
        <v>307.39999999999998</v>
      </c>
      <c r="AE167" s="187">
        <v>253.7</v>
      </c>
      <c r="AF167" s="187">
        <v>330.5</v>
      </c>
      <c r="AG167" s="187">
        <v>302.89999999999998</v>
      </c>
      <c r="AH167" s="187">
        <v>276.10000000000002</v>
      </c>
      <c r="AI167" s="187">
        <v>258.3</v>
      </c>
      <c r="AJ167" s="187">
        <v>325.89999999999998</v>
      </c>
      <c r="AL167" s="211">
        <f t="shared" si="112"/>
        <v>8951.3999999999978</v>
      </c>
      <c r="AM167" s="290"/>
      <c r="AN167" s="135"/>
    </row>
    <row r="168" spans="2:59" s="9" customFormat="1" ht="16.5">
      <c r="B168" s="46"/>
      <c r="C168" s="247" t="s">
        <v>97</v>
      </c>
      <c r="D168" s="186">
        <f>D163-SUM(D165:D167)</f>
        <v>173.21699999999998</v>
      </c>
      <c r="E168" s="248" t="s">
        <v>140</v>
      </c>
      <c r="F168" s="187">
        <f>F163-(SUM(F165:F167))</f>
        <v>0</v>
      </c>
      <c r="G168" s="187">
        <f t="shared" ref="G168:K168" si="113">G163-(SUM(G165:G167))</f>
        <v>110</v>
      </c>
      <c r="H168" s="187">
        <f t="shared" si="113"/>
        <v>181.2</v>
      </c>
      <c r="I168" s="187">
        <f t="shared" si="113"/>
        <v>103.39999999999998</v>
      </c>
      <c r="J168" s="187">
        <f t="shared" si="113"/>
        <v>203.70000000000005</v>
      </c>
      <c r="K168" s="187">
        <f t="shared" si="113"/>
        <v>181.39999999999998</v>
      </c>
      <c r="L168" s="187">
        <f t="shared" ref="L168:P168" si="114">L163-(SUM(L165:L167))</f>
        <v>165.3</v>
      </c>
      <c r="M168" s="187">
        <f t="shared" si="114"/>
        <v>229</v>
      </c>
      <c r="N168" s="187">
        <f t="shared" si="114"/>
        <v>84.399999999999977</v>
      </c>
      <c r="O168" s="187">
        <f t="shared" si="114"/>
        <v>129.5</v>
      </c>
      <c r="P168" s="187">
        <f t="shared" si="114"/>
        <v>253.5</v>
      </c>
      <c r="Q168" s="187">
        <f t="shared" ref="Q168:AJ168" si="115">Q163-(SUM(Q165:Q167))</f>
        <v>266.89999999999998</v>
      </c>
      <c r="R168" s="187">
        <f t="shared" si="115"/>
        <v>185.60000000000002</v>
      </c>
      <c r="S168" s="187">
        <f t="shared" si="115"/>
        <v>233.79999999999995</v>
      </c>
      <c r="T168" s="187">
        <f t="shared" si="115"/>
        <v>54.300000000000011</v>
      </c>
      <c r="U168" s="187">
        <f t="shared" si="115"/>
        <v>192.89999999999998</v>
      </c>
      <c r="V168" s="187">
        <f t="shared" si="115"/>
        <v>205.8</v>
      </c>
      <c r="W168" s="187">
        <f t="shared" si="115"/>
        <v>79.699999999999989</v>
      </c>
      <c r="X168" s="187">
        <f t="shared" si="115"/>
        <v>79.5</v>
      </c>
      <c r="Y168" s="187">
        <f t="shared" si="115"/>
        <v>180.3</v>
      </c>
      <c r="Z168" s="187">
        <f t="shared" si="115"/>
        <v>26.300000000000011</v>
      </c>
      <c r="AA168" s="187">
        <f t="shared" si="115"/>
        <v>137.5</v>
      </c>
      <c r="AB168" s="187">
        <f t="shared" si="115"/>
        <v>158</v>
      </c>
      <c r="AC168" s="187">
        <f t="shared" si="115"/>
        <v>112.39999999999998</v>
      </c>
      <c r="AD168" s="187">
        <f t="shared" si="115"/>
        <v>199.60000000000002</v>
      </c>
      <c r="AE168" s="187">
        <f t="shared" si="115"/>
        <v>39.300000000000011</v>
      </c>
      <c r="AF168" s="187">
        <f t="shared" si="115"/>
        <v>147.5</v>
      </c>
      <c r="AG168" s="187">
        <f t="shared" si="115"/>
        <v>142.10000000000002</v>
      </c>
      <c r="AH168" s="187">
        <f t="shared" si="115"/>
        <v>76.899999999999977</v>
      </c>
      <c r="AI168" s="187">
        <f t="shared" ref="AI168" si="116">AI163-(SUM(AI165:AI167))</f>
        <v>173.7</v>
      </c>
      <c r="AJ168" s="187">
        <f t="shared" si="115"/>
        <v>246.10000000000002</v>
      </c>
      <c r="AL168" s="211">
        <f t="shared" si="112"/>
        <v>4579.6000000000004</v>
      </c>
      <c r="AM168" s="149"/>
      <c r="AN168" s="135"/>
    </row>
    <row r="169" spans="2:59" s="9" customFormat="1" ht="16.5">
      <c r="B169" s="46"/>
      <c r="C169" s="247" t="s">
        <v>104</v>
      </c>
      <c r="D169" s="186">
        <v>287.83999999999997</v>
      </c>
      <c r="E169" s="248" t="s">
        <v>140</v>
      </c>
      <c r="F169" s="187">
        <v>0</v>
      </c>
      <c r="G169" s="187">
        <v>0</v>
      </c>
      <c r="H169" s="187">
        <v>0</v>
      </c>
      <c r="I169" s="187">
        <v>0</v>
      </c>
      <c r="J169" s="187">
        <v>0</v>
      </c>
      <c r="K169" s="187">
        <v>0</v>
      </c>
      <c r="L169" s="187">
        <v>0</v>
      </c>
      <c r="M169" s="187">
        <v>160</v>
      </c>
      <c r="N169" s="187">
        <v>139</v>
      </c>
      <c r="O169" s="187">
        <v>185</v>
      </c>
      <c r="P169" s="187">
        <v>163</v>
      </c>
      <c r="Q169" s="187">
        <v>237</v>
      </c>
      <c r="R169" s="187">
        <v>191</v>
      </c>
      <c r="S169" s="187">
        <v>155</v>
      </c>
      <c r="T169" s="187">
        <v>123</v>
      </c>
      <c r="U169" s="187">
        <v>165</v>
      </c>
      <c r="V169" s="187">
        <v>110</v>
      </c>
      <c r="W169" s="187">
        <v>126</v>
      </c>
      <c r="X169" s="187">
        <v>104</v>
      </c>
      <c r="Y169" s="187">
        <v>121</v>
      </c>
      <c r="Z169" s="187">
        <v>133</v>
      </c>
      <c r="AA169" s="187">
        <v>165</v>
      </c>
      <c r="AB169" s="187">
        <v>61</v>
      </c>
      <c r="AC169" s="187">
        <v>135</v>
      </c>
      <c r="AD169" s="187">
        <v>99</v>
      </c>
      <c r="AE169" s="187">
        <v>147</v>
      </c>
      <c r="AF169" s="187">
        <v>140</v>
      </c>
      <c r="AG169" s="187">
        <v>111</v>
      </c>
      <c r="AH169" s="187">
        <v>159</v>
      </c>
      <c r="AI169" s="187">
        <v>122</v>
      </c>
      <c r="AJ169" s="187">
        <v>98</v>
      </c>
      <c r="AL169" s="211">
        <f t="shared" si="112"/>
        <v>3349</v>
      </c>
      <c r="AN169" s="135"/>
    </row>
    <row r="170" spans="2:59">
      <c r="B170" s="101">
        <v>11</v>
      </c>
      <c r="C170" s="222" t="s">
        <v>105</v>
      </c>
      <c r="D170" s="88"/>
      <c r="E170" s="88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131"/>
      <c r="AL170" s="212" t="s">
        <v>106</v>
      </c>
    </row>
    <row r="171" spans="2:59">
      <c r="B171" s="160"/>
      <c r="C171" s="250" t="s">
        <v>94</v>
      </c>
      <c r="D171" s="189"/>
      <c r="E171" s="190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131"/>
      <c r="AL171" s="200" t="s">
        <v>94</v>
      </c>
    </row>
    <row r="172" spans="2:59">
      <c r="B172" s="160"/>
      <c r="C172" s="224" t="s">
        <v>107</v>
      </c>
      <c r="D172" s="67">
        <v>28700</v>
      </c>
      <c r="E172" s="80" t="s">
        <v>108</v>
      </c>
      <c r="F172" s="64">
        <v>2000</v>
      </c>
      <c r="G172" s="64">
        <v>5500</v>
      </c>
      <c r="H172" s="252">
        <v>17700</v>
      </c>
      <c r="I172" s="198">
        <v>25100</v>
      </c>
      <c r="J172" s="64">
        <v>28100</v>
      </c>
      <c r="K172" s="198">
        <v>27500</v>
      </c>
      <c r="L172" s="64">
        <v>28000</v>
      </c>
      <c r="M172" s="198">
        <v>27100</v>
      </c>
      <c r="N172" s="64">
        <v>26600</v>
      </c>
      <c r="O172" s="64">
        <v>27600</v>
      </c>
      <c r="P172" s="64">
        <v>29200</v>
      </c>
      <c r="Q172" s="64">
        <v>29700</v>
      </c>
      <c r="R172" s="64">
        <v>26700</v>
      </c>
      <c r="S172" s="64">
        <v>25800</v>
      </c>
      <c r="T172" s="64">
        <v>25100</v>
      </c>
      <c r="U172" s="198">
        <v>23900</v>
      </c>
      <c r="V172" s="64">
        <v>25800</v>
      </c>
      <c r="W172" s="64">
        <v>25400</v>
      </c>
      <c r="X172" s="64">
        <v>25500</v>
      </c>
      <c r="Y172" s="198">
        <v>24500</v>
      </c>
      <c r="Z172" s="64">
        <v>26200</v>
      </c>
      <c r="AA172" s="64">
        <v>26000</v>
      </c>
      <c r="AB172" s="64">
        <v>22100</v>
      </c>
      <c r="AC172" s="64">
        <v>25200</v>
      </c>
      <c r="AD172" s="64">
        <v>24900</v>
      </c>
      <c r="AE172" s="64">
        <v>26100</v>
      </c>
      <c r="AF172" s="64">
        <v>25000</v>
      </c>
      <c r="AG172" s="64">
        <v>24400</v>
      </c>
      <c r="AH172" s="64">
        <v>24100</v>
      </c>
      <c r="AI172" s="64">
        <v>24300</v>
      </c>
      <c r="AJ172" s="64">
        <v>26100</v>
      </c>
      <c r="AK172" s="131"/>
      <c r="AL172" s="117">
        <f t="shared" ref="AL172:AL179" si="117">SUM(F172:AJ172)</f>
        <v>751200</v>
      </c>
      <c r="AN172" s="33">
        <f>AL172/AL22</f>
        <v>26828.571428571428</v>
      </c>
    </row>
    <row r="173" spans="2:59">
      <c r="B173" s="160"/>
      <c r="C173" s="250" t="s">
        <v>91</v>
      </c>
      <c r="D173" s="154"/>
      <c r="E173" s="251" t="s">
        <v>109</v>
      </c>
      <c r="F173" s="153">
        <f t="shared" ref="F173:AJ173" si="118">SUM(F172:F172)</f>
        <v>2000</v>
      </c>
      <c r="G173" s="153">
        <f t="shared" si="118"/>
        <v>5500</v>
      </c>
      <c r="H173" s="153">
        <f t="shared" si="118"/>
        <v>17700</v>
      </c>
      <c r="I173" s="153">
        <f t="shared" si="118"/>
        <v>25100</v>
      </c>
      <c r="J173" s="153">
        <f t="shared" si="118"/>
        <v>28100</v>
      </c>
      <c r="K173" s="153">
        <f t="shared" si="118"/>
        <v>27500</v>
      </c>
      <c r="L173" s="153">
        <f t="shared" si="118"/>
        <v>28000</v>
      </c>
      <c r="M173" s="153">
        <f t="shared" si="118"/>
        <v>27100</v>
      </c>
      <c r="N173" s="153">
        <f t="shared" si="118"/>
        <v>26600</v>
      </c>
      <c r="O173" s="153">
        <f t="shared" si="118"/>
        <v>27600</v>
      </c>
      <c r="P173" s="153">
        <f t="shared" si="118"/>
        <v>29200</v>
      </c>
      <c r="Q173" s="153">
        <f t="shared" si="118"/>
        <v>29700</v>
      </c>
      <c r="R173" s="153">
        <f t="shared" si="118"/>
        <v>26700</v>
      </c>
      <c r="S173" s="153">
        <f t="shared" si="118"/>
        <v>25800</v>
      </c>
      <c r="T173" s="153">
        <f t="shared" si="118"/>
        <v>25100</v>
      </c>
      <c r="U173" s="153">
        <f t="shared" si="118"/>
        <v>23900</v>
      </c>
      <c r="V173" s="153">
        <f t="shared" si="118"/>
        <v>25800</v>
      </c>
      <c r="W173" s="153">
        <f t="shared" si="118"/>
        <v>25400</v>
      </c>
      <c r="X173" s="153">
        <f t="shared" si="118"/>
        <v>25500</v>
      </c>
      <c r="Y173" s="153">
        <f t="shared" si="118"/>
        <v>24500</v>
      </c>
      <c r="Z173" s="153">
        <f t="shared" si="118"/>
        <v>26200</v>
      </c>
      <c r="AA173" s="153">
        <f t="shared" si="118"/>
        <v>26000</v>
      </c>
      <c r="AB173" s="153">
        <f t="shared" si="118"/>
        <v>22100</v>
      </c>
      <c r="AC173" s="153">
        <f t="shared" si="118"/>
        <v>25200</v>
      </c>
      <c r="AD173" s="153">
        <f t="shared" si="118"/>
        <v>24900</v>
      </c>
      <c r="AE173" s="153">
        <f t="shared" si="118"/>
        <v>26100</v>
      </c>
      <c r="AF173" s="153">
        <f t="shared" si="118"/>
        <v>25000</v>
      </c>
      <c r="AG173" s="153">
        <f t="shared" si="118"/>
        <v>24400</v>
      </c>
      <c r="AH173" s="153">
        <f t="shared" si="118"/>
        <v>24100</v>
      </c>
      <c r="AI173" s="153">
        <f t="shared" ref="AI173" si="119">SUM(AI172:AI172)</f>
        <v>24300</v>
      </c>
      <c r="AJ173" s="153">
        <f t="shared" si="118"/>
        <v>26100</v>
      </c>
      <c r="AK173" s="129"/>
      <c r="AL173" s="206">
        <f t="shared" si="117"/>
        <v>751200</v>
      </c>
    </row>
    <row r="174" spans="2:59">
      <c r="B174" s="58">
        <v>12</v>
      </c>
      <c r="C174" s="87" t="s">
        <v>110</v>
      </c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L174" s="213" t="s">
        <v>111</v>
      </c>
    </row>
    <row r="175" spans="2:59">
      <c r="B175" s="81"/>
      <c r="C175" s="89" t="s">
        <v>112</v>
      </c>
      <c r="D175" s="79"/>
      <c r="E175" s="80" t="s">
        <v>9</v>
      </c>
      <c r="F175" s="164">
        <v>0</v>
      </c>
      <c r="G175" s="164">
        <v>0</v>
      </c>
      <c r="H175" s="164">
        <v>0</v>
      </c>
      <c r="I175" s="164">
        <v>0</v>
      </c>
      <c r="J175" s="164">
        <v>0</v>
      </c>
      <c r="K175" s="164">
        <v>0</v>
      </c>
      <c r="L175" s="164">
        <v>277000</v>
      </c>
      <c r="M175" s="164">
        <v>226930</v>
      </c>
      <c r="N175" s="164">
        <v>0</v>
      </c>
      <c r="O175" s="164">
        <v>0</v>
      </c>
      <c r="P175" s="164">
        <v>212560</v>
      </c>
      <c r="Q175" s="164">
        <v>59510</v>
      </c>
      <c r="R175" s="164">
        <v>212660</v>
      </c>
      <c r="S175" s="164">
        <v>121070</v>
      </c>
      <c r="T175" s="164">
        <v>0</v>
      </c>
      <c r="U175" s="164">
        <v>0</v>
      </c>
      <c r="V175" s="164">
        <v>137770</v>
      </c>
      <c r="W175" s="164">
        <v>0</v>
      </c>
      <c r="X175" s="164">
        <v>92610</v>
      </c>
      <c r="Y175" s="164">
        <v>144810</v>
      </c>
      <c r="Z175" s="164">
        <v>178730</v>
      </c>
      <c r="AA175" s="164">
        <v>0</v>
      </c>
      <c r="AB175" s="164">
        <v>0</v>
      </c>
      <c r="AC175" s="164">
        <v>40320</v>
      </c>
      <c r="AD175" s="164">
        <v>0</v>
      </c>
      <c r="AE175" s="164">
        <v>0</v>
      </c>
      <c r="AF175" s="164">
        <v>0</v>
      </c>
      <c r="AG175" s="164">
        <v>0</v>
      </c>
      <c r="AH175" s="164">
        <v>0</v>
      </c>
      <c r="AI175" s="164">
        <v>0</v>
      </c>
      <c r="AJ175" s="164">
        <v>0</v>
      </c>
      <c r="AL175" s="117">
        <f t="shared" si="117"/>
        <v>1703970</v>
      </c>
    </row>
    <row r="176" spans="2:59">
      <c r="B176" s="81"/>
      <c r="C176" s="89" t="s">
        <v>33</v>
      </c>
      <c r="D176" s="79"/>
      <c r="E176" s="80" t="s">
        <v>9</v>
      </c>
      <c r="F176" s="164">
        <v>0</v>
      </c>
      <c r="G176" s="164">
        <v>0</v>
      </c>
      <c r="H176" s="164">
        <v>0</v>
      </c>
      <c r="I176" s="164">
        <v>0</v>
      </c>
      <c r="J176" s="164">
        <v>0</v>
      </c>
      <c r="K176" s="164">
        <v>0</v>
      </c>
      <c r="L176" s="164">
        <v>0</v>
      </c>
      <c r="M176" s="164">
        <v>0</v>
      </c>
      <c r="N176" s="164">
        <v>0</v>
      </c>
      <c r="O176" s="164">
        <v>0</v>
      </c>
      <c r="P176" s="164">
        <v>0</v>
      </c>
      <c r="Q176" s="164">
        <v>0</v>
      </c>
      <c r="R176" s="164">
        <v>0</v>
      </c>
      <c r="S176" s="164">
        <v>0</v>
      </c>
      <c r="T176" s="164">
        <v>0</v>
      </c>
      <c r="U176" s="164">
        <v>0</v>
      </c>
      <c r="V176" s="164">
        <v>0</v>
      </c>
      <c r="W176" s="164">
        <v>0</v>
      </c>
      <c r="X176" s="164">
        <v>0</v>
      </c>
      <c r="Y176" s="164">
        <v>0</v>
      </c>
      <c r="Z176" s="164">
        <v>0</v>
      </c>
      <c r="AA176" s="164">
        <v>0</v>
      </c>
      <c r="AB176" s="164">
        <v>0</v>
      </c>
      <c r="AC176" s="164">
        <v>0</v>
      </c>
      <c r="AD176" s="164">
        <v>0</v>
      </c>
      <c r="AE176" s="164">
        <v>0</v>
      </c>
      <c r="AF176" s="164">
        <v>0</v>
      </c>
      <c r="AG176" s="164">
        <v>0</v>
      </c>
      <c r="AH176" s="164">
        <v>0</v>
      </c>
      <c r="AI176" s="164">
        <v>0</v>
      </c>
      <c r="AJ176" s="164">
        <v>0</v>
      </c>
      <c r="AL176" s="117">
        <f t="shared" si="117"/>
        <v>0</v>
      </c>
    </row>
    <row r="177" spans="2:40">
      <c r="B177" s="81"/>
      <c r="C177" s="89" t="s">
        <v>35</v>
      </c>
      <c r="D177" s="79"/>
      <c r="E177" s="80" t="s">
        <v>9</v>
      </c>
      <c r="F177" s="164">
        <v>0</v>
      </c>
      <c r="G177" s="164">
        <v>0</v>
      </c>
      <c r="H177" s="164">
        <v>24920</v>
      </c>
      <c r="I177" s="164">
        <v>75460</v>
      </c>
      <c r="J177" s="164">
        <v>76080</v>
      </c>
      <c r="K177" s="164">
        <v>50080</v>
      </c>
      <c r="L177" s="164">
        <v>0</v>
      </c>
      <c r="M177" s="164">
        <v>0</v>
      </c>
      <c r="N177" s="164">
        <v>0</v>
      </c>
      <c r="O177" s="164">
        <v>80430</v>
      </c>
      <c r="P177" s="164">
        <v>37930</v>
      </c>
      <c r="Q177" s="164">
        <v>24960</v>
      </c>
      <c r="R177" s="164">
        <v>27760</v>
      </c>
      <c r="S177" s="164">
        <v>0</v>
      </c>
      <c r="T177" s="164">
        <v>0</v>
      </c>
      <c r="U177" s="164">
        <v>0</v>
      </c>
      <c r="V177" s="164">
        <v>27190</v>
      </c>
      <c r="W177" s="164">
        <v>0</v>
      </c>
      <c r="X177" s="164">
        <v>0</v>
      </c>
      <c r="Y177" s="164">
        <v>0</v>
      </c>
      <c r="Z177" s="164">
        <v>0</v>
      </c>
      <c r="AA177" s="164">
        <v>0</v>
      </c>
      <c r="AB177" s="164">
        <v>0</v>
      </c>
      <c r="AC177" s="164">
        <v>0</v>
      </c>
      <c r="AD177" s="164">
        <v>0</v>
      </c>
      <c r="AE177" s="164">
        <v>0</v>
      </c>
      <c r="AF177" s="164">
        <v>28080</v>
      </c>
      <c r="AG177" s="164">
        <v>52790</v>
      </c>
      <c r="AH177" s="64">
        <v>20510</v>
      </c>
      <c r="AI177" s="164">
        <v>0</v>
      </c>
      <c r="AJ177" s="164">
        <v>0</v>
      </c>
      <c r="AL177" s="117">
        <f t="shared" si="117"/>
        <v>526190</v>
      </c>
    </row>
    <row r="178" spans="2:40" hidden="1">
      <c r="B178" s="81"/>
      <c r="C178" s="89" t="s">
        <v>40</v>
      </c>
      <c r="D178" s="79"/>
      <c r="E178" s="80" t="s">
        <v>9</v>
      </c>
      <c r="F178" s="164">
        <v>0</v>
      </c>
      <c r="G178" s="164">
        <v>0</v>
      </c>
      <c r="H178" s="164"/>
      <c r="I178" s="164"/>
      <c r="J178" s="164"/>
      <c r="K178" s="164"/>
      <c r="L178" s="164">
        <v>0</v>
      </c>
      <c r="M178" s="164">
        <v>0</v>
      </c>
      <c r="N178" s="164">
        <v>0</v>
      </c>
      <c r="O178" s="164"/>
      <c r="P178" s="164"/>
      <c r="Q178" s="164"/>
      <c r="R178" s="164"/>
      <c r="S178" s="164"/>
      <c r="T178" s="164">
        <v>0</v>
      </c>
      <c r="U178" s="164"/>
      <c r="V178" s="164"/>
      <c r="W178" s="164"/>
      <c r="X178" s="164"/>
      <c r="Y178" s="164"/>
      <c r="Z178" s="164"/>
      <c r="AA178" s="164">
        <v>0</v>
      </c>
      <c r="AB178" s="164">
        <v>0</v>
      </c>
      <c r="AC178" s="164">
        <v>0</v>
      </c>
      <c r="AD178" s="164"/>
      <c r="AE178" s="164"/>
      <c r="AF178" s="64"/>
      <c r="AG178" s="164"/>
      <c r="AH178" s="64"/>
      <c r="AI178" s="64"/>
      <c r="AJ178" s="164"/>
      <c r="AL178" s="117">
        <f t="shared" si="117"/>
        <v>0</v>
      </c>
    </row>
    <row r="179" spans="2:40">
      <c r="B179" s="81"/>
      <c r="C179" s="89" t="s">
        <v>51</v>
      </c>
      <c r="D179" s="79"/>
      <c r="E179" s="80" t="s">
        <v>9</v>
      </c>
      <c r="F179" s="164">
        <v>0</v>
      </c>
      <c r="G179" s="164">
        <v>0</v>
      </c>
      <c r="H179" s="164">
        <v>128840</v>
      </c>
      <c r="I179" s="164">
        <v>172930</v>
      </c>
      <c r="J179" s="164">
        <v>150820</v>
      </c>
      <c r="K179" s="164">
        <v>128820</v>
      </c>
      <c r="L179" s="164">
        <v>0</v>
      </c>
      <c r="M179" s="164">
        <v>0</v>
      </c>
      <c r="N179" s="164">
        <v>0</v>
      </c>
      <c r="O179" s="164">
        <v>140290</v>
      </c>
      <c r="P179" s="164">
        <v>615210</v>
      </c>
      <c r="Q179" s="164">
        <v>339030</v>
      </c>
      <c r="R179" s="164">
        <v>208650</v>
      </c>
      <c r="S179" s="164">
        <v>146940</v>
      </c>
      <c r="T179" s="164">
        <v>0</v>
      </c>
      <c r="U179" s="164">
        <v>42590</v>
      </c>
      <c r="V179" s="164">
        <v>107990</v>
      </c>
      <c r="W179" s="164">
        <v>484890</v>
      </c>
      <c r="X179" s="164">
        <v>273010</v>
      </c>
      <c r="Y179" s="164">
        <v>178640</v>
      </c>
      <c r="Z179" s="164">
        <v>57090</v>
      </c>
      <c r="AA179" s="164">
        <v>0</v>
      </c>
      <c r="AB179" s="164">
        <v>0</v>
      </c>
      <c r="AC179" s="164">
        <v>82920</v>
      </c>
      <c r="AD179" s="164">
        <v>83470</v>
      </c>
      <c r="AE179" s="164">
        <v>138570</v>
      </c>
      <c r="AF179" s="64">
        <v>279220</v>
      </c>
      <c r="AG179" s="164">
        <v>306780</v>
      </c>
      <c r="AH179" s="64">
        <v>277960</v>
      </c>
      <c r="AI179" s="164">
        <v>279400</v>
      </c>
      <c r="AJ179" s="164">
        <v>278640</v>
      </c>
      <c r="AL179" s="117">
        <f t="shared" si="117"/>
        <v>4902700</v>
      </c>
      <c r="AM179" s="204"/>
    </row>
    <row r="180" spans="2:40" s="8" customFormat="1">
      <c r="B180" s="180"/>
      <c r="C180" s="193" t="s">
        <v>91</v>
      </c>
      <c r="D180" s="194"/>
      <c r="E180" s="195" t="s">
        <v>9</v>
      </c>
      <c r="F180" s="196">
        <f t="shared" ref="F180:AJ180" si="120">SUM(F175:F179)</f>
        <v>0</v>
      </c>
      <c r="G180" s="196">
        <f t="shared" si="120"/>
        <v>0</v>
      </c>
      <c r="H180" s="196">
        <f t="shared" si="120"/>
        <v>153760</v>
      </c>
      <c r="I180" s="196">
        <f t="shared" si="120"/>
        <v>248390</v>
      </c>
      <c r="J180" s="196">
        <f t="shared" si="120"/>
        <v>226900</v>
      </c>
      <c r="K180" s="196">
        <f t="shared" si="120"/>
        <v>178900</v>
      </c>
      <c r="L180" s="196">
        <f t="shared" si="120"/>
        <v>277000</v>
      </c>
      <c r="M180" s="196">
        <f t="shared" si="120"/>
        <v>226930</v>
      </c>
      <c r="N180" s="196">
        <f t="shared" si="120"/>
        <v>0</v>
      </c>
      <c r="O180" s="196">
        <f t="shared" si="120"/>
        <v>220720</v>
      </c>
      <c r="P180" s="196">
        <f t="shared" si="120"/>
        <v>865700</v>
      </c>
      <c r="Q180" s="196">
        <f t="shared" si="120"/>
        <v>423500</v>
      </c>
      <c r="R180" s="196">
        <f t="shared" si="120"/>
        <v>449070</v>
      </c>
      <c r="S180" s="196">
        <f t="shared" si="120"/>
        <v>268010</v>
      </c>
      <c r="T180" s="196">
        <f t="shared" si="120"/>
        <v>0</v>
      </c>
      <c r="U180" s="196">
        <f t="shared" si="120"/>
        <v>42590</v>
      </c>
      <c r="V180" s="196">
        <f t="shared" si="120"/>
        <v>272950</v>
      </c>
      <c r="W180" s="196">
        <f t="shared" si="120"/>
        <v>484890</v>
      </c>
      <c r="X180" s="196">
        <f t="shared" si="120"/>
        <v>365620</v>
      </c>
      <c r="Y180" s="196">
        <f t="shared" si="120"/>
        <v>323450</v>
      </c>
      <c r="Z180" s="196">
        <f t="shared" si="120"/>
        <v>235820</v>
      </c>
      <c r="AA180" s="196">
        <f t="shared" si="120"/>
        <v>0</v>
      </c>
      <c r="AB180" s="196">
        <f t="shared" si="120"/>
        <v>0</v>
      </c>
      <c r="AC180" s="196">
        <f t="shared" si="120"/>
        <v>123240</v>
      </c>
      <c r="AD180" s="196">
        <f>SUM(AD175:AD179)</f>
        <v>83470</v>
      </c>
      <c r="AE180" s="196">
        <f t="shared" si="120"/>
        <v>138570</v>
      </c>
      <c r="AF180" s="196">
        <f t="shared" si="120"/>
        <v>307300</v>
      </c>
      <c r="AG180" s="196">
        <f t="shared" si="120"/>
        <v>359570</v>
      </c>
      <c r="AH180" s="196">
        <f t="shared" si="120"/>
        <v>298470</v>
      </c>
      <c r="AI180" s="196">
        <f t="shared" ref="AI180" si="121">SUM(AI175:AI179)</f>
        <v>279400</v>
      </c>
      <c r="AJ180" s="196">
        <f t="shared" si="120"/>
        <v>278640</v>
      </c>
      <c r="AL180" s="214">
        <f>SUM(AL175:AL179)</f>
        <v>7132860</v>
      </c>
      <c r="AM180" s="204"/>
      <c r="AN180" s="207"/>
    </row>
    <row r="181" spans="2:40">
      <c r="B181" s="58">
        <v>13</v>
      </c>
      <c r="C181" s="87" t="s">
        <v>113</v>
      </c>
      <c r="D181" s="192"/>
      <c r="E181" s="192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L181" s="215" t="s">
        <v>114</v>
      </c>
    </row>
    <row r="182" spans="2:40">
      <c r="B182" s="81"/>
      <c r="C182" s="89" t="s">
        <v>112</v>
      </c>
      <c r="D182" s="79"/>
      <c r="E182" s="80" t="s">
        <v>9</v>
      </c>
      <c r="F182" s="164">
        <v>0</v>
      </c>
      <c r="G182" s="164">
        <v>0</v>
      </c>
      <c r="H182" s="164">
        <v>0</v>
      </c>
      <c r="I182" s="164">
        <v>0</v>
      </c>
      <c r="J182" s="164">
        <v>0</v>
      </c>
      <c r="K182" s="164">
        <v>0</v>
      </c>
      <c r="L182" s="164">
        <v>0</v>
      </c>
      <c r="M182" s="164">
        <v>0</v>
      </c>
      <c r="N182" s="164">
        <v>0</v>
      </c>
      <c r="O182" s="164">
        <v>0</v>
      </c>
      <c r="P182" s="164">
        <v>0</v>
      </c>
      <c r="Q182" s="164">
        <v>0</v>
      </c>
      <c r="R182" s="164">
        <v>0</v>
      </c>
      <c r="S182" s="164">
        <v>0</v>
      </c>
      <c r="T182" s="164">
        <v>0</v>
      </c>
      <c r="U182" s="164">
        <v>0</v>
      </c>
      <c r="V182" s="164">
        <v>0</v>
      </c>
      <c r="W182" s="164">
        <v>0</v>
      </c>
      <c r="X182" s="164">
        <v>0</v>
      </c>
      <c r="Y182" s="164">
        <v>0</v>
      </c>
      <c r="Z182" s="164">
        <v>0</v>
      </c>
      <c r="AA182" s="164">
        <v>0</v>
      </c>
      <c r="AB182" s="164">
        <v>0</v>
      </c>
      <c r="AC182" s="164">
        <v>0</v>
      </c>
      <c r="AD182" s="164">
        <v>0</v>
      </c>
      <c r="AE182" s="164">
        <v>0</v>
      </c>
      <c r="AF182" s="164">
        <v>0</v>
      </c>
      <c r="AG182" s="164">
        <v>0</v>
      </c>
      <c r="AH182" s="164">
        <v>0</v>
      </c>
      <c r="AI182" s="164">
        <v>0</v>
      </c>
      <c r="AJ182" s="164">
        <v>0</v>
      </c>
      <c r="AL182" s="117">
        <f>SUM(F182:AJ182)</f>
        <v>0</v>
      </c>
    </row>
    <row r="183" spans="2:40">
      <c r="B183" s="81"/>
      <c r="C183" s="89" t="s">
        <v>33</v>
      </c>
      <c r="D183" s="79"/>
      <c r="E183" s="80" t="s">
        <v>9</v>
      </c>
      <c r="F183" s="164">
        <v>0</v>
      </c>
      <c r="G183" s="164">
        <v>0</v>
      </c>
      <c r="H183" s="164">
        <v>0</v>
      </c>
      <c r="I183" s="164">
        <v>0</v>
      </c>
      <c r="J183" s="164">
        <v>0</v>
      </c>
      <c r="K183" s="164">
        <v>287160</v>
      </c>
      <c r="L183" s="164">
        <v>258860</v>
      </c>
      <c r="M183" s="164">
        <v>0</v>
      </c>
      <c r="N183" s="164">
        <v>0</v>
      </c>
      <c r="O183" s="164">
        <v>0</v>
      </c>
      <c r="P183" s="164">
        <v>0</v>
      </c>
      <c r="Q183" s="164">
        <v>0</v>
      </c>
      <c r="R183" s="164">
        <v>87690</v>
      </c>
      <c r="S183" s="164">
        <v>405010</v>
      </c>
      <c r="T183" s="164">
        <v>115190</v>
      </c>
      <c r="U183" s="164">
        <v>0</v>
      </c>
      <c r="V183" s="164">
        <v>0</v>
      </c>
      <c r="W183" s="164">
        <v>0</v>
      </c>
      <c r="X183" s="164">
        <v>0</v>
      </c>
      <c r="Y183" s="164">
        <v>0</v>
      </c>
      <c r="Z183" s="164">
        <v>0</v>
      </c>
      <c r="AA183" s="164">
        <v>0</v>
      </c>
      <c r="AB183" s="164">
        <v>0</v>
      </c>
      <c r="AC183" s="164">
        <v>0</v>
      </c>
      <c r="AD183" s="164">
        <v>0</v>
      </c>
      <c r="AE183" s="164">
        <v>0</v>
      </c>
      <c r="AF183" s="164">
        <v>0</v>
      </c>
      <c r="AG183" s="164">
        <v>0</v>
      </c>
      <c r="AH183" s="164">
        <v>0</v>
      </c>
      <c r="AI183" s="164">
        <v>0</v>
      </c>
      <c r="AJ183" s="164">
        <v>0</v>
      </c>
      <c r="AL183" s="117">
        <f>SUM(F183:AJ183)</f>
        <v>1153910</v>
      </c>
    </row>
    <row r="184" spans="2:40">
      <c r="B184" s="81"/>
      <c r="C184" s="89" t="s">
        <v>35</v>
      </c>
      <c r="D184" s="79"/>
      <c r="E184" s="80" t="s">
        <v>9</v>
      </c>
      <c r="F184" s="164">
        <v>0</v>
      </c>
      <c r="G184" s="164">
        <v>0</v>
      </c>
      <c r="H184" s="164">
        <v>341770</v>
      </c>
      <c r="I184" s="164">
        <v>1256970</v>
      </c>
      <c r="J184" s="164">
        <v>1031940</v>
      </c>
      <c r="K184" s="164">
        <v>1156630</v>
      </c>
      <c r="L184" s="164">
        <v>1547370</v>
      </c>
      <c r="M184" s="164">
        <v>1073590</v>
      </c>
      <c r="N184" s="164">
        <v>0</v>
      </c>
      <c r="O184" s="164">
        <v>2070690</v>
      </c>
      <c r="P184" s="164">
        <v>1321360</v>
      </c>
      <c r="Q184" s="164">
        <v>1694930</v>
      </c>
      <c r="R184" s="164">
        <v>1267850</v>
      </c>
      <c r="S184" s="164">
        <v>1995610</v>
      </c>
      <c r="T184" s="164">
        <v>1831000</v>
      </c>
      <c r="U184" s="164">
        <v>343440</v>
      </c>
      <c r="V184" s="164">
        <v>1637880</v>
      </c>
      <c r="W184" s="164">
        <v>1946780</v>
      </c>
      <c r="X184" s="164">
        <v>617510</v>
      </c>
      <c r="Y184" s="164">
        <v>563510</v>
      </c>
      <c r="Z184" s="164">
        <v>1001690</v>
      </c>
      <c r="AA184" s="164">
        <v>498250</v>
      </c>
      <c r="AB184" s="164">
        <v>0</v>
      </c>
      <c r="AC184" s="164">
        <v>1190690</v>
      </c>
      <c r="AD184" s="164">
        <v>820530</v>
      </c>
      <c r="AE184" s="164">
        <v>1134820</v>
      </c>
      <c r="AF184" s="164">
        <v>1015710</v>
      </c>
      <c r="AG184" s="164">
        <v>1264050</v>
      </c>
      <c r="AH184" s="164">
        <v>729340</v>
      </c>
      <c r="AI184" s="164">
        <v>0</v>
      </c>
      <c r="AJ184" s="164">
        <v>1405040</v>
      </c>
      <c r="AL184" s="117">
        <f>SUM(F184:AJ184)</f>
        <v>30758950</v>
      </c>
    </row>
    <row r="185" spans="2:40" hidden="1">
      <c r="B185" s="81"/>
      <c r="C185" s="89" t="s">
        <v>44</v>
      </c>
      <c r="D185" s="79"/>
      <c r="E185" s="80" t="s">
        <v>9</v>
      </c>
      <c r="F185" s="164">
        <v>0</v>
      </c>
      <c r="G185" s="164">
        <v>0</v>
      </c>
      <c r="H185" s="164"/>
      <c r="I185" s="164"/>
      <c r="J185" s="164"/>
      <c r="K185" s="164"/>
      <c r="L185" s="164"/>
      <c r="M185" s="164"/>
      <c r="N185" s="164">
        <v>0</v>
      </c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>
        <v>0</v>
      </c>
      <c r="AD185" s="164"/>
      <c r="AE185" s="164"/>
      <c r="AF185" s="164"/>
      <c r="AG185" s="164"/>
      <c r="AH185" s="164"/>
      <c r="AI185" s="164">
        <v>0</v>
      </c>
      <c r="AJ185" s="164"/>
      <c r="AL185" s="117">
        <f>SUM(F185:AJ185)</f>
        <v>0</v>
      </c>
    </row>
    <row r="186" spans="2:40">
      <c r="B186" s="81"/>
      <c r="C186" s="89" t="s">
        <v>51</v>
      </c>
      <c r="D186" s="79"/>
      <c r="E186" s="80" t="s">
        <v>9</v>
      </c>
      <c r="F186" s="164">
        <v>0</v>
      </c>
      <c r="G186" s="164">
        <v>0</v>
      </c>
      <c r="H186" s="164">
        <v>0</v>
      </c>
      <c r="I186" s="164">
        <v>0</v>
      </c>
      <c r="J186" s="164">
        <v>0</v>
      </c>
      <c r="K186" s="164">
        <v>0</v>
      </c>
      <c r="L186" s="164">
        <v>0</v>
      </c>
      <c r="M186" s="164">
        <v>0</v>
      </c>
      <c r="N186" s="164">
        <v>0</v>
      </c>
      <c r="O186" s="164">
        <v>0</v>
      </c>
      <c r="P186" s="164">
        <v>0</v>
      </c>
      <c r="Q186" s="164">
        <v>0</v>
      </c>
      <c r="R186" s="164">
        <v>62980</v>
      </c>
      <c r="S186" s="164">
        <v>129720</v>
      </c>
      <c r="T186" s="164">
        <v>65080</v>
      </c>
      <c r="U186" s="164">
        <v>107280</v>
      </c>
      <c r="V186" s="164">
        <v>215250</v>
      </c>
      <c r="W186" s="164">
        <v>258540</v>
      </c>
      <c r="X186" s="164">
        <v>258860</v>
      </c>
      <c r="Y186" s="164">
        <v>397280</v>
      </c>
      <c r="Z186" s="164">
        <v>401170</v>
      </c>
      <c r="AA186" s="164">
        <v>149520</v>
      </c>
      <c r="AB186" s="164">
        <v>529400</v>
      </c>
      <c r="AC186" s="164">
        <v>340600</v>
      </c>
      <c r="AD186" s="164">
        <v>588440</v>
      </c>
      <c r="AE186" s="164">
        <v>345470</v>
      </c>
      <c r="AF186" s="164">
        <v>504830</v>
      </c>
      <c r="AG186" s="164">
        <v>274140</v>
      </c>
      <c r="AH186" s="164">
        <v>195430</v>
      </c>
      <c r="AI186" s="164">
        <v>0</v>
      </c>
      <c r="AJ186" s="164">
        <v>0</v>
      </c>
      <c r="AL186" s="117">
        <f>SUM(F186:AJ186)</f>
        <v>4823990</v>
      </c>
    </row>
    <row r="187" spans="2:40" s="8" customFormat="1" ht="15.75" thickBot="1">
      <c r="B187" s="180"/>
      <c r="C187" s="193" t="s">
        <v>91</v>
      </c>
      <c r="D187" s="194"/>
      <c r="E187" s="195" t="s">
        <v>9</v>
      </c>
      <c r="F187" s="196">
        <f t="shared" ref="F187:AJ187" si="122">SUM(F182:F186)</f>
        <v>0</v>
      </c>
      <c r="G187" s="196">
        <f t="shared" si="122"/>
        <v>0</v>
      </c>
      <c r="H187" s="196">
        <f t="shared" si="122"/>
        <v>341770</v>
      </c>
      <c r="I187" s="196">
        <f t="shared" si="122"/>
        <v>1256970</v>
      </c>
      <c r="J187" s="196">
        <f t="shared" si="122"/>
        <v>1031940</v>
      </c>
      <c r="K187" s="196">
        <f t="shared" si="122"/>
        <v>1443790</v>
      </c>
      <c r="L187" s="196">
        <f t="shared" si="122"/>
        <v>1806230</v>
      </c>
      <c r="M187" s="196">
        <f t="shared" si="122"/>
        <v>1073590</v>
      </c>
      <c r="N187" s="196">
        <f t="shared" si="122"/>
        <v>0</v>
      </c>
      <c r="O187" s="196">
        <f t="shared" si="122"/>
        <v>2070690</v>
      </c>
      <c r="P187" s="196">
        <f t="shared" si="122"/>
        <v>1321360</v>
      </c>
      <c r="Q187" s="196">
        <f t="shared" si="122"/>
        <v>1694930</v>
      </c>
      <c r="R187" s="196">
        <f t="shared" si="122"/>
        <v>1418520</v>
      </c>
      <c r="S187" s="196">
        <f t="shared" si="122"/>
        <v>2530340</v>
      </c>
      <c r="T187" s="196">
        <f t="shared" si="122"/>
        <v>2011270</v>
      </c>
      <c r="U187" s="196">
        <f t="shared" si="122"/>
        <v>450720</v>
      </c>
      <c r="V187" s="196">
        <f t="shared" si="122"/>
        <v>1853130</v>
      </c>
      <c r="W187" s="196">
        <f t="shared" si="122"/>
        <v>2205320</v>
      </c>
      <c r="X187" s="196">
        <f t="shared" si="122"/>
        <v>876370</v>
      </c>
      <c r="Y187" s="196">
        <f t="shared" si="122"/>
        <v>960790</v>
      </c>
      <c r="Z187" s="196">
        <f t="shared" si="122"/>
        <v>1402860</v>
      </c>
      <c r="AA187" s="196">
        <f t="shared" si="122"/>
        <v>647770</v>
      </c>
      <c r="AB187" s="196">
        <f t="shared" si="122"/>
        <v>529400</v>
      </c>
      <c r="AC187" s="196">
        <f t="shared" si="122"/>
        <v>1531290</v>
      </c>
      <c r="AD187" s="196">
        <f t="shared" si="122"/>
        <v>1408970</v>
      </c>
      <c r="AE187" s="196">
        <f t="shared" si="122"/>
        <v>1480290</v>
      </c>
      <c r="AF187" s="196">
        <f t="shared" si="122"/>
        <v>1520540</v>
      </c>
      <c r="AG187" s="196">
        <f t="shared" si="122"/>
        <v>1538190</v>
      </c>
      <c r="AH187" s="196">
        <f t="shared" si="122"/>
        <v>924770</v>
      </c>
      <c r="AI187" s="196">
        <f t="shared" ref="AI187" si="123">SUM(AI182:AI186)</f>
        <v>0</v>
      </c>
      <c r="AJ187" s="196">
        <f t="shared" si="122"/>
        <v>1405040</v>
      </c>
      <c r="AL187" s="216">
        <f>SUM(AL182:AL186)</f>
        <v>36736850</v>
      </c>
      <c r="AN187" s="207"/>
    </row>
    <row r="189" spans="2:40">
      <c r="AH189" s="33"/>
      <c r="AI189" s="33"/>
      <c r="AJ189" s="33"/>
    </row>
    <row r="190" spans="2:40">
      <c r="AH190" s="33"/>
      <c r="AI190" s="33"/>
      <c r="AJ190" s="33"/>
    </row>
    <row r="191" spans="2:40">
      <c r="AH191" s="33"/>
      <c r="AI191" s="33"/>
      <c r="AJ191" s="33"/>
    </row>
  </sheetData>
  <mergeCells count="7">
    <mergeCell ref="AL5:AL6"/>
    <mergeCell ref="B2:AJ2"/>
    <mergeCell ref="F5:AJ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 r:id="rId1"/>
  <ignoredErrors>
    <ignoredError sqref="P47:S54 P10:S10 M14:S14 O61:S61 Q88:Q92 K49:L52 O114:P118 T10:U11 T52:U54 V54:V55 V59 U61:V61 AL18 V47:W52 W10:W11 R114:W118 X51:Y54 Y10:Z10 W88:AA92 AB51:AB54 AA59 AA61:AB61 Y114:AB118 AC47:AC55 AC114:AC119 AD89:AD92 AA10:AD11 AG47:AG55 AF59:AH59 AD61:AG61 T14:AG15 AH47:AH54 AD114:AH118 AE88:AH92 AJ10:AJ11 AJ114:AJ118 AJ88:AJ92 AJ47:AJ55 AJ143:AJ147 R143:AH147 AL143:AL146 AJ14:AJ15 AJ18 AJ59 AJ61 F10:L11 F14:L15 F18:AH18 AL52:AL54 F50:F52 G49:G52 H47:J52 H61:J61 H59:K59 H55:J55 F114:F118 H57:J57 H88:K92 F53:H54 H114:K118 M10 O51:O54 M47:N55 M59 M61:N61 M57 Q59:S59 Y47:Y50 Z47:AA55 AD49:AE52 AD47:AE48 AD53:AE54 AB47:AB50 AE10:AF10 AD59:AE59 AB59 AF49:AF52 AF47:AF48 AF53:AF54 AH61:AI61 AI59 AI47:AI54 AI10:AI11 AH14 AI14:AI15 AI18 F59:G59 F57:G58 F61:G61 I53:J54 F47:G48 F49 F60 AN59 K53:K54 T51:U51 T47:U50 W53 V57 X47:X50 X57 Z57:AC57 AG10:AH10 AG57:AJ57 AI88" evalError="1"/>
    <ignoredError sqref="W55 W61:W62 K62 L53:L55 L57 L61:L62 AL25:AL27 AL63" formulaRange="1"/>
    <ignoredError sqref="O62:S62 T61:T62 U62:V62 W59 W54 X59:Z59 AA62:AB62 AD62:AI62 AJ62 H62:J62 L59 M62:N62 Y61:Y62 Z61:Z62 F62:G62 X61:X62" evalError="1" formulaRange="1"/>
    <ignoredError sqref="N59 AL59" formula="1"/>
    <ignoredError sqref="O59:P59 AC61 AC59" evalError="1" formula="1"/>
    <ignoredError sqref="T59 AC62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4:L16"/>
  <sheetViews>
    <sheetView showGridLines="0" workbookViewId="0">
      <selection activeCell="F18" sqref="F17:F18"/>
    </sheetView>
  </sheetViews>
  <sheetFormatPr defaultColWidth="9.140625" defaultRowHeight="14.25"/>
  <cols>
    <col min="1" max="4" width="9.140625" style="17"/>
    <col min="5" max="5" width="20.28515625" style="17" customWidth="1"/>
    <col min="6" max="12" width="15.42578125" style="17" customWidth="1"/>
    <col min="13" max="16384" width="9.140625" style="17"/>
  </cols>
  <sheetData>
    <row r="4" spans="5:12" ht="18.95" customHeight="1">
      <c r="E4" s="22" t="s">
        <v>115</v>
      </c>
      <c r="F4" s="23" t="s">
        <v>116</v>
      </c>
      <c r="G4" s="23" t="s">
        <v>117</v>
      </c>
      <c r="H4" s="23" t="s">
        <v>118</v>
      </c>
      <c r="I4" s="23" t="s">
        <v>119</v>
      </c>
      <c r="J4" s="23" t="s">
        <v>120</v>
      </c>
      <c r="K4" s="30" t="s">
        <v>121</v>
      </c>
      <c r="L4" s="30" t="s">
        <v>122</v>
      </c>
    </row>
    <row r="5" spans="5:12" ht="18.95" customHeight="1">
      <c r="E5" s="24" t="s">
        <v>112</v>
      </c>
      <c r="F5" s="25">
        <v>94.838870792020799</v>
      </c>
      <c r="G5" s="25">
        <v>95.168254420739999</v>
      </c>
      <c r="H5" s="25">
        <v>95.021893781343607</v>
      </c>
      <c r="I5" s="25">
        <v>94.834430354171005</v>
      </c>
      <c r="J5" s="25">
        <v>94.106000323543398</v>
      </c>
      <c r="K5" s="31">
        <v>94.527038478954296</v>
      </c>
      <c r="L5" s="31">
        <v>94.7019691049626</v>
      </c>
    </row>
    <row r="6" spans="5:12" ht="18.95" customHeight="1">
      <c r="E6" s="24" t="s">
        <v>33</v>
      </c>
      <c r="F6" s="25">
        <v>4.5645820355271898</v>
      </c>
      <c r="G6" s="25">
        <v>4.2344138157586801</v>
      </c>
      <c r="H6" s="25">
        <v>4.3758533595428402</v>
      </c>
      <c r="I6" s="25">
        <v>4.5666541536379297</v>
      </c>
      <c r="J6" s="25">
        <v>5.2617321607619996</v>
      </c>
      <c r="K6" s="31">
        <v>4.8620034555421503</v>
      </c>
      <c r="L6" s="31">
        <v>4.6995178453903703</v>
      </c>
    </row>
    <row r="7" spans="5:12" ht="18.95" customHeight="1">
      <c r="E7" s="24" t="s">
        <v>37</v>
      </c>
      <c r="F7" s="25">
        <v>83.665160055280197</v>
      </c>
      <c r="G7" s="25">
        <v>83.575453845237504</v>
      </c>
      <c r="H7" s="25">
        <v>83.565849279510502</v>
      </c>
      <c r="I7" s="25">
        <v>82.219585328118399</v>
      </c>
      <c r="J7" s="25">
        <v>82.194224855290997</v>
      </c>
      <c r="K7" s="31">
        <v>82.186394131302094</v>
      </c>
      <c r="L7" s="31">
        <v>82.322385187912502</v>
      </c>
    </row>
    <row r="8" spans="5:12" ht="18.95" customHeight="1">
      <c r="E8" s="24" t="s">
        <v>123</v>
      </c>
      <c r="F8" s="25">
        <v>60.7896528250511</v>
      </c>
      <c r="G8" s="25">
        <v>60.083837913367503</v>
      </c>
      <c r="H8" s="25">
        <v>60.105448154657303</v>
      </c>
      <c r="I8" s="25">
        <v>60.069686411149803</v>
      </c>
      <c r="J8" s="25">
        <v>60.033798056611701</v>
      </c>
      <c r="K8" s="31">
        <v>59.528301886792498</v>
      </c>
      <c r="L8" s="31">
        <v>59.3851132686084</v>
      </c>
    </row>
    <row r="9" spans="5:12" ht="18.95" customHeight="1">
      <c r="E9" s="26" t="s">
        <v>38</v>
      </c>
      <c r="F9" s="27">
        <v>55.545187119668697</v>
      </c>
      <c r="G9" s="27">
        <v>56.340708241394999</v>
      </c>
      <c r="H9" s="27">
        <v>56.33</v>
      </c>
      <c r="I9" s="27">
        <v>57.710728260731798</v>
      </c>
      <c r="J9" s="27">
        <v>57.771977088097202</v>
      </c>
      <c r="K9" s="32">
        <v>58.2853039819054</v>
      </c>
      <c r="L9" s="32">
        <v>58.292501543479098</v>
      </c>
    </row>
    <row r="10" spans="5:12">
      <c r="F10" s="28"/>
      <c r="G10" s="28"/>
      <c r="H10" s="28"/>
      <c r="I10" s="28"/>
      <c r="J10" s="28"/>
      <c r="K10" s="28"/>
      <c r="L10" s="28"/>
    </row>
    <row r="11" spans="5:12">
      <c r="F11" s="28"/>
      <c r="G11" s="28"/>
      <c r="H11" s="28"/>
      <c r="I11" s="28"/>
      <c r="J11" s="28"/>
      <c r="K11" s="28"/>
      <c r="L11" s="28"/>
    </row>
    <row r="12" spans="5:12">
      <c r="H12" s="29"/>
      <c r="I12" s="29"/>
      <c r="J12" s="29"/>
      <c r="K12" s="29"/>
      <c r="L12" s="29"/>
    </row>
    <row r="13" spans="5:12">
      <c r="H13" s="29"/>
      <c r="I13" s="29"/>
      <c r="J13" s="29"/>
      <c r="K13" s="29"/>
      <c r="L13" s="29"/>
    </row>
    <row r="14" spans="5:12">
      <c r="H14" s="29"/>
      <c r="I14" s="29"/>
      <c r="J14" s="29"/>
      <c r="K14" s="29"/>
      <c r="L14" s="29"/>
    </row>
    <row r="15" spans="5:12">
      <c r="H15" s="29"/>
      <c r="I15" s="29"/>
      <c r="J15" s="29"/>
      <c r="K15" s="29"/>
      <c r="L15" s="29"/>
    </row>
    <row r="16" spans="5:12">
      <c r="H16" s="29"/>
      <c r="I16" s="29"/>
      <c r="J16" s="29"/>
      <c r="K16" s="29"/>
      <c r="L16" s="2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XFD140"/>
  <sheetViews>
    <sheetView showGridLines="0" topLeftCell="A7" zoomScale="120" zoomScaleNormal="120" workbookViewId="0">
      <selection activeCell="F39" sqref="F39"/>
    </sheetView>
  </sheetViews>
  <sheetFormatPr defaultColWidth="9" defaultRowHeight="15"/>
  <cols>
    <col min="1" max="1" width="9.140625" style="3"/>
    <col min="2" max="2" width="15" style="3" customWidth="1"/>
    <col min="3" max="3" width="15.28515625" style="3"/>
    <col min="4" max="16055" width="9.140625" style="3"/>
    <col min="16056" max="16057" width="9" style="3"/>
    <col min="16058" max="16059" width="9.140625"/>
  </cols>
  <sheetData>
    <row r="7" spans="2:10">
      <c r="B7" s="309" t="s">
        <v>124</v>
      </c>
      <c r="C7" s="310"/>
      <c r="D7" s="311"/>
      <c r="E7" s="312" t="s">
        <v>125</v>
      </c>
      <c r="F7" s="312"/>
      <c r="G7" s="312" t="s">
        <v>126</v>
      </c>
      <c r="H7" s="312"/>
    </row>
    <row r="8" spans="2:10">
      <c r="B8" s="10" t="s">
        <v>127</v>
      </c>
      <c r="C8" s="10" t="s">
        <v>128</v>
      </c>
      <c r="D8" s="10" t="s">
        <v>12</v>
      </c>
      <c r="E8" s="10" t="s">
        <v>129</v>
      </c>
      <c r="F8" s="10" t="s">
        <v>130</v>
      </c>
      <c r="G8" s="10" t="s">
        <v>129</v>
      </c>
      <c r="H8" s="10" t="s">
        <v>130</v>
      </c>
    </row>
    <row r="9" spans="2:10">
      <c r="B9" s="11">
        <v>104</v>
      </c>
      <c r="C9" s="12">
        <v>539109</v>
      </c>
      <c r="D9" s="13">
        <f>C9/(SUM(C9:C12))*100</f>
        <v>29.805941185251527</v>
      </c>
      <c r="E9" s="307">
        <v>4.38</v>
      </c>
      <c r="F9" s="308">
        <v>2.23</v>
      </c>
      <c r="G9" s="13">
        <v>4.32</v>
      </c>
      <c r="H9" s="13">
        <v>2.02</v>
      </c>
      <c r="J9" s="19"/>
    </row>
    <row r="10" spans="2:10">
      <c r="B10" s="11">
        <v>105</v>
      </c>
      <c r="C10" s="12">
        <v>54004</v>
      </c>
      <c r="D10" s="13">
        <f>C10/(SUM(C9:C12))*100</f>
        <v>2.9857413765459744</v>
      </c>
      <c r="E10" s="307"/>
      <c r="F10" s="308"/>
      <c r="G10" s="13">
        <v>6.06</v>
      </c>
      <c r="H10" s="13">
        <v>1.73</v>
      </c>
      <c r="J10" s="19"/>
    </row>
    <row r="11" spans="2:10">
      <c r="B11" s="11">
        <v>106</v>
      </c>
      <c r="C11" s="12">
        <v>702012</v>
      </c>
      <c r="D11" s="13">
        <f>C11/(SUM(C9:C12))*100</f>
        <v>38.812426398633292</v>
      </c>
      <c r="E11" s="307"/>
      <c r="F11" s="308"/>
      <c r="G11" s="13">
        <v>4.5999999999999996</v>
      </c>
      <c r="H11" s="13">
        <v>2.17</v>
      </c>
      <c r="J11" s="19"/>
    </row>
    <row r="12" spans="2:10">
      <c r="B12" s="11">
        <v>107</v>
      </c>
      <c r="C12" s="12">
        <v>513605</v>
      </c>
      <c r="D12" s="13">
        <f>C12/(SUM(C9:C12))*100</f>
        <v>28.3958910395692</v>
      </c>
      <c r="E12" s="307"/>
      <c r="F12" s="308"/>
      <c r="G12" s="13">
        <v>3.94</v>
      </c>
      <c r="H12" s="13">
        <v>2.2000000000000002</v>
      </c>
      <c r="J12" s="19"/>
    </row>
    <row r="13" spans="2:10">
      <c r="B13" s="306" t="s">
        <v>131</v>
      </c>
      <c r="C13" s="306"/>
      <c r="D13" s="306"/>
      <c r="E13" s="14"/>
      <c r="F13" s="14"/>
      <c r="G13" s="15">
        <f>AVERAGE(G9:G12)</f>
        <v>4.7299999999999995</v>
      </c>
      <c r="H13" s="16">
        <f>AVERAGE(H9:H12)</f>
        <v>2.0300000000000002</v>
      </c>
      <c r="J13" s="19"/>
    </row>
    <row r="15" spans="2:10">
      <c r="B15" s="3" t="s">
        <v>132</v>
      </c>
    </row>
    <row r="16" spans="2:10">
      <c r="C16" s="17" t="s">
        <v>133</v>
      </c>
      <c r="D16" s="17" t="s">
        <v>129</v>
      </c>
      <c r="E16" s="17" t="s">
        <v>130</v>
      </c>
    </row>
    <row r="17" spans="1:16384">
      <c r="C17" s="18">
        <v>29.805941185251498</v>
      </c>
      <c r="D17" s="19">
        <f t="shared" ref="D17:D20" si="0">C17%*G9</f>
        <v>1.2876166592028648</v>
      </c>
      <c r="E17" s="19">
        <f t="shared" ref="E17:E20" si="1">C17%*H9</f>
        <v>0.60208001194208027</v>
      </c>
    </row>
    <row r="18" spans="1:16384">
      <c r="C18" s="18">
        <v>2.9857413765459699</v>
      </c>
      <c r="D18" s="19">
        <f t="shared" si="0"/>
        <v>0.18093592741868575</v>
      </c>
      <c r="E18" s="19">
        <f t="shared" si="1"/>
        <v>5.1653325814245275E-2</v>
      </c>
    </row>
    <row r="19" spans="1:16384">
      <c r="C19" s="18">
        <v>38.812426398633299</v>
      </c>
      <c r="D19" s="19">
        <f t="shared" si="0"/>
        <v>1.7853716143371317</v>
      </c>
      <c r="E19" s="19">
        <f t="shared" si="1"/>
        <v>0.84222965285034257</v>
      </c>
    </row>
    <row r="20" spans="1:16384">
      <c r="C20" s="18">
        <v>28.3958910395692</v>
      </c>
      <c r="D20" s="19">
        <f t="shared" si="0"/>
        <v>1.1187981069590265</v>
      </c>
      <c r="E20" s="19">
        <f t="shared" si="1"/>
        <v>0.62470960287052246</v>
      </c>
    </row>
    <row r="21" spans="1:16384" s="1" customFormat="1" ht="14.25">
      <c r="D21" s="20">
        <f>SUM(D17:D20)</f>
        <v>4.3727223079177087</v>
      </c>
      <c r="E21" s="20">
        <f>SUM(E17:E20)</f>
        <v>2.1206725934771908</v>
      </c>
    </row>
    <row r="22" spans="1:16384" s="1" customFormat="1" ht="14.25" hidden="1"/>
    <row r="23" spans="1:16384" s="2" customFormat="1" ht="14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1"/>
      <c r="AML23" s="21"/>
      <c r="AMM23" s="21"/>
      <c r="AMN23" s="21"/>
      <c r="AMO23" s="21"/>
      <c r="AMP23" s="21"/>
      <c r="AMQ23" s="21"/>
      <c r="AMR23" s="21"/>
      <c r="AMS23" s="21"/>
      <c r="AMT23" s="21"/>
      <c r="AMU23" s="21"/>
      <c r="AMV23" s="21"/>
      <c r="AMW23" s="21"/>
      <c r="AMX23" s="21"/>
      <c r="AMY23" s="21"/>
      <c r="AMZ23" s="21"/>
      <c r="ANA23" s="21"/>
      <c r="ANB23" s="21"/>
      <c r="ANC23" s="21"/>
      <c r="AND23" s="21"/>
      <c r="ANE23" s="21"/>
      <c r="ANF23" s="21"/>
      <c r="ANG23" s="21"/>
      <c r="ANH23" s="21"/>
      <c r="ANI23" s="21"/>
      <c r="ANJ23" s="21"/>
      <c r="ANK23" s="21"/>
      <c r="ANL23" s="21"/>
      <c r="ANM23" s="21"/>
      <c r="ANN23" s="21"/>
      <c r="ANO23" s="21"/>
      <c r="ANP23" s="21"/>
      <c r="ANQ23" s="21"/>
      <c r="ANR23" s="21"/>
      <c r="ANS23" s="21"/>
      <c r="ANT23" s="21"/>
      <c r="ANU23" s="21"/>
      <c r="ANV23" s="21"/>
      <c r="ANW23" s="21"/>
      <c r="ANX23" s="21"/>
      <c r="ANY23" s="21"/>
      <c r="ANZ23" s="21"/>
      <c r="AOA23" s="21"/>
      <c r="AOB23" s="21"/>
      <c r="AOC23" s="21"/>
      <c r="AOD23" s="21"/>
      <c r="AOE23" s="21"/>
      <c r="AOF23" s="21"/>
      <c r="AOG23" s="21"/>
      <c r="AOH23" s="21"/>
      <c r="AOI23" s="21"/>
      <c r="AOJ23" s="21"/>
      <c r="AOK23" s="21"/>
      <c r="AOL23" s="21"/>
      <c r="AOM23" s="21"/>
      <c r="AON23" s="21"/>
      <c r="AOO23" s="21"/>
      <c r="AOP23" s="21"/>
      <c r="AOQ23" s="21"/>
      <c r="AOR23" s="21"/>
      <c r="AOS23" s="21"/>
      <c r="AOT23" s="21"/>
      <c r="AOU23" s="21"/>
      <c r="AOV23" s="21"/>
      <c r="AOW23" s="21"/>
      <c r="AOX23" s="21"/>
      <c r="AOY23" s="21"/>
      <c r="AOZ23" s="21"/>
      <c r="APA23" s="21"/>
      <c r="APB23" s="21"/>
      <c r="APC23" s="21"/>
      <c r="APD23" s="21"/>
      <c r="APE23" s="21"/>
      <c r="APF23" s="21"/>
      <c r="APG23" s="21"/>
      <c r="APH23" s="21"/>
      <c r="API23" s="21"/>
      <c r="APJ23" s="21"/>
      <c r="APK23" s="21"/>
      <c r="APL23" s="21"/>
      <c r="APM23" s="21"/>
      <c r="APN23" s="21"/>
      <c r="APO23" s="21"/>
      <c r="APP23" s="21"/>
      <c r="APQ23" s="21"/>
      <c r="APR23" s="21"/>
      <c r="APS23" s="21"/>
      <c r="APT23" s="21"/>
      <c r="APU23" s="21"/>
      <c r="APV23" s="21"/>
      <c r="APW23" s="21"/>
      <c r="APX23" s="21"/>
      <c r="APY23" s="21"/>
      <c r="APZ23" s="21"/>
      <c r="AQA23" s="21"/>
      <c r="AQB23" s="21"/>
      <c r="AQC23" s="21"/>
      <c r="AQD23" s="21"/>
      <c r="AQE23" s="21"/>
      <c r="AQF23" s="21"/>
      <c r="AQG23" s="21"/>
      <c r="AQH23" s="21"/>
      <c r="AQI23" s="21"/>
      <c r="AQJ23" s="21"/>
      <c r="AQK23" s="21"/>
      <c r="AQL23" s="21"/>
      <c r="AQM23" s="21"/>
      <c r="AQN23" s="21"/>
      <c r="AQO23" s="21"/>
      <c r="AQP23" s="21"/>
      <c r="AQQ23" s="21"/>
      <c r="AQR23" s="21"/>
      <c r="AQS23" s="21"/>
      <c r="AQT23" s="21"/>
      <c r="AQU23" s="21"/>
      <c r="AQV23" s="21"/>
      <c r="AQW23" s="21"/>
      <c r="AQX23" s="21"/>
      <c r="AQY23" s="21"/>
      <c r="AQZ23" s="21"/>
      <c r="ARA23" s="21"/>
      <c r="ARB23" s="21"/>
      <c r="ARC23" s="21"/>
      <c r="ARD23" s="21"/>
      <c r="ARE23" s="21"/>
      <c r="ARF23" s="21"/>
      <c r="ARG23" s="21"/>
      <c r="ARH23" s="21"/>
      <c r="ARI23" s="21"/>
      <c r="ARJ23" s="21"/>
      <c r="ARK23" s="21"/>
      <c r="ARL23" s="21"/>
      <c r="ARM23" s="21"/>
      <c r="ARN23" s="21"/>
      <c r="ARO23" s="21"/>
      <c r="ARP23" s="21"/>
      <c r="ARQ23" s="21"/>
      <c r="ARR23" s="21"/>
      <c r="ARS23" s="21"/>
      <c r="ART23" s="21"/>
      <c r="ARU23" s="21"/>
      <c r="ARV23" s="21"/>
      <c r="ARW23" s="21"/>
      <c r="ARX23" s="21"/>
      <c r="ARY23" s="21"/>
      <c r="ARZ23" s="21"/>
      <c r="ASA23" s="21"/>
      <c r="ASB23" s="21"/>
      <c r="ASC23" s="21"/>
      <c r="ASD23" s="21"/>
      <c r="ASE23" s="21"/>
      <c r="ASF23" s="21"/>
      <c r="ASG23" s="21"/>
      <c r="ASH23" s="21"/>
      <c r="ASI23" s="21"/>
      <c r="ASJ23" s="21"/>
      <c r="ASK23" s="21"/>
      <c r="ASL23" s="21"/>
      <c r="ASM23" s="21"/>
      <c r="ASN23" s="21"/>
      <c r="ASO23" s="21"/>
      <c r="ASP23" s="21"/>
      <c r="ASQ23" s="21"/>
      <c r="ASR23" s="21"/>
      <c r="ASS23" s="21"/>
      <c r="AST23" s="21"/>
      <c r="ASU23" s="21"/>
      <c r="ASV23" s="21"/>
      <c r="ASW23" s="21"/>
      <c r="ASX23" s="21"/>
      <c r="ASY23" s="21"/>
      <c r="ASZ23" s="21"/>
      <c r="ATA23" s="21"/>
      <c r="ATB23" s="21"/>
      <c r="ATC23" s="21"/>
      <c r="ATD23" s="21"/>
      <c r="ATE23" s="21"/>
      <c r="ATF23" s="21"/>
      <c r="ATG23" s="21"/>
      <c r="ATH23" s="21"/>
      <c r="ATI23" s="21"/>
      <c r="ATJ23" s="21"/>
      <c r="ATK23" s="21"/>
      <c r="ATL23" s="21"/>
      <c r="ATM23" s="21"/>
      <c r="ATN23" s="21"/>
      <c r="ATO23" s="21"/>
      <c r="ATP23" s="21"/>
      <c r="ATQ23" s="21"/>
      <c r="ATR23" s="21"/>
      <c r="ATS23" s="21"/>
      <c r="ATT23" s="21"/>
      <c r="ATU23" s="21"/>
      <c r="ATV23" s="21"/>
      <c r="ATW23" s="21"/>
      <c r="ATX23" s="21"/>
      <c r="ATY23" s="21"/>
      <c r="ATZ23" s="21"/>
      <c r="AUA23" s="21"/>
      <c r="AUB23" s="21"/>
      <c r="AUC23" s="21"/>
      <c r="AUD23" s="21"/>
      <c r="AUE23" s="21"/>
      <c r="AUF23" s="21"/>
      <c r="AUG23" s="21"/>
      <c r="AUH23" s="21"/>
      <c r="AUI23" s="21"/>
      <c r="AUJ23" s="21"/>
      <c r="AUK23" s="21"/>
      <c r="AUL23" s="21"/>
      <c r="AUM23" s="21"/>
      <c r="AUN23" s="21"/>
      <c r="AUO23" s="21"/>
      <c r="AUP23" s="21"/>
      <c r="AUQ23" s="21"/>
      <c r="AUR23" s="21"/>
      <c r="AUS23" s="21"/>
      <c r="AUT23" s="21"/>
      <c r="AUU23" s="21"/>
      <c r="AUV23" s="21"/>
      <c r="AUW23" s="21"/>
      <c r="AUX23" s="21"/>
      <c r="AUY23" s="21"/>
      <c r="AUZ23" s="21"/>
      <c r="AVA23" s="21"/>
      <c r="AVB23" s="21"/>
      <c r="AVC23" s="21"/>
      <c r="AVD23" s="21"/>
      <c r="AVE23" s="21"/>
      <c r="AVF23" s="21"/>
      <c r="AVG23" s="21"/>
      <c r="AVH23" s="21"/>
      <c r="AVI23" s="21"/>
      <c r="AVJ23" s="21"/>
      <c r="AVK23" s="21"/>
      <c r="AVL23" s="21"/>
      <c r="AVM23" s="21"/>
      <c r="AVN23" s="21"/>
      <c r="AVO23" s="21"/>
      <c r="AVP23" s="21"/>
      <c r="AVQ23" s="21"/>
      <c r="AVR23" s="21"/>
      <c r="AVS23" s="21"/>
      <c r="AVT23" s="21"/>
      <c r="AVU23" s="21"/>
      <c r="AVV23" s="21"/>
      <c r="AVW23" s="21"/>
      <c r="AVX23" s="21"/>
      <c r="AVY23" s="21"/>
      <c r="AVZ23" s="21"/>
      <c r="AWA23" s="21"/>
      <c r="AWB23" s="21"/>
      <c r="AWC23" s="21"/>
      <c r="AWD23" s="21"/>
      <c r="AWE23" s="21"/>
      <c r="AWF23" s="21"/>
      <c r="AWG23" s="21"/>
      <c r="AWH23" s="21"/>
      <c r="AWI23" s="21"/>
      <c r="AWJ23" s="21"/>
      <c r="AWK23" s="21"/>
      <c r="AWL23" s="21"/>
      <c r="AWM23" s="21"/>
      <c r="AWN23" s="21"/>
      <c r="AWO23" s="21"/>
      <c r="AWP23" s="21"/>
      <c r="AWQ23" s="21"/>
      <c r="AWR23" s="21"/>
      <c r="AWS23" s="21"/>
      <c r="AWT23" s="21"/>
      <c r="AWU23" s="21"/>
      <c r="AWV23" s="21"/>
      <c r="AWW23" s="21"/>
      <c r="AWX23" s="21"/>
      <c r="AWY23" s="21"/>
      <c r="AWZ23" s="21"/>
      <c r="AXA23" s="21"/>
      <c r="AXB23" s="21"/>
      <c r="AXC23" s="21"/>
      <c r="AXD23" s="21"/>
      <c r="AXE23" s="21"/>
      <c r="AXF23" s="21"/>
      <c r="AXG23" s="21"/>
      <c r="AXH23" s="21"/>
      <c r="AXI23" s="21"/>
      <c r="AXJ23" s="21"/>
      <c r="AXK23" s="21"/>
      <c r="AXL23" s="21"/>
      <c r="AXM23" s="21"/>
      <c r="AXN23" s="21"/>
      <c r="AXO23" s="21"/>
      <c r="AXP23" s="21"/>
      <c r="AXQ23" s="21"/>
      <c r="AXR23" s="21"/>
      <c r="AXS23" s="21"/>
      <c r="AXT23" s="21"/>
      <c r="AXU23" s="21"/>
      <c r="AXV23" s="21"/>
      <c r="AXW23" s="21"/>
      <c r="AXX23" s="21"/>
      <c r="AXY23" s="21"/>
      <c r="AXZ23" s="21"/>
      <c r="AYA23" s="21"/>
      <c r="AYB23" s="21"/>
      <c r="AYC23" s="21"/>
      <c r="AYD23" s="21"/>
      <c r="AYE23" s="21"/>
      <c r="AYF23" s="21"/>
      <c r="AYG23" s="21"/>
      <c r="AYH23" s="21"/>
      <c r="AYI23" s="21"/>
      <c r="AYJ23" s="21"/>
      <c r="AYK23" s="21"/>
      <c r="AYL23" s="21"/>
      <c r="AYM23" s="21"/>
      <c r="AYN23" s="21"/>
      <c r="AYO23" s="21"/>
      <c r="AYP23" s="21"/>
      <c r="AYQ23" s="21"/>
      <c r="AYR23" s="21"/>
      <c r="AYS23" s="21"/>
      <c r="AYT23" s="21"/>
      <c r="AYU23" s="21"/>
      <c r="AYV23" s="21"/>
      <c r="AYW23" s="21"/>
      <c r="AYX23" s="21"/>
      <c r="AYY23" s="21"/>
      <c r="AYZ23" s="21"/>
      <c r="AZA23" s="21"/>
      <c r="AZB23" s="21"/>
      <c r="AZC23" s="21"/>
      <c r="AZD23" s="21"/>
      <c r="AZE23" s="21"/>
      <c r="AZF23" s="21"/>
      <c r="AZG23" s="21"/>
      <c r="AZH23" s="21"/>
      <c r="AZI23" s="21"/>
      <c r="AZJ23" s="21"/>
      <c r="AZK23" s="21"/>
      <c r="AZL23" s="21"/>
      <c r="AZM23" s="21"/>
      <c r="AZN23" s="21"/>
      <c r="AZO23" s="21"/>
      <c r="AZP23" s="21"/>
      <c r="AZQ23" s="21"/>
      <c r="AZR23" s="21"/>
      <c r="AZS23" s="21"/>
      <c r="AZT23" s="21"/>
      <c r="AZU23" s="21"/>
      <c r="AZV23" s="21"/>
      <c r="AZW23" s="21"/>
      <c r="AZX23" s="21"/>
      <c r="AZY23" s="21"/>
      <c r="AZZ23" s="21"/>
      <c r="BAA23" s="21"/>
      <c r="BAB23" s="21"/>
      <c r="BAC23" s="21"/>
      <c r="BAD23" s="21"/>
      <c r="BAE23" s="21"/>
      <c r="BAF23" s="21"/>
      <c r="BAG23" s="21"/>
      <c r="BAH23" s="21"/>
      <c r="BAI23" s="21"/>
      <c r="BAJ23" s="21"/>
      <c r="BAK23" s="21"/>
      <c r="BAL23" s="21"/>
      <c r="BAM23" s="21"/>
      <c r="BAN23" s="21"/>
      <c r="BAO23" s="21"/>
      <c r="BAP23" s="21"/>
      <c r="BAQ23" s="21"/>
      <c r="BAR23" s="21"/>
      <c r="BAS23" s="21"/>
      <c r="BAT23" s="21"/>
      <c r="BAU23" s="21"/>
      <c r="BAV23" s="21"/>
      <c r="BAW23" s="21"/>
      <c r="BAX23" s="21"/>
      <c r="BAY23" s="21"/>
      <c r="BAZ23" s="21"/>
      <c r="BBA23" s="21"/>
      <c r="BBB23" s="21"/>
      <c r="BBC23" s="21"/>
      <c r="BBD23" s="21"/>
      <c r="BBE23" s="21"/>
      <c r="BBF23" s="21"/>
      <c r="BBG23" s="21"/>
      <c r="BBH23" s="21"/>
      <c r="BBI23" s="21"/>
      <c r="BBJ23" s="21"/>
      <c r="BBK23" s="21"/>
      <c r="BBL23" s="21"/>
      <c r="BBM23" s="21"/>
      <c r="BBN23" s="21"/>
      <c r="BBO23" s="21"/>
      <c r="BBP23" s="21"/>
      <c r="BBQ23" s="21"/>
      <c r="BBR23" s="21"/>
      <c r="BBS23" s="21"/>
      <c r="BBT23" s="21"/>
      <c r="BBU23" s="21"/>
      <c r="BBV23" s="21"/>
      <c r="BBW23" s="21"/>
      <c r="BBX23" s="21"/>
      <c r="BBY23" s="21"/>
      <c r="BBZ23" s="21"/>
      <c r="BCA23" s="21"/>
      <c r="BCB23" s="21"/>
      <c r="BCC23" s="21"/>
      <c r="BCD23" s="21"/>
      <c r="BCE23" s="21"/>
      <c r="BCF23" s="21"/>
      <c r="BCG23" s="21"/>
      <c r="BCH23" s="21"/>
      <c r="BCI23" s="21"/>
      <c r="BCJ23" s="21"/>
      <c r="BCK23" s="21"/>
      <c r="BCL23" s="21"/>
      <c r="BCM23" s="21"/>
      <c r="BCN23" s="21"/>
      <c r="BCO23" s="21"/>
      <c r="BCP23" s="21"/>
      <c r="BCQ23" s="21"/>
      <c r="BCR23" s="21"/>
      <c r="BCS23" s="21"/>
      <c r="BCT23" s="21"/>
      <c r="BCU23" s="21"/>
      <c r="BCV23" s="21"/>
      <c r="BCW23" s="21"/>
      <c r="BCX23" s="21"/>
      <c r="BCY23" s="21"/>
      <c r="BCZ23" s="21"/>
      <c r="BDA23" s="21"/>
      <c r="BDB23" s="21"/>
      <c r="BDC23" s="21"/>
      <c r="BDD23" s="21"/>
      <c r="BDE23" s="21"/>
      <c r="BDF23" s="21"/>
      <c r="BDG23" s="21"/>
      <c r="BDH23" s="21"/>
      <c r="BDI23" s="21"/>
      <c r="BDJ23" s="21"/>
      <c r="BDK23" s="21"/>
      <c r="BDL23" s="21"/>
      <c r="BDM23" s="21"/>
      <c r="BDN23" s="21"/>
      <c r="BDO23" s="21"/>
      <c r="BDP23" s="21"/>
      <c r="BDQ23" s="21"/>
      <c r="BDR23" s="21"/>
      <c r="BDS23" s="21"/>
      <c r="BDT23" s="21"/>
      <c r="BDU23" s="21"/>
      <c r="BDV23" s="21"/>
      <c r="BDW23" s="21"/>
      <c r="BDX23" s="21"/>
      <c r="BDY23" s="21"/>
      <c r="BDZ23" s="21"/>
      <c r="BEA23" s="21"/>
      <c r="BEB23" s="21"/>
      <c r="BEC23" s="21"/>
      <c r="BED23" s="21"/>
      <c r="BEE23" s="21"/>
      <c r="BEF23" s="21"/>
      <c r="BEG23" s="21"/>
      <c r="BEH23" s="21"/>
      <c r="BEI23" s="21"/>
      <c r="BEJ23" s="21"/>
      <c r="BEK23" s="21"/>
      <c r="BEL23" s="21"/>
      <c r="BEM23" s="21"/>
      <c r="BEN23" s="21"/>
      <c r="BEO23" s="21"/>
      <c r="BEP23" s="21"/>
      <c r="BEQ23" s="21"/>
      <c r="BER23" s="21"/>
      <c r="BES23" s="21"/>
      <c r="BET23" s="21"/>
      <c r="BEU23" s="21"/>
      <c r="BEV23" s="21"/>
      <c r="BEW23" s="21"/>
      <c r="BEX23" s="21"/>
      <c r="BEY23" s="21"/>
      <c r="BEZ23" s="21"/>
      <c r="BFA23" s="21"/>
      <c r="BFB23" s="21"/>
      <c r="BFC23" s="21"/>
      <c r="BFD23" s="21"/>
      <c r="BFE23" s="21"/>
      <c r="BFF23" s="21"/>
      <c r="BFG23" s="21"/>
      <c r="BFH23" s="21"/>
      <c r="BFI23" s="21"/>
      <c r="BFJ23" s="21"/>
      <c r="BFK23" s="21"/>
      <c r="BFL23" s="21"/>
      <c r="BFM23" s="21"/>
      <c r="BFN23" s="21"/>
      <c r="BFO23" s="21"/>
      <c r="BFP23" s="21"/>
      <c r="BFQ23" s="21"/>
      <c r="BFR23" s="21"/>
      <c r="BFS23" s="21"/>
      <c r="BFT23" s="21"/>
      <c r="BFU23" s="21"/>
      <c r="BFV23" s="21"/>
      <c r="BFW23" s="21"/>
      <c r="BFX23" s="21"/>
      <c r="BFY23" s="21"/>
      <c r="BFZ23" s="21"/>
      <c r="BGA23" s="21"/>
      <c r="BGB23" s="21"/>
      <c r="BGC23" s="21"/>
      <c r="BGD23" s="21"/>
      <c r="BGE23" s="21"/>
      <c r="BGF23" s="21"/>
      <c r="BGG23" s="21"/>
      <c r="BGH23" s="21"/>
      <c r="BGI23" s="21"/>
      <c r="BGJ23" s="21"/>
      <c r="BGK23" s="21"/>
      <c r="BGL23" s="21"/>
      <c r="BGM23" s="21"/>
      <c r="BGN23" s="21"/>
      <c r="BGO23" s="21"/>
      <c r="BGP23" s="21"/>
      <c r="BGQ23" s="21"/>
      <c r="BGR23" s="21"/>
      <c r="BGS23" s="21"/>
      <c r="BGT23" s="21"/>
      <c r="BGU23" s="21"/>
      <c r="BGV23" s="21"/>
      <c r="BGW23" s="21"/>
      <c r="BGX23" s="21"/>
      <c r="BGY23" s="21"/>
      <c r="BGZ23" s="21"/>
      <c r="BHA23" s="21"/>
      <c r="BHB23" s="21"/>
      <c r="BHC23" s="21"/>
      <c r="BHD23" s="21"/>
      <c r="BHE23" s="21"/>
      <c r="BHF23" s="21"/>
      <c r="BHG23" s="21"/>
      <c r="BHH23" s="21"/>
      <c r="BHI23" s="21"/>
      <c r="BHJ23" s="21"/>
      <c r="BHK23" s="21"/>
      <c r="BHL23" s="21"/>
      <c r="BHM23" s="21"/>
      <c r="BHN23" s="21"/>
      <c r="BHO23" s="21"/>
      <c r="BHP23" s="21"/>
      <c r="BHQ23" s="21"/>
      <c r="BHR23" s="21"/>
      <c r="BHS23" s="21"/>
      <c r="BHT23" s="21"/>
      <c r="BHU23" s="21"/>
      <c r="BHV23" s="21"/>
      <c r="BHW23" s="21"/>
      <c r="BHX23" s="21"/>
      <c r="BHY23" s="21"/>
      <c r="BHZ23" s="21"/>
      <c r="BIA23" s="21"/>
      <c r="BIB23" s="21"/>
      <c r="BIC23" s="21"/>
      <c r="BID23" s="21"/>
      <c r="BIE23" s="21"/>
      <c r="BIF23" s="21"/>
      <c r="BIG23" s="21"/>
      <c r="BIH23" s="21"/>
      <c r="BII23" s="21"/>
      <c r="BIJ23" s="21"/>
      <c r="BIK23" s="21"/>
      <c r="BIL23" s="21"/>
      <c r="BIM23" s="21"/>
      <c r="BIN23" s="21"/>
      <c r="BIO23" s="21"/>
      <c r="BIP23" s="21"/>
      <c r="BIQ23" s="21"/>
      <c r="BIR23" s="21"/>
      <c r="BIS23" s="21"/>
      <c r="BIT23" s="21"/>
      <c r="BIU23" s="21"/>
      <c r="BIV23" s="21"/>
      <c r="BIW23" s="21"/>
      <c r="BIX23" s="21"/>
      <c r="BIY23" s="21"/>
      <c r="BIZ23" s="21"/>
      <c r="BJA23" s="21"/>
      <c r="BJB23" s="21"/>
      <c r="BJC23" s="21"/>
      <c r="BJD23" s="21"/>
      <c r="BJE23" s="21"/>
      <c r="BJF23" s="21"/>
      <c r="BJG23" s="21"/>
      <c r="BJH23" s="21"/>
      <c r="BJI23" s="21"/>
      <c r="BJJ23" s="21"/>
      <c r="BJK23" s="21"/>
      <c r="BJL23" s="21"/>
      <c r="BJM23" s="21"/>
      <c r="BJN23" s="21"/>
      <c r="BJO23" s="21"/>
      <c r="BJP23" s="21"/>
      <c r="BJQ23" s="21"/>
      <c r="BJR23" s="21"/>
      <c r="BJS23" s="21"/>
      <c r="BJT23" s="21"/>
      <c r="BJU23" s="21"/>
      <c r="BJV23" s="21"/>
      <c r="BJW23" s="21"/>
      <c r="BJX23" s="21"/>
      <c r="BJY23" s="21"/>
      <c r="BJZ23" s="21"/>
      <c r="BKA23" s="21"/>
      <c r="BKB23" s="21"/>
      <c r="BKC23" s="21"/>
      <c r="BKD23" s="21"/>
      <c r="BKE23" s="21"/>
      <c r="BKF23" s="21"/>
      <c r="BKG23" s="21"/>
      <c r="BKH23" s="21"/>
      <c r="BKI23" s="21"/>
      <c r="BKJ23" s="21"/>
      <c r="BKK23" s="21"/>
      <c r="BKL23" s="21"/>
      <c r="BKM23" s="21"/>
      <c r="BKN23" s="21"/>
      <c r="BKO23" s="21"/>
      <c r="BKP23" s="21"/>
      <c r="BKQ23" s="21"/>
      <c r="BKR23" s="21"/>
      <c r="BKS23" s="21"/>
      <c r="BKT23" s="21"/>
      <c r="BKU23" s="21"/>
      <c r="BKV23" s="21"/>
      <c r="BKW23" s="21"/>
      <c r="BKX23" s="21"/>
      <c r="BKY23" s="21"/>
      <c r="BKZ23" s="21"/>
      <c r="BLA23" s="21"/>
      <c r="BLB23" s="21"/>
      <c r="BLC23" s="21"/>
      <c r="BLD23" s="21"/>
      <c r="BLE23" s="21"/>
      <c r="BLF23" s="21"/>
      <c r="BLG23" s="21"/>
      <c r="BLH23" s="21"/>
      <c r="BLI23" s="21"/>
      <c r="BLJ23" s="21"/>
      <c r="BLK23" s="21"/>
      <c r="BLL23" s="21"/>
      <c r="BLM23" s="21"/>
      <c r="BLN23" s="21"/>
      <c r="BLO23" s="21"/>
      <c r="BLP23" s="21"/>
      <c r="BLQ23" s="21"/>
      <c r="BLR23" s="21"/>
      <c r="BLS23" s="21"/>
      <c r="BLT23" s="21"/>
      <c r="BLU23" s="21"/>
      <c r="BLV23" s="21"/>
      <c r="BLW23" s="21"/>
      <c r="BLX23" s="21"/>
      <c r="BLY23" s="21"/>
      <c r="BLZ23" s="21"/>
      <c r="BMA23" s="21"/>
      <c r="BMB23" s="21"/>
      <c r="BMC23" s="21"/>
      <c r="BMD23" s="21"/>
      <c r="BME23" s="21"/>
      <c r="BMF23" s="21"/>
      <c r="BMG23" s="21"/>
      <c r="BMH23" s="21"/>
      <c r="BMI23" s="21"/>
      <c r="BMJ23" s="21"/>
      <c r="BMK23" s="21"/>
      <c r="BML23" s="21"/>
      <c r="BMM23" s="21"/>
      <c r="BMN23" s="21"/>
      <c r="BMO23" s="21"/>
      <c r="BMP23" s="21"/>
      <c r="BMQ23" s="21"/>
      <c r="BMR23" s="21"/>
      <c r="BMS23" s="21"/>
      <c r="BMT23" s="21"/>
      <c r="BMU23" s="21"/>
      <c r="BMV23" s="21"/>
      <c r="BMW23" s="21"/>
      <c r="BMX23" s="21"/>
      <c r="BMY23" s="21"/>
      <c r="BMZ23" s="21"/>
      <c r="BNA23" s="21"/>
      <c r="BNB23" s="21"/>
      <c r="BNC23" s="21"/>
      <c r="BND23" s="21"/>
      <c r="BNE23" s="21"/>
      <c r="BNF23" s="21"/>
      <c r="BNG23" s="21"/>
      <c r="BNH23" s="21"/>
      <c r="BNI23" s="21"/>
      <c r="BNJ23" s="21"/>
      <c r="BNK23" s="21"/>
      <c r="BNL23" s="21"/>
      <c r="BNM23" s="21"/>
      <c r="BNN23" s="21"/>
      <c r="BNO23" s="21"/>
      <c r="BNP23" s="21"/>
      <c r="BNQ23" s="21"/>
      <c r="BNR23" s="21"/>
      <c r="BNS23" s="21"/>
      <c r="BNT23" s="21"/>
      <c r="BNU23" s="21"/>
      <c r="BNV23" s="21"/>
      <c r="BNW23" s="21"/>
      <c r="BNX23" s="21"/>
      <c r="BNY23" s="21"/>
      <c r="BNZ23" s="21"/>
      <c r="BOA23" s="21"/>
      <c r="BOB23" s="21"/>
      <c r="BOC23" s="21"/>
      <c r="BOD23" s="21"/>
      <c r="BOE23" s="21"/>
      <c r="BOF23" s="21"/>
      <c r="BOG23" s="21"/>
      <c r="BOH23" s="21"/>
      <c r="BOI23" s="21"/>
      <c r="BOJ23" s="21"/>
      <c r="BOK23" s="21"/>
      <c r="BOL23" s="21"/>
      <c r="BOM23" s="21"/>
      <c r="BON23" s="21"/>
      <c r="BOO23" s="21"/>
      <c r="BOP23" s="21"/>
      <c r="BOQ23" s="21"/>
      <c r="BOR23" s="21"/>
      <c r="BOS23" s="21"/>
      <c r="BOT23" s="21"/>
      <c r="BOU23" s="21"/>
      <c r="BOV23" s="21"/>
      <c r="BOW23" s="21"/>
      <c r="BOX23" s="21"/>
      <c r="BOY23" s="21"/>
      <c r="BOZ23" s="21"/>
      <c r="BPA23" s="21"/>
      <c r="BPB23" s="21"/>
      <c r="BPC23" s="21"/>
      <c r="BPD23" s="21"/>
      <c r="BPE23" s="21"/>
      <c r="BPF23" s="21"/>
      <c r="BPG23" s="21"/>
      <c r="BPH23" s="21"/>
      <c r="BPI23" s="21"/>
      <c r="BPJ23" s="21"/>
      <c r="BPK23" s="21"/>
      <c r="BPL23" s="21"/>
      <c r="BPM23" s="21"/>
      <c r="BPN23" s="21"/>
      <c r="BPO23" s="21"/>
      <c r="BPP23" s="21"/>
      <c r="BPQ23" s="21"/>
      <c r="BPR23" s="21"/>
      <c r="BPS23" s="21"/>
      <c r="BPT23" s="21"/>
      <c r="BPU23" s="21"/>
      <c r="BPV23" s="21"/>
      <c r="BPW23" s="21"/>
      <c r="BPX23" s="21"/>
      <c r="BPY23" s="21"/>
      <c r="BPZ23" s="21"/>
      <c r="BQA23" s="21"/>
      <c r="BQB23" s="21"/>
      <c r="BQC23" s="21"/>
      <c r="BQD23" s="21"/>
      <c r="BQE23" s="21"/>
      <c r="BQF23" s="21"/>
      <c r="BQG23" s="21"/>
      <c r="BQH23" s="21"/>
      <c r="BQI23" s="21"/>
      <c r="BQJ23" s="21"/>
      <c r="BQK23" s="21"/>
      <c r="BQL23" s="21"/>
      <c r="BQM23" s="21"/>
      <c r="BQN23" s="21"/>
      <c r="BQO23" s="21"/>
      <c r="BQP23" s="21"/>
      <c r="BQQ23" s="21"/>
      <c r="BQR23" s="21"/>
      <c r="BQS23" s="21"/>
      <c r="BQT23" s="21"/>
      <c r="BQU23" s="21"/>
      <c r="BQV23" s="21"/>
      <c r="BQW23" s="21"/>
      <c r="BQX23" s="21"/>
      <c r="BQY23" s="21"/>
      <c r="BQZ23" s="21"/>
      <c r="BRA23" s="21"/>
      <c r="BRB23" s="21"/>
      <c r="BRC23" s="21"/>
      <c r="BRD23" s="21"/>
      <c r="BRE23" s="21"/>
      <c r="BRF23" s="21"/>
      <c r="BRG23" s="21"/>
      <c r="BRH23" s="21"/>
      <c r="BRI23" s="21"/>
      <c r="BRJ23" s="21"/>
      <c r="BRK23" s="21"/>
      <c r="BRL23" s="21"/>
      <c r="BRM23" s="21"/>
      <c r="BRN23" s="21"/>
      <c r="BRO23" s="21"/>
      <c r="BRP23" s="21"/>
      <c r="BRQ23" s="21"/>
      <c r="BRR23" s="21"/>
      <c r="BRS23" s="21"/>
      <c r="BRT23" s="21"/>
      <c r="BRU23" s="21"/>
      <c r="BRV23" s="21"/>
      <c r="BRW23" s="21"/>
      <c r="BRX23" s="21"/>
      <c r="BRY23" s="21"/>
      <c r="BRZ23" s="21"/>
      <c r="BSA23" s="21"/>
      <c r="BSB23" s="21"/>
      <c r="BSC23" s="21"/>
      <c r="BSD23" s="21"/>
      <c r="BSE23" s="21"/>
      <c r="BSF23" s="21"/>
      <c r="BSG23" s="21"/>
      <c r="BSH23" s="21"/>
      <c r="BSI23" s="21"/>
      <c r="BSJ23" s="21"/>
      <c r="BSK23" s="21"/>
      <c r="BSL23" s="21"/>
      <c r="BSM23" s="21"/>
      <c r="BSN23" s="21"/>
      <c r="BSO23" s="21"/>
      <c r="BSP23" s="21"/>
      <c r="BSQ23" s="21"/>
      <c r="BSR23" s="21"/>
      <c r="BSS23" s="21"/>
      <c r="BST23" s="21"/>
      <c r="BSU23" s="21"/>
      <c r="BSV23" s="21"/>
      <c r="BSW23" s="21"/>
      <c r="BSX23" s="21"/>
      <c r="BSY23" s="21"/>
      <c r="BSZ23" s="21"/>
      <c r="BTA23" s="21"/>
      <c r="BTB23" s="21"/>
      <c r="BTC23" s="21"/>
      <c r="BTD23" s="21"/>
      <c r="BTE23" s="21"/>
      <c r="BTF23" s="21"/>
      <c r="BTG23" s="21"/>
      <c r="BTH23" s="21"/>
      <c r="BTI23" s="21"/>
      <c r="BTJ23" s="21"/>
      <c r="BTK23" s="21"/>
      <c r="BTL23" s="21"/>
      <c r="BTM23" s="21"/>
      <c r="BTN23" s="21"/>
      <c r="BTO23" s="21"/>
      <c r="BTP23" s="21"/>
      <c r="BTQ23" s="21"/>
      <c r="BTR23" s="21"/>
      <c r="BTS23" s="21"/>
      <c r="BTT23" s="21"/>
      <c r="BTU23" s="21"/>
      <c r="BTV23" s="21"/>
      <c r="BTW23" s="21"/>
      <c r="BTX23" s="21"/>
      <c r="BTY23" s="21"/>
      <c r="BTZ23" s="21"/>
      <c r="BUA23" s="21"/>
      <c r="BUB23" s="21"/>
      <c r="BUC23" s="21"/>
      <c r="BUD23" s="21"/>
      <c r="BUE23" s="21"/>
      <c r="BUF23" s="21"/>
      <c r="BUG23" s="21"/>
      <c r="BUH23" s="21"/>
      <c r="BUI23" s="21"/>
      <c r="BUJ23" s="21"/>
      <c r="BUK23" s="21"/>
      <c r="BUL23" s="21"/>
      <c r="BUM23" s="21"/>
      <c r="BUN23" s="21"/>
      <c r="BUO23" s="21"/>
      <c r="BUP23" s="21"/>
      <c r="BUQ23" s="21"/>
      <c r="BUR23" s="21"/>
      <c r="BUS23" s="21"/>
      <c r="BUT23" s="21"/>
      <c r="BUU23" s="21"/>
      <c r="BUV23" s="21"/>
      <c r="BUW23" s="21"/>
      <c r="BUX23" s="21"/>
      <c r="BUY23" s="21"/>
      <c r="BUZ23" s="21"/>
      <c r="BVA23" s="21"/>
      <c r="BVB23" s="21"/>
      <c r="BVC23" s="21"/>
      <c r="BVD23" s="21"/>
      <c r="BVE23" s="21"/>
      <c r="BVF23" s="21"/>
      <c r="BVG23" s="21"/>
      <c r="BVH23" s="21"/>
      <c r="BVI23" s="21"/>
      <c r="BVJ23" s="21"/>
      <c r="BVK23" s="21"/>
      <c r="BVL23" s="21"/>
      <c r="BVM23" s="21"/>
      <c r="BVN23" s="21"/>
      <c r="BVO23" s="21"/>
      <c r="BVP23" s="21"/>
      <c r="BVQ23" s="21"/>
      <c r="BVR23" s="21"/>
      <c r="BVS23" s="21"/>
      <c r="BVT23" s="21"/>
      <c r="BVU23" s="21"/>
      <c r="BVV23" s="21"/>
      <c r="BVW23" s="21"/>
      <c r="BVX23" s="21"/>
      <c r="BVY23" s="21"/>
      <c r="BVZ23" s="21"/>
      <c r="BWA23" s="21"/>
      <c r="BWB23" s="21"/>
      <c r="BWC23" s="21"/>
      <c r="BWD23" s="21"/>
      <c r="BWE23" s="21"/>
      <c r="BWF23" s="21"/>
      <c r="BWG23" s="21"/>
      <c r="BWH23" s="21"/>
      <c r="BWI23" s="21"/>
      <c r="BWJ23" s="21"/>
      <c r="BWK23" s="21"/>
      <c r="BWL23" s="21"/>
      <c r="BWM23" s="21"/>
      <c r="BWN23" s="21"/>
      <c r="BWO23" s="21"/>
      <c r="BWP23" s="21"/>
      <c r="BWQ23" s="21"/>
      <c r="BWR23" s="21"/>
      <c r="BWS23" s="21"/>
      <c r="BWT23" s="21"/>
      <c r="BWU23" s="21"/>
      <c r="BWV23" s="21"/>
      <c r="BWW23" s="21"/>
      <c r="BWX23" s="21"/>
      <c r="BWY23" s="21"/>
      <c r="BWZ23" s="21"/>
      <c r="BXA23" s="21"/>
      <c r="BXB23" s="21"/>
      <c r="BXC23" s="21"/>
      <c r="BXD23" s="21"/>
      <c r="BXE23" s="21"/>
      <c r="BXF23" s="21"/>
      <c r="BXG23" s="21"/>
      <c r="BXH23" s="21"/>
      <c r="BXI23" s="21"/>
      <c r="BXJ23" s="21"/>
      <c r="BXK23" s="21"/>
      <c r="BXL23" s="21"/>
      <c r="BXM23" s="21"/>
      <c r="BXN23" s="21"/>
      <c r="BXO23" s="21"/>
      <c r="BXP23" s="21"/>
      <c r="BXQ23" s="21"/>
      <c r="BXR23" s="21"/>
      <c r="BXS23" s="21"/>
      <c r="BXT23" s="21"/>
      <c r="BXU23" s="21"/>
      <c r="BXV23" s="21"/>
      <c r="BXW23" s="21"/>
      <c r="BXX23" s="21"/>
      <c r="BXY23" s="21"/>
      <c r="BXZ23" s="21"/>
      <c r="BYA23" s="21"/>
      <c r="BYB23" s="21"/>
      <c r="BYC23" s="21"/>
      <c r="BYD23" s="21"/>
      <c r="BYE23" s="21"/>
      <c r="BYF23" s="21"/>
      <c r="BYG23" s="21"/>
      <c r="BYH23" s="21"/>
      <c r="BYI23" s="21"/>
      <c r="BYJ23" s="21"/>
      <c r="BYK23" s="21"/>
      <c r="BYL23" s="21"/>
      <c r="BYM23" s="21"/>
      <c r="BYN23" s="21"/>
      <c r="BYO23" s="21"/>
      <c r="BYP23" s="21"/>
      <c r="BYQ23" s="21"/>
      <c r="BYR23" s="21"/>
      <c r="BYS23" s="21"/>
      <c r="BYT23" s="21"/>
      <c r="BYU23" s="21"/>
      <c r="BYV23" s="21"/>
      <c r="BYW23" s="21"/>
      <c r="BYX23" s="21"/>
      <c r="BYY23" s="21"/>
      <c r="BYZ23" s="21"/>
      <c r="BZA23" s="21"/>
      <c r="BZB23" s="21"/>
      <c r="BZC23" s="21"/>
      <c r="BZD23" s="21"/>
      <c r="BZE23" s="21"/>
      <c r="BZF23" s="21"/>
      <c r="BZG23" s="21"/>
      <c r="BZH23" s="21"/>
      <c r="BZI23" s="21"/>
      <c r="BZJ23" s="21"/>
      <c r="BZK23" s="21"/>
      <c r="BZL23" s="21"/>
      <c r="BZM23" s="21"/>
      <c r="BZN23" s="21"/>
      <c r="BZO23" s="21"/>
      <c r="BZP23" s="21"/>
      <c r="BZQ23" s="21"/>
      <c r="BZR23" s="21"/>
      <c r="BZS23" s="21"/>
      <c r="BZT23" s="21"/>
      <c r="BZU23" s="21"/>
      <c r="BZV23" s="21"/>
      <c r="BZW23" s="21"/>
      <c r="BZX23" s="21"/>
      <c r="BZY23" s="21"/>
      <c r="BZZ23" s="21"/>
      <c r="CAA23" s="21"/>
      <c r="CAB23" s="21"/>
      <c r="CAC23" s="21"/>
      <c r="CAD23" s="21"/>
      <c r="CAE23" s="21"/>
      <c r="CAF23" s="21"/>
      <c r="CAG23" s="21"/>
      <c r="CAH23" s="21"/>
      <c r="CAI23" s="21"/>
      <c r="CAJ23" s="21"/>
      <c r="CAK23" s="21"/>
      <c r="CAL23" s="21"/>
      <c r="CAM23" s="21"/>
      <c r="CAN23" s="21"/>
      <c r="CAO23" s="21"/>
      <c r="CAP23" s="21"/>
      <c r="CAQ23" s="21"/>
      <c r="CAR23" s="21"/>
      <c r="CAS23" s="21"/>
      <c r="CAT23" s="21"/>
      <c r="CAU23" s="21"/>
      <c r="CAV23" s="21"/>
      <c r="CAW23" s="21"/>
      <c r="CAX23" s="21"/>
      <c r="CAY23" s="21"/>
      <c r="CAZ23" s="21"/>
      <c r="CBA23" s="21"/>
      <c r="CBB23" s="21"/>
      <c r="CBC23" s="21"/>
      <c r="CBD23" s="21"/>
      <c r="CBE23" s="21"/>
      <c r="CBF23" s="21"/>
      <c r="CBG23" s="21"/>
      <c r="CBH23" s="21"/>
      <c r="CBI23" s="21"/>
      <c r="CBJ23" s="21"/>
      <c r="CBK23" s="21"/>
      <c r="CBL23" s="21"/>
      <c r="CBM23" s="21"/>
      <c r="CBN23" s="21"/>
      <c r="CBO23" s="21"/>
      <c r="CBP23" s="21"/>
      <c r="CBQ23" s="21"/>
      <c r="CBR23" s="21"/>
      <c r="CBS23" s="21"/>
      <c r="CBT23" s="21"/>
      <c r="CBU23" s="21"/>
      <c r="CBV23" s="21"/>
      <c r="CBW23" s="21"/>
      <c r="CBX23" s="21"/>
      <c r="CBY23" s="21"/>
      <c r="CBZ23" s="21"/>
      <c r="CCA23" s="21"/>
      <c r="CCB23" s="21"/>
      <c r="CCC23" s="21"/>
      <c r="CCD23" s="21"/>
      <c r="CCE23" s="21"/>
      <c r="CCF23" s="21"/>
      <c r="CCG23" s="21"/>
      <c r="CCH23" s="21"/>
      <c r="CCI23" s="21"/>
      <c r="CCJ23" s="21"/>
      <c r="CCK23" s="21"/>
      <c r="CCL23" s="21"/>
      <c r="CCM23" s="21"/>
      <c r="CCN23" s="21"/>
      <c r="CCO23" s="21"/>
      <c r="CCP23" s="21"/>
      <c r="CCQ23" s="21"/>
      <c r="CCR23" s="21"/>
      <c r="CCS23" s="21"/>
      <c r="CCT23" s="21"/>
      <c r="CCU23" s="21"/>
      <c r="CCV23" s="21"/>
      <c r="CCW23" s="21"/>
      <c r="CCX23" s="21"/>
      <c r="CCY23" s="21"/>
      <c r="CCZ23" s="21"/>
      <c r="CDA23" s="21"/>
      <c r="CDB23" s="21"/>
      <c r="CDC23" s="21"/>
      <c r="CDD23" s="21"/>
      <c r="CDE23" s="21"/>
      <c r="CDF23" s="21"/>
      <c r="CDG23" s="21"/>
      <c r="CDH23" s="21"/>
      <c r="CDI23" s="21"/>
      <c r="CDJ23" s="21"/>
      <c r="CDK23" s="21"/>
      <c r="CDL23" s="21"/>
      <c r="CDM23" s="21"/>
      <c r="CDN23" s="21"/>
      <c r="CDO23" s="21"/>
      <c r="CDP23" s="21"/>
      <c r="CDQ23" s="21"/>
      <c r="CDR23" s="21"/>
      <c r="CDS23" s="21"/>
      <c r="CDT23" s="21"/>
      <c r="CDU23" s="21"/>
      <c r="CDV23" s="21"/>
      <c r="CDW23" s="21"/>
      <c r="CDX23" s="21"/>
      <c r="CDY23" s="21"/>
      <c r="CDZ23" s="21"/>
      <c r="CEA23" s="21"/>
      <c r="CEB23" s="21"/>
      <c r="CEC23" s="21"/>
      <c r="CED23" s="21"/>
      <c r="CEE23" s="21"/>
      <c r="CEF23" s="21"/>
      <c r="CEG23" s="21"/>
      <c r="CEH23" s="21"/>
      <c r="CEI23" s="21"/>
      <c r="CEJ23" s="21"/>
      <c r="CEK23" s="21"/>
      <c r="CEL23" s="21"/>
      <c r="CEM23" s="21"/>
      <c r="CEN23" s="21"/>
      <c r="CEO23" s="21"/>
      <c r="CEP23" s="21"/>
      <c r="CEQ23" s="21"/>
      <c r="CER23" s="21"/>
      <c r="CES23" s="21"/>
      <c r="CET23" s="21"/>
      <c r="CEU23" s="21"/>
      <c r="CEV23" s="21"/>
      <c r="CEW23" s="21"/>
      <c r="CEX23" s="21"/>
      <c r="CEY23" s="21"/>
      <c r="CEZ23" s="21"/>
      <c r="CFA23" s="21"/>
      <c r="CFB23" s="21"/>
      <c r="CFC23" s="21"/>
      <c r="CFD23" s="21"/>
      <c r="CFE23" s="21"/>
      <c r="CFF23" s="21"/>
      <c r="CFG23" s="21"/>
      <c r="CFH23" s="21"/>
      <c r="CFI23" s="21"/>
      <c r="CFJ23" s="21"/>
      <c r="CFK23" s="21"/>
      <c r="CFL23" s="21"/>
      <c r="CFM23" s="21"/>
      <c r="CFN23" s="21"/>
      <c r="CFO23" s="21"/>
      <c r="CFP23" s="21"/>
      <c r="CFQ23" s="21"/>
      <c r="CFR23" s="21"/>
      <c r="CFS23" s="21"/>
      <c r="CFT23" s="21"/>
      <c r="CFU23" s="21"/>
      <c r="CFV23" s="21"/>
      <c r="CFW23" s="21"/>
      <c r="CFX23" s="21"/>
      <c r="CFY23" s="21"/>
      <c r="CFZ23" s="21"/>
      <c r="CGA23" s="21"/>
      <c r="CGB23" s="21"/>
      <c r="CGC23" s="21"/>
      <c r="CGD23" s="21"/>
      <c r="CGE23" s="21"/>
      <c r="CGF23" s="21"/>
      <c r="CGG23" s="21"/>
      <c r="CGH23" s="21"/>
      <c r="CGI23" s="21"/>
      <c r="CGJ23" s="21"/>
      <c r="CGK23" s="21"/>
      <c r="CGL23" s="21"/>
      <c r="CGM23" s="21"/>
      <c r="CGN23" s="21"/>
      <c r="CGO23" s="21"/>
      <c r="CGP23" s="21"/>
      <c r="CGQ23" s="21"/>
      <c r="CGR23" s="21"/>
      <c r="CGS23" s="21"/>
      <c r="CGT23" s="21"/>
      <c r="CGU23" s="21"/>
      <c r="CGV23" s="21"/>
      <c r="CGW23" s="21"/>
      <c r="CGX23" s="21"/>
      <c r="CGY23" s="21"/>
      <c r="CGZ23" s="21"/>
      <c r="CHA23" s="21"/>
      <c r="CHB23" s="21"/>
      <c r="CHC23" s="21"/>
      <c r="CHD23" s="21"/>
      <c r="CHE23" s="21"/>
      <c r="CHF23" s="21"/>
      <c r="CHG23" s="21"/>
      <c r="CHH23" s="21"/>
      <c r="CHI23" s="21"/>
      <c r="CHJ23" s="21"/>
      <c r="CHK23" s="21"/>
      <c r="CHL23" s="21"/>
      <c r="CHM23" s="21"/>
      <c r="CHN23" s="21"/>
      <c r="CHO23" s="21"/>
      <c r="CHP23" s="21"/>
      <c r="CHQ23" s="21"/>
      <c r="CHR23" s="21"/>
      <c r="CHS23" s="21"/>
      <c r="CHT23" s="21"/>
      <c r="CHU23" s="21"/>
      <c r="CHV23" s="21"/>
      <c r="CHW23" s="21"/>
      <c r="CHX23" s="21"/>
      <c r="CHY23" s="21"/>
      <c r="CHZ23" s="21"/>
      <c r="CIA23" s="21"/>
      <c r="CIB23" s="21"/>
      <c r="CIC23" s="21"/>
      <c r="CID23" s="21"/>
      <c r="CIE23" s="21"/>
      <c r="CIF23" s="21"/>
      <c r="CIG23" s="21"/>
      <c r="CIH23" s="21"/>
      <c r="CII23" s="21"/>
      <c r="CIJ23" s="21"/>
      <c r="CIK23" s="21"/>
      <c r="CIL23" s="21"/>
      <c r="CIM23" s="21"/>
      <c r="CIN23" s="21"/>
      <c r="CIO23" s="21"/>
      <c r="CIP23" s="21"/>
      <c r="CIQ23" s="21"/>
      <c r="CIR23" s="21"/>
      <c r="CIS23" s="21"/>
      <c r="CIT23" s="21"/>
      <c r="CIU23" s="21"/>
      <c r="CIV23" s="21"/>
      <c r="CIW23" s="21"/>
      <c r="CIX23" s="21"/>
      <c r="CIY23" s="21"/>
      <c r="CIZ23" s="21"/>
      <c r="CJA23" s="21"/>
      <c r="CJB23" s="21"/>
      <c r="CJC23" s="21"/>
      <c r="CJD23" s="21"/>
      <c r="CJE23" s="21"/>
      <c r="CJF23" s="21"/>
      <c r="CJG23" s="21"/>
      <c r="CJH23" s="21"/>
      <c r="CJI23" s="21"/>
      <c r="CJJ23" s="21"/>
      <c r="CJK23" s="21"/>
      <c r="CJL23" s="21"/>
      <c r="CJM23" s="21"/>
      <c r="CJN23" s="21"/>
      <c r="CJO23" s="21"/>
      <c r="CJP23" s="21"/>
      <c r="CJQ23" s="21"/>
      <c r="CJR23" s="21"/>
      <c r="CJS23" s="21"/>
      <c r="CJT23" s="21"/>
      <c r="CJU23" s="21"/>
      <c r="CJV23" s="21"/>
      <c r="CJW23" s="21"/>
      <c r="CJX23" s="21"/>
      <c r="CJY23" s="21"/>
      <c r="CJZ23" s="21"/>
      <c r="CKA23" s="21"/>
      <c r="CKB23" s="21"/>
      <c r="CKC23" s="21"/>
      <c r="CKD23" s="21"/>
      <c r="CKE23" s="21"/>
      <c r="CKF23" s="21"/>
      <c r="CKG23" s="21"/>
      <c r="CKH23" s="21"/>
      <c r="CKI23" s="21"/>
      <c r="CKJ23" s="21"/>
      <c r="CKK23" s="21"/>
      <c r="CKL23" s="21"/>
      <c r="CKM23" s="21"/>
      <c r="CKN23" s="21"/>
      <c r="CKO23" s="21"/>
      <c r="CKP23" s="21"/>
      <c r="CKQ23" s="21"/>
      <c r="CKR23" s="21"/>
      <c r="CKS23" s="21"/>
      <c r="CKT23" s="21"/>
      <c r="CKU23" s="21"/>
      <c r="CKV23" s="21"/>
      <c r="CKW23" s="21"/>
      <c r="CKX23" s="21"/>
      <c r="CKY23" s="21"/>
      <c r="CKZ23" s="21"/>
      <c r="CLA23" s="21"/>
      <c r="CLB23" s="21"/>
      <c r="CLC23" s="21"/>
      <c r="CLD23" s="21"/>
      <c r="CLE23" s="21"/>
      <c r="CLF23" s="21"/>
      <c r="CLG23" s="21"/>
      <c r="CLH23" s="21"/>
      <c r="CLI23" s="21"/>
      <c r="CLJ23" s="21"/>
      <c r="CLK23" s="21"/>
      <c r="CLL23" s="21"/>
      <c r="CLM23" s="21"/>
      <c r="CLN23" s="21"/>
      <c r="CLO23" s="21"/>
      <c r="CLP23" s="21"/>
      <c r="CLQ23" s="21"/>
      <c r="CLR23" s="21"/>
      <c r="CLS23" s="21"/>
      <c r="CLT23" s="21"/>
      <c r="CLU23" s="21"/>
      <c r="CLV23" s="21"/>
      <c r="CLW23" s="21"/>
      <c r="CLX23" s="21"/>
      <c r="CLY23" s="21"/>
      <c r="CLZ23" s="21"/>
      <c r="CMA23" s="21"/>
      <c r="CMB23" s="21"/>
      <c r="CMC23" s="21"/>
      <c r="CMD23" s="21"/>
      <c r="CME23" s="21"/>
      <c r="CMF23" s="21"/>
      <c r="CMG23" s="21"/>
      <c r="CMH23" s="21"/>
      <c r="CMI23" s="21"/>
      <c r="CMJ23" s="21"/>
      <c r="CMK23" s="21"/>
      <c r="CML23" s="21"/>
      <c r="CMM23" s="21"/>
      <c r="CMN23" s="21"/>
      <c r="CMO23" s="21"/>
      <c r="CMP23" s="21"/>
      <c r="CMQ23" s="21"/>
      <c r="CMR23" s="21"/>
      <c r="CMS23" s="21"/>
      <c r="CMT23" s="21"/>
      <c r="CMU23" s="21"/>
      <c r="CMV23" s="21"/>
      <c r="CMW23" s="21"/>
      <c r="CMX23" s="21"/>
      <c r="CMY23" s="21"/>
      <c r="CMZ23" s="21"/>
      <c r="CNA23" s="21"/>
      <c r="CNB23" s="21"/>
      <c r="CNC23" s="21"/>
      <c r="CND23" s="21"/>
      <c r="CNE23" s="21"/>
      <c r="CNF23" s="21"/>
      <c r="CNG23" s="21"/>
      <c r="CNH23" s="21"/>
      <c r="CNI23" s="21"/>
      <c r="CNJ23" s="21"/>
      <c r="CNK23" s="21"/>
      <c r="CNL23" s="21"/>
      <c r="CNM23" s="21"/>
      <c r="CNN23" s="21"/>
      <c r="CNO23" s="21"/>
      <c r="CNP23" s="21"/>
      <c r="CNQ23" s="21"/>
      <c r="CNR23" s="21"/>
      <c r="CNS23" s="21"/>
      <c r="CNT23" s="21"/>
      <c r="CNU23" s="21"/>
      <c r="CNV23" s="21"/>
      <c r="CNW23" s="21"/>
      <c r="CNX23" s="21"/>
      <c r="CNY23" s="21"/>
      <c r="CNZ23" s="21"/>
      <c r="COA23" s="21"/>
      <c r="COB23" s="21"/>
      <c r="COC23" s="21"/>
      <c r="COD23" s="21"/>
      <c r="COE23" s="21"/>
      <c r="COF23" s="21"/>
      <c r="COG23" s="21"/>
      <c r="COH23" s="21"/>
      <c r="COI23" s="21"/>
      <c r="COJ23" s="21"/>
      <c r="COK23" s="21"/>
      <c r="COL23" s="21"/>
      <c r="COM23" s="21"/>
      <c r="CON23" s="21"/>
      <c r="COO23" s="21"/>
      <c r="COP23" s="21"/>
      <c r="COQ23" s="21"/>
      <c r="COR23" s="21"/>
      <c r="COS23" s="21"/>
      <c r="COT23" s="21"/>
      <c r="COU23" s="21"/>
      <c r="COV23" s="21"/>
      <c r="COW23" s="21"/>
      <c r="COX23" s="21"/>
      <c r="COY23" s="21"/>
      <c r="COZ23" s="21"/>
      <c r="CPA23" s="21"/>
      <c r="CPB23" s="21"/>
      <c r="CPC23" s="21"/>
      <c r="CPD23" s="21"/>
      <c r="CPE23" s="21"/>
      <c r="CPF23" s="21"/>
      <c r="CPG23" s="21"/>
      <c r="CPH23" s="21"/>
      <c r="CPI23" s="21"/>
      <c r="CPJ23" s="21"/>
      <c r="CPK23" s="21"/>
      <c r="CPL23" s="21"/>
      <c r="CPM23" s="21"/>
      <c r="CPN23" s="21"/>
      <c r="CPO23" s="21"/>
      <c r="CPP23" s="21"/>
      <c r="CPQ23" s="21"/>
      <c r="CPR23" s="21"/>
      <c r="CPS23" s="21"/>
      <c r="CPT23" s="21"/>
      <c r="CPU23" s="21"/>
      <c r="CPV23" s="21"/>
      <c r="CPW23" s="21"/>
      <c r="CPX23" s="21"/>
      <c r="CPY23" s="21"/>
      <c r="CPZ23" s="21"/>
      <c r="CQA23" s="21"/>
      <c r="CQB23" s="21"/>
      <c r="CQC23" s="21"/>
      <c r="CQD23" s="21"/>
      <c r="CQE23" s="21"/>
      <c r="CQF23" s="21"/>
      <c r="CQG23" s="21"/>
      <c r="CQH23" s="21"/>
      <c r="CQI23" s="21"/>
      <c r="CQJ23" s="21"/>
      <c r="CQK23" s="21"/>
      <c r="CQL23" s="21"/>
      <c r="CQM23" s="21"/>
      <c r="CQN23" s="21"/>
      <c r="CQO23" s="21"/>
      <c r="CQP23" s="21"/>
      <c r="CQQ23" s="21"/>
      <c r="CQR23" s="21"/>
      <c r="CQS23" s="21"/>
      <c r="CQT23" s="21"/>
      <c r="CQU23" s="21"/>
      <c r="CQV23" s="21"/>
      <c r="CQW23" s="21"/>
      <c r="CQX23" s="21"/>
      <c r="CQY23" s="21"/>
      <c r="CQZ23" s="21"/>
      <c r="CRA23" s="21"/>
      <c r="CRB23" s="21"/>
      <c r="CRC23" s="21"/>
      <c r="CRD23" s="21"/>
      <c r="CRE23" s="21"/>
      <c r="CRF23" s="21"/>
      <c r="CRG23" s="21"/>
      <c r="CRH23" s="21"/>
      <c r="CRI23" s="21"/>
      <c r="CRJ23" s="21"/>
      <c r="CRK23" s="21"/>
      <c r="CRL23" s="21"/>
      <c r="CRM23" s="21"/>
      <c r="CRN23" s="21"/>
      <c r="CRO23" s="21"/>
      <c r="CRP23" s="21"/>
      <c r="CRQ23" s="21"/>
      <c r="CRR23" s="21"/>
      <c r="CRS23" s="21"/>
      <c r="CRT23" s="21"/>
      <c r="CRU23" s="21"/>
      <c r="CRV23" s="21"/>
      <c r="CRW23" s="21"/>
      <c r="CRX23" s="21"/>
      <c r="CRY23" s="21"/>
      <c r="CRZ23" s="21"/>
      <c r="CSA23" s="21"/>
      <c r="CSB23" s="21"/>
      <c r="CSC23" s="21"/>
      <c r="CSD23" s="21"/>
      <c r="CSE23" s="21"/>
      <c r="CSF23" s="21"/>
      <c r="CSG23" s="21"/>
      <c r="CSH23" s="21"/>
      <c r="CSI23" s="21"/>
      <c r="CSJ23" s="21"/>
      <c r="CSK23" s="21"/>
      <c r="CSL23" s="21"/>
      <c r="CSM23" s="21"/>
      <c r="CSN23" s="21"/>
      <c r="CSO23" s="21"/>
      <c r="CSP23" s="21"/>
      <c r="CSQ23" s="21"/>
      <c r="CSR23" s="21"/>
      <c r="CSS23" s="21"/>
      <c r="CST23" s="21"/>
      <c r="CSU23" s="21"/>
      <c r="CSV23" s="21"/>
      <c r="CSW23" s="21"/>
      <c r="CSX23" s="21"/>
      <c r="CSY23" s="21"/>
      <c r="CSZ23" s="21"/>
      <c r="CTA23" s="21"/>
      <c r="CTB23" s="21"/>
      <c r="CTC23" s="21"/>
      <c r="CTD23" s="21"/>
      <c r="CTE23" s="21"/>
      <c r="CTF23" s="21"/>
      <c r="CTG23" s="21"/>
      <c r="CTH23" s="21"/>
      <c r="CTI23" s="21"/>
      <c r="CTJ23" s="21"/>
      <c r="CTK23" s="21"/>
      <c r="CTL23" s="21"/>
      <c r="CTM23" s="21"/>
      <c r="CTN23" s="21"/>
      <c r="CTO23" s="21"/>
      <c r="CTP23" s="21"/>
      <c r="CTQ23" s="21"/>
      <c r="CTR23" s="21"/>
      <c r="CTS23" s="21"/>
      <c r="CTT23" s="21"/>
      <c r="CTU23" s="21"/>
      <c r="CTV23" s="21"/>
      <c r="CTW23" s="21"/>
      <c r="CTX23" s="21"/>
      <c r="CTY23" s="21"/>
      <c r="CTZ23" s="21"/>
      <c r="CUA23" s="21"/>
      <c r="CUB23" s="21"/>
      <c r="CUC23" s="21"/>
      <c r="CUD23" s="21"/>
      <c r="CUE23" s="21"/>
      <c r="CUF23" s="21"/>
      <c r="CUG23" s="21"/>
      <c r="CUH23" s="21"/>
      <c r="CUI23" s="21"/>
      <c r="CUJ23" s="21"/>
      <c r="CUK23" s="21"/>
      <c r="CUL23" s="21"/>
      <c r="CUM23" s="21"/>
      <c r="CUN23" s="21"/>
      <c r="CUO23" s="21"/>
      <c r="CUP23" s="21"/>
      <c r="CUQ23" s="21"/>
      <c r="CUR23" s="21"/>
      <c r="CUS23" s="21"/>
      <c r="CUT23" s="21"/>
      <c r="CUU23" s="21"/>
      <c r="CUV23" s="21"/>
      <c r="CUW23" s="21"/>
      <c r="CUX23" s="21"/>
      <c r="CUY23" s="21"/>
      <c r="CUZ23" s="21"/>
      <c r="CVA23" s="21"/>
      <c r="CVB23" s="21"/>
      <c r="CVC23" s="21"/>
      <c r="CVD23" s="21"/>
      <c r="CVE23" s="21"/>
      <c r="CVF23" s="21"/>
      <c r="CVG23" s="21"/>
      <c r="CVH23" s="21"/>
      <c r="CVI23" s="21"/>
      <c r="CVJ23" s="21"/>
      <c r="CVK23" s="21"/>
      <c r="CVL23" s="21"/>
      <c r="CVM23" s="21"/>
      <c r="CVN23" s="21"/>
      <c r="CVO23" s="21"/>
      <c r="CVP23" s="21"/>
      <c r="CVQ23" s="21"/>
      <c r="CVR23" s="21"/>
      <c r="CVS23" s="21"/>
      <c r="CVT23" s="21"/>
      <c r="CVU23" s="21"/>
      <c r="CVV23" s="21"/>
      <c r="CVW23" s="21"/>
      <c r="CVX23" s="21"/>
      <c r="CVY23" s="21"/>
      <c r="CVZ23" s="21"/>
      <c r="CWA23" s="21"/>
      <c r="CWB23" s="21"/>
      <c r="CWC23" s="21"/>
      <c r="CWD23" s="21"/>
      <c r="CWE23" s="21"/>
      <c r="CWF23" s="21"/>
      <c r="CWG23" s="21"/>
      <c r="CWH23" s="21"/>
      <c r="CWI23" s="21"/>
      <c r="CWJ23" s="21"/>
      <c r="CWK23" s="21"/>
      <c r="CWL23" s="21"/>
      <c r="CWM23" s="21"/>
      <c r="CWN23" s="21"/>
      <c r="CWO23" s="21"/>
      <c r="CWP23" s="21"/>
      <c r="CWQ23" s="21"/>
      <c r="CWR23" s="21"/>
      <c r="CWS23" s="21"/>
      <c r="CWT23" s="21"/>
      <c r="CWU23" s="21"/>
      <c r="CWV23" s="21"/>
      <c r="CWW23" s="21"/>
      <c r="CWX23" s="21"/>
      <c r="CWY23" s="21"/>
      <c r="CWZ23" s="21"/>
      <c r="CXA23" s="21"/>
      <c r="CXB23" s="21"/>
      <c r="CXC23" s="21"/>
      <c r="CXD23" s="21"/>
      <c r="CXE23" s="21"/>
      <c r="CXF23" s="21"/>
      <c r="CXG23" s="21"/>
      <c r="CXH23" s="21"/>
      <c r="CXI23" s="21"/>
      <c r="CXJ23" s="21"/>
      <c r="CXK23" s="21"/>
      <c r="CXL23" s="21"/>
      <c r="CXM23" s="21"/>
      <c r="CXN23" s="21"/>
      <c r="CXO23" s="21"/>
      <c r="CXP23" s="21"/>
      <c r="CXQ23" s="21"/>
      <c r="CXR23" s="21"/>
      <c r="CXS23" s="21"/>
      <c r="CXT23" s="21"/>
      <c r="CXU23" s="21"/>
      <c r="CXV23" s="21"/>
      <c r="CXW23" s="21"/>
      <c r="CXX23" s="21"/>
      <c r="CXY23" s="21"/>
      <c r="CXZ23" s="21"/>
      <c r="CYA23" s="21"/>
      <c r="CYB23" s="21"/>
      <c r="CYC23" s="21"/>
      <c r="CYD23" s="21"/>
      <c r="CYE23" s="21"/>
      <c r="CYF23" s="21"/>
      <c r="CYG23" s="21"/>
      <c r="CYH23" s="21"/>
      <c r="CYI23" s="21"/>
      <c r="CYJ23" s="21"/>
      <c r="CYK23" s="21"/>
      <c r="CYL23" s="21"/>
      <c r="CYM23" s="21"/>
      <c r="CYN23" s="21"/>
      <c r="CYO23" s="21"/>
      <c r="CYP23" s="21"/>
      <c r="CYQ23" s="21"/>
      <c r="CYR23" s="21"/>
      <c r="CYS23" s="21"/>
      <c r="CYT23" s="21"/>
      <c r="CYU23" s="21"/>
      <c r="CYV23" s="21"/>
      <c r="CYW23" s="21"/>
      <c r="CYX23" s="21"/>
      <c r="CYY23" s="21"/>
      <c r="CYZ23" s="21"/>
      <c r="CZA23" s="21"/>
      <c r="CZB23" s="21"/>
      <c r="CZC23" s="21"/>
      <c r="CZD23" s="21"/>
      <c r="CZE23" s="21"/>
      <c r="CZF23" s="21"/>
      <c r="CZG23" s="21"/>
      <c r="CZH23" s="21"/>
      <c r="CZI23" s="21"/>
      <c r="CZJ23" s="21"/>
      <c r="CZK23" s="21"/>
      <c r="CZL23" s="21"/>
      <c r="CZM23" s="21"/>
      <c r="CZN23" s="21"/>
      <c r="CZO23" s="21"/>
      <c r="CZP23" s="21"/>
      <c r="CZQ23" s="21"/>
      <c r="CZR23" s="21"/>
      <c r="CZS23" s="21"/>
      <c r="CZT23" s="21"/>
      <c r="CZU23" s="21"/>
      <c r="CZV23" s="21"/>
      <c r="CZW23" s="21"/>
      <c r="CZX23" s="21"/>
      <c r="CZY23" s="21"/>
      <c r="CZZ23" s="21"/>
      <c r="DAA23" s="21"/>
      <c r="DAB23" s="21"/>
      <c r="DAC23" s="21"/>
      <c r="DAD23" s="21"/>
      <c r="DAE23" s="21"/>
      <c r="DAF23" s="21"/>
      <c r="DAG23" s="21"/>
      <c r="DAH23" s="21"/>
      <c r="DAI23" s="21"/>
      <c r="DAJ23" s="21"/>
      <c r="DAK23" s="21"/>
      <c r="DAL23" s="21"/>
      <c r="DAM23" s="21"/>
      <c r="DAN23" s="21"/>
      <c r="DAO23" s="21"/>
      <c r="DAP23" s="21"/>
      <c r="DAQ23" s="21"/>
      <c r="DAR23" s="21"/>
      <c r="DAS23" s="21"/>
      <c r="DAT23" s="21"/>
      <c r="DAU23" s="21"/>
      <c r="DAV23" s="21"/>
      <c r="DAW23" s="21"/>
      <c r="DAX23" s="21"/>
      <c r="DAY23" s="21"/>
      <c r="DAZ23" s="21"/>
      <c r="DBA23" s="21"/>
      <c r="DBB23" s="21"/>
      <c r="DBC23" s="21"/>
      <c r="DBD23" s="21"/>
      <c r="DBE23" s="21"/>
      <c r="DBF23" s="21"/>
      <c r="DBG23" s="21"/>
      <c r="DBH23" s="21"/>
      <c r="DBI23" s="21"/>
      <c r="DBJ23" s="21"/>
      <c r="DBK23" s="21"/>
      <c r="DBL23" s="21"/>
      <c r="DBM23" s="21"/>
      <c r="DBN23" s="21"/>
      <c r="DBO23" s="21"/>
      <c r="DBP23" s="21"/>
      <c r="DBQ23" s="21"/>
      <c r="DBR23" s="21"/>
      <c r="DBS23" s="21"/>
      <c r="DBT23" s="21"/>
      <c r="DBU23" s="21"/>
      <c r="DBV23" s="21"/>
      <c r="DBW23" s="21"/>
      <c r="DBX23" s="21"/>
      <c r="DBY23" s="21"/>
      <c r="DBZ23" s="21"/>
      <c r="DCA23" s="21"/>
      <c r="DCB23" s="21"/>
      <c r="DCC23" s="21"/>
      <c r="DCD23" s="21"/>
      <c r="DCE23" s="21"/>
      <c r="DCF23" s="21"/>
      <c r="DCG23" s="21"/>
      <c r="DCH23" s="21"/>
      <c r="DCI23" s="21"/>
      <c r="DCJ23" s="21"/>
      <c r="DCK23" s="21"/>
      <c r="DCL23" s="21"/>
      <c r="DCM23" s="21"/>
      <c r="DCN23" s="21"/>
      <c r="DCO23" s="21"/>
      <c r="DCP23" s="21"/>
      <c r="DCQ23" s="21"/>
      <c r="DCR23" s="21"/>
      <c r="DCS23" s="21"/>
      <c r="DCT23" s="21"/>
      <c r="DCU23" s="21"/>
      <c r="DCV23" s="21"/>
      <c r="DCW23" s="21"/>
      <c r="DCX23" s="21"/>
      <c r="DCY23" s="21"/>
      <c r="DCZ23" s="21"/>
      <c r="DDA23" s="21"/>
      <c r="DDB23" s="21"/>
      <c r="DDC23" s="21"/>
      <c r="DDD23" s="21"/>
      <c r="DDE23" s="21"/>
      <c r="DDF23" s="21"/>
      <c r="DDG23" s="21"/>
      <c r="DDH23" s="21"/>
      <c r="DDI23" s="21"/>
      <c r="DDJ23" s="21"/>
      <c r="DDK23" s="21"/>
      <c r="DDL23" s="21"/>
      <c r="DDM23" s="21"/>
      <c r="DDN23" s="21"/>
      <c r="DDO23" s="21"/>
      <c r="DDP23" s="21"/>
      <c r="DDQ23" s="21"/>
      <c r="DDR23" s="21"/>
      <c r="DDS23" s="21"/>
      <c r="DDT23" s="21"/>
      <c r="DDU23" s="21"/>
      <c r="DDV23" s="21"/>
      <c r="DDW23" s="21"/>
      <c r="DDX23" s="21"/>
      <c r="DDY23" s="21"/>
      <c r="DDZ23" s="21"/>
      <c r="DEA23" s="21"/>
      <c r="DEB23" s="21"/>
      <c r="DEC23" s="21"/>
      <c r="DED23" s="21"/>
      <c r="DEE23" s="21"/>
      <c r="DEF23" s="21"/>
      <c r="DEG23" s="21"/>
      <c r="DEH23" s="21"/>
      <c r="DEI23" s="21"/>
      <c r="DEJ23" s="21"/>
      <c r="DEK23" s="21"/>
      <c r="DEL23" s="21"/>
      <c r="DEM23" s="21"/>
      <c r="DEN23" s="21"/>
      <c r="DEO23" s="21"/>
      <c r="DEP23" s="21"/>
      <c r="DEQ23" s="21"/>
      <c r="DER23" s="21"/>
      <c r="DES23" s="21"/>
      <c r="DET23" s="21"/>
      <c r="DEU23" s="21"/>
      <c r="DEV23" s="21"/>
      <c r="DEW23" s="21"/>
      <c r="DEX23" s="21"/>
      <c r="DEY23" s="21"/>
      <c r="DEZ23" s="21"/>
      <c r="DFA23" s="21"/>
      <c r="DFB23" s="21"/>
      <c r="DFC23" s="21"/>
      <c r="DFD23" s="21"/>
      <c r="DFE23" s="21"/>
      <c r="DFF23" s="21"/>
      <c r="DFG23" s="21"/>
      <c r="DFH23" s="21"/>
      <c r="DFI23" s="21"/>
      <c r="DFJ23" s="21"/>
      <c r="DFK23" s="21"/>
      <c r="DFL23" s="21"/>
      <c r="DFM23" s="21"/>
      <c r="DFN23" s="21"/>
      <c r="DFO23" s="21"/>
      <c r="DFP23" s="21"/>
      <c r="DFQ23" s="21"/>
      <c r="DFR23" s="21"/>
      <c r="DFS23" s="21"/>
      <c r="DFT23" s="21"/>
      <c r="DFU23" s="21"/>
      <c r="DFV23" s="21"/>
      <c r="DFW23" s="21"/>
      <c r="DFX23" s="21"/>
      <c r="DFY23" s="21"/>
      <c r="DFZ23" s="21"/>
      <c r="DGA23" s="21"/>
      <c r="DGB23" s="21"/>
      <c r="DGC23" s="21"/>
      <c r="DGD23" s="21"/>
      <c r="DGE23" s="21"/>
      <c r="DGF23" s="21"/>
      <c r="DGG23" s="21"/>
      <c r="DGH23" s="21"/>
      <c r="DGI23" s="21"/>
      <c r="DGJ23" s="21"/>
      <c r="DGK23" s="21"/>
      <c r="DGL23" s="21"/>
      <c r="DGM23" s="21"/>
      <c r="DGN23" s="21"/>
      <c r="DGO23" s="21"/>
      <c r="DGP23" s="21"/>
      <c r="DGQ23" s="21"/>
      <c r="DGR23" s="21"/>
      <c r="DGS23" s="21"/>
      <c r="DGT23" s="21"/>
      <c r="DGU23" s="21"/>
      <c r="DGV23" s="21"/>
      <c r="DGW23" s="21"/>
      <c r="DGX23" s="21"/>
      <c r="DGY23" s="21"/>
      <c r="DGZ23" s="21"/>
      <c r="DHA23" s="21"/>
      <c r="DHB23" s="21"/>
      <c r="DHC23" s="21"/>
      <c r="DHD23" s="21"/>
      <c r="DHE23" s="21"/>
      <c r="DHF23" s="21"/>
      <c r="DHG23" s="21"/>
      <c r="DHH23" s="21"/>
      <c r="DHI23" s="21"/>
      <c r="DHJ23" s="21"/>
      <c r="DHK23" s="21"/>
      <c r="DHL23" s="21"/>
      <c r="DHM23" s="21"/>
      <c r="DHN23" s="21"/>
      <c r="DHO23" s="21"/>
      <c r="DHP23" s="21"/>
      <c r="DHQ23" s="21"/>
      <c r="DHR23" s="21"/>
      <c r="DHS23" s="21"/>
      <c r="DHT23" s="21"/>
      <c r="DHU23" s="21"/>
      <c r="DHV23" s="21"/>
      <c r="DHW23" s="21"/>
      <c r="DHX23" s="21"/>
      <c r="DHY23" s="21"/>
      <c r="DHZ23" s="21"/>
      <c r="DIA23" s="21"/>
      <c r="DIB23" s="21"/>
      <c r="DIC23" s="21"/>
      <c r="DID23" s="21"/>
      <c r="DIE23" s="21"/>
      <c r="DIF23" s="21"/>
      <c r="DIG23" s="21"/>
      <c r="DIH23" s="21"/>
      <c r="DII23" s="21"/>
      <c r="DIJ23" s="21"/>
      <c r="DIK23" s="21"/>
      <c r="DIL23" s="21"/>
      <c r="DIM23" s="21"/>
      <c r="DIN23" s="21"/>
      <c r="DIO23" s="21"/>
      <c r="DIP23" s="21"/>
      <c r="DIQ23" s="21"/>
      <c r="DIR23" s="21"/>
      <c r="DIS23" s="21"/>
      <c r="DIT23" s="21"/>
      <c r="DIU23" s="21"/>
      <c r="DIV23" s="21"/>
      <c r="DIW23" s="21"/>
      <c r="DIX23" s="21"/>
      <c r="DIY23" s="21"/>
      <c r="DIZ23" s="21"/>
      <c r="DJA23" s="21"/>
      <c r="DJB23" s="21"/>
      <c r="DJC23" s="21"/>
      <c r="DJD23" s="21"/>
      <c r="DJE23" s="21"/>
      <c r="DJF23" s="21"/>
      <c r="DJG23" s="21"/>
      <c r="DJH23" s="21"/>
      <c r="DJI23" s="21"/>
      <c r="DJJ23" s="21"/>
      <c r="DJK23" s="21"/>
      <c r="DJL23" s="21"/>
      <c r="DJM23" s="21"/>
      <c r="DJN23" s="21"/>
      <c r="DJO23" s="21"/>
      <c r="DJP23" s="21"/>
      <c r="DJQ23" s="21"/>
      <c r="DJR23" s="21"/>
      <c r="DJS23" s="21"/>
      <c r="DJT23" s="21"/>
      <c r="DJU23" s="21"/>
      <c r="DJV23" s="21"/>
      <c r="DJW23" s="21"/>
      <c r="DJX23" s="21"/>
      <c r="DJY23" s="21"/>
      <c r="DJZ23" s="21"/>
      <c r="DKA23" s="21"/>
      <c r="DKB23" s="21"/>
      <c r="DKC23" s="21"/>
      <c r="DKD23" s="21"/>
      <c r="DKE23" s="21"/>
      <c r="DKF23" s="21"/>
      <c r="DKG23" s="21"/>
      <c r="DKH23" s="21"/>
      <c r="DKI23" s="21"/>
      <c r="DKJ23" s="21"/>
      <c r="DKK23" s="21"/>
      <c r="DKL23" s="21"/>
      <c r="DKM23" s="21"/>
      <c r="DKN23" s="21"/>
      <c r="DKO23" s="21"/>
      <c r="DKP23" s="21"/>
      <c r="DKQ23" s="21"/>
      <c r="DKR23" s="21"/>
      <c r="DKS23" s="21"/>
      <c r="DKT23" s="21"/>
      <c r="DKU23" s="21"/>
      <c r="DKV23" s="21"/>
      <c r="DKW23" s="21"/>
      <c r="DKX23" s="21"/>
      <c r="DKY23" s="21"/>
      <c r="DKZ23" s="21"/>
      <c r="DLA23" s="21"/>
      <c r="DLB23" s="21"/>
      <c r="DLC23" s="21"/>
      <c r="DLD23" s="21"/>
      <c r="DLE23" s="21"/>
      <c r="DLF23" s="21"/>
      <c r="DLG23" s="21"/>
      <c r="DLH23" s="21"/>
      <c r="DLI23" s="21"/>
      <c r="DLJ23" s="21"/>
      <c r="DLK23" s="21"/>
      <c r="DLL23" s="21"/>
      <c r="DLM23" s="21"/>
      <c r="DLN23" s="21"/>
      <c r="DLO23" s="21"/>
      <c r="DLP23" s="21"/>
      <c r="DLQ23" s="21"/>
      <c r="DLR23" s="21"/>
      <c r="DLS23" s="21"/>
      <c r="DLT23" s="21"/>
      <c r="DLU23" s="21"/>
      <c r="DLV23" s="21"/>
      <c r="DLW23" s="21"/>
      <c r="DLX23" s="21"/>
      <c r="DLY23" s="21"/>
      <c r="DLZ23" s="21"/>
      <c r="DMA23" s="21"/>
      <c r="DMB23" s="21"/>
      <c r="DMC23" s="21"/>
      <c r="DMD23" s="21"/>
      <c r="DME23" s="21"/>
      <c r="DMF23" s="21"/>
      <c r="DMG23" s="21"/>
      <c r="DMH23" s="21"/>
      <c r="DMI23" s="21"/>
      <c r="DMJ23" s="21"/>
      <c r="DMK23" s="21"/>
      <c r="DML23" s="21"/>
      <c r="DMM23" s="21"/>
      <c r="DMN23" s="21"/>
      <c r="DMO23" s="21"/>
      <c r="DMP23" s="21"/>
      <c r="DMQ23" s="21"/>
      <c r="DMR23" s="21"/>
      <c r="DMS23" s="21"/>
      <c r="DMT23" s="21"/>
      <c r="DMU23" s="21"/>
      <c r="DMV23" s="21"/>
      <c r="DMW23" s="21"/>
      <c r="DMX23" s="21"/>
      <c r="DMY23" s="21"/>
      <c r="DMZ23" s="21"/>
      <c r="DNA23" s="21"/>
      <c r="DNB23" s="21"/>
      <c r="DNC23" s="21"/>
      <c r="DND23" s="21"/>
      <c r="DNE23" s="21"/>
      <c r="DNF23" s="21"/>
      <c r="DNG23" s="21"/>
      <c r="DNH23" s="21"/>
      <c r="DNI23" s="21"/>
      <c r="DNJ23" s="21"/>
      <c r="DNK23" s="21"/>
      <c r="DNL23" s="21"/>
      <c r="DNM23" s="21"/>
      <c r="DNN23" s="21"/>
      <c r="DNO23" s="21"/>
      <c r="DNP23" s="21"/>
      <c r="DNQ23" s="21"/>
      <c r="DNR23" s="21"/>
      <c r="DNS23" s="21"/>
      <c r="DNT23" s="21"/>
      <c r="DNU23" s="21"/>
      <c r="DNV23" s="21"/>
      <c r="DNW23" s="21"/>
      <c r="DNX23" s="21"/>
      <c r="DNY23" s="21"/>
      <c r="DNZ23" s="21"/>
      <c r="DOA23" s="21"/>
      <c r="DOB23" s="21"/>
      <c r="DOC23" s="21"/>
      <c r="DOD23" s="21"/>
      <c r="DOE23" s="21"/>
      <c r="DOF23" s="21"/>
      <c r="DOG23" s="21"/>
      <c r="DOH23" s="21"/>
      <c r="DOI23" s="21"/>
      <c r="DOJ23" s="21"/>
      <c r="DOK23" s="21"/>
      <c r="DOL23" s="21"/>
      <c r="DOM23" s="21"/>
      <c r="DON23" s="21"/>
      <c r="DOO23" s="21"/>
      <c r="DOP23" s="21"/>
      <c r="DOQ23" s="21"/>
      <c r="DOR23" s="21"/>
      <c r="DOS23" s="21"/>
      <c r="DOT23" s="21"/>
      <c r="DOU23" s="21"/>
      <c r="DOV23" s="21"/>
      <c r="DOW23" s="21"/>
      <c r="DOX23" s="21"/>
      <c r="DOY23" s="21"/>
      <c r="DOZ23" s="21"/>
      <c r="DPA23" s="21"/>
      <c r="DPB23" s="21"/>
      <c r="DPC23" s="21"/>
      <c r="DPD23" s="21"/>
      <c r="DPE23" s="21"/>
      <c r="DPF23" s="21"/>
      <c r="DPG23" s="21"/>
      <c r="DPH23" s="21"/>
      <c r="DPI23" s="21"/>
      <c r="DPJ23" s="21"/>
      <c r="DPK23" s="21"/>
      <c r="DPL23" s="21"/>
      <c r="DPM23" s="21"/>
      <c r="DPN23" s="21"/>
      <c r="DPO23" s="21"/>
      <c r="DPP23" s="21"/>
      <c r="DPQ23" s="21"/>
      <c r="DPR23" s="21"/>
      <c r="DPS23" s="21"/>
      <c r="DPT23" s="21"/>
      <c r="DPU23" s="21"/>
      <c r="DPV23" s="21"/>
      <c r="DPW23" s="21"/>
      <c r="DPX23" s="21"/>
      <c r="DPY23" s="21"/>
      <c r="DPZ23" s="21"/>
      <c r="DQA23" s="21"/>
      <c r="DQB23" s="21"/>
      <c r="DQC23" s="21"/>
      <c r="DQD23" s="21"/>
      <c r="DQE23" s="21"/>
      <c r="DQF23" s="21"/>
      <c r="DQG23" s="21"/>
      <c r="DQH23" s="21"/>
      <c r="DQI23" s="21"/>
      <c r="DQJ23" s="21"/>
      <c r="DQK23" s="21"/>
      <c r="DQL23" s="21"/>
      <c r="DQM23" s="21"/>
      <c r="DQN23" s="21"/>
      <c r="DQO23" s="21"/>
      <c r="DQP23" s="21"/>
      <c r="DQQ23" s="21"/>
      <c r="DQR23" s="21"/>
      <c r="DQS23" s="21"/>
      <c r="DQT23" s="21"/>
      <c r="DQU23" s="21"/>
      <c r="DQV23" s="21"/>
      <c r="DQW23" s="21"/>
      <c r="DQX23" s="21"/>
      <c r="DQY23" s="21"/>
      <c r="DQZ23" s="21"/>
      <c r="DRA23" s="21"/>
      <c r="DRB23" s="21"/>
      <c r="DRC23" s="21"/>
      <c r="DRD23" s="21"/>
      <c r="DRE23" s="21"/>
      <c r="DRF23" s="21"/>
      <c r="DRG23" s="21"/>
      <c r="DRH23" s="21"/>
      <c r="DRI23" s="21"/>
      <c r="DRJ23" s="21"/>
      <c r="DRK23" s="21"/>
      <c r="DRL23" s="21"/>
      <c r="DRM23" s="21"/>
      <c r="DRN23" s="21"/>
      <c r="DRO23" s="21"/>
      <c r="DRP23" s="21"/>
      <c r="DRQ23" s="21"/>
      <c r="DRR23" s="21"/>
      <c r="DRS23" s="21"/>
      <c r="DRT23" s="21"/>
      <c r="DRU23" s="21"/>
      <c r="DRV23" s="21"/>
      <c r="DRW23" s="21"/>
      <c r="DRX23" s="21"/>
      <c r="DRY23" s="21"/>
      <c r="DRZ23" s="21"/>
      <c r="DSA23" s="21"/>
      <c r="DSB23" s="21"/>
      <c r="DSC23" s="21"/>
      <c r="DSD23" s="21"/>
      <c r="DSE23" s="21"/>
      <c r="DSF23" s="21"/>
      <c r="DSG23" s="21"/>
      <c r="DSH23" s="21"/>
      <c r="DSI23" s="21"/>
      <c r="DSJ23" s="21"/>
      <c r="DSK23" s="21"/>
      <c r="DSL23" s="21"/>
      <c r="DSM23" s="21"/>
      <c r="DSN23" s="21"/>
      <c r="DSO23" s="21"/>
      <c r="DSP23" s="21"/>
      <c r="DSQ23" s="21"/>
      <c r="DSR23" s="21"/>
      <c r="DSS23" s="21"/>
      <c r="DST23" s="21"/>
      <c r="DSU23" s="21"/>
      <c r="DSV23" s="21"/>
      <c r="DSW23" s="21"/>
      <c r="DSX23" s="21"/>
      <c r="DSY23" s="21"/>
      <c r="DSZ23" s="21"/>
      <c r="DTA23" s="21"/>
      <c r="DTB23" s="21"/>
      <c r="DTC23" s="21"/>
      <c r="DTD23" s="21"/>
      <c r="DTE23" s="21"/>
      <c r="DTF23" s="21"/>
      <c r="DTG23" s="21"/>
      <c r="DTH23" s="21"/>
      <c r="DTI23" s="21"/>
      <c r="DTJ23" s="21"/>
      <c r="DTK23" s="21"/>
      <c r="DTL23" s="21"/>
      <c r="DTM23" s="21"/>
      <c r="DTN23" s="21"/>
      <c r="DTO23" s="21"/>
      <c r="DTP23" s="21"/>
      <c r="DTQ23" s="21"/>
      <c r="DTR23" s="21"/>
      <c r="DTS23" s="21"/>
      <c r="DTT23" s="21"/>
      <c r="DTU23" s="21"/>
      <c r="DTV23" s="21"/>
      <c r="DTW23" s="21"/>
      <c r="DTX23" s="21"/>
      <c r="DTY23" s="21"/>
      <c r="DTZ23" s="21"/>
      <c r="DUA23" s="21"/>
      <c r="DUB23" s="21"/>
      <c r="DUC23" s="21"/>
      <c r="DUD23" s="21"/>
      <c r="DUE23" s="21"/>
      <c r="DUF23" s="21"/>
      <c r="DUG23" s="21"/>
      <c r="DUH23" s="21"/>
      <c r="DUI23" s="21"/>
      <c r="DUJ23" s="21"/>
      <c r="DUK23" s="21"/>
      <c r="DUL23" s="21"/>
      <c r="DUM23" s="21"/>
      <c r="DUN23" s="21"/>
      <c r="DUO23" s="21"/>
      <c r="DUP23" s="21"/>
      <c r="DUQ23" s="21"/>
      <c r="DUR23" s="21"/>
      <c r="DUS23" s="21"/>
      <c r="DUT23" s="21"/>
      <c r="DUU23" s="21"/>
      <c r="DUV23" s="21"/>
      <c r="DUW23" s="21"/>
      <c r="DUX23" s="21"/>
      <c r="DUY23" s="21"/>
      <c r="DUZ23" s="21"/>
      <c r="DVA23" s="21"/>
      <c r="DVB23" s="21"/>
      <c r="DVC23" s="21"/>
      <c r="DVD23" s="21"/>
      <c r="DVE23" s="21"/>
      <c r="DVF23" s="21"/>
      <c r="DVG23" s="21"/>
      <c r="DVH23" s="21"/>
      <c r="DVI23" s="21"/>
      <c r="DVJ23" s="21"/>
      <c r="DVK23" s="21"/>
      <c r="DVL23" s="21"/>
      <c r="DVM23" s="21"/>
      <c r="DVN23" s="21"/>
      <c r="DVO23" s="21"/>
      <c r="DVP23" s="21"/>
      <c r="DVQ23" s="21"/>
      <c r="DVR23" s="21"/>
      <c r="DVS23" s="21"/>
      <c r="DVT23" s="21"/>
      <c r="DVU23" s="21"/>
      <c r="DVV23" s="21"/>
      <c r="DVW23" s="21"/>
      <c r="DVX23" s="21"/>
      <c r="DVY23" s="21"/>
      <c r="DVZ23" s="21"/>
      <c r="DWA23" s="21"/>
      <c r="DWB23" s="21"/>
      <c r="DWC23" s="21"/>
      <c r="DWD23" s="21"/>
      <c r="DWE23" s="21"/>
      <c r="DWF23" s="21"/>
      <c r="DWG23" s="21"/>
      <c r="DWH23" s="21"/>
      <c r="DWI23" s="21"/>
      <c r="DWJ23" s="21"/>
      <c r="DWK23" s="21"/>
      <c r="DWL23" s="21"/>
      <c r="DWM23" s="21"/>
      <c r="DWN23" s="21"/>
      <c r="DWO23" s="21"/>
      <c r="DWP23" s="21"/>
      <c r="DWQ23" s="21"/>
      <c r="DWR23" s="21"/>
      <c r="DWS23" s="21"/>
      <c r="DWT23" s="21"/>
      <c r="DWU23" s="21"/>
      <c r="DWV23" s="21"/>
      <c r="DWW23" s="21"/>
      <c r="DWX23" s="21"/>
      <c r="DWY23" s="21"/>
      <c r="DWZ23" s="21"/>
      <c r="DXA23" s="21"/>
      <c r="DXB23" s="21"/>
      <c r="DXC23" s="21"/>
      <c r="DXD23" s="21"/>
      <c r="DXE23" s="21"/>
      <c r="DXF23" s="21"/>
      <c r="DXG23" s="21"/>
      <c r="DXH23" s="21"/>
      <c r="DXI23" s="21"/>
      <c r="DXJ23" s="21"/>
      <c r="DXK23" s="21"/>
      <c r="DXL23" s="21"/>
      <c r="DXM23" s="21"/>
      <c r="DXN23" s="21"/>
      <c r="DXO23" s="21"/>
      <c r="DXP23" s="21"/>
      <c r="DXQ23" s="21"/>
      <c r="DXR23" s="21"/>
      <c r="DXS23" s="21"/>
      <c r="DXT23" s="21"/>
      <c r="DXU23" s="21"/>
      <c r="DXV23" s="21"/>
      <c r="DXW23" s="21"/>
      <c r="DXX23" s="21"/>
      <c r="DXY23" s="21"/>
      <c r="DXZ23" s="21"/>
      <c r="DYA23" s="21"/>
      <c r="DYB23" s="21"/>
      <c r="DYC23" s="21"/>
      <c r="DYD23" s="21"/>
      <c r="DYE23" s="21"/>
      <c r="DYF23" s="21"/>
      <c r="DYG23" s="21"/>
      <c r="DYH23" s="21"/>
      <c r="DYI23" s="21"/>
      <c r="DYJ23" s="21"/>
      <c r="DYK23" s="21"/>
      <c r="DYL23" s="21"/>
      <c r="DYM23" s="21"/>
      <c r="DYN23" s="21"/>
      <c r="DYO23" s="21"/>
      <c r="DYP23" s="21"/>
      <c r="DYQ23" s="21"/>
      <c r="DYR23" s="21"/>
      <c r="DYS23" s="21"/>
      <c r="DYT23" s="21"/>
      <c r="DYU23" s="21"/>
      <c r="DYV23" s="21"/>
      <c r="DYW23" s="21"/>
      <c r="DYX23" s="21"/>
      <c r="DYY23" s="21"/>
      <c r="DYZ23" s="21"/>
      <c r="DZA23" s="21"/>
      <c r="DZB23" s="21"/>
      <c r="DZC23" s="21"/>
      <c r="DZD23" s="21"/>
      <c r="DZE23" s="21"/>
      <c r="DZF23" s="21"/>
      <c r="DZG23" s="21"/>
      <c r="DZH23" s="21"/>
      <c r="DZI23" s="21"/>
      <c r="DZJ23" s="21"/>
      <c r="DZK23" s="21"/>
      <c r="DZL23" s="21"/>
      <c r="DZM23" s="21"/>
      <c r="DZN23" s="21"/>
      <c r="DZO23" s="21"/>
      <c r="DZP23" s="21"/>
      <c r="DZQ23" s="21"/>
      <c r="DZR23" s="21"/>
      <c r="DZS23" s="21"/>
      <c r="DZT23" s="21"/>
      <c r="DZU23" s="21"/>
      <c r="DZV23" s="21"/>
      <c r="DZW23" s="21"/>
      <c r="DZX23" s="21"/>
      <c r="DZY23" s="21"/>
      <c r="DZZ23" s="21"/>
      <c r="EAA23" s="21"/>
      <c r="EAB23" s="21"/>
      <c r="EAC23" s="21"/>
      <c r="EAD23" s="21"/>
      <c r="EAE23" s="21"/>
      <c r="EAF23" s="21"/>
      <c r="EAG23" s="21"/>
      <c r="EAH23" s="21"/>
      <c r="EAI23" s="21"/>
      <c r="EAJ23" s="21"/>
      <c r="EAK23" s="21"/>
      <c r="EAL23" s="21"/>
      <c r="EAM23" s="21"/>
      <c r="EAN23" s="21"/>
      <c r="EAO23" s="21"/>
      <c r="EAP23" s="21"/>
      <c r="EAQ23" s="21"/>
      <c r="EAR23" s="21"/>
      <c r="EAS23" s="21"/>
      <c r="EAT23" s="21"/>
      <c r="EAU23" s="21"/>
      <c r="EAV23" s="21"/>
      <c r="EAW23" s="21"/>
      <c r="EAX23" s="21"/>
      <c r="EAY23" s="21"/>
      <c r="EAZ23" s="21"/>
      <c r="EBA23" s="21"/>
      <c r="EBB23" s="21"/>
      <c r="EBC23" s="21"/>
      <c r="EBD23" s="21"/>
      <c r="EBE23" s="21"/>
      <c r="EBF23" s="21"/>
      <c r="EBG23" s="21"/>
      <c r="EBH23" s="21"/>
      <c r="EBI23" s="21"/>
      <c r="EBJ23" s="21"/>
      <c r="EBK23" s="21"/>
      <c r="EBL23" s="21"/>
      <c r="EBM23" s="21"/>
      <c r="EBN23" s="21"/>
      <c r="EBO23" s="21"/>
      <c r="EBP23" s="21"/>
      <c r="EBQ23" s="21"/>
      <c r="EBR23" s="21"/>
      <c r="EBS23" s="21"/>
      <c r="EBT23" s="21"/>
      <c r="EBU23" s="21"/>
      <c r="EBV23" s="21"/>
      <c r="EBW23" s="21"/>
      <c r="EBX23" s="21"/>
      <c r="EBY23" s="21"/>
      <c r="EBZ23" s="21"/>
      <c r="ECA23" s="21"/>
      <c r="ECB23" s="21"/>
      <c r="ECC23" s="21"/>
      <c r="ECD23" s="21"/>
      <c r="ECE23" s="21"/>
      <c r="ECF23" s="21"/>
      <c r="ECG23" s="21"/>
      <c r="ECH23" s="21"/>
      <c r="ECI23" s="21"/>
      <c r="ECJ23" s="21"/>
      <c r="ECK23" s="21"/>
      <c r="ECL23" s="21"/>
      <c r="ECM23" s="21"/>
      <c r="ECN23" s="21"/>
      <c r="ECO23" s="21"/>
      <c r="ECP23" s="21"/>
      <c r="ECQ23" s="21"/>
      <c r="ECR23" s="21"/>
      <c r="ECS23" s="21"/>
      <c r="ECT23" s="21"/>
      <c r="ECU23" s="21"/>
      <c r="ECV23" s="21"/>
      <c r="ECW23" s="21"/>
      <c r="ECX23" s="21"/>
      <c r="ECY23" s="21"/>
      <c r="ECZ23" s="21"/>
      <c r="EDA23" s="21"/>
      <c r="EDB23" s="21"/>
      <c r="EDC23" s="21"/>
      <c r="EDD23" s="21"/>
      <c r="EDE23" s="21"/>
      <c r="EDF23" s="21"/>
      <c r="EDG23" s="21"/>
      <c r="EDH23" s="21"/>
      <c r="EDI23" s="21"/>
      <c r="EDJ23" s="21"/>
      <c r="EDK23" s="21"/>
      <c r="EDL23" s="21"/>
      <c r="EDM23" s="21"/>
      <c r="EDN23" s="21"/>
      <c r="EDO23" s="21"/>
      <c r="EDP23" s="21"/>
      <c r="EDQ23" s="21"/>
      <c r="EDR23" s="21"/>
      <c r="EDS23" s="21"/>
      <c r="EDT23" s="21"/>
      <c r="EDU23" s="21"/>
      <c r="EDV23" s="21"/>
      <c r="EDW23" s="21"/>
      <c r="EDX23" s="21"/>
      <c r="EDY23" s="21"/>
      <c r="EDZ23" s="21"/>
      <c r="EEA23" s="21"/>
      <c r="EEB23" s="21"/>
      <c r="EEC23" s="21"/>
      <c r="EED23" s="21"/>
      <c r="EEE23" s="21"/>
      <c r="EEF23" s="21"/>
      <c r="EEG23" s="21"/>
      <c r="EEH23" s="21"/>
      <c r="EEI23" s="21"/>
      <c r="EEJ23" s="21"/>
      <c r="EEK23" s="21"/>
      <c r="EEL23" s="21"/>
      <c r="EEM23" s="21"/>
      <c r="EEN23" s="21"/>
      <c r="EEO23" s="21"/>
      <c r="EEP23" s="21"/>
      <c r="EEQ23" s="21"/>
      <c r="EER23" s="21"/>
      <c r="EES23" s="21"/>
      <c r="EET23" s="21"/>
      <c r="EEU23" s="21"/>
      <c r="EEV23" s="21"/>
      <c r="EEW23" s="21"/>
      <c r="EEX23" s="21"/>
      <c r="EEY23" s="21"/>
      <c r="EEZ23" s="21"/>
      <c r="EFA23" s="21"/>
      <c r="EFB23" s="21"/>
      <c r="EFC23" s="21"/>
      <c r="EFD23" s="21"/>
      <c r="EFE23" s="21"/>
      <c r="EFF23" s="21"/>
      <c r="EFG23" s="21"/>
      <c r="EFH23" s="21"/>
      <c r="EFI23" s="21"/>
      <c r="EFJ23" s="21"/>
      <c r="EFK23" s="21"/>
      <c r="EFL23" s="21"/>
      <c r="EFM23" s="21"/>
      <c r="EFN23" s="21"/>
      <c r="EFO23" s="21"/>
      <c r="EFP23" s="21"/>
      <c r="EFQ23" s="21"/>
      <c r="EFR23" s="21"/>
      <c r="EFS23" s="21"/>
      <c r="EFT23" s="21"/>
      <c r="EFU23" s="21"/>
      <c r="EFV23" s="21"/>
      <c r="EFW23" s="21"/>
      <c r="EFX23" s="21"/>
      <c r="EFY23" s="21"/>
      <c r="EFZ23" s="21"/>
      <c r="EGA23" s="21"/>
      <c r="EGB23" s="21"/>
      <c r="EGC23" s="21"/>
      <c r="EGD23" s="21"/>
      <c r="EGE23" s="21"/>
      <c r="EGF23" s="21"/>
      <c r="EGG23" s="21"/>
      <c r="EGH23" s="21"/>
      <c r="EGI23" s="21"/>
      <c r="EGJ23" s="21"/>
      <c r="EGK23" s="21"/>
      <c r="EGL23" s="21"/>
      <c r="EGM23" s="21"/>
      <c r="EGN23" s="21"/>
      <c r="EGO23" s="21"/>
      <c r="EGP23" s="21"/>
      <c r="EGQ23" s="21"/>
      <c r="EGR23" s="21"/>
      <c r="EGS23" s="21"/>
      <c r="EGT23" s="21"/>
      <c r="EGU23" s="21"/>
      <c r="EGV23" s="21"/>
      <c r="EGW23" s="21"/>
      <c r="EGX23" s="21"/>
      <c r="EGY23" s="21"/>
      <c r="EGZ23" s="21"/>
      <c r="EHA23" s="21"/>
      <c r="EHB23" s="21"/>
      <c r="EHC23" s="21"/>
      <c r="EHD23" s="21"/>
      <c r="EHE23" s="21"/>
      <c r="EHF23" s="21"/>
      <c r="EHG23" s="21"/>
      <c r="EHH23" s="21"/>
      <c r="EHI23" s="21"/>
      <c r="EHJ23" s="21"/>
      <c r="EHK23" s="21"/>
      <c r="EHL23" s="21"/>
      <c r="EHM23" s="21"/>
      <c r="EHN23" s="21"/>
      <c r="EHO23" s="21"/>
      <c r="EHP23" s="21"/>
      <c r="EHQ23" s="21"/>
      <c r="EHR23" s="21"/>
      <c r="EHS23" s="21"/>
      <c r="EHT23" s="21"/>
      <c r="EHU23" s="21"/>
      <c r="EHV23" s="21"/>
      <c r="EHW23" s="21"/>
      <c r="EHX23" s="21"/>
      <c r="EHY23" s="21"/>
      <c r="EHZ23" s="21"/>
      <c r="EIA23" s="21"/>
      <c r="EIB23" s="21"/>
      <c r="EIC23" s="21"/>
      <c r="EID23" s="21"/>
      <c r="EIE23" s="21"/>
      <c r="EIF23" s="21"/>
      <c r="EIG23" s="21"/>
      <c r="EIH23" s="21"/>
      <c r="EII23" s="21"/>
      <c r="EIJ23" s="21"/>
      <c r="EIK23" s="21"/>
      <c r="EIL23" s="21"/>
      <c r="EIM23" s="21"/>
      <c r="EIN23" s="21"/>
      <c r="EIO23" s="21"/>
      <c r="EIP23" s="21"/>
      <c r="EIQ23" s="21"/>
      <c r="EIR23" s="21"/>
      <c r="EIS23" s="21"/>
      <c r="EIT23" s="21"/>
      <c r="EIU23" s="21"/>
      <c r="EIV23" s="21"/>
      <c r="EIW23" s="21"/>
      <c r="EIX23" s="21"/>
      <c r="EIY23" s="21"/>
      <c r="EIZ23" s="21"/>
      <c r="EJA23" s="21"/>
      <c r="EJB23" s="21"/>
      <c r="EJC23" s="21"/>
      <c r="EJD23" s="21"/>
      <c r="EJE23" s="21"/>
      <c r="EJF23" s="21"/>
      <c r="EJG23" s="21"/>
      <c r="EJH23" s="21"/>
      <c r="EJI23" s="21"/>
      <c r="EJJ23" s="21"/>
      <c r="EJK23" s="21"/>
      <c r="EJL23" s="21"/>
      <c r="EJM23" s="21"/>
      <c r="EJN23" s="21"/>
      <c r="EJO23" s="21"/>
      <c r="EJP23" s="21"/>
      <c r="EJQ23" s="21"/>
      <c r="EJR23" s="21"/>
      <c r="EJS23" s="21"/>
      <c r="EJT23" s="21"/>
      <c r="EJU23" s="21"/>
      <c r="EJV23" s="21"/>
      <c r="EJW23" s="21"/>
      <c r="EJX23" s="21"/>
      <c r="EJY23" s="21"/>
      <c r="EJZ23" s="21"/>
      <c r="EKA23" s="21"/>
      <c r="EKB23" s="21"/>
      <c r="EKC23" s="21"/>
      <c r="EKD23" s="21"/>
      <c r="EKE23" s="21"/>
      <c r="EKF23" s="21"/>
      <c r="EKG23" s="21"/>
      <c r="EKH23" s="21"/>
      <c r="EKI23" s="21"/>
      <c r="EKJ23" s="21"/>
      <c r="EKK23" s="21"/>
      <c r="EKL23" s="21"/>
      <c r="EKM23" s="21"/>
      <c r="EKN23" s="21"/>
      <c r="EKO23" s="21"/>
      <c r="EKP23" s="21"/>
      <c r="EKQ23" s="21"/>
      <c r="EKR23" s="21"/>
      <c r="EKS23" s="21"/>
      <c r="EKT23" s="21"/>
      <c r="EKU23" s="21"/>
      <c r="EKV23" s="21"/>
      <c r="EKW23" s="21"/>
      <c r="EKX23" s="21"/>
      <c r="EKY23" s="21"/>
      <c r="EKZ23" s="21"/>
      <c r="ELA23" s="21"/>
      <c r="ELB23" s="21"/>
      <c r="ELC23" s="21"/>
      <c r="ELD23" s="21"/>
      <c r="ELE23" s="21"/>
      <c r="ELF23" s="21"/>
      <c r="ELG23" s="21"/>
      <c r="ELH23" s="21"/>
      <c r="ELI23" s="21"/>
      <c r="ELJ23" s="21"/>
      <c r="ELK23" s="21"/>
      <c r="ELL23" s="21"/>
      <c r="ELM23" s="21"/>
      <c r="ELN23" s="21"/>
      <c r="ELO23" s="21"/>
      <c r="ELP23" s="21"/>
      <c r="ELQ23" s="21"/>
      <c r="ELR23" s="21"/>
      <c r="ELS23" s="21"/>
      <c r="ELT23" s="21"/>
      <c r="ELU23" s="21"/>
      <c r="ELV23" s="21"/>
      <c r="ELW23" s="21"/>
      <c r="ELX23" s="21"/>
      <c r="ELY23" s="21"/>
      <c r="ELZ23" s="21"/>
      <c r="EMA23" s="21"/>
      <c r="EMB23" s="21"/>
      <c r="EMC23" s="21"/>
      <c r="EMD23" s="21"/>
      <c r="EME23" s="21"/>
      <c r="EMF23" s="21"/>
      <c r="EMG23" s="21"/>
      <c r="EMH23" s="21"/>
      <c r="EMI23" s="21"/>
      <c r="EMJ23" s="21"/>
      <c r="EMK23" s="21"/>
      <c r="EML23" s="21"/>
      <c r="EMM23" s="21"/>
      <c r="EMN23" s="21"/>
      <c r="EMO23" s="21"/>
      <c r="EMP23" s="21"/>
      <c r="EMQ23" s="21"/>
      <c r="EMR23" s="21"/>
      <c r="EMS23" s="21"/>
      <c r="EMT23" s="21"/>
      <c r="EMU23" s="21"/>
      <c r="EMV23" s="21"/>
      <c r="EMW23" s="21"/>
      <c r="EMX23" s="21"/>
      <c r="EMY23" s="21"/>
      <c r="EMZ23" s="21"/>
      <c r="ENA23" s="21"/>
      <c r="ENB23" s="21"/>
      <c r="ENC23" s="21"/>
      <c r="END23" s="21"/>
      <c r="ENE23" s="21"/>
      <c r="ENF23" s="21"/>
      <c r="ENG23" s="21"/>
      <c r="ENH23" s="21"/>
      <c r="ENI23" s="21"/>
      <c r="ENJ23" s="21"/>
      <c r="ENK23" s="21"/>
      <c r="ENL23" s="21"/>
      <c r="ENM23" s="21"/>
      <c r="ENN23" s="21"/>
      <c r="ENO23" s="21"/>
      <c r="ENP23" s="21"/>
      <c r="ENQ23" s="21"/>
      <c r="ENR23" s="21"/>
      <c r="ENS23" s="21"/>
      <c r="ENT23" s="21"/>
      <c r="ENU23" s="21"/>
      <c r="ENV23" s="21"/>
      <c r="ENW23" s="21"/>
      <c r="ENX23" s="21"/>
      <c r="ENY23" s="21"/>
      <c r="ENZ23" s="21"/>
      <c r="EOA23" s="21"/>
      <c r="EOB23" s="21"/>
      <c r="EOC23" s="21"/>
      <c r="EOD23" s="21"/>
      <c r="EOE23" s="21"/>
      <c r="EOF23" s="21"/>
      <c r="EOG23" s="21"/>
      <c r="EOH23" s="21"/>
      <c r="EOI23" s="21"/>
      <c r="EOJ23" s="21"/>
      <c r="EOK23" s="21"/>
      <c r="EOL23" s="21"/>
      <c r="EOM23" s="21"/>
      <c r="EON23" s="21"/>
      <c r="EOO23" s="21"/>
      <c r="EOP23" s="21"/>
      <c r="EOQ23" s="21"/>
      <c r="EOR23" s="21"/>
      <c r="EOS23" s="21"/>
      <c r="EOT23" s="21"/>
      <c r="EOU23" s="21"/>
      <c r="EOV23" s="21"/>
      <c r="EOW23" s="21"/>
      <c r="EOX23" s="21"/>
      <c r="EOY23" s="21"/>
      <c r="EOZ23" s="21"/>
      <c r="EPA23" s="21"/>
      <c r="EPB23" s="21"/>
      <c r="EPC23" s="21"/>
      <c r="EPD23" s="21"/>
      <c r="EPE23" s="21"/>
      <c r="EPF23" s="21"/>
      <c r="EPG23" s="21"/>
      <c r="EPH23" s="21"/>
      <c r="EPI23" s="21"/>
      <c r="EPJ23" s="21"/>
      <c r="EPK23" s="21"/>
      <c r="EPL23" s="21"/>
      <c r="EPM23" s="21"/>
      <c r="EPN23" s="21"/>
      <c r="EPO23" s="21"/>
      <c r="EPP23" s="21"/>
      <c r="EPQ23" s="21"/>
      <c r="EPR23" s="21"/>
      <c r="EPS23" s="21"/>
      <c r="EPT23" s="21"/>
      <c r="EPU23" s="21"/>
      <c r="EPV23" s="21"/>
      <c r="EPW23" s="21"/>
      <c r="EPX23" s="21"/>
      <c r="EPY23" s="21"/>
      <c r="EPZ23" s="21"/>
      <c r="EQA23" s="21"/>
      <c r="EQB23" s="21"/>
      <c r="EQC23" s="21"/>
      <c r="EQD23" s="21"/>
      <c r="EQE23" s="21"/>
      <c r="EQF23" s="21"/>
      <c r="EQG23" s="21"/>
      <c r="EQH23" s="21"/>
      <c r="EQI23" s="21"/>
      <c r="EQJ23" s="21"/>
      <c r="EQK23" s="21"/>
      <c r="EQL23" s="21"/>
      <c r="EQM23" s="21"/>
      <c r="EQN23" s="21"/>
      <c r="EQO23" s="21"/>
      <c r="EQP23" s="21"/>
      <c r="EQQ23" s="21"/>
      <c r="EQR23" s="21"/>
      <c r="EQS23" s="21"/>
      <c r="EQT23" s="21"/>
      <c r="EQU23" s="21"/>
      <c r="EQV23" s="21"/>
      <c r="EQW23" s="21"/>
      <c r="EQX23" s="21"/>
      <c r="EQY23" s="21"/>
      <c r="EQZ23" s="21"/>
      <c r="ERA23" s="21"/>
      <c r="ERB23" s="21"/>
      <c r="ERC23" s="21"/>
      <c r="ERD23" s="21"/>
      <c r="ERE23" s="21"/>
      <c r="ERF23" s="21"/>
      <c r="ERG23" s="21"/>
      <c r="ERH23" s="21"/>
      <c r="ERI23" s="21"/>
      <c r="ERJ23" s="21"/>
      <c r="ERK23" s="21"/>
      <c r="ERL23" s="21"/>
      <c r="ERM23" s="21"/>
      <c r="ERN23" s="21"/>
      <c r="ERO23" s="21"/>
      <c r="ERP23" s="21"/>
      <c r="ERQ23" s="21"/>
      <c r="ERR23" s="21"/>
      <c r="ERS23" s="21"/>
      <c r="ERT23" s="21"/>
      <c r="ERU23" s="21"/>
      <c r="ERV23" s="21"/>
      <c r="ERW23" s="21"/>
      <c r="ERX23" s="21"/>
      <c r="ERY23" s="21"/>
      <c r="ERZ23" s="21"/>
      <c r="ESA23" s="21"/>
      <c r="ESB23" s="21"/>
      <c r="ESC23" s="21"/>
      <c r="ESD23" s="21"/>
      <c r="ESE23" s="21"/>
      <c r="ESF23" s="21"/>
      <c r="ESG23" s="21"/>
      <c r="ESH23" s="21"/>
      <c r="ESI23" s="21"/>
      <c r="ESJ23" s="21"/>
      <c r="ESK23" s="21"/>
      <c r="ESL23" s="21"/>
      <c r="ESM23" s="21"/>
      <c r="ESN23" s="21"/>
      <c r="ESO23" s="21"/>
      <c r="ESP23" s="21"/>
      <c r="ESQ23" s="21"/>
      <c r="ESR23" s="21"/>
      <c r="ESS23" s="21"/>
      <c r="EST23" s="21"/>
      <c r="ESU23" s="21"/>
      <c r="ESV23" s="21"/>
      <c r="ESW23" s="21"/>
      <c r="ESX23" s="21"/>
      <c r="ESY23" s="21"/>
      <c r="ESZ23" s="21"/>
      <c r="ETA23" s="21"/>
      <c r="ETB23" s="21"/>
      <c r="ETC23" s="21"/>
      <c r="ETD23" s="21"/>
      <c r="ETE23" s="21"/>
      <c r="ETF23" s="21"/>
      <c r="ETG23" s="21"/>
      <c r="ETH23" s="21"/>
      <c r="ETI23" s="21"/>
      <c r="ETJ23" s="21"/>
      <c r="ETK23" s="21"/>
      <c r="ETL23" s="21"/>
      <c r="ETM23" s="21"/>
      <c r="ETN23" s="21"/>
      <c r="ETO23" s="21"/>
      <c r="ETP23" s="21"/>
      <c r="ETQ23" s="21"/>
      <c r="ETR23" s="21"/>
      <c r="ETS23" s="21"/>
      <c r="ETT23" s="21"/>
      <c r="ETU23" s="21"/>
      <c r="ETV23" s="21"/>
      <c r="ETW23" s="21"/>
      <c r="ETX23" s="21"/>
      <c r="ETY23" s="21"/>
      <c r="ETZ23" s="21"/>
      <c r="EUA23" s="21"/>
      <c r="EUB23" s="21"/>
      <c r="EUC23" s="21"/>
      <c r="EUD23" s="21"/>
      <c r="EUE23" s="21"/>
      <c r="EUF23" s="21"/>
      <c r="EUG23" s="21"/>
      <c r="EUH23" s="21"/>
      <c r="EUI23" s="21"/>
      <c r="EUJ23" s="21"/>
      <c r="EUK23" s="21"/>
      <c r="EUL23" s="21"/>
      <c r="EUM23" s="21"/>
      <c r="EUN23" s="21"/>
      <c r="EUO23" s="21"/>
      <c r="EUP23" s="21"/>
      <c r="EUQ23" s="21"/>
      <c r="EUR23" s="21"/>
      <c r="EUS23" s="21"/>
      <c r="EUT23" s="21"/>
      <c r="EUU23" s="21"/>
      <c r="EUV23" s="21"/>
      <c r="EUW23" s="21"/>
      <c r="EUX23" s="21"/>
      <c r="EUY23" s="21"/>
      <c r="EUZ23" s="21"/>
      <c r="EVA23" s="21"/>
      <c r="EVB23" s="21"/>
      <c r="EVC23" s="21"/>
      <c r="EVD23" s="21"/>
      <c r="EVE23" s="21"/>
      <c r="EVF23" s="21"/>
      <c r="EVG23" s="21"/>
      <c r="EVH23" s="21"/>
      <c r="EVI23" s="21"/>
      <c r="EVJ23" s="21"/>
      <c r="EVK23" s="21"/>
      <c r="EVL23" s="21"/>
      <c r="EVM23" s="21"/>
      <c r="EVN23" s="21"/>
      <c r="EVO23" s="21"/>
      <c r="EVP23" s="21"/>
      <c r="EVQ23" s="21"/>
      <c r="EVR23" s="21"/>
      <c r="EVS23" s="21"/>
      <c r="EVT23" s="21"/>
      <c r="EVU23" s="21"/>
      <c r="EVV23" s="21"/>
      <c r="EVW23" s="21"/>
      <c r="EVX23" s="21"/>
      <c r="EVY23" s="21"/>
      <c r="EVZ23" s="21"/>
      <c r="EWA23" s="21"/>
      <c r="EWB23" s="21"/>
      <c r="EWC23" s="21"/>
      <c r="EWD23" s="21"/>
      <c r="EWE23" s="21"/>
      <c r="EWF23" s="21"/>
      <c r="EWG23" s="21"/>
      <c r="EWH23" s="21"/>
      <c r="EWI23" s="21"/>
      <c r="EWJ23" s="21"/>
      <c r="EWK23" s="21"/>
      <c r="EWL23" s="21"/>
      <c r="EWM23" s="21"/>
      <c r="EWN23" s="21"/>
      <c r="EWO23" s="21"/>
      <c r="EWP23" s="21"/>
      <c r="EWQ23" s="21"/>
      <c r="EWR23" s="21"/>
      <c r="EWS23" s="21"/>
      <c r="EWT23" s="21"/>
      <c r="EWU23" s="21"/>
      <c r="EWV23" s="21"/>
      <c r="EWW23" s="21"/>
      <c r="EWX23" s="21"/>
      <c r="EWY23" s="21"/>
      <c r="EWZ23" s="21"/>
      <c r="EXA23" s="21"/>
      <c r="EXB23" s="21"/>
      <c r="EXC23" s="21"/>
      <c r="EXD23" s="21"/>
      <c r="EXE23" s="21"/>
      <c r="EXF23" s="21"/>
      <c r="EXG23" s="21"/>
      <c r="EXH23" s="21"/>
      <c r="EXI23" s="21"/>
      <c r="EXJ23" s="21"/>
      <c r="EXK23" s="21"/>
      <c r="EXL23" s="21"/>
      <c r="EXM23" s="21"/>
      <c r="EXN23" s="21"/>
      <c r="EXO23" s="21"/>
      <c r="EXP23" s="21"/>
      <c r="EXQ23" s="21"/>
      <c r="EXR23" s="21"/>
      <c r="EXS23" s="21"/>
      <c r="EXT23" s="21"/>
      <c r="EXU23" s="21"/>
      <c r="EXV23" s="21"/>
      <c r="EXW23" s="21"/>
      <c r="EXX23" s="21"/>
      <c r="EXY23" s="21"/>
      <c r="EXZ23" s="21"/>
      <c r="EYA23" s="21"/>
      <c r="EYB23" s="21"/>
      <c r="EYC23" s="21"/>
      <c r="EYD23" s="21"/>
      <c r="EYE23" s="21"/>
      <c r="EYF23" s="21"/>
      <c r="EYG23" s="21"/>
      <c r="EYH23" s="21"/>
      <c r="EYI23" s="21"/>
      <c r="EYJ23" s="21"/>
      <c r="EYK23" s="21"/>
      <c r="EYL23" s="21"/>
      <c r="EYM23" s="21"/>
      <c r="EYN23" s="21"/>
      <c r="EYO23" s="21"/>
      <c r="EYP23" s="21"/>
      <c r="EYQ23" s="21"/>
      <c r="EYR23" s="21"/>
      <c r="EYS23" s="21"/>
      <c r="EYT23" s="21"/>
      <c r="EYU23" s="21"/>
      <c r="EYV23" s="21"/>
      <c r="EYW23" s="21"/>
      <c r="EYX23" s="21"/>
      <c r="EYY23" s="21"/>
      <c r="EYZ23" s="21"/>
      <c r="EZA23" s="21"/>
      <c r="EZB23" s="21"/>
      <c r="EZC23" s="21"/>
      <c r="EZD23" s="21"/>
      <c r="EZE23" s="21"/>
      <c r="EZF23" s="21"/>
      <c r="EZG23" s="21"/>
      <c r="EZH23" s="21"/>
      <c r="EZI23" s="21"/>
      <c r="EZJ23" s="21"/>
      <c r="EZK23" s="21"/>
      <c r="EZL23" s="21"/>
      <c r="EZM23" s="21"/>
      <c r="EZN23" s="21"/>
      <c r="EZO23" s="21"/>
      <c r="EZP23" s="21"/>
      <c r="EZQ23" s="21"/>
      <c r="EZR23" s="21"/>
      <c r="EZS23" s="21"/>
      <c r="EZT23" s="21"/>
      <c r="EZU23" s="21"/>
      <c r="EZV23" s="21"/>
      <c r="EZW23" s="21"/>
      <c r="EZX23" s="21"/>
      <c r="EZY23" s="21"/>
      <c r="EZZ23" s="21"/>
      <c r="FAA23" s="21"/>
      <c r="FAB23" s="21"/>
      <c r="FAC23" s="21"/>
      <c r="FAD23" s="21"/>
      <c r="FAE23" s="21"/>
      <c r="FAF23" s="21"/>
      <c r="FAG23" s="21"/>
      <c r="FAH23" s="21"/>
      <c r="FAI23" s="21"/>
      <c r="FAJ23" s="21"/>
      <c r="FAK23" s="21"/>
      <c r="FAL23" s="21"/>
      <c r="FAM23" s="21"/>
      <c r="FAN23" s="21"/>
      <c r="FAO23" s="21"/>
      <c r="FAP23" s="21"/>
      <c r="FAQ23" s="21"/>
      <c r="FAR23" s="21"/>
      <c r="FAS23" s="21"/>
      <c r="FAT23" s="21"/>
      <c r="FAU23" s="21"/>
      <c r="FAV23" s="21"/>
      <c r="FAW23" s="21"/>
      <c r="FAX23" s="21"/>
      <c r="FAY23" s="21"/>
      <c r="FAZ23" s="21"/>
      <c r="FBA23" s="21"/>
      <c r="FBB23" s="21"/>
      <c r="FBC23" s="21"/>
      <c r="FBD23" s="21"/>
      <c r="FBE23" s="21"/>
      <c r="FBF23" s="21"/>
      <c r="FBG23" s="21"/>
      <c r="FBH23" s="21"/>
      <c r="FBI23" s="21"/>
      <c r="FBJ23" s="21"/>
      <c r="FBK23" s="21"/>
      <c r="FBL23" s="21"/>
      <c r="FBM23" s="21"/>
      <c r="FBN23" s="21"/>
      <c r="FBO23" s="21"/>
      <c r="FBP23" s="21"/>
      <c r="FBQ23" s="21"/>
      <c r="FBR23" s="21"/>
      <c r="FBS23" s="21"/>
      <c r="FBT23" s="21"/>
      <c r="FBU23" s="21"/>
      <c r="FBV23" s="21"/>
      <c r="FBW23" s="21"/>
      <c r="FBX23" s="21"/>
      <c r="FBY23" s="21"/>
      <c r="FBZ23" s="21"/>
      <c r="FCA23" s="21"/>
      <c r="FCB23" s="21"/>
      <c r="FCC23" s="21"/>
      <c r="FCD23" s="21"/>
      <c r="FCE23" s="21"/>
      <c r="FCF23" s="21"/>
      <c r="FCG23" s="21"/>
      <c r="FCH23" s="21"/>
      <c r="FCI23" s="21"/>
      <c r="FCJ23" s="21"/>
      <c r="FCK23" s="21"/>
      <c r="FCL23" s="21"/>
      <c r="FCM23" s="21"/>
      <c r="FCN23" s="21"/>
      <c r="FCO23" s="21"/>
      <c r="FCP23" s="21"/>
      <c r="FCQ23" s="21"/>
      <c r="FCR23" s="21"/>
      <c r="FCS23" s="21"/>
      <c r="FCT23" s="21"/>
      <c r="FCU23" s="21"/>
      <c r="FCV23" s="21"/>
      <c r="FCW23" s="21"/>
      <c r="FCX23" s="21"/>
      <c r="FCY23" s="21"/>
      <c r="FCZ23" s="21"/>
      <c r="FDA23" s="21"/>
      <c r="FDB23" s="21"/>
      <c r="FDC23" s="21"/>
      <c r="FDD23" s="21"/>
      <c r="FDE23" s="21"/>
      <c r="FDF23" s="21"/>
      <c r="FDG23" s="21"/>
      <c r="FDH23" s="21"/>
      <c r="FDI23" s="21"/>
      <c r="FDJ23" s="21"/>
      <c r="FDK23" s="21"/>
      <c r="FDL23" s="21"/>
      <c r="FDM23" s="21"/>
      <c r="FDN23" s="21"/>
      <c r="FDO23" s="21"/>
      <c r="FDP23" s="21"/>
      <c r="FDQ23" s="21"/>
      <c r="FDR23" s="21"/>
      <c r="FDS23" s="21"/>
      <c r="FDT23" s="21"/>
      <c r="FDU23" s="21"/>
      <c r="FDV23" s="21"/>
      <c r="FDW23" s="21"/>
      <c r="FDX23" s="21"/>
      <c r="FDY23" s="21"/>
      <c r="FDZ23" s="21"/>
      <c r="FEA23" s="21"/>
      <c r="FEB23" s="21"/>
      <c r="FEC23" s="21"/>
      <c r="FED23" s="21"/>
      <c r="FEE23" s="21"/>
      <c r="FEF23" s="21"/>
      <c r="FEG23" s="21"/>
      <c r="FEH23" s="21"/>
      <c r="FEI23" s="21"/>
      <c r="FEJ23" s="21"/>
      <c r="FEK23" s="21"/>
      <c r="FEL23" s="21"/>
      <c r="FEM23" s="21"/>
      <c r="FEN23" s="21"/>
      <c r="FEO23" s="21"/>
      <c r="FEP23" s="21"/>
      <c r="FEQ23" s="21"/>
      <c r="FER23" s="21"/>
      <c r="FES23" s="21"/>
      <c r="FET23" s="21"/>
      <c r="FEU23" s="21"/>
      <c r="FEV23" s="21"/>
      <c r="FEW23" s="21"/>
      <c r="FEX23" s="21"/>
      <c r="FEY23" s="21"/>
      <c r="FEZ23" s="21"/>
      <c r="FFA23" s="21"/>
      <c r="FFB23" s="21"/>
      <c r="FFC23" s="21"/>
      <c r="FFD23" s="21"/>
      <c r="FFE23" s="21"/>
      <c r="FFF23" s="21"/>
      <c r="FFG23" s="21"/>
      <c r="FFH23" s="21"/>
      <c r="FFI23" s="21"/>
      <c r="FFJ23" s="21"/>
      <c r="FFK23" s="21"/>
      <c r="FFL23" s="21"/>
      <c r="FFM23" s="21"/>
      <c r="FFN23" s="21"/>
      <c r="FFO23" s="21"/>
      <c r="FFP23" s="21"/>
      <c r="FFQ23" s="21"/>
      <c r="FFR23" s="21"/>
      <c r="FFS23" s="21"/>
      <c r="FFT23" s="21"/>
      <c r="FFU23" s="21"/>
      <c r="FFV23" s="21"/>
      <c r="FFW23" s="21"/>
      <c r="FFX23" s="21"/>
      <c r="FFY23" s="21"/>
      <c r="FFZ23" s="21"/>
      <c r="FGA23" s="21"/>
      <c r="FGB23" s="21"/>
      <c r="FGC23" s="21"/>
      <c r="FGD23" s="21"/>
      <c r="FGE23" s="21"/>
      <c r="FGF23" s="21"/>
      <c r="FGG23" s="21"/>
      <c r="FGH23" s="21"/>
      <c r="FGI23" s="21"/>
      <c r="FGJ23" s="21"/>
      <c r="FGK23" s="21"/>
      <c r="FGL23" s="21"/>
      <c r="FGM23" s="21"/>
      <c r="FGN23" s="21"/>
      <c r="FGO23" s="21"/>
      <c r="FGP23" s="21"/>
      <c r="FGQ23" s="21"/>
      <c r="FGR23" s="21"/>
      <c r="FGS23" s="21"/>
      <c r="FGT23" s="21"/>
      <c r="FGU23" s="21"/>
      <c r="FGV23" s="21"/>
      <c r="FGW23" s="21"/>
      <c r="FGX23" s="21"/>
      <c r="FGY23" s="21"/>
      <c r="FGZ23" s="21"/>
      <c r="FHA23" s="21"/>
      <c r="FHB23" s="21"/>
      <c r="FHC23" s="21"/>
      <c r="FHD23" s="21"/>
      <c r="FHE23" s="21"/>
      <c r="FHF23" s="21"/>
      <c r="FHG23" s="21"/>
      <c r="FHH23" s="21"/>
      <c r="FHI23" s="21"/>
      <c r="FHJ23" s="21"/>
      <c r="FHK23" s="21"/>
      <c r="FHL23" s="21"/>
      <c r="FHM23" s="21"/>
      <c r="FHN23" s="21"/>
      <c r="FHO23" s="21"/>
      <c r="FHP23" s="21"/>
      <c r="FHQ23" s="21"/>
      <c r="FHR23" s="21"/>
      <c r="FHS23" s="21"/>
      <c r="FHT23" s="21"/>
      <c r="FHU23" s="21"/>
      <c r="FHV23" s="21"/>
      <c r="FHW23" s="21"/>
      <c r="FHX23" s="21"/>
      <c r="FHY23" s="21"/>
      <c r="FHZ23" s="21"/>
      <c r="FIA23" s="21"/>
      <c r="FIB23" s="21"/>
      <c r="FIC23" s="21"/>
      <c r="FID23" s="21"/>
      <c r="FIE23" s="21"/>
      <c r="FIF23" s="21"/>
      <c r="FIG23" s="21"/>
      <c r="FIH23" s="21"/>
      <c r="FII23" s="21"/>
      <c r="FIJ23" s="21"/>
      <c r="FIK23" s="21"/>
      <c r="FIL23" s="21"/>
      <c r="FIM23" s="21"/>
      <c r="FIN23" s="21"/>
      <c r="FIO23" s="21"/>
      <c r="FIP23" s="21"/>
      <c r="FIQ23" s="21"/>
      <c r="FIR23" s="21"/>
      <c r="FIS23" s="21"/>
      <c r="FIT23" s="21"/>
      <c r="FIU23" s="21"/>
      <c r="FIV23" s="21"/>
      <c r="FIW23" s="21"/>
      <c r="FIX23" s="21"/>
      <c r="FIY23" s="21"/>
      <c r="FIZ23" s="21"/>
      <c r="FJA23" s="21"/>
      <c r="FJB23" s="21"/>
      <c r="FJC23" s="21"/>
      <c r="FJD23" s="21"/>
      <c r="FJE23" s="21"/>
      <c r="FJF23" s="21"/>
      <c r="FJG23" s="21"/>
      <c r="FJH23" s="21"/>
      <c r="FJI23" s="21"/>
      <c r="FJJ23" s="21"/>
      <c r="FJK23" s="21"/>
      <c r="FJL23" s="21"/>
      <c r="FJM23" s="21"/>
      <c r="FJN23" s="21"/>
      <c r="FJO23" s="21"/>
      <c r="FJP23" s="21"/>
      <c r="FJQ23" s="21"/>
      <c r="FJR23" s="21"/>
      <c r="FJS23" s="21"/>
      <c r="FJT23" s="21"/>
      <c r="FJU23" s="21"/>
      <c r="FJV23" s="21"/>
      <c r="FJW23" s="21"/>
      <c r="FJX23" s="21"/>
      <c r="FJY23" s="21"/>
      <c r="FJZ23" s="21"/>
      <c r="FKA23" s="21"/>
      <c r="FKB23" s="21"/>
      <c r="FKC23" s="21"/>
      <c r="FKD23" s="21"/>
      <c r="FKE23" s="21"/>
      <c r="FKF23" s="21"/>
      <c r="FKG23" s="21"/>
      <c r="FKH23" s="21"/>
      <c r="FKI23" s="21"/>
      <c r="FKJ23" s="21"/>
      <c r="FKK23" s="21"/>
      <c r="FKL23" s="21"/>
      <c r="FKM23" s="21"/>
      <c r="FKN23" s="21"/>
      <c r="FKO23" s="21"/>
      <c r="FKP23" s="21"/>
      <c r="FKQ23" s="21"/>
      <c r="FKR23" s="21"/>
      <c r="FKS23" s="21"/>
      <c r="FKT23" s="21"/>
      <c r="FKU23" s="21"/>
      <c r="FKV23" s="21"/>
      <c r="FKW23" s="21"/>
      <c r="FKX23" s="21"/>
      <c r="FKY23" s="21"/>
      <c r="FKZ23" s="21"/>
      <c r="FLA23" s="21"/>
      <c r="FLB23" s="21"/>
      <c r="FLC23" s="21"/>
      <c r="FLD23" s="21"/>
      <c r="FLE23" s="21"/>
      <c r="FLF23" s="21"/>
      <c r="FLG23" s="21"/>
      <c r="FLH23" s="21"/>
      <c r="FLI23" s="21"/>
      <c r="FLJ23" s="21"/>
      <c r="FLK23" s="21"/>
      <c r="FLL23" s="21"/>
      <c r="FLM23" s="21"/>
      <c r="FLN23" s="21"/>
      <c r="FLO23" s="21"/>
      <c r="FLP23" s="21"/>
      <c r="FLQ23" s="21"/>
      <c r="FLR23" s="21"/>
      <c r="FLS23" s="21"/>
      <c r="FLT23" s="21"/>
      <c r="FLU23" s="21"/>
      <c r="FLV23" s="21"/>
      <c r="FLW23" s="21"/>
      <c r="FLX23" s="21"/>
      <c r="FLY23" s="21"/>
      <c r="FLZ23" s="21"/>
      <c r="FMA23" s="21"/>
      <c r="FMB23" s="21"/>
      <c r="FMC23" s="21"/>
      <c r="FMD23" s="21"/>
      <c r="FME23" s="21"/>
      <c r="FMF23" s="21"/>
      <c r="FMG23" s="21"/>
      <c r="FMH23" s="21"/>
      <c r="FMI23" s="21"/>
      <c r="FMJ23" s="21"/>
      <c r="FMK23" s="21"/>
      <c r="FML23" s="21"/>
      <c r="FMM23" s="21"/>
      <c r="FMN23" s="21"/>
      <c r="FMO23" s="21"/>
      <c r="FMP23" s="21"/>
      <c r="FMQ23" s="21"/>
      <c r="FMR23" s="21"/>
      <c r="FMS23" s="21"/>
      <c r="FMT23" s="21"/>
      <c r="FMU23" s="21"/>
      <c r="FMV23" s="21"/>
      <c r="FMW23" s="21"/>
      <c r="FMX23" s="21"/>
      <c r="FMY23" s="21"/>
      <c r="FMZ23" s="21"/>
      <c r="FNA23" s="21"/>
      <c r="FNB23" s="21"/>
      <c r="FNC23" s="21"/>
      <c r="FND23" s="21"/>
      <c r="FNE23" s="21"/>
      <c r="FNF23" s="21"/>
      <c r="FNG23" s="21"/>
      <c r="FNH23" s="21"/>
      <c r="FNI23" s="21"/>
      <c r="FNJ23" s="21"/>
      <c r="FNK23" s="21"/>
      <c r="FNL23" s="21"/>
      <c r="FNM23" s="21"/>
      <c r="FNN23" s="21"/>
      <c r="FNO23" s="21"/>
      <c r="FNP23" s="21"/>
      <c r="FNQ23" s="21"/>
      <c r="FNR23" s="21"/>
      <c r="FNS23" s="21"/>
      <c r="FNT23" s="21"/>
      <c r="FNU23" s="21"/>
      <c r="FNV23" s="21"/>
      <c r="FNW23" s="21"/>
      <c r="FNX23" s="21"/>
      <c r="FNY23" s="21"/>
      <c r="FNZ23" s="21"/>
      <c r="FOA23" s="21"/>
      <c r="FOB23" s="21"/>
      <c r="FOC23" s="21"/>
      <c r="FOD23" s="21"/>
      <c r="FOE23" s="21"/>
      <c r="FOF23" s="21"/>
      <c r="FOG23" s="21"/>
      <c r="FOH23" s="21"/>
      <c r="FOI23" s="21"/>
      <c r="FOJ23" s="21"/>
      <c r="FOK23" s="21"/>
      <c r="FOL23" s="21"/>
      <c r="FOM23" s="21"/>
      <c r="FON23" s="21"/>
      <c r="FOO23" s="21"/>
      <c r="FOP23" s="21"/>
      <c r="FOQ23" s="21"/>
      <c r="FOR23" s="21"/>
      <c r="FOS23" s="21"/>
      <c r="FOT23" s="21"/>
      <c r="FOU23" s="21"/>
      <c r="FOV23" s="21"/>
      <c r="FOW23" s="21"/>
      <c r="FOX23" s="21"/>
      <c r="FOY23" s="21"/>
      <c r="FOZ23" s="21"/>
      <c r="FPA23" s="21"/>
      <c r="FPB23" s="21"/>
      <c r="FPC23" s="21"/>
      <c r="FPD23" s="21"/>
      <c r="FPE23" s="21"/>
      <c r="FPF23" s="21"/>
      <c r="FPG23" s="21"/>
      <c r="FPH23" s="21"/>
      <c r="FPI23" s="21"/>
      <c r="FPJ23" s="21"/>
      <c r="FPK23" s="21"/>
      <c r="FPL23" s="21"/>
      <c r="FPM23" s="21"/>
      <c r="FPN23" s="21"/>
      <c r="FPO23" s="21"/>
      <c r="FPP23" s="21"/>
      <c r="FPQ23" s="21"/>
      <c r="FPR23" s="21"/>
      <c r="FPS23" s="21"/>
      <c r="FPT23" s="21"/>
      <c r="FPU23" s="21"/>
      <c r="FPV23" s="21"/>
      <c r="FPW23" s="21"/>
      <c r="FPX23" s="21"/>
      <c r="FPY23" s="21"/>
      <c r="FPZ23" s="21"/>
      <c r="FQA23" s="21"/>
      <c r="FQB23" s="21"/>
      <c r="FQC23" s="21"/>
      <c r="FQD23" s="21"/>
      <c r="FQE23" s="21"/>
      <c r="FQF23" s="21"/>
      <c r="FQG23" s="21"/>
      <c r="FQH23" s="21"/>
      <c r="FQI23" s="21"/>
      <c r="FQJ23" s="21"/>
      <c r="FQK23" s="21"/>
      <c r="FQL23" s="21"/>
      <c r="FQM23" s="21"/>
      <c r="FQN23" s="21"/>
      <c r="FQO23" s="21"/>
      <c r="FQP23" s="21"/>
      <c r="FQQ23" s="21"/>
      <c r="FQR23" s="21"/>
      <c r="FQS23" s="21"/>
      <c r="FQT23" s="21"/>
      <c r="FQU23" s="21"/>
      <c r="FQV23" s="21"/>
      <c r="FQW23" s="21"/>
      <c r="FQX23" s="21"/>
      <c r="FQY23" s="21"/>
      <c r="FQZ23" s="21"/>
      <c r="FRA23" s="21"/>
      <c r="FRB23" s="21"/>
      <c r="FRC23" s="21"/>
      <c r="FRD23" s="21"/>
      <c r="FRE23" s="21"/>
      <c r="FRF23" s="21"/>
      <c r="FRG23" s="21"/>
      <c r="FRH23" s="21"/>
      <c r="FRI23" s="21"/>
      <c r="FRJ23" s="21"/>
      <c r="FRK23" s="21"/>
      <c r="FRL23" s="21"/>
      <c r="FRM23" s="21"/>
      <c r="FRN23" s="21"/>
      <c r="FRO23" s="21"/>
      <c r="FRP23" s="21"/>
      <c r="FRQ23" s="21"/>
      <c r="FRR23" s="21"/>
      <c r="FRS23" s="21"/>
      <c r="FRT23" s="21"/>
      <c r="FRU23" s="21"/>
      <c r="FRV23" s="21"/>
      <c r="FRW23" s="21"/>
      <c r="FRX23" s="21"/>
      <c r="FRY23" s="21"/>
      <c r="FRZ23" s="21"/>
      <c r="FSA23" s="21"/>
      <c r="FSB23" s="21"/>
      <c r="FSC23" s="21"/>
      <c r="FSD23" s="21"/>
      <c r="FSE23" s="21"/>
      <c r="FSF23" s="21"/>
      <c r="FSG23" s="21"/>
      <c r="FSH23" s="21"/>
      <c r="FSI23" s="21"/>
      <c r="FSJ23" s="21"/>
      <c r="FSK23" s="21"/>
      <c r="FSL23" s="21"/>
      <c r="FSM23" s="21"/>
      <c r="FSN23" s="21"/>
      <c r="FSO23" s="21"/>
      <c r="FSP23" s="21"/>
      <c r="FSQ23" s="21"/>
      <c r="FSR23" s="21"/>
      <c r="FSS23" s="21"/>
      <c r="FST23" s="21"/>
      <c r="FSU23" s="21"/>
      <c r="FSV23" s="21"/>
      <c r="FSW23" s="21"/>
      <c r="FSX23" s="21"/>
      <c r="FSY23" s="21"/>
      <c r="FSZ23" s="21"/>
      <c r="FTA23" s="21"/>
      <c r="FTB23" s="21"/>
      <c r="FTC23" s="21"/>
      <c r="FTD23" s="21"/>
      <c r="FTE23" s="21"/>
      <c r="FTF23" s="21"/>
      <c r="FTG23" s="21"/>
      <c r="FTH23" s="21"/>
      <c r="FTI23" s="21"/>
      <c r="FTJ23" s="21"/>
      <c r="FTK23" s="21"/>
      <c r="FTL23" s="21"/>
      <c r="FTM23" s="21"/>
      <c r="FTN23" s="21"/>
      <c r="FTO23" s="21"/>
      <c r="FTP23" s="21"/>
      <c r="FTQ23" s="21"/>
      <c r="FTR23" s="21"/>
      <c r="FTS23" s="21"/>
      <c r="FTT23" s="21"/>
      <c r="FTU23" s="21"/>
      <c r="FTV23" s="21"/>
      <c r="FTW23" s="21"/>
      <c r="FTX23" s="21"/>
      <c r="FTY23" s="21"/>
      <c r="FTZ23" s="21"/>
      <c r="FUA23" s="21"/>
      <c r="FUB23" s="21"/>
      <c r="FUC23" s="21"/>
      <c r="FUD23" s="21"/>
      <c r="FUE23" s="21"/>
      <c r="FUF23" s="21"/>
      <c r="FUG23" s="21"/>
      <c r="FUH23" s="21"/>
      <c r="FUI23" s="21"/>
      <c r="FUJ23" s="21"/>
      <c r="FUK23" s="21"/>
      <c r="FUL23" s="21"/>
      <c r="FUM23" s="21"/>
      <c r="FUN23" s="21"/>
      <c r="FUO23" s="21"/>
      <c r="FUP23" s="21"/>
      <c r="FUQ23" s="21"/>
      <c r="FUR23" s="21"/>
      <c r="FUS23" s="21"/>
      <c r="FUT23" s="21"/>
      <c r="FUU23" s="21"/>
      <c r="FUV23" s="21"/>
      <c r="FUW23" s="21"/>
      <c r="FUX23" s="21"/>
      <c r="FUY23" s="21"/>
      <c r="FUZ23" s="21"/>
      <c r="FVA23" s="21"/>
      <c r="FVB23" s="21"/>
      <c r="FVC23" s="21"/>
      <c r="FVD23" s="21"/>
      <c r="FVE23" s="21"/>
      <c r="FVF23" s="21"/>
      <c r="FVG23" s="21"/>
      <c r="FVH23" s="21"/>
      <c r="FVI23" s="21"/>
      <c r="FVJ23" s="21"/>
      <c r="FVK23" s="21"/>
      <c r="FVL23" s="21"/>
      <c r="FVM23" s="21"/>
      <c r="FVN23" s="21"/>
      <c r="FVO23" s="21"/>
      <c r="FVP23" s="21"/>
      <c r="FVQ23" s="21"/>
      <c r="FVR23" s="21"/>
      <c r="FVS23" s="21"/>
      <c r="FVT23" s="21"/>
      <c r="FVU23" s="21"/>
      <c r="FVV23" s="21"/>
      <c r="FVW23" s="21"/>
      <c r="FVX23" s="21"/>
      <c r="FVY23" s="21"/>
      <c r="FVZ23" s="21"/>
      <c r="FWA23" s="21"/>
      <c r="FWB23" s="21"/>
      <c r="FWC23" s="21"/>
      <c r="FWD23" s="21"/>
      <c r="FWE23" s="21"/>
      <c r="FWF23" s="21"/>
      <c r="FWG23" s="21"/>
      <c r="FWH23" s="21"/>
      <c r="FWI23" s="21"/>
      <c r="FWJ23" s="21"/>
      <c r="FWK23" s="21"/>
      <c r="FWL23" s="21"/>
      <c r="FWM23" s="21"/>
      <c r="FWN23" s="21"/>
      <c r="FWO23" s="21"/>
      <c r="FWP23" s="21"/>
      <c r="FWQ23" s="21"/>
      <c r="FWR23" s="21"/>
      <c r="FWS23" s="21"/>
      <c r="FWT23" s="21"/>
      <c r="FWU23" s="21"/>
      <c r="FWV23" s="21"/>
      <c r="FWW23" s="21"/>
      <c r="FWX23" s="21"/>
      <c r="FWY23" s="21"/>
      <c r="FWZ23" s="21"/>
      <c r="FXA23" s="21"/>
      <c r="FXB23" s="21"/>
      <c r="FXC23" s="21"/>
      <c r="FXD23" s="21"/>
      <c r="FXE23" s="21"/>
      <c r="FXF23" s="21"/>
      <c r="FXG23" s="21"/>
      <c r="FXH23" s="21"/>
      <c r="FXI23" s="21"/>
      <c r="FXJ23" s="21"/>
      <c r="FXK23" s="21"/>
      <c r="FXL23" s="21"/>
      <c r="FXM23" s="21"/>
      <c r="FXN23" s="21"/>
      <c r="FXO23" s="21"/>
      <c r="FXP23" s="21"/>
      <c r="FXQ23" s="21"/>
      <c r="FXR23" s="21"/>
      <c r="FXS23" s="21"/>
      <c r="FXT23" s="21"/>
      <c r="FXU23" s="21"/>
      <c r="FXV23" s="21"/>
      <c r="FXW23" s="21"/>
      <c r="FXX23" s="21"/>
      <c r="FXY23" s="21"/>
      <c r="FXZ23" s="21"/>
      <c r="FYA23" s="21"/>
      <c r="FYB23" s="21"/>
      <c r="FYC23" s="21"/>
      <c r="FYD23" s="21"/>
      <c r="FYE23" s="21"/>
      <c r="FYF23" s="21"/>
      <c r="FYG23" s="21"/>
      <c r="FYH23" s="21"/>
      <c r="FYI23" s="21"/>
      <c r="FYJ23" s="21"/>
      <c r="FYK23" s="21"/>
      <c r="FYL23" s="21"/>
      <c r="FYM23" s="21"/>
      <c r="FYN23" s="21"/>
      <c r="FYO23" s="21"/>
      <c r="FYP23" s="21"/>
      <c r="FYQ23" s="21"/>
      <c r="FYR23" s="21"/>
      <c r="FYS23" s="21"/>
      <c r="FYT23" s="21"/>
      <c r="FYU23" s="21"/>
      <c r="FYV23" s="21"/>
      <c r="FYW23" s="21"/>
      <c r="FYX23" s="21"/>
      <c r="FYY23" s="21"/>
      <c r="FYZ23" s="21"/>
      <c r="FZA23" s="21"/>
      <c r="FZB23" s="21"/>
      <c r="FZC23" s="21"/>
      <c r="FZD23" s="21"/>
      <c r="FZE23" s="21"/>
      <c r="FZF23" s="21"/>
      <c r="FZG23" s="21"/>
      <c r="FZH23" s="21"/>
      <c r="FZI23" s="21"/>
      <c r="FZJ23" s="21"/>
      <c r="FZK23" s="21"/>
      <c r="FZL23" s="21"/>
      <c r="FZM23" s="21"/>
      <c r="FZN23" s="21"/>
      <c r="FZO23" s="21"/>
      <c r="FZP23" s="21"/>
      <c r="FZQ23" s="21"/>
      <c r="FZR23" s="21"/>
      <c r="FZS23" s="21"/>
      <c r="FZT23" s="21"/>
      <c r="FZU23" s="21"/>
      <c r="FZV23" s="21"/>
      <c r="FZW23" s="21"/>
      <c r="FZX23" s="21"/>
      <c r="FZY23" s="21"/>
      <c r="FZZ23" s="21"/>
      <c r="GAA23" s="21"/>
      <c r="GAB23" s="21"/>
      <c r="GAC23" s="21"/>
      <c r="GAD23" s="21"/>
      <c r="GAE23" s="21"/>
      <c r="GAF23" s="21"/>
      <c r="GAG23" s="21"/>
      <c r="GAH23" s="21"/>
      <c r="GAI23" s="21"/>
      <c r="GAJ23" s="21"/>
      <c r="GAK23" s="21"/>
      <c r="GAL23" s="21"/>
      <c r="GAM23" s="21"/>
      <c r="GAN23" s="21"/>
      <c r="GAO23" s="21"/>
      <c r="GAP23" s="21"/>
      <c r="GAQ23" s="21"/>
      <c r="GAR23" s="21"/>
      <c r="GAS23" s="21"/>
      <c r="GAT23" s="21"/>
      <c r="GAU23" s="21"/>
      <c r="GAV23" s="21"/>
      <c r="GAW23" s="21"/>
      <c r="GAX23" s="21"/>
      <c r="GAY23" s="21"/>
      <c r="GAZ23" s="21"/>
      <c r="GBA23" s="21"/>
      <c r="GBB23" s="21"/>
      <c r="GBC23" s="21"/>
      <c r="GBD23" s="21"/>
      <c r="GBE23" s="21"/>
      <c r="GBF23" s="21"/>
      <c r="GBG23" s="21"/>
      <c r="GBH23" s="21"/>
      <c r="GBI23" s="21"/>
      <c r="GBJ23" s="21"/>
      <c r="GBK23" s="21"/>
      <c r="GBL23" s="21"/>
      <c r="GBM23" s="21"/>
      <c r="GBN23" s="21"/>
      <c r="GBO23" s="21"/>
      <c r="GBP23" s="21"/>
      <c r="GBQ23" s="21"/>
      <c r="GBR23" s="21"/>
      <c r="GBS23" s="21"/>
      <c r="GBT23" s="21"/>
      <c r="GBU23" s="21"/>
      <c r="GBV23" s="21"/>
      <c r="GBW23" s="21"/>
      <c r="GBX23" s="21"/>
      <c r="GBY23" s="21"/>
      <c r="GBZ23" s="21"/>
      <c r="GCA23" s="21"/>
      <c r="GCB23" s="21"/>
      <c r="GCC23" s="21"/>
      <c r="GCD23" s="21"/>
      <c r="GCE23" s="21"/>
      <c r="GCF23" s="21"/>
      <c r="GCG23" s="21"/>
      <c r="GCH23" s="21"/>
      <c r="GCI23" s="21"/>
      <c r="GCJ23" s="21"/>
      <c r="GCK23" s="21"/>
      <c r="GCL23" s="21"/>
      <c r="GCM23" s="21"/>
      <c r="GCN23" s="21"/>
      <c r="GCO23" s="21"/>
      <c r="GCP23" s="21"/>
      <c r="GCQ23" s="21"/>
      <c r="GCR23" s="21"/>
      <c r="GCS23" s="21"/>
      <c r="GCT23" s="21"/>
      <c r="GCU23" s="21"/>
      <c r="GCV23" s="21"/>
      <c r="GCW23" s="21"/>
      <c r="GCX23" s="21"/>
      <c r="GCY23" s="21"/>
      <c r="GCZ23" s="21"/>
      <c r="GDA23" s="21"/>
      <c r="GDB23" s="21"/>
      <c r="GDC23" s="21"/>
      <c r="GDD23" s="21"/>
      <c r="GDE23" s="21"/>
      <c r="GDF23" s="21"/>
      <c r="GDG23" s="21"/>
      <c r="GDH23" s="21"/>
      <c r="GDI23" s="21"/>
      <c r="GDJ23" s="21"/>
      <c r="GDK23" s="21"/>
      <c r="GDL23" s="21"/>
      <c r="GDM23" s="21"/>
      <c r="GDN23" s="21"/>
      <c r="GDO23" s="21"/>
      <c r="GDP23" s="21"/>
      <c r="GDQ23" s="21"/>
      <c r="GDR23" s="21"/>
      <c r="GDS23" s="21"/>
      <c r="GDT23" s="21"/>
      <c r="GDU23" s="21"/>
      <c r="GDV23" s="21"/>
      <c r="GDW23" s="21"/>
      <c r="GDX23" s="21"/>
      <c r="GDY23" s="21"/>
      <c r="GDZ23" s="21"/>
      <c r="GEA23" s="21"/>
      <c r="GEB23" s="21"/>
      <c r="GEC23" s="21"/>
      <c r="GED23" s="21"/>
      <c r="GEE23" s="21"/>
      <c r="GEF23" s="21"/>
      <c r="GEG23" s="21"/>
      <c r="GEH23" s="21"/>
      <c r="GEI23" s="21"/>
      <c r="GEJ23" s="21"/>
      <c r="GEK23" s="21"/>
      <c r="GEL23" s="21"/>
      <c r="GEM23" s="21"/>
      <c r="GEN23" s="21"/>
      <c r="GEO23" s="21"/>
      <c r="GEP23" s="21"/>
      <c r="GEQ23" s="21"/>
      <c r="GER23" s="21"/>
      <c r="GES23" s="21"/>
      <c r="GET23" s="21"/>
      <c r="GEU23" s="21"/>
      <c r="GEV23" s="21"/>
      <c r="GEW23" s="21"/>
      <c r="GEX23" s="21"/>
      <c r="GEY23" s="21"/>
      <c r="GEZ23" s="21"/>
      <c r="GFA23" s="21"/>
      <c r="GFB23" s="21"/>
      <c r="GFC23" s="21"/>
      <c r="GFD23" s="21"/>
      <c r="GFE23" s="21"/>
      <c r="GFF23" s="21"/>
      <c r="GFG23" s="21"/>
      <c r="GFH23" s="21"/>
      <c r="GFI23" s="21"/>
      <c r="GFJ23" s="21"/>
      <c r="GFK23" s="21"/>
      <c r="GFL23" s="21"/>
      <c r="GFM23" s="21"/>
      <c r="GFN23" s="21"/>
      <c r="GFO23" s="21"/>
      <c r="GFP23" s="21"/>
      <c r="GFQ23" s="21"/>
      <c r="GFR23" s="21"/>
      <c r="GFS23" s="21"/>
      <c r="GFT23" s="21"/>
      <c r="GFU23" s="21"/>
      <c r="GFV23" s="21"/>
      <c r="GFW23" s="21"/>
      <c r="GFX23" s="21"/>
      <c r="GFY23" s="21"/>
      <c r="GFZ23" s="21"/>
      <c r="GGA23" s="21"/>
      <c r="GGB23" s="21"/>
      <c r="GGC23" s="21"/>
      <c r="GGD23" s="21"/>
      <c r="GGE23" s="21"/>
      <c r="GGF23" s="21"/>
      <c r="GGG23" s="21"/>
      <c r="GGH23" s="21"/>
      <c r="GGI23" s="21"/>
      <c r="GGJ23" s="21"/>
      <c r="GGK23" s="21"/>
      <c r="GGL23" s="21"/>
      <c r="GGM23" s="21"/>
      <c r="GGN23" s="21"/>
      <c r="GGO23" s="21"/>
      <c r="GGP23" s="21"/>
      <c r="GGQ23" s="21"/>
      <c r="GGR23" s="21"/>
      <c r="GGS23" s="21"/>
      <c r="GGT23" s="21"/>
      <c r="GGU23" s="21"/>
      <c r="GGV23" s="21"/>
      <c r="GGW23" s="21"/>
      <c r="GGX23" s="21"/>
      <c r="GGY23" s="21"/>
      <c r="GGZ23" s="21"/>
      <c r="GHA23" s="21"/>
      <c r="GHB23" s="21"/>
      <c r="GHC23" s="21"/>
      <c r="GHD23" s="21"/>
      <c r="GHE23" s="21"/>
      <c r="GHF23" s="21"/>
      <c r="GHG23" s="21"/>
      <c r="GHH23" s="21"/>
      <c r="GHI23" s="21"/>
      <c r="GHJ23" s="21"/>
      <c r="GHK23" s="21"/>
      <c r="GHL23" s="21"/>
      <c r="GHM23" s="21"/>
      <c r="GHN23" s="21"/>
      <c r="GHO23" s="21"/>
      <c r="GHP23" s="21"/>
      <c r="GHQ23" s="21"/>
      <c r="GHR23" s="21"/>
      <c r="GHS23" s="21"/>
      <c r="GHT23" s="21"/>
      <c r="GHU23" s="21"/>
      <c r="GHV23" s="21"/>
      <c r="GHW23" s="21"/>
      <c r="GHX23" s="21"/>
      <c r="GHY23" s="21"/>
      <c r="GHZ23" s="21"/>
      <c r="GIA23" s="21"/>
      <c r="GIB23" s="21"/>
      <c r="GIC23" s="21"/>
      <c r="GID23" s="21"/>
      <c r="GIE23" s="21"/>
      <c r="GIF23" s="21"/>
      <c r="GIG23" s="21"/>
      <c r="GIH23" s="21"/>
      <c r="GII23" s="21"/>
      <c r="GIJ23" s="21"/>
      <c r="GIK23" s="21"/>
      <c r="GIL23" s="21"/>
      <c r="GIM23" s="21"/>
      <c r="GIN23" s="21"/>
      <c r="GIO23" s="21"/>
      <c r="GIP23" s="21"/>
      <c r="GIQ23" s="21"/>
      <c r="GIR23" s="21"/>
      <c r="GIS23" s="21"/>
      <c r="GIT23" s="21"/>
      <c r="GIU23" s="21"/>
      <c r="GIV23" s="21"/>
      <c r="GIW23" s="21"/>
      <c r="GIX23" s="21"/>
      <c r="GIY23" s="21"/>
      <c r="GIZ23" s="21"/>
      <c r="GJA23" s="21"/>
      <c r="GJB23" s="21"/>
      <c r="GJC23" s="21"/>
      <c r="GJD23" s="21"/>
      <c r="GJE23" s="21"/>
      <c r="GJF23" s="21"/>
      <c r="GJG23" s="21"/>
      <c r="GJH23" s="21"/>
      <c r="GJI23" s="21"/>
      <c r="GJJ23" s="21"/>
      <c r="GJK23" s="21"/>
      <c r="GJL23" s="21"/>
      <c r="GJM23" s="21"/>
      <c r="GJN23" s="21"/>
      <c r="GJO23" s="21"/>
      <c r="GJP23" s="21"/>
      <c r="GJQ23" s="21"/>
      <c r="GJR23" s="21"/>
      <c r="GJS23" s="21"/>
      <c r="GJT23" s="21"/>
      <c r="GJU23" s="21"/>
      <c r="GJV23" s="21"/>
      <c r="GJW23" s="21"/>
      <c r="GJX23" s="21"/>
      <c r="GJY23" s="21"/>
      <c r="GJZ23" s="21"/>
      <c r="GKA23" s="21"/>
      <c r="GKB23" s="21"/>
      <c r="GKC23" s="21"/>
      <c r="GKD23" s="21"/>
      <c r="GKE23" s="21"/>
      <c r="GKF23" s="21"/>
      <c r="GKG23" s="21"/>
      <c r="GKH23" s="21"/>
      <c r="GKI23" s="21"/>
      <c r="GKJ23" s="21"/>
      <c r="GKK23" s="21"/>
      <c r="GKL23" s="21"/>
      <c r="GKM23" s="21"/>
      <c r="GKN23" s="21"/>
      <c r="GKO23" s="21"/>
      <c r="GKP23" s="21"/>
      <c r="GKQ23" s="21"/>
      <c r="GKR23" s="21"/>
      <c r="GKS23" s="21"/>
      <c r="GKT23" s="21"/>
      <c r="GKU23" s="21"/>
      <c r="GKV23" s="21"/>
      <c r="GKW23" s="21"/>
      <c r="GKX23" s="21"/>
      <c r="GKY23" s="21"/>
      <c r="GKZ23" s="21"/>
      <c r="GLA23" s="21"/>
      <c r="GLB23" s="21"/>
      <c r="GLC23" s="21"/>
      <c r="GLD23" s="21"/>
      <c r="GLE23" s="21"/>
      <c r="GLF23" s="21"/>
      <c r="GLG23" s="21"/>
      <c r="GLH23" s="21"/>
      <c r="GLI23" s="21"/>
      <c r="GLJ23" s="21"/>
      <c r="GLK23" s="21"/>
      <c r="GLL23" s="21"/>
      <c r="GLM23" s="21"/>
      <c r="GLN23" s="21"/>
      <c r="GLO23" s="21"/>
      <c r="GLP23" s="21"/>
      <c r="GLQ23" s="21"/>
      <c r="GLR23" s="21"/>
      <c r="GLS23" s="21"/>
      <c r="GLT23" s="21"/>
      <c r="GLU23" s="21"/>
      <c r="GLV23" s="21"/>
      <c r="GLW23" s="21"/>
      <c r="GLX23" s="21"/>
      <c r="GLY23" s="21"/>
      <c r="GLZ23" s="21"/>
      <c r="GMA23" s="21"/>
      <c r="GMB23" s="21"/>
      <c r="GMC23" s="21"/>
      <c r="GMD23" s="21"/>
      <c r="GME23" s="21"/>
      <c r="GMF23" s="21"/>
      <c r="GMG23" s="21"/>
      <c r="GMH23" s="21"/>
      <c r="GMI23" s="21"/>
      <c r="GMJ23" s="21"/>
      <c r="GMK23" s="21"/>
      <c r="GML23" s="21"/>
      <c r="GMM23" s="21"/>
      <c r="GMN23" s="21"/>
      <c r="GMO23" s="21"/>
      <c r="GMP23" s="21"/>
      <c r="GMQ23" s="21"/>
      <c r="GMR23" s="21"/>
      <c r="GMS23" s="21"/>
      <c r="GMT23" s="21"/>
      <c r="GMU23" s="21"/>
      <c r="GMV23" s="21"/>
      <c r="GMW23" s="21"/>
      <c r="GMX23" s="21"/>
      <c r="GMY23" s="21"/>
      <c r="GMZ23" s="21"/>
      <c r="GNA23" s="21"/>
      <c r="GNB23" s="21"/>
      <c r="GNC23" s="21"/>
      <c r="GND23" s="21"/>
      <c r="GNE23" s="21"/>
      <c r="GNF23" s="21"/>
      <c r="GNG23" s="21"/>
      <c r="GNH23" s="21"/>
      <c r="GNI23" s="21"/>
      <c r="GNJ23" s="21"/>
      <c r="GNK23" s="21"/>
      <c r="GNL23" s="21"/>
      <c r="GNM23" s="21"/>
      <c r="GNN23" s="21"/>
      <c r="GNO23" s="21"/>
      <c r="GNP23" s="21"/>
      <c r="GNQ23" s="21"/>
      <c r="GNR23" s="21"/>
      <c r="GNS23" s="21"/>
      <c r="GNT23" s="21"/>
      <c r="GNU23" s="21"/>
      <c r="GNV23" s="21"/>
      <c r="GNW23" s="21"/>
      <c r="GNX23" s="21"/>
      <c r="GNY23" s="21"/>
      <c r="GNZ23" s="21"/>
      <c r="GOA23" s="21"/>
      <c r="GOB23" s="21"/>
      <c r="GOC23" s="21"/>
      <c r="GOD23" s="21"/>
      <c r="GOE23" s="21"/>
      <c r="GOF23" s="21"/>
      <c r="GOG23" s="21"/>
      <c r="GOH23" s="21"/>
      <c r="GOI23" s="21"/>
      <c r="GOJ23" s="21"/>
      <c r="GOK23" s="21"/>
      <c r="GOL23" s="21"/>
      <c r="GOM23" s="21"/>
      <c r="GON23" s="21"/>
      <c r="GOO23" s="21"/>
      <c r="GOP23" s="21"/>
      <c r="GOQ23" s="21"/>
      <c r="GOR23" s="21"/>
      <c r="GOS23" s="21"/>
      <c r="GOT23" s="21"/>
      <c r="GOU23" s="21"/>
      <c r="GOV23" s="21"/>
      <c r="GOW23" s="21"/>
      <c r="GOX23" s="21"/>
      <c r="GOY23" s="21"/>
      <c r="GOZ23" s="21"/>
      <c r="GPA23" s="21"/>
      <c r="GPB23" s="21"/>
      <c r="GPC23" s="21"/>
      <c r="GPD23" s="21"/>
      <c r="GPE23" s="21"/>
      <c r="GPF23" s="21"/>
      <c r="GPG23" s="21"/>
      <c r="GPH23" s="21"/>
      <c r="GPI23" s="21"/>
      <c r="GPJ23" s="21"/>
      <c r="GPK23" s="21"/>
      <c r="GPL23" s="21"/>
      <c r="GPM23" s="21"/>
      <c r="GPN23" s="21"/>
      <c r="GPO23" s="21"/>
      <c r="GPP23" s="21"/>
      <c r="GPQ23" s="21"/>
      <c r="GPR23" s="21"/>
      <c r="GPS23" s="21"/>
      <c r="GPT23" s="21"/>
      <c r="GPU23" s="21"/>
      <c r="GPV23" s="21"/>
      <c r="GPW23" s="21"/>
      <c r="GPX23" s="21"/>
      <c r="GPY23" s="21"/>
      <c r="GPZ23" s="21"/>
      <c r="GQA23" s="21"/>
      <c r="GQB23" s="21"/>
      <c r="GQC23" s="21"/>
      <c r="GQD23" s="21"/>
      <c r="GQE23" s="21"/>
      <c r="GQF23" s="21"/>
      <c r="GQG23" s="21"/>
      <c r="GQH23" s="21"/>
      <c r="GQI23" s="21"/>
      <c r="GQJ23" s="21"/>
      <c r="GQK23" s="21"/>
      <c r="GQL23" s="21"/>
      <c r="GQM23" s="21"/>
      <c r="GQN23" s="21"/>
      <c r="GQO23" s="21"/>
      <c r="GQP23" s="21"/>
      <c r="GQQ23" s="21"/>
      <c r="GQR23" s="21"/>
      <c r="GQS23" s="21"/>
      <c r="GQT23" s="21"/>
      <c r="GQU23" s="21"/>
      <c r="GQV23" s="21"/>
      <c r="GQW23" s="21"/>
      <c r="GQX23" s="21"/>
      <c r="GQY23" s="21"/>
      <c r="GQZ23" s="21"/>
      <c r="GRA23" s="21"/>
      <c r="GRB23" s="21"/>
      <c r="GRC23" s="21"/>
      <c r="GRD23" s="21"/>
      <c r="GRE23" s="21"/>
      <c r="GRF23" s="21"/>
      <c r="GRG23" s="21"/>
      <c r="GRH23" s="21"/>
      <c r="GRI23" s="21"/>
      <c r="GRJ23" s="21"/>
      <c r="GRK23" s="21"/>
      <c r="GRL23" s="21"/>
      <c r="GRM23" s="21"/>
      <c r="GRN23" s="21"/>
      <c r="GRO23" s="21"/>
      <c r="GRP23" s="21"/>
      <c r="GRQ23" s="21"/>
      <c r="GRR23" s="21"/>
      <c r="GRS23" s="21"/>
      <c r="GRT23" s="21"/>
      <c r="GRU23" s="21"/>
      <c r="GRV23" s="21"/>
      <c r="GRW23" s="21"/>
      <c r="GRX23" s="21"/>
      <c r="GRY23" s="21"/>
      <c r="GRZ23" s="21"/>
      <c r="GSA23" s="21"/>
      <c r="GSB23" s="21"/>
      <c r="GSC23" s="21"/>
      <c r="GSD23" s="21"/>
      <c r="GSE23" s="21"/>
      <c r="GSF23" s="21"/>
      <c r="GSG23" s="21"/>
      <c r="GSH23" s="21"/>
      <c r="GSI23" s="21"/>
      <c r="GSJ23" s="21"/>
      <c r="GSK23" s="21"/>
      <c r="GSL23" s="21"/>
      <c r="GSM23" s="21"/>
      <c r="GSN23" s="21"/>
      <c r="GSO23" s="21"/>
      <c r="GSP23" s="21"/>
      <c r="GSQ23" s="21"/>
      <c r="GSR23" s="21"/>
      <c r="GSS23" s="21"/>
      <c r="GST23" s="21"/>
      <c r="GSU23" s="21"/>
      <c r="GSV23" s="21"/>
      <c r="GSW23" s="21"/>
      <c r="GSX23" s="21"/>
      <c r="GSY23" s="21"/>
      <c r="GSZ23" s="21"/>
      <c r="GTA23" s="21"/>
      <c r="GTB23" s="21"/>
      <c r="GTC23" s="21"/>
      <c r="GTD23" s="21"/>
      <c r="GTE23" s="21"/>
      <c r="GTF23" s="21"/>
      <c r="GTG23" s="21"/>
      <c r="GTH23" s="21"/>
      <c r="GTI23" s="21"/>
      <c r="GTJ23" s="21"/>
      <c r="GTK23" s="21"/>
      <c r="GTL23" s="21"/>
      <c r="GTM23" s="21"/>
      <c r="GTN23" s="21"/>
      <c r="GTO23" s="21"/>
      <c r="GTP23" s="21"/>
      <c r="GTQ23" s="21"/>
      <c r="GTR23" s="21"/>
      <c r="GTS23" s="21"/>
      <c r="GTT23" s="21"/>
      <c r="GTU23" s="21"/>
      <c r="GTV23" s="21"/>
      <c r="GTW23" s="21"/>
      <c r="GTX23" s="21"/>
      <c r="GTY23" s="21"/>
      <c r="GTZ23" s="21"/>
      <c r="GUA23" s="21"/>
      <c r="GUB23" s="21"/>
      <c r="GUC23" s="21"/>
      <c r="GUD23" s="21"/>
      <c r="GUE23" s="21"/>
      <c r="GUF23" s="21"/>
      <c r="GUG23" s="21"/>
      <c r="GUH23" s="21"/>
      <c r="GUI23" s="21"/>
      <c r="GUJ23" s="21"/>
      <c r="GUK23" s="21"/>
      <c r="GUL23" s="21"/>
      <c r="GUM23" s="21"/>
      <c r="GUN23" s="21"/>
      <c r="GUO23" s="21"/>
      <c r="GUP23" s="21"/>
      <c r="GUQ23" s="21"/>
      <c r="GUR23" s="21"/>
      <c r="GUS23" s="21"/>
      <c r="GUT23" s="21"/>
      <c r="GUU23" s="21"/>
      <c r="GUV23" s="21"/>
      <c r="GUW23" s="21"/>
      <c r="GUX23" s="21"/>
      <c r="GUY23" s="21"/>
      <c r="GUZ23" s="21"/>
      <c r="GVA23" s="21"/>
      <c r="GVB23" s="21"/>
      <c r="GVC23" s="21"/>
      <c r="GVD23" s="21"/>
      <c r="GVE23" s="21"/>
      <c r="GVF23" s="21"/>
      <c r="GVG23" s="21"/>
      <c r="GVH23" s="21"/>
      <c r="GVI23" s="21"/>
      <c r="GVJ23" s="21"/>
      <c r="GVK23" s="21"/>
      <c r="GVL23" s="21"/>
      <c r="GVM23" s="21"/>
      <c r="GVN23" s="21"/>
      <c r="GVO23" s="21"/>
      <c r="GVP23" s="21"/>
      <c r="GVQ23" s="21"/>
      <c r="GVR23" s="21"/>
      <c r="GVS23" s="21"/>
      <c r="GVT23" s="21"/>
      <c r="GVU23" s="21"/>
      <c r="GVV23" s="21"/>
      <c r="GVW23" s="21"/>
      <c r="GVX23" s="21"/>
      <c r="GVY23" s="21"/>
      <c r="GVZ23" s="21"/>
      <c r="GWA23" s="21"/>
      <c r="GWB23" s="21"/>
      <c r="GWC23" s="21"/>
      <c r="GWD23" s="21"/>
      <c r="GWE23" s="21"/>
      <c r="GWF23" s="21"/>
      <c r="GWG23" s="21"/>
      <c r="GWH23" s="21"/>
      <c r="GWI23" s="21"/>
      <c r="GWJ23" s="21"/>
      <c r="GWK23" s="21"/>
      <c r="GWL23" s="21"/>
      <c r="GWM23" s="21"/>
      <c r="GWN23" s="21"/>
      <c r="GWO23" s="21"/>
      <c r="GWP23" s="21"/>
      <c r="GWQ23" s="21"/>
      <c r="GWR23" s="21"/>
      <c r="GWS23" s="21"/>
      <c r="GWT23" s="21"/>
      <c r="GWU23" s="21"/>
      <c r="GWV23" s="21"/>
      <c r="GWW23" s="21"/>
      <c r="GWX23" s="21"/>
      <c r="GWY23" s="21"/>
      <c r="GWZ23" s="21"/>
      <c r="GXA23" s="21"/>
      <c r="GXB23" s="21"/>
      <c r="GXC23" s="21"/>
      <c r="GXD23" s="21"/>
      <c r="GXE23" s="21"/>
      <c r="GXF23" s="21"/>
      <c r="GXG23" s="21"/>
      <c r="GXH23" s="21"/>
      <c r="GXI23" s="21"/>
      <c r="GXJ23" s="21"/>
      <c r="GXK23" s="21"/>
      <c r="GXL23" s="21"/>
      <c r="GXM23" s="21"/>
      <c r="GXN23" s="21"/>
      <c r="GXO23" s="21"/>
      <c r="GXP23" s="21"/>
      <c r="GXQ23" s="21"/>
      <c r="GXR23" s="21"/>
      <c r="GXS23" s="21"/>
      <c r="GXT23" s="21"/>
      <c r="GXU23" s="21"/>
      <c r="GXV23" s="21"/>
      <c r="GXW23" s="21"/>
      <c r="GXX23" s="21"/>
      <c r="GXY23" s="21"/>
      <c r="GXZ23" s="21"/>
      <c r="GYA23" s="21"/>
      <c r="GYB23" s="21"/>
      <c r="GYC23" s="21"/>
      <c r="GYD23" s="21"/>
      <c r="GYE23" s="21"/>
      <c r="GYF23" s="21"/>
      <c r="GYG23" s="21"/>
      <c r="GYH23" s="21"/>
      <c r="GYI23" s="21"/>
      <c r="GYJ23" s="21"/>
      <c r="GYK23" s="21"/>
      <c r="GYL23" s="21"/>
      <c r="GYM23" s="21"/>
      <c r="GYN23" s="21"/>
      <c r="GYO23" s="21"/>
      <c r="GYP23" s="21"/>
      <c r="GYQ23" s="21"/>
      <c r="GYR23" s="21"/>
      <c r="GYS23" s="21"/>
      <c r="GYT23" s="21"/>
      <c r="GYU23" s="21"/>
      <c r="GYV23" s="21"/>
      <c r="GYW23" s="21"/>
      <c r="GYX23" s="21"/>
      <c r="GYY23" s="21"/>
      <c r="GYZ23" s="21"/>
      <c r="GZA23" s="21"/>
      <c r="GZB23" s="21"/>
      <c r="GZC23" s="21"/>
      <c r="GZD23" s="21"/>
      <c r="GZE23" s="21"/>
      <c r="GZF23" s="21"/>
      <c r="GZG23" s="21"/>
      <c r="GZH23" s="21"/>
      <c r="GZI23" s="21"/>
      <c r="GZJ23" s="21"/>
      <c r="GZK23" s="21"/>
      <c r="GZL23" s="21"/>
      <c r="GZM23" s="21"/>
      <c r="GZN23" s="21"/>
      <c r="GZO23" s="21"/>
      <c r="GZP23" s="21"/>
      <c r="GZQ23" s="21"/>
      <c r="GZR23" s="21"/>
      <c r="GZS23" s="21"/>
      <c r="GZT23" s="21"/>
      <c r="GZU23" s="21"/>
      <c r="GZV23" s="21"/>
      <c r="GZW23" s="21"/>
      <c r="GZX23" s="21"/>
      <c r="GZY23" s="21"/>
      <c r="GZZ23" s="21"/>
      <c r="HAA23" s="21"/>
      <c r="HAB23" s="21"/>
      <c r="HAC23" s="21"/>
      <c r="HAD23" s="21"/>
      <c r="HAE23" s="21"/>
      <c r="HAF23" s="21"/>
      <c r="HAG23" s="21"/>
      <c r="HAH23" s="21"/>
      <c r="HAI23" s="21"/>
      <c r="HAJ23" s="21"/>
      <c r="HAK23" s="21"/>
      <c r="HAL23" s="21"/>
      <c r="HAM23" s="21"/>
      <c r="HAN23" s="21"/>
      <c r="HAO23" s="21"/>
      <c r="HAP23" s="21"/>
      <c r="HAQ23" s="21"/>
      <c r="HAR23" s="21"/>
      <c r="HAS23" s="21"/>
      <c r="HAT23" s="21"/>
      <c r="HAU23" s="21"/>
      <c r="HAV23" s="21"/>
      <c r="HAW23" s="21"/>
      <c r="HAX23" s="21"/>
      <c r="HAY23" s="21"/>
      <c r="HAZ23" s="21"/>
      <c r="HBA23" s="21"/>
      <c r="HBB23" s="21"/>
      <c r="HBC23" s="21"/>
      <c r="HBD23" s="21"/>
      <c r="HBE23" s="21"/>
      <c r="HBF23" s="21"/>
      <c r="HBG23" s="21"/>
      <c r="HBH23" s="21"/>
      <c r="HBI23" s="21"/>
      <c r="HBJ23" s="21"/>
      <c r="HBK23" s="21"/>
      <c r="HBL23" s="21"/>
      <c r="HBM23" s="21"/>
      <c r="HBN23" s="21"/>
      <c r="HBO23" s="21"/>
      <c r="HBP23" s="21"/>
      <c r="HBQ23" s="21"/>
      <c r="HBR23" s="21"/>
      <c r="HBS23" s="21"/>
      <c r="HBT23" s="21"/>
      <c r="HBU23" s="21"/>
      <c r="HBV23" s="21"/>
      <c r="HBW23" s="21"/>
      <c r="HBX23" s="21"/>
      <c r="HBY23" s="21"/>
      <c r="HBZ23" s="21"/>
      <c r="HCA23" s="21"/>
      <c r="HCB23" s="21"/>
      <c r="HCC23" s="21"/>
      <c r="HCD23" s="21"/>
      <c r="HCE23" s="21"/>
      <c r="HCF23" s="21"/>
      <c r="HCG23" s="21"/>
      <c r="HCH23" s="21"/>
      <c r="HCI23" s="21"/>
      <c r="HCJ23" s="21"/>
      <c r="HCK23" s="21"/>
      <c r="HCL23" s="21"/>
      <c r="HCM23" s="21"/>
      <c r="HCN23" s="21"/>
      <c r="HCO23" s="21"/>
      <c r="HCP23" s="21"/>
      <c r="HCQ23" s="21"/>
      <c r="HCR23" s="21"/>
      <c r="HCS23" s="21"/>
      <c r="HCT23" s="21"/>
      <c r="HCU23" s="21"/>
      <c r="HCV23" s="21"/>
      <c r="HCW23" s="21"/>
      <c r="HCX23" s="21"/>
      <c r="HCY23" s="21"/>
      <c r="HCZ23" s="21"/>
      <c r="HDA23" s="21"/>
      <c r="HDB23" s="21"/>
      <c r="HDC23" s="21"/>
      <c r="HDD23" s="21"/>
      <c r="HDE23" s="21"/>
      <c r="HDF23" s="21"/>
      <c r="HDG23" s="21"/>
      <c r="HDH23" s="21"/>
      <c r="HDI23" s="21"/>
      <c r="HDJ23" s="21"/>
      <c r="HDK23" s="21"/>
      <c r="HDL23" s="21"/>
      <c r="HDM23" s="21"/>
      <c r="HDN23" s="21"/>
      <c r="HDO23" s="21"/>
      <c r="HDP23" s="21"/>
      <c r="HDQ23" s="21"/>
      <c r="HDR23" s="21"/>
      <c r="HDS23" s="21"/>
      <c r="HDT23" s="21"/>
      <c r="HDU23" s="21"/>
      <c r="HDV23" s="21"/>
      <c r="HDW23" s="21"/>
      <c r="HDX23" s="21"/>
      <c r="HDY23" s="21"/>
      <c r="HDZ23" s="21"/>
      <c r="HEA23" s="21"/>
      <c r="HEB23" s="21"/>
      <c r="HEC23" s="21"/>
      <c r="HED23" s="21"/>
      <c r="HEE23" s="21"/>
      <c r="HEF23" s="21"/>
      <c r="HEG23" s="21"/>
      <c r="HEH23" s="21"/>
      <c r="HEI23" s="21"/>
      <c r="HEJ23" s="21"/>
      <c r="HEK23" s="21"/>
      <c r="HEL23" s="21"/>
      <c r="HEM23" s="21"/>
      <c r="HEN23" s="21"/>
      <c r="HEO23" s="21"/>
      <c r="HEP23" s="21"/>
      <c r="HEQ23" s="21"/>
      <c r="HER23" s="21"/>
      <c r="HES23" s="21"/>
      <c r="HET23" s="21"/>
      <c r="HEU23" s="21"/>
      <c r="HEV23" s="21"/>
      <c r="HEW23" s="21"/>
      <c r="HEX23" s="21"/>
      <c r="HEY23" s="21"/>
      <c r="HEZ23" s="21"/>
      <c r="HFA23" s="21"/>
      <c r="HFB23" s="21"/>
      <c r="HFC23" s="21"/>
      <c r="HFD23" s="21"/>
      <c r="HFE23" s="21"/>
      <c r="HFF23" s="21"/>
      <c r="HFG23" s="21"/>
      <c r="HFH23" s="21"/>
      <c r="HFI23" s="21"/>
      <c r="HFJ23" s="21"/>
      <c r="HFK23" s="21"/>
      <c r="HFL23" s="21"/>
      <c r="HFM23" s="21"/>
      <c r="HFN23" s="21"/>
      <c r="HFO23" s="21"/>
      <c r="HFP23" s="21"/>
      <c r="HFQ23" s="21"/>
      <c r="HFR23" s="21"/>
      <c r="HFS23" s="21"/>
      <c r="HFT23" s="21"/>
      <c r="HFU23" s="21"/>
      <c r="HFV23" s="21"/>
      <c r="HFW23" s="21"/>
      <c r="HFX23" s="21"/>
      <c r="HFY23" s="21"/>
      <c r="HFZ23" s="21"/>
      <c r="HGA23" s="21"/>
      <c r="HGB23" s="21"/>
      <c r="HGC23" s="21"/>
      <c r="HGD23" s="21"/>
      <c r="HGE23" s="21"/>
      <c r="HGF23" s="21"/>
      <c r="HGG23" s="21"/>
      <c r="HGH23" s="21"/>
      <c r="HGI23" s="21"/>
      <c r="HGJ23" s="21"/>
      <c r="HGK23" s="21"/>
      <c r="HGL23" s="21"/>
      <c r="HGM23" s="21"/>
      <c r="HGN23" s="21"/>
      <c r="HGO23" s="21"/>
      <c r="HGP23" s="21"/>
      <c r="HGQ23" s="21"/>
      <c r="HGR23" s="21"/>
      <c r="HGS23" s="21"/>
      <c r="HGT23" s="21"/>
      <c r="HGU23" s="21"/>
      <c r="HGV23" s="21"/>
      <c r="HGW23" s="21"/>
      <c r="HGX23" s="21"/>
      <c r="HGY23" s="21"/>
      <c r="HGZ23" s="21"/>
      <c r="HHA23" s="21"/>
      <c r="HHB23" s="21"/>
      <c r="HHC23" s="21"/>
      <c r="HHD23" s="21"/>
      <c r="HHE23" s="21"/>
      <c r="HHF23" s="21"/>
      <c r="HHG23" s="21"/>
      <c r="HHH23" s="21"/>
      <c r="HHI23" s="21"/>
      <c r="HHJ23" s="21"/>
      <c r="HHK23" s="21"/>
      <c r="HHL23" s="21"/>
      <c r="HHM23" s="21"/>
      <c r="HHN23" s="21"/>
      <c r="HHO23" s="21"/>
      <c r="HHP23" s="21"/>
      <c r="HHQ23" s="21"/>
      <c r="HHR23" s="21"/>
      <c r="HHS23" s="21"/>
      <c r="HHT23" s="21"/>
      <c r="HHU23" s="21"/>
      <c r="HHV23" s="21"/>
      <c r="HHW23" s="21"/>
      <c r="HHX23" s="21"/>
      <c r="HHY23" s="21"/>
      <c r="HHZ23" s="21"/>
      <c r="HIA23" s="21"/>
      <c r="HIB23" s="21"/>
      <c r="HIC23" s="21"/>
      <c r="HID23" s="21"/>
      <c r="HIE23" s="21"/>
      <c r="HIF23" s="21"/>
      <c r="HIG23" s="21"/>
      <c r="HIH23" s="21"/>
      <c r="HII23" s="21"/>
      <c r="HIJ23" s="21"/>
      <c r="HIK23" s="21"/>
      <c r="HIL23" s="21"/>
      <c r="HIM23" s="21"/>
      <c r="HIN23" s="21"/>
      <c r="HIO23" s="21"/>
      <c r="HIP23" s="21"/>
      <c r="HIQ23" s="21"/>
      <c r="HIR23" s="21"/>
      <c r="HIS23" s="21"/>
      <c r="HIT23" s="21"/>
      <c r="HIU23" s="21"/>
      <c r="HIV23" s="21"/>
      <c r="HIW23" s="21"/>
      <c r="HIX23" s="21"/>
      <c r="HIY23" s="21"/>
      <c r="HIZ23" s="21"/>
      <c r="HJA23" s="21"/>
      <c r="HJB23" s="21"/>
      <c r="HJC23" s="21"/>
      <c r="HJD23" s="21"/>
      <c r="HJE23" s="21"/>
      <c r="HJF23" s="21"/>
      <c r="HJG23" s="21"/>
      <c r="HJH23" s="21"/>
      <c r="HJI23" s="21"/>
      <c r="HJJ23" s="21"/>
      <c r="HJK23" s="21"/>
      <c r="HJL23" s="21"/>
      <c r="HJM23" s="21"/>
      <c r="HJN23" s="21"/>
      <c r="HJO23" s="21"/>
      <c r="HJP23" s="21"/>
      <c r="HJQ23" s="21"/>
      <c r="HJR23" s="21"/>
      <c r="HJS23" s="21"/>
      <c r="HJT23" s="21"/>
      <c r="HJU23" s="21"/>
      <c r="HJV23" s="21"/>
      <c r="HJW23" s="21"/>
      <c r="HJX23" s="21"/>
      <c r="HJY23" s="21"/>
      <c r="HJZ23" s="21"/>
      <c r="HKA23" s="21"/>
      <c r="HKB23" s="21"/>
      <c r="HKC23" s="21"/>
      <c r="HKD23" s="21"/>
      <c r="HKE23" s="21"/>
      <c r="HKF23" s="21"/>
      <c r="HKG23" s="21"/>
      <c r="HKH23" s="21"/>
      <c r="HKI23" s="21"/>
      <c r="HKJ23" s="21"/>
      <c r="HKK23" s="21"/>
      <c r="HKL23" s="21"/>
      <c r="HKM23" s="21"/>
      <c r="HKN23" s="21"/>
      <c r="HKO23" s="21"/>
      <c r="HKP23" s="21"/>
      <c r="HKQ23" s="21"/>
      <c r="HKR23" s="21"/>
      <c r="HKS23" s="21"/>
      <c r="HKT23" s="21"/>
      <c r="HKU23" s="21"/>
      <c r="HKV23" s="21"/>
      <c r="HKW23" s="21"/>
      <c r="HKX23" s="21"/>
      <c r="HKY23" s="21"/>
      <c r="HKZ23" s="21"/>
      <c r="HLA23" s="21"/>
      <c r="HLB23" s="21"/>
      <c r="HLC23" s="21"/>
      <c r="HLD23" s="21"/>
      <c r="HLE23" s="21"/>
      <c r="HLF23" s="21"/>
      <c r="HLG23" s="21"/>
      <c r="HLH23" s="21"/>
      <c r="HLI23" s="21"/>
      <c r="HLJ23" s="21"/>
      <c r="HLK23" s="21"/>
      <c r="HLL23" s="21"/>
      <c r="HLM23" s="21"/>
      <c r="HLN23" s="21"/>
      <c r="HLO23" s="21"/>
      <c r="HLP23" s="21"/>
      <c r="HLQ23" s="21"/>
      <c r="HLR23" s="21"/>
      <c r="HLS23" s="21"/>
      <c r="HLT23" s="21"/>
      <c r="HLU23" s="21"/>
      <c r="HLV23" s="21"/>
      <c r="HLW23" s="21"/>
      <c r="HLX23" s="21"/>
      <c r="HLY23" s="21"/>
      <c r="HLZ23" s="21"/>
      <c r="HMA23" s="21"/>
      <c r="HMB23" s="21"/>
      <c r="HMC23" s="21"/>
      <c r="HMD23" s="21"/>
      <c r="HME23" s="21"/>
      <c r="HMF23" s="21"/>
      <c r="HMG23" s="21"/>
      <c r="HMH23" s="21"/>
      <c r="HMI23" s="21"/>
      <c r="HMJ23" s="21"/>
      <c r="HMK23" s="21"/>
      <c r="HML23" s="21"/>
      <c r="HMM23" s="21"/>
      <c r="HMN23" s="21"/>
      <c r="HMO23" s="21"/>
      <c r="HMP23" s="21"/>
      <c r="HMQ23" s="21"/>
      <c r="HMR23" s="21"/>
      <c r="HMS23" s="21"/>
      <c r="HMT23" s="21"/>
      <c r="HMU23" s="21"/>
      <c r="HMV23" s="21"/>
      <c r="HMW23" s="21"/>
      <c r="HMX23" s="21"/>
      <c r="HMY23" s="21"/>
      <c r="HMZ23" s="21"/>
      <c r="HNA23" s="21"/>
      <c r="HNB23" s="21"/>
      <c r="HNC23" s="21"/>
      <c r="HND23" s="21"/>
      <c r="HNE23" s="21"/>
      <c r="HNF23" s="21"/>
      <c r="HNG23" s="21"/>
      <c r="HNH23" s="21"/>
      <c r="HNI23" s="21"/>
      <c r="HNJ23" s="21"/>
      <c r="HNK23" s="21"/>
      <c r="HNL23" s="21"/>
      <c r="HNM23" s="21"/>
      <c r="HNN23" s="21"/>
      <c r="HNO23" s="21"/>
      <c r="HNP23" s="21"/>
      <c r="HNQ23" s="21"/>
      <c r="HNR23" s="21"/>
      <c r="HNS23" s="21"/>
      <c r="HNT23" s="21"/>
      <c r="HNU23" s="21"/>
      <c r="HNV23" s="21"/>
      <c r="HNW23" s="21"/>
      <c r="HNX23" s="21"/>
      <c r="HNY23" s="21"/>
      <c r="HNZ23" s="21"/>
      <c r="HOA23" s="21"/>
      <c r="HOB23" s="21"/>
      <c r="HOC23" s="21"/>
      <c r="HOD23" s="21"/>
      <c r="HOE23" s="21"/>
      <c r="HOF23" s="21"/>
      <c r="HOG23" s="21"/>
      <c r="HOH23" s="21"/>
      <c r="HOI23" s="21"/>
      <c r="HOJ23" s="21"/>
      <c r="HOK23" s="21"/>
      <c r="HOL23" s="21"/>
      <c r="HOM23" s="21"/>
      <c r="HON23" s="21"/>
      <c r="HOO23" s="21"/>
      <c r="HOP23" s="21"/>
      <c r="HOQ23" s="21"/>
      <c r="HOR23" s="21"/>
      <c r="HOS23" s="21"/>
      <c r="HOT23" s="21"/>
      <c r="HOU23" s="21"/>
      <c r="HOV23" s="21"/>
      <c r="HOW23" s="21"/>
      <c r="HOX23" s="21"/>
      <c r="HOY23" s="21"/>
      <c r="HOZ23" s="21"/>
      <c r="HPA23" s="21"/>
      <c r="HPB23" s="21"/>
      <c r="HPC23" s="21"/>
      <c r="HPD23" s="21"/>
      <c r="HPE23" s="21"/>
      <c r="HPF23" s="21"/>
      <c r="HPG23" s="21"/>
      <c r="HPH23" s="21"/>
      <c r="HPI23" s="21"/>
      <c r="HPJ23" s="21"/>
      <c r="HPK23" s="21"/>
      <c r="HPL23" s="21"/>
      <c r="HPM23" s="21"/>
      <c r="HPN23" s="21"/>
      <c r="HPO23" s="21"/>
      <c r="HPP23" s="21"/>
      <c r="HPQ23" s="21"/>
      <c r="HPR23" s="21"/>
      <c r="HPS23" s="21"/>
      <c r="HPT23" s="21"/>
      <c r="HPU23" s="21"/>
      <c r="HPV23" s="21"/>
      <c r="HPW23" s="21"/>
      <c r="HPX23" s="21"/>
      <c r="HPY23" s="21"/>
      <c r="HPZ23" s="21"/>
      <c r="HQA23" s="21"/>
      <c r="HQB23" s="21"/>
      <c r="HQC23" s="21"/>
      <c r="HQD23" s="21"/>
      <c r="HQE23" s="21"/>
      <c r="HQF23" s="21"/>
      <c r="HQG23" s="21"/>
      <c r="HQH23" s="21"/>
      <c r="HQI23" s="21"/>
      <c r="HQJ23" s="21"/>
      <c r="HQK23" s="21"/>
      <c r="HQL23" s="21"/>
      <c r="HQM23" s="21"/>
      <c r="HQN23" s="21"/>
      <c r="HQO23" s="21"/>
      <c r="HQP23" s="21"/>
      <c r="HQQ23" s="21"/>
      <c r="HQR23" s="21"/>
      <c r="HQS23" s="21"/>
      <c r="HQT23" s="21"/>
      <c r="HQU23" s="21"/>
      <c r="HQV23" s="21"/>
      <c r="HQW23" s="21"/>
      <c r="HQX23" s="21"/>
      <c r="HQY23" s="21"/>
      <c r="HQZ23" s="21"/>
      <c r="HRA23" s="21"/>
      <c r="HRB23" s="21"/>
      <c r="HRC23" s="21"/>
      <c r="HRD23" s="21"/>
      <c r="HRE23" s="21"/>
      <c r="HRF23" s="21"/>
      <c r="HRG23" s="21"/>
      <c r="HRH23" s="21"/>
      <c r="HRI23" s="21"/>
      <c r="HRJ23" s="21"/>
      <c r="HRK23" s="21"/>
      <c r="HRL23" s="21"/>
      <c r="HRM23" s="21"/>
      <c r="HRN23" s="21"/>
      <c r="HRO23" s="21"/>
      <c r="HRP23" s="21"/>
      <c r="HRQ23" s="21"/>
      <c r="HRR23" s="21"/>
      <c r="HRS23" s="21"/>
      <c r="HRT23" s="21"/>
      <c r="HRU23" s="21"/>
      <c r="HRV23" s="21"/>
      <c r="HRW23" s="21"/>
      <c r="HRX23" s="21"/>
      <c r="HRY23" s="21"/>
      <c r="HRZ23" s="21"/>
      <c r="HSA23" s="21"/>
      <c r="HSB23" s="21"/>
      <c r="HSC23" s="21"/>
      <c r="HSD23" s="21"/>
      <c r="HSE23" s="21"/>
      <c r="HSF23" s="21"/>
      <c r="HSG23" s="21"/>
      <c r="HSH23" s="21"/>
      <c r="HSI23" s="21"/>
      <c r="HSJ23" s="21"/>
      <c r="HSK23" s="21"/>
      <c r="HSL23" s="21"/>
      <c r="HSM23" s="21"/>
      <c r="HSN23" s="21"/>
      <c r="HSO23" s="21"/>
      <c r="HSP23" s="21"/>
      <c r="HSQ23" s="21"/>
      <c r="HSR23" s="21"/>
      <c r="HSS23" s="21"/>
      <c r="HST23" s="21"/>
      <c r="HSU23" s="21"/>
      <c r="HSV23" s="21"/>
      <c r="HSW23" s="21"/>
      <c r="HSX23" s="21"/>
      <c r="HSY23" s="21"/>
      <c r="HSZ23" s="21"/>
      <c r="HTA23" s="21"/>
      <c r="HTB23" s="21"/>
      <c r="HTC23" s="21"/>
      <c r="HTD23" s="21"/>
      <c r="HTE23" s="21"/>
      <c r="HTF23" s="21"/>
      <c r="HTG23" s="21"/>
      <c r="HTH23" s="21"/>
      <c r="HTI23" s="21"/>
      <c r="HTJ23" s="21"/>
      <c r="HTK23" s="21"/>
      <c r="HTL23" s="21"/>
      <c r="HTM23" s="21"/>
      <c r="HTN23" s="21"/>
      <c r="HTO23" s="21"/>
      <c r="HTP23" s="21"/>
      <c r="HTQ23" s="21"/>
      <c r="HTR23" s="21"/>
      <c r="HTS23" s="21"/>
      <c r="HTT23" s="21"/>
      <c r="HTU23" s="21"/>
      <c r="HTV23" s="21"/>
      <c r="HTW23" s="21"/>
      <c r="HTX23" s="21"/>
      <c r="HTY23" s="21"/>
      <c r="HTZ23" s="21"/>
      <c r="HUA23" s="21"/>
      <c r="HUB23" s="21"/>
      <c r="HUC23" s="21"/>
      <c r="HUD23" s="21"/>
      <c r="HUE23" s="21"/>
      <c r="HUF23" s="21"/>
      <c r="HUG23" s="21"/>
      <c r="HUH23" s="21"/>
      <c r="HUI23" s="21"/>
      <c r="HUJ23" s="21"/>
      <c r="HUK23" s="21"/>
      <c r="HUL23" s="21"/>
      <c r="HUM23" s="21"/>
      <c r="HUN23" s="21"/>
      <c r="HUO23" s="21"/>
      <c r="HUP23" s="21"/>
      <c r="HUQ23" s="21"/>
      <c r="HUR23" s="21"/>
      <c r="HUS23" s="21"/>
      <c r="HUT23" s="21"/>
      <c r="HUU23" s="21"/>
      <c r="HUV23" s="21"/>
      <c r="HUW23" s="21"/>
      <c r="HUX23" s="21"/>
      <c r="HUY23" s="21"/>
      <c r="HUZ23" s="21"/>
      <c r="HVA23" s="21"/>
      <c r="HVB23" s="21"/>
      <c r="HVC23" s="21"/>
      <c r="HVD23" s="21"/>
      <c r="HVE23" s="21"/>
      <c r="HVF23" s="21"/>
      <c r="HVG23" s="21"/>
      <c r="HVH23" s="21"/>
      <c r="HVI23" s="21"/>
      <c r="HVJ23" s="21"/>
      <c r="HVK23" s="21"/>
      <c r="HVL23" s="21"/>
      <c r="HVM23" s="21"/>
      <c r="HVN23" s="21"/>
      <c r="HVO23" s="21"/>
      <c r="HVP23" s="21"/>
      <c r="HVQ23" s="21"/>
      <c r="HVR23" s="21"/>
      <c r="HVS23" s="21"/>
      <c r="HVT23" s="21"/>
      <c r="HVU23" s="21"/>
      <c r="HVV23" s="21"/>
      <c r="HVW23" s="21"/>
      <c r="HVX23" s="21"/>
      <c r="HVY23" s="21"/>
      <c r="HVZ23" s="21"/>
      <c r="HWA23" s="21"/>
      <c r="HWB23" s="21"/>
      <c r="HWC23" s="21"/>
      <c r="HWD23" s="21"/>
      <c r="HWE23" s="21"/>
      <c r="HWF23" s="21"/>
      <c r="HWG23" s="21"/>
      <c r="HWH23" s="21"/>
      <c r="HWI23" s="21"/>
      <c r="HWJ23" s="21"/>
      <c r="HWK23" s="21"/>
      <c r="HWL23" s="21"/>
      <c r="HWM23" s="21"/>
      <c r="HWN23" s="21"/>
      <c r="HWO23" s="21"/>
      <c r="HWP23" s="21"/>
      <c r="HWQ23" s="21"/>
      <c r="HWR23" s="21"/>
      <c r="HWS23" s="21"/>
      <c r="HWT23" s="21"/>
      <c r="HWU23" s="21"/>
      <c r="HWV23" s="21"/>
      <c r="HWW23" s="21"/>
      <c r="HWX23" s="21"/>
      <c r="HWY23" s="21"/>
      <c r="HWZ23" s="21"/>
      <c r="HXA23" s="21"/>
      <c r="HXB23" s="21"/>
      <c r="HXC23" s="21"/>
      <c r="HXD23" s="21"/>
      <c r="HXE23" s="21"/>
      <c r="HXF23" s="21"/>
      <c r="HXG23" s="21"/>
      <c r="HXH23" s="21"/>
      <c r="HXI23" s="21"/>
      <c r="HXJ23" s="21"/>
      <c r="HXK23" s="21"/>
      <c r="HXL23" s="21"/>
      <c r="HXM23" s="21"/>
      <c r="HXN23" s="21"/>
      <c r="HXO23" s="21"/>
      <c r="HXP23" s="21"/>
      <c r="HXQ23" s="21"/>
      <c r="HXR23" s="21"/>
      <c r="HXS23" s="21"/>
      <c r="HXT23" s="21"/>
      <c r="HXU23" s="21"/>
      <c r="HXV23" s="21"/>
      <c r="HXW23" s="21"/>
      <c r="HXX23" s="21"/>
      <c r="HXY23" s="21"/>
      <c r="HXZ23" s="21"/>
      <c r="HYA23" s="21"/>
      <c r="HYB23" s="21"/>
      <c r="HYC23" s="21"/>
      <c r="HYD23" s="21"/>
      <c r="HYE23" s="21"/>
      <c r="HYF23" s="21"/>
      <c r="HYG23" s="21"/>
      <c r="HYH23" s="21"/>
      <c r="HYI23" s="21"/>
      <c r="HYJ23" s="21"/>
      <c r="HYK23" s="21"/>
      <c r="HYL23" s="21"/>
      <c r="HYM23" s="21"/>
      <c r="HYN23" s="21"/>
      <c r="HYO23" s="21"/>
      <c r="HYP23" s="21"/>
      <c r="HYQ23" s="21"/>
      <c r="HYR23" s="21"/>
      <c r="HYS23" s="21"/>
      <c r="HYT23" s="21"/>
      <c r="HYU23" s="21"/>
      <c r="HYV23" s="21"/>
      <c r="HYW23" s="21"/>
      <c r="HYX23" s="21"/>
      <c r="HYY23" s="21"/>
      <c r="HYZ23" s="21"/>
      <c r="HZA23" s="21"/>
      <c r="HZB23" s="21"/>
      <c r="HZC23" s="21"/>
      <c r="HZD23" s="21"/>
      <c r="HZE23" s="21"/>
      <c r="HZF23" s="21"/>
      <c r="HZG23" s="21"/>
      <c r="HZH23" s="21"/>
      <c r="HZI23" s="21"/>
      <c r="HZJ23" s="21"/>
      <c r="HZK23" s="21"/>
      <c r="HZL23" s="21"/>
      <c r="HZM23" s="21"/>
      <c r="HZN23" s="21"/>
      <c r="HZO23" s="21"/>
      <c r="HZP23" s="21"/>
      <c r="HZQ23" s="21"/>
      <c r="HZR23" s="21"/>
      <c r="HZS23" s="21"/>
      <c r="HZT23" s="21"/>
      <c r="HZU23" s="21"/>
      <c r="HZV23" s="21"/>
      <c r="HZW23" s="21"/>
      <c r="HZX23" s="21"/>
      <c r="HZY23" s="21"/>
      <c r="HZZ23" s="21"/>
      <c r="IAA23" s="21"/>
      <c r="IAB23" s="21"/>
      <c r="IAC23" s="21"/>
      <c r="IAD23" s="21"/>
      <c r="IAE23" s="21"/>
      <c r="IAF23" s="21"/>
      <c r="IAG23" s="21"/>
      <c r="IAH23" s="21"/>
      <c r="IAI23" s="21"/>
      <c r="IAJ23" s="21"/>
      <c r="IAK23" s="21"/>
      <c r="IAL23" s="21"/>
      <c r="IAM23" s="21"/>
      <c r="IAN23" s="21"/>
      <c r="IAO23" s="21"/>
      <c r="IAP23" s="21"/>
      <c r="IAQ23" s="21"/>
      <c r="IAR23" s="21"/>
      <c r="IAS23" s="21"/>
      <c r="IAT23" s="21"/>
      <c r="IAU23" s="21"/>
      <c r="IAV23" s="21"/>
      <c r="IAW23" s="21"/>
      <c r="IAX23" s="21"/>
      <c r="IAY23" s="21"/>
      <c r="IAZ23" s="21"/>
      <c r="IBA23" s="21"/>
      <c r="IBB23" s="21"/>
      <c r="IBC23" s="21"/>
      <c r="IBD23" s="21"/>
      <c r="IBE23" s="21"/>
      <c r="IBF23" s="21"/>
      <c r="IBG23" s="21"/>
      <c r="IBH23" s="21"/>
      <c r="IBI23" s="21"/>
      <c r="IBJ23" s="21"/>
      <c r="IBK23" s="21"/>
      <c r="IBL23" s="21"/>
      <c r="IBM23" s="21"/>
      <c r="IBN23" s="21"/>
      <c r="IBO23" s="21"/>
      <c r="IBP23" s="21"/>
      <c r="IBQ23" s="21"/>
      <c r="IBR23" s="21"/>
      <c r="IBS23" s="21"/>
      <c r="IBT23" s="21"/>
      <c r="IBU23" s="21"/>
      <c r="IBV23" s="21"/>
      <c r="IBW23" s="21"/>
      <c r="IBX23" s="21"/>
      <c r="IBY23" s="21"/>
      <c r="IBZ23" s="21"/>
      <c r="ICA23" s="21"/>
      <c r="ICB23" s="21"/>
      <c r="ICC23" s="21"/>
      <c r="ICD23" s="21"/>
      <c r="ICE23" s="21"/>
      <c r="ICF23" s="21"/>
      <c r="ICG23" s="21"/>
      <c r="ICH23" s="21"/>
      <c r="ICI23" s="21"/>
      <c r="ICJ23" s="21"/>
      <c r="ICK23" s="21"/>
      <c r="ICL23" s="21"/>
      <c r="ICM23" s="21"/>
      <c r="ICN23" s="21"/>
      <c r="ICO23" s="21"/>
      <c r="ICP23" s="21"/>
      <c r="ICQ23" s="21"/>
      <c r="ICR23" s="21"/>
      <c r="ICS23" s="21"/>
      <c r="ICT23" s="21"/>
      <c r="ICU23" s="21"/>
      <c r="ICV23" s="21"/>
      <c r="ICW23" s="21"/>
      <c r="ICX23" s="21"/>
      <c r="ICY23" s="21"/>
      <c r="ICZ23" s="21"/>
      <c r="IDA23" s="21"/>
      <c r="IDB23" s="21"/>
      <c r="IDC23" s="21"/>
      <c r="IDD23" s="21"/>
      <c r="IDE23" s="21"/>
      <c r="IDF23" s="21"/>
      <c r="IDG23" s="21"/>
      <c r="IDH23" s="21"/>
      <c r="IDI23" s="21"/>
      <c r="IDJ23" s="21"/>
      <c r="IDK23" s="21"/>
      <c r="IDL23" s="21"/>
      <c r="IDM23" s="21"/>
      <c r="IDN23" s="21"/>
      <c r="IDO23" s="21"/>
      <c r="IDP23" s="21"/>
      <c r="IDQ23" s="21"/>
      <c r="IDR23" s="21"/>
      <c r="IDS23" s="21"/>
      <c r="IDT23" s="21"/>
      <c r="IDU23" s="21"/>
      <c r="IDV23" s="21"/>
      <c r="IDW23" s="21"/>
      <c r="IDX23" s="21"/>
      <c r="IDY23" s="21"/>
      <c r="IDZ23" s="21"/>
      <c r="IEA23" s="21"/>
      <c r="IEB23" s="21"/>
      <c r="IEC23" s="21"/>
      <c r="IED23" s="21"/>
      <c r="IEE23" s="21"/>
      <c r="IEF23" s="21"/>
      <c r="IEG23" s="21"/>
      <c r="IEH23" s="21"/>
      <c r="IEI23" s="21"/>
      <c r="IEJ23" s="21"/>
      <c r="IEK23" s="21"/>
      <c r="IEL23" s="21"/>
      <c r="IEM23" s="21"/>
      <c r="IEN23" s="21"/>
      <c r="IEO23" s="21"/>
      <c r="IEP23" s="21"/>
      <c r="IEQ23" s="21"/>
      <c r="IER23" s="21"/>
      <c r="IES23" s="21"/>
      <c r="IET23" s="21"/>
      <c r="IEU23" s="21"/>
      <c r="IEV23" s="21"/>
      <c r="IEW23" s="21"/>
      <c r="IEX23" s="21"/>
      <c r="IEY23" s="21"/>
      <c r="IEZ23" s="21"/>
      <c r="IFA23" s="21"/>
      <c r="IFB23" s="21"/>
      <c r="IFC23" s="21"/>
      <c r="IFD23" s="21"/>
      <c r="IFE23" s="21"/>
      <c r="IFF23" s="21"/>
      <c r="IFG23" s="21"/>
      <c r="IFH23" s="21"/>
      <c r="IFI23" s="21"/>
      <c r="IFJ23" s="21"/>
      <c r="IFK23" s="21"/>
      <c r="IFL23" s="21"/>
      <c r="IFM23" s="21"/>
      <c r="IFN23" s="21"/>
      <c r="IFO23" s="21"/>
      <c r="IFP23" s="21"/>
      <c r="IFQ23" s="21"/>
      <c r="IFR23" s="21"/>
      <c r="IFS23" s="21"/>
      <c r="IFT23" s="21"/>
      <c r="IFU23" s="21"/>
      <c r="IFV23" s="21"/>
      <c r="IFW23" s="21"/>
      <c r="IFX23" s="21"/>
      <c r="IFY23" s="21"/>
      <c r="IFZ23" s="21"/>
      <c r="IGA23" s="21"/>
      <c r="IGB23" s="21"/>
      <c r="IGC23" s="21"/>
      <c r="IGD23" s="21"/>
      <c r="IGE23" s="21"/>
      <c r="IGF23" s="21"/>
      <c r="IGG23" s="21"/>
      <c r="IGH23" s="21"/>
      <c r="IGI23" s="21"/>
      <c r="IGJ23" s="21"/>
      <c r="IGK23" s="21"/>
      <c r="IGL23" s="21"/>
      <c r="IGM23" s="21"/>
      <c r="IGN23" s="21"/>
      <c r="IGO23" s="21"/>
      <c r="IGP23" s="21"/>
      <c r="IGQ23" s="21"/>
      <c r="IGR23" s="21"/>
      <c r="IGS23" s="21"/>
      <c r="IGT23" s="21"/>
      <c r="IGU23" s="21"/>
      <c r="IGV23" s="21"/>
      <c r="IGW23" s="21"/>
      <c r="IGX23" s="21"/>
      <c r="IGY23" s="21"/>
      <c r="IGZ23" s="21"/>
      <c r="IHA23" s="21"/>
      <c r="IHB23" s="21"/>
      <c r="IHC23" s="21"/>
      <c r="IHD23" s="21"/>
      <c r="IHE23" s="21"/>
      <c r="IHF23" s="21"/>
      <c r="IHG23" s="21"/>
      <c r="IHH23" s="21"/>
      <c r="IHI23" s="21"/>
      <c r="IHJ23" s="21"/>
      <c r="IHK23" s="21"/>
      <c r="IHL23" s="21"/>
      <c r="IHM23" s="21"/>
      <c r="IHN23" s="21"/>
      <c r="IHO23" s="21"/>
      <c r="IHP23" s="21"/>
      <c r="IHQ23" s="21"/>
      <c r="IHR23" s="21"/>
      <c r="IHS23" s="21"/>
      <c r="IHT23" s="21"/>
      <c r="IHU23" s="21"/>
      <c r="IHV23" s="21"/>
      <c r="IHW23" s="21"/>
      <c r="IHX23" s="21"/>
      <c r="IHY23" s="21"/>
      <c r="IHZ23" s="21"/>
      <c r="IIA23" s="21"/>
      <c r="IIB23" s="21"/>
      <c r="IIC23" s="21"/>
      <c r="IID23" s="21"/>
      <c r="IIE23" s="21"/>
      <c r="IIF23" s="21"/>
      <c r="IIG23" s="21"/>
      <c r="IIH23" s="21"/>
      <c r="III23" s="21"/>
      <c r="IIJ23" s="21"/>
      <c r="IIK23" s="21"/>
      <c r="IIL23" s="21"/>
      <c r="IIM23" s="21"/>
      <c r="IIN23" s="21"/>
      <c r="IIO23" s="21"/>
      <c r="IIP23" s="21"/>
      <c r="IIQ23" s="21"/>
      <c r="IIR23" s="21"/>
      <c r="IIS23" s="21"/>
      <c r="IIT23" s="21"/>
      <c r="IIU23" s="21"/>
      <c r="IIV23" s="21"/>
      <c r="IIW23" s="21"/>
      <c r="IIX23" s="21"/>
      <c r="IIY23" s="21"/>
      <c r="IIZ23" s="21"/>
      <c r="IJA23" s="21"/>
      <c r="IJB23" s="21"/>
      <c r="IJC23" s="21"/>
      <c r="IJD23" s="21"/>
      <c r="IJE23" s="21"/>
      <c r="IJF23" s="21"/>
      <c r="IJG23" s="21"/>
      <c r="IJH23" s="21"/>
      <c r="IJI23" s="21"/>
      <c r="IJJ23" s="21"/>
      <c r="IJK23" s="21"/>
      <c r="IJL23" s="21"/>
      <c r="IJM23" s="21"/>
      <c r="IJN23" s="21"/>
      <c r="IJO23" s="21"/>
      <c r="IJP23" s="21"/>
      <c r="IJQ23" s="21"/>
      <c r="IJR23" s="21"/>
      <c r="IJS23" s="21"/>
      <c r="IJT23" s="21"/>
      <c r="IJU23" s="21"/>
      <c r="IJV23" s="21"/>
      <c r="IJW23" s="21"/>
      <c r="IJX23" s="21"/>
      <c r="IJY23" s="21"/>
      <c r="IJZ23" s="21"/>
      <c r="IKA23" s="21"/>
      <c r="IKB23" s="21"/>
      <c r="IKC23" s="21"/>
      <c r="IKD23" s="21"/>
      <c r="IKE23" s="21"/>
      <c r="IKF23" s="21"/>
      <c r="IKG23" s="21"/>
      <c r="IKH23" s="21"/>
      <c r="IKI23" s="21"/>
      <c r="IKJ23" s="21"/>
      <c r="IKK23" s="21"/>
      <c r="IKL23" s="21"/>
      <c r="IKM23" s="21"/>
      <c r="IKN23" s="21"/>
      <c r="IKO23" s="21"/>
      <c r="IKP23" s="21"/>
      <c r="IKQ23" s="21"/>
      <c r="IKR23" s="21"/>
      <c r="IKS23" s="21"/>
      <c r="IKT23" s="21"/>
      <c r="IKU23" s="21"/>
      <c r="IKV23" s="21"/>
      <c r="IKW23" s="21"/>
      <c r="IKX23" s="21"/>
      <c r="IKY23" s="21"/>
      <c r="IKZ23" s="21"/>
      <c r="ILA23" s="21"/>
      <c r="ILB23" s="21"/>
      <c r="ILC23" s="21"/>
      <c r="ILD23" s="21"/>
      <c r="ILE23" s="21"/>
      <c r="ILF23" s="21"/>
      <c r="ILG23" s="21"/>
      <c r="ILH23" s="21"/>
      <c r="ILI23" s="21"/>
      <c r="ILJ23" s="21"/>
      <c r="ILK23" s="21"/>
      <c r="ILL23" s="21"/>
      <c r="ILM23" s="21"/>
      <c r="ILN23" s="21"/>
      <c r="ILO23" s="21"/>
      <c r="ILP23" s="21"/>
      <c r="ILQ23" s="21"/>
      <c r="ILR23" s="21"/>
      <c r="ILS23" s="21"/>
      <c r="ILT23" s="21"/>
      <c r="ILU23" s="21"/>
      <c r="ILV23" s="21"/>
      <c r="ILW23" s="21"/>
      <c r="ILX23" s="21"/>
      <c r="ILY23" s="21"/>
      <c r="ILZ23" s="21"/>
      <c r="IMA23" s="21"/>
      <c r="IMB23" s="21"/>
      <c r="IMC23" s="21"/>
      <c r="IMD23" s="21"/>
      <c r="IME23" s="21"/>
      <c r="IMF23" s="21"/>
      <c r="IMG23" s="21"/>
      <c r="IMH23" s="21"/>
      <c r="IMI23" s="21"/>
      <c r="IMJ23" s="21"/>
      <c r="IMK23" s="21"/>
      <c r="IML23" s="21"/>
      <c r="IMM23" s="21"/>
      <c r="IMN23" s="21"/>
      <c r="IMO23" s="21"/>
      <c r="IMP23" s="21"/>
      <c r="IMQ23" s="21"/>
      <c r="IMR23" s="21"/>
      <c r="IMS23" s="21"/>
      <c r="IMT23" s="21"/>
      <c r="IMU23" s="21"/>
      <c r="IMV23" s="21"/>
      <c r="IMW23" s="21"/>
      <c r="IMX23" s="21"/>
      <c r="IMY23" s="21"/>
      <c r="IMZ23" s="21"/>
      <c r="INA23" s="21"/>
      <c r="INB23" s="21"/>
      <c r="INC23" s="21"/>
      <c r="IND23" s="21"/>
      <c r="INE23" s="21"/>
      <c r="INF23" s="21"/>
      <c r="ING23" s="21"/>
      <c r="INH23" s="21"/>
      <c r="INI23" s="21"/>
      <c r="INJ23" s="21"/>
      <c r="INK23" s="21"/>
      <c r="INL23" s="21"/>
      <c r="INM23" s="21"/>
      <c r="INN23" s="21"/>
      <c r="INO23" s="21"/>
      <c r="INP23" s="21"/>
      <c r="INQ23" s="21"/>
      <c r="INR23" s="21"/>
      <c r="INS23" s="21"/>
      <c r="INT23" s="21"/>
      <c r="INU23" s="21"/>
      <c r="INV23" s="21"/>
      <c r="INW23" s="21"/>
      <c r="INX23" s="21"/>
      <c r="INY23" s="21"/>
      <c r="INZ23" s="21"/>
      <c r="IOA23" s="21"/>
      <c r="IOB23" s="21"/>
      <c r="IOC23" s="21"/>
      <c r="IOD23" s="21"/>
      <c r="IOE23" s="21"/>
      <c r="IOF23" s="21"/>
      <c r="IOG23" s="21"/>
      <c r="IOH23" s="21"/>
      <c r="IOI23" s="21"/>
      <c r="IOJ23" s="21"/>
      <c r="IOK23" s="21"/>
      <c r="IOL23" s="21"/>
      <c r="IOM23" s="21"/>
      <c r="ION23" s="21"/>
      <c r="IOO23" s="21"/>
      <c r="IOP23" s="21"/>
      <c r="IOQ23" s="21"/>
      <c r="IOR23" s="21"/>
      <c r="IOS23" s="21"/>
      <c r="IOT23" s="21"/>
      <c r="IOU23" s="21"/>
      <c r="IOV23" s="21"/>
      <c r="IOW23" s="21"/>
      <c r="IOX23" s="21"/>
      <c r="IOY23" s="21"/>
      <c r="IOZ23" s="21"/>
      <c r="IPA23" s="21"/>
      <c r="IPB23" s="21"/>
      <c r="IPC23" s="21"/>
      <c r="IPD23" s="21"/>
      <c r="IPE23" s="21"/>
      <c r="IPF23" s="21"/>
      <c r="IPG23" s="21"/>
      <c r="IPH23" s="21"/>
      <c r="IPI23" s="21"/>
      <c r="IPJ23" s="21"/>
      <c r="IPK23" s="21"/>
      <c r="IPL23" s="21"/>
      <c r="IPM23" s="21"/>
      <c r="IPN23" s="21"/>
      <c r="IPO23" s="21"/>
      <c r="IPP23" s="21"/>
      <c r="IPQ23" s="21"/>
      <c r="IPR23" s="21"/>
      <c r="IPS23" s="21"/>
      <c r="IPT23" s="21"/>
      <c r="IPU23" s="21"/>
      <c r="IPV23" s="21"/>
      <c r="IPW23" s="21"/>
      <c r="IPX23" s="21"/>
      <c r="IPY23" s="21"/>
      <c r="IPZ23" s="21"/>
      <c r="IQA23" s="21"/>
      <c r="IQB23" s="21"/>
      <c r="IQC23" s="21"/>
      <c r="IQD23" s="21"/>
      <c r="IQE23" s="21"/>
      <c r="IQF23" s="21"/>
      <c r="IQG23" s="21"/>
      <c r="IQH23" s="21"/>
      <c r="IQI23" s="21"/>
      <c r="IQJ23" s="21"/>
      <c r="IQK23" s="21"/>
      <c r="IQL23" s="21"/>
      <c r="IQM23" s="21"/>
      <c r="IQN23" s="21"/>
      <c r="IQO23" s="21"/>
      <c r="IQP23" s="21"/>
      <c r="IQQ23" s="21"/>
      <c r="IQR23" s="21"/>
      <c r="IQS23" s="21"/>
      <c r="IQT23" s="21"/>
      <c r="IQU23" s="21"/>
      <c r="IQV23" s="21"/>
      <c r="IQW23" s="21"/>
      <c r="IQX23" s="21"/>
      <c r="IQY23" s="21"/>
      <c r="IQZ23" s="21"/>
      <c r="IRA23" s="21"/>
      <c r="IRB23" s="21"/>
      <c r="IRC23" s="21"/>
      <c r="IRD23" s="21"/>
      <c r="IRE23" s="21"/>
      <c r="IRF23" s="21"/>
      <c r="IRG23" s="21"/>
      <c r="IRH23" s="21"/>
      <c r="IRI23" s="21"/>
      <c r="IRJ23" s="21"/>
      <c r="IRK23" s="21"/>
      <c r="IRL23" s="21"/>
      <c r="IRM23" s="21"/>
      <c r="IRN23" s="21"/>
      <c r="IRO23" s="21"/>
      <c r="IRP23" s="21"/>
      <c r="IRQ23" s="21"/>
      <c r="IRR23" s="21"/>
      <c r="IRS23" s="21"/>
      <c r="IRT23" s="21"/>
      <c r="IRU23" s="21"/>
      <c r="IRV23" s="21"/>
      <c r="IRW23" s="21"/>
      <c r="IRX23" s="21"/>
      <c r="IRY23" s="21"/>
      <c r="IRZ23" s="21"/>
      <c r="ISA23" s="21"/>
      <c r="ISB23" s="21"/>
      <c r="ISC23" s="21"/>
      <c r="ISD23" s="21"/>
      <c r="ISE23" s="21"/>
      <c r="ISF23" s="21"/>
      <c r="ISG23" s="21"/>
      <c r="ISH23" s="21"/>
      <c r="ISI23" s="21"/>
      <c r="ISJ23" s="21"/>
      <c r="ISK23" s="21"/>
      <c r="ISL23" s="21"/>
      <c r="ISM23" s="21"/>
      <c r="ISN23" s="21"/>
      <c r="ISO23" s="21"/>
      <c r="ISP23" s="21"/>
      <c r="ISQ23" s="21"/>
      <c r="ISR23" s="21"/>
      <c r="ISS23" s="21"/>
      <c r="IST23" s="21"/>
      <c r="ISU23" s="21"/>
      <c r="ISV23" s="21"/>
      <c r="ISW23" s="21"/>
      <c r="ISX23" s="21"/>
      <c r="ISY23" s="21"/>
      <c r="ISZ23" s="21"/>
      <c r="ITA23" s="21"/>
      <c r="ITB23" s="21"/>
      <c r="ITC23" s="21"/>
      <c r="ITD23" s="21"/>
      <c r="ITE23" s="21"/>
      <c r="ITF23" s="21"/>
      <c r="ITG23" s="21"/>
      <c r="ITH23" s="21"/>
      <c r="ITI23" s="21"/>
      <c r="ITJ23" s="21"/>
      <c r="ITK23" s="21"/>
      <c r="ITL23" s="21"/>
      <c r="ITM23" s="21"/>
      <c r="ITN23" s="21"/>
      <c r="ITO23" s="21"/>
      <c r="ITP23" s="21"/>
      <c r="ITQ23" s="21"/>
      <c r="ITR23" s="21"/>
      <c r="ITS23" s="21"/>
      <c r="ITT23" s="21"/>
      <c r="ITU23" s="21"/>
      <c r="ITV23" s="21"/>
      <c r="ITW23" s="21"/>
      <c r="ITX23" s="21"/>
      <c r="ITY23" s="21"/>
      <c r="ITZ23" s="21"/>
      <c r="IUA23" s="21"/>
      <c r="IUB23" s="21"/>
      <c r="IUC23" s="21"/>
      <c r="IUD23" s="21"/>
      <c r="IUE23" s="21"/>
      <c r="IUF23" s="21"/>
      <c r="IUG23" s="21"/>
      <c r="IUH23" s="21"/>
      <c r="IUI23" s="21"/>
      <c r="IUJ23" s="21"/>
      <c r="IUK23" s="21"/>
      <c r="IUL23" s="21"/>
      <c r="IUM23" s="21"/>
      <c r="IUN23" s="21"/>
      <c r="IUO23" s="21"/>
      <c r="IUP23" s="21"/>
      <c r="IUQ23" s="21"/>
      <c r="IUR23" s="21"/>
      <c r="IUS23" s="21"/>
      <c r="IUT23" s="21"/>
      <c r="IUU23" s="21"/>
      <c r="IUV23" s="21"/>
      <c r="IUW23" s="21"/>
      <c r="IUX23" s="21"/>
      <c r="IUY23" s="21"/>
      <c r="IUZ23" s="21"/>
      <c r="IVA23" s="21"/>
      <c r="IVB23" s="21"/>
      <c r="IVC23" s="21"/>
      <c r="IVD23" s="21"/>
      <c r="IVE23" s="21"/>
      <c r="IVF23" s="21"/>
      <c r="IVG23" s="21"/>
      <c r="IVH23" s="21"/>
      <c r="IVI23" s="21"/>
      <c r="IVJ23" s="21"/>
      <c r="IVK23" s="21"/>
      <c r="IVL23" s="21"/>
      <c r="IVM23" s="21"/>
      <c r="IVN23" s="21"/>
      <c r="IVO23" s="21"/>
      <c r="IVP23" s="21"/>
      <c r="IVQ23" s="21"/>
      <c r="IVR23" s="21"/>
      <c r="IVS23" s="21"/>
      <c r="IVT23" s="21"/>
      <c r="IVU23" s="21"/>
      <c r="IVV23" s="21"/>
      <c r="IVW23" s="21"/>
      <c r="IVX23" s="21"/>
      <c r="IVY23" s="21"/>
      <c r="IVZ23" s="21"/>
      <c r="IWA23" s="21"/>
      <c r="IWB23" s="21"/>
      <c r="IWC23" s="21"/>
      <c r="IWD23" s="21"/>
      <c r="IWE23" s="21"/>
      <c r="IWF23" s="21"/>
      <c r="IWG23" s="21"/>
      <c r="IWH23" s="21"/>
      <c r="IWI23" s="21"/>
      <c r="IWJ23" s="21"/>
      <c r="IWK23" s="21"/>
      <c r="IWL23" s="21"/>
      <c r="IWM23" s="21"/>
      <c r="IWN23" s="21"/>
      <c r="IWO23" s="21"/>
      <c r="IWP23" s="21"/>
      <c r="IWQ23" s="21"/>
      <c r="IWR23" s="21"/>
      <c r="IWS23" s="21"/>
      <c r="IWT23" s="21"/>
      <c r="IWU23" s="21"/>
      <c r="IWV23" s="21"/>
      <c r="IWW23" s="21"/>
      <c r="IWX23" s="21"/>
      <c r="IWY23" s="21"/>
      <c r="IWZ23" s="21"/>
      <c r="IXA23" s="21"/>
      <c r="IXB23" s="21"/>
      <c r="IXC23" s="21"/>
      <c r="IXD23" s="21"/>
      <c r="IXE23" s="21"/>
      <c r="IXF23" s="21"/>
      <c r="IXG23" s="21"/>
      <c r="IXH23" s="21"/>
      <c r="IXI23" s="21"/>
      <c r="IXJ23" s="21"/>
      <c r="IXK23" s="21"/>
      <c r="IXL23" s="21"/>
      <c r="IXM23" s="21"/>
      <c r="IXN23" s="21"/>
      <c r="IXO23" s="21"/>
      <c r="IXP23" s="21"/>
      <c r="IXQ23" s="21"/>
      <c r="IXR23" s="21"/>
      <c r="IXS23" s="21"/>
      <c r="IXT23" s="21"/>
      <c r="IXU23" s="21"/>
      <c r="IXV23" s="21"/>
      <c r="IXW23" s="21"/>
      <c r="IXX23" s="21"/>
      <c r="IXY23" s="21"/>
      <c r="IXZ23" s="21"/>
      <c r="IYA23" s="21"/>
      <c r="IYB23" s="21"/>
      <c r="IYC23" s="21"/>
      <c r="IYD23" s="21"/>
      <c r="IYE23" s="21"/>
      <c r="IYF23" s="21"/>
      <c r="IYG23" s="21"/>
      <c r="IYH23" s="21"/>
      <c r="IYI23" s="21"/>
      <c r="IYJ23" s="21"/>
      <c r="IYK23" s="21"/>
      <c r="IYL23" s="21"/>
      <c r="IYM23" s="21"/>
      <c r="IYN23" s="21"/>
      <c r="IYO23" s="21"/>
      <c r="IYP23" s="21"/>
      <c r="IYQ23" s="21"/>
      <c r="IYR23" s="21"/>
      <c r="IYS23" s="21"/>
      <c r="IYT23" s="21"/>
      <c r="IYU23" s="21"/>
      <c r="IYV23" s="21"/>
      <c r="IYW23" s="21"/>
      <c r="IYX23" s="21"/>
      <c r="IYY23" s="21"/>
      <c r="IYZ23" s="21"/>
      <c r="IZA23" s="21"/>
      <c r="IZB23" s="21"/>
      <c r="IZC23" s="21"/>
      <c r="IZD23" s="21"/>
      <c r="IZE23" s="21"/>
      <c r="IZF23" s="21"/>
      <c r="IZG23" s="21"/>
      <c r="IZH23" s="21"/>
      <c r="IZI23" s="21"/>
      <c r="IZJ23" s="21"/>
      <c r="IZK23" s="21"/>
      <c r="IZL23" s="21"/>
      <c r="IZM23" s="21"/>
      <c r="IZN23" s="21"/>
      <c r="IZO23" s="21"/>
      <c r="IZP23" s="21"/>
      <c r="IZQ23" s="21"/>
      <c r="IZR23" s="21"/>
      <c r="IZS23" s="21"/>
      <c r="IZT23" s="21"/>
      <c r="IZU23" s="21"/>
      <c r="IZV23" s="21"/>
      <c r="IZW23" s="21"/>
      <c r="IZX23" s="21"/>
      <c r="IZY23" s="21"/>
      <c r="IZZ23" s="21"/>
      <c r="JAA23" s="21"/>
      <c r="JAB23" s="21"/>
      <c r="JAC23" s="21"/>
      <c r="JAD23" s="21"/>
      <c r="JAE23" s="21"/>
      <c r="JAF23" s="21"/>
      <c r="JAG23" s="21"/>
      <c r="JAH23" s="21"/>
      <c r="JAI23" s="21"/>
      <c r="JAJ23" s="21"/>
      <c r="JAK23" s="21"/>
      <c r="JAL23" s="21"/>
      <c r="JAM23" s="21"/>
      <c r="JAN23" s="21"/>
      <c r="JAO23" s="21"/>
      <c r="JAP23" s="21"/>
      <c r="JAQ23" s="21"/>
      <c r="JAR23" s="21"/>
      <c r="JAS23" s="21"/>
      <c r="JAT23" s="21"/>
      <c r="JAU23" s="21"/>
      <c r="JAV23" s="21"/>
      <c r="JAW23" s="21"/>
      <c r="JAX23" s="21"/>
      <c r="JAY23" s="21"/>
      <c r="JAZ23" s="21"/>
      <c r="JBA23" s="21"/>
      <c r="JBB23" s="21"/>
      <c r="JBC23" s="21"/>
      <c r="JBD23" s="21"/>
      <c r="JBE23" s="21"/>
      <c r="JBF23" s="21"/>
      <c r="JBG23" s="21"/>
      <c r="JBH23" s="21"/>
      <c r="JBI23" s="21"/>
      <c r="JBJ23" s="21"/>
      <c r="JBK23" s="21"/>
      <c r="JBL23" s="21"/>
      <c r="JBM23" s="21"/>
      <c r="JBN23" s="21"/>
      <c r="JBO23" s="21"/>
      <c r="JBP23" s="21"/>
      <c r="JBQ23" s="21"/>
      <c r="JBR23" s="21"/>
      <c r="JBS23" s="21"/>
      <c r="JBT23" s="21"/>
      <c r="JBU23" s="21"/>
      <c r="JBV23" s="21"/>
      <c r="JBW23" s="21"/>
      <c r="JBX23" s="21"/>
      <c r="JBY23" s="21"/>
      <c r="JBZ23" s="21"/>
      <c r="JCA23" s="21"/>
      <c r="JCB23" s="21"/>
      <c r="JCC23" s="21"/>
      <c r="JCD23" s="21"/>
      <c r="JCE23" s="21"/>
      <c r="JCF23" s="21"/>
      <c r="JCG23" s="21"/>
      <c r="JCH23" s="21"/>
      <c r="JCI23" s="21"/>
      <c r="JCJ23" s="21"/>
      <c r="JCK23" s="21"/>
      <c r="JCL23" s="21"/>
      <c r="JCM23" s="21"/>
      <c r="JCN23" s="21"/>
      <c r="JCO23" s="21"/>
      <c r="JCP23" s="21"/>
      <c r="JCQ23" s="21"/>
      <c r="JCR23" s="21"/>
      <c r="JCS23" s="21"/>
      <c r="JCT23" s="21"/>
      <c r="JCU23" s="21"/>
      <c r="JCV23" s="21"/>
      <c r="JCW23" s="21"/>
      <c r="JCX23" s="21"/>
      <c r="JCY23" s="21"/>
      <c r="JCZ23" s="21"/>
      <c r="JDA23" s="21"/>
      <c r="JDB23" s="21"/>
      <c r="JDC23" s="21"/>
      <c r="JDD23" s="21"/>
      <c r="JDE23" s="21"/>
      <c r="JDF23" s="21"/>
      <c r="JDG23" s="21"/>
      <c r="JDH23" s="21"/>
      <c r="JDI23" s="21"/>
      <c r="JDJ23" s="21"/>
      <c r="JDK23" s="21"/>
      <c r="JDL23" s="21"/>
      <c r="JDM23" s="21"/>
      <c r="JDN23" s="21"/>
      <c r="JDO23" s="21"/>
      <c r="JDP23" s="21"/>
      <c r="JDQ23" s="21"/>
      <c r="JDR23" s="21"/>
      <c r="JDS23" s="21"/>
      <c r="JDT23" s="21"/>
      <c r="JDU23" s="21"/>
      <c r="JDV23" s="21"/>
      <c r="JDW23" s="21"/>
      <c r="JDX23" s="21"/>
      <c r="JDY23" s="21"/>
      <c r="JDZ23" s="21"/>
      <c r="JEA23" s="21"/>
      <c r="JEB23" s="21"/>
      <c r="JEC23" s="21"/>
      <c r="JED23" s="21"/>
      <c r="JEE23" s="21"/>
      <c r="JEF23" s="21"/>
      <c r="JEG23" s="21"/>
      <c r="JEH23" s="21"/>
      <c r="JEI23" s="21"/>
      <c r="JEJ23" s="21"/>
      <c r="JEK23" s="21"/>
      <c r="JEL23" s="21"/>
      <c r="JEM23" s="21"/>
      <c r="JEN23" s="21"/>
      <c r="JEO23" s="21"/>
      <c r="JEP23" s="21"/>
      <c r="JEQ23" s="21"/>
      <c r="JER23" s="21"/>
      <c r="JES23" s="21"/>
      <c r="JET23" s="21"/>
      <c r="JEU23" s="21"/>
      <c r="JEV23" s="21"/>
      <c r="JEW23" s="21"/>
      <c r="JEX23" s="21"/>
      <c r="JEY23" s="21"/>
      <c r="JEZ23" s="21"/>
      <c r="JFA23" s="21"/>
      <c r="JFB23" s="21"/>
      <c r="JFC23" s="21"/>
      <c r="JFD23" s="21"/>
      <c r="JFE23" s="21"/>
      <c r="JFF23" s="21"/>
      <c r="JFG23" s="21"/>
      <c r="JFH23" s="21"/>
      <c r="JFI23" s="21"/>
      <c r="JFJ23" s="21"/>
      <c r="JFK23" s="21"/>
      <c r="JFL23" s="21"/>
      <c r="JFM23" s="21"/>
      <c r="JFN23" s="21"/>
      <c r="JFO23" s="21"/>
      <c r="JFP23" s="21"/>
      <c r="JFQ23" s="21"/>
      <c r="JFR23" s="21"/>
      <c r="JFS23" s="21"/>
      <c r="JFT23" s="21"/>
      <c r="JFU23" s="21"/>
      <c r="JFV23" s="21"/>
      <c r="JFW23" s="21"/>
      <c r="JFX23" s="21"/>
      <c r="JFY23" s="21"/>
      <c r="JFZ23" s="21"/>
      <c r="JGA23" s="21"/>
      <c r="JGB23" s="21"/>
      <c r="JGC23" s="21"/>
      <c r="JGD23" s="21"/>
      <c r="JGE23" s="21"/>
      <c r="JGF23" s="21"/>
      <c r="JGG23" s="21"/>
      <c r="JGH23" s="21"/>
      <c r="JGI23" s="21"/>
      <c r="JGJ23" s="21"/>
      <c r="JGK23" s="21"/>
      <c r="JGL23" s="21"/>
      <c r="JGM23" s="21"/>
      <c r="JGN23" s="21"/>
      <c r="JGO23" s="21"/>
      <c r="JGP23" s="21"/>
      <c r="JGQ23" s="21"/>
      <c r="JGR23" s="21"/>
      <c r="JGS23" s="21"/>
      <c r="JGT23" s="21"/>
      <c r="JGU23" s="21"/>
      <c r="JGV23" s="21"/>
      <c r="JGW23" s="21"/>
      <c r="JGX23" s="21"/>
      <c r="JGY23" s="21"/>
      <c r="JGZ23" s="21"/>
      <c r="JHA23" s="21"/>
      <c r="JHB23" s="21"/>
      <c r="JHC23" s="21"/>
      <c r="JHD23" s="21"/>
      <c r="JHE23" s="21"/>
      <c r="JHF23" s="21"/>
      <c r="JHG23" s="21"/>
      <c r="JHH23" s="21"/>
      <c r="JHI23" s="21"/>
      <c r="JHJ23" s="21"/>
      <c r="JHK23" s="21"/>
      <c r="JHL23" s="21"/>
      <c r="JHM23" s="21"/>
      <c r="JHN23" s="21"/>
      <c r="JHO23" s="21"/>
      <c r="JHP23" s="21"/>
      <c r="JHQ23" s="21"/>
      <c r="JHR23" s="21"/>
      <c r="JHS23" s="21"/>
      <c r="JHT23" s="21"/>
      <c r="JHU23" s="21"/>
      <c r="JHV23" s="21"/>
      <c r="JHW23" s="21"/>
      <c r="JHX23" s="21"/>
      <c r="JHY23" s="21"/>
      <c r="JHZ23" s="21"/>
      <c r="JIA23" s="21"/>
      <c r="JIB23" s="21"/>
      <c r="JIC23" s="21"/>
      <c r="JID23" s="21"/>
      <c r="JIE23" s="21"/>
      <c r="JIF23" s="21"/>
      <c r="JIG23" s="21"/>
      <c r="JIH23" s="21"/>
      <c r="JII23" s="21"/>
      <c r="JIJ23" s="21"/>
      <c r="JIK23" s="21"/>
      <c r="JIL23" s="21"/>
      <c r="JIM23" s="21"/>
      <c r="JIN23" s="21"/>
      <c r="JIO23" s="21"/>
      <c r="JIP23" s="21"/>
      <c r="JIQ23" s="21"/>
      <c r="JIR23" s="21"/>
      <c r="JIS23" s="21"/>
      <c r="JIT23" s="21"/>
      <c r="JIU23" s="21"/>
      <c r="JIV23" s="21"/>
      <c r="JIW23" s="21"/>
      <c r="JIX23" s="21"/>
      <c r="JIY23" s="21"/>
      <c r="JIZ23" s="21"/>
      <c r="JJA23" s="21"/>
      <c r="JJB23" s="21"/>
      <c r="JJC23" s="21"/>
      <c r="JJD23" s="21"/>
      <c r="JJE23" s="21"/>
      <c r="JJF23" s="21"/>
      <c r="JJG23" s="21"/>
      <c r="JJH23" s="21"/>
      <c r="JJI23" s="21"/>
      <c r="JJJ23" s="21"/>
      <c r="JJK23" s="21"/>
      <c r="JJL23" s="21"/>
      <c r="JJM23" s="21"/>
      <c r="JJN23" s="21"/>
      <c r="JJO23" s="21"/>
      <c r="JJP23" s="21"/>
      <c r="JJQ23" s="21"/>
      <c r="JJR23" s="21"/>
      <c r="JJS23" s="21"/>
      <c r="JJT23" s="21"/>
      <c r="JJU23" s="21"/>
      <c r="JJV23" s="21"/>
      <c r="JJW23" s="21"/>
      <c r="JJX23" s="21"/>
      <c r="JJY23" s="21"/>
      <c r="JJZ23" s="21"/>
      <c r="JKA23" s="21"/>
      <c r="JKB23" s="21"/>
      <c r="JKC23" s="21"/>
      <c r="JKD23" s="21"/>
      <c r="JKE23" s="21"/>
      <c r="JKF23" s="21"/>
      <c r="JKG23" s="21"/>
      <c r="JKH23" s="21"/>
      <c r="JKI23" s="21"/>
      <c r="JKJ23" s="21"/>
      <c r="JKK23" s="21"/>
      <c r="JKL23" s="21"/>
      <c r="JKM23" s="21"/>
      <c r="JKN23" s="21"/>
      <c r="JKO23" s="21"/>
      <c r="JKP23" s="21"/>
      <c r="JKQ23" s="21"/>
      <c r="JKR23" s="21"/>
      <c r="JKS23" s="21"/>
      <c r="JKT23" s="21"/>
      <c r="JKU23" s="21"/>
      <c r="JKV23" s="21"/>
      <c r="JKW23" s="21"/>
      <c r="JKX23" s="21"/>
      <c r="JKY23" s="21"/>
      <c r="JKZ23" s="21"/>
      <c r="JLA23" s="21"/>
      <c r="JLB23" s="21"/>
      <c r="JLC23" s="21"/>
      <c r="JLD23" s="21"/>
      <c r="JLE23" s="21"/>
      <c r="JLF23" s="21"/>
      <c r="JLG23" s="21"/>
      <c r="JLH23" s="21"/>
      <c r="JLI23" s="21"/>
      <c r="JLJ23" s="21"/>
      <c r="JLK23" s="21"/>
      <c r="JLL23" s="21"/>
      <c r="JLM23" s="21"/>
      <c r="JLN23" s="21"/>
      <c r="JLO23" s="21"/>
      <c r="JLP23" s="21"/>
      <c r="JLQ23" s="21"/>
      <c r="JLR23" s="21"/>
      <c r="JLS23" s="21"/>
      <c r="JLT23" s="21"/>
      <c r="JLU23" s="21"/>
      <c r="JLV23" s="21"/>
      <c r="JLW23" s="21"/>
      <c r="JLX23" s="21"/>
      <c r="JLY23" s="21"/>
      <c r="JLZ23" s="21"/>
      <c r="JMA23" s="21"/>
      <c r="JMB23" s="21"/>
      <c r="JMC23" s="21"/>
      <c r="JMD23" s="21"/>
      <c r="JME23" s="21"/>
      <c r="JMF23" s="21"/>
      <c r="JMG23" s="21"/>
      <c r="JMH23" s="21"/>
      <c r="JMI23" s="21"/>
      <c r="JMJ23" s="21"/>
      <c r="JMK23" s="21"/>
      <c r="JML23" s="21"/>
      <c r="JMM23" s="21"/>
      <c r="JMN23" s="21"/>
      <c r="JMO23" s="21"/>
      <c r="JMP23" s="21"/>
      <c r="JMQ23" s="21"/>
      <c r="JMR23" s="21"/>
      <c r="JMS23" s="21"/>
      <c r="JMT23" s="21"/>
      <c r="JMU23" s="21"/>
      <c r="JMV23" s="21"/>
      <c r="JMW23" s="21"/>
      <c r="JMX23" s="21"/>
      <c r="JMY23" s="21"/>
      <c r="JMZ23" s="21"/>
      <c r="JNA23" s="21"/>
      <c r="JNB23" s="21"/>
      <c r="JNC23" s="21"/>
      <c r="JND23" s="21"/>
      <c r="JNE23" s="21"/>
      <c r="JNF23" s="21"/>
      <c r="JNG23" s="21"/>
      <c r="JNH23" s="21"/>
      <c r="JNI23" s="21"/>
      <c r="JNJ23" s="21"/>
      <c r="JNK23" s="21"/>
      <c r="JNL23" s="21"/>
      <c r="JNM23" s="21"/>
      <c r="JNN23" s="21"/>
      <c r="JNO23" s="21"/>
      <c r="JNP23" s="21"/>
      <c r="JNQ23" s="21"/>
      <c r="JNR23" s="21"/>
      <c r="JNS23" s="21"/>
      <c r="JNT23" s="21"/>
      <c r="JNU23" s="21"/>
      <c r="JNV23" s="21"/>
      <c r="JNW23" s="21"/>
      <c r="JNX23" s="21"/>
      <c r="JNY23" s="21"/>
      <c r="JNZ23" s="21"/>
      <c r="JOA23" s="21"/>
      <c r="JOB23" s="21"/>
      <c r="JOC23" s="21"/>
      <c r="JOD23" s="21"/>
      <c r="JOE23" s="21"/>
      <c r="JOF23" s="21"/>
      <c r="JOG23" s="21"/>
      <c r="JOH23" s="21"/>
      <c r="JOI23" s="21"/>
      <c r="JOJ23" s="21"/>
      <c r="JOK23" s="21"/>
      <c r="JOL23" s="21"/>
      <c r="JOM23" s="21"/>
      <c r="JON23" s="21"/>
      <c r="JOO23" s="21"/>
      <c r="JOP23" s="21"/>
      <c r="JOQ23" s="21"/>
      <c r="JOR23" s="21"/>
      <c r="JOS23" s="21"/>
      <c r="JOT23" s="21"/>
      <c r="JOU23" s="21"/>
      <c r="JOV23" s="21"/>
      <c r="JOW23" s="21"/>
      <c r="JOX23" s="21"/>
      <c r="JOY23" s="21"/>
      <c r="JOZ23" s="21"/>
      <c r="JPA23" s="21"/>
      <c r="JPB23" s="21"/>
      <c r="JPC23" s="21"/>
      <c r="JPD23" s="21"/>
      <c r="JPE23" s="21"/>
      <c r="JPF23" s="21"/>
      <c r="JPG23" s="21"/>
      <c r="JPH23" s="21"/>
      <c r="JPI23" s="21"/>
      <c r="JPJ23" s="21"/>
      <c r="JPK23" s="21"/>
      <c r="JPL23" s="21"/>
      <c r="JPM23" s="21"/>
      <c r="JPN23" s="21"/>
      <c r="JPO23" s="21"/>
      <c r="JPP23" s="21"/>
      <c r="JPQ23" s="21"/>
      <c r="JPR23" s="21"/>
      <c r="JPS23" s="21"/>
      <c r="JPT23" s="21"/>
      <c r="JPU23" s="21"/>
      <c r="JPV23" s="21"/>
      <c r="JPW23" s="21"/>
      <c r="JPX23" s="21"/>
      <c r="JPY23" s="21"/>
      <c r="JPZ23" s="21"/>
      <c r="JQA23" s="21"/>
      <c r="JQB23" s="21"/>
      <c r="JQC23" s="21"/>
      <c r="JQD23" s="21"/>
      <c r="JQE23" s="21"/>
      <c r="JQF23" s="21"/>
      <c r="JQG23" s="21"/>
      <c r="JQH23" s="21"/>
      <c r="JQI23" s="21"/>
      <c r="JQJ23" s="21"/>
      <c r="JQK23" s="21"/>
      <c r="JQL23" s="21"/>
      <c r="JQM23" s="21"/>
      <c r="JQN23" s="21"/>
      <c r="JQO23" s="21"/>
      <c r="JQP23" s="21"/>
      <c r="JQQ23" s="21"/>
      <c r="JQR23" s="21"/>
      <c r="JQS23" s="21"/>
      <c r="JQT23" s="21"/>
      <c r="JQU23" s="21"/>
      <c r="JQV23" s="21"/>
      <c r="JQW23" s="21"/>
      <c r="JQX23" s="21"/>
      <c r="JQY23" s="21"/>
      <c r="JQZ23" s="21"/>
      <c r="JRA23" s="21"/>
      <c r="JRB23" s="21"/>
      <c r="JRC23" s="21"/>
      <c r="JRD23" s="21"/>
      <c r="JRE23" s="21"/>
      <c r="JRF23" s="21"/>
      <c r="JRG23" s="21"/>
      <c r="JRH23" s="21"/>
      <c r="JRI23" s="21"/>
      <c r="JRJ23" s="21"/>
      <c r="JRK23" s="21"/>
      <c r="JRL23" s="21"/>
      <c r="JRM23" s="21"/>
      <c r="JRN23" s="21"/>
      <c r="JRO23" s="21"/>
      <c r="JRP23" s="21"/>
      <c r="JRQ23" s="21"/>
      <c r="JRR23" s="21"/>
      <c r="JRS23" s="21"/>
      <c r="JRT23" s="21"/>
      <c r="JRU23" s="21"/>
      <c r="JRV23" s="21"/>
      <c r="JRW23" s="21"/>
      <c r="JRX23" s="21"/>
      <c r="JRY23" s="21"/>
      <c r="JRZ23" s="21"/>
      <c r="JSA23" s="21"/>
      <c r="JSB23" s="21"/>
      <c r="JSC23" s="21"/>
      <c r="JSD23" s="21"/>
      <c r="JSE23" s="21"/>
      <c r="JSF23" s="21"/>
      <c r="JSG23" s="21"/>
      <c r="JSH23" s="21"/>
      <c r="JSI23" s="21"/>
      <c r="JSJ23" s="21"/>
      <c r="JSK23" s="21"/>
      <c r="JSL23" s="21"/>
      <c r="JSM23" s="21"/>
      <c r="JSN23" s="21"/>
      <c r="JSO23" s="21"/>
      <c r="JSP23" s="21"/>
      <c r="JSQ23" s="21"/>
      <c r="JSR23" s="21"/>
      <c r="JSS23" s="21"/>
      <c r="JST23" s="21"/>
      <c r="JSU23" s="21"/>
      <c r="JSV23" s="21"/>
      <c r="JSW23" s="21"/>
      <c r="JSX23" s="21"/>
      <c r="JSY23" s="21"/>
      <c r="JSZ23" s="21"/>
      <c r="JTA23" s="21"/>
      <c r="JTB23" s="21"/>
      <c r="JTC23" s="21"/>
      <c r="JTD23" s="21"/>
      <c r="JTE23" s="21"/>
      <c r="JTF23" s="21"/>
      <c r="JTG23" s="21"/>
      <c r="JTH23" s="21"/>
      <c r="JTI23" s="21"/>
      <c r="JTJ23" s="21"/>
      <c r="JTK23" s="21"/>
      <c r="JTL23" s="21"/>
      <c r="JTM23" s="21"/>
      <c r="JTN23" s="21"/>
      <c r="JTO23" s="21"/>
      <c r="JTP23" s="21"/>
      <c r="JTQ23" s="21"/>
      <c r="JTR23" s="21"/>
      <c r="JTS23" s="21"/>
      <c r="JTT23" s="21"/>
      <c r="JTU23" s="21"/>
      <c r="JTV23" s="21"/>
      <c r="JTW23" s="21"/>
      <c r="JTX23" s="21"/>
      <c r="JTY23" s="21"/>
      <c r="JTZ23" s="21"/>
      <c r="JUA23" s="21"/>
      <c r="JUB23" s="21"/>
      <c r="JUC23" s="21"/>
      <c r="JUD23" s="21"/>
      <c r="JUE23" s="21"/>
      <c r="JUF23" s="21"/>
      <c r="JUG23" s="21"/>
      <c r="JUH23" s="21"/>
      <c r="JUI23" s="21"/>
      <c r="JUJ23" s="21"/>
      <c r="JUK23" s="21"/>
      <c r="JUL23" s="21"/>
      <c r="JUM23" s="21"/>
      <c r="JUN23" s="21"/>
      <c r="JUO23" s="21"/>
      <c r="JUP23" s="21"/>
      <c r="JUQ23" s="21"/>
      <c r="JUR23" s="21"/>
      <c r="JUS23" s="21"/>
      <c r="JUT23" s="21"/>
      <c r="JUU23" s="21"/>
      <c r="JUV23" s="21"/>
      <c r="JUW23" s="21"/>
      <c r="JUX23" s="21"/>
      <c r="JUY23" s="21"/>
      <c r="JUZ23" s="21"/>
      <c r="JVA23" s="21"/>
      <c r="JVB23" s="21"/>
      <c r="JVC23" s="21"/>
      <c r="JVD23" s="21"/>
      <c r="JVE23" s="21"/>
      <c r="JVF23" s="21"/>
      <c r="JVG23" s="21"/>
      <c r="JVH23" s="21"/>
      <c r="JVI23" s="21"/>
      <c r="JVJ23" s="21"/>
      <c r="JVK23" s="21"/>
      <c r="JVL23" s="21"/>
      <c r="JVM23" s="21"/>
      <c r="JVN23" s="21"/>
      <c r="JVO23" s="21"/>
      <c r="JVP23" s="21"/>
      <c r="JVQ23" s="21"/>
      <c r="JVR23" s="21"/>
      <c r="JVS23" s="21"/>
      <c r="JVT23" s="21"/>
      <c r="JVU23" s="21"/>
      <c r="JVV23" s="21"/>
      <c r="JVW23" s="21"/>
      <c r="JVX23" s="21"/>
      <c r="JVY23" s="21"/>
      <c r="JVZ23" s="21"/>
      <c r="JWA23" s="21"/>
      <c r="JWB23" s="21"/>
      <c r="JWC23" s="21"/>
      <c r="JWD23" s="21"/>
      <c r="JWE23" s="21"/>
      <c r="JWF23" s="21"/>
      <c r="JWG23" s="21"/>
      <c r="JWH23" s="21"/>
      <c r="JWI23" s="21"/>
      <c r="JWJ23" s="21"/>
      <c r="JWK23" s="21"/>
      <c r="JWL23" s="21"/>
      <c r="JWM23" s="21"/>
      <c r="JWN23" s="21"/>
      <c r="JWO23" s="21"/>
      <c r="JWP23" s="21"/>
      <c r="JWQ23" s="21"/>
      <c r="JWR23" s="21"/>
      <c r="JWS23" s="21"/>
      <c r="JWT23" s="21"/>
      <c r="JWU23" s="21"/>
      <c r="JWV23" s="21"/>
      <c r="JWW23" s="21"/>
      <c r="JWX23" s="21"/>
      <c r="JWY23" s="21"/>
      <c r="JWZ23" s="21"/>
      <c r="JXA23" s="21"/>
      <c r="JXB23" s="21"/>
      <c r="JXC23" s="21"/>
      <c r="JXD23" s="21"/>
      <c r="JXE23" s="21"/>
      <c r="JXF23" s="21"/>
      <c r="JXG23" s="21"/>
      <c r="JXH23" s="21"/>
      <c r="JXI23" s="21"/>
      <c r="JXJ23" s="21"/>
      <c r="JXK23" s="21"/>
      <c r="JXL23" s="21"/>
      <c r="JXM23" s="21"/>
      <c r="JXN23" s="21"/>
      <c r="JXO23" s="21"/>
      <c r="JXP23" s="21"/>
      <c r="JXQ23" s="21"/>
      <c r="JXR23" s="21"/>
      <c r="JXS23" s="21"/>
      <c r="JXT23" s="21"/>
      <c r="JXU23" s="21"/>
      <c r="JXV23" s="21"/>
      <c r="JXW23" s="21"/>
      <c r="JXX23" s="21"/>
      <c r="JXY23" s="21"/>
      <c r="JXZ23" s="21"/>
      <c r="JYA23" s="21"/>
      <c r="JYB23" s="21"/>
      <c r="JYC23" s="21"/>
      <c r="JYD23" s="21"/>
      <c r="JYE23" s="21"/>
      <c r="JYF23" s="21"/>
      <c r="JYG23" s="21"/>
      <c r="JYH23" s="21"/>
      <c r="JYI23" s="21"/>
      <c r="JYJ23" s="21"/>
      <c r="JYK23" s="21"/>
      <c r="JYL23" s="21"/>
      <c r="JYM23" s="21"/>
      <c r="JYN23" s="21"/>
      <c r="JYO23" s="21"/>
      <c r="JYP23" s="21"/>
      <c r="JYQ23" s="21"/>
      <c r="JYR23" s="21"/>
      <c r="JYS23" s="21"/>
      <c r="JYT23" s="21"/>
      <c r="JYU23" s="21"/>
      <c r="JYV23" s="21"/>
      <c r="JYW23" s="21"/>
      <c r="JYX23" s="21"/>
      <c r="JYY23" s="21"/>
      <c r="JYZ23" s="21"/>
      <c r="JZA23" s="21"/>
      <c r="JZB23" s="21"/>
      <c r="JZC23" s="21"/>
      <c r="JZD23" s="21"/>
      <c r="JZE23" s="21"/>
      <c r="JZF23" s="21"/>
      <c r="JZG23" s="21"/>
      <c r="JZH23" s="21"/>
      <c r="JZI23" s="21"/>
      <c r="JZJ23" s="21"/>
      <c r="JZK23" s="21"/>
      <c r="JZL23" s="21"/>
      <c r="JZM23" s="21"/>
      <c r="JZN23" s="21"/>
      <c r="JZO23" s="21"/>
      <c r="JZP23" s="21"/>
      <c r="JZQ23" s="21"/>
      <c r="JZR23" s="21"/>
      <c r="JZS23" s="21"/>
      <c r="JZT23" s="21"/>
      <c r="JZU23" s="21"/>
      <c r="JZV23" s="21"/>
      <c r="JZW23" s="21"/>
      <c r="JZX23" s="21"/>
      <c r="JZY23" s="21"/>
      <c r="JZZ23" s="21"/>
      <c r="KAA23" s="21"/>
      <c r="KAB23" s="21"/>
      <c r="KAC23" s="21"/>
      <c r="KAD23" s="21"/>
      <c r="KAE23" s="21"/>
      <c r="KAF23" s="21"/>
      <c r="KAG23" s="21"/>
      <c r="KAH23" s="21"/>
      <c r="KAI23" s="21"/>
      <c r="KAJ23" s="21"/>
      <c r="KAK23" s="21"/>
      <c r="KAL23" s="21"/>
      <c r="KAM23" s="21"/>
      <c r="KAN23" s="21"/>
      <c r="KAO23" s="21"/>
      <c r="KAP23" s="21"/>
      <c r="KAQ23" s="21"/>
      <c r="KAR23" s="21"/>
      <c r="KAS23" s="21"/>
      <c r="KAT23" s="21"/>
      <c r="KAU23" s="21"/>
      <c r="KAV23" s="21"/>
      <c r="KAW23" s="21"/>
      <c r="KAX23" s="21"/>
      <c r="KAY23" s="21"/>
      <c r="KAZ23" s="21"/>
      <c r="KBA23" s="21"/>
      <c r="KBB23" s="21"/>
      <c r="KBC23" s="21"/>
      <c r="KBD23" s="21"/>
      <c r="KBE23" s="21"/>
      <c r="KBF23" s="21"/>
      <c r="KBG23" s="21"/>
      <c r="KBH23" s="21"/>
      <c r="KBI23" s="21"/>
      <c r="KBJ23" s="21"/>
      <c r="KBK23" s="21"/>
      <c r="KBL23" s="21"/>
      <c r="KBM23" s="21"/>
      <c r="KBN23" s="21"/>
      <c r="KBO23" s="21"/>
      <c r="KBP23" s="21"/>
      <c r="KBQ23" s="21"/>
      <c r="KBR23" s="21"/>
      <c r="KBS23" s="21"/>
      <c r="KBT23" s="21"/>
      <c r="KBU23" s="21"/>
      <c r="KBV23" s="21"/>
      <c r="KBW23" s="21"/>
      <c r="KBX23" s="21"/>
      <c r="KBY23" s="21"/>
      <c r="KBZ23" s="21"/>
      <c r="KCA23" s="21"/>
      <c r="KCB23" s="21"/>
      <c r="KCC23" s="21"/>
      <c r="KCD23" s="21"/>
      <c r="KCE23" s="21"/>
      <c r="KCF23" s="21"/>
      <c r="KCG23" s="21"/>
      <c r="KCH23" s="21"/>
      <c r="KCI23" s="21"/>
      <c r="KCJ23" s="21"/>
      <c r="KCK23" s="21"/>
      <c r="KCL23" s="21"/>
      <c r="KCM23" s="21"/>
      <c r="KCN23" s="21"/>
      <c r="KCO23" s="21"/>
      <c r="KCP23" s="21"/>
      <c r="KCQ23" s="21"/>
      <c r="KCR23" s="21"/>
      <c r="KCS23" s="21"/>
      <c r="KCT23" s="21"/>
      <c r="KCU23" s="21"/>
      <c r="KCV23" s="21"/>
      <c r="KCW23" s="21"/>
      <c r="KCX23" s="21"/>
      <c r="KCY23" s="21"/>
      <c r="KCZ23" s="21"/>
      <c r="KDA23" s="21"/>
      <c r="KDB23" s="21"/>
      <c r="KDC23" s="21"/>
      <c r="KDD23" s="21"/>
      <c r="KDE23" s="21"/>
      <c r="KDF23" s="21"/>
      <c r="KDG23" s="21"/>
      <c r="KDH23" s="21"/>
      <c r="KDI23" s="21"/>
      <c r="KDJ23" s="21"/>
      <c r="KDK23" s="21"/>
      <c r="KDL23" s="21"/>
      <c r="KDM23" s="21"/>
      <c r="KDN23" s="21"/>
      <c r="KDO23" s="21"/>
      <c r="KDP23" s="21"/>
      <c r="KDQ23" s="21"/>
      <c r="KDR23" s="21"/>
      <c r="KDS23" s="21"/>
      <c r="KDT23" s="21"/>
      <c r="KDU23" s="21"/>
      <c r="KDV23" s="21"/>
      <c r="KDW23" s="21"/>
      <c r="KDX23" s="21"/>
      <c r="KDY23" s="21"/>
      <c r="KDZ23" s="21"/>
      <c r="KEA23" s="21"/>
      <c r="KEB23" s="21"/>
      <c r="KEC23" s="21"/>
      <c r="KED23" s="21"/>
      <c r="KEE23" s="21"/>
      <c r="KEF23" s="21"/>
      <c r="KEG23" s="21"/>
      <c r="KEH23" s="21"/>
      <c r="KEI23" s="21"/>
      <c r="KEJ23" s="21"/>
      <c r="KEK23" s="21"/>
      <c r="KEL23" s="21"/>
      <c r="KEM23" s="21"/>
      <c r="KEN23" s="21"/>
      <c r="KEO23" s="21"/>
      <c r="KEP23" s="21"/>
      <c r="KEQ23" s="21"/>
      <c r="KER23" s="21"/>
      <c r="KES23" s="21"/>
      <c r="KET23" s="21"/>
      <c r="KEU23" s="21"/>
      <c r="KEV23" s="21"/>
      <c r="KEW23" s="21"/>
      <c r="KEX23" s="21"/>
      <c r="KEY23" s="21"/>
      <c r="KEZ23" s="21"/>
      <c r="KFA23" s="21"/>
      <c r="KFB23" s="21"/>
      <c r="KFC23" s="21"/>
      <c r="KFD23" s="21"/>
      <c r="KFE23" s="21"/>
      <c r="KFF23" s="21"/>
      <c r="KFG23" s="21"/>
      <c r="KFH23" s="21"/>
      <c r="KFI23" s="21"/>
      <c r="KFJ23" s="21"/>
      <c r="KFK23" s="21"/>
      <c r="KFL23" s="21"/>
      <c r="KFM23" s="21"/>
      <c r="KFN23" s="21"/>
      <c r="KFO23" s="21"/>
      <c r="KFP23" s="21"/>
      <c r="KFQ23" s="21"/>
      <c r="KFR23" s="21"/>
      <c r="KFS23" s="21"/>
      <c r="KFT23" s="21"/>
      <c r="KFU23" s="21"/>
      <c r="KFV23" s="21"/>
      <c r="KFW23" s="21"/>
      <c r="KFX23" s="21"/>
      <c r="KFY23" s="21"/>
      <c r="KFZ23" s="21"/>
      <c r="KGA23" s="21"/>
      <c r="KGB23" s="21"/>
      <c r="KGC23" s="21"/>
      <c r="KGD23" s="21"/>
      <c r="KGE23" s="21"/>
      <c r="KGF23" s="21"/>
      <c r="KGG23" s="21"/>
      <c r="KGH23" s="21"/>
      <c r="KGI23" s="21"/>
      <c r="KGJ23" s="21"/>
      <c r="KGK23" s="21"/>
      <c r="KGL23" s="21"/>
      <c r="KGM23" s="21"/>
      <c r="KGN23" s="21"/>
      <c r="KGO23" s="21"/>
      <c r="KGP23" s="21"/>
      <c r="KGQ23" s="21"/>
      <c r="KGR23" s="21"/>
      <c r="KGS23" s="21"/>
      <c r="KGT23" s="21"/>
      <c r="KGU23" s="21"/>
      <c r="KGV23" s="21"/>
      <c r="KGW23" s="21"/>
      <c r="KGX23" s="21"/>
      <c r="KGY23" s="21"/>
      <c r="KGZ23" s="21"/>
      <c r="KHA23" s="21"/>
      <c r="KHB23" s="21"/>
      <c r="KHC23" s="21"/>
      <c r="KHD23" s="21"/>
      <c r="KHE23" s="21"/>
      <c r="KHF23" s="21"/>
      <c r="KHG23" s="21"/>
      <c r="KHH23" s="21"/>
      <c r="KHI23" s="21"/>
      <c r="KHJ23" s="21"/>
      <c r="KHK23" s="21"/>
      <c r="KHL23" s="21"/>
      <c r="KHM23" s="21"/>
      <c r="KHN23" s="21"/>
      <c r="KHO23" s="21"/>
      <c r="KHP23" s="21"/>
      <c r="KHQ23" s="21"/>
      <c r="KHR23" s="21"/>
      <c r="KHS23" s="21"/>
      <c r="KHT23" s="21"/>
      <c r="KHU23" s="21"/>
      <c r="KHV23" s="21"/>
      <c r="KHW23" s="21"/>
      <c r="KHX23" s="21"/>
      <c r="KHY23" s="21"/>
      <c r="KHZ23" s="21"/>
      <c r="KIA23" s="21"/>
      <c r="KIB23" s="21"/>
      <c r="KIC23" s="21"/>
      <c r="KID23" s="21"/>
      <c r="KIE23" s="21"/>
      <c r="KIF23" s="21"/>
      <c r="KIG23" s="21"/>
      <c r="KIH23" s="21"/>
      <c r="KII23" s="21"/>
      <c r="KIJ23" s="21"/>
      <c r="KIK23" s="21"/>
      <c r="KIL23" s="21"/>
      <c r="KIM23" s="21"/>
      <c r="KIN23" s="21"/>
      <c r="KIO23" s="21"/>
      <c r="KIP23" s="21"/>
      <c r="KIQ23" s="21"/>
      <c r="KIR23" s="21"/>
      <c r="KIS23" s="21"/>
      <c r="KIT23" s="21"/>
      <c r="KIU23" s="21"/>
      <c r="KIV23" s="21"/>
      <c r="KIW23" s="21"/>
      <c r="KIX23" s="21"/>
      <c r="KIY23" s="21"/>
      <c r="KIZ23" s="21"/>
      <c r="KJA23" s="21"/>
      <c r="KJB23" s="21"/>
      <c r="KJC23" s="21"/>
      <c r="KJD23" s="21"/>
      <c r="KJE23" s="21"/>
      <c r="KJF23" s="21"/>
      <c r="KJG23" s="21"/>
      <c r="KJH23" s="21"/>
      <c r="KJI23" s="21"/>
      <c r="KJJ23" s="21"/>
      <c r="KJK23" s="21"/>
      <c r="KJL23" s="21"/>
      <c r="KJM23" s="21"/>
      <c r="KJN23" s="21"/>
      <c r="KJO23" s="21"/>
      <c r="KJP23" s="21"/>
      <c r="KJQ23" s="21"/>
      <c r="KJR23" s="21"/>
      <c r="KJS23" s="21"/>
      <c r="KJT23" s="21"/>
      <c r="KJU23" s="21"/>
      <c r="KJV23" s="21"/>
      <c r="KJW23" s="21"/>
      <c r="KJX23" s="21"/>
      <c r="KJY23" s="21"/>
      <c r="KJZ23" s="21"/>
      <c r="KKA23" s="21"/>
      <c r="KKB23" s="21"/>
      <c r="KKC23" s="21"/>
      <c r="KKD23" s="21"/>
      <c r="KKE23" s="21"/>
      <c r="KKF23" s="21"/>
      <c r="KKG23" s="21"/>
      <c r="KKH23" s="21"/>
      <c r="KKI23" s="21"/>
      <c r="KKJ23" s="21"/>
      <c r="KKK23" s="21"/>
      <c r="KKL23" s="21"/>
      <c r="KKM23" s="21"/>
      <c r="KKN23" s="21"/>
      <c r="KKO23" s="21"/>
      <c r="KKP23" s="21"/>
      <c r="KKQ23" s="21"/>
      <c r="KKR23" s="21"/>
      <c r="KKS23" s="21"/>
      <c r="KKT23" s="21"/>
      <c r="KKU23" s="21"/>
      <c r="KKV23" s="21"/>
      <c r="KKW23" s="21"/>
      <c r="KKX23" s="21"/>
      <c r="KKY23" s="21"/>
      <c r="KKZ23" s="21"/>
      <c r="KLA23" s="21"/>
      <c r="KLB23" s="21"/>
      <c r="KLC23" s="21"/>
      <c r="KLD23" s="21"/>
      <c r="KLE23" s="21"/>
      <c r="KLF23" s="21"/>
      <c r="KLG23" s="21"/>
      <c r="KLH23" s="21"/>
      <c r="KLI23" s="21"/>
      <c r="KLJ23" s="21"/>
      <c r="KLK23" s="21"/>
      <c r="KLL23" s="21"/>
      <c r="KLM23" s="21"/>
      <c r="KLN23" s="21"/>
      <c r="KLO23" s="21"/>
      <c r="KLP23" s="21"/>
      <c r="KLQ23" s="21"/>
      <c r="KLR23" s="21"/>
      <c r="KLS23" s="21"/>
      <c r="KLT23" s="21"/>
      <c r="KLU23" s="21"/>
      <c r="KLV23" s="21"/>
      <c r="KLW23" s="21"/>
      <c r="KLX23" s="21"/>
      <c r="KLY23" s="21"/>
      <c r="KLZ23" s="21"/>
      <c r="KMA23" s="21"/>
      <c r="KMB23" s="21"/>
      <c r="KMC23" s="21"/>
      <c r="KMD23" s="21"/>
      <c r="KME23" s="21"/>
      <c r="KMF23" s="21"/>
      <c r="KMG23" s="21"/>
      <c r="KMH23" s="21"/>
      <c r="KMI23" s="21"/>
      <c r="KMJ23" s="21"/>
      <c r="KMK23" s="21"/>
      <c r="KML23" s="21"/>
      <c r="KMM23" s="21"/>
      <c r="KMN23" s="21"/>
      <c r="KMO23" s="21"/>
      <c r="KMP23" s="21"/>
      <c r="KMQ23" s="21"/>
      <c r="KMR23" s="21"/>
      <c r="KMS23" s="21"/>
      <c r="KMT23" s="21"/>
      <c r="KMU23" s="21"/>
      <c r="KMV23" s="21"/>
      <c r="KMW23" s="21"/>
      <c r="KMX23" s="21"/>
      <c r="KMY23" s="21"/>
      <c r="KMZ23" s="21"/>
      <c r="KNA23" s="21"/>
      <c r="KNB23" s="21"/>
      <c r="KNC23" s="21"/>
      <c r="KND23" s="21"/>
      <c r="KNE23" s="21"/>
      <c r="KNF23" s="21"/>
      <c r="KNG23" s="21"/>
      <c r="KNH23" s="21"/>
      <c r="KNI23" s="21"/>
      <c r="KNJ23" s="21"/>
      <c r="KNK23" s="21"/>
      <c r="KNL23" s="21"/>
      <c r="KNM23" s="21"/>
      <c r="KNN23" s="21"/>
      <c r="KNO23" s="21"/>
      <c r="KNP23" s="21"/>
      <c r="KNQ23" s="21"/>
      <c r="KNR23" s="21"/>
      <c r="KNS23" s="21"/>
      <c r="KNT23" s="21"/>
      <c r="KNU23" s="21"/>
      <c r="KNV23" s="21"/>
      <c r="KNW23" s="21"/>
      <c r="KNX23" s="21"/>
      <c r="KNY23" s="21"/>
      <c r="KNZ23" s="21"/>
      <c r="KOA23" s="21"/>
      <c r="KOB23" s="21"/>
      <c r="KOC23" s="21"/>
      <c r="KOD23" s="21"/>
      <c r="KOE23" s="21"/>
      <c r="KOF23" s="21"/>
      <c r="KOG23" s="21"/>
      <c r="KOH23" s="21"/>
      <c r="KOI23" s="21"/>
      <c r="KOJ23" s="21"/>
      <c r="KOK23" s="21"/>
      <c r="KOL23" s="21"/>
      <c r="KOM23" s="21"/>
      <c r="KON23" s="21"/>
      <c r="KOO23" s="21"/>
      <c r="KOP23" s="21"/>
      <c r="KOQ23" s="21"/>
      <c r="KOR23" s="21"/>
      <c r="KOS23" s="21"/>
      <c r="KOT23" s="21"/>
      <c r="KOU23" s="21"/>
      <c r="KOV23" s="21"/>
      <c r="KOW23" s="21"/>
      <c r="KOX23" s="21"/>
      <c r="KOY23" s="21"/>
      <c r="KOZ23" s="21"/>
      <c r="KPA23" s="21"/>
      <c r="KPB23" s="21"/>
      <c r="KPC23" s="21"/>
      <c r="KPD23" s="21"/>
      <c r="KPE23" s="21"/>
      <c r="KPF23" s="21"/>
      <c r="KPG23" s="21"/>
      <c r="KPH23" s="21"/>
      <c r="KPI23" s="21"/>
      <c r="KPJ23" s="21"/>
      <c r="KPK23" s="21"/>
      <c r="KPL23" s="21"/>
      <c r="KPM23" s="21"/>
      <c r="KPN23" s="21"/>
      <c r="KPO23" s="21"/>
      <c r="KPP23" s="21"/>
      <c r="KPQ23" s="21"/>
      <c r="KPR23" s="21"/>
      <c r="KPS23" s="21"/>
      <c r="KPT23" s="21"/>
      <c r="KPU23" s="21"/>
      <c r="KPV23" s="21"/>
      <c r="KPW23" s="21"/>
      <c r="KPX23" s="21"/>
      <c r="KPY23" s="21"/>
      <c r="KPZ23" s="21"/>
      <c r="KQA23" s="21"/>
      <c r="KQB23" s="21"/>
      <c r="KQC23" s="21"/>
      <c r="KQD23" s="21"/>
      <c r="KQE23" s="21"/>
      <c r="KQF23" s="21"/>
      <c r="KQG23" s="21"/>
      <c r="KQH23" s="21"/>
      <c r="KQI23" s="21"/>
      <c r="KQJ23" s="21"/>
      <c r="KQK23" s="21"/>
      <c r="KQL23" s="21"/>
      <c r="KQM23" s="21"/>
      <c r="KQN23" s="21"/>
      <c r="KQO23" s="21"/>
      <c r="KQP23" s="21"/>
      <c r="KQQ23" s="21"/>
      <c r="KQR23" s="21"/>
      <c r="KQS23" s="21"/>
      <c r="KQT23" s="21"/>
      <c r="KQU23" s="21"/>
      <c r="KQV23" s="21"/>
      <c r="KQW23" s="21"/>
      <c r="KQX23" s="21"/>
      <c r="KQY23" s="21"/>
      <c r="KQZ23" s="21"/>
      <c r="KRA23" s="21"/>
      <c r="KRB23" s="21"/>
      <c r="KRC23" s="21"/>
      <c r="KRD23" s="21"/>
      <c r="KRE23" s="21"/>
      <c r="KRF23" s="21"/>
      <c r="KRG23" s="21"/>
      <c r="KRH23" s="21"/>
      <c r="KRI23" s="21"/>
      <c r="KRJ23" s="21"/>
      <c r="KRK23" s="21"/>
      <c r="KRL23" s="21"/>
      <c r="KRM23" s="21"/>
      <c r="KRN23" s="21"/>
      <c r="KRO23" s="21"/>
      <c r="KRP23" s="21"/>
      <c r="KRQ23" s="21"/>
      <c r="KRR23" s="21"/>
      <c r="KRS23" s="21"/>
      <c r="KRT23" s="21"/>
      <c r="KRU23" s="21"/>
      <c r="KRV23" s="21"/>
      <c r="KRW23" s="21"/>
      <c r="KRX23" s="21"/>
      <c r="KRY23" s="21"/>
      <c r="KRZ23" s="21"/>
      <c r="KSA23" s="21"/>
      <c r="KSB23" s="21"/>
      <c r="KSC23" s="21"/>
      <c r="KSD23" s="21"/>
      <c r="KSE23" s="21"/>
      <c r="KSF23" s="21"/>
      <c r="KSG23" s="21"/>
      <c r="KSH23" s="21"/>
      <c r="KSI23" s="21"/>
      <c r="KSJ23" s="21"/>
      <c r="KSK23" s="21"/>
      <c r="KSL23" s="21"/>
      <c r="KSM23" s="21"/>
      <c r="KSN23" s="21"/>
      <c r="KSO23" s="21"/>
      <c r="KSP23" s="21"/>
      <c r="KSQ23" s="21"/>
      <c r="KSR23" s="21"/>
      <c r="KSS23" s="21"/>
      <c r="KST23" s="21"/>
      <c r="KSU23" s="21"/>
      <c r="KSV23" s="21"/>
      <c r="KSW23" s="21"/>
      <c r="KSX23" s="21"/>
      <c r="KSY23" s="21"/>
      <c r="KSZ23" s="21"/>
      <c r="KTA23" s="21"/>
      <c r="KTB23" s="21"/>
      <c r="KTC23" s="21"/>
      <c r="KTD23" s="21"/>
      <c r="KTE23" s="21"/>
      <c r="KTF23" s="21"/>
      <c r="KTG23" s="21"/>
      <c r="KTH23" s="21"/>
      <c r="KTI23" s="21"/>
      <c r="KTJ23" s="21"/>
      <c r="KTK23" s="21"/>
      <c r="KTL23" s="21"/>
      <c r="KTM23" s="21"/>
      <c r="KTN23" s="21"/>
      <c r="KTO23" s="21"/>
      <c r="KTP23" s="21"/>
      <c r="KTQ23" s="21"/>
      <c r="KTR23" s="21"/>
      <c r="KTS23" s="21"/>
      <c r="KTT23" s="21"/>
      <c r="KTU23" s="21"/>
      <c r="KTV23" s="21"/>
      <c r="KTW23" s="21"/>
      <c r="KTX23" s="21"/>
      <c r="KTY23" s="21"/>
      <c r="KTZ23" s="21"/>
      <c r="KUA23" s="21"/>
      <c r="KUB23" s="21"/>
      <c r="KUC23" s="21"/>
      <c r="KUD23" s="21"/>
      <c r="KUE23" s="21"/>
      <c r="KUF23" s="21"/>
      <c r="KUG23" s="21"/>
      <c r="KUH23" s="21"/>
      <c r="KUI23" s="21"/>
      <c r="KUJ23" s="21"/>
      <c r="KUK23" s="21"/>
      <c r="KUL23" s="21"/>
      <c r="KUM23" s="21"/>
      <c r="KUN23" s="21"/>
      <c r="KUO23" s="21"/>
      <c r="KUP23" s="21"/>
      <c r="KUQ23" s="21"/>
      <c r="KUR23" s="21"/>
      <c r="KUS23" s="21"/>
      <c r="KUT23" s="21"/>
      <c r="KUU23" s="21"/>
      <c r="KUV23" s="21"/>
      <c r="KUW23" s="21"/>
      <c r="KUX23" s="21"/>
      <c r="KUY23" s="21"/>
      <c r="KUZ23" s="21"/>
      <c r="KVA23" s="21"/>
      <c r="KVB23" s="21"/>
      <c r="KVC23" s="21"/>
      <c r="KVD23" s="21"/>
      <c r="KVE23" s="21"/>
      <c r="KVF23" s="21"/>
      <c r="KVG23" s="21"/>
      <c r="KVH23" s="21"/>
      <c r="KVI23" s="21"/>
      <c r="KVJ23" s="21"/>
      <c r="KVK23" s="21"/>
      <c r="KVL23" s="21"/>
      <c r="KVM23" s="21"/>
      <c r="KVN23" s="21"/>
      <c r="KVO23" s="21"/>
      <c r="KVP23" s="21"/>
      <c r="KVQ23" s="21"/>
      <c r="KVR23" s="21"/>
      <c r="KVS23" s="21"/>
      <c r="KVT23" s="21"/>
      <c r="KVU23" s="21"/>
      <c r="KVV23" s="21"/>
      <c r="KVW23" s="21"/>
      <c r="KVX23" s="21"/>
      <c r="KVY23" s="21"/>
      <c r="KVZ23" s="21"/>
      <c r="KWA23" s="21"/>
      <c r="KWB23" s="21"/>
      <c r="KWC23" s="21"/>
      <c r="KWD23" s="21"/>
      <c r="KWE23" s="21"/>
      <c r="KWF23" s="21"/>
      <c r="KWG23" s="21"/>
      <c r="KWH23" s="21"/>
      <c r="KWI23" s="21"/>
      <c r="KWJ23" s="21"/>
      <c r="KWK23" s="21"/>
      <c r="KWL23" s="21"/>
      <c r="KWM23" s="21"/>
      <c r="KWN23" s="21"/>
      <c r="KWO23" s="21"/>
      <c r="KWP23" s="21"/>
      <c r="KWQ23" s="21"/>
      <c r="KWR23" s="21"/>
      <c r="KWS23" s="21"/>
      <c r="KWT23" s="21"/>
      <c r="KWU23" s="21"/>
      <c r="KWV23" s="21"/>
      <c r="KWW23" s="21"/>
      <c r="KWX23" s="21"/>
      <c r="KWY23" s="21"/>
      <c r="KWZ23" s="21"/>
      <c r="KXA23" s="21"/>
      <c r="KXB23" s="21"/>
      <c r="KXC23" s="21"/>
      <c r="KXD23" s="21"/>
      <c r="KXE23" s="21"/>
      <c r="KXF23" s="21"/>
      <c r="KXG23" s="21"/>
      <c r="KXH23" s="21"/>
      <c r="KXI23" s="21"/>
      <c r="KXJ23" s="21"/>
      <c r="KXK23" s="21"/>
      <c r="KXL23" s="21"/>
      <c r="KXM23" s="21"/>
      <c r="KXN23" s="21"/>
      <c r="KXO23" s="21"/>
      <c r="KXP23" s="21"/>
      <c r="KXQ23" s="21"/>
      <c r="KXR23" s="21"/>
      <c r="KXS23" s="21"/>
      <c r="KXT23" s="21"/>
      <c r="KXU23" s="21"/>
      <c r="KXV23" s="21"/>
      <c r="KXW23" s="21"/>
      <c r="KXX23" s="21"/>
      <c r="KXY23" s="21"/>
      <c r="KXZ23" s="21"/>
      <c r="KYA23" s="21"/>
      <c r="KYB23" s="21"/>
      <c r="KYC23" s="21"/>
      <c r="KYD23" s="21"/>
      <c r="KYE23" s="21"/>
      <c r="KYF23" s="21"/>
      <c r="KYG23" s="21"/>
      <c r="KYH23" s="21"/>
      <c r="KYI23" s="21"/>
      <c r="KYJ23" s="21"/>
      <c r="KYK23" s="21"/>
      <c r="KYL23" s="21"/>
      <c r="KYM23" s="21"/>
      <c r="KYN23" s="21"/>
      <c r="KYO23" s="21"/>
      <c r="KYP23" s="21"/>
      <c r="KYQ23" s="21"/>
      <c r="KYR23" s="21"/>
      <c r="KYS23" s="21"/>
      <c r="KYT23" s="21"/>
      <c r="KYU23" s="21"/>
      <c r="KYV23" s="21"/>
      <c r="KYW23" s="21"/>
      <c r="KYX23" s="21"/>
      <c r="KYY23" s="21"/>
      <c r="KYZ23" s="21"/>
      <c r="KZA23" s="21"/>
      <c r="KZB23" s="21"/>
      <c r="KZC23" s="21"/>
      <c r="KZD23" s="21"/>
      <c r="KZE23" s="21"/>
      <c r="KZF23" s="21"/>
      <c r="KZG23" s="21"/>
      <c r="KZH23" s="21"/>
      <c r="KZI23" s="21"/>
      <c r="KZJ23" s="21"/>
      <c r="KZK23" s="21"/>
      <c r="KZL23" s="21"/>
      <c r="KZM23" s="21"/>
      <c r="KZN23" s="21"/>
      <c r="KZO23" s="21"/>
      <c r="KZP23" s="21"/>
      <c r="KZQ23" s="21"/>
      <c r="KZR23" s="21"/>
      <c r="KZS23" s="21"/>
      <c r="KZT23" s="21"/>
      <c r="KZU23" s="21"/>
      <c r="KZV23" s="21"/>
      <c r="KZW23" s="21"/>
      <c r="KZX23" s="21"/>
      <c r="KZY23" s="21"/>
      <c r="KZZ23" s="21"/>
      <c r="LAA23" s="21"/>
      <c r="LAB23" s="21"/>
      <c r="LAC23" s="21"/>
      <c r="LAD23" s="21"/>
      <c r="LAE23" s="21"/>
      <c r="LAF23" s="21"/>
      <c r="LAG23" s="21"/>
      <c r="LAH23" s="21"/>
      <c r="LAI23" s="21"/>
      <c r="LAJ23" s="21"/>
      <c r="LAK23" s="21"/>
      <c r="LAL23" s="21"/>
      <c r="LAM23" s="21"/>
      <c r="LAN23" s="21"/>
      <c r="LAO23" s="21"/>
      <c r="LAP23" s="21"/>
      <c r="LAQ23" s="21"/>
      <c r="LAR23" s="21"/>
      <c r="LAS23" s="21"/>
      <c r="LAT23" s="21"/>
      <c r="LAU23" s="21"/>
      <c r="LAV23" s="21"/>
      <c r="LAW23" s="21"/>
      <c r="LAX23" s="21"/>
      <c r="LAY23" s="21"/>
      <c r="LAZ23" s="21"/>
      <c r="LBA23" s="21"/>
      <c r="LBB23" s="21"/>
      <c r="LBC23" s="21"/>
      <c r="LBD23" s="21"/>
      <c r="LBE23" s="21"/>
      <c r="LBF23" s="21"/>
      <c r="LBG23" s="21"/>
      <c r="LBH23" s="21"/>
      <c r="LBI23" s="21"/>
      <c r="LBJ23" s="21"/>
      <c r="LBK23" s="21"/>
      <c r="LBL23" s="21"/>
      <c r="LBM23" s="21"/>
      <c r="LBN23" s="21"/>
      <c r="LBO23" s="21"/>
      <c r="LBP23" s="21"/>
      <c r="LBQ23" s="21"/>
      <c r="LBR23" s="21"/>
      <c r="LBS23" s="21"/>
      <c r="LBT23" s="21"/>
      <c r="LBU23" s="21"/>
      <c r="LBV23" s="21"/>
      <c r="LBW23" s="21"/>
      <c r="LBX23" s="21"/>
      <c r="LBY23" s="21"/>
      <c r="LBZ23" s="21"/>
      <c r="LCA23" s="21"/>
      <c r="LCB23" s="21"/>
      <c r="LCC23" s="21"/>
      <c r="LCD23" s="21"/>
      <c r="LCE23" s="21"/>
      <c r="LCF23" s="21"/>
      <c r="LCG23" s="21"/>
      <c r="LCH23" s="21"/>
      <c r="LCI23" s="21"/>
      <c r="LCJ23" s="21"/>
      <c r="LCK23" s="21"/>
      <c r="LCL23" s="21"/>
      <c r="LCM23" s="21"/>
      <c r="LCN23" s="21"/>
      <c r="LCO23" s="21"/>
      <c r="LCP23" s="21"/>
      <c r="LCQ23" s="21"/>
      <c r="LCR23" s="21"/>
      <c r="LCS23" s="21"/>
      <c r="LCT23" s="21"/>
      <c r="LCU23" s="21"/>
      <c r="LCV23" s="21"/>
      <c r="LCW23" s="21"/>
      <c r="LCX23" s="21"/>
      <c r="LCY23" s="21"/>
      <c r="LCZ23" s="21"/>
      <c r="LDA23" s="21"/>
      <c r="LDB23" s="21"/>
      <c r="LDC23" s="21"/>
      <c r="LDD23" s="21"/>
      <c r="LDE23" s="21"/>
      <c r="LDF23" s="21"/>
      <c r="LDG23" s="21"/>
      <c r="LDH23" s="21"/>
      <c r="LDI23" s="21"/>
      <c r="LDJ23" s="21"/>
      <c r="LDK23" s="21"/>
      <c r="LDL23" s="21"/>
      <c r="LDM23" s="21"/>
      <c r="LDN23" s="21"/>
      <c r="LDO23" s="21"/>
      <c r="LDP23" s="21"/>
      <c r="LDQ23" s="21"/>
      <c r="LDR23" s="21"/>
      <c r="LDS23" s="21"/>
      <c r="LDT23" s="21"/>
      <c r="LDU23" s="21"/>
      <c r="LDV23" s="21"/>
      <c r="LDW23" s="21"/>
      <c r="LDX23" s="21"/>
      <c r="LDY23" s="21"/>
      <c r="LDZ23" s="21"/>
      <c r="LEA23" s="21"/>
      <c r="LEB23" s="21"/>
      <c r="LEC23" s="21"/>
      <c r="LED23" s="21"/>
      <c r="LEE23" s="21"/>
      <c r="LEF23" s="21"/>
      <c r="LEG23" s="21"/>
      <c r="LEH23" s="21"/>
      <c r="LEI23" s="21"/>
      <c r="LEJ23" s="21"/>
      <c r="LEK23" s="21"/>
      <c r="LEL23" s="21"/>
      <c r="LEM23" s="21"/>
      <c r="LEN23" s="21"/>
      <c r="LEO23" s="21"/>
      <c r="LEP23" s="21"/>
      <c r="LEQ23" s="21"/>
      <c r="LER23" s="21"/>
      <c r="LES23" s="21"/>
      <c r="LET23" s="21"/>
      <c r="LEU23" s="21"/>
      <c r="LEV23" s="21"/>
      <c r="LEW23" s="21"/>
      <c r="LEX23" s="21"/>
      <c r="LEY23" s="21"/>
      <c r="LEZ23" s="21"/>
      <c r="LFA23" s="21"/>
      <c r="LFB23" s="21"/>
      <c r="LFC23" s="21"/>
      <c r="LFD23" s="21"/>
      <c r="LFE23" s="21"/>
      <c r="LFF23" s="21"/>
      <c r="LFG23" s="21"/>
      <c r="LFH23" s="21"/>
      <c r="LFI23" s="21"/>
      <c r="LFJ23" s="21"/>
      <c r="LFK23" s="21"/>
      <c r="LFL23" s="21"/>
      <c r="LFM23" s="21"/>
      <c r="LFN23" s="21"/>
      <c r="LFO23" s="21"/>
      <c r="LFP23" s="21"/>
      <c r="LFQ23" s="21"/>
      <c r="LFR23" s="21"/>
      <c r="LFS23" s="21"/>
      <c r="LFT23" s="21"/>
      <c r="LFU23" s="21"/>
      <c r="LFV23" s="21"/>
      <c r="LFW23" s="21"/>
      <c r="LFX23" s="21"/>
      <c r="LFY23" s="21"/>
      <c r="LFZ23" s="21"/>
      <c r="LGA23" s="21"/>
      <c r="LGB23" s="21"/>
      <c r="LGC23" s="21"/>
      <c r="LGD23" s="21"/>
      <c r="LGE23" s="21"/>
      <c r="LGF23" s="21"/>
      <c r="LGG23" s="21"/>
      <c r="LGH23" s="21"/>
      <c r="LGI23" s="21"/>
      <c r="LGJ23" s="21"/>
      <c r="LGK23" s="21"/>
      <c r="LGL23" s="21"/>
      <c r="LGM23" s="21"/>
      <c r="LGN23" s="21"/>
      <c r="LGO23" s="21"/>
      <c r="LGP23" s="21"/>
      <c r="LGQ23" s="21"/>
      <c r="LGR23" s="21"/>
      <c r="LGS23" s="21"/>
      <c r="LGT23" s="21"/>
      <c r="LGU23" s="21"/>
      <c r="LGV23" s="21"/>
      <c r="LGW23" s="21"/>
      <c r="LGX23" s="21"/>
      <c r="LGY23" s="21"/>
      <c r="LGZ23" s="21"/>
      <c r="LHA23" s="21"/>
      <c r="LHB23" s="21"/>
      <c r="LHC23" s="21"/>
      <c r="LHD23" s="21"/>
      <c r="LHE23" s="21"/>
      <c r="LHF23" s="21"/>
      <c r="LHG23" s="21"/>
      <c r="LHH23" s="21"/>
      <c r="LHI23" s="21"/>
      <c r="LHJ23" s="21"/>
      <c r="LHK23" s="21"/>
      <c r="LHL23" s="21"/>
      <c r="LHM23" s="21"/>
      <c r="LHN23" s="21"/>
      <c r="LHO23" s="21"/>
      <c r="LHP23" s="21"/>
      <c r="LHQ23" s="21"/>
      <c r="LHR23" s="21"/>
      <c r="LHS23" s="21"/>
      <c r="LHT23" s="21"/>
      <c r="LHU23" s="21"/>
      <c r="LHV23" s="21"/>
      <c r="LHW23" s="21"/>
      <c r="LHX23" s="21"/>
      <c r="LHY23" s="21"/>
      <c r="LHZ23" s="21"/>
      <c r="LIA23" s="21"/>
      <c r="LIB23" s="21"/>
      <c r="LIC23" s="21"/>
      <c r="LID23" s="21"/>
      <c r="LIE23" s="21"/>
      <c r="LIF23" s="21"/>
      <c r="LIG23" s="21"/>
      <c r="LIH23" s="21"/>
      <c r="LII23" s="21"/>
      <c r="LIJ23" s="21"/>
      <c r="LIK23" s="21"/>
      <c r="LIL23" s="21"/>
      <c r="LIM23" s="21"/>
      <c r="LIN23" s="21"/>
      <c r="LIO23" s="21"/>
      <c r="LIP23" s="21"/>
      <c r="LIQ23" s="21"/>
      <c r="LIR23" s="21"/>
      <c r="LIS23" s="21"/>
      <c r="LIT23" s="21"/>
      <c r="LIU23" s="21"/>
      <c r="LIV23" s="21"/>
      <c r="LIW23" s="21"/>
      <c r="LIX23" s="21"/>
      <c r="LIY23" s="21"/>
      <c r="LIZ23" s="21"/>
      <c r="LJA23" s="21"/>
      <c r="LJB23" s="21"/>
      <c r="LJC23" s="21"/>
      <c r="LJD23" s="21"/>
      <c r="LJE23" s="21"/>
      <c r="LJF23" s="21"/>
      <c r="LJG23" s="21"/>
      <c r="LJH23" s="21"/>
      <c r="LJI23" s="21"/>
      <c r="LJJ23" s="21"/>
      <c r="LJK23" s="21"/>
      <c r="LJL23" s="21"/>
      <c r="LJM23" s="21"/>
      <c r="LJN23" s="21"/>
      <c r="LJO23" s="21"/>
      <c r="LJP23" s="21"/>
      <c r="LJQ23" s="21"/>
      <c r="LJR23" s="21"/>
      <c r="LJS23" s="21"/>
      <c r="LJT23" s="21"/>
      <c r="LJU23" s="21"/>
      <c r="LJV23" s="21"/>
      <c r="LJW23" s="21"/>
      <c r="LJX23" s="21"/>
      <c r="LJY23" s="21"/>
      <c r="LJZ23" s="21"/>
      <c r="LKA23" s="21"/>
      <c r="LKB23" s="21"/>
      <c r="LKC23" s="21"/>
      <c r="LKD23" s="21"/>
      <c r="LKE23" s="21"/>
      <c r="LKF23" s="21"/>
      <c r="LKG23" s="21"/>
      <c r="LKH23" s="21"/>
      <c r="LKI23" s="21"/>
      <c r="LKJ23" s="21"/>
      <c r="LKK23" s="21"/>
      <c r="LKL23" s="21"/>
      <c r="LKM23" s="21"/>
      <c r="LKN23" s="21"/>
      <c r="LKO23" s="21"/>
      <c r="LKP23" s="21"/>
      <c r="LKQ23" s="21"/>
      <c r="LKR23" s="21"/>
      <c r="LKS23" s="21"/>
      <c r="LKT23" s="21"/>
      <c r="LKU23" s="21"/>
      <c r="LKV23" s="21"/>
      <c r="LKW23" s="21"/>
      <c r="LKX23" s="21"/>
      <c r="LKY23" s="21"/>
      <c r="LKZ23" s="21"/>
      <c r="LLA23" s="21"/>
      <c r="LLB23" s="21"/>
      <c r="LLC23" s="21"/>
      <c r="LLD23" s="21"/>
      <c r="LLE23" s="21"/>
      <c r="LLF23" s="21"/>
      <c r="LLG23" s="21"/>
      <c r="LLH23" s="21"/>
      <c r="LLI23" s="21"/>
      <c r="LLJ23" s="21"/>
      <c r="LLK23" s="21"/>
      <c r="LLL23" s="21"/>
      <c r="LLM23" s="21"/>
      <c r="LLN23" s="21"/>
      <c r="LLO23" s="21"/>
      <c r="LLP23" s="21"/>
      <c r="LLQ23" s="21"/>
      <c r="LLR23" s="21"/>
      <c r="LLS23" s="21"/>
      <c r="LLT23" s="21"/>
      <c r="LLU23" s="21"/>
      <c r="LLV23" s="21"/>
      <c r="LLW23" s="21"/>
      <c r="LLX23" s="21"/>
      <c r="LLY23" s="21"/>
      <c r="LLZ23" s="21"/>
      <c r="LMA23" s="21"/>
      <c r="LMB23" s="21"/>
      <c r="LMC23" s="21"/>
      <c r="LMD23" s="21"/>
      <c r="LME23" s="21"/>
      <c r="LMF23" s="21"/>
      <c r="LMG23" s="21"/>
      <c r="LMH23" s="21"/>
      <c r="LMI23" s="21"/>
      <c r="LMJ23" s="21"/>
      <c r="LMK23" s="21"/>
      <c r="LML23" s="21"/>
      <c r="LMM23" s="21"/>
      <c r="LMN23" s="21"/>
      <c r="LMO23" s="21"/>
      <c r="LMP23" s="21"/>
      <c r="LMQ23" s="21"/>
      <c r="LMR23" s="21"/>
      <c r="LMS23" s="21"/>
      <c r="LMT23" s="21"/>
      <c r="LMU23" s="21"/>
      <c r="LMV23" s="21"/>
      <c r="LMW23" s="21"/>
      <c r="LMX23" s="21"/>
      <c r="LMY23" s="21"/>
      <c r="LMZ23" s="21"/>
      <c r="LNA23" s="21"/>
      <c r="LNB23" s="21"/>
      <c r="LNC23" s="21"/>
      <c r="LND23" s="21"/>
      <c r="LNE23" s="21"/>
      <c r="LNF23" s="21"/>
      <c r="LNG23" s="21"/>
      <c r="LNH23" s="21"/>
      <c r="LNI23" s="21"/>
      <c r="LNJ23" s="21"/>
      <c r="LNK23" s="21"/>
      <c r="LNL23" s="21"/>
      <c r="LNM23" s="21"/>
      <c r="LNN23" s="21"/>
      <c r="LNO23" s="21"/>
      <c r="LNP23" s="21"/>
      <c r="LNQ23" s="21"/>
      <c r="LNR23" s="21"/>
      <c r="LNS23" s="21"/>
      <c r="LNT23" s="21"/>
      <c r="LNU23" s="21"/>
      <c r="LNV23" s="21"/>
      <c r="LNW23" s="21"/>
      <c r="LNX23" s="21"/>
      <c r="LNY23" s="21"/>
      <c r="LNZ23" s="21"/>
      <c r="LOA23" s="21"/>
      <c r="LOB23" s="21"/>
      <c r="LOC23" s="21"/>
      <c r="LOD23" s="21"/>
      <c r="LOE23" s="21"/>
      <c r="LOF23" s="21"/>
      <c r="LOG23" s="21"/>
      <c r="LOH23" s="21"/>
      <c r="LOI23" s="21"/>
      <c r="LOJ23" s="21"/>
      <c r="LOK23" s="21"/>
      <c r="LOL23" s="21"/>
      <c r="LOM23" s="21"/>
      <c r="LON23" s="21"/>
      <c r="LOO23" s="21"/>
      <c r="LOP23" s="21"/>
      <c r="LOQ23" s="21"/>
      <c r="LOR23" s="21"/>
      <c r="LOS23" s="21"/>
      <c r="LOT23" s="21"/>
      <c r="LOU23" s="21"/>
      <c r="LOV23" s="21"/>
      <c r="LOW23" s="21"/>
      <c r="LOX23" s="21"/>
      <c r="LOY23" s="21"/>
      <c r="LOZ23" s="21"/>
      <c r="LPA23" s="21"/>
      <c r="LPB23" s="21"/>
      <c r="LPC23" s="21"/>
      <c r="LPD23" s="21"/>
      <c r="LPE23" s="21"/>
      <c r="LPF23" s="21"/>
      <c r="LPG23" s="21"/>
      <c r="LPH23" s="21"/>
      <c r="LPI23" s="21"/>
      <c r="LPJ23" s="21"/>
      <c r="LPK23" s="21"/>
      <c r="LPL23" s="21"/>
      <c r="LPM23" s="21"/>
      <c r="LPN23" s="21"/>
      <c r="LPO23" s="21"/>
      <c r="LPP23" s="21"/>
      <c r="LPQ23" s="21"/>
      <c r="LPR23" s="21"/>
      <c r="LPS23" s="21"/>
      <c r="LPT23" s="21"/>
      <c r="LPU23" s="21"/>
      <c r="LPV23" s="21"/>
      <c r="LPW23" s="21"/>
      <c r="LPX23" s="21"/>
      <c r="LPY23" s="21"/>
      <c r="LPZ23" s="21"/>
      <c r="LQA23" s="21"/>
      <c r="LQB23" s="21"/>
      <c r="LQC23" s="21"/>
      <c r="LQD23" s="21"/>
      <c r="LQE23" s="21"/>
      <c r="LQF23" s="21"/>
      <c r="LQG23" s="21"/>
      <c r="LQH23" s="21"/>
      <c r="LQI23" s="21"/>
      <c r="LQJ23" s="21"/>
      <c r="LQK23" s="21"/>
      <c r="LQL23" s="21"/>
      <c r="LQM23" s="21"/>
      <c r="LQN23" s="21"/>
      <c r="LQO23" s="21"/>
      <c r="LQP23" s="21"/>
      <c r="LQQ23" s="21"/>
      <c r="LQR23" s="21"/>
      <c r="LQS23" s="21"/>
      <c r="LQT23" s="21"/>
      <c r="LQU23" s="21"/>
      <c r="LQV23" s="21"/>
      <c r="LQW23" s="21"/>
      <c r="LQX23" s="21"/>
      <c r="LQY23" s="21"/>
      <c r="LQZ23" s="21"/>
      <c r="LRA23" s="21"/>
      <c r="LRB23" s="21"/>
      <c r="LRC23" s="21"/>
      <c r="LRD23" s="21"/>
      <c r="LRE23" s="21"/>
      <c r="LRF23" s="21"/>
      <c r="LRG23" s="21"/>
      <c r="LRH23" s="21"/>
      <c r="LRI23" s="21"/>
      <c r="LRJ23" s="21"/>
      <c r="LRK23" s="21"/>
      <c r="LRL23" s="21"/>
      <c r="LRM23" s="21"/>
      <c r="LRN23" s="21"/>
      <c r="LRO23" s="21"/>
      <c r="LRP23" s="21"/>
      <c r="LRQ23" s="21"/>
      <c r="LRR23" s="21"/>
      <c r="LRS23" s="21"/>
      <c r="LRT23" s="21"/>
      <c r="LRU23" s="21"/>
      <c r="LRV23" s="21"/>
      <c r="LRW23" s="21"/>
      <c r="LRX23" s="21"/>
      <c r="LRY23" s="21"/>
      <c r="LRZ23" s="21"/>
      <c r="LSA23" s="21"/>
      <c r="LSB23" s="21"/>
      <c r="LSC23" s="21"/>
      <c r="LSD23" s="21"/>
      <c r="LSE23" s="21"/>
      <c r="LSF23" s="21"/>
      <c r="LSG23" s="21"/>
      <c r="LSH23" s="21"/>
      <c r="LSI23" s="21"/>
      <c r="LSJ23" s="21"/>
      <c r="LSK23" s="21"/>
      <c r="LSL23" s="21"/>
      <c r="LSM23" s="21"/>
      <c r="LSN23" s="21"/>
      <c r="LSO23" s="21"/>
      <c r="LSP23" s="21"/>
      <c r="LSQ23" s="21"/>
      <c r="LSR23" s="21"/>
      <c r="LSS23" s="21"/>
      <c r="LST23" s="21"/>
      <c r="LSU23" s="21"/>
      <c r="LSV23" s="21"/>
      <c r="LSW23" s="21"/>
      <c r="LSX23" s="21"/>
      <c r="LSY23" s="21"/>
      <c r="LSZ23" s="21"/>
      <c r="LTA23" s="21"/>
      <c r="LTB23" s="21"/>
      <c r="LTC23" s="21"/>
      <c r="LTD23" s="21"/>
      <c r="LTE23" s="21"/>
      <c r="LTF23" s="21"/>
      <c r="LTG23" s="21"/>
      <c r="LTH23" s="21"/>
      <c r="LTI23" s="21"/>
      <c r="LTJ23" s="21"/>
      <c r="LTK23" s="21"/>
      <c r="LTL23" s="21"/>
      <c r="LTM23" s="21"/>
      <c r="LTN23" s="21"/>
      <c r="LTO23" s="21"/>
      <c r="LTP23" s="21"/>
      <c r="LTQ23" s="21"/>
      <c r="LTR23" s="21"/>
      <c r="LTS23" s="21"/>
      <c r="LTT23" s="21"/>
      <c r="LTU23" s="21"/>
      <c r="LTV23" s="21"/>
      <c r="LTW23" s="21"/>
      <c r="LTX23" s="21"/>
      <c r="LTY23" s="21"/>
      <c r="LTZ23" s="21"/>
      <c r="LUA23" s="21"/>
      <c r="LUB23" s="21"/>
      <c r="LUC23" s="21"/>
      <c r="LUD23" s="21"/>
      <c r="LUE23" s="21"/>
      <c r="LUF23" s="21"/>
      <c r="LUG23" s="21"/>
      <c r="LUH23" s="21"/>
      <c r="LUI23" s="21"/>
      <c r="LUJ23" s="21"/>
      <c r="LUK23" s="21"/>
      <c r="LUL23" s="21"/>
      <c r="LUM23" s="21"/>
      <c r="LUN23" s="21"/>
      <c r="LUO23" s="21"/>
      <c r="LUP23" s="21"/>
      <c r="LUQ23" s="21"/>
      <c r="LUR23" s="21"/>
      <c r="LUS23" s="21"/>
      <c r="LUT23" s="21"/>
      <c r="LUU23" s="21"/>
      <c r="LUV23" s="21"/>
      <c r="LUW23" s="21"/>
      <c r="LUX23" s="21"/>
      <c r="LUY23" s="21"/>
      <c r="LUZ23" s="21"/>
      <c r="LVA23" s="21"/>
      <c r="LVB23" s="21"/>
      <c r="LVC23" s="21"/>
      <c r="LVD23" s="21"/>
      <c r="LVE23" s="21"/>
      <c r="LVF23" s="21"/>
      <c r="LVG23" s="21"/>
      <c r="LVH23" s="21"/>
      <c r="LVI23" s="21"/>
      <c r="LVJ23" s="21"/>
      <c r="LVK23" s="21"/>
      <c r="LVL23" s="21"/>
      <c r="LVM23" s="21"/>
      <c r="LVN23" s="21"/>
      <c r="LVO23" s="21"/>
      <c r="LVP23" s="21"/>
      <c r="LVQ23" s="21"/>
      <c r="LVR23" s="21"/>
      <c r="LVS23" s="21"/>
      <c r="LVT23" s="21"/>
      <c r="LVU23" s="21"/>
      <c r="LVV23" s="21"/>
      <c r="LVW23" s="21"/>
      <c r="LVX23" s="21"/>
      <c r="LVY23" s="21"/>
      <c r="LVZ23" s="21"/>
      <c r="LWA23" s="21"/>
      <c r="LWB23" s="21"/>
      <c r="LWC23" s="21"/>
      <c r="LWD23" s="21"/>
      <c r="LWE23" s="21"/>
      <c r="LWF23" s="21"/>
      <c r="LWG23" s="21"/>
      <c r="LWH23" s="21"/>
      <c r="LWI23" s="21"/>
      <c r="LWJ23" s="21"/>
      <c r="LWK23" s="21"/>
      <c r="LWL23" s="21"/>
      <c r="LWM23" s="21"/>
      <c r="LWN23" s="21"/>
      <c r="LWO23" s="21"/>
      <c r="LWP23" s="21"/>
      <c r="LWQ23" s="21"/>
      <c r="LWR23" s="21"/>
      <c r="LWS23" s="21"/>
      <c r="LWT23" s="21"/>
      <c r="LWU23" s="21"/>
      <c r="LWV23" s="21"/>
      <c r="LWW23" s="21"/>
      <c r="LWX23" s="21"/>
      <c r="LWY23" s="21"/>
      <c r="LWZ23" s="21"/>
      <c r="LXA23" s="21"/>
      <c r="LXB23" s="21"/>
      <c r="LXC23" s="21"/>
      <c r="LXD23" s="21"/>
      <c r="LXE23" s="21"/>
      <c r="LXF23" s="21"/>
      <c r="LXG23" s="21"/>
      <c r="LXH23" s="21"/>
      <c r="LXI23" s="21"/>
      <c r="LXJ23" s="21"/>
      <c r="LXK23" s="21"/>
      <c r="LXL23" s="21"/>
      <c r="LXM23" s="21"/>
      <c r="LXN23" s="21"/>
      <c r="LXO23" s="21"/>
      <c r="LXP23" s="21"/>
      <c r="LXQ23" s="21"/>
      <c r="LXR23" s="21"/>
      <c r="LXS23" s="21"/>
      <c r="LXT23" s="21"/>
      <c r="LXU23" s="21"/>
      <c r="LXV23" s="21"/>
      <c r="LXW23" s="21"/>
      <c r="LXX23" s="21"/>
      <c r="LXY23" s="21"/>
      <c r="LXZ23" s="21"/>
      <c r="LYA23" s="21"/>
      <c r="LYB23" s="21"/>
      <c r="LYC23" s="21"/>
      <c r="LYD23" s="21"/>
      <c r="LYE23" s="21"/>
      <c r="LYF23" s="21"/>
      <c r="LYG23" s="21"/>
      <c r="LYH23" s="21"/>
      <c r="LYI23" s="21"/>
      <c r="LYJ23" s="21"/>
      <c r="LYK23" s="21"/>
      <c r="LYL23" s="21"/>
      <c r="LYM23" s="21"/>
      <c r="LYN23" s="21"/>
      <c r="LYO23" s="21"/>
      <c r="LYP23" s="21"/>
      <c r="LYQ23" s="21"/>
      <c r="LYR23" s="21"/>
      <c r="LYS23" s="21"/>
      <c r="LYT23" s="21"/>
      <c r="LYU23" s="21"/>
      <c r="LYV23" s="21"/>
      <c r="LYW23" s="21"/>
      <c r="LYX23" s="21"/>
      <c r="LYY23" s="21"/>
      <c r="LYZ23" s="21"/>
      <c r="LZA23" s="21"/>
      <c r="LZB23" s="21"/>
      <c r="LZC23" s="21"/>
      <c r="LZD23" s="21"/>
      <c r="LZE23" s="21"/>
      <c r="LZF23" s="21"/>
      <c r="LZG23" s="21"/>
      <c r="LZH23" s="21"/>
      <c r="LZI23" s="21"/>
      <c r="LZJ23" s="21"/>
      <c r="LZK23" s="21"/>
      <c r="LZL23" s="21"/>
      <c r="LZM23" s="21"/>
      <c r="LZN23" s="21"/>
      <c r="LZO23" s="21"/>
      <c r="LZP23" s="21"/>
      <c r="LZQ23" s="21"/>
      <c r="LZR23" s="21"/>
      <c r="LZS23" s="21"/>
      <c r="LZT23" s="21"/>
      <c r="LZU23" s="21"/>
      <c r="LZV23" s="21"/>
      <c r="LZW23" s="21"/>
      <c r="LZX23" s="21"/>
      <c r="LZY23" s="21"/>
      <c r="LZZ23" s="21"/>
      <c r="MAA23" s="21"/>
      <c r="MAB23" s="21"/>
      <c r="MAC23" s="21"/>
      <c r="MAD23" s="21"/>
      <c r="MAE23" s="21"/>
      <c r="MAF23" s="21"/>
      <c r="MAG23" s="21"/>
      <c r="MAH23" s="21"/>
      <c r="MAI23" s="21"/>
      <c r="MAJ23" s="21"/>
      <c r="MAK23" s="21"/>
      <c r="MAL23" s="21"/>
      <c r="MAM23" s="21"/>
      <c r="MAN23" s="21"/>
      <c r="MAO23" s="21"/>
      <c r="MAP23" s="21"/>
      <c r="MAQ23" s="21"/>
      <c r="MAR23" s="21"/>
      <c r="MAS23" s="21"/>
      <c r="MAT23" s="21"/>
      <c r="MAU23" s="21"/>
      <c r="MAV23" s="21"/>
      <c r="MAW23" s="21"/>
      <c r="MAX23" s="21"/>
      <c r="MAY23" s="21"/>
      <c r="MAZ23" s="21"/>
      <c r="MBA23" s="21"/>
      <c r="MBB23" s="21"/>
      <c r="MBC23" s="21"/>
      <c r="MBD23" s="21"/>
      <c r="MBE23" s="21"/>
      <c r="MBF23" s="21"/>
      <c r="MBG23" s="21"/>
      <c r="MBH23" s="21"/>
      <c r="MBI23" s="21"/>
      <c r="MBJ23" s="21"/>
      <c r="MBK23" s="21"/>
      <c r="MBL23" s="21"/>
      <c r="MBM23" s="21"/>
      <c r="MBN23" s="21"/>
      <c r="MBO23" s="21"/>
      <c r="MBP23" s="21"/>
      <c r="MBQ23" s="21"/>
      <c r="MBR23" s="21"/>
      <c r="MBS23" s="21"/>
      <c r="MBT23" s="21"/>
      <c r="MBU23" s="21"/>
      <c r="MBV23" s="21"/>
      <c r="MBW23" s="21"/>
      <c r="MBX23" s="21"/>
      <c r="MBY23" s="21"/>
      <c r="MBZ23" s="21"/>
      <c r="MCA23" s="21"/>
      <c r="MCB23" s="21"/>
      <c r="MCC23" s="21"/>
      <c r="MCD23" s="21"/>
      <c r="MCE23" s="21"/>
      <c r="MCF23" s="21"/>
      <c r="MCG23" s="21"/>
      <c r="MCH23" s="21"/>
      <c r="MCI23" s="21"/>
      <c r="MCJ23" s="21"/>
      <c r="MCK23" s="21"/>
      <c r="MCL23" s="21"/>
      <c r="MCM23" s="21"/>
      <c r="MCN23" s="21"/>
      <c r="MCO23" s="21"/>
      <c r="MCP23" s="21"/>
      <c r="MCQ23" s="21"/>
      <c r="MCR23" s="21"/>
      <c r="MCS23" s="21"/>
      <c r="MCT23" s="21"/>
      <c r="MCU23" s="21"/>
      <c r="MCV23" s="21"/>
      <c r="MCW23" s="21"/>
      <c r="MCX23" s="21"/>
      <c r="MCY23" s="21"/>
      <c r="MCZ23" s="21"/>
      <c r="MDA23" s="21"/>
      <c r="MDB23" s="21"/>
      <c r="MDC23" s="21"/>
      <c r="MDD23" s="21"/>
      <c r="MDE23" s="21"/>
      <c r="MDF23" s="21"/>
      <c r="MDG23" s="21"/>
      <c r="MDH23" s="21"/>
      <c r="MDI23" s="21"/>
      <c r="MDJ23" s="21"/>
      <c r="MDK23" s="21"/>
      <c r="MDL23" s="21"/>
      <c r="MDM23" s="21"/>
      <c r="MDN23" s="21"/>
      <c r="MDO23" s="21"/>
      <c r="MDP23" s="21"/>
      <c r="MDQ23" s="21"/>
      <c r="MDR23" s="21"/>
      <c r="MDS23" s="21"/>
      <c r="MDT23" s="21"/>
      <c r="MDU23" s="21"/>
      <c r="MDV23" s="21"/>
      <c r="MDW23" s="21"/>
      <c r="MDX23" s="21"/>
      <c r="MDY23" s="21"/>
      <c r="MDZ23" s="21"/>
      <c r="MEA23" s="21"/>
      <c r="MEB23" s="21"/>
      <c r="MEC23" s="21"/>
      <c r="MED23" s="21"/>
      <c r="MEE23" s="21"/>
      <c r="MEF23" s="21"/>
      <c r="MEG23" s="21"/>
      <c r="MEH23" s="21"/>
      <c r="MEI23" s="21"/>
      <c r="MEJ23" s="21"/>
      <c r="MEK23" s="21"/>
      <c r="MEL23" s="21"/>
      <c r="MEM23" s="21"/>
      <c r="MEN23" s="21"/>
      <c r="MEO23" s="21"/>
      <c r="MEP23" s="21"/>
      <c r="MEQ23" s="21"/>
      <c r="MER23" s="21"/>
      <c r="MES23" s="21"/>
      <c r="MET23" s="21"/>
      <c r="MEU23" s="21"/>
      <c r="MEV23" s="21"/>
      <c r="MEW23" s="21"/>
      <c r="MEX23" s="21"/>
      <c r="MEY23" s="21"/>
      <c r="MEZ23" s="21"/>
      <c r="MFA23" s="21"/>
      <c r="MFB23" s="21"/>
      <c r="MFC23" s="21"/>
      <c r="MFD23" s="21"/>
      <c r="MFE23" s="21"/>
      <c r="MFF23" s="21"/>
      <c r="MFG23" s="21"/>
      <c r="MFH23" s="21"/>
      <c r="MFI23" s="21"/>
      <c r="MFJ23" s="21"/>
      <c r="MFK23" s="21"/>
      <c r="MFL23" s="21"/>
      <c r="MFM23" s="21"/>
      <c r="MFN23" s="21"/>
      <c r="MFO23" s="21"/>
      <c r="MFP23" s="21"/>
      <c r="MFQ23" s="21"/>
      <c r="MFR23" s="21"/>
      <c r="MFS23" s="21"/>
      <c r="MFT23" s="21"/>
      <c r="MFU23" s="21"/>
      <c r="MFV23" s="21"/>
      <c r="MFW23" s="21"/>
      <c r="MFX23" s="21"/>
      <c r="MFY23" s="21"/>
      <c r="MFZ23" s="21"/>
      <c r="MGA23" s="21"/>
      <c r="MGB23" s="21"/>
      <c r="MGC23" s="21"/>
      <c r="MGD23" s="21"/>
      <c r="MGE23" s="21"/>
      <c r="MGF23" s="21"/>
      <c r="MGG23" s="21"/>
      <c r="MGH23" s="21"/>
      <c r="MGI23" s="21"/>
      <c r="MGJ23" s="21"/>
      <c r="MGK23" s="21"/>
      <c r="MGL23" s="21"/>
      <c r="MGM23" s="21"/>
      <c r="MGN23" s="21"/>
      <c r="MGO23" s="21"/>
      <c r="MGP23" s="21"/>
      <c r="MGQ23" s="21"/>
      <c r="MGR23" s="21"/>
      <c r="MGS23" s="21"/>
      <c r="MGT23" s="21"/>
      <c r="MGU23" s="21"/>
      <c r="MGV23" s="21"/>
      <c r="MGW23" s="21"/>
      <c r="MGX23" s="21"/>
      <c r="MGY23" s="21"/>
      <c r="MGZ23" s="21"/>
      <c r="MHA23" s="21"/>
      <c r="MHB23" s="21"/>
      <c r="MHC23" s="21"/>
      <c r="MHD23" s="21"/>
      <c r="MHE23" s="21"/>
      <c r="MHF23" s="21"/>
      <c r="MHG23" s="21"/>
      <c r="MHH23" s="21"/>
      <c r="MHI23" s="21"/>
      <c r="MHJ23" s="21"/>
      <c r="MHK23" s="21"/>
      <c r="MHL23" s="21"/>
      <c r="MHM23" s="21"/>
      <c r="MHN23" s="21"/>
      <c r="MHO23" s="21"/>
      <c r="MHP23" s="21"/>
      <c r="MHQ23" s="21"/>
      <c r="MHR23" s="21"/>
      <c r="MHS23" s="21"/>
      <c r="MHT23" s="21"/>
      <c r="MHU23" s="21"/>
      <c r="MHV23" s="21"/>
      <c r="MHW23" s="21"/>
      <c r="MHX23" s="21"/>
      <c r="MHY23" s="21"/>
      <c r="MHZ23" s="21"/>
      <c r="MIA23" s="21"/>
      <c r="MIB23" s="21"/>
      <c r="MIC23" s="21"/>
      <c r="MID23" s="21"/>
      <c r="MIE23" s="21"/>
      <c r="MIF23" s="21"/>
      <c r="MIG23" s="21"/>
      <c r="MIH23" s="21"/>
      <c r="MII23" s="21"/>
      <c r="MIJ23" s="21"/>
      <c r="MIK23" s="21"/>
      <c r="MIL23" s="21"/>
      <c r="MIM23" s="21"/>
      <c r="MIN23" s="21"/>
      <c r="MIO23" s="21"/>
      <c r="MIP23" s="21"/>
      <c r="MIQ23" s="21"/>
      <c r="MIR23" s="21"/>
      <c r="MIS23" s="21"/>
      <c r="MIT23" s="21"/>
      <c r="MIU23" s="21"/>
      <c r="MIV23" s="21"/>
      <c r="MIW23" s="21"/>
      <c r="MIX23" s="21"/>
      <c r="MIY23" s="21"/>
      <c r="MIZ23" s="21"/>
      <c r="MJA23" s="21"/>
      <c r="MJB23" s="21"/>
      <c r="MJC23" s="21"/>
      <c r="MJD23" s="21"/>
      <c r="MJE23" s="21"/>
      <c r="MJF23" s="21"/>
      <c r="MJG23" s="21"/>
      <c r="MJH23" s="21"/>
      <c r="MJI23" s="21"/>
      <c r="MJJ23" s="21"/>
      <c r="MJK23" s="21"/>
      <c r="MJL23" s="21"/>
      <c r="MJM23" s="21"/>
      <c r="MJN23" s="21"/>
      <c r="MJO23" s="21"/>
      <c r="MJP23" s="21"/>
      <c r="MJQ23" s="21"/>
      <c r="MJR23" s="21"/>
      <c r="MJS23" s="21"/>
      <c r="MJT23" s="21"/>
      <c r="MJU23" s="21"/>
      <c r="MJV23" s="21"/>
      <c r="MJW23" s="21"/>
      <c r="MJX23" s="21"/>
      <c r="MJY23" s="21"/>
      <c r="MJZ23" s="21"/>
      <c r="MKA23" s="21"/>
      <c r="MKB23" s="21"/>
      <c r="MKC23" s="21"/>
      <c r="MKD23" s="21"/>
      <c r="MKE23" s="21"/>
      <c r="MKF23" s="21"/>
      <c r="MKG23" s="21"/>
      <c r="MKH23" s="21"/>
      <c r="MKI23" s="21"/>
      <c r="MKJ23" s="21"/>
      <c r="MKK23" s="21"/>
      <c r="MKL23" s="21"/>
      <c r="MKM23" s="21"/>
      <c r="MKN23" s="21"/>
      <c r="MKO23" s="21"/>
      <c r="MKP23" s="21"/>
      <c r="MKQ23" s="21"/>
      <c r="MKR23" s="21"/>
      <c r="MKS23" s="21"/>
      <c r="MKT23" s="21"/>
      <c r="MKU23" s="21"/>
      <c r="MKV23" s="21"/>
      <c r="MKW23" s="21"/>
      <c r="MKX23" s="21"/>
      <c r="MKY23" s="21"/>
      <c r="MKZ23" s="21"/>
      <c r="MLA23" s="21"/>
      <c r="MLB23" s="21"/>
      <c r="MLC23" s="21"/>
      <c r="MLD23" s="21"/>
      <c r="MLE23" s="21"/>
      <c r="MLF23" s="21"/>
      <c r="MLG23" s="21"/>
      <c r="MLH23" s="21"/>
      <c r="MLI23" s="21"/>
      <c r="MLJ23" s="21"/>
      <c r="MLK23" s="21"/>
      <c r="MLL23" s="21"/>
      <c r="MLM23" s="21"/>
      <c r="MLN23" s="21"/>
      <c r="MLO23" s="21"/>
      <c r="MLP23" s="21"/>
      <c r="MLQ23" s="21"/>
      <c r="MLR23" s="21"/>
      <c r="MLS23" s="21"/>
      <c r="MLT23" s="21"/>
      <c r="MLU23" s="21"/>
      <c r="MLV23" s="21"/>
      <c r="MLW23" s="21"/>
      <c r="MLX23" s="21"/>
      <c r="MLY23" s="21"/>
      <c r="MLZ23" s="21"/>
      <c r="MMA23" s="21"/>
      <c r="MMB23" s="21"/>
      <c r="MMC23" s="21"/>
      <c r="MMD23" s="21"/>
      <c r="MME23" s="21"/>
      <c r="MMF23" s="21"/>
      <c r="MMG23" s="21"/>
      <c r="MMH23" s="21"/>
      <c r="MMI23" s="21"/>
      <c r="MMJ23" s="21"/>
      <c r="MMK23" s="21"/>
      <c r="MML23" s="21"/>
      <c r="MMM23" s="21"/>
      <c r="MMN23" s="21"/>
      <c r="MMO23" s="21"/>
      <c r="MMP23" s="21"/>
      <c r="MMQ23" s="21"/>
      <c r="MMR23" s="21"/>
      <c r="MMS23" s="21"/>
      <c r="MMT23" s="21"/>
      <c r="MMU23" s="21"/>
      <c r="MMV23" s="21"/>
      <c r="MMW23" s="21"/>
      <c r="MMX23" s="21"/>
      <c r="MMY23" s="21"/>
      <c r="MMZ23" s="21"/>
      <c r="MNA23" s="21"/>
      <c r="MNB23" s="21"/>
      <c r="MNC23" s="21"/>
      <c r="MND23" s="21"/>
      <c r="MNE23" s="21"/>
      <c r="MNF23" s="21"/>
      <c r="MNG23" s="21"/>
      <c r="MNH23" s="21"/>
      <c r="MNI23" s="21"/>
      <c r="MNJ23" s="21"/>
      <c r="MNK23" s="21"/>
      <c r="MNL23" s="21"/>
      <c r="MNM23" s="21"/>
      <c r="MNN23" s="21"/>
      <c r="MNO23" s="21"/>
      <c r="MNP23" s="21"/>
      <c r="MNQ23" s="21"/>
      <c r="MNR23" s="21"/>
      <c r="MNS23" s="21"/>
      <c r="MNT23" s="21"/>
      <c r="MNU23" s="21"/>
      <c r="MNV23" s="21"/>
      <c r="MNW23" s="21"/>
      <c r="MNX23" s="21"/>
      <c r="MNY23" s="21"/>
      <c r="MNZ23" s="21"/>
      <c r="MOA23" s="21"/>
      <c r="MOB23" s="21"/>
      <c r="MOC23" s="21"/>
      <c r="MOD23" s="21"/>
      <c r="MOE23" s="21"/>
      <c r="MOF23" s="21"/>
      <c r="MOG23" s="21"/>
      <c r="MOH23" s="21"/>
      <c r="MOI23" s="21"/>
      <c r="MOJ23" s="21"/>
      <c r="MOK23" s="21"/>
      <c r="MOL23" s="21"/>
      <c r="MOM23" s="21"/>
      <c r="MON23" s="21"/>
      <c r="MOO23" s="21"/>
      <c r="MOP23" s="21"/>
      <c r="MOQ23" s="21"/>
      <c r="MOR23" s="21"/>
      <c r="MOS23" s="21"/>
      <c r="MOT23" s="21"/>
      <c r="MOU23" s="21"/>
      <c r="MOV23" s="21"/>
      <c r="MOW23" s="21"/>
      <c r="MOX23" s="21"/>
      <c r="MOY23" s="21"/>
      <c r="MOZ23" s="21"/>
      <c r="MPA23" s="21"/>
      <c r="MPB23" s="21"/>
      <c r="MPC23" s="21"/>
      <c r="MPD23" s="21"/>
      <c r="MPE23" s="21"/>
      <c r="MPF23" s="21"/>
      <c r="MPG23" s="21"/>
      <c r="MPH23" s="21"/>
      <c r="MPI23" s="21"/>
      <c r="MPJ23" s="21"/>
      <c r="MPK23" s="21"/>
      <c r="MPL23" s="21"/>
      <c r="MPM23" s="21"/>
      <c r="MPN23" s="21"/>
      <c r="MPO23" s="21"/>
      <c r="MPP23" s="21"/>
      <c r="MPQ23" s="21"/>
      <c r="MPR23" s="21"/>
      <c r="MPS23" s="21"/>
      <c r="MPT23" s="21"/>
      <c r="MPU23" s="21"/>
      <c r="MPV23" s="21"/>
      <c r="MPW23" s="21"/>
      <c r="MPX23" s="21"/>
      <c r="MPY23" s="21"/>
      <c r="MPZ23" s="21"/>
      <c r="MQA23" s="21"/>
      <c r="MQB23" s="21"/>
      <c r="MQC23" s="21"/>
      <c r="MQD23" s="21"/>
      <c r="MQE23" s="21"/>
      <c r="MQF23" s="21"/>
      <c r="MQG23" s="21"/>
      <c r="MQH23" s="21"/>
      <c r="MQI23" s="21"/>
      <c r="MQJ23" s="21"/>
      <c r="MQK23" s="21"/>
      <c r="MQL23" s="21"/>
      <c r="MQM23" s="21"/>
      <c r="MQN23" s="21"/>
      <c r="MQO23" s="21"/>
      <c r="MQP23" s="21"/>
      <c r="MQQ23" s="21"/>
      <c r="MQR23" s="21"/>
      <c r="MQS23" s="21"/>
      <c r="MQT23" s="21"/>
      <c r="MQU23" s="21"/>
      <c r="MQV23" s="21"/>
      <c r="MQW23" s="21"/>
      <c r="MQX23" s="21"/>
      <c r="MQY23" s="21"/>
      <c r="MQZ23" s="21"/>
      <c r="MRA23" s="21"/>
      <c r="MRB23" s="21"/>
      <c r="MRC23" s="21"/>
      <c r="MRD23" s="21"/>
      <c r="MRE23" s="21"/>
      <c r="MRF23" s="21"/>
      <c r="MRG23" s="21"/>
      <c r="MRH23" s="21"/>
      <c r="MRI23" s="21"/>
      <c r="MRJ23" s="21"/>
      <c r="MRK23" s="21"/>
      <c r="MRL23" s="21"/>
      <c r="MRM23" s="21"/>
      <c r="MRN23" s="21"/>
      <c r="MRO23" s="21"/>
      <c r="MRP23" s="21"/>
      <c r="MRQ23" s="21"/>
      <c r="MRR23" s="21"/>
      <c r="MRS23" s="21"/>
      <c r="MRT23" s="21"/>
      <c r="MRU23" s="21"/>
      <c r="MRV23" s="21"/>
      <c r="MRW23" s="21"/>
      <c r="MRX23" s="21"/>
      <c r="MRY23" s="21"/>
      <c r="MRZ23" s="21"/>
      <c r="MSA23" s="21"/>
      <c r="MSB23" s="21"/>
      <c r="MSC23" s="21"/>
      <c r="MSD23" s="21"/>
      <c r="MSE23" s="21"/>
      <c r="MSF23" s="21"/>
      <c r="MSG23" s="21"/>
      <c r="MSH23" s="21"/>
      <c r="MSI23" s="21"/>
      <c r="MSJ23" s="21"/>
      <c r="MSK23" s="21"/>
      <c r="MSL23" s="21"/>
      <c r="MSM23" s="21"/>
      <c r="MSN23" s="21"/>
      <c r="MSO23" s="21"/>
      <c r="MSP23" s="21"/>
      <c r="MSQ23" s="21"/>
      <c r="MSR23" s="21"/>
      <c r="MSS23" s="21"/>
      <c r="MST23" s="21"/>
      <c r="MSU23" s="21"/>
      <c r="MSV23" s="21"/>
      <c r="MSW23" s="21"/>
      <c r="MSX23" s="21"/>
      <c r="MSY23" s="21"/>
      <c r="MSZ23" s="21"/>
      <c r="MTA23" s="21"/>
      <c r="MTB23" s="21"/>
      <c r="MTC23" s="21"/>
      <c r="MTD23" s="21"/>
      <c r="MTE23" s="21"/>
      <c r="MTF23" s="21"/>
      <c r="MTG23" s="21"/>
      <c r="MTH23" s="21"/>
      <c r="MTI23" s="21"/>
      <c r="MTJ23" s="21"/>
      <c r="MTK23" s="21"/>
      <c r="MTL23" s="21"/>
      <c r="MTM23" s="21"/>
      <c r="MTN23" s="21"/>
      <c r="MTO23" s="21"/>
      <c r="MTP23" s="21"/>
      <c r="MTQ23" s="21"/>
      <c r="MTR23" s="21"/>
      <c r="MTS23" s="21"/>
      <c r="MTT23" s="21"/>
      <c r="MTU23" s="21"/>
      <c r="MTV23" s="21"/>
      <c r="MTW23" s="21"/>
      <c r="MTX23" s="21"/>
      <c r="MTY23" s="21"/>
      <c r="MTZ23" s="21"/>
      <c r="MUA23" s="21"/>
      <c r="MUB23" s="21"/>
      <c r="MUC23" s="21"/>
      <c r="MUD23" s="21"/>
      <c r="MUE23" s="21"/>
      <c r="MUF23" s="21"/>
      <c r="MUG23" s="21"/>
      <c r="MUH23" s="21"/>
      <c r="MUI23" s="21"/>
      <c r="MUJ23" s="21"/>
      <c r="MUK23" s="21"/>
      <c r="MUL23" s="21"/>
      <c r="MUM23" s="21"/>
      <c r="MUN23" s="21"/>
      <c r="MUO23" s="21"/>
      <c r="MUP23" s="21"/>
      <c r="MUQ23" s="21"/>
      <c r="MUR23" s="21"/>
      <c r="MUS23" s="21"/>
      <c r="MUT23" s="21"/>
      <c r="MUU23" s="21"/>
      <c r="MUV23" s="21"/>
      <c r="MUW23" s="21"/>
      <c r="MUX23" s="21"/>
      <c r="MUY23" s="21"/>
      <c r="MUZ23" s="21"/>
      <c r="MVA23" s="21"/>
      <c r="MVB23" s="21"/>
      <c r="MVC23" s="21"/>
      <c r="MVD23" s="21"/>
      <c r="MVE23" s="21"/>
      <c r="MVF23" s="21"/>
      <c r="MVG23" s="21"/>
      <c r="MVH23" s="21"/>
      <c r="MVI23" s="21"/>
      <c r="MVJ23" s="21"/>
      <c r="MVK23" s="21"/>
      <c r="MVL23" s="21"/>
      <c r="MVM23" s="21"/>
      <c r="MVN23" s="21"/>
      <c r="MVO23" s="21"/>
      <c r="MVP23" s="21"/>
      <c r="MVQ23" s="21"/>
      <c r="MVR23" s="21"/>
      <c r="MVS23" s="21"/>
      <c r="MVT23" s="21"/>
      <c r="MVU23" s="21"/>
      <c r="MVV23" s="21"/>
      <c r="MVW23" s="21"/>
      <c r="MVX23" s="21"/>
      <c r="MVY23" s="21"/>
      <c r="MVZ23" s="21"/>
      <c r="MWA23" s="21"/>
      <c r="MWB23" s="21"/>
      <c r="MWC23" s="21"/>
      <c r="MWD23" s="21"/>
      <c r="MWE23" s="21"/>
      <c r="MWF23" s="21"/>
      <c r="MWG23" s="21"/>
      <c r="MWH23" s="21"/>
      <c r="MWI23" s="21"/>
      <c r="MWJ23" s="21"/>
      <c r="MWK23" s="21"/>
      <c r="MWL23" s="21"/>
      <c r="MWM23" s="21"/>
      <c r="MWN23" s="21"/>
      <c r="MWO23" s="21"/>
      <c r="MWP23" s="21"/>
      <c r="MWQ23" s="21"/>
      <c r="MWR23" s="21"/>
      <c r="MWS23" s="21"/>
      <c r="MWT23" s="21"/>
      <c r="MWU23" s="21"/>
      <c r="MWV23" s="21"/>
      <c r="MWW23" s="21"/>
      <c r="MWX23" s="21"/>
      <c r="MWY23" s="21"/>
      <c r="MWZ23" s="21"/>
      <c r="MXA23" s="21"/>
      <c r="MXB23" s="21"/>
      <c r="MXC23" s="21"/>
      <c r="MXD23" s="21"/>
      <c r="MXE23" s="21"/>
      <c r="MXF23" s="21"/>
      <c r="MXG23" s="21"/>
      <c r="MXH23" s="21"/>
      <c r="MXI23" s="21"/>
      <c r="MXJ23" s="21"/>
      <c r="MXK23" s="21"/>
      <c r="MXL23" s="21"/>
      <c r="MXM23" s="21"/>
      <c r="MXN23" s="21"/>
      <c r="MXO23" s="21"/>
      <c r="MXP23" s="21"/>
      <c r="MXQ23" s="21"/>
      <c r="MXR23" s="21"/>
      <c r="MXS23" s="21"/>
      <c r="MXT23" s="21"/>
      <c r="MXU23" s="21"/>
      <c r="MXV23" s="21"/>
      <c r="MXW23" s="21"/>
      <c r="MXX23" s="21"/>
      <c r="MXY23" s="21"/>
      <c r="MXZ23" s="21"/>
      <c r="MYA23" s="21"/>
      <c r="MYB23" s="21"/>
      <c r="MYC23" s="21"/>
      <c r="MYD23" s="21"/>
      <c r="MYE23" s="21"/>
      <c r="MYF23" s="21"/>
      <c r="MYG23" s="21"/>
      <c r="MYH23" s="21"/>
      <c r="MYI23" s="21"/>
      <c r="MYJ23" s="21"/>
      <c r="MYK23" s="21"/>
      <c r="MYL23" s="21"/>
      <c r="MYM23" s="21"/>
      <c r="MYN23" s="21"/>
      <c r="MYO23" s="21"/>
      <c r="MYP23" s="21"/>
      <c r="MYQ23" s="21"/>
      <c r="MYR23" s="21"/>
      <c r="MYS23" s="21"/>
      <c r="MYT23" s="21"/>
      <c r="MYU23" s="21"/>
      <c r="MYV23" s="21"/>
      <c r="MYW23" s="21"/>
      <c r="MYX23" s="21"/>
      <c r="MYY23" s="21"/>
      <c r="MYZ23" s="21"/>
      <c r="MZA23" s="21"/>
      <c r="MZB23" s="21"/>
      <c r="MZC23" s="21"/>
      <c r="MZD23" s="21"/>
      <c r="MZE23" s="21"/>
      <c r="MZF23" s="21"/>
      <c r="MZG23" s="21"/>
      <c r="MZH23" s="21"/>
      <c r="MZI23" s="21"/>
      <c r="MZJ23" s="21"/>
      <c r="MZK23" s="21"/>
      <c r="MZL23" s="21"/>
      <c r="MZM23" s="21"/>
      <c r="MZN23" s="21"/>
      <c r="MZO23" s="21"/>
      <c r="MZP23" s="21"/>
      <c r="MZQ23" s="21"/>
      <c r="MZR23" s="21"/>
      <c r="MZS23" s="21"/>
      <c r="MZT23" s="21"/>
      <c r="MZU23" s="21"/>
      <c r="MZV23" s="21"/>
      <c r="MZW23" s="21"/>
      <c r="MZX23" s="21"/>
      <c r="MZY23" s="21"/>
      <c r="MZZ23" s="21"/>
      <c r="NAA23" s="21"/>
      <c r="NAB23" s="21"/>
      <c r="NAC23" s="21"/>
      <c r="NAD23" s="21"/>
      <c r="NAE23" s="21"/>
      <c r="NAF23" s="21"/>
      <c r="NAG23" s="21"/>
      <c r="NAH23" s="21"/>
      <c r="NAI23" s="21"/>
      <c r="NAJ23" s="21"/>
      <c r="NAK23" s="21"/>
      <c r="NAL23" s="21"/>
      <c r="NAM23" s="21"/>
      <c r="NAN23" s="21"/>
      <c r="NAO23" s="21"/>
      <c r="NAP23" s="21"/>
      <c r="NAQ23" s="21"/>
      <c r="NAR23" s="21"/>
      <c r="NAS23" s="21"/>
      <c r="NAT23" s="21"/>
      <c r="NAU23" s="21"/>
      <c r="NAV23" s="21"/>
      <c r="NAW23" s="21"/>
      <c r="NAX23" s="21"/>
      <c r="NAY23" s="21"/>
      <c r="NAZ23" s="21"/>
      <c r="NBA23" s="21"/>
      <c r="NBB23" s="21"/>
      <c r="NBC23" s="21"/>
      <c r="NBD23" s="21"/>
      <c r="NBE23" s="21"/>
      <c r="NBF23" s="21"/>
      <c r="NBG23" s="21"/>
      <c r="NBH23" s="21"/>
      <c r="NBI23" s="21"/>
      <c r="NBJ23" s="21"/>
      <c r="NBK23" s="21"/>
      <c r="NBL23" s="21"/>
      <c r="NBM23" s="21"/>
      <c r="NBN23" s="21"/>
      <c r="NBO23" s="21"/>
      <c r="NBP23" s="21"/>
      <c r="NBQ23" s="21"/>
      <c r="NBR23" s="21"/>
      <c r="NBS23" s="21"/>
      <c r="NBT23" s="21"/>
      <c r="NBU23" s="21"/>
      <c r="NBV23" s="21"/>
      <c r="NBW23" s="21"/>
      <c r="NBX23" s="21"/>
      <c r="NBY23" s="21"/>
      <c r="NBZ23" s="21"/>
      <c r="NCA23" s="21"/>
      <c r="NCB23" s="21"/>
      <c r="NCC23" s="21"/>
      <c r="NCD23" s="21"/>
      <c r="NCE23" s="21"/>
      <c r="NCF23" s="21"/>
      <c r="NCG23" s="21"/>
      <c r="NCH23" s="21"/>
      <c r="NCI23" s="21"/>
      <c r="NCJ23" s="21"/>
      <c r="NCK23" s="21"/>
      <c r="NCL23" s="21"/>
      <c r="NCM23" s="21"/>
      <c r="NCN23" s="21"/>
      <c r="NCO23" s="21"/>
      <c r="NCP23" s="21"/>
      <c r="NCQ23" s="21"/>
      <c r="NCR23" s="21"/>
      <c r="NCS23" s="21"/>
      <c r="NCT23" s="21"/>
      <c r="NCU23" s="21"/>
      <c r="NCV23" s="21"/>
      <c r="NCW23" s="21"/>
      <c r="NCX23" s="21"/>
      <c r="NCY23" s="21"/>
      <c r="NCZ23" s="21"/>
      <c r="NDA23" s="21"/>
      <c r="NDB23" s="21"/>
      <c r="NDC23" s="21"/>
      <c r="NDD23" s="21"/>
      <c r="NDE23" s="21"/>
      <c r="NDF23" s="21"/>
      <c r="NDG23" s="21"/>
      <c r="NDH23" s="21"/>
      <c r="NDI23" s="21"/>
      <c r="NDJ23" s="21"/>
      <c r="NDK23" s="21"/>
      <c r="NDL23" s="21"/>
      <c r="NDM23" s="21"/>
      <c r="NDN23" s="21"/>
      <c r="NDO23" s="21"/>
      <c r="NDP23" s="21"/>
      <c r="NDQ23" s="21"/>
      <c r="NDR23" s="21"/>
      <c r="NDS23" s="21"/>
      <c r="NDT23" s="21"/>
      <c r="NDU23" s="21"/>
      <c r="NDV23" s="21"/>
      <c r="NDW23" s="21"/>
      <c r="NDX23" s="21"/>
      <c r="NDY23" s="21"/>
      <c r="NDZ23" s="21"/>
      <c r="NEA23" s="21"/>
      <c r="NEB23" s="21"/>
      <c r="NEC23" s="21"/>
      <c r="NED23" s="21"/>
      <c r="NEE23" s="21"/>
      <c r="NEF23" s="21"/>
      <c r="NEG23" s="21"/>
      <c r="NEH23" s="21"/>
      <c r="NEI23" s="21"/>
      <c r="NEJ23" s="21"/>
      <c r="NEK23" s="21"/>
      <c r="NEL23" s="21"/>
      <c r="NEM23" s="21"/>
      <c r="NEN23" s="21"/>
      <c r="NEO23" s="21"/>
      <c r="NEP23" s="21"/>
      <c r="NEQ23" s="21"/>
      <c r="NER23" s="21"/>
      <c r="NES23" s="21"/>
      <c r="NET23" s="21"/>
      <c r="NEU23" s="21"/>
      <c r="NEV23" s="21"/>
      <c r="NEW23" s="21"/>
      <c r="NEX23" s="21"/>
      <c r="NEY23" s="21"/>
      <c r="NEZ23" s="21"/>
      <c r="NFA23" s="21"/>
      <c r="NFB23" s="21"/>
      <c r="NFC23" s="21"/>
      <c r="NFD23" s="21"/>
      <c r="NFE23" s="21"/>
      <c r="NFF23" s="21"/>
      <c r="NFG23" s="21"/>
      <c r="NFH23" s="21"/>
      <c r="NFI23" s="21"/>
      <c r="NFJ23" s="21"/>
      <c r="NFK23" s="21"/>
      <c r="NFL23" s="21"/>
      <c r="NFM23" s="21"/>
      <c r="NFN23" s="21"/>
      <c r="NFO23" s="21"/>
      <c r="NFP23" s="21"/>
      <c r="NFQ23" s="21"/>
      <c r="NFR23" s="21"/>
      <c r="NFS23" s="21"/>
      <c r="NFT23" s="21"/>
      <c r="NFU23" s="21"/>
      <c r="NFV23" s="21"/>
      <c r="NFW23" s="21"/>
      <c r="NFX23" s="21"/>
      <c r="NFY23" s="21"/>
      <c r="NFZ23" s="21"/>
      <c r="NGA23" s="21"/>
      <c r="NGB23" s="21"/>
      <c r="NGC23" s="21"/>
      <c r="NGD23" s="21"/>
      <c r="NGE23" s="21"/>
      <c r="NGF23" s="21"/>
      <c r="NGG23" s="21"/>
      <c r="NGH23" s="21"/>
      <c r="NGI23" s="21"/>
      <c r="NGJ23" s="21"/>
      <c r="NGK23" s="21"/>
      <c r="NGL23" s="21"/>
      <c r="NGM23" s="21"/>
      <c r="NGN23" s="21"/>
      <c r="NGO23" s="21"/>
      <c r="NGP23" s="21"/>
      <c r="NGQ23" s="21"/>
      <c r="NGR23" s="21"/>
      <c r="NGS23" s="21"/>
      <c r="NGT23" s="21"/>
      <c r="NGU23" s="21"/>
      <c r="NGV23" s="21"/>
      <c r="NGW23" s="21"/>
      <c r="NGX23" s="21"/>
      <c r="NGY23" s="21"/>
      <c r="NGZ23" s="21"/>
      <c r="NHA23" s="21"/>
      <c r="NHB23" s="21"/>
      <c r="NHC23" s="21"/>
      <c r="NHD23" s="21"/>
      <c r="NHE23" s="21"/>
      <c r="NHF23" s="21"/>
      <c r="NHG23" s="21"/>
      <c r="NHH23" s="21"/>
      <c r="NHI23" s="21"/>
      <c r="NHJ23" s="21"/>
      <c r="NHK23" s="21"/>
      <c r="NHL23" s="21"/>
      <c r="NHM23" s="21"/>
      <c r="NHN23" s="21"/>
      <c r="NHO23" s="21"/>
      <c r="NHP23" s="21"/>
      <c r="NHQ23" s="21"/>
      <c r="NHR23" s="21"/>
      <c r="NHS23" s="21"/>
      <c r="NHT23" s="21"/>
      <c r="NHU23" s="21"/>
      <c r="NHV23" s="21"/>
      <c r="NHW23" s="21"/>
      <c r="NHX23" s="21"/>
      <c r="NHY23" s="21"/>
      <c r="NHZ23" s="21"/>
      <c r="NIA23" s="21"/>
      <c r="NIB23" s="21"/>
      <c r="NIC23" s="21"/>
      <c r="NID23" s="21"/>
      <c r="NIE23" s="21"/>
      <c r="NIF23" s="21"/>
      <c r="NIG23" s="21"/>
      <c r="NIH23" s="21"/>
      <c r="NII23" s="21"/>
      <c r="NIJ23" s="21"/>
      <c r="NIK23" s="21"/>
      <c r="NIL23" s="21"/>
      <c r="NIM23" s="21"/>
      <c r="NIN23" s="21"/>
      <c r="NIO23" s="21"/>
      <c r="NIP23" s="21"/>
      <c r="NIQ23" s="21"/>
      <c r="NIR23" s="21"/>
      <c r="NIS23" s="21"/>
      <c r="NIT23" s="21"/>
      <c r="NIU23" s="21"/>
      <c r="NIV23" s="21"/>
      <c r="NIW23" s="21"/>
      <c r="NIX23" s="21"/>
      <c r="NIY23" s="21"/>
      <c r="NIZ23" s="21"/>
      <c r="NJA23" s="21"/>
      <c r="NJB23" s="21"/>
      <c r="NJC23" s="21"/>
      <c r="NJD23" s="21"/>
      <c r="NJE23" s="21"/>
      <c r="NJF23" s="21"/>
      <c r="NJG23" s="21"/>
      <c r="NJH23" s="21"/>
      <c r="NJI23" s="21"/>
      <c r="NJJ23" s="21"/>
      <c r="NJK23" s="21"/>
      <c r="NJL23" s="21"/>
      <c r="NJM23" s="21"/>
      <c r="NJN23" s="21"/>
      <c r="NJO23" s="21"/>
      <c r="NJP23" s="21"/>
      <c r="NJQ23" s="21"/>
      <c r="NJR23" s="21"/>
      <c r="NJS23" s="21"/>
      <c r="NJT23" s="21"/>
      <c r="NJU23" s="21"/>
      <c r="NJV23" s="21"/>
      <c r="NJW23" s="21"/>
      <c r="NJX23" s="21"/>
      <c r="NJY23" s="21"/>
      <c r="NJZ23" s="21"/>
      <c r="NKA23" s="21"/>
      <c r="NKB23" s="21"/>
      <c r="NKC23" s="21"/>
      <c r="NKD23" s="21"/>
      <c r="NKE23" s="21"/>
      <c r="NKF23" s="21"/>
      <c r="NKG23" s="21"/>
      <c r="NKH23" s="21"/>
      <c r="NKI23" s="21"/>
      <c r="NKJ23" s="21"/>
      <c r="NKK23" s="21"/>
      <c r="NKL23" s="21"/>
      <c r="NKM23" s="21"/>
      <c r="NKN23" s="21"/>
      <c r="NKO23" s="21"/>
      <c r="NKP23" s="21"/>
      <c r="NKQ23" s="21"/>
      <c r="NKR23" s="21"/>
      <c r="NKS23" s="21"/>
      <c r="NKT23" s="21"/>
      <c r="NKU23" s="21"/>
      <c r="NKV23" s="21"/>
      <c r="NKW23" s="21"/>
      <c r="NKX23" s="21"/>
      <c r="NKY23" s="21"/>
      <c r="NKZ23" s="21"/>
      <c r="NLA23" s="21"/>
      <c r="NLB23" s="21"/>
      <c r="NLC23" s="21"/>
      <c r="NLD23" s="21"/>
      <c r="NLE23" s="21"/>
      <c r="NLF23" s="21"/>
      <c r="NLG23" s="21"/>
      <c r="NLH23" s="21"/>
      <c r="NLI23" s="21"/>
      <c r="NLJ23" s="21"/>
      <c r="NLK23" s="21"/>
      <c r="NLL23" s="21"/>
      <c r="NLM23" s="21"/>
      <c r="NLN23" s="21"/>
      <c r="NLO23" s="21"/>
      <c r="NLP23" s="21"/>
      <c r="NLQ23" s="21"/>
      <c r="NLR23" s="21"/>
      <c r="NLS23" s="21"/>
      <c r="NLT23" s="21"/>
      <c r="NLU23" s="21"/>
      <c r="NLV23" s="21"/>
      <c r="NLW23" s="21"/>
      <c r="NLX23" s="21"/>
      <c r="NLY23" s="21"/>
      <c r="NLZ23" s="21"/>
      <c r="NMA23" s="21"/>
      <c r="NMB23" s="21"/>
      <c r="NMC23" s="21"/>
      <c r="NMD23" s="21"/>
      <c r="NME23" s="21"/>
      <c r="NMF23" s="21"/>
      <c r="NMG23" s="21"/>
      <c r="NMH23" s="21"/>
      <c r="NMI23" s="21"/>
      <c r="NMJ23" s="21"/>
      <c r="NMK23" s="21"/>
      <c r="NML23" s="21"/>
      <c r="NMM23" s="21"/>
      <c r="NMN23" s="21"/>
      <c r="NMO23" s="21"/>
      <c r="NMP23" s="21"/>
      <c r="NMQ23" s="21"/>
      <c r="NMR23" s="21"/>
      <c r="NMS23" s="21"/>
      <c r="NMT23" s="21"/>
      <c r="NMU23" s="21"/>
      <c r="NMV23" s="21"/>
      <c r="NMW23" s="21"/>
      <c r="NMX23" s="21"/>
      <c r="NMY23" s="21"/>
      <c r="NMZ23" s="21"/>
      <c r="NNA23" s="21"/>
      <c r="NNB23" s="21"/>
      <c r="NNC23" s="21"/>
      <c r="NND23" s="21"/>
      <c r="NNE23" s="21"/>
      <c r="NNF23" s="21"/>
      <c r="NNG23" s="21"/>
      <c r="NNH23" s="21"/>
      <c r="NNI23" s="21"/>
      <c r="NNJ23" s="21"/>
      <c r="NNK23" s="21"/>
      <c r="NNL23" s="21"/>
      <c r="NNM23" s="21"/>
      <c r="NNN23" s="21"/>
      <c r="NNO23" s="21"/>
      <c r="NNP23" s="21"/>
      <c r="NNQ23" s="21"/>
      <c r="NNR23" s="21"/>
      <c r="NNS23" s="21"/>
      <c r="NNT23" s="21"/>
      <c r="NNU23" s="21"/>
      <c r="NNV23" s="21"/>
      <c r="NNW23" s="21"/>
      <c r="NNX23" s="21"/>
      <c r="NNY23" s="21"/>
      <c r="NNZ23" s="21"/>
      <c r="NOA23" s="21"/>
      <c r="NOB23" s="21"/>
      <c r="NOC23" s="21"/>
      <c r="NOD23" s="21"/>
      <c r="NOE23" s="21"/>
      <c r="NOF23" s="21"/>
      <c r="NOG23" s="21"/>
      <c r="NOH23" s="21"/>
      <c r="NOI23" s="21"/>
      <c r="NOJ23" s="21"/>
      <c r="NOK23" s="21"/>
      <c r="NOL23" s="21"/>
      <c r="NOM23" s="21"/>
      <c r="NON23" s="21"/>
      <c r="NOO23" s="21"/>
      <c r="NOP23" s="21"/>
      <c r="NOQ23" s="21"/>
      <c r="NOR23" s="21"/>
      <c r="NOS23" s="21"/>
      <c r="NOT23" s="21"/>
      <c r="NOU23" s="21"/>
      <c r="NOV23" s="21"/>
      <c r="NOW23" s="21"/>
      <c r="NOX23" s="21"/>
      <c r="NOY23" s="21"/>
      <c r="NOZ23" s="21"/>
      <c r="NPA23" s="21"/>
      <c r="NPB23" s="21"/>
      <c r="NPC23" s="21"/>
      <c r="NPD23" s="21"/>
      <c r="NPE23" s="21"/>
      <c r="NPF23" s="21"/>
      <c r="NPG23" s="21"/>
      <c r="NPH23" s="21"/>
      <c r="NPI23" s="21"/>
      <c r="NPJ23" s="21"/>
      <c r="NPK23" s="21"/>
      <c r="NPL23" s="21"/>
      <c r="NPM23" s="21"/>
      <c r="NPN23" s="21"/>
      <c r="NPO23" s="21"/>
      <c r="NPP23" s="21"/>
      <c r="NPQ23" s="21"/>
      <c r="NPR23" s="21"/>
      <c r="NPS23" s="21"/>
      <c r="NPT23" s="21"/>
      <c r="NPU23" s="21"/>
      <c r="NPV23" s="21"/>
      <c r="NPW23" s="21"/>
      <c r="NPX23" s="21"/>
      <c r="NPY23" s="21"/>
      <c r="NPZ23" s="21"/>
      <c r="NQA23" s="21"/>
      <c r="NQB23" s="21"/>
      <c r="NQC23" s="21"/>
      <c r="NQD23" s="21"/>
      <c r="NQE23" s="21"/>
      <c r="NQF23" s="21"/>
      <c r="NQG23" s="21"/>
      <c r="NQH23" s="21"/>
      <c r="NQI23" s="21"/>
      <c r="NQJ23" s="21"/>
      <c r="NQK23" s="21"/>
      <c r="NQL23" s="21"/>
      <c r="NQM23" s="21"/>
      <c r="NQN23" s="21"/>
      <c r="NQO23" s="21"/>
      <c r="NQP23" s="21"/>
      <c r="NQQ23" s="21"/>
      <c r="NQR23" s="21"/>
      <c r="NQS23" s="21"/>
      <c r="NQT23" s="21"/>
      <c r="NQU23" s="21"/>
      <c r="NQV23" s="21"/>
      <c r="NQW23" s="21"/>
      <c r="NQX23" s="21"/>
      <c r="NQY23" s="21"/>
      <c r="NQZ23" s="21"/>
      <c r="NRA23" s="21"/>
      <c r="NRB23" s="21"/>
      <c r="NRC23" s="21"/>
      <c r="NRD23" s="21"/>
      <c r="NRE23" s="21"/>
      <c r="NRF23" s="21"/>
      <c r="NRG23" s="21"/>
      <c r="NRH23" s="21"/>
      <c r="NRI23" s="21"/>
      <c r="NRJ23" s="21"/>
      <c r="NRK23" s="21"/>
      <c r="NRL23" s="21"/>
      <c r="NRM23" s="21"/>
      <c r="NRN23" s="21"/>
      <c r="NRO23" s="21"/>
      <c r="NRP23" s="21"/>
      <c r="NRQ23" s="21"/>
      <c r="NRR23" s="21"/>
      <c r="NRS23" s="21"/>
      <c r="NRT23" s="21"/>
      <c r="NRU23" s="21"/>
      <c r="NRV23" s="21"/>
      <c r="NRW23" s="21"/>
      <c r="NRX23" s="21"/>
      <c r="NRY23" s="21"/>
      <c r="NRZ23" s="21"/>
      <c r="NSA23" s="21"/>
      <c r="NSB23" s="21"/>
      <c r="NSC23" s="21"/>
      <c r="NSD23" s="21"/>
      <c r="NSE23" s="21"/>
      <c r="NSF23" s="21"/>
      <c r="NSG23" s="21"/>
      <c r="NSH23" s="21"/>
      <c r="NSI23" s="21"/>
      <c r="NSJ23" s="21"/>
      <c r="NSK23" s="21"/>
      <c r="NSL23" s="21"/>
      <c r="NSM23" s="21"/>
      <c r="NSN23" s="21"/>
      <c r="NSO23" s="21"/>
      <c r="NSP23" s="21"/>
      <c r="NSQ23" s="21"/>
      <c r="NSR23" s="21"/>
      <c r="NSS23" s="21"/>
      <c r="NST23" s="21"/>
      <c r="NSU23" s="21"/>
      <c r="NSV23" s="21"/>
      <c r="NSW23" s="21"/>
      <c r="NSX23" s="21"/>
      <c r="NSY23" s="21"/>
      <c r="NSZ23" s="21"/>
      <c r="NTA23" s="21"/>
      <c r="NTB23" s="21"/>
      <c r="NTC23" s="21"/>
      <c r="NTD23" s="21"/>
      <c r="NTE23" s="21"/>
      <c r="NTF23" s="21"/>
      <c r="NTG23" s="21"/>
      <c r="NTH23" s="21"/>
      <c r="NTI23" s="21"/>
      <c r="NTJ23" s="21"/>
      <c r="NTK23" s="21"/>
      <c r="NTL23" s="21"/>
      <c r="NTM23" s="21"/>
      <c r="NTN23" s="21"/>
      <c r="NTO23" s="21"/>
      <c r="NTP23" s="21"/>
      <c r="NTQ23" s="21"/>
      <c r="NTR23" s="21"/>
      <c r="NTS23" s="21"/>
      <c r="NTT23" s="21"/>
      <c r="NTU23" s="21"/>
      <c r="NTV23" s="21"/>
      <c r="NTW23" s="21"/>
      <c r="NTX23" s="21"/>
      <c r="NTY23" s="21"/>
      <c r="NTZ23" s="21"/>
      <c r="NUA23" s="21"/>
      <c r="NUB23" s="21"/>
      <c r="NUC23" s="21"/>
      <c r="NUD23" s="21"/>
      <c r="NUE23" s="21"/>
      <c r="NUF23" s="21"/>
      <c r="NUG23" s="21"/>
      <c r="NUH23" s="21"/>
      <c r="NUI23" s="21"/>
      <c r="NUJ23" s="21"/>
      <c r="NUK23" s="21"/>
      <c r="NUL23" s="21"/>
      <c r="NUM23" s="21"/>
      <c r="NUN23" s="21"/>
      <c r="NUO23" s="21"/>
      <c r="NUP23" s="21"/>
      <c r="NUQ23" s="21"/>
      <c r="NUR23" s="21"/>
      <c r="NUS23" s="21"/>
      <c r="NUT23" s="21"/>
      <c r="NUU23" s="21"/>
      <c r="NUV23" s="21"/>
      <c r="NUW23" s="21"/>
      <c r="NUX23" s="21"/>
      <c r="NUY23" s="21"/>
      <c r="NUZ23" s="21"/>
      <c r="NVA23" s="21"/>
      <c r="NVB23" s="21"/>
      <c r="NVC23" s="21"/>
      <c r="NVD23" s="21"/>
      <c r="NVE23" s="21"/>
      <c r="NVF23" s="21"/>
      <c r="NVG23" s="21"/>
      <c r="NVH23" s="21"/>
      <c r="NVI23" s="21"/>
      <c r="NVJ23" s="21"/>
      <c r="NVK23" s="21"/>
      <c r="NVL23" s="21"/>
      <c r="NVM23" s="21"/>
      <c r="NVN23" s="21"/>
      <c r="NVO23" s="21"/>
      <c r="NVP23" s="21"/>
      <c r="NVQ23" s="21"/>
      <c r="NVR23" s="21"/>
      <c r="NVS23" s="21"/>
      <c r="NVT23" s="21"/>
      <c r="NVU23" s="21"/>
      <c r="NVV23" s="21"/>
      <c r="NVW23" s="21"/>
      <c r="NVX23" s="21"/>
      <c r="NVY23" s="21"/>
      <c r="NVZ23" s="21"/>
      <c r="NWA23" s="21"/>
      <c r="NWB23" s="21"/>
      <c r="NWC23" s="21"/>
      <c r="NWD23" s="21"/>
      <c r="NWE23" s="21"/>
      <c r="NWF23" s="21"/>
      <c r="NWG23" s="21"/>
      <c r="NWH23" s="21"/>
      <c r="NWI23" s="21"/>
      <c r="NWJ23" s="21"/>
      <c r="NWK23" s="21"/>
      <c r="NWL23" s="21"/>
      <c r="NWM23" s="21"/>
      <c r="NWN23" s="21"/>
      <c r="NWO23" s="21"/>
      <c r="NWP23" s="21"/>
      <c r="NWQ23" s="21"/>
      <c r="NWR23" s="21"/>
      <c r="NWS23" s="21"/>
      <c r="NWT23" s="21"/>
      <c r="NWU23" s="21"/>
      <c r="NWV23" s="21"/>
      <c r="NWW23" s="21"/>
      <c r="NWX23" s="21"/>
      <c r="NWY23" s="21"/>
      <c r="NWZ23" s="21"/>
      <c r="NXA23" s="21"/>
      <c r="NXB23" s="21"/>
      <c r="NXC23" s="21"/>
      <c r="NXD23" s="21"/>
      <c r="NXE23" s="21"/>
      <c r="NXF23" s="21"/>
      <c r="NXG23" s="21"/>
      <c r="NXH23" s="21"/>
      <c r="NXI23" s="21"/>
      <c r="NXJ23" s="21"/>
      <c r="NXK23" s="21"/>
      <c r="NXL23" s="21"/>
      <c r="NXM23" s="21"/>
      <c r="NXN23" s="21"/>
      <c r="NXO23" s="21"/>
      <c r="NXP23" s="21"/>
      <c r="NXQ23" s="21"/>
      <c r="NXR23" s="21"/>
      <c r="NXS23" s="21"/>
      <c r="NXT23" s="21"/>
      <c r="NXU23" s="21"/>
      <c r="NXV23" s="21"/>
      <c r="NXW23" s="21"/>
      <c r="NXX23" s="21"/>
      <c r="NXY23" s="21"/>
      <c r="NXZ23" s="21"/>
      <c r="NYA23" s="21"/>
      <c r="NYB23" s="21"/>
      <c r="NYC23" s="21"/>
      <c r="NYD23" s="21"/>
      <c r="NYE23" s="21"/>
      <c r="NYF23" s="21"/>
      <c r="NYG23" s="21"/>
      <c r="NYH23" s="21"/>
      <c r="NYI23" s="21"/>
      <c r="NYJ23" s="21"/>
      <c r="NYK23" s="21"/>
      <c r="NYL23" s="21"/>
      <c r="NYM23" s="21"/>
      <c r="NYN23" s="21"/>
      <c r="NYO23" s="21"/>
      <c r="NYP23" s="21"/>
      <c r="NYQ23" s="21"/>
      <c r="NYR23" s="21"/>
      <c r="NYS23" s="21"/>
      <c r="NYT23" s="21"/>
      <c r="NYU23" s="21"/>
      <c r="NYV23" s="21"/>
      <c r="NYW23" s="21"/>
      <c r="NYX23" s="21"/>
      <c r="NYY23" s="21"/>
      <c r="NYZ23" s="21"/>
      <c r="NZA23" s="21"/>
      <c r="NZB23" s="21"/>
      <c r="NZC23" s="21"/>
      <c r="NZD23" s="21"/>
      <c r="NZE23" s="21"/>
      <c r="NZF23" s="21"/>
      <c r="NZG23" s="21"/>
      <c r="NZH23" s="21"/>
      <c r="NZI23" s="21"/>
      <c r="NZJ23" s="21"/>
      <c r="NZK23" s="21"/>
      <c r="NZL23" s="21"/>
      <c r="NZM23" s="21"/>
      <c r="NZN23" s="21"/>
      <c r="NZO23" s="21"/>
      <c r="NZP23" s="21"/>
      <c r="NZQ23" s="21"/>
      <c r="NZR23" s="21"/>
      <c r="NZS23" s="21"/>
      <c r="NZT23" s="21"/>
      <c r="NZU23" s="21"/>
      <c r="NZV23" s="21"/>
      <c r="NZW23" s="21"/>
      <c r="NZX23" s="21"/>
      <c r="NZY23" s="21"/>
      <c r="NZZ23" s="21"/>
      <c r="OAA23" s="21"/>
      <c r="OAB23" s="21"/>
      <c r="OAC23" s="21"/>
      <c r="OAD23" s="21"/>
      <c r="OAE23" s="21"/>
      <c r="OAF23" s="21"/>
      <c r="OAG23" s="21"/>
      <c r="OAH23" s="21"/>
      <c r="OAI23" s="21"/>
      <c r="OAJ23" s="21"/>
      <c r="OAK23" s="21"/>
      <c r="OAL23" s="21"/>
      <c r="OAM23" s="21"/>
      <c r="OAN23" s="21"/>
      <c r="OAO23" s="21"/>
      <c r="OAP23" s="21"/>
      <c r="OAQ23" s="21"/>
      <c r="OAR23" s="21"/>
      <c r="OAS23" s="21"/>
      <c r="OAT23" s="21"/>
      <c r="OAU23" s="21"/>
      <c r="OAV23" s="21"/>
      <c r="OAW23" s="21"/>
      <c r="OAX23" s="21"/>
      <c r="OAY23" s="21"/>
      <c r="OAZ23" s="21"/>
      <c r="OBA23" s="21"/>
      <c r="OBB23" s="21"/>
      <c r="OBC23" s="21"/>
      <c r="OBD23" s="21"/>
      <c r="OBE23" s="21"/>
      <c r="OBF23" s="21"/>
      <c r="OBG23" s="21"/>
      <c r="OBH23" s="21"/>
      <c r="OBI23" s="21"/>
      <c r="OBJ23" s="21"/>
      <c r="OBK23" s="21"/>
      <c r="OBL23" s="21"/>
      <c r="OBM23" s="21"/>
      <c r="OBN23" s="21"/>
      <c r="OBO23" s="21"/>
      <c r="OBP23" s="21"/>
      <c r="OBQ23" s="21"/>
      <c r="OBR23" s="21"/>
      <c r="OBS23" s="21"/>
      <c r="OBT23" s="21"/>
      <c r="OBU23" s="21"/>
      <c r="OBV23" s="21"/>
      <c r="OBW23" s="21"/>
      <c r="OBX23" s="21"/>
      <c r="OBY23" s="21"/>
      <c r="OBZ23" s="21"/>
      <c r="OCA23" s="21"/>
      <c r="OCB23" s="21"/>
      <c r="OCC23" s="21"/>
      <c r="OCD23" s="21"/>
      <c r="OCE23" s="21"/>
      <c r="OCF23" s="21"/>
      <c r="OCG23" s="21"/>
      <c r="OCH23" s="21"/>
      <c r="OCI23" s="21"/>
      <c r="OCJ23" s="21"/>
      <c r="OCK23" s="21"/>
      <c r="OCL23" s="21"/>
      <c r="OCM23" s="21"/>
      <c r="OCN23" s="21"/>
      <c r="OCO23" s="21"/>
      <c r="OCP23" s="21"/>
      <c r="OCQ23" s="21"/>
      <c r="OCR23" s="21"/>
      <c r="OCS23" s="21"/>
      <c r="OCT23" s="21"/>
      <c r="OCU23" s="21"/>
      <c r="OCV23" s="21"/>
      <c r="OCW23" s="21"/>
      <c r="OCX23" s="21"/>
      <c r="OCY23" s="21"/>
      <c r="OCZ23" s="21"/>
      <c r="ODA23" s="21"/>
      <c r="ODB23" s="21"/>
      <c r="ODC23" s="21"/>
      <c r="ODD23" s="21"/>
      <c r="ODE23" s="21"/>
      <c r="ODF23" s="21"/>
      <c r="ODG23" s="21"/>
      <c r="ODH23" s="21"/>
      <c r="ODI23" s="21"/>
      <c r="ODJ23" s="21"/>
      <c r="ODK23" s="21"/>
      <c r="ODL23" s="21"/>
      <c r="ODM23" s="21"/>
      <c r="ODN23" s="21"/>
      <c r="ODO23" s="21"/>
      <c r="ODP23" s="21"/>
      <c r="ODQ23" s="21"/>
      <c r="ODR23" s="21"/>
      <c r="ODS23" s="21"/>
      <c r="ODT23" s="21"/>
      <c r="ODU23" s="21"/>
      <c r="ODV23" s="21"/>
      <c r="ODW23" s="21"/>
      <c r="ODX23" s="21"/>
      <c r="ODY23" s="21"/>
      <c r="ODZ23" s="21"/>
      <c r="OEA23" s="21"/>
      <c r="OEB23" s="21"/>
      <c r="OEC23" s="21"/>
      <c r="OED23" s="21"/>
      <c r="OEE23" s="21"/>
      <c r="OEF23" s="21"/>
      <c r="OEG23" s="21"/>
      <c r="OEH23" s="21"/>
      <c r="OEI23" s="21"/>
      <c r="OEJ23" s="21"/>
      <c r="OEK23" s="21"/>
      <c r="OEL23" s="21"/>
      <c r="OEM23" s="21"/>
      <c r="OEN23" s="21"/>
      <c r="OEO23" s="21"/>
      <c r="OEP23" s="21"/>
      <c r="OEQ23" s="21"/>
      <c r="OER23" s="21"/>
      <c r="OES23" s="21"/>
      <c r="OET23" s="21"/>
      <c r="OEU23" s="21"/>
      <c r="OEV23" s="21"/>
      <c r="OEW23" s="21"/>
      <c r="OEX23" s="21"/>
      <c r="OEY23" s="21"/>
      <c r="OEZ23" s="21"/>
      <c r="OFA23" s="21"/>
      <c r="OFB23" s="21"/>
      <c r="OFC23" s="21"/>
      <c r="OFD23" s="21"/>
      <c r="OFE23" s="21"/>
      <c r="OFF23" s="21"/>
      <c r="OFG23" s="21"/>
      <c r="OFH23" s="21"/>
      <c r="OFI23" s="21"/>
      <c r="OFJ23" s="21"/>
      <c r="OFK23" s="21"/>
      <c r="OFL23" s="21"/>
      <c r="OFM23" s="21"/>
      <c r="OFN23" s="21"/>
      <c r="OFO23" s="21"/>
      <c r="OFP23" s="21"/>
      <c r="OFQ23" s="21"/>
      <c r="OFR23" s="21"/>
      <c r="OFS23" s="21"/>
      <c r="OFT23" s="21"/>
      <c r="OFU23" s="21"/>
      <c r="OFV23" s="21"/>
      <c r="OFW23" s="21"/>
      <c r="OFX23" s="21"/>
      <c r="OFY23" s="21"/>
      <c r="OFZ23" s="21"/>
      <c r="OGA23" s="21"/>
      <c r="OGB23" s="21"/>
      <c r="OGC23" s="21"/>
      <c r="OGD23" s="21"/>
      <c r="OGE23" s="21"/>
      <c r="OGF23" s="21"/>
      <c r="OGG23" s="21"/>
      <c r="OGH23" s="21"/>
      <c r="OGI23" s="21"/>
      <c r="OGJ23" s="21"/>
      <c r="OGK23" s="21"/>
      <c r="OGL23" s="21"/>
      <c r="OGM23" s="21"/>
      <c r="OGN23" s="21"/>
      <c r="OGO23" s="21"/>
      <c r="OGP23" s="21"/>
      <c r="OGQ23" s="21"/>
      <c r="OGR23" s="21"/>
      <c r="OGS23" s="21"/>
      <c r="OGT23" s="21"/>
      <c r="OGU23" s="21"/>
      <c r="OGV23" s="21"/>
      <c r="OGW23" s="21"/>
      <c r="OGX23" s="21"/>
      <c r="OGY23" s="21"/>
      <c r="OGZ23" s="21"/>
      <c r="OHA23" s="21"/>
      <c r="OHB23" s="21"/>
      <c r="OHC23" s="21"/>
      <c r="OHD23" s="21"/>
      <c r="OHE23" s="21"/>
      <c r="OHF23" s="21"/>
      <c r="OHG23" s="21"/>
      <c r="OHH23" s="21"/>
      <c r="OHI23" s="21"/>
      <c r="OHJ23" s="21"/>
      <c r="OHK23" s="21"/>
      <c r="OHL23" s="21"/>
      <c r="OHM23" s="21"/>
      <c r="OHN23" s="21"/>
      <c r="OHO23" s="21"/>
      <c r="OHP23" s="21"/>
      <c r="OHQ23" s="21"/>
      <c r="OHR23" s="21"/>
      <c r="OHS23" s="21"/>
      <c r="OHT23" s="21"/>
      <c r="OHU23" s="21"/>
      <c r="OHV23" s="21"/>
      <c r="OHW23" s="21"/>
      <c r="OHX23" s="21"/>
      <c r="OHY23" s="21"/>
      <c r="OHZ23" s="21"/>
      <c r="OIA23" s="21"/>
      <c r="OIB23" s="21"/>
      <c r="OIC23" s="21"/>
      <c r="OID23" s="21"/>
      <c r="OIE23" s="21"/>
      <c r="OIF23" s="21"/>
      <c r="OIG23" s="21"/>
      <c r="OIH23" s="21"/>
      <c r="OII23" s="21"/>
      <c r="OIJ23" s="21"/>
      <c r="OIK23" s="21"/>
      <c r="OIL23" s="21"/>
      <c r="OIM23" s="21"/>
      <c r="OIN23" s="21"/>
      <c r="OIO23" s="21"/>
      <c r="OIP23" s="21"/>
      <c r="OIQ23" s="21"/>
      <c r="OIR23" s="21"/>
      <c r="OIS23" s="21"/>
      <c r="OIT23" s="21"/>
      <c r="OIU23" s="21"/>
      <c r="OIV23" s="21"/>
      <c r="OIW23" s="21"/>
      <c r="OIX23" s="21"/>
      <c r="OIY23" s="21"/>
      <c r="OIZ23" s="21"/>
      <c r="OJA23" s="21"/>
      <c r="OJB23" s="21"/>
      <c r="OJC23" s="21"/>
      <c r="OJD23" s="21"/>
      <c r="OJE23" s="21"/>
      <c r="OJF23" s="21"/>
      <c r="OJG23" s="21"/>
      <c r="OJH23" s="21"/>
      <c r="OJI23" s="21"/>
      <c r="OJJ23" s="21"/>
      <c r="OJK23" s="21"/>
      <c r="OJL23" s="21"/>
      <c r="OJM23" s="21"/>
      <c r="OJN23" s="21"/>
      <c r="OJO23" s="21"/>
      <c r="OJP23" s="21"/>
      <c r="OJQ23" s="21"/>
      <c r="OJR23" s="21"/>
      <c r="OJS23" s="21"/>
      <c r="OJT23" s="21"/>
      <c r="OJU23" s="21"/>
      <c r="OJV23" s="21"/>
      <c r="OJW23" s="21"/>
      <c r="OJX23" s="21"/>
      <c r="OJY23" s="21"/>
      <c r="OJZ23" s="21"/>
      <c r="OKA23" s="21"/>
      <c r="OKB23" s="21"/>
      <c r="OKC23" s="21"/>
      <c r="OKD23" s="21"/>
      <c r="OKE23" s="21"/>
      <c r="OKF23" s="21"/>
      <c r="OKG23" s="21"/>
      <c r="OKH23" s="21"/>
      <c r="OKI23" s="21"/>
      <c r="OKJ23" s="21"/>
      <c r="OKK23" s="21"/>
      <c r="OKL23" s="21"/>
      <c r="OKM23" s="21"/>
      <c r="OKN23" s="21"/>
      <c r="OKO23" s="21"/>
      <c r="OKP23" s="21"/>
      <c r="OKQ23" s="21"/>
      <c r="OKR23" s="21"/>
      <c r="OKS23" s="21"/>
      <c r="OKT23" s="21"/>
      <c r="OKU23" s="21"/>
      <c r="OKV23" s="21"/>
      <c r="OKW23" s="21"/>
      <c r="OKX23" s="21"/>
      <c r="OKY23" s="21"/>
      <c r="OKZ23" s="21"/>
      <c r="OLA23" s="21"/>
      <c r="OLB23" s="21"/>
      <c r="OLC23" s="21"/>
      <c r="OLD23" s="21"/>
      <c r="OLE23" s="21"/>
      <c r="OLF23" s="21"/>
      <c r="OLG23" s="21"/>
      <c r="OLH23" s="21"/>
      <c r="OLI23" s="21"/>
      <c r="OLJ23" s="21"/>
      <c r="OLK23" s="21"/>
      <c r="OLL23" s="21"/>
      <c r="OLM23" s="21"/>
      <c r="OLN23" s="21"/>
      <c r="OLO23" s="21"/>
      <c r="OLP23" s="21"/>
      <c r="OLQ23" s="21"/>
      <c r="OLR23" s="21"/>
      <c r="OLS23" s="21"/>
      <c r="OLT23" s="21"/>
      <c r="OLU23" s="21"/>
      <c r="OLV23" s="21"/>
      <c r="OLW23" s="21"/>
      <c r="OLX23" s="21"/>
      <c r="OLY23" s="21"/>
      <c r="OLZ23" s="21"/>
      <c r="OMA23" s="21"/>
      <c r="OMB23" s="21"/>
      <c r="OMC23" s="21"/>
      <c r="OMD23" s="21"/>
      <c r="OME23" s="21"/>
      <c r="OMF23" s="21"/>
      <c r="OMG23" s="21"/>
      <c r="OMH23" s="21"/>
      <c r="OMI23" s="21"/>
      <c r="OMJ23" s="21"/>
      <c r="OMK23" s="21"/>
      <c r="OML23" s="21"/>
      <c r="OMM23" s="21"/>
      <c r="OMN23" s="21"/>
      <c r="OMO23" s="21"/>
      <c r="OMP23" s="21"/>
      <c r="OMQ23" s="21"/>
      <c r="OMR23" s="21"/>
      <c r="OMS23" s="21"/>
      <c r="OMT23" s="21"/>
      <c r="OMU23" s="21"/>
      <c r="OMV23" s="21"/>
      <c r="OMW23" s="21"/>
      <c r="OMX23" s="21"/>
      <c r="OMY23" s="21"/>
      <c r="OMZ23" s="21"/>
      <c r="ONA23" s="21"/>
      <c r="ONB23" s="21"/>
      <c r="ONC23" s="21"/>
      <c r="OND23" s="21"/>
      <c r="ONE23" s="21"/>
      <c r="ONF23" s="21"/>
      <c r="ONG23" s="21"/>
      <c r="ONH23" s="21"/>
      <c r="ONI23" s="21"/>
      <c r="ONJ23" s="21"/>
      <c r="ONK23" s="21"/>
      <c r="ONL23" s="21"/>
      <c r="ONM23" s="21"/>
      <c r="ONN23" s="21"/>
      <c r="ONO23" s="21"/>
      <c r="ONP23" s="21"/>
      <c r="ONQ23" s="21"/>
      <c r="ONR23" s="21"/>
      <c r="ONS23" s="21"/>
      <c r="ONT23" s="21"/>
      <c r="ONU23" s="21"/>
      <c r="ONV23" s="21"/>
      <c r="ONW23" s="21"/>
      <c r="ONX23" s="21"/>
      <c r="ONY23" s="21"/>
      <c r="ONZ23" s="21"/>
      <c r="OOA23" s="21"/>
      <c r="OOB23" s="21"/>
      <c r="OOC23" s="21"/>
      <c r="OOD23" s="21"/>
      <c r="OOE23" s="21"/>
      <c r="OOF23" s="21"/>
      <c r="OOG23" s="21"/>
      <c r="OOH23" s="21"/>
      <c r="OOI23" s="21"/>
      <c r="OOJ23" s="21"/>
      <c r="OOK23" s="21"/>
      <c r="OOL23" s="21"/>
      <c r="OOM23" s="21"/>
      <c r="OON23" s="21"/>
      <c r="OOO23" s="21"/>
      <c r="OOP23" s="21"/>
      <c r="OOQ23" s="21"/>
      <c r="OOR23" s="21"/>
      <c r="OOS23" s="21"/>
      <c r="OOT23" s="21"/>
      <c r="OOU23" s="21"/>
      <c r="OOV23" s="21"/>
      <c r="OOW23" s="21"/>
      <c r="OOX23" s="21"/>
      <c r="OOY23" s="21"/>
      <c r="OOZ23" s="21"/>
      <c r="OPA23" s="21"/>
      <c r="OPB23" s="21"/>
      <c r="OPC23" s="21"/>
      <c r="OPD23" s="21"/>
      <c r="OPE23" s="21"/>
      <c r="OPF23" s="21"/>
      <c r="OPG23" s="21"/>
      <c r="OPH23" s="21"/>
      <c r="OPI23" s="21"/>
      <c r="OPJ23" s="21"/>
      <c r="OPK23" s="21"/>
      <c r="OPL23" s="21"/>
      <c r="OPM23" s="21"/>
      <c r="OPN23" s="21"/>
      <c r="OPO23" s="21"/>
      <c r="OPP23" s="21"/>
      <c r="OPQ23" s="21"/>
      <c r="OPR23" s="21"/>
      <c r="OPS23" s="21"/>
      <c r="OPT23" s="21"/>
      <c r="OPU23" s="21"/>
      <c r="OPV23" s="21"/>
      <c r="OPW23" s="21"/>
      <c r="OPX23" s="21"/>
      <c r="OPY23" s="21"/>
      <c r="OPZ23" s="21"/>
      <c r="OQA23" s="21"/>
      <c r="OQB23" s="21"/>
      <c r="OQC23" s="21"/>
      <c r="OQD23" s="21"/>
      <c r="OQE23" s="21"/>
      <c r="OQF23" s="21"/>
      <c r="OQG23" s="21"/>
      <c r="OQH23" s="21"/>
      <c r="OQI23" s="21"/>
      <c r="OQJ23" s="21"/>
      <c r="OQK23" s="21"/>
      <c r="OQL23" s="21"/>
      <c r="OQM23" s="21"/>
      <c r="OQN23" s="21"/>
      <c r="OQO23" s="21"/>
      <c r="OQP23" s="21"/>
      <c r="OQQ23" s="21"/>
      <c r="OQR23" s="21"/>
      <c r="OQS23" s="21"/>
      <c r="OQT23" s="21"/>
      <c r="OQU23" s="21"/>
      <c r="OQV23" s="21"/>
      <c r="OQW23" s="21"/>
      <c r="OQX23" s="21"/>
      <c r="OQY23" s="21"/>
      <c r="OQZ23" s="21"/>
      <c r="ORA23" s="21"/>
      <c r="ORB23" s="21"/>
      <c r="ORC23" s="21"/>
      <c r="ORD23" s="21"/>
      <c r="ORE23" s="21"/>
      <c r="ORF23" s="21"/>
      <c r="ORG23" s="21"/>
      <c r="ORH23" s="21"/>
      <c r="ORI23" s="21"/>
      <c r="ORJ23" s="21"/>
      <c r="ORK23" s="21"/>
      <c r="ORL23" s="21"/>
      <c r="ORM23" s="21"/>
      <c r="ORN23" s="21"/>
      <c r="ORO23" s="21"/>
      <c r="ORP23" s="21"/>
      <c r="ORQ23" s="21"/>
      <c r="ORR23" s="21"/>
      <c r="ORS23" s="21"/>
      <c r="ORT23" s="21"/>
      <c r="ORU23" s="21"/>
      <c r="ORV23" s="21"/>
      <c r="ORW23" s="21"/>
      <c r="ORX23" s="21"/>
      <c r="ORY23" s="21"/>
      <c r="ORZ23" s="21"/>
      <c r="OSA23" s="21"/>
      <c r="OSB23" s="21"/>
      <c r="OSC23" s="21"/>
      <c r="OSD23" s="21"/>
      <c r="OSE23" s="21"/>
      <c r="OSF23" s="21"/>
      <c r="OSG23" s="21"/>
      <c r="OSH23" s="21"/>
      <c r="OSI23" s="21"/>
      <c r="OSJ23" s="21"/>
      <c r="OSK23" s="21"/>
      <c r="OSL23" s="21"/>
      <c r="OSM23" s="21"/>
      <c r="OSN23" s="21"/>
      <c r="OSO23" s="21"/>
      <c r="OSP23" s="21"/>
      <c r="OSQ23" s="21"/>
      <c r="OSR23" s="21"/>
      <c r="OSS23" s="21"/>
      <c r="OST23" s="21"/>
      <c r="OSU23" s="21"/>
      <c r="OSV23" s="21"/>
      <c r="OSW23" s="21"/>
      <c r="OSX23" s="21"/>
      <c r="OSY23" s="21"/>
      <c r="OSZ23" s="21"/>
      <c r="OTA23" s="21"/>
      <c r="OTB23" s="21"/>
      <c r="OTC23" s="21"/>
      <c r="OTD23" s="21"/>
      <c r="OTE23" s="21"/>
      <c r="OTF23" s="21"/>
      <c r="OTG23" s="21"/>
      <c r="OTH23" s="21"/>
      <c r="OTI23" s="21"/>
      <c r="OTJ23" s="21"/>
      <c r="OTK23" s="21"/>
      <c r="OTL23" s="21"/>
      <c r="OTM23" s="21"/>
      <c r="OTN23" s="21"/>
      <c r="OTO23" s="21"/>
      <c r="OTP23" s="21"/>
      <c r="OTQ23" s="21"/>
      <c r="OTR23" s="21"/>
      <c r="OTS23" s="21"/>
      <c r="OTT23" s="21"/>
      <c r="OTU23" s="21"/>
      <c r="OTV23" s="21"/>
      <c r="OTW23" s="21"/>
      <c r="OTX23" s="21"/>
      <c r="OTY23" s="21"/>
      <c r="OTZ23" s="21"/>
      <c r="OUA23" s="21"/>
      <c r="OUB23" s="21"/>
      <c r="OUC23" s="21"/>
      <c r="OUD23" s="21"/>
      <c r="OUE23" s="21"/>
      <c r="OUF23" s="21"/>
      <c r="OUG23" s="21"/>
      <c r="OUH23" s="21"/>
      <c r="OUI23" s="21"/>
      <c r="OUJ23" s="21"/>
      <c r="OUK23" s="21"/>
      <c r="OUL23" s="21"/>
      <c r="OUM23" s="21"/>
      <c r="OUN23" s="21"/>
      <c r="OUO23" s="21"/>
      <c r="OUP23" s="21"/>
      <c r="OUQ23" s="21"/>
      <c r="OUR23" s="21"/>
      <c r="OUS23" s="21"/>
      <c r="OUT23" s="21"/>
      <c r="OUU23" s="21"/>
      <c r="OUV23" s="21"/>
      <c r="OUW23" s="21"/>
      <c r="OUX23" s="21"/>
      <c r="OUY23" s="21"/>
      <c r="OUZ23" s="21"/>
      <c r="OVA23" s="21"/>
      <c r="OVB23" s="21"/>
      <c r="OVC23" s="21"/>
      <c r="OVD23" s="21"/>
      <c r="OVE23" s="21"/>
      <c r="OVF23" s="21"/>
      <c r="OVG23" s="21"/>
      <c r="OVH23" s="21"/>
      <c r="OVI23" s="21"/>
      <c r="OVJ23" s="21"/>
      <c r="OVK23" s="21"/>
      <c r="OVL23" s="21"/>
      <c r="OVM23" s="21"/>
      <c r="OVN23" s="21"/>
      <c r="OVO23" s="21"/>
      <c r="OVP23" s="21"/>
      <c r="OVQ23" s="21"/>
      <c r="OVR23" s="21"/>
      <c r="OVS23" s="21"/>
      <c r="OVT23" s="21"/>
      <c r="OVU23" s="21"/>
      <c r="OVV23" s="21"/>
      <c r="OVW23" s="21"/>
      <c r="OVX23" s="21"/>
      <c r="OVY23" s="21"/>
      <c r="OVZ23" s="21"/>
      <c r="OWA23" s="21"/>
      <c r="OWB23" s="21"/>
      <c r="OWC23" s="21"/>
      <c r="OWD23" s="21"/>
      <c r="OWE23" s="21"/>
      <c r="OWF23" s="21"/>
      <c r="OWG23" s="21"/>
      <c r="OWH23" s="21"/>
      <c r="OWI23" s="21"/>
      <c r="OWJ23" s="21"/>
      <c r="OWK23" s="21"/>
      <c r="OWL23" s="21"/>
      <c r="OWM23" s="21"/>
      <c r="OWN23" s="21"/>
      <c r="OWO23" s="21"/>
      <c r="OWP23" s="21"/>
      <c r="OWQ23" s="21"/>
      <c r="OWR23" s="21"/>
      <c r="OWS23" s="21"/>
      <c r="OWT23" s="21"/>
      <c r="OWU23" s="21"/>
      <c r="OWV23" s="21"/>
      <c r="OWW23" s="21"/>
      <c r="OWX23" s="21"/>
      <c r="OWY23" s="21"/>
      <c r="OWZ23" s="21"/>
      <c r="OXA23" s="21"/>
      <c r="OXB23" s="21"/>
      <c r="OXC23" s="21"/>
      <c r="OXD23" s="21"/>
      <c r="OXE23" s="21"/>
      <c r="OXF23" s="21"/>
      <c r="OXG23" s="21"/>
      <c r="OXH23" s="21"/>
      <c r="OXI23" s="21"/>
      <c r="OXJ23" s="21"/>
      <c r="OXK23" s="21"/>
      <c r="OXL23" s="21"/>
      <c r="OXM23" s="21"/>
      <c r="OXN23" s="21"/>
      <c r="OXO23" s="21"/>
      <c r="OXP23" s="21"/>
      <c r="OXQ23" s="21"/>
      <c r="OXR23" s="21"/>
      <c r="OXS23" s="21"/>
      <c r="OXT23" s="21"/>
      <c r="OXU23" s="21"/>
      <c r="OXV23" s="21"/>
      <c r="OXW23" s="21"/>
      <c r="OXX23" s="21"/>
      <c r="OXY23" s="21"/>
      <c r="OXZ23" s="21"/>
      <c r="OYA23" s="21"/>
      <c r="OYB23" s="21"/>
      <c r="OYC23" s="21"/>
      <c r="OYD23" s="21"/>
      <c r="OYE23" s="21"/>
      <c r="OYF23" s="21"/>
      <c r="OYG23" s="21"/>
      <c r="OYH23" s="21"/>
      <c r="OYI23" s="21"/>
      <c r="OYJ23" s="21"/>
      <c r="OYK23" s="21"/>
      <c r="OYL23" s="21"/>
      <c r="OYM23" s="21"/>
      <c r="OYN23" s="21"/>
      <c r="OYO23" s="21"/>
      <c r="OYP23" s="21"/>
      <c r="OYQ23" s="21"/>
      <c r="OYR23" s="21"/>
      <c r="OYS23" s="21"/>
      <c r="OYT23" s="21"/>
      <c r="OYU23" s="21"/>
      <c r="OYV23" s="21"/>
      <c r="OYW23" s="21"/>
      <c r="OYX23" s="21"/>
      <c r="OYY23" s="21"/>
      <c r="OYZ23" s="21"/>
      <c r="OZA23" s="21"/>
      <c r="OZB23" s="21"/>
      <c r="OZC23" s="21"/>
      <c r="OZD23" s="21"/>
      <c r="OZE23" s="21"/>
      <c r="OZF23" s="21"/>
      <c r="OZG23" s="21"/>
      <c r="OZH23" s="21"/>
      <c r="OZI23" s="21"/>
      <c r="OZJ23" s="21"/>
      <c r="OZK23" s="21"/>
      <c r="OZL23" s="21"/>
      <c r="OZM23" s="21"/>
      <c r="OZN23" s="21"/>
      <c r="OZO23" s="21"/>
      <c r="OZP23" s="21"/>
      <c r="OZQ23" s="21"/>
      <c r="OZR23" s="21"/>
      <c r="OZS23" s="21"/>
      <c r="OZT23" s="21"/>
      <c r="OZU23" s="21"/>
      <c r="OZV23" s="21"/>
      <c r="OZW23" s="21"/>
      <c r="OZX23" s="21"/>
      <c r="OZY23" s="21"/>
      <c r="OZZ23" s="21"/>
      <c r="PAA23" s="21"/>
      <c r="PAB23" s="21"/>
      <c r="PAC23" s="21"/>
      <c r="PAD23" s="21"/>
      <c r="PAE23" s="21"/>
      <c r="PAF23" s="21"/>
      <c r="PAG23" s="21"/>
      <c r="PAH23" s="21"/>
      <c r="PAI23" s="21"/>
      <c r="PAJ23" s="21"/>
      <c r="PAK23" s="21"/>
      <c r="PAL23" s="21"/>
      <c r="PAM23" s="21"/>
      <c r="PAN23" s="21"/>
      <c r="PAO23" s="21"/>
      <c r="PAP23" s="21"/>
      <c r="PAQ23" s="21"/>
      <c r="PAR23" s="21"/>
      <c r="PAS23" s="21"/>
      <c r="PAT23" s="21"/>
      <c r="PAU23" s="21"/>
      <c r="PAV23" s="21"/>
      <c r="PAW23" s="21"/>
      <c r="PAX23" s="21"/>
      <c r="PAY23" s="21"/>
      <c r="PAZ23" s="21"/>
      <c r="PBA23" s="21"/>
      <c r="PBB23" s="21"/>
      <c r="PBC23" s="21"/>
      <c r="PBD23" s="21"/>
      <c r="PBE23" s="21"/>
      <c r="PBF23" s="21"/>
      <c r="PBG23" s="21"/>
      <c r="PBH23" s="21"/>
      <c r="PBI23" s="21"/>
      <c r="PBJ23" s="21"/>
      <c r="PBK23" s="21"/>
      <c r="PBL23" s="21"/>
      <c r="PBM23" s="21"/>
      <c r="PBN23" s="21"/>
      <c r="PBO23" s="21"/>
      <c r="PBP23" s="21"/>
      <c r="PBQ23" s="21"/>
      <c r="PBR23" s="21"/>
      <c r="PBS23" s="21"/>
      <c r="PBT23" s="21"/>
      <c r="PBU23" s="21"/>
      <c r="PBV23" s="21"/>
      <c r="PBW23" s="21"/>
      <c r="PBX23" s="21"/>
      <c r="PBY23" s="21"/>
      <c r="PBZ23" s="21"/>
      <c r="PCA23" s="21"/>
      <c r="PCB23" s="21"/>
      <c r="PCC23" s="21"/>
      <c r="PCD23" s="21"/>
      <c r="PCE23" s="21"/>
      <c r="PCF23" s="21"/>
      <c r="PCG23" s="21"/>
      <c r="PCH23" s="21"/>
      <c r="PCI23" s="21"/>
      <c r="PCJ23" s="21"/>
      <c r="PCK23" s="21"/>
      <c r="PCL23" s="21"/>
      <c r="PCM23" s="21"/>
      <c r="PCN23" s="21"/>
      <c r="PCO23" s="21"/>
      <c r="PCP23" s="21"/>
      <c r="PCQ23" s="21"/>
      <c r="PCR23" s="21"/>
      <c r="PCS23" s="21"/>
      <c r="PCT23" s="21"/>
      <c r="PCU23" s="21"/>
      <c r="PCV23" s="21"/>
      <c r="PCW23" s="21"/>
      <c r="PCX23" s="21"/>
      <c r="PCY23" s="21"/>
      <c r="PCZ23" s="21"/>
      <c r="PDA23" s="21"/>
      <c r="PDB23" s="21"/>
      <c r="PDC23" s="21"/>
      <c r="PDD23" s="21"/>
      <c r="PDE23" s="21"/>
      <c r="PDF23" s="21"/>
      <c r="PDG23" s="21"/>
      <c r="PDH23" s="21"/>
      <c r="PDI23" s="21"/>
      <c r="PDJ23" s="21"/>
      <c r="PDK23" s="21"/>
      <c r="PDL23" s="21"/>
      <c r="PDM23" s="21"/>
      <c r="PDN23" s="21"/>
      <c r="PDO23" s="21"/>
      <c r="PDP23" s="21"/>
      <c r="PDQ23" s="21"/>
      <c r="PDR23" s="21"/>
      <c r="PDS23" s="21"/>
      <c r="PDT23" s="21"/>
      <c r="PDU23" s="21"/>
      <c r="PDV23" s="21"/>
      <c r="PDW23" s="21"/>
      <c r="PDX23" s="21"/>
      <c r="PDY23" s="21"/>
      <c r="PDZ23" s="21"/>
      <c r="PEA23" s="21"/>
      <c r="PEB23" s="21"/>
      <c r="PEC23" s="21"/>
      <c r="PED23" s="21"/>
      <c r="PEE23" s="21"/>
      <c r="PEF23" s="21"/>
      <c r="PEG23" s="21"/>
      <c r="PEH23" s="21"/>
      <c r="PEI23" s="21"/>
      <c r="PEJ23" s="21"/>
      <c r="PEK23" s="21"/>
      <c r="PEL23" s="21"/>
      <c r="PEM23" s="21"/>
      <c r="PEN23" s="21"/>
      <c r="PEO23" s="21"/>
      <c r="PEP23" s="21"/>
      <c r="PEQ23" s="21"/>
      <c r="PER23" s="21"/>
      <c r="PES23" s="21"/>
      <c r="PET23" s="21"/>
      <c r="PEU23" s="21"/>
      <c r="PEV23" s="21"/>
      <c r="PEW23" s="21"/>
      <c r="PEX23" s="21"/>
      <c r="PEY23" s="21"/>
      <c r="PEZ23" s="21"/>
      <c r="PFA23" s="21"/>
      <c r="PFB23" s="21"/>
      <c r="PFC23" s="21"/>
      <c r="PFD23" s="21"/>
      <c r="PFE23" s="21"/>
      <c r="PFF23" s="21"/>
      <c r="PFG23" s="21"/>
      <c r="PFH23" s="21"/>
      <c r="PFI23" s="21"/>
      <c r="PFJ23" s="21"/>
      <c r="PFK23" s="21"/>
      <c r="PFL23" s="21"/>
      <c r="PFM23" s="21"/>
      <c r="PFN23" s="21"/>
      <c r="PFO23" s="21"/>
      <c r="PFP23" s="21"/>
      <c r="PFQ23" s="21"/>
      <c r="PFR23" s="21"/>
      <c r="PFS23" s="21"/>
      <c r="PFT23" s="21"/>
      <c r="PFU23" s="21"/>
      <c r="PFV23" s="21"/>
      <c r="PFW23" s="21"/>
      <c r="PFX23" s="21"/>
      <c r="PFY23" s="21"/>
      <c r="PFZ23" s="21"/>
      <c r="PGA23" s="21"/>
      <c r="PGB23" s="21"/>
      <c r="PGC23" s="21"/>
      <c r="PGD23" s="21"/>
      <c r="PGE23" s="21"/>
      <c r="PGF23" s="21"/>
      <c r="PGG23" s="21"/>
      <c r="PGH23" s="21"/>
      <c r="PGI23" s="21"/>
      <c r="PGJ23" s="21"/>
      <c r="PGK23" s="21"/>
      <c r="PGL23" s="21"/>
      <c r="PGM23" s="21"/>
      <c r="PGN23" s="21"/>
      <c r="PGO23" s="21"/>
      <c r="PGP23" s="21"/>
      <c r="PGQ23" s="21"/>
      <c r="PGR23" s="21"/>
      <c r="PGS23" s="21"/>
      <c r="PGT23" s="21"/>
      <c r="PGU23" s="21"/>
      <c r="PGV23" s="21"/>
      <c r="PGW23" s="21"/>
      <c r="PGX23" s="21"/>
      <c r="PGY23" s="21"/>
      <c r="PGZ23" s="21"/>
      <c r="PHA23" s="21"/>
      <c r="PHB23" s="21"/>
      <c r="PHC23" s="21"/>
      <c r="PHD23" s="21"/>
      <c r="PHE23" s="21"/>
      <c r="PHF23" s="21"/>
      <c r="PHG23" s="21"/>
      <c r="PHH23" s="21"/>
      <c r="PHI23" s="21"/>
      <c r="PHJ23" s="21"/>
      <c r="PHK23" s="21"/>
      <c r="PHL23" s="21"/>
      <c r="PHM23" s="21"/>
      <c r="PHN23" s="21"/>
      <c r="PHO23" s="21"/>
      <c r="PHP23" s="21"/>
      <c r="PHQ23" s="21"/>
      <c r="PHR23" s="21"/>
      <c r="PHS23" s="21"/>
      <c r="PHT23" s="21"/>
      <c r="PHU23" s="21"/>
      <c r="PHV23" s="21"/>
      <c r="PHW23" s="21"/>
      <c r="PHX23" s="21"/>
      <c r="PHY23" s="21"/>
      <c r="PHZ23" s="21"/>
      <c r="PIA23" s="21"/>
      <c r="PIB23" s="21"/>
      <c r="PIC23" s="21"/>
      <c r="PID23" s="21"/>
      <c r="PIE23" s="21"/>
      <c r="PIF23" s="21"/>
      <c r="PIG23" s="21"/>
      <c r="PIH23" s="21"/>
      <c r="PII23" s="21"/>
      <c r="PIJ23" s="21"/>
      <c r="PIK23" s="21"/>
      <c r="PIL23" s="21"/>
      <c r="PIM23" s="21"/>
      <c r="PIN23" s="21"/>
      <c r="PIO23" s="21"/>
      <c r="PIP23" s="21"/>
      <c r="PIQ23" s="21"/>
      <c r="PIR23" s="21"/>
      <c r="PIS23" s="21"/>
      <c r="PIT23" s="21"/>
      <c r="PIU23" s="21"/>
      <c r="PIV23" s="21"/>
      <c r="PIW23" s="21"/>
      <c r="PIX23" s="21"/>
      <c r="PIY23" s="21"/>
      <c r="PIZ23" s="21"/>
      <c r="PJA23" s="21"/>
      <c r="PJB23" s="21"/>
      <c r="PJC23" s="21"/>
      <c r="PJD23" s="21"/>
      <c r="PJE23" s="21"/>
      <c r="PJF23" s="21"/>
      <c r="PJG23" s="21"/>
      <c r="PJH23" s="21"/>
      <c r="PJI23" s="21"/>
      <c r="PJJ23" s="21"/>
      <c r="PJK23" s="21"/>
      <c r="PJL23" s="21"/>
      <c r="PJM23" s="21"/>
      <c r="PJN23" s="21"/>
      <c r="PJO23" s="21"/>
      <c r="PJP23" s="21"/>
      <c r="PJQ23" s="21"/>
      <c r="PJR23" s="21"/>
      <c r="PJS23" s="21"/>
      <c r="PJT23" s="21"/>
      <c r="PJU23" s="21"/>
      <c r="PJV23" s="21"/>
      <c r="PJW23" s="21"/>
      <c r="PJX23" s="21"/>
      <c r="PJY23" s="21"/>
      <c r="PJZ23" s="21"/>
      <c r="PKA23" s="21"/>
      <c r="PKB23" s="21"/>
      <c r="PKC23" s="21"/>
      <c r="PKD23" s="21"/>
      <c r="PKE23" s="21"/>
      <c r="PKF23" s="21"/>
      <c r="PKG23" s="21"/>
      <c r="PKH23" s="21"/>
      <c r="PKI23" s="21"/>
      <c r="PKJ23" s="21"/>
      <c r="PKK23" s="21"/>
      <c r="PKL23" s="21"/>
      <c r="PKM23" s="21"/>
      <c r="PKN23" s="21"/>
      <c r="PKO23" s="21"/>
      <c r="PKP23" s="21"/>
      <c r="PKQ23" s="21"/>
      <c r="PKR23" s="21"/>
      <c r="PKS23" s="21"/>
      <c r="PKT23" s="21"/>
      <c r="PKU23" s="21"/>
      <c r="PKV23" s="21"/>
      <c r="PKW23" s="21"/>
      <c r="PKX23" s="21"/>
      <c r="PKY23" s="21"/>
      <c r="PKZ23" s="21"/>
      <c r="PLA23" s="21"/>
      <c r="PLB23" s="21"/>
      <c r="PLC23" s="21"/>
      <c r="PLD23" s="21"/>
      <c r="PLE23" s="21"/>
      <c r="PLF23" s="21"/>
      <c r="PLG23" s="21"/>
      <c r="PLH23" s="21"/>
      <c r="PLI23" s="21"/>
      <c r="PLJ23" s="21"/>
      <c r="PLK23" s="21"/>
      <c r="PLL23" s="21"/>
      <c r="PLM23" s="21"/>
      <c r="PLN23" s="21"/>
      <c r="PLO23" s="21"/>
      <c r="PLP23" s="21"/>
      <c r="PLQ23" s="21"/>
      <c r="PLR23" s="21"/>
      <c r="PLS23" s="21"/>
      <c r="PLT23" s="21"/>
      <c r="PLU23" s="21"/>
      <c r="PLV23" s="21"/>
      <c r="PLW23" s="21"/>
      <c r="PLX23" s="21"/>
      <c r="PLY23" s="21"/>
      <c r="PLZ23" s="21"/>
      <c r="PMA23" s="21"/>
      <c r="PMB23" s="21"/>
      <c r="PMC23" s="21"/>
      <c r="PMD23" s="21"/>
      <c r="PME23" s="21"/>
      <c r="PMF23" s="21"/>
      <c r="PMG23" s="21"/>
      <c r="PMH23" s="21"/>
      <c r="PMI23" s="21"/>
      <c r="PMJ23" s="21"/>
      <c r="PMK23" s="21"/>
      <c r="PML23" s="21"/>
      <c r="PMM23" s="21"/>
      <c r="PMN23" s="21"/>
      <c r="PMO23" s="21"/>
      <c r="PMP23" s="21"/>
      <c r="PMQ23" s="21"/>
      <c r="PMR23" s="21"/>
      <c r="PMS23" s="21"/>
      <c r="PMT23" s="21"/>
      <c r="PMU23" s="21"/>
      <c r="PMV23" s="21"/>
      <c r="PMW23" s="21"/>
      <c r="PMX23" s="21"/>
      <c r="PMY23" s="21"/>
      <c r="PMZ23" s="21"/>
      <c r="PNA23" s="21"/>
      <c r="PNB23" s="21"/>
      <c r="PNC23" s="21"/>
      <c r="PND23" s="21"/>
      <c r="PNE23" s="21"/>
      <c r="PNF23" s="21"/>
      <c r="PNG23" s="21"/>
      <c r="PNH23" s="21"/>
      <c r="PNI23" s="21"/>
      <c r="PNJ23" s="21"/>
      <c r="PNK23" s="21"/>
      <c r="PNL23" s="21"/>
      <c r="PNM23" s="21"/>
      <c r="PNN23" s="21"/>
      <c r="PNO23" s="21"/>
      <c r="PNP23" s="21"/>
      <c r="PNQ23" s="21"/>
      <c r="PNR23" s="21"/>
      <c r="PNS23" s="21"/>
      <c r="PNT23" s="21"/>
      <c r="PNU23" s="21"/>
      <c r="PNV23" s="21"/>
      <c r="PNW23" s="21"/>
      <c r="PNX23" s="21"/>
      <c r="PNY23" s="21"/>
      <c r="PNZ23" s="21"/>
      <c r="POA23" s="21"/>
      <c r="POB23" s="21"/>
      <c r="POC23" s="21"/>
      <c r="POD23" s="21"/>
      <c r="POE23" s="21"/>
      <c r="POF23" s="21"/>
      <c r="POG23" s="21"/>
      <c r="POH23" s="21"/>
      <c r="POI23" s="21"/>
      <c r="POJ23" s="21"/>
      <c r="POK23" s="21"/>
      <c r="POL23" s="21"/>
      <c r="POM23" s="21"/>
      <c r="PON23" s="21"/>
      <c r="POO23" s="21"/>
      <c r="POP23" s="21"/>
      <c r="POQ23" s="21"/>
      <c r="POR23" s="21"/>
      <c r="POS23" s="21"/>
      <c r="POT23" s="21"/>
      <c r="POU23" s="21"/>
      <c r="POV23" s="21"/>
      <c r="POW23" s="21"/>
      <c r="POX23" s="21"/>
      <c r="POY23" s="21"/>
      <c r="POZ23" s="21"/>
      <c r="PPA23" s="21"/>
      <c r="PPB23" s="21"/>
      <c r="PPC23" s="21"/>
      <c r="PPD23" s="21"/>
      <c r="PPE23" s="21"/>
      <c r="PPF23" s="21"/>
      <c r="PPG23" s="21"/>
      <c r="PPH23" s="21"/>
      <c r="PPI23" s="21"/>
      <c r="PPJ23" s="21"/>
      <c r="PPK23" s="21"/>
      <c r="PPL23" s="21"/>
      <c r="PPM23" s="21"/>
      <c r="PPN23" s="21"/>
      <c r="PPO23" s="21"/>
      <c r="PPP23" s="21"/>
      <c r="PPQ23" s="21"/>
      <c r="PPR23" s="21"/>
      <c r="PPS23" s="21"/>
      <c r="PPT23" s="21"/>
      <c r="PPU23" s="21"/>
      <c r="PPV23" s="21"/>
      <c r="PPW23" s="21"/>
      <c r="PPX23" s="21"/>
      <c r="PPY23" s="21"/>
      <c r="PPZ23" s="21"/>
      <c r="PQA23" s="21"/>
      <c r="PQB23" s="21"/>
      <c r="PQC23" s="21"/>
      <c r="PQD23" s="21"/>
      <c r="PQE23" s="21"/>
      <c r="PQF23" s="21"/>
      <c r="PQG23" s="21"/>
      <c r="PQH23" s="21"/>
      <c r="PQI23" s="21"/>
      <c r="PQJ23" s="21"/>
      <c r="PQK23" s="21"/>
      <c r="PQL23" s="21"/>
      <c r="PQM23" s="21"/>
      <c r="PQN23" s="21"/>
      <c r="PQO23" s="21"/>
      <c r="PQP23" s="21"/>
      <c r="PQQ23" s="21"/>
      <c r="PQR23" s="21"/>
      <c r="PQS23" s="21"/>
      <c r="PQT23" s="21"/>
      <c r="PQU23" s="21"/>
      <c r="PQV23" s="21"/>
      <c r="PQW23" s="21"/>
      <c r="PQX23" s="21"/>
      <c r="PQY23" s="21"/>
      <c r="PQZ23" s="21"/>
      <c r="PRA23" s="21"/>
      <c r="PRB23" s="21"/>
      <c r="PRC23" s="21"/>
      <c r="PRD23" s="21"/>
      <c r="PRE23" s="21"/>
      <c r="PRF23" s="21"/>
      <c r="PRG23" s="21"/>
      <c r="PRH23" s="21"/>
      <c r="PRI23" s="21"/>
      <c r="PRJ23" s="21"/>
      <c r="PRK23" s="21"/>
      <c r="PRL23" s="21"/>
      <c r="PRM23" s="21"/>
      <c r="PRN23" s="21"/>
      <c r="PRO23" s="21"/>
      <c r="PRP23" s="21"/>
      <c r="PRQ23" s="21"/>
      <c r="PRR23" s="21"/>
      <c r="PRS23" s="21"/>
      <c r="PRT23" s="21"/>
      <c r="PRU23" s="21"/>
      <c r="PRV23" s="21"/>
      <c r="PRW23" s="21"/>
      <c r="PRX23" s="21"/>
      <c r="PRY23" s="21"/>
      <c r="PRZ23" s="21"/>
      <c r="PSA23" s="21"/>
      <c r="PSB23" s="21"/>
      <c r="PSC23" s="21"/>
      <c r="PSD23" s="21"/>
      <c r="PSE23" s="21"/>
      <c r="PSF23" s="21"/>
      <c r="PSG23" s="21"/>
      <c r="PSH23" s="21"/>
      <c r="PSI23" s="21"/>
      <c r="PSJ23" s="21"/>
      <c r="PSK23" s="21"/>
      <c r="PSL23" s="21"/>
      <c r="PSM23" s="21"/>
      <c r="PSN23" s="21"/>
      <c r="PSO23" s="21"/>
      <c r="PSP23" s="21"/>
      <c r="PSQ23" s="21"/>
      <c r="PSR23" s="21"/>
      <c r="PSS23" s="21"/>
      <c r="PST23" s="21"/>
      <c r="PSU23" s="21"/>
      <c r="PSV23" s="21"/>
      <c r="PSW23" s="21"/>
      <c r="PSX23" s="21"/>
      <c r="PSY23" s="21"/>
      <c r="PSZ23" s="21"/>
      <c r="PTA23" s="21"/>
      <c r="PTB23" s="21"/>
      <c r="PTC23" s="21"/>
      <c r="PTD23" s="21"/>
      <c r="PTE23" s="21"/>
      <c r="PTF23" s="21"/>
      <c r="PTG23" s="21"/>
      <c r="PTH23" s="21"/>
      <c r="PTI23" s="21"/>
      <c r="PTJ23" s="21"/>
      <c r="PTK23" s="21"/>
      <c r="PTL23" s="21"/>
      <c r="PTM23" s="21"/>
      <c r="PTN23" s="21"/>
      <c r="PTO23" s="21"/>
      <c r="PTP23" s="21"/>
      <c r="PTQ23" s="21"/>
      <c r="PTR23" s="21"/>
      <c r="PTS23" s="21"/>
      <c r="PTT23" s="21"/>
      <c r="PTU23" s="21"/>
      <c r="PTV23" s="21"/>
      <c r="PTW23" s="21"/>
      <c r="PTX23" s="21"/>
      <c r="PTY23" s="21"/>
      <c r="PTZ23" s="21"/>
      <c r="PUA23" s="21"/>
      <c r="PUB23" s="21"/>
      <c r="PUC23" s="21"/>
      <c r="PUD23" s="21"/>
      <c r="PUE23" s="21"/>
      <c r="PUF23" s="21"/>
      <c r="PUG23" s="21"/>
      <c r="PUH23" s="21"/>
      <c r="PUI23" s="21"/>
      <c r="PUJ23" s="21"/>
      <c r="PUK23" s="21"/>
      <c r="PUL23" s="21"/>
      <c r="PUM23" s="21"/>
      <c r="PUN23" s="21"/>
      <c r="PUO23" s="21"/>
      <c r="PUP23" s="21"/>
      <c r="PUQ23" s="21"/>
      <c r="PUR23" s="21"/>
      <c r="PUS23" s="21"/>
      <c r="PUT23" s="21"/>
      <c r="PUU23" s="21"/>
      <c r="PUV23" s="21"/>
      <c r="PUW23" s="21"/>
      <c r="PUX23" s="21"/>
      <c r="PUY23" s="21"/>
      <c r="PUZ23" s="21"/>
      <c r="PVA23" s="21"/>
      <c r="PVB23" s="21"/>
      <c r="PVC23" s="21"/>
      <c r="PVD23" s="21"/>
      <c r="PVE23" s="21"/>
      <c r="PVF23" s="21"/>
      <c r="PVG23" s="21"/>
      <c r="PVH23" s="21"/>
      <c r="PVI23" s="21"/>
      <c r="PVJ23" s="21"/>
      <c r="PVK23" s="21"/>
      <c r="PVL23" s="21"/>
      <c r="PVM23" s="21"/>
      <c r="PVN23" s="21"/>
      <c r="PVO23" s="21"/>
      <c r="PVP23" s="21"/>
      <c r="PVQ23" s="21"/>
      <c r="PVR23" s="21"/>
      <c r="PVS23" s="21"/>
      <c r="PVT23" s="21"/>
      <c r="PVU23" s="21"/>
      <c r="PVV23" s="21"/>
      <c r="PVW23" s="21"/>
      <c r="PVX23" s="21"/>
      <c r="PVY23" s="21"/>
      <c r="PVZ23" s="21"/>
      <c r="PWA23" s="21"/>
      <c r="PWB23" s="21"/>
      <c r="PWC23" s="21"/>
      <c r="PWD23" s="21"/>
      <c r="PWE23" s="21"/>
      <c r="PWF23" s="21"/>
      <c r="PWG23" s="21"/>
      <c r="PWH23" s="21"/>
      <c r="PWI23" s="21"/>
      <c r="PWJ23" s="21"/>
      <c r="PWK23" s="21"/>
      <c r="PWL23" s="21"/>
      <c r="PWM23" s="21"/>
      <c r="PWN23" s="21"/>
      <c r="PWO23" s="21"/>
      <c r="PWP23" s="21"/>
      <c r="PWQ23" s="21"/>
      <c r="PWR23" s="21"/>
      <c r="PWS23" s="21"/>
      <c r="PWT23" s="21"/>
      <c r="PWU23" s="21"/>
      <c r="PWV23" s="21"/>
      <c r="PWW23" s="21"/>
      <c r="PWX23" s="21"/>
      <c r="PWY23" s="21"/>
      <c r="PWZ23" s="21"/>
      <c r="PXA23" s="21"/>
      <c r="PXB23" s="21"/>
      <c r="PXC23" s="21"/>
      <c r="PXD23" s="21"/>
      <c r="PXE23" s="21"/>
      <c r="PXF23" s="21"/>
      <c r="PXG23" s="21"/>
      <c r="PXH23" s="21"/>
      <c r="PXI23" s="21"/>
      <c r="PXJ23" s="21"/>
      <c r="PXK23" s="21"/>
      <c r="PXL23" s="21"/>
      <c r="PXM23" s="21"/>
      <c r="PXN23" s="21"/>
      <c r="PXO23" s="21"/>
      <c r="PXP23" s="21"/>
      <c r="PXQ23" s="21"/>
      <c r="PXR23" s="21"/>
      <c r="PXS23" s="21"/>
      <c r="PXT23" s="21"/>
      <c r="PXU23" s="21"/>
      <c r="PXV23" s="21"/>
      <c r="PXW23" s="21"/>
      <c r="PXX23" s="21"/>
      <c r="PXY23" s="21"/>
      <c r="PXZ23" s="21"/>
      <c r="PYA23" s="21"/>
      <c r="PYB23" s="21"/>
      <c r="PYC23" s="21"/>
      <c r="PYD23" s="21"/>
      <c r="PYE23" s="21"/>
      <c r="PYF23" s="21"/>
      <c r="PYG23" s="21"/>
      <c r="PYH23" s="21"/>
      <c r="PYI23" s="21"/>
      <c r="PYJ23" s="21"/>
      <c r="PYK23" s="21"/>
      <c r="PYL23" s="21"/>
      <c r="PYM23" s="21"/>
      <c r="PYN23" s="21"/>
      <c r="PYO23" s="21"/>
      <c r="PYP23" s="21"/>
      <c r="PYQ23" s="21"/>
      <c r="PYR23" s="21"/>
      <c r="PYS23" s="21"/>
      <c r="PYT23" s="21"/>
      <c r="PYU23" s="21"/>
      <c r="PYV23" s="21"/>
      <c r="PYW23" s="21"/>
      <c r="PYX23" s="21"/>
      <c r="PYY23" s="21"/>
      <c r="PYZ23" s="21"/>
      <c r="PZA23" s="21"/>
      <c r="PZB23" s="21"/>
      <c r="PZC23" s="21"/>
      <c r="PZD23" s="21"/>
      <c r="PZE23" s="21"/>
      <c r="PZF23" s="21"/>
      <c r="PZG23" s="21"/>
      <c r="PZH23" s="21"/>
      <c r="PZI23" s="21"/>
      <c r="PZJ23" s="21"/>
      <c r="PZK23" s="21"/>
      <c r="PZL23" s="21"/>
      <c r="PZM23" s="21"/>
      <c r="PZN23" s="21"/>
      <c r="PZO23" s="21"/>
      <c r="PZP23" s="21"/>
      <c r="PZQ23" s="21"/>
      <c r="PZR23" s="21"/>
      <c r="PZS23" s="21"/>
      <c r="PZT23" s="21"/>
      <c r="PZU23" s="21"/>
      <c r="PZV23" s="21"/>
      <c r="PZW23" s="21"/>
      <c r="PZX23" s="21"/>
      <c r="PZY23" s="21"/>
      <c r="PZZ23" s="21"/>
      <c r="QAA23" s="21"/>
      <c r="QAB23" s="21"/>
      <c r="QAC23" s="21"/>
      <c r="QAD23" s="21"/>
      <c r="QAE23" s="21"/>
      <c r="QAF23" s="21"/>
      <c r="QAG23" s="21"/>
      <c r="QAH23" s="21"/>
      <c r="QAI23" s="21"/>
      <c r="QAJ23" s="21"/>
      <c r="QAK23" s="21"/>
      <c r="QAL23" s="21"/>
      <c r="QAM23" s="21"/>
      <c r="QAN23" s="21"/>
      <c r="QAO23" s="21"/>
      <c r="QAP23" s="21"/>
      <c r="QAQ23" s="21"/>
      <c r="QAR23" s="21"/>
      <c r="QAS23" s="21"/>
      <c r="QAT23" s="21"/>
      <c r="QAU23" s="21"/>
      <c r="QAV23" s="21"/>
      <c r="QAW23" s="21"/>
      <c r="QAX23" s="21"/>
      <c r="QAY23" s="21"/>
      <c r="QAZ23" s="21"/>
      <c r="QBA23" s="21"/>
      <c r="QBB23" s="21"/>
      <c r="QBC23" s="21"/>
      <c r="QBD23" s="21"/>
      <c r="QBE23" s="21"/>
      <c r="QBF23" s="21"/>
      <c r="QBG23" s="21"/>
      <c r="QBH23" s="21"/>
      <c r="QBI23" s="21"/>
      <c r="QBJ23" s="21"/>
      <c r="QBK23" s="21"/>
      <c r="QBL23" s="21"/>
      <c r="QBM23" s="21"/>
      <c r="QBN23" s="21"/>
      <c r="QBO23" s="21"/>
      <c r="QBP23" s="21"/>
      <c r="QBQ23" s="21"/>
      <c r="QBR23" s="21"/>
      <c r="QBS23" s="21"/>
      <c r="QBT23" s="21"/>
      <c r="QBU23" s="21"/>
      <c r="QBV23" s="21"/>
      <c r="QBW23" s="21"/>
      <c r="QBX23" s="21"/>
      <c r="QBY23" s="21"/>
      <c r="QBZ23" s="21"/>
      <c r="QCA23" s="21"/>
      <c r="QCB23" s="21"/>
      <c r="QCC23" s="21"/>
      <c r="QCD23" s="21"/>
      <c r="QCE23" s="21"/>
      <c r="QCF23" s="21"/>
      <c r="QCG23" s="21"/>
      <c r="QCH23" s="21"/>
      <c r="QCI23" s="21"/>
      <c r="QCJ23" s="21"/>
      <c r="QCK23" s="21"/>
      <c r="QCL23" s="21"/>
      <c r="QCM23" s="21"/>
      <c r="QCN23" s="21"/>
      <c r="QCO23" s="21"/>
      <c r="QCP23" s="21"/>
      <c r="QCQ23" s="21"/>
      <c r="QCR23" s="21"/>
      <c r="QCS23" s="21"/>
      <c r="QCT23" s="21"/>
      <c r="QCU23" s="21"/>
      <c r="QCV23" s="21"/>
      <c r="QCW23" s="21"/>
      <c r="QCX23" s="21"/>
      <c r="QCY23" s="21"/>
      <c r="QCZ23" s="21"/>
      <c r="QDA23" s="21"/>
      <c r="QDB23" s="21"/>
      <c r="QDC23" s="21"/>
      <c r="QDD23" s="21"/>
      <c r="QDE23" s="21"/>
      <c r="QDF23" s="21"/>
      <c r="QDG23" s="21"/>
      <c r="QDH23" s="21"/>
      <c r="QDI23" s="21"/>
      <c r="QDJ23" s="21"/>
      <c r="QDK23" s="21"/>
      <c r="QDL23" s="21"/>
      <c r="QDM23" s="21"/>
      <c r="QDN23" s="21"/>
      <c r="QDO23" s="21"/>
      <c r="QDP23" s="21"/>
      <c r="QDQ23" s="21"/>
      <c r="QDR23" s="21"/>
      <c r="QDS23" s="21"/>
      <c r="QDT23" s="21"/>
      <c r="QDU23" s="21"/>
      <c r="QDV23" s="21"/>
      <c r="QDW23" s="21"/>
      <c r="QDX23" s="21"/>
      <c r="QDY23" s="21"/>
      <c r="QDZ23" s="21"/>
      <c r="QEA23" s="21"/>
      <c r="QEB23" s="21"/>
      <c r="QEC23" s="21"/>
      <c r="QED23" s="21"/>
      <c r="QEE23" s="21"/>
      <c r="QEF23" s="21"/>
      <c r="QEG23" s="21"/>
      <c r="QEH23" s="21"/>
      <c r="QEI23" s="21"/>
      <c r="QEJ23" s="21"/>
      <c r="QEK23" s="21"/>
      <c r="QEL23" s="21"/>
      <c r="QEM23" s="21"/>
      <c r="QEN23" s="21"/>
      <c r="QEO23" s="21"/>
      <c r="QEP23" s="21"/>
      <c r="QEQ23" s="21"/>
      <c r="QER23" s="21"/>
      <c r="QES23" s="21"/>
      <c r="QET23" s="21"/>
      <c r="QEU23" s="21"/>
      <c r="QEV23" s="21"/>
      <c r="QEW23" s="21"/>
      <c r="QEX23" s="21"/>
      <c r="QEY23" s="21"/>
      <c r="QEZ23" s="21"/>
      <c r="QFA23" s="21"/>
      <c r="QFB23" s="21"/>
      <c r="QFC23" s="21"/>
      <c r="QFD23" s="21"/>
      <c r="QFE23" s="21"/>
      <c r="QFF23" s="21"/>
      <c r="QFG23" s="21"/>
      <c r="QFH23" s="21"/>
      <c r="QFI23" s="21"/>
      <c r="QFJ23" s="21"/>
      <c r="QFK23" s="21"/>
      <c r="QFL23" s="21"/>
      <c r="QFM23" s="21"/>
      <c r="QFN23" s="21"/>
      <c r="QFO23" s="21"/>
      <c r="QFP23" s="21"/>
      <c r="QFQ23" s="21"/>
      <c r="QFR23" s="21"/>
      <c r="QFS23" s="21"/>
      <c r="QFT23" s="21"/>
      <c r="QFU23" s="21"/>
      <c r="QFV23" s="21"/>
      <c r="QFW23" s="21"/>
      <c r="QFX23" s="21"/>
      <c r="QFY23" s="21"/>
      <c r="QFZ23" s="21"/>
      <c r="QGA23" s="21"/>
      <c r="QGB23" s="21"/>
      <c r="QGC23" s="21"/>
      <c r="QGD23" s="21"/>
      <c r="QGE23" s="21"/>
      <c r="QGF23" s="21"/>
      <c r="QGG23" s="21"/>
      <c r="QGH23" s="21"/>
      <c r="QGI23" s="21"/>
      <c r="QGJ23" s="21"/>
      <c r="QGK23" s="21"/>
      <c r="QGL23" s="21"/>
      <c r="QGM23" s="21"/>
      <c r="QGN23" s="21"/>
      <c r="QGO23" s="21"/>
      <c r="QGP23" s="21"/>
      <c r="QGQ23" s="21"/>
      <c r="QGR23" s="21"/>
      <c r="QGS23" s="21"/>
      <c r="QGT23" s="21"/>
      <c r="QGU23" s="21"/>
      <c r="QGV23" s="21"/>
      <c r="QGW23" s="21"/>
      <c r="QGX23" s="21"/>
      <c r="QGY23" s="21"/>
      <c r="QGZ23" s="21"/>
      <c r="QHA23" s="21"/>
      <c r="QHB23" s="21"/>
      <c r="QHC23" s="21"/>
      <c r="QHD23" s="21"/>
      <c r="QHE23" s="21"/>
      <c r="QHF23" s="21"/>
      <c r="QHG23" s="21"/>
      <c r="QHH23" s="21"/>
      <c r="QHI23" s="21"/>
      <c r="QHJ23" s="21"/>
      <c r="QHK23" s="21"/>
      <c r="QHL23" s="21"/>
      <c r="QHM23" s="21"/>
      <c r="QHN23" s="21"/>
      <c r="QHO23" s="21"/>
      <c r="QHP23" s="21"/>
      <c r="QHQ23" s="21"/>
      <c r="QHR23" s="21"/>
      <c r="QHS23" s="21"/>
      <c r="QHT23" s="21"/>
      <c r="QHU23" s="21"/>
      <c r="QHV23" s="21"/>
      <c r="QHW23" s="21"/>
      <c r="QHX23" s="21"/>
      <c r="QHY23" s="21"/>
      <c r="QHZ23" s="21"/>
      <c r="QIA23" s="21"/>
      <c r="QIB23" s="21"/>
      <c r="QIC23" s="21"/>
      <c r="QID23" s="21"/>
      <c r="QIE23" s="21"/>
      <c r="QIF23" s="21"/>
      <c r="QIG23" s="21"/>
      <c r="QIH23" s="21"/>
      <c r="QII23" s="21"/>
      <c r="QIJ23" s="21"/>
      <c r="QIK23" s="21"/>
      <c r="QIL23" s="21"/>
      <c r="QIM23" s="21"/>
      <c r="QIN23" s="21"/>
      <c r="QIO23" s="21"/>
      <c r="QIP23" s="21"/>
      <c r="QIQ23" s="21"/>
      <c r="QIR23" s="21"/>
      <c r="QIS23" s="21"/>
      <c r="QIT23" s="21"/>
      <c r="QIU23" s="21"/>
      <c r="QIV23" s="21"/>
      <c r="QIW23" s="21"/>
      <c r="QIX23" s="21"/>
      <c r="QIY23" s="21"/>
      <c r="QIZ23" s="21"/>
      <c r="QJA23" s="21"/>
      <c r="QJB23" s="21"/>
      <c r="QJC23" s="21"/>
      <c r="QJD23" s="21"/>
      <c r="QJE23" s="21"/>
      <c r="QJF23" s="21"/>
      <c r="QJG23" s="21"/>
      <c r="QJH23" s="21"/>
      <c r="QJI23" s="21"/>
      <c r="QJJ23" s="21"/>
      <c r="QJK23" s="21"/>
      <c r="QJL23" s="21"/>
      <c r="QJM23" s="21"/>
      <c r="QJN23" s="21"/>
      <c r="QJO23" s="21"/>
      <c r="QJP23" s="21"/>
      <c r="QJQ23" s="21"/>
      <c r="QJR23" s="21"/>
      <c r="QJS23" s="21"/>
      <c r="QJT23" s="21"/>
      <c r="QJU23" s="21"/>
      <c r="QJV23" s="21"/>
      <c r="QJW23" s="21"/>
      <c r="QJX23" s="21"/>
      <c r="QJY23" s="21"/>
      <c r="QJZ23" s="21"/>
      <c r="QKA23" s="21"/>
      <c r="QKB23" s="21"/>
      <c r="QKC23" s="21"/>
      <c r="QKD23" s="21"/>
      <c r="QKE23" s="21"/>
      <c r="QKF23" s="21"/>
      <c r="QKG23" s="21"/>
      <c r="QKH23" s="21"/>
      <c r="QKI23" s="21"/>
      <c r="QKJ23" s="21"/>
      <c r="QKK23" s="21"/>
      <c r="QKL23" s="21"/>
      <c r="QKM23" s="21"/>
      <c r="QKN23" s="21"/>
      <c r="QKO23" s="21"/>
      <c r="QKP23" s="21"/>
      <c r="QKQ23" s="21"/>
      <c r="QKR23" s="21"/>
      <c r="QKS23" s="21"/>
      <c r="QKT23" s="21"/>
      <c r="QKU23" s="21"/>
      <c r="QKV23" s="21"/>
      <c r="QKW23" s="21"/>
      <c r="QKX23" s="21"/>
      <c r="QKY23" s="21"/>
      <c r="QKZ23" s="21"/>
      <c r="QLA23" s="21"/>
      <c r="QLB23" s="21"/>
      <c r="QLC23" s="21"/>
      <c r="QLD23" s="21"/>
      <c r="QLE23" s="21"/>
      <c r="QLF23" s="21"/>
      <c r="QLG23" s="21"/>
      <c r="QLH23" s="21"/>
      <c r="QLI23" s="21"/>
      <c r="QLJ23" s="21"/>
      <c r="QLK23" s="21"/>
      <c r="QLL23" s="21"/>
      <c r="QLM23" s="21"/>
      <c r="QLN23" s="21"/>
      <c r="QLO23" s="21"/>
      <c r="QLP23" s="21"/>
      <c r="QLQ23" s="21"/>
      <c r="QLR23" s="21"/>
      <c r="QLS23" s="21"/>
      <c r="QLT23" s="21"/>
      <c r="QLU23" s="21"/>
      <c r="QLV23" s="21"/>
      <c r="QLW23" s="21"/>
      <c r="QLX23" s="21"/>
      <c r="QLY23" s="21"/>
      <c r="QLZ23" s="21"/>
      <c r="QMA23" s="21"/>
      <c r="QMB23" s="21"/>
      <c r="QMC23" s="21"/>
      <c r="QMD23" s="21"/>
      <c r="QME23" s="21"/>
      <c r="QMF23" s="21"/>
      <c r="QMG23" s="21"/>
      <c r="QMH23" s="21"/>
      <c r="QMI23" s="21"/>
      <c r="QMJ23" s="21"/>
      <c r="QMK23" s="21"/>
      <c r="QML23" s="21"/>
      <c r="QMM23" s="21"/>
      <c r="QMN23" s="21"/>
      <c r="QMO23" s="21"/>
      <c r="QMP23" s="21"/>
      <c r="QMQ23" s="21"/>
      <c r="QMR23" s="21"/>
      <c r="QMS23" s="21"/>
      <c r="QMT23" s="21"/>
      <c r="QMU23" s="21"/>
      <c r="QMV23" s="21"/>
      <c r="QMW23" s="21"/>
      <c r="QMX23" s="21"/>
      <c r="QMY23" s="21"/>
      <c r="QMZ23" s="21"/>
      <c r="QNA23" s="21"/>
      <c r="QNB23" s="21"/>
      <c r="QNC23" s="21"/>
      <c r="QND23" s="21"/>
      <c r="QNE23" s="21"/>
      <c r="QNF23" s="21"/>
      <c r="QNG23" s="21"/>
      <c r="QNH23" s="21"/>
      <c r="QNI23" s="21"/>
      <c r="QNJ23" s="21"/>
      <c r="QNK23" s="21"/>
      <c r="QNL23" s="21"/>
      <c r="QNM23" s="21"/>
      <c r="QNN23" s="21"/>
      <c r="QNO23" s="21"/>
      <c r="QNP23" s="21"/>
      <c r="QNQ23" s="21"/>
      <c r="QNR23" s="21"/>
      <c r="QNS23" s="21"/>
      <c r="QNT23" s="21"/>
      <c r="QNU23" s="21"/>
      <c r="QNV23" s="21"/>
      <c r="QNW23" s="21"/>
      <c r="QNX23" s="21"/>
      <c r="QNY23" s="21"/>
      <c r="QNZ23" s="21"/>
      <c r="QOA23" s="21"/>
      <c r="QOB23" s="21"/>
      <c r="QOC23" s="21"/>
      <c r="QOD23" s="21"/>
      <c r="QOE23" s="21"/>
      <c r="QOF23" s="21"/>
      <c r="QOG23" s="21"/>
      <c r="QOH23" s="21"/>
      <c r="QOI23" s="21"/>
      <c r="QOJ23" s="21"/>
      <c r="QOK23" s="21"/>
      <c r="QOL23" s="21"/>
      <c r="QOM23" s="21"/>
      <c r="QON23" s="21"/>
      <c r="QOO23" s="21"/>
      <c r="QOP23" s="21"/>
      <c r="QOQ23" s="21"/>
      <c r="QOR23" s="21"/>
      <c r="QOS23" s="21"/>
      <c r="QOT23" s="21"/>
      <c r="QOU23" s="21"/>
      <c r="QOV23" s="21"/>
      <c r="QOW23" s="21"/>
      <c r="QOX23" s="21"/>
      <c r="QOY23" s="21"/>
      <c r="QOZ23" s="21"/>
      <c r="QPA23" s="21"/>
      <c r="QPB23" s="21"/>
      <c r="QPC23" s="21"/>
      <c r="QPD23" s="21"/>
      <c r="QPE23" s="21"/>
      <c r="QPF23" s="21"/>
      <c r="QPG23" s="21"/>
      <c r="QPH23" s="21"/>
      <c r="QPI23" s="21"/>
      <c r="QPJ23" s="21"/>
      <c r="QPK23" s="21"/>
      <c r="QPL23" s="21"/>
      <c r="QPM23" s="21"/>
      <c r="QPN23" s="21"/>
      <c r="QPO23" s="21"/>
      <c r="QPP23" s="21"/>
      <c r="QPQ23" s="21"/>
      <c r="QPR23" s="21"/>
      <c r="QPS23" s="21"/>
      <c r="QPT23" s="21"/>
      <c r="QPU23" s="21"/>
      <c r="QPV23" s="21"/>
      <c r="QPW23" s="21"/>
      <c r="QPX23" s="21"/>
      <c r="QPY23" s="21"/>
      <c r="QPZ23" s="21"/>
      <c r="QQA23" s="21"/>
      <c r="QQB23" s="21"/>
      <c r="QQC23" s="21"/>
      <c r="QQD23" s="21"/>
      <c r="QQE23" s="21"/>
      <c r="QQF23" s="21"/>
      <c r="QQG23" s="21"/>
      <c r="QQH23" s="21"/>
      <c r="QQI23" s="21"/>
      <c r="QQJ23" s="21"/>
      <c r="QQK23" s="21"/>
      <c r="QQL23" s="21"/>
      <c r="QQM23" s="21"/>
      <c r="QQN23" s="21"/>
      <c r="QQO23" s="21"/>
      <c r="QQP23" s="21"/>
      <c r="QQQ23" s="21"/>
      <c r="QQR23" s="21"/>
      <c r="QQS23" s="21"/>
      <c r="QQT23" s="21"/>
      <c r="QQU23" s="21"/>
      <c r="QQV23" s="21"/>
      <c r="QQW23" s="21"/>
      <c r="QQX23" s="21"/>
      <c r="QQY23" s="21"/>
      <c r="QQZ23" s="21"/>
      <c r="QRA23" s="21"/>
      <c r="QRB23" s="21"/>
      <c r="QRC23" s="21"/>
      <c r="QRD23" s="21"/>
      <c r="QRE23" s="21"/>
      <c r="QRF23" s="21"/>
      <c r="QRG23" s="21"/>
      <c r="QRH23" s="21"/>
      <c r="QRI23" s="21"/>
      <c r="QRJ23" s="21"/>
      <c r="QRK23" s="21"/>
      <c r="QRL23" s="21"/>
      <c r="QRM23" s="21"/>
      <c r="QRN23" s="21"/>
      <c r="QRO23" s="21"/>
      <c r="QRP23" s="21"/>
      <c r="QRQ23" s="21"/>
      <c r="QRR23" s="21"/>
      <c r="QRS23" s="21"/>
      <c r="QRT23" s="21"/>
      <c r="QRU23" s="21"/>
      <c r="QRV23" s="21"/>
      <c r="QRW23" s="21"/>
      <c r="QRX23" s="21"/>
      <c r="QRY23" s="21"/>
      <c r="QRZ23" s="21"/>
      <c r="QSA23" s="21"/>
      <c r="QSB23" s="21"/>
      <c r="QSC23" s="21"/>
      <c r="QSD23" s="21"/>
      <c r="QSE23" s="21"/>
      <c r="QSF23" s="21"/>
      <c r="QSG23" s="21"/>
      <c r="QSH23" s="21"/>
      <c r="QSI23" s="21"/>
      <c r="QSJ23" s="21"/>
      <c r="QSK23" s="21"/>
      <c r="QSL23" s="21"/>
      <c r="QSM23" s="21"/>
      <c r="QSN23" s="21"/>
      <c r="QSO23" s="21"/>
      <c r="QSP23" s="21"/>
      <c r="QSQ23" s="21"/>
      <c r="QSR23" s="21"/>
      <c r="QSS23" s="21"/>
      <c r="QST23" s="21"/>
      <c r="QSU23" s="21"/>
      <c r="QSV23" s="21"/>
      <c r="QSW23" s="21"/>
      <c r="QSX23" s="21"/>
      <c r="QSY23" s="21"/>
      <c r="QSZ23" s="21"/>
      <c r="QTA23" s="21"/>
      <c r="QTB23" s="21"/>
      <c r="QTC23" s="21"/>
      <c r="QTD23" s="21"/>
      <c r="QTE23" s="21"/>
      <c r="QTF23" s="21"/>
      <c r="QTG23" s="21"/>
      <c r="QTH23" s="21"/>
      <c r="QTI23" s="21"/>
      <c r="QTJ23" s="21"/>
      <c r="QTK23" s="21"/>
      <c r="QTL23" s="21"/>
      <c r="QTM23" s="21"/>
      <c r="QTN23" s="21"/>
      <c r="QTO23" s="21"/>
      <c r="QTP23" s="21"/>
      <c r="QTQ23" s="21"/>
      <c r="QTR23" s="21"/>
      <c r="QTS23" s="21"/>
      <c r="QTT23" s="21"/>
      <c r="QTU23" s="21"/>
      <c r="QTV23" s="21"/>
      <c r="QTW23" s="21"/>
      <c r="QTX23" s="21"/>
      <c r="QTY23" s="21"/>
      <c r="QTZ23" s="21"/>
      <c r="QUA23" s="21"/>
      <c r="QUB23" s="21"/>
      <c r="QUC23" s="21"/>
      <c r="QUD23" s="21"/>
      <c r="QUE23" s="21"/>
      <c r="QUF23" s="21"/>
      <c r="QUG23" s="21"/>
      <c r="QUH23" s="21"/>
      <c r="QUI23" s="21"/>
      <c r="QUJ23" s="21"/>
      <c r="QUK23" s="21"/>
      <c r="QUL23" s="21"/>
      <c r="QUM23" s="21"/>
      <c r="QUN23" s="21"/>
      <c r="QUO23" s="21"/>
      <c r="QUP23" s="21"/>
      <c r="QUQ23" s="21"/>
      <c r="QUR23" s="21"/>
      <c r="QUS23" s="21"/>
      <c r="QUT23" s="21"/>
      <c r="QUU23" s="21"/>
      <c r="QUV23" s="21"/>
      <c r="QUW23" s="21"/>
      <c r="QUX23" s="21"/>
      <c r="QUY23" s="21"/>
      <c r="QUZ23" s="21"/>
      <c r="QVA23" s="21"/>
      <c r="QVB23" s="21"/>
      <c r="QVC23" s="21"/>
      <c r="QVD23" s="21"/>
      <c r="QVE23" s="21"/>
      <c r="QVF23" s="21"/>
      <c r="QVG23" s="21"/>
      <c r="QVH23" s="21"/>
      <c r="QVI23" s="21"/>
      <c r="QVJ23" s="21"/>
      <c r="QVK23" s="21"/>
      <c r="QVL23" s="21"/>
      <c r="QVM23" s="21"/>
      <c r="QVN23" s="21"/>
      <c r="QVO23" s="21"/>
      <c r="QVP23" s="21"/>
      <c r="QVQ23" s="21"/>
      <c r="QVR23" s="21"/>
      <c r="QVS23" s="21"/>
      <c r="QVT23" s="21"/>
      <c r="QVU23" s="21"/>
      <c r="QVV23" s="21"/>
      <c r="QVW23" s="21"/>
      <c r="QVX23" s="21"/>
      <c r="QVY23" s="21"/>
      <c r="QVZ23" s="21"/>
      <c r="QWA23" s="21"/>
      <c r="QWB23" s="21"/>
      <c r="QWC23" s="21"/>
      <c r="QWD23" s="21"/>
      <c r="QWE23" s="21"/>
      <c r="QWF23" s="21"/>
      <c r="QWG23" s="21"/>
      <c r="QWH23" s="21"/>
      <c r="QWI23" s="21"/>
      <c r="QWJ23" s="21"/>
      <c r="QWK23" s="21"/>
      <c r="QWL23" s="21"/>
      <c r="QWM23" s="21"/>
      <c r="QWN23" s="21"/>
      <c r="QWO23" s="21"/>
      <c r="QWP23" s="21"/>
      <c r="QWQ23" s="21"/>
      <c r="QWR23" s="21"/>
      <c r="QWS23" s="21"/>
      <c r="QWT23" s="21"/>
      <c r="QWU23" s="21"/>
      <c r="QWV23" s="21"/>
      <c r="QWW23" s="21"/>
      <c r="QWX23" s="21"/>
      <c r="QWY23" s="21"/>
      <c r="QWZ23" s="21"/>
      <c r="QXA23" s="21"/>
      <c r="QXB23" s="21"/>
      <c r="QXC23" s="21"/>
      <c r="QXD23" s="21"/>
      <c r="QXE23" s="21"/>
      <c r="QXF23" s="21"/>
      <c r="QXG23" s="21"/>
      <c r="QXH23" s="21"/>
      <c r="QXI23" s="21"/>
      <c r="QXJ23" s="21"/>
      <c r="QXK23" s="21"/>
      <c r="QXL23" s="21"/>
      <c r="QXM23" s="21"/>
      <c r="QXN23" s="21"/>
      <c r="QXO23" s="21"/>
      <c r="QXP23" s="21"/>
      <c r="QXQ23" s="21"/>
      <c r="QXR23" s="21"/>
      <c r="QXS23" s="21"/>
      <c r="QXT23" s="21"/>
      <c r="QXU23" s="21"/>
      <c r="QXV23" s="21"/>
      <c r="QXW23" s="21"/>
      <c r="QXX23" s="21"/>
      <c r="QXY23" s="21"/>
      <c r="QXZ23" s="21"/>
      <c r="QYA23" s="21"/>
      <c r="QYB23" s="21"/>
      <c r="QYC23" s="21"/>
      <c r="QYD23" s="21"/>
      <c r="QYE23" s="21"/>
      <c r="QYF23" s="21"/>
      <c r="QYG23" s="21"/>
      <c r="QYH23" s="21"/>
      <c r="QYI23" s="21"/>
      <c r="QYJ23" s="21"/>
      <c r="QYK23" s="21"/>
      <c r="QYL23" s="21"/>
      <c r="QYM23" s="21"/>
      <c r="QYN23" s="21"/>
      <c r="QYO23" s="21"/>
      <c r="QYP23" s="21"/>
      <c r="QYQ23" s="21"/>
      <c r="QYR23" s="21"/>
      <c r="QYS23" s="21"/>
      <c r="QYT23" s="21"/>
      <c r="QYU23" s="21"/>
      <c r="QYV23" s="21"/>
      <c r="QYW23" s="21"/>
      <c r="QYX23" s="21"/>
      <c r="QYY23" s="21"/>
      <c r="QYZ23" s="21"/>
      <c r="QZA23" s="21"/>
      <c r="QZB23" s="21"/>
      <c r="QZC23" s="21"/>
      <c r="QZD23" s="21"/>
      <c r="QZE23" s="21"/>
      <c r="QZF23" s="21"/>
      <c r="QZG23" s="21"/>
      <c r="QZH23" s="21"/>
      <c r="QZI23" s="21"/>
      <c r="QZJ23" s="21"/>
      <c r="QZK23" s="21"/>
      <c r="QZL23" s="21"/>
      <c r="QZM23" s="21"/>
      <c r="QZN23" s="21"/>
      <c r="QZO23" s="21"/>
      <c r="QZP23" s="21"/>
      <c r="QZQ23" s="21"/>
      <c r="QZR23" s="21"/>
      <c r="QZS23" s="21"/>
      <c r="QZT23" s="21"/>
      <c r="QZU23" s="21"/>
      <c r="QZV23" s="21"/>
      <c r="QZW23" s="21"/>
      <c r="QZX23" s="21"/>
      <c r="QZY23" s="21"/>
      <c r="QZZ23" s="21"/>
      <c r="RAA23" s="21"/>
      <c r="RAB23" s="21"/>
      <c r="RAC23" s="21"/>
      <c r="RAD23" s="21"/>
      <c r="RAE23" s="21"/>
      <c r="RAF23" s="21"/>
      <c r="RAG23" s="21"/>
      <c r="RAH23" s="21"/>
      <c r="RAI23" s="21"/>
      <c r="RAJ23" s="21"/>
      <c r="RAK23" s="21"/>
      <c r="RAL23" s="21"/>
      <c r="RAM23" s="21"/>
      <c r="RAN23" s="21"/>
      <c r="RAO23" s="21"/>
      <c r="RAP23" s="21"/>
      <c r="RAQ23" s="21"/>
      <c r="RAR23" s="21"/>
      <c r="RAS23" s="21"/>
      <c r="RAT23" s="21"/>
      <c r="RAU23" s="21"/>
      <c r="RAV23" s="21"/>
      <c r="RAW23" s="21"/>
      <c r="RAX23" s="21"/>
      <c r="RAY23" s="21"/>
      <c r="RAZ23" s="21"/>
      <c r="RBA23" s="21"/>
      <c r="RBB23" s="21"/>
      <c r="RBC23" s="21"/>
      <c r="RBD23" s="21"/>
      <c r="RBE23" s="21"/>
      <c r="RBF23" s="21"/>
      <c r="RBG23" s="21"/>
      <c r="RBH23" s="21"/>
      <c r="RBI23" s="21"/>
      <c r="RBJ23" s="21"/>
      <c r="RBK23" s="21"/>
      <c r="RBL23" s="21"/>
      <c r="RBM23" s="21"/>
      <c r="RBN23" s="21"/>
      <c r="RBO23" s="21"/>
      <c r="RBP23" s="21"/>
      <c r="RBQ23" s="21"/>
      <c r="RBR23" s="21"/>
      <c r="RBS23" s="21"/>
      <c r="RBT23" s="21"/>
      <c r="RBU23" s="21"/>
      <c r="RBV23" s="21"/>
      <c r="RBW23" s="21"/>
      <c r="RBX23" s="21"/>
      <c r="RBY23" s="21"/>
      <c r="RBZ23" s="21"/>
      <c r="RCA23" s="21"/>
      <c r="RCB23" s="21"/>
      <c r="RCC23" s="21"/>
      <c r="RCD23" s="21"/>
      <c r="RCE23" s="21"/>
      <c r="RCF23" s="21"/>
      <c r="RCG23" s="21"/>
      <c r="RCH23" s="21"/>
      <c r="RCI23" s="21"/>
      <c r="RCJ23" s="21"/>
      <c r="RCK23" s="21"/>
      <c r="RCL23" s="21"/>
      <c r="RCM23" s="21"/>
      <c r="RCN23" s="21"/>
      <c r="RCO23" s="21"/>
      <c r="RCP23" s="21"/>
      <c r="RCQ23" s="21"/>
      <c r="RCR23" s="21"/>
      <c r="RCS23" s="21"/>
      <c r="RCT23" s="21"/>
      <c r="RCU23" s="21"/>
      <c r="RCV23" s="21"/>
      <c r="RCW23" s="21"/>
      <c r="RCX23" s="21"/>
      <c r="RCY23" s="21"/>
      <c r="RCZ23" s="21"/>
      <c r="RDA23" s="21"/>
      <c r="RDB23" s="21"/>
      <c r="RDC23" s="21"/>
      <c r="RDD23" s="21"/>
      <c r="RDE23" s="21"/>
      <c r="RDF23" s="21"/>
      <c r="RDG23" s="21"/>
      <c r="RDH23" s="21"/>
      <c r="RDI23" s="21"/>
      <c r="RDJ23" s="21"/>
      <c r="RDK23" s="21"/>
      <c r="RDL23" s="21"/>
      <c r="RDM23" s="21"/>
      <c r="RDN23" s="21"/>
      <c r="RDO23" s="21"/>
      <c r="RDP23" s="21"/>
      <c r="RDQ23" s="21"/>
      <c r="RDR23" s="21"/>
      <c r="RDS23" s="21"/>
      <c r="RDT23" s="21"/>
      <c r="RDU23" s="21"/>
      <c r="RDV23" s="21"/>
      <c r="RDW23" s="21"/>
      <c r="RDX23" s="21"/>
      <c r="RDY23" s="21"/>
      <c r="RDZ23" s="21"/>
      <c r="REA23" s="21"/>
      <c r="REB23" s="21"/>
      <c r="REC23" s="21"/>
      <c r="RED23" s="21"/>
      <c r="REE23" s="21"/>
      <c r="REF23" s="21"/>
      <c r="REG23" s="21"/>
      <c r="REH23" s="21"/>
      <c r="REI23" s="21"/>
      <c r="REJ23" s="21"/>
      <c r="REK23" s="21"/>
      <c r="REL23" s="21"/>
      <c r="REM23" s="21"/>
      <c r="REN23" s="21"/>
      <c r="REO23" s="21"/>
      <c r="REP23" s="21"/>
      <c r="REQ23" s="21"/>
      <c r="RER23" s="21"/>
      <c r="RES23" s="21"/>
      <c r="RET23" s="21"/>
      <c r="REU23" s="21"/>
      <c r="REV23" s="21"/>
      <c r="REW23" s="21"/>
      <c r="REX23" s="21"/>
      <c r="REY23" s="21"/>
      <c r="REZ23" s="21"/>
      <c r="RFA23" s="21"/>
      <c r="RFB23" s="21"/>
      <c r="RFC23" s="21"/>
      <c r="RFD23" s="21"/>
      <c r="RFE23" s="21"/>
      <c r="RFF23" s="21"/>
      <c r="RFG23" s="21"/>
      <c r="RFH23" s="21"/>
      <c r="RFI23" s="21"/>
      <c r="RFJ23" s="21"/>
      <c r="RFK23" s="21"/>
      <c r="RFL23" s="21"/>
      <c r="RFM23" s="21"/>
      <c r="RFN23" s="21"/>
      <c r="RFO23" s="21"/>
      <c r="RFP23" s="21"/>
      <c r="RFQ23" s="21"/>
      <c r="RFR23" s="21"/>
      <c r="RFS23" s="21"/>
      <c r="RFT23" s="21"/>
      <c r="RFU23" s="21"/>
      <c r="RFV23" s="21"/>
      <c r="RFW23" s="21"/>
      <c r="RFX23" s="21"/>
      <c r="RFY23" s="21"/>
      <c r="RFZ23" s="21"/>
      <c r="RGA23" s="21"/>
      <c r="RGB23" s="21"/>
      <c r="RGC23" s="21"/>
      <c r="RGD23" s="21"/>
      <c r="RGE23" s="21"/>
      <c r="RGF23" s="21"/>
      <c r="RGG23" s="21"/>
      <c r="RGH23" s="21"/>
      <c r="RGI23" s="21"/>
      <c r="RGJ23" s="21"/>
      <c r="RGK23" s="21"/>
      <c r="RGL23" s="21"/>
      <c r="RGM23" s="21"/>
      <c r="RGN23" s="21"/>
      <c r="RGO23" s="21"/>
      <c r="RGP23" s="21"/>
      <c r="RGQ23" s="21"/>
      <c r="RGR23" s="21"/>
      <c r="RGS23" s="21"/>
      <c r="RGT23" s="21"/>
      <c r="RGU23" s="21"/>
      <c r="RGV23" s="21"/>
      <c r="RGW23" s="21"/>
      <c r="RGX23" s="21"/>
      <c r="RGY23" s="21"/>
      <c r="RGZ23" s="21"/>
      <c r="RHA23" s="21"/>
      <c r="RHB23" s="21"/>
      <c r="RHC23" s="21"/>
      <c r="RHD23" s="21"/>
      <c r="RHE23" s="21"/>
      <c r="RHF23" s="21"/>
      <c r="RHG23" s="21"/>
      <c r="RHH23" s="21"/>
      <c r="RHI23" s="21"/>
      <c r="RHJ23" s="21"/>
      <c r="RHK23" s="21"/>
      <c r="RHL23" s="21"/>
      <c r="RHM23" s="21"/>
      <c r="RHN23" s="21"/>
      <c r="RHO23" s="21"/>
      <c r="RHP23" s="21"/>
      <c r="RHQ23" s="21"/>
      <c r="RHR23" s="21"/>
      <c r="RHS23" s="21"/>
      <c r="RHT23" s="21"/>
      <c r="RHU23" s="21"/>
      <c r="RHV23" s="21"/>
      <c r="RHW23" s="21"/>
      <c r="RHX23" s="21"/>
      <c r="RHY23" s="21"/>
      <c r="RHZ23" s="21"/>
      <c r="RIA23" s="21"/>
      <c r="RIB23" s="21"/>
      <c r="RIC23" s="21"/>
      <c r="RID23" s="21"/>
      <c r="RIE23" s="21"/>
      <c r="RIF23" s="21"/>
      <c r="RIG23" s="21"/>
      <c r="RIH23" s="21"/>
      <c r="RII23" s="21"/>
      <c r="RIJ23" s="21"/>
      <c r="RIK23" s="21"/>
      <c r="RIL23" s="21"/>
      <c r="RIM23" s="21"/>
      <c r="RIN23" s="21"/>
      <c r="RIO23" s="21"/>
      <c r="RIP23" s="21"/>
      <c r="RIQ23" s="21"/>
      <c r="RIR23" s="21"/>
      <c r="RIS23" s="21"/>
      <c r="RIT23" s="21"/>
      <c r="RIU23" s="21"/>
      <c r="RIV23" s="21"/>
      <c r="RIW23" s="21"/>
      <c r="RIX23" s="21"/>
      <c r="RIY23" s="21"/>
      <c r="RIZ23" s="21"/>
      <c r="RJA23" s="21"/>
      <c r="RJB23" s="21"/>
      <c r="RJC23" s="21"/>
      <c r="RJD23" s="21"/>
      <c r="RJE23" s="21"/>
      <c r="RJF23" s="21"/>
      <c r="RJG23" s="21"/>
      <c r="RJH23" s="21"/>
      <c r="RJI23" s="21"/>
      <c r="RJJ23" s="21"/>
      <c r="RJK23" s="21"/>
      <c r="RJL23" s="21"/>
      <c r="RJM23" s="21"/>
      <c r="RJN23" s="21"/>
      <c r="RJO23" s="21"/>
      <c r="RJP23" s="21"/>
      <c r="RJQ23" s="21"/>
      <c r="RJR23" s="21"/>
      <c r="RJS23" s="21"/>
      <c r="RJT23" s="21"/>
      <c r="RJU23" s="21"/>
      <c r="RJV23" s="21"/>
      <c r="RJW23" s="21"/>
      <c r="RJX23" s="21"/>
      <c r="RJY23" s="21"/>
      <c r="RJZ23" s="21"/>
      <c r="RKA23" s="21"/>
      <c r="RKB23" s="21"/>
      <c r="RKC23" s="21"/>
      <c r="RKD23" s="21"/>
      <c r="RKE23" s="21"/>
      <c r="RKF23" s="21"/>
      <c r="RKG23" s="21"/>
      <c r="RKH23" s="21"/>
      <c r="RKI23" s="21"/>
      <c r="RKJ23" s="21"/>
      <c r="RKK23" s="21"/>
      <c r="RKL23" s="21"/>
      <c r="RKM23" s="21"/>
      <c r="RKN23" s="21"/>
      <c r="RKO23" s="21"/>
      <c r="RKP23" s="21"/>
      <c r="RKQ23" s="21"/>
      <c r="RKR23" s="21"/>
      <c r="RKS23" s="21"/>
      <c r="RKT23" s="21"/>
      <c r="RKU23" s="21"/>
      <c r="RKV23" s="21"/>
      <c r="RKW23" s="21"/>
      <c r="RKX23" s="21"/>
      <c r="RKY23" s="21"/>
      <c r="RKZ23" s="21"/>
      <c r="RLA23" s="21"/>
      <c r="RLB23" s="21"/>
      <c r="RLC23" s="21"/>
      <c r="RLD23" s="21"/>
      <c r="RLE23" s="21"/>
      <c r="RLF23" s="21"/>
      <c r="RLG23" s="21"/>
      <c r="RLH23" s="21"/>
      <c r="RLI23" s="21"/>
      <c r="RLJ23" s="21"/>
      <c r="RLK23" s="21"/>
      <c r="RLL23" s="21"/>
      <c r="RLM23" s="21"/>
      <c r="RLN23" s="21"/>
      <c r="RLO23" s="21"/>
      <c r="RLP23" s="21"/>
      <c r="RLQ23" s="21"/>
      <c r="RLR23" s="21"/>
      <c r="RLS23" s="21"/>
      <c r="RLT23" s="21"/>
      <c r="RLU23" s="21"/>
      <c r="RLV23" s="21"/>
      <c r="RLW23" s="21"/>
      <c r="RLX23" s="21"/>
      <c r="RLY23" s="21"/>
      <c r="RLZ23" s="21"/>
      <c r="RMA23" s="21"/>
      <c r="RMB23" s="21"/>
      <c r="RMC23" s="21"/>
      <c r="RMD23" s="21"/>
      <c r="RME23" s="21"/>
      <c r="RMF23" s="21"/>
      <c r="RMG23" s="21"/>
      <c r="RMH23" s="21"/>
      <c r="RMI23" s="21"/>
      <c r="RMJ23" s="21"/>
      <c r="RMK23" s="21"/>
      <c r="RML23" s="21"/>
      <c r="RMM23" s="21"/>
      <c r="RMN23" s="21"/>
      <c r="RMO23" s="21"/>
      <c r="RMP23" s="21"/>
      <c r="RMQ23" s="21"/>
      <c r="RMR23" s="21"/>
      <c r="RMS23" s="21"/>
      <c r="RMT23" s="21"/>
      <c r="RMU23" s="21"/>
      <c r="RMV23" s="21"/>
      <c r="RMW23" s="21"/>
      <c r="RMX23" s="21"/>
      <c r="RMY23" s="21"/>
      <c r="RMZ23" s="21"/>
      <c r="RNA23" s="21"/>
      <c r="RNB23" s="21"/>
      <c r="RNC23" s="21"/>
      <c r="RND23" s="21"/>
      <c r="RNE23" s="21"/>
      <c r="RNF23" s="21"/>
      <c r="RNG23" s="21"/>
      <c r="RNH23" s="21"/>
      <c r="RNI23" s="21"/>
      <c r="RNJ23" s="21"/>
      <c r="RNK23" s="21"/>
      <c r="RNL23" s="21"/>
      <c r="RNM23" s="21"/>
      <c r="RNN23" s="21"/>
      <c r="RNO23" s="21"/>
      <c r="RNP23" s="21"/>
      <c r="RNQ23" s="21"/>
      <c r="RNR23" s="21"/>
      <c r="RNS23" s="21"/>
      <c r="RNT23" s="21"/>
      <c r="RNU23" s="21"/>
      <c r="RNV23" s="21"/>
      <c r="RNW23" s="21"/>
      <c r="RNX23" s="21"/>
      <c r="RNY23" s="21"/>
      <c r="RNZ23" s="21"/>
      <c r="ROA23" s="21"/>
      <c r="ROB23" s="21"/>
      <c r="ROC23" s="21"/>
      <c r="ROD23" s="21"/>
      <c r="ROE23" s="21"/>
      <c r="ROF23" s="21"/>
      <c r="ROG23" s="21"/>
      <c r="ROH23" s="21"/>
      <c r="ROI23" s="21"/>
      <c r="ROJ23" s="21"/>
      <c r="ROK23" s="21"/>
      <c r="ROL23" s="21"/>
      <c r="ROM23" s="21"/>
      <c r="RON23" s="21"/>
      <c r="ROO23" s="21"/>
      <c r="ROP23" s="21"/>
      <c r="ROQ23" s="21"/>
      <c r="ROR23" s="21"/>
      <c r="ROS23" s="21"/>
      <c r="ROT23" s="21"/>
      <c r="ROU23" s="21"/>
      <c r="ROV23" s="21"/>
      <c r="ROW23" s="21"/>
      <c r="ROX23" s="21"/>
      <c r="ROY23" s="21"/>
      <c r="ROZ23" s="21"/>
      <c r="RPA23" s="21"/>
      <c r="RPB23" s="21"/>
      <c r="RPC23" s="21"/>
      <c r="RPD23" s="21"/>
      <c r="RPE23" s="21"/>
      <c r="RPF23" s="21"/>
      <c r="RPG23" s="21"/>
      <c r="RPH23" s="21"/>
      <c r="RPI23" s="21"/>
      <c r="RPJ23" s="21"/>
      <c r="RPK23" s="21"/>
      <c r="RPL23" s="21"/>
      <c r="RPM23" s="21"/>
      <c r="RPN23" s="21"/>
      <c r="RPO23" s="21"/>
      <c r="RPP23" s="21"/>
      <c r="RPQ23" s="21"/>
      <c r="RPR23" s="21"/>
      <c r="RPS23" s="21"/>
      <c r="RPT23" s="21"/>
      <c r="RPU23" s="21"/>
      <c r="RPV23" s="21"/>
      <c r="RPW23" s="21"/>
      <c r="RPX23" s="21"/>
      <c r="RPY23" s="21"/>
      <c r="RPZ23" s="21"/>
      <c r="RQA23" s="21"/>
      <c r="RQB23" s="21"/>
      <c r="RQC23" s="21"/>
      <c r="RQD23" s="21"/>
      <c r="RQE23" s="21"/>
      <c r="RQF23" s="21"/>
      <c r="RQG23" s="21"/>
      <c r="RQH23" s="21"/>
      <c r="RQI23" s="21"/>
      <c r="RQJ23" s="21"/>
      <c r="RQK23" s="21"/>
      <c r="RQL23" s="21"/>
      <c r="RQM23" s="21"/>
      <c r="RQN23" s="21"/>
      <c r="RQO23" s="21"/>
      <c r="RQP23" s="21"/>
      <c r="RQQ23" s="21"/>
      <c r="RQR23" s="21"/>
      <c r="RQS23" s="21"/>
      <c r="RQT23" s="21"/>
      <c r="RQU23" s="21"/>
      <c r="RQV23" s="21"/>
      <c r="RQW23" s="21"/>
      <c r="RQX23" s="21"/>
      <c r="RQY23" s="21"/>
      <c r="RQZ23" s="21"/>
      <c r="RRA23" s="21"/>
      <c r="RRB23" s="21"/>
      <c r="RRC23" s="21"/>
      <c r="RRD23" s="21"/>
      <c r="RRE23" s="21"/>
      <c r="RRF23" s="21"/>
      <c r="RRG23" s="21"/>
      <c r="RRH23" s="21"/>
      <c r="RRI23" s="21"/>
      <c r="RRJ23" s="21"/>
      <c r="RRK23" s="21"/>
      <c r="RRL23" s="21"/>
      <c r="RRM23" s="21"/>
      <c r="RRN23" s="21"/>
      <c r="RRO23" s="21"/>
      <c r="RRP23" s="21"/>
      <c r="RRQ23" s="21"/>
      <c r="RRR23" s="21"/>
      <c r="RRS23" s="21"/>
      <c r="RRT23" s="21"/>
      <c r="RRU23" s="21"/>
      <c r="RRV23" s="21"/>
      <c r="RRW23" s="21"/>
      <c r="RRX23" s="21"/>
      <c r="RRY23" s="21"/>
      <c r="RRZ23" s="21"/>
      <c r="RSA23" s="21"/>
      <c r="RSB23" s="21"/>
      <c r="RSC23" s="21"/>
      <c r="RSD23" s="21"/>
      <c r="RSE23" s="21"/>
      <c r="RSF23" s="21"/>
      <c r="RSG23" s="21"/>
      <c r="RSH23" s="21"/>
      <c r="RSI23" s="21"/>
      <c r="RSJ23" s="21"/>
      <c r="RSK23" s="21"/>
      <c r="RSL23" s="21"/>
      <c r="RSM23" s="21"/>
      <c r="RSN23" s="21"/>
      <c r="RSO23" s="21"/>
      <c r="RSP23" s="21"/>
      <c r="RSQ23" s="21"/>
      <c r="RSR23" s="21"/>
      <c r="RSS23" s="21"/>
      <c r="RST23" s="21"/>
      <c r="RSU23" s="21"/>
      <c r="RSV23" s="21"/>
      <c r="RSW23" s="21"/>
      <c r="RSX23" s="21"/>
      <c r="RSY23" s="21"/>
      <c r="RSZ23" s="21"/>
      <c r="RTA23" s="21"/>
      <c r="RTB23" s="21"/>
      <c r="RTC23" s="21"/>
      <c r="RTD23" s="21"/>
      <c r="RTE23" s="21"/>
      <c r="RTF23" s="21"/>
      <c r="RTG23" s="21"/>
      <c r="RTH23" s="21"/>
      <c r="RTI23" s="21"/>
      <c r="RTJ23" s="21"/>
      <c r="RTK23" s="21"/>
      <c r="RTL23" s="21"/>
      <c r="RTM23" s="21"/>
      <c r="RTN23" s="21"/>
      <c r="RTO23" s="21"/>
      <c r="RTP23" s="21"/>
      <c r="RTQ23" s="21"/>
      <c r="RTR23" s="21"/>
      <c r="RTS23" s="21"/>
      <c r="RTT23" s="21"/>
      <c r="RTU23" s="21"/>
      <c r="RTV23" s="21"/>
      <c r="RTW23" s="21"/>
      <c r="RTX23" s="21"/>
      <c r="RTY23" s="21"/>
      <c r="RTZ23" s="21"/>
      <c r="RUA23" s="21"/>
      <c r="RUB23" s="21"/>
      <c r="RUC23" s="21"/>
      <c r="RUD23" s="21"/>
      <c r="RUE23" s="21"/>
      <c r="RUF23" s="21"/>
      <c r="RUG23" s="21"/>
      <c r="RUH23" s="21"/>
      <c r="RUI23" s="21"/>
      <c r="RUJ23" s="21"/>
      <c r="RUK23" s="21"/>
      <c r="RUL23" s="21"/>
      <c r="RUM23" s="21"/>
      <c r="RUN23" s="21"/>
      <c r="RUO23" s="21"/>
      <c r="RUP23" s="21"/>
      <c r="RUQ23" s="21"/>
      <c r="RUR23" s="21"/>
      <c r="RUS23" s="21"/>
      <c r="RUT23" s="21"/>
      <c r="RUU23" s="21"/>
      <c r="RUV23" s="21"/>
      <c r="RUW23" s="21"/>
      <c r="RUX23" s="21"/>
      <c r="RUY23" s="21"/>
      <c r="RUZ23" s="21"/>
      <c r="RVA23" s="21"/>
      <c r="RVB23" s="21"/>
      <c r="RVC23" s="21"/>
      <c r="RVD23" s="21"/>
      <c r="RVE23" s="21"/>
      <c r="RVF23" s="21"/>
      <c r="RVG23" s="21"/>
      <c r="RVH23" s="21"/>
      <c r="RVI23" s="21"/>
      <c r="RVJ23" s="21"/>
      <c r="RVK23" s="21"/>
      <c r="RVL23" s="21"/>
      <c r="RVM23" s="21"/>
      <c r="RVN23" s="21"/>
      <c r="RVO23" s="21"/>
      <c r="RVP23" s="21"/>
      <c r="RVQ23" s="21"/>
      <c r="RVR23" s="21"/>
      <c r="RVS23" s="21"/>
      <c r="RVT23" s="21"/>
      <c r="RVU23" s="21"/>
      <c r="RVV23" s="21"/>
      <c r="RVW23" s="21"/>
      <c r="RVX23" s="21"/>
      <c r="RVY23" s="21"/>
      <c r="RVZ23" s="21"/>
      <c r="RWA23" s="21"/>
      <c r="RWB23" s="21"/>
      <c r="RWC23" s="21"/>
      <c r="RWD23" s="21"/>
      <c r="RWE23" s="21"/>
      <c r="RWF23" s="21"/>
      <c r="RWG23" s="21"/>
      <c r="RWH23" s="21"/>
      <c r="RWI23" s="21"/>
      <c r="RWJ23" s="21"/>
      <c r="RWK23" s="21"/>
      <c r="RWL23" s="21"/>
      <c r="RWM23" s="21"/>
      <c r="RWN23" s="21"/>
      <c r="RWO23" s="21"/>
      <c r="RWP23" s="21"/>
      <c r="RWQ23" s="21"/>
      <c r="RWR23" s="21"/>
      <c r="RWS23" s="21"/>
      <c r="RWT23" s="21"/>
      <c r="RWU23" s="21"/>
      <c r="RWV23" s="21"/>
      <c r="RWW23" s="21"/>
      <c r="RWX23" s="21"/>
      <c r="RWY23" s="21"/>
      <c r="RWZ23" s="21"/>
      <c r="RXA23" s="21"/>
      <c r="RXB23" s="21"/>
      <c r="RXC23" s="21"/>
      <c r="RXD23" s="21"/>
      <c r="RXE23" s="21"/>
      <c r="RXF23" s="21"/>
      <c r="RXG23" s="21"/>
      <c r="RXH23" s="21"/>
      <c r="RXI23" s="21"/>
      <c r="RXJ23" s="21"/>
      <c r="RXK23" s="21"/>
      <c r="RXL23" s="21"/>
      <c r="RXM23" s="21"/>
      <c r="RXN23" s="21"/>
      <c r="RXO23" s="21"/>
      <c r="RXP23" s="21"/>
      <c r="RXQ23" s="21"/>
      <c r="RXR23" s="21"/>
      <c r="RXS23" s="21"/>
      <c r="RXT23" s="21"/>
      <c r="RXU23" s="21"/>
      <c r="RXV23" s="21"/>
      <c r="RXW23" s="21"/>
      <c r="RXX23" s="21"/>
      <c r="RXY23" s="21"/>
      <c r="RXZ23" s="21"/>
      <c r="RYA23" s="21"/>
      <c r="RYB23" s="21"/>
      <c r="RYC23" s="21"/>
      <c r="RYD23" s="21"/>
      <c r="RYE23" s="21"/>
      <c r="RYF23" s="21"/>
      <c r="RYG23" s="21"/>
      <c r="RYH23" s="21"/>
      <c r="RYI23" s="21"/>
      <c r="RYJ23" s="21"/>
      <c r="RYK23" s="21"/>
      <c r="RYL23" s="21"/>
      <c r="RYM23" s="21"/>
      <c r="RYN23" s="21"/>
      <c r="RYO23" s="21"/>
      <c r="RYP23" s="21"/>
      <c r="RYQ23" s="21"/>
      <c r="RYR23" s="21"/>
      <c r="RYS23" s="21"/>
      <c r="RYT23" s="21"/>
      <c r="RYU23" s="21"/>
      <c r="RYV23" s="21"/>
      <c r="RYW23" s="21"/>
      <c r="RYX23" s="21"/>
      <c r="RYY23" s="21"/>
      <c r="RYZ23" s="21"/>
      <c r="RZA23" s="21"/>
      <c r="RZB23" s="21"/>
      <c r="RZC23" s="21"/>
      <c r="RZD23" s="21"/>
      <c r="RZE23" s="21"/>
      <c r="RZF23" s="21"/>
      <c r="RZG23" s="21"/>
      <c r="RZH23" s="21"/>
      <c r="RZI23" s="21"/>
      <c r="RZJ23" s="21"/>
      <c r="RZK23" s="21"/>
      <c r="RZL23" s="21"/>
      <c r="RZM23" s="21"/>
      <c r="RZN23" s="21"/>
      <c r="RZO23" s="21"/>
      <c r="RZP23" s="21"/>
      <c r="RZQ23" s="21"/>
      <c r="RZR23" s="21"/>
      <c r="RZS23" s="21"/>
      <c r="RZT23" s="21"/>
      <c r="RZU23" s="21"/>
      <c r="RZV23" s="21"/>
      <c r="RZW23" s="21"/>
      <c r="RZX23" s="21"/>
      <c r="RZY23" s="21"/>
      <c r="RZZ23" s="21"/>
      <c r="SAA23" s="21"/>
      <c r="SAB23" s="21"/>
      <c r="SAC23" s="21"/>
      <c r="SAD23" s="21"/>
      <c r="SAE23" s="21"/>
      <c r="SAF23" s="21"/>
      <c r="SAG23" s="21"/>
      <c r="SAH23" s="21"/>
      <c r="SAI23" s="21"/>
      <c r="SAJ23" s="21"/>
      <c r="SAK23" s="21"/>
      <c r="SAL23" s="21"/>
      <c r="SAM23" s="21"/>
      <c r="SAN23" s="21"/>
      <c r="SAO23" s="21"/>
      <c r="SAP23" s="21"/>
      <c r="SAQ23" s="21"/>
      <c r="SAR23" s="21"/>
      <c r="SAS23" s="21"/>
      <c r="SAT23" s="21"/>
      <c r="SAU23" s="21"/>
      <c r="SAV23" s="21"/>
      <c r="SAW23" s="21"/>
      <c r="SAX23" s="21"/>
      <c r="SAY23" s="21"/>
      <c r="SAZ23" s="21"/>
      <c r="SBA23" s="21"/>
      <c r="SBB23" s="21"/>
      <c r="SBC23" s="21"/>
      <c r="SBD23" s="21"/>
      <c r="SBE23" s="21"/>
      <c r="SBF23" s="21"/>
      <c r="SBG23" s="21"/>
      <c r="SBH23" s="21"/>
      <c r="SBI23" s="21"/>
      <c r="SBJ23" s="21"/>
      <c r="SBK23" s="21"/>
      <c r="SBL23" s="21"/>
      <c r="SBM23" s="21"/>
      <c r="SBN23" s="21"/>
      <c r="SBO23" s="21"/>
      <c r="SBP23" s="21"/>
      <c r="SBQ23" s="21"/>
      <c r="SBR23" s="21"/>
      <c r="SBS23" s="21"/>
      <c r="SBT23" s="21"/>
      <c r="SBU23" s="21"/>
      <c r="SBV23" s="21"/>
      <c r="SBW23" s="21"/>
      <c r="SBX23" s="21"/>
      <c r="SBY23" s="21"/>
      <c r="SBZ23" s="21"/>
      <c r="SCA23" s="21"/>
      <c r="SCB23" s="21"/>
      <c r="SCC23" s="21"/>
      <c r="SCD23" s="21"/>
      <c r="SCE23" s="21"/>
      <c r="SCF23" s="21"/>
      <c r="SCG23" s="21"/>
      <c r="SCH23" s="21"/>
      <c r="SCI23" s="21"/>
      <c r="SCJ23" s="21"/>
      <c r="SCK23" s="21"/>
      <c r="SCL23" s="21"/>
      <c r="SCM23" s="21"/>
      <c r="SCN23" s="21"/>
      <c r="SCO23" s="21"/>
      <c r="SCP23" s="21"/>
      <c r="SCQ23" s="21"/>
      <c r="SCR23" s="21"/>
      <c r="SCS23" s="21"/>
      <c r="SCT23" s="21"/>
      <c r="SCU23" s="21"/>
      <c r="SCV23" s="21"/>
      <c r="SCW23" s="21"/>
      <c r="SCX23" s="21"/>
      <c r="SCY23" s="21"/>
      <c r="SCZ23" s="21"/>
      <c r="SDA23" s="21"/>
      <c r="SDB23" s="21"/>
      <c r="SDC23" s="21"/>
      <c r="SDD23" s="21"/>
      <c r="SDE23" s="21"/>
      <c r="SDF23" s="21"/>
      <c r="SDG23" s="21"/>
      <c r="SDH23" s="21"/>
      <c r="SDI23" s="21"/>
      <c r="SDJ23" s="21"/>
      <c r="SDK23" s="21"/>
      <c r="SDL23" s="21"/>
      <c r="SDM23" s="21"/>
      <c r="SDN23" s="21"/>
      <c r="SDO23" s="21"/>
      <c r="SDP23" s="21"/>
      <c r="SDQ23" s="21"/>
      <c r="SDR23" s="21"/>
      <c r="SDS23" s="21"/>
      <c r="SDT23" s="21"/>
      <c r="SDU23" s="21"/>
      <c r="SDV23" s="21"/>
      <c r="SDW23" s="21"/>
      <c r="SDX23" s="21"/>
      <c r="SDY23" s="21"/>
      <c r="SDZ23" s="21"/>
      <c r="SEA23" s="21"/>
      <c r="SEB23" s="21"/>
      <c r="SEC23" s="21"/>
      <c r="SED23" s="21"/>
      <c r="SEE23" s="21"/>
      <c r="SEF23" s="21"/>
      <c r="SEG23" s="21"/>
      <c r="SEH23" s="21"/>
      <c r="SEI23" s="21"/>
      <c r="SEJ23" s="21"/>
      <c r="SEK23" s="21"/>
      <c r="SEL23" s="21"/>
      <c r="SEM23" s="21"/>
      <c r="SEN23" s="21"/>
      <c r="SEO23" s="21"/>
      <c r="SEP23" s="21"/>
      <c r="SEQ23" s="21"/>
      <c r="SER23" s="21"/>
      <c r="SES23" s="21"/>
      <c r="SET23" s="21"/>
      <c r="SEU23" s="21"/>
      <c r="SEV23" s="21"/>
      <c r="SEW23" s="21"/>
      <c r="SEX23" s="21"/>
      <c r="SEY23" s="21"/>
      <c r="SEZ23" s="21"/>
      <c r="SFA23" s="21"/>
      <c r="SFB23" s="21"/>
      <c r="SFC23" s="21"/>
      <c r="SFD23" s="21"/>
      <c r="SFE23" s="21"/>
      <c r="SFF23" s="21"/>
      <c r="SFG23" s="21"/>
      <c r="SFH23" s="21"/>
      <c r="SFI23" s="21"/>
      <c r="SFJ23" s="21"/>
      <c r="SFK23" s="21"/>
      <c r="SFL23" s="21"/>
      <c r="SFM23" s="21"/>
      <c r="SFN23" s="21"/>
      <c r="SFO23" s="21"/>
      <c r="SFP23" s="21"/>
      <c r="SFQ23" s="21"/>
      <c r="SFR23" s="21"/>
      <c r="SFS23" s="21"/>
      <c r="SFT23" s="21"/>
      <c r="SFU23" s="21"/>
      <c r="SFV23" s="21"/>
      <c r="SFW23" s="21"/>
      <c r="SFX23" s="21"/>
      <c r="SFY23" s="21"/>
      <c r="SFZ23" s="21"/>
      <c r="SGA23" s="21"/>
      <c r="SGB23" s="21"/>
      <c r="SGC23" s="21"/>
      <c r="SGD23" s="21"/>
      <c r="SGE23" s="21"/>
      <c r="SGF23" s="21"/>
      <c r="SGG23" s="21"/>
      <c r="SGH23" s="21"/>
      <c r="SGI23" s="21"/>
      <c r="SGJ23" s="21"/>
      <c r="SGK23" s="21"/>
      <c r="SGL23" s="21"/>
      <c r="SGM23" s="21"/>
      <c r="SGN23" s="21"/>
      <c r="SGO23" s="21"/>
      <c r="SGP23" s="21"/>
      <c r="SGQ23" s="21"/>
      <c r="SGR23" s="21"/>
      <c r="SGS23" s="21"/>
      <c r="SGT23" s="21"/>
      <c r="SGU23" s="21"/>
      <c r="SGV23" s="21"/>
      <c r="SGW23" s="21"/>
      <c r="SGX23" s="21"/>
      <c r="SGY23" s="21"/>
      <c r="SGZ23" s="21"/>
      <c r="SHA23" s="21"/>
      <c r="SHB23" s="21"/>
      <c r="SHC23" s="21"/>
      <c r="SHD23" s="21"/>
      <c r="SHE23" s="21"/>
      <c r="SHF23" s="21"/>
      <c r="SHG23" s="21"/>
      <c r="SHH23" s="21"/>
      <c r="SHI23" s="21"/>
      <c r="SHJ23" s="21"/>
      <c r="SHK23" s="21"/>
      <c r="SHL23" s="21"/>
      <c r="SHM23" s="21"/>
      <c r="SHN23" s="21"/>
      <c r="SHO23" s="21"/>
      <c r="SHP23" s="21"/>
      <c r="SHQ23" s="21"/>
      <c r="SHR23" s="21"/>
      <c r="SHS23" s="21"/>
      <c r="SHT23" s="21"/>
      <c r="SHU23" s="21"/>
      <c r="SHV23" s="21"/>
      <c r="SHW23" s="21"/>
      <c r="SHX23" s="21"/>
      <c r="SHY23" s="21"/>
      <c r="SHZ23" s="21"/>
      <c r="SIA23" s="21"/>
      <c r="SIB23" s="21"/>
      <c r="SIC23" s="21"/>
      <c r="SID23" s="21"/>
      <c r="SIE23" s="21"/>
      <c r="SIF23" s="21"/>
      <c r="SIG23" s="21"/>
      <c r="SIH23" s="21"/>
      <c r="SII23" s="21"/>
      <c r="SIJ23" s="21"/>
      <c r="SIK23" s="21"/>
      <c r="SIL23" s="21"/>
      <c r="SIM23" s="21"/>
      <c r="SIN23" s="21"/>
      <c r="SIO23" s="21"/>
      <c r="SIP23" s="21"/>
      <c r="SIQ23" s="21"/>
      <c r="SIR23" s="21"/>
      <c r="SIS23" s="21"/>
      <c r="SIT23" s="21"/>
      <c r="SIU23" s="21"/>
      <c r="SIV23" s="21"/>
      <c r="SIW23" s="21"/>
      <c r="SIX23" s="21"/>
      <c r="SIY23" s="21"/>
      <c r="SIZ23" s="21"/>
      <c r="SJA23" s="21"/>
      <c r="SJB23" s="21"/>
      <c r="SJC23" s="21"/>
      <c r="SJD23" s="21"/>
      <c r="SJE23" s="21"/>
      <c r="SJF23" s="21"/>
      <c r="SJG23" s="21"/>
      <c r="SJH23" s="21"/>
      <c r="SJI23" s="21"/>
      <c r="SJJ23" s="21"/>
      <c r="SJK23" s="21"/>
      <c r="SJL23" s="21"/>
      <c r="SJM23" s="21"/>
      <c r="SJN23" s="21"/>
      <c r="SJO23" s="21"/>
      <c r="SJP23" s="21"/>
      <c r="SJQ23" s="21"/>
      <c r="SJR23" s="21"/>
      <c r="SJS23" s="21"/>
      <c r="SJT23" s="21"/>
      <c r="SJU23" s="21"/>
      <c r="SJV23" s="21"/>
      <c r="SJW23" s="21"/>
      <c r="SJX23" s="21"/>
      <c r="SJY23" s="21"/>
      <c r="SJZ23" s="21"/>
      <c r="SKA23" s="21"/>
      <c r="SKB23" s="21"/>
      <c r="SKC23" s="21"/>
      <c r="SKD23" s="21"/>
      <c r="SKE23" s="21"/>
      <c r="SKF23" s="21"/>
      <c r="SKG23" s="21"/>
      <c r="SKH23" s="21"/>
      <c r="SKI23" s="21"/>
      <c r="SKJ23" s="21"/>
      <c r="SKK23" s="21"/>
      <c r="SKL23" s="21"/>
      <c r="SKM23" s="21"/>
      <c r="SKN23" s="21"/>
      <c r="SKO23" s="21"/>
      <c r="SKP23" s="21"/>
      <c r="SKQ23" s="21"/>
      <c r="SKR23" s="21"/>
      <c r="SKS23" s="21"/>
      <c r="SKT23" s="21"/>
      <c r="SKU23" s="21"/>
      <c r="SKV23" s="21"/>
      <c r="SKW23" s="21"/>
      <c r="SKX23" s="21"/>
      <c r="SKY23" s="21"/>
      <c r="SKZ23" s="21"/>
      <c r="SLA23" s="21"/>
      <c r="SLB23" s="21"/>
      <c r="SLC23" s="21"/>
      <c r="SLD23" s="21"/>
      <c r="SLE23" s="21"/>
      <c r="SLF23" s="21"/>
      <c r="SLG23" s="21"/>
      <c r="SLH23" s="21"/>
      <c r="SLI23" s="21"/>
      <c r="SLJ23" s="21"/>
      <c r="SLK23" s="21"/>
      <c r="SLL23" s="21"/>
      <c r="SLM23" s="21"/>
      <c r="SLN23" s="21"/>
      <c r="SLO23" s="21"/>
      <c r="SLP23" s="21"/>
      <c r="SLQ23" s="21"/>
      <c r="SLR23" s="21"/>
      <c r="SLS23" s="21"/>
      <c r="SLT23" s="21"/>
      <c r="SLU23" s="21"/>
      <c r="SLV23" s="21"/>
      <c r="SLW23" s="21"/>
      <c r="SLX23" s="21"/>
      <c r="SLY23" s="21"/>
      <c r="SLZ23" s="21"/>
      <c r="SMA23" s="21"/>
      <c r="SMB23" s="21"/>
      <c r="SMC23" s="21"/>
      <c r="SMD23" s="21"/>
      <c r="SME23" s="21"/>
      <c r="SMF23" s="21"/>
      <c r="SMG23" s="21"/>
      <c r="SMH23" s="21"/>
      <c r="SMI23" s="21"/>
      <c r="SMJ23" s="21"/>
      <c r="SMK23" s="21"/>
      <c r="SML23" s="21"/>
      <c r="SMM23" s="21"/>
      <c r="SMN23" s="21"/>
      <c r="SMO23" s="21"/>
      <c r="SMP23" s="21"/>
      <c r="SMQ23" s="21"/>
      <c r="SMR23" s="21"/>
      <c r="SMS23" s="21"/>
      <c r="SMT23" s="21"/>
      <c r="SMU23" s="21"/>
      <c r="SMV23" s="21"/>
      <c r="SMW23" s="21"/>
      <c r="SMX23" s="21"/>
      <c r="SMY23" s="21"/>
      <c r="SMZ23" s="21"/>
      <c r="SNA23" s="21"/>
      <c r="SNB23" s="21"/>
      <c r="SNC23" s="21"/>
      <c r="SND23" s="21"/>
      <c r="SNE23" s="21"/>
      <c r="SNF23" s="21"/>
      <c r="SNG23" s="21"/>
      <c r="SNH23" s="21"/>
      <c r="SNI23" s="21"/>
      <c r="SNJ23" s="21"/>
      <c r="SNK23" s="21"/>
      <c r="SNL23" s="21"/>
      <c r="SNM23" s="21"/>
      <c r="SNN23" s="21"/>
      <c r="SNO23" s="21"/>
      <c r="SNP23" s="21"/>
      <c r="SNQ23" s="21"/>
      <c r="SNR23" s="21"/>
      <c r="SNS23" s="21"/>
      <c r="SNT23" s="21"/>
      <c r="SNU23" s="21"/>
      <c r="SNV23" s="21"/>
      <c r="SNW23" s="21"/>
      <c r="SNX23" s="21"/>
      <c r="SNY23" s="21"/>
      <c r="SNZ23" s="21"/>
      <c r="SOA23" s="21"/>
      <c r="SOB23" s="21"/>
      <c r="SOC23" s="21"/>
      <c r="SOD23" s="21"/>
      <c r="SOE23" s="21"/>
      <c r="SOF23" s="21"/>
      <c r="SOG23" s="21"/>
      <c r="SOH23" s="21"/>
      <c r="SOI23" s="21"/>
      <c r="SOJ23" s="21"/>
      <c r="SOK23" s="21"/>
      <c r="SOL23" s="21"/>
      <c r="SOM23" s="21"/>
      <c r="SON23" s="21"/>
      <c r="SOO23" s="21"/>
      <c r="SOP23" s="21"/>
      <c r="SOQ23" s="21"/>
      <c r="SOR23" s="21"/>
      <c r="SOS23" s="21"/>
      <c r="SOT23" s="21"/>
      <c r="SOU23" s="21"/>
      <c r="SOV23" s="21"/>
      <c r="SOW23" s="21"/>
      <c r="SOX23" s="21"/>
      <c r="SOY23" s="21"/>
      <c r="SOZ23" s="21"/>
      <c r="SPA23" s="21"/>
      <c r="SPB23" s="21"/>
      <c r="SPC23" s="21"/>
      <c r="SPD23" s="21"/>
      <c r="SPE23" s="21"/>
      <c r="SPF23" s="21"/>
      <c r="SPG23" s="21"/>
      <c r="SPH23" s="21"/>
      <c r="SPI23" s="21"/>
      <c r="SPJ23" s="21"/>
      <c r="SPK23" s="21"/>
      <c r="SPL23" s="21"/>
      <c r="SPM23" s="21"/>
      <c r="SPN23" s="21"/>
      <c r="SPO23" s="21"/>
      <c r="SPP23" s="21"/>
      <c r="SPQ23" s="21"/>
      <c r="SPR23" s="21"/>
      <c r="SPS23" s="21"/>
      <c r="SPT23" s="21"/>
      <c r="SPU23" s="21"/>
      <c r="SPV23" s="21"/>
      <c r="SPW23" s="21"/>
      <c r="SPX23" s="21"/>
      <c r="SPY23" s="21"/>
      <c r="SPZ23" s="21"/>
      <c r="SQA23" s="21"/>
      <c r="SQB23" s="21"/>
      <c r="SQC23" s="21"/>
      <c r="SQD23" s="21"/>
      <c r="SQE23" s="21"/>
      <c r="SQF23" s="21"/>
      <c r="SQG23" s="21"/>
      <c r="SQH23" s="21"/>
      <c r="SQI23" s="21"/>
      <c r="SQJ23" s="21"/>
      <c r="SQK23" s="21"/>
      <c r="SQL23" s="21"/>
      <c r="SQM23" s="21"/>
      <c r="SQN23" s="21"/>
      <c r="SQO23" s="21"/>
      <c r="SQP23" s="21"/>
      <c r="SQQ23" s="21"/>
      <c r="SQR23" s="21"/>
      <c r="SQS23" s="21"/>
      <c r="SQT23" s="21"/>
      <c r="SQU23" s="21"/>
      <c r="SQV23" s="21"/>
      <c r="SQW23" s="21"/>
      <c r="SQX23" s="21"/>
      <c r="SQY23" s="21"/>
      <c r="SQZ23" s="21"/>
      <c r="SRA23" s="21"/>
      <c r="SRB23" s="21"/>
      <c r="SRC23" s="21"/>
      <c r="SRD23" s="21"/>
      <c r="SRE23" s="21"/>
      <c r="SRF23" s="21"/>
      <c r="SRG23" s="21"/>
      <c r="SRH23" s="21"/>
      <c r="SRI23" s="21"/>
      <c r="SRJ23" s="21"/>
      <c r="SRK23" s="21"/>
      <c r="SRL23" s="21"/>
      <c r="SRM23" s="21"/>
      <c r="SRN23" s="21"/>
      <c r="SRO23" s="21"/>
      <c r="SRP23" s="21"/>
      <c r="SRQ23" s="21"/>
      <c r="SRR23" s="21"/>
      <c r="SRS23" s="21"/>
      <c r="SRT23" s="21"/>
      <c r="SRU23" s="21"/>
      <c r="SRV23" s="21"/>
      <c r="SRW23" s="21"/>
      <c r="SRX23" s="21"/>
      <c r="SRY23" s="21"/>
      <c r="SRZ23" s="21"/>
      <c r="SSA23" s="21"/>
      <c r="SSB23" s="21"/>
      <c r="SSC23" s="21"/>
      <c r="SSD23" s="21"/>
      <c r="SSE23" s="21"/>
      <c r="SSF23" s="21"/>
      <c r="SSG23" s="21"/>
      <c r="SSH23" s="21"/>
      <c r="SSI23" s="21"/>
      <c r="SSJ23" s="21"/>
      <c r="SSK23" s="21"/>
      <c r="SSL23" s="21"/>
      <c r="SSM23" s="21"/>
      <c r="SSN23" s="21"/>
      <c r="SSO23" s="21"/>
      <c r="SSP23" s="21"/>
      <c r="SSQ23" s="21"/>
      <c r="SSR23" s="21"/>
      <c r="SSS23" s="21"/>
      <c r="SST23" s="21"/>
      <c r="SSU23" s="21"/>
      <c r="SSV23" s="21"/>
      <c r="SSW23" s="21"/>
      <c r="SSX23" s="21"/>
      <c r="SSY23" s="21"/>
      <c r="SSZ23" s="21"/>
      <c r="STA23" s="21"/>
      <c r="STB23" s="21"/>
      <c r="STC23" s="21"/>
      <c r="STD23" s="21"/>
      <c r="STE23" s="21"/>
      <c r="STF23" s="21"/>
      <c r="STG23" s="21"/>
      <c r="STH23" s="21"/>
      <c r="STI23" s="21"/>
      <c r="STJ23" s="21"/>
      <c r="STK23" s="21"/>
      <c r="STL23" s="21"/>
      <c r="STM23" s="21"/>
      <c r="STN23" s="21"/>
      <c r="STO23" s="21"/>
      <c r="STP23" s="21"/>
      <c r="STQ23" s="21"/>
      <c r="STR23" s="21"/>
      <c r="STS23" s="21"/>
      <c r="STT23" s="21"/>
      <c r="STU23" s="21"/>
      <c r="STV23" s="21"/>
      <c r="STW23" s="21"/>
      <c r="STX23" s="21"/>
      <c r="STY23" s="21"/>
      <c r="STZ23" s="21"/>
      <c r="SUA23" s="21"/>
      <c r="SUB23" s="21"/>
      <c r="SUC23" s="21"/>
      <c r="SUD23" s="21"/>
      <c r="SUE23" s="21"/>
      <c r="SUF23" s="21"/>
      <c r="SUG23" s="21"/>
      <c r="SUH23" s="21"/>
      <c r="SUI23" s="21"/>
      <c r="SUJ23" s="21"/>
      <c r="SUK23" s="21"/>
      <c r="SUL23" s="21"/>
      <c r="SUM23" s="21"/>
      <c r="SUN23" s="21"/>
      <c r="SUO23" s="21"/>
      <c r="SUP23" s="21"/>
      <c r="SUQ23" s="21"/>
      <c r="SUR23" s="21"/>
      <c r="SUS23" s="21"/>
      <c r="SUT23" s="21"/>
      <c r="SUU23" s="21"/>
      <c r="SUV23" s="21"/>
      <c r="SUW23" s="21"/>
      <c r="SUX23" s="21"/>
      <c r="SUY23" s="21"/>
      <c r="SUZ23" s="21"/>
      <c r="SVA23" s="21"/>
      <c r="SVB23" s="21"/>
      <c r="SVC23" s="21"/>
      <c r="SVD23" s="21"/>
      <c r="SVE23" s="21"/>
      <c r="SVF23" s="21"/>
      <c r="SVG23" s="21"/>
      <c r="SVH23" s="21"/>
      <c r="SVI23" s="21"/>
      <c r="SVJ23" s="21"/>
      <c r="SVK23" s="21"/>
      <c r="SVL23" s="21"/>
      <c r="SVM23" s="21"/>
      <c r="SVN23" s="21"/>
      <c r="SVO23" s="21"/>
      <c r="SVP23" s="21"/>
      <c r="SVQ23" s="21"/>
      <c r="SVR23" s="21"/>
      <c r="SVS23" s="21"/>
      <c r="SVT23" s="21"/>
      <c r="SVU23" s="21"/>
      <c r="SVV23" s="21"/>
      <c r="SVW23" s="21"/>
      <c r="SVX23" s="21"/>
      <c r="SVY23" s="21"/>
      <c r="SVZ23" s="21"/>
      <c r="SWA23" s="21"/>
      <c r="SWB23" s="21"/>
      <c r="SWC23" s="21"/>
      <c r="SWD23" s="21"/>
      <c r="SWE23" s="21"/>
      <c r="SWF23" s="21"/>
      <c r="SWG23" s="21"/>
      <c r="SWH23" s="21"/>
      <c r="SWI23" s="21"/>
      <c r="SWJ23" s="21"/>
      <c r="SWK23" s="21"/>
      <c r="SWL23" s="21"/>
      <c r="SWM23" s="21"/>
      <c r="SWN23" s="21"/>
      <c r="SWO23" s="21"/>
      <c r="SWP23" s="21"/>
      <c r="SWQ23" s="21"/>
      <c r="SWR23" s="21"/>
      <c r="SWS23" s="21"/>
      <c r="SWT23" s="21"/>
      <c r="SWU23" s="21"/>
      <c r="SWV23" s="21"/>
      <c r="SWW23" s="21"/>
      <c r="SWX23" s="21"/>
      <c r="SWY23" s="21"/>
      <c r="SWZ23" s="21"/>
      <c r="SXA23" s="21"/>
      <c r="SXB23" s="21"/>
      <c r="SXC23" s="21"/>
      <c r="SXD23" s="21"/>
      <c r="SXE23" s="21"/>
      <c r="SXF23" s="21"/>
      <c r="SXG23" s="21"/>
      <c r="SXH23" s="21"/>
      <c r="SXI23" s="21"/>
      <c r="SXJ23" s="21"/>
      <c r="SXK23" s="21"/>
      <c r="SXL23" s="21"/>
      <c r="SXM23" s="21"/>
      <c r="SXN23" s="21"/>
      <c r="SXO23" s="21"/>
      <c r="SXP23" s="21"/>
      <c r="SXQ23" s="21"/>
      <c r="SXR23" s="21"/>
      <c r="SXS23" s="21"/>
      <c r="SXT23" s="21"/>
      <c r="SXU23" s="21"/>
      <c r="SXV23" s="21"/>
      <c r="SXW23" s="21"/>
      <c r="SXX23" s="21"/>
      <c r="SXY23" s="21"/>
      <c r="SXZ23" s="21"/>
      <c r="SYA23" s="21"/>
      <c r="SYB23" s="21"/>
      <c r="SYC23" s="21"/>
      <c r="SYD23" s="21"/>
      <c r="SYE23" s="21"/>
      <c r="SYF23" s="21"/>
      <c r="SYG23" s="21"/>
      <c r="SYH23" s="21"/>
      <c r="SYI23" s="21"/>
      <c r="SYJ23" s="21"/>
      <c r="SYK23" s="21"/>
      <c r="SYL23" s="21"/>
      <c r="SYM23" s="21"/>
      <c r="SYN23" s="21"/>
      <c r="SYO23" s="21"/>
      <c r="SYP23" s="21"/>
      <c r="SYQ23" s="21"/>
      <c r="SYR23" s="21"/>
      <c r="SYS23" s="21"/>
      <c r="SYT23" s="21"/>
      <c r="SYU23" s="21"/>
      <c r="SYV23" s="21"/>
      <c r="SYW23" s="21"/>
      <c r="SYX23" s="21"/>
      <c r="SYY23" s="21"/>
      <c r="SYZ23" s="21"/>
      <c r="SZA23" s="21"/>
      <c r="SZB23" s="21"/>
      <c r="SZC23" s="21"/>
      <c r="SZD23" s="21"/>
      <c r="SZE23" s="21"/>
      <c r="SZF23" s="21"/>
      <c r="SZG23" s="21"/>
      <c r="SZH23" s="21"/>
      <c r="SZI23" s="21"/>
      <c r="SZJ23" s="21"/>
      <c r="SZK23" s="21"/>
      <c r="SZL23" s="21"/>
      <c r="SZM23" s="21"/>
      <c r="SZN23" s="21"/>
      <c r="SZO23" s="21"/>
      <c r="SZP23" s="21"/>
      <c r="SZQ23" s="21"/>
      <c r="SZR23" s="21"/>
      <c r="SZS23" s="21"/>
      <c r="SZT23" s="21"/>
      <c r="SZU23" s="21"/>
      <c r="SZV23" s="21"/>
      <c r="SZW23" s="21"/>
      <c r="SZX23" s="21"/>
      <c r="SZY23" s="21"/>
      <c r="SZZ23" s="21"/>
      <c r="TAA23" s="21"/>
      <c r="TAB23" s="21"/>
      <c r="TAC23" s="21"/>
      <c r="TAD23" s="21"/>
      <c r="TAE23" s="21"/>
      <c r="TAF23" s="21"/>
      <c r="TAG23" s="21"/>
      <c r="TAH23" s="21"/>
      <c r="TAI23" s="21"/>
      <c r="TAJ23" s="21"/>
      <c r="TAK23" s="21"/>
      <c r="TAL23" s="21"/>
      <c r="TAM23" s="21"/>
      <c r="TAN23" s="21"/>
      <c r="TAO23" s="21"/>
      <c r="TAP23" s="21"/>
      <c r="TAQ23" s="21"/>
      <c r="TAR23" s="21"/>
      <c r="TAS23" s="21"/>
      <c r="TAT23" s="21"/>
      <c r="TAU23" s="21"/>
      <c r="TAV23" s="21"/>
      <c r="TAW23" s="21"/>
      <c r="TAX23" s="21"/>
      <c r="TAY23" s="21"/>
      <c r="TAZ23" s="21"/>
      <c r="TBA23" s="21"/>
      <c r="TBB23" s="21"/>
      <c r="TBC23" s="21"/>
      <c r="TBD23" s="21"/>
      <c r="TBE23" s="21"/>
      <c r="TBF23" s="21"/>
      <c r="TBG23" s="21"/>
      <c r="TBH23" s="21"/>
      <c r="TBI23" s="21"/>
      <c r="TBJ23" s="21"/>
      <c r="TBK23" s="21"/>
      <c r="TBL23" s="21"/>
      <c r="TBM23" s="21"/>
      <c r="TBN23" s="21"/>
      <c r="TBO23" s="21"/>
      <c r="TBP23" s="21"/>
      <c r="TBQ23" s="21"/>
      <c r="TBR23" s="21"/>
      <c r="TBS23" s="21"/>
      <c r="TBT23" s="21"/>
      <c r="TBU23" s="21"/>
      <c r="TBV23" s="21"/>
      <c r="TBW23" s="21"/>
      <c r="TBX23" s="21"/>
      <c r="TBY23" s="21"/>
      <c r="TBZ23" s="21"/>
      <c r="TCA23" s="21"/>
      <c r="TCB23" s="21"/>
      <c r="TCC23" s="21"/>
      <c r="TCD23" s="21"/>
      <c r="TCE23" s="21"/>
      <c r="TCF23" s="21"/>
      <c r="TCG23" s="21"/>
      <c r="TCH23" s="21"/>
      <c r="TCI23" s="21"/>
      <c r="TCJ23" s="21"/>
      <c r="TCK23" s="21"/>
      <c r="TCL23" s="21"/>
      <c r="TCM23" s="21"/>
      <c r="TCN23" s="21"/>
      <c r="TCO23" s="21"/>
      <c r="TCP23" s="21"/>
      <c r="TCQ23" s="21"/>
      <c r="TCR23" s="21"/>
      <c r="TCS23" s="21"/>
      <c r="TCT23" s="21"/>
      <c r="TCU23" s="21"/>
      <c r="TCV23" s="21"/>
      <c r="TCW23" s="21"/>
      <c r="TCX23" s="21"/>
      <c r="TCY23" s="21"/>
      <c r="TCZ23" s="21"/>
      <c r="TDA23" s="21"/>
      <c r="TDB23" s="21"/>
      <c r="TDC23" s="21"/>
      <c r="TDD23" s="21"/>
      <c r="TDE23" s="21"/>
      <c r="TDF23" s="21"/>
      <c r="TDG23" s="21"/>
      <c r="TDH23" s="21"/>
      <c r="TDI23" s="21"/>
      <c r="TDJ23" s="21"/>
      <c r="TDK23" s="21"/>
      <c r="TDL23" s="21"/>
      <c r="TDM23" s="21"/>
      <c r="TDN23" s="21"/>
      <c r="TDO23" s="21"/>
      <c r="TDP23" s="21"/>
      <c r="TDQ23" s="21"/>
      <c r="TDR23" s="21"/>
      <c r="TDS23" s="21"/>
      <c r="TDT23" s="21"/>
      <c r="TDU23" s="21"/>
      <c r="TDV23" s="21"/>
      <c r="TDW23" s="21"/>
      <c r="TDX23" s="21"/>
      <c r="TDY23" s="21"/>
      <c r="TDZ23" s="21"/>
      <c r="TEA23" s="21"/>
      <c r="TEB23" s="21"/>
      <c r="TEC23" s="21"/>
      <c r="TED23" s="21"/>
      <c r="TEE23" s="21"/>
      <c r="TEF23" s="21"/>
      <c r="TEG23" s="21"/>
      <c r="TEH23" s="21"/>
      <c r="TEI23" s="21"/>
      <c r="TEJ23" s="21"/>
      <c r="TEK23" s="21"/>
      <c r="TEL23" s="21"/>
      <c r="TEM23" s="21"/>
      <c r="TEN23" s="21"/>
      <c r="TEO23" s="21"/>
      <c r="TEP23" s="21"/>
      <c r="TEQ23" s="21"/>
      <c r="TER23" s="21"/>
      <c r="TES23" s="21"/>
      <c r="TET23" s="21"/>
      <c r="TEU23" s="21"/>
      <c r="TEV23" s="21"/>
      <c r="TEW23" s="21"/>
      <c r="TEX23" s="21"/>
      <c r="TEY23" s="21"/>
      <c r="TEZ23" s="21"/>
      <c r="TFA23" s="21"/>
      <c r="TFB23" s="21"/>
      <c r="TFC23" s="21"/>
      <c r="TFD23" s="21"/>
      <c r="TFE23" s="21"/>
      <c r="TFF23" s="21"/>
      <c r="TFG23" s="21"/>
      <c r="TFH23" s="21"/>
      <c r="TFI23" s="21"/>
      <c r="TFJ23" s="21"/>
      <c r="TFK23" s="21"/>
      <c r="TFL23" s="21"/>
      <c r="TFM23" s="21"/>
      <c r="TFN23" s="21"/>
      <c r="TFO23" s="21"/>
      <c r="TFP23" s="21"/>
      <c r="TFQ23" s="21"/>
      <c r="TFR23" s="21"/>
      <c r="TFS23" s="21"/>
      <c r="TFT23" s="21"/>
      <c r="TFU23" s="21"/>
      <c r="TFV23" s="21"/>
      <c r="TFW23" s="21"/>
      <c r="TFX23" s="21"/>
      <c r="TFY23" s="21"/>
      <c r="TFZ23" s="21"/>
      <c r="TGA23" s="21"/>
      <c r="TGB23" s="21"/>
      <c r="TGC23" s="21"/>
      <c r="TGD23" s="21"/>
      <c r="TGE23" s="21"/>
      <c r="TGF23" s="21"/>
      <c r="TGG23" s="21"/>
      <c r="TGH23" s="21"/>
      <c r="TGI23" s="21"/>
      <c r="TGJ23" s="21"/>
      <c r="TGK23" s="21"/>
      <c r="TGL23" s="21"/>
      <c r="TGM23" s="21"/>
      <c r="TGN23" s="21"/>
      <c r="TGO23" s="21"/>
      <c r="TGP23" s="21"/>
      <c r="TGQ23" s="21"/>
      <c r="TGR23" s="21"/>
      <c r="TGS23" s="21"/>
      <c r="TGT23" s="21"/>
      <c r="TGU23" s="21"/>
      <c r="TGV23" s="21"/>
      <c r="TGW23" s="21"/>
      <c r="TGX23" s="21"/>
      <c r="TGY23" s="21"/>
      <c r="TGZ23" s="21"/>
      <c r="THA23" s="21"/>
      <c r="THB23" s="21"/>
      <c r="THC23" s="21"/>
      <c r="THD23" s="21"/>
      <c r="THE23" s="21"/>
      <c r="THF23" s="21"/>
      <c r="THG23" s="21"/>
      <c r="THH23" s="21"/>
      <c r="THI23" s="21"/>
      <c r="THJ23" s="21"/>
      <c r="THK23" s="21"/>
      <c r="THL23" s="21"/>
      <c r="THM23" s="21"/>
      <c r="THN23" s="21"/>
      <c r="THO23" s="21"/>
      <c r="THP23" s="21"/>
      <c r="THQ23" s="21"/>
      <c r="THR23" s="21"/>
      <c r="THS23" s="21"/>
      <c r="THT23" s="21"/>
      <c r="THU23" s="21"/>
      <c r="THV23" s="21"/>
      <c r="THW23" s="21"/>
      <c r="THX23" s="21"/>
      <c r="THY23" s="21"/>
      <c r="THZ23" s="21"/>
      <c r="TIA23" s="21"/>
      <c r="TIB23" s="21"/>
      <c r="TIC23" s="21"/>
      <c r="TID23" s="21"/>
      <c r="TIE23" s="21"/>
      <c r="TIF23" s="21"/>
      <c r="TIG23" s="21"/>
      <c r="TIH23" s="21"/>
      <c r="TII23" s="21"/>
      <c r="TIJ23" s="21"/>
      <c r="TIK23" s="21"/>
      <c r="TIL23" s="21"/>
      <c r="TIM23" s="21"/>
      <c r="TIN23" s="21"/>
      <c r="TIO23" s="21"/>
      <c r="TIP23" s="21"/>
      <c r="TIQ23" s="21"/>
      <c r="TIR23" s="21"/>
      <c r="TIS23" s="21"/>
      <c r="TIT23" s="21"/>
      <c r="TIU23" s="21"/>
      <c r="TIV23" s="21"/>
      <c r="TIW23" s="21"/>
      <c r="TIX23" s="21"/>
      <c r="TIY23" s="21"/>
      <c r="TIZ23" s="21"/>
      <c r="TJA23" s="21"/>
      <c r="TJB23" s="21"/>
      <c r="TJC23" s="21"/>
      <c r="TJD23" s="21"/>
      <c r="TJE23" s="21"/>
      <c r="TJF23" s="21"/>
      <c r="TJG23" s="21"/>
      <c r="TJH23" s="21"/>
      <c r="TJI23" s="21"/>
      <c r="TJJ23" s="21"/>
      <c r="TJK23" s="21"/>
      <c r="TJL23" s="21"/>
      <c r="TJM23" s="21"/>
      <c r="TJN23" s="21"/>
      <c r="TJO23" s="21"/>
      <c r="TJP23" s="21"/>
      <c r="TJQ23" s="21"/>
      <c r="TJR23" s="21"/>
      <c r="TJS23" s="21"/>
      <c r="TJT23" s="21"/>
      <c r="TJU23" s="21"/>
      <c r="TJV23" s="21"/>
      <c r="TJW23" s="21"/>
      <c r="TJX23" s="21"/>
      <c r="TJY23" s="21"/>
      <c r="TJZ23" s="21"/>
      <c r="TKA23" s="21"/>
      <c r="TKB23" s="21"/>
      <c r="TKC23" s="21"/>
      <c r="TKD23" s="21"/>
      <c r="TKE23" s="21"/>
      <c r="TKF23" s="21"/>
      <c r="TKG23" s="21"/>
      <c r="TKH23" s="21"/>
      <c r="TKI23" s="21"/>
      <c r="TKJ23" s="21"/>
      <c r="TKK23" s="21"/>
      <c r="TKL23" s="21"/>
      <c r="TKM23" s="21"/>
      <c r="TKN23" s="21"/>
      <c r="TKO23" s="21"/>
      <c r="TKP23" s="21"/>
      <c r="TKQ23" s="21"/>
      <c r="TKR23" s="21"/>
      <c r="TKS23" s="21"/>
      <c r="TKT23" s="21"/>
      <c r="TKU23" s="21"/>
      <c r="TKV23" s="21"/>
      <c r="TKW23" s="21"/>
      <c r="TKX23" s="21"/>
      <c r="TKY23" s="21"/>
      <c r="TKZ23" s="21"/>
      <c r="TLA23" s="21"/>
      <c r="TLB23" s="21"/>
      <c r="TLC23" s="21"/>
      <c r="TLD23" s="21"/>
      <c r="TLE23" s="21"/>
      <c r="TLF23" s="21"/>
      <c r="TLG23" s="21"/>
      <c r="TLH23" s="21"/>
      <c r="TLI23" s="21"/>
      <c r="TLJ23" s="21"/>
      <c r="TLK23" s="21"/>
      <c r="TLL23" s="21"/>
      <c r="TLM23" s="21"/>
      <c r="TLN23" s="21"/>
      <c r="TLO23" s="21"/>
      <c r="TLP23" s="21"/>
      <c r="TLQ23" s="21"/>
      <c r="TLR23" s="21"/>
      <c r="TLS23" s="21"/>
      <c r="TLT23" s="21"/>
      <c r="TLU23" s="21"/>
      <c r="TLV23" s="21"/>
      <c r="TLW23" s="21"/>
      <c r="TLX23" s="21"/>
      <c r="TLY23" s="21"/>
      <c r="TLZ23" s="21"/>
      <c r="TMA23" s="21"/>
      <c r="TMB23" s="21"/>
      <c r="TMC23" s="21"/>
      <c r="TMD23" s="21"/>
      <c r="TME23" s="21"/>
      <c r="TMF23" s="21"/>
      <c r="TMG23" s="21"/>
      <c r="TMH23" s="21"/>
      <c r="TMI23" s="21"/>
      <c r="TMJ23" s="21"/>
      <c r="TMK23" s="21"/>
      <c r="TML23" s="21"/>
      <c r="TMM23" s="21"/>
      <c r="TMN23" s="21"/>
      <c r="TMO23" s="21"/>
      <c r="TMP23" s="21"/>
      <c r="TMQ23" s="21"/>
      <c r="TMR23" s="21"/>
      <c r="TMS23" s="21"/>
      <c r="TMT23" s="21"/>
      <c r="TMU23" s="21"/>
      <c r="TMV23" s="21"/>
      <c r="TMW23" s="21"/>
      <c r="TMX23" s="21"/>
      <c r="TMY23" s="21"/>
      <c r="TMZ23" s="21"/>
      <c r="TNA23" s="21"/>
      <c r="TNB23" s="21"/>
      <c r="TNC23" s="21"/>
      <c r="TND23" s="21"/>
      <c r="TNE23" s="21"/>
      <c r="TNF23" s="21"/>
      <c r="TNG23" s="21"/>
      <c r="TNH23" s="21"/>
      <c r="TNI23" s="21"/>
      <c r="TNJ23" s="21"/>
      <c r="TNK23" s="21"/>
      <c r="TNL23" s="21"/>
      <c r="TNM23" s="21"/>
      <c r="TNN23" s="21"/>
      <c r="TNO23" s="21"/>
      <c r="TNP23" s="21"/>
      <c r="TNQ23" s="21"/>
      <c r="TNR23" s="21"/>
      <c r="TNS23" s="21"/>
      <c r="TNT23" s="21"/>
      <c r="TNU23" s="21"/>
      <c r="TNV23" s="21"/>
      <c r="TNW23" s="21"/>
      <c r="TNX23" s="21"/>
      <c r="TNY23" s="21"/>
      <c r="TNZ23" s="21"/>
      <c r="TOA23" s="21"/>
      <c r="TOB23" s="21"/>
      <c r="TOC23" s="21"/>
      <c r="TOD23" s="21"/>
      <c r="TOE23" s="21"/>
      <c r="TOF23" s="21"/>
      <c r="TOG23" s="21"/>
      <c r="TOH23" s="21"/>
      <c r="TOI23" s="21"/>
      <c r="TOJ23" s="21"/>
      <c r="TOK23" s="21"/>
      <c r="TOL23" s="21"/>
      <c r="TOM23" s="21"/>
      <c r="TON23" s="21"/>
      <c r="TOO23" s="21"/>
      <c r="TOP23" s="21"/>
      <c r="TOQ23" s="21"/>
      <c r="TOR23" s="21"/>
      <c r="TOS23" s="21"/>
      <c r="TOT23" s="21"/>
      <c r="TOU23" s="21"/>
      <c r="TOV23" s="21"/>
      <c r="TOW23" s="21"/>
      <c r="TOX23" s="21"/>
      <c r="TOY23" s="21"/>
      <c r="TOZ23" s="21"/>
      <c r="TPA23" s="21"/>
      <c r="TPB23" s="21"/>
      <c r="TPC23" s="21"/>
      <c r="TPD23" s="21"/>
      <c r="TPE23" s="21"/>
      <c r="TPF23" s="21"/>
      <c r="TPG23" s="21"/>
      <c r="TPH23" s="21"/>
      <c r="TPI23" s="21"/>
      <c r="TPJ23" s="21"/>
      <c r="TPK23" s="21"/>
      <c r="TPL23" s="21"/>
      <c r="TPM23" s="21"/>
      <c r="TPN23" s="21"/>
      <c r="TPO23" s="21"/>
      <c r="TPP23" s="21"/>
      <c r="TPQ23" s="21"/>
      <c r="TPR23" s="21"/>
      <c r="TPS23" s="21"/>
      <c r="TPT23" s="21"/>
      <c r="TPU23" s="21"/>
      <c r="TPV23" s="21"/>
      <c r="TPW23" s="21"/>
      <c r="TPX23" s="21"/>
      <c r="TPY23" s="21"/>
      <c r="TPZ23" s="21"/>
      <c r="TQA23" s="21"/>
      <c r="TQB23" s="21"/>
      <c r="TQC23" s="21"/>
      <c r="TQD23" s="21"/>
      <c r="TQE23" s="21"/>
      <c r="TQF23" s="21"/>
      <c r="TQG23" s="21"/>
      <c r="TQH23" s="21"/>
      <c r="TQI23" s="21"/>
      <c r="TQJ23" s="21"/>
      <c r="TQK23" s="21"/>
      <c r="TQL23" s="21"/>
      <c r="TQM23" s="21"/>
      <c r="TQN23" s="21"/>
      <c r="TQO23" s="21"/>
      <c r="TQP23" s="21"/>
      <c r="TQQ23" s="21"/>
      <c r="TQR23" s="21"/>
      <c r="TQS23" s="21"/>
      <c r="TQT23" s="21"/>
      <c r="TQU23" s="21"/>
      <c r="TQV23" s="21"/>
      <c r="TQW23" s="21"/>
      <c r="TQX23" s="21"/>
      <c r="TQY23" s="21"/>
      <c r="TQZ23" s="21"/>
      <c r="TRA23" s="21"/>
      <c r="TRB23" s="21"/>
      <c r="TRC23" s="21"/>
      <c r="TRD23" s="21"/>
      <c r="TRE23" s="21"/>
      <c r="TRF23" s="21"/>
      <c r="TRG23" s="21"/>
      <c r="TRH23" s="21"/>
      <c r="TRI23" s="21"/>
      <c r="TRJ23" s="21"/>
      <c r="TRK23" s="21"/>
      <c r="TRL23" s="21"/>
      <c r="TRM23" s="21"/>
      <c r="TRN23" s="21"/>
      <c r="TRO23" s="21"/>
      <c r="TRP23" s="21"/>
      <c r="TRQ23" s="21"/>
      <c r="TRR23" s="21"/>
      <c r="TRS23" s="21"/>
      <c r="TRT23" s="21"/>
      <c r="TRU23" s="21"/>
      <c r="TRV23" s="21"/>
      <c r="TRW23" s="21"/>
      <c r="TRX23" s="21"/>
      <c r="TRY23" s="21"/>
      <c r="TRZ23" s="21"/>
      <c r="TSA23" s="21"/>
      <c r="TSB23" s="21"/>
      <c r="TSC23" s="21"/>
      <c r="TSD23" s="21"/>
      <c r="TSE23" s="21"/>
      <c r="TSF23" s="21"/>
      <c r="TSG23" s="21"/>
      <c r="TSH23" s="21"/>
      <c r="TSI23" s="21"/>
      <c r="TSJ23" s="21"/>
      <c r="TSK23" s="21"/>
      <c r="TSL23" s="21"/>
      <c r="TSM23" s="21"/>
      <c r="TSN23" s="21"/>
      <c r="TSO23" s="21"/>
      <c r="TSP23" s="21"/>
      <c r="TSQ23" s="21"/>
      <c r="TSR23" s="21"/>
      <c r="TSS23" s="21"/>
      <c r="TST23" s="21"/>
      <c r="TSU23" s="21"/>
      <c r="TSV23" s="21"/>
      <c r="TSW23" s="21"/>
      <c r="TSX23" s="21"/>
      <c r="TSY23" s="21"/>
      <c r="TSZ23" s="21"/>
      <c r="TTA23" s="21"/>
      <c r="TTB23" s="21"/>
      <c r="TTC23" s="21"/>
      <c r="TTD23" s="21"/>
      <c r="TTE23" s="21"/>
      <c r="TTF23" s="21"/>
      <c r="TTG23" s="21"/>
      <c r="TTH23" s="21"/>
      <c r="TTI23" s="21"/>
      <c r="TTJ23" s="21"/>
      <c r="TTK23" s="21"/>
      <c r="TTL23" s="21"/>
      <c r="TTM23" s="21"/>
      <c r="TTN23" s="21"/>
      <c r="TTO23" s="21"/>
      <c r="TTP23" s="21"/>
      <c r="TTQ23" s="21"/>
      <c r="TTR23" s="21"/>
      <c r="TTS23" s="21"/>
      <c r="TTT23" s="21"/>
      <c r="TTU23" s="21"/>
      <c r="TTV23" s="21"/>
      <c r="TTW23" s="21"/>
      <c r="TTX23" s="21"/>
      <c r="TTY23" s="21"/>
      <c r="TTZ23" s="21"/>
      <c r="TUA23" s="21"/>
      <c r="TUB23" s="21"/>
      <c r="TUC23" s="21"/>
      <c r="TUD23" s="21"/>
      <c r="TUE23" s="21"/>
      <c r="TUF23" s="21"/>
      <c r="TUG23" s="21"/>
      <c r="TUH23" s="21"/>
      <c r="TUI23" s="21"/>
      <c r="TUJ23" s="21"/>
      <c r="TUK23" s="21"/>
      <c r="TUL23" s="21"/>
      <c r="TUM23" s="21"/>
      <c r="TUN23" s="21"/>
      <c r="TUO23" s="21"/>
      <c r="TUP23" s="21"/>
      <c r="TUQ23" s="21"/>
      <c r="TUR23" s="21"/>
      <c r="TUS23" s="21"/>
      <c r="TUT23" s="21"/>
      <c r="TUU23" s="21"/>
      <c r="TUV23" s="21"/>
      <c r="TUW23" s="21"/>
      <c r="TUX23" s="21"/>
      <c r="TUY23" s="21"/>
      <c r="TUZ23" s="21"/>
      <c r="TVA23" s="21"/>
      <c r="TVB23" s="21"/>
      <c r="TVC23" s="21"/>
      <c r="TVD23" s="21"/>
      <c r="TVE23" s="21"/>
      <c r="TVF23" s="21"/>
      <c r="TVG23" s="21"/>
      <c r="TVH23" s="21"/>
      <c r="TVI23" s="21"/>
      <c r="TVJ23" s="21"/>
      <c r="TVK23" s="21"/>
      <c r="TVL23" s="21"/>
      <c r="TVM23" s="21"/>
      <c r="TVN23" s="21"/>
      <c r="TVO23" s="21"/>
      <c r="TVP23" s="21"/>
      <c r="TVQ23" s="21"/>
      <c r="TVR23" s="21"/>
      <c r="TVS23" s="21"/>
      <c r="TVT23" s="21"/>
      <c r="TVU23" s="21"/>
      <c r="TVV23" s="21"/>
      <c r="TVW23" s="21"/>
      <c r="TVX23" s="21"/>
      <c r="TVY23" s="21"/>
      <c r="TVZ23" s="21"/>
      <c r="TWA23" s="21"/>
      <c r="TWB23" s="21"/>
      <c r="TWC23" s="21"/>
      <c r="TWD23" s="21"/>
      <c r="TWE23" s="21"/>
      <c r="TWF23" s="21"/>
      <c r="TWG23" s="21"/>
      <c r="TWH23" s="21"/>
      <c r="TWI23" s="21"/>
      <c r="TWJ23" s="21"/>
      <c r="TWK23" s="21"/>
      <c r="TWL23" s="21"/>
      <c r="TWM23" s="21"/>
      <c r="TWN23" s="21"/>
      <c r="TWO23" s="21"/>
      <c r="TWP23" s="21"/>
      <c r="TWQ23" s="21"/>
      <c r="TWR23" s="21"/>
      <c r="TWS23" s="21"/>
      <c r="TWT23" s="21"/>
      <c r="TWU23" s="21"/>
      <c r="TWV23" s="21"/>
      <c r="TWW23" s="21"/>
      <c r="TWX23" s="21"/>
      <c r="TWY23" s="21"/>
      <c r="TWZ23" s="21"/>
      <c r="TXA23" s="21"/>
      <c r="TXB23" s="21"/>
      <c r="TXC23" s="21"/>
      <c r="TXD23" s="21"/>
      <c r="TXE23" s="21"/>
      <c r="TXF23" s="21"/>
      <c r="TXG23" s="21"/>
      <c r="TXH23" s="21"/>
      <c r="TXI23" s="21"/>
      <c r="TXJ23" s="21"/>
      <c r="TXK23" s="21"/>
      <c r="TXL23" s="21"/>
      <c r="TXM23" s="21"/>
      <c r="TXN23" s="21"/>
      <c r="TXO23" s="21"/>
      <c r="TXP23" s="21"/>
      <c r="TXQ23" s="21"/>
      <c r="TXR23" s="21"/>
      <c r="TXS23" s="21"/>
      <c r="TXT23" s="21"/>
      <c r="TXU23" s="21"/>
      <c r="TXV23" s="21"/>
      <c r="TXW23" s="21"/>
      <c r="TXX23" s="21"/>
      <c r="TXY23" s="21"/>
      <c r="TXZ23" s="21"/>
      <c r="TYA23" s="21"/>
      <c r="TYB23" s="21"/>
      <c r="TYC23" s="21"/>
      <c r="TYD23" s="21"/>
      <c r="TYE23" s="21"/>
      <c r="TYF23" s="21"/>
      <c r="TYG23" s="21"/>
      <c r="TYH23" s="21"/>
      <c r="TYI23" s="21"/>
      <c r="TYJ23" s="21"/>
      <c r="TYK23" s="21"/>
      <c r="TYL23" s="21"/>
      <c r="TYM23" s="21"/>
      <c r="TYN23" s="21"/>
      <c r="TYO23" s="21"/>
      <c r="TYP23" s="21"/>
      <c r="TYQ23" s="21"/>
      <c r="TYR23" s="21"/>
      <c r="TYS23" s="21"/>
      <c r="TYT23" s="21"/>
      <c r="TYU23" s="21"/>
      <c r="TYV23" s="21"/>
      <c r="TYW23" s="21"/>
      <c r="TYX23" s="21"/>
      <c r="TYY23" s="21"/>
      <c r="TYZ23" s="21"/>
      <c r="TZA23" s="21"/>
      <c r="TZB23" s="21"/>
      <c r="TZC23" s="21"/>
      <c r="TZD23" s="21"/>
      <c r="TZE23" s="21"/>
      <c r="TZF23" s="21"/>
      <c r="TZG23" s="21"/>
      <c r="TZH23" s="21"/>
      <c r="TZI23" s="21"/>
      <c r="TZJ23" s="21"/>
      <c r="TZK23" s="21"/>
      <c r="TZL23" s="21"/>
      <c r="TZM23" s="21"/>
      <c r="TZN23" s="21"/>
      <c r="TZO23" s="21"/>
      <c r="TZP23" s="21"/>
      <c r="TZQ23" s="21"/>
      <c r="TZR23" s="21"/>
      <c r="TZS23" s="21"/>
      <c r="TZT23" s="21"/>
      <c r="TZU23" s="21"/>
      <c r="TZV23" s="21"/>
      <c r="TZW23" s="21"/>
      <c r="TZX23" s="21"/>
      <c r="TZY23" s="21"/>
      <c r="TZZ23" s="21"/>
      <c r="UAA23" s="21"/>
      <c r="UAB23" s="21"/>
      <c r="UAC23" s="21"/>
      <c r="UAD23" s="21"/>
      <c r="UAE23" s="21"/>
      <c r="UAF23" s="21"/>
      <c r="UAG23" s="21"/>
      <c r="UAH23" s="21"/>
      <c r="UAI23" s="21"/>
      <c r="UAJ23" s="21"/>
      <c r="UAK23" s="21"/>
      <c r="UAL23" s="21"/>
      <c r="UAM23" s="21"/>
      <c r="UAN23" s="21"/>
      <c r="UAO23" s="21"/>
      <c r="UAP23" s="21"/>
      <c r="UAQ23" s="21"/>
      <c r="UAR23" s="21"/>
      <c r="UAS23" s="21"/>
      <c r="UAT23" s="21"/>
      <c r="UAU23" s="21"/>
      <c r="UAV23" s="21"/>
      <c r="UAW23" s="21"/>
      <c r="UAX23" s="21"/>
      <c r="UAY23" s="21"/>
      <c r="UAZ23" s="21"/>
      <c r="UBA23" s="21"/>
      <c r="UBB23" s="21"/>
      <c r="UBC23" s="21"/>
      <c r="UBD23" s="21"/>
      <c r="UBE23" s="21"/>
      <c r="UBF23" s="21"/>
      <c r="UBG23" s="21"/>
      <c r="UBH23" s="21"/>
      <c r="UBI23" s="21"/>
      <c r="UBJ23" s="21"/>
      <c r="UBK23" s="21"/>
      <c r="UBL23" s="21"/>
      <c r="UBM23" s="21"/>
      <c r="UBN23" s="21"/>
      <c r="UBO23" s="21"/>
      <c r="UBP23" s="21"/>
      <c r="UBQ23" s="21"/>
      <c r="UBR23" s="21"/>
      <c r="UBS23" s="21"/>
      <c r="UBT23" s="21"/>
      <c r="UBU23" s="21"/>
      <c r="UBV23" s="21"/>
      <c r="UBW23" s="21"/>
      <c r="UBX23" s="21"/>
      <c r="UBY23" s="21"/>
      <c r="UBZ23" s="21"/>
      <c r="UCA23" s="21"/>
      <c r="UCB23" s="21"/>
      <c r="UCC23" s="21"/>
      <c r="UCD23" s="21"/>
      <c r="UCE23" s="21"/>
      <c r="UCF23" s="21"/>
      <c r="UCG23" s="21"/>
      <c r="UCH23" s="21"/>
      <c r="UCI23" s="21"/>
      <c r="UCJ23" s="21"/>
      <c r="UCK23" s="21"/>
      <c r="UCL23" s="21"/>
      <c r="UCM23" s="21"/>
      <c r="UCN23" s="21"/>
      <c r="UCO23" s="21"/>
      <c r="UCP23" s="21"/>
      <c r="UCQ23" s="21"/>
      <c r="UCR23" s="21"/>
      <c r="UCS23" s="21"/>
      <c r="UCT23" s="21"/>
      <c r="UCU23" s="21"/>
      <c r="UCV23" s="21"/>
      <c r="UCW23" s="21"/>
      <c r="UCX23" s="21"/>
      <c r="UCY23" s="21"/>
      <c r="UCZ23" s="21"/>
      <c r="UDA23" s="21"/>
      <c r="UDB23" s="21"/>
      <c r="UDC23" s="21"/>
      <c r="UDD23" s="21"/>
      <c r="UDE23" s="21"/>
      <c r="UDF23" s="21"/>
      <c r="UDG23" s="21"/>
      <c r="UDH23" s="21"/>
      <c r="UDI23" s="21"/>
      <c r="UDJ23" s="21"/>
      <c r="UDK23" s="21"/>
      <c r="UDL23" s="21"/>
      <c r="UDM23" s="21"/>
      <c r="UDN23" s="21"/>
      <c r="UDO23" s="21"/>
      <c r="UDP23" s="21"/>
      <c r="UDQ23" s="21"/>
      <c r="UDR23" s="21"/>
      <c r="UDS23" s="21"/>
      <c r="UDT23" s="21"/>
      <c r="UDU23" s="21"/>
      <c r="UDV23" s="21"/>
      <c r="UDW23" s="21"/>
      <c r="UDX23" s="21"/>
      <c r="UDY23" s="21"/>
      <c r="UDZ23" s="21"/>
      <c r="UEA23" s="21"/>
      <c r="UEB23" s="21"/>
      <c r="UEC23" s="21"/>
      <c r="UED23" s="21"/>
      <c r="UEE23" s="21"/>
      <c r="UEF23" s="21"/>
      <c r="UEG23" s="21"/>
      <c r="UEH23" s="21"/>
      <c r="UEI23" s="21"/>
      <c r="UEJ23" s="21"/>
      <c r="UEK23" s="21"/>
      <c r="UEL23" s="21"/>
      <c r="UEM23" s="21"/>
      <c r="UEN23" s="21"/>
      <c r="UEO23" s="21"/>
      <c r="UEP23" s="21"/>
      <c r="UEQ23" s="21"/>
      <c r="UER23" s="21"/>
      <c r="UES23" s="21"/>
      <c r="UET23" s="21"/>
      <c r="UEU23" s="21"/>
      <c r="UEV23" s="21"/>
      <c r="UEW23" s="21"/>
      <c r="UEX23" s="21"/>
      <c r="UEY23" s="21"/>
      <c r="UEZ23" s="21"/>
      <c r="UFA23" s="21"/>
      <c r="UFB23" s="21"/>
      <c r="UFC23" s="21"/>
      <c r="UFD23" s="21"/>
      <c r="UFE23" s="21"/>
      <c r="UFF23" s="21"/>
      <c r="UFG23" s="21"/>
      <c r="UFH23" s="21"/>
      <c r="UFI23" s="21"/>
      <c r="UFJ23" s="21"/>
      <c r="UFK23" s="21"/>
      <c r="UFL23" s="21"/>
      <c r="UFM23" s="21"/>
      <c r="UFN23" s="21"/>
      <c r="UFO23" s="21"/>
      <c r="UFP23" s="21"/>
      <c r="UFQ23" s="21"/>
      <c r="UFR23" s="21"/>
      <c r="UFS23" s="21"/>
      <c r="UFT23" s="21"/>
      <c r="UFU23" s="21"/>
      <c r="UFV23" s="21"/>
      <c r="UFW23" s="21"/>
      <c r="UFX23" s="21"/>
      <c r="UFY23" s="21"/>
      <c r="UFZ23" s="21"/>
      <c r="UGA23" s="21"/>
      <c r="UGB23" s="21"/>
      <c r="UGC23" s="21"/>
      <c r="UGD23" s="21"/>
      <c r="UGE23" s="21"/>
      <c r="UGF23" s="21"/>
      <c r="UGG23" s="21"/>
      <c r="UGH23" s="21"/>
      <c r="UGI23" s="21"/>
      <c r="UGJ23" s="21"/>
      <c r="UGK23" s="21"/>
      <c r="UGL23" s="21"/>
      <c r="UGM23" s="21"/>
      <c r="UGN23" s="21"/>
      <c r="UGO23" s="21"/>
      <c r="UGP23" s="21"/>
      <c r="UGQ23" s="21"/>
      <c r="UGR23" s="21"/>
      <c r="UGS23" s="21"/>
      <c r="UGT23" s="21"/>
      <c r="UGU23" s="21"/>
      <c r="UGV23" s="21"/>
      <c r="UGW23" s="21"/>
      <c r="UGX23" s="21"/>
      <c r="UGY23" s="21"/>
      <c r="UGZ23" s="21"/>
      <c r="UHA23" s="21"/>
      <c r="UHB23" s="21"/>
      <c r="UHC23" s="21"/>
      <c r="UHD23" s="21"/>
      <c r="UHE23" s="21"/>
      <c r="UHF23" s="21"/>
      <c r="UHG23" s="21"/>
      <c r="UHH23" s="21"/>
      <c r="UHI23" s="21"/>
      <c r="UHJ23" s="21"/>
      <c r="UHK23" s="21"/>
      <c r="UHL23" s="21"/>
      <c r="UHM23" s="21"/>
      <c r="UHN23" s="21"/>
      <c r="UHO23" s="21"/>
      <c r="UHP23" s="21"/>
      <c r="UHQ23" s="21"/>
      <c r="UHR23" s="21"/>
      <c r="UHS23" s="21"/>
      <c r="UHT23" s="21"/>
      <c r="UHU23" s="21"/>
      <c r="UHV23" s="21"/>
      <c r="UHW23" s="21"/>
      <c r="UHX23" s="21"/>
      <c r="UHY23" s="21"/>
      <c r="UHZ23" s="21"/>
      <c r="UIA23" s="21"/>
      <c r="UIB23" s="21"/>
      <c r="UIC23" s="21"/>
      <c r="UID23" s="21"/>
      <c r="UIE23" s="21"/>
      <c r="UIF23" s="21"/>
      <c r="UIG23" s="21"/>
      <c r="UIH23" s="21"/>
      <c r="UII23" s="21"/>
      <c r="UIJ23" s="21"/>
      <c r="UIK23" s="21"/>
      <c r="UIL23" s="21"/>
      <c r="UIM23" s="21"/>
      <c r="UIN23" s="21"/>
      <c r="UIO23" s="21"/>
      <c r="UIP23" s="21"/>
      <c r="UIQ23" s="21"/>
      <c r="UIR23" s="21"/>
      <c r="UIS23" s="21"/>
      <c r="UIT23" s="21"/>
      <c r="UIU23" s="21"/>
      <c r="UIV23" s="21"/>
      <c r="UIW23" s="21"/>
      <c r="UIX23" s="21"/>
      <c r="UIY23" s="21"/>
      <c r="UIZ23" s="21"/>
      <c r="UJA23" s="21"/>
      <c r="UJB23" s="21"/>
      <c r="UJC23" s="21"/>
      <c r="UJD23" s="21"/>
      <c r="UJE23" s="21"/>
      <c r="UJF23" s="21"/>
      <c r="UJG23" s="21"/>
      <c r="UJH23" s="21"/>
      <c r="UJI23" s="21"/>
      <c r="UJJ23" s="21"/>
      <c r="UJK23" s="21"/>
      <c r="UJL23" s="21"/>
      <c r="UJM23" s="21"/>
      <c r="UJN23" s="21"/>
      <c r="UJO23" s="21"/>
      <c r="UJP23" s="21"/>
      <c r="UJQ23" s="21"/>
      <c r="UJR23" s="21"/>
      <c r="UJS23" s="21"/>
      <c r="UJT23" s="21"/>
      <c r="UJU23" s="21"/>
      <c r="UJV23" s="21"/>
      <c r="UJW23" s="21"/>
      <c r="UJX23" s="21"/>
      <c r="UJY23" s="21"/>
      <c r="UJZ23" s="21"/>
      <c r="UKA23" s="21"/>
      <c r="UKB23" s="21"/>
      <c r="UKC23" s="21"/>
      <c r="UKD23" s="21"/>
      <c r="UKE23" s="21"/>
      <c r="UKF23" s="21"/>
      <c r="UKG23" s="21"/>
      <c r="UKH23" s="21"/>
      <c r="UKI23" s="21"/>
      <c r="UKJ23" s="21"/>
      <c r="UKK23" s="21"/>
      <c r="UKL23" s="21"/>
      <c r="UKM23" s="21"/>
      <c r="UKN23" s="21"/>
      <c r="UKO23" s="21"/>
      <c r="UKP23" s="21"/>
      <c r="UKQ23" s="21"/>
      <c r="UKR23" s="21"/>
      <c r="UKS23" s="21"/>
      <c r="UKT23" s="21"/>
      <c r="UKU23" s="21"/>
      <c r="UKV23" s="21"/>
      <c r="UKW23" s="21"/>
      <c r="UKX23" s="21"/>
      <c r="UKY23" s="21"/>
      <c r="UKZ23" s="21"/>
      <c r="ULA23" s="21"/>
      <c r="ULB23" s="21"/>
      <c r="ULC23" s="21"/>
      <c r="ULD23" s="21"/>
      <c r="ULE23" s="21"/>
      <c r="ULF23" s="21"/>
      <c r="ULG23" s="21"/>
      <c r="ULH23" s="21"/>
      <c r="ULI23" s="21"/>
      <c r="ULJ23" s="21"/>
      <c r="ULK23" s="21"/>
      <c r="ULL23" s="21"/>
      <c r="ULM23" s="21"/>
      <c r="ULN23" s="21"/>
      <c r="ULO23" s="21"/>
      <c r="ULP23" s="21"/>
      <c r="ULQ23" s="21"/>
      <c r="ULR23" s="21"/>
      <c r="ULS23" s="21"/>
      <c r="ULT23" s="21"/>
      <c r="ULU23" s="21"/>
      <c r="ULV23" s="21"/>
      <c r="ULW23" s="21"/>
      <c r="ULX23" s="21"/>
      <c r="ULY23" s="21"/>
      <c r="ULZ23" s="21"/>
      <c r="UMA23" s="21"/>
      <c r="UMB23" s="21"/>
      <c r="UMC23" s="21"/>
      <c r="UMD23" s="21"/>
      <c r="UME23" s="21"/>
      <c r="UMF23" s="21"/>
      <c r="UMG23" s="21"/>
      <c r="UMH23" s="21"/>
      <c r="UMI23" s="21"/>
      <c r="UMJ23" s="21"/>
      <c r="UMK23" s="21"/>
      <c r="UML23" s="21"/>
      <c r="UMM23" s="21"/>
      <c r="UMN23" s="21"/>
      <c r="UMO23" s="21"/>
      <c r="UMP23" s="21"/>
      <c r="UMQ23" s="21"/>
      <c r="UMR23" s="21"/>
      <c r="UMS23" s="21"/>
      <c r="UMT23" s="21"/>
      <c r="UMU23" s="21"/>
      <c r="UMV23" s="21"/>
      <c r="UMW23" s="21"/>
      <c r="UMX23" s="21"/>
      <c r="UMY23" s="21"/>
      <c r="UMZ23" s="21"/>
      <c r="UNA23" s="21"/>
      <c r="UNB23" s="21"/>
      <c r="UNC23" s="21"/>
      <c r="UND23" s="21"/>
      <c r="UNE23" s="21"/>
      <c r="UNF23" s="21"/>
      <c r="UNG23" s="21"/>
      <c r="UNH23" s="21"/>
      <c r="UNI23" s="21"/>
      <c r="UNJ23" s="21"/>
      <c r="UNK23" s="21"/>
      <c r="UNL23" s="21"/>
      <c r="UNM23" s="21"/>
      <c r="UNN23" s="21"/>
      <c r="UNO23" s="21"/>
      <c r="UNP23" s="21"/>
      <c r="UNQ23" s="21"/>
      <c r="UNR23" s="21"/>
      <c r="UNS23" s="21"/>
      <c r="UNT23" s="21"/>
      <c r="UNU23" s="21"/>
      <c r="UNV23" s="21"/>
      <c r="UNW23" s="21"/>
      <c r="UNX23" s="21"/>
      <c r="UNY23" s="21"/>
      <c r="UNZ23" s="21"/>
      <c r="UOA23" s="21"/>
      <c r="UOB23" s="21"/>
      <c r="UOC23" s="21"/>
      <c r="UOD23" s="21"/>
      <c r="UOE23" s="21"/>
      <c r="UOF23" s="21"/>
      <c r="UOG23" s="21"/>
      <c r="UOH23" s="21"/>
      <c r="UOI23" s="21"/>
      <c r="UOJ23" s="21"/>
      <c r="UOK23" s="21"/>
      <c r="UOL23" s="21"/>
      <c r="UOM23" s="21"/>
      <c r="UON23" s="21"/>
      <c r="UOO23" s="21"/>
      <c r="UOP23" s="21"/>
      <c r="UOQ23" s="21"/>
      <c r="UOR23" s="21"/>
      <c r="UOS23" s="21"/>
      <c r="UOT23" s="21"/>
      <c r="UOU23" s="21"/>
      <c r="UOV23" s="21"/>
      <c r="UOW23" s="21"/>
      <c r="UOX23" s="21"/>
      <c r="UOY23" s="21"/>
      <c r="UOZ23" s="21"/>
      <c r="UPA23" s="21"/>
      <c r="UPB23" s="21"/>
      <c r="UPC23" s="21"/>
      <c r="UPD23" s="21"/>
      <c r="UPE23" s="21"/>
      <c r="UPF23" s="21"/>
      <c r="UPG23" s="21"/>
      <c r="UPH23" s="21"/>
      <c r="UPI23" s="21"/>
      <c r="UPJ23" s="21"/>
      <c r="UPK23" s="21"/>
      <c r="UPL23" s="21"/>
      <c r="UPM23" s="21"/>
      <c r="UPN23" s="21"/>
      <c r="UPO23" s="21"/>
      <c r="UPP23" s="21"/>
      <c r="UPQ23" s="21"/>
      <c r="UPR23" s="21"/>
      <c r="UPS23" s="21"/>
      <c r="UPT23" s="21"/>
      <c r="UPU23" s="21"/>
      <c r="UPV23" s="21"/>
      <c r="UPW23" s="21"/>
      <c r="UPX23" s="21"/>
      <c r="UPY23" s="21"/>
      <c r="UPZ23" s="21"/>
      <c r="UQA23" s="21"/>
      <c r="UQB23" s="21"/>
      <c r="UQC23" s="21"/>
      <c r="UQD23" s="21"/>
      <c r="UQE23" s="21"/>
      <c r="UQF23" s="21"/>
      <c r="UQG23" s="21"/>
      <c r="UQH23" s="21"/>
      <c r="UQI23" s="21"/>
      <c r="UQJ23" s="21"/>
      <c r="UQK23" s="21"/>
      <c r="UQL23" s="21"/>
      <c r="UQM23" s="21"/>
      <c r="UQN23" s="21"/>
      <c r="UQO23" s="21"/>
      <c r="UQP23" s="21"/>
      <c r="UQQ23" s="21"/>
      <c r="UQR23" s="21"/>
      <c r="UQS23" s="21"/>
      <c r="UQT23" s="21"/>
      <c r="UQU23" s="21"/>
      <c r="UQV23" s="21"/>
      <c r="UQW23" s="21"/>
      <c r="UQX23" s="21"/>
      <c r="UQY23" s="21"/>
      <c r="UQZ23" s="21"/>
      <c r="URA23" s="21"/>
      <c r="URB23" s="21"/>
      <c r="URC23" s="21"/>
      <c r="URD23" s="21"/>
      <c r="URE23" s="21"/>
      <c r="URF23" s="21"/>
      <c r="URG23" s="21"/>
      <c r="URH23" s="21"/>
      <c r="URI23" s="21"/>
      <c r="URJ23" s="21"/>
      <c r="URK23" s="21"/>
      <c r="URL23" s="21"/>
      <c r="URM23" s="21"/>
      <c r="URN23" s="21"/>
      <c r="URO23" s="21"/>
      <c r="URP23" s="21"/>
      <c r="URQ23" s="21"/>
      <c r="URR23" s="21"/>
      <c r="URS23" s="21"/>
      <c r="URT23" s="21"/>
      <c r="URU23" s="21"/>
      <c r="URV23" s="21"/>
      <c r="URW23" s="21"/>
      <c r="URX23" s="21"/>
      <c r="URY23" s="21"/>
      <c r="URZ23" s="21"/>
      <c r="USA23" s="21"/>
      <c r="USB23" s="21"/>
      <c r="USC23" s="21"/>
      <c r="USD23" s="21"/>
      <c r="USE23" s="21"/>
      <c r="USF23" s="21"/>
      <c r="USG23" s="21"/>
      <c r="USH23" s="21"/>
      <c r="USI23" s="21"/>
      <c r="USJ23" s="21"/>
      <c r="USK23" s="21"/>
      <c r="USL23" s="21"/>
      <c r="USM23" s="21"/>
      <c r="USN23" s="21"/>
      <c r="USO23" s="21"/>
      <c r="USP23" s="21"/>
      <c r="USQ23" s="21"/>
      <c r="USR23" s="21"/>
      <c r="USS23" s="21"/>
      <c r="UST23" s="21"/>
      <c r="USU23" s="21"/>
      <c r="USV23" s="21"/>
      <c r="USW23" s="21"/>
      <c r="USX23" s="21"/>
      <c r="USY23" s="21"/>
      <c r="USZ23" s="21"/>
      <c r="UTA23" s="21"/>
      <c r="UTB23" s="21"/>
      <c r="UTC23" s="21"/>
      <c r="UTD23" s="21"/>
      <c r="UTE23" s="21"/>
      <c r="UTF23" s="21"/>
      <c r="UTG23" s="21"/>
      <c r="UTH23" s="21"/>
      <c r="UTI23" s="21"/>
      <c r="UTJ23" s="21"/>
      <c r="UTK23" s="21"/>
      <c r="UTL23" s="21"/>
      <c r="UTM23" s="21"/>
      <c r="UTN23" s="21"/>
      <c r="UTO23" s="21"/>
      <c r="UTP23" s="21"/>
      <c r="UTQ23" s="21"/>
      <c r="UTR23" s="21"/>
      <c r="UTS23" s="21"/>
      <c r="UTT23" s="21"/>
      <c r="UTU23" s="21"/>
      <c r="UTV23" s="21"/>
      <c r="UTW23" s="21"/>
      <c r="UTX23" s="21"/>
      <c r="UTY23" s="21"/>
      <c r="UTZ23" s="21"/>
      <c r="UUA23" s="21"/>
      <c r="UUB23" s="21"/>
      <c r="UUC23" s="21"/>
      <c r="UUD23" s="21"/>
      <c r="UUE23" s="21"/>
      <c r="UUF23" s="21"/>
      <c r="UUG23" s="21"/>
      <c r="UUH23" s="21"/>
      <c r="UUI23" s="21"/>
      <c r="UUJ23" s="21"/>
      <c r="UUK23" s="21"/>
      <c r="UUL23" s="21"/>
      <c r="UUM23" s="21"/>
      <c r="UUN23" s="21"/>
      <c r="UUO23" s="21"/>
      <c r="UUP23" s="21"/>
      <c r="UUQ23" s="21"/>
      <c r="UUR23" s="21"/>
      <c r="UUS23" s="21"/>
      <c r="UUT23" s="21"/>
      <c r="UUU23" s="21"/>
      <c r="UUV23" s="21"/>
      <c r="UUW23" s="21"/>
      <c r="UUX23" s="21"/>
      <c r="UUY23" s="21"/>
      <c r="UUZ23" s="21"/>
      <c r="UVA23" s="21"/>
      <c r="UVB23" s="21"/>
      <c r="UVC23" s="21"/>
      <c r="UVD23" s="21"/>
      <c r="UVE23" s="21"/>
      <c r="UVF23" s="21"/>
      <c r="UVG23" s="21"/>
      <c r="UVH23" s="21"/>
      <c r="UVI23" s="21"/>
      <c r="UVJ23" s="21"/>
      <c r="UVK23" s="21"/>
      <c r="UVL23" s="21"/>
      <c r="UVM23" s="21"/>
      <c r="UVN23" s="21"/>
      <c r="UVO23" s="21"/>
      <c r="UVP23" s="21"/>
      <c r="UVQ23" s="21"/>
      <c r="UVR23" s="21"/>
      <c r="UVS23" s="21"/>
      <c r="UVT23" s="21"/>
      <c r="UVU23" s="21"/>
      <c r="UVV23" s="21"/>
      <c r="UVW23" s="21"/>
      <c r="UVX23" s="21"/>
      <c r="UVY23" s="21"/>
      <c r="UVZ23" s="21"/>
      <c r="UWA23" s="21"/>
      <c r="UWB23" s="21"/>
      <c r="UWC23" s="21"/>
      <c r="UWD23" s="21"/>
      <c r="UWE23" s="21"/>
      <c r="UWF23" s="21"/>
      <c r="UWG23" s="21"/>
      <c r="UWH23" s="21"/>
      <c r="UWI23" s="21"/>
      <c r="UWJ23" s="21"/>
      <c r="UWK23" s="21"/>
      <c r="UWL23" s="21"/>
      <c r="UWM23" s="21"/>
      <c r="UWN23" s="21"/>
      <c r="UWO23" s="21"/>
      <c r="UWP23" s="21"/>
      <c r="UWQ23" s="21"/>
      <c r="UWR23" s="21"/>
      <c r="UWS23" s="21"/>
      <c r="UWT23" s="21"/>
      <c r="UWU23" s="21"/>
      <c r="UWV23" s="21"/>
      <c r="UWW23" s="21"/>
      <c r="UWX23" s="21"/>
      <c r="UWY23" s="21"/>
      <c r="UWZ23" s="21"/>
      <c r="UXA23" s="21"/>
      <c r="UXB23" s="21"/>
      <c r="UXC23" s="21"/>
      <c r="UXD23" s="21"/>
      <c r="UXE23" s="21"/>
      <c r="UXF23" s="21"/>
      <c r="UXG23" s="21"/>
      <c r="UXH23" s="21"/>
      <c r="UXI23" s="21"/>
      <c r="UXJ23" s="21"/>
      <c r="UXK23" s="21"/>
      <c r="UXL23" s="21"/>
      <c r="UXM23" s="21"/>
      <c r="UXN23" s="21"/>
      <c r="UXO23" s="21"/>
      <c r="UXP23" s="21"/>
      <c r="UXQ23" s="21"/>
      <c r="UXR23" s="21"/>
      <c r="UXS23" s="21"/>
      <c r="UXT23" s="21"/>
      <c r="UXU23" s="21"/>
      <c r="UXV23" s="21"/>
      <c r="UXW23" s="21"/>
      <c r="UXX23" s="21"/>
      <c r="UXY23" s="21"/>
      <c r="UXZ23" s="21"/>
      <c r="UYA23" s="21"/>
      <c r="UYB23" s="21"/>
      <c r="UYC23" s="21"/>
      <c r="UYD23" s="21"/>
      <c r="UYE23" s="21"/>
      <c r="UYF23" s="21"/>
      <c r="UYG23" s="21"/>
      <c r="UYH23" s="21"/>
      <c r="UYI23" s="21"/>
      <c r="UYJ23" s="21"/>
      <c r="UYK23" s="21"/>
      <c r="UYL23" s="21"/>
      <c r="UYM23" s="21"/>
      <c r="UYN23" s="21"/>
      <c r="UYO23" s="21"/>
      <c r="UYP23" s="21"/>
      <c r="UYQ23" s="21"/>
      <c r="UYR23" s="21"/>
      <c r="UYS23" s="21"/>
      <c r="UYT23" s="21"/>
      <c r="UYU23" s="21"/>
      <c r="UYV23" s="21"/>
      <c r="UYW23" s="21"/>
      <c r="UYX23" s="21"/>
      <c r="UYY23" s="21"/>
      <c r="UYZ23" s="21"/>
      <c r="UZA23" s="21"/>
      <c r="UZB23" s="21"/>
      <c r="UZC23" s="21"/>
      <c r="UZD23" s="21"/>
      <c r="UZE23" s="21"/>
      <c r="UZF23" s="21"/>
      <c r="UZG23" s="21"/>
      <c r="UZH23" s="21"/>
      <c r="UZI23" s="21"/>
      <c r="UZJ23" s="21"/>
      <c r="UZK23" s="21"/>
      <c r="UZL23" s="21"/>
      <c r="UZM23" s="21"/>
      <c r="UZN23" s="21"/>
      <c r="UZO23" s="21"/>
      <c r="UZP23" s="21"/>
      <c r="UZQ23" s="21"/>
      <c r="UZR23" s="21"/>
      <c r="UZS23" s="21"/>
      <c r="UZT23" s="21"/>
      <c r="UZU23" s="21"/>
      <c r="UZV23" s="21"/>
      <c r="UZW23" s="21"/>
      <c r="UZX23" s="21"/>
      <c r="UZY23" s="21"/>
      <c r="UZZ23" s="21"/>
      <c r="VAA23" s="21"/>
      <c r="VAB23" s="21"/>
      <c r="VAC23" s="21"/>
      <c r="VAD23" s="21"/>
      <c r="VAE23" s="21"/>
      <c r="VAF23" s="21"/>
      <c r="VAG23" s="21"/>
      <c r="VAH23" s="21"/>
      <c r="VAI23" s="21"/>
      <c r="VAJ23" s="21"/>
      <c r="VAK23" s="21"/>
      <c r="VAL23" s="21"/>
      <c r="VAM23" s="21"/>
      <c r="VAN23" s="21"/>
      <c r="VAO23" s="21"/>
      <c r="VAP23" s="21"/>
      <c r="VAQ23" s="21"/>
      <c r="VAR23" s="21"/>
      <c r="VAS23" s="21"/>
      <c r="VAT23" s="21"/>
      <c r="VAU23" s="21"/>
      <c r="VAV23" s="21"/>
      <c r="VAW23" s="21"/>
      <c r="VAX23" s="21"/>
      <c r="VAY23" s="21"/>
      <c r="VAZ23" s="21"/>
      <c r="VBA23" s="21"/>
      <c r="VBB23" s="21"/>
      <c r="VBC23" s="21"/>
      <c r="VBD23" s="21"/>
      <c r="VBE23" s="21"/>
      <c r="VBF23" s="21"/>
      <c r="VBG23" s="21"/>
      <c r="VBH23" s="21"/>
      <c r="VBI23" s="21"/>
      <c r="VBJ23" s="21"/>
      <c r="VBK23" s="21"/>
      <c r="VBL23" s="21"/>
      <c r="VBM23" s="21"/>
      <c r="VBN23" s="21"/>
      <c r="VBO23" s="21"/>
      <c r="VBP23" s="21"/>
      <c r="VBQ23" s="21"/>
      <c r="VBR23" s="21"/>
      <c r="VBS23" s="21"/>
      <c r="VBT23" s="21"/>
      <c r="VBU23" s="21"/>
      <c r="VBV23" s="21"/>
      <c r="VBW23" s="21"/>
      <c r="VBX23" s="21"/>
      <c r="VBY23" s="21"/>
      <c r="VBZ23" s="21"/>
      <c r="VCA23" s="21"/>
      <c r="VCB23" s="21"/>
      <c r="VCC23" s="21"/>
      <c r="VCD23" s="21"/>
      <c r="VCE23" s="21"/>
      <c r="VCF23" s="21"/>
      <c r="VCG23" s="21"/>
      <c r="VCH23" s="21"/>
      <c r="VCI23" s="21"/>
      <c r="VCJ23" s="21"/>
      <c r="VCK23" s="21"/>
      <c r="VCL23" s="21"/>
      <c r="VCM23" s="21"/>
      <c r="VCN23" s="21"/>
      <c r="VCO23" s="21"/>
      <c r="VCP23" s="21"/>
      <c r="VCQ23" s="21"/>
      <c r="VCR23" s="21"/>
      <c r="VCS23" s="21"/>
      <c r="VCT23" s="21"/>
      <c r="VCU23" s="21"/>
      <c r="VCV23" s="21"/>
      <c r="VCW23" s="21"/>
      <c r="VCX23" s="21"/>
      <c r="VCY23" s="21"/>
      <c r="VCZ23" s="21"/>
      <c r="VDA23" s="21"/>
      <c r="VDB23" s="21"/>
      <c r="VDC23" s="21"/>
      <c r="VDD23" s="21"/>
      <c r="VDE23" s="21"/>
      <c r="VDF23" s="21"/>
      <c r="VDG23" s="21"/>
      <c r="VDH23" s="21"/>
      <c r="VDI23" s="21"/>
      <c r="VDJ23" s="21"/>
      <c r="VDK23" s="21"/>
      <c r="VDL23" s="21"/>
      <c r="VDM23" s="21"/>
      <c r="VDN23" s="21"/>
      <c r="VDO23" s="21"/>
      <c r="VDP23" s="21"/>
      <c r="VDQ23" s="21"/>
      <c r="VDR23" s="21"/>
      <c r="VDS23" s="21"/>
      <c r="VDT23" s="21"/>
      <c r="VDU23" s="21"/>
      <c r="VDV23" s="21"/>
      <c r="VDW23" s="21"/>
      <c r="VDX23" s="21"/>
      <c r="VDY23" s="21"/>
      <c r="VDZ23" s="21"/>
      <c r="VEA23" s="21"/>
      <c r="VEB23" s="21"/>
      <c r="VEC23" s="21"/>
      <c r="VED23" s="21"/>
      <c r="VEE23" s="21"/>
      <c r="VEF23" s="21"/>
      <c r="VEG23" s="21"/>
      <c r="VEH23" s="21"/>
      <c r="VEI23" s="21"/>
      <c r="VEJ23" s="21"/>
      <c r="VEK23" s="21"/>
      <c r="VEL23" s="21"/>
      <c r="VEM23" s="21"/>
      <c r="VEN23" s="21"/>
      <c r="VEO23" s="21"/>
      <c r="VEP23" s="21"/>
      <c r="VEQ23" s="21"/>
      <c r="VER23" s="21"/>
      <c r="VES23" s="21"/>
      <c r="VET23" s="21"/>
      <c r="VEU23" s="21"/>
      <c r="VEV23" s="21"/>
      <c r="VEW23" s="21"/>
      <c r="VEX23" s="21"/>
      <c r="VEY23" s="21"/>
      <c r="VEZ23" s="21"/>
      <c r="VFA23" s="21"/>
      <c r="VFB23" s="21"/>
      <c r="VFC23" s="21"/>
      <c r="VFD23" s="21"/>
      <c r="VFE23" s="21"/>
      <c r="VFF23" s="21"/>
      <c r="VFG23" s="21"/>
      <c r="VFH23" s="21"/>
      <c r="VFI23" s="21"/>
      <c r="VFJ23" s="21"/>
      <c r="VFK23" s="21"/>
      <c r="VFL23" s="21"/>
      <c r="VFM23" s="21"/>
      <c r="VFN23" s="21"/>
      <c r="VFO23" s="21"/>
      <c r="VFP23" s="21"/>
      <c r="VFQ23" s="21"/>
      <c r="VFR23" s="21"/>
      <c r="VFS23" s="21"/>
      <c r="VFT23" s="21"/>
      <c r="VFU23" s="21"/>
      <c r="VFV23" s="21"/>
      <c r="VFW23" s="21"/>
      <c r="VFX23" s="21"/>
      <c r="VFY23" s="21"/>
      <c r="VFZ23" s="21"/>
      <c r="VGA23" s="21"/>
      <c r="VGB23" s="21"/>
      <c r="VGC23" s="21"/>
      <c r="VGD23" s="21"/>
      <c r="VGE23" s="21"/>
      <c r="VGF23" s="21"/>
      <c r="VGG23" s="21"/>
      <c r="VGH23" s="21"/>
      <c r="VGI23" s="21"/>
      <c r="VGJ23" s="21"/>
      <c r="VGK23" s="21"/>
      <c r="VGL23" s="21"/>
      <c r="VGM23" s="21"/>
      <c r="VGN23" s="21"/>
      <c r="VGO23" s="21"/>
      <c r="VGP23" s="21"/>
      <c r="VGQ23" s="21"/>
      <c r="VGR23" s="21"/>
      <c r="VGS23" s="21"/>
      <c r="VGT23" s="21"/>
      <c r="VGU23" s="21"/>
      <c r="VGV23" s="21"/>
      <c r="VGW23" s="21"/>
      <c r="VGX23" s="21"/>
      <c r="VGY23" s="21"/>
      <c r="VGZ23" s="21"/>
      <c r="VHA23" s="21"/>
      <c r="VHB23" s="21"/>
      <c r="VHC23" s="21"/>
      <c r="VHD23" s="21"/>
      <c r="VHE23" s="21"/>
      <c r="VHF23" s="21"/>
      <c r="VHG23" s="21"/>
      <c r="VHH23" s="21"/>
      <c r="VHI23" s="21"/>
      <c r="VHJ23" s="21"/>
      <c r="VHK23" s="21"/>
      <c r="VHL23" s="21"/>
      <c r="VHM23" s="21"/>
      <c r="VHN23" s="21"/>
      <c r="VHO23" s="21"/>
      <c r="VHP23" s="21"/>
      <c r="VHQ23" s="21"/>
      <c r="VHR23" s="21"/>
      <c r="VHS23" s="21"/>
      <c r="VHT23" s="21"/>
      <c r="VHU23" s="21"/>
      <c r="VHV23" s="21"/>
      <c r="VHW23" s="21"/>
      <c r="VHX23" s="21"/>
      <c r="VHY23" s="21"/>
      <c r="VHZ23" s="21"/>
      <c r="VIA23" s="21"/>
      <c r="VIB23" s="21"/>
      <c r="VIC23" s="21"/>
      <c r="VID23" s="21"/>
      <c r="VIE23" s="21"/>
      <c r="VIF23" s="21"/>
      <c r="VIG23" s="21"/>
      <c r="VIH23" s="21"/>
      <c r="VII23" s="21"/>
      <c r="VIJ23" s="21"/>
      <c r="VIK23" s="21"/>
      <c r="VIL23" s="21"/>
      <c r="VIM23" s="21"/>
      <c r="VIN23" s="21"/>
      <c r="VIO23" s="21"/>
      <c r="VIP23" s="21"/>
      <c r="VIQ23" s="21"/>
      <c r="VIR23" s="21"/>
      <c r="VIS23" s="21"/>
      <c r="VIT23" s="21"/>
      <c r="VIU23" s="21"/>
      <c r="VIV23" s="21"/>
      <c r="VIW23" s="21"/>
      <c r="VIX23" s="21"/>
      <c r="VIY23" s="21"/>
      <c r="VIZ23" s="21"/>
      <c r="VJA23" s="21"/>
      <c r="VJB23" s="21"/>
      <c r="VJC23" s="21"/>
      <c r="VJD23" s="21"/>
      <c r="VJE23" s="21"/>
      <c r="VJF23" s="21"/>
      <c r="VJG23" s="21"/>
      <c r="VJH23" s="21"/>
      <c r="VJI23" s="21"/>
      <c r="VJJ23" s="21"/>
      <c r="VJK23" s="21"/>
      <c r="VJL23" s="21"/>
      <c r="VJM23" s="21"/>
      <c r="VJN23" s="21"/>
      <c r="VJO23" s="21"/>
      <c r="VJP23" s="21"/>
      <c r="VJQ23" s="21"/>
      <c r="VJR23" s="21"/>
      <c r="VJS23" s="21"/>
      <c r="VJT23" s="21"/>
      <c r="VJU23" s="21"/>
      <c r="VJV23" s="21"/>
      <c r="VJW23" s="21"/>
      <c r="VJX23" s="21"/>
      <c r="VJY23" s="21"/>
      <c r="VJZ23" s="21"/>
      <c r="VKA23" s="21"/>
      <c r="VKB23" s="21"/>
      <c r="VKC23" s="21"/>
      <c r="VKD23" s="21"/>
      <c r="VKE23" s="21"/>
      <c r="VKF23" s="21"/>
      <c r="VKG23" s="21"/>
      <c r="VKH23" s="21"/>
      <c r="VKI23" s="21"/>
      <c r="VKJ23" s="21"/>
      <c r="VKK23" s="21"/>
      <c r="VKL23" s="21"/>
      <c r="VKM23" s="21"/>
      <c r="VKN23" s="21"/>
      <c r="VKO23" s="21"/>
      <c r="VKP23" s="21"/>
      <c r="VKQ23" s="21"/>
      <c r="VKR23" s="21"/>
      <c r="VKS23" s="21"/>
      <c r="VKT23" s="21"/>
      <c r="VKU23" s="21"/>
      <c r="VKV23" s="21"/>
      <c r="VKW23" s="21"/>
      <c r="VKX23" s="21"/>
      <c r="VKY23" s="21"/>
      <c r="VKZ23" s="21"/>
      <c r="VLA23" s="21"/>
      <c r="VLB23" s="21"/>
      <c r="VLC23" s="21"/>
      <c r="VLD23" s="21"/>
      <c r="VLE23" s="21"/>
      <c r="VLF23" s="21"/>
      <c r="VLG23" s="21"/>
      <c r="VLH23" s="21"/>
      <c r="VLI23" s="21"/>
      <c r="VLJ23" s="21"/>
      <c r="VLK23" s="21"/>
      <c r="VLL23" s="21"/>
      <c r="VLM23" s="21"/>
      <c r="VLN23" s="21"/>
      <c r="VLO23" s="21"/>
      <c r="VLP23" s="21"/>
      <c r="VLQ23" s="21"/>
      <c r="VLR23" s="21"/>
      <c r="VLS23" s="21"/>
      <c r="VLT23" s="21"/>
      <c r="VLU23" s="21"/>
      <c r="VLV23" s="21"/>
      <c r="VLW23" s="21"/>
      <c r="VLX23" s="21"/>
      <c r="VLY23" s="21"/>
      <c r="VLZ23" s="21"/>
      <c r="VMA23" s="21"/>
      <c r="VMB23" s="21"/>
      <c r="VMC23" s="21"/>
      <c r="VMD23" s="21"/>
      <c r="VME23" s="21"/>
      <c r="VMF23" s="21"/>
      <c r="VMG23" s="21"/>
      <c r="VMH23" s="21"/>
      <c r="VMI23" s="21"/>
      <c r="VMJ23" s="21"/>
      <c r="VMK23" s="21"/>
      <c r="VML23" s="21"/>
      <c r="VMM23" s="21"/>
      <c r="VMN23" s="21"/>
      <c r="VMO23" s="21"/>
      <c r="VMP23" s="21"/>
      <c r="VMQ23" s="21"/>
      <c r="VMR23" s="21"/>
      <c r="VMS23" s="21"/>
      <c r="VMT23" s="21"/>
      <c r="VMU23" s="21"/>
      <c r="VMV23" s="21"/>
      <c r="VMW23" s="21"/>
      <c r="VMX23" s="21"/>
      <c r="VMY23" s="21"/>
      <c r="VMZ23" s="21"/>
      <c r="VNA23" s="21"/>
      <c r="VNB23" s="21"/>
      <c r="VNC23" s="21"/>
      <c r="VND23" s="21"/>
      <c r="VNE23" s="21"/>
      <c r="VNF23" s="21"/>
      <c r="VNG23" s="21"/>
      <c r="VNH23" s="21"/>
      <c r="VNI23" s="21"/>
      <c r="VNJ23" s="21"/>
      <c r="VNK23" s="21"/>
      <c r="VNL23" s="21"/>
      <c r="VNM23" s="21"/>
      <c r="VNN23" s="21"/>
      <c r="VNO23" s="21"/>
      <c r="VNP23" s="21"/>
      <c r="VNQ23" s="21"/>
      <c r="VNR23" s="21"/>
      <c r="VNS23" s="21"/>
      <c r="VNT23" s="21"/>
      <c r="VNU23" s="21"/>
      <c r="VNV23" s="21"/>
      <c r="VNW23" s="21"/>
      <c r="VNX23" s="21"/>
      <c r="VNY23" s="21"/>
      <c r="VNZ23" s="21"/>
      <c r="VOA23" s="21"/>
      <c r="VOB23" s="21"/>
      <c r="VOC23" s="21"/>
      <c r="VOD23" s="21"/>
      <c r="VOE23" s="21"/>
      <c r="VOF23" s="21"/>
      <c r="VOG23" s="21"/>
      <c r="VOH23" s="21"/>
      <c r="VOI23" s="21"/>
      <c r="VOJ23" s="21"/>
      <c r="VOK23" s="21"/>
      <c r="VOL23" s="21"/>
      <c r="VOM23" s="21"/>
      <c r="VON23" s="21"/>
      <c r="VOO23" s="21"/>
      <c r="VOP23" s="21"/>
      <c r="VOQ23" s="21"/>
      <c r="VOR23" s="21"/>
      <c r="VOS23" s="21"/>
      <c r="VOT23" s="21"/>
      <c r="VOU23" s="21"/>
      <c r="VOV23" s="21"/>
      <c r="VOW23" s="21"/>
      <c r="VOX23" s="21"/>
      <c r="VOY23" s="21"/>
      <c r="VOZ23" s="21"/>
      <c r="VPA23" s="21"/>
      <c r="VPB23" s="21"/>
      <c r="VPC23" s="21"/>
      <c r="VPD23" s="21"/>
      <c r="VPE23" s="21"/>
      <c r="VPF23" s="21"/>
      <c r="VPG23" s="21"/>
      <c r="VPH23" s="21"/>
      <c r="VPI23" s="21"/>
      <c r="VPJ23" s="21"/>
      <c r="VPK23" s="21"/>
      <c r="VPL23" s="21"/>
      <c r="VPM23" s="21"/>
      <c r="VPN23" s="21"/>
      <c r="VPO23" s="21"/>
      <c r="VPP23" s="21"/>
      <c r="VPQ23" s="21"/>
      <c r="VPR23" s="21"/>
      <c r="VPS23" s="21"/>
      <c r="VPT23" s="21"/>
      <c r="VPU23" s="21"/>
      <c r="VPV23" s="21"/>
      <c r="VPW23" s="21"/>
      <c r="VPX23" s="21"/>
      <c r="VPY23" s="21"/>
      <c r="VPZ23" s="21"/>
      <c r="VQA23" s="21"/>
      <c r="VQB23" s="21"/>
      <c r="VQC23" s="21"/>
      <c r="VQD23" s="21"/>
      <c r="VQE23" s="21"/>
      <c r="VQF23" s="21"/>
      <c r="VQG23" s="21"/>
      <c r="VQH23" s="21"/>
      <c r="VQI23" s="21"/>
      <c r="VQJ23" s="21"/>
      <c r="VQK23" s="21"/>
      <c r="VQL23" s="21"/>
      <c r="VQM23" s="21"/>
      <c r="VQN23" s="21"/>
      <c r="VQO23" s="21"/>
      <c r="VQP23" s="21"/>
      <c r="VQQ23" s="21"/>
      <c r="VQR23" s="21"/>
      <c r="VQS23" s="21"/>
      <c r="VQT23" s="21"/>
      <c r="VQU23" s="21"/>
      <c r="VQV23" s="21"/>
      <c r="VQW23" s="21"/>
      <c r="VQX23" s="21"/>
      <c r="VQY23" s="21"/>
      <c r="VQZ23" s="21"/>
      <c r="VRA23" s="21"/>
      <c r="VRB23" s="21"/>
      <c r="VRC23" s="21"/>
      <c r="VRD23" s="21"/>
      <c r="VRE23" s="21"/>
      <c r="VRF23" s="21"/>
      <c r="VRG23" s="21"/>
      <c r="VRH23" s="21"/>
      <c r="VRI23" s="21"/>
      <c r="VRJ23" s="21"/>
      <c r="VRK23" s="21"/>
      <c r="VRL23" s="21"/>
      <c r="VRM23" s="21"/>
      <c r="VRN23" s="21"/>
      <c r="VRO23" s="21"/>
      <c r="VRP23" s="21"/>
      <c r="VRQ23" s="21"/>
      <c r="VRR23" s="21"/>
      <c r="VRS23" s="21"/>
      <c r="VRT23" s="21"/>
      <c r="VRU23" s="21"/>
      <c r="VRV23" s="21"/>
      <c r="VRW23" s="21"/>
      <c r="VRX23" s="21"/>
      <c r="VRY23" s="21"/>
      <c r="VRZ23" s="21"/>
      <c r="VSA23" s="21"/>
      <c r="VSB23" s="21"/>
      <c r="VSC23" s="21"/>
      <c r="VSD23" s="21"/>
      <c r="VSE23" s="21"/>
      <c r="VSF23" s="21"/>
      <c r="VSG23" s="21"/>
      <c r="VSH23" s="21"/>
      <c r="VSI23" s="21"/>
      <c r="VSJ23" s="21"/>
      <c r="VSK23" s="21"/>
      <c r="VSL23" s="21"/>
      <c r="VSM23" s="21"/>
      <c r="VSN23" s="21"/>
      <c r="VSO23" s="21"/>
      <c r="VSP23" s="21"/>
      <c r="VSQ23" s="21"/>
      <c r="VSR23" s="21"/>
      <c r="VSS23" s="21"/>
      <c r="VST23" s="21"/>
      <c r="VSU23" s="21"/>
      <c r="VSV23" s="21"/>
      <c r="VSW23" s="21"/>
      <c r="VSX23" s="21"/>
      <c r="VSY23" s="21"/>
      <c r="VSZ23" s="21"/>
      <c r="VTA23" s="21"/>
      <c r="VTB23" s="21"/>
      <c r="VTC23" s="21"/>
      <c r="VTD23" s="21"/>
      <c r="VTE23" s="21"/>
      <c r="VTF23" s="21"/>
      <c r="VTG23" s="21"/>
      <c r="VTH23" s="21"/>
      <c r="VTI23" s="21"/>
      <c r="VTJ23" s="21"/>
      <c r="VTK23" s="21"/>
      <c r="VTL23" s="21"/>
      <c r="VTM23" s="21"/>
      <c r="VTN23" s="21"/>
      <c r="VTO23" s="21"/>
      <c r="VTP23" s="21"/>
      <c r="VTQ23" s="21"/>
      <c r="VTR23" s="21"/>
      <c r="VTS23" s="21"/>
      <c r="VTT23" s="21"/>
      <c r="VTU23" s="21"/>
      <c r="VTV23" s="21"/>
      <c r="VTW23" s="21"/>
      <c r="VTX23" s="21"/>
      <c r="VTY23" s="21"/>
      <c r="VTZ23" s="21"/>
      <c r="VUA23" s="21"/>
      <c r="VUB23" s="21"/>
      <c r="VUC23" s="21"/>
      <c r="VUD23" s="21"/>
      <c r="VUE23" s="21"/>
      <c r="VUF23" s="21"/>
      <c r="VUG23" s="21"/>
      <c r="VUH23" s="21"/>
      <c r="VUI23" s="21"/>
      <c r="VUJ23" s="21"/>
      <c r="VUK23" s="21"/>
      <c r="VUL23" s="21"/>
      <c r="VUM23" s="21"/>
      <c r="VUN23" s="21"/>
      <c r="VUO23" s="21"/>
      <c r="VUP23" s="21"/>
      <c r="VUQ23" s="21"/>
      <c r="VUR23" s="21"/>
      <c r="VUS23" s="21"/>
      <c r="VUT23" s="21"/>
      <c r="VUU23" s="21"/>
      <c r="VUV23" s="21"/>
      <c r="VUW23" s="21"/>
      <c r="VUX23" s="21"/>
      <c r="VUY23" s="21"/>
      <c r="VUZ23" s="21"/>
      <c r="VVA23" s="21"/>
      <c r="VVB23" s="21"/>
      <c r="VVC23" s="21"/>
      <c r="VVD23" s="21"/>
      <c r="VVE23" s="21"/>
      <c r="VVF23" s="21"/>
      <c r="VVG23" s="21"/>
      <c r="VVH23" s="21"/>
      <c r="VVI23" s="21"/>
      <c r="VVJ23" s="21"/>
      <c r="VVK23" s="21"/>
      <c r="VVL23" s="21"/>
      <c r="VVM23" s="21"/>
      <c r="VVN23" s="21"/>
      <c r="VVO23" s="21"/>
      <c r="VVP23" s="21"/>
      <c r="VVQ23" s="21"/>
      <c r="VVR23" s="21"/>
      <c r="VVS23" s="21"/>
      <c r="VVT23" s="21"/>
      <c r="VVU23" s="21"/>
      <c r="VVV23" s="21"/>
      <c r="VVW23" s="21"/>
      <c r="VVX23" s="21"/>
      <c r="VVY23" s="21"/>
      <c r="VVZ23" s="21"/>
      <c r="VWA23" s="21"/>
      <c r="VWB23" s="21"/>
      <c r="VWC23" s="21"/>
      <c r="VWD23" s="21"/>
      <c r="VWE23" s="21"/>
      <c r="VWF23" s="21"/>
      <c r="VWG23" s="21"/>
      <c r="VWH23" s="21"/>
      <c r="VWI23" s="21"/>
      <c r="VWJ23" s="21"/>
      <c r="VWK23" s="21"/>
      <c r="VWL23" s="21"/>
      <c r="VWM23" s="21"/>
      <c r="VWN23" s="21"/>
      <c r="VWO23" s="21"/>
      <c r="VWP23" s="21"/>
      <c r="VWQ23" s="21"/>
      <c r="VWR23" s="21"/>
      <c r="VWS23" s="21"/>
      <c r="VWT23" s="21"/>
      <c r="VWU23" s="21"/>
      <c r="VWV23" s="21"/>
      <c r="VWW23" s="21"/>
      <c r="VWX23" s="21"/>
      <c r="VWY23" s="21"/>
      <c r="VWZ23" s="21"/>
      <c r="VXA23" s="21"/>
      <c r="VXB23" s="21"/>
      <c r="VXC23" s="21"/>
      <c r="VXD23" s="21"/>
      <c r="VXE23" s="21"/>
      <c r="VXF23" s="21"/>
      <c r="VXG23" s="21"/>
      <c r="VXH23" s="21"/>
      <c r="VXI23" s="21"/>
      <c r="VXJ23" s="21"/>
      <c r="VXK23" s="21"/>
      <c r="VXL23" s="21"/>
      <c r="VXM23" s="21"/>
      <c r="VXN23" s="21"/>
      <c r="VXO23" s="21"/>
      <c r="VXP23" s="21"/>
      <c r="VXQ23" s="21"/>
      <c r="VXR23" s="21"/>
      <c r="VXS23" s="21"/>
      <c r="VXT23" s="21"/>
      <c r="VXU23" s="21"/>
      <c r="VXV23" s="21"/>
      <c r="VXW23" s="21"/>
      <c r="VXX23" s="21"/>
      <c r="VXY23" s="21"/>
      <c r="VXZ23" s="21"/>
      <c r="VYA23" s="21"/>
      <c r="VYB23" s="21"/>
      <c r="VYC23" s="21"/>
      <c r="VYD23" s="21"/>
      <c r="VYE23" s="21"/>
      <c r="VYF23" s="21"/>
      <c r="VYG23" s="21"/>
      <c r="VYH23" s="21"/>
      <c r="VYI23" s="21"/>
      <c r="VYJ23" s="21"/>
      <c r="VYK23" s="21"/>
      <c r="VYL23" s="21"/>
      <c r="VYM23" s="21"/>
      <c r="VYN23" s="21"/>
      <c r="VYO23" s="21"/>
      <c r="VYP23" s="21"/>
      <c r="VYQ23" s="21"/>
      <c r="VYR23" s="21"/>
      <c r="VYS23" s="21"/>
      <c r="VYT23" s="21"/>
      <c r="VYU23" s="21"/>
      <c r="VYV23" s="21"/>
      <c r="VYW23" s="21"/>
      <c r="VYX23" s="21"/>
      <c r="VYY23" s="21"/>
      <c r="VYZ23" s="21"/>
      <c r="VZA23" s="21"/>
      <c r="VZB23" s="21"/>
      <c r="VZC23" s="21"/>
      <c r="VZD23" s="21"/>
      <c r="VZE23" s="21"/>
      <c r="VZF23" s="21"/>
      <c r="VZG23" s="21"/>
      <c r="VZH23" s="21"/>
      <c r="VZI23" s="21"/>
      <c r="VZJ23" s="21"/>
      <c r="VZK23" s="21"/>
      <c r="VZL23" s="21"/>
      <c r="VZM23" s="21"/>
      <c r="VZN23" s="21"/>
      <c r="VZO23" s="21"/>
      <c r="VZP23" s="21"/>
      <c r="VZQ23" s="21"/>
      <c r="VZR23" s="21"/>
      <c r="VZS23" s="21"/>
      <c r="VZT23" s="21"/>
      <c r="VZU23" s="21"/>
      <c r="VZV23" s="21"/>
      <c r="VZW23" s="21"/>
      <c r="VZX23" s="21"/>
      <c r="VZY23" s="21"/>
      <c r="VZZ23" s="21"/>
      <c r="WAA23" s="21"/>
      <c r="WAB23" s="21"/>
      <c r="WAC23" s="21"/>
      <c r="WAD23" s="21"/>
      <c r="WAE23" s="21"/>
      <c r="WAF23" s="21"/>
      <c r="WAG23" s="21"/>
      <c r="WAH23" s="21"/>
      <c r="WAI23" s="21"/>
      <c r="WAJ23" s="21"/>
      <c r="WAK23" s="21"/>
      <c r="WAL23" s="21"/>
      <c r="WAM23" s="21"/>
      <c r="WAN23" s="21"/>
      <c r="WAO23" s="21"/>
      <c r="WAP23" s="21"/>
      <c r="WAQ23" s="21"/>
      <c r="WAR23" s="21"/>
      <c r="WAS23" s="21"/>
      <c r="WAT23" s="21"/>
      <c r="WAU23" s="21"/>
      <c r="WAV23" s="21"/>
      <c r="WAW23" s="21"/>
      <c r="WAX23" s="21"/>
      <c r="WAY23" s="21"/>
      <c r="WAZ23" s="21"/>
      <c r="WBA23" s="21"/>
      <c r="WBB23" s="21"/>
      <c r="WBC23" s="21"/>
      <c r="WBD23" s="21"/>
      <c r="WBE23" s="21"/>
      <c r="WBF23" s="21"/>
      <c r="WBG23" s="21"/>
      <c r="WBH23" s="21"/>
      <c r="WBI23" s="21"/>
      <c r="WBJ23" s="21"/>
      <c r="WBK23" s="21"/>
      <c r="WBL23" s="21"/>
      <c r="WBM23" s="21"/>
      <c r="WBN23" s="21"/>
      <c r="WBO23" s="21"/>
      <c r="WBP23" s="21"/>
      <c r="WBQ23" s="21"/>
      <c r="WBR23" s="21"/>
      <c r="WBS23" s="21"/>
      <c r="WBT23" s="21"/>
      <c r="WBU23" s="21"/>
      <c r="WBV23" s="21"/>
      <c r="WBW23" s="21"/>
      <c r="WBX23" s="21"/>
      <c r="WBY23" s="21"/>
      <c r="WBZ23" s="21"/>
      <c r="WCA23" s="21"/>
      <c r="WCB23" s="21"/>
      <c r="WCC23" s="21"/>
      <c r="WCD23" s="21"/>
      <c r="WCE23" s="21"/>
      <c r="WCF23" s="21"/>
      <c r="WCG23" s="21"/>
      <c r="WCH23" s="21"/>
      <c r="WCI23" s="21"/>
      <c r="WCJ23" s="21"/>
      <c r="WCK23" s="21"/>
      <c r="WCL23" s="21"/>
      <c r="WCM23" s="21"/>
      <c r="WCN23" s="21"/>
      <c r="WCO23" s="21"/>
      <c r="WCP23" s="21"/>
      <c r="WCQ23" s="21"/>
      <c r="WCR23" s="21"/>
      <c r="WCS23" s="21"/>
      <c r="WCT23" s="21"/>
      <c r="WCU23" s="21"/>
      <c r="WCV23" s="21"/>
      <c r="WCW23" s="21"/>
      <c r="WCX23" s="21"/>
      <c r="WCY23" s="21"/>
      <c r="WCZ23" s="21"/>
      <c r="WDA23" s="21"/>
      <c r="WDB23" s="21"/>
      <c r="WDC23" s="21"/>
      <c r="WDD23" s="21"/>
      <c r="WDE23" s="21"/>
      <c r="WDF23" s="21"/>
      <c r="WDG23" s="21"/>
      <c r="WDH23" s="21"/>
      <c r="WDI23" s="21"/>
      <c r="WDJ23" s="21"/>
      <c r="WDK23" s="21"/>
      <c r="WDL23" s="21"/>
      <c r="WDM23" s="21"/>
      <c r="WDN23" s="21"/>
      <c r="WDO23" s="21"/>
      <c r="WDP23" s="21"/>
      <c r="WDQ23" s="21"/>
      <c r="WDR23" s="21"/>
      <c r="WDS23" s="21"/>
      <c r="WDT23" s="21"/>
      <c r="WDU23" s="21"/>
      <c r="WDV23" s="21"/>
      <c r="WDW23" s="21"/>
      <c r="WDX23" s="21"/>
      <c r="WDY23" s="21"/>
      <c r="WDZ23" s="21"/>
      <c r="WEA23" s="21"/>
      <c r="WEB23" s="21"/>
      <c r="WEC23" s="21"/>
      <c r="WED23" s="21"/>
      <c r="WEE23" s="21"/>
      <c r="WEF23" s="21"/>
      <c r="WEG23" s="21"/>
      <c r="WEH23" s="21"/>
      <c r="WEI23" s="21"/>
      <c r="WEJ23" s="21"/>
      <c r="WEK23" s="21"/>
      <c r="WEL23" s="21"/>
      <c r="WEM23" s="21"/>
      <c r="WEN23" s="21"/>
      <c r="WEO23" s="21"/>
      <c r="WEP23" s="21"/>
      <c r="WEQ23" s="21"/>
      <c r="WER23" s="21"/>
      <c r="WES23" s="21"/>
      <c r="WET23" s="21"/>
      <c r="WEU23" s="21"/>
      <c r="WEV23" s="21"/>
      <c r="WEW23" s="21"/>
      <c r="WEX23" s="21"/>
      <c r="WEY23" s="21"/>
      <c r="WEZ23" s="21"/>
      <c r="WFA23" s="21"/>
      <c r="WFB23" s="21"/>
      <c r="WFC23" s="21"/>
      <c r="WFD23" s="21"/>
      <c r="WFE23" s="21"/>
      <c r="WFF23" s="21"/>
      <c r="WFG23" s="21"/>
      <c r="WFH23" s="21"/>
      <c r="WFI23" s="21"/>
      <c r="WFJ23" s="21"/>
      <c r="WFK23" s="21"/>
      <c r="WFL23" s="21"/>
      <c r="WFM23" s="21"/>
      <c r="WFN23" s="21"/>
      <c r="WFO23" s="21"/>
      <c r="WFP23" s="21"/>
      <c r="WFQ23" s="21"/>
      <c r="WFR23" s="21"/>
      <c r="WFS23" s="21"/>
      <c r="WFT23" s="21"/>
      <c r="WFU23" s="21"/>
      <c r="WFV23" s="21"/>
      <c r="WFW23" s="21"/>
      <c r="WFX23" s="21"/>
      <c r="WFY23" s="21"/>
      <c r="WFZ23" s="21"/>
      <c r="WGA23" s="21"/>
      <c r="WGB23" s="21"/>
      <c r="WGC23" s="21"/>
      <c r="WGD23" s="21"/>
      <c r="WGE23" s="21"/>
      <c r="WGF23" s="21"/>
      <c r="WGG23" s="21"/>
      <c r="WGH23" s="21"/>
      <c r="WGI23" s="21"/>
      <c r="WGJ23" s="21"/>
      <c r="WGK23" s="21"/>
      <c r="WGL23" s="21"/>
      <c r="WGM23" s="21"/>
      <c r="WGN23" s="21"/>
      <c r="WGO23" s="21"/>
      <c r="WGP23" s="21"/>
      <c r="WGQ23" s="21"/>
      <c r="WGR23" s="21"/>
      <c r="WGS23" s="21"/>
      <c r="WGT23" s="21"/>
      <c r="WGU23" s="21"/>
      <c r="WGV23" s="21"/>
      <c r="WGW23" s="21"/>
      <c r="WGX23" s="21"/>
      <c r="WGY23" s="21"/>
      <c r="WGZ23" s="21"/>
      <c r="WHA23" s="21"/>
      <c r="WHB23" s="21"/>
      <c r="WHC23" s="21"/>
      <c r="WHD23" s="21"/>
      <c r="WHE23" s="21"/>
      <c r="WHF23" s="21"/>
      <c r="WHG23" s="21"/>
      <c r="WHH23" s="21"/>
      <c r="WHI23" s="21"/>
      <c r="WHJ23" s="21"/>
      <c r="WHK23" s="21"/>
      <c r="WHL23" s="21"/>
      <c r="WHM23" s="21"/>
      <c r="WHN23" s="21"/>
      <c r="WHO23" s="21"/>
      <c r="WHP23" s="21"/>
      <c r="WHQ23" s="21"/>
      <c r="WHR23" s="21"/>
      <c r="WHS23" s="21"/>
      <c r="WHT23" s="21"/>
      <c r="WHU23" s="21"/>
      <c r="WHV23" s="21"/>
      <c r="WHW23" s="21"/>
      <c r="WHX23" s="21"/>
      <c r="WHY23" s="21"/>
      <c r="WHZ23" s="21"/>
      <c r="WIA23" s="21"/>
      <c r="WIB23" s="21"/>
      <c r="WIC23" s="21"/>
      <c r="WID23" s="21"/>
      <c r="WIE23" s="21"/>
      <c r="WIF23" s="21"/>
      <c r="WIG23" s="21"/>
      <c r="WIH23" s="21"/>
      <c r="WII23" s="21"/>
      <c r="WIJ23" s="21"/>
      <c r="WIK23" s="21"/>
      <c r="WIL23" s="21"/>
      <c r="WIM23" s="21"/>
      <c r="WIN23" s="21"/>
      <c r="WIO23" s="21"/>
      <c r="WIP23" s="21"/>
      <c r="WIQ23" s="21"/>
      <c r="WIR23" s="21"/>
      <c r="WIS23" s="21"/>
      <c r="WIT23" s="21"/>
      <c r="WIU23" s="21"/>
      <c r="WIV23" s="21"/>
      <c r="WIW23" s="21"/>
      <c r="WIX23" s="21"/>
      <c r="WIY23" s="21"/>
      <c r="WIZ23" s="21"/>
      <c r="WJA23" s="21"/>
      <c r="WJB23" s="21"/>
      <c r="WJC23" s="21"/>
      <c r="WJD23" s="21"/>
      <c r="WJE23" s="21"/>
      <c r="WJF23" s="21"/>
      <c r="WJG23" s="21"/>
      <c r="WJH23" s="21"/>
      <c r="WJI23" s="21"/>
      <c r="WJJ23" s="21"/>
      <c r="WJK23" s="21"/>
      <c r="WJL23" s="21"/>
      <c r="WJM23" s="21"/>
      <c r="WJN23" s="21"/>
      <c r="WJO23" s="21"/>
      <c r="WJP23" s="21"/>
      <c r="WJQ23" s="21"/>
      <c r="WJR23" s="21"/>
      <c r="WJS23" s="21"/>
      <c r="WJT23" s="21"/>
      <c r="WJU23" s="21"/>
      <c r="WJV23" s="21"/>
      <c r="WJW23" s="21"/>
      <c r="WJX23" s="21"/>
      <c r="WJY23" s="21"/>
      <c r="WJZ23" s="21"/>
      <c r="WKA23" s="21"/>
      <c r="WKB23" s="21"/>
      <c r="WKC23" s="21"/>
      <c r="WKD23" s="21"/>
      <c r="WKE23" s="21"/>
      <c r="WKF23" s="21"/>
      <c r="WKG23" s="21"/>
      <c r="WKH23" s="21"/>
      <c r="WKI23" s="21"/>
      <c r="WKJ23" s="21"/>
      <c r="WKK23" s="21"/>
      <c r="WKL23" s="21"/>
      <c r="WKM23" s="21"/>
      <c r="WKN23" s="21"/>
      <c r="WKO23" s="21"/>
      <c r="WKP23" s="21"/>
      <c r="WKQ23" s="21"/>
      <c r="WKR23" s="21"/>
      <c r="WKS23" s="21"/>
      <c r="WKT23" s="21"/>
      <c r="WKU23" s="21"/>
      <c r="WKV23" s="21"/>
      <c r="WKW23" s="21"/>
      <c r="WKX23" s="21"/>
      <c r="WKY23" s="21"/>
      <c r="WKZ23" s="21"/>
      <c r="WLA23" s="21"/>
      <c r="WLB23" s="21"/>
      <c r="WLC23" s="21"/>
      <c r="WLD23" s="21"/>
      <c r="WLE23" s="21"/>
      <c r="WLF23" s="21"/>
      <c r="WLG23" s="21"/>
      <c r="WLH23" s="21"/>
      <c r="WLI23" s="21"/>
      <c r="WLJ23" s="21"/>
      <c r="WLK23" s="21"/>
      <c r="WLL23" s="21"/>
      <c r="WLM23" s="21"/>
      <c r="WLN23" s="21"/>
      <c r="WLO23" s="21"/>
      <c r="WLP23" s="21"/>
      <c r="WLQ23" s="21"/>
      <c r="WLR23" s="21"/>
      <c r="WLS23" s="21"/>
      <c r="WLT23" s="21"/>
      <c r="WLU23" s="21"/>
      <c r="WLV23" s="21"/>
      <c r="WLW23" s="21"/>
      <c r="WLX23" s="21"/>
      <c r="WLY23" s="21"/>
      <c r="WLZ23" s="21"/>
      <c r="WMA23" s="21"/>
      <c r="WMB23" s="21"/>
      <c r="WMC23" s="21"/>
      <c r="WMD23" s="21"/>
      <c r="WME23" s="21"/>
      <c r="WMF23" s="21"/>
      <c r="WMG23" s="21"/>
      <c r="WMH23" s="21"/>
      <c r="WMI23" s="21"/>
      <c r="WMJ23" s="21"/>
      <c r="WMK23" s="21"/>
      <c r="WML23" s="21"/>
      <c r="WMM23" s="21"/>
      <c r="WMN23" s="21"/>
      <c r="WMO23" s="21"/>
      <c r="WMP23" s="21"/>
      <c r="WMQ23" s="21"/>
      <c r="WMR23" s="21"/>
      <c r="WMS23" s="21"/>
      <c r="WMT23" s="21"/>
      <c r="WMU23" s="21"/>
      <c r="WMV23" s="21"/>
      <c r="WMW23" s="21"/>
      <c r="WMX23" s="21"/>
      <c r="WMY23" s="21"/>
      <c r="WMZ23" s="21"/>
      <c r="WNA23" s="21"/>
      <c r="WNB23" s="21"/>
      <c r="WNC23" s="21"/>
      <c r="WND23" s="21"/>
      <c r="WNE23" s="21"/>
      <c r="WNF23" s="21"/>
      <c r="WNG23" s="21"/>
      <c r="WNH23" s="21"/>
      <c r="WNI23" s="21"/>
      <c r="WNJ23" s="21"/>
      <c r="WNK23" s="21"/>
      <c r="WNL23" s="21"/>
      <c r="WNM23" s="21"/>
      <c r="WNN23" s="21"/>
      <c r="WNO23" s="21"/>
      <c r="WNP23" s="21"/>
      <c r="WNQ23" s="21"/>
      <c r="WNR23" s="21"/>
      <c r="WNS23" s="21"/>
      <c r="WNT23" s="21"/>
      <c r="WNU23" s="21"/>
      <c r="WNV23" s="21"/>
      <c r="WNW23" s="21"/>
      <c r="WNX23" s="21"/>
      <c r="WNY23" s="21"/>
      <c r="WNZ23" s="21"/>
      <c r="WOA23" s="21"/>
      <c r="WOB23" s="21"/>
      <c r="WOC23" s="21"/>
      <c r="WOD23" s="21"/>
      <c r="WOE23" s="21"/>
      <c r="WOF23" s="21"/>
      <c r="WOG23" s="21"/>
      <c r="WOH23" s="21"/>
      <c r="WOI23" s="21"/>
      <c r="WOJ23" s="21"/>
      <c r="WOK23" s="21"/>
      <c r="WOL23" s="21"/>
      <c r="WOM23" s="21"/>
      <c r="WON23" s="21"/>
      <c r="WOO23" s="21"/>
      <c r="WOP23" s="21"/>
      <c r="WOQ23" s="21"/>
      <c r="WOR23" s="21"/>
      <c r="WOS23" s="21"/>
      <c r="WOT23" s="21"/>
      <c r="WOU23" s="21"/>
      <c r="WOV23" s="21"/>
      <c r="WOW23" s="21"/>
      <c r="WOX23" s="21"/>
      <c r="WOY23" s="21"/>
      <c r="WOZ23" s="21"/>
      <c r="WPA23" s="21"/>
      <c r="WPB23" s="21"/>
      <c r="WPC23" s="21"/>
      <c r="WPD23" s="21"/>
      <c r="WPE23" s="21"/>
      <c r="WPF23" s="21"/>
      <c r="WPG23" s="21"/>
      <c r="WPH23" s="21"/>
      <c r="WPI23" s="21"/>
      <c r="WPJ23" s="21"/>
      <c r="WPK23" s="21"/>
      <c r="WPL23" s="21"/>
      <c r="WPM23" s="21"/>
      <c r="WPN23" s="21"/>
      <c r="WPO23" s="21"/>
      <c r="WPP23" s="21"/>
      <c r="WPQ23" s="21"/>
      <c r="WPR23" s="21"/>
      <c r="WPS23" s="21"/>
      <c r="WPT23" s="21"/>
      <c r="WPU23" s="21"/>
      <c r="WPV23" s="21"/>
      <c r="WPW23" s="21"/>
      <c r="WPX23" s="21"/>
      <c r="WPY23" s="21"/>
      <c r="WPZ23" s="21"/>
      <c r="WQA23" s="21"/>
      <c r="WQB23" s="21"/>
      <c r="WQC23" s="21"/>
      <c r="WQD23" s="21"/>
      <c r="WQE23" s="21"/>
      <c r="WQF23" s="21"/>
      <c r="WQG23" s="21"/>
      <c r="WQH23" s="21"/>
      <c r="WQI23" s="21"/>
      <c r="WQJ23" s="21"/>
      <c r="WQK23" s="21"/>
      <c r="WQL23" s="21"/>
      <c r="WQM23" s="21"/>
      <c r="WQN23" s="21"/>
      <c r="WQO23" s="21"/>
      <c r="WQP23" s="21"/>
      <c r="WQQ23" s="21"/>
      <c r="WQR23" s="21"/>
      <c r="WQS23" s="21"/>
      <c r="WQT23" s="21"/>
      <c r="WQU23" s="21"/>
      <c r="WQV23" s="21"/>
      <c r="WQW23" s="21"/>
      <c r="WQX23" s="21"/>
      <c r="WQY23" s="21"/>
      <c r="WQZ23" s="21"/>
      <c r="WRA23" s="21"/>
      <c r="WRB23" s="21"/>
      <c r="WRC23" s="21"/>
      <c r="WRD23" s="21"/>
      <c r="WRE23" s="21"/>
      <c r="WRF23" s="21"/>
      <c r="WRG23" s="21"/>
      <c r="WRH23" s="21"/>
      <c r="WRI23" s="21"/>
      <c r="WRJ23" s="21"/>
      <c r="WRK23" s="21"/>
      <c r="WRL23" s="21"/>
      <c r="WRM23" s="21"/>
      <c r="WRN23" s="21"/>
      <c r="WRO23" s="21"/>
      <c r="WRP23" s="21"/>
      <c r="WRQ23" s="21"/>
      <c r="WRR23" s="21"/>
      <c r="WRS23" s="21"/>
      <c r="WRT23" s="21"/>
      <c r="WRU23" s="21"/>
      <c r="WRV23" s="21"/>
      <c r="WRW23" s="21"/>
      <c r="WRX23" s="21"/>
      <c r="WRY23" s="21"/>
      <c r="WRZ23" s="21"/>
      <c r="WSA23" s="21"/>
      <c r="WSB23" s="21"/>
      <c r="WSC23" s="21"/>
      <c r="WSD23" s="21"/>
      <c r="WSE23" s="21"/>
      <c r="WSF23" s="21"/>
      <c r="WSG23" s="21"/>
      <c r="WSH23" s="21"/>
      <c r="WSI23" s="21"/>
      <c r="WSJ23" s="21"/>
      <c r="WSK23" s="21"/>
      <c r="WSL23" s="21"/>
      <c r="WSM23" s="21"/>
      <c r="WSN23" s="21"/>
      <c r="WSO23" s="21"/>
    </row>
    <row r="24" spans="1:16384" s="1" customFormat="1" ht="14.25"/>
    <row r="25" spans="1:16384" s="1" customFormat="1">
      <c r="A25" s="3"/>
      <c r="B25" s="309" t="s">
        <v>124</v>
      </c>
      <c r="C25" s="310"/>
      <c r="D25" s="311"/>
      <c r="E25" s="312" t="s">
        <v>125</v>
      </c>
      <c r="F25" s="312"/>
      <c r="G25" s="312" t="s">
        <v>126</v>
      </c>
      <c r="H25" s="3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16384" s="1" customFormat="1">
      <c r="A26" s="3"/>
      <c r="B26" s="10" t="s">
        <v>127</v>
      </c>
      <c r="C26" s="10" t="s">
        <v>128</v>
      </c>
      <c r="D26" s="10" t="s">
        <v>12</v>
      </c>
      <c r="E26" s="10" t="s">
        <v>129</v>
      </c>
      <c r="F26" s="10" t="s">
        <v>130</v>
      </c>
      <c r="G26" s="10" t="s">
        <v>129</v>
      </c>
      <c r="H26" s="10" t="s">
        <v>130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16384" s="3" customFormat="1">
      <c r="B27" s="11">
        <v>104</v>
      </c>
      <c r="C27" s="12">
        <v>1767925</v>
      </c>
      <c r="D27" s="13">
        <f>C27/(SUM(C27:C30))*100</f>
        <v>99.6149336332426</v>
      </c>
      <c r="E27" s="307">
        <v>4.75</v>
      </c>
      <c r="F27" s="308">
        <v>2.0099999999999998</v>
      </c>
      <c r="G27" s="13">
        <v>4.3499999999999996</v>
      </c>
      <c r="H27" s="13">
        <v>2.0499999999999998</v>
      </c>
      <c r="J27" s="19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16384" s="3" customFormat="1">
      <c r="B28" s="11">
        <v>105</v>
      </c>
      <c r="C28" s="12">
        <v>6834</v>
      </c>
      <c r="D28" s="13">
        <f>C28/(SUM(C27:C30))*100</f>
        <v>0.38506636675740197</v>
      </c>
      <c r="E28" s="307"/>
      <c r="F28" s="308"/>
      <c r="G28" s="13">
        <v>6.06</v>
      </c>
      <c r="H28" s="13">
        <v>1.91</v>
      </c>
      <c r="J28" s="19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16384">
      <c r="B29" s="11">
        <v>106</v>
      </c>
      <c r="C29" s="12">
        <v>0</v>
      </c>
      <c r="D29" s="13">
        <f>C29/(SUM(C27:C30))*100</f>
        <v>0</v>
      </c>
      <c r="E29" s="307"/>
      <c r="F29" s="308"/>
      <c r="G29" s="13"/>
      <c r="H29" s="13"/>
      <c r="J29" s="19"/>
    </row>
    <row r="30" spans="1:16384" s="1" customFormat="1">
      <c r="A30" s="3"/>
      <c r="B30" s="11">
        <v>107</v>
      </c>
      <c r="C30" s="12">
        <v>0</v>
      </c>
      <c r="D30" s="13">
        <f>C30/(SUM(C27:C30))*100</f>
        <v>0</v>
      </c>
      <c r="E30" s="307"/>
      <c r="F30" s="308"/>
      <c r="G30" s="13"/>
      <c r="H30" s="13"/>
      <c r="I30" s="3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16384">
      <c r="B31" s="306" t="s">
        <v>131</v>
      </c>
      <c r="C31" s="306"/>
      <c r="D31" s="306"/>
      <c r="E31" s="14"/>
      <c r="F31" s="14"/>
      <c r="G31" s="15">
        <f>AVERAGE(G27:G30)</f>
        <v>5.2050000000000001</v>
      </c>
      <c r="H31" s="16">
        <f>AVERAGE(H27:H30)</f>
        <v>1.98</v>
      </c>
      <c r="J31" s="19"/>
    </row>
    <row r="33" spans="1:16384">
      <c r="B33" s="3" t="s">
        <v>132</v>
      </c>
    </row>
    <row r="34" spans="1:16384" s="4" customFormat="1">
      <c r="A34" s="3"/>
      <c r="B34" s="3"/>
      <c r="C34" s="17" t="s">
        <v>133</v>
      </c>
      <c r="D34" s="17" t="s">
        <v>129</v>
      </c>
      <c r="E34" s="17" t="s">
        <v>130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A35" s="3"/>
      <c r="B35" s="3"/>
      <c r="C35" s="18">
        <v>99.6149336332426</v>
      </c>
      <c r="D35" s="19">
        <f t="shared" ref="D35:D38" si="2">C35%*G27</f>
        <v>4.3332496130460525</v>
      </c>
      <c r="E35" s="19">
        <f t="shared" ref="E35:E38" si="3">C35%*H27</f>
        <v>2.042106139481473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A36" s="3"/>
      <c r="B36" s="3"/>
      <c r="C36" s="18">
        <v>0.38506636675740202</v>
      </c>
      <c r="D36" s="19">
        <f t="shared" si="2"/>
        <v>2.3335021825498559E-2</v>
      </c>
      <c r="E36" s="19">
        <f t="shared" si="3"/>
        <v>7.354767605066378E-3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A37" s="3"/>
      <c r="B37" s="3"/>
      <c r="C37" s="18"/>
      <c r="D37" s="19">
        <f t="shared" si="2"/>
        <v>0</v>
      </c>
      <c r="E37" s="19">
        <f t="shared" si="3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8"/>
      <c r="D38" s="19">
        <f t="shared" si="2"/>
        <v>0</v>
      </c>
      <c r="E38" s="19">
        <f t="shared" si="3"/>
        <v>0</v>
      </c>
    </row>
    <row r="39" spans="1:16384" s="1" customFormat="1" ht="14.25">
      <c r="D39" s="20">
        <f>SUM(D35:D38)</f>
        <v>4.3565846348715507</v>
      </c>
      <c r="E39" s="20">
        <f>SUM(E35:E38)</f>
        <v>2.0494609070865395</v>
      </c>
    </row>
    <row r="40" spans="1:16384" s="1" customFormat="1" ht="14.25"/>
    <row r="41" spans="1:16384" s="1" customFormat="1" ht="14.25"/>
    <row r="42" spans="1:16384" s="1" customFormat="1" ht="14.25"/>
    <row r="48" spans="1:16384" hidden="1"/>
    <row r="49" spans="16058:16071" hidden="1"/>
    <row r="55" spans="16058:16071" s="3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3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5" customFormat="1" ht="14.25"/>
    <row r="60" spans="16058:16071" s="5" customFormat="1" ht="14.25"/>
    <row r="61" spans="16058:16071" s="5" customFormat="1" ht="14.25"/>
    <row r="63" spans="16058:16071" s="6" customFormat="1"/>
    <row r="64" spans="16058:16071" s="1" customFormat="1" ht="14.25"/>
    <row r="65" spans="1:16057" s="1" customFormat="1" ht="14.25"/>
    <row r="66" spans="1:16057" s="1" customFormat="1" ht="14.25"/>
    <row r="67" spans="1:16057" s="1" customFormat="1" ht="14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</row>
    <row r="68" spans="1:16057" s="1" customFormat="1" ht="14.25"/>
    <row r="69" spans="1:16057" s="7" customFormat="1" ht="14.25"/>
    <row r="70" spans="1:16057" s="7" customFormat="1" ht="14.25"/>
    <row r="71" spans="1:16057" s="1" customFormat="1" ht="14.25"/>
    <row r="72" spans="1:16057" s="1" customFormat="1" ht="14.25"/>
    <row r="73" spans="1:16057" s="1" customFormat="1" ht="14.25"/>
    <row r="74" spans="1:16057" s="1" customFormat="1" ht="14.25"/>
    <row r="75" spans="1:16057" s="1" customFormat="1" ht="14.25"/>
    <row r="77" spans="1:16057" s="1" customFormat="1" ht="14.25"/>
    <row r="78" spans="1:16057" s="1" customFormat="1" ht="14.25"/>
    <row r="79" spans="1:16057" s="1" customFormat="1" ht="14.25"/>
    <row r="80" spans="1:16057" s="1" customFormat="1" ht="14.25"/>
    <row r="81" s="1" customFormat="1" ht="14.25"/>
    <row r="82" s="1" customFormat="1" ht="14.25"/>
    <row r="84" s="1" customFormat="1" ht="14.25"/>
    <row r="85" s="1" customFormat="1" ht="14.25"/>
    <row r="86" s="1" customFormat="1" ht="14.25"/>
    <row r="87" s="1" customFormat="1" ht="14.25"/>
    <row r="88" s="1" customFormat="1" ht="14.25"/>
    <row r="89" s="1" customFormat="1" ht="14.25"/>
    <row r="90" s="1" customFormat="1" ht="14.25"/>
    <row r="95" s="1" customFormat="1" ht="14.25"/>
    <row r="96" s="5" customFormat="1" ht="14.25"/>
    <row r="100" s="8" customFormat="1"/>
    <row r="101" s="8" customFormat="1"/>
    <row r="102" s="8" customFormat="1"/>
    <row r="103" s="8" customFormat="1"/>
    <row r="107" s="8" customFormat="1"/>
    <row r="109" s="9" customFormat="1" ht="14.25"/>
    <row r="110" s="9" customFormat="1" ht="14.25"/>
    <row r="111" s="9" customFormat="1" ht="14.25"/>
    <row r="112" s="9" customFormat="1" ht="14.25"/>
    <row r="113" s="9" customFormat="1" ht="14.25"/>
    <row r="114" s="9" customFormat="1" ht="14.25"/>
    <row r="115" s="9" customFormat="1" ht="14.25"/>
    <row r="124" hidden="1"/>
    <row r="126" s="8" customFormat="1"/>
    <row r="131" hidden="1"/>
    <row r="133" s="8" customFormat="1"/>
    <row r="135" hidden="1"/>
    <row r="136" hidden="1"/>
    <row r="137" hidden="1"/>
    <row r="138" hidden="1"/>
    <row r="139" hidden="1"/>
    <row r="140" hidden="1"/>
  </sheetData>
  <mergeCells count="12">
    <mergeCell ref="B7:D7"/>
    <mergeCell ref="E7:F7"/>
    <mergeCell ref="G7:H7"/>
    <mergeCell ref="B13:D13"/>
    <mergeCell ref="B25:D25"/>
    <mergeCell ref="E25:F25"/>
    <mergeCell ref="G25:H25"/>
    <mergeCell ref="B31:D31"/>
    <mergeCell ref="E9:E12"/>
    <mergeCell ref="E27:E30"/>
    <mergeCell ref="F9:F12"/>
    <mergeCell ref="F27:F3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Januari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2020-09-29T04:26:00Z</cp:lastPrinted>
  <dcterms:created xsi:type="dcterms:W3CDTF">2019-05-08T06:22:00Z</dcterms:created>
  <dcterms:modified xsi:type="dcterms:W3CDTF">2022-03-14T03:09:37Z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