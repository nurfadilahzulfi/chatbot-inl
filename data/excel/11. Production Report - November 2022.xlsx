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PORAN PRODUKSI\"/>
    </mc:Choice>
  </mc:AlternateContent>
  <xr:revisionPtr revIDLastSave="0" documentId="13_ncr:1_{3844A974-DCF6-47F1-9B31-7882DB4E2512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Nov-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29" i="1" l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AK228" i="1"/>
  <c r="AK225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AK224" i="1" s="1"/>
  <c r="AK223" i="1"/>
  <c r="D223" i="1"/>
  <c r="D224" i="1" s="1"/>
  <c r="AK222" i="1"/>
  <c r="AGK222" i="1" s="1"/>
  <c r="AK221" i="1"/>
  <c r="AGK221" i="1" s="1"/>
  <c r="AK219" i="1"/>
  <c r="AA217" i="1"/>
  <c r="W217" i="1"/>
  <c r="K217" i="1"/>
  <c r="G217" i="1"/>
  <c r="AI216" i="1"/>
  <c r="AI217" i="1" s="1"/>
  <c r="AH216" i="1"/>
  <c r="AH217" i="1" s="1"/>
  <c r="AG216" i="1"/>
  <c r="AG217" i="1" s="1"/>
  <c r="AF216" i="1"/>
  <c r="AF217" i="1" s="1"/>
  <c r="AE216" i="1"/>
  <c r="AE217" i="1" s="1"/>
  <c r="AD216" i="1"/>
  <c r="AD217" i="1" s="1"/>
  <c r="AC216" i="1"/>
  <c r="AC217" i="1" s="1"/>
  <c r="AB216" i="1"/>
  <c r="AB217" i="1" s="1"/>
  <c r="AA216" i="1"/>
  <c r="Z216" i="1"/>
  <c r="Z217" i="1" s="1"/>
  <c r="Y216" i="1"/>
  <c r="Y217" i="1" s="1"/>
  <c r="X216" i="1"/>
  <c r="X217" i="1" s="1"/>
  <c r="W216" i="1"/>
  <c r="V216" i="1"/>
  <c r="V217" i="1" s="1"/>
  <c r="U216" i="1"/>
  <c r="U217" i="1" s="1"/>
  <c r="T216" i="1"/>
  <c r="T217" i="1" s="1"/>
  <c r="S216" i="1"/>
  <c r="S217" i="1" s="1"/>
  <c r="R216" i="1"/>
  <c r="R217" i="1" s="1"/>
  <c r="Q216" i="1"/>
  <c r="Q217" i="1" s="1"/>
  <c r="P216" i="1"/>
  <c r="P217" i="1" s="1"/>
  <c r="O216" i="1"/>
  <c r="O217" i="1" s="1"/>
  <c r="N216" i="1"/>
  <c r="N217" i="1" s="1"/>
  <c r="M216" i="1"/>
  <c r="M217" i="1" s="1"/>
  <c r="L216" i="1"/>
  <c r="L217" i="1" s="1"/>
  <c r="K216" i="1"/>
  <c r="J216" i="1"/>
  <c r="J217" i="1" s="1"/>
  <c r="I216" i="1"/>
  <c r="I217" i="1" s="1"/>
  <c r="H216" i="1"/>
  <c r="H217" i="1" s="1"/>
  <c r="G216" i="1"/>
  <c r="F216" i="1"/>
  <c r="F217" i="1" s="1"/>
  <c r="D216" i="1"/>
  <c r="D217" i="1" s="1"/>
  <c r="AK215" i="1"/>
  <c r="AK214" i="1"/>
  <c r="AK212" i="1"/>
  <c r="D212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D210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AK209" i="1" s="1"/>
  <c r="AK208" i="1"/>
  <c r="AK206" i="1"/>
  <c r="AK205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AF202" i="1"/>
  <c r="AB202" i="1"/>
  <c r="X202" i="1"/>
  <c r="P202" i="1"/>
  <c r="L202" i="1"/>
  <c r="H202" i="1"/>
  <c r="AI201" i="1"/>
  <c r="AH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AK200" i="1" s="1"/>
  <c r="AI199" i="1"/>
  <c r="AH199" i="1"/>
  <c r="AG199" i="1"/>
  <c r="AF199" i="1"/>
  <c r="AE199" i="1"/>
  <c r="AE202" i="1" s="1"/>
  <c r="AD199" i="1"/>
  <c r="AC199" i="1"/>
  <c r="AC202" i="1" s="1"/>
  <c r="AB199" i="1"/>
  <c r="AA199" i="1"/>
  <c r="AA202" i="1" s="1"/>
  <c r="Z199" i="1"/>
  <c r="Y199" i="1"/>
  <c r="Y202" i="1" s="1"/>
  <c r="X199" i="1"/>
  <c r="W199" i="1"/>
  <c r="W202" i="1" s="1"/>
  <c r="V199" i="1"/>
  <c r="U199" i="1"/>
  <c r="U202" i="1" s="1"/>
  <c r="T199" i="1"/>
  <c r="S199" i="1"/>
  <c r="S202" i="1" s="1"/>
  <c r="R199" i="1"/>
  <c r="Q199" i="1"/>
  <c r="Q202" i="1" s="1"/>
  <c r="P199" i="1"/>
  <c r="O199" i="1"/>
  <c r="O202" i="1" s="1"/>
  <c r="N199" i="1"/>
  <c r="M199" i="1"/>
  <c r="M202" i="1" s="1"/>
  <c r="L199" i="1"/>
  <c r="K199" i="1"/>
  <c r="K202" i="1" s="1"/>
  <c r="J199" i="1"/>
  <c r="I199" i="1"/>
  <c r="I202" i="1" s="1"/>
  <c r="H199" i="1"/>
  <c r="G199" i="1"/>
  <c r="G202" i="1" s="1"/>
  <c r="F199" i="1"/>
  <c r="AK198" i="1"/>
  <c r="AK196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AK193" i="1" s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AK192" i="1" s="1"/>
  <c r="AK191" i="1"/>
  <c r="AE191" i="1"/>
  <c r="AD191" i="1"/>
  <c r="AC191" i="1"/>
  <c r="AB191" i="1"/>
  <c r="AB186" i="1" s="1"/>
  <c r="AB187" i="1" s="1"/>
  <c r="AA191" i="1"/>
  <c r="Z191" i="1"/>
  <c r="Y191" i="1"/>
  <c r="X191" i="1"/>
  <c r="X186" i="1" s="1"/>
  <c r="W191" i="1"/>
  <c r="V191" i="1"/>
  <c r="U191" i="1"/>
  <c r="T191" i="1"/>
  <c r="T186" i="1" s="1"/>
  <c r="T187" i="1" s="1"/>
  <c r="S191" i="1"/>
  <c r="R191" i="1"/>
  <c r="Q191" i="1"/>
  <c r="P191" i="1"/>
  <c r="P186" i="1" s="1"/>
  <c r="O191" i="1"/>
  <c r="N191" i="1"/>
  <c r="M191" i="1"/>
  <c r="L191" i="1"/>
  <c r="L186" i="1" s="1"/>
  <c r="L187" i="1" s="1"/>
  <c r="K191" i="1"/>
  <c r="J191" i="1"/>
  <c r="I191" i="1"/>
  <c r="H191" i="1"/>
  <c r="H186" i="1" s="1"/>
  <c r="G191" i="1"/>
  <c r="F191" i="1"/>
  <c r="AK189" i="1"/>
  <c r="AH187" i="1"/>
  <c r="AG187" i="1"/>
  <c r="AF187" i="1"/>
  <c r="AD187" i="1"/>
  <c r="Z187" i="1"/>
  <c r="X187" i="1"/>
  <c r="V187" i="1"/>
  <c r="R187" i="1"/>
  <c r="P187" i="1"/>
  <c r="N187" i="1"/>
  <c r="J187" i="1"/>
  <c r="H187" i="1"/>
  <c r="F187" i="1"/>
  <c r="AK186" i="1"/>
  <c r="AI186" i="1"/>
  <c r="AI187" i="1" s="1"/>
  <c r="AF186" i="1"/>
  <c r="AE186" i="1"/>
  <c r="AE187" i="1" s="1"/>
  <c r="AD186" i="1"/>
  <c r="AC186" i="1"/>
  <c r="AC187" i="1" s="1"/>
  <c r="AA186" i="1"/>
  <c r="AA187" i="1" s="1"/>
  <c r="Z186" i="1"/>
  <c r="Y186" i="1"/>
  <c r="Y187" i="1" s="1"/>
  <c r="W186" i="1"/>
  <c r="W187" i="1" s="1"/>
  <c r="V186" i="1"/>
  <c r="U186" i="1"/>
  <c r="U187" i="1" s="1"/>
  <c r="S186" i="1"/>
  <c r="S187" i="1" s="1"/>
  <c r="R186" i="1"/>
  <c r="Q186" i="1"/>
  <c r="Q187" i="1" s="1"/>
  <c r="O186" i="1"/>
  <c r="O187" i="1" s="1"/>
  <c r="N186" i="1"/>
  <c r="M186" i="1"/>
  <c r="M187" i="1" s="1"/>
  <c r="K186" i="1"/>
  <c r="K187" i="1" s="1"/>
  <c r="J186" i="1"/>
  <c r="I186" i="1"/>
  <c r="I187" i="1" s="1"/>
  <c r="G186" i="1"/>
  <c r="G187" i="1" s="1"/>
  <c r="F186" i="1"/>
  <c r="AQ185" i="1"/>
  <c r="AP185" i="1"/>
  <c r="AK184" i="1"/>
  <c r="AF182" i="1"/>
  <c r="AB182" i="1"/>
  <c r="X182" i="1"/>
  <c r="T182" i="1"/>
  <c r="P182" i="1"/>
  <c r="L182" i="1"/>
  <c r="H182" i="1"/>
  <c r="AI181" i="1"/>
  <c r="AE181" i="1"/>
  <c r="AA181" i="1"/>
  <c r="W181" i="1"/>
  <c r="S181" i="1"/>
  <c r="O181" i="1"/>
  <c r="K181" i="1"/>
  <c r="G181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AK175" i="1"/>
  <c r="AK182" i="1" s="1"/>
  <c r="AK174" i="1"/>
  <c r="AK172" i="1"/>
  <c r="AK171" i="1"/>
  <c r="AK179" i="1" s="1"/>
  <c r="AK170" i="1"/>
  <c r="AK178" i="1" s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AK166" i="1" s="1"/>
  <c r="G166" i="1"/>
  <c r="F166" i="1"/>
  <c r="AI165" i="1"/>
  <c r="AI182" i="1" s="1"/>
  <c r="AH165" i="1"/>
  <c r="AH182" i="1" s="1"/>
  <c r="AG165" i="1"/>
  <c r="AG182" i="1" s="1"/>
  <c r="AF165" i="1"/>
  <c r="AE165" i="1"/>
  <c r="AE182" i="1" s="1"/>
  <c r="AD165" i="1"/>
  <c r="AD182" i="1" s="1"/>
  <c r="AC165" i="1"/>
  <c r="AC182" i="1" s="1"/>
  <c r="AB165" i="1"/>
  <c r="AA165" i="1"/>
  <c r="AA182" i="1" s="1"/>
  <c r="Z165" i="1"/>
  <c r="Z182" i="1" s="1"/>
  <c r="Y165" i="1"/>
  <c r="Y182" i="1" s="1"/>
  <c r="X165" i="1"/>
  <c r="W165" i="1"/>
  <c r="W182" i="1" s="1"/>
  <c r="V165" i="1"/>
  <c r="V182" i="1" s="1"/>
  <c r="U165" i="1"/>
  <c r="U182" i="1" s="1"/>
  <c r="T165" i="1"/>
  <c r="S165" i="1"/>
  <c r="S182" i="1" s="1"/>
  <c r="R165" i="1"/>
  <c r="R182" i="1" s="1"/>
  <c r="Q165" i="1"/>
  <c r="Q182" i="1" s="1"/>
  <c r="P165" i="1"/>
  <c r="O165" i="1"/>
  <c r="O182" i="1" s="1"/>
  <c r="N165" i="1"/>
  <c r="N182" i="1" s="1"/>
  <c r="M165" i="1"/>
  <c r="M182" i="1" s="1"/>
  <c r="L165" i="1"/>
  <c r="K165" i="1"/>
  <c r="K182" i="1" s="1"/>
  <c r="J165" i="1"/>
  <c r="J182" i="1" s="1"/>
  <c r="I165" i="1"/>
  <c r="I182" i="1" s="1"/>
  <c r="H165" i="1"/>
  <c r="G165" i="1"/>
  <c r="G182" i="1" s="1"/>
  <c r="F165" i="1"/>
  <c r="F182" i="1" s="1"/>
  <c r="AK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AI163" i="1"/>
  <c r="AH163" i="1"/>
  <c r="AH181" i="1" s="1"/>
  <c r="AG163" i="1"/>
  <c r="AG181" i="1" s="1"/>
  <c r="AF163" i="1"/>
  <c r="AF181" i="1" s="1"/>
  <c r="AE163" i="1"/>
  <c r="AD163" i="1"/>
  <c r="AD181" i="1" s="1"/>
  <c r="AC163" i="1"/>
  <c r="AC181" i="1" s="1"/>
  <c r="AB163" i="1"/>
  <c r="AB181" i="1" s="1"/>
  <c r="AA163" i="1"/>
  <c r="Z163" i="1"/>
  <c r="Z181" i="1" s="1"/>
  <c r="Y163" i="1"/>
  <c r="Y181" i="1" s="1"/>
  <c r="X163" i="1"/>
  <c r="X181" i="1" s="1"/>
  <c r="W163" i="1"/>
  <c r="V163" i="1"/>
  <c r="V181" i="1" s="1"/>
  <c r="U163" i="1"/>
  <c r="U181" i="1" s="1"/>
  <c r="T163" i="1"/>
  <c r="T181" i="1" s="1"/>
  <c r="S163" i="1"/>
  <c r="R163" i="1"/>
  <c r="R181" i="1" s="1"/>
  <c r="Q163" i="1"/>
  <c r="Q181" i="1" s="1"/>
  <c r="P163" i="1"/>
  <c r="P181" i="1" s="1"/>
  <c r="O163" i="1"/>
  <c r="N163" i="1"/>
  <c r="N181" i="1" s="1"/>
  <c r="M163" i="1"/>
  <c r="M181" i="1" s="1"/>
  <c r="L163" i="1"/>
  <c r="L181" i="1" s="1"/>
  <c r="K163" i="1"/>
  <c r="J163" i="1"/>
  <c r="J181" i="1" s="1"/>
  <c r="I163" i="1"/>
  <c r="I181" i="1" s="1"/>
  <c r="H163" i="1"/>
  <c r="H181" i="1" s="1"/>
  <c r="G163" i="1"/>
  <c r="F163" i="1"/>
  <c r="F181" i="1" s="1"/>
  <c r="AK161" i="1"/>
  <c r="AK165" i="1" s="1"/>
  <c r="AK160" i="1"/>
  <c r="AK159" i="1"/>
  <c r="AK163" i="1" s="1"/>
  <c r="AI157" i="1"/>
  <c r="AG157" i="1"/>
  <c r="AE157" i="1"/>
  <c r="AC157" i="1"/>
  <c r="AA157" i="1"/>
  <c r="Y157" i="1"/>
  <c r="W157" i="1"/>
  <c r="U157" i="1"/>
  <c r="S157" i="1"/>
  <c r="Q157" i="1"/>
  <c r="M157" i="1"/>
  <c r="K157" i="1"/>
  <c r="I157" i="1"/>
  <c r="AI156" i="1"/>
  <c r="AH156" i="1"/>
  <c r="AH157" i="1" s="1"/>
  <c r="AG156" i="1"/>
  <c r="AF156" i="1"/>
  <c r="AF157" i="1" s="1"/>
  <c r="AE156" i="1"/>
  <c r="AD156" i="1"/>
  <c r="AD157" i="1" s="1"/>
  <c r="AC156" i="1"/>
  <c r="AB156" i="1"/>
  <c r="AB157" i="1" s="1"/>
  <c r="AA156" i="1"/>
  <c r="Z156" i="1"/>
  <c r="Z157" i="1" s="1"/>
  <c r="Y156" i="1"/>
  <c r="X156" i="1"/>
  <c r="X157" i="1" s="1"/>
  <c r="W156" i="1"/>
  <c r="V156" i="1"/>
  <c r="V157" i="1" s="1"/>
  <c r="U156" i="1"/>
  <c r="T156" i="1"/>
  <c r="T157" i="1" s="1"/>
  <c r="S156" i="1"/>
  <c r="R156" i="1"/>
  <c r="R157" i="1" s="1"/>
  <c r="Q156" i="1"/>
  <c r="P156" i="1"/>
  <c r="P157" i="1" s="1"/>
  <c r="O156" i="1"/>
  <c r="O157" i="1" s="1"/>
  <c r="N156" i="1"/>
  <c r="N157" i="1" s="1"/>
  <c r="M156" i="1"/>
  <c r="L156" i="1"/>
  <c r="L157" i="1" s="1"/>
  <c r="K156" i="1"/>
  <c r="J156" i="1"/>
  <c r="J157" i="1" s="1"/>
  <c r="I156" i="1"/>
  <c r="H156" i="1"/>
  <c r="H157" i="1" s="1"/>
  <c r="G156" i="1"/>
  <c r="G157" i="1" s="1"/>
  <c r="F156" i="1"/>
  <c r="AM155" i="1"/>
  <c r="V153" i="1"/>
  <c r="U153" i="1"/>
  <c r="R153" i="1"/>
  <c r="Q153" i="1"/>
  <c r="N153" i="1"/>
  <c r="M153" i="1"/>
  <c r="J153" i="1"/>
  <c r="I153" i="1"/>
  <c r="F153" i="1"/>
  <c r="V152" i="1"/>
  <c r="S152" i="1"/>
  <c r="R152" i="1"/>
  <c r="O152" i="1"/>
  <c r="N152" i="1"/>
  <c r="K152" i="1"/>
  <c r="J152" i="1"/>
  <c r="G152" i="1"/>
  <c r="F152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K146" i="1"/>
  <c r="C146" i="1"/>
  <c r="AK145" i="1"/>
  <c r="C145" i="1"/>
  <c r="AK143" i="1"/>
  <c r="AK142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AK138" i="1" s="1"/>
  <c r="G138" i="1"/>
  <c r="F138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T153" i="1" s="1"/>
  <c r="S137" i="1"/>
  <c r="S153" i="1" s="1"/>
  <c r="R137" i="1"/>
  <c r="Q137" i="1"/>
  <c r="P137" i="1"/>
  <c r="P153" i="1" s="1"/>
  <c r="O137" i="1"/>
  <c r="O153" i="1" s="1"/>
  <c r="N137" i="1"/>
  <c r="M137" i="1"/>
  <c r="L137" i="1"/>
  <c r="L153" i="1" s="1"/>
  <c r="K137" i="1"/>
  <c r="K153" i="1" s="1"/>
  <c r="J137" i="1"/>
  <c r="I137" i="1"/>
  <c r="H137" i="1"/>
  <c r="H153" i="1" s="1"/>
  <c r="G137" i="1"/>
  <c r="G153" i="1" s="1"/>
  <c r="F137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U152" i="1" s="1"/>
  <c r="T136" i="1"/>
  <c r="T152" i="1" s="1"/>
  <c r="S136" i="1"/>
  <c r="R136" i="1"/>
  <c r="Q136" i="1"/>
  <c r="Q152" i="1" s="1"/>
  <c r="P136" i="1"/>
  <c r="P152" i="1" s="1"/>
  <c r="O136" i="1"/>
  <c r="N136" i="1"/>
  <c r="M136" i="1"/>
  <c r="M152" i="1" s="1"/>
  <c r="L136" i="1"/>
  <c r="L152" i="1" s="1"/>
  <c r="K136" i="1"/>
  <c r="J136" i="1"/>
  <c r="I136" i="1"/>
  <c r="I152" i="1" s="1"/>
  <c r="H136" i="1"/>
  <c r="H152" i="1" s="1"/>
  <c r="G136" i="1"/>
  <c r="F136" i="1"/>
  <c r="AK134" i="1"/>
  <c r="AK137" i="1" s="1"/>
  <c r="AK133" i="1"/>
  <c r="AK136" i="1" s="1"/>
  <c r="GQ131" i="1"/>
  <c r="AI131" i="1"/>
  <c r="AF131" i="1"/>
  <c r="AE131" i="1"/>
  <c r="AC131" i="1"/>
  <c r="AB131" i="1"/>
  <c r="AA131" i="1"/>
  <c r="X131" i="1"/>
  <c r="T131" i="1"/>
  <c r="S131" i="1"/>
  <c r="P131" i="1"/>
  <c r="O131" i="1"/>
  <c r="M131" i="1"/>
  <c r="L131" i="1"/>
  <c r="K131" i="1"/>
  <c r="H131" i="1"/>
  <c r="AR130" i="1"/>
  <c r="AS130" i="1" s="1"/>
  <c r="AI130" i="1"/>
  <c r="AH130" i="1"/>
  <c r="AH131" i="1" s="1"/>
  <c r="AG130" i="1"/>
  <c r="AG131" i="1" s="1"/>
  <c r="AF130" i="1"/>
  <c r="AE130" i="1"/>
  <c r="AD130" i="1"/>
  <c r="AD131" i="1" s="1"/>
  <c r="AC130" i="1"/>
  <c r="AB130" i="1"/>
  <c r="AA130" i="1"/>
  <c r="Z130" i="1"/>
  <c r="Z131" i="1" s="1"/>
  <c r="Y130" i="1"/>
  <c r="Y131" i="1" s="1"/>
  <c r="X130" i="1"/>
  <c r="W130" i="1"/>
  <c r="W131" i="1" s="1"/>
  <c r="V130" i="1"/>
  <c r="V131" i="1" s="1"/>
  <c r="U130" i="1"/>
  <c r="U131" i="1" s="1"/>
  <c r="T130" i="1"/>
  <c r="S130" i="1"/>
  <c r="R130" i="1"/>
  <c r="R131" i="1" s="1"/>
  <c r="Q130" i="1"/>
  <c r="Q131" i="1" s="1"/>
  <c r="P130" i="1"/>
  <c r="O130" i="1"/>
  <c r="N130" i="1"/>
  <c r="N131" i="1" s="1"/>
  <c r="M130" i="1"/>
  <c r="L130" i="1"/>
  <c r="K130" i="1"/>
  <c r="J130" i="1"/>
  <c r="J131" i="1" s="1"/>
  <c r="I130" i="1"/>
  <c r="I131" i="1" s="1"/>
  <c r="H130" i="1"/>
  <c r="G130" i="1"/>
  <c r="G131" i="1" s="1"/>
  <c r="F130" i="1"/>
  <c r="AS129" i="1"/>
  <c r="AS131" i="1" s="1"/>
  <c r="AS134" i="1" s="1"/>
  <c r="AS136" i="1" s="1"/>
  <c r="AR129" i="1"/>
  <c r="AK128" i="1"/>
  <c r="AH126" i="1"/>
  <c r="AD126" i="1"/>
  <c r="AC126" i="1"/>
  <c r="S126" i="1"/>
  <c r="O126" i="1"/>
  <c r="K126" i="1"/>
  <c r="G126" i="1"/>
  <c r="AH125" i="1"/>
  <c r="AD125" i="1"/>
  <c r="Z125" i="1"/>
  <c r="V125" i="1"/>
  <c r="R125" i="1"/>
  <c r="N125" i="1"/>
  <c r="J125" i="1"/>
  <c r="F125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AK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AK119" i="1"/>
  <c r="AK126" i="1" s="1"/>
  <c r="AK118" i="1"/>
  <c r="AK116" i="1"/>
  <c r="AK123" i="1" s="1"/>
  <c r="AK115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AK112" i="1" s="1"/>
  <c r="F112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AK110" i="1"/>
  <c r="AI110" i="1"/>
  <c r="AI126" i="1" s="1"/>
  <c r="AH110" i="1"/>
  <c r="AG110" i="1"/>
  <c r="AG126" i="1" s="1"/>
  <c r="AF110" i="1"/>
  <c r="AF126" i="1" s="1"/>
  <c r="AE110" i="1"/>
  <c r="AE126" i="1" s="1"/>
  <c r="AD110" i="1"/>
  <c r="AC110" i="1"/>
  <c r="AB110" i="1"/>
  <c r="AB126" i="1" s="1"/>
  <c r="AA110" i="1"/>
  <c r="AA126" i="1" s="1"/>
  <c r="Z110" i="1"/>
  <c r="Z126" i="1" s="1"/>
  <c r="Y110" i="1"/>
  <c r="Y126" i="1" s="1"/>
  <c r="X110" i="1"/>
  <c r="X126" i="1" s="1"/>
  <c r="W110" i="1"/>
  <c r="W126" i="1" s="1"/>
  <c r="V110" i="1"/>
  <c r="V126" i="1" s="1"/>
  <c r="U110" i="1"/>
  <c r="U126" i="1" s="1"/>
  <c r="T110" i="1"/>
  <c r="T126" i="1" s="1"/>
  <c r="S110" i="1"/>
  <c r="R110" i="1"/>
  <c r="R126" i="1" s="1"/>
  <c r="Q110" i="1"/>
  <c r="Q126" i="1" s="1"/>
  <c r="P110" i="1"/>
  <c r="P126" i="1" s="1"/>
  <c r="O110" i="1"/>
  <c r="N110" i="1"/>
  <c r="N126" i="1" s="1"/>
  <c r="M110" i="1"/>
  <c r="M126" i="1" s="1"/>
  <c r="L110" i="1"/>
  <c r="L126" i="1" s="1"/>
  <c r="K110" i="1"/>
  <c r="J110" i="1"/>
  <c r="J126" i="1" s="1"/>
  <c r="I110" i="1"/>
  <c r="I126" i="1" s="1"/>
  <c r="H110" i="1"/>
  <c r="H126" i="1" s="1"/>
  <c r="G110" i="1"/>
  <c r="F110" i="1"/>
  <c r="F126" i="1" s="1"/>
  <c r="AI109" i="1"/>
  <c r="AI125" i="1" s="1"/>
  <c r="AH109" i="1"/>
  <c r="AG109" i="1"/>
  <c r="AG125" i="1" s="1"/>
  <c r="AF109" i="1"/>
  <c r="AF125" i="1" s="1"/>
  <c r="AE109" i="1"/>
  <c r="AE125" i="1" s="1"/>
  <c r="AD109" i="1"/>
  <c r="AC109" i="1"/>
  <c r="AC125" i="1" s="1"/>
  <c r="AB109" i="1"/>
  <c r="AB125" i="1" s="1"/>
  <c r="AA109" i="1"/>
  <c r="AA125" i="1" s="1"/>
  <c r="Z109" i="1"/>
  <c r="Y109" i="1"/>
  <c r="Y125" i="1" s="1"/>
  <c r="X109" i="1"/>
  <c r="X125" i="1" s="1"/>
  <c r="W109" i="1"/>
  <c r="W125" i="1" s="1"/>
  <c r="V109" i="1"/>
  <c r="U109" i="1"/>
  <c r="U125" i="1" s="1"/>
  <c r="T109" i="1"/>
  <c r="T125" i="1" s="1"/>
  <c r="S109" i="1"/>
  <c r="S125" i="1" s="1"/>
  <c r="R109" i="1"/>
  <c r="Q109" i="1"/>
  <c r="Q125" i="1" s="1"/>
  <c r="P109" i="1"/>
  <c r="P125" i="1" s="1"/>
  <c r="O109" i="1"/>
  <c r="O125" i="1" s="1"/>
  <c r="N109" i="1"/>
  <c r="M109" i="1"/>
  <c r="M125" i="1" s="1"/>
  <c r="L109" i="1"/>
  <c r="L125" i="1" s="1"/>
  <c r="K109" i="1"/>
  <c r="K125" i="1" s="1"/>
  <c r="J109" i="1"/>
  <c r="I109" i="1"/>
  <c r="I125" i="1" s="1"/>
  <c r="H109" i="1"/>
  <c r="H125" i="1" s="1"/>
  <c r="G109" i="1"/>
  <c r="G125" i="1" s="1"/>
  <c r="F109" i="1"/>
  <c r="AK107" i="1"/>
  <c r="AK106" i="1"/>
  <c r="AK109" i="1" s="1"/>
  <c r="AH104" i="1"/>
  <c r="AG104" i="1"/>
  <c r="AF104" i="1"/>
  <c r="AB104" i="1"/>
  <c r="X104" i="1"/>
  <c r="T104" i="1"/>
  <c r="S104" i="1"/>
  <c r="R104" i="1"/>
  <c r="Q104" i="1"/>
  <c r="P104" i="1"/>
  <c r="N104" i="1"/>
  <c r="M104" i="1"/>
  <c r="L104" i="1"/>
  <c r="J104" i="1"/>
  <c r="I104" i="1"/>
  <c r="H104" i="1"/>
  <c r="F104" i="1"/>
  <c r="AI103" i="1"/>
  <c r="AI104" i="1" s="1"/>
  <c r="AF103" i="1"/>
  <c r="AE103" i="1"/>
  <c r="AE104" i="1" s="1"/>
  <c r="AD103" i="1"/>
  <c r="AD104" i="1" s="1"/>
  <c r="AC103" i="1"/>
  <c r="AC104" i="1" s="1"/>
  <c r="AB103" i="1"/>
  <c r="AA103" i="1"/>
  <c r="AA104" i="1" s="1"/>
  <c r="Z103" i="1"/>
  <c r="Z104" i="1" s="1"/>
  <c r="Y103" i="1"/>
  <c r="Y104" i="1" s="1"/>
  <c r="X103" i="1"/>
  <c r="W103" i="1"/>
  <c r="W104" i="1" s="1"/>
  <c r="V103" i="1"/>
  <c r="V104" i="1" s="1"/>
  <c r="U103" i="1"/>
  <c r="U104" i="1" s="1"/>
  <c r="T103" i="1"/>
  <c r="Q103" i="1"/>
  <c r="P103" i="1"/>
  <c r="O103" i="1"/>
  <c r="O104" i="1" s="1"/>
  <c r="N103" i="1"/>
  <c r="M103" i="1"/>
  <c r="L103" i="1"/>
  <c r="K103" i="1"/>
  <c r="K104" i="1" s="1"/>
  <c r="J103" i="1"/>
  <c r="I103" i="1"/>
  <c r="H103" i="1"/>
  <c r="G103" i="1"/>
  <c r="F103" i="1"/>
  <c r="AC100" i="1"/>
  <c r="AB100" i="1"/>
  <c r="AA100" i="1"/>
  <c r="Y100" i="1"/>
  <c r="X100" i="1"/>
  <c r="W100" i="1"/>
  <c r="T100" i="1"/>
  <c r="S100" i="1"/>
  <c r="P100" i="1"/>
  <c r="O100" i="1"/>
  <c r="L100" i="1"/>
  <c r="K100" i="1"/>
  <c r="H100" i="1"/>
  <c r="G100" i="1"/>
  <c r="AI99" i="1"/>
  <c r="AH99" i="1"/>
  <c r="AF99" i="1"/>
  <c r="AE99" i="1"/>
  <c r="AD99" i="1"/>
  <c r="AB99" i="1"/>
  <c r="AA99" i="1"/>
  <c r="Z99" i="1"/>
  <c r="X99" i="1"/>
  <c r="W99" i="1"/>
  <c r="V99" i="1"/>
  <c r="R99" i="1"/>
  <c r="N99" i="1"/>
  <c r="J99" i="1"/>
  <c r="F99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AK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U93" i="1"/>
  <c r="U100" i="1" s="1"/>
  <c r="T93" i="1"/>
  <c r="S93" i="1"/>
  <c r="R93" i="1"/>
  <c r="Q93" i="1"/>
  <c r="Q100" i="1" s="1"/>
  <c r="P93" i="1"/>
  <c r="O93" i="1"/>
  <c r="N93" i="1"/>
  <c r="M93" i="1"/>
  <c r="M100" i="1" s="1"/>
  <c r="L93" i="1"/>
  <c r="K93" i="1"/>
  <c r="J93" i="1"/>
  <c r="I93" i="1"/>
  <c r="I100" i="1" s="1"/>
  <c r="H93" i="1"/>
  <c r="G93" i="1"/>
  <c r="F93" i="1"/>
  <c r="F100" i="1" s="1"/>
  <c r="AM92" i="1"/>
  <c r="U92" i="1"/>
  <c r="U99" i="1" s="1"/>
  <c r="T92" i="1"/>
  <c r="T99" i="1" s="1"/>
  <c r="S92" i="1"/>
  <c r="S99" i="1" s="1"/>
  <c r="R92" i="1"/>
  <c r="Q92" i="1"/>
  <c r="Q99" i="1" s="1"/>
  <c r="P92" i="1"/>
  <c r="P99" i="1" s="1"/>
  <c r="O92" i="1"/>
  <c r="O99" i="1" s="1"/>
  <c r="N92" i="1"/>
  <c r="M92" i="1"/>
  <c r="M99" i="1" s="1"/>
  <c r="L92" i="1"/>
  <c r="L99" i="1" s="1"/>
  <c r="K92" i="1"/>
  <c r="K99" i="1" s="1"/>
  <c r="J92" i="1"/>
  <c r="I92" i="1"/>
  <c r="I99" i="1" s="1"/>
  <c r="H92" i="1"/>
  <c r="H99" i="1" s="1"/>
  <c r="G92" i="1"/>
  <c r="G99" i="1" s="1"/>
  <c r="F92" i="1"/>
  <c r="AK90" i="1"/>
  <c r="AK97" i="1" s="1"/>
  <c r="AK89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AK86" i="1" s="1"/>
  <c r="G86" i="1"/>
  <c r="F86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AK85" i="1" s="1"/>
  <c r="F85" i="1"/>
  <c r="AK84" i="1"/>
  <c r="AI84" i="1"/>
  <c r="AI100" i="1" s="1"/>
  <c r="AH84" i="1"/>
  <c r="AH100" i="1" s="1"/>
  <c r="AG84" i="1"/>
  <c r="AG100" i="1" s="1"/>
  <c r="AF84" i="1"/>
  <c r="AF100" i="1" s="1"/>
  <c r="AE84" i="1"/>
  <c r="AE100" i="1" s="1"/>
  <c r="AD84" i="1"/>
  <c r="AD100" i="1" s="1"/>
  <c r="AB84" i="1"/>
  <c r="AA84" i="1"/>
  <c r="Z84" i="1"/>
  <c r="Z100" i="1" s="1"/>
  <c r="Y84" i="1"/>
  <c r="X84" i="1"/>
  <c r="W84" i="1"/>
  <c r="V84" i="1"/>
  <c r="V100" i="1" s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G84" i="1"/>
  <c r="F84" i="1"/>
  <c r="AI83" i="1"/>
  <c r="AH83" i="1"/>
  <c r="AG83" i="1"/>
  <c r="AG99" i="1" s="1"/>
  <c r="AF83" i="1"/>
  <c r="AE83" i="1"/>
  <c r="AD83" i="1"/>
  <c r="AC83" i="1"/>
  <c r="AC99" i="1" s="1"/>
  <c r="AB83" i="1"/>
  <c r="AA83" i="1"/>
  <c r="Z83" i="1"/>
  <c r="Y83" i="1"/>
  <c r="Y99" i="1" s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K81" i="1"/>
  <c r="AK80" i="1"/>
  <c r="AK83" i="1" s="1"/>
  <c r="AM79" i="1"/>
  <c r="AR78" i="1"/>
  <c r="AS78" i="1" s="1"/>
  <c r="AK78" i="1"/>
  <c r="AR77" i="1"/>
  <c r="AS77" i="1" s="1"/>
  <c r="AS79" i="1" s="1"/>
  <c r="AS82" i="1" s="1"/>
  <c r="AS84" i="1" s="1"/>
  <c r="AH77" i="1"/>
  <c r="AG77" i="1"/>
  <c r="AD77" i="1"/>
  <c r="AC77" i="1"/>
  <c r="Z77" i="1"/>
  <c r="Y77" i="1"/>
  <c r="V77" i="1"/>
  <c r="U77" i="1"/>
  <c r="R77" i="1"/>
  <c r="Q77" i="1"/>
  <c r="N77" i="1"/>
  <c r="M77" i="1"/>
  <c r="J77" i="1"/>
  <c r="I77" i="1"/>
  <c r="F77" i="1"/>
  <c r="AI76" i="1"/>
  <c r="AI77" i="1" s="1"/>
  <c r="AH76" i="1"/>
  <c r="AG76" i="1"/>
  <c r="AF76" i="1"/>
  <c r="AF77" i="1" s="1"/>
  <c r="AE76" i="1"/>
  <c r="AE77" i="1" s="1"/>
  <c r="AD76" i="1"/>
  <c r="AC76" i="1"/>
  <c r="AB76" i="1"/>
  <c r="AB77" i="1" s="1"/>
  <c r="AA76" i="1"/>
  <c r="AA77" i="1" s="1"/>
  <c r="Z76" i="1"/>
  <c r="Y76" i="1"/>
  <c r="X76" i="1"/>
  <c r="X77" i="1" s="1"/>
  <c r="W76" i="1"/>
  <c r="W77" i="1" s="1"/>
  <c r="V76" i="1"/>
  <c r="U76" i="1"/>
  <c r="T76" i="1"/>
  <c r="T77" i="1" s="1"/>
  <c r="S76" i="1"/>
  <c r="S77" i="1" s="1"/>
  <c r="R76" i="1"/>
  <c r="Q76" i="1"/>
  <c r="P76" i="1"/>
  <c r="P77" i="1" s="1"/>
  <c r="O76" i="1"/>
  <c r="O77" i="1" s="1"/>
  <c r="N76" i="1"/>
  <c r="M76" i="1"/>
  <c r="L76" i="1"/>
  <c r="L77" i="1" s="1"/>
  <c r="K76" i="1"/>
  <c r="K77" i="1" s="1"/>
  <c r="J76" i="1"/>
  <c r="I76" i="1"/>
  <c r="H76" i="1"/>
  <c r="H77" i="1" s="1"/>
  <c r="G76" i="1"/>
  <c r="F76" i="1"/>
  <c r="AK75" i="1"/>
  <c r="AK74" i="1"/>
  <c r="AG74" i="1"/>
  <c r="AG201" i="1" s="1"/>
  <c r="T74" i="1"/>
  <c r="T201" i="1" s="1"/>
  <c r="T202" i="1" s="1"/>
  <c r="PR73" i="1"/>
  <c r="GQ72" i="1"/>
  <c r="AH72" i="1"/>
  <c r="AG72" i="1"/>
  <c r="AC72" i="1"/>
  <c r="AB72" i="1"/>
  <c r="AA72" i="1"/>
  <c r="Z72" i="1"/>
  <c r="Y72" i="1"/>
  <c r="X72" i="1"/>
  <c r="W72" i="1"/>
  <c r="V72" i="1"/>
  <c r="U72" i="1"/>
  <c r="R72" i="1"/>
  <c r="O72" i="1"/>
  <c r="N72" i="1"/>
  <c r="M72" i="1"/>
  <c r="I72" i="1"/>
  <c r="H72" i="1"/>
  <c r="G72" i="1"/>
  <c r="F72" i="1"/>
  <c r="AK71" i="1"/>
  <c r="AI70" i="1"/>
  <c r="AH70" i="1"/>
  <c r="AG70" i="1"/>
  <c r="AF70" i="1"/>
  <c r="AE70" i="1"/>
  <c r="AD70" i="1"/>
  <c r="AC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AI69" i="1"/>
  <c r="AH69" i="1"/>
  <c r="AG69" i="1"/>
  <c r="AF69" i="1"/>
  <c r="AE69" i="1"/>
  <c r="AD69" i="1"/>
  <c r="AC69" i="1"/>
  <c r="AA69" i="1"/>
  <c r="Z69" i="1"/>
  <c r="Y69" i="1"/>
  <c r="X69" i="1"/>
  <c r="W69" i="1"/>
  <c r="V69" i="1"/>
  <c r="U69" i="1"/>
  <c r="T69" i="1"/>
  <c r="S69" i="1"/>
  <c r="R69" i="1"/>
  <c r="Q69" i="1"/>
  <c r="P69" i="1"/>
  <c r="GQ69" i="1" s="1"/>
  <c r="O69" i="1"/>
  <c r="N69" i="1"/>
  <c r="M69" i="1"/>
  <c r="L69" i="1"/>
  <c r="K69" i="1"/>
  <c r="J69" i="1"/>
  <c r="I69" i="1"/>
  <c r="H69" i="1"/>
  <c r="G69" i="1"/>
  <c r="F69" i="1"/>
  <c r="AK68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T66" i="1"/>
  <c r="AH65" i="1"/>
  <c r="AG65" i="1"/>
  <c r="AF65" i="1"/>
  <c r="AC65" i="1"/>
  <c r="AA65" i="1"/>
  <c r="Z65" i="1"/>
  <c r="Y65" i="1"/>
  <c r="X65" i="1"/>
  <c r="W65" i="1"/>
  <c r="V65" i="1"/>
  <c r="U65" i="1"/>
  <c r="T65" i="1"/>
  <c r="R65" i="1"/>
  <c r="GQ65" i="1" s="1"/>
  <c r="Q65" i="1"/>
  <c r="P65" i="1"/>
  <c r="O65" i="1"/>
  <c r="N65" i="1"/>
  <c r="M65" i="1"/>
  <c r="L65" i="1"/>
  <c r="I65" i="1"/>
  <c r="H65" i="1"/>
  <c r="G65" i="1"/>
  <c r="F65" i="1"/>
  <c r="AI64" i="1"/>
  <c r="AG64" i="1"/>
  <c r="AF64" i="1"/>
  <c r="AF72" i="1" s="1"/>
  <c r="AE64" i="1"/>
  <c r="AD64" i="1"/>
  <c r="AC64" i="1"/>
  <c r="T64" i="1"/>
  <c r="T72" i="1" s="1"/>
  <c r="S64" i="1"/>
  <c r="Q64" i="1"/>
  <c r="Q72" i="1" s="1"/>
  <c r="P64" i="1"/>
  <c r="P72" i="1" s="1"/>
  <c r="L64" i="1"/>
  <c r="L72" i="1" s="1"/>
  <c r="K64" i="1"/>
  <c r="J64" i="1"/>
  <c r="AK64" i="1" s="1"/>
  <c r="AK65" i="1" s="1"/>
  <c r="F64" i="1"/>
  <c r="PU62" i="1"/>
  <c r="GQ62" i="1"/>
  <c r="AI62" i="1"/>
  <c r="AE62" i="1"/>
  <c r="AC62" i="1"/>
  <c r="AA62" i="1"/>
  <c r="Y62" i="1"/>
  <c r="W62" i="1"/>
  <c r="S62" i="1"/>
  <c r="R62" i="1"/>
  <c r="N62" i="1"/>
  <c r="J62" i="1"/>
  <c r="F62" i="1"/>
  <c r="PU61" i="1"/>
  <c r="PU63" i="1" s="1"/>
  <c r="AI61" i="1"/>
  <c r="AE61" i="1"/>
  <c r="AA61" i="1"/>
  <c r="Y61" i="1"/>
  <c r="W61" i="1"/>
  <c r="U61" i="1"/>
  <c r="S61" i="1"/>
  <c r="R61" i="1"/>
  <c r="N61" i="1"/>
  <c r="J61" i="1"/>
  <c r="F61" i="1"/>
  <c r="AH60" i="1"/>
  <c r="AF60" i="1"/>
  <c r="AD60" i="1"/>
  <c r="Z60" i="1"/>
  <c r="V60" i="1"/>
  <c r="T60" i="1"/>
  <c r="R60" i="1"/>
  <c r="P60" i="1"/>
  <c r="N60" i="1"/>
  <c r="J60" i="1"/>
  <c r="F60" i="1"/>
  <c r="AI59" i="1"/>
  <c r="AB59" i="1"/>
  <c r="AA59" i="1"/>
  <c r="T59" i="1"/>
  <c r="P59" i="1"/>
  <c r="O59" i="1"/>
  <c r="K59" i="1"/>
  <c r="AB58" i="1"/>
  <c r="X58" i="1"/>
  <c r="S58" i="1"/>
  <c r="P58" i="1"/>
  <c r="O58" i="1"/>
  <c r="N58" i="1"/>
  <c r="L58" i="1"/>
  <c r="H58" i="1"/>
  <c r="AH57" i="1"/>
  <c r="AC57" i="1"/>
  <c r="Y57" i="1"/>
  <c r="W57" i="1"/>
  <c r="S57" i="1"/>
  <c r="R57" i="1"/>
  <c r="G57" i="1"/>
  <c r="PU56" i="1"/>
  <c r="PS56" i="1"/>
  <c r="AI56" i="1"/>
  <c r="AH56" i="1"/>
  <c r="AG56" i="1"/>
  <c r="AF56" i="1"/>
  <c r="AE56" i="1"/>
  <c r="AD56" i="1"/>
  <c r="AC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PU55" i="1"/>
  <c r="AI55" i="1"/>
  <c r="AH55" i="1"/>
  <c r="AG55" i="1"/>
  <c r="AF55" i="1"/>
  <c r="AE55" i="1"/>
  <c r="AD55" i="1"/>
  <c r="AC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J53" i="1"/>
  <c r="BY53" i="1"/>
  <c r="AK53" i="1"/>
  <c r="BY52" i="1"/>
  <c r="AK52" i="1"/>
  <c r="AK51" i="1"/>
  <c r="AI50" i="1"/>
  <c r="AH50" i="1"/>
  <c r="AH61" i="1" s="1"/>
  <c r="AG50" i="1"/>
  <c r="AG62" i="1" s="1"/>
  <c r="AF50" i="1"/>
  <c r="AE50" i="1"/>
  <c r="AD50" i="1"/>
  <c r="AD62" i="1" s="1"/>
  <c r="AC50" i="1"/>
  <c r="AC61" i="1" s="1"/>
  <c r="AB50" i="1"/>
  <c r="AA50" i="1"/>
  <c r="Z50" i="1"/>
  <c r="Z61" i="1" s="1"/>
  <c r="Y50" i="1"/>
  <c r="X50" i="1"/>
  <c r="W50" i="1"/>
  <c r="V50" i="1"/>
  <c r="V62" i="1" s="1"/>
  <c r="U50" i="1"/>
  <c r="U62" i="1" s="1"/>
  <c r="T50" i="1"/>
  <c r="S50" i="1"/>
  <c r="Q50" i="1"/>
  <c r="Q62" i="1" s="1"/>
  <c r="P50" i="1"/>
  <c r="O50" i="1"/>
  <c r="N50" i="1"/>
  <c r="M50" i="1"/>
  <c r="M62" i="1" s="1"/>
  <c r="L50" i="1"/>
  <c r="K50" i="1"/>
  <c r="J50" i="1"/>
  <c r="I50" i="1"/>
  <c r="I62" i="1" s="1"/>
  <c r="H50" i="1"/>
  <c r="G50" i="1"/>
  <c r="F50" i="1"/>
  <c r="D50" i="1"/>
  <c r="AK49" i="1"/>
  <c r="AK47" i="1"/>
  <c r="AK46" i="1"/>
  <c r="QI45" i="1"/>
  <c r="PV39" i="1" s="1"/>
  <c r="QI39" i="1" s="1"/>
  <c r="AI45" i="1"/>
  <c r="AI60" i="1" s="1"/>
  <c r="AH45" i="1"/>
  <c r="AH59" i="1" s="1"/>
  <c r="AG45" i="1"/>
  <c r="AG59" i="1" s="1"/>
  <c r="AF45" i="1"/>
  <c r="AF59" i="1" s="1"/>
  <c r="AE45" i="1"/>
  <c r="AE60" i="1" s="1"/>
  <c r="AD45" i="1"/>
  <c r="AD59" i="1" s="1"/>
  <c r="AC45" i="1"/>
  <c r="AC59" i="1" s="1"/>
  <c r="AB45" i="1"/>
  <c r="AB60" i="1" s="1"/>
  <c r="AA45" i="1"/>
  <c r="AA60" i="1" s="1"/>
  <c r="Z45" i="1"/>
  <c r="Z59" i="1" s="1"/>
  <c r="Y45" i="1"/>
  <c r="Y59" i="1" s="1"/>
  <c r="X45" i="1"/>
  <c r="X60" i="1" s="1"/>
  <c r="W45" i="1"/>
  <c r="W60" i="1" s="1"/>
  <c r="V45" i="1"/>
  <c r="V59" i="1" s="1"/>
  <c r="U45" i="1"/>
  <c r="U60" i="1" s="1"/>
  <c r="T45" i="1"/>
  <c r="S45" i="1"/>
  <c r="S60" i="1" s="1"/>
  <c r="R45" i="1"/>
  <c r="R59" i="1" s="1"/>
  <c r="Q45" i="1"/>
  <c r="Q60" i="1" s="1"/>
  <c r="P45" i="1"/>
  <c r="O45" i="1"/>
  <c r="O60" i="1" s="1"/>
  <c r="N45" i="1"/>
  <c r="N59" i="1" s="1"/>
  <c r="M45" i="1"/>
  <c r="M60" i="1" s="1"/>
  <c r="L45" i="1"/>
  <c r="L60" i="1" s="1"/>
  <c r="K45" i="1"/>
  <c r="K60" i="1" s="1"/>
  <c r="J45" i="1"/>
  <c r="J59" i="1" s="1"/>
  <c r="I45" i="1"/>
  <c r="I60" i="1" s="1"/>
  <c r="H45" i="1"/>
  <c r="H60" i="1" s="1"/>
  <c r="G45" i="1"/>
  <c r="G60" i="1" s="1"/>
  <c r="F45" i="1"/>
  <c r="F59" i="1" s="1"/>
  <c r="D45" i="1"/>
  <c r="EL44" i="1"/>
  <c r="EK44" i="1"/>
  <c r="EJ44" i="1"/>
  <c r="AK44" i="1"/>
  <c r="QI43" i="1"/>
  <c r="EL43" i="1"/>
  <c r="EK43" i="1"/>
  <c r="EJ43" i="1"/>
  <c r="QI42" i="1"/>
  <c r="BY42" i="1"/>
  <c r="AN42" i="1"/>
  <c r="AI42" i="1"/>
  <c r="AG42" i="1"/>
  <c r="AF42" i="1"/>
  <c r="AF40" i="1" s="1"/>
  <c r="AF57" i="1" s="1"/>
  <c r="T42" i="1"/>
  <c r="R42" i="1"/>
  <c r="R58" i="1" s="1"/>
  <c r="Q42" i="1"/>
  <c r="J42" i="1"/>
  <c r="AFJ41" i="1"/>
  <c r="AFH41" i="1"/>
  <c r="QI41" i="1"/>
  <c r="PR41" i="1"/>
  <c r="PR43" i="1" s="1"/>
  <c r="BY41" i="1"/>
  <c r="AO41" i="1"/>
  <c r="AN41" i="1"/>
  <c r="AE41" i="1"/>
  <c r="AE57" i="1" s="1"/>
  <c r="T41" i="1"/>
  <c r="AFJ40" i="1"/>
  <c r="AN40" i="1"/>
  <c r="AO42" i="1" s="1"/>
  <c r="AI40" i="1"/>
  <c r="AI57" i="1" s="1"/>
  <c r="AH40" i="1"/>
  <c r="AH58" i="1" s="1"/>
  <c r="AE40" i="1"/>
  <c r="AE58" i="1" s="1"/>
  <c r="AD40" i="1"/>
  <c r="AD57" i="1" s="1"/>
  <c r="AC40" i="1"/>
  <c r="AC58" i="1" s="1"/>
  <c r="AB40" i="1"/>
  <c r="AB57" i="1" s="1"/>
  <c r="AA40" i="1"/>
  <c r="AA57" i="1" s="1"/>
  <c r="Z40" i="1"/>
  <c r="Z57" i="1" s="1"/>
  <c r="Y40" i="1"/>
  <c r="Y58" i="1" s="1"/>
  <c r="X40" i="1"/>
  <c r="X57" i="1" s="1"/>
  <c r="W40" i="1"/>
  <c r="W58" i="1" s="1"/>
  <c r="V40" i="1"/>
  <c r="V57" i="1" s="1"/>
  <c r="U40" i="1"/>
  <c r="U58" i="1" s="1"/>
  <c r="S40" i="1"/>
  <c r="R40" i="1"/>
  <c r="Q40" i="1"/>
  <c r="Q57" i="1" s="1"/>
  <c r="P40" i="1"/>
  <c r="P57" i="1" s="1"/>
  <c r="O40" i="1"/>
  <c r="O57" i="1" s="1"/>
  <c r="N40" i="1"/>
  <c r="N57" i="1" s="1"/>
  <c r="M40" i="1"/>
  <c r="M58" i="1" s="1"/>
  <c r="L40" i="1"/>
  <c r="L57" i="1" s="1"/>
  <c r="K40" i="1"/>
  <c r="K57" i="1" s="1"/>
  <c r="J40" i="1"/>
  <c r="J58" i="1" s="1"/>
  <c r="I40" i="1"/>
  <c r="I58" i="1" s="1"/>
  <c r="H40" i="1"/>
  <c r="H57" i="1" s="1"/>
  <c r="G40" i="1"/>
  <c r="G58" i="1" s="1"/>
  <c r="F40" i="1"/>
  <c r="F58" i="1" s="1"/>
  <c r="D40" i="1"/>
  <c r="AFJ38" i="1"/>
  <c r="AFU38" i="1" s="1"/>
  <c r="QI38" i="1"/>
  <c r="BY38" i="1"/>
  <c r="AK38" i="1"/>
  <c r="AK56" i="1" s="1"/>
  <c r="D38" i="1"/>
  <c r="AFJ37" i="1"/>
  <c r="AFU37" i="1" s="1"/>
  <c r="BY37" i="1"/>
  <c r="AK37" i="1"/>
  <c r="D37" i="1"/>
  <c r="AHY35" i="1"/>
  <c r="AK35" i="1"/>
  <c r="AHY34" i="1"/>
  <c r="AHY37" i="1" s="1"/>
  <c r="AHY39" i="1" s="1"/>
  <c r="PU34" i="1"/>
  <c r="EL34" i="1"/>
  <c r="EK34" i="1"/>
  <c r="EJ34" i="1"/>
  <c r="AK34" i="1"/>
  <c r="AK33" i="1"/>
  <c r="AK32" i="1"/>
  <c r="AJY31" i="1"/>
  <c r="AJZ31" i="1" s="1"/>
  <c r="AFH31" i="1"/>
  <c r="AFH40" i="1" s="1"/>
  <c r="AK31" i="1"/>
  <c r="AK55" i="1" s="1"/>
  <c r="AM56" i="1" s="1"/>
  <c r="AB31" i="1"/>
  <c r="AB70" i="1" s="1"/>
  <c r="AK30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K25" i="1"/>
  <c r="AK26" i="1" s="1"/>
  <c r="AK24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K21" i="1"/>
  <c r="AK22" i="1" s="1"/>
  <c r="AK20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K17" i="1"/>
  <c r="AK18" i="1" s="1"/>
  <c r="AK16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K13" i="1"/>
  <c r="AK14" i="1" s="1"/>
  <c r="AK12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K9" i="1"/>
  <c r="AK10" i="1" s="1"/>
  <c r="AK8" i="1"/>
  <c r="AM65" i="1" l="1"/>
  <c r="AL65" i="1"/>
  <c r="PU66" i="1"/>
  <c r="PU67" i="1" s="1"/>
  <c r="PU69" i="1" s="1"/>
  <c r="PR33" i="1"/>
  <c r="PR35" i="1" s="1"/>
  <c r="AK187" i="1"/>
  <c r="AM219" i="1"/>
  <c r="AG58" i="1"/>
  <c r="M57" i="1"/>
  <c r="AD58" i="1"/>
  <c r="AI58" i="1"/>
  <c r="I59" i="1"/>
  <c r="Y60" i="1"/>
  <c r="M61" i="1"/>
  <c r="AD61" i="1"/>
  <c r="AH62" i="1"/>
  <c r="G104" i="1"/>
  <c r="AK104" i="1" s="1"/>
  <c r="AK103" i="1"/>
  <c r="AK27" i="1"/>
  <c r="AM27" i="1" s="1"/>
  <c r="AHY38" i="1"/>
  <c r="I57" i="1"/>
  <c r="Z58" i="1"/>
  <c r="U59" i="1"/>
  <c r="PU65" i="1"/>
  <c r="G77" i="1"/>
  <c r="AK76" i="1"/>
  <c r="AM76" i="1" s="1"/>
  <c r="GQ76" i="1" s="1"/>
  <c r="PS76" i="1" s="1"/>
  <c r="AG40" i="1"/>
  <c r="AG57" i="1" s="1"/>
  <c r="G62" i="1"/>
  <c r="G61" i="1"/>
  <c r="K62" i="1"/>
  <c r="K61" i="1"/>
  <c r="O62" i="1"/>
  <c r="O61" i="1"/>
  <c r="T62" i="1"/>
  <c r="T61" i="1"/>
  <c r="X62" i="1"/>
  <c r="X61" i="1"/>
  <c r="AB62" i="1"/>
  <c r="AB61" i="1"/>
  <c r="AF62" i="1"/>
  <c r="AF61" i="1"/>
  <c r="AK50" i="1"/>
  <c r="AK61" i="1" s="1"/>
  <c r="J57" i="1"/>
  <c r="U57" i="1"/>
  <c r="K58" i="1"/>
  <c r="V58" i="1"/>
  <c r="AA58" i="1"/>
  <c r="AF58" i="1"/>
  <c r="G59" i="1"/>
  <c r="L59" i="1"/>
  <c r="Q59" i="1"/>
  <c r="W59" i="1"/>
  <c r="AE59" i="1"/>
  <c r="AG60" i="1"/>
  <c r="I61" i="1"/>
  <c r="Q61" i="1"/>
  <c r="V61" i="1"/>
  <c r="AG61" i="1"/>
  <c r="Z62" i="1"/>
  <c r="K65" i="1"/>
  <c r="K72" i="1"/>
  <c r="S65" i="1"/>
  <c r="S72" i="1"/>
  <c r="AE65" i="1"/>
  <c r="AE72" i="1"/>
  <c r="AB65" i="1"/>
  <c r="T67" i="1"/>
  <c r="AK66" i="1"/>
  <c r="AB69" i="1"/>
  <c r="AK69" i="1"/>
  <c r="AM69" i="1" s="1"/>
  <c r="AK92" i="1"/>
  <c r="AK99" i="1" s="1"/>
  <c r="AK111" i="1"/>
  <c r="AM30" i="1"/>
  <c r="Q58" i="1"/>
  <c r="AJY30" i="1"/>
  <c r="AJZ30" i="1" s="1"/>
  <c r="AM31" i="1"/>
  <c r="AO31" i="1" s="1"/>
  <c r="AK40" i="1"/>
  <c r="AK41" i="1"/>
  <c r="T40" i="1"/>
  <c r="T58" i="1" s="1"/>
  <c r="J65" i="1"/>
  <c r="J72" i="1"/>
  <c r="AD65" i="1"/>
  <c r="AD72" i="1"/>
  <c r="AI65" i="1"/>
  <c r="AI72" i="1"/>
  <c r="AM206" i="1"/>
  <c r="AM228" i="1"/>
  <c r="PU35" i="1"/>
  <c r="AK70" i="1"/>
  <c r="AK42" i="1"/>
  <c r="AK45" i="1"/>
  <c r="H62" i="1"/>
  <c r="H61" i="1"/>
  <c r="L62" i="1"/>
  <c r="L61" i="1"/>
  <c r="P62" i="1"/>
  <c r="P61" i="1"/>
  <c r="AB55" i="1"/>
  <c r="AB56" i="1"/>
  <c r="F57" i="1"/>
  <c r="H59" i="1"/>
  <c r="M59" i="1"/>
  <c r="S59" i="1"/>
  <c r="X59" i="1"/>
  <c r="AC60" i="1"/>
  <c r="AK77" i="1"/>
  <c r="J100" i="1"/>
  <c r="N100" i="1"/>
  <c r="R100" i="1"/>
  <c r="AK125" i="1"/>
  <c r="F157" i="1"/>
  <c r="AK157" i="1" s="1"/>
  <c r="AK156" i="1"/>
  <c r="AK93" i="1"/>
  <c r="AK100" i="1" s="1"/>
  <c r="AG202" i="1"/>
  <c r="AM212" i="1"/>
  <c r="AM213" i="1" s="1"/>
  <c r="AM214" i="1" s="1"/>
  <c r="F131" i="1"/>
  <c r="AK131" i="1" s="1"/>
  <c r="AK130" i="1"/>
  <c r="AK167" i="1"/>
  <c r="AK199" i="1"/>
  <c r="J202" i="1"/>
  <c r="N202" i="1"/>
  <c r="R202" i="1"/>
  <c r="V202" i="1"/>
  <c r="Z202" i="1"/>
  <c r="AD202" i="1"/>
  <c r="AH202" i="1"/>
  <c r="AK201" i="1"/>
  <c r="AK203" i="1"/>
  <c r="AK210" i="1"/>
  <c r="AK229" i="1"/>
  <c r="AK139" i="1"/>
  <c r="AK181" i="1"/>
  <c r="AK185" i="1"/>
  <c r="AI202" i="1"/>
  <c r="AK216" i="1"/>
  <c r="AK217" i="1" s="1"/>
  <c r="F202" i="1"/>
  <c r="AK59" i="1" l="1"/>
  <c r="AK60" i="1"/>
  <c r="AK67" i="1"/>
  <c r="AM67" i="1" s="1"/>
  <c r="AO66" i="1"/>
  <c r="AK102" i="1"/>
  <c r="AK202" i="1"/>
  <c r="PS33" i="1"/>
  <c r="PS35" i="1" s="1"/>
  <c r="AP40" i="1"/>
  <c r="AQ40" i="1" s="1"/>
  <c r="AK58" i="1"/>
  <c r="AP42" i="1"/>
  <c r="AJY35" i="1"/>
  <c r="AJZ35" i="1" s="1"/>
  <c r="AK57" i="1"/>
  <c r="AP41" i="1"/>
  <c r="AJY34" i="1"/>
  <c r="AJZ34" i="1" s="1"/>
  <c r="AK72" i="1"/>
  <c r="AK129" i="1"/>
  <c r="AM130" i="1" s="1"/>
  <c r="AM77" i="1"/>
  <c r="GQ77" i="1" s="1"/>
  <c r="PS77" i="1" s="1"/>
  <c r="AK155" i="1"/>
  <c r="T57" i="1"/>
  <c r="AK62" i="1"/>
  <c r="PR38" i="1"/>
  <c r="PR36" i="1"/>
  <c r="PU33" i="1"/>
  <c r="PV34" i="1" s="1"/>
  <c r="PV35" i="1" l="1"/>
  <c r="PS36" i="1"/>
  <c r="PS38" i="1"/>
  <c r="AM83" i="1"/>
  <c r="AM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B31" authorId="0" shapeId="0" xr:uid="{75493A16-8D64-466C-8FDB-F4D92EE14A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Plant
at 14.18 wib feed CPO
</t>
        </r>
      </text>
    </comment>
  </commentList>
</comments>
</file>

<file path=xl/sharedStrings.xml><?xml version="1.0" encoding="utf-8"?>
<sst xmlns="http://schemas.openxmlformats.org/spreadsheetml/2006/main" count="522" uniqueCount="176">
  <si>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</si>
  <si>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</si>
  <si>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</si>
  <si>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</si>
  <si>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</si>
  <si>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</si>
  <si>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</si>
  <si>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</si>
  <si>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</si>
  <si>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</si>
  <si>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</si>
  <si>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</si>
  <si>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</si>
  <si>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</si>
  <si>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</si>
  <si>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</si>
  <si>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</si>
  <si>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</si>
  <si>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</si>
  <si>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</si>
  <si>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</si>
  <si>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</si>
  <si>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</si>
  <si>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</si>
  <si>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</si>
  <si>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</si>
  <si>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</si>
  <si>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</si>
  <si>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</si>
  <si>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</si>
  <si>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</si>
  <si>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</si>
  <si>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</si>
  <si>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</si>
  <si>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</si>
  <si>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</si>
  <si>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</si>
  <si>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</si>
  <si>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</si>
  <si>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</si>
  <si>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</si>
  <si>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</si>
  <si>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</si>
  <si>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</si>
  <si>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</si>
  <si>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</si>
  <si>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</si>
  <si>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</si>
  <si>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</si>
  <si>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</si>
  <si>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</si>
  <si>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</si>
  <si>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</si>
  <si>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</si>
  <si>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</si>
  <si>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</si>
  <si>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</si>
  <si>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</si>
  <si>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</si>
  <si>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Filling to Packaging</t>
  </si>
  <si>
    <t>Olein IV 60 Received</t>
  </si>
  <si>
    <t>PACKAGING (Brand Salvaco)</t>
  </si>
  <si>
    <t>Spent Bleaching Earth</t>
  </si>
  <si>
    <t>% Oil Content</t>
  </si>
  <si>
    <t>Oil Losses</t>
  </si>
  <si>
    <t>Over (Kg/MT)</t>
  </si>
  <si>
    <t>Budget (Kg/MT)</t>
  </si>
  <si>
    <t>Phosporic Acid (PA)</t>
  </si>
  <si>
    <t>Kg/MT CPO</t>
  </si>
  <si>
    <t>Total BE Brand</t>
  </si>
  <si>
    <t xml:space="preserve">Kg </t>
  </si>
  <si>
    <t>Bleaching Earth (BE) to Branded Spec</t>
  </si>
  <si>
    <t>Total CPO Brand</t>
  </si>
  <si>
    <t>Bleaching Earth (BE) to Poram Spec</t>
  </si>
  <si>
    <t>Chemical</t>
  </si>
  <si>
    <t>CHEMICAL CONSUMABLE</t>
  </si>
  <si>
    <t>MT RBDPO Brand</t>
  </si>
  <si>
    <t>Soft Stearin</t>
  </si>
  <si>
    <t>MT CPO</t>
  </si>
  <si>
    <t>Olein IV 60</t>
  </si>
  <si>
    <t>Stearin</t>
  </si>
  <si>
    <t>Olein IV 58</t>
  </si>
  <si>
    <t>Olein IV 56</t>
  </si>
  <si>
    <t>PFAD</t>
  </si>
  <si>
    <t xml:space="preserve">RBDPO </t>
  </si>
  <si>
    <t xml:space="preserve">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</si>
  <si>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</si>
  <si>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</si>
  <si>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</si>
  <si>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</si>
  <si>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</si>
  <si>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</si>
  <si>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</si>
  <si>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</si>
  <si>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</si>
  <si>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</si>
  <si>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Kg/MT</t>
  </si>
  <si>
    <t>Diff</t>
  </si>
  <si>
    <t>Salvaco 2L</t>
  </si>
  <si>
    <t>Fractionation OLEIN IV 58</t>
  </si>
  <si>
    <t>Report Prod</t>
  </si>
  <si>
    <t>Salvaco 1L</t>
  </si>
  <si>
    <t>Steam Ref</t>
  </si>
  <si>
    <t>INL 900 ml</t>
  </si>
  <si>
    <t xml:space="preserve">HP Boiler </t>
  </si>
  <si>
    <t>OLEIN IV 56</t>
  </si>
  <si>
    <t>CPO Feed - Sounding</t>
  </si>
  <si>
    <t>CPO Olah</t>
  </si>
  <si>
    <t>RBDPO Consume</t>
  </si>
  <si>
    <t>Fractionation OLEIN IV 56</t>
  </si>
  <si>
    <t>Oktober</t>
  </si>
  <si>
    <t>Agustus</t>
  </si>
  <si>
    <t>Items</t>
  </si>
  <si>
    <t>Tahun 2021</t>
  </si>
  <si>
    <t>RbdPO</t>
  </si>
  <si>
    <t>Sisa Product OIP</t>
  </si>
  <si>
    <t>Juni</t>
  </si>
  <si>
    <t>Product OIP</t>
  </si>
  <si>
    <t>Product</t>
  </si>
  <si>
    <t>2,20 Min</t>
  </si>
  <si>
    <t>- DOBI</t>
  </si>
  <si>
    <t>- Moist &amp; Impurities</t>
  </si>
  <si>
    <t>- FFA</t>
  </si>
  <si>
    <t>COL Consume</t>
  </si>
  <si>
    <t>RBDPO Olah</t>
  </si>
  <si>
    <t>CPO</t>
  </si>
  <si>
    <t>15 Juni</t>
  </si>
  <si>
    <t>14 Juni</t>
  </si>
  <si>
    <t>Poram</t>
  </si>
  <si>
    <t>Day</t>
  </si>
  <si>
    <t>Running Days</t>
  </si>
  <si>
    <t>Production</t>
  </si>
  <si>
    <t>Sounding</t>
  </si>
  <si>
    <t>PRODUCTION</t>
  </si>
  <si>
    <t>Maret 2022</t>
  </si>
  <si>
    <t>Total  Received</t>
  </si>
  <si>
    <t>Transportation (Loss)/Gain</t>
  </si>
  <si>
    <t>Receiving Weight</t>
  </si>
  <si>
    <t>D/O Weight</t>
  </si>
  <si>
    <t>CPO Swasta</t>
  </si>
  <si>
    <t>Inc. CPO Tolling UOI</t>
  </si>
  <si>
    <t>Tahun 2022</t>
  </si>
  <si>
    <t>Incoming CPO (Swasta) WB</t>
  </si>
  <si>
    <t>Transfer (Loss)/Gain</t>
  </si>
  <si>
    <t>Receiving (base on Sounding)</t>
  </si>
  <si>
    <t>Delivery (base on Sounding)</t>
  </si>
  <si>
    <t>CPO Group</t>
  </si>
  <si>
    <t>Inc. CPO Piping Line -Dryport</t>
  </si>
  <si>
    <t>Inc. CPO Piping Line -PKS Sei Mangkei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</si>
  <si>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</si>
  <si>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</si>
  <si>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</si>
  <si>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</si>
  <si>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</si>
  <si>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</si>
  <si>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</si>
  <si>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,</t>
  </si>
  <si>
    <t>box</t>
  </si>
  <si>
    <t>kg</t>
  </si>
  <si>
    <t>actual</t>
  </si>
  <si>
    <t>budget</t>
  </si>
  <si>
    <t>PACKAGING (Minyakita Standing Pouch)</t>
  </si>
  <si>
    <t xml:space="preserve">Minyakita SP 1 L  </t>
  </si>
  <si>
    <r>
      <t>m</t>
    </r>
    <r>
      <rPr>
        <vertAlign val="superscript"/>
        <sz val="11"/>
        <rFont val="Arial"/>
        <family val="2"/>
      </rPr>
      <t>3</t>
    </r>
  </si>
  <si>
    <t>INL 900 mL</t>
  </si>
  <si>
    <t>INL 1.8 L</t>
  </si>
  <si>
    <t>Olein Received IV 58</t>
  </si>
  <si>
    <t>Olein Received IV 60</t>
  </si>
  <si>
    <t>Total Olein Received</t>
  </si>
  <si>
    <t>November</t>
  </si>
  <si>
    <t xml:space="preserve">INL SP 1,8 mL  </t>
  </si>
  <si>
    <t>Olein IV 56 Received</t>
  </si>
  <si>
    <t>Olein IV 56 Consume</t>
  </si>
  <si>
    <t>Minyakita</t>
  </si>
  <si>
    <t>Olein Received IV 56</t>
  </si>
  <si>
    <t>Total Olein Consume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</si>
</sst>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_-;\-* #,##0.00_-;_-* &quot;-&quot;_-;_-@_-"/>
    <numFmt numFmtId="167" formatCode="_(* #,##0_);_(* \(#,##0\);_(* &quot;-&quot;??_);_(@_)"/>
    <numFmt numFmtId="168" formatCode="_(* #,##0.000_);_(* \(#,##0.000\);_(* &quot;-&quot;??_);_(@_)"/>
    <numFmt numFmtId="169" formatCode="_(* #,##0.0000_);_(* \(#,##0.0000\);_(* &quot;-&quot;??_);_(@_)"/>
    <numFmt numFmtId="170" formatCode="_-* #,##0.0000_-;\-* #,##0.0000_-;_-* &quot;-&quot;????_-;_-@_-"/>
    <numFmt numFmtId="171" formatCode="_(* #,###.0000_);_(* \(#,###.0000\);_(* &quot;-&quot;?,?00.00_);_(@_)"/>
    <numFmt numFmtId="172" formatCode="_-* #,##0.0000_-;\-* #,##0.0000_-;_-* &quot;-&quot;_-;_-@_-"/>
    <numFmt numFmtId="173" formatCode="_(* #,##0.0000_);_(* \(#,##0.0000\);_(* &quot;-&quot;??.000_);_(@_)"/>
    <numFmt numFmtId="174" formatCode="_(* #,##0.0000_);_(* \(#,##0.0000\);_(* &quot;-&quot;??.00_);_(@_)"/>
    <numFmt numFmtId="175" formatCode="_(* #,##0.0000_);_(* \(#,##0.0000\);_(* &quot;-&quot;??.0000_);_(@_)"/>
    <numFmt numFmtId="176" formatCode="_(* #,##0.00_);_(* \(#,##0.00\);_(* &quot;-&quot;??.0_);_(@_)"/>
    <numFmt numFmtId="177" formatCode="_-* #,##0_-;\-* #,##0_-;_-* &quot;-&quot;??_-;_-@_-"/>
    <numFmt numFmtId="178" formatCode="0.000"/>
    <numFmt numFmtId="179" formatCode="_(* #,##0.0_);_(* \(#,##0.0\);_(* &quot;-&quot;??.0_);_(@_)"/>
    <numFmt numFmtId="180" formatCode="_(* #,##0.000_);_(* \(#,##0.000\);_(* &quot;-&quot;??.00_);_(@_)"/>
    <numFmt numFmtId="181" formatCode="_(* #.##0_);_(* \(#.##0\);_(* &quot;-&quot;??_);_(@_)"/>
    <numFmt numFmtId="182" formatCode="0.00_);\(0.00\)"/>
    <numFmt numFmtId="183" formatCode="_-* #,##0.000_-;\-* #,##0.000_-;_-* &quot;-&quot;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vertAlign val="superscript"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5">
    <xf numFmtId="0" fontId="0" fillId="0" borderId="0" xfId="0"/>
    <xf numFmtId="0" fontId="2" fillId="0" borderId="0" xfId="0" applyFont="1"/>
    <xf numFmtId="0" fontId="2" fillId="2" borderId="0" xfId="0" applyFont="1" applyFill="1"/>
    <xf numFmtId="166" fontId="2" fillId="2" borderId="0" xfId="2" applyNumberFormat="1" applyFont="1" applyFill="1"/>
    <xf numFmtId="164" fontId="2" fillId="0" borderId="0" xfId="0" applyNumberFormat="1" applyFont="1"/>
    <xf numFmtId="164" fontId="2" fillId="0" borderId="0" xfId="2" applyFont="1"/>
    <xf numFmtId="167" fontId="3" fillId="0" borderId="1" xfId="0" applyNumberFormat="1" applyFont="1" applyBorder="1"/>
    <xf numFmtId="0" fontId="4" fillId="2" borderId="0" xfId="0" applyFont="1" applyFill="1"/>
    <xf numFmtId="167" fontId="2" fillId="0" borderId="0" xfId="1" applyNumberFormat="1" applyFont="1"/>
    <xf numFmtId="167" fontId="2" fillId="0" borderId="3" xfId="1" applyNumberFormat="1" applyFont="1" applyBorder="1"/>
    <xf numFmtId="0" fontId="4" fillId="0" borderId="0" xfId="0" applyFont="1"/>
    <xf numFmtId="167" fontId="5" fillId="0" borderId="4" xfId="1" applyNumberFormat="1" applyFont="1" applyFill="1" applyBorder="1"/>
    <xf numFmtId="0" fontId="6" fillId="0" borderId="3" xfId="0" applyFont="1" applyBorder="1"/>
    <xf numFmtId="167" fontId="3" fillId="3" borderId="5" xfId="1" applyNumberFormat="1" applyFont="1" applyFill="1" applyBorder="1"/>
    <xf numFmtId="164" fontId="2" fillId="0" borderId="0" xfId="2" applyFont="1" applyAlignment="1">
      <alignment vertical="center"/>
    </xf>
    <xf numFmtId="166" fontId="2" fillId="0" borderId="0" xfId="2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7" fontId="2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7" fontId="6" fillId="0" borderId="3" xfId="0" applyNumberFormat="1" applyFont="1" applyBorder="1" applyAlignment="1">
      <alignment vertical="center"/>
    </xf>
    <xf numFmtId="164" fontId="3" fillId="0" borderId="0" xfId="2" applyFont="1"/>
    <xf numFmtId="166" fontId="3" fillId="0" borderId="0" xfId="2" applyNumberFormat="1" applyFont="1"/>
    <xf numFmtId="0" fontId="3" fillId="0" borderId="0" xfId="0" applyFont="1" applyAlignment="1">
      <alignment horizontal="center"/>
    </xf>
    <xf numFmtId="167" fontId="3" fillId="0" borderId="0" xfId="1" applyNumberFormat="1" applyFont="1"/>
    <xf numFmtId="167" fontId="3" fillId="0" borderId="3" xfId="0" applyNumberFormat="1" applyFont="1" applyBorder="1"/>
    <xf numFmtId="0" fontId="8" fillId="0" borderId="0" xfId="0" applyFont="1"/>
    <xf numFmtId="167" fontId="2" fillId="0" borderId="3" xfId="0" applyNumberFormat="1" applyFont="1" applyBorder="1"/>
    <xf numFmtId="166" fontId="2" fillId="0" borderId="0" xfId="2" applyNumberFormat="1" applyFont="1"/>
    <xf numFmtId="167" fontId="3" fillId="0" borderId="0" xfId="0" applyNumberFormat="1" applyFont="1"/>
    <xf numFmtId="168" fontId="6" fillId="0" borderId="3" xfId="0" applyNumberFormat="1" applyFont="1" applyBorder="1"/>
    <xf numFmtId="0" fontId="2" fillId="0" borderId="0" xfId="0" applyFont="1" applyAlignment="1">
      <alignment horizontal="center"/>
    </xf>
    <xf numFmtId="167" fontId="2" fillId="0" borderId="0" xfId="0" applyNumberFormat="1" applyFont="1"/>
    <xf numFmtId="169" fontId="3" fillId="0" borderId="7" xfId="0" applyNumberFormat="1" applyFont="1" applyBorder="1"/>
    <xf numFmtId="170" fontId="2" fillId="0" borderId="0" xfId="0" applyNumberFormat="1" applyFont="1"/>
    <xf numFmtId="171" fontId="2" fillId="0" borderId="3" xfId="0" applyNumberFormat="1" applyFont="1" applyBorder="1"/>
    <xf numFmtId="164" fontId="2" fillId="2" borderId="0" xfId="2" applyFont="1" applyFill="1"/>
    <xf numFmtId="0" fontId="2" fillId="2" borderId="0" xfId="0" applyFont="1" applyFill="1" applyAlignment="1">
      <alignment horizontal="center"/>
    </xf>
    <xf numFmtId="169" fontId="3" fillId="0" borderId="3" xfId="0" applyNumberFormat="1" applyFont="1" applyBorder="1"/>
    <xf numFmtId="169" fontId="5" fillId="0" borderId="4" xfId="1" applyNumberFormat="1" applyFont="1" applyFill="1" applyBorder="1"/>
    <xf numFmtId="166" fontId="2" fillId="0" borderId="0" xfId="2" applyNumberFormat="1" applyFont="1" applyFill="1"/>
    <xf numFmtId="164" fontId="2" fillId="0" borderId="0" xfId="2" applyFont="1" applyFill="1"/>
    <xf numFmtId="167" fontId="2" fillId="0" borderId="0" xfId="1" applyNumberFormat="1" applyFont="1" applyFill="1"/>
    <xf numFmtId="169" fontId="2" fillId="0" borderId="3" xfId="0" applyNumberFormat="1" applyFont="1" applyBorder="1"/>
    <xf numFmtId="0" fontId="3" fillId="3" borderId="5" xfId="0" applyFont="1" applyFill="1" applyBorder="1"/>
    <xf numFmtId="43" fontId="2" fillId="0" borderId="3" xfId="0" applyNumberFormat="1" applyFont="1" applyBorder="1"/>
    <xf numFmtId="167" fontId="6" fillId="0" borderId="3" xfId="0" applyNumberFormat="1" applyFont="1" applyBorder="1"/>
    <xf numFmtId="0" fontId="3" fillId="3" borderId="5" xfId="0" quotePrefix="1" applyFont="1" applyFill="1" applyBorder="1"/>
    <xf numFmtId="166" fontId="2" fillId="0" borderId="0" xfId="2" applyNumberFormat="1" applyFont="1" applyFill="1" applyAlignment="1">
      <alignment vertical="center"/>
    </xf>
    <xf numFmtId="164" fontId="2" fillId="0" borderId="0" xfId="2" applyFont="1" applyFill="1" applyAlignment="1">
      <alignment vertical="center"/>
    </xf>
    <xf numFmtId="167" fontId="2" fillId="0" borderId="0" xfId="1" applyNumberFormat="1" applyFont="1" applyFill="1" applyAlignment="1">
      <alignment vertical="center"/>
    </xf>
    <xf numFmtId="167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3" fillId="0" borderId="3" xfId="0" applyNumberFormat="1" applyFont="1" applyBorder="1"/>
    <xf numFmtId="164" fontId="2" fillId="2" borderId="0" xfId="2" applyFont="1" applyFill="1" applyAlignment="1">
      <alignment vertical="center"/>
    </xf>
    <xf numFmtId="177" fontId="2" fillId="2" borderId="0" xfId="0" applyNumberFormat="1" applyFont="1" applyFill="1"/>
    <xf numFmtId="178" fontId="2" fillId="2" borderId="0" xfId="0" applyNumberFormat="1" applyFont="1" applyFill="1"/>
    <xf numFmtId="167" fontId="2" fillId="0" borderId="0" xfId="1" applyNumberFormat="1" applyFont="1" applyFill="1" applyAlignment="1">
      <alignment horizontal="right"/>
    </xf>
    <xf numFmtId="164" fontId="3" fillId="2" borderId="0" xfId="2" applyFont="1" applyFill="1"/>
    <xf numFmtId="164" fontId="3" fillId="2" borderId="0" xfId="2" applyFont="1" applyFill="1" applyAlignment="1">
      <alignment horizontal="center"/>
    </xf>
    <xf numFmtId="166" fontId="3" fillId="0" borderId="0" xfId="2" applyNumberFormat="1" applyFont="1" applyFill="1"/>
    <xf numFmtId="164" fontId="3" fillId="0" borderId="0" xfId="2" applyFont="1" applyFill="1"/>
    <xf numFmtId="167" fontId="3" fillId="0" borderId="0" xfId="1" applyNumberFormat="1" applyFont="1" applyFill="1"/>
    <xf numFmtId="168" fontId="2" fillId="0" borderId="3" xfId="0" applyNumberFormat="1" applyFont="1" applyBorder="1"/>
    <xf numFmtId="9" fontId="2" fillId="0" borderId="0" xfId="2" applyNumberFormat="1" applyFont="1" applyFill="1"/>
    <xf numFmtId="164" fontId="2" fillId="2" borderId="0" xfId="2" applyFont="1" applyFill="1" applyAlignment="1">
      <alignment horizontal="center"/>
    </xf>
    <xf numFmtId="172" fontId="2" fillId="0" borderId="0" xfId="2" applyNumberFormat="1" applyFont="1" applyFill="1" applyAlignment="1">
      <alignment vertical="center"/>
    </xf>
    <xf numFmtId="165" fontId="2" fillId="0" borderId="0" xfId="0" applyNumberFormat="1" applyFont="1"/>
    <xf numFmtId="43" fontId="2" fillId="0" borderId="0" xfId="0" applyNumberFormat="1" applyFont="1"/>
    <xf numFmtId="166" fontId="3" fillId="2" borderId="0" xfId="2" applyNumberFormat="1" applyFont="1" applyFill="1"/>
    <xf numFmtId="166" fontId="3" fillId="2" borderId="0" xfId="2" applyNumberFormat="1" applyFont="1" applyFill="1" applyAlignment="1">
      <alignment horizontal="center"/>
    </xf>
    <xf numFmtId="166" fontId="3" fillId="2" borderId="3" xfId="2" applyNumberFormat="1" applyFont="1" applyFill="1" applyBorder="1"/>
    <xf numFmtId="166" fontId="8" fillId="2" borderId="0" xfId="2" applyNumberFormat="1" applyFont="1" applyFill="1"/>
    <xf numFmtId="167" fontId="2" fillId="2" borderId="0" xfId="0" applyNumberFormat="1" applyFont="1" applyFill="1"/>
    <xf numFmtId="167" fontId="2" fillId="2" borderId="0" xfId="1" applyNumberFormat="1" applyFont="1" applyFill="1"/>
    <xf numFmtId="43" fontId="2" fillId="2" borderId="3" xfId="0" applyNumberFormat="1" applyFont="1" applyFill="1" applyBorder="1"/>
    <xf numFmtId="43" fontId="2" fillId="2" borderId="0" xfId="0" applyNumberFormat="1" applyFont="1" applyFill="1"/>
    <xf numFmtId="0" fontId="9" fillId="2" borderId="0" xfId="0" applyFont="1" applyFill="1"/>
    <xf numFmtId="180" fontId="2" fillId="0" borderId="3" xfId="1" applyNumberFormat="1" applyFont="1" applyBorder="1"/>
    <xf numFmtId="0" fontId="5" fillId="0" borderId="0" xfId="0" applyFont="1"/>
    <xf numFmtId="180" fontId="5" fillId="0" borderId="4" xfId="1" applyNumberFormat="1" applyFont="1" applyFill="1" applyBorder="1"/>
    <xf numFmtId="167" fontId="2" fillId="0" borderId="9" xfId="0" applyNumberFormat="1" applyFont="1" applyBorder="1"/>
    <xf numFmtId="164" fontId="3" fillId="3" borderId="0" xfId="2" applyFont="1" applyFill="1"/>
    <xf numFmtId="166" fontId="3" fillId="3" borderId="0" xfId="2" applyNumberFormat="1" applyFon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7" fontId="10" fillId="0" borderId="5" xfId="0" applyNumberFormat="1" applyFont="1" applyBorder="1"/>
    <xf numFmtId="167" fontId="2" fillId="0" borderId="3" xfId="1" applyNumberFormat="1" applyFont="1" applyBorder="1" applyAlignment="1">
      <alignment vertical="center"/>
    </xf>
    <xf numFmtId="0" fontId="3" fillId="0" borderId="0" xfId="0" applyFont="1"/>
    <xf numFmtId="166" fontId="2" fillId="2" borderId="0" xfId="2" applyNumberFormat="1" applyFont="1" applyFill="1" applyAlignment="1">
      <alignment vertical="center"/>
    </xf>
    <xf numFmtId="164" fontId="2" fillId="3" borderId="0" xfId="2" applyFont="1" applyFill="1"/>
    <xf numFmtId="164" fontId="2" fillId="0" borderId="0" xfId="2" applyFont="1" applyAlignment="1">
      <alignment horizontal="left"/>
    </xf>
    <xf numFmtId="166" fontId="2" fillId="0" borderId="13" xfId="2" applyNumberFormat="1" applyFont="1" applyFill="1" applyBorder="1"/>
    <xf numFmtId="166" fontId="2" fillId="0" borderId="14" xfId="2" applyNumberFormat="1" applyFont="1" applyFill="1" applyBorder="1"/>
    <xf numFmtId="166" fontId="2" fillId="0" borderId="15" xfId="2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164" fontId="2" fillId="0" borderId="16" xfId="2" applyFont="1" applyBorder="1"/>
    <xf numFmtId="164" fontId="2" fillId="0" borderId="0" xfId="2" applyFont="1" applyBorder="1"/>
    <xf numFmtId="164" fontId="2" fillId="0" borderId="17" xfId="2" applyFont="1" applyBorder="1"/>
    <xf numFmtId="0" fontId="3" fillId="0" borderId="17" xfId="0" applyFont="1" applyBorder="1"/>
    <xf numFmtId="166" fontId="5" fillId="0" borderId="16" xfId="2" applyNumberFormat="1" applyFont="1" applyBorder="1"/>
    <xf numFmtId="166" fontId="2" fillId="0" borderId="0" xfId="2" applyNumberFormat="1" applyFont="1" applyBorder="1"/>
    <xf numFmtId="166" fontId="5" fillId="0" borderId="17" xfId="2" applyNumberFormat="1" applyFont="1" applyBorder="1"/>
    <xf numFmtId="0" fontId="5" fillId="0" borderId="0" xfId="0" applyFont="1" applyAlignment="1">
      <alignment horizontal="center"/>
    </xf>
    <xf numFmtId="0" fontId="11" fillId="0" borderId="17" xfId="0" applyFont="1" applyBorder="1"/>
    <xf numFmtId="164" fontId="2" fillId="0" borderId="0" xfId="2" applyFont="1" applyFill="1" applyBorder="1"/>
    <xf numFmtId="9" fontId="2" fillId="0" borderId="0" xfId="0" applyNumberFormat="1" applyFont="1"/>
    <xf numFmtId="166" fontId="2" fillId="3" borderId="0" xfId="2" applyNumberFormat="1" applyFont="1" applyFill="1"/>
    <xf numFmtId="164" fontId="2" fillId="0" borderId="0" xfId="2" applyFont="1" applyAlignment="1">
      <alignment horizontal="center"/>
    </xf>
    <xf numFmtId="164" fontId="2" fillId="0" borderId="13" xfId="2" applyFont="1" applyBorder="1"/>
    <xf numFmtId="164" fontId="2" fillId="0" borderId="14" xfId="2" applyFont="1" applyBorder="1"/>
    <xf numFmtId="164" fontId="2" fillId="0" borderId="15" xfId="2" applyFont="1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3" fillId="3" borderId="0" xfId="0" applyNumberFormat="1" applyFont="1" applyFill="1"/>
    <xf numFmtId="177" fontId="2" fillId="3" borderId="0" xfId="0" applyNumberFormat="1" applyFont="1" applyFill="1"/>
    <xf numFmtId="164" fontId="2" fillId="0" borderId="18" xfId="2" applyFont="1" applyBorder="1" applyAlignment="1">
      <alignment horizontal="center"/>
    </xf>
    <xf numFmtId="164" fontId="2" fillId="0" borderId="19" xfId="2" applyFont="1" applyBorder="1" applyAlignment="1">
      <alignment horizontal="center"/>
    </xf>
    <xf numFmtId="164" fontId="2" fillId="0" borderId="20" xfId="2" applyFont="1" applyBorder="1" applyAlignment="1"/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horizontal="left"/>
    </xf>
    <xf numFmtId="165" fontId="2" fillId="2" borderId="0" xfId="0" applyNumberFormat="1" applyFont="1" applyFill="1"/>
    <xf numFmtId="166" fontId="3" fillId="2" borderId="0" xfId="0" applyNumberFormat="1" applyFont="1" applyFill="1"/>
    <xf numFmtId="164" fontId="5" fillId="0" borderId="0" xfId="2" applyFont="1"/>
    <xf numFmtId="166" fontId="5" fillId="0" borderId="4" xfId="2" applyNumberFormat="1" applyFont="1" applyFill="1" applyBorder="1"/>
    <xf numFmtId="10" fontId="2" fillId="0" borderId="0" xfId="0" applyNumberFormat="1" applyFont="1"/>
    <xf numFmtId="166" fontId="7" fillId="0" borderId="13" xfId="2" applyNumberFormat="1" applyFont="1" applyFill="1" applyBorder="1"/>
    <xf numFmtId="166" fontId="7" fillId="0" borderId="14" xfId="2" applyNumberFormat="1" applyFont="1" applyFill="1" applyBorder="1"/>
    <xf numFmtId="166" fontId="7" fillId="0" borderId="15" xfId="2" applyNumberFormat="1" applyFont="1" applyFill="1" applyBorder="1"/>
    <xf numFmtId="0" fontId="11" fillId="0" borderId="0" xfId="0" applyFont="1"/>
    <xf numFmtId="166" fontId="5" fillId="0" borderId="0" xfId="2" applyNumberFormat="1" applyFont="1"/>
    <xf numFmtId="164" fontId="11" fillId="2" borderId="0" xfId="2" applyFont="1" applyFill="1"/>
    <xf numFmtId="167" fontId="5" fillId="0" borderId="0" xfId="1" applyNumberFormat="1" applyFont="1"/>
    <xf numFmtId="0" fontId="5" fillId="0" borderId="4" xfId="0" applyFont="1" applyBorder="1" applyAlignment="1">
      <alignment horizontal="center"/>
    </xf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164" fontId="2" fillId="0" borderId="16" xfId="2" applyFont="1" applyFill="1" applyBorder="1"/>
    <xf numFmtId="164" fontId="2" fillId="0" borderId="17" xfId="2" applyFont="1" applyFill="1" applyBorder="1"/>
    <xf numFmtId="166" fontId="5" fillId="0" borderId="0" xfId="2" applyNumberFormat="1" applyFont="1" applyBorder="1"/>
    <xf numFmtId="167" fontId="2" fillId="0" borderId="0" xfId="1" applyNumberFormat="1" applyFont="1" applyAlignment="1">
      <alignment horizontal="center"/>
    </xf>
    <xf numFmtId="0" fontId="10" fillId="0" borderId="3" xfId="0" applyFont="1" applyBorder="1"/>
    <xf numFmtId="0" fontId="2" fillId="0" borderId="14" xfId="0" applyFont="1" applyBorder="1" applyAlignment="1">
      <alignment horizontal="center" vertical="center"/>
    </xf>
    <xf numFmtId="0" fontId="3" fillId="3" borderId="3" xfId="0" quotePrefix="1" applyFont="1" applyFill="1" applyBorder="1"/>
    <xf numFmtId="164" fontId="2" fillId="0" borderId="20" xfId="2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67" fontId="3" fillId="0" borderId="21" xfId="1" applyNumberFormat="1" applyFont="1" applyBorder="1" applyAlignment="1">
      <alignment vertical="center"/>
    </xf>
    <xf numFmtId="43" fontId="12" fillId="0" borderId="3" xfId="0" applyNumberFormat="1" applyFont="1" applyBorder="1"/>
    <xf numFmtId="43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82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0" fontId="3" fillId="0" borderId="7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181" fontId="2" fillId="0" borderId="0" xfId="0" applyNumberFormat="1" applyFont="1"/>
    <xf numFmtId="0" fontId="3" fillId="0" borderId="0" xfId="0" applyFont="1" applyAlignment="1">
      <alignment horizontal="left"/>
    </xf>
    <xf numFmtId="168" fontId="2" fillId="0" borderId="0" xfId="0" applyNumberFormat="1" applyFont="1"/>
    <xf numFmtId="43" fontId="2" fillId="3" borderId="3" xfId="0" applyNumberFormat="1" applyFont="1" applyFill="1" applyBorder="1"/>
    <xf numFmtId="0" fontId="11" fillId="5" borderId="2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7" fontId="5" fillId="0" borderId="6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7" fontId="5" fillId="0" borderId="4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7" fontId="11" fillId="3" borderId="22" xfId="1" applyNumberFormat="1" applyFont="1" applyFill="1" applyBorder="1" applyAlignment="1">
      <alignment horizontal="right" vertical="center"/>
    </xf>
    <xf numFmtId="167" fontId="11" fillId="0" borderId="22" xfId="1" applyNumberFormat="1" applyFont="1" applyFill="1" applyBorder="1" applyAlignment="1">
      <alignment horizontal="right" vertical="center"/>
    </xf>
    <xf numFmtId="167" fontId="11" fillId="2" borderId="22" xfId="1" applyNumberFormat="1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167" fontId="5" fillId="3" borderId="6" xfId="1" applyNumberFormat="1" applyFont="1" applyFill="1" applyBorder="1"/>
    <xf numFmtId="167" fontId="5" fillId="3" borderId="6" xfId="1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167" fontId="5" fillId="0" borderId="6" xfId="1" applyNumberFormat="1" applyFont="1" applyFill="1" applyBorder="1"/>
    <xf numFmtId="167" fontId="11" fillId="0" borderId="6" xfId="1" applyNumberFormat="1" applyFont="1" applyFill="1" applyBorder="1"/>
    <xf numFmtId="167" fontId="11" fillId="2" borderId="6" xfId="1" applyNumberFormat="1" applyFont="1" applyFill="1" applyBorder="1"/>
    <xf numFmtId="0" fontId="5" fillId="4" borderId="4" xfId="0" applyFont="1" applyFill="1" applyBorder="1"/>
    <xf numFmtId="167" fontId="5" fillId="6" borderId="4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7" fontId="5" fillId="4" borderId="4" xfId="1" applyNumberFormat="1" applyFont="1" applyFill="1" applyBorder="1"/>
    <xf numFmtId="0" fontId="16" fillId="2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4" xfId="0" quotePrefix="1" applyFont="1" applyFill="1" applyBorder="1"/>
    <xf numFmtId="0" fontId="5" fillId="4" borderId="4" xfId="0" quotePrefix="1" applyFont="1" applyFill="1" applyBorder="1" applyAlignment="1">
      <alignment horizontal="center"/>
    </xf>
    <xf numFmtId="0" fontId="15" fillId="0" borderId="6" xfId="0" applyFont="1" applyBorder="1"/>
    <xf numFmtId="0" fontId="17" fillId="6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164" fontId="5" fillId="6" borderId="4" xfId="2" applyFont="1" applyFill="1" applyBorder="1" applyAlignment="1">
      <alignment horizontal="center"/>
    </xf>
    <xf numFmtId="167" fontId="5" fillId="4" borderId="2" xfId="1" applyNumberFormat="1" applyFont="1" applyFill="1" applyBorder="1"/>
    <xf numFmtId="164" fontId="17" fillId="6" borderId="6" xfId="2" applyFont="1" applyFill="1" applyBorder="1" applyAlignment="1">
      <alignment horizontal="center"/>
    </xf>
    <xf numFmtId="181" fontId="5" fillId="0" borderId="6" xfId="1" applyNumberFormat="1" applyFont="1" applyFill="1" applyBorder="1"/>
    <xf numFmtId="167" fontId="11" fillId="0" borderId="6" xfId="1" applyNumberFormat="1" applyFont="1" applyFill="1" applyBorder="1" applyAlignment="1">
      <alignment horizontal="center"/>
    </xf>
    <xf numFmtId="167" fontId="11" fillId="2" borderId="6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vertical="center"/>
    </xf>
    <xf numFmtId="164" fontId="17" fillId="6" borderId="4" xfId="2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7" fontId="5" fillId="4" borderId="4" xfId="1" applyNumberFormat="1" applyFont="1" applyFill="1" applyBorder="1" applyAlignment="1">
      <alignment horizontal="center" vertical="center"/>
    </xf>
    <xf numFmtId="0" fontId="11" fillId="3" borderId="6" xfId="0" quotePrefix="1" applyFont="1" applyFill="1" applyBorder="1"/>
    <xf numFmtId="0" fontId="5" fillId="3" borderId="6" xfId="0" applyFont="1" applyFill="1" applyBorder="1" applyAlignment="1">
      <alignment horizontal="center"/>
    </xf>
    <xf numFmtId="0" fontId="5" fillId="2" borderId="4" xfId="0" quotePrefix="1" applyFont="1" applyFill="1" applyBorder="1"/>
    <xf numFmtId="0" fontId="5" fillId="2" borderId="4" xfId="0" quotePrefix="1" applyFont="1" applyFill="1" applyBorder="1" applyAlignment="1">
      <alignment horizontal="center"/>
    </xf>
    <xf numFmtId="0" fontId="11" fillId="3" borderId="6" xfId="0" applyFont="1" applyFill="1" applyBorder="1"/>
    <xf numFmtId="0" fontId="5" fillId="0" borderId="4" xfId="0" quotePrefix="1" applyFont="1" applyBorder="1" applyAlignment="1">
      <alignment horizontal="center"/>
    </xf>
    <xf numFmtId="0" fontId="5" fillId="0" borderId="4" xfId="0" applyFont="1" applyBorder="1"/>
    <xf numFmtId="0" fontId="5" fillId="0" borderId="12" xfId="0" quotePrefix="1" applyFont="1" applyBorder="1"/>
    <xf numFmtId="0" fontId="5" fillId="0" borderId="12" xfId="0" quotePrefix="1" applyFont="1" applyBorder="1" applyAlignment="1">
      <alignment horizontal="center"/>
    </xf>
    <xf numFmtId="167" fontId="5" fillId="0" borderId="12" xfId="1" applyNumberFormat="1" applyFont="1" applyFill="1" applyBorder="1"/>
    <xf numFmtId="0" fontId="5" fillId="0" borderId="11" xfId="0" applyFont="1" applyBorder="1"/>
    <xf numFmtId="0" fontId="5" fillId="6" borderId="11" xfId="0" applyFont="1" applyFill="1" applyBorder="1" applyAlignment="1">
      <alignment horizontal="center"/>
    </xf>
    <xf numFmtId="0" fontId="5" fillId="0" borderId="11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quotePrefix="1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6" xfId="0" quotePrefix="1" applyFont="1" applyFill="1" applyBorder="1"/>
    <xf numFmtId="176" fontId="5" fillId="6" borderId="6" xfId="1" applyNumberFormat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179" fontId="5" fillId="6" borderId="4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quotePrefix="1" applyFont="1" applyFill="1" applyBorder="1"/>
    <xf numFmtId="0" fontId="5" fillId="2" borderId="2" xfId="0" quotePrefix="1" applyFont="1" applyFill="1" applyBorder="1" applyAlignment="1">
      <alignment horizontal="center"/>
    </xf>
    <xf numFmtId="0" fontId="11" fillId="0" borderId="4" xfId="0" applyFont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6" fontId="11" fillId="0" borderId="4" xfId="2" applyNumberFormat="1" applyFont="1" applyFill="1" applyBorder="1"/>
    <xf numFmtId="164" fontId="11" fillId="0" borderId="4" xfId="2" applyFont="1" applyFill="1" applyBorder="1"/>
    <xf numFmtId="166" fontId="5" fillId="2" borderId="4" xfId="2" applyNumberFormat="1" applyFont="1" applyFill="1" applyBorder="1" applyAlignment="1">
      <alignment horizontal="center"/>
    </xf>
    <xf numFmtId="166" fontId="11" fillId="2" borderId="4" xfId="2" quotePrefix="1" applyNumberFormat="1" applyFont="1" applyFill="1" applyBorder="1"/>
    <xf numFmtId="166" fontId="11" fillId="2" borderId="4" xfId="2" applyNumberFormat="1" applyFont="1" applyFill="1" applyBorder="1" applyAlignment="1">
      <alignment horizontal="center"/>
    </xf>
    <xf numFmtId="166" fontId="11" fillId="2" borderId="4" xfId="2" quotePrefix="1" applyNumberFormat="1" applyFont="1" applyFill="1" applyBorder="1" applyAlignment="1">
      <alignment horizontal="center"/>
    </xf>
    <xf numFmtId="166" fontId="5" fillId="2" borderId="4" xfId="2" applyNumberFormat="1" applyFont="1" applyFill="1" applyBorder="1"/>
    <xf numFmtId="0" fontId="18" fillId="0" borderId="4" xfId="0" quotePrefix="1" applyFont="1" applyBorder="1"/>
    <xf numFmtId="0" fontId="5" fillId="0" borderId="4" xfId="0" quotePrefix="1" applyFont="1" applyBorder="1" applyAlignment="1">
      <alignment vertical="center"/>
    </xf>
    <xf numFmtId="0" fontId="5" fillId="0" borderId="4" xfId="0" quotePrefix="1" applyFont="1" applyBorder="1" applyAlignment="1">
      <alignment horizontal="center" vertical="center"/>
    </xf>
    <xf numFmtId="167" fontId="5" fillId="0" borderId="4" xfId="1" applyNumberFormat="1" applyFont="1" applyFill="1" applyBorder="1" applyAlignment="1">
      <alignment vertical="center"/>
    </xf>
    <xf numFmtId="167" fontId="5" fillId="0" borderId="8" xfId="1" applyNumberFormat="1" applyFont="1" applyFill="1" applyBorder="1" applyAlignment="1">
      <alignment wrapText="1"/>
    </xf>
    <xf numFmtId="164" fontId="5" fillId="0" borderId="8" xfId="2" applyFont="1" applyFill="1" applyBorder="1" applyAlignment="1">
      <alignment wrapText="1"/>
    </xf>
    <xf numFmtId="0" fontId="11" fillId="0" borderId="4" xfId="0" quotePrefix="1" applyFont="1" applyBorder="1"/>
    <xf numFmtId="0" fontId="11" fillId="6" borderId="4" xfId="0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/>
    </xf>
    <xf numFmtId="167" fontId="11" fillId="0" borderId="4" xfId="1" applyNumberFormat="1" applyFont="1" applyFill="1" applyBorder="1" applyAlignment="1">
      <alignment vertical="center"/>
    </xf>
    <xf numFmtId="168" fontId="5" fillId="0" borderId="4" xfId="1" applyNumberFormat="1" applyFont="1" applyFill="1" applyBorder="1"/>
    <xf numFmtId="0" fontId="5" fillId="3" borderId="6" xfId="0" quotePrefix="1" applyFont="1" applyFill="1" applyBorder="1" applyAlignment="1">
      <alignment horizontal="center"/>
    </xf>
    <xf numFmtId="0" fontId="5" fillId="3" borderId="4" xfId="0" applyFont="1" applyFill="1" applyBorder="1" applyAlignment="1">
      <alignment vertical="center"/>
    </xf>
    <xf numFmtId="167" fontId="5" fillId="3" borderId="4" xfId="1" applyNumberFormat="1" applyFont="1" applyFill="1" applyBorder="1"/>
    <xf numFmtId="176" fontId="5" fillId="6" borderId="4" xfId="1" applyNumberFormat="1" applyFont="1" applyFill="1" applyBorder="1" applyAlignment="1">
      <alignment horizontal="center"/>
    </xf>
    <xf numFmtId="172" fontId="5" fillId="0" borderId="4" xfId="2" applyNumberFormat="1" applyFont="1" applyFill="1" applyBorder="1"/>
    <xf numFmtId="174" fontId="5" fillId="0" borderId="4" xfId="1" applyNumberFormat="1" applyFont="1" applyFill="1" applyBorder="1"/>
    <xf numFmtId="173" fontId="5" fillId="0" borderId="4" xfId="1" applyNumberFormat="1" applyFont="1" applyFill="1" applyBorder="1"/>
    <xf numFmtId="0" fontId="11" fillId="0" borderId="2" xfId="0" applyFont="1" applyBorder="1" applyAlignment="1">
      <alignment horizontal="center"/>
    </xf>
    <xf numFmtId="0" fontId="11" fillId="0" borderId="2" xfId="0" quotePrefix="1" applyFont="1" applyBorder="1"/>
    <xf numFmtId="0" fontId="11" fillId="0" borderId="2" xfId="0" quotePrefix="1" applyFont="1" applyBorder="1" applyAlignment="1">
      <alignment horizontal="center"/>
    </xf>
    <xf numFmtId="169" fontId="11" fillId="0" borderId="2" xfId="1" applyNumberFormat="1" applyFont="1" applyFill="1" applyBorder="1"/>
    <xf numFmtId="0" fontId="11" fillId="3" borderId="4" xfId="0" quotePrefix="1" applyFont="1" applyFill="1" applyBorder="1"/>
    <xf numFmtId="0" fontId="11" fillId="3" borderId="4" xfId="0" applyFont="1" applyFill="1" applyBorder="1" applyAlignment="1">
      <alignment horizontal="center"/>
    </xf>
    <xf numFmtId="169" fontId="11" fillId="3" borderId="4" xfId="1" applyNumberFormat="1" applyFont="1" applyFill="1" applyBorder="1"/>
    <xf numFmtId="167" fontId="5" fillId="2" borderId="4" xfId="1" applyNumberFormat="1" applyFont="1" applyFill="1" applyBorder="1"/>
    <xf numFmtId="167" fontId="11" fillId="0" borderId="4" xfId="1" applyNumberFormat="1" applyFont="1" applyFill="1" applyBorder="1"/>
    <xf numFmtId="167" fontId="11" fillId="6" borderId="4" xfId="1" applyNumberFormat="1" applyFont="1" applyFill="1" applyBorder="1" applyAlignment="1">
      <alignment horizontal="center"/>
    </xf>
    <xf numFmtId="0" fontId="11" fillId="0" borderId="4" xfId="0" quotePrefix="1" applyFont="1" applyBorder="1" applyAlignment="1">
      <alignment vertical="center"/>
    </xf>
    <xf numFmtId="166" fontId="5" fillId="0" borderId="4" xfId="2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horizontal="center"/>
    </xf>
    <xf numFmtId="0" fontId="11" fillId="2" borderId="4" xfId="0" quotePrefix="1" applyFont="1" applyFill="1" applyBorder="1"/>
    <xf numFmtId="0" fontId="5" fillId="6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center"/>
    </xf>
    <xf numFmtId="0" fontId="11" fillId="2" borderId="2" xfId="0" quotePrefix="1" applyFont="1" applyFill="1" applyBorder="1"/>
    <xf numFmtId="0" fontId="11" fillId="6" borderId="2" xfId="0" applyFont="1" applyFill="1" applyBorder="1" applyAlignment="1">
      <alignment horizontal="center"/>
    </xf>
    <xf numFmtId="0" fontId="11" fillId="2" borderId="2" xfId="0" quotePrefix="1" applyFont="1" applyFill="1" applyBorder="1" applyAlignment="1">
      <alignment horizontal="center"/>
    </xf>
    <xf numFmtId="167" fontId="11" fillId="0" borderId="2" xfId="1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11" fillId="3" borderId="4" xfId="0" quotePrefix="1" applyFont="1" applyFill="1" applyBorder="1" applyAlignment="1">
      <alignment horizontal="center"/>
    </xf>
    <xf numFmtId="167" fontId="2" fillId="3" borderId="3" xfId="0" applyNumberFormat="1" applyFont="1" applyFill="1" applyBorder="1"/>
    <xf numFmtId="167" fontId="7" fillId="0" borderId="4" xfId="1" applyNumberFormat="1" applyFont="1" applyFill="1" applyBorder="1"/>
    <xf numFmtId="167" fontId="5" fillId="0" borderId="2" xfId="1" applyNumberFormat="1" applyFont="1" applyFill="1" applyBorder="1"/>
    <xf numFmtId="165" fontId="5" fillId="0" borderId="2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/>
    <xf numFmtId="165" fontId="5" fillId="6" borderId="4" xfId="1" applyFont="1" applyFill="1" applyBorder="1" applyAlignment="1">
      <alignment horizontal="center"/>
    </xf>
    <xf numFmtId="165" fontId="5" fillId="6" borderId="4" xfId="1" applyFont="1" applyFill="1" applyBorder="1" applyAlignment="1">
      <alignment horizontal="right"/>
    </xf>
    <xf numFmtId="165" fontId="5" fillId="0" borderId="4" xfId="1" applyFont="1" applyFill="1" applyBorder="1"/>
    <xf numFmtId="165" fontId="2" fillId="0" borderId="3" xfId="1" applyFont="1" applyBorder="1"/>
    <xf numFmtId="165" fontId="2" fillId="0" borderId="0" xfId="1" applyFont="1" applyFill="1" applyBorder="1"/>
    <xf numFmtId="165" fontId="7" fillId="0" borderId="4" xfId="1" applyFont="1" applyFill="1" applyBorder="1"/>
    <xf numFmtId="165" fontId="7" fillId="0" borderId="3" xfId="1" applyFont="1" applyBorder="1"/>
    <xf numFmtId="165" fontId="2" fillId="0" borderId="0" xfId="1" applyFont="1"/>
    <xf numFmtId="165" fontId="5" fillId="6" borderId="12" xfId="1" applyFont="1" applyFill="1" applyBorder="1" applyAlignment="1">
      <alignment horizontal="center"/>
    </xf>
    <xf numFmtId="165" fontId="5" fillId="0" borderId="11" xfId="1" applyFont="1" applyFill="1" applyBorder="1"/>
    <xf numFmtId="165" fontId="2" fillId="0" borderId="10" xfId="1" applyFont="1" applyBorder="1"/>
    <xf numFmtId="165" fontId="9" fillId="0" borderId="5" xfId="1" applyFont="1" applyFill="1" applyBorder="1"/>
    <xf numFmtId="165" fontId="2" fillId="0" borderId="0" xfId="1" applyFont="1" applyFill="1"/>
    <xf numFmtId="165" fontId="11" fillId="0" borderId="4" xfId="1" applyFont="1" applyFill="1" applyBorder="1" applyAlignment="1">
      <alignment vertical="center"/>
    </xf>
    <xf numFmtId="165" fontId="11" fillId="0" borderId="4" xfId="1" applyFont="1" applyFill="1" applyBorder="1"/>
    <xf numFmtId="165" fontId="5" fillId="3" borderId="6" xfId="1" applyFont="1" applyFill="1" applyBorder="1" applyAlignment="1">
      <alignment horizontal="center"/>
    </xf>
    <xf numFmtId="165" fontId="5" fillId="3" borderId="6" xfId="1" applyFont="1" applyFill="1" applyBorder="1"/>
    <xf numFmtId="165" fontId="5" fillId="3" borderId="4" xfId="1" applyFont="1" applyFill="1" applyBorder="1"/>
    <xf numFmtId="165" fontId="5" fillId="3" borderId="4" xfId="1" applyFont="1" applyFill="1" applyBorder="1" applyAlignment="1">
      <alignment horizontal="center"/>
    </xf>
    <xf numFmtId="165" fontId="5" fillId="6" borderId="2" xfId="1" applyFont="1" applyFill="1" applyBorder="1" applyAlignment="1">
      <alignment horizontal="center"/>
    </xf>
    <xf numFmtId="165" fontId="5" fillId="0" borderId="2" xfId="1" applyFont="1" applyFill="1" applyBorder="1"/>
    <xf numFmtId="165" fontId="11" fillId="6" borderId="2" xfId="1" applyFont="1" applyFill="1" applyBorder="1" applyAlignment="1">
      <alignment horizontal="center"/>
    </xf>
    <xf numFmtId="165" fontId="3" fillId="3" borderId="5" xfId="1" applyFont="1" applyFill="1" applyBorder="1"/>
    <xf numFmtId="165" fontId="5" fillId="6" borderId="4" xfId="1" applyFont="1" applyFill="1" applyBorder="1" applyAlignment="1">
      <alignment horizontal="center" vertical="center"/>
    </xf>
    <xf numFmtId="165" fontId="5" fillId="0" borderId="4" xfId="1" applyFont="1" applyFill="1" applyBorder="1" applyAlignment="1">
      <alignment vertical="center"/>
    </xf>
    <xf numFmtId="165" fontId="3" fillId="0" borderId="3" xfId="1" applyFont="1" applyBorder="1" applyAlignment="1">
      <alignment vertical="center"/>
    </xf>
    <xf numFmtId="165" fontId="5" fillId="6" borderId="4" xfId="1" applyFont="1" applyFill="1" applyBorder="1" applyAlignment="1">
      <alignment vertical="center"/>
    </xf>
    <xf numFmtId="165" fontId="2" fillId="0" borderId="3" xfId="1" applyFont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Alignment="1">
      <alignment vertical="center"/>
    </xf>
    <xf numFmtId="167" fontId="11" fillId="2" borderId="4" xfId="1" applyNumberFormat="1" applyFont="1" applyFill="1" applyBorder="1"/>
    <xf numFmtId="166" fontId="11" fillId="0" borderId="4" xfId="2" applyNumberFormat="1" applyFont="1" applyBorder="1" applyAlignment="1">
      <alignment horizontal="center"/>
    </xf>
    <xf numFmtId="166" fontId="11" fillId="3" borderId="22" xfId="2" applyNumberFormat="1" applyFont="1" applyFill="1" applyBorder="1" applyAlignment="1">
      <alignment horizontal="center"/>
    </xf>
    <xf numFmtId="166" fontId="11" fillId="3" borderId="22" xfId="2" quotePrefix="1" applyNumberFormat="1" applyFont="1" applyFill="1" applyBorder="1" applyAlignment="1">
      <alignment horizontal="center"/>
    </xf>
    <xf numFmtId="166" fontId="11" fillId="3" borderId="22" xfId="2" applyNumberFormat="1" applyFont="1" applyFill="1" applyBorder="1"/>
    <xf numFmtId="166" fontId="8" fillId="0" borderId="0" xfId="2" applyNumberFormat="1" applyFont="1"/>
    <xf numFmtId="166" fontId="20" fillId="0" borderId="0" xfId="2" applyNumberFormat="1" applyFont="1"/>
    <xf numFmtId="166" fontId="3" fillId="0" borderId="0" xfId="2" applyNumberFormat="1" applyFont="1" applyAlignment="1">
      <alignment horizontal="center"/>
    </xf>
    <xf numFmtId="183" fontId="3" fillId="2" borderId="0" xfId="0" applyNumberFormat="1" applyFont="1" applyFill="1"/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167" fontId="5" fillId="2" borderId="6" xfId="1" applyNumberFormat="1" applyFont="1" applyFill="1" applyBorder="1"/>
    <xf numFmtId="0" fontId="3" fillId="2" borderId="5" xfId="0" applyFont="1" applyFill="1" applyBorder="1"/>
    <xf numFmtId="0" fontId="0" fillId="2" borderId="0" xfId="0" applyFill="1"/>
    <xf numFmtId="0" fontId="21" fillId="5" borderId="22" xfId="0" applyFont="1" applyFill="1" applyBorder="1" applyAlignment="1">
      <alignment horizontal="center" vertical="center" wrapText="1"/>
    </xf>
    <xf numFmtId="165" fontId="11" fillId="2" borderId="4" xfId="1" applyFont="1" applyFill="1" applyBorder="1"/>
    <xf numFmtId="0" fontId="5" fillId="3" borderId="4" xfId="0" applyFont="1" applyFill="1" applyBorder="1" applyAlignment="1">
      <alignment horizontal="center"/>
    </xf>
    <xf numFmtId="0" fontId="5" fillId="3" borderId="4" xfId="0" quotePrefix="1" applyFont="1" applyFill="1" applyBorder="1" applyAlignment="1">
      <alignment horizontal="center"/>
    </xf>
    <xf numFmtId="167" fontId="5" fillId="3" borderId="6" xfId="1" applyNumberFormat="1" applyFont="1" applyFill="1" applyBorder="1" applyAlignment="1">
      <alignment vertical="center"/>
    </xf>
    <xf numFmtId="0" fontId="4" fillId="3" borderId="26" xfId="0" applyFont="1" applyFill="1" applyBorder="1"/>
    <xf numFmtId="167" fontId="2" fillId="3" borderId="5" xfId="0" applyNumberFormat="1" applyFont="1" applyFill="1" applyBorder="1"/>
    <xf numFmtId="0" fontId="11" fillId="3" borderId="22" xfId="0" applyFont="1" applyFill="1" applyBorder="1" applyAlignment="1">
      <alignment vertical="center"/>
    </xf>
    <xf numFmtId="165" fontId="5" fillId="3" borderId="22" xfId="1" applyFont="1" applyFill="1" applyBorder="1" applyAlignment="1">
      <alignment horizontal="center"/>
    </xf>
    <xf numFmtId="0" fontId="11" fillId="3" borderId="22" xfId="0" quotePrefix="1" applyFont="1" applyFill="1" applyBorder="1" applyAlignment="1">
      <alignment horizontal="center"/>
    </xf>
    <xf numFmtId="165" fontId="5" fillId="3" borderId="22" xfId="1" applyFont="1" applyFill="1" applyBorder="1"/>
    <xf numFmtId="165" fontId="11" fillId="3" borderId="22" xfId="1" applyFont="1" applyFill="1" applyBorder="1"/>
    <xf numFmtId="165" fontId="11" fillId="3" borderId="2" xfId="1" applyFont="1" applyFill="1" applyBorder="1"/>
    <xf numFmtId="166" fontId="11" fillId="3" borderId="22" xfId="2" applyNumberFormat="1" applyFont="1" applyFill="1" applyBorder="1" applyAlignment="1">
      <alignment horizontal="left" vertical="top"/>
    </xf>
    <xf numFmtId="166" fontId="3" fillId="3" borderId="7" xfId="2" applyNumberFormat="1" applyFont="1" applyFill="1" applyBorder="1"/>
    <xf numFmtId="167" fontId="11" fillId="2" borderId="4" xfId="1" applyNumberFormat="1" applyFont="1" applyFill="1" applyBorder="1" applyAlignment="1">
      <alignment horizontal="right" vertical="center"/>
    </xf>
    <xf numFmtId="165" fontId="11" fillId="3" borderId="4" xfId="1" applyFont="1" applyFill="1" applyBorder="1" applyAlignment="1">
      <alignment horizontal="center"/>
    </xf>
    <xf numFmtId="0" fontId="8" fillId="2" borderId="0" xfId="0" applyFont="1" applyFill="1"/>
    <xf numFmtId="0" fontId="3" fillId="2" borderId="0" xfId="0" applyFont="1" applyFill="1"/>
    <xf numFmtId="0" fontId="20" fillId="0" borderId="0" xfId="0" applyFont="1"/>
    <xf numFmtId="169" fontId="7" fillId="0" borderId="4" xfId="1" applyNumberFormat="1" applyFont="1" applyFill="1" applyBorder="1"/>
    <xf numFmtId="172" fontId="7" fillId="0" borderId="4" xfId="2" applyNumberFormat="1" applyFont="1" applyFill="1" applyBorder="1"/>
    <xf numFmtId="165" fontId="7" fillId="0" borderId="4" xfId="1" applyFont="1" applyFill="1" applyBorder="1" applyAlignment="1">
      <alignment vertical="center"/>
    </xf>
    <xf numFmtId="175" fontId="7" fillId="0" borderId="4" xfId="1" applyNumberFormat="1" applyFont="1" applyFill="1" applyBorder="1"/>
    <xf numFmtId="0" fontId="11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4" xfId="0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CR240"/>
  <sheetViews>
    <sheetView tabSelected="1" topLeftCell="AI213" zoomScale="80" zoomScaleNormal="80" workbookViewId="0">
      <selection activeCell="AL1" sqref="AL1:AW1048576"/>
    </sheetView>
  </sheetViews>
  <sheetFormatPr defaultColWidth="9.140625" defaultRowHeight="15" x14ac:dyDescent="0.25"/>
  <cols>
    <col min="1" max="1" width="3.5703125" style="1" customWidth="1"/>
    <col min="2" max="2" width="4.85546875" style="1" customWidth="1"/>
    <col min="3" max="3" width="42.28515625" style="1" customWidth="1"/>
    <col min="4" max="4" width="11" style="1" customWidth="1"/>
    <col min="5" max="5" width="8.28515625" style="1" customWidth="1"/>
    <col min="6" max="6" width="17" style="1" customWidth="1"/>
    <col min="7" max="7" width="13.7109375" style="1" customWidth="1"/>
    <col min="8" max="8" width="15.140625" style="1" customWidth="1"/>
    <col min="9" max="9" width="14.5703125" style="1" customWidth="1"/>
    <col min="10" max="12" width="13.7109375" style="1" customWidth="1"/>
    <col min="13" max="13" width="13.5703125" style="1" customWidth="1"/>
    <col min="14" max="14" width="14" style="1" customWidth="1"/>
    <col min="15" max="16" width="13.7109375" style="1" customWidth="1"/>
    <col min="17" max="18" width="13.42578125" style="1" customWidth="1"/>
    <col min="19" max="19" width="16.42578125" style="1" customWidth="1"/>
    <col min="20" max="22" width="13.7109375" style="1" customWidth="1"/>
    <col min="23" max="26" width="13.5703125" style="1" customWidth="1"/>
    <col min="27" max="27" width="14.5703125" style="1" bestFit="1" customWidth="1"/>
    <col min="28" max="28" width="13.7109375" style="1" customWidth="1"/>
    <col min="29" max="29" width="14.5703125" style="1" customWidth="1"/>
    <col min="30" max="30" width="14" style="1" customWidth="1"/>
    <col min="31" max="31" width="14.5703125" style="1" bestFit="1" customWidth="1"/>
    <col min="32" max="35" width="13.7109375" style="1" customWidth="1"/>
    <col min="36" max="36" width="9.140625" style="1" customWidth="1"/>
    <col min="37" max="37" width="16.42578125" style="1" customWidth="1"/>
    <col min="38" max="38" width="13.7109375" style="1" hidden="1" customWidth="1"/>
    <col min="39" max="39" width="15.7109375" style="1" hidden="1" customWidth="1"/>
    <col min="40" max="40" width="9.42578125" style="2" hidden="1" customWidth="1"/>
    <col min="41" max="41" width="12.42578125" style="3" hidden="1" customWidth="1"/>
    <col min="42" max="42" width="12.42578125" style="2" hidden="1" customWidth="1"/>
    <col min="43" max="43" width="9.42578125" style="2" hidden="1" customWidth="1"/>
    <col min="44" max="44" width="13.7109375" style="2" hidden="1" customWidth="1"/>
    <col min="45" max="45" width="12" style="2" hidden="1" customWidth="1"/>
    <col min="46" max="46" width="8.140625" style="2" hidden="1" customWidth="1"/>
    <col min="47" max="47" width="10.7109375" style="2" hidden="1" customWidth="1"/>
    <col min="48" max="48" width="12" style="2" hidden="1" customWidth="1"/>
    <col min="49" max="49" width="5.28515625" style="2" hidden="1" customWidth="1"/>
    <col min="50" max="59" width="5.28515625" style="2" customWidth="1"/>
    <col min="60" max="74" width="9.140625" style="2" customWidth="1"/>
    <col min="75" max="76" width="9.140625" style="1" customWidth="1"/>
    <col min="77" max="77" width="8.140625" style="1" customWidth="1"/>
    <col min="78" max="86" width="9.140625" style="1" customWidth="1"/>
    <col min="87" max="87" width="14.5703125" style="1" customWidth="1"/>
    <col min="88" max="99" width="9.140625" style="1" customWidth="1"/>
    <col min="100" max="100" width="9.85546875" style="1" customWidth="1"/>
    <col min="101" max="101" width="9.140625" style="1" customWidth="1"/>
    <col min="102" max="102" width="9.140625" customWidth="1"/>
    <col min="103" max="111" width="9.140625" style="1" customWidth="1"/>
    <col min="112" max="139" width="9.140625" style="1"/>
    <col min="140" max="142" width="12.42578125" style="1" customWidth="1"/>
    <col min="143" max="198" width="9.140625" style="1"/>
    <col min="199" max="199" width="9.42578125" style="1" customWidth="1"/>
    <col min="200" max="433" width="9.140625" style="1"/>
    <col min="434" max="435" width="9.42578125" style="1" customWidth="1"/>
    <col min="436" max="436" width="9.140625" style="1"/>
    <col min="437" max="438" width="9.42578125" style="1" customWidth="1"/>
    <col min="439" max="449" width="9.140625" style="1"/>
    <col min="450" max="451" width="9.28515625" style="1" customWidth="1"/>
    <col min="452" max="839" width="9.140625" style="1"/>
    <col min="840" max="842" width="10.7109375" style="1" customWidth="1"/>
    <col min="843" max="851" width="9.140625" style="1"/>
    <col min="852" max="852" width="9.42578125" style="1" customWidth="1"/>
    <col min="853" max="853" width="10.7109375" style="1" customWidth="1"/>
    <col min="854" max="868" width="9.140625" style="1"/>
    <col min="869" max="869" width="11.28515625" style="1" customWidth="1"/>
    <col min="870" max="907" width="9.140625" style="1"/>
    <col min="908" max="909" width="9.28515625" style="1" customWidth="1"/>
    <col min="910" max="959" width="9.140625" style="1"/>
    <col min="960" max="960" width="13.7109375" style="1" customWidth="1"/>
    <col min="961" max="962" width="12.42578125" style="1" customWidth="1"/>
    <col min="963" max="16384" width="9.140625" style="1"/>
  </cols>
  <sheetData>
    <row r="1" spans="2:37" x14ac:dyDescent="0.25">
      <c r="B1" s="122"/>
    </row>
    <row r="2" spans="2:37" ht="18" x14ac:dyDescent="0.25">
      <c r="B2" s="362" t="s">
        <v>155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</row>
    <row r="3" spans="2:37" x14ac:dyDescent="0.25">
      <c r="B3" s="156"/>
    </row>
    <row r="4" spans="2:37" ht="15.75" thickBot="1" x14ac:dyDescent="0.3">
      <c r="C4" s="155"/>
      <c r="D4" s="8"/>
      <c r="AA4" s="31"/>
      <c r="AB4" s="31"/>
    </row>
    <row r="5" spans="2:37" ht="15.75" customHeight="1" x14ac:dyDescent="0.25">
      <c r="B5" s="358" t="s">
        <v>154</v>
      </c>
      <c r="C5" s="358" t="s">
        <v>153</v>
      </c>
      <c r="D5" s="360" t="s">
        <v>152</v>
      </c>
      <c r="E5" s="358" t="s">
        <v>151</v>
      </c>
      <c r="F5" s="363" t="s">
        <v>169</v>
      </c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K5" s="154" t="s">
        <v>150</v>
      </c>
    </row>
    <row r="6" spans="2:37" x14ac:dyDescent="0.25">
      <c r="B6" s="359"/>
      <c r="C6" s="359"/>
      <c r="D6" s="361"/>
      <c r="E6" s="359"/>
      <c r="F6" s="159">
        <v>1</v>
      </c>
      <c r="G6" s="159">
        <v>2</v>
      </c>
      <c r="H6" s="159">
        <v>3</v>
      </c>
      <c r="I6" s="159">
        <v>4</v>
      </c>
      <c r="J6" s="159">
        <v>5</v>
      </c>
      <c r="K6" s="159">
        <v>6</v>
      </c>
      <c r="L6" s="159">
        <v>7</v>
      </c>
      <c r="M6" s="159">
        <v>8</v>
      </c>
      <c r="N6" s="159">
        <v>9</v>
      </c>
      <c r="O6" s="159">
        <v>10</v>
      </c>
      <c r="P6" s="159">
        <v>11</v>
      </c>
      <c r="Q6" s="159">
        <v>12</v>
      </c>
      <c r="R6" s="159">
        <v>13</v>
      </c>
      <c r="S6" s="159">
        <v>14</v>
      </c>
      <c r="T6" s="159">
        <v>15</v>
      </c>
      <c r="U6" s="334">
        <v>16</v>
      </c>
      <c r="V6" s="334">
        <v>17</v>
      </c>
      <c r="W6" s="334">
        <v>18</v>
      </c>
      <c r="X6" s="334">
        <v>19</v>
      </c>
      <c r="Y6" s="334">
        <v>20</v>
      </c>
      <c r="Z6" s="334">
        <v>21</v>
      </c>
      <c r="AA6" s="334">
        <v>22</v>
      </c>
      <c r="AB6" s="159">
        <v>23</v>
      </c>
      <c r="AC6" s="159">
        <v>24</v>
      </c>
      <c r="AD6" s="159">
        <v>25</v>
      </c>
      <c r="AE6" s="159">
        <v>26</v>
      </c>
      <c r="AF6" s="159">
        <v>27</v>
      </c>
      <c r="AG6" s="159">
        <v>28</v>
      </c>
      <c r="AH6" s="159">
        <v>29</v>
      </c>
      <c r="AI6" s="159">
        <v>30</v>
      </c>
      <c r="AK6" s="153"/>
    </row>
    <row r="7" spans="2:37" ht="15" hidden="1" customHeight="1" x14ac:dyDescent="0.25">
      <c r="B7" s="160">
        <v>1</v>
      </c>
      <c r="C7" s="161" t="s">
        <v>149</v>
      </c>
      <c r="D7" s="162"/>
      <c r="E7" s="163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31"/>
      <c r="AK7" s="152" t="s">
        <v>146</v>
      </c>
    </row>
    <row r="8" spans="2:37" ht="15" hidden="1" customHeight="1" x14ac:dyDescent="0.25">
      <c r="B8" s="160"/>
      <c r="C8" s="165" t="s">
        <v>138</v>
      </c>
      <c r="D8" s="166"/>
      <c r="E8" s="167" t="s">
        <v>16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31"/>
      <c r="AK8" s="9">
        <f>SUM(F8:AI8)</f>
        <v>0</v>
      </c>
    </row>
    <row r="9" spans="2:37" ht="15" hidden="1" customHeight="1" x14ac:dyDescent="0.25">
      <c r="B9" s="160"/>
      <c r="C9" s="165" t="s">
        <v>137</v>
      </c>
      <c r="D9" s="166"/>
      <c r="E9" s="167" t="s">
        <v>16</v>
      </c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31"/>
      <c r="AK9" s="9">
        <f>SUM(F9:AI9)</f>
        <v>0</v>
      </c>
    </row>
    <row r="10" spans="2:37" ht="15" hidden="1" customHeight="1" x14ac:dyDescent="0.25">
      <c r="B10" s="160"/>
      <c r="C10" s="169" t="s">
        <v>136</v>
      </c>
      <c r="D10" s="170"/>
      <c r="E10" s="171" t="s">
        <v>29</v>
      </c>
      <c r="F10" s="287" t="e">
        <f t="shared" ref="F10:AH10" si="0">((F9-F8)/F8)*100</f>
        <v>#DIV/0!</v>
      </c>
      <c r="G10" s="287" t="e">
        <f t="shared" si="0"/>
        <v>#DIV/0!</v>
      </c>
      <c r="H10" s="287" t="e">
        <f t="shared" si="0"/>
        <v>#DIV/0!</v>
      </c>
      <c r="I10" s="287" t="e">
        <f t="shared" si="0"/>
        <v>#DIV/0!</v>
      </c>
      <c r="J10" s="287" t="e">
        <f t="shared" si="0"/>
        <v>#DIV/0!</v>
      </c>
      <c r="K10" s="287" t="e">
        <f t="shared" si="0"/>
        <v>#DIV/0!</v>
      </c>
      <c r="L10" s="287" t="e">
        <f t="shared" si="0"/>
        <v>#DIV/0!</v>
      </c>
      <c r="M10" s="287" t="e">
        <f t="shared" si="0"/>
        <v>#DIV/0!</v>
      </c>
      <c r="N10" s="287" t="e">
        <f t="shared" si="0"/>
        <v>#DIV/0!</v>
      </c>
      <c r="O10" s="287" t="e">
        <f t="shared" si="0"/>
        <v>#DIV/0!</v>
      </c>
      <c r="P10" s="287" t="e">
        <f t="shared" si="0"/>
        <v>#DIV/0!</v>
      </c>
      <c r="Q10" s="287" t="e">
        <f t="shared" si="0"/>
        <v>#DIV/0!</v>
      </c>
      <c r="R10" s="287" t="e">
        <f t="shared" si="0"/>
        <v>#DIV/0!</v>
      </c>
      <c r="S10" s="287" t="e">
        <f t="shared" si="0"/>
        <v>#DIV/0!</v>
      </c>
      <c r="T10" s="287" t="e">
        <f t="shared" si="0"/>
        <v>#DIV/0!</v>
      </c>
      <c r="U10" s="287" t="e">
        <f t="shared" si="0"/>
        <v>#DIV/0!</v>
      </c>
      <c r="V10" s="287" t="e">
        <f t="shared" si="0"/>
        <v>#DIV/0!</v>
      </c>
      <c r="W10" s="287" t="e">
        <f t="shared" si="0"/>
        <v>#DIV/0!</v>
      </c>
      <c r="X10" s="287" t="e">
        <f t="shared" si="0"/>
        <v>#DIV/0!</v>
      </c>
      <c r="Y10" s="287" t="e">
        <f t="shared" si="0"/>
        <v>#DIV/0!</v>
      </c>
      <c r="Z10" s="287" t="e">
        <f t="shared" si="0"/>
        <v>#DIV/0!</v>
      </c>
      <c r="AA10" s="287" t="e">
        <f t="shared" si="0"/>
        <v>#DIV/0!</v>
      </c>
      <c r="AB10" s="287" t="e">
        <f t="shared" si="0"/>
        <v>#DIV/0!</v>
      </c>
      <c r="AC10" s="287" t="e">
        <f t="shared" si="0"/>
        <v>#DIV/0!</v>
      </c>
      <c r="AD10" s="287" t="e">
        <f t="shared" si="0"/>
        <v>#DIV/0!</v>
      </c>
      <c r="AE10" s="287" t="e">
        <f t="shared" si="0"/>
        <v>#DIV/0!</v>
      </c>
      <c r="AF10" s="287" t="e">
        <f t="shared" si="0"/>
        <v>#DIV/0!</v>
      </c>
      <c r="AG10" s="287" t="e">
        <f t="shared" si="0"/>
        <v>#DIV/0!</v>
      </c>
      <c r="AH10" s="287" t="e">
        <f t="shared" si="0"/>
        <v>#DIV/0!</v>
      </c>
      <c r="AI10" s="287"/>
      <c r="AJ10" s="31"/>
      <c r="AK10" s="151" t="e">
        <f>((AK9-AK8)/AK8)*100</f>
        <v>#DIV/0!</v>
      </c>
    </row>
    <row r="11" spans="2:37" ht="15" hidden="1" customHeight="1" x14ac:dyDescent="0.25">
      <c r="B11" s="160"/>
      <c r="C11" s="161" t="s">
        <v>148</v>
      </c>
      <c r="D11" s="162"/>
      <c r="E11" s="163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31"/>
      <c r="AK11" s="152" t="s">
        <v>146</v>
      </c>
    </row>
    <row r="12" spans="2:37" ht="15" hidden="1" customHeight="1" x14ac:dyDescent="0.25">
      <c r="B12" s="160"/>
      <c r="C12" s="165" t="s">
        <v>145</v>
      </c>
      <c r="D12" s="166"/>
      <c r="E12" s="167" t="s">
        <v>16</v>
      </c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31"/>
      <c r="AK12" s="9">
        <f>SUM(F12:AI12)</f>
        <v>0</v>
      </c>
    </row>
    <row r="13" spans="2:37" ht="15" hidden="1" customHeight="1" x14ac:dyDescent="0.25">
      <c r="B13" s="160"/>
      <c r="C13" s="165" t="s">
        <v>144</v>
      </c>
      <c r="D13" s="166"/>
      <c r="E13" s="167" t="s">
        <v>16</v>
      </c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31"/>
      <c r="AK13" s="9">
        <f>SUM(F13:AI13)</f>
        <v>0</v>
      </c>
    </row>
    <row r="14" spans="2:37" ht="15" hidden="1" customHeight="1" x14ac:dyDescent="0.25">
      <c r="B14" s="160"/>
      <c r="C14" s="169" t="s">
        <v>143</v>
      </c>
      <c r="D14" s="170"/>
      <c r="E14" s="171" t="s">
        <v>29</v>
      </c>
      <c r="F14" s="287" t="e">
        <f t="shared" ref="F14:AH14" si="1">((F13-F12)/F12)*100</f>
        <v>#DIV/0!</v>
      </c>
      <c r="G14" s="287" t="e">
        <f t="shared" si="1"/>
        <v>#DIV/0!</v>
      </c>
      <c r="H14" s="287" t="e">
        <f t="shared" si="1"/>
        <v>#DIV/0!</v>
      </c>
      <c r="I14" s="287" t="e">
        <f t="shared" si="1"/>
        <v>#DIV/0!</v>
      </c>
      <c r="J14" s="287" t="e">
        <f t="shared" si="1"/>
        <v>#DIV/0!</v>
      </c>
      <c r="K14" s="287" t="e">
        <f t="shared" si="1"/>
        <v>#DIV/0!</v>
      </c>
      <c r="L14" s="287" t="e">
        <f t="shared" si="1"/>
        <v>#DIV/0!</v>
      </c>
      <c r="M14" s="287" t="e">
        <f t="shared" si="1"/>
        <v>#DIV/0!</v>
      </c>
      <c r="N14" s="287" t="e">
        <f t="shared" si="1"/>
        <v>#DIV/0!</v>
      </c>
      <c r="O14" s="287" t="e">
        <f t="shared" si="1"/>
        <v>#DIV/0!</v>
      </c>
      <c r="P14" s="287" t="e">
        <f t="shared" si="1"/>
        <v>#DIV/0!</v>
      </c>
      <c r="Q14" s="287" t="e">
        <f t="shared" si="1"/>
        <v>#DIV/0!</v>
      </c>
      <c r="R14" s="287" t="e">
        <f t="shared" si="1"/>
        <v>#DIV/0!</v>
      </c>
      <c r="S14" s="287" t="e">
        <f t="shared" si="1"/>
        <v>#DIV/0!</v>
      </c>
      <c r="T14" s="287" t="e">
        <f t="shared" si="1"/>
        <v>#DIV/0!</v>
      </c>
      <c r="U14" s="287" t="e">
        <f t="shared" si="1"/>
        <v>#DIV/0!</v>
      </c>
      <c r="V14" s="287" t="e">
        <f t="shared" si="1"/>
        <v>#DIV/0!</v>
      </c>
      <c r="W14" s="287" t="e">
        <f t="shared" si="1"/>
        <v>#DIV/0!</v>
      </c>
      <c r="X14" s="287" t="e">
        <f t="shared" si="1"/>
        <v>#DIV/0!</v>
      </c>
      <c r="Y14" s="287" t="e">
        <f t="shared" si="1"/>
        <v>#DIV/0!</v>
      </c>
      <c r="Z14" s="287" t="e">
        <f t="shared" si="1"/>
        <v>#DIV/0!</v>
      </c>
      <c r="AA14" s="287" t="e">
        <f t="shared" si="1"/>
        <v>#DIV/0!</v>
      </c>
      <c r="AB14" s="287" t="e">
        <f t="shared" si="1"/>
        <v>#DIV/0!</v>
      </c>
      <c r="AC14" s="287" t="e">
        <f t="shared" si="1"/>
        <v>#DIV/0!</v>
      </c>
      <c r="AD14" s="287" t="e">
        <f t="shared" si="1"/>
        <v>#DIV/0!</v>
      </c>
      <c r="AE14" s="287" t="e">
        <f t="shared" si="1"/>
        <v>#DIV/0!</v>
      </c>
      <c r="AF14" s="287" t="e">
        <f t="shared" si="1"/>
        <v>#DIV/0!</v>
      </c>
      <c r="AG14" s="287" t="e">
        <f t="shared" si="1"/>
        <v>#DIV/0!</v>
      </c>
      <c r="AH14" s="287" t="e">
        <f t="shared" si="1"/>
        <v>#DIV/0!</v>
      </c>
      <c r="AI14" s="287"/>
      <c r="AJ14" s="31"/>
      <c r="AK14" s="151" t="e">
        <f>((AK13-AK12)/AK12)*100</f>
        <v>#DIV/0!</v>
      </c>
    </row>
    <row r="15" spans="2:37" ht="15" hidden="1" customHeight="1" x14ac:dyDescent="0.25">
      <c r="B15" s="160"/>
      <c r="C15" s="161" t="s">
        <v>147</v>
      </c>
      <c r="D15" s="162"/>
      <c r="E15" s="163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31"/>
      <c r="AK15" s="152" t="s">
        <v>146</v>
      </c>
    </row>
    <row r="16" spans="2:37" ht="15" hidden="1" customHeight="1" x14ac:dyDescent="0.25">
      <c r="B16" s="160"/>
      <c r="C16" s="165" t="s">
        <v>145</v>
      </c>
      <c r="D16" s="166"/>
      <c r="E16" s="167" t="s">
        <v>16</v>
      </c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31"/>
      <c r="AK16" s="9">
        <f>SUM(F16:AI16)</f>
        <v>0</v>
      </c>
    </row>
    <row r="17" spans="2:962" ht="15" hidden="1" customHeight="1" x14ac:dyDescent="0.25">
      <c r="B17" s="160"/>
      <c r="C17" s="165" t="s">
        <v>144</v>
      </c>
      <c r="D17" s="166"/>
      <c r="E17" s="167" t="s">
        <v>16</v>
      </c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31"/>
      <c r="AK17" s="9">
        <f>SUM(F17:AI17)</f>
        <v>0</v>
      </c>
    </row>
    <row r="18" spans="2:962" ht="15" hidden="1" customHeight="1" x14ac:dyDescent="0.25">
      <c r="B18" s="160"/>
      <c r="C18" s="169" t="s">
        <v>143</v>
      </c>
      <c r="D18" s="170"/>
      <c r="E18" s="171" t="s">
        <v>29</v>
      </c>
      <c r="F18" s="287" t="e">
        <f t="shared" ref="F18:AH18" si="2">((F17-F16)/F16)*100</f>
        <v>#DIV/0!</v>
      </c>
      <c r="G18" s="287" t="e">
        <f t="shared" si="2"/>
        <v>#DIV/0!</v>
      </c>
      <c r="H18" s="287" t="e">
        <f t="shared" si="2"/>
        <v>#DIV/0!</v>
      </c>
      <c r="I18" s="287" t="e">
        <f t="shared" si="2"/>
        <v>#DIV/0!</v>
      </c>
      <c r="J18" s="287" t="e">
        <f t="shared" si="2"/>
        <v>#DIV/0!</v>
      </c>
      <c r="K18" s="287" t="e">
        <f t="shared" si="2"/>
        <v>#DIV/0!</v>
      </c>
      <c r="L18" s="287" t="e">
        <f t="shared" si="2"/>
        <v>#DIV/0!</v>
      </c>
      <c r="M18" s="287" t="e">
        <f t="shared" si="2"/>
        <v>#DIV/0!</v>
      </c>
      <c r="N18" s="287" t="e">
        <f t="shared" si="2"/>
        <v>#DIV/0!</v>
      </c>
      <c r="O18" s="287" t="e">
        <f t="shared" si="2"/>
        <v>#DIV/0!</v>
      </c>
      <c r="P18" s="287" t="e">
        <f t="shared" si="2"/>
        <v>#DIV/0!</v>
      </c>
      <c r="Q18" s="287" t="e">
        <f t="shared" si="2"/>
        <v>#DIV/0!</v>
      </c>
      <c r="R18" s="287" t="e">
        <f t="shared" si="2"/>
        <v>#DIV/0!</v>
      </c>
      <c r="S18" s="287" t="e">
        <f t="shared" si="2"/>
        <v>#DIV/0!</v>
      </c>
      <c r="T18" s="287" t="e">
        <f t="shared" si="2"/>
        <v>#DIV/0!</v>
      </c>
      <c r="U18" s="287" t="e">
        <f t="shared" si="2"/>
        <v>#DIV/0!</v>
      </c>
      <c r="V18" s="287" t="e">
        <f t="shared" si="2"/>
        <v>#DIV/0!</v>
      </c>
      <c r="W18" s="287" t="e">
        <f t="shared" si="2"/>
        <v>#DIV/0!</v>
      </c>
      <c r="X18" s="287" t="e">
        <f t="shared" si="2"/>
        <v>#DIV/0!</v>
      </c>
      <c r="Y18" s="287" t="e">
        <f t="shared" si="2"/>
        <v>#DIV/0!</v>
      </c>
      <c r="Z18" s="287" t="e">
        <f t="shared" si="2"/>
        <v>#DIV/0!</v>
      </c>
      <c r="AA18" s="287" t="e">
        <f t="shared" si="2"/>
        <v>#DIV/0!</v>
      </c>
      <c r="AB18" s="287" t="e">
        <f t="shared" si="2"/>
        <v>#DIV/0!</v>
      </c>
      <c r="AC18" s="287" t="e">
        <f t="shared" si="2"/>
        <v>#DIV/0!</v>
      </c>
      <c r="AD18" s="287" t="e">
        <f t="shared" si="2"/>
        <v>#DIV/0!</v>
      </c>
      <c r="AE18" s="287" t="e">
        <f t="shared" si="2"/>
        <v>#DIV/0!</v>
      </c>
      <c r="AF18" s="287" t="e">
        <f t="shared" si="2"/>
        <v>#DIV/0!</v>
      </c>
      <c r="AG18" s="287" t="e">
        <f t="shared" si="2"/>
        <v>#DIV/0!</v>
      </c>
      <c r="AH18" s="287" t="e">
        <f t="shared" si="2"/>
        <v>#DIV/0!</v>
      </c>
      <c r="AI18" s="287"/>
      <c r="AJ18" s="31"/>
      <c r="AK18" s="151" t="e">
        <f>((AK17-AK16)/AK16)*100</f>
        <v>#DIV/0!</v>
      </c>
    </row>
    <row r="19" spans="2:962" ht="15" hidden="1" customHeight="1" x14ac:dyDescent="0.25">
      <c r="B19" s="160"/>
      <c r="C19" s="172" t="s">
        <v>142</v>
      </c>
      <c r="D19" s="166"/>
      <c r="E19" s="167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31"/>
      <c r="AK19" s="150" t="s">
        <v>139</v>
      </c>
    </row>
    <row r="20" spans="2:962" ht="15" hidden="1" customHeight="1" x14ac:dyDescent="0.25">
      <c r="B20" s="160"/>
      <c r="C20" s="165" t="s">
        <v>138</v>
      </c>
      <c r="D20" s="166"/>
      <c r="E20" s="167" t="s">
        <v>16</v>
      </c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31"/>
      <c r="AK20" s="9">
        <f>SUM(F20:AI20)</f>
        <v>0</v>
      </c>
      <c r="AL20" s="31"/>
    </row>
    <row r="21" spans="2:962" ht="15" hidden="1" customHeight="1" x14ac:dyDescent="0.25">
      <c r="B21" s="160"/>
      <c r="C21" s="165" t="s">
        <v>137</v>
      </c>
      <c r="D21" s="166"/>
      <c r="E21" s="167" t="s">
        <v>16</v>
      </c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31"/>
      <c r="AK21" s="9">
        <f>SUM(F21:AI21)</f>
        <v>0</v>
      </c>
    </row>
    <row r="22" spans="2:962" ht="15" hidden="1" customHeight="1" x14ac:dyDescent="0.25">
      <c r="B22" s="160"/>
      <c r="C22" s="165" t="s">
        <v>136</v>
      </c>
      <c r="D22" s="166"/>
      <c r="E22" s="167" t="s">
        <v>29</v>
      </c>
      <c r="F22" s="288" t="e">
        <f t="shared" ref="F22:AH22" si="3">((F21-F20)/F20)*100</f>
        <v>#DIV/0!</v>
      </c>
      <c r="G22" s="288" t="e">
        <f t="shared" si="3"/>
        <v>#DIV/0!</v>
      </c>
      <c r="H22" s="288" t="e">
        <f t="shared" si="3"/>
        <v>#DIV/0!</v>
      </c>
      <c r="I22" s="288" t="e">
        <f t="shared" si="3"/>
        <v>#DIV/0!</v>
      </c>
      <c r="J22" s="288" t="e">
        <f t="shared" si="3"/>
        <v>#DIV/0!</v>
      </c>
      <c r="K22" s="288" t="e">
        <f t="shared" si="3"/>
        <v>#DIV/0!</v>
      </c>
      <c r="L22" s="288" t="e">
        <f t="shared" si="3"/>
        <v>#DIV/0!</v>
      </c>
      <c r="M22" s="288" t="e">
        <f t="shared" si="3"/>
        <v>#DIV/0!</v>
      </c>
      <c r="N22" s="288" t="e">
        <f t="shared" si="3"/>
        <v>#DIV/0!</v>
      </c>
      <c r="O22" s="288" t="e">
        <f t="shared" si="3"/>
        <v>#DIV/0!</v>
      </c>
      <c r="P22" s="288" t="e">
        <f t="shared" si="3"/>
        <v>#DIV/0!</v>
      </c>
      <c r="Q22" s="288" t="e">
        <f t="shared" si="3"/>
        <v>#DIV/0!</v>
      </c>
      <c r="R22" s="288" t="e">
        <f t="shared" si="3"/>
        <v>#DIV/0!</v>
      </c>
      <c r="S22" s="288" t="e">
        <f t="shared" si="3"/>
        <v>#DIV/0!</v>
      </c>
      <c r="T22" s="288" t="e">
        <f t="shared" si="3"/>
        <v>#DIV/0!</v>
      </c>
      <c r="U22" s="288" t="e">
        <f t="shared" si="3"/>
        <v>#DIV/0!</v>
      </c>
      <c r="V22" s="288" t="e">
        <f t="shared" si="3"/>
        <v>#DIV/0!</v>
      </c>
      <c r="W22" s="288" t="e">
        <f t="shared" si="3"/>
        <v>#DIV/0!</v>
      </c>
      <c r="X22" s="288" t="e">
        <f t="shared" si="3"/>
        <v>#DIV/0!</v>
      </c>
      <c r="Y22" s="288" t="e">
        <f t="shared" si="3"/>
        <v>#DIV/0!</v>
      </c>
      <c r="Z22" s="288" t="e">
        <f t="shared" si="3"/>
        <v>#DIV/0!</v>
      </c>
      <c r="AA22" s="288" t="e">
        <f t="shared" si="3"/>
        <v>#DIV/0!</v>
      </c>
      <c r="AB22" s="288" t="e">
        <f t="shared" si="3"/>
        <v>#DIV/0!</v>
      </c>
      <c r="AC22" s="288" t="e">
        <f t="shared" si="3"/>
        <v>#DIV/0!</v>
      </c>
      <c r="AD22" s="288" t="e">
        <f t="shared" si="3"/>
        <v>#DIV/0!</v>
      </c>
      <c r="AE22" s="288" t="e">
        <f t="shared" si="3"/>
        <v>#DIV/0!</v>
      </c>
      <c r="AF22" s="288" t="e">
        <f t="shared" si="3"/>
        <v>#DIV/0!</v>
      </c>
      <c r="AG22" s="288" t="e">
        <f t="shared" si="3"/>
        <v>#DIV/0!</v>
      </c>
      <c r="AH22" s="288" t="e">
        <f t="shared" si="3"/>
        <v>#DIV/0!</v>
      </c>
      <c r="AI22" s="288"/>
      <c r="AJ22" s="149"/>
      <c r="AK22" s="148" t="e">
        <f>((AK21-AK20)/AK20)*100</f>
        <v>#DIV/0!</v>
      </c>
      <c r="EH22" s="121" t="s">
        <v>141</v>
      </c>
    </row>
    <row r="23" spans="2:962" ht="15" hidden="1" customHeight="1" x14ac:dyDescent="0.25">
      <c r="B23" s="160"/>
      <c r="C23" s="161" t="s">
        <v>140</v>
      </c>
      <c r="D23" s="162"/>
      <c r="E23" s="163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31"/>
      <c r="AK23" s="150" t="s">
        <v>139</v>
      </c>
    </row>
    <row r="24" spans="2:962" ht="15" hidden="1" customHeight="1" x14ac:dyDescent="0.25">
      <c r="B24" s="160"/>
      <c r="C24" s="165" t="s">
        <v>138</v>
      </c>
      <c r="D24" s="166"/>
      <c r="E24" s="167" t="s">
        <v>16</v>
      </c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31"/>
      <c r="AK24" s="9">
        <f>SUM(F24:AI24)</f>
        <v>0</v>
      </c>
    </row>
    <row r="25" spans="2:962" ht="15" hidden="1" customHeight="1" x14ac:dyDescent="0.25">
      <c r="B25" s="160"/>
      <c r="C25" s="165" t="s">
        <v>137</v>
      </c>
      <c r="D25" s="166"/>
      <c r="E25" s="167" t="s">
        <v>16</v>
      </c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31"/>
      <c r="AK25" s="9">
        <f>SUM(F25:AI25)</f>
        <v>0</v>
      </c>
    </row>
    <row r="26" spans="2:962" ht="15" hidden="1" customHeight="1" x14ac:dyDescent="0.25">
      <c r="B26" s="160"/>
      <c r="C26" s="169" t="s">
        <v>136</v>
      </c>
      <c r="D26" s="170"/>
      <c r="E26" s="171" t="s">
        <v>29</v>
      </c>
      <c r="F26" s="287" t="e">
        <f t="shared" ref="F26:AH26" si="4">((F25-F24)/F24)*100</f>
        <v>#DIV/0!</v>
      </c>
      <c r="G26" s="287" t="e">
        <f t="shared" si="4"/>
        <v>#DIV/0!</v>
      </c>
      <c r="H26" s="287" t="e">
        <f t="shared" si="4"/>
        <v>#DIV/0!</v>
      </c>
      <c r="I26" s="287" t="e">
        <f t="shared" si="4"/>
        <v>#DIV/0!</v>
      </c>
      <c r="J26" s="287" t="e">
        <f t="shared" si="4"/>
        <v>#DIV/0!</v>
      </c>
      <c r="K26" s="287" t="e">
        <f t="shared" si="4"/>
        <v>#DIV/0!</v>
      </c>
      <c r="L26" s="287" t="e">
        <f t="shared" si="4"/>
        <v>#DIV/0!</v>
      </c>
      <c r="M26" s="287" t="e">
        <f t="shared" si="4"/>
        <v>#DIV/0!</v>
      </c>
      <c r="N26" s="287" t="e">
        <f t="shared" si="4"/>
        <v>#DIV/0!</v>
      </c>
      <c r="O26" s="287" t="e">
        <f t="shared" si="4"/>
        <v>#DIV/0!</v>
      </c>
      <c r="P26" s="287" t="e">
        <f t="shared" si="4"/>
        <v>#DIV/0!</v>
      </c>
      <c r="Q26" s="287" t="e">
        <f t="shared" si="4"/>
        <v>#DIV/0!</v>
      </c>
      <c r="R26" s="287" t="e">
        <f t="shared" si="4"/>
        <v>#DIV/0!</v>
      </c>
      <c r="S26" s="287" t="e">
        <f t="shared" si="4"/>
        <v>#DIV/0!</v>
      </c>
      <c r="T26" s="287" t="e">
        <f t="shared" si="4"/>
        <v>#DIV/0!</v>
      </c>
      <c r="U26" s="287" t="e">
        <f t="shared" si="4"/>
        <v>#DIV/0!</v>
      </c>
      <c r="V26" s="287" t="e">
        <f t="shared" si="4"/>
        <v>#DIV/0!</v>
      </c>
      <c r="W26" s="287" t="e">
        <f t="shared" si="4"/>
        <v>#DIV/0!</v>
      </c>
      <c r="X26" s="287" t="e">
        <f t="shared" si="4"/>
        <v>#DIV/0!</v>
      </c>
      <c r="Y26" s="287" t="e">
        <f t="shared" si="4"/>
        <v>#DIV/0!</v>
      </c>
      <c r="Z26" s="287" t="e">
        <f t="shared" si="4"/>
        <v>#DIV/0!</v>
      </c>
      <c r="AA26" s="287" t="e">
        <f t="shared" si="4"/>
        <v>#DIV/0!</v>
      </c>
      <c r="AB26" s="287" t="e">
        <f t="shared" si="4"/>
        <v>#DIV/0!</v>
      </c>
      <c r="AC26" s="287" t="e">
        <f t="shared" si="4"/>
        <v>#DIV/0!</v>
      </c>
      <c r="AD26" s="287" t="e">
        <f t="shared" si="4"/>
        <v>#DIV/0!</v>
      </c>
      <c r="AE26" s="287" t="e">
        <f t="shared" si="4"/>
        <v>#DIV/0!</v>
      </c>
      <c r="AF26" s="287" t="e">
        <f t="shared" si="4"/>
        <v>#DIV/0!</v>
      </c>
      <c r="AG26" s="287" t="e">
        <f t="shared" si="4"/>
        <v>#DIV/0!</v>
      </c>
      <c r="AH26" s="287" t="e">
        <f t="shared" si="4"/>
        <v>#DIV/0!</v>
      </c>
      <c r="AI26" s="287"/>
      <c r="AJ26" s="149"/>
      <c r="AK26" s="148" t="e">
        <f>((AK25-AK24)/AK24)*100</f>
        <v>#DIV/0!</v>
      </c>
      <c r="AY26" s="72"/>
    </row>
    <row r="27" spans="2:962" ht="15" hidden="1" customHeight="1" x14ac:dyDescent="0.25">
      <c r="B27" s="160"/>
      <c r="C27" s="173" t="s">
        <v>135</v>
      </c>
      <c r="D27" s="174"/>
      <c r="E27" s="175" t="s">
        <v>16</v>
      </c>
      <c r="F27" s="176">
        <f>SUM(F9,F17,F21)+F13+F25</f>
        <v>0</v>
      </c>
      <c r="G27" s="176">
        <f t="shared" ref="G27:AH27" si="5">SUM(G9,G17,G21)+G13+G25</f>
        <v>0</v>
      </c>
      <c r="H27" s="177">
        <f t="shared" si="5"/>
        <v>0</v>
      </c>
      <c r="I27" s="177">
        <f t="shared" si="5"/>
        <v>0</v>
      </c>
      <c r="J27" s="177">
        <f t="shared" si="5"/>
        <v>0</v>
      </c>
      <c r="K27" s="177">
        <f t="shared" si="5"/>
        <v>0</v>
      </c>
      <c r="L27" s="177">
        <f t="shared" si="5"/>
        <v>0</v>
      </c>
      <c r="M27" s="176">
        <f t="shared" si="5"/>
        <v>0</v>
      </c>
      <c r="N27" s="177">
        <f t="shared" si="5"/>
        <v>0</v>
      </c>
      <c r="O27" s="177">
        <f t="shared" si="5"/>
        <v>0</v>
      </c>
      <c r="P27" s="177">
        <f t="shared" si="5"/>
        <v>0</v>
      </c>
      <c r="Q27" s="177">
        <f t="shared" si="5"/>
        <v>0</v>
      </c>
      <c r="R27" s="177">
        <f t="shared" si="5"/>
        <v>0</v>
      </c>
      <c r="S27" s="177">
        <f t="shared" si="5"/>
        <v>0</v>
      </c>
      <c r="T27" s="177">
        <f t="shared" si="5"/>
        <v>0</v>
      </c>
      <c r="U27" s="177">
        <f t="shared" si="5"/>
        <v>0</v>
      </c>
      <c r="V27" s="177">
        <f t="shared" si="5"/>
        <v>0</v>
      </c>
      <c r="W27" s="177">
        <f t="shared" si="5"/>
        <v>0</v>
      </c>
      <c r="X27" s="176">
        <f t="shared" si="5"/>
        <v>0</v>
      </c>
      <c r="Y27" s="177">
        <f t="shared" si="5"/>
        <v>0</v>
      </c>
      <c r="Z27" s="176">
        <f t="shared" si="5"/>
        <v>0</v>
      </c>
      <c r="AA27" s="176">
        <f t="shared" si="5"/>
        <v>0</v>
      </c>
      <c r="AB27" s="177">
        <f t="shared" si="5"/>
        <v>0</v>
      </c>
      <c r="AC27" s="177">
        <f t="shared" si="5"/>
        <v>0</v>
      </c>
      <c r="AD27" s="177">
        <f t="shared" si="5"/>
        <v>0</v>
      </c>
      <c r="AE27" s="177">
        <f t="shared" si="5"/>
        <v>0</v>
      </c>
      <c r="AF27" s="177">
        <f t="shared" si="5"/>
        <v>0</v>
      </c>
      <c r="AG27" s="178">
        <f t="shared" si="5"/>
        <v>0</v>
      </c>
      <c r="AH27" s="177">
        <f t="shared" si="5"/>
        <v>0</v>
      </c>
      <c r="AI27" s="177"/>
      <c r="AJ27" s="31"/>
      <c r="AK27" s="147">
        <f>SUM(AK9,AK17,AK21)+AK13+AK25</f>
        <v>0</v>
      </c>
      <c r="AL27" s="31"/>
      <c r="AM27" s="8">
        <f>AK27/AK30/1000</f>
        <v>0</v>
      </c>
      <c r="EH27" s="120" t="s">
        <v>112</v>
      </c>
      <c r="EI27" s="146"/>
      <c r="EJ27" s="145" t="s">
        <v>134</v>
      </c>
      <c r="EK27" s="117"/>
      <c r="EL27" s="116"/>
    </row>
    <row r="28" spans="2:962" ht="15.75" thickBot="1" x14ac:dyDescent="0.3">
      <c r="B28" s="179">
        <v>2</v>
      </c>
      <c r="C28" s="161" t="s">
        <v>133</v>
      </c>
      <c r="D28" s="180"/>
      <c r="E28" s="180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2"/>
      <c r="AD28" s="181"/>
      <c r="AE28" s="181"/>
      <c r="AF28" s="181"/>
      <c r="AG28" s="181"/>
      <c r="AH28" s="181"/>
      <c r="AI28" s="181"/>
      <c r="AJ28" s="31"/>
      <c r="AK28" s="144" t="s">
        <v>131</v>
      </c>
      <c r="EH28" s="113"/>
      <c r="EI28" s="143"/>
      <c r="EJ28" s="111">
        <v>29</v>
      </c>
      <c r="EK28" s="110">
        <v>30</v>
      </c>
      <c r="EL28" s="109">
        <v>31</v>
      </c>
    </row>
    <row r="29" spans="2:962" x14ac:dyDescent="0.25">
      <c r="B29" s="137"/>
      <c r="C29" s="183" t="s">
        <v>18</v>
      </c>
      <c r="D29" s="162"/>
      <c r="E29" s="163"/>
      <c r="F29" s="184"/>
      <c r="G29" s="289"/>
      <c r="H29" s="184"/>
      <c r="I29" s="184"/>
      <c r="J29" s="185"/>
      <c r="K29" s="184"/>
      <c r="L29" s="184"/>
      <c r="M29" s="184"/>
      <c r="N29" s="184"/>
      <c r="O29" s="184"/>
      <c r="P29" s="184"/>
      <c r="Q29" s="184"/>
      <c r="R29" s="184"/>
      <c r="S29" s="184"/>
      <c r="T29" s="185"/>
      <c r="U29" s="186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31"/>
      <c r="AK29" s="142" t="s">
        <v>18</v>
      </c>
      <c r="EH29" s="99" t="s">
        <v>107</v>
      </c>
      <c r="EI29" s="30" t="s">
        <v>16</v>
      </c>
      <c r="EJ29" s="98">
        <v>1971319.99999999</v>
      </c>
      <c r="EK29" s="97">
        <v>2015120.00000001</v>
      </c>
      <c r="EL29" s="96">
        <v>2015230</v>
      </c>
      <c r="AJX29" s="22" t="s">
        <v>132</v>
      </c>
      <c r="AJY29" s="22" t="s">
        <v>131</v>
      </c>
      <c r="AJZ29" s="22" t="s">
        <v>97</v>
      </c>
    </row>
    <row r="30" spans="2:962" x14ac:dyDescent="0.25">
      <c r="B30" s="137"/>
      <c r="C30" s="165" t="s">
        <v>130</v>
      </c>
      <c r="D30" s="166"/>
      <c r="E30" s="167" t="s">
        <v>129</v>
      </c>
      <c r="F30" s="11">
        <v>1</v>
      </c>
      <c r="G30" s="11">
        <v>1</v>
      </c>
      <c r="H30" s="11">
        <v>1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1</v>
      </c>
      <c r="AC30" s="11">
        <v>1</v>
      </c>
      <c r="AD30" s="11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31"/>
      <c r="AK30" s="26">
        <f>SUM(F30:AI30)</f>
        <v>23</v>
      </c>
      <c r="AL30" s="8"/>
      <c r="AM30" s="141">
        <f>(AK31/AK30)/1000</f>
        <v>1285.7842173913045</v>
      </c>
      <c r="EH30" s="99"/>
      <c r="EJ30" s="98"/>
      <c r="EK30" s="97"/>
      <c r="EL30" s="96"/>
      <c r="GQ30" s="31"/>
      <c r="PU30" s="5" t="s">
        <v>128</v>
      </c>
      <c r="AFH30" s="30" t="s">
        <v>127</v>
      </c>
      <c r="AFI30" s="30" t="s">
        <v>126</v>
      </c>
      <c r="AJW30" s="87" t="s">
        <v>125</v>
      </c>
      <c r="AJX30" s="5">
        <v>11008948</v>
      </c>
      <c r="AJY30" s="5">
        <f>AK31</f>
        <v>29573037</v>
      </c>
      <c r="AJZ30" s="4">
        <f>AJX30-AJY30</f>
        <v>-18564089</v>
      </c>
    </row>
    <row r="31" spans="2:962" x14ac:dyDescent="0.25">
      <c r="B31" s="137"/>
      <c r="C31" s="187" t="s">
        <v>92</v>
      </c>
      <c r="D31" s="188"/>
      <c r="E31" s="189" t="s">
        <v>16</v>
      </c>
      <c r="F31" s="190">
        <v>1650074</v>
      </c>
      <c r="G31" s="190">
        <v>1803857</v>
      </c>
      <c r="H31" s="190">
        <v>1485616</v>
      </c>
      <c r="I31" s="190">
        <v>1321045</v>
      </c>
      <c r="J31" s="190">
        <v>1157686</v>
      </c>
      <c r="K31" s="190">
        <v>1215052</v>
      </c>
      <c r="L31" s="190">
        <v>1056684</v>
      </c>
      <c r="M31" s="190">
        <v>945190</v>
      </c>
      <c r="N31" s="190">
        <v>1297863</v>
      </c>
      <c r="O31" s="190">
        <v>1232395</v>
      </c>
      <c r="P31" s="190">
        <v>580139</v>
      </c>
      <c r="Q31" s="190">
        <v>1249128</v>
      </c>
      <c r="R31" s="190">
        <v>719123</v>
      </c>
      <c r="S31" s="190">
        <v>442877</v>
      </c>
      <c r="T31" s="190">
        <v>911221</v>
      </c>
      <c r="U31" s="190"/>
      <c r="V31" s="190"/>
      <c r="W31" s="190"/>
      <c r="X31" s="190"/>
      <c r="Y31" s="190"/>
      <c r="Z31" s="190"/>
      <c r="AA31" s="190"/>
      <c r="AB31" s="190">
        <f>501613-260000</f>
        <v>241613</v>
      </c>
      <c r="AC31" s="190">
        <v>1076183</v>
      </c>
      <c r="AD31" s="190">
        <v>1770022</v>
      </c>
      <c r="AE31" s="190">
        <v>2098524</v>
      </c>
      <c r="AF31" s="190">
        <v>2164448</v>
      </c>
      <c r="AG31" s="190">
        <v>2137242</v>
      </c>
      <c r="AH31" s="190">
        <v>1615954</v>
      </c>
      <c r="AI31" s="190">
        <v>1401101</v>
      </c>
      <c r="AJ31" s="10"/>
      <c r="AK31" s="26">
        <f>SUM(F31:AI31)</f>
        <v>29573037</v>
      </c>
      <c r="AL31" s="41"/>
      <c r="AM31" s="41">
        <f>AK31/1000</f>
        <v>29573.037</v>
      </c>
      <c r="AN31" s="72">
        <v>30000</v>
      </c>
      <c r="AO31" s="3">
        <f>AM31/AN31*100</f>
        <v>98.576790000000003</v>
      </c>
      <c r="BW31" s="40"/>
      <c r="BX31" s="40"/>
      <c r="DA31" s="40"/>
      <c r="EH31" s="104" t="s">
        <v>104</v>
      </c>
      <c r="EI31" s="103" t="s">
        <v>22</v>
      </c>
      <c r="EJ31" s="102">
        <v>251.19641540408301</v>
      </c>
      <c r="EK31" s="140">
        <v>257.91391043490898</v>
      </c>
      <c r="EL31" s="100">
        <v>251.51265323328099</v>
      </c>
      <c r="EM31" s="40"/>
      <c r="GP31" s="5"/>
      <c r="GQ31" s="31"/>
      <c r="KK31" s="40"/>
      <c r="KL31" s="40"/>
      <c r="KM31" s="5"/>
      <c r="KN31" s="40"/>
      <c r="PR31" s="40">
        <v>26946.1077844311</v>
      </c>
      <c r="PS31" s="40">
        <v>17383.2335329341</v>
      </c>
      <c r="PU31" s="40" t="s">
        <v>124</v>
      </c>
      <c r="QI31" s="39"/>
      <c r="QM31" s="40"/>
      <c r="SP31" s="39"/>
      <c r="AFH31" s="5">
        <f>35.8500000000058*1000</f>
        <v>35850.000000005799</v>
      </c>
      <c r="AHY31" s="5"/>
      <c r="AJN31" s="5"/>
      <c r="AJO31" s="5"/>
      <c r="AJP31" s="5"/>
      <c r="AJW31" s="87" t="s">
        <v>83</v>
      </c>
      <c r="AJX31" s="5">
        <v>566885</v>
      </c>
      <c r="AJY31" s="5">
        <f>AK38</f>
        <v>1256924</v>
      </c>
      <c r="AJZ31" s="4">
        <f>AJX31-AJY31</f>
        <v>-690039</v>
      </c>
    </row>
    <row r="32" spans="2:962" ht="15" customHeight="1" x14ac:dyDescent="0.25">
      <c r="B32" s="137"/>
      <c r="C32" s="187" t="s">
        <v>123</v>
      </c>
      <c r="D32" s="188"/>
      <c r="E32" s="189" t="s">
        <v>16</v>
      </c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0"/>
      <c r="AK32" s="9">
        <f>SUM(F32:AI32)</f>
        <v>0</v>
      </c>
      <c r="AL32" s="41"/>
      <c r="AM32" s="41"/>
      <c r="BW32" s="40"/>
      <c r="BX32" s="40"/>
      <c r="DA32" s="40"/>
      <c r="EH32" s="99"/>
      <c r="EI32" s="30"/>
      <c r="EJ32" s="139"/>
      <c r="EK32" s="105"/>
      <c r="EL32" s="138"/>
      <c r="EM32" s="40"/>
      <c r="GP32" s="40"/>
      <c r="KK32" s="40"/>
      <c r="KL32" s="40"/>
      <c r="KM32" s="40"/>
      <c r="KN32" s="40"/>
      <c r="PR32" s="40"/>
      <c r="PS32" s="40"/>
      <c r="PU32" s="40"/>
      <c r="QI32" s="39"/>
      <c r="QM32" s="40"/>
      <c r="SP32" s="39"/>
      <c r="AHY32" s="5"/>
      <c r="AJN32" s="5"/>
      <c r="AJO32" s="5"/>
      <c r="AJP32" s="5"/>
      <c r="AJW32" s="87"/>
      <c r="AJX32" s="5"/>
      <c r="AJY32" s="5"/>
    </row>
    <row r="33" spans="1:14968" x14ac:dyDescent="0.25">
      <c r="B33" s="137"/>
      <c r="C33" s="136" t="s">
        <v>122</v>
      </c>
      <c r="D33" s="290">
        <v>5</v>
      </c>
      <c r="E33" s="135" t="s">
        <v>29</v>
      </c>
      <c r="F33" s="126">
        <v>4.62</v>
      </c>
      <c r="G33" s="126">
        <v>4.49</v>
      </c>
      <c r="H33" s="126">
        <v>4.66</v>
      </c>
      <c r="I33" s="126">
        <v>4.2</v>
      </c>
      <c r="J33" s="126">
        <v>4.37</v>
      </c>
      <c r="K33" s="126">
        <v>4.22</v>
      </c>
      <c r="L33" s="126">
        <v>4.1500000000000004</v>
      </c>
      <c r="M33" s="126">
        <v>4.1100000000000003</v>
      </c>
      <c r="N33" s="126">
        <v>3.96</v>
      </c>
      <c r="O33" s="126">
        <v>4</v>
      </c>
      <c r="P33" s="126">
        <v>4.0999999999999996</v>
      </c>
      <c r="Q33" s="126">
        <v>4.0999999999999996</v>
      </c>
      <c r="R33" s="126">
        <v>4.0999999999999996</v>
      </c>
      <c r="S33" s="126">
        <v>4.0999999999999996</v>
      </c>
      <c r="T33" s="126">
        <v>4.0999999999999996</v>
      </c>
      <c r="U33" s="126"/>
      <c r="V33" s="126"/>
      <c r="W33" s="126"/>
      <c r="X33" s="126"/>
      <c r="Y33" s="126"/>
      <c r="Z33" s="126"/>
      <c r="AA33" s="126"/>
      <c r="AB33" s="126">
        <v>4.01</v>
      </c>
      <c r="AC33" s="126">
        <v>4.0199999999999996</v>
      </c>
      <c r="AD33" s="126">
        <v>4.01</v>
      </c>
      <c r="AE33" s="126">
        <v>4.1900000000000004</v>
      </c>
      <c r="AF33" s="126">
        <v>4.07</v>
      </c>
      <c r="AG33" s="126">
        <v>4.2</v>
      </c>
      <c r="AH33" s="126">
        <v>4.2699999999999996</v>
      </c>
      <c r="AI33" s="126">
        <v>4.3</v>
      </c>
      <c r="AK33" s="44">
        <f>AVERAGE(F33:AI33)</f>
        <v>4.1891304347826095</v>
      </c>
      <c r="AL33" s="125"/>
      <c r="AM33" s="134"/>
      <c r="BW33" s="125"/>
      <c r="BX33" s="125"/>
      <c r="DA33" s="125"/>
      <c r="EH33" s="99" t="s">
        <v>102</v>
      </c>
      <c r="EI33" s="30" t="s">
        <v>16</v>
      </c>
      <c r="EJ33" s="98">
        <v>182230</v>
      </c>
      <c r="EK33" s="97">
        <v>190070</v>
      </c>
      <c r="EL33" s="96">
        <v>197800.00000000099</v>
      </c>
      <c r="EM33" s="125"/>
      <c r="GP33" s="125"/>
      <c r="GQ33" s="125"/>
      <c r="KK33" s="125"/>
      <c r="KL33" s="125"/>
      <c r="KM33" s="133"/>
      <c r="KN33" s="125"/>
      <c r="PR33" s="125">
        <f>AK31/1000</f>
        <v>29573.037</v>
      </c>
      <c r="PS33" s="125">
        <f>(AK40+AK50+AK45)/1000</f>
        <v>25870.197</v>
      </c>
      <c r="PU33" s="125">
        <f>SUM(PU34:PU35)</f>
        <v>964.16800000000001</v>
      </c>
      <c r="QI33" s="132"/>
      <c r="QM33" s="125"/>
      <c r="SP33" s="132"/>
      <c r="AHY33" s="125">
        <v>2000</v>
      </c>
      <c r="AJN33" s="125"/>
      <c r="AJO33" s="125"/>
      <c r="AJP33" s="125"/>
      <c r="AJW33" s="131"/>
      <c r="AJX33" s="125"/>
      <c r="AJY33" s="125"/>
    </row>
    <row r="34" spans="1:14968" ht="15.75" thickBot="1" x14ac:dyDescent="0.3">
      <c r="B34" s="137"/>
      <c r="C34" s="136" t="s">
        <v>121</v>
      </c>
      <c r="D34" s="290">
        <v>0.5</v>
      </c>
      <c r="E34" s="135" t="s">
        <v>29</v>
      </c>
      <c r="F34" s="126">
        <v>0.4</v>
      </c>
      <c r="G34" s="126">
        <v>0.39</v>
      </c>
      <c r="H34" s="126">
        <v>0.39</v>
      </c>
      <c r="I34" s="126">
        <v>0.4</v>
      </c>
      <c r="J34" s="126">
        <v>0.37</v>
      </c>
      <c r="K34" s="126">
        <v>0.39</v>
      </c>
      <c r="L34" s="126">
        <v>0.39</v>
      </c>
      <c r="M34" s="126">
        <v>0.4</v>
      </c>
      <c r="N34" s="126">
        <v>0.39</v>
      </c>
      <c r="O34" s="126">
        <v>0.39</v>
      </c>
      <c r="P34" s="126">
        <v>0.39</v>
      </c>
      <c r="Q34" s="126">
        <v>0.4</v>
      </c>
      <c r="R34" s="126">
        <v>0.39</v>
      </c>
      <c r="S34" s="126">
        <v>0.39</v>
      </c>
      <c r="T34" s="126">
        <v>0.39</v>
      </c>
      <c r="U34" s="126"/>
      <c r="V34" s="126"/>
      <c r="W34" s="126"/>
      <c r="X34" s="126"/>
      <c r="Y34" s="126"/>
      <c r="Z34" s="126"/>
      <c r="AA34" s="126"/>
      <c r="AB34" s="126">
        <v>0.35</v>
      </c>
      <c r="AC34" s="126">
        <v>0.37</v>
      </c>
      <c r="AD34" s="126">
        <v>0.37</v>
      </c>
      <c r="AE34" s="126">
        <v>0.39</v>
      </c>
      <c r="AF34" s="126">
        <v>0.38</v>
      </c>
      <c r="AG34" s="126">
        <v>0.38</v>
      </c>
      <c r="AH34" s="126">
        <v>0.4</v>
      </c>
      <c r="AI34" s="126">
        <v>0.4</v>
      </c>
      <c r="AJ34" s="10"/>
      <c r="AK34" s="44">
        <f>AVERAGE(F34:AI34)</f>
        <v>0.38739130434782609</v>
      </c>
      <c r="AM34" s="41"/>
      <c r="BW34" s="40"/>
      <c r="BX34" s="40"/>
      <c r="DA34" s="40"/>
      <c r="EH34" s="95"/>
      <c r="EI34" s="94" t="s">
        <v>96</v>
      </c>
      <c r="EJ34" s="130">
        <f>EJ33/(EJ29/1000)</f>
        <v>92.440598177871138</v>
      </c>
      <c r="EK34" s="129">
        <f>EK33/(EK29/1000)</f>
        <v>94.321926237642941</v>
      </c>
      <c r="EL34" s="128">
        <f>EL33/(EL29/1000)</f>
        <v>98.152568193209206</v>
      </c>
      <c r="EM34" s="40"/>
      <c r="GP34" s="40"/>
      <c r="KK34" s="40"/>
      <c r="KL34" s="125"/>
      <c r="KM34" s="40"/>
      <c r="KN34" s="40"/>
      <c r="PR34" s="89"/>
      <c r="PS34" s="89"/>
      <c r="PU34" s="89">
        <f>R41/1000</f>
        <v>803.149</v>
      </c>
      <c r="PV34" s="39">
        <f>PU34/PU33*100</f>
        <v>83.29969465902208</v>
      </c>
      <c r="QI34" s="39"/>
      <c r="QM34" s="40"/>
      <c r="SP34" s="39"/>
      <c r="AHX34" s="127">
        <v>0.94199999999999995</v>
      </c>
      <c r="AHY34" s="5">
        <f>AHX34*AHY33</f>
        <v>1884</v>
      </c>
      <c r="AHZ34" s="1" t="s">
        <v>18</v>
      </c>
      <c r="AJN34" s="5"/>
      <c r="AJO34" s="5"/>
      <c r="AJP34" s="5"/>
      <c r="AJW34" s="87" t="s">
        <v>82</v>
      </c>
      <c r="AJX34" s="5">
        <v>9594130</v>
      </c>
      <c r="AJY34" s="5">
        <f>AK41</f>
        <v>20164081</v>
      </c>
      <c r="AJZ34" s="4">
        <f t="shared" ref="AJZ34:AJZ35" si="6">AJX34-AJY34</f>
        <v>-10569951</v>
      </c>
    </row>
    <row r="35" spans="1:14968" x14ac:dyDescent="0.25">
      <c r="B35" s="137"/>
      <c r="C35" s="136" t="s">
        <v>120</v>
      </c>
      <c r="D35" s="291" t="s">
        <v>119</v>
      </c>
      <c r="E35" s="135" t="s">
        <v>29</v>
      </c>
      <c r="F35" s="126">
        <v>2.21</v>
      </c>
      <c r="G35" s="126">
        <v>2.2200000000000002</v>
      </c>
      <c r="H35" s="126">
        <v>2.2200000000000002</v>
      </c>
      <c r="I35" s="126">
        <v>2.21</v>
      </c>
      <c r="J35" s="126">
        <v>2.21</v>
      </c>
      <c r="K35" s="126">
        <v>2.21</v>
      </c>
      <c r="L35" s="126">
        <v>2.21</v>
      </c>
      <c r="M35" s="126">
        <v>2.21</v>
      </c>
      <c r="N35" s="126">
        <v>2.21</v>
      </c>
      <c r="O35" s="126">
        <v>2.21</v>
      </c>
      <c r="P35" s="126">
        <v>2.21</v>
      </c>
      <c r="Q35" s="126">
        <v>2.2200000000000002</v>
      </c>
      <c r="R35" s="126">
        <v>2.2200000000000002</v>
      </c>
      <c r="S35" s="126">
        <v>2.21</v>
      </c>
      <c r="T35" s="126">
        <v>2.21</v>
      </c>
      <c r="U35" s="126"/>
      <c r="V35" s="126"/>
      <c r="W35" s="126"/>
      <c r="X35" s="126"/>
      <c r="Y35" s="126"/>
      <c r="Z35" s="126"/>
      <c r="AA35" s="126"/>
      <c r="AB35" s="126">
        <v>2.21</v>
      </c>
      <c r="AC35" s="126">
        <v>2.2200000000000002</v>
      </c>
      <c r="AD35" s="126">
        <v>2.21</v>
      </c>
      <c r="AE35" s="126">
        <v>2.21</v>
      </c>
      <c r="AF35" s="126">
        <v>2.21</v>
      </c>
      <c r="AG35" s="126">
        <v>2.21</v>
      </c>
      <c r="AH35" s="126">
        <v>2.21</v>
      </c>
      <c r="AI35" s="126">
        <v>2.21</v>
      </c>
      <c r="AJ35" s="10"/>
      <c r="AK35" s="44">
        <f>AVERAGE(F35:AI35)</f>
        <v>2.2121739130434785</v>
      </c>
      <c r="AL35" s="125"/>
      <c r="AM35" s="41"/>
      <c r="BW35" s="40"/>
      <c r="BX35" s="40"/>
      <c r="DA35" s="40"/>
      <c r="EM35" s="40"/>
      <c r="GP35" s="40"/>
      <c r="KK35" s="40"/>
      <c r="KL35" s="40"/>
      <c r="KM35" s="40"/>
      <c r="KN35" s="40"/>
      <c r="PR35" s="40">
        <f>SUM(PR33:PR34)</f>
        <v>29573.037</v>
      </c>
      <c r="PS35" s="40">
        <f>SUM(PS33:PS34)</f>
        <v>25870.197</v>
      </c>
      <c r="PU35" s="89">
        <f>R42/1000</f>
        <v>161.01900000000001</v>
      </c>
      <c r="PV35" s="39">
        <f>PU35/PU33*100</f>
        <v>16.700305340977923</v>
      </c>
      <c r="QI35" s="39"/>
      <c r="QM35" s="40"/>
      <c r="SP35" s="39"/>
      <c r="AHX35" s="106">
        <v>0.05</v>
      </c>
      <c r="AHY35" s="5">
        <f>AHX35*AHY33</f>
        <v>100</v>
      </c>
      <c r="AJN35" s="5"/>
      <c r="AJO35" s="5"/>
      <c r="AJP35" s="5"/>
      <c r="AJW35" s="87" t="s">
        <v>80</v>
      </c>
      <c r="AJX35" s="5">
        <v>2161151</v>
      </c>
      <c r="AJY35" s="5">
        <f>AK42</f>
        <v>4385734</v>
      </c>
      <c r="AJZ35" s="4">
        <f t="shared" si="6"/>
        <v>-2224583</v>
      </c>
    </row>
    <row r="36" spans="1:14968" x14ac:dyDescent="0.25">
      <c r="B36" s="137"/>
      <c r="C36" s="191" t="s">
        <v>118</v>
      </c>
      <c r="D36" s="192"/>
      <c r="E36" s="193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7"/>
      <c r="AK36" s="45" t="s">
        <v>118</v>
      </c>
      <c r="AL36" s="41"/>
      <c r="AM36" s="41"/>
      <c r="BW36" s="40"/>
      <c r="BX36" s="40"/>
      <c r="CI36" s="66"/>
      <c r="DA36" s="40"/>
      <c r="EI36" s="30"/>
      <c r="EJ36" s="40"/>
      <c r="EK36" s="40"/>
      <c r="EL36" s="40"/>
      <c r="EM36" s="40"/>
      <c r="GP36" s="40"/>
      <c r="KK36" s="40"/>
      <c r="KL36" s="40"/>
      <c r="KM36" s="40"/>
      <c r="KN36" s="40"/>
      <c r="PR36" s="39">
        <f>PR35/PR31*100</f>
        <v>109.74882620000015</v>
      </c>
      <c r="PS36" s="39">
        <f>PS35/PS31*100</f>
        <v>148.82269717533615</v>
      </c>
      <c r="PU36" s="40"/>
      <c r="QI36" s="39"/>
      <c r="QM36" s="40"/>
      <c r="SP36" s="39"/>
      <c r="AFJ36" s="122" t="s">
        <v>117</v>
      </c>
      <c r="AFK36" s="122"/>
      <c r="AFL36" s="122"/>
      <c r="AFM36" s="122"/>
      <c r="AFN36" s="122"/>
      <c r="AFO36" s="122"/>
      <c r="AFP36" s="122"/>
      <c r="AFQ36" s="122"/>
      <c r="AFR36" s="122"/>
      <c r="AFS36" s="122"/>
      <c r="AFT36" s="30" t="s">
        <v>116</v>
      </c>
      <c r="AFU36" s="122" t="s">
        <v>115</v>
      </c>
      <c r="AHY36" s="5"/>
      <c r="AJN36" s="5"/>
      <c r="AJO36" s="5"/>
      <c r="AJP36" s="5"/>
      <c r="AJX36" s="5"/>
      <c r="AJY36" s="5"/>
    </row>
    <row r="37" spans="1:14968" ht="15.75" thickBot="1" x14ac:dyDescent="0.3">
      <c r="B37" s="135"/>
      <c r="C37" s="194" t="s">
        <v>114</v>
      </c>
      <c r="D37" s="188">
        <f>D55%*D31</f>
        <v>0</v>
      </c>
      <c r="E37" s="195" t="s">
        <v>16</v>
      </c>
      <c r="F37" s="190">
        <v>1558390</v>
      </c>
      <c r="G37" s="190">
        <v>1700031</v>
      </c>
      <c r="H37" s="190">
        <v>1402330</v>
      </c>
      <c r="I37" s="190">
        <v>1256001</v>
      </c>
      <c r="J37" s="190">
        <v>1096931</v>
      </c>
      <c r="K37" s="190">
        <v>1156422</v>
      </c>
      <c r="L37" s="190">
        <v>1001971</v>
      </c>
      <c r="M37" s="190">
        <v>902083</v>
      </c>
      <c r="N37" s="190">
        <v>1242519</v>
      </c>
      <c r="O37" s="190">
        <v>1173741</v>
      </c>
      <c r="P37" s="190">
        <v>554501</v>
      </c>
      <c r="Q37" s="190">
        <v>1199688</v>
      </c>
      <c r="R37" s="190">
        <v>684047</v>
      </c>
      <c r="S37" s="190">
        <v>417741</v>
      </c>
      <c r="T37" s="190">
        <v>866476</v>
      </c>
      <c r="U37" s="190"/>
      <c r="V37" s="190"/>
      <c r="W37" s="190"/>
      <c r="X37" s="190"/>
      <c r="Y37" s="190"/>
      <c r="Z37" s="190"/>
      <c r="AA37" s="190"/>
      <c r="AB37" s="190">
        <v>239149</v>
      </c>
      <c r="AC37" s="190">
        <v>1026076</v>
      </c>
      <c r="AD37" s="190">
        <v>1680621</v>
      </c>
      <c r="AE37" s="190">
        <v>1993459</v>
      </c>
      <c r="AF37" s="190">
        <v>2063158</v>
      </c>
      <c r="AG37" s="190">
        <v>2036431</v>
      </c>
      <c r="AH37" s="190">
        <v>1527923</v>
      </c>
      <c r="AI37" s="190">
        <v>1340527</v>
      </c>
      <c r="AJ37" s="10"/>
      <c r="AK37" s="26">
        <f>SUM(F37:AI37)</f>
        <v>28120216</v>
      </c>
      <c r="AL37" s="8"/>
      <c r="AM37" s="27"/>
      <c r="AN37" s="3"/>
      <c r="BW37" s="5"/>
      <c r="BX37" s="5"/>
      <c r="BY37" s="31">
        <f>AM37/1000</f>
        <v>0</v>
      </c>
      <c r="CI37" s="66"/>
      <c r="DA37" s="5"/>
      <c r="EH37" s="121" t="s">
        <v>113</v>
      </c>
      <c r="EI37" s="30"/>
      <c r="EJ37" s="5"/>
      <c r="EK37" s="5"/>
      <c r="EL37" s="5"/>
      <c r="EM37" s="5"/>
      <c r="GP37" s="5"/>
      <c r="KK37" s="5"/>
      <c r="KL37" s="5"/>
      <c r="KM37" s="5"/>
      <c r="KN37" s="5"/>
      <c r="PR37" s="5"/>
      <c r="PS37" s="5"/>
      <c r="PU37" s="5"/>
      <c r="QI37" s="27"/>
      <c r="QM37" s="5"/>
      <c r="SP37" s="27"/>
      <c r="AFH37" s="5">
        <v>136359.999999986</v>
      </c>
      <c r="AFI37" s="5">
        <v>109339.999999997</v>
      </c>
      <c r="AFJ37" s="114">
        <f>SUM(AFH37:AFI37)</f>
        <v>245699.999999983</v>
      </c>
      <c r="AFT37" s="5">
        <v>34157.880000005498</v>
      </c>
      <c r="AFU37" s="114">
        <f>AFJ37-AFT37</f>
        <v>211542.1199999775</v>
      </c>
      <c r="AHY37" s="5">
        <f>AHY34</f>
        <v>1884</v>
      </c>
      <c r="AJN37" s="5"/>
      <c r="AJO37" s="5"/>
      <c r="AJP37" s="5"/>
      <c r="AJX37" s="5"/>
      <c r="AJY37" s="5"/>
    </row>
    <row r="38" spans="1:14968" x14ac:dyDescent="0.25">
      <c r="B38" s="135"/>
      <c r="C38" s="194" t="s">
        <v>83</v>
      </c>
      <c r="D38" s="188">
        <f>D56%*D31</f>
        <v>0</v>
      </c>
      <c r="E38" s="195" t="s">
        <v>16</v>
      </c>
      <c r="F38" s="190">
        <v>79006</v>
      </c>
      <c r="G38" s="190">
        <v>90276</v>
      </c>
      <c r="H38" s="190">
        <v>73096</v>
      </c>
      <c r="I38" s="190">
        <v>56676</v>
      </c>
      <c r="J38" s="190">
        <v>52177</v>
      </c>
      <c r="K38" s="190">
        <v>50098</v>
      </c>
      <c r="L38" s="190">
        <v>47361</v>
      </c>
      <c r="M38" s="190">
        <v>37247</v>
      </c>
      <c r="N38" s="190">
        <v>47317</v>
      </c>
      <c r="O38" s="190">
        <v>49974</v>
      </c>
      <c r="P38" s="190">
        <v>21711</v>
      </c>
      <c r="Q38" s="190">
        <v>40695</v>
      </c>
      <c r="R38" s="190">
        <v>30210</v>
      </c>
      <c r="S38" s="190">
        <v>22120</v>
      </c>
      <c r="T38" s="190">
        <v>37749</v>
      </c>
      <c r="U38" s="190"/>
      <c r="V38" s="190"/>
      <c r="W38" s="190"/>
      <c r="X38" s="190"/>
      <c r="Y38" s="190"/>
      <c r="Z38" s="190"/>
      <c r="AA38" s="190"/>
      <c r="AB38" s="190">
        <v>12106</v>
      </c>
      <c r="AC38" s="190">
        <v>42628</v>
      </c>
      <c r="AD38" s="190">
        <v>76718</v>
      </c>
      <c r="AE38" s="190">
        <v>90653</v>
      </c>
      <c r="AF38" s="190">
        <v>85891</v>
      </c>
      <c r="AG38" s="190">
        <v>86252</v>
      </c>
      <c r="AH38" s="190">
        <v>76189</v>
      </c>
      <c r="AI38" s="190">
        <v>50774</v>
      </c>
      <c r="AJ38" s="10"/>
      <c r="AK38" s="26">
        <f>SUM(F38:AI38)</f>
        <v>1256924</v>
      </c>
      <c r="AL38" s="8" t="s">
        <v>85</v>
      </c>
      <c r="AM38" s="27"/>
      <c r="AN38" s="3"/>
      <c r="BW38" s="5"/>
      <c r="BX38" s="5"/>
      <c r="BY38" s="31">
        <f>AM38/1000</f>
        <v>0</v>
      </c>
      <c r="DA38" s="5"/>
      <c r="EH38" s="120" t="s">
        <v>112</v>
      </c>
      <c r="EI38" s="119"/>
      <c r="EJ38" s="118" t="s">
        <v>111</v>
      </c>
      <c r="EK38" s="117" t="s">
        <v>110</v>
      </c>
      <c r="EL38" s="116"/>
      <c r="EM38" s="5"/>
      <c r="GP38" s="5"/>
      <c r="KK38" s="5"/>
      <c r="KL38" s="5"/>
      <c r="KM38" s="5"/>
      <c r="KN38" s="5"/>
      <c r="PR38" s="5">
        <f>PR31-PR35</f>
        <v>-2626.9292155689</v>
      </c>
      <c r="PS38" s="5">
        <f>PS31-PS35</f>
        <v>-8486.9634670658997</v>
      </c>
      <c r="PU38" s="108" t="s">
        <v>81</v>
      </c>
      <c r="PV38" s="115">
        <v>0</v>
      </c>
      <c r="QH38" s="5">
        <v>564.70506750000004</v>
      </c>
      <c r="QI38" s="27">
        <f>PV38/QH38*100</f>
        <v>0</v>
      </c>
      <c r="QL38" s="106"/>
      <c r="QM38" s="5"/>
      <c r="SP38" s="27"/>
      <c r="AFH38" s="5">
        <v>13799.9999999993</v>
      </c>
      <c r="AFI38" s="5">
        <v>2799.9999999992701</v>
      </c>
      <c r="AFJ38" s="114">
        <f>SUM(AFH38:AFI38)</f>
        <v>16599.99999999857</v>
      </c>
      <c r="AFT38" s="5">
        <v>1469.85000000024</v>
      </c>
      <c r="AFU38" s="114">
        <f>AFJ38-AFT38</f>
        <v>15130.14999999833</v>
      </c>
      <c r="AHX38" s="106">
        <v>0.75</v>
      </c>
      <c r="AHY38" s="5">
        <f>AHX38*AHY37</f>
        <v>1413</v>
      </c>
      <c r="AJN38" s="5"/>
      <c r="AJO38" s="5"/>
      <c r="AJP38" s="5"/>
      <c r="AJX38" s="5"/>
      <c r="AJY38" s="5"/>
    </row>
    <row r="39" spans="1:14968" ht="15.75" thickBot="1" x14ac:dyDescent="0.3">
      <c r="B39" s="135"/>
      <c r="C39" s="196" t="s">
        <v>109</v>
      </c>
      <c r="D39" s="197"/>
      <c r="E39" s="198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0"/>
      <c r="AK39" s="85" t="s">
        <v>82</v>
      </c>
      <c r="AL39" s="8"/>
      <c r="AM39" s="66"/>
      <c r="AN39" s="3"/>
      <c r="AP39" s="35">
        <v>26260</v>
      </c>
      <c r="EH39" s="113"/>
      <c r="EI39" s="112"/>
      <c r="EJ39" s="111">
        <v>24</v>
      </c>
      <c r="EK39" s="110">
        <v>2</v>
      </c>
      <c r="EL39" s="109">
        <v>3</v>
      </c>
      <c r="PU39" s="108" t="s">
        <v>79</v>
      </c>
      <c r="PV39" s="107">
        <f>80.53776+QI45</f>
        <v>120.78492</v>
      </c>
      <c r="QH39" s="5">
        <v>4695.7554</v>
      </c>
      <c r="QI39" s="27">
        <f>PV39/QH39*100</f>
        <v>2.5722148985869238</v>
      </c>
      <c r="AHX39" s="106">
        <v>0.25</v>
      </c>
      <c r="AHY39" s="5">
        <f>AHX39*AHY37</f>
        <v>471</v>
      </c>
    </row>
    <row r="40" spans="1:14968" x14ac:dyDescent="0.25">
      <c r="B40" s="135"/>
      <c r="C40" s="194" t="s">
        <v>108</v>
      </c>
      <c r="D40" s="199">
        <f>SUM(D41:D42)</f>
        <v>0</v>
      </c>
      <c r="E40" s="195" t="s">
        <v>16</v>
      </c>
      <c r="F40" s="190">
        <f>F42+F41</f>
        <v>1054619</v>
      </c>
      <c r="G40" s="190">
        <f t="shared" ref="G40:AI40" si="7">G42+G41</f>
        <v>1912896</v>
      </c>
      <c r="H40" s="190">
        <f t="shared" si="7"/>
        <v>1889259</v>
      </c>
      <c r="I40" s="190">
        <f t="shared" si="7"/>
        <v>1260063</v>
      </c>
      <c r="J40" s="190">
        <f t="shared" si="7"/>
        <v>785913</v>
      </c>
      <c r="K40" s="190">
        <f t="shared" si="7"/>
        <v>962353</v>
      </c>
      <c r="L40" s="190">
        <f t="shared" si="7"/>
        <v>1276018</v>
      </c>
      <c r="M40" s="190">
        <f t="shared" si="7"/>
        <v>867434</v>
      </c>
      <c r="N40" s="190">
        <f t="shared" si="7"/>
        <v>1224216</v>
      </c>
      <c r="O40" s="190">
        <f t="shared" si="7"/>
        <v>730593</v>
      </c>
      <c r="P40" s="190">
        <f t="shared" si="7"/>
        <v>668015</v>
      </c>
      <c r="Q40" s="190">
        <f t="shared" si="7"/>
        <v>893882</v>
      </c>
      <c r="R40" s="190">
        <f t="shared" si="7"/>
        <v>964168</v>
      </c>
      <c r="S40" s="190">
        <f t="shared" si="7"/>
        <v>727111</v>
      </c>
      <c r="T40" s="190">
        <f t="shared" si="7"/>
        <v>411898</v>
      </c>
      <c r="U40" s="190">
        <f t="shared" si="7"/>
        <v>0</v>
      </c>
      <c r="V40" s="190">
        <f t="shared" si="7"/>
        <v>0</v>
      </c>
      <c r="W40" s="190">
        <f t="shared" si="7"/>
        <v>0</v>
      </c>
      <c r="X40" s="190">
        <f>X42+X41</f>
        <v>0</v>
      </c>
      <c r="Y40" s="190">
        <f t="shared" si="7"/>
        <v>0</v>
      </c>
      <c r="Z40" s="190">
        <f t="shared" si="7"/>
        <v>0</v>
      </c>
      <c r="AA40" s="190">
        <f t="shared" si="7"/>
        <v>0</v>
      </c>
      <c r="AB40" s="190">
        <f t="shared" si="7"/>
        <v>0</v>
      </c>
      <c r="AC40" s="190">
        <f t="shared" si="7"/>
        <v>376814</v>
      </c>
      <c r="AD40" s="190">
        <f t="shared" si="7"/>
        <v>1520454</v>
      </c>
      <c r="AE40" s="190">
        <f t="shared" si="7"/>
        <v>1469534</v>
      </c>
      <c r="AF40" s="190">
        <f t="shared" si="7"/>
        <v>890968</v>
      </c>
      <c r="AG40" s="190">
        <f t="shared" si="7"/>
        <v>1574475</v>
      </c>
      <c r="AH40" s="190">
        <f t="shared" si="7"/>
        <v>1826213</v>
      </c>
      <c r="AI40" s="190">
        <f t="shared" si="7"/>
        <v>1262919</v>
      </c>
      <c r="AJ40" s="10"/>
      <c r="AK40" s="26">
        <f>SUM(F40:AI40)</f>
        <v>24549815</v>
      </c>
      <c r="AL40" s="41"/>
      <c r="AM40" s="39"/>
      <c r="AN40" s="72">
        <f>SUM(AN41:AN42)</f>
        <v>0</v>
      </c>
      <c r="AP40" s="72">
        <f>SUM(AK40+AK45+AK50)/1000</f>
        <v>25870.197</v>
      </c>
      <c r="AQ40" s="3">
        <f>AP40/AP39*100</f>
        <v>98.515601675552162</v>
      </c>
      <c r="BW40" s="40"/>
      <c r="BX40" s="40"/>
      <c r="DA40" s="40"/>
      <c r="EH40" s="99" t="s">
        <v>107</v>
      </c>
      <c r="EI40" s="30" t="s">
        <v>16</v>
      </c>
      <c r="EJ40" s="98">
        <v>2000530</v>
      </c>
      <c r="EK40" s="105">
        <v>2005167</v>
      </c>
      <c r="EL40" s="96">
        <v>2025879</v>
      </c>
      <c r="EM40" s="40"/>
      <c r="GP40" s="40"/>
      <c r="KK40" s="40"/>
      <c r="KL40" s="40"/>
      <c r="KM40" s="40"/>
      <c r="KN40" s="40"/>
      <c r="PR40" s="40"/>
      <c r="PS40" s="40"/>
      <c r="PU40" s="40"/>
      <c r="QI40" s="39"/>
      <c r="QM40" s="40"/>
      <c r="SP40" s="39"/>
      <c r="AFH40" s="4">
        <f>95.28%*AFH31</f>
        <v>34157.880000005527</v>
      </c>
      <c r="AFJ40" s="4">
        <f>AFH37-AFT37</f>
        <v>102202.1199999805</v>
      </c>
      <c r="AHY40" s="5"/>
      <c r="AJN40" s="5"/>
      <c r="AJO40" s="5"/>
      <c r="AJP40" s="5"/>
      <c r="AJT40" s="1" t="s">
        <v>106</v>
      </c>
    </row>
    <row r="41" spans="1:14968" x14ac:dyDescent="0.25">
      <c r="B41" s="135"/>
      <c r="C41" s="194" t="s">
        <v>105</v>
      </c>
      <c r="D41" s="199"/>
      <c r="E41" s="195" t="s">
        <v>16</v>
      </c>
      <c r="F41" s="190">
        <v>865119</v>
      </c>
      <c r="G41" s="190">
        <v>1570016</v>
      </c>
      <c r="H41" s="190">
        <v>1531281</v>
      </c>
      <c r="I41" s="190">
        <v>1035450</v>
      </c>
      <c r="J41" s="190">
        <v>655451</v>
      </c>
      <c r="K41" s="190">
        <v>779644</v>
      </c>
      <c r="L41" s="190">
        <v>1035770</v>
      </c>
      <c r="M41" s="190">
        <v>711995</v>
      </c>
      <c r="N41" s="190">
        <v>1005336</v>
      </c>
      <c r="O41" s="190">
        <v>600705</v>
      </c>
      <c r="P41" s="190">
        <v>551488</v>
      </c>
      <c r="Q41" s="190">
        <v>742874</v>
      </c>
      <c r="R41" s="190">
        <v>803149</v>
      </c>
      <c r="S41" s="190">
        <v>600466</v>
      </c>
      <c r="T41" s="190">
        <f>294901+35000</f>
        <v>329901</v>
      </c>
      <c r="U41" s="190"/>
      <c r="V41" s="190"/>
      <c r="W41" s="190"/>
      <c r="X41" s="190"/>
      <c r="Y41" s="190"/>
      <c r="Z41" s="190"/>
      <c r="AA41" s="190"/>
      <c r="AB41" s="190">
        <v>0</v>
      </c>
      <c r="AC41" s="190">
        <v>310344</v>
      </c>
      <c r="AD41" s="190">
        <v>1252560</v>
      </c>
      <c r="AE41" s="190">
        <f>1182634+30000</f>
        <v>1212634</v>
      </c>
      <c r="AF41" s="190">
        <v>768200</v>
      </c>
      <c r="AG41" s="190">
        <v>1329642</v>
      </c>
      <c r="AH41" s="190">
        <v>1499862</v>
      </c>
      <c r="AI41" s="190">
        <v>972194</v>
      </c>
      <c r="AJ41" s="10"/>
      <c r="AK41" s="26">
        <f>SUM(F41:AI41)</f>
        <v>20164081</v>
      </c>
      <c r="AL41" s="5"/>
      <c r="AN41" s="72">
        <f>AA41/1000</f>
        <v>0</v>
      </c>
      <c r="AO41" s="3" t="e">
        <f>AN41/AN40*100</f>
        <v>#DIV/0!</v>
      </c>
      <c r="AP41" s="72">
        <f>AK41/1000</f>
        <v>20164.080999999998</v>
      </c>
      <c r="BY41" s="31">
        <f>AM41/1000</f>
        <v>0</v>
      </c>
      <c r="EH41" s="104" t="s">
        <v>104</v>
      </c>
      <c r="EI41" s="103" t="s">
        <v>22</v>
      </c>
      <c r="EJ41" s="102">
        <v>255.536188590634</v>
      </c>
      <c r="EK41" s="101">
        <v>255.09239449100701</v>
      </c>
      <c r="EL41" s="100">
        <v>260.824545250543</v>
      </c>
      <c r="PR41" s="89">
        <f>R31/1000</f>
        <v>719.12300000000005</v>
      </c>
      <c r="PU41" s="90" t="s">
        <v>103</v>
      </c>
      <c r="PV41" s="5">
        <v>0</v>
      </c>
      <c r="QH41" s="5">
        <v>9.7534799999999997</v>
      </c>
      <c r="QI41" s="27">
        <f>(PV41*QH41)/1000</f>
        <v>0</v>
      </c>
      <c r="AFH41" s="4">
        <f>4.1%*AFH31</f>
        <v>1469.8500000002375</v>
      </c>
      <c r="AFJ41" s="4">
        <f>AFH38-AFT38</f>
        <v>12330.149999999059</v>
      </c>
    </row>
    <row r="42" spans="1:14968" x14ac:dyDescent="0.25">
      <c r="B42" s="135"/>
      <c r="C42" s="194" t="s">
        <v>94</v>
      </c>
      <c r="D42" s="199"/>
      <c r="E42" s="195" t="s">
        <v>16</v>
      </c>
      <c r="F42" s="190">
        <v>189500</v>
      </c>
      <c r="G42" s="190">
        <v>342880</v>
      </c>
      <c r="H42" s="190">
        <v>357978</v>
      </c>
      <c r="I42" s="190">
        <v>224613</v>
      </c>
      <c r="J42" s="190">
        <f>161162-30700</f>
        <v>130462</v>
      </c>
      <c r="K42" s="190">
        <v>182709</v>
      </c>
      <c r="L42" s="190">
        <v>240248</v>
      </c>
      <c r="M42" s="190">
        <v>155439</v>
      </c>
      <c r="N42" s="190">
        <v>218880</v>
      </c>
      <c r="O42" s="190">
        <v>129888</v>
      </c>
      <c r="P42" s="190">
        <v>116527</v>
      </c>
      <c r="Q42" s="190">
        <f>159508-8500</f>
        <v>151008</v>
      </c>
      <c r="R42" s="190">
        <f>170019-9000</f>
        <v>161019</v>
      </c>
      <c r="S42" s="190">
        <v>126645</v>
      </c>
      <c r="T42" s="190">
        <f>173997-92000</f>
        <v>81997</v>
      </c>
      <c r="U42" s="190"/>
      <c r="V42" s="190"/>
      <c r="W42" s="190"/>
      <c r="X42" s="190"/>
      <c r="Y42" s="190"/>
      <c r="Z42" s="190"/>
      <c r="AA42" s="190"/>
      <c r="AB42" s="200">
        <v>0</v>
      </c>
      <c r="AC42" s="200">
        <v>66470</v>
      </c>
      <c r="AD42" s="200">
        <v>267894</v>
      </c>
      <c r="AE42" s="200">
        <v>256900</v>
      </c>
      <c r="AF42" s="200">
        <f>184868-62100</f>
        <v>122768</v>
      </c>
      <c r="AG42" s="200">
        <f>303033-58200</f>
        <v>244833</v>
      </c>
      <c r="AH42" s="200">
        <v>326351</v>
      </c>
      <c r="AI42" s="200">
        <f>415725-125000</f>
        <v>290725</v>
      </c>
      <c r="AJ42" s="10"/>
      <c r="AK42" s="26">
        <f>SUM(F42:AI42)</f>
        <v>4385734</v>
      </c>
      <c r="AL42" s="5"/>
      <c r="AN42" s="72">
        <f>AA42/1000</f>
        <v>0</v>
      </c>
      <c r="AO42" s="3" t="e">
        <f>AN42/AN40*100</f>
        <v>#DIV/0!</v>
      </c>
      <c r="AP42" s="72">
        <f>AK42/1000</f>
        <v>4385.7340000000004</v>
      </c>
      <c r="BY42" s="31">
        <f>AM42/1000</f>
        <v>0</v>
      </c>
      <c r="EH42" s="99" t="s">
        <v>102</v>
      </c>
      <c r="EI42" s="30" t="s">
        <v>16</v>
      </c>
      <c r="EJ42" s="98">
        <v>146000</v>
      </c>
      <c r="EK42" s="97">
        <v>151100</v>
      </c>
      <c r="EL42" s="96">
        <v>152900</v>
      </c>
      <c r="PR42" s="5">
        <v>1796</v>
      </c>
      <c r="PT42" s="27"/>
      <c r="PU42" s="90" t="s">
        <v>101</v>
      </c>
      <c r="PV42" s="89">
        <v>1262</v>
      </c>
      <c r="QH42" s="1">
        <v>10.86</v>
      </c>
      <c r="QI42" s="27">
        <f t="shared" ref="QI42:QI43" si="8">(PV42*QH42)/1000</f>
        <v>13.70532</v>
      </c>
      <c r="AJT42" s="87" t="s">
        <v>100</v>
      </c>
    </row>
    <row r="43" spans="1:14968" ht="15.75" customHeight="1" thickBot="1" x14ac:dyDescent="0.3">
      <c r="B43" s="135"/>
      <c r="C43" s="196" t="s">
        <v>99</v>
      </c>
      <c r="D43" s="201"/>
      <c r="E43" s="198"/>
      <c r="F43" s="184"/>
      <c r="G43" s="184"/>
      <c r="H43" s="184"/>
      <c r="I43" s="202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203"/>
      <c r="Z43" s="204"/>
      <c r="AA43" s="204"/>
      <c r="AB43" s="203"/>
      <c r="AC43" s="203"/>
      <c r="AD43" s="203"/>
      <c r="AE43" s="203"/>
      <c r="AF43" s="203"/>
      <c r="AG43" s="203"/>
      <c r="AH43" s="203"/>
      <c r="AI43" s="203"/>
      <c r="AJ43" s="10"/>
      <c r="AK43" s="85" t="s">
        <v>81</v>
      </c>
      <c r="AL43" s="5"/>
      <c r="EH43" s="95"/>
      <c r="EI43" s="94" t="s">
        <v>96</v>
      </c>
      <c r="EJ43" s="93">
        <f>EJ42/(EJ40/1000)</f>
        <v>72.980660125066862</v>
      </c>
      <c r="EK43" s="92">
        <f t="shared" ref="EK43:EL43" si="9">EK42/(EK40/1000)</f>
        <v>75.35531953198911</v>
      </c>
      <c r="EL43" s="91">
        <f t="shared" si="9"/>
        <v>75.473411788167013</v>
      </c>
      <c r="PR43" s="27">
        <f>PR41/PR42*100</f>
        <v>40.040256124721608</v>
      </c>
      <c r="PT43" s="27"/>
      <c r="PU43" s="90" t="s">
        <v>98</v>
      </c>
      <c r="PV43" s="89">
        <v>2444</v>
      </c>
      <c r="QH43" s="1">
        <v>10.86</v>
      </c>
      <c r="QI43" s="27">
        <f t="shared" si="8"/>
        <v>26.541840000000001</v>
      </c>
      <c r="AJT43" s="87" t="s">
        <v>97</v>
      </c>
    </row>
    <row r="44" spans="1:14968" ht="15" customHeight="1" x14ac:dyDescent="0.25">
      <c r="A44" s="83"/>
      <c r="B44" s="167"/>
      <c r="C44" s="205" t="s">
        <v>92</v>
      </c>
      <c r="D44" s="206"/>
      <c r="E44" s="207" t="s">
        <v>16</v>
      </c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208"/>
      <c r="AE44" s="208"/>
      <c r="AF44" s="208"/>
      <c r="AG44" s="208"/>
      <c r="AH44" s="208"/>
      <c r="AI44" s="208"/>
      <c r="AJ44" s="51"/>
      <c r="AK44" s="50">
        <f>SUM(F44:AI44)</f>
        <v>0</v>
      </c>
      <c r="AL44" s="14"/>
      <c r="AN44" s="84"/>
      <c r="AO44" s="88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14"/>
      <c r="BX44" s="14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Y44" s="83"/>
      <c r="CZ44" s="83"/>
      <c r="DA44" s="14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I44" s="30" t="s">
        <v>96</v>
      </c>
      <c r="EJ44" s="39" t="e">
        <f>EJ42/(EJ38/1000)</f>
        <v>#VALUE!</v>
      </c>
      <c r="EK44" s="39" t="e">
        <f>EL42/(EK38/1000)</f>
        <v>#VALUE!</v>
      </c>
      <c r="EL44" s="39" t="e">
        <f>#REF!/(EL38/1000)</f>
        <v>#REF!</v>
      </c>
      <c r="EM44" s="14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  <c r="FU44" s="83"/>
      <c r="FV44" s="83"/>
      <c r="FW44" s="83"/>
      <c r="FX44" s="83"/>
      <c r="FY44" s="83"/>
      <c r="FZ44" s="83"/>
      <c r="GA44" s="83"/>
      <c r="GB44" s="83"/>
      <c r="GC44" s="83"/>
      <c r="GD44" s="83"/>
      <c r="GE44" s="83"/>
      <c r="GF44" s="83"/>
      <c r="GG44" s="83"/>
      <c r="GH44" s="83"/>
      <c r="GI44" s="83"/>
      <c r="GJ44" s="83"/>
      <c r="GK44" s="83"/>
      <c r="GL44" s="83"/>
      <c r="GM44" s="83"/>
      <c r="GN44" s="83"/>
      <c r="GO44" s="83"/>
      <c r="GP44" s="14"/>
      <c r="GQ44" s="83"/>
      <c r="GR44" s="83"/>
      <c r="GS44" s="83"/>
      <c r="GT44" s="83"/>
      <c r="GU44" s="83"/>
      <c r="GV44" s="83"/>
      <c r="GW44" s="83"/>
      <c r="GX44" s="83"/>
      <c r="GY44" s="83"/>
      <c r="GZ44" s="83"/>
      <c r="HA44" s="83"/>
      <c r="HB44" s="83"/>
      <c r="HC44" s="83"/>
      <c r="HD44" s="83"/>
      <c r="HE44" s="83"/>
      <c r="HF44" s="83"/>
      <c r="HG44" s="83"/>
      <c r="HH44" s="83"/>
      <c r="HI44" s="83"/>
      <c r="HJ44" s="83"/>
      <c r="HK44" s="83"/>
      <c r="HL44" s="83"/>
      <c r="HM44" s="83"/>
      <c r="HN44" s="83"/>
      <c r="HO44" s="83"/>
      <c r="HP44" s="83"/>
      <c r="HQ44" s="83"/>
      <c r="HR44" s="83"/>
      <c r="HS44" s="83"/>
      <c r="HT44" s="83"/>
      <c r="HU44" s="83"/>
      <c r="HV44" s="83"/>
      <c r="HW44" s="83"/>
      <c r="HX44" s="83"/>
      <c r="HY44" s="83"/>
      <c r="HZ44" s="83"/>
      <c r="IA44" s="83"/>
      <c r="IB44" s="83"/>
      <c r="IC44" s="83"/>
      <c r="ID44" s="83"/>
      <c r="IE44" s="83"/>
      <c r="IF44" s="83"/>
      <c r="IG44" s="83"/>
      <c r="IH44" s="83"/>
      <c r="II44" s="83"/>
      <c r="IJ44" s="83"/>
      <c r="IK44" s="83"/>
      <c r="IL44" s="83"/>
      <c r="IM44" s="83"/>
      <c r="IN44" s="83"/>
      <c r="IO44" s="83"/>
      <c r="IP44" s="83"/>
      <c r="IQ44" s="83"/>
      <c r="IR44" s="83"/>
      <c r="IS44" s="83"/>
      <c r="IT44" s="83"/>
      <c r="IU44" s="83"/>
      <c r="IV44" s="83"/>
      <c r="IW44" s="83"/>
      <c r="IX44" s="83"/>
      <c r="IY44" s="83"/>
      <c r="IZ44" s="83"/>
      <c r="JA44" s="83"/>
      <c r="JB44" s="83"/>
      <c r="JC44" s="83"/>
      <c r="JD44" s="83"/>
      <c r="JE44" s="83"/>
      <c r="JF44" s="83"/>
      <c r="JG44" s="83"/>
      <c r="JH44" s="83"/>
      <c r="JI44" s="83"/>
      <c r="JJ44" s="83"/>
      <c r="JK44" s="83"/>
      <c r="JL44" s="83"/>
      <c r="JM44" s="83"/>
      <c r="JN44" s="83"/>
      <c r="JO44" s="83"/>
      <c r="JP44" s="83"/>
      <c r="JQ44" s="83"/>
      <c r="JR44" s="83"/>
      <c r="JS44" s="83"/>
      <c r="JT44" s="83"/>
      <c r="JU44" s="83"/>
      <c r="JV44" s="83"/>
      <c r="JW44" s="83"/>
      <c r="JX44" s="83"/>
      <c r="JY44" s="83"/>
      <c r="JZ44" s="83"/>
      <c r="KA44" s="83"/>
      <c r="KB44" s="83"/>
      <c r="KC44" s="83"/>
      <c r="KD44" s="83"/>
      <c r="KE44" s="83"/>
      <c r="KF44" s="83"/>
      <c r="KG44" s="83"/>
      <c r="KH44" s="83"/>
      <c r="KI44" s="83"/>
      <c r="KJ44" s="83"/>
      <c r="KK44" s="14"/>
      <c r="KL44" s="14"/>
      <c r="KM44" s="14"/>
      <c r="KN44" s="14"/>
      <c r="KO44" s="83"/>
      <c r="KP44" s="83"/>
      <c r="KQ44" s="83"/>
      <c r="KR44" s="83"/>
      <c r="KS44" s="83"/>
      <c r="KT44" s="83"/>
      <c r="KU44" s="83"/>
      <c r="KV44" s="83"/>
      <c r="KW44" s="83"/>
      <c r="KX44" s="83"/>
      <c r="KY44" s="83"/>
      <c r="KZ44" s="83"/>
      <c r="LA44" s="83"/>
      <c r="LB44" s="83"/>
      <c r="LC44" s="83"/>
      <c r="LD44" s="83"/>
      <c r="LE44" s="83"/>
      <c r="LF44" s="83"/>
      <c r="LG44" s="83"/>
      <c r="LH44" s="83"/>
      <c r="LI44" s="83"/>
      <c r="LJ44" s="83"/>
      <c r="LK44" s="83"/>
      <c r="LL44" s="83"/>
      <c r="LM44" s="83"/>
      <c r="LN44" s="83"/>
      <c r="LO44" s="83"/>
      <c r="LP44" s="83"/>
      <c r="LQ44" s="83"/>
      <c r="LR44" s="83"/>
      <c r="LS44" s="83"/>
      <c r="LT44" s="83"/>
      <c r="LU44" s="83"/>
      <c r="LV44" s="83"/>
      <c r="LW44" s="83"/>
      <c r="LX44" s="83"/>
      <c r="LY44" s="83"/>
      <c r="LZ44" s="83"/>
      <c r="MA44" s="83"/>
      <c r="MB44" s="83"/>
      <c r="MC44" s="83"/>
      <c r="MD44" s="83"/>
      <c r="ME44" s="83"/>
      <c r="MF44" s="83"/>
      <c r="MG44" s="83"/>
      <c r="MH44" s="83"/>
      <c r="MI44" s="83"/>
      <c r="MJ44" s="83"/>
      <c r="MK44" s="83"/>
      <c r="ML44" s="83"/>
      <c r="MM44" s="83"/>
      <c r="MN44" s="83"/>
      <c r="MO44" s="83"/>
      <c r="MP44" s="83"/>
      <c r="MQ44" s="83"/>
      <c r="MR44" s="83"/>
      <c r="MS44" s="83"/>
      <c r="MT44" s="83"/>
      <c r="MU44" s="83"/>
      <c r="MV44" s="83"/>
      <c r="MW44" s="83"/>
      <c r="MX44" s="83"/>
      <c r="MY44" s="83"/>
      <c r="MZ44" s="83"/>
      <c r="NA44" s="83"/>
      <c r="NB44" s="83"/>
      <c r="NC44" s="83"/>
      <c r="ND44" s="83"/>
      <c r="NE44" s="83"/>
      <c r="NF44" s="83"/>
      <c r="NG44" s="83"/>
      <c r="NH44" s="83"/>
      <c r="NI44" s="83"/>
      <c r="NJ44" s="83"/>
      <c r="NK44" s="83"/>
      <c r="NL44" s="83"/>
      <c r="NM44" s="83"/>
      <c r="NN44" s="83"/>
      <c r="NO44" s="83"/>
      <c r="NP44" s="83"/>
      <c r="NQ44" s="83"/>
      <c r="NR44" s="83"/>
      <c r="NS44" s="83"/>
      <c r="NT44" s="83"/>
      <c r="NU44" s="83"/>
      <c r="NV44" s="83"/>
      <c r="NW44" s="83"/>
      <c r="NX44" s="83"/>
      <c r="NY44" s="83"/>
      <c r="NZ44" s="83"/>
      <c r="OA44" s="83"/>
      <c r="OB44" s="83"/>
      <c r="OC44" s="83"/>
      <c r="OD44" s="83"/>
      <c r="OE44" s="83"/>
      <c r="OF44" s="83"/>
      <c r="OG44" s="83"/>
      <c r="OH44" s="83"/>
      <c r="OI44" s="83"/>
      <c r="OJ44" s="83"/>
      <c r="OK44" s="83"/>
      <c r="OL44" s="83"/>
      <c r="OM44" s="83"/>
      <c r="ON44" s="83"/>
      <c r="OO44" s="83"/>
      <c r="OP44" s="83"/>
      <c r="OQ44" s="83"/>
      <c r="OR44" s="83"/>
      <c r="OS44" s="83"/>
      <c r="OT44" s="83"/>
      <c r="OU44" s="83"/>
      <c r="OV44" s="83"/>
      <c r="OW44" s="83"/>
      <c r="OX44" s="83"/>
      <c r="OY44" s="83"/>
      <c r="OZ44" s="83"/>
      <c r="PA44" s="83"/>
      <c r="PB44" s="83"/>
      <c r="PC44" s="83"/>
      <c r="PD44" s="83"/>
      <c r="PE44" s="83"/>
      <c r="PF44" s="83"/>
      <c r="PG44" s="83"/>
      <c r="PH44" s="83"/>
      <c r="PI44" s="83"/>
      <c r="PJ44" s="83"/>
      <c r="PK44" s="83"/>
      <c r="PL44" s="83"/>
      <c r="PM44" s="83"/>
      <c r="PN44" s="83"/>
      <c r="PO44" s="83"/>
      <c r="PP44" s="83"/>
      <c r="PQ44" s="83"/>
      <c r="PR44" s="14"/>
      <c r="PS44" s="14"/>
      <c r="PT44" s="15"/>
      <c r="PU44" s="14"/>
      <c r="PV44" s="83"/>
      <c r="PW44" s="83"/>
      <c r="PX44" s="83"/>
      <c r="PY44" s="83"/>
      <c r="PZ44" s="83"/>
      <c r="QA44" s="83"/>
      <c r="QB44" s="83"/>
      <c r="QC44" s="83"/>
      <c r="QD44" s="83"/>
      <c r="QE44" s="83"/>
      <c r="QF44" s="83"/>
      <c r="QG44" s="83"/>
      <c r="QH44" s="83"/>
      <c r="QI44" s="15"/>
      <c r="QJ44" s="83"/>
      <c r="QK44" s="83"/>
      <c r="QL44" s="83"/>
      <c r="QM44" s="14"/>
      <c r="QN44" s="83"/>
      <c r="QO44" s="83"/>
      <c r="QP44" s="83"/>
      <c r="QQ44" s="83"/>
      <c r="QR44" s="83"/>
      <c r="QS44" s="83"/>
      <c r="QT44" s="83"/>
      <c r="QU44" s="83"/>
      <c r="QV44" s="83"/>
      <c r="QW44" s="83"/>
      <c r="QX44" s="83"/>
      <c r="QY44" s="83"/>
      <c r="QZ44" s="83"/>
      <c r="RA44" s="83"/>
      <c r="RB44" s="83"/>
      <c r="RC44" s="83"/>
      <c r="RD44" s="83"/>
      <c r="RE44" s="83"/>
      <c r="RF44" s="83"/>
      <c r="RG44" s="83"/>
      <c r="RH44" s="83"/>
      <c r="RI44" s="83"/>
      <c r="RJ44" s="83"/>
      <c r="RK44" s="83"/>
      <c r="RL44" s="83"/>
      <c r="RM44" s="83"/>
      <c r="RN44" s="83"/>
      <c r="RO44" s="83"/>
      <c r="RP44" s="83"/>
      <c r="RQ44" s="83"/>
      <c r="RR44" s="83"/>
      <c r="RS44" s="83"/>
      <c r="RT44" s="83"/>
      <c r="RU44" s="83"/>
      <c r="RV44" s="83"/>
      <c r="RW44" s="83"/>
      <c r="RX44" s="83"/>
      <c r="RY44" s="83"/>
      <c r="RZ44" s="83"/>
      <c r="SA44" s="83"/>
      <c r="SB44" s="83"/>
      <c r="SC44" s="83"/>
      <c r="SD44" s="83"/>
      <c r="SE44" s="83"/>
      <c r="SF44" s="83"/>
      <c r="SG44" s="83"/>
      <c r="SH44" s="83"/>
      <c r="SI44" s="83"/>
      <c r="SJ44" s="83"/>
      <c r="SK44" s="83"/>
      <c r="SL44" s="83"/>
      <c r="SM44" s="83"/>
      <c r="SN44" s="83"/>
      <c r="SO44" s="83"/>
      <c r="SP44" s="15"/>
      <c r="SQ44" s="83"/>
      <c r="SR44" s="83"/>
      <c r="SS44" s="83"/>
      <c r="ST44" s="83"/>
      <c r="SU44" s="83"/>
      <c r="SV44" s="83"/>
      <c r="SW44" s="83"/>
      <c r="SX44" s="83"/>
      <c r="SY44" s="83"/>
      <c r="SZ44" s="83"/>
      <c r="TA44" s="83"/>
      <c r="TB44" s="83"/>
      <c r="TC44" s="83"/>
      <c r="TD44" s="83"/>
      <c r="TE44" s="83"/>
      <c r="TF44" s="83"/>
      <c r="TG44" s="83"/>
      <c r="TH44" s="83"/>
      <c r="TI44" s="83"/>
      <c r="TJ44" s="83"/>
      <c r="TK44" s="83"/>
      <c r="TL44" s="83"/>
      <c r="TM44" s="83"/>
      <c r="TN44" s="83"/>
      <c r="TO44" s="83"/>
      <c r="TP44" s="83"/>
      <c r="TQ44" s="83"/>
      <c r="TR44" s="83"/>
      <c r="TS44" s="83"/>
      <c r="TT44" s="83"/>
      <c r="TU44" s="83"/>
      <c r="TV44" s="83"/>
      <c r="TW44" s="83"/>
      <c r="TX44" s="83"/>
      <c r="TY44" s="83"/>
      <c r="TZ44" s="83"/>
      <c r="UA44" s="83"/>
      <c r="UB44" s="83"/>
      <c r="UC44" s="83"/>
      <c r="UD44" s="83"/>
      <c r="UE44" s="83"/>
      <c r="UF44" s="83"/>
      <c r="UG44" s="83"/>
      <c r="UH44" s="83"/>
      <c r="UI44" s="83"/>
      <c r="UJ44" s="83"/>
      <c r="UK44" s="83"/>
      <c r="UL44" s="83"/>
      <c r="UM44" s="83"/>
      <c r="UN44" s="83"/>
      <c r="UO44" s="83"/>
      <c r="UP44" s="83"/>
      <c r="UQ44" s="83"/>
      <c r="UR44" s="83"/>
      <c r="US44" s="83"/>
      <c r="UT44" s="83"/>
      <c r="UU44" s="83"/>
      <c r="UV44" s="83"/>
      <c r="UW44" s="83"/>
      <c r="UX44" s="83"/>
      <c r="UY44" s="83"/>
      <c r="UZ44" s="83"/>
      <c r="VA44" s="83"/>
      <c r="VB44" s="83"/>
      <c r="VC44" s="83"/>
      <c r="VD44" s="83"/>
      <c r="VE44" s="83"/>
      <c r="VF44" s="83"/>
      <c r="VG44" s="83"/>
      <c r="VH44" s="83"/>
      <c r="VI44" s="83"/>
      <c r="VJ44" s="83"/>
      <c r="VK44" s="83"/>
      <c r="VL44" s="83"/>
      <c r="VM44" s="83"/>
      <c r="VN44" s="83"/>
      <c r="VO44" s="83"/>
      <c r="VP44" s="83"/>
      <c r="VQ44" s="83"/>
      <c r="VR44" s="83"/>
      <c r="VS44" s="83"/>
      <c r="VT44" s="83"/>
      <c r="VU44" s="83"/>
      <c r="VV44" s="83"/>
      <c r="VW44" s="83"/>
      <c r="VX44" s="83"/>
      <c r="VY44" s="83"/>
      <c r="VZ44" s="83"/>
      <c r="WA44" s="83"/>
      <c r="WB44" s="83"/>
      <c r="WC44" s="83"/>
      <c r="WD44" s="83"/>
      <c r="WE44" s="83"/>
      <c r="WF44" s="83"/>
      <c r="WG44" s="83"/>
      <c r="WH44" s="83"/>
      <c r="WI44" s="83"/>
      <c r="WJ44" s="83"/>
      <c r="WK44" s="83"/>
      <c r="WL44" s="83"/>
      <c r="WM44" s="83"/>
      <c r="WN44" s="83"/>
      <c r="WO44" s="83"/>
      <c r="WP44" s="83"/>
      <c r="WQ44" s="83"/>
      <c r="WR44" s="83"/>
      <c r="WS44" s="83"/>
      <c r="WT44" s="83"/>
      <c r="WU44" s="83"/>
      <c r="WV44" s="83"/>
      <c r="WW44" s="83"/>
      <c r="WX44" s="83"/>
      <c r="WY44" s="83"/>
      <c r="WZ44" s="83"/>
      <c r="XA44" s="83"/>
      <c r="XB44" s="83"/>
      <c r="XC44" s="83"/>
      <c r="XD44" s="83"/>
      <c r="XE44" s="83"/>
      <c r="XF44" s="83"/>
      <c r="XG44" s="83"/>
      <c r="XH44" s="83"/>
      <c r="XI44" s="83"/>
      <c r="XJ44" s="83"/>
      <c r="XK44" s="83"/>
      <c r="XL44" s="83"/>
      <c r="XM44" s="83"/>
      <c r="XN44" s="83"/>
      <c r="XO44" s="83"/>
      <c r="XP44" s="83"/>
      <c r="XQ44" s="83"/>
      <c r="XR44" s="83"/>
      <c r="XS44" s="83"/>
      <c r="XT44" s="83"/>
      <c r="XU44" s="83"/>
      <c r="XV44" s="83"/>
      <c r="XW44" s="83"/>
      <c r="XX44" s="83"/>
      <c r="XY44" s="83"/>
      <c r="XZ44" s="83"/>
      <c r="YA44" s="83"/>
      <c r="YB44" s="83"/>
      <c r="YC44" s="83"/>
      <c r="YD44" s="83"/>
      <c r="YE44" s="83"/>
      <c r="YF44" s="83"/>
      <c r="YG44" s="83"/>
      <c r="YH44" s="83"/>
      <c r="YI44" s="83"/>
      <c r="YJ44" s="83"/>
      <c r="YK44" s="83"/>
      <c r="YL44" s="83"/>
      <c r="YM44" s="83"/>
      <c r="YN44" s="83"/>
      <c r="YO44" s="83"/>
      <c r="YP44" s="83"/>
      <c r="YQ44" s="83"/>
      <c r="YR44" s="83"/>
      <c r="YS44" s="83"/>
      <c r="YT44" s="83"/>
      <c r="YU44" s="83"/>
      <c r="YV44" s="83"/>
      <c r="YW44" s="83"/>
      <c r="YX44" s="83"/>
      <c r="YY44" s="83"/>
      <c r="YZ44" s="83"/>
      <c r="ZA44" s="83"/>
      <c r="ZB44" s="83"/>
      <c r="ZC44" s="83"/>
      <c r="ZD44" s="83"/>
      <c r="ZE44" s="83"/>
      <c r="ZF44" s="83"/>
      <c r="ZG44" s="83"/>
      <c r="ZH44" s="83"/>
      <c r="ZI44" s="83"/>
      <c r="ZJ44" s="83"/>
      <c r="ZK44" s="83"/>
      <c r="ZL44" s="83"/>
      <c r="ZM44" s="83"/>
      <c r="ZN44" s="83"/>
      <c r="ZO44" s="83"/>
      <c r="ZP44" s="83"/>
      <c r="ZQ44" s="83"/>
      <c r="ZR44" s="83"/>
      <c r="ZS44" s="83"/>
      <c r="ZT44" s="83"/>
      <c r="ZU44" s="83"/>
      <c r="ZV44" s="83"/>
      <c r="ZW44" s="83"/>
      <c r="ZX44" s="83"/>
      <c r="ZY44" s="83"/>
      <c r="ZZ44" s="83"/>
      <c r="AAA44" s="83"/>
      <c r="AAB44" s="83"/>
      <c r="AAC44" s="83"/>
      <c r="AAD44" s="83"/>
      <c r="AAE44" s="83"/>
      <c r="AAF44" s="83"/>
      <c r="AAG44" s="83"/>
      <c r="AAH44" s="83"/>
      <c r="AAI44" s="83"/>
      <c r="AAJ44" s="83"/>
      <c r="AAK44" s="83"/>
      <c r="AAL44" s="83"/>
      <c r="AAM44" s="83"/>
      <c r="AAN44" s="83"/>
      <c r="AAO44" s="83"/>
      <c r="AAP44" s="83"/>
      <c r="AAQ44" s="83"/>
      <c r="AAR44" s="83"/>
      <c r="AAS44" s="83"/>
      <c r="AAT44" s="83"/>
      <c r="AAU44" s="83"/>
      <c r="AAV44" s="83"/>
      <c r="AAW44" s="83"/>
      <c r="AAX44" s="83"/>
      <c r="AAY44" s="83"/>
      <c r="AAZ44" s="83"/>
      <c r="ABA44" s="83"/>
      <c r="ABB44" s="83"/>
      <c r="ABC44" s="83"/>
      <c r="ABD44" s="83"/>
      <c r="ABE44" s="83"/>
      <c r="ABF44" s="83"/>
      <c r="ABG44" s="83"/>
      <c r="ABH44" s="83"/>
      <c r="ABI44" s="83"/>
      <c r="ABJ44" s="83"/>
      <c r="ABK44" s="83"/>
      <c r="ABL44" s="83"/>
      <c r="ABM44" s="83"/>
      <c r="ABN44" s="83"/>
      <c r="ABO44" s="83"/>
      <c r="ABP44" s="83"/>
      <c r="ABQ44" s="83"/>
      <c r="ABR44" s="83"/>
      <c r="ABS44" s="83"/>
      <c r="ABT44" s="83"/>
      <c r="ABU44" s="83"/>
      <c r="ABV44" s="83"/>
      <c r="ABW44" s="83"/>
      <c r="ABX44" s="83"/>
      <c r="ABY44" s="83"/>
      <c r="ABZ44" s="83"/>
      <c r="ACA44" s="83"/>
      <c r="ACB44" s="83"/>
      <c r="ACC44" s="83"/>
      <c r="ACD44" s="83"/>
      <c r="ACE44" s="83"/>
      <c r="ACF44" s="83"/>
      <c r="ACG44" s="83"/>
      <c r="ACH44" s="83"/>
      <c r="ACI44" s="83"/>
      <c r="ACJ44" s="83"/>
      <c r="ACK44" s="83"/>
      <c r="ACL44" s="83"/>
      <c r="ACM44" s="83"/>
      <c r="ACN44" s="83"/>
      <c r="ACO44" s="83"/>
      <c r="ACP44" s="83"/>
      <c r="ACQ44" s="83"/>
      <c r="ACR44" s="83"/>
      <c r="ACS44" s="83"/>
      <c r="ACT44" s="83"/>
      <c r="ACU44" s="83"/>
      <c r="ACV44" s="83"/>
      <c r="ACW44" s="83"/>
      <c r="ACX44" s="83"/>
      <c r="ACY44" s="83"/>
      <c r="ACZ44" s="83"/>
      <c r="ADA44" s="83"/>
      <c r="ADB44" s="83"/>
      <c r="ADC44" s="83"/>
      <c r="ADD44" s="83"/>
      <c r="ADE44" s="83"/>
      <c r="ADF44" s="83"/>
      <c r="ADG44" s="83"/>
      <c r="ADH44" s="83"/>
      <c r="ADI44" s="83"/>
      <c r="ADJ44" s="83"/>
      <c r="ADK44" s="83"/>
      <c r="ADL44" s="83"/>
      <c r="ADM44" s="83"/>
      <c r="ADN44" s="83"/>
      <c r="ADO44" s="83"/>
      <c r="ADP44" s="83"/>
      <c r="ADQ44" s="83"/>
      <c r="ADR44" s="83"/>
      <c r="ADS44" s="83"/>
      <c r="ADT44" s="83"/>
      <c r="ADU44" s="83"/>
      <c r="ADV44" s="83"/>
      <c r="ADW44" s="83"/>
      <c r="ADX44" s="83"/>
      <c r="ADY44" s="83"/>
      <c r="ADZ44" s="83"/>
      <c r="AEA44" s="83"/>
      <c r="AEB44" s="83"/>
      <c r="AEC44" s="83"/>
      <c r="AED44" s="83"/>
      <c r="AEE44" s="83"/>
      <c r="AEF44" s="83"/>
      <c r="AEG44" s="83"/>
      <c r="AEH44" s="83"/>
      <c r="AEI44" s="83"/>
      <c r="AEJ44" s="83"/>
      <c r="AEK44" s="83"/>
      <c r="AEL44" s="83"/>
      <c r="AEM44" s="83"/>
      <c r="AEN44" s="83"/>
      <c r="AEO44" s="83"/>
      <c r="AEP44" s="83"/>
      <c r="AEQ44" s="83"/>
      <c r="AER44" s="83"/>
      <c r="AES44" s="83"/>
      <c r="AET44" s="83"/>
      <c r="AEU44" s="83"/>
      <c r="AEV44" s="83"/>
      <c r="AEW44" s="83"/>
      <c r="AEX44" s="83"/>
      <c r="AEY44" s="83"/>
      <c r="AEZ44" s="83"/>
      <c r="AFA44" s="83"/>
      <c r="AFB44" s="83"/>
      <c r="AFC44" s="83"/>
      <c r="AFD44" s="83"/>
      <c r="AFE44" s="83"/>
      <c r="AFF44" s="83"/>
      <c r="AFG44" s="83"/>
      <c r="AFH44" s="83"/>
      <c r="AFI44" s="83"/>
      <c r="AFJ44" s="83"/>
      <c r="AFK44" s="83"/>
      <c r="AFL44" s="83"/>
      <c r="AFM44" s="83"/>
      <c r="AFN44" s="83"/>
      <c r="AFO44" s="83"/>
      <c r="AFP44" s="83"/>
      <c r="AFQ44" s="83"/>
      <c r="AFR44" s="83"/>
      <c r="AFS44" s="83"/>
      <c r="AFT44" s="83"/>
      <c r="AFU44" s="83"/>
      <c r="AFV44" s="83"/>
      <c r="AFW44" s="83"/>
      <c r="AFX44" s="83"/>
      <c r="AFY44" s="83"/>
      <c r="AFZ44" s="83"/>
      <c r="AGA44" s="83"/>
      <c r="AGB44" s="83"/>
      <c r="AGC44" s="83"/>
      <c r="AGD44" s="83"/>
      <c r="AGE44" s="83"/>
      <c r="AGF44" s="83"/>
      <c r="AGG44" s="83"/>
      <c r="AGH44" s="83"/>
      <c r="AGI44" s="83"/>
      <c r="AGJ44" s="83"/>
      <c r="AGK44" s="83"/>
      <c r="AGL44" s="83"/>
      <c r="AGM44" s="83"/>
      <c r="AGN44" s="83"/>
      <c r="AGO44" s="83"/>
      <c r="AGP44" s="83"/>
      <c r="AGQ44" s="83"/>
      <c r="AGR44" s="83"/>
      <c r="AGS44" s="83"/>
      <c r="AGT44" s="83"/>
      <c r="AGU44" s="83"/>
      <c r="AGV44" s="83"/>
      <c r="AGW44" s="83"/>
      <c r="AGX44" s="83"/>
      <c r="AGY44" s="83"/>
      <c r="AGZ44" s="83"/>
      <c r="AHA44" s="83"/>
      <c r="AHB44" s="83"/>
      <c r="AHC44" s="83"/>
      <c r="AHD44" s="83"/>
      <c r="AHE44" s="83"/>
      <c r="AHF44" s="83"/>
      <c r="AHG44" s="83"/>
      <c r="AHH44" s="83"/>
      <c r="AHI44" s="83"/>
      <c r="AHJ44" s="83"/>
      <c r="AHK44" s="83"/>
      <c r="AHL44" s="83"/>
      <c r="AHM44" s="83"/>
      <c r="AHN44" s="83"/>
      <c r="AHO44" s="83"/>
      <c r="AHP44" s="83"/>
      <c r="AHQ44" s="83"/>
      <c r="AHR44" s="83"/>
      <c r="AHS44" s="83"/>
      <c r="AHT44" s="83"/>
      <c r="AHU44" s="83"/>
      <c r="AHV44" s="83"/>
      <c r="AHW44" s="83"/>
      <c r="AHX44" s="83"/>
      <c r="AHY44" s="14"/>
      <c r="AHZ44" s="83"/>
      <c r="AIA44" s="83"/>
      <c r="AIB44" s="83"/>
      <c r="AIC44" s="83"/>
      <c r="AID44" s="83"/>
      <c r="AIE44" s="83"/>
      <c r="AIF44" s="83"/>
      <c r="AIG44" s="83"/>
      <c r="AIH44" s="83"/>
      <c r="AII44" s="83"/>
      <c r="AIJ44" s="83"/>
      <c r="AIK44" s="83"/>
      <c r="AIL44" s="83"/>
      <c r="AIM44" s="83"/>
      <c r="AIN44" s="83"/>
      <c r="AIO44" s="83"/>
      <c r="AIP44" s="83"/>
      <c r="AIQ44" s="83"/>
      <c r="AIR44" s="83"/>
      <c r="AIS44" s="83"/>
      <c r="AIT44" s="83"/>
      <c r="AIU44" s="83"/>
      <c r="AIV44" s="83"/>
      <c r="AIW44" s="83"/>
      <c r="AIX44" s="83"/>
      <c r="AIY44" s="83"/>
      <c r="AIZ44" s="83"/>
      <c r="AJA44" s="83"/>
      <c r="AJB44" s="83"/>
      <c r="AJC44" s="83"/>
      <c r="AJD44" s="83"/>
      <c r="AJE44" s="83"/>
      <c r="AJF44" s="83"/>
      <c r="AJG44" s="83"/>
      <c r="AJH44" s="83"/>
      <c r="AJI44" s="83"/>
      <c r="AJJ44" s="83"/>
      <c r="AJK44" s="83"/>
      <c r="AJL44" s="83"/>
      <c r="AJM44" s="83"/>
      <c r="AJN44" s="14"/>
      <c r="AJO44" s="14"/>
      <c r="AJP44" s="14"/>
      <c r="AJQ44" s="83"/>
      <c r="AJR44" s="83"/>
      <c r="AJS44" s="83"/>
      <c r="AJT44" s="83"/>
      <c r="AJU44" s="83"/>
      <c r="AJV44" s="83"/>
      <c r="AJW44" s="83"/>
      <c r="AJX44" s="83"/>
      <c r="AJY44" s="83"/>
      <c r="AJZ44" s="83"/>
      <c r="AKA44" s="83"/>
      <c r="AKB44" s="83"/>
      <c r="AKC44" s="83"/>
      <c r="AKD44" s="83"/>
      <c r="AKE44" s="83"/>
      <c r="AKF44" s="83"/>
      <c r="AKG44" s="83"/>
      <c r="AKH44" s="83"/>
      <c r="AKI44" s="83"/>
      <c r="AKJ44" s="83"/>
      <c r="AKK44" s="83"/>
      <c r="AKL44" s="83"/>
      <c r="AKM44" s="83"/>
      <c r="AKN44" s="83"/>
      <c r="AKO44" s="83"/>
      <c r="AKP44" s="83"/>
      <c r="AKQ44" s="83"/>
      <c r="AKR44" s="83"/>
      <c r="AKS44" s="83"/>
      <c r="AKT44" s="83"/>
      <c r="AKU44" s="83"/>
      <c r="AKV44" s="83"/>
      <c r="AKW44" s="83"/>
      <c r="AKX44" s="83"/>
      <c r="AKY44" s="83"/>
      <c r="AKZ44" s="83"/>
      <c r="ALA44" s="83"/>
      <c r="ALB44" s="83"/>
      <c r="ALC44" s="83"/>
      <c r="ALD44" s="83"/>
      <c r="ALE44" s="83"/>
      <c r="ALF44" s="83"/>
      <c r="ALG44" s="83"/>
      <c r="ALH44" s="83"/>
      <c r="ALI44" s="83"/>
      <c r="ALJ44" s="83"/>
      <c r="ALK44" s="83"/>
      <c r="ALL44" s="83"/>
      <c r="ALM44" s="83"/>
      <c r="ALN44" s="83"/>
      <c r="ALO44" s="83"/>
      <c r="ALP44" s="83"/>
      <c r="ALQ44" s="83"/>
      <c r="ALR44" s="83"/>
      <c r="ALS44" s="83"/>
      <c r="ALT44" s="83"/>
      <c r="ALU44" s="83"/>
      <c r="ALV44" s="83"/>
      <c r="ALW44" s="83"/>
      <c r="ALX44" s="83"/>
      <c r="ALY44" s="83"/>
      <c r="ALZ44" s="83"/>
      <c r="AMA44" s="83"/>
      <c r="AMB44" s="83"/>
      <c r="AMC44" s="83"/>
      <c r="AMD44" s="83"/>
      <c r="AME44" s="83"/>
      <c r="AMF44" s="83"/>
      <c r="AMG44" s="83"/>
      <c r="AMH44" s="83"/>
      <c r="AMI44" s="83"/>
      <c r="AMJ44" s="83"/>
      <c r="AMK44" s="83"/>
      <c r="AML44" s="83"/>
      <c r="AMM44" s="83"/>
      <c r="AMN44" s="83"/>
      <c r="AMO44" s="83"/>
      <c r="AMP44" s="83"/>
      <c r="AMQ44" s="83"/>
      <c r="AMR44" s="83"/>
      <c r="AMS44" s="83"/>
      <c r="AMT44" s="83"/>
      <c r="AMU44" s="83"/>
      <c r="AMV44" s="83"/>
      <c r="AMW44" s="83"/>
      <c r="AMX44" s="83"/>
      <c r="AMY44" s="83"/>
      <c r="AMZ44" s="83"/>
      <c r="ANA44" s="83"/>
      <c r="ANB44" s="83"/>
      <c r="ANC44" s="83"/>
      <c r="AND44" s="83"/>
      <c r="ANE44" s="83"/>
      <c r="ANF44" s="83"/>
      <c r="ANG44" s="83"/>
      <c r="ANH44" s="83"/>
      <c r="ANI44" s="83"/>
      <c r="ANJ44" s="83"/>
      <c r="ANK44" s="83"/>
      <c r="ANL44" s="83"/>
      <c r="ANM44" s="83"/>
      <c r="ANN44" s="83"/>
      <c r="ANO44" s="83"/>
      <c r="ANP44" s="83"/>
      <c r="ANQ44" s="83"/>
      <c r="ANR44" s="83"/>
      <c r="ANS44" s="83"/>
      <c r="ANT44" s="83"/>
      <c r="ANU44" s="83"/>
      <c r="ANV44" s="83"/>
      <c r="ANW44" s="83"/>
      <c r="ANX44" s="83"/>
      <c r="ANY44" s="83"/>
      <c r="ANZ44" s="83"/>
      <c r="AOA44" s="83"/>
      <c r="AOB44" s="83"/>
      <c r="AOC44" s="83"/>
      <c r="AOD44" s="83"/>
      <c r="AOE44" s="83"/>
      <c r="AOF44" s="83"/>
      <c r="AOG44" s="83"/>
      <c r="AOH44" s="83"/>
      <c r="AOI44" s="83"/>
      <c r="AOJ44" s="83"/>
      <c r="AOK44" s="83"/>
      <c r="AOL44" s="83"/>
      <c r="AOM44" s="83"/>
      <c r="AON44" s="83"/>
      <c r="AOO44" s="83"/>
      <c r="AOP44" s="83"/>
      <c r="AOQ44" s="83"/>
      <c r="AOR44" s="83"/>
      <c r="AOS44" s="83"/>
      <c r="AOT44" s="83"/>
      <c r="AOU44" s="83"/>
      <c r="AOV44" s="83"/>
      <c r="AOW44" s="83"/>
      <c r="AOX44" s="83"/>
      <c r="AOY44" s="83"/>
      <c r="AOZ44" s="83"/>
      <c r="APA44" s="83"/>
      <c r="APB44" s="83"/>
      <c r="APC44" s="83"/>
      <c r="APD44" s="83"/>
      <c r="APE44" s="83"/>
      <c r="APF44" s="83"/>
      <c r="APG44" s="83"/>
      <c r="APH44" s="83"/>
      <c r="API44" s="83"/>
      <c r="APJ44" s="83"/>
      <c r="APK44" s="83"/>
      <c r="APL44" s="83"/>
      <c r="APM44" s="83"/>
      <c r="APN44" s="83"/>
      <c r="APO44" s="83"/>
      <c r="APP44" s="83"/>
      <c r="APQ44" s="83"/>
      <c r="APR44" s="83"/>
      <c r="APS44" s="83"/>
      <c r="APT44" s="83"/>
      <c r="APU44" s="83"/>
      <c r="APV44" s="83"/>
      <c r="APW44" s="83"/>
      <c r="APX44" s="83"/>
      <c r="APY44" s="83"/>
      <c r="APZ44" s="83"/>
      <c r="AQA44" s="83"/>
      <c r="AQB44" s="83"/>
      <c r="AQC44" s="83"/>
      <c r="AQD44" s="83"/>
      <c r="AQE44" s="83"/>
      <c r="AQF44" s="83"/>
      <c r="AQG44" s="83"/>
      <c r="AQH44" s="83"/>
      <c r="AQI44" s="83"/>
      <c r="AQJ44" s="83"/>
      <c r="AQK44" s="83"/>
      <c r="AQL44" s="83"/>
      <c r="AQM44" s="83"/>
      <c r="AQN44" s="83"/>
      <c r="AQO44" s="83"/>
      <c r="AQP44" s="83"/>
      <c r="AQQ44" s="83"/>
      <c r="AQR44" s="83"/>
      <c r="AQS44" s="83"/>
      <c r="AQT44" s="83"/>
      <c r="AQU44" s="83"/>
      <c r="AQV44" s="83"/>
      <c r="AQW44" s="83"/>
      <c r="AQX44" s="83"/>
      <c r="AQY44" s="83"/>
      <c r="AQZ44" s="83"/>
      <c r="ARA44" s="83"/>
      <c r="ARB44" s="83"/>
      <c r="ARC44" s="83"/>
      <c r="ARD44" s="83"/>
      <c r="ARE44" s="83"/>
      <c r="ARF44" s="83"/>
      <c r="ARG44" s="83"/>
      <c r="ARH44" s="83"/>
      <c r="ARI44" s="83"/>
      <c r="ARJ44" s="83"/>
      <c r="ARK44" s="83"/>
      <c r="ARL44" s="83"/>
      <c r="ARM44" s="83"/>
      <c r="ARN44" s="83"/>
      <c r="ARO44" s="83"/>
      <c r="ARP44" s="83"/>
      <c r="ARQ44" s="83"/>
      <c r="ARR44" s="83"/>
      <c r="ARS44" s="83"/>
      <c r="ART44" s="83"/>
      <c r="ARU44" s="83"/>
      <c r="ARV44" s="83"/>
      <c r="ARW44" s="83"/>
      <c r="ARX44" s="83"/>
      <c r="ARY44" s="83"/>
      <c r="ARZ44" s="83"/>
      <c r="ASA44" s="83"/>
      <c r="ASB44" s="83"/>
      <c r="ASC44" s="83"/>
      <c r="ASD44" s="83"/>
      <c r="ASE44" s="83"/>
      <c r="ASF44" s="83"/>
      <c r="ASG44" s="83"/>
      <c r="ASH44" s="83"/>
      <c r="ASI44" s="83"/>
      <c r="ASJ44" s="83"/>
      <c r="ASK44" s="83"/>
      <c r="ASL44" s="83"/>
      <c r="ASM44" s="83"/>
      <c r="ASN44" s="83"/>
      <c r="ASO44" s="83"/>
      <c r="ASP44" s="83"/>
      <c r="ASQ44" s="83"/>
      <c r="ASR44" s="83"/>
      <c r="ASS44" s="83"/>
      <c r="AST44" s="83"/>
      <c r="ASU44" s="83"/>
      <c r="ASV44" s="83"/>
      <c r="ASW44" s="83"/>
      <c r="ASX44" s="83"/>
      <c r="ASY44" s="83"/>
      <c r="ASZ44" s="83"/>
      <c r="ATA44" s="83"/>
      <c r="ATB44" s="83"/>
      <c r="ATC44" s="83"/>
      <c r="ATD44" s="83"/>
      <c r="ATE44" s="83"/>
      <c r="ATF44" s="83"/>
      <c r="ATG44" s="83"/>
      <c r="ATH44" s="83"/>
      <c r="ATI44" s="83"/>
      <c r="ATJ44" s="83"/>
      <c r="ATK44" s="83"/>
      <c r="ATL44" s="83"/>
      <c r="ATM44" s="83"/>
      <c r="ATN44" s="83"/>
      <c r="ATO44" s="83"/>
      <c r="ATP44" s="83"/>
      <c r="ATQ44" s="83"/>
      <c r="ATR44" s="83"/>
      <c r="ATS44" s="83"/>
      <c r="ATT44" s="83"/>
      <c r="ATU44" s="83"/>
      <c r="ATV44" s="83"/>
      <c r="ATW44" s="83"/>
      <c r="ATX44" s="83"/>
      <c r="ATY44" s="83"/>
      <c r="ATZ44" s="83"/>
      <c r="AUA44" s="83"/>
      <c r="AUB44" s="83"/>
      <c r="AUC44" s="83"/>
      <c r="AUD44" s="83"/>
      <c r="AUE44" s="83"/>
      <c r="AUF44" s="83"/>
      <c r="AUG44" s="83"/>
      <c r="AUH44" s="83"/>
      <c r="AUI44" s="83"/>
      <c r="AUJ44" s="83"/>
      <c r="AUK44" s="83"/>
      <c r="AUL44" s="83"/>
      <c r="AUM44" s="83"/>
      <c r="AUN44" s="83"/>
      <c r="AUO44" s="83"/>
      <c r="AUP44" s="83"/>
      <c r="AUQ44" s="83"/>
      <c r="AUR44" s="83"/>
      <c r="AUS44" s="83"/>
      <c r="AUT44" s="83"/>
      <c r="AUU44" s="83"/>
      <c r="AUV44" s="83"/>
      <c r="AUW44" s="83"/>
      <c r="AUX44" s="83"/>
      <c r="AUY44" s="83"/>
      <c r="AUZ44" s="83"/>
      <c r="AVA44" s="83"/>
      <c r="AVB44" s="83"/>
      <c r="AVC44" s="83"/>
      <c r="AVD44" s="83"/>
      <c r="AVE44" s="83"/>
      <c r="AVF44" s="83"/>
      <c r="AVG44" s="83"/>
      <c r="AVH44" s="83"/>
      <c r="AVI44" s="83"/>
      <c r="AVJ44" s="83"/>
      <c r="AVK44" s="83"/>
      <c r="AVL44" s="83"/>
      <c r="AVM44" s="83"/>
      <c r="AVN44" s="83"/>
      <c r="AVO44" s="83"/>
      <c r="AVP44" s="83"/>
      <c r="AVQ44" s="83"/>
      <c r="AVR44" s="83"/>
      <c r="AVS44" s="83"/>
      <c r="AVT44" s="83"/>
      <c r="AVU44" s="83"/>
      <c r="AVV44" s="83"/>
      <c r="AVW44" s="83"/>
      <c r="AVX44" s="83"/>
      <c r="AVY44" s="83"/>
      <c r="AVZ44" s="83"/>
      <c r="AWA44" s="83"/>
      <c r="AWB44" s="83"/>
      <c r="AWC44" s="83"/>
      <c r="AWD44" s="83"/>
      <c r="AWE44" s="83"/>
      <c r="AWF44" s="83"/>
      <c r="AWG44" s="83"/>
      <c r="AWH44" s="83"/>
      <c r="AWI44" s="83"/>
      <c r="AWJ44" s="83"/>
      <c r="AWK44" s="83"/>
      <c r="AWL44" s="83"/>
      <c r="AWM44" s="83"/>
      <c r="AWN44" s="83"/>
      <c r="AWO44" s="83"/>
      <c r="AWP44" s="83"/>
      <c r="AWQ44" s="83"/>
      <c r="AWR44" s="83"/>
      <c r="AWS44" s="83"/>
      <c r="AWT44" s="83"/>
      <c r="AWU44" s="83"/>
      <c r="AWV44" s="83"/>
      <c r="AWW44" s="83"/>
      <c r="AWX44" s="83"/>
      <c r="AWY44" s="83"/>
      <c r="AWZ44" s="83"/>
      <c r="AXA44" s="83"/>
      <c r="AXB44" s="83"/>
      <c r="AXC44" s="83"/>
      <c r="AXD44" s="83"/>
      <c r="AXE44" s="83"/>
      <c r="AXF44" s="83"/>
      <c r="AXG44" s="83"/>
      <c r="AXH44" s="83"/>
      <c r="AXI44" s="83"/>
      <c r="AXJ44" s="83"/>
      <c r="AXK44" s="83"/>
      <c r="AXL44" s="83"/>
      <c r="AXM44" s="83"/>
      <c r="AXN44" s="83"/>
      <c r="AXO44" s="83"/>
      <c r="AXP44" s="83"/>
      <c r="AXQ44" s="83"/>
      <c r="AXR44" s="83"/>
      <c r="AXS44" s="83"/>
      <c r="AXT44" s="83"/>
      <c r="AXU44" s="83"/>
      <c r="AXV44" s="83"/>
      <c r="AXW44" s="83"/>
      <c r="AXX44" s="83"/>
      <c r="AXY44" s="83"/>
      <c r="AXZ44" s="83"/>
      <c r="AYA44" s="83"/>
      <c r="AYB44" s="83"/>
      <c r="AYC44" s="83"/>
      <c r="AYD44" s="83"/>
      <c r="AYE44" s="83"/>
      <c r="AYF44" s="83"/>
      <c r="AYG44" s="83"/>
      <c r="AYH44" s="83"/>
      <c r="AYI44" s="83"/>
      <c r="AYJ44" s="83"/>
      <c r="AYK44" s="83"/>
      <c r="AYL44" s="83"/>
      <c r="AYM44" s="83"/>
      <c r="AYN44" s="83"/>
      <c r="AYO44" s="83"/>
      <c r="AYP44" s="83"/>
      <c r="AYQ44" s="83"/>
      <c r="AYR44" s="83"/>
      <c r="AYS44" s="83"/>
      <c r="AYT44" s="83"/>
      <c r="AYU44" s="83"/>
      <c r="AYV44" s="83"/>
      <c r="AYW44" s="83"/>
      <c r="AYX44" s="83"/>
      <c r="AYY44" s="83"/>
      <c r="AYZ44" s="83"/>
      <c r="AZA44" s="83"/>
      <c r="AZB44" s="83"/>
      <c r="AZC44" s="83"/>
      <c r="AZD44" s="83"/>
      <c r="AZE44" s="83"/>
      <c r="AZF44" s="83"/>
      <c r="AZG44" s="83"/>
      <c r="AZH44" s="83"/>
      <c r="AZI44" s="83"/>
      <c r="AZJ44" s="83"/>
      <c r="AZK44" s="83"/>
      <c r="AZL44" s="83"/>
      <c r="AZM44" s="83"/>
      <c r="AZN44" s="83"/>
      <c r="AZO44" s="83"/>
      <c r="AZP44" s="83"/>
      <c r="AZQ44" s="83"/>
      <c r="AZR44" s="83"/>
      <c r="AZS44" s="83"/>
      <c r="AZT44" s="83"/>
      <c r="AZU44" s="83"/>
      <c r="AZV44" s="83"/>
      <c r="AZW44" s="83"/>
      <c r="AZX44" s="83"/>
      <c r="AZY44" s="83"/>
      <c r="AZZ44" s="83"/>
      <c r="BAA44" s="83"/>
      <c r="BAB44" s="83"/>
      <c r="BAC44" s="83"/>
      <c r="BAD44" s="83"/>
      <c r="BAE44" s="83"/>
      <c r="BAF44" s="83"/>
      <c r="BAG44" s="83"/>
      <c r="BAH44" s="83"/>
      <c r="BAI44" s="83"/>
      <c r="BAJ44" s="83"/>
      <c r="BAK44" s="83"/>
      <c r="BAL44" s="83"/>
      <c r="BAM44" s="83"/>
      <c r="BAN44" s="83"/>
      <c r="BAO44" s="83"/>
      <c r="BAP44" s="83"/>
      <c r="BAQ44" s="83"/>
      <c r="BAR44" s="83"/>
      <c r="BAS44" s="83"/>
      <c r="BAT44" s="83"/>
      <c r="BAU44" s="83"/>
      <c r="BAV44" s="83"/>
      <c r="BAW44" s="83"/>
      <c r="BAX44" s="83"/>
      <c r="BAY44" s="83"/>
      <c r="BAZ44" s="83"/>
      <c r="BBA44" s="83"/>
      <c r="BBB44" s="83"/>
      <c r="BBC44" s="83"/>
      <c r="BBD44" s="83"/>
      <c r="BBE44" s="83"/>
      <c r="BBF44" s="83"/>
      <c r="BBG44" s="83"/>
      <c r="BBH44" s="83"/>
      <c r="BBI44" s="83"/>
      <c r="BBJ44" s="83"/>
      <c r="BBK44" s="83"/>
      <c r="BBL44" s="83"/>
      <c r="BBM44" s="83"/>
      <c r="BBN44" s="83"/>
      <c r="BBO44" s="83"/>
      <c r="BBP44" s="83"/>
      <c r="BBQ44" s="83"/>
      <c r="BBR44" s="83"/>
      <c r="BBS44" s="83"/>
      <c r="BBT44" s="83"/>
      <c r="BBU44" s="83"/>
      <c r="BBV44" s="83"/>
      <c r="BBW44" s="83"/>
      <c r="BBX44" s="83"/>
      <c r="BBY44" s="83"/>
      <c r="BBZ44" s="83"/>
      <c r="BCA44" s="83"/>
      <c r="BCB44" s="83"/>
      <c r="BCC44" s="83"/>
      <c r="BCD44" s="83"/>
      <c r="BCE44" s="83"/>
      <c r="BCF44" s="83"/>
      <c r="BCG44" s="83"/>
      <c r="BCH44" s="83"/>
      <c r="BCI44" s="83"/>
      <c r="BCJ44" s="83"/>
      <c r="BCK44" s="83"/>
      <c r="BCL44" s="83"/>
      <c r="BCM44" s="83"/>
      <c r="BCN44" s="83"/>
      <c r="BCO44" s="83"/>
      <c r="BCP44" s="83"/>
      <c r="BCQ44" s="83"/>
      <c r="BCR44" s="83"/>
      <c r="BCS44" s="83"/>
      <c r="BCT44" s="83"/>
      <c r="BCU44" s="83"/>
      <c r="BCV44" s="83"/>
      <c r="BCW44" s="83"/>
      <c r="BCX44" s="83"/>
      <c r="BCY44" s="83"/>
      <c r="BCZ44" s="83"/>
      <c r="BDA44" s="83"/>
      <c r="BDB44" s="83"/>
      <c r="BDC44" s="83"/>
      <c r="BDD44" s="83"/>
      <c r="BDE44" s="83"/>
      <c r="BDF44" s="83"/>
      <c r="BDG44" s="83"/>
      <c r="BDH44" s="83"/>
      <c r="BDI44" s="83"/>
      <c r="BDJ44" s="83"/>
      <c r="BDK44" s="83"/>
      <c r="BDL44" s="83"/>
      <c r="BDM44" s="83"/>
      <c r="BDN44" s="83"/>
      <c r="BDO44" s="83"/>
      <c r="BDP44" s="83"/>
      <c r="BDQ44" s="83"/>
      <c r="BDR44" s="83"/>
      <c r="BDS44" s="83"/>
      <c r="BDT44" s="83"/>
      <c r="BDU44" s="83"/>
      <c r="BDV44" s="83"/>
      <c r="BDW44" s="83"/>
      <c r="BDX44" s="83"/>
      <c r="BDY44" s="83"/>
      <c r="BDZ44" s="83"/>
      <c r="BEA44" s="83"/>
      <c r="BEB44" s="83"/>
      <c r="BEC44" s="83"/>
      <c r="BED44" s="83"/>
      <c r="BEE44" s="83"/>
      <c r="BEF44" s="83"/>
      <c r="BEG44" s="83"/>
      <c r="BEH44" s="83"/>
      <c r="BEI44" s="83"/>
      <c r="BEJ44" s="83"/>
      <c r="BEK44" s="83"/>
      <c r="BEL44" s="83"/>
      <c r="BEM44" s="83"/>
      <c r="BEN44" s="83"/>
      <c r="BEO44" s="83"/>
      <c r="BEP44" s="83"/>
      <c r="BEQ44" s="83"/>
      <c r="BER44" s="83"/>
      <c r="BES44" s="83"/>
      <c r="BET44" s="83"/>
      <c r="BEU44" s="83"/>
      <c r="BEV44" s="83"/>
      <c r="BEW44" s="83"/>
      <c r="BEX44" s="83"/>
      <c r="BEY44" s="83"/>
      <c r="BEZ44" s="83"/>
      <c r="BFA44" s="83"/>
      <c r="BFB44" s="83"/>
      <c r="BFC44" s="83"/>
      <c r="BFD44" s="83"/>
      <c r="BFE44" s="83"/>
      <c r="BFF44" s="83"/>
      <c r="BFG44" s="83"/>
      <c r="BFH44" s="83"/>
      <c r="BFI44" s="83"/>
      <c r="BFJ44" s="83"/>
      <c r="BFK44" s="83"/>
      <c r="BFL44" s="83"/>
      <c r="BFM44" s="83"/>
      <c r="BFN44" s="83"/>
      <c r="BFO44" s="83"/>
      <c r="BFP44" s="83"/>
      <c r="BFQ44" s="83"/>
      <c r="BFR44" s="83"/>
      <c r="BFS44" s="83"/>
      <c r="BFT44" s="83"/>
      <c r="BFU44" s="83"/>
      <c r="BFV44" s="83"/>
      <c r="BFW44" s="83"/>
      <c r="BFX44" s="83"/>
      <c r="BFY44" s="83"/>
      <c r="BFZ44" s="83"/>
      <c r="BGA44" s="83"/>
      <c r="BGB44" s="83"/>
      <c r="BGC44" s="83"/>
      <c r="BGD44" s="83"/>
      <c r="BGE44" s="83"/>
      <c r="BGF44" s="83"/>
      <c r="BGG44" s="83"/>
      <c r="BGH44" s="83"/>
      <c r="BGI44" s="83"/>
      <c r="BGJ44" s="83"/>
      <c r="BGK44" s="83"/>
      <c r="BGL44" s="83"/>
      <c r="BGM44" s="83"/>
      <c r="BGN44" s="83"/>
      <c r="BGO44" s="83"/>
      <c r="BGP44" s="83"/>
      <c r="BGQ44" s="83"/>
      <c r="BGR44" s="83"/>
      <c r="BGS44" s="83"/>
      <c r="BGT44" s="83"/>
      <c r="BGU44" s="83"/>
      <c r="BGV44" s="83"/>
      <c r="BGW44" s="83"/>
      <c r="BGX44" s="83"/>
      <c r="BGY44" s="83"/>
      <c r="BGZ44" s="83"/>
      <c r="BHA44" s="83"/>
      <c r="BHB44" s="83"/>
      <c r="BHC44" s="83"/>
      <c r="BHD44" s="83"/>
      <c r="BHE44" s="83"/>
      <c r="BHF44" s="83"/>
      <c r="BHG44" s="83"/>
      <c r="BHH44" s="83"/>
      <c r="BHI44" s="83"/>
      <c r="BHJ44" s="83"/>
      <c r="BHK44" s="83"/>
      <c r="BHL44" s="83"/>
      <c r="BHM44" s="83"/>
      <c r="BHN44" s="83"/>
      <c r="BHO44" s="83"/>
      <c r="BHP44" s="83"/>
      <c r="BHQ44" s="83"/>
      <c r="BHR44" s="83"/>
      <c r="BHS44" s="83"/>
      <c r="BHT44" s="83"/>
      <c r="BHU44" s="83"/>
      <c r="BHV44" s="83"/>
      <c r="BHW44" s="83"/>
      <c r="BHX44" s="83"/>
      <c r="BHY44" s="83"/>
      <c r="BHZ44" s="83"/>
      <c r="BIA44" s="83"/>
      <c r="BIB44" s="83"/>
      <c r="BIC44" s="83"/>
      <c r="BID44" s="83"/>
      <c r="BIE44" s="83"/>
      <c r="BIF44" s="83"/>
      <c r="BIG44" s="83"/>
      <c r="BIH44" s="83"/>
      <c r="BII44" s="83"/>
      <c r="BIJ44" s="83"/>
      <c r="BIK44" s="83"/>
      <c r="BIL44" s="83"/>
      <c r="BIM44" s="83"/>
      <c r="BIN44" s="83"/>
      <c r="BIO44" s="83"/>
      <c r="BIP44" s="83"/>
      <c r="BIQ44" s="83"/>
      <c r="BIR44" s="83"/>
      <c r="BIS44" s="83"/>
      <c r="BIT44" s="83"/>
      <c r="BIU44" s="83"/>
      <c r="BIV44" s="83"/>
      <c r="BIW44" s="83"/>
      <c r="BIX44" s="83"/>
      <c r="BIY44" s="83"/>
      <c r="BIZ44" s="83"/>
      <c r="BJA44" s="83"/>
      <c r="BJB44" s="83"/>
      <c r="BJC44" s="83"/>
      <c r="BJD44" s="83"/>
      <c r="BJE44" s="83"/>
      <c r="BJF44" s="83"/>
      <c r="BJG44" s="83"/>
      <c r="BJH44" s="83"/>
      <c r="BJI44" s="83"/>
      <c r="BJJ44" s="83"/>
      <c r="BJK44" s="83"/>
      <c r="BJL44" s="83"/>
      <c r="BJM44" s="83"/>
      <c r="BJN44" s="83"/>
      <c r="BJO44" s="83"/>
      <c r="BJP44" s="83"/>
      <c r="BJQ44" s="83"/>
      <c r="BJR44" s="83"/>
      <c r="BJS44" s="83"/>
      <c r="BJT44" s="83"/>
      <c r="BJU44" s="83"/>
      <c r="BJV44" s="83"/>
      <c r="BJW44" s="83"/>
      <c r="BJX44" s="83"/>
      <c r="BJY44" s="83"/>
      <c r="BJZ44" s="83"/>
      <c r="BKA44" s="83"/>
      <c r="BKB44" s="83"/>
      <c r="BKC44" s="83"/>
      <c r="BKD44" s="83"/>
      <c r="BKE44" s="83"/>
      <c r="BKF44" s="83"/>
      <c r="BKG44" s="83"/>
      <c r="BKH44" s="83"/>
      <c r="BKI44" s="83"/>
      <c r="BKJ44" s="83"/>
      <c r="BKK44" s="83"/>
      <c r="BKL44" s="83"/>
      <c r="BKM44" s="83"/>
      <c r="BKN44" s="83"/>
      <c r="BKO44" s="83"/>
      <c r="BKP44" s="83"/>
      <c r="BKQ44" s="83"/>
      <c r="BKR44" s="83"/>
      <c r="BKS44" s="83"/>
      <c r="BKT44" s="83"/>
      <c r="BKU44" s="83"/>
      <c r="BKV44" s="83"/>
      <c r="BKW44" s="83"/>
      <c r="BKX44" s="83"/>
      <c r="BKY44" s="83"/>
      <c r="BKZ44" s="83"/>
      <c r="BLA44" s="83"/>
      <c r="BLB44" s="83"/>
      <c r="BLC44" s="83"/>
      <c r="BLD44" s="83"/>
      <c r="BLE44" s="83"/>
      <c r="BLF44" s="83"/>
      <c r="BLG44" s="83"/>
      <c r="BLH44" s="83"/>
      <c r="BLI44" s="83"/>
      <c r="BLJ44" s="83"/>
      <c r="BLK44" s="83"/>
      <c r="BLL44" s="83"/>
      <c r="BLM44" s="83"/>
      <c r="BLN44" s="83"/>
      <c r="BLO44" s="83"/>
      <c r="BLP44" s="83"/>
      <c r="BLQ44" s="83"/>
      <c r="BLR44" s="83"/>
      <c r="BLS44" s="83"/>
      <c r="BLT44" s="83"/>
      <c r="BLU44" s="83"/>
      <c r="BLV44" s="83"/>
      <c r="BLW44" s="83"/>
      <c r="BLX44" s="83"/>
      <c r="BLY44" s="83"/>
      <c r="BLZ44" s="83"/>
      <c r="BMA44" s="83"/>
      <c r="BMB44" s="83"/>
      <c r="BMC44" s="83"/>
      <c r="BMD44" s="83"/>
      <c r="BME44" s="83"/>
      <c r="BMF44" s="83"/>
      <c r="BMG44" s="83"/>
      <c r="BMH44" s="83"/>
      <c r="BMI44" s="83"/>
      <c r="BMJ44" s="83"/>
      <c r="BMK44" s="83"/>
      <c r="BML44" s="83"/>
      <c r="BMM44" s="83"/>
      <c r="BMN44" s="83"/>
      <c r="BMO44" s="83"/>
      <c r="BMP44" s="83"/>
      <c r="BMQ44" s="83"/>
      <c r="BMR44" s="83"/>
      <c r="BMS44" s="83"/>
      <c r="BMT44" s="83"/>
      <c r="BMU44" s="83"/>
      <c r="BMV44" s="83"/>
      <c r="BMW44" s="83"/>
      <c r="BMX44" s="83"/>
      <c r="BMY44" s="83"/>
      <c r="BMZ44" s="83"/>
      <c r="BNA44" s="83"/>
      <c r="BNB44" s="83"/>
      <c r="BNC44" s="83"/>
      <c r="BND44" s="83"/>
      <c r="BNE44" s="83"/>
      <c r="BNF44" s="83"/>
      <c r="BNG44" s="83"/>
      <c r="BNH44" s="83"/>
      <c r="BNI44" s="83"/>
      <c r="BNJ44" s="83"/>
      <c r="BNK44" s="83"/>
      <c r="BNL44" s="83"/>
      <c r="BNM44" s="83"/>
      <c r="BNN44" s="83"/>
      <c r="BNO44" s="83"/>
      <c r="BNP44" s="83"/>
      <c r="BNQ44" s="83"/>
      <c r="BNR44" s="83"/>
      <c r="BNS44" s="83"/>
      <c r="BNT44" s="83"/>
      <c r="BNU44" s="83"/>
      <c r="BNV44" s="83"/>
      <c r="BNW44" s="83"/>
      <c r="BNX44" s="83"/>
      <c r="BNY44" s="83"/>
      <c r="BNZ44" s="83"/>
      <c r="BOA44" s="83"/>
      <c r="BOB44" s="83"/>
      <c r="BOC44" s="83"/>
      <c r="BOD44" s="83"/>
      <c r="BOE44" s="83"/>
      <c r="BOF44" s="83"/>
      <c r="BOG44" s="83"/>
      <c r="BOH44" s="83"/>
      <c r="BOI44" s="83"/>
      <c r="BOJ44" s="83"/>
      <c r="BOK44" s="83"/>
      <c r="BOL44" s="83"/>
      <c r="BOM44" s="83"/>
      <c r="BON44" s="83"/>
      <c r="BOO44" s="83"/>
      <c r="BOP44" s="83"/>
      <c r="BOQ44" s="83"/>
      <c r="BOR44" s="83"/>
      <c r="BOS44" s="83"/>
      <c r="BOT44" s="83"/>
      <c r="BOU44" s="83"/>
      <c r="BOV44" s="83"/>
      <c r="BOW44" s="83"/>
      <c r="BOX44" s="83"/>
      <c r="BOY44" s="83"/>
      <c r="BOZ44" s="83"/>
      <c r="BPA44" s="83"/>
      <c r="BPB44" s="83"/>
      <c r="BPC44" s="83"/>
      <c r="BPD44" s="83"/>
      <c r="BPE44" s="83"/>
      <c r="BPF44" s="83"/>
      <c r="BPG44" s="83"/>
      <c r="BPH44" s="83"/>
      <c r="BPI44" s="83"/>
      <c r="BPJ44" s="83"/>
      <c r="BPK44" s="83"/>
      <c r="BPL44" s="83"/>
      <c r="BPM44" s="83"/>
      <c r="BPN44" s="83"/>
      <c r="BPO44" s="83"/>
      <c r="BPP44" s="83"/>
      <c r="BPQ44" s="83"/>
      <c r="BPR44" s="83"/>
      <c r="BPS44" s="83"/>
      <c r="BPT44" s="83"/>
      <c r="BPU44" s="83"/>
      <c r="BPV44" s="83"/>
      <c r="BPW44" s="83"/>
      <c r="BPX44" s="83"/>
      <c r="BPY44" s="83"/>
      <c r="BPZ44" s="83"/>
      <c r="BQA44" s="83"/>
      <c r="BQB44" s="83"/>
      <c r="BQC44" s="83"/>
      <c r="BQD44" s="83"/>
      <c r="BQE44" s="83"/>
      <c r="BQF44" s="83"/>
      <c r="BQG44" s="83"/>
      <c r="BQH44" s="83"/>
      <c r="BQI44" s="83"/>
      <c r="BQJ44" s="83"/>
      <c r="BQK44" s="83"/>
      <c r="BQL44" s="83"/>
      <c r="BQM44" s="83"/>
      <c r="BQN44" s="83"/>
      <c r="BQO44" s="83"/>
      <c r="BQP44" s="83"/>
      <c r="BQQ44" s="83"/>
      <c r="BQR44" s="83"/>
      <c r="BQS44" s="83"/>
      <c r="BQT44" s="83"/>
      <c r="BQU44" s="83"/>
      <c r="BQV44" s="83"/>
      <c r="BQW44" s="83"/>
      <c r="BQX44" s="83"/>
      <c r="BQY44" s="83"/>
      <c r="BQZ44" s="83"/>
      <c r="BRA44" s="83"/>
      <c r="BRB44" s="83"/>
      <c r="BRC44" s="83"/>
      <c r="BRD44" s="83"/>
      <c r="BRE44" s="83"/>
      <c r="BRF44" s="83"/>
      <c r="BRG44" s="83"/>
      <c r="BRH44" s="83"/>
      <c r="BRI44" s="83"/>
      <c r="BRJ44" s="83"/>
      <c r="BRK44" s="83"/>
      <c r="BRL44" s="83"/>
      <c r="BRM44" s="83"/>
      <c r="BRN44" s="83"/>
      <c r="BRO44" s="83"/>
      <c r="BRP44" s="83"/>
      <c r="BRQ44" s="83"/>
      <c r="BRR44" s="83"/>
      <c r="BRS44" s="83"/>
      <c r="BRT44" s="83"/>
      <c r="BRU44" s="83"/>
      <c r="BRV44" s="83"/>
      <c r="BRW44" s="83"/>
      <c r="BRX44" s="83"/>
      <c r="BRY44" s="83"/>
      <c r="BRZ44" s="83"/>
      <c r="BSA44" s="83"/>
      <c r="BSB44" s="83"/>
      <c r="BSC44" s="83"/>
      <c r="BSD44" s="83"/>
      <c r="BSE44" s="83"/>
      <c r="BSF44" s="83"/>
      <c r="BSG44" s="83"/>
      <c r="BSH44" s="83"/>
      <c r="BSI44" s="83"/>
      <c r="BSJ44" s="83"/>
      <c r="BSK44" s="83"/>
      <c r="BSL44" s="83"/>
      <c r="BSM44" s="83"/>
      <c r="BSN44" s="83"/>
      <c r="BSO44" s="83"/>
      <c r="BSP44" s="83"/>
      <c r="BSQ44" s="83"/>
      <c r="BSR44" s="83"/>
      <c r="BSS44" s="83"/>
      <c r="BST44" s="83"/>
      <c r="BSU44" s="83"/>
      <c r="BSV44" s="83"/>
      <c r="BSW44" s="83"/>
      <c r="BSX44" s="83"/>
      <c r="BSY44" s="83"/>
      <c r="BSZ44" s="83"/>
      <c r="BTA44" s="83"/>
      <c r="BTB44" s="83"/>
      <c r="BTC44" s="83"/>
      <c r="BTD44" s="83"/>
      <c r="BTE44" s="83"/>
      <c r="BTF44" s="83"/>
      <c r="BTG44" s="83"/>
      <c r="BTH44" s="83"/>
      <c r="BTI44" s="83"/>
      <c r="BTJ44" s="83"/>
      <c r="BTK44" s="83"/>
      <c r="BTL44" s="83"/>
      <c r="BTM44" s="83"/>
      <c r="BTN44" s="83"/>
      <c r="BTO44" s="83"/>
      <c r="BTP44" s="83"/>
      <c r="BTQ44" s="83"/>
      <c r="BTR44" s="83"/>
      <c r="BTS44" s="83"/>
      <c r="BTT44" s="83"/>
      <c r="BTU44" s="83"/>
      <c r="BTV44" s="83"/>
      <c r="BTW44" s="83"/>
      <c r="BTX44" s="83"/>
      <c r="BTY44" s="83"/>
      <c r="BTZ44" s="83"/>
      <c r="BUA44" s="83"/>
      <c r="BUB44" s="83"/>
      <c r="BUC44" s="83"/>
      <c r="BUD44" s="83"/>
      <c r="BUE44" s="83"/>
      <c r="BUF44" s="83"/>
      <c r="BUG44" s="83"/>
      <c r="BUH44" s="83"/>
      <c r="BUI44" s="83"/>
      <c r="BUJ44" s="83"/>
      <c r="BUK44" s="83"/>
      <c r="BUL44" s="83"/>
      <c r="BUM44" s="83"/>
      <c r="BUN44" s="83"/>
      <c r="BUO44" s="83"/>
      <c r="BUP44" s="83"/>
      <c r="BUQ44" s="83"/>
      <c r="BUR44" s="83"/>
      <c r="BUS44" s="83"/>
      <c r="BUT44" s="83"/>
      <c r="BUU44" s="83"/>
      <c r="BUV44" s="83"/>
      <c r="BUW44" s="83"/>
      <c r="BUX44" s="83"/>
      <c r="BUY44" s="83"/>
      <c r="BUZ44" s="83"/>
      <c r="BVA44" s="83"/>
      <c r="BVB44" s="83"/>
      <c r="BVC44" s="83"/>
      <c r="BVD44" s="83"/>
      <c r="BVE44" s="83"/>
      <c r="BVF44" s="83"/>
      <c r="BVG44" s="83"/>
      <c r="BVH44" s="83"/>
      <c r="BVI44" s="83"/>
      <c r="BVJ44" s="83"/>
      <c r="BVK44" s="83"/>
      <c r="BVL44" s="83"/>
      <c r="BVM44" s="83"/>
      <c r="BVN44" s="83"/>
      <c r="BVO44" s="83"/>
      <c r="BVP44" s="83"/>
      <c r="BVQ44" s="83"/>
      <c r="BVR44" s="83"/>
      <c r="BVS44" s="83"/>
      <c r="BVT44" s="83"/>
      <c r="BVU44" s="83"/>
      <c r="BVV44" s="83"/>
      <c r="BVW44" s="83"/>
      <c r="BVX44" s="83"/>
      <c r="BVY44" s="83"/>
      <c r="BVZ44" s="83"/>
      <c r="BWA44" s="83"/>
      <c r="BWB44" s="83"/>
      <c r="BWC44" s="83"/>
      <c r="BWD44" s="83"/>
      <c r="BWE44" s="83"/>
      <c r="BWF44" s="83"/>
      <c r="BWG44" s="83"/>
      <c r="BWH44" s="83"/>
      <c r="BWI44" s="83"/>
      <c r="BWJ44" s="83"/>
      <c r="BWK44" s="83"/>
      <c r="BWL44" s="83"/>
      <c r="BWM44" s="83"/>
      <c r="BWN44" s="83"/>
      <c r="BWO44" s="83"/>
      <c r="BWP44" s="83"/>
      <c r="BWQ44" s="83"/>
      <c r="BWR44" s="83"/>
      <c r="BWS44" s="83"/>
      <c r="BWT44" s="83"/>
      <c r="BWU44" s="83"/>
      <c r="BWV44" s="83"/>
      <c r="BWW44" s="83"/>
      <c r="BWX44" s="83"/>
      <c r="BWY44" s="83"/>
      <c r="BWZ44" s="83"/>
      <c r="BXA44" s="83"/>
      <c r="BXB44" s="83"/>
      <c r="BXC44" s="83"/>
      <c r="BXD44" s="83"/>
      <c r="BXE44" s="83"/>
      <c r="BXF44" s="83"/>
      <c r="BXG44" s="83"/>
      <c r="BXH44" s="83"/>
      <c r="BXI44" s="83"/>
      <c r="BXJ44" s="83"/>
      <c r="BXK44" s="83"/>
      <c r="BXL44" s="83"/>
      <c r="BXM44" s="83"/>
      <c r="BXN44" s="83"/>
      <c r="BXO44" s="83"/>
      <c r="BXP44" s="83"/>
      <c r="BXQ44" s="83"/>
      <c r="BXR44" s="83"/>
      <c r="BXS44" s="83"/>
      <c r="BXT44" s="83"/>
      <c r="BXU44" s="83"/>
      <c r="BXV44" s="83"/>
      <c r="BXW44" s="83"/>
      <c r="BXX44" s="83"/>
      <c r="BXY44" s="83"/>
      <c r="BXZ44" s="83"/>
      <c r="BYA44" s="83"/>
      <c r="BYB44" s="83"/>
      <c r="BYC44" s="83"/>
      <c r="BYD44" s="83"/>
      <c r="BYE44" s="83"/>
      <c r="BYF44" s="83"/>
      <c r="BYG44" s="83"/>
      <c r="BYH44" s="83"/>
      <c r="BYI44" s="83"/>
      <c r="BYJ44" s="83"/>
      <c r="BYK44" s="83"/>
      <c r="BYL44" s="83"/>
      <c r="BYM44" s="83"/>
      <c r="BYN44" s="83"/>
      <c r="BYO44" s="83"/>
      <c r="BYP44" s="83"/>
      <c r="BYQ44" s="83"/>
      <c r="BYR44" s="83"/>
      <c r="BYS44" s="83"/>
      <c r="BYT44" s="83"/>
      <c r="BYU44" s="83"/>
      <c r="BYV44" s="83"/>
      <c r="BYW44" s="83"/>
      <c r="BYX44" s="83"/>
      <c r="BYY44" s="83"/>
      <c r="BYZ44" s="83"/>
      <c r="BZA44" s="83"/>
      <c r="BZB44" s="83"/>
      <c r="BZC44" s="83"/>
      <c r="BZD44" s="83"/>
      <c r="BZE44" s="83"/>
      <c r="BZF44" s="83"/>
      <c r="BZG44" s="83"/>
      <c r="BZH44" s="83"/>
      <c r="BZI44" s="83"/>
      <c r="BZJ44" s="83"/>
      <c r="BZK44" s="83"/>
      <c r="BZL44" s="83"/>
      <c r="BZM44" s="83"/>
      <c r="BZN44" s="83"/>
      <c r="BZO44" s="83"/>
      <c r="BZP44" s="83"/>
      <c r="BZQ44" s="83"/>
      <c r="BZR44" s="83"/>
      <c r="BZS44" s="83"/>
      <c r="BZT44" s="83"/>
      <c r="BZU44" s="83"/>
      <c r="BZV44" s="83"/>
      <c r="BZW44" s="83"/>
      <c r="BZX44" s="83"/>
      <c r="BZY44" s="83"/>
      <c r="BZZ44" s="83"/>
      <c r="CAA44" s="83"/>
      <c r="CAB44" s="83"/>
      <c r="CAC44" s="83"/>
      <c r="CAD44" s="83"/>
      <c r="CAE44" s="83"/>
      <c r="CAF44" s="83"/>
      <c r="CAG44" s="83"/>
      <c r="CAH44" s="83"/>
      <c r="CAI44" s="83"/>
      <c r="CAJ44" s="83"/>
      <c r="CAK44" s="83"/>
      <c r="CAL44" s="83"/>
      <c r="CAM44" s="83"/>
      <c r="CAN44" s="83"/>
      <c r="CAO44" s="83"/>
      <c r="CAP44" s="83"/>
      <c r="CAQ44" s="83"/>
      <c r="CAR44" s="83"/>
      <c r="CAS44" s="83"/>
      <c r="CAT44" s="83"/>
      <c r="CAU44" s="83"/>
      <c r="CAV44" s="83"/>
      <c r="CAW44" s="83"/>
      <c r="CAX44" s="83"/>
      <c r="CAY44" s="83"/>
      <c r="CAZ44" s="83"/>
      <c r="CBA44" s="83"/>
      <c r="CBB44" s="83"/>
      <c r="CBC44" s="83"/>
      <c r="CBD44" s="83"/>
      <c r="CBE44" s="83"/>
      <c r="CBF44" s="83"/>
      <c r="CBG44" s="83"/>
      <c r="CBH44" s="83"/>
      <c r="CBI44" s="83"/>
      <c r="CBJ44" s="83"/>
      <c r="CBK44" s="83"/>
      <c r="CBL44" s="83"/>
      <c r="CBM44" s="83"/>
      <c r="CBN44" s="83"/>
      <c r="CBO44" s="83"/>
      <c r="CBP44" s="83"/>
      <c r="CBQ44" s="83"/>
      <c r="CBR44" s="83"/>
      <c r="CBS44" s="83"/>
      <c r="CBT44" s="83"/>
      <c r="CBU44" s="83"/>
      <c r="CBV44" s="83"/>
      <c r="CBW44" s="83"/>
      <c r="CBX44" s="83"/>
      <c r="CBY44" s="83"/>
      <c r="CBZ44" s="83"/>
      <c r="CCA44" s="83"/>
      <c r="CCB44" s="83"/>
      <c r="CCC44" s="83"/>
      <c r="CCD44" s="83"/>
      <c r="CCE44" s="83"/>
      <c r="CCF44" s="83"/>
      <c r="CCG44" s="83"/>
      <c r="CCH44" s="83"/>
      <c r="CCI44" s="83"/>
      <c r="CCJ44" s="83"/>
      <c r="CCK44" s="83"/>
      <c r="CCL44" s="83"/>
      <c r="CCM44" s="83"/>
      <c r="CCN44" s="83"/>
      <c r="CCO44" s="83"/>
      <c r="CCP44" s="83"/>
      <c r="CCQ44" s="83"/>
      <c r="CCR44" s="83"/>
      <c r="CCS44" s="83"/>
      <c r="CCT44" s="83"/>
      <c r="CCU44" s="83"/>
      <c r="CCV44" s="83"/>
      <c r="CCW44" s="83"/>
      <c r="CCX44" s="83"/>
      <c r="CCY44" s="83"/>
      <c r="CCZ44" s="83"/>
      <c r="CDA44" s="83"/>
      <c r="CDB44" s="83"/>
      <c r="CDC44" s="83"/>
      <c r="CDD44" s="83"/>
      <c r="CDE44" s="83"/>
      <c r="CDF44" s="83"/>
      <c r="CDG44" s="83"/>
      <c r="CDH44" s="83"/>
      <c r="CDI44" s="83"/>
      <c r="CDJ44" s="83"/>
      <c r="CDK44" s="83"/>
      <c r="CDL44" s="83"/>
      <c r="CDM44" s="83"/>
      <c r="CDN44" s="83"/>
      <c r="CDO44" s="83"/>
      <c r="CDP44" s="83"/>
      <c r="CDQ44" s="83"/>
      <c r="CDR44" s="83"/>
      <c r="CDS44" s="83"/>
      <c r="CDT44" s="83"/>
      <c r="CDU44" s="83"/>
      <c r="CDV44" s="83"/>
      <c r="CDW44" s="83"/>
      <c r="CDX44" s="83"/>
      <c r="CDY44" s="83"/>
      <c r="CDZ44" s="83"/>
      <c r="CEA44" s="83"/>
      <c r="CEB44" s="83"/>
      <c r="CEC44" s="83"/>
      <c r="CED44" s="83"/>
      <c r="CEE44" s="83"/>
      <c r="CEF44" s="83"/>
      <c r="CEG44" s="83"/>
      <c r="CEH44" s="83"/>
      <c r="CEI44" s="83"/>
      <c r="CEJ44" s="83"/>
      <c r="CEK44" s="83"/>
      <c r="CEL44" s="83"/>
      <c r="CEM44" s="83"/>
      <c r="CEN44" s="83"/>
      <c r="CEO44" s="83"/>
      <c r="CEP44" s="83"/>
      <c r="CEQ44" s="83"/>
      <c r="CER44" s="83"/>
      <c r="CES44" s="83"/>
      <c r="CET44" s="83"/>
      <c r="CEU44" s="83"/>
      <c r="CEV44" s="83"/>
      <c r="CEW44" s="83"/>
      <c r="CEX44" s="83"/>
      <c r="CEY44" s="83"/>
      <c r="CEZ44" s="83"/>
      <c r="CFA44" s="83"/>
      <c r="CFB44" s="83"/>
      <c r="CFC44" s="83"/>
      <c r="CFD44" s="83"/>
      <c r="CFE44" s="83"/>
      <c r="CFF44" s="83"/>
      <c r="CFG44" s="83"/>
      <c r="CFH44" s="83"/>
      <c r="CFI44" s="83"/>
      <c r="CFJ44" s="83"/>
      <c r="CFK44" s="83"/>
      <c r="CFL44" s="83"/>
      <c r="CFM44" s="83"/>
      <c r="CFN44" s="83"/>
      <c r="CFO44" s="83"/>
      <c r="CFP44" s="83"/>
      <c r="CFQ44" s="83"/>
      <c r="CFR44" s="83"/>
      <c r="CFS44" s="83"/>
      <c r="CFT44" s="83"/>
      <c r="CFU44" s="83"/>
      <c r="CFV44" s="83"/>
      <c r="CFW44" s="83"/>
      <c r="CFX44" s="83"/>
      <c r="CFY44" s="83"/>
      <c r="CFZ44" s="83"/>
      <c r="CGA44" s="83"/>
      <c r="CGB44" s="83"/>
      <c r="CGC44" s="83"/>
      <c r="CGD44" s="83"/>
      <c r="CGE44" s="83"/>
      <c r="CGF44" s="83"/>
      <c r="CGG44" s="83"/>
      <c r="CGH44" s="83"/>
      <c r="CGI44" s="83"/>
      <c r="CGJ44" s="83"/>
      <c r="CGK44" s="83"/>
      <c r="CGL44" s="83"/>
      <c r="CGM44" s="83"/>
      <c r="CGN44" s="83"/>
      <c r="CGO44" s="83"/>
      <c r="CGP44" s="83"/>
      <c r="CGQ44" s="83"/>
      <c r="CGR44" s="83"/>
      <c r="CGS44" s="83"/>
      <c r="CGT44" s="83"/>
      <c r="CGU44" s="83"/>
      <c r="CGV44" s="83"/>
      <c r="CGW44" s="83"/>
      <c r="CGX44" s="83"/>
      <c r="CGY44" s="83"/>
      <c r="CGZ44" s="83"/>
      <c r="CHA44" s="83"/>
      <c r="CHB44" s="83"/>
      <c r="CHC44" s="83"/>
      <c r="CHD44" s="83"/>
      <c r="CHE44" s="83"/>
      <c r="CHF44" s="83"/>
      <c r="CHG44" s="83"/>
      <c r="CHH44" s="83"/>
      <c r="CHI44" s="83"/>
      <c r="CHJ44" s="83"/>
      <c r="CHK44" s="83"/>
      <c r="CHL44" s="83"/>
      <c r="CHM44" s="83"/>
      <c r="CHN44" s="83"/>
      <c r="CHO44" s="83"/>
      <c r="CHP44" s="83"/>
      <c r="CHQ44" s="83"/>
      <c r="CHR44" s="83"/>
      <c r="CHS44" s="83"/>
      <c r="CHT44" s="83"/>
      <c r="CHU44" s="83"/>
      <c r="CHV44" s="83"/>
      <c r="CHW44" s="83"/>
      <c r="CHX44" s="83"/>
      <c r="CHY44" s="83"/>
      <c r="CHZ44" s="83"/>
      <c r="CIA44" s="83"/>
      <c r="CIB44" s="83"/>
      <c r="CIC44" s="83"/>
      <c r="CID44" s="83"/>
      <c r="CIE44" s="83"/>
      <c r="CIF44" s="83"/>
      <c r="CIG44" s="83"/>
      <c r="CIH44" s="83"/>
      <c r="CII44" s="83"/>
      <c r="CIJ44" s="83"/>
      <c r="CIK44" s="83"/>
      <c r="CIL44" s="83"/>
      <c r="CIM44" s="83"/>
      <c r="CIN44" s="83"/>
      <c r="CIO44" s="83"/>
      <c r="CIP44" s="83"/>
      <c r="CIQ44" s="83"/>
      <c r="CIR44" s="83"/>
      <c r="CIS44" s="83"/>
      <c r="CIT44" s="83"/>
      <c r="CIU44" s="83"/>
      <c r="CIV44" s="83"/>
      <c r="CIW44" s="83"/>
      <c r="CIX44" s="83"/>
      <c r="CIY44" s="83"/>
      <c r="CIZ44" s="83"/>
      <c r="CJA44" s="83"/>
      <c r="CJB44" s="83"/>
      <c r="CJC44" s="83"/>
      <c r="CJD44" s="83"/>
      <c r="CJE44" s="83"/>
      <c r="CJF44" s="83"/>
      <c r="CJG44" s="83"/>
      <c r="CJH44" s="83"/>
      <c r="CJI44" s="83"/>
      <c r="CJJ44" s="83"/>
      <c r="CJK44" s="83"/>
      <c r="CJL44" s="83"/>
      <c r="CJM44" s="83"/>
      <c r="CJN44" s="83"/>
      <c r="CJO44" s="83"/>
      <c r="CJP44" s="83"/>
      <c r="CJQ44" s="83"/>
      <c r="CJR44" s="83"/>
      <c r="CJS44" s="83"/>
      <c r="CJT44" s="83"/>
      <c r="CJU44" s="83"/>
      <c r="CJV44" s="83"/>
      <c r="CJW44" s="83"/>
      <c r="CJX44" s="83"/>
      <c r="CJY44" s="83"/>
      <c r="CJZ44" s="83"/>
      <c r="CKA44" s="83"/>
      <c r="CKB44" s="83"/>
      <c r="CKC44" s="83"/>
      <c r="CKD44" s="83"/>
      <c r="CKE44" s="83"/>
      <c r="CKF44" s="83"/>
      <c r="CKG44" s="83"/>
      <c r="CKH44" s="83"/>
      <c r="CKI44" s="83"/>
      <c r="CKJ44" s="83"/>
      <c r="CKK44" s="83"/>
      <c r="CKL44" s="83"/>
      <c r="CKM44" s="83"/>
      <c r="CKN44" s="83"/>
      <c r="CKO44" s="83"/>
      <c r="CKP44" s="83"/>
      <c r="CKQ44" s="83"/>
      <c r="CKR44" s="83"/>
      <c r="CKS44" s="83"/>
      <c r="CKT44" s="83"/>
      <c r="CKU44" s="83"/>
      <c r="CKV44" s="83"/>
      <c r="CKW44" s="83"/>
      <c r="CKX44" s="83"/>
      <c r="CKY44" s="83"/>
      <c r="CKZ44" s="83"/>
      <c r="CLA44" s="83"/>
      <c r="CLB44" s="83"/>
      <c r="CLC44" s="83"/>
      <c r="CLD44" s="83"/>
      <c r="CLE44" s="83"/>
      <c r="CLF44" s="83"/>
      <c r="CLG44" s="83"/>
      <c r="CLH44" s="83"/>
      <c r="CLI44" s="83"/>
      <c r="CLJ44" s="83"/>
      <c r="CLK44" s="83"/>
      <c r="CLL44" s="83"/>
      <c r="CLM44" s="83"/>
      <c r="CLN44" s="83"/>
      <c r="CLO44" s="83"/>
      <c r="CLP44" s="83"/>
      <c r="CLQ44" s="83"/>
      <c r="CLR44" s="83"/>
      <c r="CLS44" s="83"/>
      <c r="CLT44" s="83"/>
      <c r="CLU44" s="83"/>
      <c r="CLV44" s="83"/>
      <c r="CLW44" s="83"/>
      <c r="CLX44" s="83"/>
      <c r="CLY44" s="83"/>
      <c r="CLZ44" s="83"/>
      <c r="CMA44" s="83"/>
      <c r="CMB44" s="83"/>
      <c r="CMC44" s="83"/>
      <c r="CMD44" s="83"/>
      <c r="CME44" s="83"/>
      <c r="CMF44" s="83"/>
      <c r="CMG44" s="83"/>
      <c r="CMH44" s="83"/>
      <c r="CMI44" s="83"/>
      <c r="CMJ44" s="83"/>
      <c r="CMK44" s="83"/>
      <c r="CML44" s="83"/>
      <c r="CMM44" s="83"/>
      <c r="CMN44" s="83"/>
      <c r="CMO44" s="83"/>
      <c r="CMP44" s="83"/>
      <c r="CMQ44" s="83"/>
      <c r="CMR44" s="83"/>
      <c r="CMS44" s="83"/>
      <c r="CMT44" s="83"/>
      <c r="CMU44" s="83"/>
      <c r="CMV44" s="83"/>
      <c r="CMW44" s="83"/>
      <c r="CMX44" s="83"/>
      <c r="CMY44" s="83"/>
      <c r="CMZ44" s="83"/>
      <c r="CNA44" s="83"/>
      <c r="CNB44" s="83"/>
      <c r="CNC44" s="83"/>
      <c r="CND44" s="83"/>
      <c r="CNE44" s="83"/>
      <c r="CNF44" s="83"/>
      <c r="CNG44" s="83"/>
      <c r="CNH44" s="83"/>
      <c r="CNI44" s="83"/>
      <c r="CNJ44" s="83"/>
      <c r="CNK44" s="83"/>
      <c r="CNL44" s="83"/>
      <c r="CNM44" s="83"/>
      <c r="CNN44" s="83"/>
      <c r="CNO44" s="83"/>
      <c r="CNP44" s="83"/>
      <c r="CNQ44" s="83"/>
      <c r="CNR44" s="83"/>
      <c r="CNS44" s="83"/>
      <c r="CNT44" s="83"/>
      <c r="CNU44" s="83"/>
      <c r="CNV44" s="83"/>
      <c r="CNW44" s="83"/>
      <c r="CNX44" s="83"/>
      <c r="CNY44" s="83"/>
      <c r="CNZ44" s="83"/>
      <c r="COA44" s="83"/>
      <c r="COB44" s="83"/>
      <c r="COC44" s="83"/>
      <c r="COD44" s="83"/>
      <c r="COE44" s="83"/>
      <c r="COF44" s="83"/>
      <c r="COG44" s="83"/>
      <c r="COH44" s="83"/>
      <c r="COI44" s="83"/>
      <c r="COJ44" s="83"/>
      <c r="COK44" s="83"/>
      <c r="COL44" s="83"/>
      <c r="COM44" s="83"/>
      <c r="CON44" s="83"/>
      <c r="COO44" s="83"/>
      <c r="COP44" s="83"/>
      <c r="COQ44" s="83"/>
      <c r="COR44" s="83"/>
      <c r="COS44" s="83"/>
      <c r="COT44" s="83"/>
      <c r="COU44" s="83"/>
      <c r="COV44" s="83"/>
      <c r="COW44" s="83"/>
      <c r="COX44" s="83"/>
      <c r="COY44" s="83"/>
      <c r="COZ44" s="83"/>
      <c r="CPA44" s="83"/>
      <c r="CPB44" s="83"/>
      <c r="CPC44" s="83"/>
      <c r="CPD44" s="83"/>
      <c r="CPE44" s="83"/>
      <c r="CPF44" s="83"/>
      <c r="CPG44" s="83"/>
      <c r="CPH44" s="83"/>
      <c r="CPI44" s="83"/>
      <c r="CPJ44" s="83"/>
      <c r="CPK44" s="83"/>
      <c r="CPL44" s="83"/>
      <c r="CPM44" s="83"/>
      <c r="CPN44" s="83"/>
      <c r="CPO44" s="83"/>
      <c r="CPP44" s="83"/>
      <c r="CPQ44" s="83"/>
      <c r="CPR44" s="83"/>
      <c r="CPS44" s="83"/>
      <c r="CPT44" s="83"/>
      <c r="CPU44" s="83"/>
      <c r="CPV44" s="83"/>
      <c r="CPW44" s="83"/>
      <c r="CPX44" s="83"/>
      <c r="CPY44" s="83"/>
      <c r="CPZ44" s="83"/>
      <c r="CQA44" s="83"/>
      <c r="CQB44" s="83"/>
      <c r="CQC44" s="83"/>
      <c r="CQD44" s="83"/>
      <c r="CQE44" s="83"/>
      <c r="CQF44" s="83"/>
      <c r="CQG44" s="83"/>
      <c r="CQH44" s="83"/>
      <c r="CQI44" s="83"/>
      <c r="CQJ44" s="83"/>
      <c r="CQK44" s="83"/>
      <c r="CQL44" s="83"/>
      <c r="CQM44" s="83"/>
      <c r="CQN44" s="83"/>
      <c r="CQO44" s="83"/>
      <c r="CQP44" s="83"/>
      <c r="CQQ44" s="83"/>
      <c r="CQR44" s="83"/>
      <c r="CQS44" s="83"/>
      <c r="CQT44" s="83"/>
      <c r="CQU44" s="83"/>
      <c r="CQV44" s="83"/>
      <c r="CQW44" s="83"/>
      <c r="CQX44" s="83"/>
      <c r="CQY44" s="83"/>
      <c r="CQZ44" s="83"/>
      <c r="CRA44" s="83"/>
      <c r="CRB44" s="83"/>
      <c r="CRC44" s="83"/>
      <c r="CRD44" s="83"/>
      <c r="CRE44" s="83"/>
      <c r="CRF44" s="83"/>
      <c r="CRG44" s="83"/>
      <c r="CRH44" s="83"/>
      <c r="CRI44" s="83"/>
      <c r="CRJ44" s="83"/>
      <c r="CRK44" s="83"/>
      <c r="CRL44" s="83"/>
      <c r="CRM44" s="83"/>
      <c r="CRN44" s="83"/>
      <c r="CRO44" s="83"/>
      <c r="CRP44" s="83"/>
      <c r="CRQ44" s="83"/>
      <c r="CRR44" s="83"/>
      <c r="CRS44" s="83"/>
      <c r="CRT44" s="83"/>
      <c r="CRU44" s="83"/>
      <c r="CRV44" s="83"/>
      <c r="CRW44" s="83"/>
      <c r="CRX44" s="83"/>
      <c r="CRY44" s="83"/>
      <c r="CRZ44" s="83"/>
      <c r="CSA44" s="83"/>
      <c r="CSB44" s="83"/>
      <c r="CSC44" s="83"/>
      <c r="CSD44" s="83"/>
      <c r="CSE44" s="83"/>
      <c r="CSF44" s="83"/>
      <c r="CSG44" s="83"/>
      <c r="CSH44" s="83"/>
      <c r="CSI44" s="83"/>
      <c r="CSJ44" s="83"/>
      <c r="CSK44" s="83"/>
      <c r="CSL44" s="83"/>
      <c r="CSM44" s="83"/>
      <c r="CSN44" s="83"/>
      <c r="CSO44" s="83"/>
      <c r="CSP44" s="83"/>
      <c r="CSQ44" s="83"/>
      <c r="CSR44" s="83"/>
      <c r="CSS44" s="83"/>
      <c r="CST44" s="83"/>
      <c r="CSU44" s="83"/>
      <c r="CSV44" s="83"/>
      <c r="CSW44" s="83"/>
      <c r="CSX44" s="83"/>
      <c r="CSY44" s="83"/>
      <c r="CSZ44" s="83"/>
      <c r="CTA44" s="83"/>
      <c r="CTB44" s="83"/>
      <c r="CTC44" s="83"/>
      <c r="CTD44" s="83"/>
      <c r="CTE44" s="83"/>
      <c r="CTF44" s="83"/>
      <c r="CTG44" s="83"/>
      <c r="CTH44" s="83"/>
      <c r="CTI44" s="83"/>
      <c r="CTJ44" s="83"/>
      <c r="CTK44" s="83"/>
      <c r="CTL44" s="83"/>
      <c r="CTM44" s="83"/>
      <c r="CTN44" s="83"/>
      <c r="CTO44" s="83"/>
      <c r="CTP44" s="83"/>
      <c r="CTQ44" s="83"/>
      <c r="CTR44" s="83"/>
      <c r="CTS44" s="83"/>
      <c r="CTT44" s="83"/>
      <c r="CTU44" s="83"/>
      <c r="CTV44" s="83"/>
      <c r="CTW44" s="83"/>
      <c r="CTX44" s="83"/>
      <c r="CTY44" s="83"/>
      <c r="CTZ44" s="83"/>
      <c r="CUA44" s="83"/>
      <c r="CUB44" s="83"/>
      <c r="CUC44" s="83"/>
      <c r="CUD44" s="83"/>
      <c r="CUE44" s="83"/>
      <c r="CUF44" s="83"/>
      <c r="CUG44" s="83"/>
      <c r="CUH44" s="83"/>
      <c r="CUI44" s="83"/>
      <c r="CUJ44" s="83"/>
      <c r="CUK44" s="83"/>
      <c r="CUL44" s="83"/>
      <c r="CUM44" s="83"/>
      <c r="CUN44" s="83"/>
      <c r="CUO44" s="83"/>
      <c r="CUP44" s="83"/>
      <c r="CUQ44" s="83"/>
      <c r="CUR44" s="83"/>
      <c r="CUS44" s="83"/>
      <c r="CUT44" s="83"/>
      <c r="CUU44" s="83"/>
      <c r="CUV44" s="83"/>
      <c r="CUW44" s="83"/>
      <c r="CUX44" s="83"/>
      <c r="CUY44" s="83"/>
      <c r="CUZ44" s="83"/>
      <c r="CVA44" s="83"/>
      <c r="CVB44" s="83"/>
      <c r="CVC44" s="83"/>
      <c r="CVD44" s="83"/>
      <c r="CVE44" s="83"/>
      <c r="CVF44" s="83"/>
      <c r="CVG44" s="83"/>
      <c r="CVH44" s="83"/>
      <c r="CVI44" s="83"/>
      <c r="CVJ44" s="83"/>
      <c r="CVK44" s="83"/>
      <c r="CVL44" s="83"/>
      <c r="CVM44" s="83"/>
      <c r="CVN44" s="83"/>
      <c r="CVO44" s="83"/>
      <c r="CVP44" s="83"/>
      <c r="CVQ44" s="83"/>
      <c r="CVR44" s="83"/>
      <c r="CVS44" s="83"/>
      <c r="CVT44" s="83"/>
      <c r="CVU44" s="83"/>
      <c r="CVV44" s="83"/>
      <c r="CVW44" s="83"/>
      <c r="CVX44" s="83"/>
      <c r="CVY44" s="83"/>
      <c r="CVZ44" s="83"/>
      <c r="CWA44" s="83"/>
      <c r="CWB44" s="83"/>
      <c r="CWC44" s="83"/>
      <c r="CWD44" s="83"/>
      <c r="CWE44" s="83"/>
      <c r="CWF44" s="83"/>
      <c r="CWG44" s="83"/>
      <c r="CWH44" s="83"/>
      <c r="CWI44" s="83"/>
      <c r="CWJ44" s="83"/>
      <c r="CWK44" s="83"/>
      <c r="CWL44" s="83"/>
      <c r="CWM44" s="83"/>
      <c r="CWN44" s="83"/>
      <c r="CWO44" s="83"/>
      <c r="CWP44" s="83"/>
      <c r="CWQ44" s="83"/>
      <c r="CWR44" s="83"/>
      <c r="CWS44" s="83"/>
      <c r="CWT44" s="83"/>
      <c r="CWU44" s="83"/>
      <c r="CWV44" s="83"/>
      <c r="CWW44" s="83"/>
      <c r="CWX44" s="83"/>
      <c r="CWY44" s="83"/>
      <c r="CWZ44" s="83"/>
      <c r="CXA44" s="83"/>
      <c r="CXB44" s="83"/>
      <c r="CXC44" s="83"/>
      <c r="CXD44" s="83"/>
      <c r="CXE44" s="83"/>
      <c r="CXF44" s="83"/>
      <c r="CXG44" s="83"/>
      <c r="CXH44" s="83"/>
      <c r="CXI44" s="83"/>
      <c r="CXJ44" s="83"/>
      <c r="CXK44" s="83"/>
      <c r="CXL44" s="83"/>
      <c r="CXM44" s="83"/>
      <c r="CXN44" s="83"/>
      <c r="CXO44" s="83"/>
      <c r="CXP44" s="83"/>
      <c r="CXQ44" s="83"/>
      <c r="CXR44" s="83"/>
      <c r="CXS44" s="83"/>
      <c r="CXT44" s="83"/>
      <c r="CXU44" s="83"/>
      <c r="CXV44" s="83"/>
      <c r="CXW44" s="83"/>
      <c r="CXX44" s="83"/>
      <c r="CXY44" s="83"/>
      <c r="CXZ44" s="83"/>
      <c r="CYA44" s="83"/>
      <c r="CYB44" s="83"/>
      <c r="CYC44" s="83"/>
      <c r="CYD44" s="83"/>
      <c r="CYE44" s="83"/>
      <c r="CYF44" s="83"/>
      <c r="CYG44" s="83"/>
      <c r="CYH44" s="83"/>
      <c r="CYI44" s="83"/>
      <c r="CYJ44" s="83"/>
      <c r="CYK44" s="83"/>
      <c r="CYL44" s="83"/>
      <c r="CYM44" s="83"/>
      <c r="CYN44" s="83"/>
      <c r="CYO44" s="83"/>
      <c r="CYP44" s="83"/>
      <c r="CYQ44" s="83"/>
      <c r="CYR44" s="83"/>
      <c r="CYS44" s="83"/>
      <c r="CYT44" s="83"/>
      <c r="CYU44" s="83"/>
      <c r="CYV44" s="83"/>
      <c r="CYW44" s="83"/>
      <c r="CYX44" s="83"/>
      <c r="CYY44" s="83"/>
      <c r="CYZ44" s="83"/>
      <c r="CZA44" s="83"/>
      <c r="CZB44" s="83"/>
      <c r="CZC44" s="83"/>
      <c r="CZD44" s="83"/>
      <c r="CZE44" s="83"/>
      <c r="CZF44" s="83"/>
      <c r="CZG44" s="83"/>
      <c r="CZH44" s="83"/>
      <c r="CZI44" s="83"/>
      <c r="CZJ44" s="83"/>
      <c r="CZK44" s="83"/>
      <c r="CZL44" s="83"/>
      <c r="CZM44" s="83"/>
      <c r="CZN44" s="83"/>
      <c r="CZO44" s="83"/>
      <c r="CZP44" s="83"/>
      <c r="CZQ44" s="83"/>
      <c r="CZR44" s="83"/>
      <c r="CZS44" s="83"/>
      <c r="CZT44" s="83"/>
      <c r="CZU44" s="83"/>
      <c r="CZV44" s="83"/>
      <c r="CZW44" s="83"/>
      <c r="CZX44" s="83"/>
      <c r="CZY44" s="83"/>
      <c r="CZZ44" s="83"/>
      <c r="DAA44" s="83"/>
      <c r="DAB44" s="83"/>
      <c r="DAC44" s="83"/>
      <c r="DAD44" s="83"/>
      <c r="DAE44" s="83"/>
      <c r="DAF44" s="83"/>
      <c r="DAG44" s="83"/>
      <c r="DAH44" s="83"/>
      <c r="DAI44" s="83"/>
      <c r="DAJ44" s="83"/>
      <c r="DAK44" s="83"/>
      <c r="DAL44" s="83"/>
      <c r="DAM44" s="83"/>
      <c r="DAN44" s="83"/>
      <c r="DAO44" s="83"/>
      <c r="DAP44" s="83"/>
      <c r="DAQ44" s="83"/>
      <c r="DAR44" s="83"/>
      <c r="DAS44" s="83"/>
      <c r="DAT44" s="83"/>
      <c r="DAU44" s="83"/>
      <c r="DAV44" s="83"/>
      <c r="DAW44" s="83"/>
      <c r="DAX44" s="83"/>
      <c r="DAY44" s="83"/>
      <c r="DAZ44" s="83"/>
      <c r="DBA44" s="83"/>
      <c r="DBB44" s="83"/>
      <c r="DBC44" s="83"/>
      <c r="DBD44" s="83"/>
      <c r="DBE44" s="83"/>
      <c r="DBF44" s="83"/>
      <c r="DBG44" s="83"/>
      <c r="DBH44" s="83"/>
      <c r="DBI44" s="83"/>
      <c r="DBJ44" s="83"/>
      <c r="DBK44" s="83"/>
      <c r="DBL44" s="83"/>
      <c r="DBM44" s="83"/>
      <c r="DBN44" s="83"/>
      <c r="DBO44" s="83"/>
      <c r="DBP44" s="83"/>
      <c r="DBQ44" s="83"/>
      <c r="DBR44" s="83"/>
      <c r="DBS44" s="83"/>
      <c r="DBT44" s="83"/>
      <c r="DBU44" s="83"/>
      <c r="DBV44" s="83"/>
      <c r="DBW44" s="83"/>
      <c r="DBX44" s="83"/>
      <c r="DBY44" s="83"/>
      <c r="DBZ44" s="83"/>
      <c r="DCA44" s="83"/>
      <c r="DCB44" s="83"/>
      <c r="DCC44" s="83"/>
      <c r="DCD44" s="83"/>
      <c r="DCE44" s="83"/>
      <c r="DCF44" s="83"/>
      <c r="DCG44" s="83"/>
      <c r="DCH44" s="83"/>
      <c r="DCI44" s="83"/>
      <c r="DCJ44" s="83"/>
      <c r="DCK44" s="83"/>
      <c r="DCL44" s="83"/>
      <c r="DCM44" s="83"/>
      <c r="DCN44" s="83"/>
      <c r="DCO44" s="83"/>
      <c r="DCP44" s="83"/>
      <c r="DCQ44" s="83"/>
      <c r="DCR44" s="83"/>
      <c r="DCS44" s="83"/>
      <c r="DCT44" s="83"/>
      <c r="DCU44" s="83"/>
      <c r="DCV44" s="83"/>
      <c r="DCW44" s="83"/>
      <c r="DCX44" s="83"/>
      <c r="DCY44" s="83"/>
      <c r="DCZ44" s="83"/>
      <c r="DDA44" s="83"/>
      <c r="DDB44" s="83"/>
      <c r="DDC44" s="83"/>
      <c r="DDD44" s="83"/>
      <c r="DDE44" s="83"/>
      <c r="DDF44" s="83"/>
      <c r="DDG44" s="83"/>
      <c r="DDH44" s="83"/>
      <c r="DDI44" s="83"/>
      <c r="DDJ44" s="83"/>
      <c r="DDK44" s="83"/>
      <c r="DDL44" s="83"/>
      <c r="DDM44" s="83"/>
      <c r="DDN44" s="83"/>
      <c r="DDO44" s="83"/>
      <c r="DDP44" s="83"/>
      <c r="DDQ44" s="83"/>
      <c r="DDR44" s="83"/>
      <c r="DDS44" s="83"/>
      <c r="DDT44" s="83"/>
      <c r="DDU44" s="83"/>
      <c r="DDV44" s="83"/>
      <c r="DDW44" s="83"/>
      <c r="DDX44" s="83"/>
      <c r="DDY44" s="83"/>
      <c r="DDZ44" s="83"/>
      <c r="DEA44" s="83"/>
      <c r="DEB44" s="83"/>
      <c r="DEC44" s="83"/>
      <c r="DED44" s="83"/>
      <c r="DEE44" s="83"/>
      <c r="DEF44" s="83"/>
      <c r="DEG44" s="83"/>
      <c r="DEH44" s="83"/>
      <c r="DEI44" s="83"/>
      <c r="DEJ44" s="83"/>
      <c r="DEK44" s="83"/>
      <c r="DEL44" s="83"/>
      <c r="DEM44" s="83"/>
      <c r="DEN44" s="83"/>
      <c r="DEO44" s="83"/>
      <c r="DEP44" s="83"/>
      <c r="DEQ44" s="83"/>
      <c r="DER44" s="83"/>
      <c r="DES44" s="83"/>
      <c r="DET44" s="83"/>
      <c r="DEU44" s="83"/>
      <c r="DEV44" s="83"/>
      <c r="DEW44" s="83"/>
      <c r="DEX44" s="83"/>
      <c r="DEY44" s="83"/>
      <c r="DEZ44" s="83"/>
      <c r="DFA44" s="83"/>
      <c r="DFB44" s="83"/>
      <c r="DFC44" s="83"/>
      <c r="DFD44" s="83"/>
      <c r="DFE44" s="83"/>
      <c r="DFF44" s="83"/>
      <c r="DFG44" s="83"/>
      <c r="DFH44" s="83"/>
      <c r="DFI44" s="83"/>
      <c r="DFJ44" s="83"/>
      <c r="DFK44" s="83"/>
      <c r="DFL44" s="83"/>
      <c r="DFM44" s="83"/>
      <c r="DFN44" s="83"/>
      <c r="DFO44" s="83"/>
      <c r="DFP44" s="83"/>
      <c r="DFQ44" s="83"/>
      <c r="DFR44" s="83"/>
      <c r="DFS44" s="83"/>
      <c r="DFT44" s="83"/>
      <c r="DFU44" s="83"/>
      <c r="DFV44" s="83"/>
      <c r="DFW44" s="83"/>
      <c r="DFX44" s="83"/>
      <c r="DFY44" s="83"/>
      <c r="DFZ44" s="83"/>
      <c r="DGA44" s="83"/>
      <c r="DGB44" s="83"/>
      <c r="DGC44" s="83"/>
      <c r="DGD44" s="83"/>
      <c r="DGE44" s="83"/>
      <c r="DGF44" s="83"/>
      <c r="DGG44" s="83"/>
      <c r="DGH44" s="83"/>
      <c r="DGI44" s="83"/>
      <c r="DGJ44" s="83"/>
      <c r="DGK44" s="83"/>
      <c r="DGL44" s="83"/>
      <c r="DGM44" s="83"/>
      <c r="DGN44" s="83"/>
      <c r="DGO44" s="83"/>
      <c r="DGP44" s="83"/>
      <c r="DGQ44" s="83"/>
      <c r="DGR44" s="83"/>
      <c r="DGS44" s="83"/>
      <c r="DGT44" s="83"/>
      <c r="DGU44" s="83"/>
      <c r="DGV44" s="83"/>
      <c r="DGW44" s="83"/>
      <c r="DGX44" s="83"/>
      <c r="DGY44" s="83"/>
      <c r="DGZ44" s="83"/>
      <c r="DHA44" s="83"/>
      <c r="DHB44" s="83"/>
      <c r="DHC44" s="83"/>
      <c r="DHD44" s="83"/>
      <c r="DHE44" s="83"/>
      <c r="DHF44" s="83"/>
      <c r="DHG44" s="83"/>
      <c r="DHH44" s="83"/>
      <c r="DHI44" s="83"/>
      <c r="DHJ44" s="83"/>
      <c r="DHK44" s="83"/>
      <c r="DHL44" s="83"/>
      <c r="DHM44" s="83"/>
      <c r="DHN44" s="83"/>
      <c r="DHO44" s="83"/>
      <c r="DHP44" s="83"/>
      <c r="DHQ44" s="83"/>
      <c r="DHR44" s="83"/>
      <c r="DHS44" s="83"/>
      <c r="DHT44" s="83"/>
      <c r="DHU44" s="83"/>
      <c r="DHV44" s="83"/>
      <c r="DHW44" s="83"/>
      <c r="DHX44" s="83"/>
      <c r="DHY44" s="83"/>
      <c r="DHZ44" s="83"/>
      <c r="DIA44" s="83"/>
      <c r="DIB44" s="83"/>
      <c r="DIC44" s="83"/>
      <c r="DID44" s="83"/>
      <c r="DIE44" s="83"/>
      <c r="DIF44" s="83"/>
      <c r="DIG44" s="83"/>
      <c r="DIH44" s="83"/>
      <c r="DII44" s="83"/>
      <c r="DIJ44" s="83"/>
      <c r="DIK44" s="83"/>
      <c r="DIL44" s="83"/>
      <c r="DIM44" s="83"/>
      <c r="DIN44" s="83"/>
      <c r="DIO44" s="83"/>
      <c r="DIP44" s="83"/>
      <c r="DIQ44" s="83"/>
      <c r="DIR44" s="83"/>
      <c r="DIS44" s="83"/>
      <c r="DIT44" s="83"/>
      <c r="DIU44" s="83"/>
      <c r="DIV44" s="83"/>
      <c r="DIW44" s="83"/>
      <c r="DIX44" s="83"/>
      <c r="DIY44" s="83"/>
      <c r="DIZ44" s="83"/>
      <c r="DJA44" s="83"/>
      <c r="DJB44" s="83"/>
      <c r="DJC44" s="83"/>
      <c r="DJD44" s="83"/>
      <c r="DJE44" s="83"/>
      <c r="DJF44" s="83"/>
      <c r="DJG44" s="83"/>
      <c r="DJH44" s="83"/>
      <c r="DJI44" s="83"/>
      <c r="DJJ44" s="83"/>
      <c r="DJK44" s="83"/>
      <c r="DJL44" s="83"/>
      <c r="DJM44" s="83"/>
      <c r="DJN44" s="83"/>
      <c r="DJO44" s="83"/>
      <c r="DJP44" s="83"/>
      <c r="DJQ44" s="83"/>
      <c r="DJR44" s="83"/>
      <c r="DJS44" s="83"/>
      <c r="DJT44" s="83"/>
      <c r="DJU44" s="83"/>
      <c r="DJV44" s="83"/>
      <c r="DJW44" s="83"/>
      <c r="DJX44" s="83"/>
      <c r="DJY44" s="83"/>
      <c r="DJZ44" s="83"/>
      <c r="DKA44" s="83"/>
      <c r="DKB44" s="83"/>
      <c r="DKC44" s="83"/>
      <c r="DKD44" s="83"/>
      <c r="DKE44" s="83"/>
      <c r="DKF44" s="83"/>
      <c r="DKG44" s="83"/>
      <c r="DKH44" s="83"/>
      <c r="DKI44" s="83"/>
      <c r="DKJ44" s="83"/>
      <c r="DKK44" s="83"/>
      <c r="DKL44" s="83"/>
      <c r="DKM44" s="83"/>
      <c r="DKN44" s="83"/>
      <c r="DKO44" s="83"/>
      <c r="DKP44" s="83"/>
      <c r="DKQ44" s="83"/>
      <c r="DKR44" s="83"/>
      <c r="DKS44" s="83"/>
      <c r="DKT44" s="83"/>
      <c r="DKU44" s="83"/>
      <c r="DKV44" s="83"/>
      <c r="DKW44" s="83"/>
      <c r="DKX44" s="83"/>
      <c r="DKY44" s="83"/>
      <c r="DKZ44" s="83"/>
      <c r="DLA44" s="83"/>
      <c r="DLB44" s="83"/>
      <c r="DLC44" s="83"/>
      <c r="DLD44" s="83"/>
      <c r="DLE44" s="83"/>
      <c r="DLF44" s="83"/>
      <c r="DLG44" s="83"/>
      <c r="DLH44" s="83"/>
      <c r="DLI44" s="83"/>
      <c r="DLJ44" s="83"/>
      <c r="DLK44" s="83"/>
      <c r="DLL44" s="83"/>
      <c r="DLM44" s="83"/>
      <c r="DLN44" s="83"/>
      <c r="DLO44" s="83"/>
      <c r="DLP44" s="83"/>
      <c r="DLQ44" s="83"/>
      <c r="DLR44" s="83"/>
      <c r="DLS44" s="83"/>
      <c r="DLT44" s="83"/>
      <c r="DLU44" s="83"/>
      <c r="DLV44" s="83"/>
      <c r="DLW44" s="83"/>
      <c r="DLX44" s="83"/>
      <c r="DLY44" s="83"/>
      <c r="DLZ44" s="83"/>
      <c r="DMA44" s="83"/>
      <c r="DMB44" s="83"/>
      <c r="DMC44" s="83"/>
      <c r="DMD44" s="83"/>
      <c r="DME44" s="83"/>
      <c r="DMF44" s="83"/>
      <c r="DMG44" s="83"/>
      <c r="DMH44" s="83"/>
      <c r="DMI44" s="83"/>
      <c r="DMJ44" s="83"/>
      <c r="DMK44" s="83"/>
      <c r="DML44" s="83"/>
      <c r="DMM44" s="83"/>
      <c r="DMN44" s="83"/>
      <c r="DMO44" s="83"/>
      <c r="DMP44" s="83"/>
      <c r="DMQ44" s="83"/>
      <c r="DMR44" s="83"/>
      <c r="DMS44" s="83"/>
      <c r="DMT44" s="83"/>
      <c r="DMU44" s="83"/>
      <c r="DMV44" s="83"/>
      <c r="DMW44" s="83"/>
      <c r="DMX44" s="83"/>
      <c r="DMY44" s="83"/>
      <c r="DMZ44" s="83"/>
      <c r="DNA44" s="83"/>
      <c r="DNB44" s="83"/>
      <c r="DNC44" s="83"/>
      <c r="DND44" s="83"/>
      <c r="DNE44" s="83"/>
      <c r="DNF44" s="83"/>
      <c r="DNG44" s="83"/>
      <c r="DNH44" s="83"/>
      <c r="DNI44" s="83"/>
      <c r="DNJ44" s="83"/>
      <c r="DNK44" s="83"/>
      <c r="DNL44" s="83"/>
      <c r="DNM44" s="83"/>
      <c r="DNN44" s="83"/>
      <c r="DNO44" s="83"/>
      <c r="DNP44" s="83"/>
      <c r="DNQ44" s="83"/>
      <c r="DNR44" s="83"/>
      <c r="DNS44" s="83"/>
      <c r="DNT44" s="83"/>
      <c r="DNU44" s="83"/>
      <c r="DNV44" s="83"/>
      <c r="DNW44" s="83"/>
      <c r="DNX44" s="83"/>
      <c r="DNY44" s="83"/>
      <c r="DNZ44" s="83"/>
      <c r="DOA44" s="83"/>
      <c r="DOB44" s="83"/>
      <c r="DOC44" s="83"/>
      <c r="DOD44" s="83"/>
      <c r="DOE44" s="83"/>
      <c r="DOF44" s="83"/>
      <c r="DOG44" s="83"/>
      <c r="DOH44" s="83"/>
      <c r="DOI44" s="83"/>
      <c r="DOJ44" s="83"/>
      <c r="DOK44" s="83"/>
      <c r="DOL44" s="83"/>
      <c r="DOM44" s="83"/>
      <c r="DON44" s="83"/>
      <c r="DOO44" s="83"/>
      <c r="DOP44" s="83"/>
      <c r="DOQ44" s="83"/>
      <c r="DOR44" s="83"/>
      <c r="DOS44" s="83"/>
      <c r="DOT44" s="83"/>
      <c r="DOU44" s="83"/>
      <c r="DOV44" s="83"/>
      <c r="DOW44" s="83"/>
      <c r="DOX44" s="83"/>
      <c r="DOY44" s="83"/>
      <c r="DOZ44" s="83"/>
      <c r="DPA44" s="83"/>
      <c r="DPB44" s="83"/>
      <c r="DPC44" s="83"/>
      <c r="DPD44" s="83"/>
      <c r="DPE44" s="83"/>
      <c r="DPF44" s="83"/>
      <c r="DPG44" s="83"/>
      <c r="DPH44" s="83"/>
      <c r="DPI44" s="83"/>
      <c r="DPJ44" s="83"/>
      <c r="DPK44" s="83"/>
      <c r="DPL44" s="83"/>
      <c r="DPM44" s="83"/>
      <c r="DPN44" s="83"/>
      <c r="DPO44" s="83"/>
      <c r="DPP44" s="83"/>
      <c r="DPQ44" s="83"/>
      <c r="DPR44" s="83"/>
      <c r="DPS44" s="83"/>
      <c r="DPT44" s="83"/>
      <c r="DPU44" s="83"/>
      <c r="DPV44" s="83"/>
      <c r="DPW44" s="83"/>
      <c r="DPX44" s="83"/>
      <c r="DPY44" s="83"/>
      <c r="DPZ44" s="83"/>
      <c r="DQA44" s="83"/>
      <c r="DQB44" s="83"/>
      <c r="DQC44" s="83"/>
      <c r="DQD44" s="83"/>
      <c r="DQE44" s="83"/>
      <c r="DQF44" s="83"/>
      <c r="DQG44" s="83"/>
      <c r="DQH44" s="83"/>
      <c r="DQI44" s="83"/>
      <c r="DQJ44" s="83"/>
      <c r="DQK44" s="83"/>
      <c r="DQL44" s="83"/>
      <c r="DQM44" s="83"/>
      <c r="DQN44" s="83"/>
      <c r="DQO44" s="83"/>
      <c r="DQP44" s="83"/>
      <c r="DQQ44" s="83"/>
      <c r="DQR44" s="83"/>
      <c r="DQS44" s="83"/>
      <c r="DQT44" s="83"/>
      <c r="DQU44" s="83"/>
      <c r="DQV44" s="83"/>
      <c r="DQW44" s="83"/>
      <c r="DQX44" s="83"/>
      <c r="DQY44" s="83"/>
      <c r="DQZ44" s="83"/>
      <c r="DRA44" s="83"/>
      <c r="DRB44" s="83"/>
      <c r="DRC44" s="83"/>
      <c r="DRD44" s="83"/>
      <c r="DRE44" s="83"/>
      <c r="DRF44" s="83"/>
      <c r="DRG44" s="83"/>
      <c r="DRH44" s="83"/>
      <c r="DRI44" s="83"/>
      <c r="DRJ44" s="83"/>
      <c r="DRK44" s="83"/>
      <c r="DRL44" s="83"/>
      <c r="DRM44" s="83"/>
      <c r="DRN44" s="83"/>
      <c r="DRO44" s="83"/>
      <c r="DRP44" s="83"/>
      <c r="DRQ44" s="83"/>
      <c r="DRR44" s="83"/>
      <c r="DRS44" s="83"/>
      <c r="DRT44" s="83"/>
      <c r="DRU44" s="83"/>
      <c r="DRV44" s="83"/>
      <c r="DRW44" s="83"/>
      <c r="DRX44" s="83"/>
      <c r="DRY44" s="83"/>
      <c r="DRZ44" s="83"/>
      <c r="DSA44" s="83"/>
      <c r="DSB44" s="83"/>
      <c r="DSC44" s="83"/>
      <c r="DSD44" s="83"/>
      <c r="DSE44" s="83"/>
      <c r="DSF44" s="83"/>
      <c r="DSG44" s="83"/>
      <c r="DSH44" s="83"/>
      <c r="DSI44" s="83"/>
      <c r="DSJ44" s="83"/>
      <c r="DSK44" s="83"/>
      <c r="DSL44" s="83"/>
      <c r="DSM44" s="83"/>
      <c r="DSN44" s="83"/>
      <c r="DSO44" s="83"/>
      <c r="DSP44" s="83"/>
      <c r="DSQ44" s="83"/>
      <c r="DSR44" s="83"/>
      <c r="DSS44" s="83"/>
      <c r="DST44" s="83"/>
      <c r="DSU44" s="83"/>
      <c r="DSV44" s="83"/>
      <c r="DSW44" s="83"/>
      <c r="DSX44" s="83"/>
      <c r="DSY44" s="83"/>
      <c r="DSZ44" s="83"/>
      <c r="DTA44" s="83"/>
      <c r="DTB44" s="83"/>
      <c r="DTC44" s="83"/>
      <c r="DTD44" s="83"/>
      <c r="DTE44" s="83"/>
      <c r="DTF44" s="83"/>
      <c r="DTG44" s="83"/>
      <c r="DTH44" s="83"/>
      <c r="DTI44" s="83"/>
      <c r="DTJ44" s="83"/>
      <c r="DTK44" s="83"/>
      <c r="DTL44" s="83"/>
      <c r="DTM44" s="83"/>
      <c r="DTN44" s="83"/>
      <c r="DTO44" s="83"/>
      <c r="DTP44" s="83"/>
      <c r="DTQ44" s="83"/>
      <c r="DTR44" s="83"/>
      <c r="DTS44" s="83"/>
      <c r="DTT44" s="83"/>
      <c r="DTU44" s="83"/>
      <c r="DTV44" s="83"/>
      <c r="DTW44" s="83"/>
      <c r="DTX44" s="83"/>
      <c r="DTY44" s="83"/>
      <c r="DTZ44" s="83"/>
      <c r="DUA44" s="83"/>
      <c r="DUB44" s="83"/>
      <c r="DUC44" s="83"/>
      <c r="DUD44" s="83"/>
      <c r="DUE44" s="83"/>
      <c r="DUF44" s="83"/>
      <c r="DUG44" s="83"/>
      <c r="DUH44" s="83"/>
      <c r="DUI44" s="83"/>
      <c r="DUJ44" s="83"/>
      <c r="DUK44" s="83"/>
      <c r="DUL44" s="83"/>
      <c r="DUM44" s="83"/>
      <c r="DUN44" s="83"/>
      <c r="DUO44" s="83"/>
      <c r="DUP44" s="83"/>
      <c r="DUQ44" s="83"/>
      <c r="DUR44" s="83"/>
      <c r="DUS44" s="83"/>
      <c r="DUT44" s="83"/>
      <c r="DUU44" s="83"/>
      <c r="DUV44" s="83"/>
      <c r="DUW44" s="83"/>
      <c r="DUX44" s="83"/>
      <c r="DUY44" s="83"/>
      <c r="DUZ44" s="83"/>
      <c r="DVA44" s="83"/>
      <c r="DVB44" s="83"/>
      <c r="DVC44" s="83"/>
      <c r="DVD44" s="83"/>
      <c r="DVE44" s="83"/>
      <c r="DVF44" s="83"/>
      <c r="DVG44" s="83"/>
      <c r="DVH44" s="83"/>
      <c r="DVI44" s="83"/>
      <c r="DVJ44" s="83"/>
      <c r="DVK44" s="83"/>
      <c r="DVL44" s="83"/>
      <c r="DVM44" s="83"/>
      <c r="DVN44" s="83"/>
      <c r="DVO44" s="83"/>
      <c r="DVP44" s="83"/>
      <c r="DVQ44" s="83"/>
      <c r="DVR44" s="83"/>
      <c r="DVS44" s="83"/>
      <c r="DVT44" s="83"/>
      <c r="DVU44" s="83"/>
      <c r="DVV44" s="83"/>
      <c r="DVW44" s="83"/>
      <c r="DVX44" s="83"/>
      <c r="DVY44" s="83"/>
      <c r="DVZ44" s="83"/>
      <c r="DWA44" s="83"/>
      <c r="DWB44" s="83"/>
      <c r="DWC44" s="83"/>
      <c r="DWD44" s="83"/>
      <c r="DWE44" s="83"/>
      <c r="DWF44" s="83"/>
      <c r="DWG44" s="83"/>
      <c r="DWH44" s="83"/>
      <c r="DWI44" s="83"/>
      <c r="DWJ44" s="83"/>
      <c r="DWK44" s="83"/>
      <c r="DWL44" s="83"/>
      <c r="DWM44" s="83"/>
      <c r="DWN44" s="83"/>
      <c r="DWO44" s="83"/>
      <c r="DWP44" s="83"/>
      <c r="DWQ44" s="83"/>
      <c r="DWR44" s="83"/>
      <c r="DWS44" s="83"/>
      <c r="DWT44" s="83"/>
      <c r="DWU44" s="83"/>
      <c r="DWV44" s="83"/>
      <c r="DWW44" s="83"/>
      <c r="DWX44" s="83"/>
      <c r="DWY44" s="83"/>
      <c r="DWZ44" s="83"/>
      <c r="DXA44" s="83"/>
      <c r="DXB44" s="83"/>
      <c r="DXC44" s="83"/>
      <c r="DXD44" s="83"/>
      <c r="DXE44" s="83"/>
      <c r="DXF44" s="83"/>
      <c r="DXG44" s="83"/>
      <c r="DXH44" s="83"/>
      <c r="DXI44" s="83"/>
      <c r="DXJ44" s="83"/>
      <c r="DXK44" s="83"/>
      <c r="DXL44" s="83"/>
      <c r="DXM44" s="83"/>
      <c r="DXN44" s="83"/>
      <c r="DXO44" s="83"/>
      <c r="DXP44" s="83"/>
      <c r="DXQ44" s="83"/>
      <c r="DXR44" s="83"/>
      <c r="DXS44" s="83"/>
      <c r="DXT44" s="83"/>
      <c r="DXU44" s="83"/>
      <c r="DXV44" s="83"/>
      <c r="DXW44" s="83"/>
      <c r="DXX44" s="83"/>
      <c r="DXY44" s="83"/>
      <c r="DXZ44" s="83"/>
      <c r="DYA44" s="83"/>
      <c r="DYB44" s="83"/>
      <c r="DYC44" s="83"/>
      <c r="DYD44" s="83"/>
      <c r="DYE44" s="83"/>
      <c r="DYF44" s="83"/>
      <c r="DYG44" s="83"/>
      <c r="DYH44" s="83"/>
      <c r="DYI44" s="83"/>
      <c r="DYJ44" s="83"/>
      <c r="DYK44" s="83"/>
      <c r="DYL44" s="83"/>
      <c r="DYM44" s="83"/>
      <c r="DYN44" s="83"/>
      <c r="DYO44" s="83"/>
      <c r="DYP44" s="83"/>
      <c r="DYQ44" s="83"/>
      <c r="DYR44" s="83"/>
      <c r="DYS44" s="83"/>
      <c r="DYT44" s="83"/>
      <c r="DYU44" s="83"/>
      <c r="DYV44" s="83"/>
      <c r="DYW44" s="83"/>
      <c r="DYX44" s="83"/>
      <c r="DYY44" s="83"/>
      <c r="DYZ44" s="83"/>
      <c r="DZA44" s="83"/>
      <c r="DZB44" s="83"/>
      <c r="DZC44" s="83"/>
      <c r="DZD44" s="83"/>
      <c r="DZE44" s="83"/>
      <c r="DZF44" s="83"/>
      <c r="DZG44" s="83"/>
      <c r="DZH44" s="83"/>
      <c r="DZI44" s="83"/>
      <c r="DZJ44" s="83"/>
      <c r="DZK44" s="83"/>
      <c r="DZL44" s="83"/>
      <c r="DZM44" s="83"/>
      <c r="DZN44" s="83"/>
      <c r="DZO44" s="83"/>
      <c r="DZP44" s="83"/>
      <c r="DZQ44" s="83"/>
      <c r="DZR44" s="83"/>
      <c r="DZS44" s="83"/>
      <c r="DZT44" s="83"/>
      <c r="DZU44" s="83"/>
      <c r="DZV44" s="83"/>
      <c r="DZW44" s="83"/>
      <c r="DZX44" s="83"/>
      <c r="DZY44" s="83"/>
      <c r="DZZ44" s="83"/>
      <c r="EAA44" s="83"/>
      <c r="EAB44" s="83"/>
      <c r="EAC44" s="83"/>
      <c r="EAD44" s="83"/>
      <c r="EAE44" s="83"/>
      <c r="EAF44" s="83"/>
      <c r="EAG44" s="83"/>
      <c r="EAH44" s="83"/>
      <c r="EAI44" s="83"/>
      <c r="EAJ44" s="83"/>
      <c r="EAK44" s="83"/>
      <c r="EAL44" s="83"/>
      <c r="EAM44" s="83"/>
      <c r="EAN44" s="83"/>
      <c r="EAO44" s="83"/>
      <c r="EAP44" s="83"/>
      <c r="EAQ44" s="83"/>
      <c r="EAR44" s="83"/>
      <c r="EAS44" s="83"/>
      <c r="EAT44" s="83"/>
      <c r="EAU44" s="83"/>
      <c r="EAV44" s="83"/>
      <c r="EAW44" s="83"/>
      <c r="EAX44" s="83"/>
      <c r="EAY44" s="83"/>
      <c r="EAZ44" s="83"/>
      <c r="EBA44" s="83"/>
      <c r="EBB44" s="83"/>
      <c r="EBC44" s="83"/>
      <c r="EBD44" s="83"/>
      <c r="EBE44" s="83"/>
      <c r="EBF44" s="83"/>
      <c r="EBG44" s="83"/>
      <c r="EBH44" s="83"/>
      <c r="EBI44" s="83"/>
      <c r="EBJ44" s="83"/>
      <c r="EBK44" s="83"/>
      <c r="EBL44" s="83"/>
      <c r="EBM44" s="83"/>
      <c r="EBN44" s="83"/>
      <c r="EBO44" s="83"/>
      <c r="EBP44" s="83"/>
      <c r="EBQ44" s="83"/>
      <c r="EBR44" s="83"/>
      <c r="EBS44" s="83"/>
      <c r="EBT44" s="83"/>
      <c r="EBU44" s="83"/>
      <c r="EBV44" s="83"/>
      <c r="EBW44" s="83"/>
      <c r="EBX44" s="83"/>
      <c r="EBY44" s="83"/>
      <c r="EBZ44" s="83"/>
      <c r="ECA44" s="83"/>
      <c r="ECB44" s="83"/>
      <c r="ECC44" s="83"/>
      <c r="ECD44" s="83"/>
      <c r="ECE44" s="83"/>
      <c r="ECF44" s="83"/>
      <c r="ECG44" s="83"/>
      <c r="ECH44" s="83"/>
      <c r="ECI44" s="83"/>
      <c r="ECJ44" s="83"/>
      <c r="ECK44" s="83"/>
      <c r="ECL44" s="83"/>
      <c r="ECM44" s="83"/>
      <c r="ECN44" s="83"/>
      <c r="ECO44" s="83"/>
      <c r="ECP44" s="83"/>
      <c r="ECQ44" s="83"/>
      <c r="ECR44" s="83"/>
      <c r="ECS44" s="83"/>
      <c r="ECT44" s="83"/>
      <c r="ECU44" s="83"/>
      <c r="ECV44" s="83"/>
      <c r="ECW44" s="83"/>
      <c r="ECX44" s="83"/>
      <c r="ECY44" s="83"/>
      <c r="ECZ44" s="83"/>
      <c r="EDA44" s="83"/>
      <c r="EDB44" s="83"/>
      <c r="EDC44" s="83"/>
      <c r="EDD44" s="83"/>
      <c r="EDE44" s="83"/>
      <c r="EDF44" s="83"/>
      <c r="EDG44" s="83"/>
      <c r="EDH44" s="83"/>
      <c r="EDI44" s="83"/>
      <c r="EDJ44" s="83"/>
      <c r="EDK44" s="83"/>
      <c r="EDL44" s="83"/>
      <c r="EDM44" s="83"/>
      <c r="EDN44" s="83"/>
      <c r="EDO44" s="83"/>
      <c r="EDP44" s="83"/>
      <c r="EDQ44" s="83"/>
      <c r="EDR44" s="83"/>
      <c r="EDS44" s="83"/>
      <c r="EDT44" s="83"/>
      <c r="EDU44" s="83"/>
      <c r="EDV44" s="83"/>
      <c r="EDW44" s="83"/>
      <c r="EDX44" s="83"/>
      <c r="EDY44" s="83"/>
      <c r="EDZ44" s="83"/>
      <c r="EEA44" s="83"/>
      <c r="EEB44" s="83"/>
      <c r="EEC44" s="83"/>
      <c r="EED44" s="83"/>
      <c r="EEE44" s="83"/>
      <c r="EEF44" s="83"/>
      <c r="EEG44" s="83"/>
      <c r="EEH44" s="83"/>
      <c r="EEI44" s="83"/>
      <c r="EEJ44" s="83"/>
      <c r="EEK44" s="83"/>
      <c r="EEL44" s="83"/>
      <c r="EEM44" s="83"/>
      <c r="EEN44" s="83"/>
      <c r="EEO44" s="83"/>
      <c r="EEP44" s="83"/>
      <c r="EEQ44" s="83"/>
      <c r="EER44" s="83"/>
      <c r="EES44" s="83"/>
      <c r="EET44" s="83"/>
      <c r="EEU44" s="83"/>
      <c r="EEV44" s="83"/>
      <c r="EEW44" s="83"/>
      <c r="EEX44" s="83"/>
      <c r="EEY44" s="83"/>
      <c r="EEZ44" s="83"/>
      <c r="EFA44" s="83"/>
      <c r="EFB44" s="83"/>
      <c r="EFC44" s="83"/>
      <c r="EFD44" s="83"/>
      <c r="EFE44" s="83"/>
      <c r="EFF44" s="83"/>
      <c r="EFG44" s="83"/>
      <c r="EFH44" s="83"/>
      <c r="EFI44" s="83"/>
      <c r="EFJ44" s="83"/>
      <c r="EFK44" s="83"/>
      <c r="EFL44" s="83"/>
      <c r="EFM44" s="83"/>
      <c r="EFN44" s="83"/>
      <c r="EFO44" s="83"/>
      <c r="EFP44" s="83"/>
      <c r="EFQ44" s="83"/>
      <c r="EFR44" s="83"/>
      <c r="EFS44" s="83"/>
      <c r="EFT44" s="83"/>
      <c r="EFU44" s="83"/>
      <c r="EFV44" s="83"/>
      <c r="EFW44" s="83"/>
      <c r="EFX44" s="83"/>
      <c r="EFY44" s="83"/>
      <c r="EFZ44" s="83"/>
      <c r="EGA44" s="83"/>
      <c r="EGB44" s="83"/>
      <c r="EGC44" s="83"/>
      <c r="EGD44" s="83"/>
      <c r="EGE44" s="83"/>
      <c r="EGF44" s="83"/>
      <c r="EGG44" s="83"/>
      <c r="EGH44" s="83"/>
      <c r="EGI44" s="83"/>
      <c r="EGJ44" s="83"/>
      <c r="EGK44" s="83"/>
      <c r="EGL44" s="83"/>
      <c r="EGM44" s="83"/>
      <c r="EGN44" s="83"/>
      <c r="EGO44" s="83"/>
      <c r="EGP44" s="83"/>
      <c r="EGQ44" s="83"/>
      <c r="EGR44" s="83"/>
      <c r="EGS44" s="83"/>
      <c r="EGT44" s="83"/>
      <c r="EGU44" s="83"/>
      <c r="EGV44" s="83"/>
      <c r="EGW44" s="83"/>
      <c r="EGX44" s="83"/>
      <c r="EGY44" s="83"/>
      <c r="EGZ44" s="83"/>
      <c r="EHA44" s="83"/>
      <c r="EHB44" s="83"/>
      <c r="EHC44" s="83"/>
      <c r="EHD44" s="83"/>
      <c r="EHE44" s="83"/>
      <c r="EHF44" s="83"/>
      <c r="EHG44" s="83"/>
      <c r="EHH44" s="83"/>
      <c r="EHI44" s="83"/>
      <c r="EHJ44" s="83"/>
      <c r="EHK44" s="83"/>
      <c r="EHL44" s="83"/>
      <c r="EHM44" s="83"/>
      <c r="EHN44" s="83"/>
      <c r="EHO44" s="83"/>
      <c r="EHP44" s="83"/>
      <c r="EHQ44" s="83"/>
      <c r="EHR44" s="83"/>
      <c r="EHS44" s="83"/>
      <c r="EHT44" s="83"/>
      <c r="EHU44" s="83"/>
      <c r="EHV44" s="83"/>
      <c r="EHW44" s="83"/>
      <c r="EHX44" s="83"/>
      <c r="EHY44" s="83"/>
      <c r="EHZ44" s="83"/>
      <c r="EIA44" s="83"/>
      <c r="EIB44" s="83"/>
      <c r="EIC44" s="83"/>
      <c r="EID44" s="83"/>
      <c r="EIE44" s="83"/>
      <c r="EIF44" s="83"/>
      <c r="EIG44" s="83"/>
      <c r="EIH44" s="83"/>
      <c r="EII44" s="83"/>
      <c r="EIJ44" s="83"/>
      <c r="EIK44" s="83"/>
      <c r="EIL44" s="83"/>
      <c r="EIM44" s="83"/>
      <c r="EIN44" s="83"/>
      <c r="EIO44" s="83"/>
      <c r="EIP44" s="83"/>
      <c r="EIQ44" s="83"/>
      <c r="EIR44" s="83"/>
      <c r="EIS44" s="83"/>
      <c r="EIT44" s="83"/>
      <c r="EIU44" s="83"/>
      <c r="EIV44" s="83"/>
      <c r="EIW44" s="83"/>
      <c r="EIX44" s="83"/>
      <c r="EIY44" s="83"/>
      <c r="EIZ44" s="83"/>
      <c r="EJA44" s="83"/>
      <c r="EJB44" s="83"/>
      <c r="EJC44" s="83"/>
      <c r="EJD44" s="83"/>
      <c r="EJE44" s="83"/>
      <c r="EJF44" s="83"/>
      <c r="EJG44" s="83"/>
      <c r="EJH44" s="83"/>
      <c r="EJI44" s="83"/>
      <c r="EJJ44" s="83"/>
      <c r="EJK44" s="83"/>
      <c r="EJL44" s="83"/>
      <c r="EJM44" s="83"/>
      <c r="EJN44" s="83"/>
      <c r="EJO44" s="83"/>
      <c r="EJP44" s="83"/>
      <c r="EJQ44" s="83"/>
      <c r="EJR44" s="83"/>
      <c r="EJS44" s="83"/>
      <c r="EJT44" s="83"/>
      <c r="EJU44" s="83"/>
      <c r="EJV44" s="83"/>
      <c r="EJW44" s="83"/>
      <c r="EJX44" s="83"/>
      <c r="EJY44" s="83"/>
      <c r="EJZ44" s="83"/>
      <c r="EKA44" s="83"/>
      <c r="EKB44" s="83"/>
      <c r="EKC44" s="83"/>
      <c r="EKD44" s="83"/>
      <c r="EKE44" s="83"/>
      <c r="EKF44" s="83"/>
      <c r="EKG44" s="83"/>
      <c r="EKH44" s="83"/>
      <c r="EKI44" s="83"/>
      <c r="EKJ44" s="83"/>
      <c r="EKK44" s="83"/>
      <c r="EKL44" s="83"/>
      <c r="EKM44" s="83"/>
      <c r="EKN44" s="83"/>
      <c r="EKO44" s="83"/>
      <c r="EKP44" s="83"/>
      <c r="EKQ44" s="83"/>
      <c r="EKR44" s="83"/>
      <c r="EKS44" s="83"/>
      <c r="EKT44" s="83"/>
      <c r="EKU44" s="83"/>
      <c r="EKV44" s="83"/>
      <c r="EKW44" s="83"/>
      <c r="EKX44" s="83"/>
      <c r="EKY44" s="83"/>
      <c r="EKZ44" s="83"/>
      <c r="ELA44" s="83"/>
      <c r="ELB44" s="83"/>
      <c r="ELC44" s="83"/>
      <c r="ELD44" s="83"/>
      <c r="ELE44" s="83"/>
      <c r="ELF44" s="83"/>
      <c r="ELG44" s="83"/>
      <c r="ELH44" s="83"/>
      <c r="ELI44" s="83"/>
      <c r="ELJ44" s="83"/>
      <c r="ELK44" s="83"/>
      <c r="ELL44" s="83"/>
      <c r="ELM44" s="83"/>
      <c r="ELN44" s="83"/>
      <c r="ELO44" s="83"/>
      <c r="ELP44" s="83"/>
      <c r="ELQ44" s="83"/>
      <c r="ELR44" s="83"/>
      <c r="ELS44" s="83"/>
      <c r="ELT44" s="83"/>
      <c r="ELU44" s="83"/>
      <c r="ELV44" s="83"/>
      <c r="ELW44" s="83"/>
      <c r="ELX44" s="83"/>
      <c r="ELY44" s="83"/>
      <c r="ELZ44" s="83"/>
      <c r="EMA44" s="83"/>
      <c r="EMB44" s="83"/>
      <c r="EMC44" s="83"/>
      <c r="EMD44" s="83"/>
      <c r="EME44" s="83"/>
      <c r="EMF44" s="83"/>
      <c r="EMG44" s="83"/>
      <c r="EMH44" s="83"/>
      <c r="EMI44" s="83"/>
      <c r="EMJ44" s="83"/>
      <c r="EMK44" s="83"/>
      <c r="EML44" s="83"/>
      <c r="EMM44" s="83"/>
      <c r="EMN44" s="83"/>
      <c r="EMO44" s="83"/>
      <c r="EMP44" s="83"/>
      <c r="EMQ44" s="83"/>
      <c r="EMR44" s="83"/>
      <c r="EMS44" s="83"/>
      <c r="EMT44" s="83"/>
      <c r="EMU44" s="83"/>
      <c r="EMV44" s="83"/>
      <c r="EMW44" s="83"/>
      <c r="EMX44" s="83"/>
      <c r="EMY44" s="83"/>
      <c r="EMZ44" s="83"/>
      <c r="ENA44" s="83"/>
      <c r="ENB44" s="83"/>
      <c r="ENC44" s="83"/>
      <c r="END44" s="83"/>
      <c r="ENE44" s="83"/>
      <c r="ENF44" s="83"/>
      <c r="ENG44" s="83"/>
      <c r="ENH44" s="83"/>
      <c r="ENI44" s="83"/>
      <c r="ENJ44" s="83"/>
      <c r="ENK44" s="83"/>
      <c r="ENL44" s="83"/>
      <c r="ENM44" s="83"/>
      <c r="ENN44" s="83"/>
      <c r="ENO44" s="83"/>
      <c r="ENP44" s="83"/>
      <c r="ENQ44" s="83"/>
      <c r="ENR44" s="83"/>
      <c r="ENS44" s="83"/>
      <c r="ENT44" s="83"/>
      <c r="ENU44" s="83"/>
      <c r="ENV44" s="83"/>
      <c r="ENW44" s="83"/>
      <c r="ENX44" s="83"/>
      <c r="ENY44" s="83"/>
      <c r="ENZ44" s="83"/>
      <c r="EOA44" s="83"/>
      <c r="EOB44" s="83"/>
      <c r="EOC44" s="83"/>
      <c r="EOD44" s="83"/>
      <c r="EOE44" s="83"/>
      <c r="EOF44" s="83"/>
      <c r="EOG44" s="83"/>
      <c r="EOH44" s="83"/>
      <c r="EOI44" s="83"/>
      <c r="EOJ44" s="83"/>
      <c r="EOK44" s="83"/>
      <c r="EOL44" s="83"/>
      <c r="EOM44" s="83"/>
      <c r="EON44" s="83"/>
      <c r="EOO44" s="83"/>
      <c r="EOP44" s="83"/>
      <c r="EOQ44" s="83"/>
      <c r="EOR44" s="83"/>
      <c r="EOS44" s="83"/>
      <c r="EOT44" s="83"/>
      <c r="EOU44" s="83"/>
      <c r="EOV44" s="83"/>
      <c r="EOW44" s="83"/>
      <c r="EOX44" s="83"/>
      <c r="EOY44" s="83"/>
      <c r="EOZ44" s="83"/>
      <c r="EPA44" s="83"/>
      <c r="EPB44" s="83"/>
      <c r="EPC44" s="83"/>
      <c r="EPD44" s="83"/>
      <c r="EPE44" s="83"/>
      <c r="EPF44" s="83"/>
      <c r="EPG44" s="83"/>
      <c r="EPH44" s="83"/>
      <c r="EPI44" s="83"/>
      <c r="EPJ44" s="83"/>
      <c r="EPK44" s="83"/>
      <c r="EPL44" s="83"/>
      <c r="EPM44" s="83"/>
      <c r="EPN44" s="83"/>
      <c r="EPO44" s="83"/>
      <c r="EPP44" s="83"/>
      <c r="EPQ44" s="83"/>
      <c r="EPR44" s="83"/>
      <c r="EPS44" s="83"/>
      <c r="EPT44" s="83"/>
      <c r="EPU44" s="83"/>
      <c r="EPV44" s="83"/>
      <c r="EPW44" s="83"/>
      <c r="EPX44" s="83"/>
      <c r="EPY44" s="83"/>
      <c r="EPZ44" s="83"/>
      <c r="EQA44" s="83"/>
      <c r="EQB44" s="83"/>
      <c r="EQC44" s="83"/>
      <c r="EQD44" s="83"/>
      <c r="EQE44" s="83"/>
      <c r="EQF44" s="83"/>
      <c r="EQG44" s="83"/>
      <c r="EQH44" s="83"/>
      <c r="EQI44" s="83"/>
      <c r="EQJ44" s="83"/>
      <c r="EQK44" s="83"/>
      <c r="EQL44" s="83"/>
      <c r="EQM44" s="83"/>
      <c r="EQN44" s="83"/>
      <c r="EQO44" s="83"/>
      <c r="EQP44" s="83"/>
      <c r="EQQ44" s="83"/>
      <c r="EQR44" s="83"/>
      <c r="EQS44" s="83"/>
      <c r="EQT44" s="83"/>
      <c r="EQU44" s="83"/>
      <c r="EQV44" s="83"/>
      <c r="EQW44" s="83"/>
      <c r="EQX44" s="83"/>
      <c r="EQY44" s="83"/>
      <c r="EQZ44" s="83"/>
      <c r="ERA44" s="83"/>
      <c r="ERB44" s="83"/>
      <c r="ERC44" s="83"/>
      <c r="ERD44" s="83"/>
      <c r="ERE44" s="83"/>
      <c r="ERF44" s="83"/>
      <c r="ERG44" s="83"/>
      <c r="ERH44" s="83"/>
      <c r="ERI44" s="83"/>
      <c r="ERJ44" s="83"/>
      <c r="ERK44" s="83"/>
      <c r="ERL44" s="83"/>
      <c r="ERM44" s="83"/>
      <c r="ERN44" s="83"/>
      <c r="ERO44" s="83"/>
      <c r="ERP44" s="83"/>
      <c r="ERQ44" s="83"/>
      <c r="ERR44" s="83"/>
      <c r="ERS44" s="83"/>
      <c r="ERT44" s="83"/>
      <c r="ERU44" s="83"/>
      <c r="ERV44" s="83"/>
      <c r="ERW44" s="83"/>
      <c r="ERX44" s="83"/>
      <c r="ERY44" s="83"/>
      <c r="ERZ44" s="83"/>
      <c r="ESA44" s="83"/>
      <c r="ESB44" s="83"/>
      <c r="ESC44" s="83"/>
      <c r="ESD44" s="83"/>
      <c r="ESE44" s="83"/>
      <c r="ESF44" s="83"/>
      <c r="ESG44" s="83"/>
      <c r="ESH44" s="83"/>
      <c r="ESI44" s="83"/>
      <c r="ESJ44" s="83"/>
      <c r="ESK44" s="83"/>
      <c r="ESL44" s="83"/>
      <c r="ESM44" s="83"/>
      <c r="ESN44" s="83"/>
      <c r="ESO44" s="83"/>
      <c r="ESP44" s="83"/>
      <c r="ESQ44" s="83"/>
      <c r="ESR44" s="83"/>
      <c r="ESS44" s="83"/>
      <c r="EST44" s="83"/>
      <c r="ESU44" s="83"/>
      <c r="ESV44" s="83"/>
      <c r="ESW44" s="83"/>
      <c r="ESX44" s="83"/>
      <c r="ESY44" s="83"/>
      <c r="ESZ44" s="83"/>
      <c r="ETA44" s="83"/>
      <c r="ETB44" s="83"/>
      <c r="ETC44" s="83"/>
      <c r="ETD44" s="83"/>
      <c r="ETE44" s="83"/>
      <c r="ETF44" s="83"/>
      <c r="ETG44" s="83"/>
      <c r="ETH44" s="83"/>
      <c r="ETI44" s="83"/>
      <c r="ETJ44" s="83"/>
      <c r="ETK44" s="83"/>
      <c r="ETL44" s="83"/>
      <c r="ETM44" s="83"/>
      <c r="ETN44" s="83"/>
      <c r="ETO44" s="83"/>
      <c r="ETP44" s="83"/>
      <c r="ETQ44" s="83"/>
      <c r="ETR44" s="83"/>
      <c r="ETS44" s="83"/>
      <c r="ETT44" s="83"/>
      <c r="ETU44" s="83"/>
      <c r="ETV44" s="83"/>
      <c r="ETW44" s="83"/>
      <c r="ETX44" s="83"/>
      <c r="ETY44" s="83"/>
      <c r="ETZ44" s="83"/>
      <c r="EUA44" s="83"/>
      <c r="EUB44" s="83"/>
      <c r="EUC44" s="83"/>
      <c r="EUD44" s="83"/>
      <c r="EUE44" s="83"/>
      <c r="EUF44" s="83"/>
      <c r="EUG44" s="83"/>
      <c r="EUH44" s="83"/>
      <c r="EUI44" s="83"/>
      <c r="EUJ44" s="83"/>
      <c r="EUK44" s="83"/>
      <c r="EUL44" s="83"/>
      <c r="EUM44" s="83"/>
      <c r="EUN44" s="83"/>
      <c r="EUO44" s="83"/>
      <c r="EUP44" s="83"/>
      <c r="EUQ44" s="83"/>
      <c r="EUR44" s="83"/>
      <c r="EUS44" s="83"/>
      <c r="EUT44" s="83"/>
      <c r="EUU44" s="83"/>
      <c r="EUV44" s="83"/>
      <c r="EUW44" s="83"/>
      <c r="EUX44" s="83"/>
      <c r="EUY44" s="83"/>
      <c r="EUZ44" s="83"/>
      <c r="EVA44" s="83"/>
      <c r="EVB44" s="83"/>
      <c r="EVC44" s="83"/>
      <c r="EVD44" s="83"/>
      <c r="EVE44" s="83"/>
      <c r="EVF44" s="83"/>
      <c r="EVG44" s="83"/>
      <c r="EVH44" s="83"/>
      <c r="EVI44" s="83"/>
      <c r="EVJ44" s="83"/>
      <c r="EVK44" s="83"/>
      <c r="EVL44" s="83"/>
      <c r="EVM44" s="83"/>
      <c r="EVN44" s="83"/>
      <c r="EVO44" s="83"/>
      <c r="EVP44" s="83"/>
      <c r="EVQ44" s="83"/>
      <c r="EVR44" s="83"/>
      <c r="EVS44" s="83"/>
      <c r="EVT44" s="83"/>
      <c r="EVU44" s="83"/>
      <c r="EVV44" s="83"/>
      <c r="EVW44" s="83"/>
      <c r="EVX44" s="83"/>
      <c r="EVY44" s="83"/>
      <c r="EVZ44" s="83"/>
      <c r="EWA44" s="83"/>
      <c r="EWB44" s="83"/>
      <c r="EWC44" s="83"/>
      <c r="EWD44" s="83"/>
      <c r="EWE44" s="83"/>
      <c r="EWF44" s="83"/>
      <c r="EWG44" s="83"/>
      <c r="EWH44" s="83"/>
      <c r="EWI44" s="83"/>
      <c r="EWJ44" s="83"/>
      <c r="EWK44" s="83"/>
      <c r="EWL44" s="83"/>
      <c r="EWM44" s="83"/>
      <c r="EWN44" s="83"/>
      <c r="EWO44" s="83"/>
      <c r="EWP44" s="83"/>
      <c r="EWQ44" s="83"/>
      <c r="EWR44" s="83"/>
      <c r="EWS44" s="83"/>
      <c r="EWT44" s="83"/>
      <c r="EWU44" s="83"/>
      <c r="EWV44" s="83"/>
      <c r="EWW44" s="83"/>
      <c r="EWX44" s="83"/>
      <c r="EWY44" s="83"/>
      <c r="EWZ44" s="83"/>
      <c r="EXA44" s="83"/>
      <c r="EXB44" s="83"/>
      <c r="EXC44" s="83"/>
      <c r="EXD44" s="83"/>
      <c r="EXE44" s="83"/>
      <c r="EXF44" s="83"/>
      <c r="EXG44" s="83"/>
      <c r="EXH44" s="83"/>
      <c r="EXI44" s="83"/>
      <c r="EXJ44" s="83"/>
      <c r="EXK44" s="83"/>
      <c r="EXL44" s="83"/>
      <c r="EXM44" s="83"/>
      <c r="EXN44" s="83"/>
      <c r="EXO44" s="83"/>
      <c r="EXP44" s="83"/>
      <c r="EXQ44" s="83"/>
      <c r="EXR44" s="83"/>
      <c r="EXS44" s="83"/>
      <c r="EXT44" s="83"/>
      <c r="EXU44" s="83"/>
      <c r="EXV44" s="83"/>
      <c r="EXW44" s="83"/>
      <c r="EXX44" s="83"/>
      <c r="EXY44" s="83"/>
      <c r="EXZ44" s="83"/>
      <c r="EYA44" s="83"/>
      <c r="EYB44" s="83"/>
      <c r="EYC44" s="83"/>
      <c r="EYD44" s="83"/>
      <c r="EYE44" s="83"/>
      <c r="EYF44" s="83"/>
      <c r="EYG44" s="83"/>
      <c r="EYH44" s="83"/>
      <c r="EYI44" s="83"/>
      <c r="EYJ44" s="83"/>
      <c r="EYK44" s="83"/>
      <c r="EYL44" s="83"/>
      <c r="EYM44" s="83"/>
      <c r="EYN44" s="83"/>
      <c r="EYO44" s="83"/>
      <c r="EYP44" s="83"/>
      <c r="EYQ44" s="83"/>
      <c r="EYR44" s="83"/>
      <c r="EYS44" s="83"/>
      <c r="EYT44" s="83"/>
      <c r="EYU44" s="83"/>
      <c r="EYV44" s="83"/>
      <c r="EYW44" s="83"/>
      <c r="EYX44" s="83"/>
      <c r="EYY44" s="83"/>
      <c r="EYZ44" s="83"/>
      <c r="EZA44" s="83"/>
      <c r="EZB44" s="83"/>
      <c r="EZC44" s="83"/>
      <c r="EZD44" s="83"/>
      <c r="EZE44" s="83"/>
      <c r="EZF44" s="83"/>
      <c r="EZG44" s="83"/>
      <c r="EZH44" s="83"/>
      <c r="EZI44" s="83"/>
      <c r="EZJ44" s="83"/>
      <c r="EZK44" s="83"/>
      <c r="EZL44" s="83"/>
      <c r="EZM44" s="83"/>
      <c r="EZN44" s="83"/>
      <c r="EZO44" s="83"/>
      <c r="EZP44" s="83"/>
      <c r="EZQ44" s="83"/>
      <c r="EZR44" s="83"/>
      <c r="EZS44" s="83"/>
      <c r="EZT44" s="83"/>
      <c r="EZU44" s="83"/>
      <c r="EZV44" s="83"/>
      <c r="EZW44" s="83"/>
      <c r="EZX44" s="83"/>
      <c r="EZY44" s="83"/>
      <c r="EZZ44" s="83"/>
      <c r="FAA44" s="83"/>
      <c r="FAB44" s="83"/>
      <c r="FAC44" s="83"/>
      <c r="FAD44" s="83"/>
      <c r="FAE44" s="83"/>
      <c r="FAF44" s="83"/>
      <c r="FAG44" s="83"/>
      <c r="FAH44" s="83"/>
      <c r="FAI44" s="83"/>
      <c r="FAJ44" s="83"/>
      <c r="FAK44" s="83"/>
      <c r="FAL44" s="83"/>
      <c r="FAM44" s="83"/>
      <c r="FAN44" s="83"/>
      <c r="FAO44" s="83"/>
      <c r="FAP44" s="83"/>
      <c r="FAQ44" s="83"/>
      <c r="FAR44" s="83"/>
      <c r="FAS44" s="83"/>
      <c r="FAT44" s="83"/>
      <c r="FAU44" s="83"/>
      <c r="FAV44" s="83"/>
      <c r="FAW44" s="83"/>
      <c r="FAX44" s="83"/>
      <c r="FAY44" s="83"/>
      <c r="FAZ44" s="83"/>
      <c r="FBA44" s="83"/>
      <c r="FBB44" s="83"/>
      <c r="FBC44" s="83"/>
      <c r="FBD44" s="83"/>
      <c r="FBE44" s="83"/>
      <c r="FBF44" s="83"/>
      <c r="FBG44" s="83"/>
      <c r="FBH44" s="83"/>
      <c r="FBI44" s="83"/>
      <c r="FBJ44" s="83"/>
      <c r="FBK44" s="83"/>
      <c r="FBL44" s="83"/>
      <c r="FBM44" s="83"/>
      <c r="FBN44" s="83"/>
      <c r="FBO44" s="83"/>
      <c r="FBP44" s="83"/>
      <c r="FBQ44" s="83"/>
      <c r="FBR44" s="83"/>
      <c r="FBS44" s="83"/>
      <c r="FBT44" s="83"/>
      <c r="FBU44" s="83"/>
      <c r="FBV44" s="83"/>
      <c r="FBW44" s="83"/>
      <c r="FBX44" s="83"/>
      <c r="FBY44" s="83"/>
      <c r="FBZ44" s="83"/>
      <c r="FCA44" s="83"/>
      <c r="FCB44" s="83"/>
      <c r="FCC44" s="83"/>
      <c r="FCD44" s="83"/>
      <c r="FCE44" s="83"/>
      <c r="FCF44" s="83"/>
      <c r="FCG44" s="83"/>
      <c r="FCH44" s="83"/>
      <c r="FCI44" s="83"/>
      <c r="FCJ44" s="83"/>
      <c r="FCK44" s="83"/>
      <c r="FCL44" s="83"/>
      <c r="FCM44" s="83"/>
      <c r="FCN44" s="83"/>
      <c r="FCO44" s="83"/>
      <c r="FCP44" s="83"/>
      <c r="FCQ44" s="83"/>
      <c r="FCR44" s="83"/>
      <c r="FCS44" s="83"/>
      <c r="FCT44" s="83"/>
      <c r="FCU44" s="83"/>
      <c r="FCV44" s="83"/>
      <c r="FCW44" s="83"/>
      <c r="FCX44" s="83"/>
      <c r="FCY44" s="83"/>
      <c r="FCZ44" s="83"/>
      <c r="FDA44" s="83"/>
      <c r="FDB44" s="83"/>
      <c r="FDC44" s="83"/>
      <c r="FDD44" s="83"/>
      <c r="FDE44" s="83"/>
      <c r="FDF44" s="83"/>
      <c r="FDG44" s="83"/>
      <c r="FDH44" s="83"/>
      <c r="FDI44" s="83"/>
      <c r="FDJ44" s="83"/>
      <c r="FDK44" s="83"/>
      <c r="FDL44" s="83"/>
      <c r="FDM44" s="83"/>
      <c r="FDN44" s="83"/>
      <c r="FDO44" s="83"/>
      <c r="FDP44" s="83"/>
      <c r="FDQ44" s="83"/>
      <c r="FDR44" s="83"/>
      <c r="FDS44" s="83"/>
      <c r="FDT44" s="83"/>
      <c r="FDU44" s="83"/>
      <c r="FDV44" s="83"/>
      <c r="FDW44" s="83"/>
      <c r="FDX44" s="83"/>
      <c r="FDY44" s="83"/>
      <c r="FDZ44" s="83"/>
      <c r="FEA44" s="83"/>
      <c r="FEB44" s="83"/>
      <c r="FEC44" s="83"/>
      <c r="FED44" s="83"/>
      <c r="FEE44" s="83"/>
      <c r="FEF44" s="83"/>
      <c r="FEG44" s="83"/>
      <c r="FEH44" s="83"/>
      <c r="FEI44" s="83"/>
      <c r="FEJ44" s="83"/>
      <c r="FEK44" s="83"/>
      <c r="FEL44" s="83"/>
      <c r="FEM44" s="83"/>
      <c r="FEN44" s="83"/>
      <c r="FEO44" s="83"/>
      <c r="FEP44" s="83"/>
      <c r="FEQ44" s="83"/>
      <c r="FER44" s="83"/>
      <c r="FES44" s="83"/>
      <c r="FET44" s="83"/>
      <c r="FEU44" s="83"/>
      <c r="FEV44" s="83"/>
      <c r="FEW44" s="83"/>
      <c r="FEX44" s="83"/>
      <c r="FEY44" s="83"/>
      <c r="FEZ44" s="83"/>
      <c r="FFA44" s="83"/>
      <c r="FFB44" s="83"/>
      <c r="FFC44" s="83"/>
      <c r="FFD44" s="83"/>
      <c r="FFE44" s="83"/>
      <c r="FFF44" s="83"/>
      <c r="FFG44" s="83"/>
      <c r="FFH44" s="83"/>
      <c r="FFI44" s="83"/>
      <c r="FFJ44" s="83"/>
      <c r="FFK44" s="83"/>
      <c r="FFL44" s="83"/>
      <c r="FFM44" s="83"/>
      <c r="FFN44" s="83"/>
      <c r="FFO44" s="83"/>
      <c r="FFP44" s="83"/>
      <c r="FFQ44" s="83"/>
      <c r="FFR44" s="83"/>
      <c r="FFS44" s="83"/>
      <c r="FFT44" s="83"/>
      <c r="FFU44" s="83"/>
      <c r="FFV44" s="83"/>
      <c r="FFW44" s="83"/>
      <c r="FFX44" s="83"/>
      <c r="FFY44" s="83"/>
      <c r="FFZ44" s="83"/>
      <c r="FGA44" s="83"/>
      <c r="FGB44" s="83"/>
      <c r="FGC44" s="83"/>
      <c r="FGD44" s="83"/>
      <c r="FGE44" s="83"/>
      <c r="FGF44" s="83"/>
      <c r="FGG44" s="83"/>
      <c r="FGH44" s="83"/>
      <c r="FGI44" s="83"/>
      <c r="FGJ44" s="83"/>
      <c r="FGK44" s="83"/>
      <c r="FGL44" s="83"/>
      <c r="FGM44" s="83"/>
      <c r="FGN44" s="83"/>
      <c r="FGO44" s="83"/>
      <c r="FGP44" s="83"/>
      <c r="FGQ44" s="83"/>
      <c r="FGR44" s="83"/>
      <c r="FGS44" s="83"/>
      <c r="FGT44" s="83"/>
      <c r="FGU44" s="83"/>
      <c r="FGV44" s="83"/>
      <c r="FGW44" s="83"/>
      <c r="FGX44" s="83"/>
      <c r="FGY44" s="83"/>
      <c r="FGZ44" s="83"/>
      <c r="FHA44" s="83"/>
      <c r="FHB44" s="83"/>
      <c r="FHC44" s="83"/>
      <c r="FHD44" s="83"/>
      <c r="FHE44" s="83"/>
      <c r="FHF44" s="83"/>
      <c r="FHG44" s="83"/>
      <c r="FHH44" s="83"/>
      <c r="FHI44" s="83"/>
      <c r="FHJ44" s="83"/>
      <c r="FHK44" s="83"/>
      <c r="FHL44" s="83"/>
      <c r="FHM44" s="83"/>
      <c r="FHN44" s="83"/>
      <c r="FHO44" s="83"/>
      <c r="FHP44" s="83"/>
      <c r="FHQ44" s="83"/>
      <c r="FHR44" s="83"/>
      <c r="FHS44" s="83"/>
      <c r="FHT44" s="83"/>
      <c r="FHU44" s="83"/>
      <c r="FHV44" s="83"/>
      <c r="FHW44" s="83"/>
      <c r="FHX44" s="83"/>
      <c r="FHY44" s="83"/>
      <c r="FHZ44" s="83"/>
      <c r="FIA44" s="83"/>
      <c r="FIB44" s="83"/>
      <c r="FIC44" s="83"/>
      <c r="FID44" s="83"/>
      <c r="FIE44" s="83"/>
      <c r="FIF44" s="83"/>
      <c r="FIG44" s="83"/>
      <c r="FIH44" s="83"/>
      <c r="FII44" s="83"/>
      <c r="FIJ44" s="83"/>
      <c r="FIK44" s="83"/>
      <c r="FIL44" s="83"/>
      <c r="FIM44" s="83"/>
      <c r="FIN44" s="83"/>
      <c r="FIO44" s="83"/>
      <c r="FIP44" s="83"/>
      <c r="FIQ44" s="83"/>
      <c r="FIR44" s="83"/>
      <c r="FIS44" s="83"/>
      <c r="FIT44" s="83"/>
      <c r="FIU44" s="83"/>
      <c r="FIV44" s="83"/>
      <c r="FIW44" s="83"/>
      <c r="FIX44" s="83"/>
      <c r="FIY44" s="83"/>
      <c r="FIZ44" s="83"/>
      <c r="FJA44" s="83"/>
      <c r="FJB44" s="83"/>
      <c r="FJC44" s="83"/>
      <c r="FJD44" s="83"/>
      <c r="FJE44" s="83"/>
      <c r="FJF44" s="83"/>
      <c r="FJG44" s="83"/>
      <c r="FJH44" s="83"/>
      <c r="FJI44" s="83"/>
      <c r="FJJ44" s="83"/>
      <c r="FJK44" s="83"/>
      <c r="FJL44" s="83"/>
      <c r="FJM44" s="83"/>
      <c r="FJN44" s="83"/>
      <c r="FJO44" s="83"/>
      <c r="FJP44" s="83"/>
      <c r="FJQ44" s="83"/>
      <c r="FJR44" s="83"/>
      <c r="FJS44" s="83"/>
      <c r="FJT44" s="83"/>
      <c r="FJU44" s="83"/>
      <c r="FJV44" s="83"/>
      <c r="FJW44" s="83"/>
      <c r="FJX44" s="83"/>
      <c r="FJY44" s="83"/>
      <c r="FJZ44" s="83"/>
      <c r="FKA44" s="83"/>
      <c r="FKB44" s="83"/>
      <c r="FKC44" s="83"/>
      <c r="FKD44" s="83"/>
      <c r="FKE44" s="83"/>
      <c r="FKF44" s="83"/>
      <c r="FKG44" s="83"/>
      <c r="FKH44" s="83"/>
      <c r="FKI44" s="83"/>
      <c r="FKJ44" s="83"/>
      <c r="FKK44" s="83"/>
      <c r="FKL44" s="83"/>
      <c r="FKM44" s="83"/>
      <c r="FKN44" s="83"/>
      <c r="FKO44" s="83"/>
      <c r="FKP44" s="83"/>
      <c r="FKQ44" s="83"/>
      <c r="FKR44" s="83"/>
      <c r="FKS44" s="83"/>
      <c r="FKT44" s="83"/>
      <c r="FKU44" s="83"/>
      <c r="FKV44" s="83"/>
      <c r="FKW44" s="83"/>
      <c r="FKX44" s="83"/>
      <c r="FKY44" s="83"/>
      <c r="FKZ44" s="83"/>
      <c r="FLA44" s="83"/>
      <c r="FLB44" s="83"/>
      <c r="FLC44" s="83"/>
      <c r="FLD44" s="83"/>
      <c r="FLE44" s="83"/>
      <c r="FLF44" s="83"/>
      <c r="FLG44" s="83"/>
      <c r="FLH44" s="83"/>
      <c r="FLI44" s="83"/>
      <c r="FLJ44" s="83"/>
      <c r="FLK44" s="83"/>
      <c r="FLL44" s="83"/>
      <c r="FLM44" s="83"/>
      <c r="FLN44" s="83"/>
      <c r="FLO44" s="83"/>
      <c r="FLP44" s="83"/>
      <c r="FLQ44" s="83"/>
      <c r="FLR44" s="83"/>
      <c r="FLS44" s="83"/>
      <c r="FLT44" s="83"/>
      <c r="FLU44" s="83"/>
      <c r="FLV44" s="83"/>
      <c r="FLW44" s="83"/>
      <c r="FLX44" s="83"/>
      <c r="FLY44" s="83"/>
      <c r="FLZ44" s="83"/>
      <c r="FMA44" s="83"/>
      <c r="FMB44" s="83"/>
      <c r="FMC44" s="83"/>
      <c r="FMD44" s="83"/>
      <c r="FME44" s="83"/>
      <c r="FMF44" s="83"/>
      <c r="FMG44" s="83"/>
      <c r="FMH44" s="83"/>
      <c r="FMI44" s="83"/>
      <c r="FMJ44" s="83"/>
      <c r="FMK44" s="83"/>
      <c r="FML44" s="83"/>
      <c r="FMM44" s="83"/>
      <c r="FMN44" s="83"/>
      <c r="FMO44" s="83"/>
      <c r="FMP44" s="83"/>
      <c r="FMQ44" s="83"/>
      <c r="FMR44" s="83"/>
      <c r="FMS44" s="83"/>
      <c r="FMT44" s="83"/>
      <c r="FMU44" s="83"/>
      <c r="FMV44" s="83"/>
      <c r="FMW44" s="83"/>
      <c r="FMX44" s="83"/>
      <c r="FMY44" s="83"/>
      <c r="FMZ44" s="83"/>
      <c r="FNA44" s="83"/>
      <c r="FNB44" s="83"/>
      <c r="FNC44" s="83"/>
      <c r="FND44" s="83"/>
      <c r="FNE44" s="83"/>
      <c r="FNF44" s="83"/>
      <c r="FNG44" s="83"/>
      <c r="FNH44" s="83"/>
      <c r="FNI44" s="83"/>
      <c r="FNJ44" s="83"/>
      <c r="FNK44" s="83"/>
      <c r="FNL44" s="83"/>
      <c r="FNM44" s="83"/>
      <c r="FNN44" s="83"/>
      <c r="FNO44" s="83"/>
      <c r="FNP44" s="83"/>
      <c r="FNQ44" s="83"/>
      <c r="FNR44" s="83"/>
      <c r="FNS44" s="83"/>
      <c r="FNT44" s="83"/>
      <c r="FNU44" s="83"/>
      <c r="FNV44" s="83"/>
      <c r="FNW44" s="83"/>
      <c r="FNX44" s="83"/>
      <c r="FNY44" s="83"/>
      <c r="FNZ44" s="83"/>
      <c r="FOA44" s="83"/>
      <c r="FOB44" s="83"/>
      <c r="FOC44" s="83"/>
      <c r="FOD44" s="83"/>
      <c r="FOE44" s="83"/>
      <c r="FOF44" s="83"/>
      <c r="FOG44" s="83"/>
      <c r="FOH44" s="83"/>
      <c r="FOI44" s="83"/>
      <c r="FOJ44" s="83"/>
      <c r="FOK44" s="83"/>
      <c r="FOL44" s="83"/>
      <c r="FOM44" s="83"/>
      <c r="FON44" s="83"/>
      <c r="FOO44" s="83"/>
      <c r="FOP44" s="83"/>
      <c r="FOQ44" s="83"/>
      <c r="FOR44" s="83"/>
      <c r="FOS44" s="83"/>
      <c r="FOT44" s="83"/>
      <c r="FOU44" s="83"/>
      <c r="FOV44" s="83"/>
      <c r="FOW44" s="83"/>
      <c r="FOX44" s="83"/>
      <c r="FOY44" s="83"/>
      <c r="FOZ44" s="83"/>
      <c r="FPA44" s="83"/>
      <c r="FPB44" s="83"/>
      <c r="FPC44" s="83"/>
      <c r="FPD44" s="83"/>
      <c r="FPE44" s="83"/>
      <c r="FPF44" s="83"/>
      <c r="FPG44" s="83"/>
      <c r="FPH44" s="83"/>
      <c r="FPI44" s="83"/>
      <c r="FPJ44" s="83"/>
      <c r="FPK44" s="83"/>
      <c r="FPL44" s="83"/>
      <c r="FPM44" s="83"/>
      <c r="FPN44" s="83"/>
      <c r="FPO44" s="83"/>
      <c r="FPP44" s="83"/>
      <c r="FPQ44" s="83"/>
      <c r="FPR44" s="83"/>
      <c r="FPS44" s="83"/>
      <c r="FPT44" s="83"/>
      <c r="FPU44" s="83"/>
      <c r="FPV44" s="83"/>
      <c r="FPW44" s="83"/>
      <c r="FPX44" s="83"/>
      <c r="FPY44" s="83"/>
      <c r="FPZ44" s="83"/>
      <c r="FQA44" s="83"/>
      <c r="FQB44" s="83"/>
      <c r="FQC44" s="83"/>
      <c r="FQD44" s="83"/>
      <c r="FQE44" s="83"/>
      <c r="FQF44" s="83"/>
      <c r="FQG44" s="83"/>
      <c r="FQH44" s="83"/>
      <c r="FQI44" s="83"/>
      <c r="FQJ44" s="83"/>
      <c r="FQK44" s="83"/>
      <c r="FQL44" s="83"/>
      <c r="FQM44" s="83"/>
      <c r="FQN44" s="83"/>
      <c r="FQO44" s="83"/>
      <c r="FQP44" s="83"/>
      <c r="FQQ44" s="83"/>
      <c r="FQR44" s="83"/>
      <c r="FQS44" s="83"/>
      <c r="FQT44" s="83"/>
      <c r="FQU44" s="83"/>
      <c r="FQV44" s="83"/>
      <c r="FQW44" s="83"/>
      <c r="FQX44" s="83"/>
      <c r="FQY44" s="83"/>
      <c r="FQZ44" s="83"/>
      <c r="FRA44" s="83"/>
      <c r="FRB44" s="83"/>
      <c r="FRC44" s="83"/>
      <c r="FRD44" s="83"/>
      <c r="FRE44" s="83"/>
      <c r="FRF44" s="83"/>
      <c r="FRG44" s="83"/>
      <c r="FRH44" s="83"/>
      <c r="FRI44" s="83"/>
      <c r="FRJ44" s="83"/>
      <c r="FRK44" s="83"/>
      <c r="FRL44" s="83"/>
      <c r="FRM44" s="83"/>
      <c r="FRN44" s="83"/>
      <c r="FRO44" s="83"/>
      <c r="FRP44" s="83"/>
      <c r="FRQ44" s="83"/>
      <c r="FRR44" s="83"/>
      <c r="FRS44" s="83"/>
      <c r="FRT44" s="83"/>
      <c r="FRU44" s="83"/>
      <c r="FRV44" s="83"/>
      <c r="FRW44" s="83"/>
      <c r="FRX44" s="83"/>
      <c r="FRY44" s="83"/>
      <c r="FRZ44" s="83"/>
      <c r="FSA44" s="83"/>
      <c r="FSB44" s="83"/>
      <c r="FSC44" s="83"/>
      <c r="FSD44" s="83"/>
      <c r="FSE44" s="83"/>
      <c r="FSF44" s="83"/>
      <c r="FSG44" s="83"/>
      <c r="FSH44" s="83"/>
      <c r="FSI44" s="83"/>
      <c r="FSJ44" s="83"/>
      <c r="FSK44" s="83"/>
      <c r="FSL44" s="83"/>
      <c r="FSM44" s="83"/>
      <c r="FSN44" s="83"/>
      <c r="FSO44" s="83"/>
      <c r="FSP44" s="83"/>
      <c r="FSQ44" s="83"/>
      <c r="FSR44" s="83"/>
      <c r="FSS44" s="83"/>
      <c r="FST44" s="83"/>
      <c r="FSU44" s="83"/>
      <c r="FSV44" s="83"/>
      <c r="FSW44" s="83"/>
      <c r="FSX44" s="83"/>
      <c r="FSY44" s="83"/>
      <c r="FSZ44" s="83"/>
      <c r="FTA44" s="83"/>
      <c r="FTB44" s="83"/>
      <c r="FTC44" s="83"/>
      <c r="FTD44" s="83"/>
      <c r="FTE44" s="83"/>
      <c r="FTF44" s="83"/>
      <c r="FTG44" s="83"/>
      <c r="FTH44" s="83"/>
      <c r="FTI44" s="83"/>
      <c r="FTJ44" s="83"/>
      <c r="FTK44" s="83"/>
      <c r="FTL44" s="83"/>
      <c r="FTM44" s="83"/>
      <c r="FTN44" s="83"/>
      <c r="FTO44" s="83"/>
      <c r="FTP44" s="83"/>
      <c r="FTQ44" s="83"/>
      <c r="FTR44" s="83"/>
      <c r="FTS44" s="83"/>
      <c r="FTT44" s="83"/>
      <c r="FTU44" s="83"/>
      <c r="FTV44" s="83"/>
      <c r="FTW44" s="83"/>
      <c r="FTX44" s="83"/>
      <c r="FTY44" s="83"/>
      <c r="FTZ44" s="83"/>
      <c r="FUA44" s="83"/>
      <c r="FUB44" s="83"/>
      <c r="FUC44" s="83"/>
      <c r="FUD44" s="83"/>
      <c r="FUE44" s="83"/>
      <c r="FUF44" s="83"/>
      <c r="FUG44" s="83"/>
      <c r="FUH44" s="83"/>
      <c r="FUI44" s="83"/>
      <c r="FUJ44" s="83"/>
      <c r="FUK44" s="83"/>
      <c r="FUL44" s="83"/>
      <c r="FUM44" s="83"/>
      <c r="FUN44" s="83"/>
      <c r="FUO44" s="83"/>
      <c r="FUP44" s="83"/>
      <c r="FUQ44" s="83"/>
      <c r="FUR44" s="83"/>
      <c r="FUS44" s="83"/>
      <c r="FUT44" s="83"/>
      <c r="FUU44" s="83"/>
      <c r="FUV44" s="83"/>
      <c r="FUW44" s="83"/>
      <c r="FUX44" s="83"/>
      <c r="FUY44" s="83"/>
      <c r="FUZ44" s="83"/>
      <c r="FVA44" s="83"/>
      <c r="FVB44" s="83"/>
      <c r="FVC44" s="83"/>
      <c r="FVD44" s="83"/>
      <c r="FVE44" s="83"/>
      <c r="FVF44" s="83"/>
      <c r="FVG44" s="83"/>
      <c r="FVH44" s="83"/>
      <c r="FVI44" s="83"/>
      <c r="FVJ44" s="83"/>
      <c r="FVK44" s="83"/>
      <c r="FVL44" s="83"/>
      <c r="FVM44" s="83"/>
      <c r="FVN44" s="83"/>
      <c r="FVO44" s="83"/>
      <c r="FVP44" s="83"/>
      <c r="FVQ44" s="83"/>
      <c r="FVR44" s="83"/>
      <c r="FVS44" s="83"/>
      <c r="FVT44" s="83"/>
      <c r="FVU44" s="83"/>
      <c r="FVV44" s="83"/>
      <c r="FVW44" s="83"/>
      <c r="FVX44" s="83"/>
      <c r="FVY44" s="83"/>
      <c r="FVZ44" s="83"/>
      <c r="FWA44" s="83"/>
      <c r="FWB44" s="83"/>
      <c r="FWC44" s="83"/>
      <c r="FWD44" s="83"/>
      <c r="FWE44" s="83"/>
      <c r="FWF44" s="83"/>
      <c r="FWG44" s="83"/>
      <c r="FWH44" s="83"/>
      <c r="FWI44" s="83"/>
      <c r="FWJ44" s="83"/>
      <c r="FWK44" s="83"/>
      <c r="FWL44" s="83"/>
      <c r="FWM44" s="83"/>
      <c r="FWN44" s="83"/>
      <c r="FWO44" s="83"/>
      <c r="FWP44" s="83"/>
      <c r="FWQ44" s="83"/>
      <c r="FWR44" s="83"/>
      <c r="FWS44" s="83"/>
      <c r="FWT44" s="83"/>
      <c r="FWU44" s="83"/>
      <c r="FWV44" s="83"/>
      <c r="FWW44" s="83"/>
      <c r="FWX44" s="83"/>
      <c r="FWY44" s="83"/>
      <c r="FWZ44" s="83"/>
      <c r="FXA44" s="83"/>
      <c r="FXB44" s="83"/>
      <c r="FXC44" s="83"/>
      <c r="FXD44" s="83"/>
      <c r="FXE44" s="83"/>
      <c r="FXF44" s="83"/>
      <c r="FXG44" s="83"/>
      <c r="FXH44" s="83"/>
      <c r="FXI44" s="83"/>
      <c r="FXJ44" s="83"/>
      <c r="FXK44" s="83"/>
      <c r="FXL44" s="83"/>
      <c r="FXM44" s="83"/>
      <c r="FXN44" s="83"/>
      <c r="FXO44" s="83"/>
      <c r="FXP44" s="83"/>
      <c r="FXQ44" s="83"/>
      <c r="FXR44" s="83"/>
      <c r="FXS44" s="83"/>
      <c r="FXT44" s="83"/>
      <c r="FXU44" s="83"/>
      <c r="FXV44" s="83"/>
      <c r="FXW44" s="83"/>
      <c r="FXX44" s="83"/>
      <c r="FXY44" s="83"/>
      <c r="FXZ44" s="83"/>
      <c r="FYA44" s="83"/>
      <c r="FYB44" s="83"/>
      <c r="FYC44" s="83"/>
      <c r="FYD44" s="83"/>
      <c r="FYE44" s="83"/>
      <c r="FYF44" s="83"/>
      <c r="FYG44" s="83"/>
      <c r="FYH44" s="83"/>
      <c r="FYI44" s="83"/>
      <c r="FYJ44" s="83"/>
      <c r="FYK44" s="83"/>
      <c r="FYL44" s="83"/>
      <c r="FYM44" s="83"/>
      <c r="FYN44" s="83"/>
      <c r="FYO44" s="83"/>
      <c r="FYP44" s="83"/>
      <c r="FYQ44" s="83"/>
      <c r="FYR44" s="83"/>
      <c r="FYS44" s="83"/>
      <c r="FYT44" s="83"/>
      <c r="FYU44" s="83"/>
      <c r="FYV44" s="83"/>
      <c r="FYW44" s="83"/>
      <c r="FYX44" s="83"/>
      <c r="FYY44" s="83"/>
      <c r="FYZ44" s="83"/>
      <c r="FZA44" s="83"/>
      <c r="FZB44" s="83"/>
      <c r="FZC44" s="83"/>
      <c r="FZD44" s="83"/>
      <c r="FZE44" s="83"/>
      <c r="FZF44" s="83"/>
      <c r="FZG44" s="83"/>
      <c r="FZH44" s="83"/>
      <c r="FZI44" s="83"/>
      <c r="FZJ44" s="83"/>
      <c r="FZK44" s="83"/>
      <c r="FZL44" s="83"/>
      <c r="FZM44" s="83"/>
      <c r="FZN44" s="83"/>
      <c r="FZO44" s="83"/>
      <c r="FZP44" s="83"/>
      <c r="FZQ44" s="83"/>
      <c r="FZR44" s="83"/>
      <c r="FZS44" s="83"/>
      <c r="FZT44" s="83"/>
      <c r="FZU44" s="83"/>
      <c r="FZV44" s="83"/>
      <c r="FZW44" s="83"/>
      <c r="FZX44" s="83"/>
      <c r="FZY44" s="83"/>
      <c r="FZZ44" s="83"/>
      <c r="GAA44" s="83"/>
      <c r="GAB44" s="83"/>
      <c r="GAC44" s="83"/>
      <c r="GAD44" s="83"/>
      <c r="GAE44" s="83"/>
      <c r="GAF44" s="83"/>
      <c r="GAG44" s="83"/>
      <c r="GAH44" s="83"/>
      <c r="GAI44" s="83"/>
      <c r="GAJ44" s="83"/>
      <c r="GAK44" s="83"/>
      <c r="GAL44" s="83"/>
      <c r="GAM44" s="83"/>
      <c r="GAN44" s="83"/>
      <c r="GAO44" s="83"/>
      <c r="GAP44" s="83"/>
      <c r="GAQ44" s="83"/>
      <c r="GAR44" s="83"/>
      <c r="GAS44" s="83"/>
      <c r="GAT44" s="83"/>
      <c r="GAU44" s="83"/>
      <c r="GAV44" s="83"/>
      <c r="GAW44" s="83"/>
      <c r="GAX44" s="83"/>
      <c r="GAY44" s="83"/>
      <c r="GAZ44" s="83"/>
      <c r="GBA44" s="83"/>
      <c r="GBB44" s="83"/>
      <c r="GBC44" s="83"/>
      <c r="GBD44" s="83"/>
      <c r="GBE44" s="83"/>
      <c r="GBF44" s="83"/>
      <c r="GBG44" s="83"/>
      <c r="GBH44" s="83"/>
      <c r="GBI44" s="83"/>
      <c r="GBJ44" s="83"/>
      <c r="GBK44" s="83"/>
      <c r="GBL44" s="83"/>
      <c r="GBM44" s="83"/>
      <c r="GBN44" s="83"/>
      <c r="GBO44" s="83"/>
      <c r="GBP44" s="83"/>
      <c r="GBQ44" s="83"/>
      <c r="GBR44" s="83"/>
      <c r="GBS44" s="83"/>
      <c r="GBT44" s="83"/>
      <c r="GBU44" s="83"/>
      <c r="GBV44" s="83"/>
      <c r="GBW44" s="83"/>
      <c r="GBX44" s="83"/>
      <c r="GBY44" s="83"/>
      <c r="GBZ44" s="83"/>
      <c r="GCA44" s="83"/>
      <c r="GCB44" s="83"/>
      <c r="GCC44" s="83"/>
      <c r="GCD44" s="83"/>
      <c r="GCE44" s="83"/>
      <c r="GCF44" s="83"/>
      <c r="GCG44" s="83"/>
      <c r="GCH44" s="83"/>
      <c r="GCI44" s="83"/>
      <c r="GCJ44" s="83"/>
      <c r="GCK44" s="83"/>
      <c r="GCL44" s="83"/>
      <c r="GCM44" s="83"/>
      <c r="GCN44" s="83"/>
      <c r="GCO44" s="83"/>
      <c r="GCP44" s="83"/>
      <c r="GCQ44" s="83"/>
      <c r="GCR44" s="83"/>
      <c r="GCS44" s="83"/>
      <c r="GCT44" s="83"/>
      <c r="GCU44" s="83"/>
      <c r="GCV44" s="83"/>
      <c r="GCW44" s="83"/>
      <c r="GCX44" s="83"/>
      <c r="GCY44" s="83"/>
      <c r="GCZ44" s="83"/>
      <c r="GDA44" s="83"/>
      <c r="GDB44" s="83"/>
      <c r="GDC44" s="83"/>
      <c r="GDD44" s="83"/>
      <c r="GDE44" s="83"/>
      <c r="GDF44" s="83"/>
      <c r="GDG44" s="83"/>
      <c r="GDH44" s="83"/>
      <c r="GDI44" s="83"/>
      <c r="GDJ44" s="83"/>
      <c r="GDK44" s="83"/>
      <c r="GDL44" s="83"/>
      <c r="GDM44" s="83"/>
      <c r="GDN44" s="83"/>
      <c r="GDO44" s="83"/>
      <c r="GDP44" s="83"/>
      <c r="GDQ44" s="83"/>
      <c r="GDR44" s="83"/>
      <c r="GDS44" s="83"/>
      <c r="GDT44" s="83"/>
      <c r="GDU44" s="83"/>
      <c r="GDV44" s="83"/>
      <c r="GDW44" s="83"/>
      <c r="GDX44" s="83"/>
      <c r="GDY44" s="83"/>
      <c r="GDZ44" s="83"/>
      <c r="GEA44" s="83"/>
      <c r="GEB44" s="83"/>
      <c r="GEC44" s="83"/>
      <c r="GED44" s="83"/>
      <c r="GEE44" s="83"/>
      <c r="GEF44" s="83"/>
      <c r="GEG44" s="83"/>
      <c r="GEH44" s="83"/>
      <c r="GEI44" s="83"/>
      <c r="GEJ44" s="83"/>
      <c r="GEK44" s="83"/>
      <c r="GEL44" s="83"/>
      <c r="GEM44" s="83"/>
      <c r="GEN44" s="83"/>
      <c r="GEO44" s="83"/>
      <c r="GEP44" s="83"/>
      <c r="GEQ44" s="83"/>
      <c r="GER44" s="83"/>
      <c r="GES44" s="83"/>
      <c r="GET44" s="83"/>
      <c r="GEU44" s="83"/>
      <c r="GEV44" s="83"/>
      <c r="GEW44" s="83"/>
      <c r="GEX44" s="83"/>
      <c r="GEY44" s="83"/>
      <c r="GEZ44" s="83"/>
      <c r="GFA44" s="83"/>
      <c r="GFB44" s="83"/>
      <c r="GFC44" s="83"/>
      <c r="GFD44" s="83"/>
      <c r="GFE44" s="83"/>
      <c r="GFF44" s="83"/>
      <c r="GFG44" s="83"/>
      <c r="GFH44" s="83"/>
      <c r="GFI44" s="83"/>
      <c r="GFJ44" s="83"/>
      <c r="GFK44" s="83"/>
      <c r="GFL44" s="83"/>
      <c r="GFM44" s="83"/>
      <c r="GFN44" s="83"/>
      <c r="GFO44" s="83"/>
      <c r="GFP44" s="83"/>
      <c r="GFQ44" s="83"/>
      <c r="GFR44" s="83"/>
      <c r="GFS44" s="83"/>
      <c r="GFT44" s="83"/>
      <c r="GFU44" s="83"/>
      <c r="GFV44" s="83"/>
      <c r="GFW44" s="83"/>
      <c r="GFX44" s="83"/>
      <c r="GFY44" s="83"/>
      <c r="GFZ44" s="83"/>
      <c r="GGA44" s="83"/>
      <c r="GGB44" s="83"/>
      <c r="GGC44" s="83"/>
      <c r="GGD44" s="83"/>
      <c r="GGE44" s="83"/>
      <c r="GGF44" s="83"/>
      <c r="GGG44" s="83"/>
      <c r="GGH44" s="83"/>
      <c r="GGI44" s="83"/>
      <c r="GGJ44" s="83"/>
      <c r="GGK44" s="83"/>
      <c r="GGL44" s="83"/>
      <c r="GGM44" s="83"/>
      <c r="GGN44" s="83"/>
      <c r="GGO44" s="83"/>
      <c r="GGP44" s="83"/>
      <c r="GGQ44" s="83"/>
      <c r="GGR44" s="83"/>
      <c r="GGS44" s="83"/>
      <c r="GGT44" s="83"/>
      <c r="GGU44" s="83"/>
      <c r="GGV44" s="83"/>
      <c r="GGW44" s="83"/>
      <c r="GGX44" s="83"/>
      <c r="GGY44" s="83"/>
      <c r="GGZ44" s="83"/>
      <c r="GHA44" s="83"/>
      <c r="GHB44" s="83"/>
      <c r="GHC44" s="83"/>
      <c r="GHD44" s="83"/>
      <c r="GHE44" s="83"/>
      <c r="GHF44" s="83"/>
      <c r="GHG44" s="83"/>
      <c r="GHH44" s="83"/>
      <c r="GHI44" s="83"/>
      <c r="GHJ44" s="83"/>
      <c r="GHK44" s="83"/>
      <c r="GHL44" s="83"/>
      <c r="GHM44" s="83"/>
      <c r="GHN44" s="83"/>
      <c r="GHO44" s="83"/>
      <c r="GHP44" s="83"/>
      <c r="GHQ44" s="83"/>
      <c r="GHR44" s="83"/>
      <c r="GHS44" s="83"/>
      <c r="GHT44" s="83"/>
      <c r="GHU44" s="83"/>
      <c r="GHV44" s="83"/>
      <c r="GHW44" s="83"/>
      <c r="GHX44" s="83"/>
      <c r="GHY44" s="83"/>
      <c r="GHZ44" s="83"/>
      <c r="GIA44" s="83"/>
      <c r="GIB44" s="83"/>
      <c r="GIC44" s="83"/>
      <c r="GID44" s="83"/>
      <c r="GIE44" s="83"/>
      <c r="GIF44" s="83"/>
      <c r="GIG44" s="83"/>
      <c r="GIH44" s="83"/>
      <c r="GII44" s="83"/>
      <c r="GIJ44" s="83"/>
      <c r="GIK44" s="83"/>
      <c r="GIL44" s="83"/>
      <c r="GIM44" s="83"/>
      <c r="GIN44" s="83"/>
      <c r="GIO44" s="83"/>
      <c r="GIP44" s="83"/>
      <c r="GIQ44" s="83"/>
      <c r="GIR44" s="83"/>
      <c r="GIS44" s="83"/>
      <c r="GIT44" s="83"/>
      <c r="GIU44" s="83"/>
      <c r="GIV44" s="83"/>
      <c r="GIW44" s="83"/>
      <c r="GIX44" s="83"/>
      <c r="GIY44" s="83"/>
      <c r="GIZ44" s="83"/>
      <c r="GJA44" s="83"/>
      <c r="GJB44" s="83"/>
      <c r="GJC44" s="83"/>
      <c r="GJD44" s="83"/>
      <c r="GJE44" s="83"/>
      <c r="GJF44" s="83"/>
      <c r="GJG44" s="83"/>
      <c r="GJH44" s="83"/>
      <c r="GJI44" s="83"/>
      <c r="GJJ44" s="83"/>
      <c r="GJK44" s="83"/>
      <c r="GJL44" s="83"/>
      <c r="GJM44" s="83"/>
      <c r="GJN44" s="83"/>
      <c r="GJO44" s="83"/>
      <c r="GJP44" s="83"/>
      <c r="GJQ44" s="83"/>
      <c r="GJR44" s="83"/>
      <c r="GJS44" s="83"/>
      <c r="GJT44" s="83"/>
      <c r="GJU44" s="83"/>
      <c r="GJV44" s="83"/>
      <c r="GJW44" s="83"/>
      <c r="GJX44" s="83"/>
      <c r="GJY44" s="83"/>
      <c r="GJZ44" s="83"/>
      <c r="GKA44" s="83"/>
      <c r="GKB44" s="83"/>
      <c r="GKC44" s="83"/>
      <c r="GKD44" s="83"/>
      <c r="GKE44" s="83"/>
      <c r="GKF44" s="83"/>
      <c r="GKG44" s="83"/>
      <c r="GKH44" s="83"/>
      <c r="GKI44" s="83"/>
      <c r="GKJ44" s="83"/>
      <c r="GKK44" s="83"/>
      <c r="GKL44" s="83"/>
      <c r="GKM44" s="83"/>
      <c r="GKN44" s="83"/>
      <c r="GKO44" s="83"/>
      <c r="GKP44" s="83"/>
      <c r="GKQ44" s="83"/>
      <c r="GKR44" s="83"/>
      <c r="GKS44" s="83"/>
      <c r="GKT44" s="83"/>
      <c r="GKU44" s="83"/>
      <c r="GKV44" s="83"/>
      <c r="GKW44" s="83"/>
      <c r="GKX44" s="83"/>
      <c r="GKY44" s="83"/>
      <c r="GKZ44" s="83"/>
      <c r="GLA44" s="83"/>
      <c r="GLB44" s="83"/>
      <c r="GLC44" s="83"/>
      <c r="GLD44" s="83"/>
      <c r="GLE44" s="83"/>
      <c r="GLF44" s="83"/>
      <c r="GLG44" s="83"/>
      <c r="GLH44" s="83"/>
      <c r="GLI44" s="83"/>
      <c r="GLJ44" s="83"/>
      <c r="GLK44" s="83"/>
      <c r="GLL44" s="83"/>
      <c r="GLM44" s="83"/>
      <c r="GLN44" s="83"/>
      <c r="GLO44" s="83"/>
      <c r="GLP44" s="83"/>
      <c r="GLQ44" s="83"/>
      <c r="GLR44" s="83"/>
      <c r="GLS44" s="83"/>
      <c r="GLT44" s="83"/>
      <c r="GLU44" s="83"/>
      <c r="GLV44" s="83"/>
      <c r="GLW44" s="83"/>
      <c r="GLX44" s="83"/>
      <c r="GLY44" s="83"/>
      <c r="GLZ44" s="83"/>
      <c r="GMA44" s="83"/>
      <c r="GMB44" s="83"/>
      <c r="GMC44" s="83"/>
      <c r="GMD44" s="83"/>
      <c r="GME44" s="83"/>
      <c r="GMF44" s="83"/>
      <c r="GMG44" s="83"/>
      <c r="GMH44" s="83"/>
      <c r="GMI44" s="83"/>
      <c r="GMJ44" s="83"/>
      <c r="GMK44" s="83"/>
      <c r="GML44" s="83"/>
      <c r="GMM44" s="83"/>
      <c r="GMN44" s="83"/>
      <c r="GMO44" s="83"/>
      <c r="GMP44" s="83"/>
      <c r="GMQ44" s="83"/>
      <c r="GMR44" s="83"/>
      <c r="GMS44" s="83"/>
      <c r="GMT44" s="83"/>
      <c r="GMU44" s="83"/>
      <c r="GMV44" s="83"/>
      <c r="GMW44" s="83"/>
      <c r="GMX44" s="83"/>
      <c r="GMY44" s="83"/>
      <c r="GMZ44" s="83"/>
      <c r="GNA44" s="83"/>
      <c r="GNB44" s="83"/>
      <c r="GNC44" s="83"/>
      <c r="GND44" s="83"/>
      <c r="GNE44" s="83"/>
      <c r="GNF44" s="83"/>
      <c r="GNG44" s="83"/>
      <c r="GNH44" s="83"/>
      <c r="GNI44" s="83"/>
      <c r="GNJ44" s="83"/>
      <c r="GNK44" s="83"/>
      <c r="GNL44" s="83"/>
      <c r="GNM44" s="83"/>
      <c r="GNN44" s="83"/>
      <c r="GNO44" s="83"/>
      <c r="GNP44" s="83"/>
      <c r="GNQ44" s="83"/>
      <c r="GNR44" s="83"/>
      <c r="GNS44" s="83"/>
      <c r="GNT44" s="83"/>
      <c r="GNU44" s="83"/>
      <c r="GNV44" s="83"/>
      <c r="GNW44" s="83"/>
      <c r="GNX44" s="83"/>
      <c r="GNY44" s="83"/>
      <c r="GNZ44" s="83"/>
      <c r="GOA44" s="83"/>
      <c r="GOB44" s="83"/>
      <c r="GOC44" s="83"/>
      <c r="GOD44" s="83"/>
      <c r="GOE44" s="83"/>
      <c r="GOF44" s="83"/>
      <c r="GOG44" s="83"/>
      <c r="GOH44" s="83"/>
      <c r="GOI44" s="83"/>
      <c r="GOJ44" s="83"/>
      <c r="GOK44" s="83"/>
      <c r="GOL44" s="83"/>
      <c r="GOM44" s="83"/>
      <c r="GON44" s="83"/>
      <c r="GOO44" s="83"/>
      <c r="GOP44" s="83"/>
      <c r="GOQ44" s="83"/>
      <c r="GOR44" s="83"/>
      <c r="GOS44" s="83"/>
      <c r="GOT44" s="83"/>
      <c r="GOU44" s="83"/>
      <c r="GOV44" s="83"/>
      <c r="GOW44" s="83"/>
      <c r="GOX44" s="83"/>
      <c r="GOY44" s="83"/>
      <c r="GOZ44" s="83"/>
      <c r="GPA44" s="83"/>
      <c r="GPB44" s="83"/>
      <c r="GPC44" s="83"/>
      <c r="GPD44" s="83"/>
      <c r="GPE44" s="83"/>
      <c r="GPF44" s="83"/>
      <c r="GPG44" s="83"/>
      <c r="GPH44" s="83"/>
      <c r="GPI44" s="83"/>
      <c r="GPJ44" s="83"/>
      <c r="GPK44" s="83"/>
      <c r="GPL44" s="83"/>
      <c r="GPM44" s="83"/>
      <c r="GPN44" s="83"/>
      <c r="GPO44" s="83"/>
      <c r="GPP44" s="83"/>
      <c r="GPQ44" s="83"/>
      <c r="GPR44" s="83"/>
      <c r="GPS44" s="83"/>
      <c r="GPT44" s="83"/>
      <c r="GPU44" s="83"/>
      <c r="GPV44" s="83"/>
      <c r="GPW44" s="83"/>
      <c r="GPX44" s="83"/>
      <c r="GPY44" s="83"/>
      <c r="GPZ44" s="83"/>
      <c r="GQA44" s="83"/>
      <c r="GQB44" s="83"/>
      <c r="GQC44" s="83"/>
      <c r="GQD44" s="83"/>
      <c r="GQE44" s="83"/>
      <c r="GQF44" s="83"/>
      <c r="GQG44" s="83"/>
      <c r="GQH44" s="83"/>
      <c r="GQI44" s="83"/>
      <c r="GQJ44" s="83"/>
      <c r="GQK44" s="83"/>
      <c r="GQL44" s="83"/>
      <c r="GQM44" s="83"/>
      <c r="GQN44" s="83"/>
      <c r="GQO44" s="83"/>
      <c r="GQP44" s="83"/>
      <c r="GQQ44" s="83"/>
      <c r="GQR44" s="83"/>
      <c r="GQS44" s="83"/>
      <c r="GQT44" s="83"/>
      <c r="GQU44" s="83"/>
      <c r="GQV44" s="83"/>
      <c r="GQW44" s="83"/>
      <c r="GQX44" s="83"/>
      <c r="GQY44" s="83"/>
      <c r="GQZ44" s="83"/>
      <c r="GRA44" s="83"/>
      <c r="GRB44" s="83"/>
      <c r="GRC44" s="83"/>
      <c r="GRD44" s="83"/>
      <c r="GRE44" s="83"/>
      <c r="GRF44" s="83"/>
      <c r="GRG44" s="83"/>
      <c r="GRH44" s="83"/>
      <c r="GRI44" s="83"/>
      <c r="GRJ44" s="83"/>
      <c r="GRK44" s="83"/>
      <c r="GRL44" s="83"/>
      <c r="GRM44" s="83"/>
      <c r="GRN44" s="83"/>
      <c r="GRO44" s="83"/>
      <c r="GRP44" s="83"/>
      <c r="GRQ44" s="83"/>
      <c r="GRR44" s="83"/>
      <c r="GRS44" s="83"/>
      <c r="GRT44" s="83"/>
      <c r="GRU44" s="83"/>
      <c r="GRV44" s="83"/>
      <c r="GRW44" s="83"/>
      <c r="GRX44" s="83"/>
      <c r="GRY44" s="83"/>
      <c r="GRZ44" s="83"/>
      <c r="GSA44" s="83"/>
      <c r="GSB44" s="83"/>
      <c r="GSC44" s="83"/>
      <c r="GSD44" s="83"/>
      <c r="GSE44" s="83"/>
      <c r="GSF44" s="83"/>
      <c r="GSG44" s="83"/>
      <c r="GSH44" s="83"/>
      <c r="GSI44" s="83"/>
      <c r="GSJ44" s="83"/>
      <c r="GSK44" s="83"/>
      <c r="GSL44" s="83"/>
      <c r="GSM44" s="83"/>
      <c r="GSN44" s="83"/>
      <c r="GSO44" s="83"/>
      <c r="GSP44" s="83"/>
      <c r="GSQ44" s="83"/>
      <c r="GSR44" s="83"/>
      <c r="GSS44" s="83"/>
      <c r="GST44" s="83"/>
      <c r="GSU44" s="83"/>
      <c r="GSV44" s="83"/>
      <c r="GSW44" s="83"/>
      <c r="GSX44" s="83"/>
      <c r="GSY44" s="83"/>
      <c r="GSZ44" s="83"/>
      <c r="GTA44" s="83"/>
      <c r="GTB44" s="83"/>
      <c r="GTC44" s="83"/>
      <c r="GTD44" s="83"/>
      <c r="GTE44" s="83"/>
      <c r="GTF44" s="83"/>
      <c r="GTG44" s="83"/>
      <c r="GTH44" s="83"/>
      <c r="GTI44" s="83"/>
      <c r="GTJ44" s="83"/>
      <c r="GTK44" s="83"/>
      <c r="GTL44" s="83"/>
      <c r="GTM44" s="83"/>
      <c r="GTN44" s="83"/>
      <c r="GTO44" s="83"/>
      <c r="GTP44" s="83"/>
      <c r="GTQ44" s="83"/>
      <c r="GTR44" s="83"/>
      <c r="GTS44" s="83"/>
      <c r="GTT44" s="83"/>
      <c r="GTU44" s="83"/>
      <c r="GTV44" s="83"/>
      <c r="GTW44" s="83"/>
      <c r="GTX44" s="83"/>
      <c r="GTY44" s="83"/>
      <c r="GTZ44" s="83"/>
      <c r="GUA44" s="83"/>
      <c r="GUB44" s="83"/>
      <c r="GUC44" s="83"/>
      <c r="GUD44" s="83"/>
      <c r="GUE44" s="83"/>
      <c r="GUF44" s="83"/>
      <c r="GUG44" s="83"/>
      <c r="GUH44" s="83"/>
      <c r="GUI44" s="83"/>
      <c r="GUJ44" s="83"/>
      <c r="GUK44" s="83"/>
      <c r="GUL44" s="83"/>
      <c r="GUM44" s="83"/>
      <c r="GUN44" s="83"/>
      <c r="GUO44" s="83"/>
      <c r="GUP44" s="83"/>
      <c r="GUQ44" s="83"/>
      <c r="GUR44" s="83"/>
      <c r="GUS44" s="83"/>
      <c r="GUT44" s="83"/>
      <c r="GUU44" s="83"/>
      <c r="GUV44" s="83"/>
      <c r="GUW44" s="83"/>
      <c r="GUX44" s="83"/>
      <c r="GUY44" s="83"/>
      <c r="GUZ44" s="83"/>
      <c r="GVA44" s="83"/>
      <c r="GVB44" s="83"/>
      <c r="GVC44" s="83"/>
      <c r="GVD44" s="83"/>
      <c r="GVE44" s="83"/>
      <c r="GVF44" s="83"/>
      <c r="GVG44" s="83"/>
      <c r="GVH44" s="83"/>
      <c r="GVI44" s="83"/>
      <c r="GVJ44" s="83"/>
      <c r="GVK44" s="83"/>
      <c r="GVL44" s="83"/>
      <c r="GVM44" s="83"/>
      <c r="GVN44" s="83"/>
      <c r="GVO44" s="83"/>
      <c r="GVP44" s="83"/>
      <c r="GVQ44" s="83"/>
      <c r="GVR44" s="83"/>
      <c r="GVS44" s="83"/>
      <c r="GVT44" s="83"/>
      <c r="GVU44" s="83"/>
      <c r="GVV44" s="83"/>
      <c r="GVW44" s="83"/>
      <c r="GVX44" s="83"/>
      <c r="GVY44" s="83"/>
      <c r="GVZ44" s="83"/>
      <c r="GWA44" s="83"/>
      <c r="GWB44" s="83"/>
      <c r="GWC44" s="83"/>
      <c r="GWD44" s="83"/>
      <c r="GWE44" s="83"/>
      <c r="GWF44" s="83"/>
      <c r="GWG44" s="83"/>
      <c r="GWH44" s="83"/>
      <c r="GWI44" s="83"/>
      <c r="GWJ44" s="83"/>
      <c r="GWK44" s="83"/>
      <c r="GWL44" s="83"/>
      <c r="GWM44" s="83"/>
      <c r="GWN44" s="83"/>
      <c r="GWO44" s="83"/>
      <c r="GWP44" s="83"/>
      <c r="GWQ44" s="83"/>
      <c r="GWR44" s="83"/>
      <c r="GWS44" s="83"/>
      <c r="GWT44" s="83"/>
      <c r="GWU44" s="83"/>
      <c r="GWV44" s="83"/>
      <c r="GWW44" s="83"/>
      <c r="GWX44" s="83"/>
      <c r="GWY44" s="83"/>
      <c r="GWZ44" s="83"/>
      <c r="GXA44" s="83"/>
      <c r="GXB44" s="83"/>
      <c r="GXC44" s="83"/>
      <c r="GXD44" s="83"/>
      <c r="GXE44" s="83"/>
      <c r="GXF44" s="83"/>
      <c r="GXG44" s="83"/>
      <c r="GXH44" s="83"/>
      <c r="GXI44" s="83"/>
      <c r="GXJ44" s="83"/>
      <c r="GXK44" s="83"/>
      <c r="GXL44" s="83"/>
      <c r="GXM44" s="83"/>
      <c r="GXN44" s="83"/>
      <c r="GXO44" s="83"/>
      <c r="GXP44" s="83"/>
      <c r="GXQ44" s="83"/>
      <c r="GXR44" s="83"/>
      <c r="GXS44" s="83"/>
      <c r="GXT44" s="83"/>
      <c r="GXU44" s="83"/>
      <c r="GXV44" s="83"/>
      <c r="GXW44" s="83"/>
      <c r="GXX44" s="83"/>
      <c r="GXY44" s="83"/>
      <c r="GXZ44" s="83"/>
      <c r="GYA44" s="83"/>
      <c r="GYB44" s="83"/>
      <c r="GYC44" s="83"/>
      <c r="GYD44" s="83"/>
      <c r="GYE44" s="83"/>
      <c r="GYF44" s="83"/>
      <c r="GYG44" s="83"/>
      <c r="GYH44" s="83"/>
      <c r="GYI44" s="83"/>
      <c r="GYJ44" s="83"/>
      <c r="GYK44" s="83"/>
      <c r="GYL44" s="83"/>
      <c r="GYM44" s="83"/>
      <c r="GYN44" s="83"/>
      <c r="GYO44" s="83"/>
      <c r="GYP44" s="83"/>
      <c r="GYQ44" s="83"/>
      <c r="GYR44" s="83"/>
      <c r="GYS44" s="83"/>
      <c r="GYT44" s="83"/>
      <c r="GYU44" s="83"/>
      <c r="GYV44" s="83"/>
      <c r="GYW44" s="83"/>
      <c r="GYX44" s="83"/>
      <c r="GYY44" s="83"/>
      <c r="GYZ44" s="83"/>
      <c r="GZA44" s="83"/>
      <c r="GZB44" s="83"/>
      <c r="GZC44" s="83"/>
      <c r="GZD44" s="83"/>
      <c r="GZE44" s="83"/>
      <c r="GZF44" s="83"/>
      <c r="GZG44" s="83"/>
      <c r="GZH44" s="83"/>
      <c r="GZI44" s="83"/>
      <c r="GZJ44" s="83"/>
      <c r="GZK44" s="83"/>
      <c r="GZL44" s="83"/>
      <c r="GZM44" s="83"/>
      <c r="GZN44" s="83"/>
      <c r="GZO44" s="83"/>
      <c r="GZP44" s="83"/>
      <c r="GZQ44" s="83"/>
      <c r="GZR44" s="83"/>
      <c r="GZS44" s="83"/>
      <c r="GZT44" s="83"/>
      <c r="GZU44" s="83"/>
      <c r="GZV44" s="83"/>
      <c r="GZW44" s="83"/>
      <c r="GZX44" s="83"/>
      <c r="GZY44" s="83"/>
      <c r="GZZ44" s="83"/>
      <c r="HAA44" s="83"/>
      <c r="HAB44" s="83"/>
      <c r="HAC44" s="83"/>
      <c r="HAD44" s="83"/>
      <c r="HAE44" s="83"/>
      <c r="HAF44" s="83"/>
      <c r="HAG44" s="83"/>
      <c r="HAH44" s="83"/>
      <c r="HAI44" s="83"/>
      <c r="HAJ44" s="83"/>
      <c r="HAK44" s="83"/>
      <c r="HAL44" s="83"/>
      <c r="HAM44" s="83"/>
      <c r="HAN44" s="83"/>
      <c r="HAO44" s="83"/>
      <c r="HAP44" s="83"/>
      <c r="HAQ44" s="83"/>
      <c r="HAR44" s="83"/>
      <c r="HAS44" s="83"/>
      <c r="HAT44" s="83"/>
      <c r="HAU44" s="83"/>
      <c r="HAV44" s="83"/>
      <c r="HAW44" s="83"/>
      <c r="HAX44" s="83"/>
      <c r="HAY44" s="83"/>
      <c r="HAZ44" s="83"/>
      <c r="HBA44" s="83"/>
      <c r="HBB44" s="83"/>
      <c r="HBC44" s="83"/>
      <c r="HBD44" s="83"/>
      <c r="HBE44" s="83"/>
      <c r="HBF44" s="83"/>
      <c r="HBG44" s="83"/>
      <c r="HBH44" s="83"/>
      <c r="HBI44" s="83"/>
      <c r="HBJ44" s="83"/>
      <c r="HBK44" s="83"/>
      <c r="HBL44" s="83"/>
      <c r="HBM44" s="83"/>
      <c r="HBN44" s="83"/>
      <c r="HBO44" s="83"/>
      <c r="HBP44" s="83"/>
      <c r="HBQ44" s="83"/>
      <c r="HBR44" s="83"/>
      <c r="HBS44" s="83"/>
      <c r="HBT44" s="83"/>
      <c r="HBU44" s="83"/>
      <c r="HBV44" s="83"/>
      <c r="HBW44" s="83"/>
      <c r="HBX44" s="83"/>
      <c r="HBY44" s="83"/>
      <c r="HBZ44" s="83"/>
      <c r="HCA44" s="83"/>
      <c r="HCB44" s="83"/>
      <c r="HCC44" s="83"/>
      <c r="HCD44" s="83"/>
      <c r="HCE44" s="83"/>
      <c r="HCF44" s="83"/>
      <c r="HCG44" s="83"/>
      <c r="HCH44" s="83"/>
      <c r="HCI44" s="83"/>
      <c r="HCJ44" s="83"/>
      <c r="HCK44" s="83"/>
      <c r="HCL44" s="83"/>
      <c r="HCM44" s="83"/>
      <c r="HCN44" s="83"/>
      <c r="HCO44" s="83"/>
      <c r="HCP44" s="83"/>
      <c r="HCQ44" s="83"/>
      <c r="HCR44" s="83"/>
      <c r="HCS44" s="83"/>
      <c r="HCT44" s="83"/>
      <c r="HCU44" s="83"/>
      <c r="HCV44" s="83"/>
      <c r="HCW44" s="83"/>
      <c r="HCX44" s="83"/>
      <c r="HCY44" s="83"/>
      <c r="HCZ44" s="83"/>
      <c r="HDA44" s="83"/>
      <c r="HDB44" s="83"/>
      <c r="HDC44" s="83"/>
      <c r="HDD44" s="83"/>
      <c r="HDE44" s="83"/>
      <c r="HDF44" s="83"/>
      <c r="HDG44" s="83"/>
      <c r="HDH44" s="83"/>
      <c r="HDI44" s="83"/>
      <c r="HDJ44" s="83"/>
      <c r="HDK44" s="83"/>
      <c r="HDL44" s="83"/>
      <c r="HDM44" s="83"/>
      <c r="HDN44" s="83"/>
      <c r="HDO44" s="83"/>
      <c r="HDP44" s="83"/>
      <c r="HDQ44" s="83"/>
      <c r="HDR44" s="83"/>
      <c r="HDS44" s="83"/>
      <c r="HDT44" s="83"/>
      <c r="HDU44" s="83"/>
      <c r="HDV44" s="83"/>
      <c r="HDW44" s="83"/>
      <c r="HDX44" s="83"/>
      <c r="HDY44" s="83"/>
      <c r="HDZ44" s="83"/>
      <c r="HEA44" s="83"/>
      <c r="HEB44" s="83"/>
      <c r="HEC44" s="83"/>
      <c r="HED44" s="83"/>
      <c r="HEE44" s="83"/>
      <c r="HEF44" s="83"/>
      <c r="HEG44" s="83"/>
      <c r="HEH44" s="83"/>
      <c r="HEI44" s="83"/>
      <c r="HEJ44" s="83"/>
      <c r="HEK44" s="83"/>
      <c r="HEL44" s="83"/>
      <c r="HEM44" s="83"/>
      <c r="HEN44" s="83"/>
      <c r="HEO44" s="83"/>
      <c r="HEP44" s="83"/>
      <c r="HEQ44" s="83"/>
      <c r="HER44" s="83"/>
      <c r="HES44" s="83"/>
      <c r="HET44" s="83"/>
      <c r="HEU44" s="83"/>
      <c r="HEV44" s="83"/>
      <c r="HEW44" s="83"/>
      <c r="HEX44" s="83"/>
      <c r="HEY44" s="83"/>
      <c r="HEZ44" s="83"/>
      <c r="HFA44" s="83"/>
      <c r="HFB44" s="83"/>
      <c r="HFC44" s="83"/>
      <c r="HFD44" s="83"/>
      <c r="HFE44" s="83"/>
      <c r="HFF44" s="83"/>
      <c r="HFG44" s="83"/>
      <c r="HFH44" s="83"/>
      <c r="HFI44" s="83"/>
      <c r="HFJ44" s="83"/>
      <c r="HFK44" s="83"/>
      <c r="HFL44" s="83"/>
      <c r="HFM44" s="83"/>
      <c r="HFN44" s="83"/>
      <c r="HFO44" s="83"/>
      <c r="HFP44" s="83"/>
      <c r="HFQ44" s="83"/>
      <c r="HFR44" s="83"/>
      <c r="HFS44" s="83"/>
      <c r="HFT44" s="83"/>
      <c r="HFU44" s="83"/>
      <c r="HFV44" s="83"/>
      <c r="HFW44" s="83"/>
      <c r="HFX44" s="83"/>
      <c r="HFY44" s="83"/>
      <c r="HFZ44" s="83"/>
      <c r="HGA44" s="83"/>
      <c r="HGB44" s="83"/>
      <c r="HGC44" s="83"/>
      <c r="HGD44" s="83"/>
      <c r="HGE44" s="83"/>
      <c r="HGF44" s="83"/>
      <c r="HGG44" s="83"/>
      <c r="HGH44" s="83"/>
      <c r="HGI44" s="83"/>
      <c r="HGJ44" s="83"/>
      <c r="HGK44" s="83"/>
      <c r="HGL44" s="83"/>
      <c r="HGM44" s="83"/>
      <c r="HGN44" s="83"/>
      <c r="HGO44" s="83"/>
      <c r="HGP44" s="83"/>
      <c r="HGQ44" s="83"/>
      <c r="HGR44" s="83"/>
      <c r="HGS44" s="83"/>
      <c r="HGT44" s="83"/>
      <c r="HGU44" s="83"/>
      <c r="HGV44" s="83"/>
      <c r="HGW44" s="83"/>
      <c r="HGX44" s="83"/>
      <c r="HGY44" s="83"/>
      <c r="HGZ44" s="83"/>
      <c r="HHA44" s="83"/>
      <c r="HHB44" s="83"/>
      <c r="HHC44" s="83"/>
      <c r="HHD44" s="83"/>
      <c r="HHE44" s="83"/>
      <c r="HHF44" s="83"/>
      <c r="HHG44" s="83"/>
      <c r="HHH44" s="83"/>
      <c r="HHI44" s="83"/>
      <c r="HHJ44" s="83"/>
      <c r="HHK44" s="83"/>
      <c r="HHL44" s="83"/>
      <c r="HHM44" s="83"/>
      <c r="HHN44" s="83"/>
      <c r="HHO44" s="83"/>
      <c r="HHP44" s="83"/>
      <c r="HHQ44" s="83"/>
      <c r="HHR44" s="83"/>
      <c r="HHS44" s="83"/>
      <c r="HHT44" s="83"/>
      <c r="HHU44" s="83"/>
      <c r="HHV44" s="83"/>
      <c r="HHW44" s="83"/>
      <c r="HHX44" s="83"/>
      <c r="HHY44" s="83"/>
      <c r="HHZ44" s="83"/>
      <c r="HIA44" s="83"/>
      <c r="HIB44" s="83"/>
      <c r="HIC44" s="83"/>
      <c r="HID44" s="83"/>
      <c r="HIE44" s="83"/>
      <c r="HIF44" s="83"/>
      <c r="HIG44" s="83"/>
      <c r="HIH44" s="83"/>
      <c r="HII44" s="83"/>
      <c r="HIJ44" s="83"/>
      <c r="HIK44" s="83"/>
      <c r="HIL44" s="83"/>
      <c r="HIM44" s="83"/>
      <c r="HIN44" s="83"/>
      <c r="HIO44" s="83"/>
      <c r="HIP44" s="83"/>
      <c r="HIQ44" s="83"/>
      <c r="HIR44" s="83"/>
      <c r="HIS44" s="83"/>
      <c r="HIT44" s="83"/>
      <c r="HIU44" s="83"/>
      <c r="HIV44" s="83"/>
      <c r="HIW44" s="83"/>
      <c r="HIX44" s="83"/>
      <c r="HIY44" s="83"/>
      <c r="HIZ44" s="83"/>
      <c r="HJA44" s="83"/>
      <c r="HJB44" s="83"/>
      <c r="HJC44" s="83"/>
      <c r="HJD44" s="83"/>
      <c r="HJE44" s="83"/>
      <c r="HJF44" s="83"/>
      <c r="HJG44" s="83"/>
      <c r="HJH44" s="83"/>
      <c r="HJI44" s="83"/>
      <c r="HJJ44" s="83"/>
      <c r="HJK44" s="83"/>
      <c r="HJL44" s="83"/>
      <c r="HJM44" s="83"/>
      <c r="HJN44" s="83"/>
      <c r="HJO44" s="83"/>
      <c r="HJP44" s="83"/>
      <c r="HJQ44" s="83"/>
      <c r="HJR44" s="83"/>
      <c r="HJS44" s="83"/>
      <c r="HJT44" s="83"/>
      <c r="HJU44" s="83"/>
      <c r="HJV44" s="83"/>
      <c r="HJW44" s="83"/>
      <c r="HJX44" s="83"/>
      <c r="HJY44" s="83"/>
      <c r="HJZ44" s="83"/>
      <c r="HKA44" s="83"/>
      <c r="HKB44" s="83"/>
      <c r="HKC44" s="83"/>
      <c r="HKD44" s="83"/>
      <c r="HKE44" s="83"/>
      <c r="HKF44" s="83"/>
      <c r="HKG44" s="83"/>
      <c r="HKH44" s="83"/>
      <c r="HKI44" s="83"/>
      <c r="HKJ44" s="83"/>
      <c r="HKK44" s="83"/>
      <c r="HKL44" s="83"/>
      <c r="HKM44" s="83"/>
      <c r="HKN44" s="83"/>
      <c r="HKO44" s="83"/>
      <c r="HKP44" s="83"/>
      <c r="HKQ44" s="83"/>
      <c r="HKR44" s="83"/>
      <c r="HKS44" s="83"/>
      <c r="HKT44" s="83"/>
      <c r="HKU44" s="83"/>
      <c r="HKV44" s="83"/>
      <c r="HKW44" s="83"/>
      <c r="HKX44" s="83"/>
      <c r="HKY44" s="83"/>
      <c r="HKZ44" s="83"/>
      <c r="HLA44" s="83"/>
      <c r="HLB44" s="83"/>
      <c r="HLC44" s="83"/>
      <c r="HLD44" s="83"/>
      <c r="HLE44" s="83"/>
      <c r="HLF44" s="83"/>
      <c r="HLG44" s="83"/>
      <c r="HLH44" s="83"/>
      <c r="HLI44" s="83"/>
      <c r="HLJ44" s="83"/>
      <c r="HLK44" s="83"/>
      <c r="HLL44" s="83"/>
      <c r="HLM44" s="83"/>
      <c r="HLN44" s="83"/>
      <c r="HLO44" s="83"/>
      <c r="HLP44" s="83"/>
      <c r="HLQ44" s="83"/>
      <c r="HLR44" s="83"/>
      <c r="HLS44" s="83"/>
      <c r="HLT44" s="83"/>
      <c r="HLU44" s="83"/>
      <c r="HLV44" s="83"/>
      <c r="HLW44" s="83"/>
      <c r="HLX44" s="83"/>
      <c r="HLY44" s="83"/>
      <c r="HLZ44" s="83"/>
      <c r="HMA44" s="83"/>
      <c r="HMB44" s="83"/>
      <c r="HMC44" s="83"/>
      <c r="HMD44" s="83"/>
      <c r="HME44" s="83"/>
      <c r="HMF44" s="83"/>
      <c r="HMG44" s="83"/>
      <c r="HMH44" s="83"/>
      <c r="HMI44" s="83"/>
      <c r="HMJ44" s="83"/>
      <c r="HMK44" s="83"/>
      <c r="HML44" s="83"/>
      <c r="HMM44" s="83"/>
      <c r="HMN44" s="83"/>
      <c r="HMO44" s="83"/>
      <c r="HMP44" s="83"/>
      <c r="HMQ44" s="83"/>
      <c r="HMR44" s="83"/>
      <c r="HMS44" s="83"/>
      <c r="HMT44" s="83"/>
      <c r="HMU44" s="83"/>
      <c r="HMV44" s="83"/>
      <c r="HMW44" s="83"/>
      <c r="HMX44" s="83"/>
      <c r="HMY44" s="83"/>
      <c r="HMZ44" s="83"/>
      <c r="HNA44" s="83"/>
      <c r="HNB44" s="83"/>
      <c r="HNC44" s="83"/>
      <c r="HND44" s="83"/>
      <c r="HNE44" s="83"/>
      <c r="HNF44" s="83"/>
      <c r="HNG44" s="83"/>
      <c r="HNH44" s="83"/>
      <c r="HNI44" s="83"/>
      <c r="HNJ44" s="83"/>
      <c r="HNK44" s="83"/>
      <c r="HNL44" s="83"/>
      <c r="HNM44" s="83"/>
      <c r="HNN44" s="83"/>
      <c r="HNO44" s="83"/>
      <c r="HNP44" s="83"/>
      <c r="HNQ44" s="83"/>
      <c r="HNR44" s="83"/>
      <c r="HNS44" s="83"/>
      <c r="HNT44" s="83"/>
      <c r="HNU44" s="83"/>
      <c r="HNV44" s="83"/>
      <c r="HNW44" s="83"/>
      <c r="HNX44" s="83"/>
      <c r="HNY44" s="83"/>
      <c r="HNZ44" s="83"/>
      <c r="HOA44" s="83"/>
      <c r="HOB44" s="83"/>
      <c r="HOC44" s="83"/>
      <c r="HOD44" s="83"/>
      <c r="HOE44" s="83"/>
      <c r="HOF44" s="83"/>
      <c r="HOG44" s="83"/>
      <c r="HOH44" s="83"/>
      <c r="HOI44" s="83"/>
      <c r="HOJ44" s="83"/>
      <c r="HOK44" s="83"/>
      <c r="HOL44" s="83"/>
      <c r="HOM44" s="83"/>
      <c r="HON44" s="83"/>
      <c r="HOO44" s="83"/>
      <c r="HOP44" s="83"/>
      <c r="HOQ44" s="83"/>
      <c r="HOR44" s="83"/>
      <c r="HOS44" s="83"/>
      <c r="HOT44" s="83"/>
      <c r="HOU44" s="83"/>
      <c r="HOV44" s="83"/>
      <c r="HOW44" s="83"/>
      <c r="HOX44" s="83"/>
      <c r="HOY44" s="83"/>
      <c r="HOZ44" s="83"/>
      <c r="HPA44" s="83"/>
      <c r="HPB44" s="83"/>
      <c r="HPC44" s="83"/>
      <c r="HPD44" s="83"/>
      <c r="HPE44" s="83"/>
      <c r="HPF44" s="83"/>
      <c r="HPG44" s="83"/>
      <c r="HPH44" s="83"/>
      <c r="HPI44" s="83"/>
      <c r="HPJ44" s="83"/>
      <c r="HPK44" s="83"/>
      <c r="HPL44" s="83"/>
      <c r="HPM44" s="83"/>
      <c r="HPN44" s="83"/>
      <c r="HPO44" s="83"/>
      <c r="HPP44" s="83"/>
      <c r="HPQ44" s="83"/>
      <c r="HPR44" s="83"/>
      <c r="HPS44" s="83"/>
      <c r="HPT44" s="83"/>
      <c r="HPU44" s="83"/>
      <c r="HPV44" s="83"/>
      <c r="HPW44" s="83"/>
      <c r="HPX44" s="83"/>
      <c r="HPY44" s="83"/>
      <c r="HPZ44" s="83"/>
      <c r="HQA44" s="83"/>
      <c r="HQB44" s="83"/>
      <c r="HQC44" s="83"/>
      <c r="HQD44" s="83"/>
      <c r="HQE44" s="83"/>
      <c r="HQF44" s="83"/>
      <c r="HQG44" s="83"/>
      <c r="HQH44" s="83"/>
      <c r="HQI44" s="83"/>
      <c r="HQJ44" s="83"/>
      <c r="HQK44" s="83"/>
      <c r="HQL44" s="83"/>
      <c r="HQM44" s="83"/>
      <c r="HQN44" s="83"/>
      <c r="HQO44" s="83"/>
      <c r="HQP44" s="83"/>
      <c r="HQQ44" s="83"/>
      <c r="HQR44" s="83"/>
      <c r="HQS44" s="83"/>
      <c r="HQT44" s="83"/>
      <c r="HQU44" s="83"/>
      <c r="HQV44" s="83"/>
      <c r="HQW44" s="83"/>
      <c r="HQX44" s="83"/>
      <c r="HQY44" s="83"/>
      <c r="HQZ44" s="83"/>
      <c r="HRA44" s="83"/>
      <c r="HRB44" s="83"/>
      <c r="HRC44" s="83"/>
      <c r="HRD44" s="83"/>
      <c r="HRE44" s="83"/>
      <c r="HRF44" s="83"/>
      <c r="HRG44" s="83"/>
      <c r="HRH44" s="83"/>
      <c r="HRI44" s="83"/>
      <c r="HRJ44" s="83"/>
      <c r="HRK44" s="83"/>
      <c r="HRL44" s="83"/>
      <c r="HRM44" s="83"/>
      <c r="HRN44" s="83"/>
      <c r="HRO44" s="83"/>
      <c r="HRP44" s="83"/>
      <c r="HRQ44" s="83"/>
      <c r="HRR44" s="83"/>
      <c r="HRS44" s="83"/>
      <c r="HRT44" s="83"/>
      <c r="HRU44" s="83"/>
      <c r="HRV44" s="83"/>
      <c r="HRW44" s="83"/>
      <c r="HRX44" s="83"/>
      <c r="HRY44" s="83"/>
      <c r="HRZ44" s="83"/>
      <c r="HSA44" s="83"/>
      <c r="HSB44" s="83"/>
      <c r="HSC44" s="83"/>
      <c r="HSD44" s="83"/>
      <c r="HSE44" s="83"/>
      <c r="HSF44" s="83"/>
      <c r="HSG44" s="83"/>
      <c r="HSH44" s="83"/>
      <c r="HSI44" s="83"/>
      <c r="HSJ44" s="83"/>
      <c r="HSK44" s="83"/>
      <c r="HSL44" s="83"/>
      <c r="HSM44" s="83"/>
      <c r="HSN44" s="83"/>
      <c r="HSO44" s="83"/>
      <c r="HSP44" s="83"/>
      <c r="HSQ44" s="83"/>
      <c r="HSR44" s="83"/>
      <c r="HSS44" s="83"/>
      <c r="HST44" s="83"/>
      <c r="HSU44" s="83"/>
      <c r="HSV44" s="83"/>
      <c r="HSW44" s="83"/>
      <c r="HSX44" s="83"/>
      <c r="HSY44" s="83"/>
      <c r="HSZ44" s="83"/>
      <c r="HTA44" s="83"/>
      <c r="HTB44" s="83"/>
      <c r="HTC44" s="83"/>
      <c r="HTD44" s="83"/>
      <c r="HTE44" s="83"/>
      <c r="HTF44" s="83"/>
      <c r="HTG44" s="83"/>
      <c r="HTH44" s="83"/>
      <c r="HTI44" s="83"/>
      <c r="HTJ44" s="83"/>
      <c r="HTK44" s="83"/>
      <c r="HTL44" s="83"/>
      <c r="HTM44" s="83"/>
      <c r="HTN44" s="83"/>
      <c r="HTO44" s="83"/>
      <c r="HTP44" s="83"/>
      <c r="HTQ44" s="83"/>
      <c r="HTR44" s="83"/>
      <c r="HTS44" s="83"/>
      <c r="HTT44" s="83"/>
      <c r="HTU44" s="83"/>
      <c r="HTV44" s="83"/>
      <c r="HTW44" s="83"/>
      <c r="HTX44" s="83"/>
      <c r="HTY44" s="83"/>
      <c r="HTZ44" s="83"/>
      <c r="HUA44" s="83"/>
      <c r="HUB44" s="83"/>
      <c r="HUC44" s="83"/>
      <c r="HUD44" s="83"/>
      <c r="HUE44" s="83"/>
      <c r="HUF44" s="83"/>
      <c r="HUG44" s="83"/>
      <c r="HUH44" s="83"/>
      <c r="HUI44" s="83"/>
      <c r="HUJ44" s="83"/>
      <c r="HUK44" s="83"/>
      <c r="HUL44" s="83"/>
      <c r="HUM44" s="83"/>
      <c r="HUN44" s="83"/>
      <c r="HUO44" s="83"/>
      <c r="HUP44" s="83"/>
      <c r="HUQ44" s="83"/>
      <c r="HUR44" s="83"/>
      <c r="HUS44" s="83"/>
      <c r="HUT44" s="83"/>
      <c r="HUU44" s="83"/>
      <c r="HUV44" s="83"/>
      <c r="HUW44" s="83"/>
      <c r="HUX44" s="83"/>
      <c r="HUY44" s="83"/>
      <c r="HUZ44" s="83"/>
      <c r="HVA44" s="83"/>
      <c r="HVB44" s="83"/>
      <c r="HVC44" s="83"/>
      <c r="HVD44" s="83"/>
      <c r="HVE44" s="83"/>
      <c r="HVF44" s="83"/>
      <c r="HVG44" s="83"/>
      <c r="HVH44" s="83"/>
      <c r="HVI44" s="83"/>
      <c r="HVJ44" s="83"/>
      <c r="HVK44" s="83"/>
      <c r="HVL44" s="83"/>
      <c r="HVM44" s="83"/>
      <c r="HVN44" s="83"/>
      <c r="HVO44" s="83"/>
      <c r="HVP44" s="83"/>
      <c r="HVQ44" s="83"/>
      <c r="HVR44" s="83"/>
      <c r="HVS44" s="83"/>
      <c r="HVT44" s="83"/>
      <c r="HVU44" s="83"/>
      <c r="HVV44" s="83"/>
      <c r="HVW44" s="83"/>
      <c r="HVX44" s="83"/>
      <c r="HVY44" s="83"/>
      <c r="HVZ44" s="83"/>
      <c r="HWA44" s="83"/>
      <c r="HWB44" s="83"/>
      <c r="HWC44" s="83"/>
      <c r="HWD44" s="83"/>
      <c r="HWE44" s="83"/>
      <c r="HWF44" s="83"/>
      <c r="HWG44" s="83"/>
      <c r="HWH44" s="83"/>
      <c r="HWI44" s="83"/>
      <c r="HWJ44" s="83"/>
      <c r="HWK44" s="83"/>
      <c r="HWL44" s="83"/>
      <c r="HWM44" s="83"/>
      <c r="HWN44" s="83"/>
      <c r="HWO44" s="83"/>
      <c r="HWP44" s="83"/>
      <c r="HWQ44" s="83"/>
      <c r="HWR44" s="83"/>
      <c r="HWS44" s="83"/>
      <c r="HWT44" s="83"/>
      <c r="HWU44" s="83"/>
      <c r="HWV44" s="83"/>
      <c r="HWW44" s="83"/>
      <c r="HWX44" s="83"/>
      <c r="HWY44" s="83"/>
      <c r="HWZ44" s="83"/>
      <c r="HXA44" s="83"/>
      <c r="HXB44" s="83"/>
      <c r="HXC44" s="83"/>
      <c r="HXD44" s="83"/>
      <c r="HXE44" s="83"/>
      <c r="HXF44" s="83"/>
      <c r="HXG44" s="83"/>
      <c r="HXH44" s="83"/>
      <c r="HXI44" s="83"/>
      <c r="HXJ44" s="83"/>
      <c r="HXK44" s="83"/>
      <c r="HXL44" s="83"/>
      <c r="HXM44" s="83"/>
      <c r="HXN44" s="83"/>
      <c r="HXO44" s="83"/>
      <c r="HXP44" s="83"/>
      <c r="HXQ44" s="83"/>
      <c r="HXR44" s="83"/>
      <c r="HXS44" s="83"/>
      <c r="HXT44" s="83"/>
      <c r="HXU44" s="83"/>
      <c r="HXV44" s="83"/>
      <c r="HXW44" s="83"/>
      <c r="HXX44" s="83"/>
      <c r="HXY44" s="83"/>
      <c r="HXZ44" s="83"/>
      <c r="HYA44" s="83"/>
      <c r="HYB44" s="83"/>
      <c r="HYC44" s="83"/>
      <c r="HYD44" s="83"/>
      <c r="HYE44" s="83"/>
      <c r="HYF44" s="83"/>
      <c r="HYG44" s="83"/>
      <c r="HYH44" s="83"/>
      <c r="HYI44" s="83"/>
      <c r="HYJ44" s="83"/>
      <c r="HYK44" s="83"/>
      <c r="HYL44" s="83"/>
      <c r="HYM44" s="83"/>
      <c r="HYN44" s="83"/>
      <c r="HYO44" s="83"/>
      <c r="HYP44" s="83"/>
      <c r="HYQ44" s="83"/>
      <c r="HYR44" s="83"/>
      <c r="HYS44" s="83"/>
      <c r="HYT44" s="83"/>
      <c r="HYU44" s="83"/>
      <c r="HYV44" s="83"/>
      <c r="HYW44" s="83"/>
      <c r="HYX44" s="83"/>
      <c r="HYY44" s="83"/>
      <c r="HYZ44" s="83"/>
      <c r="HZA44" s="83"/>
      <c r="HZB44" s="83"/>
      <c r="HZC44" s="83"/>
      <c r="HZD44" s="83"/>
      <c r="HZE44" s="83"/>
      <c r="HZF44" s="83"/>
      <c r="HZG44" s="83"/>
      <c r="HZH44" s="83"/>
      <c r="HZI44" s="83"/>
      <c r="HZJ44" s="83"/>
      <c r="HZK44" s="83"/>
      <c r="HZL44" s="83"/>
      <c r="HZM44" s="83"/>
      <c r="HZN44" s="83"/>
      <c r="HZO44" s="83"/>
      <c r="HZP44" s="83"/>
      <c r="HZQ44" s="83"/>
      <c r="HZR44" s="83"/>
      <c r="HZS44" s="83"/>
      <c r="HZT44" s="83"/>
      <c r="HZU44" s="83"/>
      <c r="HZV44" s="83"/>
      <c r="HZW44" s="83"/>
      <c r="HZX44" s="83"/>
      <c r="HZY44" s="83"/>
      <c r="HZZ44" s="83"/>
      <c r="IAA44" s="83"/>
      <c r="IAB44" s="83"/>
      <c r="IAC44" s="83"/>
      <c r="IAD44" s="83"/>
      <c r="IAE44" s="83"/>
      <c r="IAF44" s="83"/>
      <c r="IAG44" s="83"/>
      <c r="IAH44" s="83"/>
      <c r="IAI44" s="83"/>
      <c r="IAJ44" s="83"/>
      <c r="IAK44" s="83"/>
      <c r="IAL44" s="83"/>
      <c r="IAM44" s="83"/>
      <c r="IAN44" s="83"/>
      <c r="IAO44" s="83"/>
      <c r="IAP44" s="83"/>
      <c r="IAQ44" s="83"/>
      <c r="IAR44" s="83"/>
      <c r="IAS44" s="83"/>
      <c r="IAT44" s="83"/>
      <c r="IAU44" s="83"/>
      <c r="IAV44" s="83"/>
      <c r="IAW44" s="83"/>
      <c r="IAX44" s="83"/>
      <c r="IAY44" s="83"/>
      <c r="IAZ44" s="83"/>
      <c r="IBA44" s="83"/>
      <c r="IBB44" s="83"/>
      <c r="IBC44" s="83"/>
      <c r="IBD44" s="83"/>
      <c r="IBE44" s="83"/>
      <c r="IBF44" s="83"/>
      <c r="IBG44" s="83"/>
      <c r="IBH44" s="83"/>
      <c r="IBI44" s="83"/>
      <c r="IBJ44" s="83"/>
      <c r="IBK44" s="83"/>
      <c r="IBL44" s="83"/>
      <c r="IBM44" s="83"/>
      <c r="IBN44" s="83"/>
      <c r="IBO44" s="83"/>
      <c r="IBP44" s="83"/>
      <c r="IBQ44" s="83"/>
      <c r="IBR44" s="83"/>
      <c r="IBS44" s="83"/>
      <c r="IBT44" s="83"/>
      <c r="IBU44" s="83"/>
      <c r="IBV44" s="83"/>
      <c r="IBW44" s="83"/>
      <c r="IBX44" s="83"/>
      <c r="IBY44" s="83"/>
      <c r="IBZ44" s="83"/>
      <c r="ICA44" s="83"/>
      <c r="ICB44" s="83"/>
      <c r="ICC44" s="83"/>
      <c r="ICD44" s="83"/>
      <c r="ICE44" s="83"/>
      <c r="ICF44" s="83"/>
      <c r="ICG44" s="83"/>
      <c r="ICH44" s="83"/>
      <c r="ICI44" s="83"/>
      <c r="ICJ44" s="83"/>
      <c r="ICK44" s="83"/>
      <c r="ICL44" s="83"/>
      <c r="ICM44" s="83"/>
      <c r="ICN44" s="83"/>
      <c r="ICO44" s="83"/>
      <c r="ICP44" s="83"/>
      <c r="ICQ44" s="83"/>
      <c r="ICR44" s="83"/>
      <c r="ICS44" s="83"/>
      <c r="ICT44" s="83"/>
      <c r="ICU44" s="83"/>
      <c r="ICV44" s="83"/>
      <c r="ICW44" s="83"/>
      <c r="ICX44" s="83"/>
      <c r="ICY44" s="83"/>
      <c r="ICZ44" s="83"/>
      <c r="IDA44" s="83"/>
      <c r="IDB44" s="83"/>
      <c r="IDC44" s="83"/>
      <c r="IDD44" s="83"/>
      <c r="IDE44" s="83"/>
      <c r="IDF44" s="83"/>
      <c r="IDG44" s="83"/>
      <c r="IDH44" s="83"/>
      <c r="IDI44" s="83"/>
      <c r="IDJ44" s="83"/>
      <c r="IDK44" s="83"/>
      <c r="IDL44" s="83"/>
      <c r="IDM44" s="83"/>
      <c r="IDN44" s="83"/>
      <c r="IDO44" s="83"/>
      <c r="IDP44" s="83"/>
      <c r="IDQ44" s="83"/>
      <c r="IDR44" s="83"/>
      <c r="IDS44" s="83"/>
      <c r="IDT44" s="83"/>
      <c r="IDU44" s="83"/>
      <c r="IDV44" s="83"/>
      <c r="IDW44" s="83"/>
      <c r="IDX44" s="83"/>
      <c r="IDY44" s="83"/>
      <c r="IDZ44" s="83"/>
      <c r="IEA44" s="83"/>
      <c r="IEB44" s="83"/>
      <c r="IEC44" s="83"/>
      <c r="IED44" s="83"/>
      <c r="IEE44" s="83"/>
      <c r="IEF44" s="83"/>
      <c r="IEG44" s="83"/>
      <c r="IEH44" s="83"/>
      <c r="IEI44" s="83"/>
      <c r="IEJ44" s="83"/>
      <c r="IEK44" s="83"/>
      <c r="IEL44" s="83"/>
      <c r="IEM44" s="83"/>
      <c r="IEN44" s="83"/>
      <c r="IEO44" s="83"/>
      <c r="IEP44" s="83"/>
      <c r="IEQ44" s="83"/>
      <c r="IER44" s="83"/>
      <c r="IES44" s="83"/>
      <c r="IET44" s="83"/>
      <c r="IEU44" s="83"/>
      <c r="IEV44" s="83"/>
      <c r="IEW44" s="83"/>
      <c r="IEX44" s="83"/>
      <c r="IEY44" s="83"/>
      <c r="IEZ44" s="83"/>
      <c r="IFA44" s="83"/>
      <c r="IFB44" s="83"/>
      <c r="IFC44" s="83"/>
      <c r="IFD44" s="83"/>
      <c r="IFE44" s="83"/>
      <c r="IFF44" s="83"/>
      <c r="IFG44" s="83"/>
      <c r="IFH44" s="83"/>
      <c r="IFI44" s="83"/>
      <c r="IFJ44" s="83"/>
      <c r="IFK44" s="83"/>
      <c r="IFL44" s="83"/>
      <c r="IFM44" s="83"/>
      <c r="IFN44" s="83"/>
      <c r="IFO44" s="83"/>
      <c r="IFP44" s="83"/>
      <c r="IFQ44" s="83"/>
      <c r="IFR44" s="83"/>
      <c r="IFS44" s="83"/>
      <c r="IFT44" s="83"/>
      <c r="IFU44" s="83"/>
      <c r="IFV44" s="83"/>
      <c r="IFW44" s="83"/>
      <c r="IFX44" s="83"/>
      <c r="IFY44" s="83"/>
      <c r="IFZ44" s="83"/>
      <c r="IGA44" s="83"/>
      <c r="IGB44" s="83"/>
      <c r="IGC44" s="83"/>
      <c r="IGD44" s="83"/>
      <c r="IGE44" s="83"/>
      <c r="IGF44" s="83"/>
      <c r="IGG44" s="83"/>
      <c r="IGH44" s="83"/>
      <c r="IGI44" s="83"/>
      <c r="IGJ44" s="83"/>
      <c r="IGK44" s="83"/>
      <c r="IGL44" s="83"/>
      <c r="IGM44" s="83"/>
      <c r="IGN44" s="83"/>
      <c r="IGO44" s="83"/>
      <c r="IGP44" s="83"/>
      <c r="IGQ44" s="83"/>
      <c r="IGR44" s="83"/>
      <c r="IGS44" s="83"/>
      <c r="IGT44" s="83"/>
      <c r="IGU44" s="83"/>
      <c r="IGV44" s="83"/>
      <c r="IGW44" s="83"/>
      <c r="IGX44" s="83"/>
      <c r="IGY44" s="83"/>
      <c r="IGZ44" s="83"/>
      <c r="IHA44" s="83"/>
      <c r="IHB44" s="83"/>
      <c r="IHC44" s="83"/>
      <c r="IHD44" s="83"/>
      <c r="IHE44" s="83"/>
      <c r="IHF44" s="83"/>
      <c r="IHG44" s="83"/>
      <c r="IHH44" s="83"/>
      <c r="IHI44" s="83"/>
      <c r="IHJ44" s="83"/>
      <c r="IHK44" s="83"/>
      <c r="IHL44" s="83"/>
      <c r="IHM44" s="83"/>
      <c r="IHN44" s="83"/>
      <c r="IHO44" s="83"/>
      <c r="IHP44" s="83"/>
      <c r="IHQ44" s="83"/>
      <c r="IHR44" s="83"/>
      <c r="IHS44" s="83"/>
      <c r="IHT44" s="83"/>
      <c r="IHU44" s="83"/>
      <c r="IHV44" s="83"/>
      <c r="IHW44" s="83"/>
      <c r="IHX44" s="83"/>
      <c r="IHY44" s="83"/>
      <c r="IHZ44" s="83"/>
      <c r="IIA44" s="83"/>
      <c r="IIB44" s="83"/>
      <c r="IIC44" s="83"/>
      <c r="IID44" s="83"/>
      <c r="IIE44" s="83"/>
      <c r="IIF44" s="83"/>
      <c r="IIG44" s="83"/>
      <c r="IIH44" s="83"/>
      <c r="III44" s="83"/>
      <c r="IIJ44" s="83"/>
      <c r="IIK44" s="83"/>
      <c r="IIL44" s="83"/>
      <c r="IIM44" s="83"/>
      <c r="IIN44" s="83"/>
      <c r="IIO44" s="83"/>
      <c r="IIP44" s="83"/>
      <c r="IIQ44" s="83"/>
      <c r="IIR44" s="83"/>
      <c r="IIS44" s="83"/>
      <c r="IIT44" s="83"/>
      <c r="IIU44" s="83"/>
      <c r="IIV44" s="83"/>
      <c r="IIW44" s="83"/>
      <c r="IIX44" s="83"/>
      <c r="IIY44" s="83"/>
      <c r="IIZ44" s="83"/>
      <c r="IJA44" s="83"/>
      <c r="IJB44" s="83"/>
      <c r="IJC44" s="83"/>
      <c r="IJD44" s="83"/>
      <c r="IJE44" s="83"/>
      <c r="IJF44" s="83"/>
      <c r="IJG44" s="83"/>
      <c r="IJH44" s="83"/>
      <c r="IJI44" s="83"/>
      <c r="IJJ44" s="83"/>
      <c r="IJK44" s="83"/>
      <c r="IJL44" s="83"/>
      <c r="IJM44" s="83"/>
      <c r="IJN44" s="83"/>
      <c r="IJO44" s="83"/>
      <c r="IJP44" s="83"/>
      <c r="IJQ44" s="83"/>
      <c r="IJR44" s="83"/>
      <c r="IJS44" s="83"/>
      <c r="IJT44" s="83"/>
      <c r="IJU44" s="83"/>
      <c r="IJV44" s="83"/>
      <c r="IJW44" s="83"/>
      <c r="IJX44" s="83"/>
      <c r="IJY44" s="83"/>
      <c r="IJZ44" s="83"/>
      <c r="IKA44" s="83"/>
      <c r="IKB44" s="83"/>
      <c r="IKC44" s="83"/>
      <c r="IKD44" s="83"/>
      <c r="IKE44" s="83"/>
      <c r="IKF44" s="83"/>
      <c r="IKG44" s="83"/>
      <c r="IKH44" s="83"/>
      <c r="IKI44" s="83"/>
      <c r="IKJ44" s="83"/>
      <c r="IKK44" s="83"/>
      <c r="IKL44" s="83"/>
      <c r="IKM44" s="83"/>
      <c r="IKN44" s="83"/>
      <c r="IKO44" s="83"/>
      <c r="IKP44" s="83"/>
      <c r="IKQ44" s="83"/>
      <c r="IKR44" s="83"/>
      <c r="IKS44" s="83"/>
      <c r="IKT44" s="83"/>
      <c r="IKU44" s="83"/>
      <c r="IKV44" s="83"/>
      <c r="IKW44" s="83"/>
      <c r="IKX44" s="83"/>
      <c r="IKY44" s="83"/>
      <c r="IKZ44" s="83"/>
      <c r="ILA44" s="83"/>
      <c r="ILB44" s="83"/>
      <c r="ILC44" s="83"/>
      <c r="ILD44" s="83"/>
      <c r="ILE44" s="83"/>
      <c r="ILF44" s="83"/>
      <c r="ILG44" s="83"/>
      <c r="ILH44" s="83"/>
      <c r="ILI44" s="83"/>
      <c r="ILJ44" s="83"/>
      <c r="ILK44" s="83"/>
      <c r="ILL44" s="83"/>
      <c r="ILM44" s="83"/>
      <c r="ILN44" s="83"/>
      <c r="ILO44" s="83"/>
      <c r="ILP44" s="83"/>
      <c r="ILQ44" s="83"/>
      <c r="ILR44" s="83"/>
      <c r="ILS44" s="83"/>
      <c r="ILT44" s="83"/>
      <c r="ILU44" s="83"/>
      <c r="ILV44" s="83"/>
      <c r="ILW44" s="83"/>
      <c r="ILX44" s="83"/>
      <c r="ILY44" s="83"/>
      <c r="ILZ44" s="83"/>
      <c r="IMA44" s="83"/>
      <c r="IMB44" s="83"/>
      <c r="IMC44" s="83"/>
      <c r="IMD44" s="83"/>
      <c r="IME44" s="83"/>
      <c r="IMF44" s="83"/>
      <c r="IMG44" s="83"/>
      <c r="IMH44" s="83"/>
      <c r="IMI44" s="83"/>
      <c r="IMJ44" s="83"/>
      <c r="IMK44" s="83"/>
      <c r="IML44" s="83"/>
      <c r="IMM44" s="83"/>
      <c r="IMN44" s="83"/>
      <c r="IMO44" s="83"/>
      <c r="IMP44" s="83"/>
      <c r="IMQ44" s="83"/>
      <c r="IMR44" s="83"/>
      <c r="IMS44" s="83"/>
      <c r="IMT44" s="83"/>
      <c r="IMU44" s="83"/>
      <c r="IMV44" s="83"/>
      <c r="IMW44" s="83"/>
      <c r="IMX44" s="83"/>
      <c r="IMY44" s="83"/>
      <c r="IMZ44" s="83"/>
      <c r="INA44" s="83"/>
      <c r="INB44" s="83"/>
      <c r="INC44" s="83"/>
      <c r="IND44" s="83"/>
      <c r="INE44" s="83"/>
      <c r="INF44" s="83"/>
      <c r="ING44" s="83"/>
      <c r="INH44" s="83"/>
      <c r="INI44" s="83"/>
      <c r="INJ44" s="83"/>
      <c r="INK44" s="83"/>
      <c r="INL44" s="83"/>
      <c r="INM44" s="83"/>
      <c r="INN44" s="83"/>
      <c r="INO44" s="83"/>
      <c r="INP44" s="83"/>
      <c r="INQ44" s="83"/>
      <c r="INR44" s="83"/>
      <c r="INS44" s="83"/>
      <c r="INT44" s="83"/>
      <c r="INU44" s="83"/>
      <c r="INV44" s="83"/>
      <c r="INW44" s="83"/>
      <c r="INX44" s="83"/>
      <c r="INY44" s="83"/>
      <c r="INZ44" s="83"/>
      <c r="IOA44" s="83"/>
      <c r="IOB44" s="83"/>
      <c r="IOC44" s="83"/>
      <c r="IOD44" s="83"/>
      <c r="IOE44" s="83"/>
      <c r="IOF44" s="83"/>
      <c r="IOG44" s="83"/>
      <c r="IOH44" s="83"/>
      <c r="IOI44" s="83"/>
      <c r="IOJ44" s="83"/>
      <c r="IOK44" s="83"/>
      <c r="IOL44" s="83"/>
      <c r="IOM44" s="83"/>
      <c r="ION44" s="83"/>
      <c r="IOO44" s="83"/>
      <c r="IOP44" s="83"/>
      <c r="IOQ44" s="83"/>
      <c r="IOR44" s="83"/>
      <c r="IOS44" s="83"/>
      <c r="IOT44" s="83"/>
      <c r="IOU44" s="83"/>
      <c r="IOV44" s="83"/>
      <c r="IOW44" s="83"/>
      <c r="IOX44" s="83"/>
      <c r="IOY44" s="83"/>
      <c r="IOZ44" s="83"/>
      <c r="IPA44" s="83"/>
      <c r="IPB44" s="83"/>
      <c r="IPC44" s="83"/>
      <c r="IPD44" s="83"/>
      <c r="IPE44" s="83"/>
      <c r="IPF44" s="83"/>
      <c r="IPG44" s="83"/>
      <c r="IPH44" s="83"/>
      <c r="IPI44" s="83"/>
      <c r="IPJ44" s="83"/>
      <c r="IPK44" s="83"/>
      <c r="IPL44" s="83"/>
      <c r="IPM44" s="83"/>
      <c r="IPN44" s="83"/>
      <c r="IPO44" s="83"/>
      <c r="IPP44" s="83"/>
      <c r="IPQ44" s="83"/>
      <c r="IPR44" s="83"/>
      <c r="IPS44" s="83"/>
      <c r="IPT44" s="83"/>
      <c r="IPU44" s="83"/>
      <c r="IPV44" s="83"/>
      <c r="IPW44" s="83"/>
      <c r="IPX44" s="83"/>
      <c r="IPY44" s="83"/>
      <c r="IPZ44" s="83"/>
      <c r="IQA44" s="83"/>
      <c r="IQB44" s="83"/>
      <c r="IQC44" s="83"/>
      <c r="IQD44" s="83"/>
      <c r="IQE44" s="83"/>
      <c r="IQF44" s="83"/>
      <c r="IQG44" s="83"/>
      <c r="IQH44" s="83"/>
      <c r="IQI44" s="83"/>
      <c r="IQJ44" s="83"/>
      <c r="IQK44" s="83"/>
      <c r="IQL44" s="83"/>
      <c r="IQM44" s="83"/>
      <c r="IQN44" s="83"/>
      <c r="IQO44" s="83"/>
      <c r="IQP44" s="83"/>
      <c r="IQQ44" s="83"/>
      <c r="IQR44" s="83"/>
      <c r="IQS44" s="83"/>
      <c r="IQT44" s="83"/>
      <c r="IQU44" s="83"/>
      <c r="IQV44" s="83"/>
      <c r="IQW44" s="83"/>
      <c r="IQX44" s="83"/>
      <c r="IQY44" s="83"/>
      <c r="IQZ44" s="83"/>
      <c r="IRA44" s="83"/>
      <c r="IRB44" s="83"/>
      <c r="IRC44" s="83"/>
      <c r="IRD44" s="83"/>
      <c r="IRE44" s="83"/>
      <c r="IRF44" s="83"/>
      <c r="IRG44" s="83"/>
      <c r="IRH44" s="83"/>
      <c r="IRI44" s="83"/>
      <c r="IRJ44" s="83"/>
      <c r="IRK44" s="83"/>
      <c r="IRL44" s="83"/>
      <c r="IRM44" s="83"/>
      <c r="IRN44" s="83"/>
      <c r="IRO44" s="83"/>
      <c r="IRP44" s="83"/>
      <c r="IRQ44" s="83"/>
      <c r="IRR44" s="83"/>
      <c r="IRS44" s="83"/>
      <c r="IRT44" s="83"/>
      <c r="IRU44" s="83"/>
      <c r="IRV44" s="83"/>
      <c r="IRW44" s="83"/>
      <c r="IRX44" s="83"/>
      <c r="IRY44" s="83"/>
      <c r="IRZ44" s="83"/>
      <c r="ISA44" s="83"/>
      <c r="ISB44" s="83"/>
      <c r="ISC44" s="83"/>
      <c r="ISD44" s="83"/>
      <c r="ISE44" s="83"/>
      <c r="ISF44" s="83"/>
      <c r="ISG44" s="83"/>
      <c r="ISH44" s="83"/>
      <c r="ISI44" s="83"/>
      <c r="ISJ44" s="83"/>
      <c r="ISK44" s="83"/>
      <c r="ISL44" s="83"/>
      <c r="ISM44" s="83"/>
      <c r="ISN44" s="83"/>
      <c r="ISO44" s="83"/>
      <c r="ISP44" s="83"/>
      <c r="ISQ44" s="83"/>
      <c r="ISR44" s="83"/>
      <c r="ISS44" s="83"/>
      <c r="IST44" s="83"/>
      <c r="ISU44" s="83"/>
      <c r="ISV44" s="83"/>
      <c r="ISW44" s="83"/>
      <c r="ISX44" s="83"/>
      <c r="ISY44" s="83"/>
      <c r="ISZ44" s="83"/>
      <c r="ITA44" s="83"/>
      <c r="ITB44" s="83"/>
      <c r="ITC44" s="83"/>
      <c r="ITD44" s="83"/>
      <c r="ITE44" s="83"/>
      <c r="ITF44" s="83"/>
      <c r="ITG44" s="83"/>
      <c r="ITH44" s="83"/>
      <c r="ITI44" s="83"/>
      <c r="ITJ44" s="83"/>
      <c r="ITK44" s="83"/>
      <c r="ITL44" s="83"/>
      <c r="ITM44" s="83"/>
      <c r="ITN44" s="83"/>
      <c r="ITO44" s="83"/>
      <c r="ITP44" s="83"/>
      <c r="ITQ44" s="83"/>
      <c r="ITR44" s="83"/>
      <c r="ITS44" s="83"/>
      <c r="ITT44" s="83"/>
      <c r="ITU44" s="83"/>
      <c r="ITV44" s="83"/>
      <c r="ITW44" s="83"/>
      <c r="ITX44" s="83"/>
      <c r="ITY44" s="83"/>
      <c r="ITZ44" s="83"/>
      <c r="IUA44" s="83"/>
      <c r="IUB44" s="83"/>
      <c r="IUC44" s="83"/>
      <c r="IUD44" s="83"/>
      <c r="IUE44" s="83"/>
      <c r="IUF44" s="83"/>
      <c r="IUG44" s="83"/>
      <c r="IUH44" s="83"/>
      <c r="IUI44" s="83"/>
      <c r="IUJ44" s="83"/>
      <c r="IUK44" s="83"/>
      <c r="IUL44" s="83"/>
      <c r="IUM44" s="83"/>
      <c r="IUN44" s="83"/>
      <c r="IUO44" s="83"/>
      <c r="IUP44" s="83"/>
      <c r="IUQ44" s="83"/>
      <c r="IUR44" s="83"/>
      <c r="IUS44" s="83"/>
      <c r="IUT44" s="83"/>
      <c r="IUU44" s="83"/>
      <c r="IUV44" s="83"/>
      <c r="IUW44" s="83"/>
      <c r="IUX44" s="83"/>
      <c r="IUY44" s="83"/>
      <c r="IUZ44" s="83"/>
      <c r="IVA44" s="83"/>
      <c r="IVB44" s="83"/>
      <c r="IVC44" s="83"/>
      <c r="IVD44" s="83"/>
      <c r="IVE44" s="83"/>
      <c r="IVF44" s="83"/>
      <c r="IVG44" s="83"/>
      <c r="IVH44" s="83"/>
      <c r="IVI44" s="83"/>
      <c r="IVJ44" s="83"/>
      <c r="IVK44" s="83"/>
      <c r="IVL44" s="83"/>
      <c r="IVM44" s="83"/>
      <c r="IVN44" s="83"/>
      <c r="IVO44" s="83"/>
      <c r="IVP44" s="83"/>
      <c r="IVQ44" s="83"/>
      <c r="IVR44" s="83"/>
      <c r="IVS44" s="83"/>
      <c r="IVT44" s="83"/>
      <c r="IVU44" s="83"/>
      <c r="IVV44" s="83"/>
      <c r="IVW44" s="83"/>
      <c r="IVX44" s="83"/>
      <c r="IVY44" s="83"/>
      <c r="IVZ44" s="83"/>
      <c r="IWA44" s="83"/>
      <c r="IWB44" s="83"/>
      <c r="IWC44" s="83"/>
      <c r="IWD44" s="83"/>
      <c r="IWE44" s="83"/>
      <c r="IWF44" s="83"/>
      <c r="IWG44" s="83"/>
      <c r="IWH44" s="83"/>
      <c r="IWI44" s="83"/>
      <c r="IWJ44" s="83"/>
      <c r="IWK44" s="83"/>
      <c r="IWL44" s="83"/>
      <c r="IWM44" s="83"/>
      <c r="IWN44" s="83"/>
      <c r="IWO44" s="83"/>
      <c r="IWP44" s="83"/>
      <c r="IWQ44" s="83"/>
      <c r="IWR44" s="83"/>
      <c r="IWS44" s="83"/>
      <c r="IWT44" s="83"/>
      <c r="IWU44" s="83"/>
      <c r="IWV44" s="83"/>
      <c r="IWW44" s="83"/>
      <c r="IWX44" s="83"/>
      <c r="IWY44" s="83"/>
      <c r="IWZ44" s="83"/>
      <c r="IXA44" s="83"/>
      <c r="IXB44" s="83"/>
      <c r="IXC44" s="83"/>
      <c r="IXD44" s="83"/>
      <c r="IXE44" s="83"/>
      <c r="IXF44" s="83"/>
      <c r="IXG44" s="83"/>
      <c r="IXH44" s="83"/>
      <c r="IXI44" s="83"/>
      <c r="IXJ44" s="83"/>
      <c r="IXK44" s="83"/>
      <c r="IXL44" s="83"/>
      <c r="IXM44" s="83"/>
      <c r="IXN44" s="83"/>
      <c r="IXO44" s="83"/>
      <c r="IXP44" s="83"/>
      <c r="IXQ44" s="83"/>
      <c r="IXR44" s="83"/>
      <c r="IXS44" s="83"/>
      <c r="IXT44" s="83"/>
      <c r="IXU44" s="83"/>
      <c r="IXV44" s="83"/>
      <c r="IXW44" s="83"/>
      <c r="IXX44" s="83"/>
      <c r="IXY44" s="83"/>
      <c r="IXZ44" s="83"/>
      <c r="IYA44" s="83"/>
      <c r="IYB44" s="83"/>
      <c r="IYC44" s="83"/>
      <c r="IYD44" s="83"/>
      <c r="IYE44" s="83"/>
      <c r="IYF44" s="83"/>
      <c r="IYG44" s="83"/>
      <c r="IYH44" s="83"/>
      <c r="IYI44" s="83"/>
      <c r="IYJ44" s="83"/>
      <c r="IYK44" s="83"/>
      <c r="IYL44" s="83"/>
      <c r="IYM44" s="83"/>
      <c r="IYN44" s="83"/>
      <c r="IYO44" s="83"/>
      <c r="IYP44" s="83"/>
      <c r="IYQ44" s="83"/>
      <c r="IYR44" s="83"/>
      <c r="IYS44" s="83"/>
      <c r="IYT44" s="83"/>
      <c r="IYU44" s="83"/>
      <c r="IYV44" s="83"/>
      <c r="IYW44" s="83"/>
      <c r="IYX44" s="83"/>
      <c r="IYY44" s="83"/>
      <c r="IYZ44" s="83"/>
      <c r="IZA44" s="83"/>
      <c r="IZB44" s="83"/>
      <c r="IZC44" s="83"/>
      <c r="IZD44" s="83"/>
      <c r="IZE44" s="83"/>
      <c r="IZF44" s="83"/>
      <c r="IZG44" s="83"/>
      <c r="IZH44" s="83"/>
      <c r="IZI44" s="83"/>
      <c r="IZJ44" s="83"/>
      <c r="IZK44" s="83"/>
      <c r="IZL44" s="83"/>
      <c r="IZM44" s="83"/>
      <c r="IZN44" s="83"/>
      <c r="IZO44" s="83"/>
      <c r="IZP44" s="83"/>
      <c r="IZQ44" s="83"/>
      <c r="IZR44" s="83"/>
      <c r="IZS44" s="83"/>
      <c r="IZT44" s="83"/>
      <c r="IZU44" s="83"/>
      <c r="IZV44" s="83"/>
      <c r="IZW44" s="83"/>
      <c r="IZX44" s="83"/>
      <c r="IZY44" s="83"/>
      <c r="IZZ44" s="83"/>
      <c r="JAA44" s="83"/>
      <c r="JAB44" s="83"/>
      <c r="JAC44" s="83"/>
      <c r="JAD44" s="83"/>
      <c r="JAE44" s="83"/>
      <c r="JAF44" s="83"/>
      <c r="JAG44" s="83"/>
      <c r="JAH44" s="83"/>
      <c r="JAI44" s="83"/>
      <c r="JAJ44" s="83"/>
      <c r="JAK44" s="83"/>
      <c r="JAL44" s="83"/>
      <c r="JAM44" s="83"/>
      <c r="JAN44" s="83"/>
      <c r="JAO44" s="83"/>
      <c r="JAP44" s="83"/>
      <c r="JAQ44" s="83"/>
      <c r="JAR44" s="83"/>
      <c r="JAS44" s="83"/>
      <c r="JAT44" s="83"/>
      <c r="JAU44" s="83"/>
      <c r="JAV44" s="83"/>
      <c r="JAW44" s="83"/>
      <c r="JAX44" s="83"/>
      <c r="JAY44" s="83"/>
      <c r="JAZ44" s="83"/>
      <c r="JBA44" s="83"/>
      <c r="JBB44" s="83"/>
      <c r="JBC44" s="83"/>
      <c r="JBD44" s="83"/>
      <c r="JBE44" s="83"/>
      <c r="JBF44" s="83"/>
      <c r="JBG44" s="83"/>
      <c r="JBH44" s="83"/>
      <c r="JBI44" s="83"/>
      <c r="JBJ44" s="83"/>
      <c r="JBK44" s="83"/>
      <c r="JBL44" s="83"/>
      <c r="JBM44" s="83"/>
      <c r="JBN44" s="83"/>
      <c r="JBO44" s="83"/>
      <c r="JBP44" s="83"/>
      <c r="JBQ44" s="83"/>
      <c r="JBR44" s="83"/>
      <c r="JBS44" s="83"/>
      <c r="JBT44" s="83"/>
      <c r="JBU44" s="83"/>
      <c r="JBV44" s="83"/>
      <c r="JBW44" s="83"/>
      <c r="JBX44" s="83"/>
      <c r="JBY44" s="83"/>
      <c r="JBZ44" s="83"/>
      <c r="JCA44" s="83"/>
      <c r="JCB44" s="83"/>
      <c r="JCC44" s="83"/>
      <c r="JCD44" s="83"/>
      <c r="JCE44" s="83"/>
      <c r="JCF44" s="83"/>
      <c r="JCG44" s="83"/>
      <c r="JCH44" s="83"/>
      <c r="JCI44" s="83"/>
      <c r="JCJ44" s="83"/>
      <c r="JCK44" s="83"/>
      <c r="JCL44" s="83"/>
      <c r="JCM44" s="83"/>
      <c r="JCN44" s="83"/>
      <c r="JCO44" s="83"/>
      <c r="JCP44" s="83"/>
      <c r="JCQ44" s="83"/>
      <c r="JCR44" s="83"/>
      <c r="JCS44" s="83"/>
      <c r="JCT44" s="83"/>
      <c r="JCU44" s="83"/>
      <c r="JCV44" s="83"/>
      <c r="JCW44" s="83"/>
      <c r="JCX44" s="83"/>
      <c r="JCY44" s="83"/>
      <c r="JCZ44" s="83"/>
      <c r="JDA44" s="83"/>
      <c r="JDB44" s="83"/>
      <c r="JDC44" s="83"/>
      <c r="JDD44" s="83"/>
      <c r="JDE44" s="83"/>
      <c r="JDF44" s="83"/>
      <c r="JDG44" s="83"/>
      <c r="JDH44" s="83"/>
      <c r="JDI44" s="83"/>
      <c r="JDJ44" s="83"/>
      <c r="JDK44" s="83"/>
      <c r="JDL44" s="83"/>
      <c r="JDM44" s="83"/>
      <c r="JDN44" s="83"/>
      <c r="JDO44" s="83"/>
      <c r="JDP44" s="83"/>
      <c r="JDQ44" s="83"/>
      <c r="JDR44" s="83"/>
      <c r="JDS44" s="83"/>
      <c r="JDT44" s="83"/>
      <c r="JDU44" s="83"/>
      <c r="JDV44" s="83"/>
      <c r="JDW44" s="83"/>
      <c r="JDX44" s="83"/>
      <c r="JDY44" s="83"/>
      <c r="JDZ44" s="83"/>
      <c r="JEA44" s="83"/>
      <c r="JEB44" s="83"/>
      <c r="JEC44" s="83"/>
      <c r="JED44" s="83"/>
      <c r="JEE44" s="83"/>
      <c r="JEF44" s="83"/>
      <c r="JEG44" s="83"/>
      <c r="JEH44" s="83"/>
      <c r="JEI44" s="83"/>
      <c r="JEJ44" s="83"/>
      <c r="JEK44" s="83"/>
      <c r="JEL44" s="83"/>
      <c r="JEM44" s="83"/>
      <c r="JEN44" s="83"/>
      <c r="JEO44" s="83"/>
      <c r="JEP44" s="83"/>
      <c r="JEQ44" s="83"/>
      <c r="JER44" s="83"/>
      <c r="JES44" s="83"/>
      <c r="JET44" s="83"/>
      <c r="JEU44" s="83"/>
      <c r="JEV44" s="83"/>
      <c r="JEW44" s="83"/>
      <c r="JEX44" s="83"/>
      <c r="JEY44" s="83"/>
      <c r="JEZ44" s="83"/>
      <c r="JFA44" s="83"/>
      <c r="JFB44" s="83"/>
      <c r="JFC44" s="83"/>
      <c r="JFD44" s="83"/>
      <c r="JFE44" s="83"/>
      <c r="JFF44" s="83"/>
      <c r="JFG44" s="83"/>
      <c r="JFH44" s="83"/>
      <c r="JFI44" s="83"/>
      <c r="JFJ44" s="83"/>
      <c r="JFK44" s="83"/>
      <c r="JFL44" s="83"/>
      <c r="JFM44" s="83"/>
      <c r="JFN44" s="83"/>
      <c r="JFO44" s="83"/>
      <c r="JFP44" s="83"/>
      <c r="JFQ44" s="83"/>
      <c r="JFR44" s="83"/>
      <c r="JFS44" s="83"/>
      <c r="JFT44" s="83"/>
      <c r="JFU44" s="83"/>
      <c r="JFV44" s="83"/>
      <c r="JFW44" s="83"/>
      <c r="JFX44" s="83"/>
      <c r="JFY44" s="83"/>
      <c r="JFZ44" s="83"/>
      <c r="JGA44" s="83"/>
      <c r="JGB44" s="83"/>
      <c r="JGC44" s="83"/>
      <c r="JGD44" s="83"/>
      <c r="JGE44" s="83"/>
      <c r="JGF44" s="83"/>
      <c r="JGG44" s="83"/>
      <c r="JGH44" s="83"/>
      <c r="JGI44" s="83"/>
      <c r="JGJ44" s="83"/>
      <c r="JGK44" s="83"/>
      <c r="JGL44" s="83"/>
      <c r="JGM44" s="83"/>
      <c r="JGN44" s="83"/>
      <c r="JGO44" s="83"/>
      <c r="JGP44" s="83"/>
      <c r="JGQ44" s="83"/>
      <c r="JGR44" s="83"/>
      <c r="JGS44" s="83"/>
      <c r="JGT44" s="83"/>
      <c r="JGU44" s="83"/>
      <c r="JGV44" s="83"/>
      <c r="JGW44" s="83"/>
      <c r="JGX44" s="83"/>
      <c r="JGY44" s="83"/>
      <c r="JGZ44" s="83"/>
      <c r="JHA44" s="83"/>
      <c r="JHB44" s="83"/>
      <c r="JHC44" s="83"/>
      <c r="JHD44" s="83"/>
      <c r="JHE44" s="83"/>
      <c r="JHF44" s="83"/>
      <c r="JHG44" s="83"/>
      <c r="JHH44" s="83"/>
      <c r="JHI44" s="83"/>
      <c r="JHJ44" s="83"/>
      <c r="JHK44" s="83"/>
      <c r="JHL44" s="83"/>
      <c r="JHM44" s="83"/>
      <c r="JHN44" s="83"/>
      <c r="JHO44" s="83"/>
      <c r="JHP44" s="83"/>
      <c r="JHQ44" s="83"/>
      <c r="JHR44" s="83"/>
      <c r="JHS44" s="83"/>
      <c r="JHT44" s="83"/>
      <c r="JHU44" s="83"/>
      <c r="JHV44" s="83"/>
      <c r="JHW44" s="83"/>
      <c r="JHX44" s="83"/>
      <c r="JHY44" s="83"/>
      <c r="JHZ44" s="83"/>
      <c r="JIA44" s="83"/>
      <c r="JIB44" s="83"/>
      <c r="JIC44" s="83"/>
      <c r="JID44" s="83"/>
      <c r="JIE44" s="83"/>
      <c r="JIF44" s="83"/>
      <c r="JIG44" s="83"/>
      <c r="JIH44" s="83"/>
      <c r="JII44" s="83"/>
      <c r="JIJ44" s="83"/>
      <c r="JIK44" s="83"/>
      <c r="JIL44" s="83"/>
      <c r="JIM44" s="83"/>
      <c r="JIN44" s="83"/>
      <c r="JIO44" s="83"/>
      <c r="JIP44" s="83"/>
      <c r="JIQ44" s="83"/>
      <c r="JIR44" s="83"/>
      <c r="JIS44" s="83"/>
      <c r="JIT44" s="83"/>
      <c r="JIU44" s="83"/>
      <c r="JIV44" s="83"/>
      <c r="JIW44" s="83"/>
      <c r="JIX44" s="83"/>
      <c r="JIY44" s="83"/>
      <c r="JIZ44" s="83"/>
      <c r="JJA44" s="83"/>
      <c r="JJB44" s="83"/>
      <c r="JJC44" s="83"/>
      <c r="JJD44" s="83"/>
      <c r="JJE44" s="83"/>
      <c r="JJF44" s="83"/>
      <c r="JJG44" s="83"/>
      <c r="JJH44" s="83"/>
      <c r="JJI44" s="83"/>
      <c r="JJJ44" s="83"/>
      <c r="JJK44" s="83"/>
      <c r="JJL44" s="83"/>
      <c r="JJM44" s="83"/>
      <c r="JJN44" s="83"/>
      <c r="JJO44" s="83"/>
      <c r="JJP44" s="83"/>
      <c r="JJQ44" s="83"/>
      <c r="JJR44" s="83"/>
      <c r="JJS44" s="83"/>
      <c r="JJT44" s="83"/>
      <c r="JJU44" s="83"/>
      <c r="JJV44" s="83"/>
      <c r="JJW44" s="83"/>
      <c r="JJX44" s="83"/>
      <c r="JJY44" s="83"/>
      <c r="JJZ44" s="83"/>
      <c r="JKA44" s="83"/>
      <c r="JKB44" s="83"/>
      <c r="JKC44" s="83"/>
      <c r="JKD44" s="83"/>
      <c r="JKE44" s="83"/>
      <c r="JKF44" s="83"/>
      <c r="JKG44" s="83"/>
      <c r="JKH44" s="83"/>
      <c r="JKI44" s="83"/>
      <c r="JKJ44" s="83"/>
      <c r="JKK44" s="83"/>
      <c r="JKL44" s="83"/>
      <c r="JKM44" s="83"/>
      <c r="JKN44" s="83"/>
      <c r="JKO44" s="83"/>
      <c r="JKP44" s="83"/>
      <c r="JKQ44" s="83"/>
      <c r="JKR44" s="83"/>
      <c r="JKS44" s="83"/>
      <c r="JKT44" s="83"/>
      <c r="JKU44" s="83"/>
      <c r="JKV44" s="83"/>
      <c r="JKW44" s="83"/>
      <c r="JKX44" s="83"/>
      <c r="JKY44" s="83"/>
      <c r="JKZ44" s="83"/>
      <c r="JLA44" s="83"/>
      <c r="JLB44" s="83"/>
      <c r="JLC44" s="83"/>
      <c r="JLD44" s="83"/>
      <c r="JLE44" s="83"/>
      <c r="JLF44" s="83"/>
      <c r="JLG44" s="83"/>
      <c r="JLH44" s="83"/>
      <c r="JLI44" s="83"/>
      <c r="JLJ44" s="83"/>
      <c r="JLK44" s="83"/>
      <c r="JLL44" s="83"/>
      <c r="JLM44" s="83"/>
      <c r="JLN44" s="83"/>
      <c r="JLO44" s="83"/>
      <c r="JLP44" s="83"/>
      <c r="JLQ44" s="83"/>
      <c r="JLR44" s="83"/>
      <c r="JLS44" s="83"/>
      <c r="JLT44" s="83"/>
      <c r="JLU44" s="83"/>
      <c r="JLV44" s="83"/>
      <c r="JLW44" s="83"/>
      <c r="JLX44" s="83"/>
      <c r="JLY44" s="83"/>
      <c r="JLZ44" s="83"/>
      <c r="JMA44" s="83"/>
      <c r="JMB44" s="83"/>
      <c r="JMC44" s="83"/>
      <c r="JMD44" s="83"/>
      <c r="JME44" s="83"/>
      <c r="JMF44" s="83"/>
      <c r="JMG44" s="83"/>
      <c r="JMH44" s="83"/>
      <c r="JMI44" s="83"/>
      <c r="JMJ44" s="83"/>
      <c r="JMK44" s="83"/>
      <c r="JML44" s="83"/>
      <c r="JMM44" s="83"/>
      <c r="JMN44" s="83"/>
      <c r="JMO44" s="83"/>
      <c r="JMP44" s="83"/>
      <c r="JMQ44" s="83"/>
      <c r="JMR44" s="83"/>
      <c r="JMS44" s="83"/>
      <c r="JMT44" s="83"/>
      <c r="JMU44" s="83"/>
      <c r="JMV44" s="83"/>
      <c r="JMW44" s="83"/>
      <c r="JMX44" s="83"/>
      <c r="JMY44" s="83"/>
      <c r="JMZ44" s="83"/>
      <c r="JNA44" s="83"/>
      <c r="JNB44" s="83"/>
      <c r="JNC44" s="83"/>
      <c r="JND44" s="83"/>
      <c r="JNE44" s="83"/>
      <c r="JNF44" s="83"/>
      <c r="JNG44" s="83"/>
      <c r="JNH44" s="83"/>
      <c r="JNI44" s="83"/>
      <c r="JNJ44" s="83"/>
      <c r="JNK44" s="83"/>
      <c r="JNL44" s="83"/>
      <c r="JNM44" s="83"/>
      <c r="JNN44" s="83"/>
      <c r="JNO44" s="83"/>
      <c r="JNP44" s="83"/>
      <c r="JNQ44" s="83"/>
      <c r="JNR44" s="83"/>
      <c r="JNS44" s="83"/>
      <c r="JNT44" s="83"/>
      <c r="JNU44" s="83"/>
      <c r="JNV44" s="83"/>
      <c r="JNW44" s="83"/>
      <c r="JNX44" s="83"/>
      <c r="JNY44" s="83"/>
      <c r="JNZ44" s="83"/>
      <c r="JOA44" s="83"/>
      <c r="JOB44" s="83"/>
      <c r="JOC44" s="83"/>
      <c r="JOD44" s="83"/>
      <c r="JOE44" s="83"/>
      <c r="JOF44" s="83"/>
      <c r="JOG44" s="83"/>
      <c r="JOH44" s="83"/>
      <c r="JOI44" s="83"/>
      <c r="JOJ44" s="83"/>
      <c r="JOK44" s="83"/>
      <c r="JOL44" s="83"/>
      <c r="JOM44" s="83"/>
      <c r="JON44" s="83"/>
      <c r="JOO44" s="83"/>
      <c r="JOP44" s="83"/>
      <c r="JOQ44" s="83"/>
      <c r="JOR44" s="83"/>
      <c r="JOS44" s="83"/>
      <c r="JOT44" s="83"/>
      <c r="JOU44" s="83"/>
      <c r="JOV44" s="83"/>
      <c r="JOW44" s="83"/>
      <c r="JOX44" s="83"/>
      <c r="JOY44" s="83"/>
      <c r="JOZ44" s="83"/>
      <c r="JPA44" s="83"/>
      <c r="JPB44" s="83"/>
      <c r="JPC44" s="83"/>
      <c r="JPD44" s="83"/>
      <c r="JPE44" s="83"/>
      <c r="JPF44" s="83"/>
      <c r="JPG44" s="83"/>
      <c r="JPH44" s="83"/>
      <c r="JPI44" s="83"/>
      <c r="JPJ44" s="83"/>
      <c r="JPK44" s="83"/>
      <c r="JPL44" s="83"/>
      <c r="JPM44" s="83"/>
      <c r="JPN44" s="83"/>
      <c r="JPO44" s="83"/>
      <c r="JPP44" s="83"/>
      <c r="JPQ44" s="83"/>
      <c r="JPR44" s="83"/>
      <c r="JPS44" s="83"/>
      <c r="JPT44" s="83"/>
      <c r="JPU44" s="83"/>
      <c r="JPV44" s="83"/>
      <c r="JPW44" s="83"/>
      <c r="JPX44" s="83"/>
      <c r="JPY44" s="83"/>
      <c r="JPZ44" s="83"/>
      <c r="JQA44" s="83"/>
      <c r="JQB44" s="83"/>
      <c r="JQC44" s="83"/>
      <c r="JQD44" s="83"/>
      <c r="JQE44" s="83"/>
      <c r="JQF44" s="83"/>
      <c r="JQG44" s="83"/>
      <c r="JQH44" s="83"/>
      <c r="JQI44" s="83"/>
      <c r="JQJ44" s="83"/>
      <c r="JQK44" s="83"/>
      <c r="JQL44" s="83"/>
      <c r="JQM44" s="83"/>
      <c r="JQN44" s="83"/>
      <c r="JQO44" s="83"/>
      <c r="JQP44" s="83"/>
      <c r="JQQ44" s="83"/>
      <c r="JQR44" s="83"/>
      <c r="JQS44" s="83"/>
      <c r="JQT44" s="83"/>
      <c r="JQU44" s="83"/>
      <c r="JQV44" s="83"/>
      <c r="JQW44" s="83"/>
      <c r="JQX44" s="83"/>
      <c r="JQY44" s="83"/>
      <c r="JQZ44" s="83"/>
      <c r="JRA44" s="83"/>
      <c r="JRB44" s="83"/>
      <c r="JRC44" s="83"/>
      <c r="JRD44" s="83"/>
      <c r="JRE44" s="83"/>
      <c r="JRF44" s="83"/>
      <c r="JRG44" s="83"/>
      <c r="JRH44" s="83"/>
      <c r="JRI44" s="83"/>
      <c r="JRJ44" s="83"/>
      <c r="JRK44" s="83"/>
      <c r="JRL44" s="83"/>
      <c r="JRM44" s="83"/>
      <c r="JRN44" s="83"/>
      <c r="JRO44" s="83"/>
      <c r="JRP44" s="83"/>
      <c r="JRQ44" s="83"/>
      <c r="JRR44" s="83"/>
      <c r="JRS44" s="83"/>
      <c r="JRT44" s="83"/>
      <c r="JRU44" s="83"/>
      <c r="JRV44" s="83"/>
      <c r="JRW44" s="83"/>
      <c r="JRX44" s="83"/>
      <c r="JRY44" s="83"/>
      <c r="JRZ44" s="83"/>
      <c r="JSA44" s="83"/>
      <c r="JSB44" s="83"/>
      <c r="JSC44" s="83"/>
      <c r="JSD44" s="83"/>
      <c r="JSE44" s="83"/>
      <c r="JSF44" s="83"/>
      <c r="JSG44" s="83"/>
      <c r="JSH44" s="83"/>
      <c r="JSI44" s="83"/>
      <c r="JSJ44" s="83"/>
      <c r="JSK44" s="83"/>
      <c r="JSL44" s="83"/>
      <c r="JSM44" s="83"/>
      <c r="JSN44" s="83"/>
      <c r="JSO44" s="83"/>
      <c r="JSP44" s="83"/>
      <c r="JSQ44" s="83"/>
      <c r="JSR44" s="83"/>
      <c r="JSS44" s="83"/>
      <c r="JST44" s="83"/>
      <c r="JSU44" s="83"/>
      <c r="JSV44" s="83"/>
      <c r="JSW44" s="83"/>
      <c r="JSX44" s="83"/>
      <c r="JSY44" s="83"/>
      <c r="JSZ44" s="83"/>
      <c r="JTA44" s="83"/>
      <c r="JTB44" s="83"/>
      <c r="JTC44" s="83"/>
      <c r="JTD44" s="83"/>
      <c r="JTE44" s="83"/>
      <c r="JTF44" s="83"/>
      <c r="JTG44" s="83"/>
      <c r="JTH44" s="83"/>
      <c r="JTI44" s="83"/>
      <c r="JTJ44" s="83"/>
      <c r="JTK44" s="83"/>
      <c r="JTL44" s="83"/>
      <c r="JTM44" s="83"/>
      <c r="JTN44" s="83"/>
      <c r="JTO44" s="83"/>
      <c r="JTP44" s="83"/>
      <c r="JTQ44" s="83"/>
      <c r="JTR44" s="83"/>
      <c r="JTS44" s="83"/>
      <c r="JTT44" s="83"/>
      <c r="JTU44" s="83"/>
      <c r="JTV44" s="83"/>
      <c r="JTW44" s="83"/>
      <c r="JTX44" s="83"/>
      <c r="JTY44" s="83"/>
      <c r="JTZ44" s="83"/>
      <c r="JUA44" s="83"/>
      <c r="JUB44" s="83"/>
      <c r="JUC44" s="83"/>
      <c r="JUD44" s="83"/>
      <c r="JUE44" s="83"/>
      <c r="JUF44" s="83"/>
      <c r="JUG44" s="83"/>
      <c r="JUH44" s="83"/>
      <c r="JUI44" s="83"/>
      <c r="JUJ44" s="83"/>
      <c r="JUK44" s="83"/>
      <c r="JUL44" s="83"/>
      <c r="JUM44" s="83"/>
      <c r="JUN44" s="83"/>
      <c r="JUO44" s="83"/>
      <c r="JUP44" s="83"/>
      <c r="JUQ44" s="83"/>
      <c r="JUR44" s="83"/>
      <c r="JUS44" s="83"/>
      <c r="JUT44" s="83"/>
      <c r="JUU44" s="83"/>
      <c r="JUV44" s="83"/>
      <c r="JUW44" s="83"/>
      <c r="JUX44" s="83"/>
      <c r="JUY44" s="83"/>
      <c r="JUZ44" s="83"/>
      <c r="JVA44" s="83"/>
      <c r="JVB44" s="83"/>
      <c r="JVC44" s="83"/>
      <c r="JVD44" s="83"/>
      <c r="JVE44" s="83"/>
      <c r="JVF44" s="83"/>
      <c r="JVG44" s="83"/>
      <c r="JVH44" s="83"/>
      <c r="JVI44" s="83"/>
      <c r="JVJ44" s="83"/>
      <c r="JVK44" s="83"/>
      <c r="JVL44" s="83"/>
      <c r="JVM44" s="83"/>
      <c r="JVN44" s="83"/>
      <c r="JVO44" s="83"/>
      <c r="JVP44" s="83"/>
      <c r="JVQ44" s="83"/>
      <c r="JVR44" s="83"/>
      <c r="JVS44" s="83"/>
      <c r="JVT44" s="83"/>
      <c r="JVU44" s="83"/>
      <c r="JVV44" s="83"/>
      <c r="JVW44" s="83"/>
      <c r="JVX44" s="83"/>
      <c r="JVY44" s="83"/>
      <c r="JVZ44" s="83"/>
      <c r="JWA44" s="83"/>
      <c r="JWB44" s="83"/>
      <c r="JWC44" s="83"/>
      <c r="JWD44" s="83"/>
      <c r="JWE44" s="83"/>
      <c r="JWF44" s="83"/>
      <c r="JWG44" s="83"/>
      <c r="JWH44" s="83"/>
      <c r="JWI44" s="83"/>
      <c r="JWJ44" s="83"/>
      <c r="JWK44" s="83"/>
      <c r="JWL44" s="83"/>
      <c r="JWM44" s="83"/>
      <c r="JWN44" s="83"/>
      <c r="JWO44" s="83"/>
      <c r="JWP44" s="83"/>
      <c r="JWQ44" s="83"/>
      <c r="JWR44" s="83"/>
      <c r="JWS44" s="83"/>
      <c r="JWT44" s="83"/>
      <c r="JWU44" s="83"/>
      <c r="JWV44" s="83"/>
      <c r="JWW44" s="83"/>
      <c r="JWX44" s="83"/>
      <c r="JWY44" s="83"/>
      <c r="JWZ44" s="83"/>
      <c r="JXA44" s="83"/>
      <c r="JXB44" s="83"/>
      <c r="JXC44" s="83"/>
      <c r="JXD44" s="83"/>
      <c r="JXE44" s="83"/>
      <c r="JXF44" s="83"/>
      <c r="JXG44" s="83"/>
      <c r="JXH44" s="83"/>
      <c r="JXI44" s="83"/>
      <c r="JXJ44" s="83"/>
      <c r="JXK44" s="83"/>
      <c r="JXL44" s="83"/>
      <c r="JXM44" s="83"/>
      <c r="JXN44" s="83"/>
      <c r="JXO44" s="83"/>
      <c r="JXP44" s="83"/>
      <c r="JXQ44" s="83"/>
      <c r="JXR44" s="83"/>
      <c r="JXS44" s="83"/>
      <c r="JXT44" s="83"/>
      <c r="JXU44" s="83"/>
      <c r="JXV44" s="83"/>
      <c r="JXW44" s="83"/>
      <c r="JXX44" s="83"/>
      <c r="JXY44" s="83"/>
      <c r="JXZ44" s="83"/>
      <c r="JYA44" s="83"/>
      <c r="JYB44" s="83"/>
      <c r="JYC44" s="83"/>
      <c r="JYD44" s="83"/>
      <c r="JYE44" s="83"/>
      <c r="JYF44" s="83"/>
      <c r="JYG44" s="83"/>
      <c r="JYH44" s="83"/>
      <c r="JYI44" s="83"/>
      <c r="JYJ44" s="83"/>
      <c r="JYK44" s="83"/>
      <c r="JYL44" s="83"/>
      <c r="JYM44" s="83"/>
      <c r="JYN44" s="83"/>
      <c r="JYO44" s="83"/>
      <c r="JYP44" s="83"/>
      <c r="JYQ44" s="83"/>
      <c r="JYR44" s="83"/>
      <c r="JYS44" s="83"/>
      <c r="JYT44" s="83"/>
      <c r="JYU44" s="83"/>
      <c r="JYV44" s="83"/>
      <c r="JYW44" s="83"/>
      <c r="JYX44" s="83"/>
      <c r="JYY44" s="83"/>
      <c r="JYZ44" s="83"/>
      <c r="JZA44" s="83"/>
      <c r="JZB44" s="83"/>
      <c r="JZC44" s="83"/>
      <c r="JZD44" s="83"/>
      <c r="JZE44" s="83"/>
      <c r="JZF44" s="83"/>
      <c r="JZG44" s="83"/>
      <c r="JZH44" s="83"/>
      <c r="JZI44" s="83"/>
      <c r="JZJ44" s="83"/>
      <c r="JZK44" s="83"/>
      <c r="JZL44" s="83"/>
      <c r="JZM44" s="83"/>
      <c r="JZN44" s="83"/>
      <c r="JZO44" s="83"/>
      <c r="JZP44" s="83"/>
      <c r="JZQ44" s="83"/>
      <c r="JZR44" s="83"/>
      <c r="JZS44" s="83"/>
      <c r="JZT44" s="83"/>
      <c r="JZU44" s="83"/>
      <c r="JZV44" s="83"/>
      <c r="JZW44" s="83"/>
      <c r="JZX44" s="83"/>
      <c r="JZY44" s="83"/>
      <c r="JZZ44" s="83"/>
      <c r="KAA44" s="83"/>
      <c r="KAB44" s="83"/>
      <c r="KAC44" s="83"/>
      <c r="KAD44" s="83"/>
      <c r="KAE44" s="83"/>
      <c r="KAF44" s="83"/>
      <c r="KAG44" s="83"/>
      <c r="KAH44" s="83"/>
      <c r="KAI44" s="83"/>
      <c r="KAJ44" s="83"/>
      <c r="KAK44" s="83"/>
      <c r="KAL44" s="83"/>
      <c r="KAM44" s="83"/>
      <c r="KAN44" s="83"/>
      <c r="KAO44" s="83"/>
      <c r="KAP44" s="83"/>
      <c r="KAQ44" s="83"/>
      <c r="KAR44" s="83"/>
      <c r="KAS44" s="83"/>
      <c r="KAT44" s="83"/>
      <c r="KAU44" s="83"/>
      <c r="KAV44" s="83"/>
      <c r="KAW44" s="83"/>
      <c r="KAX44" s="83"/>
      <c r="KAY44" s="83"/>
      <c r="KAZ44" s="83"/>
      <c r="KBA44" s="83"/>
      <c r="KBB44" s="83"/>
      <c r="KBC44" s="83"/>
      <c r="KBD44" s="83"/>
      <c r="KBE44" s="83"/>
      <c r="KBF44" s="83"/>
      <c r="KBG44" s="83"/>
      <c r="KBH44" s="83"/>
      <c r="KBI44" s="83"/>
      <c r="KBJ44" s="83"/>
      <c r="KBK44" s="83"/>
      <c r="KBL44" s="83"/>
      <c r="KBM44" s="83"/>
      <c r="KBN44" s="83"/>
      <c r="KBO44" s="83"/>
      <c r="KBP44" s="83"/>
      <c r="KBQ44" s="83"/>
      <c r="KBR44" s="83"/>
      <c r="KBS44" s="83"/>
      <c r="KBT44" s="83"/>
      <c r="KBU44" s="83"/>
      <c r="KBV44" s="83"/>
      <c r="KBW44" s="83"/>
      <c r="KBX44" s="83"/>
      <c r="KBY44" s="83"/>
      <c r="KBZ44" s="83"/>
      <c r="KCA44" s="83"/>
      <c r="KCB44" s="83"/>
      <c r="KCC44" s="83"/>
      <c r="KCD44" s="83"/>
      <c r="KCE44" s="83"/>
      <c r="KCF44" s="83"/>
      <c r="KCG44" s="83"/>
      <c r="KCH44" s="83"/>
      <c r="KCI44" s="83"/>
      <c r="KCJ44" s="83"/>
      <c r="KCK44" s="83"/>
      <c r="KCL44" s="83"/>
      <c r="KCM44" s="83"/>
      <c r="KCN44" s="83"/>
      <c r="KCO44" s="83"/>
      <c r="KCP44" s="83"/>
      <c r="KCQ44" s="83"/>
      <c r="KCR44" s="83"/>
      <c r="KCS44" s="83"/>
      <c r="KCT44" s="83"/>
      <c r="KCU44" s="83"/>
      <c r="KCV44" s="83"/>
      <c r="KCW44" s="83"/>
      <c r="KCX44" s="83"/>
      <c r="KCY44" s="83"/>
      <c r="KCZ44" s="83"/>
      <c r="KDA44" s="83"/>
      <c r="KDB44" s="83"/>
      <c r="KDC44" s="83"/>
      <c r="KDD44" s="83"/>
      <c r="KDE44" s="83"/>
      <c r="KDF44" s="83"/>
      <c r="KDG44" s="83"/>
      <c r="KDH44" s="83"/>
      <c r="KDI44" s="83"/>
      <c r="KDJ44" s="83"/>
      <c r="KDK44" s="83"/>
      <c r="KDL44" s="83"/>
      <c r="KDM44" s="83"/>
      <c r="KDN44" s="83"/>
      <c r="KDO44" s="83"/>
      <c r="KDP44" s="83"/>
      <c r="KDQ44" s="83"/>
      <c r="KDR44" s="83"/>
      <c r="KDS44" s="83"/>
      <c r="KDT44" s="83"/>
      <c r="KDU44" s="83"/>
      <c r="KDV44" s="83"/>
      <c r="KDW44" s="83"/>
      <c r="KDX44" s="83"/>
      <c r="KDY44" s="83"/>
      <c r="KDZ44" s="83"/>
      <c r="KEA44" s="83"/>
      <c r="KEB44" s="83"/>
      <c r="KEC44" s="83"/>
      <c r="KED44" s="83"/>
      <c r="KEE44" s="83"/>
      <c r="KEF44" s="83"/>
      <c r="KEG44" s="83"/>
      <c r="KEH44" s="83"/>
      <c r="KEI44" s="83"/>
      <c r="KEJ44" s="83"/>
      <c r="KEK44" s="83"/>
      <c r="KEL44" s="83"/>
      <c r="KEM44" s="83"/>
      <c r="KEN44" s="83"/>
      <c r="KEO44" s="83"/>
      <c r="KEP44" s="83"/>
      <c r="KEQ44" s="83"/>
      <c r="KER44" s="83"/>
      <c r="KES44" s="83"/>
      <c r="KET44" s="83"/>
      <c r="KEU44" s="83"/>
      <c r="KEV44" s="83"/>
      <c r="KEW44" s="83"/>
      <c r="KEX44" s="83"/>
      <c r="KEY44" s="83"/>
      <c r="KEZ44" s="83"/>
      <c r="KFA44" s="83"/>
      <c r="KFB44" s="83"/>
      <c r="KFC44" s="83"/>
      <c r="KFD44" s="83"/>
      <c r="KFE44" s="83"/>
      <c r="KFF44" s="83"/>
      <c r="KFG44" s="83"/>
      <c r="KFH44" s="83"/>
      <c r="KFI44" s="83"/>
      <c r="KFJ44" s="83"/>
      <c r="KFK44" s="83"/>
      <c r="KFL44" s="83"/>
      <c r="KFM44" s="83"/>
      <c r="KFN44" s="83"/>
      <c r="KFO44" s="83"/>
      <c r="KFP44" s="83"/>
      <c r="KFQ44" s="83"/>
      <c r="KFR44" s="83"/>
      <c r="KFS44" s="83"/>
      <c r="KFT44" s="83"/>
      <c r="KFU44" s="83"/>
      <c r="KFV44" s="83"/>
      <c r="KFW44" s="83"/>
      <c r="KFX44" s="83"/>
      <c r="KFY44" s="83"/>
      <c r="KFZ44" s="83"/>
      <c r="KGA44" s="83"/>
      <c r="KGB44" s="83"/>
      <c r="KGC44" s="83"/>
      <c r="KGD44" s="83"/>
      <c r="KGE44" s="83"/>
      <c r="KGF44" s="83"/>
      <c r="KGG44" s="83"/>
      <c r="KGH44" s="83"/>
      <c r="KGI44" s="83"/>
      <c r="KGJ44" s="83"/>
      <c r="KGK44" s="83"/>
      <c r="KGL44" s="83"/>
      <c r="KGM44" s="83"/>
      <c r="KGN44" s="83"/>
      <c r="KGO44" s="83"/>
      <c r="KGP44" s="83"/>
      <c r="KGQ44" s="83"/>
      <c r="KGR44" s="83"/>
      <c r="KGS44" s="83"/>
      <c r="KGT44" s="83"/>
      <c r="KGU44" s="83"/>
      <c r="KGV44" s="83"/>
      <c r="KGW44" s="83"/>
      <c r="KGX44" s="83"/>
      <c r="KGY44" s="83"/>
      <c r="KGZ44" s="83"/>
      <c r="KHA44" s="83"/>
      <c r="KHB44" s="83"/>
      <c r="KHC44" s="83"/>
      <c r="KHD44" s="83"/>
      <c r="KHE44" s="83"/>
      <c r="KHF44" s="83"/>
      <c r="KHG44" s="83"/>
      <c r="KHH44" s="83"/>
      <c r="KHI44" s="83"/>
      <c r="KHJ44" s="83"/>
      <c r="KHK44" s="83"/>
      <c r="KHL44" s="83"/>
      <c r="KHM44" s="83"/>
      <c r="KHN44" s="83"/>
      <c r="KHO44" s="83"/>
      <c r="KHP44" s="83"/>
      <c r="KHQ44" s="83"/>
      <c r="KHR44" s="83"/>
      <c r="KHS44" s="83"/>
      <c r="KHT44" s="83"/>
      <c r="KHU44" s="83"/>
      <c r="KHV44" s="83"/>
      <c r="KHW44" s="83"/>
      <c r="KHX44" s="83"/>
      <c r="KHY44" s="83"/>
      <c r="KHZ44" s="83"/>
      <c r="KIA44" s="83"/>
      <c r="KIB44" s="83"/>
      <c r="KIC44" s="83"/>
      <c r="KID44" s="83"/>
      <c r="KIE44" s="83"/>
      <c r="KIF44" s="83"/>
      <c r="KIG44" s="83"/>
      <c r="KIH44" s="83"/>
      <c r="KII44" s="83"/>
      <c r="KIJ44" s="83"/>
      <c r="KIK44" s="83"/>
      <c r="KIL44" s="83"/>
      <c r="KIM44" s="83"/>
      <c r="KIN44" s="83"/>
      <c r="KIO44" s="83"/>
      <c r="KIP44" s="83"/>
      <c r="KIQ44" s="83"/>
      <c r="KIR44" s="83"/>
      <c r="KIS44" s="83"/>
      <c r="KIT44" s="83"/>
      <c r="KIU44" s="83"/>
      <c r="KIV44" s="83"/>
      <c r="KIW44" s="83"/>
      <c r="KIX44" s="83"/>
      <c r="KIY44" s="83"/>
      <c r="KIZ44" s="83"/>
      <c r="KJA44" s="83"/>
      <c r="KJB44" s="83"/>
      <c r="KJC44" s="83"/>
      <c r="KJD44" s="83"/>
      <c r="KJE44" s="83"/>
      <c r="KJF44" s="83"/>
      <c r="KJG44" s="83"/>
      <c r="KJH44" s="83"/>
      <c r="KJI44" s="83"/>
      <c r="KJJ44" s="83"/>
      <c r="KJK44" s="83"/>
      <c r="KJL44" s="83"/>
      <c r="KJM44" s="83"/>
      <c r="KJN44" s="83"/>
      <c r="KJO44" s="83"/>
      <c r="KJP44" s="83"/>
      <c r="KJQ44" s="83"/>
      <c r="KJR44" s="83"/>
      <c r="KJS44" s="83"/>
      <c r="KJT44" s="83"/>
      <c r="KJU44" s="83"/>
      <c r="KJV44" s="83"/>
      <c r="KJW44" s="83"/>
      <c r="KJX44" s="83"/>
      <c r="KJY44" s="83"/>
      <c r="KJZ44" s="83"/>
      <c r="KKA44" s="83"/>
      <c r="KKB44" s="83"/>
      <c r="KKC44" s="83"/>
      <c r="KKD44" s="83"/>
      <c r="KKE44" s="83"/>
      <c r="KKF44" s="83"/>
      <c r="KKG44" s="83"/>
      <c r="KKH44" s="83"/>
      <c r="KKI44" s="83"/>
      <c r="KKJ44" s="83"/>
      <c r="KKK44" s="83"/>
      <c r="KKL44" s="83"/>
      <c r="KKM44" s="83"/>
      <c r="KKN44" s="83"/>
      <c r="KKO44" s="83"/>
      <c r="KKP44" s="83"/>
      <c r="KKQ44" s="83"/>
      <c r="KKR44" s="83"/>
      <c r="KKS44" s="83"/>
      <c r="KKT44" s="83"/>
      <c r="KKU44" s="83"/>
      <c r="KKV44" s="83"/>
      <c r="KKW44" s="83"/>
      <c r="KKX44" s="83"/>
      <c r="KKY44" s="83"/>
      <c r="KKZ44" s="83"/>
      <c r="KLA44" s="83"/>
      <c r="KLB44" s="83"/>
      <c r="KLC44" s="83"/>
      <c r="KLD44" s="83"/>
      <c r="KLE44" s="83"/>
      <c r="KLF44" s="83"/>
      <c r="KLG44" s="83"/>
      <c r="KLH44" s="83"/>
      <c r="KLI44" s="83"/>
      <c r="KLJ44" s="83"/>
      <c r="KLK44" s="83"/>
      <c r="KLL44" s="83"/>
      <c r="KLM44" s="83"/>
      <c r="KLN44" s="83"/>
      <c r="KLO44" s="83"/>
      <c r="KLP44" s="83"/>
      <c r="KLQ44" s="83"/>
      <c r="KLR44" s="83"/>
      <c r="KLS44" s="83"/>
      <c r="KLT44" s="83"/>
      <c r="KLU44" s="83"/>
      <c r="KLV44" s="83"/>
      <c r="KLW44" s="83"/>
      <c r="KLX44" s="83"/>
      <c r="KLY44" s="83"/>
      <c r="KLZ44" s="83"/>
      <c r="KMA44" s="83"/>
      <c r="KMB44" s="83"/>
      <c r="KMC44" s="83"/>
      <c r="KMD44" s="83"/>
      <c r="KME44" s="83"/>
      <c r="KMF44" s="83"/>
      <c r="KMG44" s="83"/>
      <c r="KMH44" s="83"/>
      <c r="KMI44" s="83"/>
      <c r="KMJ44" s="83"/>
      <c r="KMK44" s="83"/>
      <c r="KML44" s="83"/>
      <c r="KMM44" s="83"/>
      <c r="KMN44" s="83"/>
      <c r="KMO44" s="83"/>
      <c r="KMP44" s="83"/>
      <c r="KMQ44" s="83"/>
      <c r="KMR44" s="83"/>
      <c r="KMS44" s="83"/>
      <c r="KMT44" s="83"/>
      <c r="KMU44" s="83"/>
      <c r="KMV44" s="83"/>
      <c r="KMW44" s="83"/>
      <c r="KMX44" s="83"/>
      <c r="KMY44" s="83"/>
      <c r="KMZ44" s="83"/>
      <c r="KNA44" s="83"/>
      <c r="KNB44" s="83"/>
      <c r="KNC44" s="83"/>
      <c r="KND44" s="83"/>
      <c r="KNE44" s="83"/>
      <c r="KNF44" s="83"/>
      <c r="KNG44" s="83"/>
      <c r="KNH44" s="83"/>
      <c r="KNI44" s="83"/>
      <c r="KNJ44" s="83"/>
      <c r="KNK44" s="83"/>
      <c r="KNL44" s="83"/>
      <c r="KNM44" s="83"/>
      <c r="KNN44" s="83"/>
      <c r="KNO44" s="83"/>
      <c r="KNP44" s="83"/>
      <c r="KNQ44" s="83"/>
      <c r="KNR44" s="83"/>
      <c r="KNS44" s="83"/>
      <c r="KNT44" s="83"/>
      <c r="KNU44" s="83"/>
      <c r="KNV44" s="83"/>
      <c r="KNW44" s="83"/>
      <c r="KNX44" s="83"/>
      <c r="KNY44" s="83"/>
      <c r="KNZ44" s="83"/>
      <c r="KOA44" s="83"/>
      <c r="KOB44" s="83"/>
      <c r="KOC44" s="83"/>
      <c r="KOD44" s="83"/>
      <c r="KOE44" s="83"/>
      <c r="KOF44" s="83"/>
      <c r="KOG44" s="83"/>
      <c r="KOH44" s="83"/>
      <c r="KOI44" s="83"/>
      <c r="KOJ44" s="83"/>
      <c r="KOK44" s="83"/>
      <c r="KOL44" s="83"/>
      <c r="KOM44" s="83"/>
      <c r="KON44" s="83"/>
      <c r="KOO44" s="83"/>
      <c r="KOP44" s="83"/>
      <c r="KOQ44" s="83"/>
      <c r="KOR44" s="83"/>
      <c r="KOS44" s="83"/>
      <c r="KOT44" s="83"/>
      <c r="KOU44" s="83"/>
      <c r="KOV44" s="83"/>
      <c r="KOW44" s="83"/>
      <c r="KOX44" s="83"/>
      <c r="KOY44" s="83"/>
      <c r="KOZ44" s="83"/>
      <c r="KPA44" s="83"/>
      <c r="KPB44" s="83"/>
      <c r="KPC44" s="83"/>
      <c r="KPD44" s="83"/>
      <c r="KPE44" s="83"/>
      <c r="KPF44" s="83"/>
      <c r="KPG44" s="83"/>
      <c r="KPH44" s="83"/>
      <c r="KPI44" s="83"/>
      <c r="KPJ44" s="83"/>
      <c r="KPK44" s="83"/>
      <c r="KPL44" s="83"/>
      <c r="KPM44" s="83"/>
      <c r="KPN44" s="83"/>
      <c r="KPO44" s="83"/>
      <c r="KPP44" s="83"/>
      <c r="KPQ44" s="83"/>
      <c r="KPR44" s="83"/>
      <c r="KPS44" s="83"/>
      <c r="KPT44" s="83"/>
      <c r="KPU44" s="83"/>
      <c r="KPV44" s="83"/>
      <c r="KPW44" s="83"/>
      <c r="KPX44" s="83"/>
      <c r="KPY44" s="83"/>
      <c r="KPZ44" s="83"/>
      <c r="KQA44" s="83"/>
      <c r="KQB44" s="83"/>
      <c r="KQC44" s="83"/>
      <c r="KQD44" s="83"/>
      <c r="KQE44" s="83"/>
      <c r="KQF44" s="83"/>
      <c r="KQG44" s="83"/>
      <c r="KQH44" s="83"/>
      <c r="KQI44" s="83"/>
      <c r="KQJ44" s="83"/>
      <c r="KQK44" s="83"/>
      <c r="KQL44" s="83"/>
      <c r="KQM44" s="83"/>
      <c r="KQN44" s="83"/>
      <c r="KQO44" s="83"/>
      <c r="KQP44" s="83"/>
      <c r="KQQ44" s="83"/>
      <c r="KQR44" s="83"/>
      <c r="KQS44" s="83"/>
      <c r="KQT44" s="83"/>
      <c r="KQU44" s="83"/>
      <c r="KQV44" s="83"/>
      <c r="KQW44" s="83"/>
      <c r="KQX44" s="83"/>
      <c r="KQY44" s="83"/>
      <c r="KQZ44" s="83"/>
      <c r="KRA44" s="83"/>
      <c r="KRB44" s="83"/>
      <c r="KRC44" s="83"/>
      <c r="KRD44" s="83"/>
      <c r="KRE44" s="83"/>
      <c r="KRF44" s="83"/>
      <c r="KRG44" s="83"/>
      <c r="KRH44" s="83"/>
      <c r="KRI44" s="83"/>
      <c r="KRJ44" s="83"/>
      <c r="KRK44" s="83"/>
      <c r="KRL44" s="83"/>
      <c r="KRM44" s="83"/>
      <c r="KRN44" s="83"/>
      <c r="KRO44" s="83"/>
      <c r="KRP44" s="83"/>
      <c r="KRQ44" s="83"/>
      <c r="KRR44" s="83"/>
      <c r="KRS44" s="83"/>
      <c r="KRT44" s="83"/>
      <c r="KRU44" s="83"/>
      <c r="KRV44" s="83"/>
      <c r="KRW44" s="83"/>
      <c r="KRX44" s="83"/>
      <c r="KRY44" s="83"/>
      <c r="KRZ44" s="83"/>
      <c r="KSA44" s="83"/>
      <c r="KSB44" s="83"/>
      <c r="KSC44" s="83"/>
      <c r="KSD44" s="83"/>
      <c r="KSE44" s="83"/>
      <c r="KSF44" s="83"/>
      <c r="KSG44" s="83"/>
      <c r="KSH44" s="83"/>
      <c r="KSI44" s="83"/>
      <c r="KSJ44" s="83"/>
      <c r="KSK44" s="83"/>
      <c r="KSL44" s="83"/>
      <c r="KSM44" s="83"/>
      <c r="KSN44" s="83"/>
      <c r="KSO44" s="83"/>
      <c r="KSP44" s="83"/>
      <c r="KSQ44" s="83"/>
      <c r="KSR44" s="83"/>
      <c r="KSS44" s="83"/>
      <c r="KST44" s="83"/>
      <c r="KSU44" s="83"/>
      <c r="KSV44" s="83"/>
      <c r="KSW44" s="83"/>
      <c r="KSX44" s="83"/>
      <c r="KSY44" s="83"/>
      <c r="KSZ44" s="83"/>
      <c r="KTA44" s="83"/>
      <c r="KTB44" s="83"/>
      <c r="KTC44" s="83"/>
      <c r="KTD44" s="83"/>
      <c r="KTE44" s="83"/>
      <c r="KTF44" s="83"/>
      <c r="KTG44" s="83"/>
      <c r="KTH44" s="83"/>
      <c r="KTI44" s="83"/>
      <c r="KTJ44" s="83"/>
      <c r="KTK44" s="83"/>
      <c r="KTL44" s="83"/>
      <c r="KTM44" s="83"/>
      <c r="KTN44" s="83"/>
      <c r="KTO44" s="83"/>
      <c r="KTP44" s="83"/>
      <c r="KTQ44" s="83"/>
      <c r="KTR44" s="83"/>
      <c r="KTS44" s="83"/>
      <c r="KTT44" s="83"/>
      <c r="KTU44" s="83"/>
      <c r="KTV44" s="83"/>
      <c r="KTW44" s="83"/>
      <c r="KTX44" s="83"/>
      <c r="KTY44" s="83"/>
      <c r="KTZ44" s="83"/>
      <c r="KUA44" s="83"/>
      <c r="KUB44" s="83"/>
      <c r="KUC44" s="83"/>
      <c r="KUD44" s="83"/>
      <c r="KUE44" s="83"/>
      <c r="KUF44" s="83"/>
      <c r="KUG44" s="83"/>
      <c r="KUH44" s="83"/>
      <c r="KUI44" s="83"/>
      <c r="KUJ44" s="83"/>
      <c r="KUK44" s="83"/>
      <c r="KUL44" s="83"/>
      <c r="KUM44" s="83"/>
      <c r="KUN44" s="83"/>
      <c r="KUO44" s="83"/>
      <c r="KUP44" s="83"/>
      <c r="KUQ44" s="83"/>
      <c r="KUR44" s="83"/>
      <c r="KUS44" s="83"/>
      <c r="KUT44" s="83"/>
      <c r="KUU44" s="83"/>
      <c r="KUV44" s="83"/>
      <c r="KUW44" s="83"/>
      <c r="KUX44" s="83"/>
      <c r="KUY44" s="83"/>
      <c r="KUZ44" s="83"/>
      <c r="KVA44" s="83"/>
      <c r="KVB44" s="83"/>
      <c r="KVC44" s="83"/>
      <c r="KVD44" s="83"/>
      <c r="KVE44" s="83"/>
      <c r="KVF44" s="83"/>
      <c r="KVG44" s="83"/>
      <c r="KVH44" s="83"/>
      <c r="KVI44" s="83"/>
      <c r="KVJ44" s="83"/>
      <c r="KVK44" s="83"/>
      <c r="KVL44" s="83"/>
      <c r="KVM44" s="83"/>
      <c r="KVN44" s="83"/>
      <c r="KVO44" s="83"/>
      <c r="KVP44" s="83"/>
      <c r="KVQ44" s="83"/>
      <c r="KVR44" s="83"/>
      <c r="KVS44" s="83"/>
      <c r="KVT44" s="83"/>
      <c r="KVU44" s="83"/>
      <c r="KVV44" s="83"/>
      <c r="KVW44" s="83"/>
      <c r="KVX44" s="83"/>
      <c r="KVY44" s="83"/>
      <c r="KVZ44" s="83"/>
      <c r="KWA44" s="83"/>
      <c r="KWB44" s="83"/>
      <c r="KWC44" s="83"/>
      <c r="KWD44" s="83"/>
      <c r="KWE44" s="83"/>
      <c r="KWF44" s="83"/>
      <c r="KWG44" s="83"/>
      <c r="KWH44" s="83"/>
      <c r="KWI44" s="83"/>
      <c r="KWJ44" s="83"/>
      <c r="KWK44" s="83"/>
      <c r="KWL44" s="83"/>
      <c r="KWM44" s="83"/>
      <c r="KWN44" s="83"/>
      <c r="KWO44" s="83"/>
      <c r="KWP44" s="83"/>
      <c r="KWQ44" s="83"/>
      <c r="KWR44" s="83"/>
      <c r="KWS44" s="83"/>
      <c r="KWT44" s="83"/>
      <c r="KWU44" s="83"/>
      <c r="KWV44" s="83"/>
      <c r="KWW44" s="83"/>
      <c r="KWX44" s="83"/>
      <c r="KWY44" s="83"/>
      <c r="KWZ44" s="83"/>
      <c r="KXA44" s="83"/>
      <c r="KXB44" s="83"/>
      <c r="KXC44" s="83"/>
      <c r="KXD44" s="83"/>
      <c r="KXE44" s="83"/>
      <c r="KXF44" s="83"/>
      <c r="KXG44" s="83"/>
      <c r="KXH44" s="83"/>
      <c r="KXI44" s="83"/>
      <c r="KXJ44" s="83"/>
      <c r="KXK44" s="83"/>
      <c r="KXL44" s="83"/>
      <c r="KXM44" s="83"/>
      <c r="KXN44" s="83"/>
      <c r="KXO44" s="83"/>
      <c r="KXP44" s="83"/>
      <c r="KXQ44" s="83"/>
      <c r="KXR44" s="83"/>
      <c r="KXS44" s="83"/>
      <c r="KXT44" s="83"/>
      <c r="KXU44" s="83"/>
      <c r="KXV44" s="83"/>
      <c r="KXW44" s="83"/>
      <c r="KXX44" s="83"/>
      <c r="KXY44" s="83"/>
      <c r="KXZ44" s="83"/>
      <c r="KYA44" s="83"/>
      <c r="KYB44" s="83"/>
      <c r="KYC44" s="83"/>
      <c r="KYD44" s="83"/>
      <c r="KYE44" s="83"/>
      <c r="KYF44" s="83"/>
      <c r="KYG44" s="83"/>
      <c r="KYH44" s="83"/>
      <c r="KYI44" s="83"/>
      <c r="KYJ44" s="83"/>
      <c r="KYK44" s="83"/>
      <c r="KYL44" s="83"/>
      <c r="KYM44" s="83"/>
      <c r="KYN44" s="83"/>
      <c r="KYO44" s="83"/>
      <c r="KYP44" s="83"/>
      <c r="KYQ44" s="83"/>
      <c r="KYR44" s="83"/>
      <c r="KYS44" s="83"/>
      <c r="KYT44" s="83"/>
      <c r="KYU44" s="83"/>
      <c r="KYV44" s="83"/>
      <c r="KYW44" s="83"/>
      <c r="KYX44" s="83"/>
      <c r="KYY44" s="83"/>
      <c r="KYZ44" s="83"/>
      <c r="KZA44" s="83"/>
      <c r="KZB44" s="83"/>
      <c r="KZC44" s="83"/>
      <c r="KZD44" s="83"/>
      <c r="KZE44" s="83"/>
      <c r="KZF44" s="83"/>
      <c r="KZG44" s="83"/>
      <c r="KZH44" s="83"/>
      <c r="KZI44" s="83"/>
      <c r="KZJ44" s="83"/>
      <c r="KZK44" s="83"/>
      <c r="KZL44" s="83"/>
      <c r="KZM44" s="83"/>
      <c r="KZN44" s="83"/>
      <c r="KZO44" s="83"/>
      <c r="KZP44" s="83"/>
      <c r="KZQ44" s="83"/>
      <c r="KZR44" s="83"/>
      <c r="KZS44" s="83"/>
      <c r="KZT44" s="83"/>
      <c r="KZU44" s="83"/>
      <c r="KZV44" s="83"/>
      <c r="KZW44" s="83"/>
      <c r="KZX44" s="83"/>
      <c r="KZY44" s="83"/>
      <c r="KZZ44" s="83"/>
      <c r="LAA44" s="83"/>
      <c r="LAB44" s="83"/>
      <c r="LAC44" s="83"/>
      <c r="LAD44" s="83"/>
      <c r="LAE44" s="83"/>
      <c r="LAF44" s="83"/>
      <c r="LAG44" s="83"/>
      <c r="LAH44" s="83"/>
      <c r="LAI44" s="83"/>
      <c r="LAJ44" s="83"/>
      <c r="LAK44" s="83"/>
      <c r="LAL44" s="83"/>
      <c r="LAM44" s="83"/>
      <c r="LAN44" s="83"/>
      <c r="LAO44" s="83"/>
      <c r="LAP44" s="83"/>
      <c r="LAQ44" s="83"/>
      <c r="LAR44" s="83"/>
      <c r="LAS44" s="83"/>
      <c r="LAT44" s="83"/>
      <c r="LAU44" s="83"/>
      <c r="LAV44" s="83"/>
      <c r="LAW44" s="83"/>
      <c r="LAX44" s="83"/>
      <c r="LAY44" s="83"/>
      <c r="LAZ44" s="83"/>
      <c r="LBA44" s="83"/>
      <c r="LBB44" s="83"/>
      <c r="LBC44" s="83"/>
      <c r="LBD44" s="83"/>
      <c r="LBE44" s="83"/>
      <c r="LBF44" s="83"/>
      <c r="LBG44" s="83"/>
      <c r="LBH44" s="83"/>
      <c r="LBI44" s="83"/>
      <c r="LBJ44" s="83"/>
      <c r="LBK44" s="83"/>
      <c r="LBL44" s="83"/>
      <c r="LBM44" s="83"/>
      <c r="LBN44" s="83"/>
      <c r="LBO44" s="83"/>
      <c r="LBP44" s="83"/>
      <c r="LBQ44" s="83"/>
      <c r="LBR44" s="83"/>
      <c r="LBS44" s="83"/>
      <c r="LBT44" s="83"/>
      <c r="LBU44" s="83"/>
      <c r="LBV44" s="83"/>
      <c r="LBW44" s="83"/>
      <c r="LBX44" s="83"/>
      <c r="LBY44" s="83"/>
      <c r="LBZ44" s="83"/>
      <c r="LCA44" s="83"/>
      <c r="LCB44" s="83"/>
      <c r="LCC44" s="83"/>
      <c r="LCD44" s="83"/>
      <c r="LCE44" s="83"/>
      <c r="LCF44" s="83"/>
      <c r="LCG44" s="83"/>
      <c r="LCH44" s="83"/>
      <c r="LCI44" s="83"/>
      <c r="LCJ44" s="83"/>
      <c r="LCK44" s="83"/>
      <c r="LCL44" s="83"/>
      <c r="LCM44" s="83"/>
      <c r="LCN44" s="83"/>
      <c r="LCO44" s="83"/>
      <c r="LCP44" s="83"/>
      <c r="LCQ44" s="83"/>
      <c r="LCR44" s="83"/>
      <c r="LCS44" s="83"/>
      <c r="LCT44" s="83"/>
      <c r="LCU44" s="83"/>
      <c r="LCV44" s="83"/>
      <c r="LCW44" s="83"/>
      <c r="LCX44" s="83"/>
      <c r="LCY44" s="83"/>
      <c r="LCZ44" s="83"/>
      <c r="LDA44" s="83"/>
      <c r="LDB44" s="83"/>
      <c r="LDC44" s="83"/>
      <c r="LDD44" s="83"/>
      <c r="LDE44" s="83"/>
      <c r="LDF44" s="83"/>
      <c r="LDG44" s="83"/>
      <c r="LDH44" s="83"/>
      <c r="LDI44" s="83"/>
      <c r="LDJ44" s="83"/>
      <c r="LDK44" s="83"/>
      <c r="LDL44" s="83"/>
      <c r="LDM44" s="83"/>
      <c r="LDN44" s="83"/>
      <c r="LDO44" s="83"/>
      <c r="LDP44" s="83"/>
      <c r="LDQ44" s="83"/>
      <c r="LDR44" s="83"/>
      <c r="LDS44" s="83"/>
      <c r="LDT44" s="83"/>
      <c r="LDU44" s="83"/>
      <c r="LDV44" s="83"/>
      <c r="LDW44" s="83"/>
      <c r="LDX44" s="83"/>
      <c r="LDY44" s="83"/>
      <c r="LDZ44" s="83"/>
      <c r="LEA44" s="83"/>
      <c r="LEB44" s="83"/>
      <c r="LEC44" s="83"/>
      <c r="LED44" s="83"/>
      <c r="LEE44" s="83"/>
      <c r="LEF44" s="83"/>
      <c r="LEG44" s="83"/>
      <c r="LEH44" s="83"/>
      <c r="LEI44" s="83"/>
      <c r="LEJ44" s="83"/>
      <c r="LEK44" s="83"/>
      <c r="LEL44" s="83"/>
      <c r="LEM44" s="83"/>
      <c r="LEN44" s="83"/>
      <c r="LEO44" s="83"/>
      <c r="LEP44" s="83"/>
      <c r="LEQ44" s="83"/>
      <c r="LER44" s="83"/>
      <c r="LES44" s="83"/>
      <c r="LET44" s="83"/>
      <c r="LEU44" s="83"/>
      <c r="LEV44" s="83"/>
      <c r="LEW44" s="83"/>
      <c r="LEX44" s="83"/>
      <c r="LEY44" s="83"/>
      <c r="LEZ44" s="83"/>
      <c r="LFA44" s="83"/>
      <c r="LFB44" s="83"/>
      <c r="LFC44" s="83"/>
      <c r="LFD44" s="83"/>
      <c r="LFE44" s="83"/>
      <c r="LFF44" s="83"/>
      <c r="LFG44" s="83"/>
      <c r="LFH44" s="83"/>
      <c r="LFI44" s="83"/>
      <c r="LFJ44" s="83"/>
      <c r="LFK44" s="83"/>
      <c r="LFL44" s="83"/>
      <c r="LFM44" s="83"/>
      <c r="LFN44" s="83"/>
      <c r="LFO44" s="83"/>
      <c r="LFP44" s="83"/>
      <c r="LFQ44" s="83"/>
      <c r="LFR44" s="83"/>
      <c r="LFS44" s="83"/>
      <c r="LFT44" s="83"/>
      <c r="LFU44" s="83"/>
      <c r="LFV44" s="83"/>
      <c r="LFW44" s="83"/>
      <c r="LFX44" s="83"/>
      <c r="LFY44" s="83"/>
      <c r="LFZ44" s="83"/>
      <c r="LGA44" s="83"/>
      <c r="LGB44" s="83"/>
      <c r="LGC44" s="83"/>
      <c r="LGD44" s="83"/>
      <c r="LGE44" s="83"/>
      <c r="LGF44" s="83"/>
      <c r="LGG44" s="83"/>
      <c r="LGH44" s="83"/>
      <c r="LGI44" s="83"/>
      <c r="LGJ44" s="83"/>
      <c r="LGK44" s="83"/>
      <c r="LGL44" s="83"/>
      <c r="LGM44" s="83"/>
      <c r="LGN44" s="83"/>
      <c r="LGO44" s="83"/>
      <c r="LGP44" s="83"/>
      <c r="LGQ44" s="83"/>
      <c r="LGR44" s="83"/>
      <c r="LGS44" s="83"/>
      <c r="LGT44" s="83"/>
      <c r="LGU44" s="83"/>
      <c r="LGV44" s="83"/>
      <c r="LGW44" s="83"/>
      <c r="LGX44" s="83"/>
      <c r="LGY44" s="83"/>
      <c r="LGZ44" s="83"/>
      <c r="LHA44" s="83"/>
      <c r="LHB44" s="83"/>
      <c r="LHC44" s="83"/>
      <c r="LHD44" s="83"/>
      <c r="LHE44" s="83"/>
      <c r="LHF44" s="83"/>
      <c r="LHG44" s="83"/>
      <c r="LHH44" s="83"/>
      <c r="LHI44" s="83"/>
      <c r="LHJ44" s="83"/>
      <c r="LHK44" s="83"/>
      <c r="LHL44" s="83"/>
      <c r="LHM44" s="83"/>
      <c r="LHN44" s="83"/>
      <c r="LHO44" s="83"/>
      <c r="LHP44" s="83"/>
      <c r="LHQ44" s="83"/>
      <c r="LHR44" s="83"/>
      <c r="LHS44" s="83"/>
      <c r="LHT44" s="83"/>
      <c r="LHU44" s="83"/>
      <c r="LHV44" s="83"/>
      <c r="LHW44" s="83"/>
      <c r="LHX44" s="83"/>
      <c r="LHY44" s="83"/>
      <c r="LHZ44" s="83"/>
      <c r="LIA44" s="83"/>
      <c r="LIB44" s="83"/>
      <c r="LIC44" s="83"/>
      <c r="LID44" s="83"/>
      <c r="LIE44" s="83"/>
      <c r="LIF44" s="83"/>
      <c r="LIG44" s="83"/>
      <c r="LIH44" s="83"/>
      <c r="LII44" s="83"/>
      <c r="LIJ44" s="83"/>
      <c r="LIK44" s="83"/>
      <c r="LIL44" s="83"/>
      <c r="LIM44" s="83"/>
      <c r="LIN44" s="83"/>
      <c r="LIO44" s="83"/>
      <c r="LIP44" s="83"/>
      <c r="LIQ44" s="83"/>
      <c r="LIR44" s="83"/>
      <c r="LIS44" s="83"/>
      <c r="LIT44" s="83"/>
      <c r="LIU44" s="83"/>
      <c r="LIV44" s="83"/>
      <c r="LIW44" s="83"/>
      <c r="LIX44" s="83"/>
      <c r="LIY44" s="83"/>
      <c r="LIZ44" s="83"/>
      <c r="LJA44" s="83"/>
      <c r="LJB44" s="83"/>
      <c r="LJC44" s="83"/>
      <c r="LJD44" s="83"/>
      <c r="LJE44" s="83"/>
      <c r="LJF44" s="83"/>
      <c r="LJG44" s="83"/>
      <c r="LJH44" s="83"/>
      <c r="LJI44" s="83"/>
      <c r="LJJ44" s="83"/>
      <c r="LJK44" s="83"/>
      <c r="LJL44" s="83"/>
      <c r="LJM44" s="83"/>
      <c r="LJN44" s="83"/>
      <c r="LJO44" s="83"/>
      <c r="LJP44" s="83"/>
      <c r="LJQ44" s="83"/>
      <c r="LJR44" s="83"/>
      <c r="LJS44" s="83"/>
      <c r="LJT44" s="83"/>
      <c r="LJU44" s="83"/>
      <c r="LJV44" s="83"/>
      <c r="LJW44" s="83"/>
      <c r="LJX44" s="83"/>
      <c r="LJY44" s="83"/>
      <c r="LJZ44" s="83"/>
      <c r="LKA44" s="83"/>
      <c r="LKB44" s="83"/>
      <c r="LKC44" s="83"/>
      <c r="LKD44" s="83"/>
      <c r="LKE44" s="83"/>
      <c r="LKF44" s="83"/>
      <c r="LKG44" s="83"/>
      <c r="LKH44" s="83"/>
      <c r="LKI44" s="83"/>
      <c r="LKJ44" s="83"/>
      <c r="LKK44" s="83"/>
      <c r="LKL44" s="83"/>
      <c r="LKM44" s="83"/>
      <c r="LKN44" s="83"/>
      <c r="LKO44" s="83"/>
      <c r="LKP44" s="83"/>
      <c r="LKQ44" s="83"/>
      <c r="LKR44" s="83"/>
      <c r="LKS44" s="83"/>
      <c r="LKT44" s="83"/>
      <c r="LKU44" s="83"/>
      <c r="LKV44" s="83"/>
      <c r="LKW44" s="83"/>
      <c r="LKX44" s="83"/>
      <c r="LKY44" s="83"/>
      <c r="LKZ44" s="83"/>
      <c r="LLA44" s="83"/>
      <c r="LLB44" s="83"/>
      <c r="LLC44" s="83"/>
      <c r="LLD44" s="83"/>
      <c r="LLE44" s="83"/>
      <c r="LLF44" s="83"/>
      <c r="LLG44" s="83"/>
      <c r="LLH44" s="83"/>
      <c r="LLI44" s="83"/>
      <c r="LLJ44" s="83"/>
      <c r="LLK44" s="83"/>
      <c r="LLL44" s="83"/>
      <c r="LLM44" s="83"/>
      <c r="LLN44" s="83"/>
      <c r="LLO44" s="83"/>
      <c r="LLP44" s="83"/>
      <c r="LLQ44" s="83"/>
      <c r="LLR44" s="83"/>
      <c r="LLS44" s="83"/>
      <c r="LLT44" s="83"/>
      <c r="LLU44" s="83"/>
      <c r="LLV44" s="83"/>
      <c r="LLW44" s="83"/>
      <c r="LLX44" s="83"/>
      <c r="LLY44" s="83"/>
      <c r="LLZ44" s="83"/>
      <c r="LMA44" s="83"/>
      <c r="LMB44" s="83"/>
      <c r="LMC44" s="83"/>
      <c r="LMD44" s="83"/>
      <c r="LME44" s="83"/>
      <c r="LMF44" s="83"/>
      <c r="LMG44" s="83"/>
      <c r="LMH44" s="83"/>
      <c r="LMI44" s="83"/>
      <c r="LMJ44" s="83"/>
      <c r="LMK44" s="83"/>
      <c r="LML44" s="83"/>
      <c r="LMM44" s="83"/>
      <c r="LMN44" s="83"/>
      <c r="LMO44" s="83"/>
      <c r="LMP44" s="83"/>
      <c r="LMQ44" s="83"/>
      <c r="LMR44" s="83"/>
      <c r="LMS44" s="83"/>
      <c r="LMT44" s="83"/>
      <c r="LMU44" s="83"/>
      <c r="LMV44" s="83"/>
      <c r="LMW44" s="83"/>
      <c r="LMX44" s="83"/>
      <c r="LMY44" s="83"/>
      <c r="LMZ44" s="83"/>
      <c r="LNA44" s="83"/>
      <c r="LNB44" s="83"/>
      <c r="LNC44" s="83"/>
      <c r="LND44" s="83"/>
      <c r="LNE44" s="83"/>
      <c r="LNF44" s="83"/>
      <c r="LNG44" s="83"/>
      <c r="LNH44" s="83"/>
      <c r="LNI44" s="83"/>
      <c r="LNJ44" s="83"/>
      <c r="LNK44" s="83"/>
      <c r="LNL44" s="83"/>
      <c r="LNM44" s="83"/>
      <c r="LNN44" s="83"/>
      <c r="LNO44" s="83"/>
      <c r="LNP44" s="83"/>
      <c r="LNQ44" s="83"/>
      <c r="LNR44" s="83"/>
      <c r="LNS44" s="83"/>
      <c r="LNT44" s="83"/>
      <c r="LNU44" s="83"/>
      <c r="LNV44" s="83"/>
      <c r="LNW44" s="83"/>
      <c r="LNX44" s="83"/>
      <c r="LNY44" s="83"/>
      <c r="LNZ44" s="83"/>
      <c r="LOA44" s="83"/>
      <c r="LOB44" s="83"/>
      <c r="LOC44" s="83"/>
      <c r="LOD44" s="83"/>
      <c r="LOE44" s="83"/>
      <c r="LOF44" s="83"/>
      <c r="LOG44" s="83"/>
      <c r="LOH44" s="83"/>
      <c r="LOI44" s="83"/>
      <c r="LOJ44" s="83"/>
      <c r="LOK44" s="83"/>
      <c r="LOL44" s="83"/>
      <c r="LOM44" s="83"/>
      <c r="LON44" s="83"/>
      <c r="LOO44" s="83"/>
      <c r="LOP44" s="83"/>
      <c r="LOQ44" s="83"/>
      <c r="LOR44" s="83"/>
      <c r="LOS44" s="83"/>
      <c r="LOT44" s="83"/>
      <c r="LOU44" s="83"/>
      <c r="LOV44" s="83"/>
      <c r="LOW44" s="83"/>
      <c r="LOX44" s="83"/>
      <c r="LOY44" s="83"/>
      <c r="LOZ44" s="83"/>
      <c r="LPA44" s="83"/>
      <c r="LPB44" s="83"/>
      <c r="LPC44" s="83"/>
      <c r="LPD44" s="83"/>
      <c r="LPE44" s="83"/>
      <c r="LPF44" s="83"/>
      <c r="LPG44" s="83"/>
      <c r="LPH44" s="83"/>
      <c r="LPI44" s="83"/>
      <c r="LPJ44" s="83"/>
      <c r="LPK44" s="83"/>
      <c r="LPL44" s="83"/>
      <c r="LPM44" s="83"/>
      <c r="LPN44" s="83"/>
      <c r="LPO44" s="83"/>
      <c r="LPP44" s="83"/>
      <c r="LPQ44" s="83"/>
      <c r="LPR44" s="83"/>
      <c r="LPS44" s="83"/>
      <c r="LPT44" s="83"/>
      <c r="LPU44" s="83"/>
      <c r="LPV44" s="83"/>
      <c r="LPW44" s="83"/>
      <c r="LPX44" s="83"/>
      <c r="LPY44" s="83"/>
      <c r="LPZ44" s="83"/>
      <c r="LQA44" s="83"/>
      <c r="LQB44" s="83"/>
      <c r="LQC44" s="83"/>
      <c r="LQD44" s="83"/>
      <c r="LQE44" s="83"/>
      <c r="LQF44" s="83"/>
      <c r="LQG44" s="83"/>
      <c r="LQH44" s="83"/>
      <c r="LQI44" s="83"/>
      <c r="LQJ44" s="83"/>
      <c r="LQK44" s="83"/>
      <c r="LQL44" s="83"/>
      <c r="LQM44" s="83"/>
      <c r="LQN44" s="83"/>
      <c r="LQO44" s="83"/>
      <c r="LQP44" s="83"/>
      <c r="LQQ44" s="83"/>
      <c r="LQR44" s="83"/>
      <c r="LQS44" s="83"/>
      <c r="LQT44" s="83"/>
      <c r="LQU44" s="83"/>
      <c r="LQV44" s="83"/>
      <c r="LQW44" s="83"/>
      <c r="LQX44" s="83"/>
      <c r="LQY44" s="83"/>
      <c r="LQZ44" s="83"/>
      <c r="LRA44" s="83"/>
      <c r="LRB44" s="83"/>
      <c r="LRC44" s="83"/>
      <c r="LRD44" s="83"/>
      <c r="LRE44" s="83"/>
      <c r="LRF44" s="83"/>
      <c r="LRG44" s="83"/>
      <c r="LRH44" s="83"/>
      <c r="LRI44" s="83"/>
      <c r="LRJ44" s="83"/>
      <c r="LRK44" s="83"/>
      <c r="LRL44" s="83"/>
      <c r="LRM44" s="83"/>
      <c r="LRN44" s="83"/>
      <c r="LRO44" s="83"/>
      <c r="LRP44" s="83"/>
      <c r="LRQ44" s="83"/>
      <c r="LRR44" s="83"/>
      <c r="LRS44" s="83"/>
      <c r="LRT44" s="83"/>
      <c r="LRU44" s="83"/>
      <c r="LRV44" s="83"/>
      <c r="LRW44" s="83"/>
      <c r="LRX44" s="83"/>
      <c r="LRY44" s="83"/>
      <c r="LRZ44" s="83"/>
      <c r="LSA44" s="83"/>
      <c r="LSB44" s="83"/>
      <c r="LSC44" s="83"/>
      <c r="LSD44" s="83"/>
      <c r="LSE44" s="83"/>
      <c r="LSF44" s="83"/>
      <c r="LSG44" s="83"/>
      <c r="LSH44" s="83"/>
      <c r="LSI44" s="83"/>
      <c r="LSJ44" s="83"/>
      <c r="LSK44" s="83"/>
      <c r="LSL44" s="83"/>
      <c r="LSM44" s="83"/>
      <c r="LSN44" s="83"/>
      <c r="LSO44" s="83"/>
      <c r="LSP44" s="83"/>
      <c r="LSQ44" s="83"/>
      <c r="LSR44" s="83"/>
      <c r="LSS44" s="83"/>
      <c r="LST44" s="83"/>
      <c r="LSU44" s="83"/>
      <c r="LSV44" s="83"/>
      <c r="LSW44" s="83"/>
      <c r="LSX44" s="83"/>
      <c r="LSY44" s="83"/>
      <c r="LSZ44" s="83"/>
      <c r="LTA44" s="83"/>
      <c r="LTB44" s="83"/>
      <c r="LTC44" s="83"/>
      <c r="LTD44" s="83"/>
      <c r="LTE44" s="83"/>
      <c r="LTF44" s="83"/>
      <c r="LTG44" s="83"/>
      <c r="LTH44" s="83"/>
      <c r="LTI44" s="83"/>
      <c r="LTJ44" s="83"/>
      <c r="LTK44" s="83"/>
      <c r="LTL44" s="83"/>
      <c r="LTM44" s="83"/>
      <c r="LTN44" s="83"/>
      <c r="LTO44" s="83"/>
      <c r="LTP44" s="83"/>
      <c r="LTQ44" s="83"/>
      <c r="LTR44" s="83"/>
      <c r="LTS44" s="83"/>
      <c r="LTT44" s="83"/>
      <c r="LTU44" s="83"/>
      <c r="LTV44" s="83"/>
      <c r="LTW44" s="83"/>
      <c r="LTX44" s="83"/>
      <c r="LTY44" s="83"/>
      <c r="LTZ44" s="83"/>
      <c r="LUA44" s="83"/>
      <c r="LUB44" s="83"/>
      <c r="LUC44" s="83"/>
      <c r="LUD44" s="83"/>
      <c r="LUE44" s="83"/>
      <c r="LUF44" s="83"/>
      <c r="LUG44" s="83"/>
      <c r="LUH44" s="83"/>
      <c r="LUI44" s="83"/>
      <c r="LUJ44" s="83"/>
      <c r="LUK44" s="83"/>
      <c r="LUL44" s="83"/>
      <c r="LUM44" s="83"/>
      <c r="LUN44" s="83"/>
      <c r="LUO44" s="83"/>
      <c r="LUP44" s="83"/>
      <c r="LUQ44" s="83"/>
      <c r="LUR44" s="83"/>
      <c r="LUS44" s="83"/>
      <c r="LUT44" s="83"/>
      <c r="LUU44" s="83"/>
      <c r="LUV44" s="83"/>
      <c r="LUW44" s="83"/>
      <c r="LUX44" s="83"/>
      <c r="LUY44" s="83"/>
      <c r="LUZ44" s="83"/>
      <c r="LVA44" s="83"/>
      <c r="LVB44" s="83"/>
      <c r="LVC44" s="83"/>
      <c r="LVD44" s="83"/>
      <c r="LVE44" s="83"/>
      <c r="LVF44" s="83"/>
      <c r="LVG44" s="83"/>
      <c r="LVH44" s="83"/>
      <c r="LVI44" s="83"/>
      <c r="LVJ44" s="83"/>
      <c r="LVK44" s="83"/>
      <c r="LVL44" s="83"/>
      <c r="LVM44" s="83"/>
      <c r="LVN44" s="83"/>
      <c r="LVO44" s="83"/>
      <c r="LVP44" s="83"/>
      <c r="LVQ44" s="83"/>
      <c r="LVR44" s="83"/>
      <c r="LVS44" s="83"/>
      <c r="LVT44" s="83"/>
      <c r="LVU44" s="83"/>
      <c r="LVV44" s="83"/>
      <c r="LVW44" s="83"/>
      <c r="LVX44" s="83"/>
      <c r="LVY44" s="83"/>
      <c r="LVZ44" s="83"/>
      <c r="LWA44" s="83"/>
      <c r="LWB44" s="83"/>
      <c r="LWC44" s="83"/>
      <c r="LWD44" s="83"/>
      <c r="LWE44" s="83"/>
      <c r="LWF44" s="83"/>
      <c r="LWG44" s="83"/>
      <c r="LWH44" s="83"/>
      <c r="LWI44" s="83"/>
      <c r="LWJ44" s="83"/>
      <c r="LWK44" s="83"/>
      <c r="LWL44" s="83"/>
      <c r="LWM44" s="83"/>
      <c r="LWN44" s="83"/>
      <c r="LWO44" s="83"/>
      <c r="LWP44" s="83"/>
      <c r="LWQ44" s="83"/>
      <c r="LWR44" s="83"/>
      <c r="LWS44" s="83"/>
      <c r="LWT44" s="83"/>
      <c r="LWU44" s="83"/>
      <c r="LWV44" s="83"/>
      <c r="LWW44" s="83"/>
      <c r="LWX44" s="83"/>
      <c r="LWY44" s="83"/>
      <c r="LWZ44" s="83"/>
      <c r="LXA44" s="83"/>
      <c r="LXB44" s="83"/>
      <c r="LXC44" s="83"/>
      <c r="LXD44" s="83"/>
      <c r="LXE44" s="83"/>
      <c r="LXF44" s="83"/>
      <c r="LXG44" s="83"/>
      <c r="LXH44" s="83"/>
      <c r="LXI44" s="83"/>
      <c r="LXJ44" s="83"/>
      <c r="LXK44" s="83"/>
      <c r="LXL44" s="83"/>
      <c r="LXM44" s="83"/>
      <c r="LXN44" s="83"/>
      <c r="LXO44" s="83"/>
      <c r="LXP44" s="83"/>
      <c r="LXQ44" s="83"/>
      <c r="LXR44" s="83"/>
      <c r="LXS44" s="83"/>
      <c r="LXT44" s="83"/>
      <c r="LXU44" s="83"/>
      <c r="LXV44" s="83"/>
      <c r="LXW44" s="83"/>
      <c r="LXX44" s="83"/>
      <c r="LXY44" s="83"/>
      <c r="LXZ44" s="83"/>
      <c r="LYA44" s="83"/>
      <c r="LYB44" s="83"/>
      <c r="LYC44" s="83"/>
      <c r="LYD44" s="83"/>
      <c r="LYE44" s="83"/>
      <c r="LYF44" s="83"/>
      <c r="LYG44" s="83"/>
      <c r="LYH44" s="83"/>
      <c r="LYI44" s="83"/>
      <c r="LYJ44" s="83"/>
      <c r="LYK44" s="83"/>
      <c r="LYL44" s="83"/>
      <c r="LYM44" s="83"/>
      <c r="LYN44" s="83"/>
      <c r="LYO44" s="83"/>
      <c r="LYP44" s="83"/>
      <c r="LYQ44" s="83"/>
      <c r="LYR44" s="83"/>
      <c r="LYS44" s="83"/>
      <c r="LYT44" s="83"/>
      <c r="LYU44" s="83"/>
      <c r="LYV44" s="83"/>
      <c r="LYW44" s="83"/>
      <c r="LYX44" s="83"/>
      <c r="LYY44" s="83"/>
      <c r="LYZ44" s="83"/>
      <c r="LZA44" s="83"/>
      <c r="LZB44" s="83"/>
      <c r="LZC44" s="83"/>
      <c r="LZD44" s="83"/>
      <c r="LZE44" s="83"/>
      <c r="LZF44" s="83"/>
      <c r="LZG44" s="83"/>
      <c r="LZH44" s="83"/>
      <c r="LZI44" s="83"/>
      <c r="LZJ44" s="83"/>
      <c r="LZK44" s="83"/>
      <c r="LZL44" s="83"/>
      <c r="LZM44" s="83"/>
      <c r="LZN44" s="83"/>
      <c r="LZO44" s="83"/>
      <c r="LZP44" s="83"/>
      <c r="LZQ44" s="83"/>
      <c r="LZR44" s="83"/>
      <c r="LZS44" s="83"/>
      <c r="LZT44" s="83"/>
      <c r="LZU44" s="83"/>
      <c r="LZV44" s="83"/>
      <c r="LZW44" s="83"/>
      <c r="LZX44" s="83"/>
      <c r="LZY44" s="83"/>
      <c r="LZZ44" s="83"/>
      <c r="MAA44" s="83"/>
      <c r="MAB44" s="83"/>
      <c r="MAC44" s="83"/>
      <c r="MAD44" s="83"/>
      <c r="MAE44" s="83"/>
      <c r="MAF44" s="83"/>
      <c r="MAG44" s="83"/>
      <c r="MAH44" s="83"/>
      <c r="MAI44" s="83"/>
      <c r="MAJ44" s="83"/>
      <c r="MAK44" s="83"/>
      <c r="MAL44" s="83"/>
      <c r="MAM44" s="83"/>
      <c r="MAN44" s="83"/>
      <c r="MAO44" s="83"/>
      <c r="MAP44" s="83"/>
      <c r="MAQ44" s="83"/>
      <c r="MAR44" s="83"/>
      <c r="MAS44" s="83"/>
      <c r="MAT44" s="83"/>
      <c r="MAU44" s="83"/>
      <c r="MAV44" s="83"/>
      <c r="MAW44" s="83"/>
      <c r="MAX44" s="83"/>
      <c r="MAY44" s="83"/>
      <c r="MAZ44" s="83"/>
      <c r="MBA44" s="83"/>
      <c r="MBB44" s="83"/>
      <c r="MBC44" s="83"/>
      <c r="MBD44" s="83"/>
      <c r="MBE44" s="83"/>
      <c r="MBF44" s="83"/>
      <c r="MBG44" s="83"/>
      <c r="MBH44" s="83"/>
      <c r="MBI44" s="83"/>
      <c r="MBJ44" s="83"/>
      <c r="MBK44" s="83"/>
      <c r="MBL44" s="83"/>
      <c r="MBM44" s="83"/>
      <c r="MBN44" s="83"/>
      <c r="MBO44" s="83"/>
      <c r="MBP44" s="83"/>
      <c r="MBQ44" s="83"/>
      <c r="MBR44" s="83"/>
      <c r="MBS44" s="83"/>
      <c r="MBT44" s="83"/>
      <c r="MBU44" s="83"/>
      <c r="MBV44" s="83"/>
      <c r="MBW44" s="83"/>
      <c r="MBX44" s="83"/>
      <c r="MBY44" s="83"/>
      <c r="MBZ44" s="83"/>
      <c r="MCA44" s="83"/>
      <c r="MCB44" s="83"/>
      <c r="MCC44" s="83"/>
      <c r="MCD44" s="83"/>
      <c r="MCE44" s="83"/>
      <c r="MCF44" s="83"/>
      <c r="MCG44" s="83"/>
      <c r="MCH44" s="83"/>
      <c r="MCI44" s="83"/>
      <c r="MCJ44" s="83"/>
      <c r="MCK44" s="83"/>
      <c r="MCL44" s="83"/>
      <c r="MCM44" s="83"/>
      <c r="MCN44" s="83"/>
      <c r="MCO44" s="83"/>
      <c r="MCP44" s="83"/>
      <c r="MCQ44" s="83"/>
      <c r="MCR44" s="83"/>
      <c r="MCS44" s="83"/>
      <c r="MCT44" s="83"/>
      <c r="MCU44" s="83"/>
      <c r="MCV44" s="83"/>
      <c r="MCW44" s="83"/>
      <c r="MCX44" s="83"/>
      <c r="MCY44" s="83"/>
      <c r="MCZ44" s="83"/>
      <c r="MDA44" s="83"/>
      <c r="MDB44" s="83"/>
      <c r="MDC44" s="83"/>
      <c r="MDD44" s="83"/>
      <c r="MDE44" s="83"/>
      <c r="MDF44" s="83"/>
      <c r="MDG44" s="83"/>
      <c r="MDH44" s="83"/>
      <c r="MDI44" s="83"/>
      <c r="MDJ44" s="83"/>
      <c r="MDK44" s="83"/>
      <c r="MDL44" s="83"/>
      <c r="MDM44" s="83"/>
      <c r="MDN44" s="83"/>
      <c r="MDO44" s="83"/>
      <c r="MDP44" s="83"/>
      <c r="MDQ44" s="83"/>
      <c r="MDR44" s="83"/>
      <c r="MDS44" s="83"/>
      <c r="MDT44" s="83"/>
      <c r="MDU44" s="83"/>
      <c r="MDV44" s="83"/>
      <c r="MDW44" s="83"/>
      <c r="MDX44" s="83"/>
      <c r="MDY44" s="83"/>
      <c r="MDZ44" s="83"/>
      <c r="MEA44" s="83"/>
      <c r="MEB44" s="83"/>
      <c r="MEC44" s="83"/>
      <c r="MED44" s="83"/>
      <c r="MEE44" s="83"/>
      <c r="MEF44" s="83"/>
      <c r="MEG44" s="83"/>
      <c r="MEH44" s="83"/>
      <c r="MEI44" s="83"/>
      <c r="MEJ44" s="83"/>
      <c r="MEK44" s="83"/>
      <c r="MEL44" s="83"/>
      <c r="MEM44" s="83"/>
      <c r="MEN44" s="83"/>
      <c r="MEO44" s="83"/>
      <c r="MEP44" s="83"/>
      <c r="MEQ44" s="83"/>
      <c r="MER44" s="83"/>
      <c r="MES44" s="83"/>
      <c r="MET44" s="83"/>
      <c r="MEU44" s="83"/>
      <c r="MEV44" s="83"/>
      <c r="MEW44" s="83"/>
      <c r="MEX44" s="83"/>
      <c r="MEY44" s="83"/>
      <c r="MEZ44" s="83"/>
      <c r="MFA44" s="83"/>
      <c r="MFB44" s="83"/>
      <c r="MFC44" s="83"/>
      <c r="MFD44" s="83"/>
      <c r="MFE44" s="83"/>
      <c r="MFF44" s="83"/>
      <c r="MFG44" s="83"/>
      <c r="MFH44" s="83"/>
      <c r="MFI44" s="83"/>
      <c r="MFJ44" s="83"/>
      <c r="MFK44" s="83"/>
      <c r="MFL44" s="83"/>
      <c r="MFM44" s="83"/>
      <c r="MFN44" s="83"/>
      <c r="MFO44" s="83"/>
      <c r="MFP44" s="83"/>
      <c r="MFQ44" s="83"/>
      <c r="MFR44" s="83"/>
      <c r="MFS44" s="83"/>
      <c r="MFT44" s="83"/>
      <c r="MFU44" s="83"/>
      <c r="MFV44" s="83"/>
      <c r="MFW44" s="83"/>
      <c r="MFX44" s="83"/>
      <c r="MFY44" s="83"/>
      <c r="MFZ44" s="83"/>
      <c r="MGA44" s="83"/>
      <c r="MGB44" s="83"/>
      <c r="MGC44" s="83"/>
      <c r="MGD44" s="83"/>
      <c r="MGE44" s="83"/>
      <c r="MGF44" s="83"/>
      <c r="MGG44" s="83"/>
      <c r="MGH44" s="83"/>
      <c r="MGI44" s="83"/>
      <c r="MGJ44" s="83"/>
      <c r="MGK44" s="83"/>
      <c r="MGL44" s="83"/>
      <c r="MGM44" s="83"/>
      <c r="MGN44" s="83"/>
      <c r="MGO44" s="83"/>
      <c r="MGP44" s="83"/>
      <c r="MGQ44" s="83"/>
      <c r="MGR44" s="83"/>
      <c r="MGS44" s="83"/>
      <c r="MGT44" s="83"/>
      <c r="MGU44" s="83"/>
      <c r="MGV44" s="83"/>
      <c r="MGW44" s="83"/>
      <c r="MGX44" s="83"/>
      <c r="MGY44" s="83"/>
      <c r="MGZ44" s="83"/>
      <c r="MHA44" s="83"/>
      <c r="MHB44" s="83"/>
      <c r="MHC44" s="83"/>
      <c r="MHD44" s="83"/>
      <c r="MHE44" s="83"/>
      <c r="MHF44" s="83"/>
      <c r="MHG44" s="83"/>
      <c r="MHH44" s="83"/>
      <c r="MHI44" s="83"/>
      <c r="MHJ44" s="83"/>
      <c r="MHK44" s="83"/>
      <c r="MHL44" s="83"/>
      <c r="MHM44" s="83"/>
      <c r="MHN44" s="83"/>
      <c r="MHO44" s="83"/>
      <c r="MHP44" s="83"/>
      <c r="MHQ44" s="83"/>
      <c r="MHR44" s="83"/>
      <c r="MHS44" s="83"/>
      <c r="MHT44" s="83"/>
      <c r="MHU44" s="83"/>
      <c r="MHV44" s="83"/>
      <c r="MHW44" s="83"/>
      <c r="MHX44" s="83"/>
      <c r="MHY44" s="83"/>
      <c r="MHZ44" s="83"/>
      <c r="MIA44" s="83"/>
      <c r="MIB44" s="83"/>
      <c r="MIC44" s="83"/>
      <c r="MID44" s="83"/>
      <c r="MIE44" s="83"/>
      <c r="MIF44" s="83"/>
      <c r="MIG44" s="83"/>
      <c r="MIH44" s="83"/>
      <c r="MII44" s="83"/>
      <c r="MIJ44" s="83"/>
      <c r="MIK44" s="83"/>
      <c r="MIL44" s="83"/>
      <c r="MIM44" s="83"/>
      <c r="MIN44" s="83"/>
      <c r="MIO44" s="83"/>
      <c r="MIP44" s="83"/>
      <c r="MIQ44" s="83"/>
      <c r="MIR44" s="83"/>
      <c r="MIS44" s="83"/>
      <c r="MIT44" s="83"/>
      <c r="MIU44" s="83"/>
      <c r="MIV44" s="83"/>
      <c r="MIW44" s="83"/>
      <c r="MIX44" s="83"/>
      <c r="MIY44" s="83"/>
      <c r="MIZ44" s="83"/>
      <c r="MJA44" s="83"/>
      <c r="MJB44" s="83"/>
      <c r="MJC44" s="83"/>
      <c r="MJD44" s="83"/>
      <c r="MJE44" s="83"/>
      <c r="MJF44" s="83"/>
      <c r="MJG44" s="83"/>
      <c r="MJH44" s="83"/>
      <c r="MJI44" s="83"/>
      <c r="MJJ44" s="83"/>
      <c r="MJK44" s="83"/>
      <c r="MJL44" s="83"/>
      <c r="MJM44" s="83"/>
      <c r="MJN44" s="83"/>
      <c r="MJO44" s="83"/>
      <c r="MJP44" s="83"/>
      <c r="MJQ44" s="83"/>
      <c r="MJR44" s="83"/>
      <c r="MJS44" s="83"/>
      <c r="MJT44" s="83"/>
      <c r="MJU44" s="83"/>
      <c r="MJV44" s="83"/>
      <c r="MJW44" s="83"/>
      <c r="MJX44" s="83"/>
      <c r="MJY44" s="83"/>
      <c r="MJZ44" s="83"/>
      <c r="MKA44" s="83"/>
      <c r="MKB44" s="83"/>
      <c r="MKC44" s="83"/>
      <c r="MKD44" s="83"/>
      <c r="MKE44" s="83"/>
      <c r="MKF44" s="83"/>
      <c r="MKG44" s="83"/>
      <c r="MKH44" s="83"/>
      <c r="MKI44" s="83"/>
      <c r="MKJ44" s="83"/>
      <c r="MKK44" s="83"/>
      <c r="MKL44" s="83"/>
      <c r="MKM44" s="83"/>
      <c r="MKN44" s="83"/>
      <c r="MKO44" s="83"/>
      <c r="MKP44" s="83"/>
      <c r="MKQ44" s="83"/>
      <c r="MKR44" s="83"/>
      <c r="MKS44" s="83"/>
      <c r="MKT44" s="83"/>
      <c r="MKU44" s="83"/>
      <c r="MKV44" s="83"/>
      <c r="MKW44" s="83"/>
      <c r="MKX44" s="83"/>
      <c r="MKY44" s="83"/>
      <c r="MKZ44" s="83"/>
      <c r="MLA44" s="83"/>
      <c r="MLB44" s="83"/>
      <c r="MLC44" s="83"/>
      <c r="MLD44" s="83"/>
      <c r="MLE44" s="83"/>
      <c r="MLF44" s="83"/>
      <c r="MLG44" s="83"/>
      <c r="MLH44" s="83"/>
      <c r="MLI44" s="83"/>
      <c r="MLJ44" s="83"/>
      <c r="MLK44" s="83"/>
      <c r="MLL44" s="83"/>
      <c r="MLM44" s="83"/>
      <c r="MLN44" s="83"/>
      <c r="MLO44" s="83"/>
      <c r="MLP44" s="83"/>
      <c r="MLQ44" s="83"/>
      <c r="MLR44" s="83"/>
      <c r="MLS44" s="83"/>
      <c r="MLT44" s="83"/>
      <c r="MLU44" s="83"/>
      <c r="MLV44" s="83"/>
      <c r="MLW44" s="83"/>
      <c r="MLX44" s="83"/>
      <c r="MLY44" s="83"/>
      <c r="MLZ44" s="83"/>
      <c r="MMA44" s="83"/>
      <c r="MMB44" s="83"/>
      <c r="MMC44" s="83"/>
      <c r="MMD44" s="83"/>
      <c r="MME44" s="83"/>
      <c r="MMF44" s="83"/>
      <c r="MMG44" s="83"/>
      <c r="MMH44" s="83"/>
      <c r="MMI44" s="83"/>
      <c r="MMJ44" s="83"/>
      <c r="MMK44" s="83"/>
      <c r="MML44" s="83"/>
      <c r="MMM44" s="83"/>
      <c r="MMN44" s="83"/>
      <c r="MMO44" s="83"/>
      <c r="MMP44" s="83"/>
      <c r="MMQ44" s="83"/>
      <c r="MMR44" s="83"/>
      <c r="MMS44" s="83"/>
      <c r="MMT44" s="83"/>
      <c r="MMU44" s="83"/>
      <c r="MMV44" s="83"/>
      <c r="MMW44" s="83"/>
      <c r="MMX44" s="83"/>
      <c r="MMY44" s="83"/>
      <c r="MMZ44" s="83"/>
      <c r="MNA44" s="83"/>
      <c r="MNB44" s="83"/>
      <c r="MNC44" s="83"/>
      <c r="MND44" s="83"/>
      <c r="MNE44" s="83"/>
      <c r="MNF44" s="83"/>
      <c r="MNG44" s="83"/>
      <c r="MNH44" s="83"/>
      <c r="MNI44" s="83"/>
      <c r="MNJ44" s="83"/>
      <c r="MNK44" s="83"/>
      <c r="MNL44" s="83"/>
      <c r="MNM44" s="83"/>
      <c r="MNN44" s="83"/>
      <c r="MNO44" s="83"/>
      <c r="MNP44" s="83"/>
      <c r="MNQ44" s="83"/>
      <c r="MNR44" s="83"/>
      <c r="MNS44" s="83"/>
      <c r="MNT44" s="83"/>
      <c r="MNU44" s="83"/>
      <c r="MNV44" s="83"/>
      <c r="MNW44" s="83"/>
      <c r="MNX44" s="83"/>
      <c r="MNY44" s="83"/>
      <c r="MNZ44" s="83"/>
      <c r="MOA44" s="83"/>
      <c r="MOB44" s="83"/>
      <c r="MOC44" s="83"/>
      <c r="MOD44" s="83"/>
      <c r="MOE44" s="83"/>
      <c r="MOF44" s="83"/>
      <c r="MOG44" s="83"/>
      <c r="MOH44" s="83"/>
      <c r="MOI44" s="83"/>
      <c r="MOJ44" s="83"/>
      <c r="MOK44" s="83"/>
      <c r="MOL44" s="83"/>
      <c r="MOM44" s="83"/>
      <c r="MON44" s="83"/>
      <c r="MOO44" s="83"/>
      <c r="MOP44" s="83"/>
      <c r="MOQ44" s="83"/>
      <c r="MOR44" s="83"/>
      <c r="MOS44" s="83"/>
      <c r="MOT44" s="83"/>
      <c r="MOU44" s="83"/>
      <c r="MOV44" s="83"/>
      <c r="MOW44" s="83"/>
      <c r="MOX44" s="83"/>
      <c r="MOY44" s="83"/>
      <c r="MOZ44" s="83"/>
      <c r="MPA44" s="83"/>
      <c r="MPB44" s="83"/>
      <c r="MPC44" s="83"/>
      <c r="MPD44" s="83"/>
      <c r="MPE44" s="83"/>
      <c r="MPF44" s="83"/>
      <c r="MPG44" s="83"/>
      <c r="MPH44" s="83"/>
      <c r="MPI44" s="83"/>
      <c r="MPJ44" s="83"/>
      <c r="MPK44" s="83"/>
      <c r="MPL44" s="83"/>
      <c r="MPM44" s="83"/>
      <c r="MPN44" s="83"/>
      <c r="MPO44" s="83"/>
      <c r="MPP44" s="83"/>
      <c r="MPQ44" s="83"/>
      <c r="MPR44" s="83"/>
      <c r="MPS44" s="83"/>
      <c r="MPT44" s="83"/>
      <c r="MPU44" s="83"/>
      <c r="MPV44" s="83"/>
      <c r="MPW44" s="83"/>
      <c r="MPX44" s="83"/>
      <c r="MPY44" s="83"/>
      <c r="MPZ44" s="83"/>
      <c r="MQA44" s="83"/>
      <c r="MQB44" s="83"/>
      <c r="MQC44" s="83"/>
      <c r="MQD44" s="83"/>
      <c r="MQE44" s="83"/>
      <c r="MQF44" s="83"/>
      <c r="MQG44" s="83"/>
      <c r="MQH44" s="83"/>
      <c r="MQI44" s="83"/>
      <c r="MQJ44" s="83"/>
      <c r="MQK44" s="83"/>
      <c r="MQL44" s="83"/>
      <c r="MQM44" s="83"/>
      <c r="MQN44" s="83"/>
      <c r="MQO44" s="83"/>
      <c r="MQP44" s="83"/>
      <c r="MQQ44" s="83"/>
      <c r="MQR44" s="83"/>
      <c r="MQS44" s="83"/>
      <c r="MQT44" s="83"/>
      <c r="MQU44" s="83"/>
      <c r="MQV44" s="83"/>
      <c r="MQW44" s="83"/>
      <c r="MQX44" s="83"/>
      <c r="MQY44" s="83"/>
      <c r="MQZ44" s="83"/>
      <c r="MRA44" s="83"/>
      <c r="MRB44" s="83"/>
      <c r="MRC44" s="83"/>
      <c r="MRD44" s="83"/>
      <c r="MRE44" s="83"/>
      <c r="MRF44" s="83"/>
      <c r="MRG44" s="83"/>
      <c r="MRH44" s="83"/>
      <c r="MRI44" s="83"/>
      <c r="MRJ44" s="83"/>
      <c r="MRK44" s="83"/>
      <c r="MRL44" s="83"/>
      <c r="MRM44" s="83"/>
      <c r="MRN44" s="83"/>
      <c r="MRO44" s="83"/>
      <c r="MRP44" s="83"/>
      <c r="MRQ44" s="83"/>
      <c r="MRR44" s="83"/>
      <c r="MRS44" s="83"/>
      <c r="MRT44" s="83"/>
      <c r="MRU44" s="83"/>
      <c r="MRV44" s="83"/>
      <c r="MRW44" s="83"/>
      <c r="MRX44" s="83"/>
      <c r="MRY44" s="83"/>
      <c r="MRZ44" s="83"/>
      <c r="MSA44" s="83"/>
      <c r="MSB44" s="83"/>
      <c r="MSC44" s="83"/>
      <c r="MSD44" s="83"/>
      <c r="MSE44" s="83"/>
      <c r="MSF44" s="83"/>
      <c r="MSG44" s="83"/>
      <c r="MSH44" s="83"/>
      <c r="MSI44" s="83"/>
      <c r="MSJ44" s="83"/>
      <c r="MSK44" s="83"/>
      <c r="MSL44" s="83"/>
      <c r="MSM44" s="83"/>
      <c r="MSN44" s="83"/>
      <c r="MSO44" s="83"/>
      <c r="MSP44" s="83"/>
      <c r="MSQ44" s="83"/>
      <c r="MSR44" s="83"/>
      <c r="MSS44" s="83"/>
      <c r="MST44" s="83"/>
      <c r="MSU44" s="83"/>
      <c r="MSV44" s="83"/>
      <c r="MSW44" s="83"/>
      <c r="MSX44" s="83"/>
      <c r="MSY44" s="83"/>
      <c r="MSZ44" s="83"/>
      <c r="MTA44" s="83"/>
      <c r="MTB44" s="83"/>
      <c r="MTC44" s="83"/>
      <c r="MTD44" s="83"/>
      <c r="MTE44" s="83"/>
      <c r="MTF44" s="83"/>
      <c r="MTG44" s="83"/>
      <c r="MTH44" s="83"/>
      <c r="MTI44" s="83"/>
      <c r="MTJ44" s="83"/>
      <c r="MTK44" s="83"/>
      <c r="MTL44" s="83"/>
      <c r="MTM44" s="83"/>
      <c r="MTN44" s="83"/>
      <c r="MTO44" s="83"/>
      <c r="MTP44" s="83"/>
      <c r="MTQ44" s="83"/>
      <c r="MTR44" s="83"/>
      <c r="MTS44" s="83"/>
      <c r="MTT44" s="83"/>
      <c r="MTU44" s="83"/>
      <c r="MTV44" s="83"/>
      <c r="MTW44" s="83"/>
      <c r="MTX44" s="83"/>
      <c r="MTY44" s="83"/>
      <c r="MTZ44" s="83"/>
      <c r="MUA44" s="83"/>
      <c r="MUB44" s="83"/>
      <c r="MUC44" s="83"/>
      <c r="MUD44" s="83"/>
      <c r="MUE44" s="83"/>
      <c r="MUF44" s="83"/>
      <c r="MUG44" s="83"/>
      <c r="MUH44" s="83"/>
      <c r="MUI44" s="83"/>
      <c r="MUJ44" s="83"/>
      <c r="MUK44" s="83"/>
      <c r="MUL44" s="83"/>
      <c r="MUM44" s="83"/>
      <c r="MUN44" s="83"/>
      <c r="MUO44" s="83"/>
      <c r="MUP44" s="83"/>
      <c r="MUQ44" s="83"/>
      <c r="MUR44" s="83"/>
      <c r="MUS44" s="83"/>
      <c r="MUT44" s="83"/>
      <c r="MUU44" s="83"/>
      <c r="MUV44" s="83"/>
      <c r="MUW44" s="83"/>
      <c r="MUX44" s="83"/>
      <c r="MUY44" s="83"/>
      <c r="MUZ44" s="83"/>
      <c r="MVA44" s="83"/>
      <c r="MVB44" s="83"/>
      <c r="MVC44" s="83"/>
      <c r="MVD44" s="83"/>
      <c r="MVE44" s="83"/>
      <c r="MVF44" s="83"/>
      <c r="MVG44" s="83"/>
      <c r="MVH44" s="83"/>
      <c r="MVI44" s="83"/>
      <c r="MVJ44" s="83"/>
      <c r="MVK44" s="83"/>
      <c r="MVL44" s="83"/>
      <c r="MVM44" s="83"/>
      <c r="MVN44" s="83"/>
      <c r="MVO44" s="83"/>
      <c r="MVP44" s="83"/>
      <c r="MVQ44" s="83"/>
      <c r="MVR44" s="83"/>
      <c r="MVS44" s="83"/>
      <c r="MVT44" s="83"/>
      <c r="MVU44" s="83"/>
      <c r="MVV44" s="83"/>
      <c r="MVW44" s="83"/>
      <c r="MVX44" s="83"/>
      <c r="MVY44" s="83"/>
      <c r="MVZ44" s="83"/>
      <c r="MWA44" s="83"/>
      <c r="MWB44" s="83"/>
      <c r="MWC44" s="83"/>
      <c r="MWD44" s="83"/>
      <c r="MWE44" s="83"/>
      <c r="MWF44" s="83"/>
      <c r="MWG44" s="83"/>
      <c r="MWH44" s="83"/>
      <c r="MWI44" s="83"/>
      <c r="MWJ44" s="83"/>
      <c r="MWK44" s="83"/>
      <c r="MWL44" s="83"/>
      <c r="MWM44" s="83"/>
      <c r="MWN44" s="83"/>
      <c r="MWO44" s="83"/>
      <c r="MWP44" s="83"/>
      <c r="MWQ44" s="83"/>
      <c r="MWR44" s="83"/>
      <c r="MWS44" s="83"/>
      <c r="MWT44" s="83"/>
      <c r="MWU44" s="83"/>
      <c r="MWV44" s="83"/>
      <c r="MWW44" s="83"/>
      <c r="MWX44" s="83"/>
      <c r="MWY44" s="83"/>
      <c r="MWZ44" s="83"/>
      <c r="MXA44" s="83"/>
      <c r="MXB44" s="83"/>
      <c r="MXC44" s="83"/>
      <c r="MXD44" s="83"/>
      <c r="MXE44" s="83"/>
      <c r="MXF44" s="83"/>
      <c r="MXG44" s="83"/>
      <c r="MXH44" s="83"/>
      <c r="MXI44" s="83"/>
      <c r="MXJ44" s="83"/>
      <c r="MXK44" s="83"/>
      <c r="MXL44" s="83"/>
      <c r="MXM44" s="83"/>
      <c r="MXN44" s="83"/>
      <c r="MXO44" s="83"/>
      <c r="MXP44" s="83"/>
      <c r="MXQ44" s="83"/>
      <c r="MXR44" s="83"/>
      <c r="MXS44" s="83"/>
      <c r="MXT44" s="83"/>
      <c r="MXU44" s="83"/>
      <c r="MXV44" s="83"/>
      <c r="MXW44" s="83"/>
      <c r="MXX44" s="83"/>
      <c r="MXY44" s="83"/>
      <c r="MXZ44" s="83"/>
      <c r="MYA44" s="83"/>
      <c r="MYB44" s="83"/>
      <c r="MYC44" s="83"/>
      <c r="MYD44" s="83"/>
      <c r="MYE44" s="83"/>
      <c r="MYF44" s="83"/>
      <c r="MYG44" s="83"/>
      <c r="MYH44" s="83"/>
      <c r="MYI44" s="83"/>
      <c r="MYJ44" s="83"/>
      <c r="MYK44" s="83"/>
      <c r="MYL44" s="83"/>
      <c r="MYM44" s="83"/>
      <c r="MYN44" s="83"/>
      <c r="MYO44" s="83"/>
      <c r="MYP44" s="83"/>
      <c r="MYQ44" s="83"/>
      <c r="MYR44" s="83"/>
      <c r="MYS44" s="83"/>
      <c r="MYT44" s="83"/>
      <c r="MYU44" s="83"/>
      <c r="MYV44" s="83"/>
      <c r="MYW44" s="83"/>
      <c r="MYX44" s="83"/>
      <c r="MYY44" s="83"/>
      <c r="MYZ44" s="83"/>
      <c r="MZA44" s="83"/>
      <c r="MZB44" s="83"/>
      <c r="MZC44" s="83"/>
      <c r="MZD44" s="83"/>
      <c r="MZE44" s="83"/>
      <c r="MZF44" s="83"/>
      <c r="MZG44" s="83"/>
      <c r="MZH44" s="83"/>
      <c r="MZI44" s="83"/>
      <c r="MZJ44" s="83"/>
      <c r="MZK44" s="83"/>
      <c r="MZL44" s="83"/>
      <c r="MZM44" s="83"/>
      <c r="MZN44" s="83"/>
      <c r="MZO44" s="83"/>
      <c r="MZP44" s="83"/>
      <c r="MZQ44" s="83"/>
      <c r="MZR44" s="83"/>
      <c r="MZS44" s="83"/>
      <c r="MZT44" s="83"/>
      <c r="MZU44" s="83"/>
      <c r="MZV44" s="83"/>
      <c r="MZW44" s="83"/>
      <c r="MZX44" s="83"/>
      <c r="MZY44" s="83"/>
      <c r="MZZ44" s="83"/>
      <c r="NAA44" s="83"/>
      <c r="NAB44" s="83"/>
      <c r="NAC44" s="83"/>
      <c r="NAD44" s="83"/>
      <c r="NAE44" s="83"/>
      <c r="NAF44" s="83"/>
      <c r="NAG44" s="83"/>
      <c r="NAH44" s="83"/>
      <c r="NAI44" s="83"/>
      <c r="NAJ44" s="83"/>
      <c r="NAK44" s="83"/>
      <c r="NAL44" s="83"/>
      <c r="NAM44" s="83"/>
      <c r="NAN44" s="83"/>
      <c r="NAO44" s="83"/>
      <c r="NAP44" s="83"/>
      <c r="NAQ44" s="83"/>
      <c r="NAR44" s="83"/>
      <c r="NAS44" s="83"/>
      <c r="NAT44" s="83"/>
      <c r="NAU44" s="83"/>
      <c r="NAV44" s="83"/>
      <c r="NAW44" s="83"/>
      <c r="NAX44" s="83"/>
      <c r="NAY44" s="83"/>
      <c r="NAZ44" s="83"/>
      <c r="NBA44" s="83"/>
      <c r="NBB44" s="83"/>
      <c r="NBC44" s="83"/>
      <c r="NBD44" s="83"/>
      <c r="NBE44" s="83"/>
      <c r="NBF44" s="83"/>
      <c r="NBG44" s="83"/>
      <c r="NBH44" s="83"/>
      <c r="NBI44" s="83"/>
      <c r="NBJ44" s="83"/>
      <c r="NBK44" s="83"/>
      <c r="NBL44" s="83"/>
      <c r="NBM44" s="83"/>
      <c r="NBN44" s="83"/>
      <c r="NBO44" s="83"/>
      <c r="NBP44" s="83"/>
      <c r="NBQ44" s="83"/>
      <c r="NBR44" s="83"/>
      <c r="NBS44" s="83"/>
      <c r="NBT44" s="83"/>
      <c r="NBU44" s="83"/>
      <c r="NBV44" s="83"/>
      <c r="NBW44" s="83"/>
      <c r="NBX44" s="83"/>
      <c r="NBY44" s="83"/>
      <c r="NBZ44" s="83"/>
      <c r="NCA44" s="83"/>
      <c r="NCB44" s="83"/>
      <c r="NCC44" s="83"/>
      <c r="NCD44" s="83"/>
      <c r="NCE44" s="83"/>
      <c r="NCF44" s="83"/>
      <c r="NCG44" s="83"/>
      <c r="NCH44" s="83"/>
      <c r="NCI44" s="83"/>
      <c r="NCJ44" s="83"/>
      <c r="NCK44" s="83"/>
      <c r="NCL44" s="83"/>
      <c r="NCM44" s="83"/>
      <c r="NCN44" s="83"/>
      <c r="NCO44" s="83"/>
      <c r="NCP44" s="83"/>
      <c r="NCQ44" s="83"/>
      <c r="NCR44" s="83"/>
      <c r="NCS44" s="83"/>
      <c r="NCT44" s="83"/>
      <c r="NCU44" s="83"/>
      <c r="NCV44" s="83"/>
      <c r="NCW44" s="83"/>
      <c r="NCX44" s="83"/>
      <c r="NCY44" s="83"/>
      <c r="NCZ44" s="83"/>
      <c r="NDA44" s="83"/>
      <c r="NDB44" s="83"/>
      <c r="NDC44" s="83"/>
      <c r="NDD44" s="83"/>
      <c r="NDE44" s="83"/>
      <c r="NDF44" s="83"/>
      <c r="NDG44" s="83"/>
      <c r="NDH44" s="83"/>
      <c r="NDI44" s="83"/>
      <c r="NDJ44" s="83"/>
      <c r="NDK44" s="83"/>
      <c r="NDL44" s="83"/>
      <c r="NDM44" s="83"/>
      <c r="NDN44" s="83"/>
      <c r="NDO44" s="83"/>
      <c r="NDP44" s="83"/>
      <c r="NDQ44" s="83"/>
      <c r="NDR44" s="83"/>
      <c r="NDS44" s="83"/>
      <c r="NDT44" s="83"/>
      <c r="NDU44" s="83"/>
      <c r="NDV44" s="83"/>
      <c r="NDW44" s="83"/>
      <c r="NDX44" s="83"/>
      <c r="NDY44" s="83"/>
      <c r="NDZ44" s="83"/>
      <c r="NEA44" s="83"/>
      <c r="NEB44" s="83"/>
      <c r="NEC44" s="83"/>
      <c r="NED44" s="83"/>
      <c r="NEE44" s="83"/>
      <c r="NEF44" s="83"/>
      <c r="NEG44" s="83"/>
      <c r="NEH44" s="83"/>
      <c r="NEI44" s="83"/>
      <c r="NEJ44" s="83"/>
      <c r="NEK44" s="83"/>
      <c r="NEL44" s="83"/>
      <c r="NEM44" s="83"/>
      <c r="NEN44" s="83"/>
      <c r="NEO44" s="83"/>
      <c r="NEP44" s="83"/>
      <c r="NEQ44" s="83"/>
      <c r="NER44" s="83"/>
      <c r="NES44" s="83"/>
      <c r="NET44" s="83"/>
      <c r="NEU44" s="83"/>
      <c r="NEV44" s="83"/>
      <c r="NEW44" s="83"/>
      <c r="NEX44" s="83"/>
      <c r="NEY44" s="83"/>
      <c r="NEZ44" s="83"/>
      <c r="NFA44" s="83"/>
      <c r="NFB44" s="83"/>
      <c r="NFC44" s="83"/>
      <c r="NFD44" s="83"/>
      <c r="NFE44" s="83"/>
      <c r="NFF44" s="83"/>
      <c r="NFG44" s="83"/>
      <c r="NFH44" s="83"/>
      <c r="NFI44" s="83"/>
      <c r="NFJ44" s="83"/>
      <c r="NFK44" s="83"/>
      <c r="NFL44" s="83"/>
      <c r="NFM44" s="83"/>
      <c r="NFN44" s="83"/>
      <c r="NFO44" s="83"/>
      <c r="NFP44" s="83"/>
      <c r="NFQ44" s="83"/>
      <c r="NFR44" s="83"/>
      <c r="NFS44" s="83"/>
      <c r="NFT44" s="83"/>
      <c r="NFU44" s="83"/>
      <c r="NFV44" s="83"/>
      <c r="NFW44" s="83"/>
      <c r="NFX44" s="83"/>
      <c r="NFY44" s="83"/>
      <c r="NFZ44" s="83"/>
      <c r="NGA44" s="83"/>
      <c r="NGB44" s="83"/>
      <c r="NGC44" s="83"/>
      <c r="NGD44" s="83"/>
      <c r="NGE44" s="83"/>
      <c r="NGF44" s="83"/>
      <c r="NGG44" s="83"/>
      <c r="NGH44" s="83"/>
      <c r="NGI44" s="83"/>
      <c r="NGJ44" s="83"/>
      <c r="NGK44" s="83"/>
      <c r="NGL44" s="83"/>
      <c r="NGM44" s="83"/>
      <c r="NGN44" s="83"/>
      <c r="NGO44" s="83"/>
      <c r="NGP44" s="83"/>
      <c r="NGQ44" s="83"/>
      <c r="NGR44" s="83"/>
      <c r="NGS44" s="83"/>
      <c r="NGT44" s="83"/>
      <c r="NGU44" s="83"/>
      <c r="NGV44" s="83"/>
      <c r="NGW44" s="83"/>
      <c r="NGX44" s="83"/>
      <c r="NGY44" s="83"/>
      <c r="NGZ44" s="83"/>
      <c r="NHA44" s="83"/>
      <c r="NHB44" s="83"/>
      <c r="NHC44" s="83"/>
      <c r="NHD44" s="83"/>
      <c r="NHE44" s="83"/>
      <c r="NHF44" s="83"/>
      <c r="NHG44" s="83"/>
      <c r="NHH44" s="83"/>
      <c r="NHI44" s="83"/>
      <c r="NHJ44" s="83"/>
      <c r="NHK44" s="83"/>
      <c r="NHL44" s="83"/>
      <c r="NHM44" s="83"/>
      <c r="NHN44" s="83"/>
      <c r="NHO44" s="83"/>
      <c r="NHP44" s="83"/>
      <c r="NHQ44" s="83"/>
      <c r="NHR44" s="83"/>
      <c r="NHS44" s="83"/>
      <c r="NHT44" s="83"/>
      <c r="NHU44" s="83"/>
      <c r="NHV44" s="83"/>
      <c r="NHW44" s="83"/>
      <c r="NHX44" s="83"/>
      <c r="NHY44" s="83"/>
      <c r="NHZ44" s="83"/>
      <c r="NIA44" s="83"/>
      <c r="NIB44" s="83"/>
      <c r="NIC44" s="83"/>
      <c r="NID44" s="83"/>
      <c r="NIE44" s="83"/>
      <c r="NIF44" s="83"/>
      <c r="NIG44" s="83"/>
      <c r="NIH44" s="83"/>
      <c r="NII44" s="83"/>
      <c r="NIJ44" s="83"/>
      <c r="NIK44" s="83"/>
      <c r="NIL44" s="83"/>
      <c r="NIM44" s="83"/>
      <c r="NIN44" s="83"/>
      <c r="NIO44" s="83"/>
      <c r="NIP44" s="83"/>
      <c r="NIQ44" s="83"/>
      <c r="NIR44" s="83"/>
      <c r="NIS44" s="83"/>
      <c r="NIT44" s="83"/>
      <c r="NIU44" s="83"/>
      <c r="NIV44" s="83"/>
      <c r="NIW44" s="83"/>
      <c r="NIX44" s="83"/>
      <c r="NIY44" s="83"/>
      <c r="NIZ44" s="83"/>
      <c r="NJA44" s="83"/>
      <c r="NJB44" s="83"/>
      <c r="NJC44" s="83"/>
      <c r="NJD44" s="83"/>
      <c r="NJE44" s="83"/>
      <c r="NJF44" s="83"/>
      <c r="NJG44" s="83"/>
      <c r="NJH44" s="83"/>
      <c r="NJI44" s="83"/>
      <c r="NJJ44" s="83"/>
      <c r="NJK44" s="83"/>
      <c r="NJL44" s="83"/>
      <c r="NJM44" s="83"/>
      <c r="NJN44" s="83"/>
      <c r="NJO44" s="83"/>
      <c r="NJP44" s="83"/>
      <c r="NJQ44" s="83"/>
      <c r="NJR44" s="83"/>
      <c r="NJS44" s="83"/>
      <c r="NJT44" s="83"/>
      <c r="NJU44" s="83"/>
      <c r="NJV44" s="83"/>
      <c r="NJW44" s="83"/>
      <c r="NJX44" s="83"/>
      <c r="NJY44" s="83"/>
      <c r="NJZ44" s="83"/>
      <c r="NKA44" s="83"/>
      <c r="NKB44" s="83"/>
      <c r="NKC44" s="83"/>
      <c r="NKD44" s="83"/>
      <c r="NKE44" s="83"/>
      <c r="NKF44" s="83"/>
      <c r="NKG44" s="83"/>
      <c r="NKH44" s="83"/>
      <c r="NKI44" s="83"/>
      <c r="NKJ44" s="83"/>
      <c r="NKK44" s="83"/>
      <c r="NKL44" s="83"/>
      <c r="NKM44" s="83"/>
      <c r="NKN44" s="83"/>
      <c r="NKO44" s="83"/>
      <c r="NKP44" s="83"/>
      <c r="NKQ44" s="83"/>
      <c r="NKR44" s="83"/>
      <c r="NKS44" s="83"/>
      <c r="NKT44" s="83"/>
      <c r="NKU44" s="83"/>
      <c r="NKV44" s="83"/>
      <c r="NKW44" s="83"/>
      <c r="NKX44" s="83"/>
      <c r="NKY44" s="83"/>
      <c r="NKZ44" s="83"/>
      <c r="NLA44" s="83"/>
      <c r="NLB44" s="83"/>
      <c r="NLC44" s="83"/>
      <c r="NLD44" s="83"/>
      <c r="NLE44" s="83"/>
      <c r="NLF44" s="83"/>
      <c r="NLG44" s="83"/>
      <c r="NLH44" s="83"/>
      <c r="NLI44" s="83"/>
      <c r="NLJ44" s="83"/>
      <c r="NLK44" s="83"/>
      <c r="NLL44" s="83"/>
      <c r="NLM44" s="83"/>
      <c r="NLN44" s="83"/>
      <c r="NLO44" s="83"/>
      <c r="NLP44" s="83"/>
      <c r="NLQ44" s="83"/>
      <c r="NLR44" s="83"/>
      <c r="NLS44" s="83"/>
      <c r="NLT44" s="83"/>
      <c r="NLU44" s="83"/>
      <c r="NLV44" s="83"/>
      <c r="NLW44" s="83"/>
      <c r="NLX44" s="83"/>
      <c r="NLY44" s="83"/>
      <c r="NLZ44" s="83"/>
      <c r="NMA44" s="83"/>
      <c r="NMB44" s="83"/>
      <c r="NMC44" s="83"/>
      <c r="NMD44" s="83"/>
      <c r="NME44" s="83"/>
      <c r="NMF44" s="83"/>
      <c r="NMG44" s="83"/>
      <c r="NMH44" s="83"/>
      <c r="NMI44" s="83"/>
      <c r="NMJ44" s="83"/>
      <c r="NMK44" s="83"/>
      <c r="NML44" s="83"/>
      <c r="NMM44" s="83"/>
      <c r="NMN44" s="83"/>
      <c r="NMO44" s="83"/>
      <c r="NMP44" s="83"/>
      <c r="NMQ44" s="83"/>
      <c r="NMR44" s="83"/>
      <c r="NMS44" s="83"/>
      <c r="NMT44" s="83"/>
      <c r="NMU44" s="83"/>
      <c r="NMV44" s="83"/>
      <c r="NMW44" s="83"/>
      <c r="NMX44" s="83"/>
      <c r="NMY44" s="83"/>
      <c r="NMZ44" s="83"/>
      <c r="NNA44" s="83"/>
      <c r="NNB44" s="83"/>
      <c r="NNC44" s="83"/>
      <c r="NND44" s="83"/>
      <c r="NNE44" s="83"/>
      <c r="NNF44" s="83"/>
      <c r="NNG44" s="83"/>
      <c r="NNH44" s="83"/>
      <c r="NNI44" s="83"/>
      <c r="NNJ44" s="83"/>
      <c r="NNK44" s="83"/>
      <c r="NNL44" s="83"/>
      <c r="NNM44" s="83"/>
      <c r="NNN44" s="83"/>
      <c r="NNO44" s="83"/>
      <c r="NNP44" s="83"/>
      <c r="NNQ44" s="83"/>
      <c r="NNR44" s="83"/>
      <c r="NNS44" s="83"/>
      <c r="NNT44" s="83"/>
      <c r="NNU44" s="83"/>
      <c r="NNV44" s="83"/>
      <c r="NNW44" s="83"/>
      <c r="NNX44" s="83"/>
      <c r="NNY44" s="83"/>
      <c r="NNZ44" s="83"/>
      <c r="NOA44" s="83"/>
      <c r="NOB44" s="83"/>
      <c r="NOC44" s="83"/>
      <c r="NOD44" s="83"/>
      <c r="NOE44" s="83"/>
      <c r="NOF44" s="83"/>
      <c r="NOG44" s="83"/>
      <c r="NOH44" s="83"/>
      <c r="NOI44" s="83"/>
      <c r="NOJ44" s="83"/>
      <c r="NOK44" s="83"/>
      <c r="NOL44" s="83"/>
      <c r="NOM44" s="83"/>
      <c r="NON44" s="83"/>
      <c r="NOO44" s="83"/>
      <c r="NOP44" s="83"/>
      <c r="NOQ44" s="83"/>
      <c r="NOR44" s="83"/>
      <c r="NOS44" s="83"/>
      <c r="NOT44" s="83"/>
      <c r="NOU44" s="83"/>
      <c r="NOV44" s="83"/>
      <c r="NOW44" s="83"/>
      <c r="NOX44" s="83"/>
      <c r="NOY44" s="83"/>
      <c r="NOZ44" s="83"/>
      <c r="NPA44" s="83"/>
      <c r="NPB44" s="83"/>
      <c r="NPC44" s="83"/>
      <c r="NPD44" s="83"/>
      <c r="NPE44" s="83"/>
      <c r="NPF44" s="83"/>
      <c r="NPG44" s="83"/>
      <c r="NPH44" s="83"/>
      <c r="NPI44" s="83"/>
      <c r="NPJ44" s="83"/>
      <c r="NPK44" s="83"/>
      <c r="NPL44" s="83"/>
      <c r="NPM44" s="83"/>
      <c r="NPN44" s="83"/>
      <c r="NPO44" s="83"/>
      <c r="NPP44" s="83"/>
      <c r="NPQ44" s="83"/>
      <c r="NPR44" s="83"/>
      <c r="NPS44" s="83"/>
      <c r="NPT44" s="83"/>
      <c r="NPU44" s="83"/>
      <c r="NPV44" s="83"/>
      <c r="NPW44" s="83"/>
      <c r="NPX44" s="83"/>
      <c r="NPY44" s="83"/>
      <c r="NPZ44" s="83"/>
      <c r="NQA44" s="83"/>
      <c r="NQB44" s="83"/>
      <c r="NQC44" s="83"/>
      <c r="NQD44" s="83"/>
      <c r="NQE44" s="83"/>
      <c r="NQF44" s="83"/>
      <c r="NQG44" s="83"/>
      <c r="NQH44" s="83"/>
      <c r="NQI44" s="83"/>
      <c r="NQJ44" s="83"/>
      <c r="NQK44" s="83"/>
      <c r="NQL44" s="83"/>
      <c r="NQM44" s="83"/>
      <c r="NQN44" s="83"/>
      <c r="NQO44" s="83"/>
      <c r="NQP44" s="83"/>
      <c r="NQQ44" s="83"/>
      <c r="NQR44" s="83"/>
      <c r="NQS44" s="83"/>
      <c r="NQT44" s="83"/>
      <c r="NQU44" s="83"/>
      <c r="NQV44" s="83"/>
      <c r="NQW44" s="83"/>
      <c r="NQX44" s="83"/>
      <c r="NQY44" s="83"/>
      <c r="NQZ44" s="83"/>
      <c r="NRA44" s="83"/>
      <c r="NRB44" s="83"/>
      <c r="NRC44" s="83"/>
      <c r="NRD44" s="83"/>
      <c r="NRE44" s="83"/>
      <c r="NRF44" s="83"/>
      <c r="NRG44" s="83"/>
      <c r="NRH44" s="83"/>
      <c r="NRI44" s="83"/>
      <c r="NRJ44" s="83"/>
      <c r="NRK44" s="83"/>
      <c r="NRL44" s="83"/>
      <c r="NRM44" s="83"/>
      <c r="NRN44" s="83"/>
      <c r="NRO44" s="83"/>
      <c r="NRP44" s="83"/>
      <c r="NRQ44" s="83"/>
      <c r="NRR44" s="83"/>
      <c r="NRS44" s="83"/>
      <c r="NRT44" s="83"/>
      <c r="NRU44" s="83"/>
      <c r="NRV44" s="83"/>
      <c r="NRW44" s="83"/>
      <c r="NRX44" s="83"/>
      <c r="NRY44" s="83"/>
      <c r="NRZ44" s="83"/>
      <c r="NSA44" s="83"/>
      <c r="NSB44" s="83"/>
      <c r="NSC44" s="83"/>
      <c r="NSD44" s="83"/>
      <c r="NSE44" s="83"/>
      <c r="NSF44" s="83"/>
      <c r="NSG44" s="83"/>
      <c r="NSH44" s="83"/>
      <c r="NSI44" s="83"/>
      <c r="NSJ44" s="83"/>
      <c r="NSK44" s="83"/>
      <c r="NSL44" s="83"/>
      <c r="NSM44" s="83"/>
      <c r="NSN44" s="83"/>
      <c r="NSO44" s="83"/>
      <c r="NSP44" s="83"/>
      <c r="NSQ44" s="83"/>
      <c r="NSR44" s="83"/>
      <c r="NSS44" s="83"/>
      <c r="NST44" s="83"/>
      <c r="NSU44" s="83"/>
      <c r="NSV44" s="83"/>
      <c r="NSW44" s="83"/>
      <c r="NSX44" s="83"/>
      <c r="NSY44" s="83"/>
      <c r="NSZ44" s="83"/>
      <c r="NTA44" s="83"/>
      <c r="NTB44" s="83"/>
      <c r="NTC44" s="83"/>
      <c r="NTD44" s="83"/>
      <c r="NTE44" s="83"/>
      <c r="NTF44" s="83"/>
      <c r="NTG44" s="83"/>
      <c r="NTH44" s="83"/>
      <c r="NTI44" s="83"/>
      <c r="NTJ44" s="83"/>
      <c r="NTK44" s="83"/>
      <c r="NTL44" s="83"/>
      <c r="NTM44" s="83"/>
      <c r="NTN44" s="83"/>
      <c r="NTO44" s="83"/>
      <c r="NTP44" s="83"/>
      <c r="NTQ44" s="83"/>
      <c r="NTR44" s="83"/>
      <c r="NTS44" s="83"/>
      <c r="NTT44" s="83"/>
      <c r="NTU44" s="83"/>
      <c r="NTV44" s="83"/>
      <c r="NTW44" s="83"/>
      <c r="NTX44" s="83"/>
      <c r="NTY44" s="83"/>
      <c r="NTZ44" s="83"/>
      <c r="NUA44" s="83"/>
      <c r="NUB44" s="83"/>
      <c r="NUC44" s="83"/>
      <c r="NUD44" s="83"/>
      <c r="NUE44" s="83"/>
      <c r="NUF44" s="83"/>
      <c r="NUG44" s="83"/>
      <c r="NUH44" s="83"/>
      <c r="NUI44" s="83"/>
      <c r="NUJ44" s="83"/>
      <c r="NUK44" s="83"/>
      <c r="NUL44" s="83"/>
      <c r="NUM44" s="83"/>
      <c r="NUN44" s="83"/>
      <c r="NUO44" s="83"/>
      <c r="NUP44" s="83"/>
      <c r="NUQ44" s="83"/>
      <c r="NUR44" s="83"/>
      <c r="NUS44" s="83"/>
      <c r="NUT44" s="83"/>
      <c r="NUU44" s="83"/>
      <c r="NUV44" s="83"/>
      <c r="NUW44" s="83"/>
      <c r="NUX44" s="83"/>
      <c r="NUY44" s="83"/>
      <c r="NUZ44" s="83"/>
      <c r="NVA44" s="83"/>
      <c r="NVB44" s="83"/>
      <c r="NVC44" s="83"/>
      <c r="NVD44" s="83"/>
      <c r="NVE44" s="83"/>
      <c r="NVF44" s="83"/>
      <c r="NVG44" s="83"/>
      <c r="NVH44" s="83"/>
      <c r="NVI44" s="83"/>
      <c r="NVJ44" s="83"/>
      <c r="NVK44" s="83"/>
      <c r="NVL44" s="83"/>
      <c r="NVM44" s="83"/>
      <c r="NVN44" s="83"/>
      <c r="NVO44" s="83"/>
      <c r="NVP44" s="83"/>
      <c r="NVQ44" s="83"/>
      <c r="NVR44" s="83"/>
      <c r="NVS44" s="83"/>
      <c r="NVT44" s="83"/>
      <c r="NVU44" s="83"/>
      <c r="NVV44" s="83"/>
      <c r="NVW44" s="83"/>
      <c r="NVX44" s="83"/>
      <c r="NVY44" s="83"/>
      <c r="NVZ44" s="83"/>
      <c r="NWA44" s="83"/>
      <c r="NWB44" s="83"/>
      <c r="NWC44" s="83"/>
      <c r="NWD44" s="83"/>
      <c r="NWE44" s="83"/>
      <c r="NWF44" s="83"/>
      <c r="NWG44" s="83"/>
      <c r="NWH44" s="83"/>
      <c r="NWI44" s="83"/>
      <c r="NWJ44" s="83"/>
      <c r="NWK44" s="83"/>
      <c r="NWL44" s="83"/>
      <c r="NWM44" s="83"/>
      <c r="NWN44" s="83"/>
      <c r="NWO44" s="83"/>
      <c r="NWP44" s="83"/>
      <c r="NWQ44" s="83"/>
      <c r="NWR44" s="83"/>
      <c r="NWS44" s="83"/>
      <c r="NWT44" s="83"/>
      <c r="NWU44" s="83"/>
      <c r="NWV44" s="83"/>
      <c r="NWW44" s="83"/>
      <c r="NWX44" s="83"/>
      <c r="NWY44" s="83"/>
      <c r="NWZ44" s="83"/>
      <c r="NXA44" s="83"/>
      <c r="NXB44" s="83"/>
      <c r="NXC44" s="83"/>
      <c r="NXD44" s="83"/>
      <c r="NXE44" s="83"/>
      <c r="NXF44" s="83"/>
      <c r="NXG44" s="83"/>
      <c r="NXH44" s="83"/>
      <c r="NXI44" s="83"/>
      <c r="NXJ44" s="83"/>
      <c r="NXK44" s="83"/>
      <c r="NXL44" s="83"/>
      <c r="NXM44" s="83"/>
      <c r="NXN44" s="83"/>
      <c r="NXO44" s="83"/>
      <c r="NXP44" s="83"/>
      <c r="NXQ44" s="83"/>
      <c r="NXR44" s="83"/>
      <c r="NXS44" s="83"/>
      <c r="NXT44" s="83"/>
      <c r="NXU44" s="83"/>
      <c r="NXV44" s="83"/>
      <c r="NXW44" s="83"/>
      <c r="NXX44" s="83"/>
      <c r="NXY44" s="83"/>
      <c r="NXZ44" s="83"/>
      <c r="NYA44" s="83"/>
      <c r="NYB44" s="83"/>
      <c r="NYC44" s="83"/>
      <c r="NYD44" s="83"/>
      <c r="NYE44" s="83"/>
      <c r="NYF44" s="83"/>
      <c r="NYG44" s="83"/>
      <c r="NYH44" s="83"/>
      <c r="NYI44" s="83"/>
      <c r="NYJ44" s="83"/>
      <c r="NYK44" s="83"/>
      <c r="NYL44" s="83"/>
      <c r="NYM44" s="83"/>
      <c r="NYN44" s="83"/>
      <c r="NYO44" s="83"/>
      <c r="NYP44" s="83"/>
      <c r="NYQ44" s="83"/>
      <c r="NYR44" s="83"/>
      <c r="NYS44" s="83"/>
      <c r="NYT44" s="83"/>
      <c r="NYU44" s="83"/>
      <c r="NYV44" s="83"/>
      <c r="NYW44" s="83"/>
      <c r="NYX44" s="83"/>
      <c r="NYY44" s="83"/>
      <c r="NYZ44" s="83"/>
      <c r="NZA44" s="83"/>
      <c r="NZB44" s="83"/>
      <c r="NZC44" s="83"/>
      <c r="NZD44" s="83"/>
      <c r="NZE44" s="83"/>
      <c r="NZF44" s="83"/>
      <c r="NZG44" s="83"/>
      <c r="NZH44" s="83"/>
      <c r="NZI44" s="83"/>
      <c r="NZJ44" s="83"/>
      <c r="NZK44" s="83"/>
      <c r="NZL44" s="83"/>
      <c r="NZM44" s="83"/>
      <c r="NZN44" s="83"/>
      <c r="NZO44" s="83"/>
      <c r="NZP44" s="83"/>
      <c r="NZQ44" s="83"/>
      <c r="NZR44" s="83"/>
      <c r="NZS44" s="83"/>
      <c r="NZT44" s="83"/>
      <c r="NZU44" s="83"/>
      <c r="NZV44" s="83"/>
      <c r="NZW44" s="83"/>
      <c r="NZX44" s="83"/>
      <c r="NZY44" s="83"/>
      <c r="NZZ44" s="83"/>
      <c r="OAA44" s="83"/>
      <c r="OAB44" s="83"/>
      <c r="OAC44" s="83"/>
      <c r="OAD44" s="83"/>
      <c r="OAE44" s="83"/>
      <c r="OAF44" s="83"/>
      <c r="OAG44" s="83"/>
      <c r="OAH44" s="83"/>
      <c r="OAI44" s="83"/>
      <c r="OAJ44" s="83"/>
      <c r="OAK44" s="83"/>
      <c r="OAL44" s="83"/>
      <c r="OAM44" s="83"/>
      <c r="OAN44" s="83"/>
      <c r="OAO44" s="83"/>
      <c r="OAP44" s="83"/>
      <c r="OAQ44" s="83"/>
      <c r="OAR44" s="83"/>
      <c r="OAS44" s="83"/>
      <c r="OAT44" s="83"/>
      <c r="OAU44" s="83"/>
      <c r="OAV44" s="83"/>
      <c r="OAW44" s="83"/>
      <c r="OAX44" s="83"/>
      <c r="OAY44" s="83"/>
      <c r="OAZ44" s="83"/>
      <c r="OBA44" s="83"/>
      <c r="OBB44" s="83"/>
      <c r="OBC44" s="83"/>
      <c r="OBD44" s="83"/>
      <c r="OBE44" s="83"/>
      <c r="OBF44" s="83"/>
      <c r="OBG44" s="83"/>
      <c r="OBH44" s="83"/>
      <c r="OBI44" s="83"/>
      <c r="OBJ44" s="83"/>
      <c r="OBK44" s="83"/>
      <c r="OBL44" s="83"/>
      <c r="OBM44" s="83"/>
      <c r="OBN44" s="83"/>
      <c r="OBO44" s="83"/>
      <c r="OBP44" s="83"/>
      <c r="OBQ44" s="83"/>
      <c r="OBR44" s="83"/>
      <c r="OBS44" s="83"/>
      <c r="OBT44" s="83"/>
      <c r="OBU44" s="83"/>
      <c r="OBV44" s="83"/>
      <c r="OBW44" s="83"/>
      <c r="OBX44" s="83"/>
      <c r="OBY44" s="83"/>
      <c r="OBZ44" s="83"/>
      <c r="OCA44" s="83"/>
      <c r="OCB44" s="83"/>
      <c r="OCC44" s="83"/>
      <c r="OCD44" s="83"/>
      <c r="OCE44" s="83"/>
      <c r="OCF44" s="83"/>
      <c r="OCG44" s="83"/>
      <c r="OCH44" s="83"/>
      <c r="OCI44" s="83"/>
      <c r="OCJ44" s="83"/>
      <c r="OCK44" s="83"/>
      <c r="OCL44" s="83"/>
      <c r="OCM44" s="83"/>
      <c r="OCN44" s="83"/>
      <c r="OCO44" s="83"/>
      <c r="OCP44" s="83"/>
      <c r="OCQ44" s="83"/>
      <c r="OCR44" s="83"/>
      <c r="OCS44" s="83"/>
      <c r="OCT44" s="83"/>
      <c r="OCU44" s="83"/>
      <c r="OCV44" s="83"/>
      <c r="OCW44" s="83"/>
      <c r="OCX44" s="83"/>
      <c r="OCY44" s="83"/>
      <c r="OCZ44" s="83"/>
      <c r="ODA44" s="83"/>
      <c r="ODB44" s="83"/>
      <c r="ODC44" s="83"/>
      <c r="ODD44" s="83"/>
      <c r="ODE44" s="83"/>
      <c r="ODF44" s="83"/>
      <c r="ODG44" s="83"/>
      <c r="ODH44" s="83"/>
      <c r="ODI44" s="83"/>
      <c r="ODJ44" s="83"/>
      <c r="ODK44" s="83"/>
      <c r="ODL44" s="83"/>
      <c r="ODM44" s="83"/>
      <c r="ODN44" s="83"/>
      <c r="ODO44" s="83"/>
      <c r="ODP44" s="83"/>
      <c r="ODQ44" s="83"/>
      <c r="ODR44" s="83"/>
      <c r="ODS44" s="83"/>
      <c r="ODT44" s="83"/>
      <c r="ODU44" s="83"/>
      <c r="ODV44" s="83"/>
      <c r="ODW44" s="83"/>
      <c r="ODX44" s="83"/>
      <c r="ODY44" s="83"/>
      <c r="ODZ44" s="83"/>
      <c r="OEA44" s="83"/>
      <c r="OEB44" s="83"/>
      <c r="OEC44" s="83"/>
      <c r="OED44" s="83"/>
      <c r="OEE44" s="83"/>
      <c r="OEF44" s="83"/>
      <c r="OEG44" s="83"/>
      <c r="OEH44" s="83"/>
      <c r="OEI44" s="83"/>
      <c r="OEJ44" s="83"/>
      <c r="OEK44" s="83"/>
      <c r="OEL44" s="83"/>
      <c r="OEM44" s="83"/>
      <c r="OEN44" s="83"/>
      <c r="OEO44" s="83"/>
      <c r="OEP44" s="83"/>
      <c r="OEQ44" s="83"/>
      <c r="OER44" s="83"/>
      <c r="OES44" s="83"/>
      <c r="OET44" s="83"/>
      <c r="OEU44" s="83"/>
      <c r="OEV44" s="83"/>
      <c r="OEW44" s="83"/>
      <c r="OEX44" s="83"/>
      <c r="OEY44" s="83"/>
      <c r="OEZ44" s="83"/>
      <c r="OFA44" s="83"/>
      <c r="OFB44" s="83"/>
      <c r="OFC44" s="83"/>
      <c r="OFD44" s="83"/>
      <c r="OFE44" s="83"/>
      <c r="OFF44" s="83"/>
      <c r="OFG44" s="83"/>
      <c r="OFH44" s="83"/>
      <c r="OFI44" s="83"/>
      <c r="OFJ44" s="83"/>
      <c r="OFK44" s="83"/>
      <c r="OFL44" s="83"/>
      <c r="OFM44" s="83"/>
      <c r="OFN44" s="83"/>
      <c r="OFO44" s="83"/>
      <c r="OFP44" s="83"/>
      <c r="OFQ44" s="83"/>
      <c r="OFR44" s="83"/>
      <c r="OFS44" s="83"/>
      <c r="OFT44" s="83"/>
      <c r="OFU44" s="83"/>
      <c r="OFV44" s="83"/>
      <c r="OFW44" s="83"/>
      <c r="OFX44" s="83"/>
      <c r="OFY44" s="83"/>
      <c r="OFZ44" s="83"/>
      <c r="OGA44" s="83"/>
      <c r="OGB44" s="83"/>
      <c r="OGC44" s="83"/>
      <c r="OGD44" s="83"/>
      <c r="OGE44" s="83"/>
      <c r="OGF44" s="83"/>
      <c r="OGG44" s="83"/>
      <c r="OGH44" s="83"/>
      <c r="OGI44" s="83"/>
      <c r="OGJ44" s="83"/>
      <c r="OGK44" s="83"/>
      <c r="OGL44" s="83"/>
      <c r="OGM44" s="83"/>
      <c r="OGN44" s="83"/>
      <c r="OGO44" s="83"/>
      <c r="OGP44" s="83"/>
      <c r="OGQ44" s="83"/>
      <c r="OGR44" s="83"/>
      <c r="OGS44" s="83"/>
      <c r="OGT44" s="83"/>
      <c r="OGU44" s="83"/>
      <c r="OGV44" s="83"/>
      <c r="OGW44" s="83"/>
      <c r="OGX44" s="83"/>
      <c r="OGY44" s="83"/>
      <c r="OGZ44" s="83"/>
      <c r="OHA44" s="83"/>
      <c r="OHB44" s="83"/>
      <c r="OHC44" s="83"/>
      <c r="OHD44" s="83"/>
      <c r="OHE44" s="83"/>
      <c r="OHF44" s="83"/>
      <c r="OHG44" s="83"/>
      <c r="OHH44" s="83"/>
      <c r="OHI44" s="83"/>
      <c r="OHJ44" s="83"/>
      <c r="OHK44" s="83"/>
      <c r="OHL44" s="83"/>
      <c r="OHM44" s="83"/>
      <c r="OHN44" s="83"/>
      <c r="OHO44" s="83"/>
      <c r="OHP44" s="83"/>
      <c r="OHQ44" s="83"/>
      <c r="OHR44" s="83"/>
      <c r="OHS44" s="83"/>
      <c r="OHT44" s="83"/>
      <c r="OHU44" s="83"/>
      <c r="OHV44" s="83"/>
      <c r="OHW44" s="83"/>
      <c r="OHX44" s="83"/>
      <c r="OHY44" s="83"/>
      <c r="OHZ44" s="83"/>
      <c r="OIA44" s="83"/>
      <c r="OIB44" s="83"/>
      <c r="OIC44" s="83"/>
      <c r="OID44" s="83"/>
      <c r="OIE44" s="83"/>
      <c r="OIF44" s="83"/>
      <c r="OIG44" s="83"/>
      <c r="OIH44" s="83"/>
      <c r="OII44" s="83"/>
      <c r="OIJ44" s="83"/>
      <c r="OIK44" s="83"/>
      <c r="OIL44" s="83"/>
      <c r="OIM44" s="83"/>
      <c r="OIN44" s="83"/>
      <c r="OIO44" s="83"/>
      <c r="OIP44" s="83"/>
      <c r="OIQ44" s="83"/>
      <c r="OIR44" s="83"/>
      <c r="OIS44" s="83"/>
      <c r="OIT44" s="83"/>
      <c r="OIU44" s="83"/>
      <c r="OIV44" s="83"/>
      <c r="OIW44" s="83"/>
      <c r="OIX44" s="83"/>
      <c r="OIY44" s="83"/>
      <c r="OIZ44" s="83"/>
      <c r="OJA44" s="83"/>
      <c r="OJB44" s="83"/>
      <c r="OJC44" s="83"/>
      <c r="OJD44" s="83"/>
      <c r="OJE44" s="83"/>
      <c r="OJF44" s="83"/>
      <c r="OJG44" s="83"/>
      <c r="OJH44" s="83"/>
      <c r="OJI44" s="83"/>
      <c r="OJJ44" s="83"/>
      <c r="OJK44" s="83"/>
      <c r="OJL44" s="83"/>
      <c r="OJM44" s="83"/>
      <c r="OJN44" s="83"/>
      <c r="OJO44" s="83"/>
      <c r="OJP44" s="83"/>
      <c r="OJQ44" s="83"/>
      <c r="OJR44" s="83"/>
      <c r="OJS44" s="83"/>
      <c r="OJT44" s="83"/>
      <c r="OJU44" s="83"/>
      <c r="OJV44" s="83"/>
      <c r="OJW44" s="83"/>
      <c r="OJX44" s="83"/>
      <c r="OJY44" s="83"/>
      <c r="OJZ44" s="83"/>
      <c r="OKA44" s="83"/>
      <c r="OKB44" s="83"/>
      <c r="OKC44" s="83"/>
      <c r="OKD44" s="83"/>
      <c r="OKE44" s="83"/>
      <c r="OKF44" s="83"/>
      <c r="OKG44" s="83"/>
      <c r="OKH44" s="83"/>
      <c r="OKI44" s="83"/>
      <c r="OKJ44" s="83"/>
      <c r="OKK44" s="83"/>
      <c r="OKL44" s="83"/>
      <c r="OKM44" s="83"/>
      <c r="OKN44" s="83"/>
      <c r="OKO44" s="83"/>
      <c r="OKP44" s="83"/>
      <c r="OKQ44" s="83"/>
      <c r="OKR44" s="83"/>
      <c r="OKS44" s="83"/>
      <c r="OKT44" s="83"/>
      <c r="OKU44" s="83"/>
      <c r="OKV44" s="83"/>
      <c r="OKW44" s="83"/>
      <c r="OKX44" s="83"/>
      <c r="OKY44" s="83"/>
      <c r="OKZ44" s="83"/>
      <c r="OLA44" s="83"/>
      <c r="OLB44" s="83"/>
      <c r="OLC44" s="83"/>
      <c r="OLD44" s="83"/>
      <c r="OLE44" s="83"/>
      <c r="OLF44" s="83"/>
      <c r="OLG44" s="83"/>
      <c r="OLH44" s="83"/>
      <c r="OLI44" s="83"/>
      <c r="OLJ44" s="83"/>
      <c r="OLK44" s="83"/>
      <c r="OLL44" s="83"/>
      <c r="OLM44" s="83"/>
      <c r="OLN44" s="83"/>
      <c r="OLO44" s="83"/>
      <c r="OLP44" s="83"/>
      <c r="OLQ44" s="83"/>
      <c r="OLR44" s="83"/>
      <c r="OLS44" s="83"/>
      <c r="OLT44" s="83"/>
      <c r="OLU44" s="83"/>
      <c r="OLV44" s="83"/>
      <c r="OLW44" s="83"/>
      <c r="OLX44" s="83"/>
      <c r="OLY44" s="83"/>
      <c r="OLZ44" s="83"/>
      <c r="OMA44" s="83"/>
      <c r="OMB44" s="83"/>
      <c r="OMC44" s="83"/>
      <c r="OMD44" s="83"/>
      <c r="OME44" s="83"/>
      <c r="OMF44" s="83"/>
      <c r="OMG44" s="83"/>
      <c r="OMH44" s="83"/>
      <c r="OMI44" s="83"/>
      <c r="OMJ44" s="83"/>
      <c r="OMK44" s="83"/>
      <c r="OML44" s="83"/>
      <c r="OMM44" s="83"/>
      <c r="OMN44" s="83"/>
      <c r="OMO44" s="83"/>
      <c r="OMP44" s="83"/>
      <c r="OMQ44" s="83"/>
      <c r="OMR44" s="83"/>
      <c r="OMS44" s="83"/>
      <c r="OMT44" s="83"/>
      <c r="OMU44" s="83"/>
      <c r="OMV44" s="83"/>
      <c r="OMW44" s="83"/>
      <c r="OMX44" s="83"/>
      <c r="OMY44" s="83"/>
      <c r="OMZ44" s="83"/>
      <c r="ONA44" s="83"/>
      <c r="ONB44" s="83"/>
      <c r="ONC44" s="83"/>
      <c r="OND44" s="83"/>
      <c r="ONE44" s="83"/>
      <c r="ONF44" s="83"/>
      <c r="ONG44" s="83"/>
      <c r="ONH44" s="83"/>
      <c r="ONI44" s="83"/>
      <c r="ONJ44" s="83"/>
      <c r="ONK44" s="83"/>
      <c r="ONL44" s="83"/>
      <c r="ONM44" s="83"/>
      <c r="ONN44" s="83"/>
      <c r="ONO44" s="83"/>
      <c r="ONP44" s="83"/>
      <c r="ONQ44" s="83"/>
      <c r="ONR44" s="83"/>
      <c r="ONS44" s="83"/>
      <c r="ONT44" s="83"/>
      <c r="ONU44" s="83"/>
      <c r="ONV44" s="83"/>
      <c r="ONW44" s="83"/>
      <c r="ONX44" s="83"/>
      <c r="ONY44" s="83"/>
      <c r="ONZ44" s="83"/>
      <c r="OOA44" s="83"/>
      <c r="OOB44" s="83"/>
      <c r="OOC44" s="83"/>
      <c r="OOD44" s="83"/>
      <c r="OOE44" s="83"/>
      <c r="OOF44" s="83"/>
      <c r="OOG44" s="83"/>
      <c r="OOH44" s="83"/>
      <c r="OOI44" s="83"/>
      <c r="OOJ44" s="83"/>
      <c r="OOK44" s="83"/>
      <c r="OOL44" s="83"/>
      <c r="OOM44" s="83"/>
      <c r="OON44" s="83"/>
      <c r="OOO44" s="83"/>
      <c r="OOP44" s="83"/>
      <c r="OOQ44" s="83"/>
      <c r="OOR44" s="83"/>
      <c r="OOS44" s="83"/>
      <c r="OOT44" s="83"/>
      <c r="OOU44" s="83"/>
      <c r="OOV44" s="83"/>
      <c r="OOW44" s="83"/>
      <c r="OOX44" s="83"/>
      <c r="OOY44" s="83"/>
      <c r="OOZ44" s="83"/>
      <c r="OPA44" s="83"/>
      <c r="OPB44" s="83"/>
      <c r="OPC44" s="83"/>
      <c r="OPD44" s="83"/>
      <c r="OPE44" s="83"/>
      <c r="OPF44" s="83"/>
      <c r="OPG44" s="83"/>
      <c r="OPH44" s="83"/>
      <c r="OPI44" s="83"/>
      <c r="OPJ44" s="83"/>
      <c r="OPK44" s="83"/>
      <c r="OPL44" s="83"/>
      <c r="OPM44" s="83"/>
      <c r="OPN44" s="83"/>
      <c r="OPO44" s="83"/>
      <c r="OPP44" s="83"/>
      <c r="OPQ44" s="83"/>
      <c r="OPR44" s="83"/>
      <c r="OPS44" s="83"/>
      <c r="OPT44" s="83"/>
      <c r="OPU44" s="83"/>
      <c r="OPV44" s="83"/>
      <c r="OPW44" s="83"/>
      <c r="OPX44" s="83"/>
      <c r="OPY44" s="83"/>
      <c r="OPZ44" s="83"/>
      <c r="OQA44" s="83"/>
      <c r="OQB44" s="83"/>
      <c r="OQC44" s="83"/>
      <c r="OQD44" s="83"/>
      <c r="OQE44" s="83"/>
      <c r="OQF44" s="83"/>
      <c r="OQG44" s="83"/>
      <c r="OQH44" s="83"/>
      <c r="OQI44" s="83"/>
      <c r="OQJ44" s="83"/>
      <c r="OQK44" s="83"/>
      <c r="OQL44" s="83"/>
      <c r="OQM44" s="83"/>
      <c r="OQN44" s="83"/>
      <c r="OQO44" s="83"/>
      <c r="OQP44" s="83"/>
      <c r="OQQ44" s="83"/>
      <c r="OQR44" s="83"/>
      <c r="OQS44" s="83"/>
      <c r="OQT44" s="83"/>
      <c r="OQU44" s="83"/>
      <c r="OQV44" s="83"/>
      <c r="OQW44" s="83"/>
      <c r="OQX44" s="83"/>
      <c r="OQY44" s="83"/>
      <c r="OQZ44" s="83"/>
      <c r="ORA44" s="83"/>
      <c r="ORB44" s="83"/>
      <c r="ORC44" s="83"/>
      <c r="ORD44" s="83"/>
      <c r="ORE44" s="83"/>
      <c r="ORF44" s="83"/>
      <c r="ORG44" s="83"/>
      <c r="ORH44" s="83"/>
      <c r="ORI44" s="83"/>
      <c r="ORJ44" s="83"/>
      <c r="ORK44" s="83"/>
      <c r="ORL44" s="83"/>
      <c r="ORM44" s="83"/>
      <c r="ORN44" s="83"/>
      <c r="ORO44" s="83"/>
      <c r="ORP44" s="83"/>
      <c r="ORQ44" s="83"/>
      <c r="ORR44" s="83"/>
      <c r="ORS44" s="83"/>
      <c r="ORT44" s="83"/>
      <c r="ORU44" s="83"/>
      <c r="ORV44" s="83"/>
      <c r="ORW44" s="83"/>
      <c r="ORX44" s="83"/>
      <c r="ORY44" s="83"/>
      <c r="ORZ44" s="83"/>
      <c r="OSA44" s="83"/>
      <c r="OSB44" s="83"/>
      <c r="OSC44" s="83"/>
      <c r="OSD44" s="83"/>
      <c r="OSE44" s="83"/>
      <c r="OSF44" s="83"/>
      <c r="OSG44" s="83"/>
      <c r="OSH44" s="83"/>
      <c r="OSI44" s="83"/>
      <c r="OSJ44" s="83"/>
      <c r="OSK44" s="83"/>
      <c r="OSL44" s="83"/>
      <c r="OSM44" s="83"/>
      <c r="OSN44" s="83"/>
      <c r="OSO44" s="83"/>
      <c r="OSP44" s="83"/>
      <c r="OSQ44" s="83"/>
      <c r="OSR44" s="83"/>
      <c r="OSS44" s="83"/>
      <c r="OST44" s="83"/>
      <c r="OSU44" s="83"/>
      <c r="OSV44" s="83"/>
      <c r="OSW44" s="83"/>
      <c r="OSX44" s="83"/>
      <c r="OSY44" s="83"/>
      <c r="OSZ44" s="83"/>
      <c r="OTA44" s="83"/>
      <c r="OTB44" s="83"/>
      <c r="OTC44" s="83"/>
      <c r="OTD44" s="83"/>
      <c r="OTE44" s="83"/>
      <c r="OTF44" s="83"/>
      <c r="OTG44" s="83"/>
      <c r="OTH44" s="83"/>
      <c r="OTI44" s="83"/>
      <c r="OTJ44" s="83"/>
      <c r="OTK44" s="83"/>
      <c r="OTL44" s="83"/>
      <c r="OTM44" s="83"/>
      <c r="OTN44" s="83"/>
      <c r="OTO44" s="83"/>
      <c r="OTP44" s="83"/>
      <c r="OTQ44" s="83"/>
      <c r="OTR44" s="83"/>
      <c r="OTS44" s="83"/>
      <c r="OTT44" s="83"/>
      <c r="OTU44" s="83"/>
      <c r="OTV44" s="83"/>
      <c r="OTW44" s="83"/>
      <c r="OTX44" s="83"/>
      <c r="OTY44" s="83"/>
      <c r="OTZ44" s="83"/>
      <c r="OUA44" s="83"/>
      <c r="OUB44" s="83"/>
      <c r="OUC44" s="83"/>
      <c r="OUD44" s="83"/>
      <c r="OUE44" s="83"/>
      <c r="OUF44" s="83"/>
      <c r="OUG44" s="83"/>
      <c r="OUH44" s="83"/>
      <c r="OUI44" s="83"/>
      <c r="OUJ44" s="83"/>
      <c r="OUK44" s="83"/>
      <c r="OUL44" s="83"/>
      <c r="OUM44" s="83"/>
      <c r="OUN44" s="83"/>
      <c r="OUO44" s="83"/>
      <c r="OUP44" s="83"/>
      <c r="OUQ44" s="83"/>
      <c r="OUR44" s="83"/>
      <c r="OUS44" s="83"/>
      <c r="OUT44" s="83"/>
      <c r="OUU44" s="83"/>
      <c r="OUV44" s="83"/>
      <c r="OUW44" s="83"/>
      <c r="OUX44" s="83"/>
      <c r="OUY44" s="83"/>
      <c r="OUZ44" s="83"/>
      <c r="OVA44" s="83"/>
      <c r="OVB44" s="83"/>
      <c r="OVC44" s="83"/>
      <c r="OVD44" s="83"/>
      <c r="OVE44" s="83"/>
      <c r="OVF44" s="83"/>
      <c r="OVG44" s="83"/>
      <c r="OVH44" s="83"/>
      <c r="OVI44" s="83"/>
      <c r="OVJ44" s="83"/>
      <c r="OVK44" s="83"/>
      <c r="OVL44" s="83"/>
      <c r="OVM44" s="83"/>
      <c r="OVN44" s="83"/>
      <c r="OVO44" s="83"/>
      <c r="OVP44" s="83"/>
      <c r="OVQ44" s="83"/>
      <c r="OVR44" s="83"/>
      <c r="OVS44" s="83"/>
      <c r="OVT44" s="83"/>
      <c r="OVU44" s="83"/>
      <c r="OVV44" s="83"/>
      <c r="OVW44" s="83"/>
      <c r="OVX44" s="83"/>
      <c r="OVY44" s="83"/>
      <c r="OVZ44" s="83"/>
      <c r="OWA44" s="83"/>
      <c r="OWB44" s="83"/>
      <c r="OWC44" s="83"/>
      <c r="OWD44" s="83"/>
      <c r="OWE44" s="83"/>
      <c r="OWF44" s="83"/>
      <c r="OWG44" s="83"/>
      <c r="OWH44" s="83"/>
      <c r="OWI44" s="83"/>
      <c r="OWJ44" s="83"/>
      <c r="OWK44" s="83"/>
      <c r="OWL44" s="83"/>
      <c r="OWM44" s="83"/>
      <c r="OWN44" s="83"/>
      <c r="OWO44" s="83"/>
      <c r="OWP44" s="83"/>
      <c r="OWQ44" s="83"/>
      <c r="OWR44" s="83"/>
      <c r="OWS44" s="83"/>
      <c r="OWT44" s="83"/>
      <c r="OWU44" s="83"/>
      <c r="OWV44" s="83"/>
      <c r="OWW44" s="83"/>
      <c r="OWX44" s="83"/>
      <c r="OWY44" s="83"/>
      <c r="OWZ44" s="83"/>
      <c r="OXA44" s="83"/>
      <c r="OXB44" s="83"/>
      <c r="OXC44" s="83"/>
      <c r="OXD44" s="83"/>
      <c r="OXE44" s="83"/>
      <c r="OXF44" s="83"/>
      <c r="OXG44" s="83"/>
      <c r="OXH44" s="83"/>
      <c r="OXI44" s="83"/>
      <c r="OXJ44" s="83"/>
      <c r="OXK44" s="83"/>
      <c r="OXL44" s="83"/>
      <c r="OXM44" s="83"/>
      <c r="OXN44" s="83"/>
      <c r="OXO44" s="83"/>
      <c r="OXP44" s="83"/>
      <c r="OXQ44" s="83"/>
      <c r="OXR44" s="83"/>
      <c r="OXS44" s="83"/>
      <c r="OXT44" s="83"/>
      <c r="OXU44" s="83"/>
      <c r="OXV44" s="83"/>
      <c r="OXW44" s="83"/>
      <c r="OXX44" s="83"/>
      <c r="OXY44" s="83"/>
      <c r="OXZ44" s="83"/>
      <c r="OYA44" s="83"/>
      <c r="OYB44" s="83"/>
      <c r="OYC44" s="83"/>
      <c r="OYD44" s="83"/>
      <c r="OYE44" s="83"/>
      <c r="OYF44" s="83"/>
      <c r="OYG44" s="83"/>
      <c r="OYH44" s="83"/>
      <c r="OYI44" s="83"/>
      <c r="OYJ44" s="83"/>
      <c r="OYK44" s="83"/>
      <c r="OYL44" s="83"/>
      <c r="OYM44" s="83"/>
      <c r="OYN44" s="83"/>
      <c r="OYO44" s="83"/>
      <c r="OYP44" s="83"/>
      <c r="OYQ44" s="83"/>
      <c r="OYR44" s="83"/>
      <c r="OYS44" s="83"/>
      <c r="OYT44" s="83"/>
      <c r="OYU44" s="83"/>
      <c r="OYV44" s="83"/>
      <c r="OYW44" s="83"/>
      <c r="OYX44" s="83"/>
      <c r="OYY44" s="83"/>
      <c r="OYZ44" s="83"/>
      <c r="OZA44" s="83"/>
      <c r="OZB44" s="83"/>
      <c r="OZC44" s="83"/>
      <c r="OZD44" s="83"/>
      <c r="OZE44" s="83"/>
      <c r="OZF44" s="83"/>
      <c r="OZG44" s="83"/>
      <c r="OZH44" s="83"/>
      <c r="OZI44" s="83"/>
      <c r="OZJ44" s="83"/>
      <c r="OZK44" s="83"/>
      <c r="OZL44" s="83"/>
      <c r="OZM44" s="83"/>
      <c r="OZN44" s="83"/>
      <c r="OZO44" s="83"/>
      <c r="OZP44" s="83"/>
      <c r="OZQ44" s="83"/>
      <c r="OZR44" s="83"/>
      <c r="OZS44" s="83"/>
      <c r="OZT44" s="83"/>
      <c r="OZU44" s="83"/>
      <c r="OZV44" s="83"/>
      <c r="OZW44" s="83"/>
      <c r="OZX44" s="83"/>
      <c r="OZY44" s="83"/>
      <c r="OZZ44" s="83"/>
      <c r="PAA44" s="83"/>
      <c r="PAB44" s="83"/>
      <c r="PAC44" s="83"/>
      <c r="PAD44" s="83"/>
      <c r="PAE44" s="83"/>
      <c r="PAF44" s="83"/>
      <c r="PAG44" s="83"/>
      <c r="PAH44" s="83"/>
      <c r="PAI44" s="83"/>
      <c r="PAJ44" s="83"/>
      <c r="PAK44" s="83"/>
      <c r="PAL44" s="83"/>
      <c r="PAM44" s="83"/>
      <c r="PAN44" s="83"/>
      <c r="PAO44" s="83"/>
      <c r="PAP44" s="83"/>
      <c r="PAQ44" s="83"/>
      <c r="PAR44" s="83"/>
      <c r="PAS44" s="83"/>
      <c r="PAT44" s="83"/>
      <c r="PAU44" s="83"/>
      <c r="PAV44" s="83"/>
      <c r="PAW44" s="83"/>
      <c r="PAX44" s="83"/>
      <c r="PAY44" s="83"/>
      <c r="PAZ44" s="83"/>
      <c r="PBA44" s="83"/>
      <c r="PBB44" s="83"/>
      <c r="PBC44" s="83"/>
      <c r="PBD44" s="83"/>
      <c r="PBE44" s="83"/>
      <c r="PBF44" s="83"/>
      <c r="PBG44" s="83"/>
      <c r="PBH44" s="83"/>
      <c r="PBI44" s="83"/>
      <c r="PBJ44" s="83"/>
      <c r="PBK44" s="83"/>
      <c r="PBL44" s="83"/>
      <c r="PBM44" s="83"/>
      <c r="PBN44" s="83"/>
      <c r="PBO44" s="83"/>
      <c r="PBP44" s="83"/>
      <c r="PBQ44" s="83"/>
      <c r="PBR44" s="83"/>
      <c r="PBS44" s="83"/>
      <c r="PBT44" s="83"/>
      <c r="PBU44" s="83"/>
      <c r="PBV44" s="83"/>
      <c r="PBW44" s="83"/>
      <c r="PBX44" s="83"/>
      <c r="PBY44" s="83"/>
      <c r="PBZ44" s="83"/>
      <c r="PCA44" s="83"/>
      <c r="PCB44" s="83"/>
      <c r="PCC44" s="83"/>
      <c r="PCD44" s="83"/>
      <c r="PCE44" s="83"/>
      <c r="PCF44" s="83"/>
      <c r="PCG44" s="83"/>
      <c r="PCH44" s="83"/>
      <c r="PCI44" s="83"/>
      <c r="PCJ44" s="83"/>
      <c r="PCK44" s="83"/>
      <c r="PCL44" s="83"/>
      <c r="PCM44" s="83"/>
      <c r="PCN44" s="83"/>
      <c r="PCO44" s="83"/>
      <c r="PCP44" s="83"/>
      <c r="PCQ44" s="83"/>
      <c r="PCR44" s="83"/>
      <c r="PCS44" s="83"/>
      <c r="PCT44" s="83"/>
      <c r="PCU44" s="83"/>
      <c r="PCV44" s="83"/>
      <c r="PCW44" s="83"/>
      <c r="PCX44" s="83"/>
      <c r="PCY44" s="83"/>
      <c r="PCZ44" s="83"/>
      <c r="PDA44" s="83"/>
      <c r="PDB44" s="83"/>
      <c r="PDC44" s="83"/>
      <c r="PDD44" s="83"/>
      <c r="PDE44" s="83"/>
      <c r="PDF44" s="83"/>
      <c r="PDG44" s="83"/>
      <c r="PDH44" s="83"/>
      <c r="PDI44" s="83"/>
      <c r="PDJ44" s="83"/>
      <c r="PDK44" s="83"/>
      <c r="PDL44" s="83"/>
      <c r="PDM44" s="83"/>
      <c r="PDN44" s="83"/>
      <c r="PDO44" s="83"/>
      <c r="PDP44" s="83"/>
      <c r="PDQ44" s="83"/>
      <c r="PDR44" s="83"/>
      <c r="PDS44" s="83"/>
      <c r="PDT44" s="83"/>
      <c r="PDU44" s="83"/>
      <c r="PDV44" s="83"/>
      <c r="PDW44" s="83"/>
      <c r="PDX44" s="83"/>
      <c r="PDY44" s="83"/>
      <c r="PDZ44" s="83"/>
      <c r="PEA44" s="83"/>
      <c r="PEB44" s="83"/>
      <c r="PEC44" s="83"/>
      <c r="PED44" s="83"/>
      <c r="PEE44" s="83"/>
      <c r="PEF44" s="83"/>
      <c r="PEG44" s="83"/>
      <c r="PEH44" s="83"/>
      <c r="PEI44" s="83"/>
      <c r="PEJ44" s="83"/>
      <c r="PEK44" s="83"/>
      <c r="PEL44" s="83"/>
      <c r="PEM44" s="83"/>
      <c r="PEN44" s="83"/>
      <c r="PEO44" s="83"/>
      <c r="PEP44" s="83"/>
      <c r="PEQ44" s="83"/>
      <c r="PER44" s="83"/>
      <c r="PES44" s="83"/>
      <c r="PET44" s="83"/>
      <c r="PEU44" s="83"/>
      <c r="PEV44" s="83"/>
      <c r="PEW44" s="83"/>
      <c r="PEX44" s="83"/>
      <c r="PEY44" s="83"/>
      <c r="PEZ44" s="83"/>
      <c r="PFA44" s="83"/>
      <c r="PFB44" s="83"/>
      <c r="PFC44" s="83"/>
      <c r="PFD44" s="83"/>
      <c r="PFE44" s="83"/>
      <c r="PFF44" s="83"/>
      <c r="PFG44" s="83"/>
      <c r="PFH44" s="83"/>
      <c r="PFI44" s="83"/>
      <c r="PFJ44" s="83"/>
      <c r="PFK44" s="83"/>
      <c r="PFL44" s="83"/>
      <c r="PFM44" s="83"/>
      <c r="PFN44" s="83"/>
      <c r="PFO44" s="83"/>
      <c r="PFP44" s="83"/>
      <c r="PFQ44" s="83"/>
      <c r="PFR44" s="83"/>
      <c r="PFS44" s="83"/>
      <c r="PFT44" s="83"/>
      <c r="PFU44" s="83"/>
      <c r="PFV44" s="83"/>
      <c r="PFW44" s="83"/>
      <c r="PFX44" s="83"/>
      <c r="PFY44" s="83"/>
      <c r="PFZ44" s="83"/>
      <c r="PGA44" s="83"/>
      <c r="PGB44" s="83"/>
      <c r="PGC44" s="83"/>
      <c r="PGD44" s="83"/>
      <c r="PGE44" s="83"/>
      <c r="PGF44" s="83"/>
      <c r="PGG44" s="83"/>
      <c r="PGH44" s="83"/>
      <c r="PGI44" s="83"/>
      <c r="PGJ44" s="83"/>
      <c r="PGK44" s="83"/>
      <c r="PGL44" s="83"/>
      <c r="PGM44" s="83"/>
      <c r="PGN44" s="83"/>
      <c r="PGO44" s="83"/>
      <c r="PGP44" s="83"/>
      <c r="PGQ44" s="83"/>
      <c r="PGR44" s="83"/>
      <c r="PGS44" s="83"/>
      <c r="PGT44" s="83"/>
      <c r="PGU44" s="83"/>
      <c r="PGV44" s="83"/>
      <c r="PGW44" s="83"/>
      <c r="PGX44" s="83"/>
      <c r="PGY44" s="83"/>
      <c r="PGZ44" s="83"/>
      <c r="PHA44" s="83"/>
      <c r="PHB44" s="83"/>
      <c r="PHC44" s="83"/>
      <c r="PHD44" s="83"/>
      <c r="PHE44" s="83"/>
      <c r="PHF44" s="83"/>
      <c r="PHG44" s="83"/>
      <c r="PHH44" s="83"/>
      <c r="PHI44" s="83"/>
      <c r="PHJ44" s="83"/>
      <c r="PHK44" s="83"/>
      <c r="PHL44" s="83"/>
      <c r="PHM44" s="83"/>
      <c r="PHN44" s="83"/>
      <c r="PHO44" s="83"/>
      <c r="PHP44" s="83"/>
      <c r="PHQ44" s="83"/>
      <c r="PHR44" s="83"/>
      <c r="PHS44" s="83"/>
      <c r="PHT44" s="83"/>
      <c r="PHU44" s="83"/>
      <c r="PHV44" s="83"/>
      <c r="PHW44" s="83"/>
      <c r="PHX44" s="83"/>
      <c r="PHY44" s="83"/>
      <c r="PHZ44" s="83"/>
      <c r="PIA44" s="83"/>
      <c r="PIB44" s="83"/>
      <c r="PIC44" s="83"/>
      <c r="PID44" s="83"/>
      <c r="PIE44" s="83"/>
      <c r="PIF44" s="83"/>
      <c r="PIG44" s="83"/>
      <c r="PIH44" s="83"/>
      <c r="PII44" s="83"/>
      <c r="PIJ44" s="83"/>
      <c r="PIK44" s="83"/>
      <c r="PIL44" s="83"/>
      <c r="PIM44" s="83"/>
      <c r="PIN44" s="83"/>
      <c r="PIO44" s="83"/>
      <c r="PIP44" s="83"/>
      <c r="PIQ44" s="83"/>
      <c r="PIR44" s="83"/>
      <c r="PIS44" s="83"/>
      <c r="PIT44" s="83"/>
      <c r="PIU44" s="83"/>
      <c r="PIV44" s="83"/>
      <c r="PIW44" s="83"/>
      <c r="PIX44" s="83"/>
      <c r="PIY44" s="83"/>
      <c r="PIZ44" s="83"/>
      <c r="PJA44" s="83"/>
      <c r="PJB44" s="83"/>
      <c r="PJC44" s="83"/>
      <c r="PJD44" s="83"/>
      <c r="PJE44" s="83"/>
      <c r="PJF44" s="83"/>
      <c r="PJG44" s="83"/>
      <c r="PJH44" s="83"/>
      <c r="PJI44" s="83"/>
      <c r="PJJ44" s="83"/>
      <c r="PJK44" s="83"/>
      <c r="PJL44" s="83"/>
      <c r="PJM44" s="83"/>
      <c r="PJN44" s="83"/>
      <c r="PJO44" s="83"/>
      <c r="PJP44" s="83"/>
      <c r="PJQ44" s="83"/>
      <c r="PJR44" s="83"/>
      <c r="PJS44" s="83"/>
      <c r="PJT44" s="83"/>
      <c r="PJU44" s="83"/>
      <c r="PJV44" s="83"/>
      <c r="PJW44" s="83"/>
      <c r="PJX44" s="83"/>
      <c r="PJY44" s="83"/>
      <c r="PJZ44" s="83"/>
      <c r="PKA44" s="83"/>
      <c r="PKB44" s="83"/>
      <c r="PKC44" s="83"/>
      <c r="PKD44" s="83"/>
      <c r="PKE44" s="83"/>
      <c r="PKF44" s="83"/>
      <c r="PKG44" s="83"/>
      <c r="PKH44" s="83"/>
      <c r="PKI44" s="83"/>
      <c r="PKJ44" s="83"/>
      <c r="PKK44" s="83"/>
      <c r="PKL44" s="83"/>
      <c r="PKM44" s="83"/>
      <c r="PKN44" s="83"/>
      <c r="PKO44" s="83"/>
      <c r="PKP44" s="83"/>
      <c r="PKQ44" s="83"/>
      <c r="PKR44" s="83"/>
      <c r="PKS44" s="83"/>
      <c r="PKT44" s="83"/>
      <c r="PKU44" s="83"/>
      <c r="PKV44" s="83"/>
      <c r="PKW44" s="83"/>
      <c r="PKX44" s="83"/>
      <c r="PKY44" s="83"/>
      <c r="PKZ44" s="83"/>
      <c r="PLA44" s="83"/>
      <c r="PLB44" s="83"/>
      <c r="PLC44" s="83"/>
      <c r="PLD44" s="83"/>
      <c r="PLE44" s="83"/>
      <c r="PLF44" s="83"/>
      <c r="PLG44" s="83"/>
      <c r="PLH44" s="83"/>
      <c r="PLI44" s="83"/>
      <c r="PLJ44" s="83"/>
      <c r="PLK44" s="83"/>
      <c r="PLL44" s="83"/>
      <c r="PLM44" s="83"/>
      <c r="PLN44" s="83"/>
      <c r="PLO44" s="83"/>
      <c r="PLP44" s="83"/>
      <c r="PLQ44" s="83"/>
      <c r="PLR44" s="83"/>
      <c r="PLS44" s="83"/>
      <c r="PLT44" s="83"/>
      <c r="PLU44" s="83"/>
      <c r="PLV44" s="83"/>
      <c r="PLW44" s="83"/>
      <c r="PLX44" s="83"/>
      <c r="PLY44" s="83"/>
      <c r="PLZ44" s="83"/>
      <c r="PMA44" s="83"/>
      <c r="PMB44" s="83"/>
      <c r="PMC44" s="83"/>
      <c r="PMD44" s="83"/>
      <c r="PME44" s="83"/>
      <c r="PMF44" s="83"/>
      <c r="PMG44" s="83"/>
      <c r="PMH44" s="83"/>
      <c r="PMI44" s="83"/>
      <c r="PMJ44" s="83"/>
      <c r="PMK44" s="83"/>
      <c r="PML44" s="83"/>
      <c r="PMM44" s="83"/>
      <c r="PMN44" s="83"/>
      <c r="PMO44" s="83"/>
      <c r="PMP44" s="83"/>
      <c r="PMQ44" s="83"/>
      <c r="PMR44" s="83"/>
      <c r="PMS44" s="83"/>
      <c r="PMT44" s="83"/>
      <c r="PMU44" s="83"/>
      <c r="PMV44" s="83"/>
      <c r="PMW44" s="83"/>
      <c r="PMX44" s="83"/>
      <c r="PMY44" s="83"/>
      <c r="PMZ44" s="83"/>
      <c r="PNA44" s="83"/>
      <c r="PNB44" s="83"/>
      <c r="PNC44" s="83"/>
      <c r="PND44" s="83"/>
      <c r="PNE44" s="83"/>
      <c r="PNF44" s="83"/>
      <c r="PNG44" s="83"/>
      <c r="PNH44" s="83"/>
      <c r="PNI44" s="83"/>
      <c r="PNJ44" s="83"/>
      <c r="PNK44" s="83"/>
      <c r="PNL44" s="83"/>
      <c r="PNM44" s="83"/>
      <c r="PNN44" s="83"/>
      <c r="PNO44" s="83"/>
      <c r="PNP44" s="83"/>
      <c r="PNQ44" s="83"/>
      <c r="PNR44" s="83"/>
      <c r="PNS44" s="83"/>
      <c r="PNT44" s="83"/>
      <c r="PNU44" s="83"/>
      <c r="PNV44" s="83"/>
      <c r="PNW44" s="83"/>
      <c r="PNX44" s="83"/>
      <c r="PNY44" s="83"/>
      <c r="PNZ44" s="83"/>
      <c r="POA44" s="83"/>
      <c r="POB44" s="83"/>
      <c r="POC44" s="83"/>
      <c r="POD44" s="83"/>
      <c r="POE44" s="83"/>
      <c r="POF44" s="83"/>
      <c r="POG44" s="83"/>
      <c r="POH44" s="83"/>
      <c r="POI44" s="83"/>
      <c r="POJ44" s="83"/>
      <c r="POK44" s="83"/>
      <c r="POL44" s="83"/>
      <c r="POM44" s="83"/>
      <c r="PON44" s="83"/>
      <c r="POO44" s="83"/>
      <c r="POP44" s="83"/>
      <c r="POQ44" s="83"/>
      <c r="POR44" s="83"/>
      <c r="POS44" s="83"/>
      <c r="POT44" s="83"/>
      <c r="POU44" s="83"/>
      <c r="POV44" s="83"/>
      <c r="POW44" s="83"/>
      <c r="POX44" s="83"/>
      <c r="POY44" s="83"/>
      <c r="POZ44" s="83"/>
      <c r="PPA44" s="83"/>
      <c r="PPB44" s="83"/>
      <c r="PPC44" s="83"/>
      <c r="PPD44" s="83"/>
      <c r="PPE44" s="83"/>
      <c r="PPF44" s="83"/>
      <c r="PPG44" s="83"/>
      <c r="PPH44" s="83"/>
      <c r="PPI44" s="83"/>
      <c r="PPJ44" s="83"/>
      <c r="PPK44" s="83"/>
      <c r="PPL44" s="83"/>
      <c r="PPM44" s="83"/>
      <c r="PPN44" s="83"/>
      <c r="PPO44" s="83"/>
      <c r="PPP44" s="83"/>
      <c r="PPQ44" s="83"/>
      <c r="PPR44" s="83"/>
      <c r="PPS44" s="83"/>
      <c r="PPT44" s="83"/>
      <c r="PPU44" s="83"/>
      <c r="PPV44" s="83"/>
      <c r="PPW44" s="83"/>
      <c r="PPX44" s="83"/>
      <c r="PPY44" s="83"/>
      <c r="PPZ44" s="83"/>
      <c r="PQA44" s="83"/>
      <c r="PQB44" s="83"/>
      <c r="PQC44" s="83"/>
      <c r="PQD44" s="83"/>
      <c r="PQE44" s="83"/>
      <c r="PQF44" s="83"/>
      <c r="PQG44" s="83"/>
      <c r="PQH44" s="83"/>
      <c r="PQI44" s="83"/>
      <c r="PQJ44" s="83"/>
      <c r="PQK44" s="83"/>
      <c r="PQL44" s="83"/>
      <c r="PQM44" s="83"/>
      <c r="PQN44" s="83"/>
      <c r="PQO44" s="83"/>
      <c r="PQP44" s="83"/>
      <c r="PQQ44" s="83"/>
      <c r="PQR44" s="83"/>
      <c r="PQS44" s="83"/>
      <c r="PQT44" s="83"/>
      <c r="PQU44" s="83"/>
      <c r="PQV44" s="83"/>
      <c r="PQW44" s="83"/>
      <c r="PQX44" s="83"/>
      <c r="PQY44" s="83"/>
      <c r="PQZ44" s="83"/>
      <c r="PRA44" s="83"/>
      <c r="PRB44" s="83"/>
      <c r="PRC44" s="83"/>
      <c r="PRD44" s="83"/>
      <c r="PRE44" s="83"/>
      <c r="PRF44" s="83"/>
      <c r="PRG44" s="83"/>
      <c r="PRH44" s="83"/>
      <c r="PRI44" s="83"/>
      <c r="PRJ44" s="83"/>
      <c r="PRK44" s="83"/>
      <c r="PRL44" s="83"/>
      <c r="PRM44" s="83"/>
      <c r="PRN44" s="83"/>
      <c r="PRO44" s="83"/>
      <c r="PRP44" s="83"/>
      <c r="PRQ44" s="83"/>
      <c r="PRR44" s="83"/>
      <c r="PRS44" s="83"/>
      <c r="PRT44" s="83"/>
      <c r="PRU44" s="83"/>
      <c r="PRV44" s="83"/>
      <c r="PRW44" s="83"/>
      <c r="PRX44" s="83"/>
      <c r="PRY44" s="83"/>
      <c r="PRZ44" s="83"/>
      <c r="PSA44" s="83"/>
      <c r="PSB44" s="83"/>
      <c r="PSC44" s="83"/>
      <c r="PSD44" s="83"/>
      <c r="PSE44" s="83"/>
      <c r="PSF44" s="83"/>
      <c r="PSG44" s="83"/>
      <c r="PSH44" s="83"/>
      <c r="PSI44" s="83"/>
      <c r="PSJ44" s="83"/>
      <c r="PSK44" s="83"/>
      <c r="PSL44" s="83"/>
      <c r="PSM44" s="83"/>
      <c r="PSN44" s="83"/>
      <c r="PSO44" s="83"/>
      <c r="PSP44" s="83"/>
      <c r="PSQ44" s="83"/>
      <c r="PSR44" s="83"/>
      <c r="PSS44" s="83"/>
      <c r="PST44" s="83"/>
      <c r="PSU44" s="83"/>
      <c r="PSV44" s="83"/>
      <c r="PSW44" s="83"/>
      <c r="PSX44" s="83"/>
      <c r="PSY44" s="83"/>
      <c r="PSZ44" s="83"/>
      <c r="PTA44" s="83"/>
      <c r="PTB44" s="83"/>
      <c r="PTC44" s="83"/>
      <c r="PTD44" s="83"/>
      <c r="PTE44" s="83"/>
      <c r="PTF44" s="83"/>
      <c r="PTG44" s="83"/>
      <c r="PTH44" s="83"/>
      <c r="PTI44" s="83"/>
      <c r="PTJ44" s="83"/>
      <c r="PTK44" s="83"/>
      <c r="PTL44" s="83"/>
      <c r="PTM44" s="83"/>
      <c r="PTN44" s="83"/>
      <c r="PTO44" s="83"/>
      <c r="PTP44" s="83"/>
      <c r="PTQ44" s="83"/>
      <c r="PTR44" s="83"/>
      <c r="PTS44" s="83"/>
      <c r="PTT44" s="83"/>
      <c r="PTU44" s="83"/>
      <c r="PTV44" s="83"/>
      <c r="PTW44" s="83"/>
      <c r="PTX44" s="83"/>
      <c r="PTY44" s="83"/>
      <c r="PTZ44" s="83"/>
      <c r="PUA44" s="83"/>
      <c r="PUB44" s="83"/>
      <c r="PUC44" s="83"/>
      <c r="PUD44" s="83"/>
      <c r="PUE44" s="83"/>
      <c r="PUF44" s="83"/>
      <c r="PUG44" s="83"/>
      <c r="PUH44" s="83"/>
      <c r="PUI44" s="83"/>
      <c r="PUJ44" s="83"/>
      <c r="PUK44" s="83"/>
      <c r="PUL44" s="83"/>
      <c r="PUM44" s="83"/>
      <c r="PUN44" s="83"/>
      <c r="PUO44" s="83"/>
      <c r="PUP44" s="83"/>
      <c r="PUQ44" s="83"/>
      <c r="PUR44" s="83"/>
      <c r="PUS44" s="83"/>
      <c r="PUT44" s="83"/>
      <c r="PUU44" s="83"/>
      <c r="PUV44" s="83"/>
      <c r="PUW44" s="83"/>
      <c r="PUX44" s="83"/>
      <c r="PUY44" s="83"/>
      <c r="PUZ44" s="83"/>
      <c r="PVA44" s="83"/>
      <c r="PVB44" s="83"/>
      <c r="PVC44" s="83"/>
      <c r="PVD44" s="83"/>
      <c r="PVE44" s="83"/>
      <c r="PVF44" s="83"/>
      <c r="PVG44" s="83"/>
      <c r="PVH44" s="83"/>
      <c r="PVI44" s="83"/>
      <c r="PVJ44" s="83"/>
      <c r="PVK44" s="83"/>
      <c r="PVL44" s="83"/>
      <c r="PVM44" s="83"/>
      <c r="PVN44" s="83"/>
      <c r="PVO44" s="83"/>
      <c r="PVP44" s="83"/>
      <c r="PVQ44" s="83"/>
      <c r="PVR44" s="83"/>
      <c r="PVS44" s="83"/>
      <c r="PVT44" s="83"/>
      <c r="PVU44" s="83"/>
      <c r="PVV44" s="83"/>
      <c r="PVW44" s="83"/>
      <c r="PVX44" s="83"/>
      <c r="PVY44" s="83"/>
      <c r="PVZ44" s="83"/>
      <c r="PWA44" s="83"/>
      <c r="PWB44" s="83"/>
      <c r="PWC44" s="83"/>
      <c r="PWD44" s="83"/>
      <c r="PWE44" s="83"/>
      <c r="PWF44" s="83"/>
      <c r="PWG44" s="83"/>
      <c r="PWH44" s="83"/>
      <c r="PWI44" s="83"/>
      <c r="PWJ44" s="83"/>
      <c r="PWK44" s="83"/>
      <c r="PWL44" s="83"/>
      <c r="PWM44" s="83"/>
      <c r="PWN44" s="83"/>
      <c r="PWO44" s="83"/>
      <c r="PWP44" s="83"/>
      <c r="PWQ44" s="83"/>
      <c r="PWR44" s="83"/>
      <c r="PWS44" s="83"/>
      <c r="PWT44" s="83"/>
      <c r="PWU44" s="83"/>
      <c r="PWV44" s="83"/>
      <c r="PWW44" s="83"/>
      <c r="PWX44" s="83"/>
      <c r="PWY44" s="83"/>
      <c r="PWZ44" s="83"/>
      <c r="PXA44" s="83"/>
      <c r="PXB44" s="83"/>
      <c r="PXC44" s="83"/>
      <c r="PXD44" s="83"/>
      <c r="PXE44" s="83"/>
      <c r="PXF44" s="83"/>
      <c r="PXG44" s="83"/>
      <c r="PXH44" s="83"/>
      <c r="PXI44" s="83"/>
      <c r="PXJ44" s="83"/>
      <c r="PXK44" s="83"/>
      <c r="PXL44" s="83"/>
      <c r="PXM44" s="83"/>
      <c r="PXN44" s="83"/>
      <c r="PXO44" s="83"/>
      <c r="PXP44" s="83"/>
      <c r="PXQ44" s="83"/>
      <c r="PXR44" s="83"/>
      <c r="PXS44" s="83"/>
      <c r="PXT44" s="83"/>
      <c r="PXU44" s="83"/>
      <c r="PXV44" s="83"/>
      <c r="PXW44" s="83"/>
      <c r="PXX44" s="83"/>
      <c r="PXY44" s="83"/>
      <c r="PXZ44" s="83"/>
      <c r="PYA44" s="83"/>
      <c r="PYB44" s="83"/>
      <c r="PYC44" s="83"/>
      <c r="PYD44" s="83"/>
      <c r="PYE44" s="83"/>
      <c r="PYF44" s="83"/>
      <c r="PYG44" s="83"/>
      <c r="PYH44" s="83"/>
      <c r="PYI44" s="83"/>
      <c r="PYJ44" s="83"/>
      <c r="PYK44" s="83"/>
      <c r="PYL44" s="83"/>
      <c r="PYM44" s="83"/>
      <c r="PYN44" s="83"/>
      <c r="PYO44" s="83"/>
      <c r="PYP44" s="83"/>
      <c r="PYQ44" s="83"/>
      <c r="PYR44" s="83"/>
      <c r="PYS44" s="83"/>
      <c r="PYT44" s="83"/>
      <c r="PYU44" s="83"/>
      <c r="PYV44" s="83"/>
      <c r="PYW44" s="83"/>
      <c r="PYX44" s="83"/>
      <c r="PYY44" s="83"/>
      <c r="PYZ44" s="83"/>
      <c r="PZA44" s="83"/>
      <c r="PZB44" s="83"/>
      <c r="PZC44" s="83"/>
      <c r="PZD44" s="83"/>
      <c r="PZE44" s="83"/>
      <c r="PZF44" s="83"/>
      <c r="PZG44" s="83"/>
      <c r="PZH44" s="83"/>
      <c r="PZI44" s="83"/>
      <c r="PZJ44" s="83"/>
      <c r="PZK44" s="83"/>
      <c r="PZL44" s="83"/>
      <c r="PZM44" s="83"/>
      <c r="PZN44" s="83"/>
      <c r="PZO44" s="83"/>
      <c r="PZP44" s="83"/>
      <c r="PZQ44" s="83"/>
      <c r="PZR44" s="83"/>
      <c r="PZS44" s="83"/>
      <c r="PZT44" s="83"/>
      <c r="PZU44" s="83"/>
      <c r="PZV44" s="83"/>
      <c r="PZW44" s="83"/>
      <c r="PZX44" s="83"/>
      <c r="PZY44" s="83"/>
      <c r="PZZ44" s="83"/>
      <c r="QAA44" s="83"/>
      <c r="QAB44" s="83"/>
      <c r="QAC44" s="83"/>
      <c r="QAD44" s="83"/>
      <c r="QAE44" s="83"/>
      <c r="QAF44" s="83"/>
      <c r="QAG44" s="83"/>
      <c r="QAH44" s="83"/>
      <c r="QAI44" s="83"/>
      <c r="QAJ44" s="83"/>
      <c r="QAK44" s="83"/>
      <c r="QAL44" s="83"/>
      <c r="QAM44" s="83"/>
      <c r="QAN44" s="83"/>
      <c r="QAO44" s="83"/>
      <c r="QAP44" s="83"/>
      <c r="QAQ44" s="83"/>
      <c r="QAR44" s="83"/>
      <c r="QAS44" s="83"/>
      <c r="QAT44" s="83"/>
      <c r="QAU44" s="83"/>
      <c r="QAV44" s="83"/>
      <c r="QAW44" s="83"/>
      <c r="QAX44" s="83"/>
      <c r="QAY44" s="83"/>
      <c r="QAZ44" s="83"/>
      <c r="QBA44" s="83"/>
      <c r="QBB44" s="83"/>
      <c r="QBC44" s="83"/>
      <c r="QBD44" s="83"/>
      <c r="QBE44" s="83"/>
      <c r="QBF44" s="83"/>
      <c r="QBG44" s="83"/>
      <c r="QBH44" s="83"/>
      <c r="QBI44" s="83"/>
      <c r="QBJ44" s="83"/>
      <c r="QBK44" s="83"/>
      <c r="QBL44" s="83"/>
      <c r="QBM44" s="83"/>
      <c r="QBN44" s="83"/>
      <c r="QBO44" s="83"/>
      <c r="QBP44" s="83"/>
      <c r="QBQ44" s="83"/>
      <c r="QBR44" s="83"/>
      <c r="QBS44" s="83"/>
      <c r="QBT44" s="83"/>
      <c r="QBU44" s="83"/>
      <c r="QBV44" s="83"/>
      <c r="QBW44" s="83"/>
      <c r="QBX44" s="83"/>
      <c r="QBY44" s="83"/>
      <c r="QBZ44" s="83"/>
      <c r="QCA44" s="83"/>
      <c r="QCB44" s="83"/>
      <c r="QCC44" s="83"/>
      <c r="QCD44" s="83"/>
      <c r="QCE44" s="83"/>
      <c r="QCF44" s="83"/>
      <c r="QCG44" s="83"/>
      <c r="QCH44" s="83"/>
      <c r="QCI44" s="83"/>
      <c r="QCJ44" s="83"/>
      <c r="QCK44" s="83"/>
      <c r="QCL44" s="83"/>
      <c r="QCM44" s="83"/>
      <c r="QCN44" s="83"/>
      <c r="QCO44" s="83"/>
      <c r="QCP44" s="83"/>
      <c r="QCQ44" s="83"/>
      <c r="QCR44" s="83"/>
      <c r="QCS44" s="83"/>
      <c r="QCT44" s="83"/>
      <c r="QCU44" s="83"/>
      <c r="QCV44" s="83"/>
      <c r="QCW44" s="83"/>
      <c r="QCX44" s="83"/>
      <c r="QCY44" s="83"/>
      <c r="QCZ44" s="83"/>
      <c r="QDA44" s="83"/>
      <c r="QDB44" s="83"/>
      <c r="QDC44" s="83"/>
      <c r="QDD44" s="83"/>
      <c r="QDE44" s="83"/>
      <c r="QDF44" s="83"/>
      <c r="QDG44" s="83"/>
      <c r="QDH44" s="83"/>
      <c r="QDI44" s="83"/>
      <c r="QDJ44" s="83"/>
      <c r="QDK44" s="83"/>
      <c r="QDL44" s="83"/>
      <c r="QDM44" s="83"/>
      <c r="QDN44" s="83"/>
      <c r="QDO44" s="83"/>
      <c r="QDP44" s="83"/>
      <c r="QDQ44" s="83"/>
      <c r="QDR44" s="83"/>
      <c r="QDS44" s="83"/>
      <c r="QDT44" s="83"/>
      <c r="QDU44" s="83"/>
      <c r="QDV44" s="83"/>
      <c r="QDW44" s="83"/>
      <c r="QDX44" s="83"/>
      <c r="QDY44" s="83"/>
      <c r="QDZ44" s="83"/>
      <c r="QEA44" s="83"/>
      <c r="QEB44" s="83"/>
      <c r="QEC44" s="83"/>
      <c r="QED44" s="83"/>
      <c r="QEE44" s="83"/>
      <c r="QEF44" s="83"/>
      <c r="QEG44" s="83"/>
      <c r="QEH44" s="83"/>
      <c r="QEI44" s="83"/>
      <c r="QEJ44" s="83"/>
      <c r="QEK44" s="83"/>
      <c r="QEL44" s="83"/>
      <c r="QEM44" s="83"/>
      <c r="QEN44" s="83"/>
      <c r="QEO44" s="83"/>
      <c r="QEP44" s="83"/>
      <c r="QEQ44" s="83"/>
      <c r="QER44" s="83"/>
      <c r="QES44" s="83"/>
      <c r="QET44" s="83"/>
      <c r="QEU44" s="83"/>
      <c r="QEV44" s="83"/>
      <c r="QEW44" s="83"/>
      <c r="QEX44" s="83"/>
      <c r="QEY44" s="83"/>
      <c r="QEZ44" s="83"/>
      <c r="QFA44" s="83"/>
      <c r="QFB44" s="83"/>
      <c r="QFC44" s="83"/>
      <c r="QFD44" s="83"/>
      <c r="QFE44" s="83"/>
      <c r="QFF44" s="83"/>
      <c r="QFG44" s="83"/>
      <c r="QFH44" s="83"/>
      <c r="QFI44" s="83"/>
      <c r="QFJ44" s="83"/>
      <c r="QFK44" s="83"/>
      <c r="QFL44" s="83"/>
      <c r="QFM44" s="83"/>
      <c r="QFN44" s="83"/>
      <c r="QFO44" s="83"/>
      <c r="QFP44" s="83"/>
      <c r="QFQ44" s="83"/>
      <c r="QFR44" s="83"/>
      <c r="QFS44" s="83"/>
      <c r="QFT44" s="83"/>
      <c r="QFU44" s="83"/>
      <c r="QFV44" s="83"/>
      <c r="QFW44" s="83"/>
      <c r="QFX44" s="83"/>
      <c r="QFY44" s="83"/>
      <c r="QFZ44" s="83"/>
      <c r="QGA44" s="83"/>
      <c r="QGB44" s="83"/>
      <c r="QGC44" s="83"/>
      <c r="QGD44" s="83"/>
      <c r="QGE44" s="83"/>
      <c r="QGF44" s="83"/>
      <c r="QGG44" s="83"/>
      <c r="QGH44" s="83"/>
      <c r="QGI44" s="83"/>
      <c r="QGJ44" s="83"/>
      <c r="QGK44" s="83"/>
      <c r="QGL44" s="83"/>
      <c r="QGM44" s="83"/>
      <c r="QGN44" s="83"/>
      <c r="QGO44" s="83"/>
      <c r="QGP44" s="83"/>
      <c r="QGQ44" s="83"/>
      <c r="QGR44" s="83"/>
      <c r="QGS44" s="83"/>
      <c r="QGT44" s="83"/>
      <c r="QGU44" s="83"/>
      <c r="QGV44" s="83"/>
      <c r="QGW44" s="83"/>
      <c r="QGX44" s="83"/>
      <c r="QGY44" s="83"/>
      <c r="QGZ44" s="83"/>
      <c r="QHA44" s="83"/>
      <c r="QHB44" s="83"/>
      <c r="QHC44" s="83"/>
      <c r="QHD44" s="83"/>
      <c r="QHE44" s="83"/>
      <c r="QHF44" s="83"/>
      <c r="QHG44" s="83"/>
      <c r="QHH44" s="83"/>
      <c r="QHI44" s="83"/>
      <c r="QHJ44" s="83"/>
      <c r="QHK44" s="83"/>
      <c r="QHL44" s="83"/>
      <c r="QHM44" s="83"/>
      <c r="QHN44" s="83"/>
      <c r="QHO44" s="83"/>
      <c r="QHP44" s="83"/>
      <c r="QHQ44" s="83"/>
      <c r="QHR44" s="83"/>
      <c r="QHS44" s="83"/>
      <c r="QHT44" s="83"/>
      <c r="QHU44" s="83"/>
      <c r="QHV44" s="83"/>
      <c r="QHW44" s="83"/>
      <c r="QHX44" s="83"/>
      <c r="QHY44" s="83"/>
      <c r="QHZ44" s="83"/>
      <c r="QIA44" s="83"/>
      <c r="QIB44" s="83"/>
      <c r="QIC44" s="83"/>
      <c r="QID44" s="83"/>
      <c r="QIE44" s="83"/>
      <c r="QIF44" s="83"/>
      <c r="QIG44" s="83"/>
      <c r="QIH44" s="83"/>
      <c r="QII44" s="83"/>
      <c r="QIJ44" s="83"/>
      <c r="QIK44" s="83"/>
      <c r="QIL44" s="83"/>
      <c r="QIM44" s="83"/>
      <c r="QIN44" s="83"/>
      <c r="QIO44" s="83"/>
      <c r="QIP44" s="83"/>
      <c r="QIQ44" s="83"/>
      <c r="QIR44" s="83"/>
      <c r="QIS44" s="83"/>
      <c r="QIT44" s="83"/>
      <c r="QIU44" s="83"/>
      <c r="QIV44" s="83"/>
      <c r="QIW44" s="83"/>
      <c r="QIX44" s="83"/>
      <c r="QIY44" s="83"/>
      <c r="QIZ44" s="83"/>
      <c r="QJA44" s="83"/>
      <c r="QJB44" s="83"/>
      <c r="QJC44" s="83"/>
      <c r="QJD44" s="83"/>
      <c r="QJE44" s="83"/>
      <c r="QJF44" s="83"/>
      <c r="QJG44" s="83"/>
      <c r="QJH44" s="83"/>
      <c r="QJI44" s="83"/>
      <c r="QJJ44" s="83"/>
      <c r="QJK44" s="83"/>
      <c r="QJL44" s="83"/>
      <c r="QJM44" s="83"/>
      <c r="QJN44" s="83"/>
      <c r="QJO44" s="83"/>
      <c r="QJP44" s="83"/>
      <c r="QJQ44" s="83"/>
      <c r="QJR44" s="83"/>
      <c r="QJS44" s="83"/>
      <c r="QJT44" s="83"/>
      <c r="QJU44" s="83"/>
      <c r="QJV44" s="83"/>
      <c r="QJW44" s="83"/>
      <c r="QJX44" s="83"/>
      <c r="QJY44" s="83"/>
      <c r="QJZ44" s="83"/>
      <c r="QKA44" s="83"/>
      <c r="QKB44" s="83"/>
      <c r="QKC44" s="83"/>
      <c r="QKD44" s="83"/>
      <c r="QKE44" s="83"/>
      <c r="QKF44" s="83"/>
      <c r="QKG44" s="83"/>
      <c r="QKH44" s="83"/>
      <c r="QKI44" s="83"/>
      <c r="QKJ44" s="83"/>
      <c r="QKK44" s="83"/>
      <c r="QKL44" s="83"/>
      <c r="QKM44" s="83"/>
      <c r="QKN44" s="83"/>
      <c r="QKO44" s="83"/>
      <c r="QKP44" s="83"/>
      <c r="QKQ44" s="83"/>
      <c r="QKR44" s="83"/>
      <c r="QKS44" s="83"/>
      <c r="QKT44" s="83"/>
      <c r="QKU44" s="83"/>
      <c r="QKV44" s="83"/>
      <c r="QKW44" s="83"/>
      <c r="QKX44" s="83"/>
      <c r="QKY44" s="83"/>
      <c r="QKZ44" s="83"/>
      <c r="QLA44" s="83"/>
      <c r="QLB44" s="83"/>
      <c r="QLC44" s="83"/>
      <c r="QLD44" s="83"/>
      <c r="QLE44" s="83"/>
      <c r="QLF44" s="83"/>
      <c r="QLG44" s="83"/>
      <c r="QLH44" s="83"/>
      <c r="QLI44" s="83"/>
      <c r="QLJ44" s="83"/>
      <c r="QLK44" s="83"/>
      <c r="QLL44" s="83"/>
      <c r="QLM44" s="83"/>
      <c r="QLN44" s="83"/>
      <c r="QLO44" s="83"/>
      <c r="QLP44" s="83"/>
      <c r="QLQ44" s="83"/>
      <c r="QLR44" s="83"/>
      <c r="QLS44" s="83"/>
      <c r="QLT44" s="83"/>
      <c r="QLU44" s="83"/>
      <c r="QLV44" s="83"/>
      <c r="QLW44" s="83"/>
      <c r="QLX44" s="83"/>
      <c r="QLY44" s="83"/>
      <c r="QLZ44" s="83"/>
      <c r="QMA44" s="83"/>
      <c r="QMB44" s="83"/>
      <c r="QMC44" s="83"/>
      <c r="QMD44" s="83"/>
      <c r="QME44" s="83"/>
      <c r="QMF44" s="83"/>
      <c r="QMG44" s="83"/>
      <c r="QMH44" s="83"/>
      <c r="QMI44" s="83"/>
      <c r="QMJ44" s="83"/>
      <c r="QMK44" s="83"/>
      <c r="QML44" s="83"/>
      <c r="QMM44" s="83"/>
      <c r="QMN44" s="83"/>
      <c r="QMO44" s="83"/>
      <c r="QMP44" s="83"/>
      <c r="QMQ44" s="83"/>
      <c r="QMR44" s="83"/>
      <c r="QMS44" s="83"/>
      <c r="QMT44" s="83"/>
      <c r="QMU44" s="83"/>
      <c r="QMV44" s="83"/>
      <c r="QMW44" s="83"/>
      <c r="QMX44" s="83"/>
      <c r="QMY44" s="83"/>
      <c r="QMZ44" s="83"/>
      <c r="QNA44" s="83"/>
      <c r="QNB44" s="83"/>
      <c r="QNC44" s="83"/>
      <c r="QND44" s="83"/>
      <c r="QNE44" s="83"/>
      <c r="QNF44" s="83"/>
      <c r="QNG44" s="83"/>
      <c r="QNH44" s="83"/>
      <c r="QNI44" s="83"/>
      <c r="QNJ44" s="83"/>
      <c r="QNK44" s="83"/>
      <c r="QNL44" s="83"/>
      <c r="QNM44" s="83"/>
      <c r="QNN44" s="83"/>
      <c r="QNO44" s="83"/>
      <c r="QNP44" s="83"/>
      <c r="QNQ44" s="83"/>
      <c r="QNR44" s="83"/>
      <c r="QNS44" s="83"/>
      <c r="QNT44" s="83"/>
      <c r="QNU44" s="83"/>
      <c r="QNV44" s="83"/>
      <c r="QNW44" s="83"/>
      <c r="QNX44" s="83"/>
      <c r="QNY44" s="83"/>
      <c r="QNZ44" s="83"/>
      <c r="QOA44" s="83"/>
      <c r="QOB44" s="83"/>
      <c r="QOC44" s="83"/>
      <c r="QOD44" s="83"/>
      <c r="QOE44" s="83"/>
      <c r="QOF44" s="83"/>
      <c r="QOG44" s="83"/>
      <c r="QOH44" s="83"/>
      <c r="QOI44" s="83"/>
      <c r="QOJ44" s="83"/>
      <c r="QOK44" s="83"/>
      <c r="QOL44" s="83"/>
      <c r="QOM44" s="83"/>
      <c r="QON44" s="83"/>
      <c r="QOO44" s="83"/>
      <c r="QOP44" s="83"/>
      <c r="QOQ44" s="83"/>
      <c r="QOR44" s="83"/>
      <c r="QOS44" s="83"/>
      <c r="QOT44" s="83"/>
      <c r="QOU44" s="83"/>
      <c r="QOV44" s="83"/>
      <c r="QOW44" s="83"/>
      <c r="QOX44" s="83"/>
      <c r="QOY44" s="83"/>
      <c r="QOZ44" s="83"/>
      <c r="QPA44" s="83"/>
      <c r="QPB44" s="83"/>
      <c r="QPC44" s="83"/>
      <c r="QPD44" s="83"/>
      <c r="QPE44" s="83"/>
      <c r="QPF44" s="83"/>
      <c r="QPG44" s="83"/>
      <c r="QPH44" s="83"/>
      <c r="QPI44" s="83"/>
      <c r="QPJ44" s="83"/>
      <c r="QPK44" s="83"/>
      <c r="QPL44" s="83"/>
      <c r="QPM44" s="83"/>
      <c r="QPN44" s="83"/>
      <c r="QPO44" s="83"/>
      <c r="QPP44" s="83"/>
      <c r="QPQ44" s="83"/>
      <c r="QPR44" s="83"/>
      <c r="QPS44" s="83"/>
      <c r="QPT44" s="83"/>
      <c r="QPU44" s="83"/>
      <c r="QPV44" s="83"/>
      <c r="QPW44" s="83"/>
      <c r="QPX44" s="83"/>
      <c r="QPY44" s="83"/>
      <c r="QPZ44" s="83"/>
      <c r="QQA44" s="83"/>
      <c r="QQB44" s="83"/>
      <c r="QQC44" s="83"/>
      <c r="QQD44" s="83"/>
      <c r="QQE44" s="83"/>
      <c r="QQF44" s="83"/>
      <c r="QQG44" s="83"/>
      <c r="QQH44" s="83"/>
      <c r="QQI44" s="83"/>
      <c r="QQJ44" s="83"/>
      <c r="QQK44" s="83"/>
      <c r="QQL44" s="83"/>
      <c r="QQM44" s="83"/>
      <c r="QQN44" s="83"/>
      <c r="QQO44" s="83"/>
      <c r="QQP44" s="83"/>
      <c r="QQQ44" s="83"/>
      <c r="QQR44" s="83"/>
      <c r="QQS44" s="83"/>
      <c r="QQT44" s="83"/>
      <c r="QQU44" s="83"/>
      <c r="QQV44" s="83"/>
      <c r="QQW44" s="83"/>
      <c r="QQX44" s="83"/>
      <c r="QQY44" s="83"/>
      <c r="QQZ44" s="83"/>
      <c r="QRA44" s="83"/>
      <c r="QRB44" s="83"/>
      <c r="QRC44" s="83"/>
      <c r="QRD44" s="83"/>
      <c r="QRE44" s="83"/>
      <c r="QRF44" s="83"/>
      <c r="QRG44" s="83"/>
      <c r="QRH44" s="83"/>
      <c r="QRI44" s="83"/>
      <c r="QRJ44" s="83"/>
      <c r="QRK44" s="83"/>
      <c r="QRL44" s="83"/>
      <c r="QRM44" s="83"/>
      <c r="QRN44" s="83"/>
      <c r="QRO44" s="83"/>
      <c r="QRP44" s="83"/>
      <c r="QRQ44" s="83"/>
      <c r="QRR44" s="83"/>
      <c r="QRS44" s="83"/>
      <c r="QRT44" s="83"/>
      <c r="QRU44" s="83"/>
      <c r="QRV44" s="83"/>
      <c r="QRW44" s="83"/>
      <c r="QRX44" s="83"/>
      <c r="QRY44" s="83"/>
      <c r="QRZ44" s="83"/>
      <c r="QSA44" s="83"/>
      <c r="QSB44" s="83"/>
      <c r="QSC44" s="83"/>
      <c r="QSD44" s="83"/>
      <c r="QSE44" s="83"/>
      <c r="QSF44" s="83"/>
      <c r="QSG44" s="83"/>
      <c r="QSH44" s="83"/>
      <c r="QSI44" s="83"/>
      <c r="QSJ44" s="83"/>
      <c r="QSK44" s="83"/>
      <c r="QSL44" s="83"/>
      <c r="QSM44" s="83"/>
      <c r="QSN44" s="83"/>
      <c r="QSO44" s="83"/>
      <c r="QSP44" s="83"/>
      <c r="QSQ44" s="83"/>
      <c r="QSR44" s="83"/>
      <c r="QSS44" s="83"/>
      <c r="QST44" s="83"/>
      <c r="QSU44" s="83"/>
      <c r="QSV44" s="83"/>
      <c r="QSW44" s="83"/>
      <c r="QSX44" s="83"/>
      <c r="QSY44" s="83"/>
      <c r="QSZ44" s="83"/>
      <c r="QTA44" s="83"/>
      <c r="QTB44" s="83"/>
      <c r="QTC44" s="83"/>
      <c r="QTD44" s="83"/>
      <c r="QTE44" s="83"/>
      <c r="QTF44" s="83"/>
      <c r="QTG44" s="83"/>
      <c r="QTH44" s="83"/>
      <c r="QTI44" s="83"/>
      <c r="QTJ44" s="83"/>
      <c r="QTK44" s="83"/>
      <c r="QTL44" s="83"/>
      <c r="QTM44" s="83"/>
      <c r="QTN44" s="83"/>
      <c r="QTO44" s="83"/>
      <c r="QTP44" s="83"/>
      <c r="QTQ44" s="83"/>
      <c r="QTR44" s="83"/>
      <c r="QTS44" s="83"/>
      <c r="QTT44" s="83"/>
      <c r="QTU44" s="83"/>
      <c r="QTV44" s="83"/>
      <c r="QTW44" s="83"/>
      <c r="QTX44" s="83"/>
      <c r="QTY44" s="83"/>
      <c r="QTZ44" s="83"/>
      <c r="QUA44" s="83"/>
      <c r="QUB44" s="83"/>
      <c r="QUC44" s="83"/>
      <c r="QUD44" s="83"/>
      <c r="QUE44" s="83"/>
      <c r="QUF44" s="83"/>
      <c r="QUG44" s="83"/>
      <c r="QUH44" s="83"/>
      <c r="QUI44" s="83"/>
      <c r="QUJ44" s="83"/>
      <c r="QUK44" s="83"/>
      <c r="QUL44" s="83"/>
      <c r="QUM44" s="83"/>
      <c r="QUN44" s="83"/>
      <c r="QUO44" s="83"/>
      <c r="QUP44" s="83"/>
      <c r="QUQ44" s="83"/>
      <c r="QUR44" s="83"/>
      <c r="QUS44" s="83"/>
      <c r="QUT44" s="83"/>
      <c r="QUU44" s="83"/>
      <c r="QUV44" s="83"/>
      <c r="QUW44" s="83"/>
      <c r="QUX44" s="83"/>
      <c r="QUY44" s="83"/>
      <c r="QUZ44" s="83"/>
      <c r="QVA44" s="83"/>
      <c r="QVB44" s="83"/>
      <c r="QVC44" s="83"/>
      <c r="QVD44" s="83"/>
      <c r="QVE44" s="83"/>
      <c r="QVF44" s="83"/>
      <c r="QVG44" s="83"/>
      <c r="QVH44" s="83"/>
      <c r="QVI44" s="83"/>
      <c r="QVJ44" s="83"/>
      <c r="QVK44" s="83"/>
      <c r="QVL44" s="83"/>
      <c r="QVM44" s="83"/>
      <c r="QVN44" s="83"/>
      <c r="QVO44" s="83"/>
      <c r="QVP44" s="83"/>
      <c r="QVQ44" s="83"/>
      <c r="QVR44" s="83"/>
      <c r="QVS44" s="83"/>
      <c r="QVT44" s="83"/>
      <c r="QVU44" s="83"/>
      <c r="QVV44" s="83"/>
      <c r="QVW44" s="83"/>
      <c r="QVX44" s="83"/>
      <c r="QVY44" s="83"/>
      <c r="QVZ44" s="83"/>
      <c r="QWA44" s="83"/>
      <c r="QWB44" s="83"/>
      <c r="QWC44" s="83"/>
      <c r="QWD44" s="83"/>
      <c r="QWE44" s="83"/>
      <c r="QWF44" s="83"/>
      <c r="QWG44" s="83"/>
      <c r="QWH44" s="83"/>
      <c r="QWI44" s="83"/>
      <c r="QWJ44" s="83"/>
      <c r="QWK44" s="83"/>
      <c r="QWL44" s="83"/>
      <c r="QWM44" s="83"/>
      <c r="QWN44" s="83"/>
      <c r="QWO44" s="83"/>
      <c r="QWP44" s="83"/>
      <c r="QWQ44" s="83"/>
      <c r="QWR44" s="83"/>
      <c r="QWS44" s="83"/>
      <c r="QWT44" s="83"/>
      <c r="QWU44" s="83"/>
      <c r="QWV44" s="83"/>
      <c r="QWW44" s="83"/>
      <c r="QWX44" s="83"/>
      <c r="QWY44" s="83"/>
      <c r="QWZ44" s="83"/>
      <c r="QXA44" s="83"/>
      <c r="QXB44" s="83"/>
      <c r="QXC44" s="83"/>
      <c r="QXD44" s="83"/>
      <c r="QXE44" s="83"/>
      <c r="QXF44" s="83"/>
      <c r="QXG44" s="83"/>
      <c r="QXH44" s="83"/>
      <c r="QXI44" s="83"/>
      <c r="QXJ44" s="83"/>
      <c r="QXK44" s="83"/>
      <c r="QXL44" s="83"/>
      <c r="QXM44" s="83"/>
      <c r="QXN44" s="83"/>
      <c r="QXO44" s="83"/>
      <c r="QXP44" s="83"/>
      <c r="QXQ44" s="83"/>
      <c r="QXR44" s="83"/>
      <c r="QXS44" s="83"/>
      <c r="QXT44" s="83"/>
      <c r="QXU44" s="83"/>
      <c r="QXV44" s="83"/>
      <c r="QXW44" s="83"/>
      <c r="QXX44" s="83"/>
      <c r="QXY44" s="83"/>
      <c r="QXZ44" s="83"/>
      <c r="QYA44" s="83"/>
      <c r="QYB44" s="83"/>
      <c r="QYC44" s="83"/>
      <c r="QYD44" s="83"/>
      <c r="QYE44" s="83"/>
      <c r="QYF44" s="83"/>
      <c r="QYG44" s="83"/>
      <c r="QYH44" s="83"/>
      <c r="QYI44" s="83"/>
      <c r="QYJ44" s="83"/>
      <c r="QYK44" s="83"/>
      <c r="QYL44" s="83"/>
      <c r="QYM44" s="83"/>
      <c r="QYN44" s="83"/>
      <c r="QYO44" s="83"/>
      <c r="QYP44" s="83"/>
      <c r="QYQ44" s="83"/>
      <c r="QYR44" s="83"/>
      <c r="QYS44" s="83"/>
      <c r="QYT44" s="83"/>
      <c r="QYU44" s="83"/>
      <c r="QYV44" s="83"/>
      <c r="QYW44" s="83"/>
      <c r="QYX44" s="83"/>
      <c r="QYY44" s="83"/>
      <c r="QYZ44" s="83"/>
      <c r="QZA44" s="83"/>
      <c r="QZB44" s="83"/>
      <c r="QZC44" s="83"/>
      <c r="QZD44" s="83"/>
      <c r="QZE44" s="83"/>
      <c r="QZF44" s="83"/>
      <c r="QZG44" s="83"/>
      <c r="QZH44" s="83"/>
      <c r="QZI44" s="83"/>
      <c r="QZJ44" s="83"/>
      <c r="QZK44" s="83"/>
      <c r="QZL44" s="83"/>
      <c r="QZM44" s="83"/>
      <c r="QZN44" s="83"/>
      <c r="QZO44" s="83"/>
      <c r="QZP44" s="83"/>
      <c r="QZQ44" s="83"/>
      <c r="QZR44" s="83"/>
      <c r="QZS44" s="83"/>
      <c r="QZT44" s="83"/>
      <c r="QZU44" s="83"/>
      <c r="QZV44" s="83"/>
      <c r="QZW44" s="83"/>
      <c r="QZX44" s="83"/>
      <c r="QZY44" s="83"/>
      <c r="QZZ44" s="83"/>
      <c r="RAA44" s="83"/>
      <c r="RAB44" s="83"/>
      <c r="RAC44" s="83"/>
      <c r="RAD44" s="83"/>
      <c r="RAE44" s="83"/>
      <c r="RAF44" s="83"/>
      <c r="RAG44" s="83"/>
      <c r="RAH44" s="83"/>
      <c r="RAI44" s="83"/>
      <c r="RAJ44" s="83"/>
      <c r="RAK44" s="83"/>
      <c r="RAL44" s="83"/>
      <c r="RAM44" s="83"/>
      <c r="RAN44" s="83"/>
      <c r="RAO44" s="83"/>
      <c r="RAP44" s="83"/>
      <c r="RAQ44" s="83"/>
      <c r="RAR44" s="83"/>
      <c r="RAS44" s="83"/>
      <c r="RAT44" s="83"/>
      <c r="RAU44" s="83"/>
      <c r="RAV44" s="83"/>
      <c r="RAW44" s="83"/>
      <c r="RAX44" s="83"/>
      <c r="RAY44" s="83"/>
      <c r="RAZ44" s="83"/>
      <c r="RBA44" s="83"/>
      <c r="RBB44" s="83"/>
      <c r="RBC44" s="83"/>
      <c r="RBD44" s="83"/>
      <c r="RBE44" s="83"/>
      <c r="RBF44" s="83"/>
      <c r="RBG44" s="83"/>
      <c r="RBH44" s="83"/>
      <c r="RBI44" s="83"/>
      <c r="RBJ44" s="83"/>
      <c r="RBK44" s="83"/>
      <c r="RBL44" s="83"/>
      <c r="RBM44" s="83"/>
      <c r="RBN44" s="83"/>
      <c r="RBO44" s="83"/>
      <c r="RBP44" s="83"/>
      <c r="RBQ44" s="83"/>
      <c r="RBR44" s="83"/>
      <c r="RBS44" s="83"/>
      <c r="RBT44" s="83"/>
      <c r="RBU44" s="83"/>
      <c r="RBV44" s="83"/>
      <c r="RBW44" s="83"/>
      <c r="RBX44" s="83"/>
      <c r="RBY44" s="83"/>
      <c r="RBZ44" s="83"/>
      <c r="RCA44" s="83"/>
      <c r="RCB44" s="83"/>
      <c r="RCC44" s="83"/>
      <c r="RCD44" s="83"/>
      <c r="RCE44" s="83"/>
      <c r="RCF44" s="83"/>
      <c r="RCG44" s="83"/>
      <c r="RCH44" s="83"/>
      <c r="RCI44" s="83"/>
      <c r="RCJ44" s="83"/>
      <c r="RCK44" s="83"/>
      <c r="RCL44" s="83"/>
      <c r="RCM44" s="83"/>
      <c r="RCN44" s="83"/>
      <c r="RCO44" s="83"/>
      <c r="RCP44" s="83"/>
      <c r="RCQ44" s="83"/>
      <c r="RCR44" s="83"/>
      <c r="RCS44" s="83"/>
      <c r="RCT44" s="83"/>
      <c r="RCU44" s="83"/>
      <c r="RCV44" s="83"/>
      <c r="RCW44" s="83"/>
      <c r="RCX44" s="83"/>
      <c r="RCY44" s="83"/>
      <c r="RCZ44" s="83"/>
      <c r="RDA44" s="83"/>
      <c r="RDB44" s="83"/>
      <c r="RDC44" s="83"/>
      <c r="RDD44" s="83"/>
      <c r="RDE44" s="83"/>
      <c r="RDF44" s="83"/>
      <c r="RDG44" s="83"/>
      <c r="RDH44" s="83"/>
      <c r="RDI44" s="83"/>
      <c r="RDJ44" s="83"/>
      <c r="RDK44" s="83"/>
      <c r="RDL44" s="83"/>
      <c r="RDM44" s="83"/>
      <c r="RDN44" s="83"/>
      <c r="RDO44" s="83"/>
      <c r="RDP44" s="83"/>
      <c r="RDQ44" s="83"/>
      <c r="RDR44" s="83"/>
      <c r="RDS44" s="83"/>
      <c r="RDT44" s="83"/>
      <c r="RDU44" s="83"/>
      <c r="RDV44" s="83"/>
      <c r="RDW44" s="83"/>
      <c r="RDX44" s="83"/>
      <c r="RDY44" s="83"/>
      <c r="RDZ44" s="83"/>
      <c r="REA44" s="83"/>
      <c r="REB44" s="83"/>
      <c r="REC44" s="83"/>
      <c r="RED44" s="83"/>
      <c r="REE44" s="83"/>
      <c r="REF44" s="83"/>
      <c r="REG44" s="83"/>
      <c r="REH44" s="83"/>
      <c r="REI44" s="83"/>
      <c r="REJ44" s="83"/>
      <c r="REK44" s="83"/>
      <c r="REL44" s="83"/>
      <c r="REM44" s="83"/>
      <c r="REN44" s="83"/>
      <c r="REO44" s="83"/>
      <c r="REP44" s="83"/>
      <c r="REQ44" s="83"/>
      <c r="RER44" s="83"/>
      <c r="RES44" s="83"/>
      <c r="RET44" s="83"/>
      <c r="REU44" s="83"/>
      <c r="REV44" s="83"/>
      <c r="REW44" s="83"/>
      <c r="REX44" s="83"/>
      <c r="REY44" s="83"/>
      <c r="REZ44" s="83"/>
      <c r="RFA44" s="83"/>
      <c r="RFB44" s="83"/>
      <c r="RFC44" s="83"/>
      <c r="RFD44" s="83"/>
      <c r="RFE44" s="83"/>
      <c r="RFF44" s="83"/>
      <c r="RFG44" s="83"/>
      <c r="RFH44" s="83"/>
      <c r="RFI44" s="83"/>
      <c r="RFJ44" s="83"/>
      <c r="RFK44" s="83"/>
      <c r="RFL44" s="83"/>
      <c r="RFM44" s="83"/>
      <c r="RFN44" s="83"/>
      <c r="RFO44" s="83"/>
      <c r="RFP44" s="83"/>
      <c r="RFQ44" s="83"/>
      <c r="RFR44" s="83"/>
      <c r="RFS44" s="83"/>
      <c r="RFT44" s="83"/>
      <c r="RFU44" s="83"/>
      <c r="RFV44" s="83"/>
      <c r="RFW44" s="83"/>
      <c r="RFX44" s="83"/>
      <c r="RFY44" s="83"/>
      <c r="RFZ44" s="83"/>
      <c r="RGA44" s="83"/>
      <c r="RGB44" s="83"/>
      <c r="RGC44" s="83"/>
      <c r="RGD44" s="83"/>
      <c r="RGE44" s="83"/>
      <c r="RGF44" s="83"/>
      <c r="RGG44" s="83"/>
      <c r="RGH44" s="83"/>
      <c r="RGI44" s="83"/>
      <c r="RGJ44" s="83"/>
      <c r="RGK44" s="83"/>
      <c r="RGL44" s="83"/>
      <c r="RGM44" s="83"/>
      <c r="RGN44" s="83"/>
      <c r="RGO44" s="83"/>
      <c r="RGP44" s="83"/>
      <c r="RGQ44" s="83"/>
      <c r="RGR44" s="83"/>
      <c r="RGS44" s="83"/>
      <c r="RGT44" s="83"/>
      <c r="RGU44" s="83"/>
      <c r="RGV44" s="83"/>
      <c r="RGW44" s="83"/>
      <c r="RGX44" s="83"/>
      <c r="RGY44" s="83"/>
      <c r="RGZ44" s="83"/>
      <c r="RHA44" s="83"/>
      <c r="RHB44" s="83"/>
      <c r="RHC44" s="83"/>
      <c r="RHD44" s="83"/>
      <c r="RHE44" s="83"/>
      <c r="RHF44" s="83"/>
      <c r="RHG44" s="83"/>
      <c r="RHH44" s="83"/>
      <c r="RHI44" s="83"/>
      <c r="RHJ44" s="83"/>
      <c r="RHK44" s="83"/>
      <c r="RHL44" s="83"/>
      <c r="RHM44" s="83"/>
      <c r="RHN44" s="83"/>
      <c r="RHO44" s="83"/>
      <c r="RHP44" s="83"/>
      <c r="RHQ44" s="83"/>
      <c r="RHR44" s="83"/>
      <c r="RHS44" s="83"/>
      <c r="RHT44" s="83"/>
      <c r="RHU44" s="83"/>
      <c r="RHV44" s="83"/>
      <c r="RHW44" s="83"/>
      <c r="RHX44" s="83"/>
      <c r="RHY44" s="83"/>
      <c r="RHZ44" s="83"/>
      <c r="RIA44" s="83"/>
      <c r="RIB44" s="83"/>
      <c r="RIC44" s="83"/>
      <c r="RID44" s="83"/>
      <c r="RIE44" s="83"/>
      <c r="RIF44" s="83"/>
      <c r="RIG44" s="83"/>
      <c r="RIH44" s="83"/>
      <c r="RII44" s="83"/>
      <c r="RIJ44" s="83"/>
      <c r="RIK44" s="83"/>
      <c r="RIL44" s="83"/>
      <c r="RIM44" s="83"/>
      <c r="RIN44" s="83"/>
      <c r="RIO44" s="83"/>
      <c r="RIP44" s="83"/>
      <c r="RIQ44" s="83"/>
      <c r="RIR44" s="83"/>
      <c r="RIS44" s="83"/>
      <c r="RIT44" s="83"/>
      <c r="RIU44" s="83"/>
      <c r="RIV44" s="83"/>
      <c r="RIW44" s="83"/>
      <c r="RIX44" s="83"/>
      <c r="RIY44" s="83"/>
      <c r="RIZ44" s="83"/>
      <c r="RJA44" s="83"/>
      <c r="RJB44" s="83"/>
      <c r="RJC44" s="83"/>
      <c r="RJD44" s="83"/>
      <c r="RJE44" s="83"/>
      <c r="RJF44" s="83"/>
      <c r="RJG44" s="83"/>
      <c r="RJH44" s="83"/>
      <c r="RJI44" s="83"/>
      <c r="RJJ44" s="83"/>
      <c r="RJK44" s="83"/>
      <c r="RJL44" s="83"/>
      <c r="RJM44" s="83"/>
      <c r="RJN44" s="83"/>
      <c r="RJO44" s="83"/>
      <c r="RJP44" s="83"/>
      <c r="RJQ44" s="83"/>
      <c r="RJR44" s="83"/>
      <c r="RJS44" s="83"/>
      <c r="RJT44" s="83"/>
      <c r="RJU44" s="83"/>
      <c r="RJV44" s="83"/>
      <c r="RJW44" s="83"/>
      <c r="RJX44" s="83"/>
      <c r="RJY44" s="83"/>
      <c r="RJZ44" s="83"/>
      <c r="RKA44" s="83"/>
      <c r="RKB44" s="83"/>
      <c r="RKC44" s="83"/>
      <c r="RKD44" s="83"/>
      <c r="RKE44" s="83"/>
      <c r="RKF44" s="83"/>
      <c r="RKG44" s="83"/>
      <c r="RKH44" s="83"/>
      <c r="RKI44" s="83"/>
      <c r="RKJ44" s="83"/>
      <c r="RKK44" s="83"/>
      <c r="RKL44" s="83"/>
      <c r="RKM44" s="83"/>
      <c r="RKN44" s="83"/>
      <c r="RKO44" s="83"/>
      <c r="RKP44" s="83"/>
      <c r="RKQ44" s="83"/>
      <c r="RKR44" s="83"/>
      <c r="RKS44" s="83"/>
      <c r="RKT44" s="83"/>
      <c r="RKU44" s="83"/>
      <c r="RKV44" s="83"/>
      <c r="RKW44" s="83"/>
      <c r="RKX44" s="83"/>
      <c r="RKY44" s="83"/>
      <c r="RKZ44" s="83"/>
      <c r="RLA44" s="83"/>
      <c r="RLB44" s="83"/>
      <c r="RLC44" s="83"/>
      <c r="RLD44" s="83"/>
      <c r="RLE44" s="83"/>
      <c r="RLF44" s="83"/>
      <c r="RLG44" s="83"/>
      <c r="RLH44" s="83"/>
      <c r="RLI44" s="83"/>
      <c r="RLJ44" s="83"/>
      <c r="RLK44" s="83"/>
      <c r="RLL44" s="83"/>
      <c r="RLM44" s="83"/>
      <c r="RLN44" s="83"/>
      <c r="RLO44" s="83"/>
      <c r="RLP44" s="83"/>
      <c r="RLQ44" s="83"/>
      <c r="RLR44" s="83"/>
      <c r="RLS44" s="83"/>
      <c r="RLT44" s="83"/>
      <c r="RLU44" s="83"/>
      <c r="RLV44" s="83"/>
      <c r="RLW44" s="83"/>
      <c r="RLX44" s="83"/>
      <c r="RLY44" s="83"/>
      <c r="RLZ44" s="83"/>
      <c r="RMA44" s="83"/>
      <c r="RMB44" s="83"/>
      <c r="RMC44" s="83"/>
      <c r="RMD44" s="83"/>
      <c r="RME44" s="83"/>
      <c r="RMF44" s="83"/>
      <c r="RMG44" s="83"/>
      <c r="RMH44" s="83"/>
      <c r="RMI44" s="83"/>
      <c r="RMJ44" s="83"/>
      <c r="RMK44" s="83"/>
      <c r="RML44" s="83"/>
      <c r="RMM44" s="83"/>
      <c r="RMN44" s="83"/>
      <c r="RMO44" s="83"/>
      <c r="RMP44" s="83"/>
      <c r="RMQ44" s="83"/>
      <c r="RMR44" s="83"/>
      <c r="RMS44" s="83"/>
      <c r="RMT44" s="83"/>
      <c r="RMU44" s="83"/>
      <c r="RMV44" s="83"/>
      <c r="RMW44" s="83"/>
      <c r="RMX44" s="83"/>
      <c r="RMY44" s="83"/>
      <c r="RMZ44" s="83"/>
      <c r="RNA44" s="83"/>
      <c r="RNB44" s="83"/>
      <c r="RNC44" s="83"/>
      <c r="RND44" s="83"/>
      <c r="RNE44" s="83"/>
      <c r="RNF44" s="83"/>
      <c r="RNG44" s="83"/>
      <c r="RNH44" s="83"/>
      <c r="RNI44" s="83"/>
      <c r="RNJ44" s="83"/>
      <c r="RNK44" s="83"/>
      <c r="RNL44" s="83"/>
      <c r="RNM44" s="83"/>
      <c r="RNN44" s="83"/>
      <c r="RNO44" s="83"/>
      <c r="RNP44" s="83"/>
      <c r="RNQ44" s="83"/>
      <c r="RNR44" s="83"/>
      <c r="RNS44" s="83"/>
      <c r="RNT44" s="83"/>
      <c r="RNU44" s="83"/>
      <c r="RNV44" s="83"/>
      <c r="RNW44" s="83"/>
      <c r="RNX44" s="83"/>
      <c r="RNY44" s="83"/>
      <c r="RNZ44" s="83"/>
      <c r="ROA44" s="83"/>
      <c r="ROB44" s="83"/>
      <c r="ROC44" s="83"/>
      <c r="ROD44" s="83"/>
      <c r="ROE44" s="83"/>
      <c r="ROF44" s="83"/>
      <c r="ROG44" s="83"/>
      <c r="ROH44" s="83"/>
      <c r="ROI44" s="83"/>
      <c r="ROJ44" s="83"/>
      <c r="ROK44" s="83"/>
      <c r="ROL44" s="83"/>
      <c r="ROM44" s="83"/>
      <c r="RON44" s="83"/>
      <c r="ROO44" s="83"/>
      <c r="ROP44" s="83"/>
      <c r="ROQ44" s="83"/>
      <c r="ROR44" s="83"/>
      <c r="ROS44" s="83"/>
      <c r="ROT44" s="83"/>
      <c r="ROU44" s="83"/>
      <c r="ROV44" s="83"/>
      <c r="ROW44" s="83"/>
      <c r="ROX44" s="83"/>
      <c r="ROY44" s="83"/>
      <c r="ROZ44" s="83"/>
      <c r="RPA44" s="83"/>
      <c r="RPB44" s="83"/>
      <c r="RPC44" s="83"/>
      <c r="RPD44" s="83"/>
      <c r="RPE44" s="83"/>
      <c r="RPF44" s="83"/>
      <c r="RPG44" s="83"/>
      <c r="RPH44" s="83"/>
      <c r="RPI44" s="83"/>
      <c r="RPJ44" s="83"/>
      <c r="RPK44" s="83"/>
      <c r="RPL44" s="83"/>
      <c r="RPM44" s="83"/>
      <c r="RPN44" s="83"/>
      <c r="RPO44" s="83"/>
      <c r="RPP44" s="83"/>
      <c r="RPQ44" s="83"/>
      <c r="RPR44" s="83"/>
      <c r="RPS44" s="83"/>
      <c r="RPT44" s="83"/>
      <c r="RPU44" s="83"/>
      <c r="RPV44" s="83"/>
      <c r="RPW44" s="83"/>
      <c r="RPX44" s="83"/>
      <c r="RPY44" s="83"/>
      <c r="RPZ44" s="83"/>
      <c r="RQA44" s="83"/>
      <c r="RQB44" s="83"/>
      <c r="RQC44" s="83"/>
      <c r="RQD44" s="83"/>
      <c r="RQE44" s="83"/>
      <c r="RQF44" s="83"/>
      <c r="RQG44" s="83"/>
      <c r="RQH44" s="83"/>
      <c r="RQI44" s="83"/>
      <c r="RQJ44" s="83"/>
      <c r="RQK44" s="83"/>
      <c r="RQL44" s="83"/>
      <c r="RQM44" s="83"/>
      <c r="RQN44" s="83"/>
      <c r="RQO44" s="83"/>
      <c r="RQP44" s="83"/>
      <c r="RQQ44" s="83"/>
      <c r="RQR44" s="83"/>
      <c r="RQS44" s="83"/>
      <c r="RQT44" s="83"/>
      <c r="RQU44" s="83"/>
      <c r="RQV44" s="83"/>
      <c r="RQW44" s="83"/>
      <c r="RQX44" s="83"/>
      <c r="RQY44" s="83"/>
      <c r="RQZ44" s="83"/>
      <c r="RRA44" s="83"/>
      <c r="RRB44" s="83"/>
      <c r="RRC44" s="83"/>
      <c r="RRD44" s="83"/>
      <c r="RRE44" s="83"/>
      <c r="RRF44" s="83"/>
      <c r="RRG44" s="83"/>
      <c r="RRH44" s="83"/>
      <c r="RRI44" s="83"/>
      <c r="RRJ44" s="83"/>
      <c r="RRK44" s="83"/>
      <c r="RRL44" s="83"/>
      <c r="RRM44" s="83"/>
      <c r="RRN44" s="83"/>
      <c r="RRO44" s="83"/>
      <c r="RRP44" s="83"/>
      <c r="RRQ44" s="83"/>
      <c r="RRR44" s="83"/>
      <c r="RRS44" s="83"/>
      <c r="RRT44" s="83"/>
      <c r="RRU44" s="83"/>
      <c r="RRV44" s="83"/>
      <c r="RRW44" s="83"/>
      <c r="RRX44" s="83"/>
      <c r="RRY44" s="83"/>
      <c r="RRZ44" s="83"/>
      <c r="RSA44" s="83"/>
      <c r="RSB44" s="83"/>
      <c r="RSC44" s="83"/>
      <c r="RSD44" s="83"/>
      <c r="RSE44" s="83"/>
      <c r="RSF44" s="83"/>
      <c r="RSG44" s="83"/>
      <c r="RSH44" s="83"/>
      <c r="RSI44" s="83"/>
      <c r="RSJ44" s="83"/>
      <c r="RSK44" s="83"/>
      <c r="RSL44" s="83"/>
      <c r="RSM44" s="83"/>
      <c r="RSN44" s="83"/>
      <c r="RSO44" s="83"/>
      <c r="RSP44" s="83"/>
      <c r="RSQ44" s="83"/>
      <c r="RSR44" s="83"/>
      <c r="RSS44" s="83"/>
      <c r="RST44" s="83"/>
      <c r="RSU44" s="83"/>
      <c r="RSV44" s="83"/>
      <c r="RSW44" s="83"/>
      <c r="RSX44" s="83"/>
      <c r="RSY44" s="83"/>
      <c r="RSZ44" s="83"/>
      <c r="RTA44" s="83"/>
      <c r="RTB44" s="83"/>
      <c r="RTC44" s="83"/>
      <c r="RTD44" s="83"/>
      <c r="RTE44" s="83"/>
      <c r="RTF44" s="83"/>
      <c r="RTG44" s="83"/>
      <c r="RTH44" s="83"/>
      <c r="RTI44" s="83"/>
      <c r="RTJ44" s="83"/>
      <c r="RTK44" s="83"/>
      <c r="RTL44" s="83"/>
      <c r="RTM44" s="83"/>
      <c r="RTN44" s="83"/>
      <c r="RTO44" s="83"/>
      <c r="RTP44" s="83"/>
      <c r="RTQ44" s="83"/>
      <c r="RTR44" s="83"/>
      <c r="RTS44" s="83"/>
      <c r="RTT44" s="83"/>
      <c r="RTU44" s="83"/>
      <c r="RTV44" s="83"/>
      <c r="RTW44" s="83"/>
      <c r="RTX44" s="83"/>
      <c r="RTY44" s="83"/>
      <c r="RTZ44" s="83"/>
      <c r="RUA44" s="83"/>
      <c r="RUB44" s="83"/>
      <c r="RUC44" s="83"/>
      <c r="RUD44" s="83"/>
      <c r="RUE44" s="83"/>
      <c r="RUF44" s="83"/>
      <c r="RUG44" s="83"/>
      <c r="RUH44" s="83"/>
      <c r="RUI44" s="83"/>
      <c r="RUJ44" s="83"/>
      <c r="RUK44" s="83"/>
      <c r="RUL44" s="83"/>
      <c r="RUM44" s="83"/>
      <c r="RUN44" s="83"/>
      <c r="RUO44" s="83"/>
      <c r="RUP44" s="83"/>
      <c r="RUQ44" s="83"/>
      <c r="RUR44" s="83"/>
      <c r="RUS44" s="83"/>
      <c r="RUT44" s="83"/>
      <c r="RUU44" s="83"/>
      <c r="RUV44" s="83"/>
      <c r="RUW44" s="83"/>
      <c r="RUX44" s="83"/>
      <c r="RUY44" s="83"/>
      <c r="RUZ44" s="83"/>
      <c r="RVA44" s="83"/>
      <c r="RVB44" s="83"/>
      <c r="RVC44" s="83"/>
      <c r="RVD44" s="83"/>
      <c r="RVE44" s="83"/>
      <c r="RVF44" s="83"/>
      <c r="RVG44" s="83"/>
      <c r="RVH44" s="83"/>
      <c r="RVI44" s="83"/>
      <c r="RVJ44" s="83"/>
      <c r="RVK44" s="83"/>
      <c r="RVL44" s="83"/>
      <c r="RVM44" s="83"/>
      <c r="RVN44" s="83"/>
      <c r="RVO44" s="83"/>
      <c r="RVP44" s="83"/>
      <c r="RVQ44" s="83"/>
      <c r="RVR44" s="83"/>
      <c r="RVS44" s="83"/>
      <c r="RVT44" s="83"/>
      <c r="RVU44" s="83"/>
      <c r="RVV44" s="83"/>
      <c r="RVW44" s="83"/>
      <c r="RVX44" s="83"/>
      <c r="RVY44" s="83"/>
      <c r="RVZ44" s="83"/>
      <c r="RWA44" s="83"/>
      <c r="RWB44" s="83"/>
      <c r="RWC44" s="83"/>
      <c r="RWD44" s="83"/>
      <c r="RWE44" s="83"/>
      <c r="RWF44" s="83"/>
      <c r="RWG44" s="83"/>
      <c r="RWH44" s="83"/>
      <c r="RWI44" s="83"/>
      <c r="RWJ44" s="83"/>
      <c r="RWK44" s="83"/>
      <c r="RWL44" s="83"/>
      <c r="RWM44" s="83"/>
      <c r="RWN44" s="83"/>
      <c r="RWO44" s="83"/>
      <c r="RWP44" s="83"/>
      <c r="RWQ44" s="83"/>
      <c r="RWR44" s="83"/>
      <c r="RWS44" s="83"/>
      <c r="RWT44" s="83"/>
      <c r="RWU44" s="83"/>
      <c r="RWV44" s="83"/>
      <c r="RWW44" s="83"/>
      <c r="RWX44" s="83"/>
      <c r="RWY44" s="83"/>
      <c r="RWZ44" s="83"/>
      <c r="RXA44" s="83"/>
      <c r="RXB44" s="83"/>
      <c r="RXC44" s="83"/>
      <c r="RXD44" s="83"/>
      <c r="RXE44" s="83"/>
      <c r="RXF44" s="83"/>
      <c r="RXG44" s="83"/>
      <c r="RXH44" s="83"/>
      <c r="RXI44" s="83"/>
      <c r="RXJ44" s="83"/>
      <c r="RXK44" s="83"/>
      <c r="RXL44" s="83"/>
      <c r="RXM44" s="83"/>
      <c r="RXN44" s="83"/>
      <c r="RXO44" s="83"/>
      <c r="RXP44" s="83"/>
      <c r="RXQ44" s="83"/>
      <c r="RXR44" s="83"/>
      <c r="RXS44" s="83"/>
      <c r="RXT44" s="83"/>
      <c r="RXU44" s="83"/>
      <c r="RXV44" s="83"/>
      <c r="RXW44" s="83"/>
      <c r="RXX44" s="83"/>
      <c r="RXY44" s="83"/>
      <c r="RXZ44" s="83"/>
      <c r="RYA44" s="83"/>
      <c r="RYB44" s="83"/>
      <c r="RYC44" s="83"/>
      <c r="RYD44" s="83"/>
      <c r="RYE44" s="83"/>
      <c r="RYF44" s="83"/>
      <c r="RYG44" s="83"/>
      <c r="RYH44" s="83"/>
      <c r="RYI44" s="83"/>
      <c r="RYJ44" s="83"/>
      <c r="RYK44" s="83"/>
      <c r="RYL44" s="83"/>
      <c r="RYM44" s="83"/>
      <c r="RYN44" s="83"/>
      <c r="RYO44" s="83"/>
      <c r="RYP44" s="83"/>
      <c r="RYQ44" s="83"/>
      <c r="RYR44" s="83"/>
      <c r="RYS44" s="83"/>
      <c r="RYT44" s="83"/>
      <c r="RYU44" s="83"/>
      <c r="RYV44" s="83"/>
      <c r="RYW44" s="83"/>
      <c r="RYX44" s="83"/>
      <c r="RYY44" s="83"/>
      <c r="RYZ44" s="83"/>
      <c r="RZA44" s="83"/>
      <c r="RZB44" s="83"/>
      <c r="RZC44" s="83"/>
      <c r="RZD44" s="83"/>
      <c r="RZE44" s="83"/>
      <c r="RZF44" s="83"/>
      <c r="RZG44" s="83"/>
      <c r="RZH44" s="83"/>
      <c r="RZI44" s="83"/>
      <c r="RZJ44" s="83"/>
      <c r="RZK44" s="83"/>
      <c r="RZL44" s="83"/>
      <c r="RZM44" s="83"/>
      <c r="RZN44" s="83"/>
      <c r="RZO44" s="83"/>
      <c r="RZP44" s="83"/>
      <c r="RZQ44" s="83"/>
      <c r="RZR44" s="83"/>
      <c r="RZS44" s="83"/>
      <c r="RZT44" s="83"/>
      <c r="RZU44" s="83"/>
      <c r="RZV44" s="83"/>
      <c r="RZW44" s="83"/>
      <c r="RZX44" s="83"/>
      <c r="RZY44" s="83"/>
      <c r="RZZ44" s="83"/>
      <c r="SAA44" s="83"/>
      <c r="SAB44" s="83"/>
      <c r="SAC44" s="83"/>
      <c r="SAD44" s="83"/>
      <c r="SAE44" s="83"/>
      <c r="SAF44" s="83"/>
      <c r="SAG44" s="83"/>
      <c r="SAH44" s="83"/>
      <c r="SAI44" s="83"/>
      <c r="SAJ44" s="83"/>
      <c r="SAK44" s="83"/>
      <c r="SAL44" s="83"/>
      <c r="SAM44" s="83"/>
      <c r="SAN44" s="83"/>
      <c r="SAO44" s="83"/>
      <c r="SAP44" s="83"/>
      <c r="SAQ44" s="83"/>
      <c r="SAR44" s="83"/>
      <c r="SAS44" s="83"/>
      <c r="SAT44" s="83"/>
      <c r="SAU44" s="83"/>
      <c r="SAV44" s="83"/>
      <c r="SAW44" s="83"/>
      <c r="SAX44" s="83"/>
      <c r="SAY44" s="83"/>
      <c r="SAZ44" s="83"/>
      <c r="SBA44" s="83"/>
      <c r="SBB44" s="83"/>
      <c r="SBC44" s="83"/>
      <c r="SBD44" s="83"/>
      <c r="SBE44" s="83"/>
      <c r="SBF44" s="83"/>
      <c r="SBG44" s="83"/>
      <c r="SBH44" s="83"/>
      <c r="SBI44" s="83"/>
      <c r="SBJ44" s="83"/>
      <c r="SBK44" s="83"/>
      <c r="SBL44" s="83"/>
      <c r="SBM44" s="83"/>
      <c r="SBN44" s="83"/>
      <c r="SBO44" s="83"/>
      <c r="SBP44" s="83"/>
      <c r="SBQ44" s="83"/>
      <c r="SBR44" s="83"/>
      <c r="SBS44" s="83"/>
      <c r="SBT44" s="83"/>
      <c r="SBU44" s="83"/>
      <c r="SBV44" s="83"/>
      <c r="SBW44" s="83"/>
      <c r="SBX44" s="83"/>
      <c r="SBY44" s="83"/>
      <c r="SBZ44" s="83"/>
      <c r="SCA44" s="83"/>
      <c r="SCB44" s="83"/>
      <c r="SCC44" s="83"/>
      <c r="SCD44" s="83"/>
      <c r="SCE44" s="83"/>
      <c r="SCF44" s="83"/>
      <c r="SCG44" s="83"/>
      <c r="SCH44" s="83"/>
      <c r="SCI44" s="83"/>
      <c r="SCJ44" s="83"/>
      <c r="SCK44" s="83"/>
      <c r="SCL44" s="83"/>
      <c r="SCM44" s="83"/>
      <c r="SCN44" s="83"/>
      <c r="SCO44" s="83"/>
      <c r="SCP44" s="83"/>
      <c r="SCQ44" s="83"/>
      <c r="SCR44" s="83"/>
      <c r="SCS44" s="83"/>
      <c r="SCT44" s="83"/>
      <c r="SCU44" s="83"/>
      <c r="SCV44" s="83"/>
      <c r="SCW44" s="83"/>
      <c r="SCX44" s="83"/>
      <c r="SCY44" s="83"/>
      <c r="SCZ44" s="83"/>
      <c r="SDA44" s="83"/>
      <c r="SDB44" s="83"/>
      <c r="SDC44" s="83"/>
      <c r="SDD44" s="83"/>
      <c r="SDE44" s="83"/>
      <c r="SDF44" s="83"/>
      <c r="SDG44" s="83"/>
      <c r="SDH44" s="83"/>
      <c r="SDI44" s="83"/>
      <c r="SDJ44" s="83"/>
      <c r="SDK44" s="83"/>
      <c r="SDL44" s="83"/>
      <c r="SDM44" s="83"/>
      <c r="SDN44" s="83"/>
      <c r="SDO44" s="83"/>
      <c r="SDP44" s="83"/>
      <c r="SDQ44" s="83"/>
      <c r="SDR44" s="83"/>
      <c r="SDS44" s="83"/>
      <c r="SDT44" s="83"/>
      <c r="SDU44" s="83"/>
      <c r="SDV44" s="83"/>
      <c r="SDW44" s="83"/>
      <c r="SDX44" s="83"/>
      <c r="SDY44" s="83"/>
      <c r="SDZ44" s="83"/>
      <c r="SEA44" s="83"/>
      <c r="SEB44" s="83"/>
      <c r="SEC44" s="83"/>
      <c r="SED44" s="83"/>
      <c r="SEE44" s="83"/>
      <c r="SEF44" s="83"/>
      <c r="SEG44" s="83"/>
      <c r="SEH44" s="83"/>
      <c r="SEI44" s="83"/>
      <c r="SEJ44" s="83"/>
      <c r="SEK44" s="83"/>
      <c r="SEL44" s="83"/>
      <c r="SEM44" s="83"/>
      <c r="SEN44" s="83"/>
      <c r="SEO44" s="83"/>
      <c r="SEP44" s="83"/>
      <c r="SEQ44" s="83"/>
      <c r="SER44" s="83"/>
      <c r="SES44" s="83"/>
      <c r="SET44" s="83"/>
      <c r="SEU44" s="83"/>
      <c r="SEV44" s="83"/>
      <c r="SEW44" s="83"/>
      <c r="SEX44" s="83"/>
      <c r="SEY44" s="83"/>
      <c r="SEZ44" s="83"/>
      <c r="SFA44" s="83"/>
      <c r="SFB44" s="83"/>
      <c r="SFC44" s="83"/>
      <c r="SFD44" s="83"/>
      <c r="SFE44" s="83"/>
      <c r="SFF44" s="83"/>
      <c r="SFG44" s="83"/>
      <c r="SFH44" s="83"/>
      <c r="SFI44" s="83"/>
      <c r="SFJ44" s="83"/>
      <c r="SFK44" s="83"/>
      <c r="SFL44" s="83"/>
      <c r="SFM44" s="83"/>
      <c r="SFN44" s="83"/>
      <c r="SFO44" s="83"/>
      <c r="SFP44" s="83"/>
      <c r="SFQ44" s="83"/>
      <c r="SFR44" s="83"/>
      <c r="SFS44" s="83"/>
      <c r="SFT44" s="83"/>
      <c r="SFU44" s="83"/>
      <c r="SFV44" s="83"/>
      <c r="SFW44" s="83"/>
      <c r="SFX44" s="83"/>
      <c r="SFY44" s="83"/>
      <c r="SFZ44" s="83"/>
      <c r="SGA44" s="83"/>
      <c r="SGB44" s="83"/>
      <c r="SGC44" s="83"/>
      <c r="SGD44" s="83"/>
      <c r="SGE44" s="83"/>
      <c r="SGF44" s="83"/>
      <c r="SGG44" s="83"/>
      <c r="SGH44" s="83"/>
      <c r="SGI44" s="83"/>
      <c r="SGJ44" s="83"/>
      <c r="SGK44" s="83"/>
      <c r="SGL44" s="83"/>
      <c r="SGM44" s="83"/>
      <c r="SGN44" s="83"/>
      <c r="SGO44" s="83"/>
      <c r="SGP44" s="83"/>
      <c r="SGQ44" s="83"/>
      <c r="SGR44" s="83"/>
      <c r="SGS44" s="83"/>
      <c r="SGT44" s="83"/>
      <c r="SGU44" s="83"/>
      <c r="SGV44" s="83"/>
      <c r="SGW44" s="83"/>
      <c r="SGX44" s="83"/>
      <c r="SGY44" s="83"/>
      <c r="SGZ44" s="83"/>
      <c r="SHA44" s="83"/>
      <c r="SHB44" s="83"/>
      <c r="SHC44" s="83"/>
      <c r="SHD44" s="83"/>
      <c r="SHE44" s="83"/>
      <c r="SHF44" s="83"/>
      <c r="SHG44" s="83"/>
      <c r="SHH44" s="83"/>
      <c r="SHI44" s="83"/>
      <c r="SHJ44" s="83"/>
      <c r="SHK44" s="83"/>
      <c r="SHL44" s="83"/>
      <c r="SHM44" s="83"/>
      <c r="SHN44" s="83"/>
      <c r="SHO44" s="83"/>
      <c r="SHP44" s="83"/>
      <c r="SHQ44" s="83"/>
      <c r="SHR44" s="83"/>
      <c r="SHS44" s="83"/>
      <c r="SHT44" s="83"/>
      <c r="SHU44" s="83"/>
      <c r="SHV44" s="83"/>
      <c r="SHW44" s="83"/>
      <c r="SHX44" s="83"/>
      <c r="SHY44" s="83"/>
      <c r="SHZ44" s="83"/>
      <c r="SIA44" s="83"/>
      <c r="SIB44" s="83"/>
      <c r="SIC44" s="83"/>
      <c r="SID44" s="83"/>
      <c r="SIE44" s="83"/>
      <c r="SIF44" s="83"/>
      <c r="SIG44" s="83"/>
      <c r="SIH44" s="83"/>
      <c r="SII44" s="83"/>
      <c r="SIJ44" s="83"/>
      <c r="SIK44" s="83"/>
      <c r="SIL44" s="83"/>
      <c r="SIM44" s="83"/>
      <c r="SIN44" s="83"/>
      <c r="SIO44" s="83"/>
      <c r="SIP44" s="83"/>
      <c r="SIQ44" s="83"/>
      <c r="SIR44" s="83"/>
      <c r="SIS44" s="83"/>
      <c r="SIT44" s="83"/>
      <c r="SIU44" s="83"/>
      <c r="SIV44" s="83"/>
      <c r="SIW44" s="83"/>
      <c r="SIX44" s="83"/>
      <c r="SIY44" s="83"/>
      <c r="SIZ44" s="83"/>
      <c r="SJA44" s="83"/>
      <c r="SJB44" s="83"/>
      <c r="SJC44" s="83"/>
      <c r="SJD44" s="83"/>
      <c r="SJE44" s="83"/>
      <c r="SJF44" s="83"/>
      <c r="SJG44" s="83"/>
      <c r="SJH44" s="83"/>
      <c r="SJI44" s="83"/>
      <c r="SJJ44" s="83"/>
      <c r="SJK44" s="83"/>
      <c r="SJL44" s="83"/>
      <c r="SJM44" s="83"/>
      <c r="SJN44" s="83"/>
      <c r="SJO44" s="83"/>
      <c r="SJP44" s="83"/>
      <c r="SJQ44" s="83"/>
      <c r="SJR44" s="83"/>
      <c r="SJS44" s="83"/>
      <c r="SJT44" s="83"/>
      <c r="SJU44" s="83"/>
      <c r="SJV44" s="83"/>
      <c r="SJW44" s="83"/>
      <c r="SJX44" s="83"/>
      <c r="SJY44" s="83"/>
      <c r="SJZ44" s="83"/>
      <c r="SKA44" s="83"/>
      <c r="SKB44" s="83"/>
      <c r="SKC44" s="83"/>
      <c r="SKD44" s="83"/>
      <c r="SKE44" s="83"/>
      <c r="SKF44" s="83"/>
      <c r="SKG44" s="83"/>
      <c r="SKH44" s="83"/>
      <c r="SKI44" s="83"/>
      <c r="SKJ44" s="83"/>
      <c r="SKK44" s="83"/>
      <c r="SKL44" s="83"/>
      <c r="SKM44" s="83"/>
      <c r="SKN44" s="83"/>
      <c r="SKO44" s="83"/>
      <c r="SKP44" s="83"/>
      <c r="SKQ44" s="83"/>
      <c r="SKR44" s="83"/>
      <c r="SKS44" s="83"/>
      <c r="SKT44" s="83"/>
      <c r="SKU44" s="83"/>
      <c r="SKV44" s="83"/>
      <c r="SKW44" s="83"/>
      <c r="SKX44" s="83"/>
      <c r="SKY44" s="83"/>
      <c r="SKZ44" s="83"/>
      <c r="SLA44" s="83"/>
      <c r="SLB44" s="83"/>
      <c r="SLC44" s="83"/>
      <c r="SLD44" s="83"/>
      <c r="SLE44" s="83"/>
      <c r="SLF44" s="83"/>
      <c r="SLG44" s="83"/>
      <c r="SLH44" s="83"/>
      <c r="SLI44" s="83"/>
      <c r="SLJ44" s="83"/>
      <c r="SLK44" s="83"/>
      <c r="SLL44" s="83"/>
      <c r="SLM44" s="83"/>
      <c r="SLN44" s="83"/>
      <c r="SLO44" s="83"/>
      <c r="SLP44" s="83"/>
      <c r="SLQ44" s="83"/>
      <c r="SLR44" s="83"/>
      <c r="SLS44" s="83"/>
      <c r="SLT44" s="83"/>
      <c r="SLU44" s="83"/>
      <c r="SLV44" s="83"/>
      <c r="SLW44" s="83"/>
      <c r="SLX44" s="83"/>
      <c r="SLY44" s="83"/>
      <c r="SLZ44" s="83"/>
      <c r="SMA44" s="83"/>
      <c r="SMB44" s="83"/>
      <c r="SMC44" s="83"/>
      <c r="SMD44" s="83"/>
      <c r="SME44" s="83"/>
      <c r="SMF44" s="83"/>
      <c r="SMG44" s="83"/>
      <c r="SMH44" s="83"/>
      <c r="SMI44" s="83"/>
      <c r="SMJ44" s="83"/>
      <c r="SMK44" s="83"/>
      <c r="SML44" s="83"/>
      <c r="SMM44" s="83"/>
      <c r="SMN44" s="83"/>
      <c r="SMO44" s="83"/>
      <c r="SMP44" s="83"/>
      <c r="SMQ44" s="83"/>
      <c r="SMR44" s="83"/>
      <c r="SMS44" s="83"/>
      <c r="SMT44" s="83"/>
      <c r="SMU44" s="83"/>
      <c r="SMV44" s="83"/>
      <c r="SMW44" s="83"/>
      <c r="SMX44" s="83"/>
      <c r="SMY44" s="83"/>
      <c r="SMZ44" s="83"/>
      <c r="SNA44" s="83"/>
      <c r="SNB44" s="83"/>
      <c r="SNC44" s="83"/>
      <c r="SND44" s="83"/>
      <c r="SNE44" s="83"/>
      <c r="SNF44" s="83"/>
      <c r="SNG44" s="83"/>
      <c r="SNH44" s="83"/>
      <c r="SNI44" s="83"/>
      <c r="SNJ44" s="83"/>
      <c r="SNK44" s="83"/>
      <c r="SNL44" s="83"/>
      <c r="SNM44" s="83"/>
      <c r="SNN44" s="83"/>
      <c r="SNO44" s="83"/>
      <c r="SNP44" s="83"/>
      <c r="SNQ44" s="83"/>
      <c r="SNR44" s="83"/>
      <c r="SNS44" s="83"/>
      <c r="SNT44" s="83"/>
      <c r="SNU44" s="83"/>
      <c r="SNV44" s="83"/>
      <c r="SNW44" s="83"/>
      <c r="SNX44" s="83"/>
      <c r="SNY44" s="83"/>
      <c r="SNZ44" s="83"/>
      <c r="SOA44" s="83"/>
      <c r="SOB44" s="83"/>
      <c r="SOC44" s="83"/>
      <c r="SOD44" s="83"/>
      <c r="SOE44" s="83"/>
      <c r="SOF44" s="83"/>
      <c r="SOG44" s="83"/>
      <c r="SOH44" s="83"/>
      <c r="SOI44" s="83"/>
      <c r="SOJ44" s="83"/>
      <c r="SOK44" s="83"/>
      <c r="SOL44" s="83"/>
      <c r="SOM44" s="83"/>
      <c r="SON44" s="83"/>
      <c r="SOO44" s="83"/>
      <c r="SOP44" s="83"/>
      <c r="SOQ44" s="83"/>
      <c r="SOR44" s="83"/>
      <c r="SOS44" s="83"/>
      <c r="SOT44" s="83"/>
      <c r="SOU44" s="83"/>
      <c r="SOV44" s="83"/>
      <c r="SOW44" s="83"/>
      <c r="SOX44" s="83"/>
      <c r="SOY44" s="83"/>
      <c r="SOZ44" s="83"/>
      <c r="SPA44" s="83"/>
      <c r="SPB44" s="83"/>
      <c r="SPC44" s="83"/>
      <c r="SPD44" s="83"/>
      <c r="SPE44" s="83"/>
      <c r="SPF44" s="83"/>
      <c r="SPG44" s="83"/>
      <c r="SPH44" s="83"/>
      <c r="SPI44" s="83"/>
      <c r="SPJ44" s="83"/>
      <c r="SPK44" s="83"/>
      <c r="SPL44" s="83"/>
      <c r="SPM44" s="83"/>
      <c r="SPN44" s="83"/>
      <c r="SPO44" s="83"/>
      <c r="SPP44" s="83"/>
      <c r="SPQ44" s="83"/>
      <c r="SPR44" s="83"/>
      <c r="SPS44" s="83"/>
      <c r="SPT44" s="83"/>
      <c r="SPU44" s="83"/>
      <c r="SPV44" s="83"/>
      <c r="SPW44" s="83"/>
      <c r="SPX44" s="83"/>
      <c r="SPY44" s="83"/>
      <c r="SPZ44" s="83"/>
      <c r="SQA44" s="83"/>
      <c r="SQB44" s="83"/>
      <c r="SQC44" s="83"/>
      <c r="SQD44" s="83"/>
      <c r="SQE44" s="83"/>
      <c r="SQF44" s="83"/>
      <c r="SQG44" s="83"/>
      <c r="SQH44" s="83"/>
      <c r="SQI44" s="83"/>
      <c r="SQJ44" s="83"/>
      <c r="SQK44" s="83"/>
      <c r="SQL44" s="83"/>
      <c r="SQM44" s="83"/>
      <c r="SQN44" s="83"/>
      <c r="SQO44" s="83"/>
      <c r="SQP44" s="83"/>
      <c r="SQQ44" s="83"/>
      <c r="SQR44" s="83"/>
      <c r="SQS44" s="83"/>
      <c r="SQT44" s="83"/>
      <c r="SQU44" s="83"/>
      <c r="SQV44" s="83"/>
      <c r="SQW44" s="83"/>
      <c r="SQX44" s="83"/>
      <c r="SQY44" s="83"/>
      <c r="SQZ44" s="83"/>
      <c r="SRA44" s="83"/>
      <c r="SRB44" s="83"/>
      <c r="SRC44" s="83"/>
      <c r="SRD44" s="83"/>
      <c r="SRE44" s="83"/>
      <c r="SRF44" s="83"/>
      <c r="SRG44" s="83"/>
      <c r="SRH44" s="83"/>
      <c r="SRI44" s="83"/>
      <c r="SRJ44" s="83"/>
      <c r="SRK44" s="83"/>
      <c r="SRL44" s="83"/>
      <c r="SRM44" s="83"/>
      <c r="SRN44" s="83"/>
      <c r="SRO44" s="83"/>
      <c r="SRP44" s="83"/>
      <c r="SRQ44" s="83"/>
      <c r="SRR44" s="83"/>
      <c r="SRS44" s="83"/>
      <c r="SRT44" s="83"/>
      <c r="SRU44" s="83"/>
      <c r="SRV44" s="83"/>
      <c r="SRW44" s="83"/>
      <c r="SRX44" s="83"/>
      <c r="SRY44" s="83"/>
      <c r="SRZ44" s="83"/>
      <c r="SSA44" s="83"/>
      <c r="SSB44" s="83"/>
      <c r="SSC44" s="83"/>
      <c r="SSD44" s="83"/>
      <c r="SSE44" s="83"/>
      <c r="SSF44" s="83"/>
      <c r="SSG44" s="83"/>
      <c r="SSH44" s="83"/>
      <c r="SSI44" s="83"/>
      <c r="SSJ44" s="83"/>
      <c r="SSK44" s="83"/>
      <c r="SSL44" s="83"/>
      <c r="SSM44" s="83"/>
      <c r="SSN44" s="83"/>
      <c r="SSO44" s="83"/>
      <c r="SSP44" s="83"/>
      <c r="SSQ44" s="83"/>
      <c r="SSR44" s="83"/>
      <c r="SSS44" s="83"/>
      <c r="SST44" s="83"/>
      <c r="SSU44" s="83"/>
      <c r="SSV44" s="83"/>
      <c r="SSW44" s="83"/>
      <c r="SSX44" s="83"/>
      <c r="SSY44" s="83"/>
      <c r="SSZ44" s="83"/>
      <c r="STA44" s="83"/>
      <c r="STB44" s="83"/>
      <c r="STC44" s="83"/>
      <c r="STD44" s="83"/>
      <c r="STE44" s="83"/>
      <c r="STF44" s="83"/>
      <c r="STG44" s="83"/>
      <c r="STH44" s="83"/>
      <c r="STI44" s="83"/>
      <c r="STJ44" s="83"/>
      <c r="STK44" s="83"/>
      <c r="STL44" s="83"/>
      <c r="STM44" s="83"/>
      <c r="STN44" s="83"/>
      <c r="STO44" s="83"/>
      <c r="STP44" s="83"/>
      <c r="STQ44" s="83"/>
      <c r="STR44" s="83"/>
      <c r="STS44" s="83"/>
      <c r="STT44" s="83"/>
      <c r="STU44" s="83"/>
      <c r="STV44" s="83"/>
      <c r="STW44" s="83"/>
      <c r="STX44" s="83"/>
      <c r="STY44" s="83"/>
      <c r="STZ44" s="83"/>
      <c r="SUA44" s="83"/>
      <c r="SUB44" s="83"/>
      <c r="SUC44" s="83"/>
      <c r="SUD44" s="83"/>
      <c r="SUE44" s="83"/>
      <c r="SUF44" s="83"/>
      <c r="SUG44" s="83"/>
      <c r="SUH44" s="83"/>
      <c r="SUI44" s="83"/>
      <c r="SUJ44" s="83"/>
      <c r="SUK44" s="83"/>
      <c r="SUL44" s="83"/>
      <c r="SUM44" s="83"/>
      <c r="SUN44" s="83"/>
      <c r="SUO44" s="83"/>
      <c r="SUP44" s="83"/>
      <c r="SUQ44" s="83"/>
      <c r="SUR44" s="83"/>
      <c r="SUS44" s="83"/>
      <c r="SUT44" s="83"/>
      <c r="SUU44" s="83"/>
      <c r="SUV44" s="83"/>
      <c r="SUW44" s="83"/>
      <c r="SUX44" s="83"/>
      <c r="SUY44" s="83"/>
      <c r="SUZ44" s="83"/>
      <c r="SVA44" s="83"/>
      <c r="SVB44" s="83"/>
      <c r="SVC44" s="83"/>
      <c r="SVD44" s="83"/>
      <c r="SVE44" s="83"/>
      <c r="SVF44" s="83"/>
      <c r="SVG44" s="83"/>
      <c r="SVH44" s="83"/>
      <c r="SVI44" s="83"/>
      <c r="SVJ44" s="83"/>
      <c r="SVK44" s="83"/>
      <c r="SVL44" s="83"/>
      <c r="SVM44" s="83"/>
      <c r="SVN44" s="83"/>
      <c r="SVO44" s="83"/>
      <c r="SVP44" s="83"/>
      <c r="SVQ44" s="83"/>
      <c r="SVR44" s="83"/>
      <c r="SVS44" s="83"/>
      <c r="SVT44" s="83"/>
      <c r="SVU44" s="83"/>
      <c r="SVV44" s="83"/>
      <c r="SVW44" s="83"/>
      <c r="SVX44" s="83"/>
      <c r="SVY44" s="83"/>
      <c r="SVZ44" s="83"/>
      <c r="SWA44" s="83"/>
      <c r="SWB44" s="83"/>
      <c r="SWC44" s="83"/>
      <c r="SWD44" s="83"/>
      <c r="SWE44" s="83"/>
      <c r="SWF44" s="83"/>
      <c r="SWG44" s="83"/>
      <c r="SWH44" s="83"/>
      <c r="SWI44" s="83"/>
      <c r="SWJ44" s="83"/>
      <c r="SWK44" s="83"/>
      <c r="SWL44" s="83"/>
      <c r="SWM44" s="83"/>
      <c r="SWN44" s="83"/>
      <c r="SWO44" s="83"/>
      <c r="SWP44" s="83"/>
      <c r="SWQ44" s="83"/>
      <c r="SWR44" s="83"/>
      <c r="SWS44" s="83"/>
      <c r="SWT44" s="83"/>
      <c r="SWU44" s="83"/>
      <c r="SWV44" s="83"/>
      <c r="SWW44" s="83"/>
      <c r="SWX44" s="83"/>
      <c r="SWY44" s="83"/>
      <c r="SWZ44" s="83"/>
      <c r="SXA44" s="83"/>
      <c r="SXB44" s="83"/>
      <c r="SXC44" s="83"/>
      <c r="SXD44" s="83"/>
      <c r="SXE44" s="83"/>
      <c r="SXF44" s="83"/>
      <c r="SXG44" s="83"/>
      <c r="SXH44" s="83"/>
      <c r="SXI44" s="83"/>
      <c r="SXJ44" s="83"/>
      <c r="SXK44" s="83"/>
      <c r="SXL44" s="83"/>
      <c r="SXM44" s="83"/>
      <c r="SXN44" s="83"/>
      <c r="SXO44" s="83"/>
      <c r="SXP44" s="83"/>
      <c r="SXQ44" s="83"/>
      <c r="SXR44" s="83"/>
      <c r="SXS44" s="83"/>
      <c r="SXT44" s="83"/>
      <c r="SXU44" s="83"/>
      <c r="SXV44" s="83"/>
      <c r="SXW44" s="83"/>
      <c r="SXX44" s="83"/>
      <c r="SXY44" s="83"/>
      <c r="SXZ44" s="83"/>
      <c r="SYA44" s="83"/>
      <c r="SYB44" s="83"/>
      <c r="SYC44" s="83"/>
      <c r="SYD44" s="83"/>
      <c r="SYE44" s="83"/>
      <c r="SYF44" s="83"/>
      <c r="SYG44" s="83"/>
      <c r="SYH44" s="83"/>
      <c r="SYI44" s="83"/>
      <c r="SYJ44" s="83"/>
      <c r="SYK44" s="83"/>
      <c r="SYL44" s="83"/>
      <c r="SYM44" s="83"/>
      <c r="SYN44" s="83"/>
      <c r="SYO44" s="83"/>
      <c r="SYP44" s="83"/>
      <c r="SYQ44" s="83"/>
      <c r="SYR44" s="83"/>
      <c r="SYS44" s="83"/>
      <c r="SYT44" s="83"/>
      <c r="SYU44" s="83"/>
      <c r="SYV44" s="83"/>
      <c r="SYW44" s="83"/>
      <c r="SYX44" s="83"/>
      <c r="SYY44" s="83"/>
      <c r="SYZ44" s="83"/>
      <c r="SZA44" s="83"/>
      <c r="SZB44" s="83"/>
      <c r="SZC44" s="83"/>
      <c r="SZD44" s="83"/>
      <c r="SZE44" s="83"/>
      <c r="SZF44" s="83"/>
      <c r="SZG44" s="83"/>
      <c r="SZH44" s="83"/>
      <c r="SZI44" s="83"/>
      <c r="SZJ44" s="83"/>
      <c r="SZK44" s="83"/>
      <c r="SZL44" s="83"/>
      <c r="SZM44" s="83"/>
      <c r="SZN44" s="83"/>
      <c r="SZO44" s="83"/>
      <c r="SZP44" s="83"/>
      <c r="SZQ44" s="83"/>
      <c r="SZR44" s="83"/>
      <c r="SZS44" s="83"/>
      <c r="SZT44" s="83"/>
      <c r="SZU44" s="83"/>
      <c r="SZV44" s="83"/>
      <c r="SZW44" s="83"/>
      <c r="SZX44" s="83"/>
      <c r="SZY44" s="83"/>
      <c r="SZZ44" s="83"/>
      <c r="TAA44" s="83"/>
      <c r="TAB44" s="83"/>
      <c r="TAC44" s="83"/>
      <c r="TAD44" s="83"/>
      <c r="TAE44" s="83"/>
      <c r="TAF44" s="83"/>
      <c r="TAG44" s="83"/>
      <c r="TAH44" s="83"/>
      <c r="TAI44" s="83"/>
      <c r="TAJ44" s="83"/>
      <c r="TAK44" s="83"/>
      <c r="TAL44" s="83"/>
      <c r="TAM44" s="83"/>
      <c r="TAN44" s="83"/>
      <c r="TAO44" s="83"/>
      <c r="TAP44" s="83"/>
      <c r="TAQ44" s="83"/>
      <c r="TAR44" s="83"/>
      <c r="TAS44" s="83"/>
      <c r="TAT44" s="83"/>
      <c r="TAU44" s="83"/>
      <c r="TAV44" s="83"/>
      <c r="TAW44" s="83"/>
      <c r="TAX44" s="83"/>
      <c r="TAY44" s="83"/>
      <c r="TAZ44" s="83"/>
      <c r="TBA44" s="83"/>
      <c r="TBB44" s="83"/>
      <c r="TBC44" s="83"/>
      <c r="TBD44" s="83"/>
      <c r="TBE44" s="83"/>
      <c r="TBF44" s="83"/>
      <c r="TBG44" s="83"/>
      <c r="TBH44" s="83"/>
      <c r="TBI44" s="83"/>
      <c r="TBJ44" s="83"/>
      <c r="TBK44" s="83"/>
      <c r="TBL44" s="83"/>
      <c r="TBM44" s="83"/>
      <c r="TBN44" s="83"/>
      <c r="TBO44" s="83"/>
      <c r="TBP44" s="83"/>
      <c r="TBQ44" s="83"/>
      <c r="TBR44" s="83"/>
      <c r="TBS44" s="83"/>
      <c r="TBT44" s="83"/>
      <c r="TBU44" s="83"/>
      <c r="TBV44" s="83"/>
      <c r="TBW44" s="83"/>
      <c r="TBX44" s="83"/>
      <c r="TBY44" s="83"/>
      <c r="TBZ44" s="83"/>
      <c r="TCA44" s="83"/>
      <c r="TCB44" s="83"/>
      <c r="TCC44" s="83"/>
      <c r="TCD44" s="83"/>
      <c r="TCE44" s="83"/>
      <c r="TCF44" s="83"/>
      <c r="TCG44" s="83"/>
      <c r="TCH44" s="83"/>
      <c r="TCI44" s="83"/>
      <c r="TCJ44" s="83"/>
      <c r="TCK44" s="83"/>
      <c r="TCL44" s="83"/>
      <c r="TCM44" s="83"/>
      <c r="TCN44" s="83"/>
      <c r="TCO44" s="83"/>
      <c r="TCP44" s="83"/>
      <c r="TCQ44" s="83"/>
      <c r="TCR44" s="83"/>
      <c r="TCS44" s="83"/>
      <c r="TCT44" s="83"/>
      <c r="TCU44" s="83"/>
      <c r="TCV44" s="83"/>
      <c r="TCW44" s="83"/>
      <c r="TCX44" s="83"/>
      <c r="TCY44" s="83"/>
      <c r="TCZ44" s="83"/>
      <c r="TDA44" s="83"/>
      <c r="TDB44" s="83"/>
      <c r="TDC44" s="83"/>
      <c r="TDD44" s="83"/>
      <c r="TDE44" s="83"/>
      <c r="TDF44" s="83"/>
      <c r="TDG44" s="83"/>
      <c r="TDH44" s="83"/>
      <c r="TDI44" s="83"/>
      <c r="TDJ44" s="83"/>
      <c r="TDK44" s="83"/>
      <c r="TDL44" s="83"/>
      <c r="TDM44" s="83"/>
      <c r="TDN44" s="83"/>
      <c r="TDO44" s="83"/>
      <c r="TDP44" s="83"/>
      <c r="TDQ44" s="83"/>
      <c r="TDR44" s="83"/>
      <c r="TDS44" s="83"/>
      <c r="TDT44" s="83"/>
      <c r="TDU44" s="83"/>
      <c r="TDV44" s="83"/>
      <c r="TDW44" s="83"/>
      <c r="TDX44" s="83"/>
      <c r="TDY44" s="83"/>
      <c r="TDZ44" s="83"/>
      <c r="TEA44" s="83"/>
      <c r="TEB44" s="83"/>
      <c r="TEC44" s="83"/>
      <c r="TED44" s="83"/>
      <c r="TEE44" s="83"/>
      <c r="TEF44" s="83"/>
      <c r="TEG44" s="83"/>
      <c r="TEH44" s="83"/>
      <c r="TEI44" s="83"/>
      <c r="TEJ44" s="83"/>
      <c r="TEK44" s="83"/>
      <c r="TEL44" s="83"/>
      <c r="TEM44" s="83"/>
      <c r="TEN44" s="83"/>
      <c r="TEO44" s="83"/>
      <c r="TEP44" s="83"/>
      <c r="TEQ44" s="83"/>
      <c r="TER44" s="83"/>
      <c r="TES44" s="83"/>
      <c r="TET44" s="83"/>
      <c r="TEU44" s="83"/>
      <c r="TEV44" s="83"/>
      <c r="TEW44" s="83"/>
      <c r="TEX44" s="83"/>
      <c r="TEY44" s="83"/>
      <c r="TEZ44" s="83"/>
      <c r="TFA44" s="83"/>
      <c r="TFB44" s="83"/>
      <c r="TFC44" s="83"/>
      <c r="TFD44" s="83"/>
      <c r="TFE44" s="83"/>
      <c r="TFF44" s="83"/>
      <c r="TFG44" s="83"/>
      <c r="TFH44" s="83"/>
      <c r="TFI44" s="83"/>
      <c r="TFJ44" s="83"/>
      <c r="TFK44" s="83"/>
      <c r="TFL44" s="83"/>
      <c r="TFM44" s="83"/>
      <c r="TFN44" s="83"/>
      <c r="TFO44" s="83"/>
      <c r="TFP44" s="83"/>
      <c r="TFQ44" s="83"/>
      <c r="TFR44" s="83"/>
      <c r="TFS44" s="83"/>
      <c r="TFT44" s="83"/>
      <c r="TFU44" s="83"/>
      <c r="TFV44" s="83"/>
      <c r="TFW44" s="83"/>
      <c r="TFX44" s="83"/>
      <c r="TFY44" s="83"/>
      <c r="TFZ44" s="83"/>
      <c r="TGA44" s="83"/>
      <c r="TGB44" s="83"/>
      <c r="TGC44" s="83"/>
      <c r="TGD44" s="83"/>
      <c r="TGE44" s="83"/>
      <c r="TGF44" s="83"/>
      <c r="TGG44" s="83"/>
      <c r="TGH44" s="83"/>
      <c r="TGI44" s="83"/>
      <c r="TGJ44" s="83"/>
      <c r="TGK44" s="83"/>
      <c r="TGL44" s="83"/>
      <c r="TGM44" s="83"/>
      <c r="TGN44" s="83"/>
      <c r="TGO44" s="83"/>
      <c r="TGP44" s="83"/>
      <c r="TGQ44" s="83"/>
      <c r="TGR44" s="83"/>
      <c r="TGS44" s="83"/>
      <c r="TGT44" s="83"/>
      <c r="TGU44" s="83"/>
      <c r="TGV44" s="83"/>
      <c r="TGW44" s="83"/>
      <c r="TGX44" s="83"/>
      <c r="TGY44" s="83"/>
      <c r="TGZ44" s="83"/>
      <c r="THA44" s="83"/>
      <c r="THB44" s="83"/>
      <c r="THC44" s="83"/>
      <c r="THD44" s="83"/>
      <c r="THE44" s="83"/>
      <c r="THF44" s="83"/>
      <c r="THG44" s="83"/>
      <c r="THH44" s="83"/>
      <c r="THI44" s="83"/>
      <c r="THJ44" s="83"/>
      <c r="THK44" s="83"/>
      <c r="THL44" s="83"/>
      <c r="THM44" s="83"/>
      <c r="THN44" s="83"/>
      <c r="THO44" s="83"/>
      <c r="THP44" s="83"/>
      <c r="THQ44" s="83"/>
      <c r="THR44" s="83"/>
      <c r="THS44" s="83"/>
      <c r="THT44" s="83"/>
      <c r="THU44" s="83"/>
      <c r="THV44" s="83"/>
      <c r="THW44" s="83"/>
      <c r="THX44" s="83"/>
      <c r="THY44" s="83"/>
      <c r="THZ44" s="83"/>
      <c r="TIA44" s="83"/>
      <c r="TIB44" s="83"/>
      <c r="TIC44" s="83"/>
      <c r="TID44" s="83"/>
      <c r="TIE44" s="83"/>
      <c r="TIF44" s="83"/>
      <c r="TIG44" s="83"/>
      <c r="TIH44" s="83"/>
      <c r="TII44" s="83"/>
      <c r="TIJ44" s="83"/>
      <c r="TIK44" s="83"/>
      <c r="TIL44" s="83"/>
      <c r="TIM44" s="83"/>
      <c r="TIN44" s="83"/>
      <c r="TIO44" s="83"/>
      <c r="TIP44" s="83"/>
      <c r="TIQ44" s="83"/>
      <c r="TIR44" s="83"/>
      <c r="TIS44" s="83"/>
      <c r="TIT44" s="83"/>
      <c r="TIU44" s="83"/>
      <c r="TIV44" s="83"/>
      <c r="TIW44" s="83"/>
      <c r="TIX44" s="83"/>
      <c r="TIY44" s="83"/>
      <c r="TIZ44" s="83"/>
      <c r="TJA44" s="83"/>
      <c r="TJB44" s="83"/>
      <c r="TJC44" s="83"/>
      <c r="TJD44" s="83"/>
      <c r="TJE44" s="83"/>
      <c r="TJF44" s="83"/>
      <c r="TJG44" s="83"/>
      <c r="TJH44" s="83"/>
      <c r="TJI44" s="83"/>
      <c r="TJJ44" s="83"/>
      <c r="TJK44" s="83"/>
      <c r="TJL44" s="83"/>
      <c r="TJM44" s="83"/>
      <c r="TJN44" s="83"/>
      <c r="TJO44" s="83"/>
      <c r="TJP44" s="83"/>
      <c r="TJQ44" s="83"/>
      <c r="TJR44" s="83"/>
      <c r="TJS44" s="83"/>
      <c r="TJT44" s="83"/>
      <c r="TJU44" s="83"/>
      <c r="TJV44" s="83"/>
      <c r="TJW44" s="83"/>
      <c r="TJX44" s="83"/>
      <c r="TJY44" s="83"/>
      <c r="TJZ44" s="83"/>
      <c r="TKA44" s="83"/>
      <c r="TKB44" s="83"/>
      <c r="TKC44" s="83"/>
      <c r="TKD44" s="83"/>
      <c r="TKE44" s="83"/>
      <c r="TKF44" s="83"/>
      <c r="TKG44" s="83"/>
      <c r="TKH44" s="83"/>
      <c r="TKI44" s="83"/>
      <c r="TKJ44" s="83"/>
      <c r="TKK44" s="83"/>
      <c r="TKL44" s="83"/>
      <c r="TKM44" s="83"/>
      <c r="TKN44" s="83"/>
      <c r="TKO44" s="83"/>
      <c r="TKP44" s="83"/>
      <c r="TKQ44" s="83"/>
      <c r="TKR44" s="83"/>
      <c r="TKS44" s="83"/>
      <c r="TKT44" s="83"/>
      <c r="TKU44" s="83"/>
      <c r="TKV44" s="83"/>
      <c r="TKW44" s="83"/>
      <c r="TKX44" s="83"/>
      <c r="TKY44" s="83"/>
      <c r="TKZ44" s="83"/>
      <c r="TLA44" s="83"/>
      <c r="TLB44" s="83"/>
      <c r="TLC44" s="83"/>
      <c r="TLD44" s="83"/>
      <c r="TLE44" s="83"/>
      <c r="TLF44" s="83"/>
      <c r="TLG44" s="83"/>
      <c r="TLH44" s="83"/>
      <c r="TLI44" s="83"/>
      <c r="TLJ44" s="83"/>
      <c r="TLK44" s="83"/>
      <c r="TLL44" s="83"/>
      <c r="TLM44" s="83"/>
      <c r="TLN44" s="83"/>
      <c r="TLO44" s="83"/>
      <c r="TLP44" s="83"/>
      <c r="TLQ44" s="83"/>
      <c r="TLR44" s="83"/>
      <c r="TLS44" s="83"/>
      <c r="TLT44" s="83"/>
      <c r="TLU44" s="83"/>
      <c r="TLV44" s="83"/>
      <c r="TLW44" s="83"/>
      <c r="TLX44" s="83"/>
      <c r="TLY44" s="83"/>
      <c r="TLZ44" s="83"/>
      <c r="TMA44" s="83"/>
      <c r="TMB44" s="83"/>
      <c r="TMC44" s="83"/>
      <c r="TMD44" s="83"/>
      <c r="TME44" s="83"/>
      <c r="TMF44" s="83"/>
      <c r="TMG44" s="83"/>
      <c r="TMH44" s="83"/>
      <c r="TMI44" s="83"/>
      <c r="TMJ44" s="83"/>
      <c r="TMK44" s="83"/>
      <c r="TML44" s="83"/>
      <c r="TMM44" s="83"/>
      <c r="TMN44" s="83"/>
      <c r="TMO44" s="83"/>
      <c r="TMP44" s="83"/>
      <c r="TMQ44" s="83"/>
      <c r="TMR44" s="83"/>
      <c r="TMS44" s="83"/>
      <c r="TMT44" s="83"/>
      <c r="TMU44" s="83"/>
      <c r="TMV44" s="83"/>
      <c r="TMW44" s="83"/>
      <c r="TMX44" s="83"/>
      <c r="TMY44" s="83"/>
      <c r="TMZ44" s="83"/>
      <c r="TNA44" s="83"/>
      <c r="TNB44" s="83"/>
      <c r="TNC44" s="83"/>
      <c r="TND44" s="83"/>
      <c r="TNE44" s="83"/>
      <c r="TNF44" s="83"/>
      <c r="TNG44" s="83"/>
      <c r="TNH44" s="83"/>
      <c r="TNI44" s="83"/>
      <c r="TNJ44" s="83"/>
      <c r="TNK44" s="83"/>
      <c r="TNL44" s="83"/>
      <c r="TNM44" s="83"/>
      <c r="TNN44" s="83"/>
      <c r="TNO44" s="83"/>
      <c r="TNP44" s="83"/>
      <c r="TNQ44" s="83"/>
      <c r="TNR44" s="83"/>
      <c r="TNS44" s="83"/>
      <c r="TNT44" s="83"/>
      <c r="TNU44" s="83"/>
      <c r="TNV44" s="83"/>
      <c r="TNW44" s="83"/>
      <c r="TNX44" s="83"/>
      <c r="TNY44" s="83"/>
      <c r="TNZ44" s="83"/>
      <c r="TOA44" s="83"/>
      <c r="TOB44" s="83"/>
      <c r="TOC44" s="83"/>
      <c r="TOD44" s="83"/>
      <c r="TOE44" s="83"/>
      <c r="TOF44" s="83"/>
      <c r="TOG44" s="83"/>
      <c r="TOH44" s="83"/>
      <c r="TOI44" s="83"/>
      <c r="TOJ44" s="83"/>
      <c r="TOK44" s="83"/>
      <c r="TOL44" s="83"/>
      <c r="TOM44" s="83"/>
      <c r="TON44" s="83"/>
      <c r="TOO44" s="83"/>
      <c r="TOP44" s="83"/>
      <c r="TOQ44" s="83"/>
      <c r="TOR44" s="83"/>
      <c r="TOS44" s="83"/>
      <c r="TOT44" s="83"/>
      <c r="TOU44" s="83"/>
      <c r="TOV44" s="83"/>
      <c r="TOW44" s="83"/>
      <c r="TOX44" s="83"/>
      <c r="TOY44" s="83"/>
      <c r="TOZ44" s="83"/>
      <c r="TPA44" s="83"/>
      <c r="TPB44" s="83"/>
      <c r="TPC44" s="83"/>
      <c r="TPD44" s="83"/>
      <c r="TPE44" s="83"/>
      <c r="TPF44" s="83"/>
      <c r="TPG44" s="83"/>
      <c r="TPH44" s="83"/>
      <c r="TPI44" s="83"/>
      <c r="TPJ44" s="83"/>
      <c r="TPK44" s="83"/>
      <c r="TPL44" s="83"/>
      <c r="TPM44" s="83"/>
      <c r="TPN44" s="83"/>
      <c r="TPO44" s="83"/>
      <c r="TPP44" s="83"/>
      <c r="TPQ44" s="83"/>
      <c r="TPR44" s="83"/>
      <c r="TPS44" s="83"/>
      <c r="TPT44" s="83"/>
      <c r="TPU44" s="83"/>
      <c r="TPV44" s="83"/>
      <c r="TPW44" s="83"/>
      <c r="TPX44" s="83"/>
      <c r="TPY44" s="83"/>
      <c r="TPZ44" s="83"/>
      <c r="TQA44" s="83"/>
      <c r="TQB44" s="83"/>
      <c r="TQC44" s="83"/>
      <c r="TQD44" s="83"/>
      <c r="TQE44" s="83"/>
      <c r="TQF44" s="83"/>
      <c r="TQG44" s="83"/>
      <c r="TQH44" s="83"/>
      <c r="TQI44" s="83"/>
      <c r="TQJ44" s="83"/>
      <c r="TQK44" s="83"/>
      <c r="TQL44" s="83"/>
      <c r="TQM44" s="83"/>
      <c r="TQN44" s="83"/>
      <c r="TQO44" s="83"/>
      <c r="TQP44" s="83"/>
      <c r="TQQ44" s="83"/>
      <c r="TQR44" s="83"/>
      <c r="TQS44" s="83"/>
      <c r="TQT44" s="83"/>
      <c r="TQU44" s="83"/>
      <c r="TQV44" s="83"/>
      <c r="TQW44" s="83"/>
      <c r="TQX44" s="83"/>
      <c r="TQY44" s="83"/>
      <c r="TQZ44" s="83"/>
      <c r="TRA44" s="83"/>
      <c r="TRB44" s="83"/>
      <c r="TRC44" s="83"/>
      <c r="TRD44" s="83"/>
      <c r="TRE44" s="83"/>
      <c r="TRF44" s="83"/>
      <c r="TRG44" s="83"/>
      <c r="TRH44" s="83"/>
      <c r="TRI44" s="83"/>
      <c r="TRJ44" s="83"/>
      <c r="TRK44" s="83"/>
      <c r="TRL44" s="83"/>
      <c r="TRM44" s="83"/>
      <c r="TRN44" s="83"/>
      <c r="TRO44" s="83"/>
      <c r="TRP44" s="83"/>
      <c r="TRQ44" s="83"/>
      <c r="TRR44" s="83"/>
      <c r="TRS44" s="83"/>
      <c r="TRT44" s="83"/>
      <c r="TRU44" s="83"/>
      <c r="TRV44" s="83"/>
      <c r="TRW44" s="83"/>
      <c r="TRX44" s="83"/>
      <c r="TRY44" s="83"/>
      <c r="TRZ44" s="83"/>
      <c r="TSA44" s="83"/>
      <c r="TSB44" s="83"/>
      <c r="TSC44" s="83"/>
      <c r="TSD44" s="83"/>
      <c r="TSE44" s="83"/>
      <c r="TSF44" s="83"/>
      <c r="TSG44" s="83"/>
      <c r="TSH44" s="83"/>
      <c r="TSI44" s="83"/>
      <c r="TSJ44" s="83"/>
      <c r="TSK44" s="83"/>
      <c r="TSL44" s="83"/>
      <c r="TSM44" s="83"/>
      <c r="TSN44" s="83"/>
      <c r="TSO44" s="83"/>
      <c r="TSP44" s="83"/>
      <c r="TSQ44" s="83"/>
      <c r="TSR44" s="83"/>
      <c r="TSS44" s="83"/>
      <c r="TST44" s="83"/>
      <c r="TSU44" s="83"/>
      <c r="TSV44" s="83"/>
      <c r="TSW44" s="83"/>
      <c r="TSX44" s="83"/>
      <c r="TSY44" s="83"/>
      <c r="TSZ44" s="83"/>
      <c r="TTA44" s="83"/>
      <c r="TTB44" s="83"/>
      <c r="TTC44" s="83"/>
      <c r="TTD44" s="83"/>
      <c r="TTE44" s="83"/>
      <c r="TTF44" s="83"/>
      <c r="TTG44" s="83"/>
      <c r="TTH44" s="83"/>
      <c r="TTI44" s="83"/>
      <c r="TTJ44" s="83"/>
      <c r="TTK44" s="83"/>
      <c r="TTL44" s="83"/>
      <c r="TTM44" s="83"/>
      <c r="TTN44" s="83"/>
      <c r="TTO44" s="83"/>
      <c r="TTP44" s="83"/>
      <c r="TTQ44" s="83"/>
      <c r="TTR44" s="83"/>
      <c r="TTS44" s="83"/>
      <c r="TTT44" s="83"/>
      <c r="TTU44" s="83"/>
      <c r="TTV44" s="83"/>
      <c r="TTW44" s="83"/>
      <c r="TTX44" s="83"/>
      <c r="TTY44" s="83"/>
      <c r="TTZ44" s="83"/>
      <c r="TUA44" s="83"/>
      <c r="TUB44" s="83"/>
      <c r="TUC44" s="83"/>
      <c r="TUD44" s="83"/>
      <c r="TUE44" s="83"/>
      <c r="TUF44" s="83"/>
      <c r="TUG44" s="83"/>
      <c r="TUH44" s="83"/>
      <c r="TUI44" s="83"/>
      <c r="TUJ44" s="83"/>
      <c r="TUK44" s="83"/>
      <c r="TUL44" s="83"/>
      <c r="TUM44" s="83"/>
      <c r="TUN44" s="83"/>
      <c r="TUO44" s="83"/>
      <c r="TUP44" s="83"/>
      <c r="TUQ44" s="83"/>
      <c r="TUR44" s="83"/>
      <c r="TUS44" s="83"/>
      <c r="TUT44" s="83"/>
      <c r="TUU44" s="83"/>
      <c r="TUV44" s="83"/>
      <c r="TUW44" s="83"/>
      <c r="TUX44" s="83"/>
      <c r="TUY44" s="83"/>
      <c r="TUZ44" s="83"/>
      <c r="TVA44" s="83"/>
      <c r="TVB44" s="83"/>
      <c r="TVC44" s="83"/>
      <c r="TVD44" s="83"/>
      <c r="TVE44" s="83"/>
      <c r="TVF44" s="83"/>
      <c r="TVG44" s="83"/>
      <c r="TVH44" s="83"/>
      <c r="TVI44" s="83"/>
      <c r="TVJ44" s="83"/>
      <c r="TVK44" s="83"/>
      <c r="TVL44" s="83"/>
      <c r="TVM44" s="83"/>
      <c r="TVN44" s="83"/>
      <c r="TVO44" s="83"/>
      <c r="TVP44" s="83"/>
      <c r="TVQ44" s="83"/>
      <c r="TVR44" s="83"/>
      <c r="TVS44" s="83"/>
      <c r="TVT44" s="83"/>
      <c r="TVU44" s="83"/>
      <c r="TVV44" s="83"/>
      <c r="TVW44" s="83"/>
      <c r="TVX44" s="83"/>
      <c r="TVY44" s="83"/>
      <c r="TVZ44" s="83"/>
      <c r="TWA44" s="83"/>
      <c r="TWB44" s="83"/>
      <c r="TWC44" s="83"/>
      <c r="TWD44" s="83"/>
      <c r="TWE44" s="83"/>
      <c r="TWF44" s="83"/>
      <c r="TWG44" s="83"/>
      <c r="TWH44" s="83"/>
      <c r="TWI44" s="83"/>
      <c r="TWJ44" s="83"/>
      <c r="TWK44" s="83"/>
      <c r="TWL44" s="83"/>
      <c r="TWM44" s="83"/>
      <c r="TWN44" s="83"/>
      <c r="TWO44" s="83"/>
      <c r="TWP44" s="83"/>
      <c r="TWQ44" s="83"/>
      <c r="TWR44" s="83"/>
      <c r="TWS44" s="83"/>
      <c r="TWT44" s="83"/>
      <c r="TWU44" s="83"/>
      <c r="TWV44" s="83"/>
      <c r="TWW44" s="83"/>
      <c r="TWX44" s="83"/>
      <c r="TWY44" s="83"/>
      <c r="TWZ44" s="83"/>
      <c r="TXA44" s="83"/>
      <c r="TXB44" s="83"/>
      <c r="TXC44" s="83"/>
      <c r="TXD44" s="83"/>
      <c r="TXE44" s="83"/>
      <c r="TXF44" s="83"/>
      <c r="TXG44" s="83"/>
      <c r="TXH44" s="83"/>
      <c r="TXI44" s="83"/>
      <c r="TXJ44" s="83"/>
      <c r="TXK44" s="83"/>
      <c r="TXL44" s="83"/>
      <c r="TXM44" s="83"/>
      <c r="TXN44" s="83"/>
      <c r="TXO44" s="83"/>
      <c r="TXP44" s="83"/>
      <c r="TXQ44" s="83"/>
      <c r="TXR44" s="83"/>
      <c r="TXS44" s="83"/>
      <c r="TXT44" s="83"/>
      <c r="TXU44" s="83"/>
      <c r="TXV44" s="83"/>
      <c r="TXW44" s="83"/>
      <c r="TXX44" s="83"/>
      <c r="TXY44" s="83"/>
      <c r="TXZ44" s="83"/>
      <c r="TYA44" s="83"/>
      <c r="TYB44" s="83"/>
      <c r="TYC44" s="83"/>
      <c r="TYD44" s="83"/>
      <c r="TYE44" s="83"/>
      <c r="TYF44" s="83"/>
      <c r="TYG44" s="83"/>
      <c r="TYH44" s="83"/>
      <c r="TYI44" s="83"/>
      <c r="TYJ44" s="83"/>
      <c r="TYK44" s="83"/>
      <c r="TYL44" s="83"/>
      <c r="TYM44" s="83"/>
      <c r="TYN44" s="83"/>
      <c r="TYO44" s="83"/>
      <c r="TYP44" s="83"/>
      <c r="TYQ44" s="83"/>
      <c r="TYR44" s="83"/>
      <c r="TYS44" s="83"/>
      <c r="TYT44" s="83"/>
      <c r="TYU44" s="83"/>
      <c r="TYV44" s="83"/>
      <c r="TYW44" s="83"/>
      <c r="TYX44" s="83"/>
      <c r="TYY44" s="83"/>
      <c r="TYZ44" s="83"/>
      <c r="TZA44" s="83"/>
      <c r="TZB44" s="83"/>
      <c r="TZC44" s="83"/>
      <c r="TZD44" s="83"/>
      <c r="TZE44" s="83"/>
      <c r="TZF44" s="83"/>
      <c r="TZG44" s="83"/>
      <c r="TZH44" s="83"/>
      <c r="TZI44" s="83"/>
      <c r="TZJ44" s="83"/>
      <c r="TZK44" s="83"/>
      <c r="TZL44" s="83"/>
      <c r="TZM44" s="83"/>
      <c r="TZN44" s="83"/>
      <c r="TZO44" s="83"/>
      <c r="TZP44" s="83"/>
      <c r="TZQ44" s="83"/>
      <c r="TZR44" s="83"/>
      <c r="TZS44" s="83"/>
      <c r="TZT44" s="83"/>
      <c r="TZU44" s="83"/>
      <c r="TZV44" s="83"/>
      <c r="TZW44" s="83"/>
      <c r="TZX44" s="83"/>
      <c r="TZY44" s="83"/>
      <c r="TZZ44" s="83"/>
      <c r="UAA44" s="83"/>
      <c r="UAB44" s="83"/>
      <c r="UAC44" s="83"/>
      <c r="UAD44" s="83"/>
      <c r="UAE44" s="83"/>
      <c r="UAF44" s="83"/>
      <c r="UAG44" s="83"/>
      <c r="UAH44" s="83"/>
      <c r="UAI44" s="83"/>
      <c r="UAJ44" s="83"/>
      <c r="UAK44" s="83"/>
      <c r="UAL44" s="83"/>
      <c r="UAM44" s="83"/>
      <c r="UAN44" s="83"/>
      <c r="UAO44" s="83"/>
      <c r="UAP44" s="83"/>
      <c r="UAQ44" s="83"/>
      <c r="UAR44" s="83"/>
      <c r="UAS44" s="83"/>
      <c r="UAT44" s="83"/>
      <c r="UAU44" s="83"/>
      <c r="UAV44" s="83"/>
      <c r="UAW44" s="83"/>
      <c r="UAX44" s="83"/>
      <c r="UAY44" s="83"/>
      <c r="UAZ44" s="83"/>
      <c r="UBA44" s="83"/>
      <c r="UBB44" s="83"/>
      <c r="UBC44" s="83"/>
      <c r="UBD44" s="83"/>
      <c r="UBE44" s="83"/>
      <c r="UBF44" s="83"/>
      <c r="UBG44" s="83"/>
      <c r="UBH44" s="83"/>
      <c r="UBI44" s="83"/>
      <c r="UBJ44" s="83"/>
      <c r="UBK44" s="83"/>
      <c r="UBL44" s="83"/>
      <c r="UBM44" s="83"/>
      <c r="UBN44" s="83"/>
      <c r="UBO44" s="83"/>
      <c r="UBP44" s="83"/>
      <c r="UBQ44" s="83"/>
      <c r="UBR44" s="83"/>
      <c r="UBS44" s="83"/>
      <c r="UBT44" s="83"/>
      <c r="UBU44" s="83"/>
      <c r="UBV44" s="83"/>
      <c r="UBW44" s="83"/>
      <c r="UBX44" s="83"/>
      <c r="UBY44" s="83"/>
      <c r="UBZ44" s="83"/>
      <c r="UCA44" s="83"/>
      <c r="UCB44" s="83"/>
      <c r="UCC44" s="83"/>
      <c r="UCD44" s="83"/>
      <c r="UCE44" s="83"/>
      <c r="UCF44" s="83"/>
      <c r="UCG44" s="83"/>
      <c r="UCH44" s="83"/>
      <c r="UCI44" s="83"/>
      <c r="UCJ44" s="83"/>
      <c r="UCK44" s="83"/>
      <c r="UCL44" s="83"/>
      <c r="UCM44" s="83"/>
      <c r="UCN44" s="83"/>
      <c r="UCO44" s="83"/>
      <c r="UCP44" s="83"/>
      <c r="UCQ44" s="83"/>
      <c r="UCR44" s="83"/>
      <c r="UCS44" s="83"/>
      <c r="UCT44" s="83"/>
      <c r="UCU44" s="83"/>
      <c r="UCV44" s="83"/>
      <c r="UCW44" s="83"/>
      <c r="UCX44" s="83"/>
      <c r="UCY44" s="83"/>
      <c r="UCZ44" s="83"/>
      <c r="UDA44" s="83"/>
      <c r="UDB44" s="83"/>
      <c r="UDC44" s="83"/>
      <c r="UDD44" s="83"/>
      <c r="UDE44" s="83"/>
      <c r="UDF44" s="83"/>
      <c r="UDG44" s="83"/>
      <c r="UDH44" s="83"/>
      <c r="UDI44" s="83"/>
      <c r="UDJ44" s="83"/>
      <c r="UDK44" s="83"/>
      <c r="UDL44" s="83"/>
      <c r="UDM44" s="83"/>
      <c r="UDN44" s="83"/>
      <c r="UDO44" s="83"/>
      <c r="UDP44" s="83"/>
      <c r="UDQ44" s="83"/>
      <c r="UDR44" s="83"/>
      <c r="UDS44" s="83"/>
      <c r="UDT44" s="83"/>
      <c r="UDU44" s="83"/>
      <c r="UDV44" s="83"/>
      <c r="UDW44" s="83"/>
      <c r="UDX44" s="83"/>
      <c r="UDY44" s="83"/>
      <c r="UDZ44" s="83"/>
      <c r="UEA44" s="83"/>
      <c r="UEB44" s="83"/>
      <c r="UEC44" s="83"/>
      <c r="UED44" s="83"/>
      <c r="UEE44" s="83"/>
      <c r="UEF44" s="83"/>
      <c r="UEG44" s="83"/>
      <c r="UEH44" s="83"/>
      <c r="UEI44" s="83"/>
      <c r="UEJ44" s="83"/>
      <c r="UEK44" s="83"/>
      <c r="UEL44" s="83"/>
      <c r="UEM44" s="83"/>
      <c r="UEN44" s="83"/>
      <c r="UEO44" s="83"/>
      <c r="UEP44" s="83"/>
      <c r="UEQ44" s="83"/>
      <c r="UER44" s="83"/>
      <c r="UES44" s="83"/>
      <c r="UET44" s="83"/>
      <c r="UEU44" s="83"/>
      <c r="UEV44" s="83"/>
      <c r="UEW44" s="83"/>
      <c r="UEX44" s="83"/>
      <c r="UEY44" s="83"/>
      <c r="UEZ44" s="83"/>
      <c r="UFA44" s="83"/>
      <c r="UFB44" s="83"/>
      <c r="UFC44" s="83"/>
      <c r="UFD44" s="83"/>
      <c r="UFE44" s="83"/>
      <c r="UFF44" s="83"/>
      <c r="UFG44" s="83"/>
      <c r="UFH44" s="83"/>
      <c r="UFI44" s="83"/>
      <c r="UFJ44" s="83"/>
      <c r="UFK44" s="83"/>
      <c r="UFL44" s="83"/>
      <c r="UFM44" s="83"/>
      <c r="UFN44" s="83"/>
      <c r="UFO44" s="83"/>
      <c r="UFP44" s="83"/>
      <c r="UFQ44" s="83"/>
      <c r="UFR44" s="83"/>
      <c r="UFS44" s="83"/>
      <c r="UFT44" s="83"/>
      <c r="UFU44" s="83"/>
      <c r="UFV44" s="83"/>
      <c r="UFW44" s="83"/>
      <c r="UFX44" s="83"/>
      <c r="UFY44" s="83"/>
      <c r="UFZ44" s="83"/>
      <c r="UGA44" s="83"/>
      <c r="UGB44" s="83"/>
      <c r="UGC44" s="83"/>
      <c r="UGD44" s="83"/>
      <c r="UGE44" s="83"/>
      <c r="UGF44" s="83"/>
      <c r="UGG44" s="83"/>
      <c r="UGH44" s="83"/>
      <c r="UGI44" s="83"/>
      <c r="UGJ44" s="83"/>
      <c r="UGK44" s="83"/>
      <c r="UGL44" s="83"/>
      <c r="UGM44" s="83"/>
      <c r="UGN44" s="83"/>
      <c r="UGO44" s="83"/>
      <c r="UGP44" s="83"/>
      <c r="UGQ44" s="83"/>
      <c r="UGR44" s="83"/>
      <c r="UGS44" s="83"/>
      <c r="UGT44" s="83"/>
      <c r="UGU44" s="83"/>
      <c r="UGV44" s="83"/>
      <c r="UGW44" s="83"/>
      <c r="UGX44" s="83"/>
      <c r="UGY44" s="83"/>
      <c r="UGZ44" s="83"/>
      <c r="UHA44" s="83"/>
      <c r="UHB44" s="83"/>
      <c r="UHC44" s="83"/>
      <c r="UHD44" s="83"/>
      <c r="UHE44" s="83"/>
      <c r="UHF44" s="83"/>
      <c r="UHG44" s="83"/>
      <c r="UHH44" s="83"/>
      <c r="UHI44" s="83"/>
      <c r="UHJ44" s="83"/>
      <c r="UHK44" s="83"/>
      <c r="UHL44" s="83"/>
      <c r="UHM44" s="83"/>
      <c r="UHN44" s="83"/>
      <c r="UHO44" s="83"/>
      <c r="UHP44" s="83"/>
      <c r="UHQ44" s="83"/>
      <c r="UHR44" s="83"/>
      <c r="UHS44" s="83"/>
      <c r="UHT44" s="83"/>
      <c r="UHU44" s="83"/>
      <c r="UHV44" s="83"/>
      <c r="UHW44" s="83"/>
      <c r="UHX44" s="83"/>
      <c r="UHY44" s="83"/>
      <c r="UHZ44" s="83"/>
      <c r="UIA44" s="83"/>
      <c r="UIB44" s="83"/>
      <c r="UIC44" s="83"/>
      <c r="UID44" s="83"/>
      <c r="UIE44" s="83"/>
      <c r="UIF44" s="83"/>
      <c r="UIG44" s="83"/>
      <c r="UIH44" s="83"/>
      <c r="UII44" s="83"/>
      <c r="UIJ44" s="83"/>
      <c r="UIK44" s="83"/>
      <c r="UIL44" s="83"/>
      <c r="UIM44" s="83"/>
      <c r="UIN44" s="83"/>
      <c r="UIO44" s="83"/>
      <c r="UIP44" s="83"/>
      <c r="UIQ44" s="83"/>
      <c r="UIR44" s="83"/>
      <c r="UIS44" s="83"/>
      <c r="UIT44" s="83"/>
      <c r="UIU44" s="83"/>
      <c r="UIV44" s="83"/>
      <c r="UIW44" s="83"/>
      <c r="UIX44" s="83"/>
      <c r="UIY44" s="83"/>
      <c r="UIZ44" s="83"/>
      <c r="UJA44" s="83"/>
      <c r="UJB44" s="83"/>
      <c r="UJC44" s="83"/>
      <c r="UJD44" s="83"/>
      <c r="UJE44" s="83"/>
      <c r="UJF44" s="83"/>
      <c r="UJG44" s="83"/>
      <c r="UJH44" s="83"/>
      <c r="UJI44" s="83"/>
      <c r="UJJ44" s="83"/>
      <c r="UJK44" s="83"/>
      <c r="UJL44" s="83"/>
      <c r="UJM44" s="83"/>
      <c r="UJN44" s="83"/>
      <c r="UJO44" s="83"/>
      <c r="UJP44" s="83"/>
      <c r="UJQ44" s="83"/>
      <c r="UJR44" s="83"/>
      <c r="UJS44" s="83"/>
      <c r="UJT44" s="83"/>
      <c r="UJU44" s="83"/>
      <c r="UJV44" s="83"/>
      <c r="UJW44" s="83"/>
      <c r="UJX44" s="83"/>
      <c r="UJY44" s="83"/>
      <c r="UJZ44" s="83"/>
      <c r="UKA44" s="83"/>
      <c r="UKB44" s="83"/>
      <c r="UKC44" s="83"/>
      <c r="UKD44" s="83"/>
      <c r="UKE44" s="83"/>
      <c r="UKF44" s="83"/>
      <c r="UKG44" s="83"/>
      <c r="UKH44" s="83"/>
      <c r="UKI44" s="83"/>
      <c r="UKJ44" s="83"/>
      <c r="UKK44" s="83"/>
      <c r="UKL44" s="83"/>
      <c r="UKM44" s="83"/>
      <c r="UKN44" s="83"/>
      <c r="UKO44" s="83"/>
      <c r="UKP44" s="83"/>
      <c r="UKQ44" s="83"/>
      <c r="UKR44" s="83"/>
      <c r="UKS44" s="83"/>
      <c r="UKT44" s="83"/>
      <c r="UKU44" s="83"/>
      <c r="UKV44" s="83"/>
      <c r="UKW44" s="83"/>
      <c r="UKX44" s="83"/>
      <c r="UKY44" s="83"/>
      <c r="UKZ44" s="83"/>
      <c r="ULA44" s="83"/>
      <c r="ULB44" s="83"/>
      <c r="ULC44" s="83"/>
      <c r="ULD44" s="83"/>
      <c r="ULE44" s="83"/>
      <c r="ULF44" s="83"/>
      <c r="ULG44" s="83"/>
      <c r="ULH44" s="83"/>
      <c r="ULI44" s="83"/>
      <c r="ULJ44" s="83"/>
      <c r="ULK44" s="83"/>
      <c r="ULL44" s="83"/>
      <c r="ULM44" s="83"/>
      <c r="ULN44" s="83"/>
      <c r="ULO44" s="83"/>
      <c r="ULP44" s="83"/>
      <c r="ULQ44" s="83"/>
      <c r="ULR44" s="83"/>
      <c r="ULS44" s="83"/>
      <c r="ULT44" s="83"/>
      <c r="ULU44" s="83"/>
      <c r="ULV44" s="83"/>
      <c r="ULW44" s="83"/>
      <c r="ULX44" s="83"/>
      <c r="ULY44" s="83"/>
      <c r="ULZ44" s="83"/>
      <c r="UMA44" s="83"/>
      <c r="UMB44" s="83"/>
      <c r="UMC44" s="83"/>
      <c r="UMD44" s="83"/>
      <c r="UME44" s="83"/>
      <c r="UMF44" s="83"/>
      <c r="UMG44" s="83"/>
      <c r="UMH44" s="83"/>
      <c r="UMI44" s="83"/>
      <c r="UMJ44" s="83"/>
      <c r="UMK44" s="83"/>
      <c r="UML44" s="83"/>
      <c r="UMM44" s="83"/>
      <c r="UMN44" s="83"/>
      <c r="UMO44" s="83"/>
      <c r="UMP44" s="83"/>
      <c r="UMQ44" s="83"/>
      <c r="UMR44" s="83"/>
      <c r="UMS44" s="83"/>
      <c r="UMT44" s="83"/>
      <c r="UMU44" s="83"/>
      <c r="UMV44" s="83"/>
      <c r="UMW44" s="83"/>
      <c r="UMX44" s="83"/>
      <c r="UMY44" s="83"/>
      <c r="UMZ44" s="83"/>
      <c r="UNA44" s="83"/>
      <c r="UNB44" s="83"/>
      <c r="UNC44" s="83"/>
      <c r="UND44" s="83"/>
      <c r="UNE44" s="83"/>
      <c r="UNF44" s="83"/>
      <c r="UNG44" s="83"/>
      <c r="UNH44" s="83"/>
      <c r="UNI44" s="83"/>
      <c r="UNJ44" s="83"/>
      <c r="UNK44" s="83"/>
      <c r="UNL44" s="83"/>
      <c r="UNM44" s="83"/>
      <c r="UNN44" s="83"/>
      <c r="UNO44" s="83"/>
      <c r="UNP44" s="83"/>
      <c r="UNQ44" s="83"/>
      <c r="UNR44" s="83"/>
      <c r="UNS44" s="83"/>
      <c r="UNT44" s="83"/>
      <c r="UNU44" s="83"/>
      <c r="UNV44" s="83"/>
      <c r="UNW44" s="83"/>
      <c r="UNX44" s="83"/>
      <c r="UNY44" s="83"/>
      <c r="UNZ44" s="83"/>
      <c r="UOA44" s="83"/>
      <c r="UOB44" s="83"/>
      <c r="UOC44" s="83"/>
      <c r="UOD44" s="83"/>
      <c r="UOE44" s="83"/>
      <c r="UOF44" s="83"/>
      <c r="UOG44" s="83"/>
      <c r="UOH44" s="83"/>
      <c r="UOI44" s="83"/>
      <c r="UOJ44" s="83"/>
      <c r="UOK44" s="83"/>
      <c r="UOL44" s="83"/>
      <c r="UOM44" s="83"/>
      <c r="UON44" s="83"/>
      <c r="UOO44" s="83"/>
      <c r="UOP44" s="83"/>
      <c r="UOQ44" s="83"/>
      <c r="UOR44" s="83"/>
      <c r="UOS44" s="83"/>
      <c r="UOT44" s="83"/>
      <c r="UOU44" s="83"/>
      <c r="UOV44" s="83"/>
      <c r="UOW44" s="83"/>
      <c r="UOX44" s="83"/>
      <c r="UOY44" s="83"/>
      <c r="UOZ44" s="83"/>
      <c r="UPA44" s="83"/>
      <c r="UPB44" s="83"/>
      <c r="UPC44" s="83"/>
      <c r="UPD44" s="83"/>
      <c r="UPE44" s="83"/>
      <c r="UPF44" s="83"/>
      <c r="UPG44" s="83"/>
      <c r="UPH44" s="83"/>
      <c r="UPI44" s="83"/>
      <c r="UPJ44" s="83"/>
      <c r="UPK44" s="83"/>
      <c r="UPL44" s="83"/>
      <c r="UPM44" s="83"/>
      <c r="UPN44" s="83"/>
      <c r="UPO44" s="83"/>
      <c r="UPP44" s="83"/>
      <c r="UPQ44" s="83"/>
      <c r="UPR44" s="83"/>
      <c r="UPS44" s="83"/>
      <c r="UPT44" s="83"/>
      <c r="UPU44" s="83"/>
      <c r="UPV44" s="83"/>
      <c r="UPW44" s="83"/>
      <c r="UPX44" s="83"/>
      <c r="UPY44" s="83"/>
      <c r="UPZ44" s="83"/>
      <c r="UQA44" s="83"/>
      <c r="UQB44" s="83"/>
      <c r="UQC44" s="83"/>
      <c r="UQD44" s="83"/>
      <c r="UQE44" s="83"/>
      <c r="UQF44" s="83"/>
      <c r="UQG44" s="83"/>
      <c r="UQH44" s="83"/>
      <c r="UQI44" s="83"/>
      <c r="UQJ44" s="83"/>
      <c r="UQK44" s="83"/>
      <c r="UQL44" s="83"/>
      <c r="UQM44" s="83"/>
      <c r="UQN44" s="83"/>
      <c r="UQO44" s="83"/>
      <c r="UQP44" s="83"/>
      <c r="UQQ44" s="83"/>
      <c r="UQR44" s="83"/>
      <c r="UQS44" s="83"/>
      <c r="UQT44" s="83"/>
      <c r="UQU44" s="83"/>
      <c r="UQV44" s="83"/>
      <c r="UQW44" s="83"/>
      <c r="UQX44" s="83"/>
      <c r="UQY44" s="83"/>
      <c r="UQZ44" s="83"/>
      <c r="URA44" s="83"/>
      <c r="URB44" s="83"/>
      <c r="URC44" s="83"/>
      <c r="URD44" s="83"/>
      <c r="URE44" s="83"/>
      <c r="URF44" s="83"/>
      <c r="URG44" s="83"/>
      <c r="URH44" s="83"/>
      <c r="URI44" s="83"/>
      <c r="URJ44" s="83"/>
      <c r="URK44" s="83"/>
      <c r="URL44" s="83"/>
      <c r="URM44" s="83"/>
      <c r="URN44" s="83"/>
      <c r="URO44" s="83"/>
      <c r="URP44" s="83"/>
      <c r="URQ44" s="83"/>
      <c r="URR44" s="83"/>
      <c r="URS44" s="83"/>
      <c r="URT44" s="83"/>
      <c r="URU44" s="83"/>
      <c r="URV44" s="83"/>
      <c r="URW44" s="83"/>
      <c r="URX44" s="83"/>
      <c r="URY44" s="83"/>
      <c r="URZ44" s="83"/>
      <c r="USA44" s="83"/>
      <c r="USB44" s="83"/>
      <c r="USC44" s="83"/>
      <c r="USD44" s="83"/>
      <c r="USE44" s="83"/>
      <c r="USF44" s="83"/>
      <c r="USG44" s="83"/>
      <c r="USH44" s="83"/>
      <c r="USI44" s="83"/>
      <c r="USJ44" s="83"/>
      <c r="USK44" s="83"/>
      <c r="USL44" s="83"/>
      <c r="USM44" s="83"/>
      <c r="USN44" s="83"/>
      <c r="USO44" s="83"/>
      <c r="USP44" s="83"/>
      <c r="USQ44" s="83"/>
      <c r="USR44" s="83"/>
      <c r="USS44" s="83"/>
      <c r="UST44" s="83"/>
      <c r="USU44" s="83"/>
      <c r="USV44" s="83"/>
      <c r="USW44" s="83"/>
      <c r="USX44" s="83"/>
      <c r="USY44" s="83"/>
      <c r="USZ44" s="83"/>
      <c r="UTA44" s="83"/>
      <c r="UTB44" s="83"/>
      <c r="UTC44" s="83"/>
      <c r="UTD44" s="83"/>
      <c r="UTE44" s="83"/>
      <c r="UTF44" s="83"/>
      <c r="UTG44" s="83"/>
      <c r="UTH44" s="83"/>
      <c r="UTI44" s="83"/>
      <c r="UTJ44" s="83"/>
      <c r="UTK44" s="83"/>
      <c r="UTL44" s="83"/>
      <c r="UTM44" s="83"/>
      <c r="UTN44" s="83"/>
      <c r="UTO44" s="83"/>
      <c r="UTP44" s="83"/>
      <c r="UTQ44" s="83"/>
      <c r="UTR44" s="83"/>
      <c r="UTS44" s="83"/>
      <c r="UTT44" s="83"/>
      <c r="UTU44" s="83"/>
      <c r="UTV44" s="83"/>
      <c r="UTW44" s="83"/>
      <c r="UTX44" s="83"/>
      <c r="UTY44" s="83"/>
      <c r="UTZ44" s="83"/>
      <c r="UUA44" s="83"/>
      <c r="UUB44" s="83"/>
      <c r="UUC44" s="83"/>
      <c r="UUD44" s="83"/>
      <c r="UUE44" s="83"/>
      <c r="UUF44" s="83"/>
      <c r="UUG44" s="83"/>
      <c r="UUH44" s="83"/>
      <c r="UUI44" s="83"/>
      <c r="UUJ44" s="83"/>
      <c r="UUK44" s="83"/>
      <c r="UUL44" s="83"/>
      <c r="UUM44" s="83"/>
      <c r="UUN44" s="83"/>
      <c r="UUO44" s="83"/>
      <c r="UUP44" s="83"/>
      <c r="UUQ44" s="83"/>
      <c r="UUR44" s="83"/>
      <c r="UUS44" s="83"/>
      <c r="UUT44" s="83"/>
      <c r="UUU44" s="83"/>
      <c r="UUV44" s="83"/>
      <c r="UUW44" s="83"/>
      <c r="UUX44" s="83"/>
      <c r="UUY44" s="83"/>
      <c r="UUZ44" s="83"/>
      <c r="UVA44" s="83"/>
      <c r="UVB44" s="83"/>
      <c r="UVC44" s="83"/>
      <c r="UVD44" s="83"/>
      <c r="UVE44" s="83"/>
      <c r="UVF44" s="83"/>
      <c r="UVG44" s="83"/>
      <c r="UVH44" s="83"/>
      <c r="UVI44" s="83"/>
      <c r="UVJ44" s="83"/>
      <c r="UVK44" s="83"/>
      <c r="UVL44" s="83"/>
      <c r="UVM44" s="83"/>
      <c r="UVN44" s="83"/>
      <c r="UVO44" s="83"/>
      <c r="UVP44" s="83"/>
      <c r="UVQ44" s="83"/>
      <c r="UVR44" s="83"/>
      <c r="UVS44" s="83"/>
      <c r="UVT44" s="83"/>
      <c r="UVU44" s="83"/>
      <c r="UVV44" s="83"/>
      <c r="UVW44" s="83"/>
      <c r="UVX44" s="83"/>
      <c r="UVY44" s="83"/>
      <c r="UVZ44" s="83"/>
      <c r="UWA44" s="83"/>
      <c r="UWB44" s="83"/>
      <c r="UWC44" s="83"/>
      <c r="UWD44" s="83"/>
      <c r="UWE44" s="83"/>
      <c r="UWF44" s="83"/>
      <c r="UWG44" s="83"/>
      <c r="UWH44" s="83"/>
      <c r="UWI44" s="83"/>
      <c r="UWJ44" s="83"/>
      <c r="UWK44" s="83"/>
      <c r="UWL44" s="83"/>
      <c r="UWM44" s="83"/>
      <c r="UWN44" s="83"/>
      <c r="UWO44" s="83"/>
      <c r="UWP44" s="83"/>
      <c r="UWQ44" s="83"/>
      <c r="UWR44" s="83"/>
      <c r="UWS44" s="83"/>
      <c r="UWT44" s="83"/>
      <c r="UWU44" s="83"/>
      <c r="UWV44" s="83"/>
      <c r="UWW44" s="83"/>
      <c r="UWX44" s="83"/>
      <c r="UWY44" s="83"/>
      <c r="UWZ44" s="83"/>
      <c r="UXA44" s="83"/>
      <c r="UXB44" s="83"/>
      <c r="UXC44" s="83"/>
      <c r="UXD44" s="83"/>
      <c r="UXE44" s="83"/>
      <c r="UXF44" s="83"/>
      <c r="UXG44" s="83"/>
      <c r="UXH44" s="83"/>
      <c r="UXI44" s="83"/>
      <c r="UXJ44" s="83"/>
      <c r="UXK44" s="83"/>
      <c r="UXL44" s="83"/>
      <c r="UXM44" s="83"/>
      <c r="UXN44" s="83"/>
      <c r="UXO44" s="83"/>
      <c r="UXP44" s="83"/>
      <c r="UXQ44" s="83"/>
      <c r="UXR44" s="83"/>
      <c r="UXS44" s="83"/>
      <c r="UXT44" s="83"/>
      <c r="UXU44" s="83"/>
      <c r="UXV44" s="83"/>
      <c r="UXW44" s="83"/>
      <c r="UXX44" s="83"/>
      <c r="UXY44" s="83"/>
      <c r="UXZ44" s="83"/>
      <c r="UYA44" s="83"/>
      <c r="UYB44" s="83"/>
      <c r="UYC44" s="83"/>
      <c r="UYD44" s="83"/>
      <c r="UYE44" s="83"/>
      <c r="UYF44" s="83"/>
      <c r="UYG44" s="83"/>
      <c r="UYH44" s="83"/>
      <c r="UYI44" s="83"/>
      <c r="UYJ44" s="83"/>
      <c r="UYK44" s="83"/>
      <c r="UYL44" s="83"/>
      <c r="UYM44" s="83"/>
      <c r="UYN44" s="83"/>
      <c r="UYO44" s="83"/>
      <c r="UYP44" s="83"/>
      <c r="UYQ44" s="83"/>
      <c r="UYR44" s="83"/>
      <c r="UYS44" s="83"/>
      <c r="UYT44" s="83"/>
      <c r="UYU44" s="83"/>
      <c r="UYV44" s="83"/>
      <c r="UYW44" s="83"/>
      <c r="UYX44" s="83"/>
      <c r="UYY44" s="83"/>
      <c r="UYZ44" s="83"/>
      <c r="UZA44" s="83"/>
      <c r="UZB44" s="83"/>
      <c r="UZC44" s="83"/>
      <c r="UZD44" s="83"/>
      <c r="UZE44" s="83"/>
      <c r="UZF44" s="83"/>
      <c r="UZG44" s="83"/>
      <c r="UZH44" s="83"/>
      <c r="UZI44" s="83"/>
      <c r="UZJ44" s="83"/>
      <c r="UZK44" s="83"/>
      <c r="UZL44" s="83"/>
      <c r="UZM44" s="83"/>
      <c r="UZN44" s="83"/>
      <c r="UZO44" s="83"/>
      <c r="UZP44" s="83"/>
      <c r="UZQ44" s="83"/>
      <c r="UZR44" s="83"/>
      <c r="UZS44" s="83"/>
      <c r="UZT44" s="83"/>
      <c r="UZU44" s="83"/>
      <c r="UZV44" s="83"/>
      <c r="UZW44" s="83"/>
      <c r="UZX44" s="83"/>
      <c r="UZY44" s="83"/>
      <c r="UZZ44" s="83"/>
      <c r="VAA44" s="83"/>
      <c r="VAB44" s="83"/>
      <c r="VAC44" s="83"/>
      <c r="VAD44" s="83"/>
      <c r="VAE44" s="83"/>
      <c r="VAF44" s="83"/>
      <c r="VAG44" s="83"/>
      <c r="VAH44" s="83"/>
      <c r="VAI44" s="83"/>
      <c r="VAJ44" s="83"/>
      <c r="VAK44" s="83"/>
      <c r="VAL44" s="83"/>
      <c r="VAM44" s="83"/>
      <c r="VAN44" s="83"/>
      <c r="VAO44" s="83"/>
      <c r="VAP44" s="83"/>
      <c r="VAQ44" s="83"/>
      <c r="VAR44" s="83"/>
      <c r="VAS44" s="83"/>
      <c r="VAT44" s="83"/>
      <c r="VAU44" s="83"/>
      <c r="VAV44" s="83"/>
      <c r="VAW44" s="83"/>
      <c r="VAX44" s="83"/>
      <c r="VAY44" s="83"/>
      <c r="VAZ44" s="83"/>
      <c r="VBA44" s="83"/>
      <c r="VBB44" s="83"/>
      <c r="VBC44" s="83"/>
      <c r="VBD44" s="83"/>
      <c r="VBE44" s="83"/>
      <c r="VBF44" s="83"/>
      <c r="VBG44" s="83"/>
      <c r="VBH44" s="83"/>
      <c r="VBI44" s="83"/>
      <c r="VBJ44" s="83"/>
      <c r="VBK44" s="83"/>
      <c r="VBL44" s="83"/>
      <c r="VBM44" s="83"/>
      <c r="VBN44" s="83"/>
      <c r="VBO44" s="83"/>
      <c r="VBP44" s="83"/>
      <c r="VBQ44" s="83"/>
      <c r="VBR44" s="83"/>
      <c r="VBS44" s="83"/>
      <c r="VBT44" s="83"/>
      <c r="VBU44" s="83"/>
      <c r="VBV44" s="83"/>
      <c r="VBW44" s="83"/>
      <c r="VBX44" s="83"/>
      <c r="VBY44" s="83"/>
      <c r="VBZ44" s="83"/>
      <c r="VCA44" s="83"/>
      <c r="VCB44" s="83"/>
      <c r="VCC44" s="83"/>
      <c r="VCD44" s="83"/>
      <c r="VCE44" s="83"/>
      <c r="VCF44" s="83"/>
      <c r="VCG44" s="83"/>
      <c r="VCH44" s="83"/>
      <c r="VCI44" s="83"/>
      <c r="VCJ44" s="83"/>
      <c r="VCK44" s="83"/>
      <c r="VCL44" s="83"/>
      <c r="VCM44" s="83"/>
      <c r="VCN44" s="83"/>
      <c r="VCO44" s="83"/>
      <c r="VCP44" s="83"/>
      <c r="VCQ44" s="83"/>
      <c r="VCR44" s="83"/>
    </row>
    <row r="45" spans="1:14968" ht="15" customHeight="1" x14ac:dyDescent="0.25">
      <c r="B45" s="135"/>
      <c r="C45" s="194" t="s">
        <v>91</v>
      </c>
      <c r="D45" s="199">
        <f>SUM(D46:D47)</f>
        <v>0</v>
      </c>
      <c r="E45" s="195" t="s">
        <v>16</v>
      </c>
      <c r="F45" s="190">
        <f>SUM(F46:F47)</f>
        <v>0</v>
      </c>
      <c r="G45" s="190">
        <f t="shared" ref="G45:AI45" si="10">SUM(G46:G47)</f>
        <v>0</v>
      </c>
      <c r="H45" s="190">
        <f t="shared" si="10"/>
        <v>0</v>
      </c>
      <c r="I45" s="190">
        <f t="shared" si="10"/>
        <v>0</v>
      </c>
      <c r="J45" s="190">
        <f t="shared" si="10"/>
        <v>114200</v>
      </c>
      <c r="K45" s="190">
        <f t="shared" si="10"/>
        <v>0</v>
      </c>
      <c r="L45" s="190">
        <f t="shared" si="10"/>
        <v>0</v>
      </c>
      <c r="M45" s="190">
        <f t="shared" si="10"/>
        <v>0</v>
      </c>
      <c r="N45" s="190">
        <f t="shared" si="10"/>
        <v>0</v>
      </c>
      <c r="O45" s="190">
        <f t="shared" si="10"/>
        <v>0</v>
      </c>
      <c r="P45" s="190">
        <f t="shared" si="10"/>
        <v>0</v>
      </c>
      <c r="Q45" s="190">
        <f t="shared" si="10"/>
        <v>0</v>
      </c>
      <c r="R45" s="190">
        <f t="shared" si="10"/>
        <v>0</v>
      </c>
      <c r="S45" s="190">
        <f t="shared" si="10"/>
        <v>0</v>
      </c>
      <c r="T45" s="190">
        <f t="shared" si="10"/>
        <v>0</v>
      </c>
      <c r="U45" s="190">
        <f t="shared" si="10"/>
        <v>0</v>
      </c>
      <c r="V45" s="190">
        <f t="shared" si="10"/>
        <v>0</v>
      </c>
      <c r="W45" s="190">
        <f t="shared" si="10"/>
        <v>0</v>
      </c>
      <c r="X45" s="190">
        <f t="shared" si="10"/>
        <v>0</v>
      </c>
      <c r="Y45" s="190">
        <f t="shared" si="10"/>
        <v>0</v>
      </c>
      <c r="Z45" s="190">
        <f t="shared" si="10"/>
        <v>0</v>
      </c>
      <c r="AA45" s="190">
        <f t="shared" si="10"/>
        <v>0</v>
      </c>
      <c r="AB45" s="190">
        <f t="shared" si="10"/>
        <v>0</v>
      </c>
      <c r="AC45" s="190">
        <f t="shared" si="10"/>
        <v>0</v>
      </c>
      <c r="AD45" s="190">
        <f t="shared" si="10"/>
        <v>0</v>
      </c>
      <c r="AE45" s="190">
        <f t="shared" si="10"/>
        <v>0</v>
      </c>
      <c r="AF45" s="190">
        <f t="shared" si="10"/>
        <v>0</v>
      </c>
      <c r="AG45" s="190">
        <f t="shared" si="10"/>
        <v>0</v>
      </c>
      <c r="AH45" s="190">
        <f t="shared" si="10"/>
        <v>0</v>
      </c>
      <c r="AI45" s="190">
        <f t="shared" si="10"/>
        <v>0</v>
      </c>
      <c r="AJ45" s="10"/>
      <c r="AK45" s="50">
        <f>SUM(F45:AI45)</f>
        <v>114200</v>
      </c>
      <c r="AL45" s="40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BW45" s="40"/>
      <c r="BX45" s="40"/>
      <c r="DA45" s="40"/>
      <c r="EH45" s="87"/>
      <c r="EI45" s="30"/>
      <c r="EJ45" s="5"/>
      <c r="EK45" s="5"/>
      <c r="EL45" s="5"/>
      <c r="EM45" s="40"/>
      <c r="GP45" s="40"/>
      <c r="KK45" s="40"/>
      <c r="KL45" s="40"/>
      <c r="KM45" s="40"/>
      <c r="KN45" s="40"/>
      <c r="PR45" s="40"/>
      <c r="PS45" s="40"/>
      <c r="PT45" s="39"/>
      <c r="PU45" s="40"/>
      <c r="QI45" s="39">
        <f>SUM(QI42:QI43)</f>
        <v>40.247160000000001</v>
      </c>
      <c r="QM45" s="40"/>
      <c r="SP45" s="39"/>
      <c r="AHY45" s="5"/>
      <c r="AJN45" s="5"/>
      <c r="AJO45" s="5"/>
      <c r="AJP45" s="5"/>
    </row>
    <row r="46" spans="1:14968" ht="15" customHeight="1" x14ac:dyDescent="0.25">
      <c r="B46" s="135"/>
      <c r="C46" s="194" t="s">
        <v>95</v>
      </c>
      <c r="D46" s="199"/>
      <c r="E46" s="195" t="s">
        <v>16</v>
      </c>
      <c r="F46" s="190">
        <v>0</v>
      </c>
      <c r="G46" s="190">
        <v>0</v>
      </c>
      <c r="H46" s="190">
        <v>0</v>
      </c>
      <c r="I46" s="190">
        <v>0</v>
      </c>
      <c r="J46" s="190">
        <v>83500</v>
      </c>
      <c r="K46" s="190">
        <v>0</v>
      </c>
      <c r="L46" s="190">
        <v>0</v>
      </c>
      <c r="M46" s="190">
        <v>0</v>
      </c>
      <c r="N46" s="190">
        <v>0</v>
      </c>
      <c r="O46" s="190">
        <v>0</v>
      </c>
      <c r="P46" s="190">
        <v>0</v>
      </c>
      <c r="Q46" s="190">
        <v>0</v>
      </c>
      <c r="R46" s="190">
        <v>0</v>
      </c>
      <c r="S46" s="190">
        <v>0</v>
      </c>
      <c r="T46" s="190">
        <v>0</v>
      </c>
      <c r="U46" s="190">
        <v>0</v>
      </c>
      <c r="V46" s="190">
        <v>0</v>
      </c>
      <c r="W46" s="190">
        <v>0</v>
      </c>
      <c r="X46" s="190">
        <v>0</v>
      </c>
      <c r="Y46" s="190">
        <v>0</v>
      </c>
      <c r="Z46" s="190">
        <v>0</v>
      </c>
      <c r="AA46" s="190" t="s">
        <v>85</v>
      </c>
      <c r="AB46" s="190">
        <v>0</v>
      </c>
      <c r="AC46" s="190">
        <v>0</v>
      </c>
      <c r="AD46" s="190"/>
      <c r="AE46" s="190"/>
      <c r="AF46" s="190"/>
      <c r="AG46" s="190"/>
      <c r="AH46" s="190"/>
      <c r="AI46" s="190"/>
      <c r="AJ46" s="10"/>
      <c r="AK46" s="86">
        <f>SUM(F46:AI46)</f>
        <v>83500</v>
      </c>
      <c r="AL46" s="40"/>
      <c r="AM46" s="39"/>
      <c r="AO46" s="35"/>
      <c r="BW46" s="40"/>
      <c r="BX46" s="40"/>
      <c r="DA46" s="40"/>
      <c r="EI46" s="30"/>
      <c r="EJ46" s="39"/>
      <c r="EK46" s="39"/>
      <c r="EL46" s="39"/>
      <c r="EM46" s="40"/>
      <c r="GP46" s="40"/>
      <c r="KK46" s="40"/>
      <c r="KL46" s="40"/>
      <c r="KM46" s="40"/>
      <c r="KN46" s="40"/>
      <c r="PR46" s="40"/>
      <c r="PS46" s="40"/>
      <c r="PT46" s="39"/>
      <c r="PU46" s="40"/>
      <c r="QI46" s="39"/>
      <c r="QM46" s="40"/>
      <c r="SP46" s="39"/>
      <c r="AHY46" s="5"/>
      <c r="AJN46" s="5"/>
      <c r="AJO46" s="5"/>
      <c r="AJP46" s="5"/>
    </row>
    <row r="47" spans="1:14968" ht="15" customHeight="1" x14ac:dyDescent="0.25">
      <c r="B47" s="135"/>
      <c r="C47" s="187" t="s">
        <v>94</v>
      </c>
      <c r="D47" s="199"/>
      <c r="E47" s="195" t="s">
        <v>16</v>
      </c>
      <c r="F47" s="190">
        <v>0</v>
      </c>
      <c r="G47" s="190">
        <v>0</v>
      </c>
      <c r="H47" s="190">
        <v>0</v>
      </c>
      <c r="I47" s="190">
        <v>0</v>
      </c>
      <c r="J47" s="190">
        <v>30700</v>
      </c>
      <c r="K47" s="190">
        <v>0</v>
      </c>
      <c r="L47" s="190">
        <v>0</v>
      </c>
      <c r="M47" s="190">
        <v>0</v>
      </c>
      <c r="N47" s="190">
        <v>0</v>
      </c>
      <c r="O47" s="190">
        <v>0</v>
      </c>
      <c r="P47" s="190">
        <v>0</v>
      </c>
      <c r="Q47" s="190">
        <v>0</v>
      </c>
      <c r="R47" s="190">
        <v>0</v>
      </c>
      <c r="S47" s="190">
        <v>0</v>
      </c>
      <c r="T47" s="190">
        <v>0</v>
      </c>
      <c r="U47" s="190">
        <v>0</v>
      </c>
      <c r="V47" s="190">
        <v>0</v>
      </c>
      <c r="W47" s="190">
        <v>0</v>
      </c>
      <c r="X47" s="190">
        <v>0</v>
      </c>
      <c r="Y47" s="190">
        <v>0</v>
      </c>
      <c r="Z47" s="190">
        <v>0</v>
      </c>
      <c r="AA47" s="190">
        <v>0</v>
      </c>
      <c r="AB47" s="190">
        <v>0</v>
      </c>
      <c r="AC47" s="190">
        <v>0</v>
      </c>
      <c r="AD47" s="190"/>
      <c r="AE47" s="190"/>
      <c r="AF47" s="190"/>
      <c r="AG47" s="190"/>
      <c r="AH47" s="190"/>
      <c r="AI47" s="190"/>
      <c r="AJ47" s="10"/>
      <c r="AK47" s="50">
        <f>SUM(F47:AI47)</f>
        <v>30700</v>
      </c>
      <c r="AL47" s="39"/>
      <c r="AM47" s="39"/>
      <c r="AO47" s="35"/>
      <c r="BW47" s="40"/>
      <c r="BX47" s="40"/>
      <c r="DA47" s="40"/>
      <c r="EI47" s="30"/>
      <c r="EJ47" s="40"/>
      <c r="EK47" s="40"/>
      <c r="EL47" s="40"/>
      <c r="EM47" s="40"/>
      <c r="GP47" s="40"/>
      <c r="KK47" s="40"/>
      <c r="KL47" s="40"/>
      <c r="KM47" s="40"/>
      <c r="KN47" s="40"/>
      <c r="PR47" s="40"/>
      <c r="PS47" s="40"/>
      <c r="PU47" s="40"/>
      <c r="QI47" s="39"/>
      <c r="QM47" s="40"/>
      <c r="SP47" s="39"/>
      <c r="AHY47" s="5"/>
      <c r="AJN47" s="5"/>
      <c r="AJO47" s="5"/>
      <c r="AJP47" s="5"/>
    </row>
    <row r="48" spans="1:14968" ht="15" customHeight="1" x14ac:dyDescent="0.25">
      <c r="B48" s="135"/>
      <c r="C48" s="196" t="s">
        <v>93</v>
      </c>
      <c r="D48" s="201"/>
      <c r="E48" s="198"/>
      <c r="F48" s="184"/>
      <c r="G48" s="184"/>
      <c r="H48" s="184"/>
      <c r="I48" s="202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203"/>
      <c r="AE48" s="203"/>
      <c r="AF48" s="203"/>
      <c r="AG48" s="203"/>
      <c r="AH48" s="203"/>
      <c r="AI48" s="203"/>
      <c r="AJ48" s="10"/>
      <c r="AK48" s="85" t="s">
        <v>79</v>
      </c>
      <c r="AM48" s="27"/>
      <c r="AO48" s="35"/>
    </row>
    <row r="49" spans="1:14968" ht="15" customHeight="1" x14ac:dyDescent="0.25">
      <c r="A49" s="83"/>
      <c r="B49" s="167"/>
      <c r="C49" s="205" t="s">
        <v>92</v>
      </c>
      <c r="D49" s="206"/>
      <c r="E49" s="207" t="s">
        <v>16</v>
      </c>
      <c r="F49" s="190">
        <v>213983</v>
      </c>
      <c r="G49" s="190"/>
      <c r="H49" s="190"/>
      <c r="I49" s="190"/>
      <c r="J49" s="190"/>
      <c r="K49" s="190"/>
      <c r="L49" s="190">
        <v>172307</v>
      </c>
      <c r="M49" s="190"/>
      <c r="N49" s="190"/>
      <c r="O49" s="190"/>
      <c r="P49" s="190"/>
      <c r="Q49" s="190"/>
      <c r="R49" s="190"/>
      <c r="S49" s="190"/>
      <c r="T49" s="190">
        <v>219745</v>
      </c>
      <c r="U49" s="190"/>
      <c r="V49" s="190"/>
      <c r="W49" s="190"/>
      <c r="X49" s="190"/>
      <c r="Y49" s="190"/>
      <c r="Z49" s="190"/>
      <c r="AA49" s="190"/>
      <c r="AB49" s="190"/>
      <c r="AC49" s="190"/>
      <c r="AD49" s="208"/>
      <c r="AE49" s="208"/>
      <c r="AF49" s="208">
        <v>166281</v>
      </c>
      <c r="AG49" s="208">
        <v>156171</v>
      </c>
      <c r="AH49" s="208"/>
      <c r="AI49" s="208">
        <v>331830</v>
      </c>
      <c r="AJ49" s="51"/>
      <c r="AK49" s="26">
        <f>SUM(F49:AI49)</f>
        <v>1260317</v>
      </c>
      <c r="AL49" s="83"/>
      <c r="AM49" s="17"/>
      <c r="AN49" s="84"/>
      <c r="AO49" s="53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14"/>
      <c r="BX49" s="14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Y49" s="83"/>
      <c r="CZ49" s="83"/>
      <c r="DA49" s="14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16"/>
      <c r="EJ49" s="14"/>
      <c r="EK49" s="14"/>
      <c r="EL49" s="14"/>
      <c r="EM49" s="14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  <c r="FU49" s="83"/>
      <c r="FV49" s="83"/>
      <c r="FW49" s="83"/>
      <c r="FX49" s="83"/>
      <c r="FY49" s="83"/>
      <c r="FZ49" s="83"/>
      <c r="GA49" s="83"/>
      <c r="GB49" s="83"/>
      <c r="GC49" s="83"/>
      <c r="GD49" s="83"/>
      <c r="GE49" s="83"/>
      <c r="GF49" s="83"/>
      <c r="GG49" s="83"/>
      <c r="GH49" s="83"/>
      <c r="GI49" s="83"/>
      <c r="GJ49" s="83"/>
      <c r="GK49" s="83"/>
      <c r="GL49" s="83"/>
      <c r="GM49" s="83"/>
      <c r="GN49" s="83"/>
      <c r="GO49" s="83"/>
      <c r="GP49" s="14"/>
      <c r="GQ49" s="83"/>
      <c r="GR49" s="83"/>
      <c r="GS49" s="83"/>
      <c r="GT49" s="83"/>
      <c r="GU49" s="83"/>
      <c r="GV49" s="83"/>
      <c r="GW49" s="83"/>
      <c r="GX49" s="83"/>
      <c r="GY49" s="83"/>
      <c r="GZ49" s="83"/>
      <c r="HA49" s="83"/>
      <c r="HB49" s="83"/>
      <c r="HC49" s="83"/>
      <c r="HD49" s="83"/>
      <c r="HE49" s="83"/>
      <c r="HF49" s="83"/>
      <c r="HG49" s="83"/>
      <c r="HH49" s="83"/>
      <c r="HI49" s="83"/>
      <c r="HJ49" s="83"/>
      <c r="HK49" s="83"/>
      <c r="HL49" s="83"/>
      <c r="HM49" s="83"/>
      <c r="HN49" s="83"/>
      <c r="HO49" s="83"/>
      <c r="HP49" s="83"/>
      <c r="HQ49" s="83"/>
      <c r="HR49" s="83"/>
      <c r="HS49" s="83"/>
      <c r="HT49" s="83"/>
      <c r="HU49" s="83"/>
      <c r="HV49" s="83"/>
      <c r="HW49" s="83"/>
      <c r="HX49" s="83"/>
      <c r="HY49" s="83"/>
      <c r="HZ49" s="83"/>
      <c r="IA49" s="83"/>
      <c r="IB49" s="83"/>
      <c r="IC49" s="83"/>
      <c r="ID49" s="83"/>
      <c r="IE49" s="83"/>
      <c r="IF49" s="83"/>
      <c r="IG49" s="83"/>
      <c r="IH49" s="83"/>
      <c r="II49" s="83"/>
      <c r="IJ49" s="83"/>
      <c r="IK49" s="83"/>
      <c r="IL49" s="83"/>
      <c r="IM49" s="83"/>
      <c r="IN49" s="83"/>
      <c r="IO49" s="83"/>
      <c r="IP49" s="83"/>
      <c r="IQ49" s="83"/>
      <c r="IR49" s="83"/>
      <c r="IS49" s="83"/>
      <c r="IT49" s="83"/>
      <c r="IU49" s="83"/>
      <c r="IV49" s="83"/>
      <c r="IW49" s="83"/>
      <c r="IX49" s="83"/>
      <c r="IY49" s="83"/>
      <c r="IZ49" s="83"/>
      <c r="JA49" s="83"/>
      <c r="JB49" s="83"/>
      <c r="JC49" s="83"/>
      <c r="JD49" s="83"/>
      <c r="JE49" s="83"/>
      <c r="JF49" s="83"/>
      <c r="JG49" s="83"/>
      <c r="JH49" s="83"/>
      <c r="JI49" s="83"/>
      <c r="JJ49" s="83"/>
      <c r="JK49" s="83"/>
      <c r="JL49" s="83"/>
      <c r="JM49" s="83"/>
      <c r="JN49" s="83"/>
      <c r="JO49" s="83"/>
      <c r="JP49" s="83"/>
      <c r="JQ49" s="83"/>
      <c r="JR49" s="83"/>
      <c r="JS49" s="83"/>
      <c r="JT49" s="83"/>
      <c r="JU49" s="83"/>
      <c r="JV49" s="83"/>
      <c r="JW49" s="83"/>
      <c r="JX49" s="83"/>
      <c r="JY49" s="83"/>
      <c r="JZ49" s="83"/>
      <c r="KA49" s="83"/>
      <c r="KB49" s="83"/>
      <c r="KC49" s="83"/>
      <c r="KD49" s="83"/>
      <c r="KE49" s="83"/>
      <c r="KF49" s="83"/>
      <c r="KG49" s="83"/>
      <c r="KH49" s="83"/>
      <c r="KI49" s="83"/>
      <c r="KJ49" s="83"/>
      <c r="KK49" s="14"/>
      <c r="KL49" s="14"/>
      <c r="KM49" s="14"/>
      <c r="KN49" s="14"/>
      <c r="KO49" s="83"/>
      <c r="KP49" s="83"/>
      <c r="KQ49" s="83"/>
      <c r="KR49" s="83"/>
      <c r="KS49" s="83"/>
      <c r="KT49" s="83"/>
      <c r="KU49" s="83"/>
      <c r="KV49" s="83"/>
      <c r="KW49" s="83"/>
      <c r="KX49" s="83"/>
      <c r="KY49" s="83"/>
      <c r="KZ49" s="83"/>
      <c r="LA49" s="83"/>
      <c r="LB49" s="83"/>
      <c r="LC49" s="83"/>
      <c r="LD49" s="83"/>
      <c r="LE49" s="83"/>
      <c r="LF49" s="83"/>
      <c r="LG49" s="83"/>
      <c r="LH49" s="83"/>
      <c r="LI49" s="83"/>
      <c r="LJ49" s="83"/>
      <c r="LK49" s="83"/>
      <c r="LL49" s="83"/>
      <c r="LM49" s="83"/>
      <c r="LN49" s="83"/>
      <c r="LO49" s="83"/>
      <c r="LP49" s="83"/>
      <c r="LQ49" s="83"/>
      <c r="LR49" s="83"/>
      <c r="LS49" s="83"/>
      <c r="LT49" s="83"/>
      <c r="LU49" s="83"/>
      <c r="LV49" s="83"/>
      <c r="LW49" s="83"/>
      <c r="LX49" s="83"/>
      <c r="LY49" s="83"/>
      <c r="LZ49" s="83"/>
      <c r="MA49" s="83"/>
      <c r="MB49" s="83"/>
      <c r="MC49" s="83"/>
      <c r="MD49" s="83"/>
      <c r="ME49" s="83"/>
      <c r="MF49" s="83"/>
      <c r="MG49" s="83"/>
      <c r="MH49" s="83"/>
      <c r="MI49" s="83"/>
      <c r="MJ49" s="83"/>
      <c r="MK49" s="83"/>
      <c r="ML49" s="83"/>
      <c r="MM49" s="83"/>
      <c r="MN49" s="83"/>
      <c r="MO49" s="83"/>
      <c r="MP49" s="83"/>
      <c r="MQ49" s="83"/>
      <c r="MR49" s="83"/>
      <c r="MS49" s="83"/>
      <c r="MT49" s="83"/>
      <c r="MU49" s="83"/>
      <c r="MV49" s="83"/>
      <c r="MW49" s="83"/>
      <c r="MX49" s="83"/>
      <c r="MY49" s="83"/>
      <c r="MZ49" s="83"/>
      <c r="NA49" s="83"/>
      <c r="NB49" s="83"/>
      <c r="NC49" s="83"/>
      <c r="ND49" s="83"/>
      <c r="NE49" s="83"/>
      <c r="NF49" s="83"/>
      <c r="NG49" s="83"/>
      <c r="NH49" s="83"/>
      <c r="NI49" s="83"/>
      <c r="NJ49" s="83"/>
      <c r="NK49" s="83"/>
      <c r="NL49" s="83"/>
      <c r="NM49" s="83"/>
      <c r="NN49" s="83"/>
      <c r="NO49" s="83"/>
      <c r="NP49" s="83"/>
      <c r="NQ49" s="83"/>
      <c r="NR49" s="83"/>
      <c r="NS49" s="83"/>
      <c r="NT49" s="83"/>
      <c r="NU49" s="83"/>
      <c r="NV49" s="83"/>
      <c r="NW49" s="83"/>
      <c r="NX49" s="83"/>
      <c r="NY49" s="83"/>
      <c r="NZ49" s="83"/>
      <c r="OA49" s="83"/>
      <c r="OB49" s="83"/>
      <c r="OC49" s="83"/>
      <c r="OD49" s="83"/>
      <c r="OE49" s="83"/>
      <c r="OF49" s="83"/>
      <c r="OG49" s="83"/>
      <c r="OH49" s="83"/>
      <c r="OI49" s="83"/>
      <c r="OJ49" s="83"/>
      <c r="OK49" s="83"/>
      <c r="OL49" s="83"/>
      <c r="OM49" s="83"/>
      <c r="ON49" s="83"/>
      <c r="OO49" s="83"/>
      <c r="OP49" s="83"/>
      <c r="OQ49" s="83"/>
      <c r="OR49" s="83"/>
      <c r="OS49" s="83"/>
      <c r="OT49" s="83"/>
      <c r="OU49" s="83"/>
      <c r="OV49" s="83"/>
      <c r="OW49" s="83"/>
      <c r="OX49" s="83"/>
      <c r="OY49" s="83"/>
      <c r="OZ49" s="83"/>
      <c r="PA49" s="83"/>
      <c r="PB49" s="83"/>
      <c r="PC49" s="83"/>
      <c r="PD49" s="83"/>
      <c r="PE49" s="83"/>
      <c r="PF49" s="83"/>
      <c r="PG49" s="83"/>
      <c r="PH49" s="83"/>
      <c r="PI49" s="83"/>
      <c r="PJ49" s="83"/>
      <c r="PK49" s="83"/>
      <c r="PL49" s="83"/>
      <c r="PM49" s="83"/>
      <c r="PN49" s="83"/>
      <c r="PO49" s="83"/>
      <c r="PP49" s="83"/>
      <c r="PQ49" s="83"/>
      <c r="PR49" s="14"/>
      <c r="PS49" s="14"/>
      <c r="PT49" s="83"/>
      <c r="PU49" s="14"/>
      <c r="PV49" s="83"/>
      <c r="PW49" s="83"/>
      <c r="PX49" s="83"/>
      <c r="PY49" s="83"/>
      <c r="PZ49" s="83"/>
      <c r="QA49" s="83"/>
      <c r="QB49" s="83"/>
      <c r="QC49" s="83"/>
      <c r="QD49" s="83"/>
      <c r="QE49" s="83"/>
      <c r="QF49" s="83"/>
      <c r="QG49" s="83"/>
      <c r="QH49" s="83"/>
      <c r="QI49" s="15"/>
      <c r="QJ49" s="83"/>
      <c r="QK49" s="83"/>
      <c r="QL49" s="83"/>
      <c r="QM49" s="14"/>
      <c r="QN49" s="83"/>
      <c r="QO49" s="83"/>
      <c r="QP49" s="83"/>
      <c r="QQ49" s="83"/>
      <c r="QR49" s="83"/>
      <c r="QS49" s="83"/>
      <c r="QT49" s="83"/>
      <c r="QU49" s="83"/>
      <c r="QV49" s="83"/>
      <c r="QW49" s="83"/>
      <c r="QX49" s="83"/>
      <c r="QY49" s="83"/>
      <c r="QZ49" s="83"/>
      <c r="RA49" s="83"/>
      <c r="RB49" s="83"/>
      <c r="RC49" s="83"/>
      <c r="RD49" s="83"/>
      <c r="RE49" s="83"/>
      <c r="RF49" s="83"/>
      <c r="RG49" s="83"/>
      <c r="RH49" s="83"/>
      <c r="RI49" s="83"/>
      <c r="RJ49" s="83"/>
      <c r="RK49" s="83"/>
      <c r="RL49" s="83"/>
      <c r="RM49" s="83"/>
      <c r="RN49" s="83"/>
      <c r="RO49" s="83"/>
      <c r="RP49" s="83"/>
      <c r="RQ49" s="83"/>
      <c r="RR49" s="83"/>
      <c r="RS49" s="83"/>
      <c r="RT49" s="83"/>
      <c r="RU49" s="83"/>
      <c r="RV49" s="83"/>
      <c r="RW49" s="83"/>
      <c r="RX49" s="83"/>
      <c r="RY49" s="83"/>
      <c r="RZ49" s="83"/>
      <c r="SA49" s="83"/>
      <c r="SB49" s="83"/>
      <c r="SC49" s="83"/>
      <c r="SD49" s="83"/>
      <c r="SE49" s="83"/>
      <c r="SF49" s="83"/>
      <c r="SG49" s="83"/>
      <c r="SH49" s="83"/>
      <c r="SI49" s="83"/>
      <c r="SJ49" s="83"/>
      <c r="SK49" s="83"/>
      <c r="SL49" s="83"/>
      <c r="SM49" s="83"/>
      <c r="SN49" s="83"/>
      <c r="SO49" s="83"/>
      <c r="SP49" s="15"/>
      <c r="SQ49" s="83"/>
      <c r="SR49" s="83"/>
      <c r="SS49" s="83"/>
      <c r="ST49" s="83"/>
      <c r="SU49" s="83"/>
      <c r="SV49" s="83"/>
      <c r="SW49" s="83"/>
      <c r="SX49" s="83"/>
      <c r="SY49" s="83"/>
      <c r="SZ49" s="83"/>
      <c r="TA49" s="83"/>
      <c r="TB49" s="83"/>
      <c r="TC49" s="83"/>
      <c r="TD49" s="83"/>
      <c r="TE49" s="83"/>
      <c r="TF49" s="83"/>
      <c r="TG49" s="83"/>
      <c r="TH49" s="83"/>
      <c r="TI49" s="83"/>
      <c r="TJ49" s="83"/>
      <c r="TK49" s="83"/>
      <c r="TL49" s="83"/>
      <c r="TM49" s="83"/>
      <c r="TN49" s="83"/>
      <c r="TO49" s="83"/>
      <c r="TP49" s="83"/>
      <c r="TQ49" s="83"/>
      <c r="TR49" s="83"/>
      <c r="TS49" s="83"/>
      <c r="TT49" s="83"/>
      <c r="TU49" s="83"/>
      <c r="TV49" s="83"/>
      <c r="TW49" s="83"/>
      <c r="TX49" s="83"/>
      <c r="TY49" s="83"/>
      <c r="TZ49" s="83"/>
      <c r="UA49" s="83"/>
      <c r="UB49" s="83"/>
      <c r="UC49" s="83"/>
      <c r="UD49" s="83"/>
      <c r="UE49" s="83"/>
      <c r="UF49" s="83"/>
      <c r="UG49" s="83"/>
      <c r="UH49" s="83"/>
      <c r="UI49" s="83"/>
      <c r="UJ49" s="83"/>
      <c r="UK49" s="83"/>
      <c r="UL49" s="83"/>
      <c r="UM49" s="83"/>
      <c r="UN49" s="83"/>
      <c r="UO49" s="83"/>
      <c r="UP49" s="83"/>
      <c r="UQ49" s="83"/>
      <c r="UR49" s="83"/>
      <c r="US49" s="83"/>
      <c r="UT49" s="83"/>
      <c r="UU49" s="83"/>
      <c r="UV49" s="83"/>
      <c r="UW49" s="83"/>
      <c r="UX49" s="83"/>
      <c r="UY49" s="83"/>
      <c r="UZ49" s="83"/>
      <c r="VA49" s="83"/>
      <c r="VB49" s="83"/>
      <c r="VC49" s="83"/>
      <c r="VD49" s="83"/>
      <c r="VE49" s="83"/>
      <c r="VF49" s="83"/>
      <c r="VG49" s="83"/>
      <c r="VH49" s="83"/>
      <c r="VI49" s="83"/>
      <c r="VJ49" s="83"/>
      <c r="VK49" s="83"/>
      <c r="VL49" s="83"/>
      <c r="VM49" s="83"/>
      <c r="VN49" s="83"/>
      <c r="VO49" s="83"/>
      <c r="VP49" s="83"/>
      <c r="VQ49" s="83"/>
      <c r="VR49" s="83"/>
      <c r="VS49" s="83"/>
      <c r="VT49" s="83"/>
      <c r="VU49" s="83"/>
      <c r="VV49" s="83"/>
      <c r="VW49" s="83"/>
      <c r="VX49" s="83"/>
      <c r="VY49" s="83"/>
      <c r="VZ49" s="83"/>
      <c r="WA49" s="83"/>
      <c r="WB49" s="83"/>
      <c r="WC49" s="83"/>
      <c r="WD49" s="83"/>
      <c r="WE49" s="83"/>
      <c r="WF49" s="83"/>
      <c r="WG49" s="83"/>
      <c r="WH49" s="83"/>
      <c r="WI49" s="83"/>
      <c r="WJ49" s="83"/>
      <c r="WK49" s="83"/>
      <c r="WL49" s="83"/>
      <c r="WM49" s="83"/>
      <c r="WN49" s="83"/>
      <c r="WO49" s="83"/>
      <c r="WP49" s="83"/>
      <c r="WQ49" s="83"/>
      <c r="WR49" s="83"/>
      <c r="WS49" s="83"/>
      <c r="WT49" s="83"/>
      <c r="WU49" s="83"/>
      <c r="WV49" s="83"/>
      <c r="WW49" s="83"/>
      <c r="WX49" s="83"/>
      <c r="WY49" s="83"/>
      <c r="WZ49" s="83"/>
      <c r="XA49" s="83"/>
      <c r="XB49" s="83"/>
      <c r="XC49" s="83"/>
      <c r="XD49" s="83"/>
      <c r="XE49" s="83"/>
      <c r="XF49" s="83"/>
      <c r="XG49" s="83"/>
      <c r="XH49" s="83"/>
      <c r="XI49" s="83"/>
      <c r="XJ49" s="83"/>
      <c r="XK49" s="83"/>
      <c r="XL49" s="83"/>
      <c r="XM49" s="83"/>
      <c r="XN49" s="83"/>
      <c r="XO49" s="83"/>
      <c r="XP49" s="83"/>
      <c r="XQ49" s="83"/>
      <c r="XR49" s="83"/>
      <c r="XS49" s="83"/>
      <c r="XT49" s="83"/>
      <c r="XU49" s="83"/>
      <c r="XV49" s="83"/>
      <c r="XW49" s="83"/>
      <c r="XX49" s="83"/>
      <c r="XY49" s="83"/>
      <c r="XZ49" s="83"/>
      <c r="YA49" s="83"/>
      <c r="YB49" s="83"/>
      <c r="YC49" s="83"/>
      <c r="YD49" s="83"/>
      <c r="YE49" s="83"/>
      <c r="YF49" s="83"/>
      <c r="YG49" s="83"/>
      <c r="YH49" s="83"/>
      <c r="YI49" s="83"/>
      <c r="YJ49" s="83"/>
      <c r="YK49" s="83"/>
      <c r="YL49" s="83"/>
      <c r="YM49" s="83"/>
      <c r="YN49" s="83"/>
      <c r="YO49" s="83"/>
      <c r="YP49" s="83"/>
      <c r="YQ49" s="83"/>
      <c r="YR49" s="83"/>
      <c r="YS49" s="83"/>
      <c r="YT49" s="83"/>
      <c r="YU49" s="83"/>
      <c r="YV49" s="83"/>
      <c r="YW49" s="83"/>
      <c r="YX49" s="83"/>
      <c r="YY49" s="83"/>
      <c r="YZ49" s="83"/>
      <c r="ZA49" s="83"/>
      <c r="ZB49" s="83"/>
      <c r="ZC49" s="83"/>
      <c r="ZD49" s="83"/>
      <c r="ZE49" s="83"/>
      <c r="ZF49" s="83"/>
      <c r="ZG49" s="83"/>
      <c r="ZH49" s="83"/>
      <c r="ZI49" s="83"/>
      <c r="ZJ49" s="83"/>
      <c r="ZK49" s="83"/>
      <c r="ZL49" s="83"/>
      <c r="ZM49" s="83"/>
      <c r="ZN49" s="83"/>
      <c r="ZO49" s="83"/>
      <c r="ZP49" s="83"/>
      <c r="ZQ49" s="83"/>
      <c r="ZR49" s="83"/>
      <c r="ZS49" s="83"/>
      <c r="ZT49" s="83"/>
      <c r="ZU49" s="83"/>
      <c r="ZV49" s="83"/>
      <c r="ZW49" s="83"/>
      <c r="ZX49" s="83"/>
      <c r="ZY49" s="83"/>
      <c r="ZZ49" s="83"/>
      <c r="AAA49" s="83"/>
      <c r="AAB49" s="83"/>
      <c r="AAC49" s="83"/>
      <c r="AAD49" s="83"/>
      <c r="AAE49" s="83"/>
      <c r="AAF49" s="83"/>
      <c r="AAG49" s="83"/>
      <c r="AAH49" s="83"/>
      <c r="AAI49" s="83"/>
      <c r="AAJ49" s="83"/>
      <c r="AAK49" s="83"/>
      <c r="AAL49" s="83"/>
      <c r="AAM49" s="83"/>
      <c r="AAN49" s="83"/>
      <c r="AAO49" s="83"/>
      <c r="AAP49" s="83"/>
      <c r="AAQ49" s="83"/>
      <c r="AAR49" s="83"/>
      <c r="AAS49" s="83"/>
      <c r="AAT49" s="83"/>
      <c r="AAU49" s="83"/>
      <c r="AAV49" s="83"/>
      <c r="AAW49" s="83"/>
      <c r="AAX49" s="83"/>
      <c r="AAY49" s="83"/>
      <c r="AAZ49" s="83"/>
      <c r="ABA49" s="83"/>
      <c r="ABB49" s="83"/>
      <c r="ABC49" s="83"/>
      <c r="ABD49" s="83"/>
      <c r="ABE49" s="83"/>
      <c r="ABF49" s="83"/>
      <c r="ABG49" s="83"/>
      <c r="ABH49" s="83"/>
      <c r="ABI49" s="83"/>
      <c r="ABJ49" s="83"/>
      <c r="ABK49" s="83"/>
      <c r="ABL49" s="83"/>
      <c r="ABM49" s="83"/>
      <c r="ABN49" s="83"/>
      <c r="ABO49" s="83"/>
      <c r="ABP49" s="83"/>
      <c r="ABQ49" s="83"/>
      <c r="ABR49" s="83"/>
      <c r="ABS49" s="83"/>
      <c r="ABT49" s="83"/>
      <c r="ABU49" s="83"/>
      <c r="ABV49" s="83"/>
      <c r="ABW49" s="83"/>
      <c r="ABX49" s="83"/>
      <c r="ABY49" s="83"/>
      <c r="ABZ49" s="83"/>
      <c r="ACA49" s="83"/>
      <c r="ACB49" s="83"/>
      <c r="ACC49" s="83"/>
      <c r="ACD49" s="83"/>
      <c r="ACE49" s="83"/>
      <c r="ACF49" s="83"/>
      <c r="ACG49" s="83"/>
      <c r="ACH49" s="83"/>
      <c r="ACI49" s="83"/>
      <c r="ACJ49" s="83"/>
      <c r="ACK49" s="83"/>
      <c r="ACL49" s="83"/>
      <c r="ACM49" s="83"/>
      <c r="ACN49" s="83"/>
      <c r="ACO49" s="83"/>
      <c r="ACP49" s="83"/>
      <c r="ACQ49" s="83"/>
      <c r="ACR49" s="83"/>
      <c r="ACS49" s="83"/>
      <c r="ACT49" s="83"/>
      <c r="ACU49" s="83"/>
      <c r="ACV49" s="83"/>
      <c r="ACW49" s="83"/>
      <c r="ACX49" s="83"/>
      <c r="ACY49" s="83"/>
      <c r="ACZ49" s="83"/>
      <c r="ADA49" s="83"/>
      <c r="ADB49" s="83"/>
      <c r="ADC49" s="83"/>
      <c r="ADD49" s="83"/>
      <c r="ADE49" s="83"/>
      <c r="ADF49" s="83"/>
      <c r="ADG49" s="83"/>
      <c r="ADH49" s="83"/>
      <c r="ADI49" s="83"/>
      <c r="ADJ49" s="83"/>
      <c r="ADK49" s="83"/>
      <c r="ADL49" s="83"/>
      <c r="ADM49" s="83"/>
      <c r="ADN49" s="83"/>
      <c r="ADO49" s="83"/>
      <c r="ADP49" s="83"/>
      <c r="ADQ49" s="83"/>
      <c r="ADR49" s="83"/>
      <c r="ADS49" s="83"/>
      <c r="ADT49" s="83"/>
      <c r="ADU49" s="83"/>
      <c r="ADV49" s="83"/>
      <c r="ADW49" s="83"/>
      <c r="ADX49" s="83"/>
      <c r="ADY49" s="83"/>
      <c r="ADZ49" s="83"/>
      <c r="AEA49" s="83"/>
      <c r="AEB49" s="83"/>
      <c r="AEC49" s="83"/>
      <c r="AED49" s="83"/>
      <c r="AEE49" s="83"/>
      <c r="AEF49" s="83"/>
      <c r="AEG49" s="83"/>
      <c r="AEH49" s="83"/>
      <c r="AEI49" s="83"/>
      <c r="AEJ49" s="83"/>
      <c r="AEK49" s="83"/>
      <c r="AEL49" s="83"/>
      <c r="AEM49" s="83"/>
      <c r="AEN49" s="83"/>
      <c r="AEO49" s="83"/>
      <c r="AEP49" s="83"/>
      <c r="AEQ49" s="83"/>
      <c r="AER49" s="83"/>
      <c r="AES49" s="83"/>
      <c r="AET49" s="83"/>
      <c r="AEU49" s="83"/>
      <c r="AEV49" s="83"/>
      <c r="AEW49" s="83"/>
      <c r="AEX49" s="83"/>
      <c r="AEY49" s="83"/>
      <c r="AEZ49" s="83"/>
      <c r="AFA49" s="83"/>
      <c r="AFB49" s="83"/>
      <c r="AFC49" s="83"/>
      <c r="AFD49" s="83"/>
      <c r="AFE49" s="83"/>
      <c r="AFF49" s="83"/>
      <c r="AFG49" s="83"/>
      <c r="AFH49" s="83"/>
      <c r="AFI49" s="83"/>
      <c r="AFJ49" s="83"/>
      <c r="AFK49" s="83"/>
      <c r="AFL49" s="83"/>
      <c r="AFM49" s="83"/>
      <c r="AFN49" s="83"/>
      <c r="AFO49" s="83"/>
      <c r="AFP49" s="83"/>
      <c r="AFQ49" s="83"/>
      <c r="AFR49" s="83"/>
      <c r="AFS49" s="83"/>
      <c r="AFT49" s="83"/>
      <c r="AFU49" s="83"/>
      <c r="AFV49" s="83"/>
      <c r="AFW49" s="83"/>
      <c r="AFX49" s="83"/>
      <c r="AFY49" s="83"/>
      <c r="AFZ49" s="83"/>
      <c r="AGA49" s="83"/>
      <c r="AGB49" s="83"/>
      <c r="AGC49" s="83"/>
      <c r="AGD49" s="83"/>
      <c r="AGE49" s="83"/>
      <c r="AGF49" s="83"/>
      <c r="AGG49" s="83"/>
      <c r="AGH49" s="83"/>
      <c r="AGI49" s="83"/>
      <c r="AGJ49" s="83"/>
      <c r="AGK49" s="83"/>
      <c r="AGL49" s="83"/>
      <c r="AGM49" s="83"/>
      <c r="AGN49" s="83"/>
      <c r="AGO49" s="83"/>
      <c r="AGP49" s="83"/>
      <c r="AGQ49" s="83"/>
      <c r="AGR49" s="83"/>
      <c r="AGS49" s="83"/>
      <c r="AGT49" s="83"/>
      <c r="AGU49" s="83"/>
      <c r="AGV49" s="83"/>
      <c r="AGW49" s="83"/>
      <c r="AGX49" s="83"/>
      <c r="AGY49" s="83"/>
      <c r="AGZ49" s="83"/>
      <c r="AHA49" s="83"/>
      <c r="AHB49" s="83"/>
      <c r="AHC49" s="83"/>
      <c r="AHD49" s="83"/>
      <c r="AHE49" s="83"/>
      <c r="AHF49" s="83"/>
      <c r="AHG49" s="83"/>
      <c r="AHH49" s="83"/>
      <c r="AHI49" s="83"/>
      <c r="AHJ49" s="83"/>
      <c r="AHK49" s="83"/>
      <c r="AHL49" s="83"/>
      <c r="AHM49" s="83"/>
      <c r="AHN49" s="83"/>
      <c r="AHO49" s="83"/>
      <c r="AHP49" s="83"/>
      <c r="AHQ49" s="83"/>
      <c r="AHR49" s="83"/>
      <c r="AHS49" s="83"/>
      <c r="AHT49" s="83"/>
      <c r="AHU49" s="83"/>
      <c r="AHV49" s="83"/>
      <c r="AHW49" s="83"/>
      <c r="AHX49" s="83"/>
      <c r="AHY49" s="14"/>
      <c r="AHZ49" s="83"/>
      <c r="AIA49" s="83"/>
      <c r="AIB49" s="83"/>
      <c r="AIC49" s="83"/>
      <c r="AID49" s="83"/>
      <c r="AIE49" s="83"/>
      <c r="AIF49" s="83"/>
      <c r="AIG49" s="83"/>
      <c r="AIH49" s="83"/>
      <c r="AII49" s="83"/>
      <c r="AIJ49" s="83"/>
      <c r="AIK49" s="83"/>
      <c r="AIL49" s="83"/>
      <c r="AIM49" s="83"/>
      <c r="AIN49" s="83"/>
      <c r="AIO49" s="83"/>
      <c r="AIP49" s="83"/>
      <c r="AIQ49" s="83"/>
      <c r="AIR49" s="83"/>
      <c r="AIS49" s="83"/>
      <c r="AIT49" s="83"/>
      <c r="AIU49" s="83"/>
      <c r="AIV49" s="83"/>
      <c r="AIW49" s="83"/>
      <c r="AIX49" s="83"/>
      <c r="AIY49" s="83"/>
      <c r="AIZ49" s="83"/>
      <c r="AJA49" s="83"/>
      <c r="AJB49" s="83"/>
      <c r="AJC49" s="83"/>
      <c r="AJD49" s="83"/>
      <c r="AJE49" s="83"/>
      <c r="AJF49" s="83"/>
      <c r="AJG49" s="83"/>
      <c r="AJH49" s="83"/>
      <c r="AJI49" s="83"/>
      <c r="AJJ49" s="83"/>
      <c r="AJK49" s="83"/>
      <c r="AJL49" s="83"/>
      <c r="AJM49" s="83"/>
      <c r="AJN49" s="14"/>
      <c r="AJO49" s="14"/>
      <c r="AJP49" s="14"/>
      <c r="AJQ49" s="83"/>
      <c r="AJR49" s="83"/>
      <c r="AJS49" s="83"/>
      <c r="AJT49" s="83"/>
      <c r="AJU49" s="83"/>
      <c r="AJV49" s="83"/>
      <c r="AJW49" s="83"/>
      <c r="AJX49" s="83"/>
      <c r="AJY49" s="83"/>
      <c r="AJZ49" s="83"/>
      <c r="AKA49" s="83"/>
      <c r="AKB49" s="83"/>
      <c r="AKC49" s="83"/>
      <c r="AKD49" s="83"/>
      <c r="AKE49" s="83"/>
      <c r="AKF49" s="83"/>
      <c r="AKG49" s="83"/>
      <c r="AKH49" s="83"/>
      <c r="AKI49" s="83"/>
      <c r="AKJ49" s="83"/>
      <c r="AKK49" s="83"/>
      <c r="AKL49" s="83"/>
      <c r="AKM49" s="83"/>
      <c r="AKN49" s="83"/>
      <c r="AKO49" s="83"/>
      <c r="AKP49" s="83"/>
      <c r="AKQ49" s="83"/>
      <c r="AKR49" s="83"/>
      <c r="AKS49" s="83"/>
      <c r="AKT49" s="83"/>
      <c r="AKU49" s="83"/>
      <c r="AKV49" s="83"/>
      <c r="AKW49" s="83"/>
      <c r="AKX49" s="83"/>
      <c r="AKY49" s="83"/>
      <c r="AKZ49" s="83"/>
      <c r="ALA49" s="83"/>
      <c r="ALB49" s="83"/>
      <c r="ALC49" s="83"/>
      <c r="ALD49" s="83"/>
      <c r="ALE49" s="83"/>
      <c r="ALF49" s="83"/>
      <c r="ALG49" s="83"/>
      <c r="ALH49" s="83"/>
      <c r="ALI49" s="83"/>
      <c r="ALJ49" s="83"/>
      <c r="ALK49" s="83"/>
      <c r="ALL49" s="83"/>
      <c r="ALM49" s="83"/>
      <c r="ALN49" s="83"/>
      <c r="ALO49" s="83"/>
      <c r="ALP49" s="83"/>
      <c r="ALQ49" s="83"/>
      <c r="ALR49" s="83"/>
      <c r="ALS49" s="83"/>
      <c r="ALT49" s="83"/>
      <c r="ALU49" s="83"/>
      <c r="ALV49" s="83"/>
      <c r="ALW49" s="83"/>
      <c r="ALX49" s="83"/>
      <c r="ALY49" s="83"/>
      <c r="ALZ49" s="83"/>
      <c r="AMA49" s="83"/>
      <c r="AMB49" s="83"/>
      <c r="AMC49" s="83"/>
      <c r="AMD49" s="83"/>
      <c r="AME49" s="83"/>
      <c r="AMF49" s="83"/>
      <c r="AMG49" s="83"/>
      <c r="AMH49" s="83"/>
      <c r="AMI49" s="83"/>
      <c r="AMJ49" s="83"/>
      <c r="AMK49" s="83"/>
      <c r="AML49" s="83"/>
      <c r="AMM49" s="83"/>
      <c r="AMN49" s="83"/>
      <c r="AMO49" s="83"/>
      <c r="AMP49" s="83"/>
      <c r="AMQ49" s="83"/>
      <c r="AMR49" s="83"/>
      <c r="AMS49" s="83"/>
      <c r="AMT49" s="83"/>
      <c r="AMU49" s="83"/>
      <c r="AMV49" s="83"/>
      <c r="AMW49" s="83"/>
      <c r="AMX49" s="83"/>
      <c r="AMY49" s="83"/>
      <c r="AMZ49" s="83"/>
      <c r="ANA49" s="83"/>
      <c r="ANB49" s="83"/>
      <c r="ANC49" s="83"/>
      <c r="AND49" s="83"/>
      <c r="ANE49" s="83"/>
      <c r="ANF49" s="83"/>
      <c r="ANG49" s="83"/>
      <c r="ANH49" s="83"/>
      <c r="ANI49" s="83"/>
      <c r="ANJ49" s="83"/>
      <c r="ANK49" s="83"/>
      <c r="ANL49" s="83"/>
      <c r="ANM49" s="83"/>
      <c r="ANN49" s="83"/>
      <c r="ANO49" s="83"/>
      <c r="ANP49" s="83"/>
      <c r="ANQ49" s="83"/>
      <c r="ANR49" s="83"/>
      <c r="ANS49" s="83"/>
      <c r="ANT49" s="83"/>
      <c r="ANU49" s="83"/>
      <c r="ANV49" s="83"/>
      <c r="ANW49" s="83"/>
      <c r="ANX49" s="83"/>
      <c r="ANY49" s="83"/>
      <c r="ANZ49" s="83"/>
      <c r="AOA49" s="83"/>
      <c r="AOB49" s="83"/>
      <c r="AOC49" s="83"/>
      <c r="AOD49" s="83"/>
      <c r="AOE49" s="83"/>
      <c r="AOF49" s="83"/>
      <c r="AOG49" s="83"/>
      <c r="AOH49" s="83"/>
      <c r="AOI49" s="83"/>
      <c r="AOJ49" s="83"/>
      <c r="AOK49" s="83"/>
      <c r="AOL49" s="83"/>
      <c r="AOM49" s="83"/>
      <c r="AON49" s="83"/>
      <c r="AOO49" s="83"/>
      <c r="AOP49" s="83"/>
      <c r="AOQ49" s="83"/>
      <c r="AOR49" s="83"/>
      <c r="AOS49" s="83"/>
      <c r="AOT49" s="83"/>
      <c r="AOU49" s="83"/>
      <c r="AOV49" s="83"/>
      <c r="AOW49" s="83"/>
      <c r="AOX49" s="83"/>
      <c r="AOY49" s="83"/>
      <c r="AOZ49" s="83"/>
      <c r="APA49" s="83"/>
      <c r="APB49" s="83"/>
      <c r="APC49" s="83"/>
      <c r="APD49" s="83"/>
      <c r="APE49" s="83"/>
      <c r="APF49" s="83"/>
      <c r="APG49" s="83"/>
      <c r="APH49" s="83"/>
      <c r="API49" s="83"/>
      <c r="APJ49" s="83"/>
      <c r="APK49" s="83"/>
      <c r="APL49" s="83"/>
      <c r="APM49" s="83"/>
      <c r="APN49" s="83"/>
      <c r="APO49" s="83"/>
      <c r="APP49" s="83"/>
      <c r="APQ49" s="83"/>
      <c r="APR49" s="83"/>
      <c r="APS49" s="83"/>
      <c r="APT49" s="83"/>
      <c r="APU49" s="83"/>
      <c r="APV49" s="83"/>
      <c r="APW49" s="83"/>
      <c r="APX49" s="83"/>
      <c r="APY49" s="83"/>
      <c r="APZ49" s="83"/>
      <c r="AQA49" s="83"/>
      <c r="AQB49" s="83"/>
      <c r="AQC49" s="83"/>
      <c r="AQD49" s="83"/>
      <c r="AQE49" s="83"/>
      <c r="AQF49" s="83"/>
      <c r="AQG49" s="83"/>
      <c r="AQH49" s="83"/>
      <c r="AQI49" s="83"/>
      <c r="AQJ49" s="83"/>
      <c r="AQK49" s="83"/>
      <c r="AQL49" s="83"/>
      <c r="AQM49" s="83"/>
      <c r="AQN49" s="83"/>
      <c r="AQO49" s="83"/>
      <c r="AQP49" s="83"/>
      <c r="AQQ49" s="83"/>
      <c r="AQR49" s="83"/>
      <c r="AQS49" s="83"/>
      <c r="AQT49" s="83"/>
      <c r="AQU49" s="83"/>
      <c r="AQV49" s="83"/>
      <c r="AQW49" s="83"/>
      <c r="AQX49" s="83"/>
      <c r="AQY49" s="83"/>
      <c r="AQZ49" s="83"/>
      <c r="ARA49" s="83"/>
      <c r="ARB49" s="83"/>
      <c r="ARC49" s="83"/>
      <c r="ARD49" s="83"/>
      <c r="ARE49" s="83"/>
      <c r="ARF49" s="83"/>
      <c r="ARG49" s="83"/>
      <c r="ARH49" s="83"/>
      <c r="ARI49" s="83"/>
      <c r="ARJ49" s="83"/>
      <c r="ARK49" s="83"/>
      <c r="ARL49" s="83"/>
      <c r="ARM49" s="83"/>
      <c r="ARN49" s="83"/>
      <c r="ARO49" s="83"/>
      <c r="ARP49" s="83"/>
      <c r="ARQ49" s="83"/>
      <c r="ARR49" s="83"/>
      <c r="ARS49" s="83"/>
      <c r="ART49" s="83"/>
      <c r="ARU49" s="83"/>
      <c r="ARV49" s="83"/>
      <c r="ARW49" s="83"/>
      <c r="ARX49" s="83"/>
      <c r="ARY49" s="83"/>
      <c r="ARZ49" s="83"/>
      <c r="ASA49" s="83"/>
      <c r="ASB49" s="83"/>
      <c r="ASC49" s="83"/>
      <c r="ASD49" s="83"/>
      <c r="ASE49" s="83"/>
      <c r="ASF49" s="83"/>
      <c r="ASG49" s="83"/>
      <c r="ASH49" s="83"/>
      <c r="ASI49" s="83"/>
      <c r="ASJ49" s="83"/>
      <c r="ASK49" s="83"/>
      <c r="ASL49" s="83"/>
      <c r="ASM49" s="83"/>
      <c r="ASN49" s="83"/>
      <c r="ASO49" s="83"/>
      <c r="ASP49" s="83"/>
      <c r="ASQ49" s="83"/>
      <c r="ASR49" s="83"/>
      <c r="ASS49" s="83"/>
      <c r="AST49" s="83"/>
      <c r="ASU49" s="83"/>
      <c r="ASV49" s="83"/>
      <c r="ASW49" s="83"/>
      <c r="ASX49" s="83"/>
      <c r="ASY49" s="83"/>
      <c r="ASZ49" s="83"/>
      <c r="ATA49" s="83"/>
      <c r="ATB49" s="83"/>
      <c r="ATC49" s="83"/>
      <c r="ATD49" s="83"/>
      <c r="ATE49" s="83"/>
      <c r="ATF49" s="83"/>
      <c r="ATG49" s="83"/>
      <c r="ATH49" s="83"/>
      <c r="ATI49" s="83"/>
      <c r="ATJ49" s="83"/>
      <c r="ATK49" s="83"/>
      <c r="ATL49" s="83"/>
      <c r="ATM49" s="83"/>
      <c r="ATN49" s="83"/>
      <c r="ATO49" s="83"/>
      <c r="ATP49" s="83"/>
      <c r="ATQ49" s="83"/>
      <c r="ATR49" s="83"/>
      <c r="ATS49" s="83"/>
      <c r="ATT49" s="83"/>
      <c r="ATU49" s="83"/>
      <c r="ATV49" s="83"/>
      <c r="ATW49" s="83"/>
      <c r="ATX49" s="83"/>
      <c r="ATY49" s="83"/>
      <c r="ATZ49" s="83"/>
      <c r="AUA49" s="83"/>
      <c r="AUB49" s="83"/>
      <c r="AUC49" s="83"/>
      <c r="AUD49" s="83"/>
      <c r="AUE49" s="83"/>
      <c r="AUF49" s="83"/>
      <c r="AUG49" s="83"/>
      <c r="AUH49" s="83"/>
      <c r="AUI49" s="83"/>
      <c r="AUJ49" s="83"/>
      <c r="AUK49" s="83"/>
      <c r="AUL49" s="83"/>
      <c r="AUM49" s="83"/>
      <c r="AUN49" s="83"/>
      <c r="AUO49" s="83"/>
      <c r="AUP49" s="83"/>
      <c r="AUQ49" s="83"/>
      <c r="AUR49" s="83"/>
      <c r="AUS49" s="83"/>
      <c r="AUT49" s="83"/>
      <c r="AUU49" s="83"/>
      <c r="AUV49" s="83"/>
      <c r="AUW49" s="83"/>
      <c r="AUX49" s="83"/>
      <c r="AUY49" s="83"/>
      <c r="AUZ49" s="83"/>
      <c r="AVA49" s="83"/>
      <c r="AVB49" s="83"/>
      <c r="AVC49" s="83"/>
      <c r="AVD49" s="83"/>
      <c r="AVE49" s="83"/>
      <c r="AVF49" s="83"/>
      <c r="AVG49" s="83"/>
      <c r="AVH49" s="83"/>
      <c r="AVI49" s="83"/>
      <c r="AVJ49" s="83"/>
      <c r="AVK49" s="83"/>
      <c r="AVL49" s="83"/>
      <c r="AVM49" s="83"/>
      <c r="AVN49" s="83"/>
      <c r="AVO49" s="83"/>
      <c r="AVP49" s="83"/>
      <c r="AVQ49" s="83"/>
      <c r="AVR49" s="83"/>
      <c r="AVS49" s="83"/>
      <c r="AVT49" s="83"/>
      <c r="AVU49" s="83"/>
      <c r="AVV49" s="83"/>
      <c r="AVW49" s="83"/>
      <c r="AVX49" s="83"/>
      <c r="AVY49" s="83"/>
      <c r="AVZ49" s="83"/>
      <c r="AWA49" s="83"/>
      <c r="AWB49" s="83"/>
      <c r="AWC49" s="83"/>
      <c r="AWD49" s="83"/>
      <c r="AWE49" s="83"/>
      <c r="AWF49" s="83"/>
      <c r="AWG49" s="83"/>
      <c r="AWH49" s="83"/>
      <c r="AWI49" s="83"/>
      <c r="AWJ49" s="83"/>
      <c r="AWK49" s="83"/>
      <c r="AWL49" s="83"/>
      <c r="AWM49" s="83"/>
      <c r="AWN49" s="83"/>
      <c r="AWO49" s="83"/>
      <c r="AWP49" s="83"/>
      <c r="AWQ49" s="83"/>
      <c r="AWR49" s="83"/>
      <c r="AWS49" s="83"/>
      <c r="AWT49" s="83"/>
      <c r="AWU49" s="83"/>
      <c r="AWV49" s="83"/>
      <c r="AWW49" s="83"/>
      <c r="AWX49" s="83"/>
      <c r="AWY49" s="83"/>
      <c r="AWZ49" s="83"/>
      <c r="AXA49" s="83"/>
      <c r="AXB49" s="83"/>
      <c r="AXC49" s="83"/>
      <c r="AXD49" s="83"/>
      <c r="AXE49" s="83"/>
      <c r="AXF49" s="83"/>
      <c r="AXG49" s="83"/>
      <c r="AXH49" s="83"/>
      <c r="AXI49" s="83"/>
      <c r="AXJ49" s="83"/>
      <c r="AXK49" s="83"/>
      <c r="AXL49" s="83"/>
      <c r="AXM49" s="83"/>
      <c r="AXN49" s="83"/>
      <c r="AXO49" s="83"/>
      <c r="AXP49" s="83"/>
      <c r="AXQ49" s="83"/>
      <c r="AXR49" s="83"/>
      <c r="AXS49" s="83"/>
      <c r="AXT49" s="83"/>
      <c r="AXU49" s="83"/>
      <c r="AXV49" s="83"/>
      <c r="AXW49" s="83"/>
      <c r="AXX49" s="83"/>
      <c r="AXY49" s="83"/>
      <c r="AXZ49" s="83"/>
      <c r="AYA49" s="83"/>
      <c r="AYB49" s="83"/>
      <c r="AYC49" s="83"/>
      <c r="AYD49" s="83"/>
      <c r="AYE49" s="83"/>
      <c r="AYF49" s="83"/>
      <c r="AYG49" s="83"/>
      <c r="AYH49" s="83"/>
      <c r="AYI49" s="83"/>
      <c r="AYJ49" s="83"/>
      <c r="AYK49" s="83"/>
      <c r="AYL49" s="83"/>
      <c r="AYM49" s="83"/>
      <c r="AYN49" s="83"/>
      <c r="AYO49" s="83"/>
      <c r="AYP49" s="83"/>
      <c r="AYQ49" s="83"/>
      <c r="AYR49" s="83"/>
      <c r="AYS49" s="83"/>
      <c r="AYT49" s="83"/>
      <c r="AYU49" s="83"/>
      <c r="AYV49" s="83"/>
      <c r="AYW49" s="83"/>
      <c r="AYX49" s="83"/>
      <c r="AYY49" s="83"/>
      <c r="AYZ49" s="83"/>
      <c r="AZA49" s="83"/>
      <c r="AZB49" s="83"/>
      <c r="AZC49" s="83"/>
      <c r="AZD49" s="83"/>
      <c r="AZE49" s="83"/>
      <c r="AZF49" s="83"/>
      <c r="AZG49" s="83"/>
      <c r="AZH49" s="83"/>
      <c r="AZI49" s="83"/>
      <c r="AZJ49" s="83"/>
      <c r="AZK49" s="83"/>
      <c r="AZL49" s="83"/>
      <c r="AZM49" s="83"/>
      <c r="AZN49" s="83"/>
      <c r="AZO49" s="83"/>
      <c r="AZP49" s="83"/>
      <c r="AZQ49" s="83"/>
      <c r="AZR49" s="83"/>
      <c r="AZS49" s="83"/>
      <c r="AZT49" s="83"/>
      <c r="AZU49" s="83"/>
      <c r="AZV49" s="83"/>
      <c r="AZW49" s="83"/>
      <c r="AZX49" s="83"/>
      <c r="AZY49" s="83"/>
      <c r="AZZ49" s="83"/>
      <c r="BAA49" s="83"/>
      <c r="BAB49" s="83"/>
      <c r="BAC49" s="83"/>
      <c r="BAD49" s="83"/>
      <c r="BAE49" s="83"/>
      <c r="BAF49" s="83"/>
      <c r="BAG49" s="83"/>
      <c r="BAH49" s="83"/>
      <c r="BAI49" s="83"/>
      <c r="BAJ49" s="83"/>
      <c r="BAK49" s="83"/>
      <c r="BAL49" s="83"/>
      <c r="BAM49" s="83"/>
      <c r="BAN49" s="83"/>
      <c r="BAO49" s="83"/>
      <c r="BAP49" s="83"/>
      <c r="BAQ49" s="83"/>
      <c r="BAR49" s="83"/>
      <c r="BAS49" s="83"/>
      <c r="BAT49" s="83"/>
      <c r="BAU49" s="83"/>
      <c r="BAV49" s="83"/>
      <c r="BAW49" s="83"/>
      <c r="BAX49" s="83"/>
      <c r="BAY49" s="83"/>
      <c r="BAZ49" s="83"/>
      <c r="BBA49" s="83"/>
      <c r="BBB49" s="83"/>
      <c r="BBC49" s="83"/>
      <c r="BBD49" s="83"/>
      <c r="BBE49" s="83"/>
      <c r="BBF49" s="83"/>
      <c r="BBG49" s="83"/>
      <c r="BBH49" s="83"/>
      <c r="BBI49" s="83"/>
      <c r="BBJ49" s="83"/>
      <c r="BBK49" s="83"/>
      <c r="BBL49" s="83"/>
      <c r="BBM49" s="83"/>
      <c r="BBN49" s="83"/>
      <c r="BBO49" s="83"/>
      <c r="BBP49" s="83"/>
      <c r="BBQ49" s="83"/>
      <c r="BBR49" s="83"/>
      <c r="BBS49" s="83"/>
      <c r="BBT49" s="83"/>
      <c r="BBU49" s="83"/>
      <c r="BBV49" s="83"/>
      <c r="BBW49" s="83"/>
      <c r="BBX49" s="83"/>
      <c r="BBY49" s="83"/>
      <c r="BBZ49" s="83"/>
      <c r="BCA49" s="83"/>
      <c r="BCB49" s="83"/>
      <c r="BCC49" s="83"/>
      <c r="BCD49" s="83"/>
      <c r="BCE49" s="83"/>
      <c r="BCF49" s="83"/>
      <c r="BCG49" s="83"/>
      <c r="BCH49" s="83"/>
      <c r="BCI49" s="83"/>
      <c r="BCJ49" s="83"/>
      <c r="BCK49" s="83"/>
      <c r="BCL49" s="83"/>
      <c r="BCM49" s="83"/>
      <c r="BCN49" s="83"/>
      <c r="BCO49" s="83"/>
      <c r="BCP49" s="83"/>
      <c r="BCQ49" s="83"/>
      <c r="BCR49" s="83"/>
      <c r="BCS49" s="83"/>
      <c r="BCT49" s="83"/>
      <c r="BCU49" s="83"/>
      <c r="BCV49" s="83"/>
      <c r="BCW49" s="83"/>
      <c r="BCX49" s="83"/>
      <c r="BCY49" s="83"/>
      <c r="BCZ49" s="83"/>
      <c r="BDA49" s="83"/>
      <c r="BDB49" s="83"/>
      <c r="BDC49" s="83"/>
      <c r="BDD49" s="83"/>
      <c r="BDE49" s="83"/>
      <c r="BDF49" s="83"/>
      <c r="BDG49" s="83"/>
      <c r="BDH49" s="83"/>
      <c r="BDI49" s="83"/>
      <c r="BDJ49" s="83"/>
      <c r="BDK49" s="83"/>
      <c r="BDL49" s="83"/>
      <c r="BDM49" s="83"/>
      <c r="BDN49" s="83"/>
      <c r="BDO49" s="83"/>
      <c r="BDP49" s="83"/>
      <c r="BDQ49" s="83"/>
      <c r="BDR49" s="83"/>
      <c r="BDS49" s="83"/>
      <c r="BDT49" s="83"/>
      <c r="BDU49" s="83"/>
      <c r="BDV49" s="83"/>
      <c r="BDW49" s="83"/>
      <c r="BDX49" s="83"/>
      <c r="BDY49" s="83"/>
      <c r="BDZ49" s="83"/>
      <c r="BEA49" s="83"/>
      <c r="BEB49" s="83"/>
      <c r="BEC49" s="83"/>
      <c r="BED49" s="83"/>
      <c r="BEE49" s="83"/>
      <c r="BEF49" s="83"/>
      <c r="BEG49" s="83"/>
      <c r="BEH49" s="83"/>
      <c r="BEI49" s="83"/>
      <c r="BEJ49" s="83"/>
      <c r="BEK49" s="83"/>
      <c r="BEL49" s="83"/>
      <c r="BEM49" s="83"/>
      <c r="BEN49" s="83"/>
      <c r="BEO49" s="83"/>
      <c r="BEP49" s="83"/>
      <c r="BEQ49" s="83"/>
      <c r="BER49" s="83"/>
      <c r="BES49" s="83"/>
      <c r="BET49" s="83"/>
      <c r="BEU49" s="83"/>
      <c r="BEV49" s="83"/>
      <c r="BEW49" s="83"/>
      <c r="BEX49" s="83"/>
      <c r="BEY49" s="83"/>
      <c r="BEZ49" s="83"/>
      <c r="BFA49" s="83"/>
      <c r="BFB49" s="83"/>
      <c r="BFC49" s="83"/>
      <c r="BFD49" s="83"/>
      <c r="BFE49" s="83"/>
      <c r="BFF49" s="83"/>
      <c r="BFG49" s="83"/>
      <c r="BFH49" s="83"/>
      <c r="BFI49" s="83"/>
      <c r="BFJ49" s="83"/>
      <c r="BFK49" s="83"/>
      <c r="BFL49" s="83"/>
      <c r="BFM49" s="83"/>
      <c r="BFN49" s="83"/>
      <c r="BFO49" s="83"/>
      <c r="BFP49" s="83"/>
      <c r="BFQ49" s="83"/>
      <c r="BFR49" s="83"/>
      <c r="BFS49" s="83"/>
      <c r="BFT49" s="83"/>
      <c r="BFU49" s="83"/>
      <c r="BFV49" s="83"/>
      <c r="BFW49" s="83"/>
      <c r="BFX49" s="83"/>
      <c r="BFY49" s="83"/>
      <c r="BFZ49" s="83"/>
      <c r="BGA49" s="83"/>
      <c r="BGB49" s="83"/>
      <c r="BGC49" s="83"/>
      <c r="BGD49" s="83"/>
      <c r="BGE49" s="83"/>
      <c r="BGF49" s="83"/>
      <c r="BGG49" s="83"/>
      <c r="BGH49" s="83"/>
      <c r="BGI49" s="83"/>
      <c r="BGJ49" s="83"/>
      <c r="BGK49" s="83"/>
      <c r="BGL49" s="83"/>
      <c r="BGM49" s="83"/>
      <c r="BGN49" s="83"/>
      <c r="BGO49" s="83"/>
      <c r="BGP49" s="83"/>
      <c r="BGQ49" s="83"/>
      <c r="BGR49" s="83"/>
      <c r="BGS49" s="83"/>
      <c r="BGT49" s="83"/>
      <c r="BGU49" s="83"/>
      <c r="BGV49" s="83"/>
      <c r="BGW49" s="83"/>
      <c r="BGX49" s="83"/>
      <c r="BGY49" s="83"/>
      <c r="BGZ49" s="83"/>
      <c r="BHA49" s="83"/>
      <c r="BHB49" s="83"/>
      <c r="BHC49" s="83"/>
      <c r="BHD49" s="83"/>
      <c r="BHE49" s="83"/>
      <c r="BHF49" s="83"/>
      <c r="BHG49" s="83"/>
      <c r="BHH49" s="83"/>
      <c r="BHI49" s="83"/>
      <c r="BHJ49" s="83"/>
      <c r="BHK49" s="83"/>
      <c r="BHL49" s="83"/>
      <c r="BHM49" s="83"/>
      <c r="BHN49" s="83"/>
      <c r="BHO49" s="83"/>
      <c r="BHP49" s="83"/>
      <c r="BHQ49" s="83"/>
      <c r="BHR49" s="83"/>
      <c r="BHS49" s="83"/>
      <c r="BHT49" s="83"/>
      <c r="BHU49" s="83"/>
      <c r="BHV49" s="83"/>
      <c r="BHW49" s="83"/>
      <c r="BHX49" s="83"/>
      <c r="BHY49" s="83"/>
      <c r="BHZ49" s="83"/>
      <c r="BIA49" s="83"/>
      <c r="BIB49" s="83"/>
      <c r="BIC49" s="83"/>
      <c r="BID49" s="83"/>
      <c r="BIE49" s="83"/>
      <c r="BIF49" s="83"/>
      <c r="BIG49" s="83"/>
      <c r="BIH49" s="83"/>
      <c r="BII49" s="83"/>
      <c r="BIJ49" s="83"/>
      <c r="BIK49" s="83"/>
      <c r="BIL49" s="83"/>
      <c r="BIM49" s="83"/>
      <c r="BIN49" s="83"/>
      <c r="BIO49" s="83"/>
      <c r="BIP49" s="83"/>
      <c r="BIQ49" s="83"/>
      <c r="BIR49" s="83"/>
      <c r="BIS49" s="83"/>
      <c r="BIT49" s="83"/>
      <c r="BIU49" s="83"/>
      <c r="BIV49" s="83"/>
      <c r="BIW49" s="83"/>
      <c r="BIX49" s="83"/>
      <c r="BIY49" s="83"/>
      <c r="BIZ49" s="83"/>
      <c r="BJA49" s="83"/>
      <c r="BJB49" s="83"/>
      <c r="BJC49" s="83"/>
      <c r="BJD49" s="83"/>
      <c r="BJE49" s="83"/>
      <c r="BJF49" s="83"/>
      <c r="BJG49" s="83"/>
      <c r="BJH49" s="83"/>
      <c r="BJI49" s="83"/>
      <c r="BJJ49" s="83"/>
      <c r="BJK49" s="83"/>
      <c r="BJL49" s="83"/>
      <c r="BJM49" s="83"/>
      <c r="BJN49" s="83"/>
      <c r="BJO49" s="83"/>
      <c r="BJP49" s="83"/>
      <c r="BJQ49" s="83"/>
      <c r="BJR49" s="83"/>
      <c r="BJS49" s="83"/>
      <c r="BJT49" s="83"/>
      <c r="BJU49" s="83"/>
      <c r="BJV49" s="83"/>
      <c r="BJW49" s="83"/>
      <c r="BJX49" s="83"/>
      <c r="BJY49" s="83"/>
      <c r="BJZ49" s="83"/>
      <c r="BKA49" s="83"/>
      <c r="BKB49" s="83"/>
      <c r="BKC49" s="83"/>
      <c r="BKD49" s="83"/>
      <c r="BKE49" s="83"/>
      <c r="BKF49" s="83"/>
      <c r="BKG49" s="83"/>
      <c r="BKH49" s="83"/>
      <c r="BKI49" s="83"/>
      <c r="BKJ49" s="83"/>
      <c r="BKK49" s="83"/>
      <c r="BKL49" s="83"/>
      <c r="BKM49" s="83"/>
      <c r="BKN49" s="83"/>
      <c r="BKO49" s="83"/>
      <c r="BKP49" s="83"/>
      <c r="BKQ49" s="83"/>
      <c r="BKR49" s="83"/>
      <c r="BKS49" s="83"/>
      <c r="BKT49" s="83"/>
      <c r="BKU49" s="83"/>
      <c r="BKV49" s="83"/>
      <c r="BKW49" s="83"/>
      <c r="BKX49" s="83"/>
      <c r="BKY49" s="83"/>
      <c r="BKZ49" s="83"/>
      <c r="BLA49" s="83"/>
      <c r="BLB49" s="83"/>
      <c r="BLC49" s="83"/>
      <c r="BLD49" s="83"/>
      <c r="BLE49" s="83"/>
      <c r="BLF49" s="83"/>
      <c r="BLG49" s="83"/>
      <c r="BLH49" s="83"/>
      <c r="BLI49" s="83"/>
      <c r="BLJ49" s="83"/>
      <c r="BLK49" s="83"/>
      <c r="BLL49" s="83"/>
      <c r="BLM49" s="83"/>
      <c r="BLN49" s="83"/>
      <c r="BLO49" s="83"/>
      <c r="BLP49" s="83"/>
      <c r="BLQ49" s="83"/>
      <c r="BLR49" s="83"/>
      <c r="BLS49" s="83"/>
      <c r="BLT49" s="83"/>
      <c r="BLU49" s="83"/>
      <c r="BLV49" s="83"/>
      <c r="BLW49" s="83"/>
      <c r="BLX49" s="83"/>
      <c r="BLY49" s="83"/>
      <c r="BLZ49" s="83"/>
      <c r="BMA49" s="83"/>
      <c r="BMB49" s="83"/>
      <c r="BMC49" s="83"/>
      <c r="BMD49" s="83"/>
      <c r="BME49" s="83"/>
      <c r="BMF49" s="83"/>
      <c r="BMG49" s="83"/>
      <c r="BMH49" s="83"/>
      <c r="BMI49" s="83"/>
      <c r="BMJ49" s="83"/>
      <c r="BMK49" s="83"/>
      <c r="BML49" s="83"/>
      <c r="BMM49" s="83"/>
      <c r="BMN49" s="83"/>
      <c r="BMO49" s="83"/>
      <c r="BMP49" s="83"/>
      <c r="BMQ49" s="83"/>
      <c r="BMR49" s="83"/>
      <c r="BMS49" s="83"/>
      <c r="BMT49" s="83"/>
      <c r="BMU49" s="83"/>
      <c r="BMV49" s="83"/>
      <c r="BMW49" s="83"/>
      <c r="BMX49" s="83"/>
      <c r="BMY49" s="83"/>
      <c r="BMZ49" s="83"/>
      <c r="BNA49" s="83"/>
      <c r="BNB49" s="83"/>
      <c r="BNC49" s="83"/>
      <c r="BND49" s="83"/>
      <c r="BNE49" s="83"/>
      <c r="BNF49" s="83"/>
      <c r="BNG49" s="83"/>
      <c r="BNH49" s="83"/>
      <c r="BNI49" s="83"/>
      <c r="BNJ49" s="83"/>
      <c r="BNK49" s="83"/>
      <c r="BNL49" s="83"/>
      <c r="BNM49" s="83"/>
      <c r="BNN49" s="83"/>
      <c r="BNO49" s="83"/>
      <c r="BNP49" s="83"/>
      <c r="BNQ49" s="83"/>
      <c r="BNR49" s="83"/>
      <c r="BNS49" s="83"/>
      <c r="BNT49" s="83"/>
      <c r="BNU49" s="83"/>
      <c r="BNV49" s="83"/>
      <c r="BNW49" s="83"/>
      <c r="BNX49" s="83"/>
      <c r="BNY49" s="83"/>
      <c r="BNZ49" s="83"/>
      <c r="BOA49" s="83"/>
      <c r="BOB49" s="83"/>
      <c r="BOC49" s="83"/>
      <c r="BOD49" s="83"/>
      <c r="BOE49" s="83"/>
      <c r="BOF49" s="83"/>
      <c r="BOG49" s="83"/>
      <c r="BOH49" s="83"/>
      <c r="BOI49" s="83"/>
      <c r="BOJ49" s="83"/>
      <c r="BOK49" s="83"/>
      <c r="BOL49" s="83"/>
      <c r="BOM49" s="83"/>
      <c r="BON49" s="83"/>
      <c r="BOO49" s="83"/>
      <c r="BOP49" s="83"/>
      <c r="BOQ49" s="83"/>
      <c r="BOR49" s="83"/>
      <c r="BOS49" s="83"/>
      <c r="BOT49" s="83"/>
      <c r="BOU49" s="83"/>
      <c r="BOV49" s="83"/>
      <c r="BOW49" s="83"/>
      <c r="BOX49" s="83"/>
      <c r="BOY49" s="83"/>
      <c r="BOZ49" s="83"/>
      <c r="BPA49" s="83"/>
      <c r="BPB49" s="83"/>
      <c r="BPC49" s="83"/>
      <c r="BPD49" s="83"/>
      <c r="BPE49" s="83"/>
      <c r="BPF49" s="83"/>
      <c r="BPG49" s="83"/>
      <c r="BPH49" s="83"/>
      <c r="BPI49" s="83"/>
      <c r="BPJ49" s="83"/>
      <c r="BPK49" s="83"/>
      <c r="BPL49" s="83"/>
      <c r="BPM49" s="83"/>
      <c r="BPN49" s="83"/>
      <c r="BPO49" s="83"/>
      <c r="BPP49" s="83"/>
      <c r="BPQ49" s="83"/>
      <c r="BPR49" s="83"/>
      <c r="BPS49" s="83"/>
      <c r="BPT49" s="83"/>
      <c r="BPU49" s="83"/>
      <c r="BPV49" s="83"/>
      <c r="BPW49" s="83"/>
      <c r="BPX49" s="83"/>
      <c r="BPY49" s="83"/>
      <c r="BPZ49" s="83"/>
      <c r="BQA49" s="83"/>
      <c r="BQB49" s="83"/>
      <c r="BQC49" s="83"/>
      <c r="BQD49" s="83"/>
      <c r="BQE49" s="83"/>
      <c r="BQF49" s="83"/>
      <c r="BQG49" s="83"/>
      <c r="BQH49" s="83"/>
      <c r="BQI49" s="83"/>
      <c r="BQJ49" s="83"/>
      <c r="BQK49" s="83"/>
      <c r="BQL49" s="83"/>
      <c r="BQM49" s="83"/>
      <c r="BQN49" s="83"/>
      <c r="BQO49" s="83"/>
      <c r="BQP49" s="83"/>
      <c r="BQQ49" s="83"/>
      <c r="BQR49" s="83"/>
      <c r="BQS49" s="83"/>
      <c r="BQT49" s="83"/>
      <c r="BQU49" s="83"/>
      <c r="BQV49" s="83"/>
      <c r="BQW49" s="83"/>
      <c r="BQX49" s="83"/>
      <c r="BQY49" s="83"/>
      <c r="BQZ49" s="83"/>
      <c r="BRA49" s="83"/>
      <c r="BRB49" s="83"/>
      <c r="BRC49" s="83"/>
      <c r="BRD49" s="83"/>
      <c r="BRE49" s="83"/>
      <c r="BRF49" s="83"/>
      <c r="BRG49" s="83"/>
      <c r="BRH49" s="83"/>
      <c r="BRI49" s="83"/>
      <c r="BRJ49" s="83"/>
      <c r="BRK49" s="83"/>
      <c r="BRL49" s="83"/>
      <c r="BRM49" s="83"/>
      <c r="BRN49" s="83"/>
      <c r="BRO49" s="83"/>
      <c r="BRP49" s="83"/>
      <c r="BRQ49" s="83"/>
      <c r="BRR49" s="83"/>
      <c r="BRS49" s="83"/>
      <c r="BRT49" s="83"/>
      <c r="BRU49" s="83"/>
      <c r="BRV49" s="83"/>
      <c r="BRW49" s="83"/>
      <c r="BRX49" s="83"/>
      <c r="BRY49" s="83"/>
      <c r="BRZ49" s="83"/>
      <c r="BSA49" s="83"/>
      <c r="BSB49" s="83"/>
      <c r="BSC49" s="83"/>
      <c r="BSD49" s="83"/>
      <c r="BSE49" s="83"/>
      <c r="BSF49" s="83"/>
      <c r="BSG49" s="83"/>
      <c r="BSH49" s="83"/>
      <c r="BSI49" s="83"/>
      <c r="BSJ49" s="83"/>
      <c r="BSK49" s="83"/>
      <c r="BSL49" s="83"/>
      <c r="BSM49" s="83"/>
      <c r="BSN49" s="83"/>
      <c r="BSO49" s="83"/>
      <c r="BSP49" s="83"/>
      <c r="BSQ49" s="83"/>
      <c r="BSR49" s="83"/>
      <c r="BSS49" s="83"/>
      <c r="BST49" s="83"/>
      <c r="BSU49" s="83"/>
      <c r="BSV49" s="83"/>
      <c r="BSW49" s="83"/>
      <c r="BSX49" s="83"/>
      <c r="BSY49" s="83"/>
      <c r="BSZ49" s="83"/>
      <c r="BTA49" s="83"/>
      <c r="BTB49" s="83"/>
      <c r="BTC49" s="83"/>
      <c r="BTD49" s="83"/>
      <c r="BTE49" s="83"/>
      <c r="BTF49" s="83"/>
      <c r="BTG49" s="83"/>
      <c r="BTH49" s="83"/>
      <c r="BTI49" s="83"/>
      <c r="BTJ49" s="83"/>
      <c r="BTK49" s="83"/>
      <c r="BTL49" s="83"/>
      <c r="BTM49" s="83"/>
      <c r="BTN49" s="83"/>
      <c r="BTO49" s="83"/>
      <c r="BTP49" s="83"/>
      <c r="BTQ49" s="83"/>
      <c r="BTR49" s="83"/>
      <c r="BTS49" s="83"/>
      <c r="BTT49" s="83"/>
      <c r="BTU49" s="83"/>
      <c r="BTV49" s="83"/>
      <c r="BTW49" s="83"/>
      <c r="BTX49" s="83"/>
      <c r="BTY49" s="83"/>
      <c r="BTZ49" s="83"/>
      <c r="BUA49" s="83"/>
      <c r="BUB49" s="83"/>
      <c r="BUC49" s="83"/>
      <c r="BUD49" s="83"/>
      <c r="BUE49" s="83"/>
      <c r="BUF49" s="83"/>
      <c r="BUG49" s="83"/>
      <c r="BUH49" s="83"/>
      <c r="BUI49" s="83"/>
      <c r="BUJ49" s="83"/>
      <c r="BUK49" s="83"/>
      <c r="BUL49" s="83"/>
      <c r="BUM49" s="83"/>
      <c r="BUN49" s="83"/>
      <c r="BUO49" s="83"/>
      <c r="BUP49" s="83"/>
      <c r="BUQ49" s="83"/>
      <c r="BUR49" s="83"/>
      <c r="BUS49" s="83"/>
      <c r="BUT49" s="83"/>
      <c r="BUU49" s="83"/>
      <c r="BUV49" s="83"/>
      <c r="BUW49" s="83"/>
      <c r="BUX49" s="83"/>
      <c r="BUY49" s="83"/>
      <c r="BUZ49" s="83"/>
      <c r="BVA49" s="83"/>
      <c r="BVB49" s="83"/>
      <c r="BVC49" s="83"/>
      <c r="BVD49" s="83"/>
      <c r="BVE49" s="83"/>
      <c r="BVF49" s="83"/>
      <c r="BVG49" s="83"/>
      <c r="BVH49" s="83"/>
      <c r="BVI49" s="83"/>
      <c r="BVJ49" s="83"/>
      <c r="BVK49" s="83"/>
      <c r="BVL49" s="83"/>
      <c r="BVM49" s="83"/>
      <c r="BVN49" s="83"/>
      <c r="BVO49" s="83"/>
      <c r="BVP49" s="83"/>
      <c r="BVQ49" s="83"/>
      <c r="BVR49" s="83"/>
      <c r="BVS49" s="83"/>
      <c r="BVT49" s="83"/>
      <c r="BVU49" s="83"/>
      <c r="BVV49" s="83"/>
      <c r="BVW49" s="83"/>
      <c r="BVX49" s="83"/>
      <c r="BVY49" s="83"/>
      <c r="BVZ49" s="83"/>
      <c r="BWA49" s="83"/>
      <c r="BWB49" s="83"/>
      <c r="BWC49" s="83"/>
      <c r="BWD49" s="83"/>
      <c r="BWE49" s="83"/>
      <c r="BWF49" s="83"/>
      <c r="BWG49" s="83"/>
      <c r="BWH49" s="83"/>
      <c r="BWI49" s="83"/>
      <c r="BWJ49" s="83"/>
      <c r="BWK49" s="83"/>
      <c r="BWL49" s="83"/>
      <c r="BWM49" s="83"/>
      <c r="BWN49" s="83"/>
      <c r="BWO49" s="83"/>
      <c r="BWP49" s="83"/>
      <c r="BWQ49" s="83"/>
      <c r="BWR49" s="83"/>
      <c r="BWS49" s="83"/>
      <c r="BWT49" s="83"/>
      <c r="BWU49" s="83"/>
      <c r="BWV49" s="83"/>
      <c r="BWW49" s="83"/>
      <c r="BWX49" s="83"/>
      <c r="BWY49" s="83"/>
      <c r="BWZ49" s="83"/>
      <c r="BXA49" s="83"/>
      <c r="BXB49" s="83"/>
      <c r="BXC49" s="83"/>
      <c r="BXD49" s="83"/>
      <c r="BXE49" s="83"/>
      <c r="BXF49" s="83"/>
      <c r="BXG49" s="83"/>
      <c r="BXH49" s="83"/>
      <c r="BXI49" s="83"/>
      <c r="BXJ49" s="83"/>
      <c r="BXK49" s="83"/>
      <c r="BXL49" s="83"/>
      <c r="BXM49" s="83"/>
      <c r="BXN49" s="83"/>
      <c r="BXO49" s="83"/>
      <c r="BXP49" s="83"/>
      <c r="BXQ49" s="83"/>
      <c r="BXR49" s="83"/>
      <c r="BXS49" s="83"/>
      <c r="BXT49" s="83"/>
      <c r="BXU49" s="83"/>
      <c r="BXV49" s="83"/>
      <c r="BXW49" s="83"/>
      <c r="BXX49" s="83"/>
      <c r="BXY49" s="83"/>
      <c r="BXZ49" s="83"/>
      <c r="BYA49" s="83"/>
      <c r="BYB49" s="83"/>
      <c r="BYC49" s="83"/>
      <c r="BYD49" s="83"/>
      <c r="BYE49" s="83"/>
      <c r="BYF49" s="83"/>
      <c r="BYG49" s="83"/>
      <c r="BYH49" s="83"/>
      <c r="BYI49" s="83"/>
      <c r="BYJ49" s="83"/>
      <c r="BYK49" s="83"/>
      <c r="BYL49" s="83"/>
      <c r="BYM49" s="83"/>
      <c r="BYN49" s="83"/>
      <c r="BYO49" s="83"/>
      <c r="BYP49" s="83"/>
      <c r="BYQ49" s="83"/>
      <c r="BYR49" s="83"/>
      <c r="BYS49" s="83"/>
      <c r="BYT49" s="83"/>
      <c r="BYU49" s="83"/>
      <c r="BYV49" s="83"/>
      <c r="BYW49" s="83"/>
      <c r="BYX49" s="83"/>
      <c r="BYY49" s="83"/>
      <c r="BYZ49" s="83"/>
      <c r="BZA49" s="83"/>
      <c r="BZB49" s="83"/>
      <c r="BZC49" s="83"/>
      <c r="BZD49" s="83"/>
      <c r="BZE49" s="83"/>
      <c r="BZF49" s="83"/>
      <c r="BZG49" s="83"/>
      <c r="BZH49" s="83"/>
      <c r="BZI49" s="83"/>
      <c r="BZJ49" s="83"/>
      <c r="BZK49" s="83"/>
      <c r="BZL49" s="83"/>
      <c r="BZM49" s="83"/>
      <c r="BZN49" s="83"/>
      <c r="BZO49" s="83"/>
      <c r="BZP49" s="83"/>
      <c r="BZQ49" s="83"/>
      <c r="BZR49" s="83"/>
      <c r="BZS49" s="83"/>
      <c r="BZT49" s="83"/>
      <c r="BZU49" s="83"/>
      <c r="BZV49" s="83"/>
      <c r="BZW49" s="83"/>
      <c r="BZX49" s="83"/>
      <c r="BZY49" s="83"/>
      <c r="BZZ49" s="83"/>
      <c r="CAA49" s="83"/>
      <c r="CAB49" s="83"/>
      <c r="CAC49" s="83"/>
      <c r="CAD49" s="83"/>
      <c r="CAE49" s="83"/>
      <c r="CAF49" s="83"/>
      <c r="CAG49" s="83"/>
      <c r="CAH49" s="83"/>
      <c r="CAI49" s="83"/>
      <c r="CAJ49" s="83"/>
      <c r="CAK49" s="83"/>
      <c r="CAL49" s="83"/>
      <c r="CAM49" s="83"/>
      <c r="CAN49" s="83"/>
      <c r="CAO49" s="83"/>
      <c r="CAP49" s="83"/>
      <c r="CAQ49" s="83"/>
      <c r="CAR49" s="83"/>
      <c r="CAS49" s="83"/>
      <c r="CAT49" s="83"/>
      <c r="CAU49" s="83"/>
      <c r="CAV49" s="83"/>
      <c r="CAW49" s="83"/>
      <c r="CAX49" s="83"/>
      <c r="CAY49" s="83"/>
      <c r="CAZ49" s="83"/>
      <c r="CBA49" s="83"/>
      <c r="CBB49" s="83"/>
      <c r="CBC49" s="83"/>
      <c r="CBD49" s="83"/>
      <c r="CBE49" s="83"/>
      <c r="CBF49" s="83"/>
      <c r="CBG49" s="83"/>
      <c r="CBH49" s="83"/>
      <c r="CBI49" s="83"/>
      <c r="CBJ49" s="83"/>
      <c r="CBK49" s="83"/>
      <c r="CBL49" s="83"/>
      <c r="CBM49" s="83"/>
      <c r="CBN49" s="83"/>
      <c r="CBO49" s="83"/>
      <c r="CBP49" s="83"/>
      <c r="CBQ49" s="83"/>
      <c r="CBR49" s="83"/>
      <c r="CBS49" s="83"/>
      <c r="CBT49" s="83"/>
      <c r="CBU49" s="83"/>
      <c r="CBV49" s="83"/>
      <c r="CBW49" s="83"/>
      <c r="CBX49" s="83"/>
      <c r="CBY49" s="83"/>
      <c r="CBZ49" s="83"/>
      <c r="CCA49" s="83"/>
      <c r="CCB49" s="83"/>
      <c r="CCC49" s="83"/>
      <c r="CCD49" s="83"/>
      <c r="CCE49" s="83"/>
      <c r="CCF49" s="83"/>
      <c r="CCG49" s="83"/>
      <c r="CCH49" s="83"/>
      <c r="CCI49" s="83"/>
      <c r="CCJ49" s="83"/>
      <c r="CCK49" s="83"/>
      <c r="CCL49" s="83"/>
      <c r="CCM49" s="83"/>
      <c r="CCN49" s="83"/>
      <c r="CCO49" s="83"/>
      <c r="CCP49" s="83"/>
      <c r="CCQ49" s="83"/>
      <c r="CCR49" s="83"/>
      <c r="CCS49" s="83"/>
      <c r="CCT49" s="83"/>
      <c r="CCU49" s="83"/>
      <c r="CCV49" s="83"/>
      <c r="CCW49" s="83"/>
      <c r="CCX49" s="83"/>
      <c r="CCY49" s="83"/>
      <c r="CCZ49" s="83"/>
      <c r="CDA49" s="83"/>
      <c r="CDB49" s="83"/>
      <c r="CDC49" s="83"/>
      <c r="CDD49" s="83"/>
      <c r="CDE49" s="83"/>
      <c r="CDF49" s="83"/>
      <c r="CDG49" s="83"/>
      <c r="CDH49" s="83"/>
      <c r="CDI49" s="83"/>
      <c r="CDJ49" s="83"/>
      <c r="CDK49" s="83"/>
      <c r="CDL49" s="83"/>
      <c r="CDM49" s="83"/>
      <c r="CDN49" s="83"/>
      <c r="CDO49" s="83"/>
      <c r="CDP49" s="83"/>
      <c r="CDQ49" s="83"/>
      <c r="CDR49" s="83"/>
      <c r="CDS49" s="83"/>
      <c r="CDT49" s="83"/>
      <c r="CDU49" s="83"/>
      <c r="CDV49" s="83"/>
      <c r="CDW49" s="83"/>
      <c r="CDX49" s="83"/>
      <c r="CDY49" s="83"/>
      <c r="CDZ49" s="83"/>
      <c r="CEA49" s="83"/>
      <c r="CEB49" s="83"/>
      <c r="CEC49" s="83"/>
      <c r="CED49" s="83"/>
      <c r="CEE49" s="83"/>
      <c r="CEF49" s="83"/>
      <c r="CEG49" s="83"/>
      <c r="CEH49" s="83"/>
      <c r="CEI49" s="83"/>
      <c r="CEJ49" s="83"/>
      <c r="CEK49" s="83"/>
      <c r="CEL49" s="83"/>
      <c r="CEM49" s="83"/>
      <c r="CEN49" s="83"/>
      <c r="CEO49" s="83"/>
      <c r="CEP49" s="83"/>
      <c r="CEQ49" s="83"/>
      <c r="CER49" s="83"/>
      <c r="CES49" s="83"/>
      <c r="CET49" s="83"/>
      <c r="CEU49" s="83"/>
      <c r="CEV49" s="83"/>
      <c r="CEW49" s="83"/>
      <c r="CEX49" s="83"/>
      <c r="CEY49" s="83"/>
      <c r="CEZ49" s="83"/>
      <c r="CFA49" s="83"/>
      <c r="CFB49" s="83"/>
      <c r="CFC49" s="83"/>
      <c r="CFD49" s="83"/>
      <c r="CFE49" s="83"/>
      <c r="CFF49" s="83"/>
      <c r="CFG49" s="83"/>
      <c r="CFH49" s="83"/>
      <c r="CFI49" s="83"/>
      <c r="CFJ49" s="83"/>
      <c r="CFK49" s="83"/>
      <c r="CFL49" s="83"/>
      <c r="CFM49" s="83"/>
      <c r="CFN49" s="83"/>
      <c r="CFO49" s="83"/>
      <c r="CFP49" s="83"/>
      <c r="CFQ49" s="83"/>
      <c r="CFR49" s="83"/>
      <c r="CFS49" s="83"/>
      <c r="CFT49" s="83"/>
      <c r="CFU49" s="83"/>
      <c r="CFV49" s="83"/>
      <c r="CFW49" s="83"/>
      <c r="CFX49" s="83"/>
      <c r="CFY49" s="83"/>
      <c r="CFZ49" s="83"/>
      <c r="CGA49" s="83"/>
      <c r="CGB49" s="83"/>
      <c r="CGC49" s="83"/>
      <c r="CGD49" s="83"/>
      <c r="CGE49" s="83"/>
      <c r="CGF49" s="83"/>
      <c r="CGG49" s="83"/>
      <c r="CGH49" s="83"/>
      <c r="CGI49" s="83"/>
      <c r="CGJ49" s="83"/>
      <c r="CGK49" s="83"/>
      <c r="CGL49" s="83"/>
      <c r="CGM49" s="83"/>
      <c r="CGN49" s="83"/>
      <c r="CGO49" s="83"/>
      <c r="CGP49" s="83"/>
      <c r="CGQ49" s="83"/>
      <c r="CGR49" s="83"/>
      <c r="CGS49" s="83"/>
      <c r="CGT49" s="83"/>
      <c r="CGU49" s="83"/>
      <c r="CGV49" s="83"/>
      <c r="CGW49" s="83"/>
      <c r="CGX49" s="83"/>
      <c r="CGY49" s="83"/>
      <c r="CGZ49" s="83"/>
      <c r="CHA49" s="83"/>
      <c r="CHB49" s="83"/>
      <c r="CHC49" s="83"/>
      <c r="CHD49" s="83"/>
      <c r="CHE49" s="83"/>
      <c r="CHF49" s="83"/>
      <c r="CHG49" s="83"/>
      <c r="CHH49" s="83"/>
      <c r="CHI49" s="83"/>
      <c r="CHJ49" s="83"/>
      <c r="CHK49" s="83"/>
      <c r="CHL49" s="83"/>
      <c r="CHM49" s="83"/>
      <c r="CHN49" s="83"/>
      <c r="CHO49" s="83"/>
      <c r="CHP49" s="83"/>
      <c r="CHQ49" s="83"/>
      <c r="CHR49" s="83"/>
      <c r="CHS49" s="83"/>
      <c r="CHT49" s="83"/>
      <c r="CHU49" s="83"/>
      <c r="CHV49" s="83"/>
      <c r="CHW49" s="83"/>
      <c r="CHX49" s="83"/>
      <c r="CHY49" s="83"/>
      <c r="CHZ49" s="83"/>
      <c r="CIA49" s="83"/>
      <c r="CIB49" s="83"/>
      <c r="CIC49" s="83"/>
      <c r="CID49" s="83"/>
      <c r="CIE49" s="83"/>
      <c r="CIF49" s="83"/>
      <c r="CIG49" s="83"/>
      <c r="CIH49" s="83"/>
      <c r="CII49" s="83"/>
      <c r="CIJ49" s="83"/>
      <c r="CIK49" s="83"/>
      <c r="CIL49" s="83"/>
      <c r="CIM49" s="83"/>
      <c r="CIN49" s="83"/>
      <c r="CIO49" s="83"/>
      <c r="CIP49" s="83"/>
      <c r="CIQ49" s="83"/>
      <c r="CIR49" s="83"/>
      <c r="CIS49" s="83"/>
      <c r="CIT49" s="83"/>
      <c r="CIU49" s="83"/>
      <c r="CIV49" s="83"/>
      <c r="CIW49" s="83"/>
      <c r="CIX49" s="83"/>
      <c r="CIY49" s="83"/>
      <c r="CIZ49" s="83"/>
      <c r="CJA49" s="83"/>
      <c r="CJB49" s="83"/>
      <c r="CJC49" s="83"/>
      <c r="CJD49" s="83"/>
      <c r="CJE49" s="83"/>
      <c r="CJF49" s="83"/>
      <c r="CJG49" s="83"/>
      <c r="CJH49" s="83"/>
      <c r="CJI49" s="83"/>
      <c r="CJJ49" s="83"/>
      <c r="CJK49" s="83"/>
      <c r="CJL49" s="83"/>
      <c r="CJM49" s="83"/>
      <c r="CJN49" s="83"/>
      <c r="CJO49" s="83"/>
      <c r="CJP49" s="83"/>
      <c r="CJQ49" s="83"/>
      <c r="CJR49" s="83"/>
      <c r="CJS49" s="83"/>
      <c r="CJT49" s="83"/>
      <c r="CJU49" s="83"/>
      <c r="CJV49" s="83"/>
      <c r="CJW49" s="83"/>
      <c r="CJX49" s="83"/>
      <c r="CJY49" s="83"/>
      <c r="CJZ49" s="83"/>
      <c r="CKA49" s="83"/>
      <c r="CKB49" s="83"/>
      <c r="CKC49" s="83"/>
      <c r="CKD49" s="83"/>
      <c r="CKE49" s="83"/>
      <c r="CKF49" s="83"/>
      <c r="CKG49" s="83"/>
      <c r="CKH49" s="83"/>
      <c r="CKI49" s="83"/>
      <c r="CKJ49" s="83"/>
      <c r="CKK49" s="83"/>
      <c r="CKL49" s="83"/>
      <c r="CKM49" s="83"/>
      <c r="CKN49" s="83"/>
      <c r="CKO49" s="83"/>
      <c r="CKP49" s="83"/>
      <c r="CKQ49" s="83"/>
      <c r="CKR49" s="83"/>
      <c r="CKS49" s="83"/>
      <c r="CKT49" s="83"/>
      <c r="CKU49" s="83"/>
      <c r="CKV49" s="83"/>
      <c r="CKW49" s="83"/>
      <c r="CKX49" s="83"/>
      <c r="CKY49" s="83"/>
      <c r="CKZ49" s="83"/>
      <c r="CLA49" s="83"/>
      <c r="CLB49" s="83"/>
      <c r="CLC49" s="83"/>
      <c r="CLD49" s="83"/>
      <c r="CLE49" s="83"/>
      <c r="CLF49" s="83"/>
      <c r="CLG49" s="83"/>
      <c r="CLH49" s="83"/>
      <c r="CLI49" s="83"/>
      <c r="CLJ49" s="83"/>
      <c r="CLK49" s="83"/>
      <c r="CLL49" s="83"/>
      <c r="CLM49" s="83"/>
      <c r="CLN49" s="83"/>
      <c r="CLO49" s="83"/>
      <c r="CLP49" s="83"/>
      <c r="CLQ49" s="83"/>
      <c r="CLR49" s="83"/>
      <c r="CLS49" s="83"/>
      <c r="CLT49" s="83"/>
      <c r="CLU49" s="83"/>
      <c r="CLV49" s="83"/>
      <c r="CLW49" s="83"/>
      <c r="CLX49" s="83"/>
      <c r="CLY49" s="83"/>
      <c r="CLZ49" s="83"/>
      <c r="CMA49" s="83"/>
      <c r="CMB49" s="83"/>
      <c r="CMC49" s="83"/>
      <c r="CMD49" s="83"/>
      <c r="CME49" s="83"/>
      <c r="CMF49" s="83"/>
      <c r="CMG49" s="83"/>
      <c r="CMH49" s="83"/>
      <c r="CMI49" s="83"/>
      <c r="CMJ49" s="83"/>
      <c r="CMK49" s="83"/>
      <c r="CML49" s="83"/>
      <c r="CMM49" s="83"/>
      <c r="CMN49" s="83"/>
      <c r="CMO49" s="83"/>
      <c r="CMP49" s="83"/>
      <c r="CMQ49" s="83"/>
      <c r="CMR49" s="83"/>
      <c r="CMS49" s="83"/>
      <c r="CMT49" s="83"/>
      <c r="CMU49" s="83"/>
      <c r="CMV49" s="83"/>
      <c r="CMW49" s="83"/>
      <c r="CMX49" s="83"/>
      <c r="CMY49" s="83"/>
      <c r="CMZ49" s="83"/>
      <c r="CNA49" s="83"/>
      <c r="CNB49" s="83"/>
      <c r="CNC49" s="83"/>
      <c r="CND49" s="83"/>
      <c r="CNE49" s="83"/>
      <c r="CNF49" s="83"/>
      <c r="CNG49" s="83"/>
      <c r="CNH49" s="83"/>
      <c r="CNI49" s="83"/>
      <c r="CNJ49" s="83"/>
      <c r="CNK49" s="83"/>
      <c r="CNL49" s="83"/>
      <c r="CNM49" s="83"/>
      <c r="CNN49" s="83"/>
      <c r="CNO49" s="83"/>
      <c r="CNP49" s="83"/>
      <c r="CNQ49" s="83"/>
      <c r="CNR49" s="83"/>
      <c r="CNS49" s="83"/>
      <c r="CNT49" s="83"/>
      <c r="CNU49" s="83"/>
      <c r="CNV49" s="83"/>
      <c r="CNW49" s="83"/>
      <c r="CNX49" s="83"/>
      <c r="CNY49" s="83"/>
      <c r="CNZ49" s="83"/>
      <c r="COA49" s="83"/>
      <c r="COB49" s="83"/>
      <c r="COC49" s="83"/>
      <c r="COD49" s="83"/>
      <c r="COE49" s="83"/>
      <c r="COF49" s="83"/>
      <c r="COG49" s="83"/>
      <c r="COH49" s="83"/>
      <c r="COI49" s="83"/>
      <c r="COJ49" s="83"/>
      <c r="COK49" s="83"/>
      <c r="COL49" s="83"/>
      <c r="COM49" s="83"/>
      <c r="CON49" s="83"/>
      <c r="COO49" s="83"/>
      <c r="COP49" s="83"/>
      <c r="COQ49" s="83"/>
      <c r="COR49" s="83"/>
      <c r="COS49" s="83"/>
      <c r="COT49" s="83"/>
      <c r="COU49" s="83"/>
      <c r="COV49" s="83"/>
      <c r="COW49" s="83"/>
      <c r="COX49" s="83"/>
      <c r="COY49" s="83"/>
      <c r="COZ49" s="83"/>
      <c r="CPA49" s="83"/>
      <c r="CPB49" s="83"/>
      <c r="CPC49" s="83"/>
      <c r="CPD49" s="83"/>
      <c r="CPE49" s="83"/>
      <c r="CPF49" s="83"/>
      <c r="CPG49" s="83"/>
      <c r="CPH49" s="83"/>
      <c r="CPI49" s="83"/>
      <c r="CPJ49" s="83"/>
      <c r="CPK49" s="83"/>
      <c r="CPL49" s="83"/>
      <c r="CPM49" s="83"/>
      <c r="CPN49" s="83"/>
      <c r="CPO49" s="83"/>
      <c r="CPP49" s="83"/>
      <c r="CPQ49" s="83"/>
      <c r="CPR49" s="83"/>
      <c r="CPS49" s="83"/>
      <c r="CPT49" s="83"/>
      <c r="CPU49" s="83"/>
      <c r="CPV49" s="83"/>
      <c r="CPW49" s="83"/>
      <c r="CPX49" s="83"/>
      <c r="CPY49" s="83"/>
      <c r="CPZ49" s="83"/>
      <c r="CQA49" s="83"/>
      <c r="CQB49" s="83"/>
      <c r="CQC49" s="83"/>
      <c r="CQD49" s="83"/>
      <c r="CQE49" s="83"/>
      <c r="CQF49" s="83"/>
      <c r="CQG49" s="83"/>
      <c r="CQH49" s="83"/>
      <c r="CQI49" s="83"/>
      <c r="CQJ49" s="83"/>
      <c r="CQK49" s="83"/>
      <c r="CQL49" s="83"/>
      <c r="CQM49" s="83"/>
      <c r="CQN49" s="83"/>
      <c r="CQO49" s="83"/>
      <c r="CQP49" s="83"/>
      <c r="CQQ49" s="83"/>
      <c r="CQR49" s="83"/>
      <c r="CQS49" s="83"/>
      <c r="CQT49" s="83"/>
      <c r="CQU49" s="83"/>
      <c r="CQV49" s="83"/>
      <c r="CQW49" s="83"/>
      <c r="CQX49" s="83"/>
      <c r="CQY49" s="83"/>
      <c r="CQZ49" s="83"/>
      <c r="CRA49" s="83"/>
      <c r="CRB49" s="83"/>
      <c r="CRC49" s="83"/>
      <c r="CRD49" s="83"/>
      <c r="CRE49" s="83"/>
      <c r="CRF49" s="83"/>
      <c r="CRG49" s="83"/>
      <c r="CRH49" s="83"/>
      <c r="CRI49" s="83"/>
      <c r="CRJ49" s="83"/>
      <c r="CRK49" s="83"/>
      <c r="CRL49" s="83"/>
      <c r="CRM49" s="83"/>
      <c r="CRN49" s="83"/>
      <c r="CRO49" s="83"/>
      <c r="CRP49" s="83"/>
      <c r="CRQ49" s="83"/>
      <c r="CRR49" s="83"/>
      <c r="CRS49" s="83"/>
      <c r="CRT49" s="83"/>
      <c r="CRU49" s="83"/>
      <c r="CRV49" s="83"/>
      <c r="CRW49" s="83"/>
      <c r="CRX49" s="83"/>
      <c r="CRY49" s="83"/>
      <c r="CRZ49" s="83"/>
      <c r="CSA49" s="83"/>
      <c r="CSB49" s="83"/>
      <c r="CSC49" s="83"/>
      <c r="CSD49" s="83"/>
      <c r="CSE49" s="83"/>
      <c r="CSF49" s="83"/>
      <c r="CSG49" s="83"/>
      <c r="CSH49" s="83"/>
      <c r="CSI49" s="83"/>
      <c r="CSJ49" s="83"/>
      <c r="CSK49" s="83"/>
      <c r="CSL49" s="83"/>
      <c r="CSM49" s="83"/>
      <c r="CSN49" s="83"/>
      <c r="CSO49" s="83"/>
      <c r="CSP49" s="83"/>
      <c r="CSQ49" s="83"/>
      <c r="CSR49" s="83"/>
      <c r="CSS49" s="83"/>
      <c r="CST49" s="83"/>
      <c r="CSU49" s="83"/>
      <c r="CSV49" s="83"/>
      <c r="CSW49" s="83"/>
      <c r="CSX49" s="83"/>
      <c r="CSY49" s="83"/>
      <c r="CSZ49" s="83"/>
      <c r="CTA49" s="83"/>
      <c r="CTB49" s="83"/>
      <c r="CTC49" s="83"/>
      <c r="CTD49" s="83"/>
      <c r="CTE49" s="83"/>
      <c r="CTF49" s="83"/>
      <c r="CTG49" s="83"/>
      <c r="CTH49" s="83"/>
      <c r="CTI49" s="83"/>
      <c r="CTJ49" s="83"/>
      <c r="CTK49" s="83"/>
      <c r="CTL49" s="83"/>
      <c r="CTM49" s="83"/>
      <c r="CTN49" s="83"/>
      <c r="CTO49" s="83"/>
      <c r="CTP49" s="83"/>
      <c r="CTQ49" s="83"/>
      <c r="CTR49" s="83"/>
      <c r="CTS49" s="83"/>
      <c r="CTT49" s="83"/>
      <c r="CTU49" s="83"/>
      <c r="CTV49" s="83"/>
      <c r="CTW49" s="83"/>
      <c r="CTX49" s="83"/>
      <c r="CTY49" s="83"/>
      <c r="CTZ49" s="83"/>
      <c r="CUA49" s="83"/>
      <c r="CUB49" s="83"/>
      <c r="CUC49" s="83"/>
      <c r="CUD49" s="83"/>
      <c r="CUE49" s="83"/>
      <c r="CUF49" s="83"/>
      <c r="CUG49" s="83"/>
      <c r="CUH49" s="83"/>
      <c r="CUI49" s="83"/>
      <c r="CUJ49" s="83"/>
      <c r="CUK49" s="83"/>
      <c r="CUL49" s="83"/>
      <c r="CUM49" s="83"/>
      <c r="CUN49" s="83"/>
      <c r="CUO49" s="83"/>
      <c r="CUP49" s="83"/>
      <c r="CUQ49" s="83"/>
      <c r="CUR49" s="83"/>
      <c r="CUS49" s="83"/>
      <c r="CUT49" s="83"/>
      <c r="CUU49" s="83"/>
      <c r="CUV49" s="83"/>
      <c r="CUW49" s="83"/>
      <c r="CUX49" s="83"/>
      <c r="CUY49" s="83"/>
      <c r="CUZ49" s="83"/>
      <c r="CVA49" s="83"/>
      <c r="CVB49" s="83"/>
      <c r="CVC49" s="83"/>
      <c r="CVD49" s="83"/>
      <c r="CVE49" s="83"/>
      <c r="CVF49" s="83"/>
      <c r="CVG49" s="83"/>
      <c r="CVH49" s="83"/>
      <c r="CVI49" s="83"/>
      <c r="CVJ49" s="83"/>
      <c r="CVK49" s="83"/>
      <c r="CVL49" s="83"/>
      <c r="CVM49" s="83"/>
      <c r="CVN49" s="83"/>
      <c r="CVO49" s="83"/>
      <c r="CVP49" s="83"/>
      <c r="CVQ49" s="83"/>
      <c r="CVR49" s="83"/>
      <c r="CVS49" s="83"/>
      <c r="CVT49" s="83"/>
      <c r="CVU49" s="83"/>
      <c r="CVV49" s="83"/>
      <c r="CVW49" s="83"/>
      <c r="CVX49" s="83"/>
      <c r="CVY49" s="83"/>
      <c r="CVZ49" s="83"/>
      <c r="CWA49" s="83"/>
      <c r="CWB49" s="83"/>
      <c r="CWC49" s="83"/>
      <c r="CWD49" s="83"/>
      <c r="CWE49" s="83"/>
      <c r="CWF49" s="83"/>
      <c r="CWG49" s="83"/>
      <c r="CWH49" s="83"/>
      <c r="CWI49" s="83"/>
      <c r="CWJ49" s="83"/>
      <c r="CWK49" s="83"/>
      <c r="CWL49" s="83"/>
      <c r="CWM49" s="83"/>
      <c r="CWN49" s="83"/>
      <c r="CWO49" s="83"/>
      <c r="CWP49" s="83"/>
      <c r="CWQ49" s="83"/>
      <c r="CWR49" s="83"/>
      <c r="CWS49" s="83"/>
      <c r="CWT49" s="83"/>
      <c r="CWU49" s="83"/>
      <c r="CWV49" s="83"/>
      <c r="CWW49" s="83"/>
      <c r="CWX49" s="83"/>
      <c r="CWY49" s="83"/>
      <c r="CWZ49" s="83"/>
      <c r="CXA49" s="83"/>
      <c r="CXB49" s="83"/>
      <c r="CXC49" s="83"/>
      <c r="CXD49" s="83"/>
      <c r="CXE49" s="83"/>
      <c r="CXF49" s="83"/>
      <c r="CXG49" s="83"/>
      <c r="CXH49" s="83"/>
      <c r="CXI49" s="83"/>
      <c r="CXJ49" s="83"/>
      <c r="CXK49" s="83"/>
      <c r="CXL49" s="83"/>
      <c r="CXM49" s="83"/>
      <c r="CXN49" s="83"/>
      <c r="CXO49" s="83"/>
      <c r="CXP49" s="83"/>
      <c r="CXQ49" s="83"/>
      <c r="CXR49" s="83"/>
      <c r="CXS49" s="83"/>
      <c r="CXT49" s="83"/>
      <c r="CXU49" s="83"/>
      <c r="CXV49" s="83"/>
      <c r="CXW49" s="83"/>
      <c r="CXX49" s="83"/>
      <c r="CXY49" s="83"/>
      <c r="CXZ49" s="83"/>
      <c r="CYA49" s="83"/>
      <c r="CYB49" s="83"/>
      <c r="CYC49" s="83"/>
      <c r="CYD49" s="83"/>
      <c r="CYE49" s="83"/>
      <c r="CYF49" s="83"/>
      <c r="CYG49" s="83"/>
      <c r="CYH49" s="83"/>
      <c r="CYI49" s="83"/>
      <c r="CYJ49" s="83"/>
      <c r="CYK49" s="83"/>
      <c r="CYL49" s="83"/>
      <c r="CYM49" s="83"/>
      <c r="CYN49" s="83"/>
      <c r="CYO49" s="83"/>
      <c r="CYP49" s="83"/>
      <c r="CYQ49" s="83"/>
      <c r="CYR49" s="83"/>
      <c r="CYS49" s="83"/>
      <c r="CYT49" s="83"/>
      <c r="CYU49" s="83"/>
      <c r="CYV49" s="83"/>
      <c r="CYW49" s="83"/>
      <c r="CYX49" s="83"/>
      <c r="CYY49" s="83"/>
      <c r="CYZ49" s="83"/>
      <c r="CZA49" s="83"/>
      <c r="CZB49" s="83"/>
      <c r="CZC49" s="83"/>
      <c r="CZD49" s="83"/>
      <c r="CZE49" s="83"/>
      <c r="CZF49" s="83"/>
      <c r="CZG49" s="83"/>
      <c r="CZH49" s="83"/>
      <c r="CZI49" s="83"/>
      <c r="CZJ49" s="83"/>
      <c r="CZK49" s="83"/>
      <c r="CZL49" s="83"/>
      <c r="CZM49" s="83"/>
      <c r="CZN49" s="83"/>
      <c r="CZO49" s="83"/>
      <c r="CZP49" s="83"/>
      <c r="CZQ49" s="83"/>
      <c r="CZR49" s="83"/>
      <c r="CZS49" s="83"/>
      <c r="CZT49" s="83"/>
      <c r="CZU49" s="83"/>
      <c r="CZV49" s="83"/>
      <c r="CZW49" s="83"/>
      <c r="CZX49" s="83"/>
      <c r="CZY49" s="83"/>
      <c r="CZZ49" s="83"/>
      <c r="DAA49" s="83"/>
      <c r="DAB49" s="83"/>
      <c r="DAC49" s="83"/>
      <c r="DAD49" s="83"/>
      <c r="DAE49" s="83"/>
      <c r="DAF49" s="83"/>
      <c r="DAG49" s="83"/>
      <c r="DAH49" s="83"/>
      <c r="DAI49" s="83"/>
      <c r="DAJ49" s="83"/>
      <c r="DAK49" s="83"/>
      <c r="DAL49" s="83"/>
      <c r="DAM49" s="83"/>
      <c r="DAN49" s="83"/>
      <c r="DAO49" s="83"/>
      <c r="DAP49" s="83"/>
      <c r="DAQ49" s="83"/>
      <c r="DAR49" s="83"/>
      <c r="DAS49" s="83"/>
      <c r="DAT49" s="83"/>
      <c r="DAU49" s="83"/>
      <c r="DAV49" s="83"/>
      <c r="DAW49" s="83"/>
      <c r="DAX49" s="83"/>
      <c r="DAY49" s="83"/>
      <c r="DAZ49" s="83"/>
      <c r="DBA49" s="83"/>
      <c r="DBB49" s="83"/>
      <c r="DBC49" s="83"/>
      <c r="DBD49" s="83"/>
      <c r="DBE49" s="83"/>
      <c r="DBF49" s="83"/>
      <c r="DBG49" s="83"/>
      <c r="DBH49" s="83"/>
      <c r="DBI49" s="83"/>
      <c r="DBJ49" s="83"/>
      <c r="DBK49" s="83"/>
      <c r="DBL49" s="83"/>
      <c r="DBM49" s="83"/>
      <c r="DBN49" s="83"/>
      <c r="DBO49" s="83"/>
      <c r="DBP49" s="83"/>
      <c r="DBQ49" s="83"/>
      <c r="DBR49" s="83"/>
      <c r="DBS49" s="83"/>
      <c r="DBT49" s="83"/>
      <c r="DBU49" s="83"/>
      <c r="DBV49" s="83"/>
      <c r="DBW49" s="83"/>
      <c r="DBX49" s="83"/>
      <c r="DBY49" s="83"/>
      <c r="DBZ49" s="83"/>
      <c r="DCA49" s="83"/>
      <c r="DCB49" s="83"/>
      <c r="DCC49" s="83"/>
      <c r="DCD49" s="83"/>
      <c r="DCE49" s="83"/>
      <c r="DCF49" s="83"/>
      <c r="DCG49" s="83"/>
      <c r="DCH49" s="83"/>
      <c r="DCI49" s="83"/>
      <c r="DCJ49" s="83"/>
      <c r="DCK49" s="83"/>
      <c r="DCL49" s="83"/>
      <c r="DCM49" s="83"/>
      <c r="DCN49" s="83"/>
      <c r="DCO49" s="83"/>
      <c r="DCP49" s="83"/>
      <c r="DCQ49" s="83"/>
      <c r="DCR49" s="83"/>
      <c r="DCS49" s="83"/>
      <c r="DCT49" s="83"/>
      <c r="DCU49" s="83"/>
      <c r="DCV49" s="83"/>
      <c r="DCW49" s="83"/>
      <c r="DCX49" s="83"/>
      <c r="DCY49" s="83"/>
      <c r="DCZ49" s="83"/>
      <c r="DDA49" s="83"/>
      <c r="DDB49" s="83"/>
      <c r="DDC49" s="83"/>
      <c r="DDD49" s="83"/>
      <c r="DDE49" s="83"/>
      <c r="DDF49" s="83"/>
      <c r="DDG49" s="83"/>
      <c r="DDH49" s="83"/>
      <c r="DDI49" s="83"/>
      <c r="DDJ49" s="83"/>
      <c r="DDK49" s="83"/>
      <c r="DDL49" s="83"/>
      <c r="DDM49" s="83"/>
      <c r="DDN49" s="83"/>
      <c r="DDO49" s="83"/>
      <c r="DDP49" s="83"/>
      <c r="DDQ49" s="83"/>
      <c r="DDR49" s="83"/>
      <c r="DDS49" s="83"/>
      <c r="DDT49" s="83"/>
      <c r="DDU49" s="83"/>
      <c r="DDV49" s="83"/>
      <c r="DDW49" s="83"/>
      <c r="DDX49" s="83"/>
      <c r="DDY49" s="83"/>
      <c r="DDZ49" s="83"/>
      <c r="DEA49" s="83"/>
      <c r="DEB49" s="83"/>
      <c r="DEC49" s="83"/>
      <c r="DED49" s="83"/>
      <c r="DEE49" s="83"/>
      <c r="DEF49" s="83"/>
      <c r="DEG49" s="83"/>
      <c r="DEH49" s="83"/>
      <c r="DEI49" s="83"/>
      <c r="DEJ49" s="83"/>
      <c r="DEK49" s="83"/>
      <c r="DEL49" s="83"/>
      <c r="DEM49" s="83"/>
      <c r="DEN49" s="83"/>
      <c r="DEO49" s="83"/>
      <c r="DEP49" s="83"/>
      <c r="DEQ49" s="83"/>
      <c r="DER49" s="83"/>
      <c r="DES49" s="83"/>
      <c r="DET49" s="83"/>
      <c r="DEU49" s="83"/>
      <c r="DEV49" s="83"/>
      <c r="DEW49" s="83"/>
      <c r="DEX49" s="83"/>
      <c r="DEY49" s="83"/>
      <c r="DEZ49" s="83"/>
      <c r="DFA49" s="83"/>
      <c r="DFB49" s="83"/>
      <c r="DFC49" s="83"/>
      <c r="DFD49" s="83"/>
      <c r="DFE49" s="83"/>
      <c r="DFF49" s="83"/>
      <c r="DFG49" s="83"/>
      <c r="DFH49" s="83"/>
      <c r="DFI49" s="83"/>
      <c r="DFJ49" s="83"/>
      <c r="DFK49" s="83"/>
      <c r="DFL49" s="83"/>
      <c r="DFM49" s="83"/>
      <c r="DFN49" s="83"/>
      <c r="DFO49" s="83"/>
      <c r="DFP49" s="83"/>
      <c r="DFQ49" s="83"/>
      <c r="DFR49" s="83"/>
      <c r="DFS49" s="83"/>
      <c r="DFT49" s="83"/>
      <c r="DFU49" s="83"/>
      <c r="DFV49" s="83"/>
      <c r="DFW49" s="83"/>
      <c r="DFX49" s="83"/>
      <c r="DFY49" s="83"/>
      <c r="DFZ49" s="83"/>
      <c r="DGA49" s="83"/>
      <c r="DGB49" s="83"/>
      <c r="DGC49" s="83"/>
      <c r="DGD49" s="83"/>
      <c r="DGE49" s="83"/>
      <c r="DGF49" s="83"/>
      <c r="DGG49" s="83"/>
      <c r="DGH49" s="83"/>
      <c r="DGI49" s="83"/>
      <c r="DGJ49" s="83"/>
      <c r="DGK49" s="83"/>
      <c r="DGL49" s="83"/>
      <c r="DGM49" s="83"/>
      <c r="DGN49" s="83"/>
      <c r="DGO49" s="83"/>
      <c r="DGP49" s="83"/>
      <c r="DGQ49" s="83"/>
      <c r="DGR49" s="83"/>
      <c r="DGS49" s="83"/>
      <c r="DGT49" s="83"/>
      <c r="DGU49" s="83"/>
      <c r="DGV49" s="83"/>
      <c r="DGW49" s="83"/>
      <c r="DGX49" s="83"/>
      <c r="DGY49" s="83"/>
      <c r="DGZ49" s="83"/>
      <c r="DHA49" s="83"/>
      <c r="DHB49" s="83"/>
      <c r="DHC49" s="83"/>
      <c r="DHD49" s="83"/>
      <c r="DHE49" s="83"/>
      <c r="DHF49" s="83"/>
      <c r="DHG49" s="83"/>
      <c r="DHH49" s="83"/>
      <c r="DHI49" s="83"/>
      <c r="DHJ49" s="83"/>
      <c r="DHK49" s="83"/>
      <c r="DHL49" s="83"/>
      <c r="DHM49" s="83"/>
      <c r="DHN49" s="83"/>
      <c r="DHO49" s="83"/>
      <c r="DHP49" s="83"/>
      <c r="DHQ49" s="83"/>
      <c r="DHR49" s="83"/>
      <c r="DHS49" s="83"/>
      <c r="DHT49" s="83"/>
      <c r="DHU49" s="83"/>
      <c r="DHV49" s="83"/>
      <c r="DHW49" s="83"/>
      <c r="DHX49" s="83"/>
      <c r="DHY49" s="83"/>
      <c r="DHZ49" s="83"/>
      <c r="DIA49" s="83"/>
      <c r="DIB49" s="83"/>
      <c r="DIC49" s="83"/>
      <c r="DID49" s="83"/>
      <c r="DIE49" s="83"/>
      <c r="DIF49" s="83"/>
      <c r="DIG49" s="83"/>
      <c r="DIH49" s="83"/>
      <c r="DII49" s="83"/>
      <c r="DIJ49" s="83"/>
      <c r="DIK49" s="83"/>
      <c r="DIL49" s="83"/>
      <c r="DIM49" s="83"/>
      <c r="DIN49" s="83"/>
      <c r="DIO49" s="83"/>
      <c r="DIP49" s="83"/>
      <c r="DIQ49" s="83"/>
      <c r="DIR49" s="83"/>
      <c r="DIS49" s="83"/>
      <c r="DIT49" s="83"/>
      <c r="DIU49" s="83"/>
      <c r="DIV49" s="83"/>
      <c r="DIW49" s="83"/>
      <c r="DIX49" s="83"/>
      <c r="DIY49" s="83"/>
      <c r="DIZ49" s="83"/>
      <c r="DJA49" s="83"/>
      <c r="DJB49" s="83"/>
      <c r="DJC49" s="83"/>
      <c r="DJD49" s="83"/>
      <c r="DJE49" s="83"/>
      <c r="DJF49" s="83"/>
      <c r="DJG49" s="83"/>
      <c r="DJH49" s="83"/>
      <c r="DJI49" s="83"/>
      <c r="DJJ49" s="83"/>
      <c r="DJK49" s="83"/>
      <c r="DJL49" s="83"/>
      <c r="DJM49" s="83"/>
      <c r="DJN49" s="83"/>
      <c r="DJO49" s="83"/>
      <c r="DJP49" s="83"/>
      <c r="DJQ49" s="83"/>
      <c r="DJR49" s="83"/>
      <c r="DJS49" s="83"/>
      <c r="DJT49" s="83"/>
      <c r="DJU49" s="83"/>
      <c r="DJV49" s="83"/>
      <c r="DJW49" s="83"/>
      <c r="DJX49" s="83"/>
      <c r="DJY49" s="83"/>
      <c r="DJZ49" s="83"/>
      <c r="DKA49" s="83"/>
      <c r="DKB49" s="83"/>
      <c r="DKC49" s="83"/>
      <c r="DKD49" s="83"/>
      <c r="DKE49" s="83"/>
      <c r="DKF49" s="83"/>
      <c r="DKG49" s="83"/>
      <c r="DKH49" s="83"/>
      <c r="DKI49" s="83"/>
      <c r="DKJ49" s="83"/>
      <c r="DKK49" s="83"/>
      <c r="DKL49" s="83"/>
      <c r="DKM49" s="83"/>
      <c r="DKN49" s="83"/>
      <c r="DKO49" s="83"/>
      <c r="DKP49" s="83"/>
      <c r="DKQ49" s="83"/>
      <c r="DKR49" s="83"/>
      <c r="DKS49" s="83"/>
      <c r="DKT49" s="83"/>
      <c r="DKU49" s="83"/>
      <c r="DKV49" s="83"/>
      <c r="DKW49" s="83"/>
      <c r="DKX49" s="83"/>
      <c r="DKY49" s="83"/>
      <c r="DKZ49" s="83"/>
      <c r="DLA49" s="83"/>
      <c r="DLB49" s="83"/>
      <c r="DLC49" s="83"/>
      <c r="DLD49" s="83"/>
      <c r="DLE49" s="83"/>
      <c r="DLF49" s="83"/>
      <c r="DLG49" s="83"/>
      <c r="DLH49" s="83"/>
      <c r="DLI49" s="83"/>
      <c r="DLJ49" s="83"/>
      <c r="DLK49" s="83"/>
      <c r="DLL49" s="83"/>
      <c r="DLM49" s="83"/>
      <c r="DLN49" s="83"/>
      <c r="DLO49" s="83"/>
      <c r="DLP49" s="83"/>
      <c r="DLQ49" s="83"/>
      <c r="DLR49" s="83"/>
      <c r="DLS49" s="83"/>
      <c r="DLT49" s="83"/>
      <c r="DLU49" s="83"/>
      <c r="DLV49" s="83"/>
      <c r="DLW49" s="83"/>
      <c r="DLX49" s="83"/>
      <c r="DLY49" s="83"/>
      <c r="DLZ49" s="83"/>
      <c r="DMA49" s="83"/>
      <c r="DMB49" s="83"/>
      <c r="DMC49" s="83"/>
      <c r="DMD49" s="83"/>
      <c r="DME49" s="83"/>
      <c r="DMF49" s="83"/>
      <c r="DMG49" s="83"/>
      <c r="DMH49" s="83"/>
      <c r="DMI49" s="83"/>
      <c r="DMJ49" s="83"/>
      <c r="DMK49" s="83"/>
      <c r="DML49" s="83"/>
      <c r="DMM49" s="83"/>
      <c r="DMN49" s="83"/>
      <c r="DMO49" s="83"/>
      <c r="DMP49" s="83"/>
      <c r="DMQ49" s="83"/>
      <c r="DMR49" s="83"/>
      <c r="DMS49" s="83"/>
      <c r="DMT49" s="83"/>
      <c r="DMU49" s="83"/>
      <c r="DMV49" s="83"/>
      <c r="DMW49" s="83"/>
      <c r="DMX49" s="83"/>
      <c r="DMY49" s="83"/>
      <c r="DMZ49" s="83"/>
      <c r="DNA49" s="83"/>
      <c r="DNB49" s="83"/>
      <c r="DNC49" s="83"/>
      <c r="DND49" s="83"/>
      <c r="DNE49" s="83"/>
      <c r="DNF49" s="83"/>
      <c r="DNG49" s="83"/>
      <c r="DNH49" s="83"/>
      <c r="DNI49" s="83"/>
      <c r="DNJ49" s="83"/>
      <c r="DNK49" s="83"/>
      <c r="DNL49" s="83"/>
      <c r="DNM49" s="83"/>
      <c r="DNN49" s="83"/>
      <c r="DNO49" s="83"/>
      <c r="DNP49" s="83"/>
      <c r="DNQ49" s="83"/>
      <c r="DNR49" s="83"/>
      <c r="DNS49" s="83"/>
      <c r="DNT49" s="83"/>
      <c r="DNU49" s="83"/>
      <c r="DNV49" s="83"/>
      <c r="DNW49" s="83"/>
      <c r="DNX49" s="83"/>
      <c r="DNY49" s="83"/>
      <c r="DNZ49" s="83"/>
      <c r="DOA49" s="83"/>
      <c r="DOB49" s="83"/>
      <c r="DOC49" s="83"/>
      <c r="DOD49" s="83"/>
      <c r="DOE49" s="83"/>
      <c r="DOF49" s="83"/>
      <c r="DOG49" s="83"/>
      <c r="DOH49" s="83"/>
      <c r="DOI49" s="83"/>
      <c r="DOJ49" s="83"/>
      <c r="DOK49" s="83"/>
      <c r="DOL49" s="83"/>
      <c r="DOM49" s="83"/>
      <c r="DON49" s="83"/>
      <c r="DOO49" s="83"/>
      <c r="DOP49" s="83"/>
      <c r="DOQ49" s="83"/>
      <c r="DOR49" s="83"/>
      <c r="DOS49" s="83"/>
      <c r="DOT49" s="83"/>
      <c r="DOU49" s="83"/>
      <c r="DOV49" s="83"/>
      <c r="DOW49" s="83"/>
      <c r="DOX49" s="83"/>
      <c r="DOY49" s="83"/>
      <c r="DOZ49" s="83"/>
      <c r="DPA49" s="83"/>
      <c r="DPB49" s="83"/>
      <c r="DPC49" s="83"/>
      <c r="DPD49" s="83"/>
      <c r="DPE49" s="83"/>
      <c r="DPF49" s="83"/>
      <c r="DPG49" s="83"/>
      <c r="DPH49" s="83"/>
      <c r="DPI49" s="83"/>
      <c r="DPJ49" s="83"/>
      <c r="DPK49" s="83"/>
      <c r="DPL49" s="83"/>
      <c r="DPM49" s="83"/>
      <c r="DPN49" s="83"/>
      <c r="DPO49" s="83"/>
      <c r="DPP49" s="83"/>
      <c r="DPQ49" s="83"/>
      <c r="DPR49" s="83"/>
      <c r="DPS49" s="83"/>
      <c r="DPT49" s="83"/>
      <c r="DPU49" s="83"/>
      <c r="DPV49" s="83"/>
      <c r="DPW49" s="83"/>
      <c r="DPX49" s="83"/>
      <c r="DPY49" s="83"/>
      <c r="DPZ49" s="83"/>
      <c r="DQA49" s="83"/>
      <c r="DQB49" s="83"/>
      <c r="DQC49" s="83"/>
      <c r="DQD49" s="83"/>
      <c r="DQE49" s="83"/>
      <c r="DQF49" s="83"/>
      <c r="DQG49" s="83"/>
      <c r="DQH49" s="83"/>
      <c r="DQI49" s="83"/>
      <c r="DQJ49" s="83"/>
      <c r="DQK49" s="83"/>
      <c r="DQL49" s="83"/>
      <c r="DQM49" s="83"/>
      <c r="DQN49" s="83"/>
      <c r="DQO49" s="83"/>
      <c r="DQP49" s="83"/>
      <c r="DQQ49" s="83"/>
      <c r="DQR49" s="83"/>
      <c r="DQS49" s="83"/>
      <c r="DQT49" s="83"/>
      <c r="DQU49" s="83"/>
      <c r="DQV49" s="83"/>
      <c r="DQW49" s="83"/>
      <c r="DQX49" s="83"/>
      <c r="DQY49" s="83"/>
      <c r="DQZ49" s="83"/>
      <c r="DRA49" s="83"/>
      <c r="DRB49" s="83"/>
      <c r="DRC49" s="83"/>
      <c r="DRD49" s="83"/>
      <c r="DRE49" s="83"/>
      <c r="DRF49" s="83"/>
      <c r="DRG49" s="83"/>
      <c r="DRH49" s="83"/>
      <c r="DRI49" s="83"/>
      <c r="DRJ49" s="83"/>
      <c r="DRK49" s="83"/>
      <c r="DRL49" s="83"/>
      <c r="DRM49" s="83"/>
      <c r="DRN49" s="83"/>
      <c r="DRO49" s="83"/>
      <c r="DRP49" s="83"/>
      <c r="DRQ49" s="83"/>
      <c r="DRR49" s="83"/>
      <c r="DRS49" s="83"/>
      <c r="DRT49" s="83"/>
      <c r="DRU49" s="83"/>
      <c r="DRV49" s="83"/>
      <c r="DRW49" s="83"/>
      <c r="DRX49" s="83"/>
      <c r="DRY49" s="83"/>
      <c r="DRZ49" s="83"/>
      <c r="DSA49" s="83"/>
      <c r="DSB49" s="83"/>
      <c r="DSC49" s="83"/>
      <c r="DSD49" s="83"/>
      <c r="DSE49" s="83"/>
      <c r="DSF49" s="83"/>
      <c r="DSG49" s="83"/>
      <c r="DSH49" s="83"/>
      <c r="DSI49" s="83"/>
      <c r="DSJ49" s="83"/>
      <c r="DSK49" s="83"/>
      <c r="DSL49" s="83"/>
      <c r="DSM49" s="83"/>
      <c r="DSN49" s="83"/>
      <c r="DSO49" s="83"/>
      <c r="DSP49" s="83"/>
      <c r="DSQ49" s="83"/>
      <c r="DSR49" s="83"/>
      <c r="DSS49" s="83"/>
      <c r="DST49" s="83"/>
      <c r="DSU49" s="83"/>
      <c r="DSV49" s="83"/>
      <c r="DSW49" s="83"/>
      <c r="DSX49" s="83"/>
      <c r="DSY49" s="83"/>
      <c r="DSZ49" s="83"/>
      <c r="DTA49" s="83"/>
      <c r="DTB49" s="83"/>
      <c r="DTC49" s="83"/>
      <c r="DTD49" s="83"/>
      <c r="DTE49" s="83"/>
      <c r="DTF49" s="83"/>
      <c r="DTG49" s="83"/>
      <c r="DTH49" s="83"/>
      <c r="DTI49" s="83"/>
      <c r="DTJ49" s="83"/>
      <c r="DTK49" s="83"/>
      <c r="DTL49" s="83"/>
      <c r="DTM49" s="83"/>
      <c r="DTN49" s="83"/>
      <c r="DTO49" s="83"/>
      <c r="DTP49" s="83"/>
      <c r="DTQ49" s="83"/>
      <c r="DTR49" s="83"/>
      <c r="DTS49" s="83"/>
      <c r="DTT49" s="83"/>
      <c r="DTU49" s="83"/>
      <c r="DTV49" s="83"/>
      <c r="DTW49" s="83"/>
      <c r="DTX49" s="83"/>
      <c r="DTY49" s="83"/>
      <c r="DTZ49" s="83"/>
      <c r="DUA49" s="83"/>
      <c r="DUB49" s="83"/>
      <c r="DUC49" s="83"/>
      <c r="DUD49" s="83"/>
      <c r="DUE49" s="83"/>
      <c r="DUF49" s="83"/>
      <c r="DUG49" s="83"/>
      <c r="DUH49" s="83"/>
      <c r="DUI49" s="83"/>
      <c r="DUJ49" s="83"/>
      <c r="DUK49" s="83"/>
      <c r="DUL49" s="83"/>
      <c r="DUM49" s="83"/>
      <c r="DUN49" s="83"/>
      <c r="DUO49" s="83"/>
      <c r="DUP49" s="83"/>
      <c r="DUQ49" s="83"/>
      <c r="DUR49" s="83"/>
      <c r="DUS49" s="83"/>
      <c r="DUT49" s="83"/>
      <c r="DUU49" s="83"/>
      <c r="DUV49" s="83"/>
      <c r="DUW49" s="83"/>
      <c r="DUX49" s="83"/>
      <c r="DUY49" s="83"/>
      <c r="DUZ49" s="83"/>
      <c r="DVA49" s="83"/>
      <c r="DVB49" s="83"/>
      <c r="DVC49" s="83"/>
      <c r="DVD49" s="83"/>
      <c r="DVE49" s="83"/>
      <c r="DVF49" s="83"/>
      <c r="DVG49" s="83"/>
      <c r="DVH49" s="83"/>
      <c r="DVI49" s="83"/>
      <c r="DVJ49" s="83"/>
      <c r="DVK49" s="83"/>
      <c r="DVL49" s="83"/>
      <c r="DVM49" s="83"/>
      <c r="DVN49" s="83"/>
      <c r="DVO49" s="83"/>
      <c r="DVP49" s="83"/>
      <c r="DVQ49" s="83"/>
      <c r="DVR49" s="83"/>
      <c r="DVS49" s="83"/>
      <c r="DVT49" s="83"/>
      <c r="DVU49" s="83"/>
      <c r="DVV49" s="83"/>
      <c r="DVW49" s="83"/>
      <c r="DVX49" s="83"/>
      <c r="DVY49" s="83"/>
      <c r="DVZ49" s="83"/>
      <c r="DWA49" s="83"/>
      <c r="DWB49" s="83"/>
      <c r="DWC49" s="83"/>
      <c r="DWD49" s="83"/>
      <c r="DWE49" s="83"/>
      <c r="DWF49" s="83"/>
      <c r="DWG49" s="83"/>
      <c r="DWH49" s="83"/>
      <c r="DWI49" s="83"/>
      <c r="DWJ49" s="83"/>
      <c r="DWK49" s="83"/>
      <c r="DWL49" s="83"/>
      <c r="DWM49" s="83"/>
      <c r="DWN49" s="83"/>
      <c r="DWO49" s="83"/>
      <c r="DWP49" s="83"/>
      <c r="DWQ49" s="83"/>
      <c r="DWR49" s="83"/>
      <c r="DWS49" s="83"/>
      <c r="DWT49" s="83"/>
      <c r="DWU49" s="83"/>
      <c r="DWV49" s="83"/>
      <c r="DWW49" s="83"/>
      <c r="DWX49" s="83"/>
      <c r="DWY49" s="83"/>
      <c r="DWZ49" s="83"/>
      <c r="DXA49" s="83"/>
      <c r="DXB49" s="83"/>
      <c r="DXC49" s="83"/>
      <c r="DXD49" s="83"/>
      <c r="DXE49" s="83"/>
      <c r="DXF49" s="83"/>
      <c r="DXG49" s="83"/>
      <c r="DXH49" s="83"/>
      <c r="DXI49" s="83"/>
      <c r="DXJ49" s="83"/>
      <c r="DXK49" s="83"/>
      <c r="DXL49" s="83"/>
      <c r="DXM49" s="83"/>
      <c r="DXN49" s="83"/>
      <c r="DXO49" s="83"/>
      <c r="DXP49" s="83"/>
      <c r="DXQ49" s="83"/>
      <c r="DXR49" s="83"/>
      <c r="DXS49" s="83"/>
      <c r="DXT49" s="83"/>
      <c r="DXU49" s="83"/>
      <c r="DXV49" s="83"/>
      <c r="DXW49" s="83"/>
      <c r="DXX49" s="83"/>
      <c r="DXY49" s="83"/>
      <c r="DXZ49" s="83"/>
      <c r="DYA49" s="83"/>
      <c r="DYB49" s="83"/>
      <c r="DYC49" s="83"/>
      <c r="DYD49" s="83"/>
      <c r="DYE49" s="83"/>
      <c r="DYF49" s="83"/>
      <c r="DYG49" s="83"/>
      <c r="DYH49" s="83"/>
      <c r="DYI49" s="83"/>
      <c r="DYJ49" s="83"/>
      <c r="DYK49" s="83"/>
      <c r="DYL49" s="83"/>
      <c r="DYM49" s="83"/>
      <c r="DYN49" s="83"/>
      <c r="DYO49" s="83"/>
      <c r="DYP49" s="83"/>
      <c r="DYQ49" s="83"/>
      <c r="DYR49" s="83"/>
      <c r="DYS49" s="83"/>
      <c r="DYT49" s="83"/>
      <c r="DYU49" s="83"/>
      <c r="DYV49" s="83"/>
      <c r="DYW49" s="83"/>
      <c r="DYX49" s="83"/>
      <c r="DYY49" s="83"/>
      <c r="DYZ49" s="83"/>
      <c r="DZA49" s="83"/>
      <c r="DZB49" s="83"/>
      <c r="DZC49" s="83"/>
      <c r="DZD49" s="83"/>
      <c r="DZE49" s="83"/>
      <c r="DZF49" s="83"/>
      <c r="DZG49" s="83"/>
      <c r="DZH49" s="83"/>
      <c r="DZI49" s="83"/>
      <c r="DZJ49" s="83"/>
      <c r="DZK49" s="83"/>
      <c r="DZL49" s="83"/>
      <c r="DZM49" s="83"/>
      <c r="DZN49" s="83"/>
      <c r="DZO49" s="83"/>
      <c r="DZP49" s="83"/>
      <c r="DZQ49" s="83"/>
      <c r="DZR49" s="83"/>
      <c r="DZS49" s="83"/>
      <c r="DZT49" s="83"/>
      <c r="DZU49" s="83"/>
      <c r="DZV49" s="83"/>
      <c r="DZW49" s="83"/>
      <c r="DZX49" s="83"/>
      <c r="DZY49" s="83"/>
      <c r="DZZ49" s="83"/>
      <c r="EAA49" s="83"/>
      <c r="EAB49" s="83"/>
      <c r="EAC49" s="83"/>
      <c r="EAD49" s="83"/>
      <c r="EAE49" s="83"/>
      <c r="EAF49" s="83"/>
      <c r="EAG49" s="83"/>
      <c r="EAH49" s="83"/>
      <c r="EAI49" s="83"/>
      <c r="EAJ49" s="83"/>
      <c r="EAK49" s="83"/>
      <c r="EAL49" s="83"/>
      <c r="EAM49" s="83"/>
      <c r="EAN49" s="83"/>
      <c r="EAO49" s="83"/>
      <c r="EAP49" s="83"/>
      <c r="EAQ49" s="83"/>
      <c r="EAR49" s="83"/>
      <c r="EAS49" s="83"/>
      <c r="EAT49" s="83"/>
      <c r="EAU49" s="83"/>
      <c r="EAV49" s="83"/>
      <c r="EAW49" s="83"/>
      <c r="EAX49" s="83"/>
      <c r="EAY49" s="83"/>
      <c r="EAZ49" s="83"/>
      <c r="EBA49" s="83"/>
      <c r="EBB49" s="83"/>
      <c r="EBC49" s="83"/>
      <c r="EBD49" s="83"/>
      <c r="EBE49" s="83"/>
      <c r="EBF49" s="83"/>
      <c r="EBG49" s="83"/>
      <c r="EBH49" s="83"/>
      <c r="EBI49" s="83"/>
      <c r="EBJ49" s="83"/>
      <c r="EBK49" s="83"/>
      <c r="EBL49" s="83"/>
      <c r="EBM49" s="83"/>
      <c r="EBN49" s="83"/>
      <c r="EBO49" s="83"/>
      <c r="EBP49" s="83"/>
      <c r="EBQ49" s="83"/>
      <c r="EBR49" s="83"/>
      <c r="EBS49" s="83"/>
      <c r="EBT49" s="83"/>
      <c r="EBU49" s="83"/>
      <c r="EBV49" s="83"/>
      <c r="EBW49" s="83"/>
      <c r="EBX49" s="83"/>
      <c r="EBY49" s="83"/>
      <c r="EBZ49" s="83"/>
      <c r="ECA49" s="83"/>
      <c r="ECB49" s="83"/>
      <c r="ECC49" s="83"/>
      <c r="ECD49" s="83"/>
      <c r="ECE49" s="83"/>
      <c r="ECF49" s="83"/>
      <c r="ECG49" s="83"/>
      <c r="ECH49" s="83"/>
      <c r="ECI49" s="83"/>
      <c r="ECJ49" s="83"/>
      <c r="ECK49" s="83"/>
      <c r="ECL49" s="83"/>
      <c r="ECM49" s="83"/>
      <c r="ECN49" s="83"/>
      <c r="ECO49" s="83"/>
      <c r="ECP49" s="83"/>
      <c r="ECQ49" s="83"/>
      <c r="ECR49" s="83"/>
      <c r="ECS49" s="83"/>
      <c r="ECT49" s="83"/>
      <c r="ECU49" s="83"/>
      <c r="ECV49" s="83"/>
      <c r="ECW49" s="83"/>
      <c r="ECX49" s="83"/>
      <c r="ECY49" s="83"/>
      <c r="ECZ49" s="83"/>
      <c r="EDA49" s="83"/>
      <c r="EDB49" s="83"/>
      <c r="EDC49" s="83"/>
      <c r="EDD49" s="83"/>
      <c r="EDE49" s="83"/>
      <c r="EDF49" s="83"/>
      <c r="EDG49" s="83"/>
      <c r="EDH49" s="83"/>
      <c r="EDI49" s="83"/>
      <c r="EDJ49" s="83"/>
      <c r="EDK49" s="83"/>
      <c r="EDL49" s="83"/>
      <c r="EDM49" s="83"/>
      <c r="EDN49" s="83"/>
      <c r="EDO49" s="83"/>
      <c r="EDP49" s="83"/>
      <c r="EDQ49" s="83"/>
      <c r="EDR49" s="83"/>
      <c r="EDS49" s="83"/>
      <c r="EDT49" s="83"/>
      <c r="EDU49" s="83"/>
      <c r="EDV49" s="83"/>
      <c r="EDW49" s="83"/>
      <c r="EDX49" s="83"/>
      <c r="EDY49" s="83"/>
      <c r="EDZ49" s="83"/>
      <c r="EEA49" s="83"/>
      <c r="EEB49" s="83"/>
      <c r="EEC49" s="83"/>
      <c r="EED49" s="83"/>
      <c r="EEE49" s="83"/>
      <c r="EEF49" s="83"/>
      <c r="EEG49" s="83"/>
      <c r="EEH49" s="83"/>
      <c r="EEI49" s="83"/>
      <c r="EEJ49" s="83"/>
      <c r="EEK49" s="83"/>
      <c r="EEL49" s="83"/>
      <c r="EEM49" s="83"/>
      <c r="EEN49" s="83"/>
      <c r="EEO49" s="83"/>
      <c r="EEP49" s="83"/>
      <c r="EEQ49" s="83"/>
      <c r="EER49" s="83"/>
      <c r="EES49" s="83"/>
      <c r="EET49" s="83"/>
      <c r="EEU49" s="83"/>
      <c r="EEV49" s="83"/>
      <c r="EEW49" s="83"/>
      <c r="EEX49" s="83"/>
      <c r="EEY49" s="83"/>
      <c r="EEZ49" s="83"/>
      <c r="EFA49" s="83"/>
      <c r="EFB49" s="83"/>
      <c r="EFC49" s="83"/>
      <c r="EFD49" s="83"/>
      <c r="EFE49" s="83"/>
      <c r="EFF49" s="83"/>
      <c r="EFG49" s="83"/>
      <c r="EFH49" s="83"/>
      <c r="EFI49" s="83"/>
      <c r="EFJ49" s="83"/>
      <c r="EFK49" s="83"/>
      <c r="EFL49" s="83"/>
      <c r="EFM49" s="83"/>
      <c r="EFN49" s="83"/>
      <c r="EFO49" s="83"/>
      <c r="EFP49" s="83"/>
      <c r="EFQ49" s="83"/>
      <c r="EFR49" s="83"/>
      <c r="EFS49" s="83"/>
      <c r="EFT49" s="83"/>
      <c r="EFU49" s="83"/>
      <c r="EFV49" s="83"/>
      <c r="EFW49" s="83"/>
      <c r="EFX49" s="83"/>
      <c r="EFY49" s="83"/>
      <c r="EFZ49" s="83"/>
      <c r="EGA49" s="83"/>
      <c r="EGB49" s="83"/>
      <c r="EGC49" s="83"/>
      <c r="EGD49" s="83"/>
      <c r="EGE49" s="83"/>
      <c r="EGF49" s="83"/>
      <c r="EGG49" s="83"/>
      <c r="EGH49" s="83"/>
      <c r="EGI49" s="83"/>
      <c r="EGJ49" s="83"/>
      <c r="EGK49" s="83"/>
      <c r="EGL49" s="83"/>
      <c r="EGM49" s="83"/>
      <c r="EGN49" s="83"/>
      <c r="EGO49" s="83"/>
      <c r="EGP49" s="83"/>
      <c r="EGQ49" s="83"/>
      <c r="EGR49" s="83"/>
      <c r="EGS49" s="83"/>
      <c r="EGT49" s="83"/>
      <c r="EGU49" s="83"/>
      <c r="EGV49" s="83"/>
      <c r="EGW49" s="83"/>
      <c r="EGX49" s="83"/>
      <c r="EGY49" s="83"/>
      <c r="EGZ49" s="83"/>
      <c r="EHA49" s="83"/>
      <c r="EHB49" s="83"/>
      <c r="EHC49" s="83"/>
      <c r="EHD49" s="83"/>
      <c r="EHE49" s="83"/>
      <c r="EHF49" s="83"/>
      <c r="EHG49" s="83"/>
      <c r="EHH49" s="83"/>
      <c r="EHI49" s="83"/>
      <c r="EHJ49" s="83"/>
      <c r="EHK49" s="83"/>
      <c r="EHL49" s="83"/>
      <c r="EHM49" s="83"/>
      <c r="EHN49" s="83"/>
      <c r="EHO49" s="83"/>
      <c r="EHP49" s="83"/>
      <c r="EHQ49" s="83"/>
      <c r="EHR49" s="83"/>
      <c r="EHS49" s="83"/>
      <c r="EHT49" s="83"/>
      <c r="EHU49" s="83"/>
      <c r="EHV49" s="83"/>
      <c r="EHW49" s="83"/>
      <c r="EHX49" s="83"/>
      <c r="EHY49" s="83"/>
      <c r="EHZ49" s="83"/>
      <c r="EIA49" s="83"/>
      <c r="EIB49" s="83"/>
      <c r="EIC49" s="83"/>
      <c r="EID49" s="83"/>
      <c r="EIE49" s="83"/>
      <c r="EIF49" s="83"/>
      <c r="EIG49" s="83"/>
      <c r="EIH49" s="83"/>
      <c r="EII49" s="83"/>
      <c r="EIJ49" s="83"/>
      <c r="EIK49" s="83"/>
      <c r="EIL49" s="83"/>
      <c r="EIM49" s="83"/>
      <c r="EIN49" s="83"/>
      <c r="EIO49" s="83"/>
      <c r="EIP49" s="83"/>
      <c r="EIQ49" s="83"/>
      <c r="EIR49" s="83"/>
      <c r="EIS49" s="83"/>
      <c r="EIT49" s="83"/>
      <c r="EIU49" s="83"/>
      <c r="EIV49" s="83"/>
      <c r="EIW49" s="83"/>
      <c r="EIX49" s="83"/>
      <c r="EIY49" s="83"/>
      <c r="EIZ49" s="83"/>
      <c r="EJA49" s="83"/>
      <c r="EJB49" s="83"/>
      <c r="EJC49" s="83"/>
      <c r="EJD49" s="83"/>
      <c r="EJE49" s="83"/>
      <c r="EJF49" s="83"/>
      <c r="EJG49" s="83"/>
      <c r="EJH49" s="83"/>
      <c r="EJI49" s="83"/>
      <c r="EJJ49" s="83"/>
      <c r="EJK49" s="83"/>
      <c r="EJL49" s="83"/>
      <c r="EJM49" s="83"/>
      <c r="EJN49" s="83"/>
      <c r="EJO49" s="83"/>
      <c r="EJP49" s="83"/>
      <c r="EJQ49" s="83"/>
      <c r="EJR49" s="83"/>
      <c r="EJS49" s="83"/>
      <c r="EJT49" s="83"/>
      <c r="EJU49" s="83"/>
      <c r="EJV49" s="83"/>
      <c r="EJW49" s="83"/>
      <c r="EJX49" s="83"/>
      <c r="EJY49" s="83"/>
      <c r="EJZ49" s="83"/>
      <c r="EKA49" s="83"/>
      <c r="EKB49" s="83"/>
      <c r="EKC49" s="83"/>
      <c r="EKD49" s="83"/>
      <c r="EKE49" s="83"/>
      <c r="EKF49" s="83"/>
      <c r="EKG49" s="83"/>
      <c r="EKH49" s="83"/>
      <c r="EKI49" s="83"/>
      <c r="EKJ49" s="83"/>
      <c r="EKK49" s="83"/>
      <c r="EKL49" s="83"/>
      <c r="EKM49" s="83"/>
      <c r="EKN49" s="83"/>
      <c r="EKO49" s="83"/>
      <c r="EKP49" s="83"/>
      <c r="EKQ49" s="83"/>
      <c r="EKR49" s="83"/>
      <c r="EKS49" s="83"/>
      <c r="EKT49" s="83"/>
      <c r="EKU49" s="83"/>
      <c r="EKV49" s="83"/>
      <c r="EKW49" s="83"/>
      <c r="EKX49" s="83"/>
      <c r="EKY49" s="83"/>
      <c r="EKZ49" s="83"/>
      <c r="ELA49" s="83"/>
      <c r="ELB49" s="83"/>
      <c r="ELC49" s="83"/>
      <c r="ELD49" s="83"/>
      <c r="ELE49" s="83"/>
      <c r="ELF49" s="83"/>
      <c r="ELG49" s="83"/>
      <c r="ELH49" s="83"/>
      <c r="ELI49" s="83"/>
      <c r="ELJ49" s="83"/>
      <c r="ELK49" s="83"/>
      <c r="ELL49" s="83"/>
      <c r="ELM49" s="83"/>
      <c r="ELN49" s="83"/>
      <c r="ELO49" s="83"/>
      <c r="ELP49" s="83"/>
      <c r="ELQ49" s="83"/>
      <c r="ELR49" s="83"/>
      <c r="ELS49" s="83"/>
      <c r="ELT49" s="83"/>
      <c r="ELU49" s="83"/>
      <c r="ELV49" s="83"/>
      <c r="ELW49" s="83"/>
      <c r="ELX49" s="83"/>
      <c r="ELY49" s="83"/>
      <c r="ELZ49" s="83"/>
      <c r="EMA49" s="83"/>
      <c r="EMB49" s="83"/>
      <c r="EMC49" s="83"/>
      <c r="EMD49" s="83"/>
      <c r="EME49" s="83"/>
      <c r="EMF49" s="83"/>
      <c r="EMG49" s="83"/>
      <c r="EMH49" s="83"/>
      <c r="EMI49" s="83"/>
      <c r="EMJ49" s="83"/>
      <c r="EMK49" s="83"/>
      <c r="EML49" s="83"/>
      <c r="EMM49" s="83"/>
      <c r="EMN49" s="83"/>
      <c r="EMO49" s="83"/>
      <c r="EMP49" s="83"/>
      <c r="EMQ49" s="83"/>
      <c r="EMR49" s="83"/>
      <c r="EMS49" s="83"/>
      <c r="EMT49" s="83"/>
      <c r="EMU49" s="83"/>
      <c r="EMV49" s="83"/>
      <c r="EMW49" s="83"/>
      <c r="EMX49" s="83"/>
      <c r="EMY49" s="83"/>
      <c r="EMZ49" s="83"/>
      <c r="ENA49" s="83"/>
      <c r="ENB49" s="83"/>
      <c r="ENC49" s="83"/>
      <c r="END49" s="83"/>
      <c r="ENE49" s="83"/>
      <c r="ENF49" s="83"/>
      <c r="ENG49" s="83"/>
      <c r="ENH49" s="83"/>
      <c r="ENI49" s="83"/>
      <c r="ENJ49" s="83"/>
      <c r="ENK49" s="83"/>
      <c r="ENL49" s="83"/>
      <c r="ENM49" s="83"/>
      <c r="ENN49" s="83"/>
      <c r="ENO49" s="83"/>
      <c r="ENP49" s="83"/>
      <c r="ENQ49" s="83"/>
      <c r="ENR49" s="83"/>
      <c r="ENS49" s="83"/>
      <c r="ENT49" s="83"/>
      <c r="ENU49" s="83"/>
      <c r="ENV49" s="83"/>
      <c r="ENW49" s="83"/>
      <c r="ENX49" s="83"/>
      <c r="ENY49" s="83"/>
      <c r="ENZ49" s="83"/>
      <c r="EOA49" s="83"/>
      <c r="EOB49" s="83"/>
      <c r="EOC49" s="83"/>
      <c r="EOD49" s="83"/>
      <c r="EOE49" s="83"/>
      <c r="EOF49" s="83"/>
      <c r="EOG49" s="83"/>
      <c r="EOH49" s="83"/>
      <c r="EOI49" s="83"/>
      <c r="EOJ49" s="83"/>
      <c r="EOK49" s="83"/>
      <c r="EOL49" s="83"/>
      <c r="EOM49" s="83"/>
      <c r="EON49" s="83"/>
      <c r="EOO49" s="83"/>
      <c r="EOP49" s="83"/>
      <c r="EOQ49" s="83"/>
      <c r="EOR49" s="83"/>
      <c r="EOS49" s="83"/>
      <c r="EOT49" s="83"/>
      <c r="EOU49" s="83"/>
      <c r="EOV49" s="83"/>
      <c r="EOW49" s="83"/>
      <c r="EOX49" s="83"/>
      <c r="EOY49" s="83"/>
      <c r="EOZ49" s="83"/>
      <c r="EPA49" s="83"/>
      <c r="EPB49" s="83"/>
      <c r="EPC49" s="83"/>
      <c r="EPD49" s="83"/>
      <c r="EPE49" s="83"/>
      <c r="EPF49" s="83"/>
      <c r="EPG49" s="83"/>
      <c r="EPH49" s="83"/>
      <c r="EPI49" s="83"/>
      <c r="EPJ49" s="83"/>
      <c r="EPK49" s="83"/>
      <c r="EPL49" s="83"/>
      <c r="EPM49" s="83"/>
      <c r="EPN49" s="83"/>
      <c r="EPO49" s="83"/>
      <c r="EPP49" s="83"/>
      <c r="EPQ49" s="83"/>
      <c r="EPR49" s="83"/>
      <c r="EPS49" s="83"/>
      <c r="EPT49" s="83"/>
      <c r="EPU49" s="83"/>
      <c r="EPV49" s="83"/>
      <c r="EPW49" s="83"/>
      <c r="EPX49" s="83"/>
      <c r="EPY49" s="83"/>
      <c r="EPZ49" s="83"/>
      <c r="EQA49" s="83"/>
      <c r="EQB49" s="83"/>
      <c r="EQC49" s="83"/>
      <c r="EQD49" s="83"/>
      <c r="EQE49" s="83"/>
      <c r="EQF49" s="83"/>
      <c r="EQG49" s="83"/>
      <c r="EQH49" s="83"/>
      <c r="EQI49" s="83"/>
      <c r="EQJ49" s="83"/>
      <c r="EQK49" s="83"/>
      <c r="EQL49" s="83"/>
      <c r="EQM49" s="83"/>
      <c r="EQN49" s="83"/>
      <c r="EQO49" s="83"/>
      <c r="EQP49" s="83"/>
      <c r="EQQ49" s="83"/>
      <c r="EQR49" s="83"/>
      <c r="EQS49" s="83"/>
      <c r="EQT49" s="83"/>
      <c r="EQU49" s="83"/>
      <c r="EQV49" s="83"/>
      <c r="EQW49" s="83"/>
      <c r="EQX49" s="83"/>
      <c r="EQY49" s="83"/>
      <c r="EQZ49" s="83"/>
      <c r="ERA49" s="83"/>
      <c r="ERB49" s="83"/>
      <c r="ERC49" s="83"/>
      <c r="ERD49" s="83"/>
      <c r="ERE49" s="83"/>
      <c r="ERF49" s="83"/>
      <c r="ERG49" s="83"/>
      <c r="ERH49" s="83"/>
      <c r="ERI49" s="83"/>
      <c r="ERJ49" s="83"/>
      <c r="ERK49" s="83"/>
      <c r="ERL49" s="83"/>
      <c r="ERM49" s="83"/>
      <c r="ERN49" s="83"/>
      <c r="ERO49" s="83"/>
      <c r="ERP49" s="83"/>
      <c r="ERQ49" s="83"/>
      <c r="ERR49" s="83"/>
      <c r="ERS49" s="83"/>
      <c r="ERT49" s="83"/>
      <c r="ERU49" s="83"/>
      <c r="ERV49" s="83"/>
      <c r="ERW49" s="83"/>
      <c r="ERX49" s="83"/>
      <c r="ERY49" s="83"/>
      <c r="ERZ49" s="83"/>
      <c r="ESA49" s="83"/>
      <c r="ESB49" s="83"/>
      <c r="ESC49" s="83"/>
      <c r="ESD49" s="83"/>
      <c r="ESE49" s="83"/>
      <c r="ESF49" s="83"/>
      <c r="ESG49" s="83"/>
      <c r="ESH49" s="83"/>
      <c r="ESI49" s="83"/>
      <c r="ESJ49" s="83"/>
      <c r="ESK49" s="83"/>
      <c r="ESL49" s="83"/>
      <c r="ESM49" s="83"/>
      <c r="ESN49" s="83"/>
      <c r="ESO49" s="83"/>
      <c r="ESP49" s="83"/>
      <c r="ESQ49" s="83"/>
      <c r="ESR49" s="83"/>
      <c r="ESS49" s="83"/>
      <c r="EST49" s="83"/>
      <c r="ESU49" s="83"/>
      <c r="ESV49" s="83"/>
      <c r="ESW49" s="83"/>
      <c r="ESX49" s="83"/>
      <c r="ESY49" s="83"/>
      <c r="ESZ49" s="83"/>
      <c r="ETA49" s="83"/>
      <c r="ETB49" s="83"/>
      <c r="ETC49" s="83"/>
      <c r="ETD49" s="83"/>
      <c r="ETE49" s="83"/>
      <c r="ETF49" s="83"/>
      <c r="ETG49" s="83"/>
      <c r="ETH49" s="83"/>
      <c r="ETI49" s="83"/>
      <c r="ETJ49" s="83"/>
      <c r="ETK49" s="83"/>
      <c r="ETL49" s="83"/>
      <c r="ETM49" s="83"/>
      <c r="ETN49" s="83"/>
      <c r="ETO49" s="83"/>
      <c r="ETP49" s="83"/>
      <c r="ETQ49" s="83"/>
      <c r="ETR49" s="83"/>
      <c r="ETS49" s="83"/>
      <c r="ETT49" s="83"/>
      <c r="ETU49" s="83"/>
      <c r="ETV49" s="83"/>
      <c r="ETW49" s="83"/>
      <c r="ETX49" s="83"/>
      <c r="ETY49" s="83"/>
      <c r="ETZ49" s="83"/>
      <c r="EUA49" s="83"/>
      <c r="EUB49" s="83"/>
      <c r="EUC49" s="83"/>
      <c r="EUD49" s="83"/>
      <c r="EUE49" s="83"/>
      <c r="EUF49" s="83"/>
      <c r="EUG49" s="83"/>
      <c r="EUH49" s="83"/>
      <c r="EUI49" s="83"/>
      <c r="EUJ49" s="83"/>
      <c r="EUK49" s="83"/>
      <c r="EUL49" s="83"/>
      <c r="EUM49" s="83"/>
      <c r="EUN49" s="83"/>
      <c r="EUO49" s="83"/>
      <c r="EUP49" s="83"/>
      <c r="EUQ49" s="83"/>
      <c r="EUR49" s="83"/>
      <c r="EUS49" s="83"/>
      <c r="EUT49" s="83"/>
      <c r="EUU49" s="83"/>
      <c r="EUV49" s="83"/>
      <c r="EUW49" s="83"/>
      <c r="EUX49" s="83"/>
      <c r="EUY49" s="83"/>
      <c r="EUZ49" s="83"/>
      <c r="EVA49" s="83"/>
      <c r="EVB49" s="83"/>
      <c r="EVC49" s="83"/>
      <c r="EVD49" s="83"/>
      <c r="EVE49" s="83"/>
      <c r="EVF49" s="83"/>
      <c r="EVG49" s="83"/>
      <c r="EVH49" s="83"/>
      <c r="EVI49" s="83"/>
      <c r="EVJ49" s="83"/>
      <c r="EVK49" s="83"/>
      <c r="EVL49" s="83"/>
      <c r="EVM49" s="83"/>
      <c r="EVN49" s="83"/>
      <c r="EVO49" s="83"/>
      <c r="EVP49" s="83"/>
      <c r="EVQ49" s="83"/>
      <c r="EVR49" s="83"/>
      <c r="EVS49" s="83"/>
      <c r="EVT49" s="83"/>
      <c r="EVU49" s="83"/>
      <c r="EVV49" s="83"/>
      <c r="EVW49" s="83"/>
      <c r="EVX49" s="83"/>
      <c r="EVY49" s="83"/>
      <c r="EVZ49" s="83"/>
      <c r="EWA49" s="83"/>
      <c r="EWB49" s="83"/>
      <c r="EWC49" s="83"/>
      <c r="EWD49" s="83"/>
      <c r="EWE49" s="83"/>
      <c r="EWF49" s="83"/>
      <c r="EWG49" s="83"/>
      <c r="EWH49" s="83"/>
      <c r="EWI49" s="83"/>
      <c r="EWJ49" s="83"/>
      <c r="EWK49" s="83"/>
      <c r="EWL49" s="83"/>
      <c r="EWM49" s="83"/>
      <c r="EWN49" s="83"/>
      <c r="EWO49" s="83"/>
      <c r="EWP49" s="83"/>
      <c r="EWQ49" s="83"/>
      <c r="EWR49" s="83"/>
      <c r="EWS49" s="83"/>
      <c r="EWT49" s="83"/>
      <c r="EWU49" s="83"/>
      <c r="EWV49" s="83"/>
      <c r="EWW49" s="83"/>
      <c r="EWX49" s="83"/>
      <c r="EWY49" s="83"/>
      <c r="EWZ49" s="83"/>
      <c r="EXA49" s="83"/>
      <c r="EXB49" s="83"/>
      <c r="EXC49" s="83"/>
      <c r="EXD49" s="83"/>
      <c r="EXE49" s="83"/>
      <c r="EXF49" s="83"/>
      <c r="EXG49" s="83"/>
      <c r="EXH49" s="83"/>
      <c r="EXI49" s="83"/>
      <c r="EXJ49" s="83"/>
      <c r="EXK49" s="83"/>
      <c r="EXL49" s="83"/>
      <c r="EXM49" s="83"/>
      <c r="EXN49" s="83"/>
      <c r="EXO49" s="83"/>
      <c r="EXP49" s="83"/>
      <c r="EXQ49" s="83"/>
      <c r="EXR49" s="83"/>
      <c r="EXS49" s="83"/>
      <c r="EXT49" s="83"/>
      <c r="EXU49" s="83"/>
      <c r="EXV49" s="83"/>
      <c r="EXW49" s="83"/>
      <c r="EXX49" s="83"/>
      <c r="EXY49" s="83"/>
      <c r="EXZ49" s="83"/>
      <c r="EYA49" s="83"/>
      <c r="EYB49" s="83"/>
      <c r="EYC49" s="83"/>
      <c r="EYD49" s="83"/>
      <c r="EYE49" s="83"/>
      <c r="EYF49" s="83"/>
      <c r="EYG49" s="83"/>
      <c r="EYH49" s="83"/>
      <c r="EYI49" s="83"/>
      <c r="EYJ49" s="83"/>
      <c r="EYK49" s="83"/>
      <c r="EYL49" s="83"/>
      <c r="EYM49" s="83"/>
      <c r="EYN49" s="83"/>
      <c r="EYO49" s="83"/>
      <c r="EYP49" s="83"/>
      <c r="EYQ49" s="83"/>
      <c r="EYR49" s="83"/>
      <c r="EYS49" s="83"/>
      <c r="EYT49" s="83"/>
      <c r="EYU49" s="83"/>
      <c r="EYV49" s="83"/>
      <c r="EYW49" s="83"/>
      <c r="EYX49" s="83"/>
      <c r="EYY49" s="83"/>
      <c r="EYZ49" s="83"/>
      <c r="EZA49" s="83"/>
      <c r="EZB49" s="83"/>
      <c r="EZC49" s="83"/>
      <c r="EZD49" s="83"/>
      <c r="EZE49" s="83"/>
      <c r="EZF49" s="83"/>
      <c r="EZG49" s="83"/>
      <c r="EZH49" s="83"/>
      <c r="EZI49" s="83"/>
      <c r="EZJ49" s="83"/>
      <c r="EZK49" s="83"/>
      <c r="EZL49" s="83"/>
      <c r="EZM49" s="83"/>
      <c r="EZN49" s="83"/>
      <c r="EZO49" s="83"/>
      <c r="EZP49" s="83"/>
      <c r="EZQ49" s="83"/>
      <c r="EZR49" s="83"/>
      <c r="EZS49" s="83"/>
      <c r="EZT49" s="83"/>
      <c r="EZU49" s="83"/>
      <c r="EZV49" s="83"/>
      <c r="EZW49" s="83"/>
      <c r="EZX49" s="83"/>
      <c r="EZY49" s="83"/>
      <c r="EZZ49" s="83"/>
      <c r="FAA49" s="83"/>
      <c r="FAB49" s="83"/>
      <c r="FAC49" s="83"/>
      <c r="FAD49" s="83"/>
      <c r="FAE49" s="83"/>
      <c r="FAF49" s="83"/>
      <c r="FAG49" s="83"/>
      <c r="FAH49" s="83"/>
      <c r="FAI49" s="83"/>
      <c r="FAJ49" s="83"/>
      <c r="FAK49" s="83"/>
      <c r="FAL49" s="83"/>
      <c r="FAM49" s="83"/>
      <c r="FAN49" s="83"/>
      <c r="FAO49" s="83"/>
      <c r="FAP49" s="83"/>
      <c r="FAQ49" s="83"/>
      <c r="FAR49" s="83"/>
      <c r="FAS49" s="83"/>
      <c r="FAT49" s="83"/>
      <c r="FAU49" s="83"/>
      <c r="FAV49" s="83"/>
      <c r="FAW49" s="83"/>
      <c r="FAX49" s="83"/>
      <c r="FAY49" s="83"/>
      <c r="FAZ49" s="83"/>
      <c r="FBA49" s="83"/>
      <c r="FBB49" s="83"/>
      <c r="FBC49" s="83"/>
      <c r="FBD49" s="83"/>
      <c r="FBE49" s="83"/>
      <c r="FBF49" s="83"/>
      <c r="FBG49" s="83"/>
      <c r="FBH49" s="83"/>
      <c r="FBI49" s="83"/>
      <c r="FBJ49" s="83"/>
      <c r="FBK49" s="83"/>
      <c r="FBL49" s="83"/>
      <c r="FBM49" s="83"/>
      <c r="FBN49" s="83"/>
      <c r="FBO49" s="83"/>
      <c r="FBP49" s="83"/>
      <c r="FBQ49" s="83"/>
      <c r="FBR49" s="83"/>
      <c r="FBS49" s="83"/>
      <c r="FBT49" s="83"/>
      <c r="FBU49" s="83"/>
      <c r="FBV49" s="83"/>
      <c r="FBW49" s="83"/>
      <c r="FBX49" s="83"/>
      <c r="FBY49" s="83"/>
      <c r="FBZ49" s="83"/>
      <c r="FCA49" s="83"/>
      <c r="FCB49" s="83"/>
      <c r="FCC49" s="83"/>
      <c r="FCD49" s="83"/>
      <c r="FCE49" s="83"/>
      <c r="FCF49" s="83"/>
      <c r="FCG49" s="83"/>
      <c r="FCH49" s="83"/>
      <c r="FCI49" s="83"/>
      <c r="FCJ49" s="83"/>
      <c r="FCK49" s="83"/>
      <c r="FCL49" s="83"/>
      <c r="FCM49" s="83"/>
      <c r="FCN49" s="83"/>
      <c r="FCO49" s="83"/>
      <c r="FCP49" s="83"/>
      <c r="FCQ49" s="83"/>
      <c r="FCR49" s="83"/>
      <c r="FCS49" s="83"/>
      <c r="FCT49" s="83"/>
      <c r="FCU49" s="83"/>
      <c r="FCV49" s="83"/>
      <c r="FCW49" s="83"/>
      <c r="FCX49" s="83"/>
      <c r="FCY49" s="83"/>
      <c r="FCZ49" s="83"/>
      <c r="FDA49" s="83"/>
      <c r="FDB49" s="83"/>
      <c r="FDC49" s="83"/>
      <c r="FDD49" s="83"/>
      <c r="FDE49" s="83"/>
      <c r="FDF49" s="83"/>
      <c r="FDG49" s="83"/>
      <c r="FDH49" s="83"/>
      <c r="FDI49" s="83"/>
      <c r="FDJ49" s="83"/>
      <c r="FDK49" s="83"/>
      <c r="FDL49" s="83"/>
      <c r="FDM49" s="83"/>
      <c r="FDN49" s="83"/>
      <c r="FDO49" s="83"/>
      <c r="FDP49" s="83"/>
      <c r="FDQ49" s="83"/>
      <c r="FDR49" s="83"/>
      <c r="FDS49" s="83"/>
      <c r="FDT49" s="83"/>
      <c r="FDU49" s="83"/>
      <c r="FDV49" s="83"/>
      <c r="FDW49" s="83"/>
      <c r="FDX49" s="83"/>
      <c r="FDY49" s="83"/>
      <c r="FDZ49" s="83"/>
      <c r="FEA49" s="83"/>
      <c r="FEB49" s="83"/>
      <c r="FEC49" s="83"/>
      <c r="FED49" s="83"/>
      <c r="FEE49" s="83"/>
      <c r="FEF49" s="83"/>
      <c r="FEG49" s="83"/>
      <c r="FEH49" s="83"/>
      <c r="FEI49" s="83"/>
      <c r="FEJ49" s="83"/>
      <c r="FEK49" s="83"/>
      <c r="FEL49" s="83"/>
      <c r="FEM49" s="83"/>
      <c r="FEN49" s="83"/>
      <c r="FEO49" s="83"/>
      <c r="FEP49" s="83"/>
      <c r="FEQ49" s="83"/>
      <c r="FER49" s="83"/>
      <c r="FES49" s="83"/>
      <c r="FET49" s="83"/>
      <c r="FEU49" s="83"/>
      <c r="FEV49" s="83"/>
      <c r="FEW49" s="83"/>
      <c r="FEX49" s="83"/>
      <c r="FEY49" s="83"/>
      <c r="FEZ49" s="83"/>
      <c r="FFA49" s="83"/>
      <c r="FFB49" s="83"/>
      <c r="FFC49" s="83"/>
      <c r="FFD49" s="83"/>
      <c r="FFE49" s="83"/>
      <c r="FFF49" s="83"/>
      <c r="FFG49" s="83"/>
      <c r="FFH49" s="83"/>
      <c r="FFI49" s="83"/>
      <c r="FFJ49" s="83"/>
      <c r="FFK49" s="83"/>
      <c r="FFL49" s="83"/>
      <c r="FFM49" s="83"/>
      <c r="FFN49" s="83"/>
      <c r="FFO49" s="83"/>
      <c r="FFP49" s="83"/>
      <c r="FFQ49" s="83"/>
      <c r="FFR49" s="83"/>
      <c r="FFS49" s="83"/>
      <c r="FFT49" s="83"/>
      <c r="FFU49" s="83"/>
      <c r="FFV49" s="83"/>
      <c r="FFW49" s="83"/>
      <c r="FFX49" s="83"/>
      <c r="FFY49" s="83"/>
      <c r="FFZ49" s="83"/>
      <c r="FGA49" s="83"/>
      <c r="FGB49" s="83"/>
      <c r="FGC49" s="83"/>
      <c r="FGD49" s="83"/>
      <c r="FGE49" s="83"/>
      <c r="FGF49" s="83"/>
      <c r="FGG49" s="83"/>
      <c r="FGH49" s="83"/>
      <c r="FGI49" s="83"/>
      <c r="FGJ49" s="83"/>
      <c r="FGK49" s="83"/>
      <c r="FGL49" s="83"/>
      <c r="FGM49" s="83"/>
      <c r="FGN49" s="83"/>
      <c r="FGO49" s="83"/>
      <c r="FGP49" s="83"/>
      <c r="FGQ49" s="83"/>
      <c r="FGR49" s="83"/>
      <c r="FGS49" s="83"/>
      <c r="FGT49" s="83"/>
      <c r="FGU49" s="83"/>
      <c r="FGV49" s="83"/>
      <c r="FGW49" s="83"/>
      <c r="FGX49" s="83"/>
      <c r="FGY49" s="83"/>
      <c r="FGZ49" s="83"/>
      <c r="FHA49" s="83"/>
      <c r="FHB49" s="83"/>
      <c r="FHC49" s="83"/>
      <c r="FHD49" s="83"/>
      <c r="FHE49" s="83"/>
      <c r="FHF49" s="83"/>
      <c r="FHG49" s="83"/>
      <c r="FHH49" s="83"/>
      <c r="FHI49" s="83"/>
      <c r="FHJ49" s="83"/>
      <c r="FHK49" s="83"/>
      <c r="FHL49" s="83"/>
      <c r="FHM49" s="83"/>
      <c r="FHN49" s="83"/>
      <c r="FHO49" s="83"/>
      <c r="FHP49" s="83"/>
      <c r="FHQ49" s="83"/>
      <c r="FHR49" s="83"/>
      <c r="FHS49" s="83"/>
      <c r="FHT49" s="83"/>
      <c r="FHU49" s="83"/>
      <c r="FHV49" s="83"/>
      <c r="FHW49" s="83"/>
      <c r="FHX49" s="83"/>
      <c r="FHY49" s="83"/>
      <c r="FHZ49" s="83"/>
      <c r="FIA49" s="83"/>
      <c r="FIB49" s="83"/>
      <c r="FIC49" s="83"/>
      <c r="FID49" s="83"/>
      <c r="FIE49" s="83"/>
      <c r="FIF49" s="83"/>
      <c r="FIG49" s="83"/>
      <c r="FIH49" s="83"/>
      <c r="FII49" s="83"/>
      <c r="FIJ49" s="83"/>
      <c r="FIK49" s="83"/>
      <c r="FIL49" s="83"/>
      <c r="FIM49" s="83"/>
      <c r="FIN49" s="83"/>
      <c r="FIO49" s="83"/>
      <c r="FIP49" s="83"/>
      <c r="FIQ49" s="83"/>
      <c r="FIR49" s="83"/>
      <c r="FIS49" s="83"/>
      <c r="FIT49" s="83"/>
      <c r="FIU49" s="83"/>
      <c r="FIV49" s="83"/>
      <c r="FIW49" s="83"/>
      <c r="FIX49" s="83"/>
      <c r="FIY49" s="83"/>
      <c r="FIZ49" s="83"/>
      <c r="FJA49" s="83"/>
      <c r="FJB49" s="83"/>
      <c r="FJC49" s="83"/>
      <c r="FJD49" s="83"/>
      <c r="FJE49" s="83"/>
      <c r="FJF49" s="83"/>
      <c r="FJG49" s="83"/>
      <c r="FJH49" s="83"/>
      <c r="FJI49" s="83"/>
      <c r="FJJ49" s="83"/>
      <c r="FJK49" s="83"/>
      <c r="FJL49" s="83"/>
      <c r="FJM49" s="83"/>
      <c r="FJN49" s="83"/>
      <c r="FJO49" s="83"/>
      <c r="FJP49" s="83"/>
      <c r="FJQ49" s="83"/>
      <c r="FJR49" s="83"/>
      <c r="FJS49" s="83"/>
      <c r="FJT49" s="83"/>
      <c r="FJU49" s="83"/>
      <c r="FJV49" s="83"/>
      <c r="FJW49" s="83"/>
      <c r="FJX49" s="83"/>
      <c r="FJY49" s="83"/>
      <c r="FJZ49" s="83"/>
      <c r="FKA49" s="83"/>
      <c r="FKB49" s="83"/>
      <c r="FKC49" s="83"/>
      <c r="FKD49" s="83"/>
      <c r="FKE49" s="83"/>
      <c r="FKF49" s="83"/>
      <c r="FKG49" s="83"/>
      <c r="FKH49" s="83"/>
      <c r="FKI49" s="83"/>
      <c r="FKJ49" s="83"/>
      <c r="FKK49" s="83"/>
      <c r="FKL49" s="83"/>
      <c r="FKM49" s="83"/>
      <c r="FKN49" s="83"/>
      <c r="FKO49" s="83"/>
      <c r="FKP49" s="83"/>
      <c r="FKQ49" s="83"/>
      <c r="FKR49" s="83"/>
      <c r="FKS49" s="83"/>
      <c r="FKT49" s="83"/>
      <c r="FKU49" s="83"/>
      <c r="FKV49" s="83"/>
      <c r="FKW49" s="83"/>
      <c r="FKX49" s="83"/>
      <c r="FKY49" s="83"/>
      <c r="FKZ49" s="83"/>
      <c r="FLA49" s="83"/>
      <c r="FLB49" s="83"/>
      <c r="FLC49" s="83"/>
      <c r="FLD49" s="83"/>
      <c r="FLE49" s="83"/>
      <c r="FLF49" s="83"/>
      <c r="FLG49" s="83"/>
      <c r="FLH49" s="83"/>
      <c r="FLI49" s="83"/>
      <c r="FLJ49" s="83"/>
      <c r="FLK49" s="83"/>
      <c r="FLL49" s="83"/>
      <c r="FLM49" s="83"/>
      <c r="FLN49" s="83"/>
      <c r="FLO49" s="83"/>
      <c r="FLP49" s="83"/>
      <c r="FLQ49" s="83"/>
      <c r="FLR49" s="83"/>
      <c r="FLS49" s="83"/>
      <c r="FLT49" s="83"/>
      <c r="FLU49" s="83"/>
      <c r="FLV49" s="83"/>
      <c r="FLW49" s="83"/>
      <c r="FLX49" s="83"/>
      <c r="FLY49" s="83"/>
      <c r="FLZ49" s="83"/>
      <c r="FMA49" s="83"/>
      <c r="FMB49" s="83"/>
      <c r="FMC49" s="83"/>
      <c r="FMD49" s="83"/>
      <c r="FME49" s="83"/>
      <c r="FMF49" s="83"/>
      <c r="FMG49" s="83"/>
      <c r="FMH49" s="83"/>
      <c r="FMI49" s="83"/>
      <c r="FMJ49" s="83"/>
      <c r="FMK49" s="83"/>
      <c r="FML49" s="83"/>
      <c r="FMM49" s="83"/>
      <c r="FMN49" s="83"/>
      <c r="FMO49" s="83"/>
      <c r="FMP49" s="83"/>
      <c r="FMQ49" s="83"/>
      <c r="FMR49" s="83"/>
      <c r="FMS49" s="83"/>
      <c r="FMT49" s="83"/>
      <c r="FMU49" s="83"/>
      <c r="FMV49" s="83"/>
      <c r="FMW49" s="83"/>
      <c r="FMX49" s="83"/>
      <c r="FMY49" s="83"/>
      <c r="FMZ49" s="83"/>
      <c r="FNA49" s="83"/>
      <c r="FNB49" s="83"/>
      <c r="FNC49" s="83"/>
      <c r="FND49" s="83"/>
      <c r="FNE49" s="83"/>
      <c r="FNF49" s="83"/>
      <c r="FNG49" s="83"/>
      <c r="FNH49" s="83"/>
      <c r="FNI49" s="83"/>
      <c r="FNJ49" s="83"/>
      <c r="FNK49" s="83"/>
      <c r="FNL49" s="83"/>
      <c r="FNM49" s="83"/>
      <c r="FNN49" s="83"/>
      <c r="FNO49" s="83"/>
      <c r="FNP49" s="83"/>
      <c r="FNQ49" s="83"/>
      <c r="FNR49" s="83"/>
      <c r="FNS49" s="83"/>
      <c r="FNT49" s="83"/>
      <c r="FNU49" s="83"/>
      <c r="FNV49" s="83"/>
      <c r="FNW49" s="83"/>
      <c r="FNX49" s="83"/>
      <c r="FNY49" s="83"/>
      <c r="FNZ49" s="83"/>
      <c r="FOA49" s="83"/>
      <c r="FOB49" s="83"/>
      <c r="FOC49" s="83"/>
      <c r="FOD49" s="83"/>
      <c r="FOE49" s="83"/>
      <c r="FOF49" s="83"/>
      <c r="FOG49" s="83"/>
      <c r="FOH49" s="83"/>
      <c r="FOI49" s="83"/>
      <c r="FOJ49" s="83"/>
      <c r="FOK49" s="83"/>
      <c r="FOL49" s="83"/>
      <c r="FOM49" s="83"/>
      <c r="FON49" s="83"/>
      <c r="FOO49" s="83"/>
      <c r="FOP49" s="83"/>
      <c r="FOQ49" s="83"/>
      <c r="FOR49" s="83"/>
      <c r="FOS49" s="83"/>
      <c r="FOT49" s="83"/>
      <c r="FOU49" s="83"/>
      <c r="FOV49" s="83"/>
      <c r="FOW49" s="83"/>
      <c r="FOX49" s="83"/>
      <c r="FOY49" s="83"/>
      <c r="FOZ49" s="83"/>
      <c r="FPA49" s="83"/>
      <c r="FPB49" s="83"/>
      <c r="FPC49" s="83"/>
      <c r="FPD49" s="83"/>
      <c r="FPE49" s="83"/>
      <c r="FPF49" s="83"/>
      <c r="FPG49" s="83"/>
      <c r="FPH49" s="83"/>
      <c r="FPI49" s="83"/>
      <c r="FPJ49" s="83"/>
      <c r="FPK49" s="83"/>
      <c r="FPL49" s="83"/>
      <c r="FPM49" s="83"/>
      <c r="FPN49" s="83"/>
      <c r="FPO49" s="83"/>
      <c r="FPP49" s="83"/>
      <c r="FPQ49" s="83"/>
      <c r="FPR49" s="83"/>
      <c r="FPS49" s="83"/>
      <c r="FPT49" s="83"/>
      <c r="FPU49" s="83"/>
      <c r="FPV49" s="83"/>
      <c r="FPW49" s="83"/>
      <c r="FPX49" s="83"/>
      <c r="FPY49" s="83"/>
      <c r="FPZ49" s="83"/>
      <c r="FQA49" s="83"/>
      <c r="FQB49" s="83"/>
      <c r="FQC49" s="83"/>
      <c r="FQD49" s="83"/>
      <c r="FQE49" s="83"/>
      <c r="FQF49" s="83"/>
      <c r="FQG49" s="83"/>
      <c r="FQH49" s="83"/>
      <c r="FQI49" s="83"/>
      <c r="FQJ49" s="83"/>
      <c r="FQK49" s="83"/>
      <c r="FQL49" s="83"/>
      <c r="FQM49" s="83"/>
      <c r="FQN49" s="83"/>
      <c r="FQO49" s="83"/>
      <c r="FQP49" s="83"/>
      <c r="FQQ49" s="83"/>
      <c r="FQR49" s="83"/>
      <c r="FQS49" s="83"/>
      <c r="FQT49" s="83"/>
      <c r="FQU49" s="83"/>
      <c r="FQV49" s="83"/>
      <c r="FQW49" s="83"/>
      <c r="FQX49" s="83"/>
      <c r="FQY49" s="83"/>
      <c r="FQZ49" s="83"/>
      <c r="FRA49" s="83"/>
      <c r="FRB49" s="83"/>
      <c r="FRC49" s="83"/>
      <c r="FRD49" s="83"/>
      <c r="FRE49" s="83"/>
      <c r="FRF49" s="83"/>
      <c r="FRG49" s="83"/>
      <c r="FRH49" s="83"/>
      <c r="FRI49" s="83"/>
      <c r="FRJ49" s="83"/>
      <c r="FRK49" s="83"/>
      <c r="FRL49" s="83"/>
      <c r="FRM49" s="83"/>
      <c r="FRN49" s="83"/>
      <c r="FRO49" s="83"/>
      <c r="FRP49" s="83"/>
      <c r="FRQ49" s="83"/>
      <c r="FRR49" s="83"/>
      <c r="FRS49" s="83"/>
      <c r="FRT49" s="83"/>
      <c r="FRU49" s="83"/>
      <c r="FRV49" s="83"/>
      <c r="FRW49" s="83"/>
      <c r="FRX49" s="83"/>
      <c r="FRY49" s="83"/>
      <c r="FRZ49" s="83"/>
      <c r="FSA49" s="83"/>
      <c r="FSB49" s="83"/>
      <c r="FSC49" s="83"/>
      <c r="FSD49" s="83"/>
      <c r="FSE49" s="83"/>
      <c r="FSF49" s="83"/>
      <c r="FSG49" s="83"/>
      <c r="FSH49" s="83"/>
      <c r="FSI49" s="83"/>
      <c r="FSJ49" s="83"/>
      <c r="FSK49" s="83"/>
      <c r="FSL49" s="83"/>
      <c r="FSM49" s="83"/>
      <c r="FSN49" s="83"/>
      <c r="FSO49" s="83"/>
      <c r="FSP49" s="83"/>
      <c r="FSQ49" s="83"/>
      <c r="FSR49" s="83"/>
      <c r="FSS49" s="83"/>
      <c r="FST49" s="83"/>
      <c r="FSU49" s="83"/>
      <c r="FSV49" s="83"/>
      <c r="FSW49" s="83"/>
      <c r="FSX49" s="83"/>
      <c r="FSY49" s="83"/>
      <c r="FSZ49" s="83"/>
      <c r="FTA49" s="83"/>
      <c r="FTB49" s="83"/>
      <c r="FTC49" s="83"/>
      <c r="FTD49" s="83"/>
      <c r="FTE49" s="83"/>
      <c r="FTF49" s="83"/>
      <c r="FTG49" s="83"/>
      <c r="FTH49" s="83"/>
      <c r="FTI49" s="83"/>
      <c r="FTJ49" s="83"/>
      <c r="FTK49" s="83"/>
      <c r="FTL49" s="83"/>
      <c r="FTM49" s="83"/>
      <c r="FTN49" s="83"/>
      <c r="FTO49" s="83"/>
      <c r="FTP49" s="83"/>
      <c r="FTQ49" s="83"/>
      <c r="FTR49" s="83"/>
      <c r="FTS49" s="83"/>
      <c r="FTT49" s="83"/>
      <c r="FTU49" s="83"/>
      <c r="FTV49" s="83"/>
      <c r="FTW49" s="83"/>
      <c r="FTX49" s="83"/>
      <c r="FTY49" s="83"/>
      <c r="FTZ49" s="83"/>
      <c r="FUA49" s="83"/>
      <c r="FUB49" s="83"/>
      <c r="FUC49" s="83"/>
      <c r="FUD49" s="83"/>
      <c r="FUE49" s="83"/>
      <c r="FUF49" s="83"/>
      <c r="FUG49" s="83"/>
      <c r="FUH49" s="83"/>
      <c r="FUI49" s="83"/>
      <c r="FUJ49" s="83"/>
      <c r="FUK49" s="83"/>
      <c r="FUL49" s="83"/>
      <c r="FUM49" s="83"/>
      <c r="FUN49" s="83"/>
      <c r="FUO49" s="83"/>
      <c r="FUP49" s="83"/>
      <c r="FUQ49" s="83"/>
      <c r="FUR49" s="83"/>
      <c r="FUS49" s="83"/>
      <c r="FUT49" s="83"/>
      <c r="FUU49" s="83"/>
      <c r="FUV49" s="83"/>
      <c r="FUW49" s="83"/>
      <c r="FUX49" s="83"/>
      <c r="FUY49" s="83"/>
      <c r="FUZ49" s="83"/>
      <c r="FVA49" s="83"/>
      <c r="FVB49" s="83"/>
      <c r="FVC49" s="83"/>
      <c r="FVD49" s="83"/>
      <c r="FVE49" s="83"/>
      <c r="FVF49" s="83"/>
      <c r="FVG49" s="83"/>
      <c r="FVH49" s="83"/>
      <c r="FVI49" s="83"/>
      <c r="FVJ49" s="83"/>
      <c r="FVK49" s="83"/>
      <c r="FVL49" s="83"/>
      <c r="FVM49" s="83"/>
      <c r="FVN49" s="83"/>
      <c r="FVO49" s="83"/>
      <c r="FVP49" s="83"/>
      <c r="FVQ49" s="83"/>
      <c r="FVR49" s="83"/>
      <c r="FVS49" s="83"/>
      <c r="FVT49" s="83"/>
      <c r="FVU49" s="83"/>
      <c r="FVV49" s="83"/>
      <c r="FVW49" s="83"/>
      <c r="FVX49" s="83"/>
      <c r="FVY49" s="83"/>
      <c r="FVZ49" s="83"/>
      <c r="FWA49" s="83"/>
      <c r="FWB49" s="83"/>
      <c r="FWC49" s="83"/>
      <c r="FWD49" s="83"/>
      <c r="FWE49" s="83"/>
      <c r="FWF49" s="83"/>
      <c r="FWG49" s="83"/>
      <c r="FWH49" s="83"/>
      <c r="FWI49" s="83"/>
      <c r="FWJ49" s="83"/>
      <c r="FWK49" s="83"/>
      <c r="FWL49" s="83"/>
      <c r="FWM49" s="83"/>
      <c r="FWN49" s="83"/>
      <c r="FWO49" s="83"/>
      <c r="FWP49" s="83"/>
      <c r="FWQ49" s="83"/>
      <c r="FWR49" s="83"/>
      <c r="FWS49" s="83"/>
      <c r="FWT49" s="83"/>
      <c r="FWU49" s="83"/>
      <c r="FWV49" s="83"/>
      <c r="FWW49" s="83"/>
      <c r="FWX49" s="83"/>
      <c r="FWY49" s="83"/>
      <c r="FWZ49" s="83"/>
      <c r="FXA49" s="83"/>
      <c r="FXB49" s="83"/>
      <c r="FXC49" s="83"/>
      <c r="FXD49" s="83"/>
      <c r="FXE49" s="83"/>
      <c r="FXF49" s="83"/>
      <c r="FXG49" s="83"/>
      <c r="FXH49" s="83"/>
      <c r="FXI49" s="83"/>
      <c r="FXJ49" s="83"/>
      <c r="FXK49" s="83"/>
      <c r="FXL49" s="83"/>
      <c r="FXM49" s="83"/>
      <c r="FXN49" s="83"/>
      <c r="FXO49" s="83"/>
      <c r="FXP49" s="83"/>
      <c r="FXQ49" s="83"/>
      <c r="FXR49" s="83"/>
      <c r="FXS49" s="83"/>
      <c r="FXT49" s="83"/>
      <c r="FXU49" s="83"/>
      <c r="FXV49" s="83"/>
      <c r="FXW49" s="83"/>
      <c r="FXX49" s="83"/>
      <c r="FXY49" s="83"/>
      <c r="FXZ49" s="83"/>
      <c r="FYA49" s="83"/>
      <c r="FYB49" s="83"/>
      <c r="FYC49" s="83"/>
      <c r="FYD49" s="83"/>
      <c r="FYE49" s="83"/>
      <c r="FYF49" s="83"/>
      <c r="FYG49" s="83"/>
      <c r="FYH49" s="83"/>
      <c r="FYI49" s="83"/>
      <c r="FYJ49" s="83"/>
      <c r="FYK49" s="83"/>
      <c r="FYL49" s="83"/>
      <c r="FYM49" s="83"/>
      <c r="FYN49" s="83"/>
      <c r="FYO49" s="83"/>
      <c r="FYP49" s="83"/>
      <c r="FYQ49" s="83"/>
      <c r="FYR49" s="83"/>
      <c r="FYS49" s="83"/>
      <c r="FYT49" s="83"/>
      <c r="FYU49" s="83"/>
      <c r="FYV49" s="83"/>
      <c r="FYW49" s="83"/>
      <c r="FYX49" s="83"/>
      <c r="FYY49" s="83"/>
      <c r="FYZ49" s="83"/>
      <c r="FZA49" s="83"/>
      <c r="FZB49" s="83"/>
      <c r="FZC49" s="83"/>
      <c r="FZD49" s="83"/>
      <c r="FZE49" s="83"/>
      <c r="FZF49" s="83"/>
      <c r="FZG49" s="83"/>
      <c r="FZH49" s="83"/>
      <c r="FZI49" s="83"/>
      <c r="FZJ49" s="83"/>
      <c r="FZK49" s="83"/>
      <c r="FZL49" s="83"/>
      <c r="FZM49" s="83"/>
      <c r="FZN49" s="83"/>
      <c r="FZO49" s="83"/>
      <c r="FZP49" s="83"/>
      <c r="FZQ49" s="83"/>
      <c r="FZR49" s="83"/>
      <c r="FZS49" s="83"/>
      <c r="FZT49" s="83"/>
      <c r="FZU49" s="83"/>
      <c r="FZV49" s="83"/>
      <c r="FZW49" s="83"/>
      <c r="FZX49" s="83"/>
      <c r="FZY49" s="83"/>
      <c r="FZZ49" s="83"/>
      <c r="GAA49" s="83"/>
      <c r="GAB49" s="83"/>
      <c r="GAC49" s="83"/>
      <c r="GAD49" s="83"/>
      <c r="GAE49" s="83"/>
      <c r="GAF49" s="83"/>
      <c r="GAG49" s="83"/>
      <c r="GAH49" s="83"/>
      <c r="GAI49" s="83"/>
      <c r="GAJ49" s="83"/>
      <c r="GAK49" s="83"/>
      <c r="GAL49" s="83"/>
      <c r="GAM49" s="83"/>
      <c r="GAN49" s="83"/>
      <c r="GAO49" s="83"/>
      <c r="GAP49" s="83"/>
      <c r="GAQ49" s="83"/>
      <c r="GAR49" s="83"/>
      <c r="GAS49" s="83"/>
      <c r="GAT49" s="83"/>
      <c r="GAU49" s="83"/>
      <c r="GAV49" s="83"/>
      <c r="GAW49" s="83"/>
      <c r="GAX49" s="83"/>
      <c r="GAY49" s="83"/>
      <c r="GAZ49" s="83"/>
      <c r="GBA49" s="83"/>
      <c r="GBB49" s="83"/>
      <c r="GBC49" s="83"/>
      <c r="GBD49" s="83"/>
      <c r="GBE49" s="83"/>
      <c r="GBF49" s="83"/>
      <c r="GBG49" s="83"/>
      <c r="GBH49" s="83"/>
      <c r="GBI49" s="83"/>
      <c r="GBJ49" s="83"/>
      <c r="GBK49" s="83"/>
      <c r="GBL49" s="83"/>
      <c r="GBM49" s="83"/>
      <c r="GBN49" s="83"/>
      <c r="GBO49" s="83"/>
      <c r="GBP49" s="83"/>
      <c r="GBQ49" s="83"/>
      <c r="GBR49" s="83"/>
      <c r="GBS49" s="83"/>
      <c r="GBT49" s="83"/>
      <c r="GBU49" s="83"/>
      <c r="GBV49" s="83"/>
      <c r="GBW49" s="83"/>
      <c r="GBX49" s="83"/>
      <c r="GBY49" s="83"/>
      <c r="GBZ49" s="83"/>
      <c r="GCA49" s="83"/>
      <c r="GCB49" s="83"/>
      <c r="GCC49" s="83"/>
      <c r="GCD49" s="83"/>
      <c r="GCE49" s="83"/>
      <c r="GCF49" s="83"/>
      <c r="GCG49" s="83"/>
      <c r="GCH49" s="83"/>
      <c r="GCI49" s="83"/>
      <c r="GCJ49" s="83"/>
      <c r="GCK49" s="83"/>
      <c r="GCL49" s="83"/>
      <c r="GCM49" s="83"/>
      <c r="GCN49" s="83"/>
      <c r="GCO49" s="83"/>
      <c r="GCP49" s="83"/>
      <c r="GCQ49" s="83"/>
      <c r="GCR49" s="83"/>
      <c r="GCS49" s="83"/>
      <c r="GCT49" s="83"/>
      <c r="GCU49" s="83"/>
      <c r="GCV49" s="83"/>
      <c r="GCW49" s="83"/>
      <c r="GCX49" s="83"/>
      <c r="GCY49" s="83"/>
      <c r="GCZ49" s="83"/>
      <c r="GDA49" s="83"/>
      <c r="GDB49" s="83"/>
      <c r="GDC49" s="83"/>
      <c r="GDD49" s="83"/>
      <c r="GDE49" s="83"/>
      <c r="GDF49" s="83"/>
      <c r="GDG49" s="83"/>
      <c r="GDH49" s="83"/>
      <c r="GDI49" s="83"/>
      <c r="GDJ49" s="83"/>
      <c r="GDK49" s="83"/>
      <c r="GDL49" s="83"/>
      <c r="GDM49" s="83"/>
      <c r="GDN49" s="83"/>
      <c r="GDO49" s="83"/>
      <c r="GDP49" s="83"/>
      <c r="GDQ49" s="83"/>
      <c r="GDR49" s="83"/>
      <c r="GDS49" s="83"/>
      <c r="GDT49" s="83"/>
      <c r="GDU49" s="83"/>
      <c r="GDV49" s="83"/>
      <c r="GDW49" s="83"/>
      <c r="GDX49" s="83"/>
      <c r="GDY49" s="83"/>
      <c r="GDZ49" s="83"/>
      <c r="GEA49" s="83"/>
      <c r="GEB49" s="83"/>
      <c r="GEC49" s="83"/>
      <c r="GED49" s="83"/>
      <c r="GEE49" s="83"/>
      <c r="GEF49" s="83"/>
      <c r="GEG49" s="83"/>
      <c r="GEH49" s="83"/>
      <c r="GEI49" s="83"/>
      <c r="GEJ49" s="83"/>
      <c r="GEK49" s="83"/>
      <c r="GEL49" s="83"/>
      <c r="GEM49" s="83"/>
      <c r="GEN49" s="83"/>
      <c r="GEO49" s="83"/>
      <c r="GEP49" s="83"/>
      <c r="GEQ49" s="83"/>
      <c r="GER49" s="83"/>
      <c r="GES49" s="83"/>
      <c r="GET49" s="83"/>
      <c r="GEU49" s="83"/>
      <c r="GEV49" s="83"/>
      <c r="GEW49" s="83"/>
      <c r="GEX49" s="83"/>
      <c r="GEY49" s="83"/>
      <c r="GEZ49" s="83"/>
      <c r="GFA49" s="83"/>
      <c r="GFB49" s="83"/>
      <c r="GFC49" s="83"/>
      <c r="GFD49" s="83"/>
      <c r="GFE49" s="83"/>
      <c r="GFF49" s="83"/>
      <c r="GFG49" s="83"/>
      <c r="GFH49" s="83"/>
      <c r="GFI49" s="83"/>
      <c r="GFJ49" s="83"/>
      <c r="GFK49" s="83"/>
      <c r="GFL49" s="83"/>
      <c r="GFM49" s="83"/>
      <c r="GFN49" s="83"/>
      <c r="GFO49" s="83"/>
      <c r="GFP49" s="83"/>
      <c r="GFQ49" s="83"/>
      <c r="GFR49" s="83"/>
      <c r="GFS49" s="83"/>
      <c r="GFT49" s="83"/>
      <c r="GFU49" s="83"/>
      <c r="GFV49" s="83"/>
      <c r="GFW49" s="83"/>
      <c r="GFX49" s="83"/>
      <c r="GFY49" s="83"/>
      <c r="GFZ49" s="83"/>
      <c r="GGA49" s="83"/>
      <c r="GGB49" s="83"/>
      <c r="GGC49" s="83"/>
      <c r="GGD49" s="83"/>
      <c r="GGE49" s="83"/>
      <c r="GGF49" s="83"/>
      <c r="GGG49" s="83"/>
      <c r="GGH49" s="83"/>
      <c r="GGI49" s="83"/>
      <c r="GGJ49" s="83"/>
      <c r="GGK49" s="83"/>
      <c r="GGL49" s="83"/>
      <c r="GGM49" s="83"/>
      <c r="GGN49" s="83"/>
      <c r="GGO49" s="83"/>
      <c r="GGP49" s="83"/>
      <c r="GGQ49" s="83"/>
      <c r="GGR49" s="83"/>
      <c r="GGS49" s="83"/>
      <c r="GGT49" s="83"/>
      <c r="GGU49" s="83"/>
      <c r="GGV49" s="83"/>
      <c r="GGW49" s="83"/>
      <c r="GGX49" s="83"/>
      <c r="GGY49" s="83"/>
      <c r="GGZ49" s="83"/>
      <c r="GHA49" s="83"/>
      <c r="GHB49" s="83"/>
      <c r="GHC49" s="83"/>
      <c r="GHD49" s="83"/>
      <c r="GHE49" s="83"/>
      <c r="GHF49" s="83"/>
      <c r="GHG49" s="83"/>
      <c r="GHH49" s="83"/>
      <c r="GHI49" s="83"/>
      <c r="GHJ49" s="83"/>
      <c r="GHK49" s="83"/>
      <c r="GHL49" s="83"/>
      <c r="GHM49" s="83"/>
      <c r="GHN49" s="83"/>
      <c r="GHO49" s="83"/>
      <c r="GHP49" s="83"/>
      <c r="GHQ49" s="83"/>
      <c r="GHR49" s="83"/>
      <c r="GHS49" s="83"/>
      <c r="GHT49" s="83"/>
      <c r="GHU49" s="83"/>
      <c r="GHV49" s="83"/>
      <c r="GHW49" s="83"/>
      <c r="GHX49" s="83"/>
      <c r="GHY49" s="83"/>
      <c r="GHZ49" s="83"/>
      <c r="GIA49" s="83"/>
      <c r="GIB49" s="83"/>
      <c r="GIC49" s="83"/>
      <c r="GID49" s="83"/>
      <c r="GIE49" s="83"/>
      <c r="GIF49" s="83"/>
      <c r="GIG49" s="83"/>
      <c r="GIH49" s="83"/>
      <c r="GII49" s="83"/>
      <c r="GIJ49" s="83"/>
      <c r="GIK49" s="83"/>
      <c r="GIL49" s="83"/>
      <c r="GIM49" s="83"/>
      <c r="GIN49" s="83"/>
      <c r="GIO49" s="83"/>
      <c r="GIP49" s="83"/>
      <c r="GIQ49" s="83"/>
      <c r="GIR49" s="83"/>
      <c r="GIS49" s="83"/>
      <c r="GIT49" s="83"/>
      <c r="GIU49" s="83"/>
      <c r="GIV49" s="83"/>
      <c r="GIW49" s="83"/>
      <c r="GIX49" s="83"/>
      <c r="GIY49" s="83"/>
      <c r="GIZ49" s="83"/>
      <c r="GJA49" s="83"/>
      <c r="GJB49" s="83"/>
      <c r="GJC49" s="83"/>
      <c r="GJD49" s="83"/>
      <c r="GJE49" s="83"/>
      <c r="GJF49" s="83"/>
      <c r="GJG49" s="83"/>
      <c r="GJH49" s="83"/>
      <c r="GJI49" s="83"/>
      <c r="GJJ49" s="83"/>
      <c r="GJK49" s="83"/>
      <c r="GJL49" s="83"/>
      <c r="GJM49" s="83"/>
      <c r="GJN49" s="83"/>
      <c r="GJO49" s="83"/>
      <c r="GJP49" s="83"/>
      <c r="GJQ49" s="83"/>
      <c r="GJR49" s="83"/>
      <c r="GJS49" s="83"/>
      <c r="GJT49" s="83"/>
      <c r="GJU49" s="83"/>
      <c r="GJV49" s="83"/>
      <c r="GJW49" s="83"/>
      <c r="GJX49" s="83"/>
      <c r="GJY49" s="83"/>
      <c r="GJZ49" s="83"/>
      <c r="GKA49" s="83"/>
      <c r="GKB49" s="83"/>
      <c r="GKC49" s="83"/>
      <c r="GKD49" s="83"/>
      <c r="GKE49" s="83"/>
      <c r="GKF49" s="83"/>
      <c r="GKG49" s="83"/>
      <c r="GKH49" s="83"/>
      <c r="GKI49" s="83"/>
      <c r="GKJ49" s="83"/>
      <c r="GKK49" s="83"/>
      <c r="GKL49" s="83"/>
      <c r="GKM49" s="83"/>
      <c r="GKN49" s="83"/>
      <c r="GKO49" s="83"/>
      <c r="GKP49" s="83"/>
      <c r="GKQ49" s="83"/>
      <c r="GKR49" s="83"/>
      <c r="GKS49" s="83"/>
      <c r="GKT49" s="83"/>
      <c r="GKU49" s="83"/>
      <c r="GKV49" s="83"/>
      <c r="GKW49" s="83"/>
      <c r="GKX49" s="83"/>
      <c r="GKY49" s="83"/>
      <c r="GKZ49" s="83"/>
      <c r="GLA49" s="83"/>
      <c r="GLB49" s="83"/>
      <c r="GLC49" s="83"/>
      <c r="GLD49" s="83"/>
      <c r="GLE49" s="83"/>
      <c r="GLF49" s="83"/>
      <c r="GLG49" s="83"/>
      <c r="GLH49" s="83"/>
      <c r="GLI49" s="83"/>
      <c r="GLJ49" s="83"/>
      <c r="GLK49" s="83"/>
      <c r="GLL49" s="83"/>
      <c r="GLM49" s="83"/>
      <c r="GLN49" s="83"/>
      <c r="GLO49" s="83"/>
      <c r="GLP49" s="83"/>
      <c r="GLQ49" s="83"/>
      <c r="GLR49" s="83"/>
      <c r="GLS49" s="83"/>
      <c r="GLT49" s="83"/>
      <c r="GLU49" s="83"/>
      <c r="GLV49" s="83"/>
      <c r="GLW49" s="83"/>
      <c r="GLX49" s="83"/>
      <c r="GLY49" s="83"/>
      <c r="GLZ49" s="83"/>
      <c r="GMA49" s="83"/>
      <c r="GMB49" s="83"/>
      <c r="GMC49" s="83"/>
      <c r="GMD49" s="83"/>
      <c r="GME49" s="83"/>
      <c r="GMF49" s="83"/>
      <c r="GMG49" s="83"/>
      <c r="GMH49" s="83"/>
      <c r="GMI49" s="83"/>
      <c r="GMJ49" s="83"/>
      <c r="GMK49" s="83"/>
      <c r="GML49" s="83"/>
      <c r="GMM49" s="83"/>
      <c r="GMN49" s="83"/>
      <c r="GMO49" s="83"/>
      <c r="GMP49" s="83"/>
      <c r="GMQ49" s="83"/>
      <c r="GMR49" s="83"/>
      <c r="GMS49" s="83"/>
      <c r="GMT49" s="83"/>
      <c r="GMU49" s="83"/>
      <c r="GMV49" s="83"/>
      <c r="GMW49" s="83"/>
      <c r="GMX49" s="83"/>
      <c r="GMY49" s="83"/>
      <c r="GMZ49" s="83"/>
      <c r="GNA49" s="83"/>
      <c r="GNB49" s="83"/>
      <c r="GNC49" s="83"/>
      <c r="GND49" s="83"/>
      <c r="GNE49" s="83"/>
      <c r="GNF49" s="83"/>
      <c r="GNG49" s="83"/>
      <c r="GNH49" s="83"/>
      <c r="GNI49" s="83"/>
      <c r="GNJ49" s="83"/>
      <c r="GNK49" s="83"/>
      <c r="GNL49" s="83"/>
      <c r="GNM49" s="83"/>
      <c r="GNN49" s="83"/>
      <c r="GNO49" s="83"/>
      <c r="GNP49" s="83"/>
      <c r="GNQ49" s="83"/>
      <c r="GNR49" s="83"/>
      <c r="GNS49" s="83"/>
      <c r="GNT49" s="83"/>
      <c r="GNU49" s="83"/>
      <c r="GNV49" s="83"/>
      <c r="GNW49" s="83"/>
      <c r="GNX49" s="83"/>
      <c r="GNY49" s="83"/>
      <c r="GNZ49" s="83"/>
      <c r="GOA49" s="83"/>
      <c r="GOB49" s="83"/>
      <c r="GOC49" s="83"/>
      <c r="GOD49" s="83"/>
      <c r="GOE49" s="83"/>
      <c r="GOF49" s="83"/>
      <c r="GOG49" s="83"/>
      <c r="GOH49" s="83"/>
      <c r="GOI49" s="83"/>
      <c r="GOJ49" s="83"/>
      <c r="GOK49" s="83"/>
      <c r="GOL49" s="83"/>
      <c r="GOM49" s="83"/>
      <c r="GON49" s="83"/>
      <c r="GOO49" s="83"/>
      <c r="GOP49" s="83"/>
      <c r="GOQ49" s="83"/>
      <c r="GOR49" s="83"/>
      <c r="GOS49" s="83"/>
      <c r="GOT49" s="83"/>
      <c r="GOU49" s="83"/>
      <c r="GOV49" s="83"/>
      <c r="GOW49" s="83"/>
      <c r="GOX49" s="83"/>
      <c r="GOY49" s="83"/>
      <c r="GOZ49" s="83"/>
      <c r="GPA49" s="83"/>
      <c r="GPB49" s="83"/>
      <c r="GPC49" s="83"/>
      <c r="GPD49" s="83"/>
      <c r="GPE49" s="83"/>
      <c r="GPF49" s="83"/>
      <c r="GPG49" s="83"/>
      <c r="GPH49" s="83"/>
      <c r="GPI49" s="83"/>
      <c r="GPJ49" s="83"/>
      <c r="GPK49" s="83"/>
      <c r="GPL49" s="83"/>
      <c r="GPM49" s="83"/>
      <c r="GPN49" s="83"/>
      <c r="GPO49" s="83"/>
      <c r="GPP49" s="83"/>
      <c r="GPQ49" s="83"/>
      <c r="GPR49" s="83"/>
      <c r="GPS49" s="83"/>
      <c r="GPT49" s="83"/>
      <c r="GPU49" s="83"/>
      <c r="GPV49" s="83"/>
      <c r="GPW49" s="83"/>
      <c r="GPX49" s="83"/>
      <c r="GPY49" s="83"/>
      <c r="GPZ49" s="83"/>
      <c r="GQA49" s="83"/>
      <c r="GQB49" s="83"/>
      <c r="GQC49" s="83"/>
      <c r="GQD49" s="83"/>
      <c r="GQE49" s="83"/>
      <c r="GQF49" s="83"/>
      <c r="GQG49" s="83"/>
      <c r="GQH49" s="83"/>
      <c r="GQI49" s="83"/>
      <c r="GQJ49" s="83"/>
      <c r="GQK49" s="83"/>
      <c r="GQL49" s="83"/>
      <c r="GQM49" s="83"/>
      <c r="GQN49" s="83"/>
      <c r="GQO49" s="83"/>
      <c r="GQP49" s="83"/>
      <c r="GQQ49" s="83"/>
      <c r="GQR49" s="83"/>
      <c r="GQS49" s="83"/>
      <c r="GQT49" s="83"/>
      <c r="GQU49" s="83"/>
      <c r="GQV49" s="83"/>
      <c r="GQW49" s="83"/>
      <c r="GQX49" s="83"/>
      <c r="GQY49" s="83"/>
      <c r="GQZ49" s="83"/>
      <c r="GRA49" s="83"/>
      <c r="GRB49" s="83"/>
      <c r="GRC49" s="83"/>
      <c r="GRD49" s="83"/>
      <c r="GRE49" s="83"/>
      <c r="GRF49" s="83"/>
      <c r="GRG49" s="83"/>
      <c r="GRH49" s="83"/>
      <c r="GRI49" s="83"/>
      <c r="GRJ49" s="83"/>
      <c r="GRK49" s="83"/>
      <c r="GRL49" s="83"/>
      <c r="GRM49" s="83"/>
      <c r="GRN49" s="83"/>
      <c r="GRO49" s="83"/>
      <c r="GRP49" s="83"/>
      <c r="GRQ49" s="83"/>
      <c r="GRR49" s="83"/>
      <c r="GRS49" s="83"/>
      <c r="GRT49" s="83"/>
      <c r="GRU49" s="83"/>
      <c r="GRV49" s="83"/>
      <c r="GRW49" s="83"/>
      <c r="GRX49" s="83"/>
      <c r="GRY49" s="83"/>
      <c r="GRZ49" s="83"/>
      <c r="GSA49" s="83"/>
      <c r="GSB49" s="83"/>
      <c r="GSC49" s="83"/>
      <c r="GSD49" s="83"/>
      <c r="GSE49" s="83"/>
      <c r="GSF49" s="83"/>
      <c r="GSG49" s="83"/>
      <c r="GSH49" s="83"/>
      <c r="GSI49" s="83"/>
      <c r="GSJ49" s="83"/>
      <c r="GSK49" s="83"/>
      <c r="GSL49" s="83"/>
      <c r="GSM49" s="83"/>
      <c r="GSN49" s="83"/>
      <c r="GSO49" s="83"/>
      <c r="GSP49" s="83"/>
      <c r="GSQ49" s="83"/>
      <c r="GSR49" s="83"/>
      <c r="GSS49" s="83"/>
      <c r="GST49" s="83"/>
      <c r="GSU49" s="83"/>
      <c r="GSV49" s="83"/>
      <c r="GSW49" s="83"/>
      <c r="GSX49" s="83"/>
      <c r="GSY49" s="83"/>
      <c r="GSZ49" s="83"/>
      <c r="GTA49" s="83"/>
      <c r="GTB49" s="83"/>
      <c r="GTC49" s="83"/>
      <c r="GTD49" s="83"/>
      <c r="GTE49" s="83"/>
      <c r="GTF49" s="83"/>
      <c r="GTG49" s="83"/>
      <c r="GTH49" s="83"/>
      <c r="GTI49" s="83"/>
      <c r="GTJ49" s="83"/>
      <c r="GTK49" s="83"/>
      <c r="GTL49" s="83"/>
      <c r="GTM49" s="83"/>
      <c r="GTN49" s="83"/>
      <c r="GTO49" s="83"/>
      <c r="GTP49" s="83"/>
      <c r="GTQ49" s="83"/>
      <c r="GTR49" s="83"/>
      <c r="GTS49" s="83"/>
      <c r="GTT49" s="83"/>
      <c r="GTU49" s="83"/>
      <c r="GTV49" s="83"/>
      <c r="GTW49" s="83"/>
      <c r="GTX49" s="83"/>
      <c r="GTY49" s="83"/>
      <c r="GTZ49" s="83"/>
      <c r="GUA49" s="83"/>
      <c r="GUB49" s="83"/>
      <c r="GUC49" s="83"/>
      <c r="GUD49" s="83"/>
      <c r="GUE49" s="83"/>
      <c r="GUF49" s="83"/>
      <c r="GUG49" s="83"/>
      <c r="GUH49" s="83"/>
      <c r="GUI49" s="83"/>
      <c r="GUJ49" s="83"/>
      <c r="GUK49" s="83"/>
      <c r="GUL49" s="83"/>
      <c r="GUM49" s="83"/>
      <c r="GUN49" s="83"/>
      <c r="GUO49" s="83"/>
      <c r="GUP49" s="83"/>
      <c r="GUQ49" s="83"/>
      <c r="GUR49" s="83"/>
      <c r="GUS49" s="83"/>
      <c r="GUT49" s="83"/>
      <c r="GUU49" s="83"/>
      <c r="GUV49" s="83"/>
      <c r="GUW49" s="83"/>
      <c r="GUX49" s="83"/>
      <c r="GUY49" s="83"/>
      <c r="GUZ49" s="83"/>
      <c r="GVA49" s="83"/>
      <c r="GVB49" s="83"/>
      <c r="GVC49" s="83"/>
      <c r="GVD49" s="83"/>
      <c r="GVE49" s="83"/>
      <c r="GVF49" s="83"/>
      <c r="GVG49" s="83"/>
      <c r="GVH49" s="83"/>
      <c r="GVI49" s="83"/>
      <c r="GVJ49" s="83"/>
      <c r="GVK49" s="83"/>
      <c r="GVL49" s="83"/>
      <c r="GVM49" s="83"/>
      <c r="GVN49" s="83"/>
      <c r="GVO49" s="83"/>
      <c r="GVP49" s="83"/>
      <c r="GVQ49" s="83"/>
      <c r="GVR49" s="83"/>
      <c r="GVS49" s="83"/>
      <c r="GVT49" s="83"/>
      <c r="GVU49" s="83"/>
      <c r="GVV49" s="83"/>
      <c r="GVW49" s="83"/>
      <c r="GVX49" s="83"/>
      <c r="GVY49" s="83"/>
      <c r="GVZ49" s="83"/>
      <c r="GWA49" s="83"/>
      <c r="GWB49" s="83"/>
      <c r="GWC49" s="83"/>
      <c r="GWD49" s="83"/>
      <c r="GWE49" s="83"/>
      <c r="GWF49" s="83"/>
      <c r="GWG49" s="83"/>
      <c r="GWH49" s="83"/>
      <c r="GWI49" s="83"/>
      <c r="GWJ49" s="83"/>
      <c r="GWK49" s="83"/>
      <c r="GWL49" s="83"/>
      <c r="GWM49" s="83"/>
      <c r="GWN49" s="83"/>
      <c r="GWO49" s="83"/>
      <c r="GWP49" s="83"/>
      <c r="GWQ49" s="83"/>
      <c r="GWR49" s="83"/>
      <c r="GWS49" s="83"/>
      <c r="GWT49" s="83"/>
      <c r="GWU49" s="83"/>
      <c r="GWV49" s="83"/>
      <c r="GWW49" s="83"/>
      <c r="GWX49" s="83"/>
      <c r="GWY49" s="83"/>
      <c r="GWZ49" s="83"/>
      <c r="GXA49" s="83"/>
      <c r="GXB49" s="83"/>
      <c r="GXC49" s="83"/>
      <c r="GXD49" s="83"/>
      <c r="GXE49" s="83"/>
      <c r="GXF49" s="83"/>
      <c r="GXG49" s="83"/>
      <c r="GXH49" s="83"/>
      <c r="GXI49" s="83"/>
      <c r="GXJ49" s="83"/>
      <c r="GXK49" s="83"/>
      <c r="GXL49" s="83"/>
      <c r="GXM49" s="83"/>
      <c r="GXN49" s="83"/>
      <c r="GXO49" s="83"/>
      <c r="GXP49" s="83"/>
      <c r="GXQ49" s="83"/>
      <c r="GXR49" s="83"/>
      <c r="GXS49" s="83"/>
      <c r="GXT49" s="83"/>
      <c r="GXU49" s="83"/>
      <c r="GXV49" s="83"/>
      <c r="GXW49" s="83"/>
      <c r="GXX49" s="83"/>
      <c r="GXY49" s="83"/>
      <c r="GXZ49" s="83"/>
      <c r="GYA49" s="83"/>
      <c r="GYB49" s="83"/>
      <c r="GYC49" s="83"/>
      <c r="GYD49" s="83"/>
      <c r="GYE49" s="83"/>
      <c r="GYF49" s="83"/>
      <c r="GYG49" s="83"/>
      <c r="GYH49" s="83"/>
      <c r="GYI49" s="83"/>
      <c r="GYJ49" s="83"/>
      <c r="GYK49" s="83"/>
      <c r="GYL49" s="83"/>
      <c r="GYM49" s="83"/>
      <c r="GYN49" s="83"/>
      <c r="GYO49" s="83"/>
      <c r="GYP49" s="83"/>
      <c r="GYQ49" s="83"/>
      <c r="GYR49" s="83"/>
      <c r="GYS49" s="83"/>
      <c r="GYT49" s="83"/>
      <c r="GYU49" s="83"/>
      <c r="GYV49" s="83"/>
      <c r="GYW49" s="83"/>
      <c r="GYX49" s="83"/>
      <c r="GYY49" s="83"/>
      <c r="GYZ49" s="83"/>
      <c r="GZA49" s="83"/>
      <c r="GZB49" s="83"/>
      <c r="GZC49" s="83"/>
      <c r="GZD49" s="83"/>
      <c r="GZE49" s="83"/>
      <c r="GZF49" s="83"/>
      <c r="GZG49" s="83"/>
      <c r="GZH49" s="83"/>
      <c r="GZI49" s="83"/>
      <c r="GZJ49" s="83"/>
      <c r="GZK49" s="83"/>
      <c r="GZL49" s="83"/>
      <c r="GZM49" s="83"/>
      <c r="GZN49" s="83"/>
      <c r="GZO49" s="83"/>
      <c r="GZP49" s="83"/>
      <c r="GZQ49" s="83"/>
      <c r="GZR49" s="83"/>
      <c r="GZS49" s="83"/>
      <c r="GZT49" s="83"/>
      <c r="GZU49" s="83"/>
      <c r="GZV49" s="83"/>
      <c r="GZW49" s="83"/>
      <c r="GZX49" s="83"/>
      <c r="GZY49" s="83"/>
      <c r="GZZ49" s="83"/>
      <c r="HAA49" s="83"/>
      <c r="HAB49" s="83"/>
      <c r="HAC49" s="83"/>
      <c r="HAD49" s="83"/>
      <c r="HAE49" s="83"/>
      <c r="HAF49" s="83"/>
      <c r="HAG49" s="83"/>
      <c r="HAH49" s="83"/>
      <c r="HAI49" s="83"/>
      <c r="HAJ49" s="83"/>
      <c r="HAK49" s="83"/>
      <c r="HAL49" s="83"/>
      <c r="HAM49" s="83"/>
      <c r="HAN49" s="83"/>
      <c r="HAO49" s="83"/>
      <c r="HAP49" s="83"/>
      <c r="HAQ49" s="83"/>
      <c r="HAR49" s="83"/>
      <c r="HAS49" s="83"/>
      <c r="HAT49" s="83"/>
      <c r="HAU49" s="83"/>
      <c r="HAV49" s="83"/>
      <c r="HAW49" s="83"/>
      <c r="HAX49" s="83"/>
      <c r="HAY49" s="83"/>
      <c r="HAZ49" s="83"/>
      <c r="HBA49" s="83"/>
      <c r="HBB49" s="83"/>
      <c r="HBC49" s="83"/>
      <c r="HBD49" s="83"/>
      <c r="HBE49" s="83"/>
      <c r="HBF49" s="83"/>
      <c r="HBG49" s="83"/>
      <c r="HBH49" s="83"/>
      <c r="HBI49" s="83"/>
      <c r="HBJ49" s="83"/>
      <c r="HBK49" s="83"/>
      <c r="HBL49" s="83"/>
      <c r="HBM49" s="83"/>
      <c r="HBN49" s="83"/>
      <c r="HBO49" s="83"/>
      <c r="HBP49" s="83"/>
      <c r="HBQ49" s="83"/>
      <c r="HBR49" s="83"/>
      <c r="HBS49" s="83"/>
      <c r="HBT49" s="83"/>
      <c r="HBU49" s="83"/>
      <c r="HBV49" s="83"/>
      <c r="HBW49" s="83"/>
      <c r="HBX49" s="83"/>
      <c r="HBY49" s="83"/>
      <c r="HBZ49" s="83"/>
      <c r="HCA49" s="83"/>
      <c r="HCB49" s="83"/>
      <c r="HCC49" s="83"/>
      <c r="HCD49" s="83"/>
      <c r="HCE49" s="83"/>
      <c r="HCF49" s="83"/>
      <c r="HCG49" s="83"/>
      <c r="HCH49" s="83"/>
      <c r="HCI49" s="83"/>
      <c r="HCJ49" s="83"/>
      <c r="HCK49" s="83"/>
      <c r="HCL49" s="83"/>
      <c r="HCM49" s="83"/>
      <c r="HCN49" s="83"/>
      <c r="HCO49" s="83"/>
      <c r="HCP49" s="83"/>
      <c r="HCQ49" s="83"/>
      <c r="HCR49" s="83"/>
      <c r="HCS49" s="83"/>
      <c r="HCT49" s="83"/>
      <c r="HCU49" s="83"/>
      <c r="HCV49" s="83"/>
      <c r="HCW49" s="83"/>
      <c r="HCX49" s="83"/>
      <c r="HCY49" s="83"/>
      <c r="HCZ49" s="83"/>
      <c r="HDA49" s="83"/>
      <c r="HDB49" s="83"/>
      <c r="HDC49" s="83"/>
      <c r="HDD49" s="83"/>
      <c r="HDE49" s="83"/>
      <c r="HDF49" s="83"/>
      <c r="HDG49" s="83"/>
      <c r="HDH49" s="83"/>
      <c r="HDI49" s="83"/>
      <c r="HDJ49" s="83"/>
      <c r="HDK49" s="83"/>
      <c r="HDL49" s="83"/>
      <c r="HDM49" s="83"/>
      <c r="HDN49" s="83"/>
      <c r="HDO49" s="83"/>
      <c r="HDP49" s="83"/>
      <c r="HDQ49" s="83"/>
      <c r="HDR49" s="83"/>
      <c r="HDS49" s="83"/>
      <c r="HDT49" s="83"/>
      <c r="HDU49" s="83"/>
      <c r="HDV49" s="83"/>
      <c r="HDW49" s="83"/>
      <c r="HDX49" s="83"/>
      <c r="HDY49" s="83"/>
      <c r="HDZ49" s="83"/>
      <c r="HEA49" s="83"/>
      <c r="HEB49" s="83"/>
      <c r="HEC49" s="83"/>
      <c r="HED49" s="83"/>
      <c r="HEE49" s="83"/>
      <c r="HEF49" s="83"/>
      <c r="HEG49" s="83"/>
      <c r="HEH49" s="83"/>
      <c r="HEI49" s="83"/>
      <c r="HEJ49" s="83"/>
      <c r="HEK49" s="83"/>
      <c r="HEL49" s="83"/>
      <c r="HEM49" s="83"/>
      <c r="HEN49" s="83"/>
      <c r="HEO49" s="83"/>
      <c r="HEP49" s="83"/>
      <c r="HEQ49" s="83"/>
      <c r="HER49" s="83"/>
      <c r="HES49" s="83"/>
      <c r="HET49" s="83"/>
      <c r="HEU49" s="83"/>
      <c r="HEV49" s="83"/>
      <c r="HEW49" s="83"/>
      <c r="HEX49" s="83"/>
      <c r="HEY49" s="83"/>
      <c r="HEZ49" s="83"/>
      <c r="HFA49" s="83"/>
      <c r="HFB49" s="83"/>
      <c r="HFC49" s="83"/>
      <c r="HFD49" s="83"/>
      <c r="HFE49" s="83"/>
      <c r="HFF49" s="83"/>
      <c r="HFG49" s="83"/>
      <c r="HFH49" s="83"/>
      <c r="HFI49" s="83"/>
      <c r="HFJ49" s="83"/>
      <c r="HFK49" s="83"/>
      <c r="HFL49" s="83"/>
      <c r="HFM49" s="83"/>
      <c r="HFN49" s="83"/>
      <c r="HFO49" s="83"/>
      <c r="HFP49" s="83"/>
      <c r="HFQ49" s="83"/>
      <c r="HFR49" s="83"/>
      <c r="HFS49" s="83"/>
      <c r="HFT49" s="83"/>
      <c r="HFU49" s="83"/>
      <c r="HFV49" s="83"/>
      <c r="HFW49" s="83"/>
      <c r="HFX49" s="83"/>
      <c r="HFY49" s="83"/>
      <c r="HFZ49" s="83"/>
      <c r="HGA49" s="83"/>
      <c r="HGB49" s="83"/>
      <c r="HGC49" s="83"/>
      <c r="HGD49" s="83"/>
      <c r="HGE49" s="83"/>
      <c r="HGF49" s="83"/>
      <c r="HGG49" s="83"/>
      <c r="HGH49" s="83"/>
      <c r="HGI49" s="83"/>
      <c r="HGJ49" s="83"/>
      <c r="HGK49" s="83"/>
      <c r="HGL49" s="83"/>
      <c r="HGM49" s="83"/>
      <c r="HGN49" s="83"/>
      <c r="HGO49" s="83"/>
      <c r="HGP49" s="83"/>
      <c r="HGQ49" s="83"/>
      <c r="HGR49" s="83"/>
      <c r="HGS49" s="83"/>
      <c r="HGT49" s="83"/>
      <c r="HGU49" s="83"/>
      <c r="HGV49" s="83"/>
      <c r="HGW49" s="83"/>
      <c r="HGX49" s="83"/>
      <c r="HGY49" s="83"/>
      <c r="HGZ49" s="83"/>
      <c r="HHA49" s="83"/>
      <c r="HHB49" s="83"/>
      <c r="HHC49" s="83"/>
      <c r="HHD49" s="83"/>
      <c r="HHE49" s="83"/>
      <c r="HHF49" s="83"/>
      <c r="HHG49" s="83"/>
      <c r="HHH49" s="83"/>
      <c r="HHI49" s="83"/>
      <c r="HHJ49" s="83"/>
      <c r="HHK49" s="83"/>
      <c r="HHL49" s="83"/>
      <c r="HHM49" s="83"/>
      <c r="HHN49" s="83"/>
      <c r="HHO49" s="83"/>
      <c r="HHP49" s="83"/>
      <c r="HHQ49" s="83"/>
      <c r="HHR49" s="83"/>
      <c r="HHS49" s="83"/>
      <c r="HHT49" s="83"/>
      <c r="HHU49" s="83"/>
      <c r="HHV49" s="83"/>
      <c r="HHW49" s="83"/>
      <c r="HHX49" s="83"/>
      <c r="HHY49" s="83"/>
      <c r="HHZ49" s="83"/>
      <c r="HIA49" s="83"/>
      <c r="HIB49" s="83"/>
      <c r="HIC49" s="83"/>
      <c r="HID49" s="83"/>
      <c r="HIE49" s="83"/>
      <c r="HIF49" s="83"/>
      <c r="HIG49" s="83"/>
      <c r="HIH49" s="83"/>
      <c r="HII49" s="83"/>
      <c r="HIJ49" s="83"/>
      <c r="HIK49" s="83"/>
      <c r="HIL49" s="83"/>
      <c r="HIM49" s="83"/>
      <c r="HIN49" s="83"/>
      <c r="HIO49" s="83"/>
      <c r="HIP49" s="83"/>
      <c r="HIQ49" s="83"/>
      <c r="HIR49" s="83"/>
      <c r="HIS49" s="83"/>
      <c r="HIT49" s="83"/>
      <c r="HIU49" s="83"/>
      <c r="HIV49" s="83"/>
      <c r="HIW49" s="83"/>
      <c r="HIX49" s="83"/>
      <c r="HIY49" s="83"/>
      <c r="HIZ49" s="83"/>
      <c r="HJA49" s="83"/>
      <c r="HJB49" s="83"/>
      <c r="HJC49" s="83"/>
      <c r="HJD49" s="83"/>
      <c r="HJE49" s="83"/>
      <c r="HJF49" s="83"/>
      <c r="HJG49" s="83"/>
      <c r="HJH49" s="83"/>
      <c r="HJI49" s="83"/>
      <c r="HJJ49" s="83"/>
      <c r="HJK49" s="83"/>
      <c r="HJL49" s="83"/>
      <c r="HJM49" s="83"/>
      <c r="HJN49" s="83"/>
      <c r="HJO49" s="83"/>
      <c r="HJP49" s="83"/>
      <c r="HJQ49" s="83"/>
      <c r="HJR49" s="83"/>
      <c r="HJS49" s="83"/>
      <c r="HJT49" s="83"/>
      <c r="HJU49" s="83"/>
      <c r="HJV49" s="83"/>
      <c r="HJW49" s="83"/>
      <c r="HJX49" s="83"/>
      <c r="HJY49" s="83"/>
      <c r="HJZ49" s="83"/>
      <c r="HKA49" s="83"/>
      <c r="HKB49" s="83"/>
      <c r="HKC49" s="83"/>
      <c r="HKD49" s="83"/>
      <c r="HKE49" s="83"/>
      <c r="HKF49" s="83"/>
      <c r="HKG49" s="83"/>
      <c r="HKH49" s="83"/>
      <c r="HKI49" s="83"/>
      <c r="HKJ49" s="83"/>
      <c r="HKK49" s="83"/>
      <c r="HKL49" s="83"/>
      <c r="HKM49" s="83"/>
      <c r="HKN49" s="83"/>
      <c r="HKO49" s="83"/>
      <c r="HKP49" s="83"/>
      <c r="HKQ49" s="83"/>
      <c r="HKR49" s="83"/>
      <c r="HKS49" s="83"/>
      <c r="HKT49" s="83"/>
      <c r="HKU49" s="83"/>
      <c r="HKV49" s="83"/>
      <c r="HKW49" s="83"/>
      <c r="HKX49" s="83"/>
      <c r="HKY49" s="83"/>
      <c r="HKZ49" s="83"/>
      <c r="HLA49" s="83"/>
      <c r="HLB49" s="83"/>
      <c r="HLC49" s="83"/>
      <c r="HLD49" s="83"/>
      <c r="HLE49" s="83"/>
      <c r="HLF49" s="83"/>
      <c r="HLG49" s="83"/>
      <c r="HLH49" s="83"/>
      <c r="HLI49" s="83"/>
      <c r="HLJ49" s="83"/>
      <c r="HLK49" s="83"/>
      <c r="HLL49" s="83"/>
      <c r="HLM49" s="83"/>
      <c r="HLN49" s="83"/>
      <c r="HLO49" s="83"/>
      <c r="HLP49" s="83"/>
      <c r="HLQ49" s="83"/>
      <c r="HLR49" s="83"/>
      <c r="HLS49" s="83"/>
      <c r="HLT49" s="83"/>
      <c r="HLU49" s="83"/>
      <c r="HLV49" s="83"/>
      <c r="HLW49" s="83"/>
      <c r="HLX49" s="83"/>
      <c r="HLY49" s="83"/>
      <c r="HLZ49" s="83"/>
      <c r="HMA49" s="83"/>
      <c r="HMB49" s="83"/>
      <c r="HMC49" s="83"/>
      <c r="HMD49" s="83"/>
      <c r="HME49" s="83"/>
      <c r="HMF49" s="83"/>
      <c r="HMG49" s="83"/>
      <c r="HMH49" s="83"/>
      <c r="HMI49" s="83"/>
      <c r="HMJ49" s="83"/>
      <c r="HMK49" s="83"/>
      <c r="HML49" s="83"/>
      <c r="HMM49" s="83"/>
      <c r="HMN49" s="83"/>
      <c r="HMO49" s="83"/>
      <c r="HMP49" s="83"/>
      <c r="HMQ49" s="83"/>
      <c r="HMR49" s="83"/>
      <c r="HMS49" s="83"/>
      <c r="HMT49" s="83"/>
      <c r="HMU49" s="83"/>
      <c r="HMV49" s="83"/>
      <c r="HMW49" s="83"/>
      <c r="HMX49" s="83"/>
      <c r="HMY49" s="83"/>
      <c r="HMZ49" s="83"/>
      <c r="HNA49" s="83"/>
      <c r="HNB49" s="83"/>
      <c r="HNC49" s="83"/>
      <c r="HND49" s="83"/>
      <c r="HNE49" s="83"/>
      <c r="HNF49" s="83"/>
      <c r="HNG49" s="83"/>
      <c r="HNH49" s="83"/>
      <c r="HNI49" s="83"/>
      <c r="HNJ49" s="83"/>
      <c r="HNK49" s="83"/>
      <c r="HNL49" s="83"/>
      <c r="HNM49" s="83"/>
      <c r="HNN49" s="83"/>
      <c r="HNO49" s="83"/>
      <c r="HNP49" s="83"/>
      <c r="HNQ49" s="83"/>
      <c r="HNR49" s="83"/>
      <c r="HNS49" s="83"/>
      <c r="HNT49" s="83"/>
      <c r="HNU49" s="83"/>
      <c r="HNV49" s="83"/>
      <c r="HNW49" s="83"/>
      <c r="HNX49" s="83"/>
      <c r="HNY49" s="83"/>
      <c r="HNZ49" s="83"/>
      <c r="HOA49" s="83"/>
      <c r="HOB49" s="83"/>
      <c r="HOC49" s="83"/>
      <c r="HOD49" s="83"/>
      <c r="HOE49" s="83"/>
      <c r="HOF49" s="83"/>
      <c r="HOG49" s="83"/>
      <c r="HOH49" s="83"/>
      <c r="HOI49" s="83"/>
      <c r="HOJ49" s="83"/>
      <c r="HOK49" s="83"/>
      <c r="HOL49" s="83"/>
      <c r="HOM49" s="83"/>
      <c r="HON49" s="83"/>
      <c r="HOO49" s="83"/>
      <c r="HOP49" s="83"/>
      <c r="HOQ49" s="83"/>
      <c r="HOR49" s="83"/>
      <c r="HOS49" s="83"/>
      <c r="HOT49" s="83"/>
      <c r="HOU49" s="83"/>
      <c r="HOV49" s="83"/>
      <c r="HOW49" s="83"/>
      <c r="HOX49" s="83"/>
      <c r="HOY49" s="83"/>
      <c r="HOZ49" s="83"/>
      <c r="HPA49" s="83"/>
      <c r="HPB49" s="83"/>
      <c r="HPC49" s="83"/>
      <c r="HPD49" s="83"/>
      <c r="HPE49" s="83"/>
      <c r="HPF49" s="83"/>
      <c r="HPG49" s="83"/>
      <c r="HPH49" s="83"/>
      <c r="HPI49" s="83"/>
      <c r="HPJ49" s="83"/>
      <c r="HPK49" s="83"/>
      <c r="HPL49" s="83"/>
      <c r="HPM49" s="83"/>
      <c r="HPN49" s="83"/>
      <c r="HPO49" s="83"/>
      <c r="HPP49" s="83"/>
      <c r="HPQ49" s="83"/>
      <c r="HPR49" s="83"/>
      <c r="HPS49" s="83"/>
      <c r="HPT49" s="83"/>
      <c r="HPU49" s="83"/>
      <c r="HPV49" s="83"/>
      <c r="HPW49" s="83"/>
      <c r="HPX49" s="83"/>
      <c r="HPY49" s="83"/>
      <c r="HPZ49" s="83"/>
      <c r="HQA49" s="83"/>
      <c r="HQB49" s="83"/>
      <c r="HQC49" s="83"/>
      <c r="HQD49" s="83"/>
      <c r="HQE49" s="83"/>
      <c r="HQF49" s="83"/>
      <c r="HQG49" s="83"/>
      <c r="HQH49" s="83"/>
      <c r="HQI49" s="83"/>
      <c r="HQJ49" s="83"/>
      <c r="HQK49" s="83"/>
      <c r="HQL49" s="83"/>
      <c r="HQM49" s="83"/>
      <c r="HQN49" s="83"/>
      <c r="HQO49" s="83"/>
      <c r="HQP49" s="83"/>
      <c r="HQQ49" s="83"/>
      <c r="HQR49" s="83"/>
      <c r="HQS49" s="83"/>
      <c r="HQT49" s="83"/>
      <c r="HQU49" s="83"/>
      <c r="HQV49" s="83"/>
      <c r="HQW49" s="83"/>
      <c r="HQX49" s="83"/>
      <c r="HQY49" s="83"/>
      <c r="HQZ49" s="83"/>
      <c r="HRA49" s="83"/>
      <c r="HRB49" s="83"/>
      <c r="HRC49" s="83"/>
      <c r="HRD49" s="83"/>
      <c r="HRE49" s="83"/>
      <c r="HRF49" s="83"/>
      <c r="HRG49" s="83"/>
      <c r="HRH49" s="83"/>
      <c r="HRI49" s="83"/>
      <c r="HRJ49" s="83"/>
      <c r="HRK49" s="83"/>
      <c r="HRL49" s="83"/>
      <c r="HRM49" s="83"/>
      <c r="HRN49" s="83"/>
      <c r="HRO49" s="83"/>
      <c r="HRP49" s="83"/>
      <c r="HRQ49" s="83"/>
      <c r="HRR49" s="83"/>
      <c r="HRS49" s="83"/>
      <c r="HRT49" s="83"/>
      <c r="HRU49" s="83"/>
      <c r="HRV49" s="83"/>
      <c r="HRW49" s="83"/>
      <c r="HRX49" s="83"/>
      <c r="HRY49" s="83"/>
      <c r="HRZ49" s="83"/>
      <c r="HSA49" s="83"/>
      <c r="HSB49" s="83"/>
      <c r="HSC49" s="83"/>
      <c r="HSD49" s="83"/>
      <c r="HSE49" s="83"/>
      <c r="HSF49" s="83"/>
      <c r="HSG49" s="83"/>
      <c r="HSH49" s="83"/>
      <c r="HSI49" s="83"/>
      <c r="HSJ49" s="83"/>
      <c r="HSK49" s="83"/>
      <c r="HSL49" s="83"/>
      <c r="HSM49" s="83"/>
      <c r="HSN49" s="83"/>
      <c r="HSO49" s="83"/>
      <c r="HSP49" s="83"/>
      <c r="HSQ49" s="83"/>
      <c r="HSR49" s="83"/>
      <c r="HSS49" s="83"/>
      <c r="HST49" s="83"/>
      <c r="HSU49" s="83"/>
      <c r="HSV49" s="83"/>
      <c r="HSW49" s="83"/>
      <c r="HSX49" s="83"/>
      <c r="HSY49" s="83"/>
      <c r="HSZ49" s="83"/>
      <c r="HTA49" s="83"/>
      <c r="HTB49" s="83"/>
      <c r="HTC49" s="83"/>
      <c r="HTD49" s="83"/>
      <c r="HTE49" s="83"/>
      <c r="HTF49" s="83"/>
      <c r="HTG49" s="83"/>
      <c r="HTH49" s="83"/>
      <c r="HTI49" s="83"/>
      <c r="HTJ49" s="83"/>
      <c r="HTK49" s="83"/>
      <c r="HTL49" s="83"/>
      <c r="HTM49" s="83"/>
      <c r="HTN49" s="83"/>
      <c r="HTO49" s="83"/>
      <c r="HTP49" s="83"/>
      <c r="HTQ49" s="83"/>
      <c r="HTR49" s="83"/>
      <c r="HTS49" s="83"/>
      <c r="HTT49" s="83"/>
      <c r="HTU49" s="83"/>
      <c r="HTV49" s="83"/>
      <c r="HTW49" s="83"/>
      <c r="HTX49" s="83"/>
      <c r="HTY49" s="83"/>
      <c r="HTZ49" s="83"/>
      <c r="HUA49" s="83"/>
      <c r="HUB49" s="83"/>
      <c r="HUC49" s="83"/>
      <c r="HUD49" s="83"/>
      <c r="HUE49" s="83"/>
      <c r="HUF49" s="83"/>
      <c r="HUG49" s="83"/>
      <c r="HUH49" s="83"/>
      <c r="HUI49" s="83"/>
      <c r="HUJ49" s="83"/>
      <c r="HUK49" s="83"/>
      <c r="HUL49" s="83"/>
      <c r="HUM49" s="83"/>
      <c r="HUN49" s="83"/>
      <c r="HUO49" s="83"/>
      <c r="HUP49" s="83"/>
      <c r="HUQ49" s="83"/>
      <c r="HUR49" s="83"/>
      <c r="HUS49" s="83"/>
      <c r="HUT49" s="83"/>
      <c r="HUU49" s="83"/>
      <c r="HUV49" s="83"/>
      <c r="HUW49" s="83"/>
      <c r="HUX49" s="83"/>
      <c r="HUY49" s="83"/>
      <c r="HUZ49" s="83"/>
      <c r="HVA49" s="83"/>
      <c r="HVB49" s="83"/>
      <c r="HVC49" s="83"/>
      <c r="HVD49" s="83"/>
      <c r="HVE49" s="83"/>
      <c r="HVF49" s="83"/>
      <c r="HVG49" s="83"/>
      <c r="HVH49" s="83"/>
      <c r="HVI49" s="83"/>
      <c r="HVJ49" s="83"/>
      <c r="HVK49" s="83"/>
      <c r="HVL49" s="83"/>
      <c r="HVM49" s="83"/>
      <c r="HVN49" s="83"/>
      <c r="HVO49" s="83"/>
      <c r="HVP49" s="83"/>
      <c r="HVQ49" s="83"/>
      <c r="HVR49" s="83"/>
      <c r="HVS49" s="83"/>
      <c r="HVT49" s="83"/>
      <c r="HVU49" s="83"/>
      <c r="HVV49" s="83"/>
      <c r="HVW49" s="83"/>
      <c r="HVX49" s="83"/>
      <c r="HVY49" s="83"/>
      <c r="HVZ49" s="83"/>
      <c r="HWA49" s="83"/>
      <c r="HWB49" s="83"/>
      <c r="HWC49" s="83"/>
      <c r="HWD49" s="83"/>
      <c r="HWE49" s="83"/>
      <c r="HWF49" s="83"/>
      <c r="HWG49" s="83"/>
      <c r="HWH49" s="83"/>
      <c r="HWI49" s="83"/>
      <c r="HWJ49" s="83"/>
      <c r="HWK49" s="83"/>
      <c r="HWL49" s="83"/>
      <c r="HWM49" s="83"/>
      <c r="HWN49" s="83"/>
      <c r="HWO49" s="83"/>
      <c r="HWP49" s="83"/>
      <c r="HWQ49" s="83"/>
      <c r="HWR49" s="83"/>
      <c r="HWS49" s="83"/>
      <c r="HWT49" s="83"/>
      <c r="HWU49" s="83"/>
      <c r="HWV49" s="83"/>
      <c r="HWW49" s="83"/>
      <c r="HWX49" s="83"/>
      <c r="HWY49" s="83"/>
      <c r="HWZ49" s="83"/>
      <c r="HXA49" s="83"/>
      <c r="HXB49" s="83"/>
      <c r="HXC49" s="83"/>
      <c r="HXD49" s="83"/>
      <c r="HXE49" s="83"/>
      <c r="HXF49" s="83"/>
      <c r="HXG49" s="83"/>
      <c r="HXH49" s="83"/>
      <c r="HXI49" s="83"/>
      <c r="HXJ49" s="83"/>
      <c r="HXK49" s="83"/>
      <c r="HXL49" s="83"/>
      <c r="HXM49" s="83"/>
      <c r="HXN49" s="83"/>
      <c r="HXO49" s="83"/>
      <c r="HXP49" s="83"/>
      <c r="HXQ49" s="83"/>
      <c r="HXR49" s="83"/>
      <c r="HXS49" s="83"/>
      <c r="HXT49" s="83"/>
      <c r="HXU49" s="83"/>
      <c r="HXV49" s="83"/>
      <c r="HXW49" s="83"/>
      <c r="HXX49" s="83"/>
      <c r="HXY49" s="83"/>
      <c r="HXZ49" s="83"/>
      <c r="HYA49" s="83"/>
      <c r="HYB49" s="83"/>
      <c r="HYC49" s="83"/>
      <c r="HYD49" s="83"/>
      <c r="HYE49" s="83"/>
      <c r="HYF49" s="83"/>
      <c r="HYG49" s="83"/>
      <c r="HYH49" s="83"/>
      <c r="HYI49" s="83"/>
      <c r="HYJ49" s="83"/>
      <c r="HYK49" s="83"/>
      <c r="HYL49" s="83"/>
      <c r="HYM49" s="83"/>
      <c r="HYN49" s="83"/>
      <c r="HYO49" s="83"/>
      <c r="HYP49" s="83"/>
      <c r="HYQ49" s="83"/>
      <c r="HYR49" s="83"/>
      <c r="HYS49" s="83"/>
      <c r="HYT49" s="83"/>
      <c r="HYU49" s="83"/>
      <c r="HYV49" s="83"/>
      <c r="HYW49" s="83"/>
      <c r="HYX49" s="83"/>
      <c r="HYY49" s="83"/>
      <c r="HYZ49" s="83"/>
      <c r="HZA49" s="83"/>
      <c r="HZB49" s="83"/>
      <c r="HZC49" s="83"/>
      <c r="HZD49" s="83"/>
      <c r="HZE49" s="83"/>
      <c r="HZF49" s="83"/>
      <c r="HZG49" s="83"/>
      <c r="HZH49" s="83"/>
      <c r="HZI49" s="83"/>
      <c r="HZJ49" s="83"/>
      <c r="HZK49" s="83"/>
      <c r="HZL49" s="83"/>
      <c r="HZM49" s="83"/>
      <c r="HZN49" s="83"/>
      <c r="HZO49" s="83"/>
      <c r="HZP49" s="83"/>
      <c r="HZQ49" s="83"/>
      <c r="HZR49" s="83"/>
      <c r="HZS49" s="83"/>
      <c r="HZT49" s="83"/>
      <c r="HZU49" s="83"/>
      <c r="HZV49" s="83"/>
      <c r="HZW49" s="83"/>
      <c r="HZX49" s="83"/>
      <c r="HZY49" s="83"/>
      <c r="HZZ49" s="83"/>
      <c r="IAA49" s="83"/>
      <c r="IAB49" s="83"/>
      <c r="IAC49" s="83"/>
      <c r="IAD49" s="83"/>
      <c r="IAE49" s="83"/>
      <c r="IAF49" s="83"/>
      <c r="IAG49" s="83"/>
      <c r="IAH49" s="83"/>
      <c r="IAI49" s="83"/>
      <c r="IAJ49" s="83"/>
      <c r="IAK49" s="83"/>
      <c r="IAL49" s="83"/>
      <c r="IAM49" s="83"/>
      <c r="IAN49" s="83"/>
      <c r="IAO49" s="83"/>
      <c r="IAP49" s="83"/>
      <c r="IAQ49" s="83"/>
      <c r="IAR49" s="83"/>
      <c r="IAS49" s="83"/>
      <c r="IAT49" s="83"/>
      <c r="IAU49" s="83"/>
      <c r="IAV49" s="83"/>
      <c r="IAW49" s="83"/>
      <c r="IAX49" s="83"/>
      <c r="IAY49" s="83"/>
      <c r="IAZ49" s="83"/>
      <c r="IBA49" s="83"/>
      <c r="IBB49" s="83"/>
      <c r="IBC49" s="83"/>
      <c r="IBD49" s="83"/>
      <c r="IBE49" s="83"/>
      <c r="IBF49" s="83"/>
      <c r="IBG49" s="83"/>
      <c r="IBH49" s="83"/>
      <c r="IBI49" s="83"/>
      <c r="IBJ49" s="83"/>
      <c r="IBK49" s="83"/>
      <c r="IBL49" s="83"/>
      <c r="IBM49" s="83"/>
      <c r="IBN49" s="83"/>
      <c r="IBO49" s="83"/>
      <c r="IBP49" s="83"/>
      <c r="IBQ49" s="83"/>
      <c r="IBR49" s="83"/>
      <c r="IBS49" s="83"/>
      <c r="IBT49" s="83"/>
      <c r="IBU49" s="83"/>
      <c r="IBV49" s="83"/>
      <c r="IBW49" s="83"/>
      <c r="IBX49" s="83"/>
      <c r="IBY49" s="83"/>
      <c r="IBZ49" s="83"/>
      <c r="ICA49" s="83"/>
      <c r="ICB49" s="83"/>
      <c r="ICC49" s="83"/>
      <c r="ICD49" s="83"/>
      <c r="ICE49" s="83"/>
      <c r="ICF49" s="83"/>
      <c r="ICG49" s="83"/>
      <c r="ICH49" s="83"/>
      <c r="ICI49" s="83"/>
      <c r="ICJ49" s="83"/>
      <c r="ICK49" s="83"/>
      <c r="ICL49" s="83"/>
      <c r="ICM49" s="83"/>
      <c r="ICN49" s="83"/>
      <c r="ICO49" s="83"/>
      <c r="ICP49" s="83"/>
      <c r="ICQ49" s="83"/>
      <c r="ICR49" s="83"/>
      <c r="ICS49" s="83"/>
      <c r="ICT49" s="83"/>
      <c r="ICU49" s="83"/>
      <c r="ICV49" s="83"/>
      <c r="ICW49" s="83"/>
      <c r="ICX49" s="83"/>
      <c r="ICY49" s="83"/>
      <c r="ICZ49" s="83"/>
      <c r="IDA49" s="83"/>
      <c r="IDB49" s="83"/>
      <c r="IDC49" s="83"/>
      <c r="IDD49" s="83"/>
      <c r="IDE49" s="83"/>
      <c r="IDF49" s="83"/>
      <c r="IDG49" s="83"/>
      <c r="IDH49" s="83"/>
      <c r="IDI49" s="83"/>
      <c r="IDJ49" s="83"/>
      <c r="IDK49" s="83"/>
      <c r="IDL49" s="83"/>
      <c r="IDM49" s="83"/>
      <c r="IDN49" s="83"/>
      <c r="IDO49" s="83"/>
      <c r="IDP49" s="83"/>
      <c r="IDQ49" s="83"/>
      <c r="IDR49" s="83"/>
      <c r="IDS49" s="83"/>
      <c r="IDT49" s="83"/>
      <c r="IDU49" s="83"/>
      <c r="IDV49" s="83"/>
      <c r="IDW49" s="83"/>
      <c r="IDX49" s="83"/>
      <c r="IDY49" s="83"/>
      <c r="IDZ49" s="83"/>
      <c r="IEA49" s="83"/>
      <c r="IEB49" s="83"/>
      <c r="IEC49" s="83"/>
      <c r="IED49" s="83"/>
      <c r="IEE49" s="83"/>
      <c r="IEF49" s="83"/>
      <c r="IEG49" s="83"/>
      <c r="IEH49" s="83"/>
      <c r="IEI49" s="83"/>
      <c r="IEJ49" s="83"/>
      <c r="IEK49" s="83"/>
      <c r="IEL49" s="83"/>
      <c r="IEM49" s="83"/>
      <c r="IEN49" s="83"/>
      <c r="IEO49" s="83"/>
      <c r="IEP49" s="83"/>
      <c r="IEQ49" s="83"/>
      <c r="IER49" s="83"/>
      <c r="IES49" s="83"/>
      <c r="IET49" s="83"/>
      <c r="IEU49" s="83"/>
      <c r="IEV49" s="83"/>
      <c r="IEW49" s="83"/>
      <c r="IEX49" s="83"/>
      <c r="IEY49" s="83"/>
      <c r="IEZ49" s="83"/>
      <c r="IFA49" s="83"/>
      <c r="IFB49" s="83"/>
      <c r="IFC49" s="83"/>
      <c r="IFD49" s="83"/>
      <c r="IFE49" s="83"/>
      <c r="IFF49" s="83"/>
      <c r="IFG49" s="83"/>
      <c r="IFH49" s="83"/>
      <c r="IFI49" s="83"/>
      <c r="IFJ49" s="83"/>
      <c r="IFK49" s="83"/>
      <c r="IFL49" s="83"/>
      <c r="IFM49" s="83"/>
      <c r="IFN49" s="83"/>
      <c r="IFO49" s="83"/>
      <c r="IFP49" s="83"/>
      <c r="IFQ49" s="83"/>
      <c r="IFR49" s="83"/>
      <c r="IFS49" s="83"/>
      <c r="IFT49" s="83"/>
      <c r="IFU49" s="83"/>
      <c r="IFV49" s="83"/>
      <c r="IFW49" s="83"/>
      <c r="IFX49" s="83"/>
      <c r="IFY49" s="83"/>
      <c r="IFZ49" s="83"/>
      <c r="IGA49" s="83"/>
      <c r="IGB49" s="83"/>
      <c r="IGC49" s="83"/>
      <c r="IGD49" s="83"/>
      <c r="IGE49" s="83"/>
      <c r="IGF49" s="83"/>
      <c r="IGG49" s="83"/>
      <c r="IGH49" s="83"/>
      <c r="IGI49" s="83"/>
      <c r="IGJ49" s="83"/>
      <c r="IGK49" s="83"/>
      <c r="IGL49" s="83"/>
      <c r="IGM49" s="83"/>
      <c r="IGN49" s="83"/>
      <c r="IGO49" s="83"/>
      <c r="IGP49" s="83"/>
      <c r="IGQ49" s="83"/>
      <c r="IGR49" s="83"/>
      <c r="IGS49" s="83"/>
      <c r="IGT49" s="83"/>
      <c r="IGU49" s="83"/>
      <c r="IGV49" s="83"/>
      <c r="IGW49" s="83"/>
      <c r="IGX49" s="83"/>
      <c r="IGY49" s="83"/>
      <c r="IGZ49" s="83"/>
      <c r="IHA49" s="83"/>
      <c r="IHB49" s="83"/>
      <c r="IHC49" s="83"/>
      <c r="IHD49" s="83"/>
      <c r="IHE49" s="83"/>
      <c r="IHF49" s="83"/>
      <c r="IHG49" s="83"/>
      <c r="IHH49" s="83"/>
      <c r="IHI49" s="83"/>
      <c r="IHJ49" s="83"/>
      <c r="IHK49" s="83"/>
      <c r="IHL49" s="83"/>
      <c r="IHM49" s="83"/>
      <c r="IHN49" s="83"/>
      <c r="IHO49" s="83"/>
      <c r="IHP49" s="83"/>
      <c r="IHQ49" s="83"/>
      <c r="IHR49" s="83"/>
      <c r="IHS49" s="83"/>
      <c r="IHT49" s="83"/>
      <c r="IHU49" s="83"/>
      <c r="IHV49" s="83"/>
      <c r="IHW49" s="83"/>
      <c r="IHX49" s="83"/>
      <c r="IHY49" s="83"/>
      <c r="IHZ49" s="83"/>
      <c r="IIA49" s="83"/>
      <c r="IIB49" s="83"/>
      <c r="IIC49" s="83"/>
      <c r="IID49" s="83"/>
      <c r="IIE49" s="83"/>
      <c r="IIF49" s="83"/>
      <c r="IIG49" s="83"/>
      <c r="IIH49" s="83"/>
      <c r="III49" s="83"/>
      <c r="IIJ49" s="83"/>
      <c r="IIK49" s="83"/>
      <c r="IIL49" s="83"/>
      <c r="IIM49" s="83"/>
      <c r="IIN49" s="83"/>
      <c r="IIO49" s="83"/>
      <c r="IIP49" s="83"/>
      <c r="IIQ49" s="83"/>
      <c r="IIR49" s="83"/>
      <c r="IIS49" s="83"/>
      <c r="IIT49" s="83"/>
      <c r="IIU49" s="83"/>
      <c r="IIV49" s="83"/>
      <c r="IIW49" s="83"/>
      <c r="IIX49" s="83"/>
      <c r="IIY49" s="83"/>
      <c r="IIZ49" s="83"/>
      <c r="IJA49" s="83"/>
      <c r="IJB49" s="83"/>
      <c r="IJC49" s="83"/>
      <c r="IJD49" s="83"/>
      <c r="IJE49" s="83"/>
      <c r="IJF49" s="83"/>
      <c r="IJG49" s="83"/>
      <c r="IJH49" s="83"/>
      <c r="IJI49" s="83"/>
      <c r="IJJ49" s="83"/>
      <c r="IJK49" s="83"/>
      <c r="IJL49" s="83"/>
      <c r="IJM49" s="83"/>
      <c r="IJN49" s="83"/>
      <c r="IJO49" s="83"/>
      <c r="IJP49" s="83"/>
      <c r="IJQ49" s="83"/>
      <c r="IJR49" s="83"/>
      <c r="IJS49" s="83"/>
      <c r="IJT49" s="83"/>
      <c r="IJU49" s="83"/>
      <c r="IJV49" s="83"/>
      <c r="IJW49" s="83"/>
      <c r="IJX49" s="83"/>
      <c r="IJY49" s="83"/>
      <c r="IJZ49" s="83"/>
      <c r="IKA49" s="83"/>
      <c r="IKB49" s="83"/>
      <c r="IKC49" s="83"/>
      <c r="IKD49" s="83"/>
      <c r="IKE49" s="83"/>
      <c r="IKF49" s="83"/>
      <c r="IKG49" s="83"/>
      <c r="IKH49" s="83"/>
      <c r="IKI49" s="83"/>
      <c r="IKJ49" s="83"/>
      <c r="IKK49" s="83"/>
      <c r="IKL49" s="83"/>
      <c r="IKM49" s="83"/>
      <c r="IKN49" s="83"/>
      <c r="IKO49" s="83"/>
      <c r="IKP49" s="83"/>
      <c r="IKQ49" s="83"/>
      <c r="IKR49" s="83"/>
      <c r="IKS49" s="83"/>
      <c r="IKT49" s="83"/>
      <c r="IKU49" s="83"/>
      <c r="IKV49" s="83"/>
      <c r="IKW49" s="83"/>
      <c r="IKX49" s="83"/>
      <c r="IKY49" s="83"/>
      <c r="IKZ49" s="83"/>
      <c r="ILA49" s="83"/>
      <c r="ILB49" s="83"/>
      <c r="ILC49" s="83"/>
      <c r="ILD49" s="83"/>
      <c r="ILE49" s="83"/>
      <c r="ILF49" s="83"/>
      <c r="ILG49" s="83"/>
      <c r="ILH49" s="83"/>
      <c r="ILI49" s="83"/>
      <c r="ILJ49" s="83"/>
      <c r="ILK49" s="83"/>
      <c r="ILL49" s="83"/>
      <c r="ILM49" s="83"/>
      <c r="ILN49" s="83"/>
      <c r="ILO49" s="83"/>
      <c r="ILP49" s="83"/>
      <c r="ILQ49" s="83"/>
      <c r="ILR49" s="83"/>
      <c r="ILS49" s="83"/>
      <c r="ILT49" s="83"/>
      <c r="ILU49" s="83"/>
      <c r="ILV49" s="83"/>
      <c r="ILW49" s="83"/>
      <c r="ILX49" s="83"/>
      <c r="ILY49" s="83"/>
      <c r="ILZ49" s="83"/>
      <c r="IMA49" s="83"/>
      <c r="IMB49" s="83"/>
      <c r="IMC49" s="83"/>
      <c r="IMD49" s="83"/>
      <c r="IME49" s="83"/>
      <c r="IMF49" s="83"/>
      <c r="IMG49" s="83"/>
      <c r="IMH49" s="83"/>
      <c r="IMI49" s="83"/>
      <c r="IMJ49" s="83"/>
      <c r="IMK49" s="83"/>
      <c r="IML49" s="83"/>
      <c r="IMM49" s="83"/>
      <c r="IMN49" s="83"/>
      <c r="IMO49" s="83"/>
      <c r="IMP49" s="83"/>
      <c r="IMQ49" s="83"/>
      <c r="IMR49" s="83"/>
      <c r="IMS49" s="83"/>
      <c r="IMT49" s="83"/>
      <c r="IMU49" s="83"/>
      <c r="IMV49" s="83"/>
      <c r="IMW49" s="83"/>
      <c r="IMX49" s="83"/>
      <c r="IMY49" s="83"/>
      <c r="IMZ49" s="83"/>
      <c r="INA49" s="83"/>
      <c r="INB49" s="83"/>
      <c r="INC49" s="83"/>
      <c r="IND49" s="83"/>
      <c r="INE49" s="83"/>
      <c r="INF49" s="83"/>
      <c r="ING49" s="83"/>
      <c r="INH49" s="83"/>
      <c r="INI49" s="83"/>
      <c r="INJ49" s="83"/>
      <c r="INK49" s="83"/>
      <c r="INL49" s="83"/>
      <c r="INM49" s="83"/>
      <c r="INN49" s="83"/>
      <c r="INO49" s="83"/>
      <c r="INP49" s="83"/>
      <c r="INQ49" s="83"/>
      <c r="INR49" s="83"/>
      <c r="INS49" s="83"/>
      <c r="INT49" s="83"/>
      <c r="INU49" s="83"/>
      <c r="INV49" s="83"/>
      <c r="INW49" s="83"/>
      <c r="INX49" s="83"/>
      <c r="INY49" s="83"/>
      <c r="INZ49" s="83"/>
      <c r="IOA49" s="83"/>
      <c r="IOB49" s="83"/>
      <c r="IOC49" s="83"/>
      <c r="IOD49" s="83"/>
      <c r="IOE49" s="83"/>
      <c r="IOF49" s="83"/>
      <c r="IOG49" s="83"/>
      <c r="IOH49" s="83"/>
      <c r="IOI49" s="83"/>
      <c r="IOJ49" s="83"/>
      <c r="IOK49" s="83"/>
      <c r="IOL49" s="83"/>
      <c r="IOM49" s="83"/>
      <c r="ION49" s="83"/>
      <c r="IOO49" s="83"/>
      <c r="IOP49" s="83"/>
      <c r="IOQ49" s="83"/>
      <c r="IOR49" s="83"/>
      <c r="IOS49" s="83"/>
      <c r="IOT49" s="83"/>
      <c r="IOU49" s="83"/>
      <c r="IOV49" s="83"/>
      <c r="IOW49" s="83"/>
      <c r="IOX49" s="83"/>
      <c r="IOY49" s="83"/>
      <c r="IOZ49" s="83"/>
      <c r="IPA49" s="83"/>
      <c r="IPB49" s="83"/>
      <c r="IPC49" s="83"/>
      <c r="IPD49" s="83"/>
      <c r="IPE49" s="83"/>
      <c r="IPF49" s="83"/>
      <c r="IPG49" s="83"/>
      <c r="IPH49" s="83"/>
      <c r="IPI49" s="83"/>
      <c r="IPJ49" s="83"/>
      <c r="IPK49" s="83"/>
      <c r="IPL49" s="83"/>
      <c r="IPM49" s="83"/>
      <c r="IPN49" s="83"/>
      <c r="IPO49" s="83"/>
      <c r="IPP49" s="83"/>
      <c r="IPQ49" s="83"/>
      <c r="IPR49" s="83"/>
      <c r="IPS49" s="83"/>
      <c r="IPT49" s="83"/>
      <c r="IPU49" s="83"/>
      <c r="IPV49" s="83"/>
      <c r="IPW49" s="83"/>
      <c r="IPX49" s="83"/>
      <c r="IPY49" s="83"/>
      <c r="IPZ49" s="83"/>
      <c r="IQA49" s="83"/>
      <c r="IQB49" s="83"/>
      <c r="IQC49" s="83"/>
      <c r="IQD49" s="83"/>
      <c r="IQE49" s="83"/>
      <c r="IQF49" s="83"/>
      <c r="IQG49" s="83"/>
      <c r="IQH49" s="83"/>
      <c r="IQI49" s="83"/>
      <c r="IQJ49" s="83"/>
      <c r="IQK49" s="83"/>
      <c r="IQL49" s="83"/>
      <c r="IQM49" s="83"/>
      <c r="IQN49" s="83"/>
      <c r="IQO49" s="83"/>
      <c r="IQP49" s="83"/>
      <c r="IQQ49" s="83"/>
      <c r="IQR49" s="83"/>
      <c r="IQS49" s="83"/>
      <c r="IQT49" s="83"/>
      <c r="IQU49" s="83"/>
      <c r="IQV49" s="83"/>
      <c r="IQW49" s="83"/>
      <c r="IQX49" s="83"/>
      <c r="IQY49" s="83"/>
      <c r="IQZ49" s="83"/>
      <c r="IRA49" s="83"/>
      <c r="IRB49" s="83"/>
      <c r="IRC49" s="83"/>
      <c r="IRD49" s="83"/>
      <c r="IRE49" s="83"/>
      <c r="IRF49" s="83"/>
      <c r="IRG49" s="83"/>
      <c r="IRH49" s="83"/>
      <c r="IRI49" s="83"/>
      <c r="IRJ49" s="83"/>
      <c r="IRK49" s="83"/>
      <c r="IRL49" s="83"/>
      <c r="IRM49" s="83"/>
      <c r="IRN49" s="83"/>
      <c r="IRO49" s="83"/>
      <c r="IRP49" s="83"/>
      <c r="IRQ49" s="83"/>
      <c r="IRR49" s="83"/>
      <c r="IRS49" s="83"/>
      <c r="IRT49" s="83"/>
      <c r="IRU49" s="83"/>
      <c r="IRV49" s="83"/>
      <c r="IRW49" s="83"/>
      <c r="IRX49" s="83"/>
      <c r="IRY49" s="83"/>
      <c r="IRZ49" s="83"/>
      <c r="ISA49" s="83"/>
      <c r="ISB49" s="83"/>
      <c r="ISC49" s="83"/>
      <c r="ISD49" s="83"/>
      <c r="ISE49" s="83"/>
      <c r="ISF49" s="83"/>
      <c r="ISG49" s="83"/>
      <c r="ISH49" s="83"/>
      <c r="ISI49" s="83"/>
      <c r="ISJ49" s="83"/>
      <c r="ISK49" s="83"/>
      <c r="ISL49" s="83"/>
      <c r="ISM49" s="83"/>
      <c r="ISN49" s="83"/>
      <c r="ISO49" s="83"/>
      <c r="ISP49" s="83"/>
      <c r="ISQ49" s="83"/>
      <c r="ISR49" s="83"/>
      <c r="ISS49" s="83"/>
      <c r="IST49" s="83"/>
      <c r="ISU49" s="83"/>
      <c r="ISV49" s="83"/>
      <c r="ISW49" s="83"/>
      <c r="ISX49" s="83"/>
      <c r="ISY49" s="83"/>
      <c r="ISZ49" s="83"/>
      <c r="ITA49" s="83"/>
      <c r="ITB49" s="83"/>
      <c r="ITC49" s="83"/>
      <c r="ITD49" s="83"/>
      <c r="ITE49" s="83"/>
      <c r="ITF49" s="83"/>
      <c r="ITG49" s="83"/>
      <c r="ITH49" s="83"/>
      <c r="ITI49" s="83"/>
      <c r="ITJ49" s="83"/>
      <c r="ITK49" s="83"/>
      <c r="ITL49" s="83"/>
      <c r="ITM49" s="83"/>
      <c r="ITN49" s="83"/>
      <c r="ITO49" s="83"/>
      <c r="ITP49" s="83"/>
      <c r="ITQ49" s="83"/>
      <c r="ITR49" s="83"/>
      <c r="ITS49" s="83"/>
      <c r="ITT49" s="83"/>
      <c r="ITU49" s="83"/>
      <c r="ITV49" s="83"/>
      <c r="ITW49" s="83"/>
      <c r="ITX49" s="83"/>
      <c r="ITY49" s="83"/>
      <c r="ITZ49" s="83"/>
      <c r="IUA49" s="83"/>
      <c r="IUB49" s="83"/>
      <c r="IUC49" s="83"/>
      <c r="IUD49" s="83"/>
      <c r="IUE49" s="83"/>
      <c r="IUF49" s="83"/>
      <c r="IUG49" s="83"/>
      <c r="IUH49" s="83"/>
      <c r="IUI49" s="83"/>
      <c r="IUJ49" s="83"/>
      <c r="IUK49" s="83"/>
      <c r="IUL49" s="83"/>
      <c r="IUM49" s="83"/>
      <c r="IUN49" s="83"/>
      <c r="IUO49" s="83"/>
      <c r="IUP49" s="83"/>
      <c r="IUQ49" s="83"/>
      <c r="IUR49" s="83"/>
      <c r="IUS49" s="83"/>
      <c r="IUT49" s="83"/>
      <c r="IUU49" s="83"/>
      <c r="IUV49" s="83"/>
      <c r="IUW49" s="83"/>
      <c r="IUX49" s="83"/>
      <c r="IUY49" s="83"/>
      <c r="IUZ49" s="83"/>
      <c r="IVA49" s="83"/>
      <c r="IVB49" s="83"/>
      <c r="IVC49" s="83"/>
      <c r="IVD49" s="83"/>
      <c r="IVE49" s="83"/>
      <c r="IVF49" s="83"/>
      <c r="IVG49" s="83"/>
      <c r="IVH49" s="83"/>
      <c r="IVI49" s="83"/>
      <c r="IVJ49" s="83"/>
      <c r="IVK49" s="83"/>
      <c r="IVL49" s="83"/>
      <c r="IVM49" s="83"/>
      <c r="IVN49" s="83"/>
      <c r="IVO49" s="83"/>
      <c r="IVP49" s="83"/>
      <c r="IVQ49" s="83"/>
      <c r="IVR49" s="83"/>
      <c r="IVS49" s="83"/>
      <c r="IVT49" s="83"/>
      <c r="IVU49" s="83"/>
      <c r="IVV49" s="83"/>
      <c r="IVW49" s="83"/>
      <c r="IVX49" s="83"/>
      <c r="IVY49" s="83"/>
      <c r="IVZ49" s="83"/>
      <c r="IWA49" s="83"/>
      <c r="IWB49" s="83"/>
      <c r="IWC49" s="83"/>
      <c r="IWD49" s="83"/>
      <c r="IWE49" s="83"/>
      <c r="IWF49" s="83"/>
      <c r="IWG49" s="83"/>
      <c r="IWH49" s="83"/>
      <c r="IWI49" s="83"/>
      <c r="IWJ49" s="83"/>
      <c r="IWK49" s="83"/>
      <c r="IWL49" s="83"/>
      <c r="IWM49" s="83"/>
      <c r="IWN49" s="83"/>
      <c r="IWO49" s="83"/>
      <c r="IWP49" s="83"/>
      <c r="IWQ49" s="83"/>
      <c r="IWR49" s="83"/>
      <c r="IWS49" s="83"/>
      <c r="IWT49" s="83"/>
      <c r="IWU49" s="83"/>
      <c r="IWV49" s="83"/>
      <c r="IWW49" s="83"/>
      <c r="IWX49" s="83"/>
      <c r="IWY49" s="83"/>
      <c r="IWZ49" s="83"/>
      <c r="IXA49" s="83"/>
      <c r="IXB49" s="83"/>
      <c r="IXC49" s="83"/>
      <c r="IXD49" s="83"/>
      <c r="IXE49" s="83"/>
      <c r="IXF49" s="83"/>
      <c r="IXG49" s="83"/>
      <c r="IXH49" s="83"/>
      <c r="IXI49" s="83"/>
      <c r="IXJ49" s="83"/>
      <c r="IXK49" s="83"/>
      <c r="IXL49" s="83"/>
      <c r="IXM49" s="83"/>
      <c r="IXN49" s="83"/>
      <c r="IXO49" s="83"/>
      <c r="IXP49" s="83"/>
      <c r="IXQ49" s="83"/>
      <c r="IXR49" s="83"/>
      <c r="IXS49" s="83"/>
      <c r="IXT49" s="83"/>
      <c r="IXU49" s="83"/>
      <c r="IXV49" s="83"/>
      <c r="IXW49" s="83"/>
      <c r="IXX49" s="83"/>
      <c r="IXY49" s="83"/>
      <c r="IXZ49" s="83"/>
      <c r="IYA49" s="83"/>
      <c r="IYB49" s="83"/>
      <c r="IYC49" s="83"/>
      <c r="IYD49" s="83"/>
      <c r="IYE49" s="83"/>
      <c r="IYF49" s="83"/>
      <c r="IYG49" s="83"/>
      <c r="IYH49" s="83"/>
      <c r="IYI49" s="83"/>
      <c r="IYJ49" s="83"/>
      <c r="IYK49" s="83"/>
      <c r="IYL49" s="83"/>
      <c r="IYM49" s="83"/>
      <c r="IYN49" s="83"/>
      <c r="IYO49" s="83"/>
      <c r="IYP49" s="83"/>
      <c r="IYQ49" s="83"/>
      <c r="IYR49" s="83"/>
      <c r="IYS49" s="83"/>
      <c r="IYT49" s="83"/>
      <c r="IYU49" s="83"/>
      <c r="IYV49" s="83"/>
      <c r="IYW49" s="83"/>
      <c r="IYX49" s="83"/>
      <c r="IYY49" s="83"/>
      <c r="IYZ49" s="83"/>
      <c r="IZA49" s="83"/>
      <c r="IZB49" s="83"/>
      <c r="IZC49" s="83"/>
      <c r="IZD49" s="83"/>
      <c r="IZE49" s="83"/>
      <c r="IZF49" s="83"/>
      <c r="IZG49" s="83"/>
      <c r="IZH49" s="83"/>
      <c r="IZI49" s="83"/>
      <c r="IZJ49" s="83"/>
      <c r="IZK49" s="83"/>
      <c r="IZL49" s="83"/>
      <c r="IZM49" s="83"/>
      <c r="IZN49" s="83"/>
      <c r="IZO49" s="83"/>
      <c r="IZP49" s="83"/>
      <c r="IZQ49" s="83"/>
      <c r="IZR49" s="83"/>
      <c r="IZS49" s="83"/>
      <c r="IZT49" s="83"/>
      <c r="IZU49" s="83"/>
      <c r="IZV49" s="83"/>
      <c r="IZW49" s="83"/>
      <c r="IZX49" s="83"/>
      <c r="IZY49" s="83"/>
      <c r="IZZ49" s="83"/>
      <c r="JAA49" s="83"/>
      <c r="JAB49" s="83"/>
      <c r="JAC49" s="83"/>
      <c r="JAD49" s="83"/>
      <c r="JAE49" s="83"/>
      <c r="JAF49" s="83"/>
      <c r="JAG49" s="83"/>
      <c r="JAH49" s="83"/>
      <c r="JAI49" s="83"/>
      <c r="JAJ49" s="83"/>
      <c r="JAK49" s="83"/>
      <c r="JAL49" s="83"/>
      <c r="JAM49" s="83"/>
      <c r="JAN49" s="83"/>
      <c r="JAO49" s="83"/>
      <c r="JAP49" s="83"/>
      <c r="JAQ49" s="83"/>
      <c r="JAR49" s="83"/>
      <c r="JAS49" s="83"/>
      <c r="JAT49" s="83"/>
      <c r="JAU49" s="83"/>
      <c r="JAV49" s="83"/>
      <c r="JAW49" s="83"/>
      <c r="JAX49" s="83"/>
      <c r="JAY49" s="83"/>
      <c r="JAZ49" s="83"/>
      <c r="JBA49" s="83"/>
      <c r="JBB49" s="83"/>
      <c r="JBC49" s="83"/>
      <c r="JBD49" s="83"/>
      <c r="JBE49" s="83"/>
      <c r="JBF49" s="83"/>
      <c r="JBG49" s="83"/>
      <c r="JBH49" s="83"/>
      <c r="JBI49" s="83"/>
      <c r="JBJ49" s="83"/>
      <c r="JBK49" s="83"/>
      <c r="JBL49" s="83"/>
      <c r="JBM49" s="83"/>
      <c r="JBN49" s="83"/>
      <c r="JBO49" s="83"/>
      <c r="JBP49" s="83"/>
      <c r="JBQ49" s="83"/>
      <c r="JBR49" s="83"/>
      <c r="JBS49" s="83"/>
      <c r="JBT49" s="83"/>
      <c r="JBU49" s="83"/>
      <c r="JBV49" s="83"/>
      <c r="JBW49" s="83"/>
      <c r="JBX49" s="83"/>
      <c r="JBY49" s="83"/>
      <c r="JBZ49" s="83"/>
      <c r="JCA49" s="83"/>
      <c r="JCB49" s="83"/>
      <c r="JCC49" s="83"/>
      <c r="JCD49" s="83"/>
      <c r="JCE49" s="83"/>
      <c r="JCF49" s="83"/>
      <c r="JCG49" s="83"/>
      <c r="JCH49" s="83"/>
      <c r="JCI49" s="83"/>
      <c r="JCJ49" s="83"/>
      <c r="JCK49" s="83"/>
      <c r="JCL49" s="83"/>
      <c r="JCM49" s="83"/>
      <c r="JCN49" s="83"/>
      <c r="JCO49" s="83"/>
      <c r="JCP49" s="83"/>
      <c r="JCQ49" s="83"/>
      <c r="JCR49" s="83"/>
      <c r="JCS49" s="83"/>
      <c r="JCT49" s="83"/>
      <c r="JCU49" s="83"/>
      <c r="JCV49" s="83"/>
      <c r="JCW49" s="83"/>
      <c r="JCX49" s="83"/>
      <c r="JCY49" s="83"/>
      <c r="JCZ49" s="83"/>
      <c r="JDA49" s="83"/>
      <c r="JDB49" s="83"/>
      <c r="JDC49" s="83"/>
      <c r="JDD49" s="83"/>
      <c r="JDE49" s="83"/>
      <c r="JDF49" s="83"/>
      <c r="JDG49" s="83"/>
      <c r="JDH49" s="83"/>
      <c r="JDI49" s="83"/>
      <c r="JDJ49" s="83"/>
      <c r="JDK49" s="83"/>
      <c r="JDL49" s="83"/>
      <c r="JDM49" s="83"/>
      <c r="JDN49" s="83"/>
      <c r="JDO49" s="83"/>
      <c r="JDP49" s="83"/>
      <c r="JDQ49" s="83"/>
      <c r="JDR49" s="83"/>
      <c r="JDS49" s="83"/>
      <c r="JDT49" s="83"/>
      <c r="JDU49" s="83"/>
      <c r="JDV49" s="83"/>
      <c r="JDW49" s="83"/>
      <c r="JDX49" s="83"/>
      <c r="JDY49" s="83"/>
      <c r="JDZ49" s="83"/>
      <c r="JEA49" s="83"/>
      <c r="JEB49" s="83"/>
      <c r="JEC49" s="83"/>
      <c r="JED49" s="83"/>
      <c r="JEE49" s="83"/>
      <c r="JEF49" s="83"/>
      <c r="JEG49" s="83"/>
      <c r="JEH49" s="83"/>
      <c r="JEI49" s="83"/>
      <c r="JEJ49" s="83"/>
      <c r="JEK49" s="83"/>
      <c r="JEL49" s="83"/>
      <c r="JEM49" s="83"/>
      <c r="JEN49" s="83"/>
      <c r="JEO49" s="83"/>
      <c r="JEP49" s="83"/>
      <c r="JEQ49" s="83"/>
      <c r="JER49" s="83"/>
      <c r="JES49" s="83"/>
      <c r="JET49" s="83"/>
      <c r="JEU49" s="83"/>
      <c r="JEV49" s="83"/>
      <c r="JEW49" s="83"/>
      <c r="JEX49" s="83"/>
      <c r="JEY49" s="83"/>
      <c r="JEZ49" s="83"/>
      <c r="JFA49" s="83"/>
      <c r="JFB49" s="83"/>
      <c r="JFC49" s="83"/>
      <c r="JFD49" s="83"/>
      <c r="JFE49" s="83"/>
      <c r="JFF49" s="83"/>
      <c r="JFG49" s="83"/>
      <c r="JFH49" s="83"/>
      <c r="JFI49" s="83"/>
      <c r="JFJ49" s="83"/>
      <c r="JFK49" s="83"/>
      <c r="JFL49" s="83"/>
      <c r="JFM49" s="83"/>
      <c r="JFN49" s="83"/>
      <c r="JFO49" s="83"/>
      <c r="JFP49" s="83"/>
      <c r="JFQ49" s="83"/>
      <c r="JFR49" s="83"/>
      <c r="JFS49" s="83"/>
      <c r="JFT49" s="83"/>
      <c r="JFU49" s="83"/>
      <c r="JFV49" s="83"/>
      <c r="JFW49" s="83"/>
      <c r="JFX49" s="83"/>
      <c r="JFY49" s="83"/>
      <c r="JFZ49" s="83"/>
      <c r="JGA49" s="83"/>
      <c r="JGB49" s="83"/>
      <c r="JGC49" s="83"/>
      <c r="JGD49" s="83"/>
      <c r="JGE49" s="83"/>
      <c r="JGF49" s="83"/>
      <c r="JGG49" s="83"/>
      <c r="JGH49" s="83"/>
      <c r="JGI49" s="83"/>
      <c r="JGJ49" s="83"/>
      <c r="JGK49" s="83"/>
      <c r="JGL49" s="83"/>
      <c r="JGM49" s="83"/>
      <c r="JGN49" s="83"/>
      <c r="JGO49" s="83"/>
      <c r="JGP49" s="83"/>
      <c r="JGQ49" s="83"/>
      <c r="JGR49" s="83"/>
      <c r="JGS49" s="83"/>
      <c r="JGT49" s="83"/>
      <c r="JGU49" s="83"/>
      <c r="JGV49" s="83"/>
      <c r="JGW49" s="83"/>
      <c r="JGX49" s="83"/>
      <c r="JGY49" s="83"/>
      <c r="JGZ49" s="83"/>
      <c r="JHA49" s="83"/>
      <c r="JHB49" s="83"/>
      <c r="JHC49" s="83"/>
      <c r="JHD49" s="83"/>
      <c r="JHE49" s="83"/>
      <c r="JHF49" s="83"/>
      <c r="JHG49" s="83"/>
      <c r="JHH49" s="83"/>
      <c r="JHI49" s="83"/>
      <c r="JHJ49" s="83"/>
      <c r="JHK49" s="83"/>
      <c r="JHL49" s="83"/>
      <c r="JHM49" s="83"/>
      <c r="JHN49" s="83"/>
      <c r="JHO49" s="83"/>
      <c r="JHP49" s="83"/>
      <c r="JHQ49" s="83"/>
      <c r="JHR49" s="83"/>
      <c r="JHS49" s="83"/>
      <c r="JHT49" s="83"/>
      <c r="JHU49" s="83"/>
      <c r="JHV49" s="83"/>
      <c r="JHW49" s="83"/>
      <c r="JHX49" s="83"/>
      <c r="JHY49" s="83"/>
      <c r="JHZ49" s="83"/>
      <c r="JIA49" s="83"/>
      <c r="JIB49" s="83"/>
      <c r="JIC49" s="83"/>
      <c r="JID49" s="83"/>
      <c r="JIE49" s="83"/>
      <c r="JIF49" s="83"/>
      <c r="JIG49" s="83"/>
      <c r="JIH49" s="83"/>
      <c r="JII49" s="83"/>
      <c r="JIJ49" s="83"/>
      <c r="JIK49" s="83"/>
      <c r="JIL49" s="83"/>
      <c r="JIM49" s="83"/>
      <c r="JIN49" s="83"/>
      <c r="JIO49" s="83"/>
      <c r="JIP49" s="83"/>
      <c r="JIQ49" s="83"/>
      <c r="JIR49" s="83"/>
      <c r="JIS49" s="83"/>
      <c r="JIT49" s="83"/>
      <c r="JIU49" s="83"/>
      <c r="JIV49" s="83"/>
      <c r="JIW49" s="83"/>
      <c r="JIX49" s="83"/>
      <c r="JIY49" s="83"/>
      <c r="JIZ49" s="83"/>
      <c r="JJA49" s="83"/>
      <c r="JJB49" s="83"/>
      <c r="JJC49" s="83"/>
      <c r="JJD49" s="83"/>
      <c r="JJE49" s="83"/>
      <c r="JJF49" s="83"/>
      <c r="JJG49" s="83"/>
      <c r="JJH49" s="83"/>
      <c r="JJI49" s="83"/>
      <c r="JJJ49" s="83"/>
      <c r="JJK49" s="83"/>
      <c r="JJL49" s="83"/>
      <c r="JJM49" s="83"/>
      <c r="JJN49" s="83"/>
      <c r="JJO49" s="83"/>
      <c r="JJP49" s="83"/>
      <c r="JJQ49" s="83"/>
      <c r="JJR49" s="83"/>
      <c r="JJS49" s="83"/>
      <c r="JJT49" s="83"/>
      <c r="JJU49" s="83"/>
      <c r="JJV49" s="83"/>
      <c r="JJW49" s="83"/>
      <c r="JJX49" s="83"/>
      <c r="JJY49" s="83"/>
      <c r="JJZ49" s="83"/>
      <c r="JKA49" s="83"/>
      <c r="JKB49" s="83"/>
      <c r="JKC49" s="83"/>
      <c r="JKD49" s="83"/>
      <c r="JKE49" s="83"/>
      <c r="JKF49" s="83"/>
      <c r="JKG49" s="83"/>
      <c r="JKH49" s="83"/>
      <c r="JKI49" s="83"/>
      <c r="JKJ49" s="83"/>
      <c r="JKK49" s="83"/>
      <c r="JKL49" s="83"/>
      <c r="JKM49" s="83"/>
      <c r="JKN49" s="83"/>
      <c r="JKO49" s="83"/>
      <c r="JKP49" s="83"/>
      <c r="JKQ49" s="83"/>
      <c r="JKR49" s="83"/>
      <c r="JKS49" s="83"/>
      <c r="JKT49" s="83"/>
      <c r="JKU49" s="83"/>
      <c r="JKV49" s="83"/>
      <c r="JKW49" s="83"/>
      <c r="JKX49" s="83"/>
      <c r="JKY49" s="83"/>
      <c r="JKZ49" s="83"/>
      <c r="JLA49" s="83"/>
      <c r="JLB49" s="83"/>
      <c r="JLC49" s="83"/>
      <c r="JLD49" s="83"/>
      <c r="JLE49" s="83"/>
      <c r="JLF49" s="83"/>
      <c r="JLG49" s="83"/>
      <c r="JLH49" s="83"/>
      <c r="JLI49" s="83"/>
      <c r="JLJ49" s="83"/>
      <c r="JLK49" s="83"/>
      <c r="JLL49" s="83"/>
      <c r="JLM49" s="83"/>
      <c r="JLN49" s="83"/>
      <c r="JLO49" s="83"/>
      <c r="JLP49" s="83"/>
      <c r="JLQ49" s="83"/>
      <c r="JLR49" s="83"/>
      <c r="JLS49" s="83"/>
      <c r="JLT49" s="83"/>
      <c r="JLU49" s="83"/>
      <c r="JLV49" s="83"/>
      <c r="JLW49" s="83"/>
      <c r="JLX49" s="83"/>
      <c r="JLY49" s="83"/>
      <c r="JLZ49" s="83"/>
      <c r="JMA49" s="83"/>
      <c r="JMB49" s="83"/>
      <c r="JMC49" s="83"/>
      <c r="JMD49" s="83"/>
      <c r="JME49" s="83"/>
      <c r="JMF49" s="83"/>
      <c r="JMG49" s="83"/>
      <c r="JMH49" s="83"/>
      <c r="JMI49" s="83"/>
      <c r="JMJ49" s="83"/>
      <c r="JMK49" s="83"/>
      <c r="JML49" s="83"/>
      <c r="JMM49" s="83"/>
      <c r="JMN49" s="83"/>
      <c r="JMO49" s="83"/>
      <c r="JMP49" s="83"/>
      <c r="JMQ49" s="83"/>
      <c r="JMR49" s="83"/>
      <c r="JMS49" s="83"/>
      <c r="JMT49" s="83"/>
      <c r="JMU49" s="83"/>
      <c r="JMV49" s="83"/>
      <c r="JMW49" s="83"/>
      <c r="JMX49" s="83"/>
      <c r="JMY49" s="83"/>
      <c r="JMZ49" s="83"/>
      <c r="JNA49" s="83"/>
      <c r="JNB49" s="83"/>
      <c r="JNC49" s="83"/>
      <c r="JND49" s="83"/>
      <c r="JNE49" s="83"/>
      <c r="JNF49" s="83"/>
      <c r="JNG49" s="83"/>
      <c r="JNH49" s="83"/>
      <c r="JNI49" s="83"/>
      <c r="JNJ49" s="83"/>
      <c r="JNK49" s="83"/>
      <c r="JNL49" s="83"/>
      <c r="JNM49" s="83"/>
      <c r="JNN49" s="83"/>
      <c r="JNO49" s="83"/>
      <c r="JNP49" s="83"/>
      <c r="JNQ49" s="83"/>
      <c r="JNR49" s="83"/>
      <c r="JNS49" s="83"/>
      <c r="JNT49" s="83"/>
      <c r="JNU49" s="83"/>
      <c r="JNV49" s="83"/>
      <c r="JNW49" s="83"/>
      <c r="JNX49" s="83"/>
      <c r="JNY49" s="83"/>
      <c r="JNZ49" s="83"/>
      <c r="JOA49" s="83"/>
      <c r="JOB49" s="83"/>
      <c r="JOC49" s="83"/>
      <c r="JOD49" s="83"/>
      <c r="JOE49" s="83"/>
      <c r="JOF49" s="83"/>
      <c r="JOG49" s="83"/>
      <c r="JOH49" s="83"/>
      <c r="JOI49" s="83"/>
      <c r="JOJ49" s="83"/>
      <c r="JOK49" s="83"/>
      <c r="JOL49" s="83"/>
      <c r="JOM49" s="83"/>
      <c r="JON49" s="83"/>
      <c r="JOO49" s="83"/>
      <c r="JOP49" s="83"/>
      <c r="JOQ49" s="83"/>
      <c r="JOR49" s="83"/>
      <c r="JOS49" s="83"/>
      <c r="JOT49" s="83"/>
      <c r="JOU49" s="83"/>
      <c r="JOV49" s="83"/>
      <c r="JOW49" s="83"/>
      <c r="JOX49" s="83"/>
      <c r="JOY49" s="83"/>
      <c r="JOZ49" s="83"/>
      <c r="JPA49" s="83"/>
      <c r="JPB49" s="83"/>
      <c r="JPC49" s="83"/>
      <c r="JPD49" s="83"/>
      <c r="JPE49" s="83"/>
      <c r="JPF49" s="83"/>
      <c r="JPG49" s="83"/>
      <c r="JPH49" s="83"/>
      <c r="JPI49" s="83"/>
      <c r="JPJ49" s="83"/>
      <c r="JPK49" s="83"/>
      <c r="JPL49" s="83"/>
      <c r="JPM49" s="83"/>
      <c r="JPN49" s="83"/>
      <c r="JPO49" s="83"/>
      <c r="JPP49" s="83"/>
      <c r="JPQ49" s="83"/>
      <c r="JPR49" s="83"/>
      <c r="JPS49" s="83"/>
      <c r="JPT49" s="83"/>
      <c r="JPU49" s="83"/>
      <c r="JPV49" s="83"/>
      <c r="JPW49" s="83"/>
      <c r="JPX49" s="83"/>
      <c r="JPY49" s="83"/>
      <c r="JPZ49" s="83"/>
      <c r="JQA49" s="83"/>
      <c r="JQB49" s="83"/>
      <c r="JQC49" s="83"/>
      <c r="JQD49" s="83"/>
      <c r="JQE49" s="83"/>
      <c r="JQF49" s="83"/>
      <c r="JQG49" s="83"/>
      <c r="JQH49" s="83"/>
      <c r="JQI49" s="83"/>
      <c r="JQJ49" s="83"/>
      <c r="JQK49" s="83"/>
      <c r="JQL49" s="83"/>
      <c r="JQM49" s="83"/>
      <c r="JQN49" s="83"/>
      <c r="JQO49" s="83"/>
      <c r="JQP49" s="83"/>
      <c r="JQQ49" s="83"/>
      <c r="JQR49" s="83"/>
      <c r="JQS49" s="83"/>
      <c r="JQT49" s="83"/>
      <c r="JQU49" s="83"/>
      <c r="JQV49" s="83"/>
      <c r="JQW49" s="83"/>
      <c r="JQX49" s="83"/>
      <c r="JQY49" s="83"/>
      <c r="JQZ49" s="83"/>
      <c r="JRA49" s="83"/>
      <c r="JRB49" s="83"/>
      <c r="JRC49" s="83"/>
      <c r="JRD49" s="83"/>
      <c r="JRE49" s="83"/>
      <c r="JRF49" s="83"/>
      <c r="JRG49" s="83"/>
      <c r="JRH49" s="83"/>
      <c r="JRI49" s="83"/>
      <c r="JRJ49" s="83"/>
      <c r="JRK49" s="83"/>
      <c r="JRL49" s="83"/>
      <c r="JRM49" s="83"/>
      <c r="JRN49" s="83"/>
      <c r="JRO49" s="83"/>
      <c r="JRP49" s="83"/>
      <c r="JRQ49" s="83"/>
      <c r="JRR49" s="83"/>
      <c r="JRS49" s="83"/>
      <c r="JRT49" s="83"/>
      <c r="JRU49" s="83"/>
      <c r="JRV49" s="83"/>
      <c r="JRW49" s="83"/>
      <c r="JRX49" s="83"/>
      <c r="JRY49" s="83"/>
      <c r="JRZ49" s="83"/>
      <c r="JSA49" s="83"/>
      <c r="JSB49" s="83"/>
      <c r="JSC49" s="83"/>
      <c r="JSD49" s="83"/>
      <c r="JSE49" s="83"/>
      <c r="JSF49" s="83"/>
      <c r="JSG49" s="83"/>
      <c r="JSH49" s="83"/>
      <c r="JSI49" s="83"/>
      <c r="JSJ49" s="83"/>
      <c r="JSK49" s="83"/>
      <c r="JSL49" s="83"/>
      <c r="JSM49" s="83"/>
      <c r="JSN49" s="83"/>
      <c r="JSO49" s="83"/>
      <c r="JSP49" s="83"/>
      <c r="JSQ49" s="83"/>
      <c r="JSR49" s="83"/>
      <c r="JSS49" s="83"/>
      <c r="JST49" s="83"/>
      <c r="JSU49" s="83"/>
      <c r="JSV49" s="83"/>
      <c r="JSW49" s="83"/>
      <c r="JSX49" s="83"/>
      <c r="JSY49" s="83"/>
      <c r="JSZ49" s="83"/>
      <c r="JTA49" s="83"/>
      <c r="JTB49" s="83"/>
      <c r="JTC49" s="83"/>
      <c r="JTD49" s="83"/>
      <c r="JTE49" s="83"/>
      <c r="JTF49" s="83"/>
      <c r="JTG49" s="83"/>
      <c r="JTH49" s="83"/>
      <c r="JTI49" s="83"/>
      <c r="JTJ49" s="83"/>
      <c r="JTK49" s="83"/>
      <c r="JTL49" s="83"/>
      <c r="JTM49" s="83"/>
      <c r="JTN49" s="83"/>
      <c r="JTO49" s="83"/>
      <c r="JTP49" s="83"/>
      <c r="JTQ49" s="83"/>
      <c r="JTR49" s="83"/>
      <c r="JTS49" s="83"/>
      <c r="JTT49" s="83"/>
      <c r="JTU49" s="83"/>
      <c r="JTV49" s="83"/>
      <c r="JTW49" s="83"/>
      <c r="JTX49" s="83"/>
      <c r="JTY49" s="83"/>
      <c r="JTZ49" s="83"/>
      <c r="JUA49" s="83"/>
      <c r="JUB49" s="83"/>
      <c r="JUC49" s="83"/>
      <c r="JUD49" s="83"/>
      <c r="JUE49" s="83"/>
      <c r="JUF49" s="83"/>
      <c r="JUG49" s="83"/>
      <c r="JUH49" s="83"/>
      <c r="JUI49" s="83"/>
      <c r="JUJ49" s="83"/>
      <c r="JUK49" s="83"/>
      <c r="JUL49" s="83"/>
      <c r="JUM49" s="83"/>
      <c r="JUN49" s="83"/>
      <c r="JUO49" s="83"/>
      <c r="JUP49" s="83"/>
      <c r="JUQ49" s="83"/>
      <c r="JUR49" s="83"/>
      <c r="JUS49" s="83"/>
      <c r="JUT49" s="83"/>
      <c r="JUU49" s="83"/>
      <c r="JUV49" s="83"/>
      <c r="JUW49" s="83"/>
      <c r="JUX49" s="83"/>
      <c r="JUY49" s="83"/>
      <c r="JUZ49" s="83"/>
      <c r="JVA49" s="83"/>
      <c r="JVB49" s="83"/>
      <c r="JVC49" s="83"/>
      <c r="JVD49" s="83"/>
      <c r="JVE49" s="83"/>
      <c r="JVF49" s="83"/>
      <c r="JVG49" s="83"/>
      <c r="JVH49" s="83"/>
      <c r="JVI49" s="83"/>
      <c r="JVJ49" s="83"/>
      <c r="JVK49" s="83"/>
      <c r="JVL49" s="83"/>
      <c r="JVM49" s="83"/>
      <c r="JVN49" s="83"/>
      <c r="JVO49" s="83"/>
      <c r="JVP49" s="83"/>
      <c r="JVQ49" s="83"/>
      <c r="JVR49" s="83"/>
      <c r="JVS49" s="83"/>
      <c r="JVT49" s="83"/>
      <c r="JVU49" s="83"/>
      <c r="JVV49" s="83"/>
      <c r="JVW49" s="83"/>
      <c r="JVX49" s="83"/>
      <c r="JVY49" s="83"/>
      <c r="JVZ49" s="83"/>
      <c r="JWA49" s="83"/>
      <c r="JWB49" s="83"/>
      <c r="JWC49" s="83"/>
      <c r="JWD49" s="83"/>
      <c r="JWE49" s="83"/>
      <c r="JWF49" s="83"/>
      <c r="JWG49" s="83"/>
      <c r="JWH49" s="83"/>
      <c r="JWI49" s="83"/>
      <c r="JWJ49" s="83"/>
      <c r="JWK49" s="83"/>
      <c r="JWL49" s="83"/>
      <c r="JWM49" s="83"/>
      <c r="JWN49" s="83"/>
      <c r="JWO49" s="83"/>
      <c r="JWP49" s="83"/>
      <c r="JWQ49" s="83"/>
      <c r="JWR49" s="83"/>
      <c r="JWS49" s="83"/>
      <c r="JWT49" s="83"/>
      <c r="JWU49" s="83"/>
      <c r="JWV49" s="83"/>
      <c r="JWW49" s="83"/>
      <c r="JWX49" s="83"/>
      <c r="JWY49" s="83"/>
      <c r="JWZ49" s="83"/>
      <c r="JXA49" s="83"/>
      <c r="JXB49" s="83"/>
      <c r="JXC49" s="83"/>
      <c r="JXD49" s="83"/>
      <c r="JXE49" s="83"/>
      <c r="JXF49" s="83"/>
      <c r="JXG49" s="83"/>
      <c r="JXH49" s="83"/>
      <c r="JXI49" s="83"/>
      <c r="JXJ49" s="83"/>
      <c r="JXK49" s="83"/>
      <c r="JXL49" s="83"/>
      <c r="JXM49" s="83"/>
      <c r="JXN49" s="83"/>
      <c r="JXO49" s="83"/>
      <c r="JXP49" s="83"/>
      <c r="JXQ49" s="83"/>
      <c r="JXR49" s="83"/>
      <c r="JXS49" s="83"/>
      <c r="JXT49" s="83"/>
      <c r="JXU49" s="83"/>
      <c r="JXV49" s="83"/>
      <c r="JXW49" s="83"/>
      <c r="JXX49" s="83"/>
      <c r="JXY49" s="83"/>
      <c r="JXZ49" s="83"/>
      <c r="JYA49" s="83"/>
      <c r="JYB49" s="83"/>
      <c r="JYC49" s="83"/>
      <c r="JYD49" s="83"/>
      <c r="JYE49" s="83"/>
      <c r="JYF49" s="83"/>
      <c r="JYG49" s="83"/>
      <c r="JYH49" s="83"/>
      <c r="JYI49" s="83"/>
      <c r="JYJ49" s="83"/>
      <c r="JYK49" s="83"/>
      <c r="JYL49" s="83"/>
      <c r="JYM49" s="83"/>
      <c r="JYN49" s="83"/>
      <c r="JYO49" s="83"/>
      <c r="JYP49" s="83"/>
      <c r="JYQ49" s="83"/>
      <c r="JYR49" s="83"/>
      <c r="JYS49" s="83"/>
      <c r="JYT49" s="83"/>
      <c r="JYU49" s="83"/>
      <c r="JYV49" s="83"/>
      <c r="JYW49" s="83"/>
      <c r="JYX49" s="83"/>
      <c r="JYY49" s="83"/>
      <c r="JYZ49" s="83"/>
      <c r="JZA49" s="83"/>
      <c r="JZB49" s="83"/>
      <c r="JZC49" s="83"/>
      <c r="JZD49" s="83"/>
      <c r="JZE49" s="83"/>
      <c r="JZF49" s="83"/>
      <c r="JZG49" s="83"/>
      <c r="JZH49" s="83"/>
      <c r="JZI49" s="83"/>
      <c r="JZJ49" s="83"/>
      <c r="JZK49" s="83"/>
      <c r="JZL49" s="83"/>
      <c r="JZM49" s="83"/>
      <c r="JZN49" s="83"/>
      <c r="JZO49" s="83"/>
      <c r="JZP49" s="83"/>
      <c r="JZQ49" s="83"/>
      <c r="JZR49" s="83"/>
      <c r="JZS49" s="83"/>
      <c r="JZT49" s="83"/>
      <c r="JZU49" s="83"/>
      <c r="JZV49" s="83"/>
      <c r="JZW49" s="83"/>
      <c r="JZX49" s="83"/>
      <c r="JZY49" s="83"/>
      <c r="JZZ49" s="83"/>
      <c r="KAA49" s="83"/>
      <c r="KAB49" s="83"/>
      <c r="KAC49" s="83"/>
      <c r="KAD49" s="83"/>
      <c r="KAE49" s="83"/>
      <c r="KAF49" s="83"/>
      <c r="KAG49" s="83"/>
      <c r="KAH49" s="83"/>
      <c r="KAI49" s="83"/>
      <c r="KAJ49" s="83"/>
      <c r="KAK49" s="83"/>
      <c r="KAL49" s="83"/>
      <c r="KAM49" s="83"/>
      <c r="KAN49" s="83"/>
      <c r="KAO49" s="83"/>
      <c r="KAP49" s="83"/>
      <c r="KAQ49" s="83"/>
      <c r="KAR49" s="83"/>
      <c r="KAS49" s="83"/>
      <c r="KAT49" s="83"/>
      <c r="KAU49" s="83"/>
      <c r="KAV49" s="83"/>
      <c r="KAW49" s="83"/>
      <c r="KAX49" s="83"/>
      <c r="KAY49" s="83"/>
      <c r="KAZ49" s="83"/>
      <c r="KBA49" s="83"/>
      <c r="KBB49" s="83"/>
      <c r="KBC49" s="83"/>
      <c r="KBD49" s="83"/>
      <c r="KBE49" s="83"/>
      <c r="KBF49" s="83"/>
      <c r="KBG49" s="83"/>
      <c r="KBH49" s="83"/>
      <c r="KBI49" s="83"/>
      <c r="KBJ49" s="83"/>
      <c r="KBK49" s="83"/>
      <c r="KBL49" s="83"/>
      <c r="KBM49" s="83"/>
      <c r="KBN49" s="83"/>
      <c r="KBO49" s="83"/>
      <c r="KBP49" s="83"/>
      <c r="KBQ49" s="83"/>
      <c r="KBR49" s="83"/>
      <c r="KBS49" s="83"/>
      <c r="KBT49" s="83"/>
      <c r="KBU49" s="83"/>
      <c r="KBV49" s="83"/>
      <c r="KBW49" s="83"/>
      <c r="KBX49" s="83"/>
      <c r="KBY49" s="83"/>
      <c r="KBZ49" s="83"/>
      <c r="KCA49" s="83"/>
      <c r="KCB49" s="83"/>
      <c r="KCC49" s="83"/>
      <c r="KCD49" s="83"/>
      <c r="KCE49" s="83"/>
      <c r="KCF49" s="83"/>
      <c r="KCG49" s="83"/>
      <c r="KCH49" s="83"/>
      <c r="KCI49" s="83"/>
      <c r="KCJ49" s="83"/>
      <c r="KCK49" s="83"/>
      <c r="KCL49" s="83"/>
      <c r="KCM49" s="83"/>
      <c r="KCN49" s="83"/>
      <c r="KCO49" s="83"/>
      <c r="KCP49" s="83"/>
      <c r="KCQ49" s="83"/>
      <c r="KCR49" s="83"/>
      <c r="KCS49" s="83"/>
      <c r="KCT49" s="83"/>
      <c r="KCU49" s="83"/>
      <c r="KCV49" s="83"/>
      <c r="KCW49" s="83"/>
      <c r="KCX49" s="83"/>
      <c r="KCY49" s="83"/>
      <c r="KCZ49" s="83"/>
      <c r="KDA49" s="83"/>
      <c r="KDB49" s="83"/>
      <c r="KDC49" s="83"/>
      <c r="KDD49" s="83"/>
      <c r="KDE49" s="83"/>
      <c r="KDF49" s="83"/>
      <c r="KDG49" s="83"/>
      <c r="KDH49" s="83"/>
      <c r="KDI49" s="83"/>
      <c r="KDJ49" s="83"/>
      <c r="KDK49" s="83"/>
      <c r="KDL49" s="83"/>
      <c r="KDM49" s="83"/>
      <c r="KDN49" s="83"/>
      <c r="KDO49" s="83"/>
      <c r="KDP49" s="83"/>
      <c r="KDQ49" s="83"/>
      <c r="KDR49" s="83"/>
      <c r="KDS49" s="83"/>
      <c r="KDT49" s="83"/>
      <c r="KDU49" s="83"/>
      <c r="KDV49" s="83"/>
      <c r="KDW49" s="83"/>
      <c r="KDX49" s="83"/>
      <c r="KDY49" s="83"/>
      <c r="KDZ49" s="83"/>
      <c r="KEA49" s="83"/>
      <c r="KEB49" s="83"/>
      <c r="KEC49" s="83"/>
      <c r="KED49" s="83"/>
      <c r="KEE49" s="83"/>
      <c r="KEF49" s="83"/>
      <c r="KEG49" s="83"/>
      <c r="KEH49" s="83"/>
      <c r="KEI49" s="83"/>
      <c r="KEJ49" s="83"/>
      <c r="KEK49" s="83"/>
      <c r="KEL49" s="83"/>
      <c r="KEM49" s="83"/>
      <c r="KEN49" s="83"/>
      <c r="KEO49" s="83"/>
      <c r="KEP49" s="83"/>
      <c r="KEQ49" s="83"/>
      <c r="KER49" s="83"/>
      <c r="KES49" s="83"/>
      <c r="KET49" s="83"/>
      <c r="KEU49" s="83"/>
      <c r="KEV49" s="83"/>
      <c r="KEW49" s="83"/>
      <c r="KEX49" s="83"/>
      <c r="KEY49" s="83"/>
      <c r="KEZ49" s="83"/>
      <c r="KFA49" s="83"/>
      <c r="KFB49" s="83"/>
      <c r="KFC49" s="83"/>
      <c r="KFD49" s="83"/>
      <c r="KFE49" s="83"/>
      <c r="KFF49" s="83"/>
      <c r="KFG49" s="83"/>
      <c r="KFH49" s="83"/>
      <c r="KFI49" s="83"/>
      <c r="KFJ49" s="83"/>
      <c r="KFK49" s="83"/>
      <c r="KFL49" s="83"/>
      <c r="KFM49" s="83"/>
      <c r="KFN49" s="83"/>
      <c r="KFO49" s="83"/>
      <c r="KFP49" s="83"/>
      <c r="KFQ49" s="83"/>
      <c r="KFR49" s="83"/>
      <c r="KFS49" s="83"/>
      <c r="KFT49" s="83"/>
      <c r="KFU49" s="83"/>
      <c r="KFV49" s="83"/>
      <c r="KFW49" s="83"/>
      <c r="KFX49" s="83"/>
      <c r="KFY49" s="83"/>
      <c r="KFZ49" s="83"/>
      <c r="KGA49" s="83"/>
      <c r="KGB49" s="83"/>
      <c r="KGC49" s="83"/>
      <c r="KGD49" s="83"/>
      <c r="KGE49" s="83"/>
      <c r="KGF49" s="83"/>
      <c r="KGG49" s="83"/>
      <c r="KGH49" s="83"/>
      <c r="KGI49" s="83"/>
      <c r="KGJ49" s="83"/>
      <c r="KGK49" s="83"/>
      <c r="KGL49" s="83"/>
      <c r="KGM49" s="83"/>
      <c r="KGN49" s="83"/>
      <c r="KGO49" s="83"/>
      <c r="KGP49" s="83"/>
      <c r="KGQ49" s="83"/>
      <c r="KGR49" s="83"/>
      <c r="KGS49" s="83"/>
      <c r="KGT49" s="83"/>
      <c r="KGU49" s="83"/>
      <c r="KGV49" s="83"/>
      <c r="KGW49" s="83"/>
      <c r="KGX49" s="83"/>
      <c r="KGY49" s="83"/>
      <c r="KGZ49" s="83"/>
      <c r="KHA49" s="83"/>
      <c r="KHB49" s="83"/>
      <c r="KHC49" s="83"/>
      <c r="KHD49" s="83"/>
      <c r="KHE49" s="83"/>
      <c r="KHF49" s="83"/>
      <c r="KHG49" s="83"/>
      <c r="KHH49" s="83"/>
      <c r="KHI49" s="83"/>
      <c r="KHJ49" s="83"/>
      <c r="KHK49" s="83"/>
      <c r="KHL49" s="83"/>
      <c r="KHM49" s="83"/>
      <c r="KHN49" s="83"/>
      <c r="KHO49" s="83"/>
      <c r="KHP49" s="83"/>
      <c r="KHQ49" s="83"/>
      <c r="KHR49" s="83"/>
      <c r="KHS49" s="83"/>
      <c r="KHT49" s="83"/>
      <c r="KHU49" s="83"/>
      <c r="KHV49" s="83"/>
      <c r="KHW49" s="83"/>
      <c r="KHX49" s="83"/>
      <c r="KHY49" s="83"/>
      <c r="KHZ49" s="83"/>
      <c r="KIA49" s="83"/>
      <c r="KIB49" s="83"/>
      <c r="KIC49" s="83"/>
      <c r="KID49" s="83"/>
      <c r="KIE49" s="83"/>
      <c r="KIF49" s="83"/>
      <c r="KIG49" s="83"/>
      <c r="KIH49" s="83"/>
      <c r="KII49" s="83"/>
      <c r="KIJ49" s="83"/>
      <c r="KIK49" s="83"/>
      <c r="KIL49" s="83"/>
      <c r="KIM49" s="83"/>
      <c r="KIN49" s="83"/>
      <c r="KIO49" s="83"/>
      <c r="KIP49" s="83"/>
      <c r="KIQ49" s="83"/>
      <c r="KIR49" s="83"/>
      <c r="KIS49" s="83"/>
      <c r="KIT49" s="83"/>
      <c r="KIU49" s="83"/>
      <c r="KIV49" s="83"/>
      <c r="KIW49" s="83"/>
      <c r="KIX49" s="83"/>
      <c r="KIY49" s="83"/>
      <c r="KIZ49" s="83"/>
      <c r="KJA49" s="83"/>
      <c r="KJB49" s="83"/>
      <c r="KJC49" s="83"/>
      <c r="KJD49" s="83"/>
      <c r="KJE49" s="83"/>
      <c r="KJF49" s="83"/>
      <c r="KJG49" s="83"/>
      <c r="KJH49" s="83"/>
      <c r="KJI49" s="83"/>
      <c r="KJJ49" s="83"/>
      <c r="KJK49" s="83"/>
      <c r="KJL49" s="83"/>
      <c r="KJM49" s="83"/>
      <c r="KJN49" s="83"/>
      <c r="KJO49" s="83"/>
      <c r="KJP49" s="83"/>
      <c r="KJQ49" s="83"/>
      <c r="KJR49" s="83"/>
      <c r="KJS49" s="83"/>
      <c r="KJT49" s="83"/>
      <c r="KJU49" s="83"/>
      <c r="KJV49" s="83"/>
      <c r="KJW49" s="83"/>
      <c r="KJX49" s="83"/>
      <c r="KJY49" s="83"/>
      <c r="KJZ49" s="83"/>
      <c r="KKA49" s="83"/>
      <c r="KKB49" s="83"/>
      <c r="KKC49" s="83"/>
      <c r="KKD49" s="83"/>
      <c r="KKE49" s="83"/>
      <c r="KKF49" s="83"/>
      <c r="KKG49" s="83"/>
      <c r="KKH49" s="83"/>
      <c r="KKI49" s="83"/>
      <c r="KKJ49" s="83"/>
      <c r="KKK49" s="83"/>
      <c r="KKL49" s="83"/>
      <c r="KKM49" s="83"/>
      <c r="KKN49" s="83"/>
      <c r="KKO49" s="83"/>
      <c r="KKP49" s="83"/>
      <c r="KKQ49" s="83"/>
      <c r="KKR49" s="83"/>
      <c r="KKS49" s="83"/>
      <c r="KKT49" s="83"/>
      <c r="KKU49" s="83"/>
      <c r="KKV49" s="83"/>
      <c r="KKW49" s="83"/>
      <c r="KKX49" s="83"/>
      <c r="KKY49" s="83"/>
      <c r="KKZ49" s="83"/>
      <c r="KLA49" s="83"/>
      <c r="KLB49" s="83"/>
      <c r="KLC49" s="83"/>
      <c r="KLD49" s="83"/>
      <c r="KLE49" s="83"/>
      <c r="KLF49" s="83"/>
      <c r="KLG49" s="83"/>
      <c r="KLH49" s="83"/>
      <c r="KLI49" s="83"/>
      <c r="KLJ49" s="83"/>
      <c r="KLK49" s="83"/>
      <c r="KLL49" s="83"/>
      <c r="KLM49" s="83"/>
      <c r="KLN49" s="83"/>
      <c r="KLO49" s="83"/>
      <c r="KLP49" s="83"/>
      <c r="KLQ49" s="83"/>
      <c r="KLR49" s="83"/>
      <c r="KLS49" s="83"/>
      <c r="KLT49" s="83"/>
      <c r="KLU49" s="83"/>
      <c r="KLV49" s="83"/>
      <c r="KLW49" s="83"/>
      <c r="KLX49" s="83"/>
      <c r="KLY49" s="83"/>
      <c r="KLZ49" s="83"/>
      <c r="KMA49" s="83"/>
      <c r="KMB49" s="83"/>
      <c r="KMC49" s="83"/>
      <c r="KMD49" s="83"/>
      <c r="KME49" s="83"/>
      <c r="KMF49" s="83"/>
      <c r="KMG49" s="83"/>
      <c r="KMH49" s="83"/>
      <c r="KMI49" s="83"/>
      <c r="KMJ49" s="83"/>
      <c r="KMK49" s="83"/>
      <c r="KML49" s="83"/>
      <c r="KMM49" s="83"/>
      <c r="KMN49" s="83"/>
      <c r="KMO49" s="83"/>
      <c r="KMP49" s="83"/>
      <c r="KMQ49" s="83"/>
      <c r="KMR49" s="83"/>
      <c r="KMS49" s="83"/>
      <c r="KMT49" s="83"/>
      <c r="KMU49" s="83"/>
      <c r="KMV49" s="83"/>
      <c r="KMW49" s="83"/>
      <c r="KMX49" s="83"/>
      <c r="KMY49" s="83"/>
      <c r="KMZ49" s="83"/>
      <c r="KNA49" s="83"/>
      <c r="KNB49" s="83"/>
      <c r="KNC49" s="83"/>
      <c r="KND49" s="83"/>
      <c r="KNE49" s="83"/>
      <c r="KNF49" s="83"/>
      <c r="KNG49" s="83"/>
      <c r="KNH49" s="83"/>
      <c r="KNI49" s="83"/>
      <c r="KNJ49" s="83"/>
      <c r="KNK49" s="83"/>
      <c r="KNL49" s="83"/>
      <c r="KNM49" s="83"/>
      <c r="KNN49" s="83"/>
      <c r="KNO49" s="83"/>
      <c r="KNP49" s="83"/>
      <c r="KNQ49" s="83"/>
      <c r="KNR49" s="83"/>
      <c r="KNS49" s="83"/>
      <c r="KNT49" s="83"/>
      <c r="KNU49" s="83"/>
      <c r="KNV49" s="83"/>
      <c r="KNW49" s="83"/>
      <c r="KNX49" s="83"/>
      <c r="KNY49" s="83"/>
      <c r="KNZ49" s="83"/>
      <c r="KOA49" s="83"/>
      <c r="KOB49" s="83"/>
      <c r="KOC49" s="83"/>
      <c r="KOD49" s="83"/>
      <c r="KOE49" s="83"/>
      <c r="KOF49" s="83"/>
      <c r="KOG49" s="83"/>
      <c r="KOH49" s="83"/>
      <c r="KOI49" s="83"/>
      <c r="KOJ49" s="83"/>
      <c r="KOK49" s="83"/>
      <c r="KOL49" s="83"/>
      <c r="KOM49" s="83"/>
      <c r="KON49" s="83"/>
      <c r="KOO49" s="83"/>
      <c r="KOP49" s="83"/>
      <c r="KOQ49" s="83"/>
      <c r="KOR49" s="83"/>
      <c r="KOS49" s="83"/>
      <c r="KOT49" s="83"/>
      <c r="KOU49" s="83"/>
      <c r="KOV49" s="83"/>
      <c r="KOW49" s="83"/>
      <c r="KOX49" s="83"/>
      <c r="KOY49" s="83"/>
      <c r="KOZ49" s="83"/>
      <c r="KPA49" s="83"/>
      <c r="KPB49" s="83"/>
      <c r="KPC49" s="83"/>
      <c r="KPD49" s="83"/>
      <c r="KPE49" s="83"/>
      <c r="KPF49" s="83"/>
      <c r="KPG49" s="83"/>
      <c r="KPH49" s="83"/>
      <c r="KPI49" s="83"/>
      <c r="KPJ49" s="83"/>
      <c r="KPK49" s="83"/>
      <c r="KPL49" s="83"/>
      <c r="KPM49" s="83"/>
      <c r="KPN49" s="83"/>
      <c r="KPO49" s="83"/>
      <c r="KPP49" s="83"/>
      <c r="KPQ49" s="83"/>
      <c r="KPR49" s="83"/>
      <c r="KPS49" s="83"/>
      <c r="KPT49" s="83"/>
      <c r="KPU49" s="83"/>
      <c r="KPV49" s="83"/>
      <c r="KPW49" s="83"/>
      <c r="KPX49" s="83"/>
      <c r="KPY49" s="83"/>
      <c r="KPZ49" s="83"/>
      <c r="KQA49" s="83"/>
      <c r="KQB49" s="83"/>
      <c r="KQC49" s="83"/>
      <c r="KQD49" s="83"/>
      <c r="KQE49" s="83"/>
      <c r="KQF49" s="83"/>
      <c r="KQG49" s="83"/>
      <c r="KQH49" s="83"/>
      <c r="KQI49" s="83"/>
      <c r="KQJ49" s="83"/>
      <c r="KQK49" s="83"/>
      <c r="KQL49" s="83"/>
      <c r="KQM49" s="83"/>
      <c r="KQN49" s="83"/>
      <c r="KQO49" s="83"/>
      <c r="KQP49" s="83"/>
      <c r="KQQ49" s="83"/>
      <c r="KQR49" s="83"/>
      <c r="KQS49" s="83"/>
      <c r="KQT49" s="83"/>
      <c r="KQU49" s="83"/>
      <c r="KQV49" s="83"/>
      <c r="KQW49" s="83"/>
      <c r="KQX49" s="83"/>
      <c r="KQY49" s="83"/>
      <c r="KQZ49" s="83"/>
      <c r="KRA49" s="83"/>
      <c r="KRB49" s="83"/>
      <c r="KRC49" s="83"/>
      <c r="KRD49" s="83"/>
      <c r="KRE49" s="83"/>
      <c r="KRF49" s="83"/>
      <c r="KRG49" s="83"/>
      <c r="KRH49" s="83"/>
      <c r="KRI49" s="83"/>
      <c r="KRJ49" s="83"/>
      <c r="KRK49" s="83"/>
      <c r="KRL49" s="83"/>
      <c r="KRM49" s="83"/>
      <c r="KRN49" s="83"/>
      <c r="KRO49" s="83"/>
      <c r="KRP49" s="83"/>
      <c r="KRQ49" s="83"/>
      <c r="KRR49" s="83"/>
      <c r="KRS49" s="83"/>
      <c r="KRT49" s="83"/>
      <c r="KRU49" s="83"/>
      <c r="KRV49" s="83"/>
      <c r="KRW49" s="83"/>
      <c r="KRX49" s="83"/>
      <c r="KRY49" s="83"/>
      <c r="KRZ49" s="83"/>
      <c r="KSA49" s="83"/>
      <c r="KSB49" s="83"/>
      <c r="KSC49" s="83"/>
      <c r="KSD49" s="83"/>
      <c r="KSE49" s="83"/>
      <c r="KSF49" s="83"/>
      <c r="KSG49" s="83"/>
      <c r="KSH49" s="83"/>
      <c r="KSI49" s="83"/>
      <c r="KSJ49" s="83"/>
      <c r="KSK49" s="83"/>
      <c r="KSL49" s="83"/>
      <c r="KSM49" s="83"/>
      <c r="KSN49" s="83"/>
      <c r="KSO49" s="83"/>
      <c r="KSP49" s="83"/>
      <c r="KSQ49" s="83"/>
      <c r="KSR49" s="83"/>
      <c r="KSS49" s="83"/>
      <c r="KST49" s="83"/>
      <c r="KSU49" s="83"/>
      <c r="KSV49" s="83"/>
      <c r="KSW49" s="83"/>
      <c r="KSX49" s="83"/>
      <c r="KSY49" s="83"/>
      <c r="KSZ49" s="83"/>
      <c r="KTA49" s="83"/>
      <c r="KTB49" s="83"/>
      <c r="KTC49" s="83"/>
      <c r="KTD49" s="83"/>
      <c r="KTE49" s="83"/>
      <c r="KTF49" s="83"/>
      <c r="KTG49" s="83"/>
      <c r="KTH49" s="83"/>
      <c r="KTI49" s="83"/>
      <c r="KTJ49" s="83"/>
      <c r="KTK49" s="83"/>
      <c r="KTL49" s="83"/>
      <c r="KTM49" s="83"/>
      <c r="KTN49" s="83"/>
      <c r="KTO49" s="83"/>
      <c r="KTP49" s="83"/>
      <c r="KTQ49" s="83"/>
      <c r="KTR49" s="83"/>
      <c r="KTS49" s="83"/>
      <c r="KTT49" s="83"/>
      <c r="KTU49" s="83"/>
      <c r="KTV49" s="83"/>
      <c r="KTW49" s="83"/>
      <c r="KTX49" s="83"/>
      <c r="KTY49" s="83"/>
      <c r="KTZ49" s="83"/>
      <c r="KUA49" s="83"/>
      <c r="KUB49" s="83"/>
      <c r="KUC49" s="83"/>
      <c r="KUD49" s="83"/>
      <c r="KUE49" s="83"/>
      <c r="KUF49" s="83"/>
      <c r="KUG49" s="83"/>
      <c r="KUH49" s="83"/>
      <c r="KUI49" s="83"/>
      <c r="KUJ49" s="83"/>
      <c r="KUK49" s="83"/>
      <c r="KUL49" s="83"/>
      <c r="KUM49" s="83"/>
      <c r="KUN49" s="83"/>
      <c r="KUO49" s="83"/>
      <c r="KUP49" s="83"/>
      <c r="KUQ49" s="83"/>
      <c r="KUR49" s="83"/>
      <c r="KUS49" s="83"/>
      <c r="KUT49" s="83"/>
      <c r="KUU49" s="83"/>
      <c r="KUV49" s="83"/>
      <c r="KUW49" s="83"/>
      <c r="KUX49" s="83"/>
      <c r="KUY49" s="83"/>
      <c r="KUZ49" s="83"/>
      <c r="KVA49" s="83"/>
      <c r="KVB49" s="83"/>
      <c r="KVC49" s="83"/>
      <c r="KVD49" s="83"/>
      <c r="KVE49" s="83"/>
      <c r="KVF49" s="83"/>
      <c r="KVG49" s="83"/>
      <c r="KVH49" s="83"/>
      <c r="KVI49" s="83"/>
      <c r="KVJ49" s="83"/>
      <c r="KVK49" s="83"/>
      <c r="KVL49" s="83"/>
      <c r="KVM49" s="83"/>
      <c r="KVN49" s="83"/>
      <c r="KVO49" s="83"/>
      <c r="KVP49" s="83"/>
      <c r="KVQ49" s="83"/>
      <c r="KVR49" s="83"/>
      <c r="KVS49" s="83"/>
      <c r="KVT49" s="83"/>
      <c r="KVU49" s="83"/>
      <c r="KVV49" s="83"/>
      <c r="KVW49" s="83"/>
      <c r="KVX49" s="83"/>
      <c r="KVY49" s="83"/>
      <c r="KVZ49" s="83"/>
      <c r="KWA49" s="83"/>
      <c r="KWB49" s="83"/>
      <c r="KWC49" s="83"/>
      <c r="KWD49" s="83"/>
      <c r="KWE49" s="83"/>
      <c r="KWF49" s="83"/>
      <c r="KWG49" s="83"/>
      <c r="KWH49" s="83"/>
      <c r="KWI49" s="83"/>
      <c r="KWJ49" s="83"/>
      <c r="KWK49" s="83"/>
      <c r="KWL49" s="83"/>
      <c r="KWM49" s="83"/>
      <c r="KWN49" s="83"/>
      <c r="KWO49" s="83"/>
      <c r="KWP49" s="83"/>
      <c r="KWQ49" s="83"/>
      <c r="KWR49" s="83"/>
      <c r="KWS49" s="83"/>
      <c r="KWT49" s="83"/>
      <c r="KWU49" s="83"/>
      <c r="KWV49" s="83"/>
      <c r="KWW49" s="83"/>
      <c r="KWX49" s="83"/>
      <c r="KWY49" s="83"/>
      <c r="KWZ49" s="83"/>
      <c r="KXA49" s="83"/>
      <c r="KXB49" s="83"/>
      <c r="KXC49" s="83"/>
      <c r="KXD49" s="83"/>
      <c r="KXE49" s="83"/>
      <c r="KXF49" s="83"/>
      <c r="KXG49" s="83"/>
      <c r="KXH49" s="83"/>
      <c r="KXI49" s="83"/>
      <c r="KXJ49" s="83"/>
      <c r="KXK49" s="83"/>
      <c r="KXL49" s="83"/>
      <c r="KXM49" s="83"/>
      <c r="KXN49" s="83"/>
      <c r="KXO49" s="83"/>
      <c r="KXP49" s="83"/>
      <c r="KXQ49" s="83"/>
      <c r="KXR49" s="83"/>
      <c r="KXS49" s="83"/>
      <c r="KXT49" s="83"/>
      <c r="KXU49" s="83"/>
      <c r="KXV49" s="83"/>
      <c r="KXW49" s="83"/>
      <c r="KXX49" s="83"/>
      <c r="KXY49" s="83"/>
      <c r="KXZ49" s="83"/>
      <c r="KYA49" s="83"/>
      <c r="KYB49" s="83"/>
      <c r="KYC49" s="83"/>
      <c r="KYD49" s="83"/>
      <c r="KYE49" s="83"/>
      <c r="KYF49" s="83"/>
      <c r="KYG49" s="83"/>
      <c r="KYH49" s="83"/>
      <c r="KYI49" s="83"/>
      <c r="KYJ49" s="83"/>
      <c r="KYK49" s="83"/>
      <c r="KYL49" s="83"/>
      <c r="KYM49" s="83"/>
      <c r="KYN49" s="83"/>
      <c r="KYO49" s="83"/>
      <c r="KYP49" s="83"/>
      <c r="KYQ49" s="83"/>
      <c r="KYR49" s="83"/>
      <c r="KYS49" s="83"/>
      <c r="KYT49" s="83"/>
      <c r="KYU49" s="83"/>
      <c r="KYV49" s="83"/>
      <c r="KYW49" s="83"/>
      <c r="KYX49" s="83"/>
      <c r="KYY49" s="83"/>
      <c r="KYZ49" s="83"/>
      <c r="KZA49" s="83"/>
      <c r="KZB49" s="83"/>
      <c r="KZC49" s="83"/>
      <c r="KZD49" s="83"/>
      <c r="KZE49" s="83"/>
      <c r="KZF49" s="83"/>
      <c r="KZG49" s="83"/>
      <c r="KZH49" s="83"/>
      <c r="KZI49" s="83"/>
      <c r="KZJ49" s="83"/>
      <c r="KZK49" s="83"/>
      <c r="KZL49" s="83"/>
      <c r="KZM49" s="83"/>
      <c r="KZN49" s="83"/>
      <c r="KZO49" s="83"/>
      <c r="KZP49" s="83"/>
      <c r="KZQ49" s="83"/>
      <c r="KZR49" s="83"/>
      <c r="KZS49" s="83"/>
      <c r="KZT49" s="83"/>
      <c r="KZU49" s="83"/>
      <c r="KZV49" s="83"/>
      <c r="KZW49" s="83"/>
      <c r="KZX49" s="83"/>
      <c r="KZY49" s="83"/>
      <c r="KZZ49" s="83"/>
      <c r="LAA49" s="83"/>
      <c r="LAB49" s="83"/>
      <c r="LAC49" s="83"/>
      <c r="LAD49" s="83"/>
      <c r="LAE49" s="83"/>
      <c r="LAF49" s="83"/>
      <c r="LAG49" s="83"/>
      <c r="LAH49" s="83"/>
      <c r="LAI49" s="83"/>
      <c r="LAJ49" s="83"/>
      <c r="LAK49" s="83"/>
      <c r="LAL49" s="83"/>
      <c r="LAM49" s="83"/>
      <c r="LAN49" s="83"/>
      <c r="LAO49" s="83"/>
      <c r="LAP49" s="83"/>
      <c r="LAQ49" s="83"/>
      <c r="LAR49" s="83"/>
      <c r="LAS49" s="83"/>
      <c r="LAT49" s="83"/>
      <c r="LAU49" s="83"/>
      <c r="LAV49" s="83"/>
      <c r="LAW49" s="83"/>
      <c r="LAX49" s="83"/>
      <c r="LAY49" s="83"/>
      <c r="LAZ49" s="83"/>
      <c r="LBA49" s="83"/>
      <c r="LBB49" s="83"/>
      <c r="LBC49" s="83"/>
      <c r="LBD49" s="83"/>
      <c r="LBE49" s="83"/>
      <c r="LBF49" s="83"/>
      <c r="LBG49" s="83"/>
      <c r="LBH49" s="83"/>
      <c r="LBI49" s="83"/>
      <c r="LBJ49" s="83"/>
      <c r="LBK49" s="83"/>
      <c r="LBL49" s="83"/>
      <c r="LBM49" s="83"/>
      <c r="LBN49" s="83"/>
      <c r="LBO49" s="83"/>
      <c r="LBP49" s="83"/>
      <c r="LBQ49" s="83"/>
      <c r="LBR49" s="83"/>
      <c r="LBS49" s="83"/>
      <c r="LBT49" s="83"/>
      <c r="LBU49" s="83"/>
      <c r="LBV49" s="83"/>
      <c r="LBW49" s="83"/>
      <c r="LBX49" s="83"/>
      <c r="LBY49" s="83"/>
      <c r="LBZ49" s="83"/>
      <c r="LCA49" s="83"/>
      <c r="LCB49" s="83"/>
      <c r="LCC49" s="83"/>
      <c r="LCD49" s="83"/>
      <c r="LCE49" s="83"/>
      <c r="LCF49" s="83"/>
      <c r="LCG49" s="83"/>
      <c r="LCH49" s="83"/>
      <c r="LCI49" s="83"/>
      <c r="LCJ49" s="83"/>
      <c r="LCK49" s="83"/>
      <c r="LCL49" s="83"/>
      <c r="LCM49" s="83"/>
      <c r="LCN49" s="83"/>
      <c r="LCO49" s="83"/>
      <c r="LCP49" s="83"/>
      <c r="LCQ49" s="83"/>
      <c r="LCR49" s="83"/>
      <c r="LCS49" s="83"/>
      <c r="LCT49" s="83"/>
      <c r="LCU49" s="83"/>
      <c r="LCV49" s="83"/>
      <c r="LCW49" s="83"/>
      <c r="LCX49" s="83"/>
      <c r="LCY49" s="83"/>
      <c r="LCZ49" s="83"/>
      <c r="LDA49" s="83"/>
      <c r="LDB49" s="83"/>
      <c r="LDC49" s="83"/>
      <c r="LDD49" s="83"/>
      <c r="LDE49" s="83"/>
      <c r="LDF49" s="83"/>
      <c r="LDG49" s="83"/>
      <c r="LDH49" s="83"/>
      <c r="LDI49" s="83"/>
      <c r="LDJ49" s="83"/>
      <c r="LDK49" s="83"/>
      <c r="LDL49" s="83"/>
      <c r="LDM49" s="83"/>
      <c r="LDN49" s="83"/>
      <c r="LDO49" s="83"/>
      <c r="LDP49" s="83"/>
      <c r="LDQ49" s="83"/>
      <c r="LDR49" s="83"/>
      <c r="LDS49" s="83"/>
      <c r="LDT49" s="83"/>
      <c r="LDU49" s="83"/>
      <c r="LDV49" s="83"/>
      <c r="LDW49" s="83"/>
      <c r="LDX49" s="83"/>
      <c r="LDY49" s="83"/>
      <c r="LDZ49" s="83"/>
      <c r="LEA49" s="83"/>
      <c r="LEB49" s="83"/>
      <c r="LEC49" s="83"/>
      <c r="LED49" s="83"/>
      <c r="LEE49" s="83"/>
      <c r="LEF49" s="83"/>
      <c r="LEG49" s="83"/>
      <c r="LEH49" s="83"/>
      <c r="LEI49" s="83"/>
      <c r="LEJ49" s="83"/>
      <c r="LEK49" s="83"/>
      <c r="LEL49" s="83"/>
      <c r="LEM49" s="83"/>
      <c r="LEN49" s="83"/>
      <c r="LEO49" s="83"/>
      <c r="LEP49" s="83"/>
      <c r="LEQ49" s="83"/>
      <c r="LER49" s="83"/>
      <c r="LES49" s="83"/>
      <c r="LET49" s="83"/>
      <c r="LEU49" s="83"/>
      <c r="LEV49" s="83"/>
      <c r="LEW49" s="83"/>
      <c r="LEX49" s="83"/>
      <c r="LEY49" s="83"/>
      <c r="LEZ49" s="83"/>
      <c r="LFA49" s="83"/>
      <c r="LFB49" s="83"/>
      <c r="LFC49" s="83"/>
      <c r="LFD49" s="83"/>
      <c r="LFE49" s="83"/>
      <c r="LFF49" s="83"/>
      <c r="LFG49" s="83"/>
      <c r="LFH49" s="83"/>
      <c r="LFI49" s="83"/>
      <c r="LFJ49" s="83"/>
      <c r="LFK49" s="83"/>
      <c r="LFL49" s="83"/>
      <c r="LFM49" s="83"/>
      <c r="LFN49" s="83"/>
      <c r="LFO49" s="83"/>
      <c r="LFP49" s="83"/>
      <c r="LFQ49" s="83"/>
      <c r="LFR49" s="83"/>
      <c r="LFS49" s="83"/>
      <c r="LFT49" s="83"/>
      <c r="LFU49" s="83"/>
      <c r="LFV49" s="83"/>
      <c r="LFW49" s="83"/>
      <c r="LFX49" s="83"/>
      <c r="LFY49" s="83"/>
      <c r="LFZ49" s="83"/>
      <c r="LGA49" s="83"/>
      <c r="LGB49" s="83"/>
      <c r="LGC49" s="83"/>
      <c r="LGD49" s="83"/>
      <c r="LGE49" s="83"/>
      <c r="LGF49" s="83"/>
      <c r="LGG49" s="83"/>
      <c r="LGH49" s="83"/>
      <c r="LGI49" s="83"/>
      <c r="LGJ49" s="83"/>
      <c r="LGK49" s="83"/>
      <c r="LGL49" s="83"/>
      <c r="LGM49" s="83"/>
      <c r="LGN49" s="83"/>
      <c r="LGO49" s="83"/>
      <c r="LGP49" s="83"/>
      <c r="LGQ49" s="83"/>
      <c r="LGR49" s="83"/>
      <c r="LGS49" s="83"/>
      <c r="LGT49" s="83"/>
      <c r="LGU49" s="83"/>
      <c r="LGV49" s="83"/>
      <c r="LGW49" s="83"/>
      <c r="LGX49" s="83"/>
      <c r="LGY49" s="83"/>
      <c r="LGZ49" s="83"/>
      <c r="LHA49" s="83"/>
      <c r="LHB49" s="83"/>
      <c r="LHC49" s="83"/>
      <c r="LHD49" s="83"/>
      <c r="LHE49" s="83"/>
      <c r="LHF49" s="83"/>
      <c r="LHG49" s="83"/>
      <c r="LHH49" s="83"/>
      <c r="LHI49" s="83"/>
      <c r="LHJ49" s="83"/>
      <c r="LHK49" s="83"/>
      <c r="LHL49" s="83"/>
      <c r="LHM49" s="83"/>
      <c r="LHN49" s="83"/>
      <c r="LHO49" s="83"/>
      <c r="LHP49" s="83"/>
      <c r="LHQ49" s="83"/>
      <c r="LHR49" s="83"/>
      <c r="LHS49" s="83"/>
      <c r="LHT49" s="83"/>
      <c r="LHU49" s="83"/>
      <c r="LHV49" s="83"/>
      <c r="LHW49" s="83"/>
      <c r="LHX49" s="83"/>
      <c r="LHY49" s="83"/>
      <c r="LHZ49" s="83"/>
      <c r="LIA49" s="83"/>
      <c r="LIB49" s="83"/>
      <c r="LIC49" s="83"/>
      <c r="LID49" s="83"/>
      <c r="LIE49" s="83"/>
      <c r="LIF49" s="83"/>
      <c r="LIG49" s="83"/>
      <c r="LIH49" s="83"/>
      <c r="LII49" s="83"/>
      <c r="LIJ49" s="83"/>
      <c r="LIK49" s="83"/>
      <c r="LIL49" s="83"/>
      <c r="LIM49" s="83"/>
      <c r="LIN49" s="83"/>
      <c r="LIO49" s="83"/>
      <c r="LIP49" s="83"/>
      <c r="LIQ49" s="83"/>
      <c r="LIR49" s="83"/>
      <c r="LIS49" s="83"/>
      <c r="LIT49" s="83"/>
      <c r="LIU49" s="83"/>
      <c r="LIV49" s="83"/>
      <c r="LIW49" s="83"/>
      <c r="LIX49" s="83"/>
      <c r="LIY49" s="83"/>
      <c r="LIZ49" s="83"/>
      <c r="LJA49" s="83"/>
      <c r="LJB49" s="83"/>
      <c r="LJC49" s="83"/>
      <c r="LJD49" s="83"/>
      <c r="LJE49" s="83"/>
      <c r="LJF49" s="83"/>
      <c r="LJG49" s="83"/>
      <c r="LJH49" s="83"/>
      <c r="LJI49" s="83"/>
      <c r="LJJ49" s="83"/>
      <c r="LJK49" s="83"/>
      <c r="LJL49" s="83"/>
      <c r="LJM49" s="83"/>
      <c r="LJN49" s="83"/>
      <c r="LJO49" s="83"/>
      <c r="LJP49" s="83"/>
      <c r="LJQ49" s="83"/>
      <c r="LJR49" s="83"/>
      <c r="LJS49" s="83"/>
      <c r="LJT49" s="83"/>
      <c r="LJU49" s="83"/>
      <c r="LJV49" s="83"/>
      <c r="LJW49" s="83"/>
      <c r="LJX49" s="83"/>
      <c r="LJY49" s="83"/>
      <c r="LJZ49" s="83"/>
      <c r="LKA49" s="83"/>
      <c r="LKB49" s="83"/>
      <c r="LKC49" s="83"/>
      <c r="LKD49" s="83"/>
      <c r="LKE49" s="83"/>
      <c r="LKF49" s="83"/>
      <c r="LKG49" s="83"/>
      <c r="LKH49" s="83"/>
      <c r="LKI49" s="83"/>
      <c r="LKJ49" s="83"/>
      <c r="LKK49" s="83"/>
      <c r="LKL49" s="83"/>
      <c r="LKM49" s="83"/>
      <c r="LKN49" s="83"/>
      <c r="LKO49" s="83"/>
      <c r="LKP49" s="83"/>
      <c r="LKQ49" s="83"/>
      <c r="LKR49" s="83"/>
      <c r="LKS49" s="83"/>
      <c r="LKT49" s="83"/>
      <c r="LKU49" s="83"/>
      <c r="LKV49" s="83"/>
      <c r="LKW49" s="83"/>
      <c r="LKX49" s="83"/>
      <c r="LKY49" s="83"/>
      <c r="LKZ49" s="83"/>
      <c r="LLA49" s="83"/>
      <c r="LLB49" s="83"/>
      <c r="LLC49" s="83"/>
      <c r="LLD49" s="83"/>
      <c r="LLE49" s="83"/>
      <c r="LLF49" s="83"/>
      <c r="LLG49" s="83"/>
      <c r="LLH49" s="83"/>
      <c r="LLI49" s="83"/>
      <c r="LLJ49" s="83"/>
      <c r="LLK49" s="83"/>
      <c r="LLL49" s="83"/>
      <c r="LLM49" s="83"/>
      <c r="LLN49" s="83"/>
      <c r="LLO49" s="83"/>
      <c r="LLP49" s="83"/>
      <c r="LLQ49" s="83"/>
      <c r="LLR49" s="83"/>
      <c r="LLS49" s="83"/>
      <c r="LLT49" s="83"/>
      <c r="LLU49" s="83"/>
      <c r="LLV49" s="83"/>
      <c r="LLW49" s="83"/>
      <c r="LLX49" s="83"/>
      <c r="LLY49" s="83"/>
      <c r="LLZ49" s="83"/>
      <c r="LMA49" s="83"/>
      <c r="LMB49" s="83"/>
      <c r="LMC49" s="83"/>
      <c r="LMD49" s="83"/>
      <c r="LME49" s="83"/>
      <c r="LMF49" s="83"/>
      <c r="LMG49" s="83"/>
      <c r="LMH49" s="83"/>
      <c r="LMI49" s="83"/>
      <c r="LMJ49" s="83"/>
      <c r="LMK49" s="83"/>
      <c r="LML49" s="83"/>
      <c r="LMM49" s="83"/>
      <c r="LMN49" s="83"/>
      <c r="LMO49" s="83"/>
      <c r="LMP49" s="83"/>
      <c r="LMQ49" s="83"/>
      <c r="LMR49" s="83"/>
      <c r="LMS49" s="83"/>
      <c r="LMT49" s="83"/>
      <c r="LMU49" s="83"/>
      <c r="LMV49" s="83"/>
      <c r="LMW49" s="83"/>
      <c r="LMX49" s="83"/>
      <c r="LMY49" s="83"/>
      <c r="LMZ49" s="83"/>
      <c r="LNA49" s="83"/>
      <c r="LNB49" s="83"/>
      <c r="LNC49" s="83"/>
      <c r="LND49" s="83"/>
      <c r="LNE49" s="83"/>
      <c r="LNF49" s="83"/>
      <c r="LNG49" s="83"/>
      <c r="LNH49" s="83"/>
      <c r="LNI49" s="83"/>
      <c r="LNJ49" s="83"/>
      <c r="LNK49" s="83"/>
      <c r="LNL49" s="83"/>
      <c r="LNM49" s="83"/>
      <c r="LNN49" s="83"/>
      <c r="LNO49" s="83"/>
      <c r="LNP49" s="83"/>
      <c r="LNQ49" s="83"/>
      <c r="LNR49" s="83"/>
      <c r="LNS49" s="83"/>
      <c r="LNT49" s="83"/>
      <c r="LNU49" s="83"/>
      <c r="LNV49" s="83"/>
      <c r="LNW49" s="83"/>
      <c r="LNX49" s="83"/>
      <c r="LNY49" s="83"/>
      <c r="LNZ49" s="83"/>
      <c r="LOA49" s="83"/>
      <c r="LOB49" s="83"/>
      <c r="LOC49" s="83"/>
      <c r="LOD49" s="83"/>
      <c r="LOE49" s="83"/>
      <c r="LOF49" s="83"/>
      <c r="LOG49" s="83"/>
      <c r="LOH49" s="83"/>
      <c r="LOI49" s="83"/>
      <c r="LOJ49" s="83"/>
      <c r="LOK49" s="83"/>
      <c r="LOL49" s="83"/>
      <c r="LOM49" s="83"/>
      <c r="LON49" s="83"/>
      <c r="LOO49" s="83"/>
      <c r="LOP49" s="83"/>
      <c r="LOQ49" s="83"/>
      <c r="LOR49" s="83"/>
      <c r="LOS49" s="83"/>
      <c r="LOT49" s="83"/>
      <c r="LOU49" s="83"/>
      <c r="LOV49" s="83"/>
      <c r="LOW49" s="83"/>
      <c r="LOX49" s="83"/>
      <c r="LOY49" s="83"/>
      <c r="LOZ49" s="83"/>
      <c r="LPA49" s="83"/>
      <c r="LPB49" s="83"/>
      <c r="LPC49" s="83"/>
      <c r="LPD49" s="83"/>
      <c r="LPE49" s="83"/>
      <c r="LPF49" s="83"/>
      <c r="LPG49" s="83"/>
      <c r="LPH49" s="83"/>
      <c r="LPI49" s="83"/>
      <c r="LPJ49" s="83"/>
      <c r="LPK49" s="83"/>
      <c r="LPL49" s="83"/>
      <c r="LPM49" s="83"/>
      <c r="LPN49" s="83"/>
      <c r="LPO49" s="83"/>
      <c r="LPP49" s="83"/>
      <c r="LPQ49" s="83"/>
      <c r="LPR49" s="83"/>
      <c r="LPS49" s="83"/>
      <c r="LPT49" s="83"/>
      <c r="LPU49" s="83"/>
      <c r="LPV49" s="83"/>
      <c r="LPW49" s="83"/>
      <c r="LPX49" s="83"/>
      <c r="LPY49" s="83"/>
      <c r="LPZ49" s="83"/>
      <c r="LQA49" s="83"/>
      <c r="LQB49" s="83"/>
      <c r="LQC49" s="83"/>
      <c r="LQD49" s="83"/>
      <c r="LQE49" s="83"/>
      <c r="LQF49" s="83"/>
      <c r="LQG49" s="83"/>
      <c r="LQH49" s="83"/>
      <c r="LQI49" s="83"/>
      <c r="LQJ49" s="83"/>
      <c r="LQK49" s="83"/>
      <c r="LQL49" s="83"/>
      <c r="LQM49" s="83"/>
      <c r="LQN49" s="83"/>
      <c r="LQO49" s="83"/>
      <c r="LQP49" s="83"/>
      <c r="LQQ49" s="83"/>
      <c r="LQR49" s="83"/>
      <c r="LQS49" s="83"/>
      <c r="LQT49" s="83"/>
      <c r="LQU49" s="83"/>
      <c r="LQV49" s="83"/>
      <c r="LQW49" s="83"/>
      <c r="LQX49" s="83"/>
      <c r="LQY49" s="83"/>
      <c r="LQZ49" s="83"/>
      <c r="LRA49" s="83"/>
      <c r="LRB49" s="83"/>
      <c r="LRC49" s="83"/>
      <c r="LRD49" s="83"/>
      <c r="LRE49" s="83"/>
      <c r="LRF49" s="83"/>
      <c r="LRG49" s="83"/>
      <c r="LRH49" s="83"/>
      <c r="LRI49" s="83"/>
      <c r="LRJ49" s="83"/>
      <c r="LRK49" s="83"/>
      <c r="LRL49" s="83"/>
      <c r="LRM49" s="83"/>
      <c r="LRN49" s="83"/>
      <c r="LRO49" s="83"/>
      <c r="LRP49" s="83"/>
      <c r="LRQ49" s="83"/>
      <c r="LRR49" s="83"/>
      <c r="LRS49" s="83"/>
      <c r="LRT49" s="83"/>
      <c r="LRU49" s="83"/>
      <c r="LRV49" s="83"/>
      <c r="LRW49" s="83"/>
      <c r="LRX49" s="83"/>
      <c r="LRY49" s="83"/>
      <c r="LRZ49" s="83"/>
      <c r="LSA49" s="83"/>
      <c r="LSB49" s="83"/>
      <c r="LSC49" s="83"/>
      <c r="LSD49" s="83"/>
      <c r="LSE49" s="83"/>
      <c r="LSF49" s="83"/>
      <c r="LSG49" s="83"/>
      <c r="LSH49" s="83"/>
      <c r="LSI49" s="83"/>
      <c r="LSJ49" s="83"/>
      <c r="LSK49" s="83"/>
      <c r="LSL49" s="83"/>
      <c r="LSM49" s="83"/>
      <c r="LSN49" s="83"/>
      <c r="LSO49" s="83"/>
      <c r="LSP49" s="83"/>
      <c r="LSQ49" s="83"/>
      <c r="LSR49" s="83"/>
      <c r="LSS49" s="83"/>
      <c r="LST49" s="83"/>
      <c r="LSU49" s="83"/>
      <c r="LSV49" s="83"/>
      <c r="LSW49" s="83"/>
      <c r="LSX49" s="83"/>
      <c r="LSY49" s="83"/>
      <c r="LSZ49" s="83"/>
      <c r="LTA49" s="83"/>
      <c r="LTB49" s="83"/>
      <c r="LTC49" s="83"/>
      <c r="LTD49" s="83"/>
      <c r="LTE49" s="83"/>
      <c r="LTF49" s="83"/>
      <c r="LTG49" s="83"/>
      <c r="LTH49" s="83"/>
      <c r="LTI49" s="83"/>
      <c r="LTJ49" s="83"/>
      <c r="LTK49" s="83"/>
      <c r="LTL49" s="83"/>
      <c r="LTM49" s="83"/>
      <c r="LTN49" s="83"/>
      <c r="LTO49" s="83"/>
      <c r="LTP49" s="83"/>
      <c r="LTQ49" s="83"/>
      <c r="LTR49" s="83"/>
      <c r="LTS49" s="83"/>
      <c r="LTT49" s="83"/>
      <c r="LTU49" s="83"/>
      <c r="LTV49" s="83"/>
      <c r="LTW49" s="83"/>
      <c r="LTX49" s="83"/>
      <c r="LTY49" s="83"/>
      <c r="LTZ49" s="83"/>
      <c r="LUA49" s="83"/>
      <c r="LUB49" s="83"/>
      <c r="LUC49" s="83"/>
      <c r="LUD49" s="83"/>
      <c r="LUE49" s="83"/>
      <c r="LUF49" s="83"/>
      <c r="LUG49" s="83"/>
      <c r="LUH49" s="83"/>
      <c r="LUI49" s="83"/>
      <c r="LUJ49" s="83"/>
      <c r="LUK49" s="83"/>
      <c r="LUL49" s="83"/>
      <c r="LUM49" s="83"/>
      <c r="LUN49" s="83"/>
      <c r="LUO49" s="83"/>
      <c r="LUP49" s="83"/>
      <c r="LUQ49" s="83"/>
      <c r="LUR49" s="83"/>
      <c r="LUS49" s="83"/>
      <c r="LUT49" s="83"/>
      <c r="LUU49" s="83"/>
      <c r="LUV49" s="83"/>
      <c r="LUW49" s="83"/>
      <c r="LUX49" s="83"/>
      <c r="LUY49" s="83"/>
      <c r="LUZ49" s="83"/>
      <c r="LVA49" s="83"/>
      <c r="LVB49" s="83"/>
      <c r="LVC49" s="83"/>
      <c r="LVD49" s="83"/>
      <c r="LVE49" s="83"/>
      <c r="LVF49" s="83"/>
      <c r="LVG49" s="83"/>
      <c r="LVH49" s="83"/>
      <c r="LVI49" s="83"/>
      <c r="LVJ49" s="83"/>
      <c r="LVK49" s="83"/>
      <c r="LVL49" s="83"/>
      <c r="LVM49" s="83"/>
      <c r="LVN49" s="83"/>
      <c r="LVO49" s="83"/>
      <c r="LVP49" s="83"/>
      <c r="LVQ49" s="83"/>
      <c r="LVR49" s="83"/>
      <c r="LVS49" s="83"/>
      <c r="LVT49" s="83"/>
      <c r="LVU49" s="83"/>
      <c r="LVV49" s="83"/>
      <c r="LVW49" s="83"/>
      <c r="LVX49" s="83"/>
      <c r="LVY49" s="83"/>
      <c r="LVZ49" s="83"/>
      <c r="LWA49" s="83"/>
      <c r="LWB49" s="83"/>
      <c r="LWC49" s="83"/>
      <c r="LWD49" s="83"/>
      <c r="LWE49" s="83"/>
      <c r="LWF49" s="83"/>
      <c r="LWG49" s="83"/>
      <c r="LWH49" s="83"/>
      <c r="LWI49" s="83"/>
      <c r="LWJ49" s="83"/>
      <c r="LWK49" s="83"/>
      <c r="LWL49" s="83"/>
      <c r="LWM49" s="83"/>
      <c r="LWN49" s="83"/>
      <c r="LWO49" s="83"/>
      <c r="LWP49" s="83"/>
      <c r="LWQ49" s="83"/>
      <c r="LWR49" s="83"/>
      <c r="LWS49" s="83"/>
      <c r="LWT49" s="83"/>
      <c r="LWU49" s="83"/>
      <c r="LWV49" s="83"/>
      <c r="LWW49" s="83"/>
      <c r="LWX49" s="83"/>
      <c r="LWY49" s="83"/>
      <c r="LWZ49" s="83"/>
      <c r="LXA49" s="83"/>
      <c r="LXB49" s="83"/>
      <c r="LXC49" s="83"/>
      <c r="LXD49" s="83"/>
      <c r="LXE49" s="83"/>
      <c r="LXF49" s="83"/>
      <c r="LXG49" s="83"/>
      <c r="LXH49" s="83"/>
      <c r="LXI49" s="83"/>
      <c r="LXJ49" s="83"/>
      <c r="LXK49" s="83"/>
      <c r="LXL49" s="83"/>
      <c r="LXM49" s="83"/>
      <c r="LXN49" s="83"/>
      <c r="LXO49" s="83"/>
      <c r="LXP49" s="83"/>
      <c r="LXQ49" s="83"/>
      <c r="LXR49" s="83"/>
      <c r="LXS49" s="83"/>
      <c r="LXT49" s="83"/>
      <c r="LXU49" s="83"/>
      <c r="LXV49" s="83"/>
      <c r="LXW49" s="83"/>
      <c r="LXX49" s="83"/>
      <c r="LXY49" s="83"/>
      <c r="LXZ49" s="83"/>
      <c r="LYA49" s="83"/>
      <c r="LYB49" s="83"/>
      <c r="LYC49" s="83"/>
      <c r="LYD49" s="83"/>
      <c r="LYE49" s="83"/>
      <c r="LYF49" s="83"/>
      <c r="LYG49" s="83"/>
      <c r="LYH49" s="83"/>
      <c r="LYI49" s="83"/>
      <c r="LYJ49" s="83"/>
      <c r="LYK49" s="83"/>
      <c r="LYL49" s="83"/>
      <c r="LYM49" s="83"/>
      <c r="LYN49" s="83"/>
      <c r="LYO49" s="83"/>
      <c r="LYP49" s="83"/>
      <c r="LYQ49" s="83"/>
      <c r="LYR49" s="83"/>
      <c r="LYS49" s="83"/>
      <c r="LYT49" s="83"/>
      <c r="LYU49" s="83"/>
      <c r="LYV49" s="83"/>
      <c r="LYW49" s="83"/>
      <c r="LYX49" s="83"/>
      <c r="LYY49" s="83"/>
      <c r="LYZ49" s="83"/>
      <c r="LZA49" s="83"/>
      <c r="LZB49" s="83"/>
      <c r="LZC49" s="83"/>
      <c r="LZD49" s="83"/>
      <c r="LZE49" s="83"/>
      <c r="LZF49" s="83"/>
      <c r="LZG49" s="83"/>
      <c r="LZH49" s="83"/>
      <c r="LZI49" s="83"/>
      <c r="LZJ49" s="83"/>
      <c r="LZK49" s="83"/>
      <c r="LZL49" s="83"/>
      <c r="LZM49" s="83"/>
      <c r="LZN49" s="83"/>
      <c r="LZO49" s="83"/>
      <c r="LZP49" s="83"/>
      <c r="LZQ49" s="83"/>
      <c r="LZR49" s="83"/>
      <c r="LZS49" s="83"/>
      <c r="LZT49" s="83"/>
      <c r="LZU49" s="83"/>
      <c r="LZV49" s="83"/>
      <c r="LZW49" s="83"/>
      <c r="LZX49" s="83"/>
      <c r="LZY49" s="83"/>
      <c r="LZZ49" s="83"/>
      <c r="MAA49" s="83"/>
      <c r="MAB49" s="83"/>
      <c r="MAC49" s="83"/>
      <c r="MAD49" s="83"/>
      <c r="MAE49" s="83"/>
      <c r="MAF49" s="83"/>
      <c r="MAG49" s="83"/>
      <c r="MAH49" s="83"/>
      <c r="MAI49" s="83"/>
      <c r="MAJ49" s="83"/>
      <c r="MAK49" s="83"/>
      <c r="MAL49" s="83"/>
      <c r="MAM49" s="83"/>
      <c r="MAN49" s="83"/>
      <c r="MAO49" s="83"/>
      <c r="MAP49" s="83"/>
      <c r="MAQ49" s="83"/>
      <c r="MAR49" s="83"/>
      <c r="MAS49" s="83"/>
      <c r="MAT49" s="83"/>
      <c r="MAU49" s="83"/>
      <c r="MAV49" s="83"/>
      <c r="MAW49" s="83"/>
      <c r="MAX49" s="83"/>
      <c r="MAY49" s="83"/>
      <c r="MAZ49" s="83"/>
      <c r="MBA49" s="83"/>
      <c r="MBB49" s="83"/>
      <c r="MBC49" s="83"/>
      <c r="MBD49" s="83"/>
      <c r="MBE49" s="83"/>
      <c r="MBF49" s="83"/>
      <c r="MBG49" s="83"/>
      <c r="MBH49" s="83"/>
      <c r="MBI49" s="83"/>
      <c r="MBJ49" s="83"/>
      <c r="MBK49" s="83"/>
      <c r="MBL49" s="83"/>
      <c r="MBM49" s="83"/>
      <c r="MBN49" s="83"/>
      <c r="MBO49" s="83"/>
      <c r="MBP49" s="83"/>
      <c r="MBQ49" s="83"/>
      <c r="MBR49" s="83"/>
      <c r="MBS49" s="83"/>
      <c r="MBT49" s="83"/>
      <c r="MBU49" s="83"/>
      <c r="MBV49" s="83"/>
      <c r="MBW49" s="83"/>
      <c r="MBX49" s="83"/>
      <c r="MBY49" s="83"/>
      <c r="MBZ49" s="83"/>
      <c r="MCA49" s="83"/>
      <c r="MCB49" s="83"/>
      <c r="MCC49" s="83"/>
      <c r="MCD49" s="83"/>
      <c r="MCE49" s="83"/>
      <c r="MCF49" s="83"/>
      <c r="MCG49" s="83"/>
      <c r="MCH49" s="83"/>
      <c r="MCI49" s="83"/>
      <c r="MCJ49" s="83"/>
      <c r="MCK49" s="83"/>
      <c r="MCL49" s="83"/>
      <c r="MCM49" s="83"/>
      <c r="MCN49" s="83"/>
      <c r="MCO49" s="83"/>
      <c r="MCP49" s="83"/>
      <c r="MCQ49" s="83"/>
      <c r="MCR49" s="83"/>
      <c r="MCS49" s="83"/>
      <c r="MCT49" s="83"/>
      <c r="MCU49" s="83"/>
      <c r="MCV49" s="83"/>
      <c r="MCW49" s="83"/>
      <c r="MCX49" s="83"/>
      <c r="MCY49" s="83"/>
      <c r="MCZ49" s="83"/>
      <c r="MDA49" s="83"/>
      <c r="MDB49" s="83"/>
      <c r="MDC49" s="83"/>
      <c r="MDD49" s="83"/>
      <c r="MDE49" s="83"/>
      <c r="MDF49" s="83"/>
      <c r="MDG49" s="83"/>
      <c r="MDH49" s="83"/>
      <c r="MDI49" s="83"/>
      <c r="MDJ49" s="83"/>
      <c r="MDK49" s="83"/>
      <c r="MDL49" s="83"/>
      <c r="MDM49" s="83"/>
      <c r="MDN49" s="83"/>
      <c r="MDO49" s="83"/>
      <c r="MDP49" s="83"/>
      <c r="MDQ49" s="83"/>
      <c r="MDR49" s="83"/>
      <c r="MDS49" s="83"/>
      <c r="MDT49" s="83"/>
      <c r="MDU49" s="83"/>
      <c r="MDV49" s="83"/>
      <c r="MDW49" s="83"/>
      <c r="MDX49" s="83"/>
      <c r="MDY49" s="83"/>
      <c r="MDZ49" s="83"/>
      <c r="MEA49" s="83"/>
      <c r="MEB49" s="83"/>
      <c r="MEC49" s="83"/>
      <c r="MED49" s="83"/>
      <c r="MEE49" s="83"/>
      <c r="MEF49" s="83"/>
      <c r="MEG49" s="83"/>
      <c r="MEH49" s="83"/>
      <c r="MEI49" s="83"/>
      <c r="MEJ49" s="83"/>
      <c r="MEK49" s="83"/>
      <c r="MEL49" s="83"/>
      <c r="MEM49" s="83"/>
      <c r="MEN49" s="83"/>
      <c r="MEO49" s="83"/>
      <c r="MEP49" s="83"/>
      <c r="MEQ49" s="83"/>
      <c r="MER49" s="83"/>
      <c r="MES49" s="83"/>
      <c r="MET49" s="83"/>
      <c r="MEU49" s="83"/>
      <c r="MEV49" s="83"/>
      <c r="MEW49" s="83"/>
      <c r="MEX49" s="83"/>
      <c r="MEY49" s="83"/>
      <c r="MEZ49" s="83"/>
      <c r="MFA49" s="83"/>
      <c r="MFB49" s="83"/>
      <c r="MFC49" s="83"/>
      <c r="MFD49" s="83"/>
      <c r="MFE49" s="83"/>
      <c r="MFF49" s="83"/>
      <c r="MFG49" s="83"/>
      <c r="MFH49" s="83"/>
      <c r="MFI49" s="83"/>
      <c r="MFJ49" s="83"/>
      <c r="MFK49" s="83"/>
      <c r="MFL49" s="83"/>
      <c r="MFM49" s="83"/>
      <c r="MFN49" s="83"/>
      <c r="MFO49" s="83"/>
      <c r="MFP49" s="83"/>
      <c r="MFQ49" s="83"/>
      <c r="MFR49" s="83"/>
      <c r="MFS49" s="83"/>
      <c r="MFT49" s="83"/>
      <c r="MFU49" s="83"/>
      <c r="MFV49" s="83"/>
      <c r="MFW49" s="83"/>
      <c r="MFX49" s="83"/>
      <c r="MFY49" s="83"/>
      <c r="MFZ49" s="83"/>
      <c r="MGA49" s="83"/>
      <c r="MGB49" s="83"/>
      <c r="MGC49" s="83"/>
      <c r="MGD49" s="83"/>
      <c r="MGE49" s="83"/>
      <c r="MGF49" s="83"/>
      <c r="MGG49" s="83"/>
      <c r="MGH49" s="83"/>
      <c r="MGI49" s="83"/>
      <c r="MGJ49" s="83"/>
      <c r="MGK49" s="83"/>
      <c r="MGL49" s="83"/>
      <c r="MGM49" s="83"/>
      <c r="MGN49" s="83"/>
      <c r="MGO49" s="83"/>
      <c r="MGP49" s="83"/>
      <c r="MGQ49" s="83"/>
      <c r="MGR49" s="83"/>
      <c r="MGS49" s="83"/>
      <c r="MGT49" s="83"/>
      <c r="MGU49" s="83"/>
      <c r="MGV49" s="83"/>
      <c r="MGW49" s="83"/>
      <c r="MGX49" s="83"/>
      <c r="MGY49" s="83"/>
      <c r="MGZ49" s="83"/>
      <c r="MHA49" s="83"/>
      <c r="MHB49" s="83"/>
      <c r="MHC49" s="83"/>
      <c r="MHD49" s="83"/>
      <c r="MHE49" s="83"/>
      <c r="MHF49" s="83"/>
      <c r="MHG49" s="83"/>
      <c r="MHH49" s="83"/>
      <c r="MHI49" s="83"/>
      <c r="MHJ49" s="83"/>
      <c r="MHK49" s="83"/>
      <c r="MHL49" s="83"/>
      <c r="MHM49" s="83"/>
      <c r="MHN49" s="83"/>
      <c r="MHO49" s="83"/>
      <c r="MHP49" s="83"/>
      <c r="MHQ49" s="83"/>
      <c r="MHR49" s="83"/>
      <c r="MHS49" s="83"/>
      <c r="MHT49" s="83"/>
      <c r="MHU49" s="83"/>
      <c r="MHV49" s="83"/>
      <c r="MHW49" s="83"/>
      <c r="MHX49" s="83"/>
      <c r="MHY49" s="83"/>
      <c r="MHZ49" s="83"/>
      <c r="MIA49" s="83"/>
      <c r="MIB49" s="83"/>
      <c r="MIC49" s="83"/>
      <c r="MID49" s="83"/>
      <c r="MIE49" s="83"/>
      <c r="MIF49" s="83"/>
      <c r="MIG49" s="83"/>
      <c r="MIH49" s="83"/>
      <c r="MII49" s="83"/>
      <c r="MIJ49" s="83"/>
      <c r="MIK49" s="83"/>
      <c r="MIL49" s="83"/>
      <c r="MIM49" s="83"/>
      <c r="MIN49" s="83"/>
      <c r="MIO49" s="83"/>
      <c r="MIP49" s="83"/>
      <c r="MIQ49" s="83"/>
      <c r="MIR49" s="83"/>
      <c r="MIS49" s="83"/>
      <c r="MIT49" s="83"/>
      <c r="MIU49" s="83"/>
      <c r="MIV49" s="83"/>
      <c r="MIW49" s="83"/>
      <c r="MIX49" s="83"/>
      <c r="MIY49" s="83"/>
      <c r="MIZ49" s="83"/>
      <c r="MJA49" s="83"/>
      <c r="MJB49" s="83"/>
      <c r="MJC49" s="83"/>
      <c r="MJD49" s="83"/>
      <c r="MJE49" s="83"/>
      <c r="MJF49" s="83"/>
      <c r="MJG49" s="83"/>
      <c r="MJH49" s="83"/>
      <c r="MJI49" s="83"/>
      <c r="MJJ49" s="83"/>
      <c r="MJK49" s="83"/>
      <c r="MJL49" s="83"/>
      <c r="MJM49" s="83"/>
      <c r="MJN49" s="83"/>
      <c r="MJO49" s="83"/>
      <c r="MJP49" s="83"/>
      <c r="MJQ49" s="83"/>
      <c r="MJR49" s="83"/>
      <c r="MJS49" s="83"/>
      <c r="MJT49" s="83"/>
      <c r="MJU49" s="83"/>
      <c r="MJV49" s="83"/>
      <c r="MJW49" s="83"/>
      <c r="MJX49" s="83"/>
      <c r="MJY49" s="83"/>
      <c r="MJZ49" s="83"/>
      <c r="MKA49" s="83"/>
      <c r="MKB49" s="83"/>
      <c r="MKC49" s="83"/>
      <c r="MKD49" s="83"/>
      <c r="MKE49" s="83"/>
      <c r="MKF49" s="83"/>
      <c r="MKG49" s="83"/>
      <c r="MKH49" s="83"/>
      <c r="MKI49" s="83"/>
      <c r="MKJ49" s="83"/>
      <c r="MKK49" s="83"/>
      <c r="MKL49" s="83"/>
      <c r="MKM49" s="83"/>
      <c r="MKN49" s="83"/>
      <c r="MKO49" s="83"/>
      <c r="MKP49" s="83"/>
      <c r="MKQ49" s="83"/>
      <c r="MKR49" s="83"/>
      <c r="MKS49" s="83"/>
      <c r="MKT49" s="83"/>
      <c r="MKU49" s="83"/>
      <c r="MKV49" s="83"/>
      <c r="MKW49" s="83"/>
      <c r="MKX49" s="83"/>
      <c r="MKY49" s="83"/>
      <c r="MKZ49" s="83"/>
      <c r="MLA49" s="83"/>
      <c r="MLB49" s="83"/>
      <c r="MLC49" s="83"/>
      <c r="MLD49" s="83"/>
      <c r="MLE49" s="83"/>
      <c r="MLF49" s="83"/>
      <c r="MLG49" s="83"/>
      <c r="MLH49" s="83"/>
      <c r="MLI49" s="83"/>
      <c r="MLJ49" s="83"/>
      <c r="MLK49" s="83"/>
      <c r="MLL49" s="83"/>
      <c r="MLM49" s="83"/>
      <c r="MLN49" s="83"/>
      <c r="MLO49" s="83"/>
      <c r="MLP49" s="83"/>
      <c r="MLQ49" s="83"/>
      <c r="MLR49" s="83"/>
      <c r="MLS49" s="83"/>
      <c r="MLT49" s="83"/>
      <c r="MLU49" s="83"/>
      <c r="MLV49" s="83"/>
      <c r="MLW49" s="83"/>
      <c r="MLX49" s="83"/>
      <c r="MLY49" s="83"/>
      <c r="MLZ49" s="83"/>
      <c r="MMA49" s="83"/>
      <c r="MMB49" s="83"/>
      <c r="MMC49" s="83"/>
      <c r="MMD49" s="83"/>
      <c r="MME49" s="83"/>
      <c r="MMF49" s="83"/>
      <c r="MMG49" s="83"/>
      <c r="MMH49" s="83"/>
      <c r="MMI49" s="83"/>
      <c r="MMJ49" s="83"/>
      <c r="MMK49" s="83"/>
      <c r="MML49" s="83"/>
      <c r="MMM49" s="83"/>
      <c r="MMN49" s="83"/>
      <c r="MMO49" s="83"/>
      <c r="MMP49" s="83"/>
      <c r="MMQ49" s="83"/>
      <c r="MMR49" s="83"/>
      <c r="MMS49" s="83"/>
      <c r="MMT49" s="83"/>
      <c r="MMU49" s="83"/>
      <c r="MMV49" s="83"/>
      <c r="MMW49" s="83"/>
      <c r="MMX49" s="83"/>
      <c r="MMY49" s="83"/>
      <c r="MMZ49" s="83"/>
      <c r="MNA49" s="83"/>
      <c r="MNB49" s="83"/>
      <c r="MNC49" s="83"/>
      <c r="MND49" s="83"/>
      <c r="MNE49" s="83"/>
      <c r="MNF49" s="83"/>
      <c r="MNG49" s="83"/>
      <c r="MNH49" s="83"/>
      <c r="MNI49" s="83"/>
      <c r="MNJ49" s="83"/>
      <c r="MNK49" s="83"/>
      <c r="MNL49" s="83"/>
      <c r="MNM49" s="83"/>
      <c r="MNN49" s="83"/>
      <c r="MNO49" s="83"/>
      <c r="MNP49" s="83"/>
      <c r="MNQ49" s="83"/>
      <c r="MNR49" s="83"/>
      <c r="MNS49" s="83"/>
      <c r="MNT49" s="83"/>
      <c r="MNU49" s="83"/>
      <c r="MNV49" s="83"/>
      <c r="MNW49" s="83"/>
      <c r="MNX49" s="83"/>
      <c r="MNY49" s="83"/>
      <c r="MNZ49" s="83"/>
      <c r="MOA49" s="83"/>
      <c r="MOB49" s="83"/>
      <c r="MOC49" s="83"/>
      <c r="MOD49" s="83"/>
      <c r="MOE49" s="83"/>
      <c r="MOF49" s="83"/>
      <c r="MOG49" s="83"/>
      <c r="MOH49" s="83"/>
      <c r="MOI49" s="83"/>
      <c r="MOJ49" s="83"/>
      <c r="MOK49" s="83"/>
      <c r="MOL49" s="83"/>
      <c r="MOM49" s="83"/>
      <c r="MON49" s="83"/>
      <c r="MOO49" s="83"/>
      <c r="MOP49" s="83"/>
      <c r="MOQ49" s="83"/>
      <c r="MOR49" s="83"/>
      <c r="MOS49" s="83"/>
      <c r="MOT49" s="83"/>
      <c r="MOU49" s="83"/>
      <c r="MOV49" s="83"/>
      <c r="MOW49" s="83"/>
      <c r="MOX49" s="83"/>
      <c r="MOY49" s="83"/>
      <c r="MOZ49" s="83"/>
      <c r="MPA49" s="83"/>
      <c r="MPB49" s="83"/>
      <c r="MPC49" s="83"/>
      <c r="MPD49" s="83"/>
      <c r="MPE49" s="83"/>
      <c r="MPF49" s="83"/>
      <c r="MPG49" s="83"/>
      <c r="MPH49" s="83"/>
      <c r="MPI49" s="83"/>
      <c r="MPJ49" s="83"/>
      <c r="MPK49" s="83"/>
      <c r="MPL49" s="83"/>
      <c r="MPM49" s="83"/>
      <c r="MPN49" s="83"/>
      <c r="MPO49" s="83"/>
      <c r="MPP49" s="83"/>
      <c r="MPQ49" s="83"/>
      <c r="MPR49" s="83"/>
      <c r="MPS49" s="83"/>
      <c r="MPT49" s="83"/>
      <c r="MPU49" s="83"/>
      <c r="MPV49" s="83"/>
      <c r="MPW49" s="83"/>
      <c r="MPX49" s="83"/>
      <c r="MPY49" s="83"/>
      <c r="MPZ49" s="83"/>
      <c r="MQA49" s="83"/>
      <c r="MQB49" s="83"/>
      <c r="MQC49" s="83"/>
      <c r="MQD49" s="83"/>
      <c r="MQE49" s="83"/>
      <c r="MQF49" s="83"/>
      <c r="MQG49" s="83"/>
      <c r="MQH49" s="83"/>
      <c r="MQI49" s="83"/>
      <c r="MQJ49" s="83"/>
      <c r="MQK49" s="83"/>
      <c r="MQL49" s="83"/>
      <c r="MQM49" s="83"/>
      <c r="MQN49" s="83"/>
      <c r="MQO49" s="83"/>
      <c r="MQP49" s="83"/>
      <c r="MQQ49" s="83"/>
      <c r="MQR49" s="83"/>
      <c r="MQS49" s="83"/>
      <c r="MQT49" s="83"/>
      <c r="MQU49" s="83"/>
      <c r="MQV49" s="83"/>
      <c r="MQW49" s="83"/>
      <c r="MQX49" s="83"/>
      <c r="MQY49" s="83"/>
      <c r="MQZ49" s="83"/>
      <c r="MRA49" s="83"/>
      <c r="MRB49" s="83"/>
      <c r="MRC49" s="83"/>
      <c r="MRD49" s="83"/>
      <c r="MRE49" s="83"/>
      <c r="MRF49" s="83"/>
      <c r="MRG49" s="83"/>
      <c r="MRH49" s="83"/>
      <c r="MRI49" s="83"/>
      <c r="MRJ49" s="83"/>
      <c r="MRK49" s="83"/>
      <c r="MRL49" s="83"/>
      <c r="MRM49" s="83"/>
      <c r="MRN49" s="83"/>
      <c r="MRO49" s="83"/>
      <c r="MRP49" s="83"/>
      <c r="MRQ49" s="83"/>
      <c r="MRR49" s="83"/>
      <c r="MRS49" s="83"/>
      <c r="MRT49" s="83"/>
      <c r="MRU49" s="83"/>
      <c r="MRV49" s="83"/>
      <c r="MRW49" s="83"/>
      <c r="MRX49" s="83"/>
      <c r="MRY49" s="83"/>
      <c r="MRZ49" s="83"/>
      <c r="MSA49" s="83"/>
      <c r="MSB49" s="83"/>
      <c r="MSC49" s="83"/>
      <c r="MSD49" s="83"/>
      <c r="MSE49" s="83"/>
      <c r="MSF49" s="83"/>
      <c r="MSG49" s="83"/>
      <c r="MSH49" s="83"/>
      <c r="MSI49" s="83"/>
      <c r="MSJ49" s="83"/>
      <c r="MSK49" s="83"/>
      <c r="MSL49" s="83"/>
      <c r="MSM49" s="83"/>
      <c r="MSN49" s="83"/>
      <c r="MSO49" s="83"/>
      <c r="MSP49" s="83"/>
      <c r="MSQ49" s="83"/>
      <c r="MSR49" s="83"/>
      <c r="MSS49" s="83"/>
      <c r="MST49" s="83"/>
      <c r="MSU49" s="83"/>
      <c r="MSV49" s="83"/>
      <c r="MSW49" s="83"/>
      <c r="MSX49" s="83"/>
      <c r="MSY49" s="83"/>
      <c r="MSZ49" s="83"/>
      <c r="MTA49" s="83"/>
      <c r="MTB49" s="83"/>
      <c r="MTC49" s="83"/>
      <c r="MTD49" s="83"/>
      <c r="MTE49" s="83"/>
      <c r="MTF49" s="83"/>
      <c r="MTG49" s="83"/>
      <c r="MTH49" s="83"/>
      <c r="MTI49" s="83"/>
      <c r="MTJ49" s="83"/>
      <c r="MTK49" s="83"/>
      <c r="MTL49" s="83"/>
      <c r="MTM49" s="83"/>
      <c r="MTN49" s="83"/>
      <c r="MTO49" s="83"/>
      <c r="MTP49" s="83"/>
      <c r="MTQ49" s="83"/>
      <c r="MTR49" s="83"/>
      <c r="MTS49" s="83"/>
      <c r="MTT49" s="83"/>
      <c r="MTU49" s="83"/>
      <c r="MTV49" s="83"/>
      <c r="MTW49" s="83"/>
      <c r="MTX49" s="83"/>
      <c r="MTY49" s="83"/>
      <c r="MTZ49" s="83"/>
      <c r="MUA49" s="83"/>
      <c r="MUB49" s="83"/>
      <c r="MUC49" s="83"/>
      <c r="MUD49" s="83"/>
      <c r="MUE49" s="83"/>
      <c r="MUF49" s="83"/>
      <c r="MUG49" s="83"/>
      <c r="MUH49" s="83"/>
      <c r="MUI49" s="83"/>
      <c r="MUJ49" s="83"/>
      <c r="MUK49" s="83"/>
      <c r="MUL49" s="83"/>
      <c r="MUM49" s="83"/>
      <c r="MUN49" s="83"/>
      <c r="MUO49" s="83"/>
      <c r="MUP49" s="83"/>
      <c r="MUQ49" s="83"/>
      <c r="MUR49" s="83"/>
      <c r="MUS49" s="83"/>
      <c r="MUT49" s="83"/>
      <c r="MUU49" s="83"/>
      <c r="MUV49" s="83"/>
      <c r="MUW49" s="83"/>
      <c r="MUX49" s="83"/>
      <c r="MUY49" s="83"/>
      <c r="MUZ49" s="83"/>
      <c r="MVA49" s="83"/>
      <c r="MVB49" s="83"/>
      <c r="MVC49" s="83"/>
      <c r="MVD49" s="83"/>
      <c r="MVE49" s="83"/>
      <c r="MVF49" s="83"/>
      <c r="MVG49" s="83"/>
      <c r="MVH49" s="83"/>
      <c r="MVI49" s="83"/>
      <c r="MVJ49" s="83"/>
      <c r="MVK49" s="83"/>
      <c r="MVL49" s="83"/>
      <c r="MVM49" s="83"/>
      <c r="MVN49" s="83"/>
      <c r="MVO49" s="83"/>
      <c r="MVP49" s="83"/>
      <c r="MVQ49" s="83"/>
      <c r="MVR49" s="83"/>
      <c r="MVS49" s="83"/>
      <c r="MVT49" s="83"/>
      <c r="MVU49" s="83"/>
      <c r="MVV49" s="83"/>
      <c r="MVW49" s="83"/>
      <c r="MVX49" s="83"/>
      <c r="MVY49" s="83"/>
      <c r="MVZ49" s="83"/>
      <c r="MWA49" s="83"/>
      <c r="MWB49" s="83"/>
      <c r="MWC49" s="83"/>
      <c r="MWD49" s="83"/>
      <c r="MWE49" s="83"/>
      <c r="MWF49" s="83"/>
      <c r="MWG49" s="83"/>
      <c r="MWH49" s="83"/>
      <c r="MWI49" s="83"/>
      <c r="MWJ49" s="83"/>
      <c r="MWK49" s="83"/>
      <c r="MWL49" s="83"/>
      <c r="MWM49" s="83"/>
      <c r="MWN49" s="83"/>
      <c r="MWO49" s="83"/>
      <c r="MWP49" s="83"/>
      <c r="MWQ49" s="83"/>
      <c r="MWR49" s="83"/>
      <c r="MWS49" s="83"/>
      <c r="MWT49" s="83"/>
      <c r="MWU49" s="83"/>
      <c r="MWV49" s="83"/>
      <c r="MWW49" s="83"/>
      <c r="MWX49" s="83"/>
      <c r="MWY49" s="83"/>
      <c r="MWZ49" s="83"/>
      <c r="MXA49" s="83"/>
      <c r="MXB49" s="83"/>
      <c r="MXC49" s="83"/>
      <c r="MXD49" s="83"/>
      <c r="MXE49" s="83"/>
      <c r="MXF49" s="83"/>
      <c r="MXG49" s="83"/>
      <c r="MXH49" s="83"/>
      <c r="MXI49" s="83"/>
      <c r="MXJ49" s="83"/>
      <c r="MXK49" s="83"/>
      <c r="MXL49" s="83"/>
      <c r="MXM49" s="83"/>
      <c r="MXN49" s="83"/>
      <c r="MXO49" s="83"/>
      <c r="MXP49" s="83"/>
      <c r="MXQ49" s="83"/>
      <c r="MXR49" s="83"/>
      <c r="MXS49" s="83"/>
      <c r="MXT49" s="83"/>
      <c r="MXU49" s="83"/>
      <c r="MXV49" s="83"/>
      <c r="MXW49" s="83"/>
      <c r="MXX49" s="83"/>
      <c r="MXY49" s="83"/>
      <c r="MXZ49" s="83"/>
      <c r="MYA49" s="83"/>
      <c r="MYB49" s="83"/>
      <c r="MYC49" s="83"/>
      <c r="MYD49" s="83"/>
      <c r="MYE49" s="83"/>
      <c r="MYF49" s="83"/>
      <c r="MYG49" s="83"/>
      <c r="MYH49" s="83"/>
      <c r="MYI49" s="83"/>
      <c r="MYJ49" s="83"/>
      <c r="MYK49" s="83"/>
      <c r="MYL49" s="83"/>
      <c r="MYM49" s="83"/>
      <c r="MYN49" s="83"/>
      <c r="MYO49" s="83"/>
      <c r="MYP49" s="83"/>
      <c r="MYQ49" s="83"/>
      <c r="MYR49" s="83"/>
      <c r="MYS49" s="83"/>
      <c r="MYT49" s="83"/>
      <c r="MYU49" s="83"/>
      <c r="MYV49" s="83"/>
      <c r="MYW49" s="83"/>
      <c r="MYX49" s="83"/>
      <c r="MYY49" s="83"/>
      <c r="MYZ49" s="83"/>
      <c r="MZA49" s="83"/>
      <c r="MZB49" s="83"/>
      <c r="MZC49" s="83"/>
      <c r="MZD49" s="83"/>
      <c r="MZE49" s="83"/>
      <c r="MZF49" s="83"/>
      <c r="MZG49" s="83"/>
      <c r="MZH49" s="83"/>
      <c r="MZI49" s="83"/>
      <c r="MZJ49" s="83"/>
      <c r="MZK49" s="83"/>
      <c r="MZL49" s="83"/>
      <c r="MZM49" s="83"/>
      <c r="MZN49" s="83"/>
      <c r="MZO49" s="83"/>
      <c r="MZP49" s="83"/>
      <c r="MZQ49" s="83"/>
      <c r="MZR49" s="83"/>
      <c r="MZS49" s="83"/>
      <c r="MZT49" s="83"/>
      <c r="MZU49" s="83"/>
      <c r="MZV49" s="83"/>
      <c r="MZW49" s="83"/>
      <c r="MZX49" s="83"/>
      <c r="MZY49" s="83"/>
      <c r="MZZ49" s="83"/>
      <c r="NAA49" s="83"/>
      <c r="NAB49" s="83"/>
      <c r="NAC49" s="83"/>
      <c r="NAD49" s="83"/>
      <c r="NAE49" s="83"/>
      <c r="NAF49" s="83"/>
      <c r="NAG49" s="83"/>
      <c r="NAH49" s="83"/>
      <c r="NAI49" s="83"/>
      <c r="NAJ49" s="83"/>
      <c r="NAK49" s="83"/>
      <c r="NAL49" s="83"/>
      <c r="NAM49" s="83"/>
      <c r="NAN49" s="83"/>
      <c r="NAO49" s="83"/>
      <c r="NAP49" s="83"/>
      <c r="NAQ49" s="83"/>
      <c r="NAR49" s="83"/>
      <c r="NAS49" s="83"/>
      <c r="NAT49" s="83"/>
      <c r="NAU49" s="83"/>
      <c r="NAV49" s="83"/>
      <c r="NAW49" s="83"/>
      <c r="NAX49" s="83"/>
      <c r="NAY49" s="83"/>
      <c r="NAZ49" s="83"/>
      <c r="NBA49" s="83"/>
      <c r="NBB49" s="83"/>
      <c r="NBC49" s="83"/>
      <c r="NBD49" s="83"/>
      <c r="NBE49" s="83"/>
      <c r="NBF49" s="83"/>
      <c r="NBG49" s="83"/>
      <c r="NBH49" s="83"/>
      <c r="NBI49" s="83"/>
      <c r="NBJ49" s="83"/>
      <c r="NBK49" s="83"/>
      <c r="NBL49" s="83"/>
      <c r="NBM49" s="83"/>
      <c r="NBN49" s="83"/>
      <c r="NBO49" s="83"/>
      <c r="NBP49" s="83"/>
      <c r="NBQ49" s="83"/>
      <c r="NBR49" s="83"/>
      <c r="NBS49" s="83"/>
      <c r="NBT49" s="83"/>
      <c r="NBU49" s="83"/>
      <c r="NBV49" s="83"/>
      <c r="NBW49" s="83"/>
      <c r="NBX49" s="83"/>
      <c r="NBY49" s="83"/>
      <c r="NBZ49" s="83"/>
      <c r="NCA49" s="83"/>
      <c r="NCB49" s="83"/>
      <c r="NCC49" s="83"/>
      <c r="NCD49" s="83"/>
      <c r="NCE49" s="83"/>
      <c r="NCF49" s="83"/>
      <c r="NCG49" s="83"/>
      <c r="NCH49" s="83"/>
      <c r="NCI49" s="83"/>
      <c r="NCJ49" s="83"/>
      <c r="NCK49" s="83"/>
      <c r="NCL49" s="83"/>
      <c r="NCM49" s="83"/>
      <c r="NCN49" s="83"/>
      <c r="NCO49" s="83"/>
      <c r="NCP49" s="83"/>
      <c r="NCQ49" s="83"/>
      <c r="NCR49" s="83"/>
      <c r="NCS49" s="83"/>
      <c r="NCT49" s="83"/>
      <c r="NCU49" s="83"/>
      <c r="NCV49" s="83"/>
      <c r="NCW49" s="83"/>
      <c r="NCX49" s="83"/>
      <c r="NCY49" s="83"/>
      <c r="NCZ49" s="83"/>
      <c r="NDA49" s="83"/>
      <c r="NDB49" s="83"/>
      <c r="NDC49" s="83"/>
      <c r="NDD49" s="83"/>
      <c r="NDE49" s="83"/>
      <c r="NDF49" s="83"/>
      <c r="NDG49" s="83"/>
      <c r="NDH49" s="83"/>
      <c r="NDI49" s="83"/>
      <c r="NDJ49" s="83"/>
      <c r="NDK49" s="83"/>
      <c r="NDL49" s="83"/>
      <c r="NDM49" s="83"/>
      <c r="NDN49" s="83"/>
      <c r="NDO49" s="83"/>
      <c r="NDP49" s="83"/>
      <c r="NDQ49" s="83"/>
      <c r="NDR49" s="83"/>
      <c r="NDS49" s="83"/>
      <c r="NDT49" s="83"/>
      <c r="NDU49" s="83"/>
      <c r="NDV49" s="83"/>
      <c r="NDW49" s="83"/>
      <c r="NDX49" s="83"/>
      <c r="NDY49" s="83"/>
      <c r="NDZ49" s="83"/>
      <c r="NEA49" s="83"/>
      <c r="NEB49" s="83"/>
      <c r="NEC49" s="83"/>
      <c r="NED49" s="83"/>
      <c r="NEE49" s="83"/>
      <c r="NEF49" s="83"/>
      <c r="NEG49" s="83"/>
      <c r="NEH49" s="83"/>
      <c r="NEI49" s="83"/>
      <c r="NEJ49" s="83"/>
      <c r="NEK49" s="83"/>
      <c r="NEL49" s="83"/>
      <c r="NEM49" s="83"/>
      <c r="NEN49" s="83"/>
      <c r="NEO49" s="83"/>
      <c r="NEP49" s="83"/>
      <c r="NEQ49" s="83"/>
      <c r="NER49" s="83"/>
      <c r="NES49" s="83"/>
      <c r="NET49" s="83"/>
      <c r="NEU49" s="83"/>
      <c r="NEV49" s="83"/>
      <c r="NEW49" s="83"/>
      <c r="NEX49" s="83"/>
      <c r="NEY49" s="83"/>
      <c r="NEZ49" s="83"/>
      <c r="NFA49" s="83"/>
      <c r="NFB49" s="83"/>
      <c r="NFC49" s="83"/>
      <c r="NFD49" s="83"/>
      <c r="NFE49" s="83"/>
      <c r="NFF49" s="83"/>
      <c r="NFG49" s="83"/>
      <c r="NFH49" s="83"/>
      <c r="NFI49" s="83"/>
      <c r="NFJ49" s="83"/>
      <c r="NFK49" s="83"/>
      <c r="NFL49" s="83"/>
      <c r="NFM49" s="83"/>
      <c r="NFN49" s="83"/>
      <c r="NFO49" s="83"/>
      <c r="NFP49" s="83"/>
      <c r="NFQ49" s="83"/>
      <c r="NFR49" s="83"/>
      <c r="NFS49" s="83"/>
      <c r="NFT49" s="83"/>
      <c r="NFU49" s="83"/>
      <c r="NFV49" s="83"/>
      <c r="NFW49" s="83"/>
      <c r="NFX49" s="83"/>
      <c r="NFY49" s="83"/>
      <c r="NFZ49" s="83"/>
      <c r="NGA49" s="83"/>
      <c r="NGB49" s="83"/>
      <c r="NGC49" s="83"/>
      <c r="NGD49" s="83"/>
      <c r="NGE49" s="83"/>
      <c r="NGF49" s="83"/>
      <c r="NGG49" s="83"/>
      <c r="NGH49" s="83"/>
      <c r="NGI49" s="83"/>
      <c r="NGJ49" s="83"/>
      <c r="NGK49" s="83"/>
      <c r="NGL49" s="83"/>
      <c r="NGM49" s="83"/>
      <c r="NGN49" s="83"/>
      <c r="NGO49" s="83"/>
      <c r="NGP49" s="83"/>
      <c r="NGQ49" s="83"/>
      <c r="NGR49" s="83"/>
      <c r="NGS49" s="83"/>
      <c r="NGT49" s="83"/>
      <c r="NGU49" s="83"/>
      <c r="NGV49" s="83"/>
      <c r="NGW49" s="83"/>
      <c r="NGX49" s="83"/>
      <c r="NGY49" s="83"/>
      <c r="NGZ49" s="83"/>
      <c r="NHA49" s="83"/>
      <c r="NHB49" s="83"/>
      <c r="NHC49" s="83"/>
      <c r="NHD49" s="83"/>
      <c r="NHE49" s="83"/>
      <c r="NHF49" s="83"/>
      <c r="NHG49" s="83"/>
      <c r="NHH49" s="83"/>
      <c r="NHI49" s="83"/>
      <c r="NHJ49" s="83"/>
      <c r="NHK49" s="83"/>
      <c r="NHL49" s="83"/>
      <c r="NHM49" s="83"/>
      <c r="NHN49" s="83"/>
      <c r="NHO49" s="83"/>
      <c r="NHP49" s="83"/>
      <c r="NHQ49" s="83"/>
      <c r="NHR49" s="83"/>
      <c r="NHS49" s="83"/>
      <c r="NHT49" s="83"/>
      <c r="NHU49" s="83"/>
      <c r="NHV49" s="83"/>
      <c r="NHW49" s="83"/>
      <c r="NHX49" s="83"/>
      <c r="NHY49" s="83"/>
      <c r="NHZ49" s="83"/>
      <c r="NIA49" s="83"/>
      <c r="NIB49" s="83"/>
      <c r="NIC49" s="83"/>
      <c r="NID49" s="83"/>
      <c r="NIE49" s="83"/>
      <c r="NIF49" s="83"/>
      <c r="NIG49" s="83"/>
      <c r="NIH49" s="83"/>
      <c r="NII49" s="83"/>
      <c r="NIJ49" s="83"/>
      <c r="NIK49" s="83"/>
      <c r="NIL49" s="83"/>
      <c r="NIM49" s="83"/>
      <c r="NIN49" s="83"/>
      <c r="NIO49" s="83"/>
      <c r="NIP49" s="83"/>
      <c r="NIQ49" s="83"/>
      <c r="NIR49" s="83"/>
      <c r="NIS49" s="83"/>
      <c r="NIT49" s="83"/>
      <c r="NIU49" s="83"/>
      <c r="NIV49" s="83"/>
      <c r="NIW49" s="83"/>
      <c r="NIX49" s="83"/>
      <c r="NIY49" s="83"/>
      <c r="NIZ49" s="83"/>
      <c r="NJA49" s="83"/>
      <c r="NJB49" s="83"/>
      <c r="NJC49" s="83"/>
      <c r="NJD49" s="83"/>
      <c r="NJE49" s="83"/>
      <c r="NJF49" s="83"/>
      <c r="NJG49" s="83"/>
      <c r="NJH49" s="83"/>
      <c r="NJI49" s="83"/>
      <c r="NJJ49" s="83"/>
      <c r="NJK49" s="83"/>
      <c r="NJL49" s="83"/>
      <c r="NJM49" s="83"/>
      <c r="NJN49" s="83"/>
      <c r="NJO49" s="83"/>
      <c r="NJP49" s="83"/>
      <c r="NJQ49" s="83"/>
      <c r="NJR49" s="83"/>
      <c r="NJS49" s="83"/>
      <c r="NJT49" s="83"/>
      <c r="NJU49" s="83"/>
      <c r="NJV49" s="83"/>
      <c r="NJW49" s="83"/>
      <c r="NJX49" s="83"/>
      <c r="NJY49" s="83"/>
      <c r="NJZ49" s="83"/>
      <c r="NKA49" s="83"/>
      <c r="NKB49" s="83"/>
      <c r="NKC49" s="83"/>
      <c r="NKD49" s="83"/>
      <c r="NKE49" s="83"/>
      <c r="NKF49" s="83"/>
      <c r="NKG49" s="83"/>
      <c r="NKH49" s="83"/>
      <c r="NKI49" s="83"/>
      <c r="NKJ49" s="83"/>
      <c r="NKK49" s="83"/>
      <c r="NKL49" s="83"/>
      <c r="NKM49" s="83"/>
      <c r="NKN49" s="83"/>
      <c r="NKO49" s="83"/>
      <c r="NKP49" s="83"/>
      <c r="NKQ49" s="83"/>
      <c r="NKR49" s="83"/>
      <c r="NKS49" s="83"/>
      <c r="NKT49" s="83"/>
      <c r="NKU49" s="83"/>
      <c r="NKV49" s="83"/>
      <c r="NKW49" s="83"/>
      <c r="NKX49" s="83"/>
      <c r="NKY49" s="83"/>
      <c r="NKZ49" s="83"/>
      <c r="NLA49" s="83"/>
      <c r="NLB49" s="83"/>
      <c r="NLC49" s="83"/>
      <c r="NLD49" s="83"/>
      <c r="NLE49" s="83"/>
      <c r="NLF49" s="83"/>
      <c r="NLG49" s="83"/>
      <c r="NLH49" s="83"/>
      <c r="NLI49" s="83"/>
      <c r="NLJ49" s="83"/>
      <c r="NLK49" s="83"/>
      <c r="NLL49" s="83"/>
      <c r="NLM49" s="83"/>
      <c r="NLN49" s="83"/>
      <c r="NLO49" s="83"/>
      <c r="NLP49" s="83"/>
      <c r="NLQ49" s="83"/>
      <c r="NLR49" s="83"/>
      <c r="NLS49" s="83"/>
      <c r="NLT49" s="83"/>
      <c r="NLU49" s="83"/>
      <c r="NLV49" s="83"/>
      <c r="NLW49" s="83"/>
      <c r="NLX49" s="83"/>
      <c r="NLY49" s="83"/>
      <c r="NLZ49" s="83"/>
      <c r="NMA49" s="83"/>
      <c r="NMB49" s="83"/>
      <c r="NMC49" s="83"/>
      <c r="NMD49" s="83"/>
      <c r="NME49" s="83"/>
      <c r="NMF49" s="83"/>
      <c r="NMG49" s="83"/>
      <c r="NMH49" s="83"/>
      <c r="NMI49" s="83"/>
      <c r="NMJ49" s="83"/>
      <c r="NMK49" s="83"/>
      <c r="NML49" s="83"/>
      <c r="NMM49" s="83"/>
      <c r="NMN49" s="83"/>
      <c r="NMO49" s="83"/>
      <c r="NMP49" s="83"/>
      <c r="NMQ49" s="83"/>
      <c r="NMR49" s="83"/>
      <c r="NMS49" s="83"/>
      <c r="NMT49" s="83"/>
      <c r="NMU49" s="83"/>
      <c r="NMV49" s="83"/>
      <c r="NMW49" s="83"/>
      <c r="NMX49" s="83"/>
      <c r="NMY49" s="83"/>
      <c r="NMZ49" s="83"/>
      <c r="NNA49" s="83"/>
      <c r="NNB49" s="83"/>
      <c r="NNC49" s="83"/>
      <c r="NND49" s="83"/>
      <c r="NNE49" s="83"/>
      <c r="NNF49" s="83"/>
      <c r="NNG49" s="83"/>
      <c r="NNH49" s="83"/>
      <c r="NNI49" s="83"/>
      <c r="NNJ49" s="83"/>
      <c r="NNK49" s="83"/>
      <c r="NNL49" s="83"/>
      <c r="NNM49" s="83"/>
      <c r="NNN49" s="83"/>
      <c r="NNO49" s="83"/>
      <c r="NNP49" s="83"/>
      <c r="NNQ49" s="83"/>
      <c r="NNR49" s="83"/>
      <c r="NNS49" s="83"/>
      <c r="NNT49" s="83"/>
      <c r="NNU49" s="83"/>
      <c r="NNV49" s="83"/>
      <c r="NNW49" s="83"/>
      <c r="NNX49" s="83"/>
      <c r="NNY49" s="83"/>
      <c r="NNZ49" s="83"/>
      <c r="NOA49" s="83"/>
      <c r="NOB49" s="83"/>
      <c r="NOC49" s="83"/>
      <c r="NOD49" s="83"/>
      <c r="NOE49" s="83"/>
      <c r="NOF49" s="83"/>
      <c r="NOG49" s="83"/>
      <c r="NOH49" s="83"/>
      <c r="NOI49" s="83"/>
      <c r="NOJ49" s="83"/>
      <c r="NOK49" s="83"/>
      <c r="NOL49" s="83"/>
      <c r="NOM49" s="83"/>
      <c r="NON49" s="83"/>
      <c r="NOO49" s="83"/>
      <c r="NOP49" s="83"/>
      <c r="NOQ49" s="83"/>
      <c r="NOR49" s="83"/>
      <c r="NOS49" s="83"/>
      <c r="NOT49" s="83"/>
      <c r="NOU49" s="83"/>
      <c r="NOV49" s="83"/>
      <c r="NOW49" s="83"/>
      <c r="NOX49" s="83"/>
      <c r="NOY49" s="83"/>
      <c r="NOZ49" s="83"/>
      <c r="NPA49" s="83"/>
      <c r="NPB49" s="83"/>
      <c r="NPC49" s="83"/>
      <c r="NPD49" s="83"/>
      <c r="NPE49" s="83"/>
      <c r="NPF49" s="83"/>
      <c r="NPG49" s="83"/>
      <c r="NPH49" s="83"/>
      <c r="NPI49" s="83"/>
      <c r="NPJ49" s="83"/>
      <c r="NPK49" s="83"/>
      <c r="NPL49" s="83"/>
      <c r="NPM49" s="83"/>
      <c r="NPN49" s="83"/>
      <c r="NPO49" s="83"/>
      <c r="NPP49" s="83"/>
      <c r="NPQ49" s="83"/>
      <c r="NPR49" s="83"/>
      <c r="NPS49" s="83"/>
      <c r="NPT49" s="83"/>
      <c r="NPU49" s="83"/>
      <c r="NPV49" s="83"/>
      <c r="NPW49" s="83"/>
      <c r="NPX49" s="83"/>
      <c r="NPY49" s="83"/>
      <c r="NPZ49" s="83"/>
      <c r="NQA49" s="83"/>
      <c r="NQB49" s="83"/>
      <c r="NQC49" s="83"/>
      <c r="NQD49" s="83"/>
      <c r="NQE49" s="83"/>
      <c r="NQF49" s="83"/>
      <c r="NQG49" s="83"/>
      <c r="NQH49" s="83"/>
      <c r="NQI49" s="83"/>
      <c r="NQJ49" s="83"/>
      <c r="NQK49" s="83"/>
      <c r="NQL49" s="83"/>
      <c r="NQM49" s="83"/>
      <c r="NQN49" s="83"/>
      <c r="NQO49" s="83"/>
      <c r="NQP49" s="83"/>
      <c r="NQQ49" s="83"/>
      <c r="NQR49" s="83"/>
      <c r="NQS49" s="83"/>
      <c r="NQT49" s="83"/>
      <c r="NQU49" s="83"/>
      <c r="NQV49" s="83"/>
      <c r="NQW49" s="83"/>
      <c r="NQX49" s="83"/>
      <c r="NQY49" s="83"/>
      <c r="NQZ49" s="83"/>
      <c r="NRA49" s="83"/>
      <c r="NRB49" s="83"/>
      <c r="NRC49" s="83"/>
      <c r="NRD49" s="83"/>
      <c r="NRE49" s="83"/>
      <c r="NRF49" s="83"/>
      <c r="NRG49" s="83"/>
      <c r="NRH49" s="83"/>
      <c r="NRI49" s="83"/>
      <c r="NRJ49" s="83"/>
      <c r="NRK49" s="83"/>
      <c r="NRL49" s="83"/>
      <c r="NRM49" s="83"/>
      <c r="NRN49" s="83"/>
      <c r="NRO49" s="83"/>
      <c r="NRP49" s="83"/>
      <c r="NRQ49" s="83"/>
      <c r="NRR49" s="83"/>
      <c r="NRS49" s="83"/>
      <c r="NRT49" s="83"/>
      <c r="NRU49" s="83"/>
      <c r="NRV49" s="83"/>
      <c r="NRW49" s="83"/>
      <c r="NRX49" s="83"/>
      <c r="NRY49" s="83"/>
      <c r="NRZ49" s="83"/>
      <c r="NSA49" s="83"/>
      <c r="NSB49" s="83"/>
      <c r="NSC49" s="83"/>
      <c r="NSD49" s="83"/>
      <c r="NSE49" s="83"/>
      <c r="NSF49" s="83"/>
      <c r="NSG49" s="83"/>
      <c r="NSH49" s="83"/>
      <c r="NSI49" s="83"/>
      <c r="NSJ49" s="83"/>
      <c r="NSK49" s="83"/>
      <c r="NSL49" s="83"/>
      <c r="NSM49" s="83"/>
      <c r="NSN49" s="83"/>
      <c r="NSO49" s="83"/>
      <c r="NSP49" s="83"/>
      <c r="NSQ49" s="83"/>
      <c r="NSR49" s="83"/>
      <c r="NSS49" s="83"/>
      <c r="NST49" s="83"/>
      <c r="NSU49" s="83"/>
      <c r="NSV49" s="83"/>
      <c r="NSW49" s="83"/>
      <c r="NSX49" s="83"/>
      <c r="NSY49" s="83"/>
      <c r="NSZ49" s="83"/>
      <c r="NTA49" s="83"/>
      <c r="NTB49" s="83"/>
      <c r="NTC49" s="83"/>
      <c r="NTD49" s="83"/>
      <c r="NTE49" s="83"/>
      <c r="NTF49" s="83"/>
      <c r="NTG49" s="83"/>
      <c r="NTH49" s="83"/>
      <c r="NTI49" s="83"/>
      <c r="NTJ49" s="83"/>
      <c r="NTK49" s="83"/>
      <c r="NTL49" s="83"/>
      <c r="NTM49" s="83"/>
      <c r="NTN49" s="83"/>
      <c r="NTO49" s="83"/>
      <c r="NTP49" s="83"/>
      <c r="NTQ49" s="83"/>
      <c r="NTR49" s="83"/>
      <c r="NTS49" s="83"/>
      <c r="NTT49" s="83"/>
      <c r="NTU49" s="83"/>
      <c r="NTV49" s="83"/>
      <c r="NTW49" s="83"/>
      <c r="NTX49" s="83"/>
      <c r="NTY49" s="83"/>
      <c r="NTZ49" s="83"/>
      <c r="NUA49" s="83"/>
      <c r="NUB49" s="83"/>
      <c r="NUC49" s="83"/>
      <c r="NUD49" s="83"/>
      <c r="NUE49" s="83"/>
      <c r="NUF49" s="83"/>
      <c r="NUG49" s="83"/>
      <c r="NUH49" s="83"/>
      <c r="NUI49" s="83"/>
      <c r="NUJ49" s="83"/>
      <c r="NUK49" s="83"/>
      <c r="NUL49" s="83"/>
      <c r="NUM49" s="83"/>
      <c r="NUN49" s="83"/>
      <c r="NUO49" s="83"/>
      <c r="NUP49" s="83"/>
      <c r="NUQ49" s="83"/>
      <c r="NUR49" s="83"/>
      <c r="NUS49" s="83"/>
      <c r="NUT49" s="83"/>
      <c r="NUU49" s="83"/>
      <c r="NUV49" s="83"/>
      <c r="NUW49" s="83"/>
      <c r="NUX49" s="83"/>
      <c r="NUY49" s="83"/>
      <c r="NUZ49" s="83"/>
      <c r="NVA49" s="83"/>
      <c r="NVB49" s="83"/>
      <c r="NVC49" s="83"/>
      <c r="NVD49" s="83"/>
      <c r="NVE49" s="83"/>
      <c r="NVF49" s="83"/>
      <c r="NVG49" s="83"/>
      <c r="NVH49" s="83"/>
      <c r="NVI49" s="83"/>
      <c r="NVJ49" s="83"/>
      <c r="NVK49" s="83"/>
      <c r="NVL49" s="83"/>
      <c r="NVM49" s="83"/>
      <c r="NVN49" s="83"/>
      <c r="NVO49" s="83"/>
      <c r="NVP49" s="83"/>
      <c r="NVQ49" s="83"/>
      <c r="NVR49" s="83"/>
      <c r="NVS49" s="83"/>
      <c r="NVT49" s="83"/>
      <c r="NVU49" s="83"/>
      <c r="NVV49" s="83"/>
      <c r="NVW49" s="83"/>
      <c r="NVX49" s="83"/>
      <c r="NVY49" s="83"/>
      <c r="NVZ49" s="83"/>
      <c r="NWA49" s="83"/>
      <c r="NWB49" s="83"/>
      <c r="NWC49" s="83"/>
      <c r="NWD49" s="83"/>
      <c r="NWE49" s="83"/>
      <c r="NWF49" s="83"/>
      <c r="NWG49" s="83"/>
      <c r="NWH49" s="83"/>
      <c r="NWI49" s="83"/>
      <c r="NWJ49" s="83"/>
      <c r="NWK49" s="83"/>
      <c r="NWL49" s="83"/>
      <c r="NWM49" s="83"/>
      <c r="NWN49" s="83"/>
      <c r="NWO49" s="83"/>
      <c r="NWP49" s="83"/>
      <c r="NWQ49" s="83"/>
      <c r="NWR49" s="83"/>
      <c r="NWS49" s="83"/>
      <c r="NWT49" s="83"/>
      <c r="NWU49" s="83"/>
      <c r="NWV49" s="83"/>
      <c r="NWW49" s="83"/>
      <c r="NWX49" s="83"/>
      <c r="NWY49" s="83"/>
      <c r="NWZ49" s="83"/>
      <c r="NXA49" s="83"/>
      <c r="NXB49" s="83"/>
      <c r="NXC49" s="83"/>
      <c r="NXD49" s="83"/>
      <c r="NXE49" s="83"/>
      <c r="NXF49" s="83"/>
      <c r="NXG49" s="83"/>
      <c r="NXH49" s="83"/>
      <c r="NXI49" s="83"/>
      <c r="NXJ49" s="83"/>
      <c r="NXK49" s="83"/>
      <c r="NXL49" s="83"/>
      <c r="NXM49" s="83"/>
      <c r="NXN49" s="83"/>
      <c r="NXO49" s="83"/>
      <c r="NXP49" s="83"/>
      <c r="NXQ49" s="83"/>
      <c r="NXR49" s="83"/>
      <c r="NXS49" s="83"/>
      <c r="NXT49" s="83"/>
      <c r="NXU49" s="83"/>
      <c r="NXV49" s="83"/>
      <c r="NXW49" s="83"/>
      <c r="NXX49" s="83"/>
      <c r="NXY49" s="83"/>
      <c r="NXZ49" s="83"/>
      <c r="NYA49" s="83"/>
      <c r="NYB49" s="83"/>
      <c r="NYC49" s="83"/>
      <c r="NYD49" s="83"/>
      <c r="NYE49" s="83"/>
      <c r="NYF49" s="83"/>
      <c r="NYG49" s="83"/>
      <c r="NYH49" s="83"/>
      <c r="NYI49" s="83"/>
      <c r="NYJ49" s="83"/>
      <c r="NYK49" s="83"/>
      <c r="NYL49" s="83"/>
      <c r="NYM49" s="83"/>
      <c r="NYN49" s="83"/>
      <c r="NYO49" s="83"/>
      <c r="NYP49" s="83"/>
      <c r="NYQ49" s="83"/>
      <c r="NYR49" s="83"/>
      <c r="NYS49" s="83"/>
      <c r="NYT49" s="83"/>
      <c r="NYU49" s="83"/>
      <c r="NYV49" s="83"/>
      <c r="NYW49" s="83"/>
      <c r="NYX49" s="83"/>
      <c r="NYY49" s="83"/>
      <c r="NYZ49" s="83"/>
      <c r="NZA49" s="83"/>
      <c r="NZB49" s="83"/>
      <c r="NZC49" s="83"/>
      <c r="NZD49" s="83"/>
      <c r="NZE49" s="83"/>
      <c r="NZF49" s="83"/>
      <c r="NZG49" s="83"/>
      <c r="NZH49" s="83"/>
      <c r="NZI49" s="83"/>
      <c r="NZJ49" s="83"/>
      <c r="NZK49" s="83"/>
      <c r="NZL49" s="83"/>
      <c r="NZM49" s="83"/>
      <c r="NZN49" s="83"/>
      <c r="NZO49" s="83"/>
      <c r="NZP49" s="83"/>
      <c r="NZQ49" s="83"/>
      <c r="NZR49" s="83"/>
      <c r="NZS49" s="83"/>
      <c r="NZT49" s="83"/>
      <c r="NZU49" s="83"/>
      <c r="NZV49" s="83"/>
      <c r="NZW49" s="83"/>
      <c r="NZX49" s="83"/>
      <c r="NZY49" s="83"/>
      <c r="NZZ49" s="83"/>
      <c r="OAA49" s="83"/>
      <c r="OAB49" s="83"/>
      <c r="OAC49" s="83"/>
      <c r="OAD49" s="83"/>
      <c r="OAE49" s="83"/>
      <c r="OAF49" s="83"/>
      <c r="OAG49" s="83"/>
      <c r="OAH49" s="83"/>
      <c r="OAI49" s="83"/>
      <c r="OAJ49" s="83"/>
      <c r="OAK49" s="83"/>
      <c r="OAL49" s="83"/>
      <c r="OAM49" s="83"/>
      <c r="OAN49" s="83"/>
      <c r="OAO49" s="83"/>
      <c r="OAP49" s="83"/>
      <c r="OAQ49" s="83"/>
      <c r="OAR49" s="83"/>
      <c r="OAS49" s="83"/>
      <c r="OAT49" s="83"/>
      <c r="OAU49" s="83"/>
      <c r="OAV49" s="83"/>
      <c r="OAW49" s="83"/>
      <c r="OAX49" s="83"/>
      <c r="OAY49" s="83"/>
      <c r="OAZ49" s="83"/>
      <c r="OBA49" s="83"/>
      <c r="OBB49" s="83"/>
      <c r="OBC49" s="83"/>
      <c r="OBD49" s="83"/>
      <c r="OBE49" s="83"/>
      <c r="OBF49" s="83"/>
      <c r="OBG49" s="83"/>
      <c r="OBH49" s="83"/>
      <c r="OBI49" s="83"/>
      <c r="OBJ49" s="83"/>
      <c r="OBK49" s="83"/>
      <c r="OBL49" s="83"/>
      <c r="OBM49" s="83"/>
      <c r="OBN49" s="83"/>
      <c r="OBO49" s="83"/>
      <c r="OBP49" s="83"/>
      <c r="OBQ49" s="83"/>
      <c r="OBR49" s="83"/>
      <c r="OBS49" s="83"/>
      <c r="OBT49" s="83"/>
      <c r="OBU49" s="83"/>
      <c r="OBV49" s="83"/>
      <c r="OBW49" s="83"/>
      <c r="OBX49" s="83"/>
      <c r="OBY49" s="83"/>
      <c r="OBZ49" s="83"/>
      <c r="OCA49" s="83"/>
      <c r="OCB49" s="83"/>
      <c r="OCC49" s="83"/>
      <c r="OCD49" s="83"/>
      <c r="OCE49" s="83"/>
      <c r="OCF49" s="83"/>
      <c r="OCG49" s="83"/>
      <c r="OCH49" s="83"/>
      <c r="OCI49" s="83"/>
      <c r="OCJ49" s="83"/>
      <c r="OCK49" s="83"/>
      <c r="OCL49" s="83"/>
      <c r="OCM49" s="83"/>
      <c r="OCN49" s="83"/>
      <c r="OCO49" s="83"/>
      <c r="OCP49" s="83"/>
      <c r="OCQ49" s="83"/>
      <c r="OCR49" s="83"/>
      <c r="OCS49" s="83"/>
      <c r="OCT49" s="83"/>
      <c r="OCU49" s="83"/>
      <c r="OCV49" s="83"/>
      <c r="OCW49" s="83"/>
      <c r="OCX49" s="83"/>
      <c r="OCY49" s="83"/>
      <c r="OCZ49" s="83"/>
      <c r="ODA49" s="83"/>
      <c r="ODB49" s="83"/>
      <c r="ODC49" s="83"/>
      <c r="ODD49" s="83"/>
      <c r="ODE49" s="83"/>
      <c r="ODF49" s="83"/>
      <c r="ODG49" s="83"/>
      <c r="ODH49" s="83"/>
      <c r="ODI49" s="83"/>
      <c r="ODJ49" s="83"/>
      <c r="ODK49" s="83"/>
      <c r="ODL49" s="83"/>
      <c r="ODM49" s="83"/>
      <c r="ODN49" s="83"/>
      <c r="ODO49" s="83"/>
      <c r="ODP49" s="83"/>
      <c r="ODQ49" s="83"/>
      <c r="ODR49" s="83"/>
      <c r="ODS49" s="83"/>
      <c r="ODT49" s="83"/>
      <c r="ODU49" s="83"/>
      <c r="ODV49" s="83"/>
      <c r="ODW49" s="83"/>
      <c r="ODX49" s="83"/>
      <c r="ODY49" s="83"/>
      <c r="ODZ49" s="83"/>
      <c r="OEA49" s="83"/>
      <c r="OEB49" s="83"/>
      <c r="OEC49" s="83"/>
      <c r="OED49" s="83"/>
      <c r="OEE49" s="83"/>
      <c r="OEF49" s="83"/>
      <c r="OEG49" s="83"/>
      <c r="OEH49" s="83"/>
      <c r="OEI49" s="83"/>
      <c r="OEJ49" s="83"/>
      <c r="OEK49" s="83"/>
      <c r="OEL49" s="83"/>
      <c r="OEM49" s="83"/>
      <c r="OEN49" s="83"/>
      <c r="OEO49" s="83"/>
      <c r="OEP49" s="83"/>
      <c r="OEQ49" s="83"/>
      <c r="OER49" s="83"/>
      <c r="OES49" s="83"/>
      <c r="OET49" s="83"/>
      <c r="OEU49" s="83"/>
      <c r="OEV49" s="83"/>
      <c r="OEW49" s="83"/>
      <c r="OEX49" s="83"/>
      <c r="OEY49" s="83"/>
      <c r="OEZ49" s="83"/>
      <c r="OFA49" s="83"/>
      <c r="OFB49" s="83"/>
      <c r="OFC49" s="83"/>
      <c r="OFD49" s="83"/>
      <c r="OFE49" s="83"/>
      <c r="OFF49" s="83"/>
      <c r="OFG49" s="83"/>
      <c r="OFH49" s="83"/>
      <c r="OFI49" s="83"/>
      <c r="OFJ49" s="83"/>
      <c r="OFK49" s="83"/>
      <c r="OFL49" s="83"/>
      <c r="OFM49" s="83"/>
      <c r="OFN49" s="83"/>
      <c r="OFO49" s="83"/>
      <c r="OFP49" s="83"/>
      <c r="OFQ49" s="83"/>
      <c r="OFR49" s="83"/>
      <c r="OFS49" s="83"/>
      <c r="OFT49" s="83"/>
      <c r="OFU49" s="83"/>
      <c r="OFV49" s="83"/>
      <c r="OFW49" s="83"/>
      <c r="OFX49" s="83"/>
      <c r="OFY49" s="83"/>
      <c r="OFZ49" s="83"/>
      <c r="OGA49" s="83"/>
      <c r="OGB49" s="83"/>
      <c r="OGC49" s="83"/>
      <c r="OGD49" s="83"/>
      <c r="OGE49" s="83"/>
      <c r="OGF49" s="83"/>
      <c r="OGG49" s="83"/>
      <c r="OGH49" s="83"/>
      <c r="OGI49" s="83"/>
      <c r="OGJ49" s="83"/>
      <c r="OGK49" s="83"/>
      <c r="OGL49" s="83"/>
      <c r="OGM49" s="83"/>
      <c r="OGN49" s="83"/>
      <c r="OGO49" s="83"/>
      <c r="OGP49" s="83"/>
      <c r="OGQ49" s="83"/>
      <c r="OGR49" s="83"/>
      <c r="OGS49" s="83"/>
      <c r="OGT49" s="83"/>
      <c r="OGU49" s="83"/>
      <c r="OGV49" s="83"/>
      <c r="OGW49" s="83"/>
      <c r="OGX49" s="83"/>
      <c r="OGY49" s="83"/>
      <c r="OGZ49" s="83"/>
      <c r="OHA49" s="83"/>
      <c r="OHB49" s="83"/>
      <c r="OHC49" s="83"/>
      <c r="OHD49" s="83"/>
      <c r="OHE49" s="83"/>
      <c r="OHF49" s="83"/>
      <c r="OHG49" s="83"/>
      <c r="OHH49" s="83"/>
      <c r="OHI49" s="83"/>
      <c r="OHJ49" s="83"/>
      <c r="OHK49" s="83"/>
      <c r="OHL49" s="83"/>
      <c r="OHM49" s="83"/>
      <c r="OHN49" s="83"/>
      <c r="OHO49" s="83"/>
      <c r="OHP49" s="83"/>
      <c r="OHQ49" s="83"/>
      <c r="OHR49" s="83"/>
      <c r="OHS49" s="83"/>
      <c r="OHT49" s="83"/>
      <c r="OHU49" s="83"/>
      <c r="OHV49" s="83"/>
      <c r="OHW49" s="83"/>
      <c r="OHX49" s="83"/>
      <c r="OHY49" s="83"/>
      <c r="OHZ49" s="83"/>
      <c r="OIA49" s="83"/>
      <c r="OIB49" s="83"/>
      <c r="OIC49" s="83"/>
      <c r="OID49" s="83"/>
      <c r="OIE49" s="83"/>
      <c r="OIF49" s="83"/>
      <c r="OIG49" s="83"/>
      <c r="OIH49" s="83"/>
      <c r="OII49" s="83"/>
      <c r="OIJ49" s="83"/>
      <c r="OIK49" s="83"/>
      <c r="OIL49" s="83"/>
      <c r="OIM49" s="83"/>
      <c r="OIN49" s="83"/>
      <c r="OIO49" s="83"/>
      <c r="OIP49" s="83"/>
      <c r="OIQ49" s="83"/>
      <c r="OIR49" s="83"/>
      <c r="OIS49" s="83"/>
      <c r="OIT49" s="83"/>
      <c r="OIU49" s="83"/>
      <c r="OIV49" s="83"/>
      <c r="OIW49" s="83"/>
      <c r="OIX49" s="83"/>
      <c r="OIY49" s="83"/>
      <c r="OIZ49" s="83"/>
      <c r="OJA49" s="83"/>
      <c r="OJB49" s="83"/>
      <c r="OJC49" s="83"/>
      <c r="OJD49" s="83"/>
      <c r="OJE49" s="83"/>
      <c r="OJF49" s="83"/>
      <c r="OJG49" s="83"/>
      <c r="OJH49" s="83"/>
      <c r="OJI49" s="83"/>
      <c r="OJJ49" s="83"/>
      <c r="OJK49" s="83"/>
      <c r="OJL49" s="83"/>
      <c r="OJM49" s="83"/>
      <c r="OJN49" s="83"/>
      <c r="OJO49" s="83"/>
      <c r="OJP49" s="83"/>
      <c r="OJQ49" s="83"/>
      <c r="OJR49" s="83"/>
      <c r="OJS49" s="83"/>
      <c r="OJT49" s="83"/>
      <c r="OJU49" s="83"/>
      <c r="OJV49" s="83"/>
      <c r="OJW49" s="83"/>
      <c r="OJX49" s="83"/>
      <c r="OJY49" s="83"/>
      <c r="OJZ49" s="83"/>
      <c r="OKA49" s="83"/>
      <c r="OKB49" s="83"/>
      <c r="OKC49" s="83"/>
      <c r="OKD49" s="83"/>
      <c r="OKE49" s="83"/>
      <c r="OKF49" s="83"/>
      <c r="OKG49" s="83"/>
      <c r="OKH49" s="83"/>
      <c r="OKI49" s="83"/>
      <c r="OKJ49" s="83"/>
      <c r="OKK49" s="83"/>
      <c r="OKL49" s="83"/>
      <c r="OKM49" s="83"/>
      <c r="OKN49" s="83"/>
      <c r="OKO49" s="83"/>
      <c r="OKP49" s="83"/>
      <c r="OKQ49" s="83"/>
      <c r="OKR49" s="83"/>
      <c r="OKS49" s="83"/>
      <c r="OKT49" s="83"/>
      <c r="OKU49" s="83"/>
      <c r="OKV49" s="83"/>
      <c r="OKW49" s="83"/>
      <c r="OKX49" s="83"/>
      <c r="OKY49" s="83"/>
      <c r="OKZ49" s="83"/>
      <c r="OLA49" s="83"/>
      <c r="OLB49" s="83"/>
      <c r="OLC49" s="83"/>
      <c r="OLD49" s="83"/>
      <c r="OLE49" s="83"/>
      <c r="OLF49" s="83"/>
      <c r="OLG49" s="83"/>
      <c r="OLH49" s="83"/>
      <c r="OLI49" s="83"/>
      <c r="OLJ49" s="83"/>
      <c r="OLK49" s="83"/>
      <c r="OLL49" s="83"/>
      <c r="OLM49" s="83"/>
      <c r="OLN49" s="83"/>
      <c r="OLO49" s="83"/>
      <c r="OLP49" s="83"/>
      <c r="OLQ49" s="83"/>
      <c r="OLR49" s="83"/>
      <c r="OLS49" s="83"/>
      <c r="OLT49" s="83"/>
      <c r="OLU49" s="83"/>
      <c r="OLV49" s="83"/>
      <c r="OLW49" s="83"/>
      <c r="OLX49" s="83"/>
      <c r="OLY49" s="83"/>
      <c r="OLZ49" s="83"/>
      <c r="OMA49" s="83"/>
      <c r="OMB49" s="83"/>
      <c r="OMC49" s="83"/>
      <c r="OMD49" s="83"/>
      <c r="OME49" s="83"/>
      <c r="OMF49" s="83"/>
      <c r="OMG49" s="83"/>
      <c r="OMH49" s="83"/>
      <c r="OMI49" s="83"/>
      <c r="OMJ49" s="83"/>
      <c r="OMK49" s="83"/>
      <c r="OML49" s="83"/>
      <c r="OMM49" s="83"/>
      <c r="OMN49" s="83"/>
      <c r="OMO49" s="83"/>
      <c r="OMP49" s="83"/>
      <c r="OMQ49" s="83"/>
      <c r="OMR49" s="83"/>
      <c r="OMS49" s="83"/>
      <c r="OMT49" s="83"/>
      <c r="OMU49" s="83"/>
      <c r="OMV49" s="83"/>
      <c r="OMW49" s="83"/>
      <c r="OMX49" s="83"/>
      <c r="OMY49" s="83"/>
      <c r="OMZ49" s="83"/>
      <c r="ONA49" s="83"/>
      <c r="ONB49" s="83"/>
      <c r="ONC49" s="83"/>
      <c r="OND49" s="83"/>
      <c r="ONE49" s="83"/>
      <c r="ONF49" s="83"/>
      <c r="ONG49" s="83"/>
      <c r="ONH49" s="83"/>
      <c r="ONI49" s="83"/>
      <c r="ONJ49" s="83"/>
      <c r="ONK49" s="83"/>
      <c r="ONL49" s="83"/>
      <c r="ONM49" s="83"/>
      <c r="ONN49" s="83"/>
      <c r="ONO49" s="83"/>
      <c r="ONP49" s="83"/>
      <c r="ONQ49" s="83"/>
      <c r="ONR49" s="83"/>
      <c r="ONS49" s="83"/>
      <c r="ONT49" s="83"/>
      <c r="ONU49" s="83"/>
      <c r="ONV49" s="83"/>
      <c r="ONW49" s="83"/>
      <c r="ONX49" s="83"/>
      <c r="ONY49" s="83"/>
      <c r="ONZ49" s="83"/>
      <c r="OOA49" s="83"/>
      <c r="OOB49" s="83"/>
      <c r="OOC49" s="83"/>
      <c r="OOD49" s="83"/>
      <c r="OOE49" s="83"/>
      <c r="OOF49" s="83"/>
      <c r="OOG49" s="83"/>
      <c r="OOH49" s="83"/>
      <c r="OOI49" s="83"/>
      <c r="OOJ49" s="83"/>
      <c r="OOK49" s="83"/>
      <c r="OOL49" s="83"/>
      <c r="OOM49" s="83"/>
      <c r="OON49" s="83"/>
      <c r="OOO49" s="83"/>
      <c r="OOP49" s="83"/>
      <c r="OOQ49" s="83"/>
      <c r="OOR49" s="83"/>
      <c r="OOS49" s="83"/>
      <c r="OOT49" s="83"/>
      <c r="OOU49" s="83"/>
      <c r="OOV49" s="83"/>
      <c r="OOW49" s="83"/>
      <c r="OOX49" s="83"/>
      <c r="OOY49" s="83"/>
      <c r="OOZ49" s="83"/>
      <c r="OPA49" s="83"/>
      <c r="OPB49" s="83"/>
      <c r="OPC49" s="83"/>
      <c r="OPD49" s="83"/>
      <c r="OPE49" s="83"/>
      <c r="OPF49" s="83"/>
      <c r="OPG49" s="83"/>
      <c r="OPH49" s="83"/>
      <c r="OPI49" s="83"/>
      <c r="OPJ49" s="83"/>
      <c r="OPK49" s="83"/>
      <c r="OPL49" s="83"/>
      <c r="OPM49" s="83"/>
      <c r="OPN49" s="83"/>
      <c r="OPO49" s="83"/>
      <c r="OPP49" s="83"/>
      <c r="OPQ49" s="83"/>
      <c r="OPR49" s="83"/>
      <c r="OPS49" s="83"/>
      <c r="OPT49" s="83"/>
      <c r="OPU49" s="83"/>
      <c r="OPV49" s="83"/>
      <c r="OPW49" s="83"/>
      <c r="OPX49" s="83"/>
      <c r="OPY49" s="83"/>
      <c r="OPZ49" s="83"/>
      <c r="OQA49" s="83"/>
      <c r="OQB49" s="83"/>
      <c r="OQC49" s="83"/>
      <c r="OQD49" s="83"/>
      <c r="OQE49" s="83"/>
      <c r="OQF49" s="83"/>
      <c r="OQG49" s="83"/>
      <c r="OQH49" s="83"/>
      <c r="OQI49" s="83"/>
      <c r="OQJ49" s="83"/>
      <c r="OQK49" s="83"/>
      <c r="OQL49" s="83"/>
      <c r="OQM49" s="83"/>
      <c r="OQN49" s="83"/>
      <c r="OQO49" s="83"/>
      <c r="OQP49" s="83"/>
      <c r="OQQ49" s="83"/>
      <c r="OQR49" s="83"/>
      <c r="OQS49" s="83"/>
      <c r="OQT49" s="83"/>
      <c r="OQU49" s="83"/>
      <c r="OQV49" s="83"/>
      <c r="OQW49" s="83"/>
      <c r="OQX49" s="83"/>
      <c r="OQY49" s="83"/>
      <c r="OQZ49" s="83"/>
      <c r="ORA49" s="83"/>
      <c r="ORB49" s="83"/>
      <c r="ORC49" s="83"/>
      <c r="ORD49" s="83"/>
      <c r="ORE49" s="83"/>
      <c r="ORF49" s="83"/>
      <c r="ORG49" s="83"/>
      <c r="ORH49" s="83"/>
      <c r="ORI49" s="83"/>
      <c r="ORJ49" s="83"/>
      <c r="ORK49" s="83"/>
      <c r="ORL49" s="83"/>
      <c r="ORM49" s="83"/>
      <c r="ORN49" s="83"/>
      <c r="ORO49" s="83"/>
      <c r="ORP49" s="83"/>
      <c r="ORQ49" s="83"/>
      <c r="ORR49" s="83"/>
      <c r="ORS49" s="83"/>
      <c r="ORT49" s="83"/>
      <c r="ORU49" s="83"/>
      <c r="ORV49" s="83"/>
      <c r="ORW49" s="83"/>
      <c r="ORX49" s="83"/>
      <c r="ORY49" s="83"/>
      <c r="ORZ49" s="83"/>
      <c r="OSA49" s="83"/>
      <c r="OSB49" s="83"/>
      <c r="OSC49" s="83"/>
      <c r="OSD49" s="83"/>
      <c r="OSE49" s="83"/>
      <c r="OSF49" s="83"/>
      <c r="OSG49" s="83"/>
      <c r="OSH49" s="83"/>
      <c r="OSI49" s="83"/>
      <c r="OSJ49" s="83"/>
      <c r="OSK49" s="83"/>
      <c r="OSL49" s="83"/>
      <c r="OSM49" s="83"/>
      <c r="OSN49" s="83"/>
      <c r="OSO49" s="83"/>
      <c r="OSP49" s="83"/>
      <c r="OSQ49" s="83"/>
      <c r="OSR49" s="83"/>
      <c r="OSS49" s="83"/>
      <c r="OST49" s="83"/>
      <c r="OSU49" s="83"/>
      <c r="OSV49" s="83"/>
      <c r="OSW49" s="83"/>
      <c r="OSX49" s="83"/>
      <c r="OSY49" s="83"/>
      <c r="OSZ49" s="83"/>
      <c r="OTA49" s="83"/>
      <c r="OTB49" s="83"/>
      <c r="OTC49" s="83"/>
      <c r="OTD49" s="83"/>
      <c r="OTE49" s="83"/>
      <c r="OTF49" s="83"/>
      <c r="OTG49" s="83"/>
      <c r="OTH49" s="83"/>
      <c r="OTI49" s="83"/>
      <c r="OTJ49" s="83"/>
      <c r="OTK49" s="83"/>
      <c r="OTL49" s="83"/>
      <c r="OTM49" s="83"/>
      <c r="OTN49" s="83"/>
      <c r="OTO49" s="83"/>
      <c r="OTP49" s="83"/>
      <c r="OTQ49" s="83"/>
      <c r="OTR49" s="83"/>
      <c r="OTS49" s="83"/>
      <c r="OTT49" s="83"/>
      <c r="OTU49" s="83"/>
      <c r="OTV49" s="83"/>
      <c r="OTW49" s="83"/>
      <c r="OTX49" s="83"/>
      <c r="OTY49" s="83"/>
      <c r="OTZ49" s="83"/>
      <c r="OUA49" s="83"/>
      <c r="OUB49" s="83"/>
      <c r="OUC49" s="83"/>
      <c r="OUD49" s="83"/>
      <c r="OUE49" s="83"/>
      <c r="OUF49" s="83"/>
      <c r="OUG49" s="83"/>
      <c r="OUH49" s="83"/>
      <c r="OUI49" s="83"/>
      <c r="OUJ49" s="83"/>
      <c r="OUK49" s="83"/>
      <c r="OUL49" s="83"/>
      <c r="OUM49" s="83"/>
      <c r="OUN49" s="83"/>
      <c r="OUO49" s="83"/>
      <c r="OUP49" s="83"/>
      <c r="OUQ49" s="83"/>
      <c r="OUR49" s="83"/>
      <c r="OUS49" s="83"/>
      <c r="OUT49" s="83"/>
      <c r="OUU49" s="83"/>
      <c r="OUV49" s="83"/>
      <c r="OUW49" s="83"/>
      <c r="OUX49" s="83"/>
      <c r="OUY49" s="83"/>
      <c r="OUZ49" s="83"/>
      <c r="OVA49" s="83"/>
      <c r="OVB49" s="83"/>
      <c r="OVC49" s="83"/>
      <c r="OVD49" s="83"/>
      <c r="OVE49" s="83"/>
      <c r="OVF49" s="83"/>
      <c r="OVG49" s="83"/>
      <c r="OVH49" s="83"/>
      <c r="OVI49" s="83"/>
      <c r="OVJ49" s="83"/>
      <c r="OVK49" s="83"/>
      <c r="OVL49" s="83"/>
      <c r="OVM49" s="83"/>
      <c r="OVN49" s="83"/>
      <c r="OVO49" s="83"/>
      <c r="OVP49" s="83"/>
      <c r="OVQ49" s="83"/>
      <c r="OVR49" s="83"/>
      <c r="OVS49" s="83"/>
      <c r="OVT49" s="83"/>
      <c r="OVU49" s="83"/>
      <c r="OVV49" s="83"/>
      <c r="OVW49" s="83"/>
      <c r="OVX49" s="83"/>
      <c r="OVY49" s="83"/>
      <c r="OVZ49" s="83"/>
      <c r="OWA49" s="83"/>
      <c r="OWB49" s="83"/>
      <c r="OWC49" s="83"/>
      <c r="OWD49" s="83"/>
      <c r="OWE49" s="83"/>
      <c r="OWF49" s="83"/>
      <c r="OWG49" s="83"/>
      <c r="OWH49" s="83"/>
      <c r="OWI49" s="83"/>
      <c r="OWJ49" s="83"/>
      <c r="OWK49" s="83"/>
      <c r="OWL49" s="83"/>
      <c r="OWM49" s="83"/>
      <c r="OWN49" s="83"/>
      <c r="OWO49" s="83"/>
      <c r="OWP49" s="83"/>
      <c r="OWQ49" s="83"/>
      <c r="OWR49" s="83"/>
      <c r="OWS49" s="83"/>
      <c r="OWT49" s="83"/>
      <c r="OWU49" s="83"/>
      <c r="OWV49" s="83"/>
      <c r="OWW49" s="83"/>
      <c r="OWX49" s="83"/>
      <c r="OWY49" s="83"/>
      <c r="OWZ49" s="83"/>
      <c r="OXA49" s="83"/>
      <c r="OXB49" s="83"/>
      <c r="OXC49" s="83"/>
      <c r="OXD49" s="83"/>
      <c r="OXE49" s="83"/>
      <c r="OXF49" s="83"/>
      <c r="OXG49" s="83"/>
      <c r="OXH49" s="83"/>
      <c r="OXI49" s="83"/>
      <c r="OXJ49" s="83"/>
      <c r="OXK49" s="83"/>
      <c r="OXL49" s="83"/>
      <c r="OXM49" s="83"/>
      <c r="OXN49" s="83"/>
      <c r="OXO49" s="83"/>
      <c r="OXP49" s="83"/>
      <c r="OXQ49" s="83"/>
      <c r="OXR49" s="83"/>
      <c r="OXS49" s="83"/>
      <c r="OXT49" s="83"/>
      <c r="OXU49" s="83"/>
      <c r="OXV49" s="83"/>
      <c r="OXW49" s="83"/>
      <c r="OXX49" s="83"/>
      <c r="OXY49" s="83"/>
      <c r="OXZ49" s="83"/>
      <c r="OYA49" s="83"/>
      <c r="OYB49" s="83"/>
      <c r="OYC49" s="83"/>
      <c r="OYD49" s="83"/>
      <c r="OYE49" s="83"/>
      <c r="OYF49" s="83"/>
      <c r="OYG49" s="83"/>
      <c r="OYH49" s="83"/>
      <c r="OYI49" s="83"/>
      <c r="OYJ49" s="83"/>
      <c r="OYK49" s="83"/>
      <c r="OYL49" s="83"/>
      <c r="OYM49" s="83"/>
      <c r="OYN49" s="83"/>
      <c r="OYO49" s="83"/>
      <c r="OYP49" s="83"/>
      <c r="OYQ49" s="83"/>
      <c r="OYR49" s="83"/>
      <c r="OYS49" s="83"/>
      <c r="OYT49" s="83"/>
      <c r="OYU49" s="83"/>
      <c r="OYV49" s="83"/>
      <c r="OYW49" s="83"/>
      <c r="OYX49" s="83"/>
      <c r="OYY49" s="83"/>
      <c r="OYZ49" s="83"/>
      <c r="OZA49" s="83"/>
      <c r="OZB49" s="83"/>
      <c r="OZC49" s="83"/>
      <c r="OZD49" s="83"/>
      <c r="OZE49" s="83"/>
      <c r="OZF49" s="83"/>
      <c r="OZG49" s="83"/>
      <c r="OZH49" s="83"/>
      <c r="OZI49" s="83"/>
      <c r="OZJ49" s="83"/>
      <c r="OZK49" s="83"/>
      <c r="OZL49" s="83"/>
      <c r="OZM49" s="83"/>
      <c r="OZN49" s="83"/>
      <c r="OZO49" s="83"/>
      <c r="OZP49" s="83"/>
      <c r="OZQ49" s="83"/>
      <c r="OZR49" s="83"/>
      <c r="OZS49" s="83"/>
      <c r="OZT49" s="83"/>
      <c r="OZU49" s="83"/>
      <c r="OZV49" s="83"/>
      <c r="OZW49" s="83"/>
      <c r="OZX49" s="83"/>
      <c r="OZY49" s="83"/>
      <c r="OZZ49" s="83"/>
      <c r="PAA49" s="83"/>
      <c r="PAB49" s="83"/>
      <c r="PAC49" s="83"/>
      <c r="PAD49" s="83"/>
      <c r="PAE49" s="83"/>
      <c r="PAF49" s="83"/>
      <c r="PAG49" s="83"/>
      <c r="PAH49" s="83"/>
      <c r="PAI49" s="83"/>
      <c r="PAJ49" s="83"/>
      <c r="PAK49" s="83"/>
      <c r="PAL49" s="83"/>
      <c r="PAM49" s="83"/>
      <c r="PAN49" s="83"/>
      <c r="PAO49" s="83"/>
      <c r="PAP49" s="83"/>
      <c r="PAQ49" s="83"/>
      <c r="PAR49" s="83"/>
      <c r="PAS49" s="83"/>
      <c r="PAT49" s="83"/>
      <c r="PAU49" s="83"/>
      <c r="PAV49" s="83"/>
      <c r="PAW49" s="83"/>
      <c r="PAX49" s="83"/>
      <c r="PAY49" s="83"/>
      <c r="PAZ49" s="83"/>
      <c r="PBA49" s="83"/>
      <c r="PBB49" s="83"/>
      <c r="PBC49" s="83"/>
      <c r="PBD49" s="83"/>
      <c r="PBE49" s="83"/>
      <c r="PBF49" s="83"/>
      <c r="PBG49" s="83"/>
      <c r="PBH49" s="83"/>
      <c r="PBI49" s="83"/>
      <c r="PBJ49" s="83"/>
      <c r="PBK49" s="83"/>
      <c r="PBL49" s="83"/>
      <c r="PBM49" s="83"/>
      <c r="PBN49" s="83"/>
      <c r="PBO49" s="83"/>
      <c r="PBP49" s="83"/>
      <c r="PBQ49" s="83"/>
      <c r="PBR49" s="83"/>
      <c r="PBS49" s="83"/>
      <c r="PBT49" s="83"/>
      <c r="PBU49" s="83"/>
      <c r="PBV49" s="83"/>
      <c r="PBW49" s="83"/>
      <c r="PBX49" s="83"/>
      <c r="PBY49" s="83"/>
      <c r="PBZ49" s="83"/>
      <c r="PCA49" s="83"/>
      <c r="PCB49" s="83"/>
      <c r="PCC49" s="83"/>
      <c r="PCD49" s="83"/>
      <c r="PCE49" s="83"/>
      <c r="PCF49" s="83"/>
      <c r="PCG49" s="83"/>
      <c r="PCH49" s="83"/>
      <c r="PCI49" s="83"/>
      <c r="PCJ49" s="83"/>
      <c r="PCK49" s="83"/>
      <c r="PCL49" s="83"/>
      <c r="PCM49" s="83"/>
      <c r="PCN49" s="83"/>
      <c r="PCO49" s="83"/>
      <c r="PCP49" s="83"/>
      <c r="PCQ49" s="83"/>
      <c r="PCR49" s="83"/>
      <c r="PCS49" s="83"/>
      <c r="PCT49" s="83"/>
      <c r="PCU49" s="83"/>
      <c r="PCV49" s="83"/>
      <c r="PCW49" s="83"/>
      <c r="PCX49" s="83"/>
      <c r="PCY49" s="83"/>
      <c r="PCZ49" s="83"/>
      <c r="PDA49" s="83"/>
      <c r="PDB49" s="83"/>
      <c r="PDC49" s="83"/>
      <c r="PDD49" s="83"/>
      <c r="PDE49" s="83"/>
      <c r="PDF49" s="83"/>
      <c r="PDG49" s="83"/>
      <c r="PDH49" s="83"/>
      <c r="PDI49" s="83"/>
      <c r="PDJ49" s="83"/>
      <c r="PDK49" s="83"/>
      <c r="PDL49" s="83"/>
      <c r="PDM49" s="83"/>
      <c r="PDN49" s="83"/>
      <c r="PDO49" s="83"/>
      <c r="PDP49" s="83"/>
      <c r="PDQ49" s="83"/>
      <c r="PDR49" s="83"/>
      <c r="PDS49" s="83"/>
      <c r="PDT49" s="83"/>
      <c r="PDU49" s="83"/>
      <c r="PDV49" s="83"/>
      <c r="PDW49" s="83"/>
      <c r="PDX49" s="83"/>
      <c r="PDY49" s="83"/>
      <c r="PDZ49" s="83"/>
      <c r="PEA49" s="83"/>
      <c r="PEB49" s="83"/>
      <c r="PEC49" s="83"/>
      <c r="PED49" s="83"/>
      <c r="PEE49" s="83"/>
      <c r="PEF49" s="83"/>
      <c r="PEG49" s="83"/>
      <c r="PEH49" s="83"/>
      <c r="PEI49" s="83"/>
      <c r="PEJ49" s="83"/>
      <c r="PEK49" s="83"/>
      <c r="PEL49" s="83"/>
      <c r="PEM49" s="83"/>
      <c r="PEN49" s="83"/>
      <c r="PEO49" s="83"/>
      <c r="PEP49" s="83"/>
      <c r="PEQ49" s="83"/>
      <c r="PER49" s="83"/>
      <c r="PES49" s="83"/>
      <c r="PET49" s="83"/>
      <c r="PEU49" s="83"/>
      <c r="PEV49" s="83"/>
      <c r="PEW49" s="83"/>
      <c r="PEX49" s="83"/>
      <c r="PEY49" s="83"/>
      <c r="PEZ49" s="83"/>
      <c r="PFA49" s="83"/>
      <c r="PFB49" s="83"/>
      <c r="PFC49" s="83"/>
      <c r="PFD49" s="83"/>
      <c r="PFE49" s="83"/>
      <c r="PFF49" s="83"/>
      <c r="PFG49" s="83"/>
      <c r="PFH49" s="83"/>
      <c r="PFI49" s="83"/>
      <c r="PFJ49" s="83"/>
      <c r="PFK49" s="83"/>
      <c r="PFL49" s="83"/>
      <c r="PFM49" s="83"/>
      <c r="PFN49" s="83"/>
      <c r="PFO49" s="83"/>
      <c r="PFP49" s="83"/>
      <c r="PFQ49" s="83"/>
      <c r="PFR49" s="83"/>
      <c r="PFS49" s="83"/>
      <c r="PFT49" s="83"/>
      <c r="PFU49" s="83"/>
      <c r="PFV49" s="83"/>
      <c r="PFW49" s="83"/>
      <c r="PFX49" s="83"/>
      <c r="PFY49" s="83"/>
      <c r="PFZ49" s="83"/>
      <c r="PGA49" s="83"/>
      <c r="PGB49" s="83"/>
      <c r="PGC49" s="83"/>
      <c r="PGD49" s="83"/>
      <c r="PGE49" s="83"/>
      <c r="PGF49" s="83"/>
      <c r="PGG49" s="83"/>
      <c r="PGH49" s="83"/>
      <c r="PGI49" s="83"/>
      <c r="PGJ49" s="83"/>
      <c r="PGK49" s="83"/>
      <c r="PGL49" s="83"/>
      <c r="PGM49" s="83"/>
      <c r="PGN49" s="83"/>
      <c r="PGO49" s="83"/>
      <c r="PGP49" s="83"/>
      <c r="PGQ49" s="83"/>
      <c r="PGR49" s="83"/>
      <c r="PGS49" s="83"/>
      <c r="PGT49" s="83"/>
      <c r="PGU49" s="83"/>
      <c r="PGV49" s="83"/>
      <c r="PGW49" s="83"/>
      <c r="PGX49" s="83"/>
      <c r="PGY49" s="83"/>
      <c r="PGZ49" s="83"/>
      <c r="PHA49" s="83"/>
      <c r="PHB49" s="83"/>
      <c r="PHC49" s="83"/>
      <c r="PHD49" s="83"/>
      <c r="PHE49" s="83"/>
      <c r="PHF49" s="83"/>
      <c r="PHG49" s="83"/>
      <c r="PHH49" s="83"/>
      <c r="PHI49" s="83"/>
      <c r="PHJ49" s="83"/>
      <c r="PHK49" s="83"/>
      <c r="PHL49" s="83"/>
      <c r="PHM49" s="83"/>
      <c r="PHN49" s="83"/>
      <c r="PHO49" s="83"/>
      <c r="PHP49" s="83"/>
      <c r="PHQ49" s="83"/>
      <c r="PHR49" s="83"/>
      <c r="PHS49" s="83"/>
      <c r="PHT49" s="83"/>
      <c r="PHU49" s="83"/>
      <c r="PHV49" s="83"/>
      <c r="PHW49" s="83"/>
      <c r="PHX49" s="83"/>
      <c r="PHY49" s="83"/>
      <c r="PHZ49" s="83"/>
      <c r="PIA49" s="83"/>
      <c r="PIB49" s="83"/>
      <c r="PIC49" s="83"/>
      <c r="PID49" s="83"/>
      <c r="PIE49" s="83"/>
      <c r="PIF49" s="83"/>
      <c r="PIG49" s="83"/>
      <c r="PIH49" s="83"/>
      <c r="PII49" s="83"/>
      <c r="PIJ49" s="83"/>
      <c r="PIK49" s="83"/>
      <c r="PIL49" s="83"/>
      <c r="PIM49" s="83"/>
      <c r="PIN49" s="83"/>
      <c r="PIO49" s="83"/>
      <c r="PIP49" s="83"/>
      <c r="PIQ49" s="83"/>
      <c r="PIR49" s="83"/>
      <c r="PIS49" s="83"/>
      <c r="PIT49" s="83"/>
      <c r="PIU49" s="83"/>
      <c r="PIV49" s="83"/>
      <c r="PIW49" s="83"/>
      <c r="PIX49" s="83"/>
      <c r="PIY49" s="83"/>
      <c r="PIZ49" s="83"/>
      <c r="PJA49" s="83"/>
      <c r="PJB49" s="83"/>
      <c r="PJC49" s="83"/>
      <c r="PJD49" s="83"/>
      <c r="PJE49" s="83"/>
      <c r="PJF49" s="83"/>
      <c r="PJG49" s="83"/>
      <c r="PJH49" s="83"/>
      <c r="PJI49" s="83"/>
      <c r="PJJ49" s="83"/>
      <c r="PJK49" s="83"/>
      <c r="PJL49" s="83"/>
      <c r="PJM49" s="83"/>
      <c r="PJN49" s="83"/>
      <c r="PJO49" s="83"/>
      <c r="PJP49" s="83"/>
      <c r="PJQ49" s="83"/>
      <c r="PJR49" s="83"/>
      <c r="PJS49" s="83"/>
      <c r="PJT49" s="83"/>
      <c r="PJU49" s="83"/>
      <c r="PJV49" s="83"/>
      <c r="PJW49" s="83"/>
      <c r="PJX49" s="83"/>
      <c r="PJY49" s="83"/>
      <c r="PJZ49" s="83"/>
      <c r="PKA49" s="83"/>
      <c r="PKB49" s="83"/>
      <c r="PKC49" s="83"/>
      <c r="PKD49" s="83"/>
      <c r="PKE49" s="83"/>
      <c r="PKF49" s="83"/>
      <c r="PKG49" s="83"/>
      <c r="PKH49" s="83"/>
      <c r="PKI49" s="83"/>
      <c r="PKJ49" s="83"/>
      <c r="PKK49" s="83"/>
      <c r="PKL49" s="83"/>
      <c r="PKM49" s="83"/>
      <c r="PKN49" s="83"/>
      <c r="PKO49" s="83"/>
      <c r="PKP49" s="83"/>
      <c r="PKQ49" s="83"/>
      <c r="PKR49" s="83"/>
      <c r="PKS49" s="83"/>
      <c r="PKT49" s="83"/>
      <c r="PKU49" s="83"/>
      <c r="PKV49" s="83"/>
      <c r="PKW49" s="83"/>
      <c r="PKX49" s="83"/>
      <c r="PKY49" s="83"/>
      <c r="PKZ49" s="83"/>
      <c r="PLA49" s="83"/>
      <c r="PLB49" s="83"/>
      <c r="PLC49" s="83"/>
      <c r="PLD49" s="83"/>
      <c r="PLE49" s="83"/>
      <c r="PLF49" s="83"/>
      <c r="PLG49" s="83"/>
      <c r="PLH49" s="83"/>
      <c r="PLI49" s="83"/>
      <c r="PLJ49" s="83"/>
      <c r="PLK49" s="83"/>
      <c r="PLL49" s="83"/>
      <c r="PLM49" s="83"/>
      <c r="PLN49" s="83"/>
      <c r="PLO49" s="83"/>
      <c r="PLP49" s="83"/>
      <c r="PLQ49" s="83"/>
      <c r="PLR49" s="83"/>
      <c r="PLS49" s="83"/>
      <c r="PLT49" s="83"/>
      <c r="PLU49" s="83"/>
      <c r="PLV49" s="83"/>
      <c r="PLW49" s="83"/>
      <c r="PLX49" s="83"/>
      <c r="PLY49" s="83"/>
      <c r="PLZ49" s="83"/>
      <c r="PMA49" s="83"/>
      <c r="PMB49" s="83"/>
      <c r="PMC49" s="83"/>
      <c r="PMD49" s="83"/>
      <c r="PME49" s="83"/>
      <c r="PMF49" s="83"/>
      <c r="PMG49" s="83"/>
      <c r="PMH49" s="83"/>
      <c r="PMI49" s="83"/>
      <c r="PMJ49" s="83"/>
      <c r="PMK49" s="83"/>
      <c r="PML49" s="83"/>
      <c r="PMM49" s="83"/>
      <c r="PMN49" s="83"/>
      <c r="PMO49" s="83"/>
      <c r="PMP49" s="83"/>
      <c r="PMQ49" s="83"/>
      <c r="PMR49" s="83"/>
      <c r="PMS49" s="83"/>
      <c r="PMT49" s="83"/>
      <c r="PMU49" s="83"/>
      <c r="PMV49" s="83"/>
      <c r="PMW49" s="83"/>
      <c r="PMX49" s="83"/>
      <c r="PMY49" s="83"/>
      <c r="PMZ49" s="83"/>
      <c r="PNA49" s="83"/>
      <c r="PNB49" s="83"/>
      <c r="PNC49" s="83"/>
      <c r="PND49" s="83"/>
      <c r="PNE49" s="83"/>
      <c r="PNF49" s="83"/>
      <c r="PNG49" s="83"/>
      <c r="PNH49" s="83"/>
      <c r="PNI49" s="83"/>
      <c r="PNJ49" s="83"/>
      <c r="PNK49" s="83"/>
      <c r="PNL49" s="83"/>
      <c r="PNM49" s="83"/>
      <c r="PNN49" s="83"/>
      <c r="PNO49" s="83"/>
      <c r="PNP49" s="83"/>
      <c r="PNQ49" s="83"/>
      <c r="PNR49" s="83"/>
      <c r="PNS49" s="83"/>
      <c r="PNT49" s="83"/>
      <c r="PNU49" s="83"/>
      <c r="PNV49" s="83"/>
      <c r="PNW49" s="83"/>
      <c r="PNX49" s="83"/>
      <c r="PNY49" s="83"/>
      <c r="PNZ49" s="83"/>
      <c r="POA49" s="83"/>
      <c r="POB49" s="83"/>
      <c r="POC49" s="83"/>
      <c r="POD49" s="83"/>
      <c r="POE49" s="83"/>
      <c r="POF49" s="83"/>
      <c r="POG49" s="83"/>
      <c r="POH49" s="83"/>
      <c r="POI49" s="83"/>
      <c r="POJ49" s="83"/>
      <c r="POK49" s="83"/>
      <c r="POL49" s="83"/>
      <c r="POM49" s="83"/>
      <c r="PON49" s="83"/>
      <c r="POO49" s="83"/>
      <c r="POP49" s="83"/>
      <c r="POQ49" s="83"/>
      <c r="POR49" s="83"/>
      <c r="POS49" s="83"/>
      <c r="POT49" s="83"/>
      <c r="POU49" s="83"/>
      <c r="POV49" s="83"/>
      <c r="POW49" s="83"/>
      <c r="POX49" s="83"/>
      <c r="POY49" s="83"/>
      <c r="POZ49" s="83"/>
      <c r="PPA49" s="83"/>
      <c r="PPB49" s="83"/>
      <c r="PPC49" s="83"/>
      <c r="PPD49" s="83"/>
      <c r="PPE49" s="83"/>
      <c r="PPF49" s="83"/>
      <c r="PPG49" s="83"/>
      <c r="PPH49" s="83"/>
      <c r="PPI49" s="83"/>
      <c r="PPJ49" s="83"/>
      <c r="PPK49" s="83"/>
      <c r="PPL49" s="83"/>
      <c r="PPM49" s="83"/>
      <c r="PPN49" s="83"/>
      <c r="PPO49" s="83"/>
      <c r="PPP49" s="83"/>
      <c r="PPQ49" s="83"/>
      <c r="PPR49" s="83"/>
      <c r="PPS49" s="83"/>
      <c r="PPT49" s="83"/>
      <c r="PPU49" s="83"/>
      <c r="PPV49" s="83"/>
      <c r="PPW49" s="83"/>
      <c r="PPX49" s="83"/>
      <c r="PPY49" s="83"/>
      <c r="PPZ49" s="83"/>
      <c r="PQA49" s="83"/>
      <c r="PQB49" s="83"/>
      <c r="PQC49" s="83"/>
      <c r="PQD49" s="83"/>
      <c r="PQE49" s="83"/>
      <c r="PQF49" s="83"/>
      <c r="PQG49" s="83"/>
      <c r="PQH49" s="83"/>
      <c r="PQI49" s="83"/>
      <c r="PQJ49" s="83"/>
      <c r="PQK49" s="83"/>
      <c r="PQL49" s="83"/>
      <c r="PQM49" s="83"/>
      <c r="PQN49" s="83"/>
      <c r="PQO49" s="83"/>
      <c r="PQP49" s="83"/>
      <c r="PQQ49" s="83"/>
      <c r="PQR49" s="83"/>
      <c r="PQS49" s="83"/>
      <c r="PQT49" s="83"/>
      <c r="PQU49" s="83"/>
      <c r="PQV49" s="83"/>
      <c r="PQW49" s="83"/>
      <c r="PQX49" s="83"/>
      <c r="PQY49" s="83"/>
      <c r="PQZ49" s="83"/>
      <c r="PRA49" s="83"/>
      <c r="PRB49" s="83"/>
      <c r="PRC49" s="83"/>
      <c r="PRD49" s="83"/>
      <c r="PRE49" s="83"/>
      <c r="PRF49" s="83"/>
      <c r="PRG49" s="83"/>
      <c r="PRH49" s="83"/>
      <c r="PRI49" s="83"/>
      <c r="PRJ49" s="83"/>
      <c r="PRK49" s="83"/>
      <c r="PRL49" s="83"/>
      <c r="PRM49" s="83"/>
      <c r="PRN49" s="83"/>
      <c r="PRO49" s="83"/>
      <c r="PRP49" s="83"/>
      <c r="PRQ49" s="83"/>
      <c r="PRR49" s="83"/>
      <c r="PRS49" s="83"/>
      <c r="PRT49" s="83"/>
      <c r="PRU49" s="83"/>
      <c r="PRV49" s="83"/>
      <c r="PRW49" s="83"/>
      <c r="PRX49" s="83"/>
      <c r="PRY49" s="83"/>
      <c r="PRZ49" s="83"/>
      <c r="PSA49" s="83"/>
      <c r="PSB49" s="83"/>
      <c r="PSC49" s="83"/>
      <c r="PSD49" s="83"/>
      <c r="PSE49" s="83"/>
      <c r="PSF49" s="83"/>
      <c r="PSG49" s="83"/>
      <c r="PSH49" s="83"/>
      <c r="PSI49" s="83"/>
      <c r="PSJ49" s="83"/>
      <c r="PSK49" s="83"/>
      <c r="PSL49" s="83"/>
      <c r="PSM49" s="83"/>
      <c r="PSN49" s="83"/>
      <c r="PSO49" s="83"/>
      <c r="PSP49" s="83"/>
      <c r="PSQ49" s="83"/>
      <c r="PSR49" s="83"/>
      <c r="PSS49" s="83"/>
      <c r="PST49" s="83"/>
      <c r="PSU49" s="83"/>
      <c r="PSV49" s="83"/>
      <c r="PSW49" s="83"/>
      <c r="PSX49" s="83"/>
      <c r="PSY49" s="83"/>
      <c r="PSZ49" s="83"/>
      <c r="PTA49" s="83"/>
      <c r="PTB49" s="83"/>
      <c r="PTC49" s="83"/>
      <c r="PTD49" s="83"/>
      <c r="PTE49" s="83"/>
      <c r="PTF49" s="83"/>
      <c r="PTG49" s="83"/>
      <c r="PTH49" s="83"/>
      <c r="PTI49" s="83"/>
      <c r="PTJ49" s="83"/>
      <c r="PTK49" s="83"/>
      <c r="PTL49" s="83"/>
      <c r="PTM49" s="83"/>
      <c r="PTN49" s="83"/>
      <c r="PTO49" s="83"/>
      <c r="PTP49" s="83"/>
      <c r="PTQ49" s="83"/>
      <c r="PTR49" s="83"/>
      <c r="PTS49" s="83"/>
      <c r="PTT49" s="83"/>
      <c r="PTU49" s="83"/>
      <c r="PTV49" s="83"/>
      <c r="PTW49" s="83"/>
      <c r="PTX49" s="83"/>
      <c r="PTY49" s="83"/>
      <c r="PTZ49" s="83"/>
      <c r="PUA49" s="83"/>
      <c r="PUB49" s="83"/>
      <c r="PUC49" s="83"/>
      <c r="PUD49" s="83"/>
      <c r="PUE49" s="83"/>
      <c r="PUF49" s="83"/>
      <c r="PUG49" s="83"/>
      <c r="PUH49" s="83"/>
      <c r="PUI49" s="83"/>
      <c r="PUJ49" s="83"/>
      <c r="PUK49" s="83"/>
      <c r="PUL49" s="83"/>
      <c r="PUM49" s="83"/>
      <c r="PUN49" s="83"/>
      <c r="PUO49" s="83"/>
      <c r="PUP49" s="83"/>
      <c r="PUQ49" s="83"/>
      <c r="PUR49" s="83"/>
      <c r="PUS49" s="83"/>
      <c r="PUT49" s="83"/>
      <c r="PUU49" s="83"/>
      <c r="PUV49" s="83"/>
      <c r="PUW49" s="83"/>
      <c r="PUX49" s="83"/>
      <c r="PUY49" s="83"/>
      <c r="PUZ49" s="83"/>
      <c r="PVA49" s="83"/>
      <c r="PVB49" s="83"/>
      <c r="PVC49" s="83"/>
      <c r="PVD49" s="83"/>
      <c r="PVE49" s="83"/>
      <c r="PVF49" s="83"/>
      <c r="PVG49" s="83"/>
      <c r="PVH49" s="83"/>
      <c r="PVI49" s="83"/>
      <c r="PVJ49" s="83"/>
      <c r="PVK49" s="83"/>
      <c r="PVL49" s="83"/>
      <c r="PVM49" s="83"/>
      <c r="PVN49" s="83"/>
      <c r="PVO49" s="83"/>
      <c r="PVP49" s="83"/>
      <c r="PVQ49" s="83"/>
      <c r="PVR49" s="83"/>
      <c r="PVS49" s="83"/>
      <c r="PVT49" s="83"/>
      <c r="PVU49" s="83"/>
      <c r="PVV49" s="83"/>
      <c r="PVW49" s="83"/>
      <c r="PVX49" s="83"/>
      <c r="PVY49" s="83"/>
      <c r="PVZ49" s="83"/>
      <c r="PWA49" s="83"/>
      <c r="PWB49" s="83"/>
      <c r="PWC49" s="83"/>
      <c r="PWD49" s="83"/>
      <c r="PWE49" s="83"/>
      <c r="PWF49" s="83"/>
      <c r="PWG49" s="83"/>
      <c r="PWH49" s="83"/>
      <c r="PWI49" s="83"/>
      <c r="PWJ49" s="83"/>
      <c r="PWK49" s="83"/>
      <c r="PWL49" s="83"/>
      <c r="PWM49" s="83"/>
      <c r="PWN49" s="83"/>
      <c r="PWO49" s="83"/>
      <c r="PWP49" s="83"/>
      <c r="PWQ49" s="83"/>
      <c r="PWR49" s="83"/>
      <c r="PWS49" s="83"/>
      <c r="PWT49" s="83"/>
      <c r="PWU49" s="83"/>
      <c r="PWV49" s="83"/>
      <c r="PWW49" s="83"/>
      <c r="PWX49" s="83"/>
      <c r="PWY49" s="83"/>
      <c r="PWZ49" s="83"/>
      <c r="PXA49" s="83"/>
      <c r="PXB49" s="83"/>
      <c r="PXC49" s="83"/>
      <c r="PXD49" s="83"/>
      <c r="PXE49" s="83"/>
      <c r="PXF49" s="83"/>
      <c r="PXG49" s="83"/>
      <c r="PXH49" s="83"/>
      <c r="PXI49" s="83"/>
      <c r="PXJ49" s="83"/>
      <c r="PXK49" s="83"/>
      <c r="PXL49" s="83"/>
      <c r="PXM49" s="83"/>
      <c r="PXN49" s="83"/>
      <c r="PXO49" s="83"/>
      <c r="PXP49" s="83"/>
      <c r="PXQ49" s="83"/>
      <c r="PXR49" s="83"/>
      <c r="PXS49" s="83"/>
      <c r="PXT49" s="83"/>
      <c r="PXU49" s="83"/>
      <c r="PXV49" s="83"/>
      <c r="PXW49" s="83"/>
      <c r="PXX49" s="83"/>
      <c r="PXY49" s="83"/>
      <c r="PXZ49" s="83"/>
      <c r="PYA49" s="83"/>
      <c r="PYB49" s="83"/>
      <c r="PYC49" s="83"/>
      <c r="PYD49" s="83"/>
      <c r="PYE49" s="83"/>
      <c r="PYF49" s="83"/>
      <c r="PYG49" s="83"/>
      <c r="PYH49" s="83"/>
      <c r="PYI49" s="83"/>
      <c r="PYJ49" s="83"/>
      <c r="PYK49" s="83"/>
      <c r="PYL49" s="83"/>
      <c r="PYM49" s="83"/>
      <c r="PYN49" s="83"/>
      <c r="PYO49" s="83"/>
      <c r="PYP49" s="83"/>
      <c r="PYQ49" s="83"/>
      <c r="PYR49" s="83"/>
      <c r="PYS49" s="83"/>
      <c r="PYT49" s="83"/>
      <c r="PYU49" s="83"/>
      <c r="PYV49" s="83"/>
      <c r="PYW49" s="83"/>
      <c r="PYX49" s="83"/>
      <c r="PYY49" s="83"/>
      <c r="PYZ49" s="83"/>
      <c r="PZA49" s="83"/>
      <c r="PZB49" s="83"/>
      <c r="PZC49" s="83"/>
      <c r="PZD49" s="83"/>
      <c r="PZE49" s="83"/>
      <c r="PZF49" s="83"/>
      <c r="PZG49" s="83"/>
      <c r="PZH49" s="83"/>
      <c r="PZI49" s="83"/>
      <c r="PZJ49" s="83"/>
      <c r="PZK49" s="83"/>
      <c r="PZL49" s="83"/>
      <c r="PZM49" s="83"/>
      <c r="PZN49" s="83"/>
      <c r="PZO49" s="83"/>
      <c r="PZP49" s="83"/>
      <c r="PZQ49" s="83"/>
      <c r="PZR49" s="83"/>
      <c r="PZS49" s="83"/>
      <c r="PZT49" s="83"/>
      <c r="PZU49" s="83"/>
      <c r="PZV49" s="83"/>
      <c r="PZW49" s="83"/>
      <c r="PZX49" s="83"/>
      <c r="PZY49" s="83"/>
      <c r="PZZ49" s="83"/>
      <c r="QAA49" s="83"/>
      <c r="QAB49" s="83"/>
      <c r="QAC49" s="83"/>
      <c r="QAD49" s="83"/>
      <c r="QAE49" s="83"/>
      <c r="QAF49" s="83"/>
      <c r="QAG49" s="83"/>
      <c r="QAH49" s="83"/>
      <c r="QAI49" s="83"/>
      <c r="QAJ49" s="83"/>
      <c r="QAK49" s="83"/>
      <c r="QAL49" s="83"/>
      <c r="QAM49" s="83"/>
      <c r="QAN49" s="83"/>
      <c r="QAO49" s="83"/>
      <c r="QAP49" s="83"/>
      <c r="QAQ49" s="83"/>
      <c r="QAR49" s="83"/>
      <c r="QAS49" s="83"/>
      <c r="QAT49" s="83"/>
      <c r="QAU49" s="83"/>
      <c r="QAV49" s="83"/>
      <c r="QAW49" s="83"/>
      <c r="QAX49" s="83"/>
      <c r="QAY49" s="83"/>
      <c r="QAZ49" s="83"/>
      <c r="QBA49" s="83"/>
      <c r="QBB49" s="83"/>
      <c r="QBC49" s="83"/>
      <c r="QBD49" s="83"/>
      <c r="QBE49" s="83"/>
      <c r="QBF49" s="83"/>
      <c r="QBG49" s="83"/>
      <c r="QBH49" s="83"/>
      <c r="QBI49" s="83"/>
      <c r="QBJ49" s="83"/>
      <c r="QBK49" s="83"/>
      <c r="QBL49" s="83"/>
      <c r="QBM49" s="83"/>
      <c r="QBN49" s="83"/>
      <c r="QBO49" s="83"/>
      <c r="QBP49" s="83"/>
      <c r="QBQ49" s="83"/>
      <c r="QBR49" s="83"/>
      <c r="QBS49" s="83"/>
      <c r="QBT49" s="83"/>
      <c r="QBU49" s="83"/>
      <c r="QBV49" s="83"/>
      <c r="QBW49" s="83"/>
      <c r="QBX49" s="83"/>
      <c r="QBY49" s="83"/>
      <c r="QBZ49" s="83"/>
      <c r="QCA49" s="83"/>
      <c r="QCB49" s="83"/>
      <c r="QCC49" s="83"/>
      <c r="QCD49" s="83"/>
      <c r="QCE49" s="83"/>
      <c r="QCF49" s="83"/>
      <c r="QCG49" s="83"/>
      <c r="QCH49" s="83"/>
      <c r="QCI49" s="83"/>
      <c r="QCJ49" s="83"/>
      <c r="QCK49" s="83"/>
      <c r="QCL49" s="83"/>
      <c r="QCM49" s="83"/>
      <c r="QCN49" s="83"/>
      <c r="QCO49" s="83"/>
      <c r="QCP49" s="83"/>
      <c r="QCQ49" s="83"/>
      <c r="QCR49" s="83"/>
      <c r="QCS49" s="83"/>
      <c r="QCT49" s="83"/>
      <c r="QCU49" s="83"/>
      <c r="QCV49" s="83"/>
      <c r="QCW49" s="83"/>
      <c r="QCX49" s="83"/>
      <c r="QCY49" s="83"/>
      <c r="QCZ49" s="83"/>
      <c r="QDA49" s="83"/>
      <c r="QDB49" s="83"/>
      <c r="QDC49" s="83"/>
      <c r="QDD49" s="83"/>
      <c r="QDE49" s="83"/>
      <c r="QDF49" s="83"/>
      <c r="QDG49" s="83"/>
      <c r="QDH49" s="83"/>
      <c r="QDI49" s="83"/>
      <c r="QDJ49" s="83"/>
      <c r="QDK49" s="83"/>
      <c r="QDL49" s="83"/>
      <c r="QDM49" s="83"/>
      <c r="QDN49" s="83"/>
      <c r="QDO49" s="83"/>
      <c r="QDP49" s="83"/>
      <c r="QDQ49" s="83"/>
      <c r="QDR49" s="83"/>
      <c r="QDS49" s="83"/>
      <c r="QDT49" s="83"/>
      <c r="QDU49" s="83"/>
      <c r="QDV49" s="83"/>
      <c r="QDW49" s="83"/>
      <c r="QDX49" s="83"/>
      <c r="QDY49" s="83"/>
      <c r="QDZ49" s="83"/>
      <c r="QEA49" s="83"/>
      <c r="QEB49" s="83"/>
      <c r="QEC49" s="83"/>
      <c r="QED49" s="83"/>
      <c r="QEE49" s="83"/>
      <c r="QEF49" s="83"/>
      <c r="QEG49" s="83"/>
      <c r="QEH49" s="83"/>
      <c r="QEI49" s="83"/>
      <c r="QEJ49" s="83"/>
      <c r="QEK49" s="83"/>
      <c r="QEL49" s="83"/>
      <c r="QEM49" s="83"/>
      <c r="QEN49" s="83"/>
      <c r="QEO49" s="83"/>
      <c r="QEP49" s="83"/>
      <c r="QEQ49" s="83"/>
      <c r="QER49" s="83"/>
      <c r="QES49" s="83"/>
      <c r="QET49" s="83"/>
      <c r="QEU49" s="83"/>
      <c r="QEV49" s="83"/>
      <c r="QEW49" s="83"/>
      <c r="QEX49" s="83"/>
      <c r="QEY49" s="83"/>
      <c r="QEZ49" s="83"/>
      <c r="QFA49" s="83"/>
      <c r="QFB49" s="83"/>
      <c r="QFC49" s="83"/>
      <c r="QFD49" s="83"/>
      <c r="QFE49" s="83"/>
      <c r="QFF49" s="83"/>
      <c r="QFG49" s="83"/>
      <c r="QFH49" s="83"/>
      <c r="QFI49" s="83"/>
      <c r="QFJ49" s="83"/>
      <c r="QFK49" s="83"/>
      <c r="QFL49" s="83"/>
      <c r="QFM49" s="83"/>
      <c r="QFN49" s="83"/>
      <c r="QFO49" s="83"/>
      <c r="QFP49" s="83"/>
      <c r="QFQ49" s="83"/>
      <c r="QFR49" s="83"/>
      <c r="QFS49" s="83"/>
      <c r="QFT49" s="83"/>
      <c r="QFU49" s="83"/>
      <c r="QFV49" s="83"/>
      <c r="QFW49" s="83"/>
      <c r="QFX49" s="83"/>
      <c r="QFY49" s="83"/>
      <c r="QFZ49" s="83"/>
      <c r="QGA49" s="83"/>
      <c r="QGB49" s="83"/>
      <c r="QGC49" s="83"/>
      <c r="QGD49" s="83"/>
      <c r="QGE49" s="83"/>
      <c r="QGF49" s="83"/>
      <c r="QGG49" s="83"/>
      <c r="QGH49" s="83"/>
      <c r="QGI49" s="83"/>
      <c r="QGJ49" s="83"/>
      <c r="QGK49" s="83"/>
      <c r="QGL49" s="83"/>
      <c r="QGM49" s="83"/>
      <c r="QGN49" s="83"/>
      <c r="QGO49" s="83"/>
      <c r="QGP49" s="83"/>
      <c r="QGQ49" s="83"/>
      <c r="QGR49" s="83"/>
      <c r="QGS49" s="83"/>
      <c r="QGT49" s="83"/>
      <c r="QGU49" s="83"/>
      <c r="QGV49" s="83"/>
      <c r="QGW49" s="83"/>
      <c r="QGX49" s="83"/>
      <c r="QGY49" s="83"/>
      <c r="QGZ49" s="83"/>
      <c r="QHA49" s="83"/>
      <c r="QHB49" s="83"/>
      <c r="QHC49" s="83"/>
      <c r="QHD49" s="83"/>
      <c r="QHE49" s="83"/>
      <c r="QHF49" s="83"/>
      <c r="QHG49" s="83"/>
      <c r="QHH49" s="83"/>
      <c r="QHI49" s="83"/>
      <c r="QHJ49" s="83"/>
      <c r="QHK49" s="83"/>
      <c r="QHL49" s="83"/>
      <c r="QHM49" s="83"/>
      <c r="QHN49" s="83"/>
      <c r="QHO49" s="83"/>
      <c r="QHP49" s="83"/>
      <c r="QHQ49" s="83"/>
      <c r="QHR49" s="83"/>
      <c r="QHS49" s="83"/>
      <c r="QHT49" s="83"/>
      <c r="QHU49" s="83"/>
      <c r="QHV49" s="83"/>
      <c r="QHW49" s="83"/>
      <c r="QHX49" s="83"/>
      <c r="QHY49" s="83"/>
      <c r="QHZ49" s="83"/>
      <c r="QIA49" s="83"/>
      <c r="QIB49" s="83"/>
      <c r="QIC49" s="83"/>
      <c r="QID49" s="83"/>
      <c r="QIE49" s="83"/>
      <c r="QIF49" s="83"/>
      <c r="QIG49" s="83"/>
      <c r="QIH49" s="83"/>
      <c r="QII49" s="83"/>
      <c r="QIJ49" s="83"/>
      <c r="QIK49" s="83"/>
      <c r="QIL49" s="83"/>
      <c r="QIM49" s="83"/>
      <c r="QIN49" s="83"/>
      <c r="QIO49" s="83"/>
      <c r="QIP49" s="83"/>
      <c r="QIQ49" s="83"/>
      <c r="QIR49" s="83"/>
      <c r="QIS49" s="83"/>
      <c r="QIT49" s="83"/>
      <c r="QIU49" s="83"/>
      <c r="QIV49" s="83"/>
      <c r="QIW49" s="83"/>
      <c r="QIX49" s="83"/>
      <c r="QIY49" s="83"/>
      <c r="QIZ49" s="83"/>
      <c r="QJA49" s="83"/>
      <c r="QJB49" s="83"/>
      <c r="QJC49" s="83"/>
      <c r="QJD49" s="83"/>
      <c r="QJE49" s="83"/>
      <c r="QJF49" s="83"/>
      <c r="QJG49" s="83"/>
      <c r="QJH49" s="83"/>
      <c r="QJI49" s="83"/>
      <c r="QJJ49" s="83"/>
      <c r="QJK49" s="83"/>
      <c r="QJL49" s="83"/>
      <c r="QJM49" s="83"/>
      <c r="QJN49" s="83"/>
      <c r="QJO49" s="83"/>
      <c r="QJP49" s="83"/>
      <c r="QJQ49" s="83"/>
      <c r="QJR49" s="83"/>
      <c r="QJS49" s="83"/>
      <c r="QJT49" s="83"/>
      <c r="QJU49" s="83"/>
      <c r="QJV49" s="83"/>
      <c r="QJW49" s="83"/>
      <c r="QJX49" s="83"/>
      <c r="QJY49" s="83"/>
      <c r="QJZ49" s="83"/>
      <c r="QKA49" s="83"/>
      <c r="QKB49" s="83"/>
      <c r="QKC49" s="83"/>
      <c r="QKD49" s="83"/>
      <c r="QKE49" s="83"/>
      <c r="QKF49" s="83"/>
      <c r="QKG49" s="83"/>
      <c r="QKH49" s="83"/>
      <c r="QKI49" s="83"/>
      <c r="QKJ49" s="83"/>
      <c r="QKK49" s="83"/>
      <c r="QKL49" s="83"/>
      <c r="QKM49" s="83"/>
      <c r="QKN49" s="83"/>
      <c r="QKO49" s="83"/>
      <c r="QKP49" s="83"/>
      <c r="QKQ49" s="83"/>
      <c r="QKR49" s="83"/>
      <c r="QKS49" s="83"/>
      <c r="QKT49" s="83"/>
      <c r="QKU49" s="83"/>
      <c r="QKV49" s="83"/>
      <c r="QKW49" s="83"/>
      <c r="QKX49" s="83"/>
      <c r="QKY49" s="83"/>
      <c r="QKZ49" s="83"/>
      <c r="QLA49" s="83"/>
      <c r="QLB49" s="83"/>
      <c r="QLC49" s="83"/>
      <c r="QLD49" s="83"/>
      <c r="QLE49" s="83"/>
      <c r="QLF49" s="83"/>
      <c r="QLG49" s="83"/>
      <c r="QLH49" s="83"/>
      <c r="QLI49" s="83"/>
      <c r="QLJ49" s="83"/>
      <c r="QLK49" s="83"/>
      <c r="QLL49" s="83"/>
      <c r="QLM49" s="83"/>
      <c r="QLN49" s="83"/>
      <c r="QLO49" s="83"/>
      <c r="QLP49" s="83"/>
      <c r="QLQ49" s="83"/>
      <c r="QLR49" s="83"/>
      <c r="QLS49" s="83"/>
      <c r="QLT49" s="83"/>
      <c r="QLU49" s="83"/>
      <c r="QLV49" s="83"/>
      <c r="QLW49" s="83"/>
      <c r="QLX49" s="83"/>
      <c r="QLY49" s="83"/>
      <c r="QLZ49" s="83"/>
      <c r="QMA49" s="83"/>
      <c r="QMB49" s="83"/>
      <c r="QMC49" s="83"/>
      <c r="QMD49" s="83"/>
      <c r="QME49" s="83"/>
      <c r="QMF49" s="83"/>
      <c r="QMG49" s="83"/>
      <c r="QMH49" s="83"/>
      <c r="QMI49" s="83"/>
      <c r="QMJ49" s="83"/>
      <c r="QMK49" s="83"/>
      <c r="QML49" s="83"/>
      <c r="QMM49" s="83"/>
      <c r="QMN49" s="83"/>
      <c r="QMO49" s="83"/>
      <c r="QMP49" s="83"/>
      <c r="QMQ49" s="83"/>
      <c r="QMR49" s="83"/>
      <c r="QMS49" s="83"/>
      <c r="QMT49" s="83"/>
      <c r="QMU49" s="83"/>
      <c r="QMV49" s="83"/>
      <c r="QMW49" s="83"/>
      <c r="QMX49" s="83"/>
      <c r="QMY49" s="83"/>
      <c r="QMZ49" s="83"/>
      <c r="QNA49" s="83"/>
      <c r="QNB49" s="83"/>
      <c r="QNC49" s="83"/>
      <c r="QND49" s="83"/>
      <c r="QNE49" s="83"/>
      <c r="QNF49" s="83"/>
      <c r="QNG49" s="83"/>
      <c r="QNH49" s="83"/>
      <c r="QNI49" s="83"/>
      <c r="QNJ49" s="83"/>
      <c r="QNK49" s="83"/>
      <c r="QNL49" s="83"/>
      <c r="QNM49" s="83"/>
      <c r="QNN49" s="83"/>
      <c r="QNO49" s="83"/>
      <c r="QNP49" s="83"/>
      <c r="QNQ49" s="83"/>
      <c r="QNR49" s="83"/>
      <c r="QNS49" s="83"/>
      <c r="QNT49" s="83"/>
      <c r="QNU49" s="83"/>
      <c r="QNV49" s="83"/>
      <c r="QNW49" s="83"/>
      <c r="QNX49" s="83"/>
      <c r="QNY49" s="83"/>
      <c r="QNZ49" s="83"/>
      <c r="QOA49" s="83"/>
      <c r="QOB49" s="83"/>
      <c r="QOC49" s="83"/>
      <c r="QOD49" s="83"/>
      <c r="QOE49" s="83"/>
      <c r="QOF49" s="83"/>
      <c r="QOG49" s="83"/>
      <c r="QOH49" s="83"/>
      <c r="QOI49" s="83"/>
      <c r="QOJ49" s="83"/>
      <c r="QOK49" s="83"/>
      <c r="QOL49" s="83"/>
      <c r="QOM49" s="83"/>
      <c r="QON49" s="83"/>
      <c r="QOO49" s="83"/>
      <c r="QOP49" s="83"/>
      <c r="QOQ49" s="83"/>
      <c r="QOR49" s="83"/>
      <c r="QOS49" s="83"/>
      <c r="QOT49" s="83"/>
      <c r="QOU49" s="83"/>
      <c r="QOV49" s="83"/>
      <c r="QOW49" s="83"/>
      <c r="QOX49" s="83"/>
      <c r="QOY49" s="83"/>
      <c r="QOZ49" s="83"/>
      <c r="QPA49" s="83"/>
      <c r="QPB49" s="83"/>
      <c r="QPC49" s="83"/>
      <c r="QPD49" s="83"/>
      <c r="QPE49" s="83"/>
      <c r="QPF49" s="83"/>
      <c r="QPG49" s="83"/>
      <c r="QPH49" s="83"/>
      <c r="QPI49" s="83"/>
      <c r="QPJ49" s="83"/>
      <c r="QPK49" s="83"/>
      <c r="QPL49" s="83"/>
      <c r="QPM49" s="83"/>
      <c r="QPN49" s="83"/>
      <c r="QPO49" s="83"/>
      <c r="QPP49" s="83"/>
      <c r="QPQ49" s="83"/>
      <c r="QPR49" s="83"/>
      <c r="QPS49" s="83"/>
      <c r="QPT49" s="83"/>
      <c r="QPU49" s="83"/>
      <c r="QPV49" s="83"/>
      <c r="QPW49" s="83"/>
      <c r="QPX49" s="83"/>
      <c r="QPY49" s="83"/>
      <c r="QPZ49" s="83"/>
      <c r="QQA49" s="83"/>
      <c r="QQB49" s="83"/>
      <c r="QQC49" s="83"/>
      <c r="QQD49" s="83"/>
      <c r="QQE49" s="83"/>
      <c r="QQF49" s="83"/>
      <c r="QQG49" s="83"/>
      <c r="QQH49" s="83"/>
      <c r="QQI49" s="83"/>
      <c r="QQJ49" s="83"/>
      <c r="QQK49" s="83"/>
      <c r="QQL49" s="83"/>
      <c r="QQM49" s="83"/>
      <c r="QQN49" s="83"/>
      <c r="QQO49" s="83"/>
      <c r="QQP49" s="83"/>
      <c r="QQQ49" s="83"/>
      <c r="QQR49" s="83"/>
      <c r="QQS49" s="83"/>
      <c r="QQT49" s="83"/>
      <c r="QQU49" s="83"/>
      <c r="QQV49" s="83"/>
      <c r="QQW49" s="83"/>
      <c r="QQX49" s="83"/>
      <c r="QQY49" s="83"/>
      <c r="QQZ49" s="83"/>
      <c r="QRA49" s="83"/>
      <c r="QRB49" s="83"/>
      <c r="QRC49" s="83"/>
      <c r="QRD49" s="83"/>
      <c r="QRE49" s="83"/>
      <c r="QRF49" s="83"/>
      <c r="QRG49" s="83"/>
      <c r="QRH49" s="83"/>
      <c r="QRI49" s="83"/>
      <c r="QRJ49" s="83"/>
      <c r="QRK49" s="83"/>
      <c r="QRL49" s="83"/>
      <c r="QRM49" s="83"/>
      <c r="QRN49" s="83"/>
      <c r="QRO49" s="83"/>
      <c r="QRP49" s="83"/>
      <c r="QRQ49" s="83"/>
      <c r="QRR49" s="83"/>
      <c r="QRS49" s="83"/>
      <c r="QRT49" s="83"/>
      <c r="QRU49" s="83"/>
      <c r="QRV49" s="83"/>
      <c r="QRW49" s="83"/>
      <c r="QRX49" s="83"/>
      <c r="QRY49" s="83"/>
      <c r="QRZ49" s="83"/>
      <c r="QSA49" s="83"/>
      <c r="QSB49" s="83"/>
      <c r="QSC49" s="83"/>
      <c r="QSD49" s="83"/>
      <c r="QSE49" s="83"/>
      <c r="QSF49" s="83"/>
      <c r="QSG49" s="83"/>
      <c r="QSH49" s="83"/>
      <c r="QSI49" s="83"/>
      <c r="QSJ49" s="83"/>
      <c r="QSK49" s="83"/>
      <c r="QSL49" s="83"/>
      <c r="QSM49" s="83"/>
      <c r="QSN49" s="83"/>
      <c r="QSO49" s="83"/>
      <c r="QSP49" s="83"/>
      <c r="QSQ49" s="83"/>
      <c r="QSR49" s="83"/>
      <c r="QSS49" s="83"/>
      <c r="QST49" s="83"/>
      <c r="QSU49" s="83"/>
      <c r="QSV49" s="83"/>
      <c r="QSW49" s="83"/>
      <c r="QSX49" s="83"/>
      <c r="QSY49" s="83"/>
      <c r="QSZ49" s="83"/>
      <c r="QTA49" s="83"/>
      <c r="QTB49" s="83"/>
      <c r="QTC49" s="83"/>
      <c r="QTD49" s="83"/>
      <c r="QTE49" s="83"/>
      <c r="QTF49" s="83"/>
      <c r="QTG49" s="83"/>
      <c r="QTH49" s="83"/>
      <c r="QTI49" s="83"/>
      <c r="QTJ49" s="83"/>
      <c r="QTK49" s="83"/>
      <c r="QTL49" s="83"/>
      <c r="QTM49" s="83"/>
      <c r="QTN49" s="83"/>
      <c r="QTO49" s="83"/>
      <c r="QTP49" s="83"/>
      <c r="QTQ49" s="83"/>
      <c r="QTR49" s="83"/>
      <c r="QTS49" s="83"/>
      <c r="QTT49" s="83"/>
      <c r="QTU49" s="83"/>
      <c r="QTV49" s="83"/>
      <c r="QTW49" s="83"/>
      <c r="QTX49" s="83"/>
      <c r="QTY49" s="83"/>
      <c r="QTZ49" s="83"/>
      <c r="QUA49" s="83"/>
      <c r="QUB49" s="83"/>
      <c r="QUC49" s="83"/>
      <c r="QUD49" s="83"/>
      <c r="QUE49" s="83"/>
      <c r="QUF49" s="83"/>
      <c r="QUG49" s="83"/>
      <c r="QUH49" s="83"/>
      <c r="QUI49" s="83"/>
      <c r="QUJ49" s="83"/>
      <c r="QUK49" s="83"/>
      <c r="QUL49" s="83"/>
      <c r="QUM49" s="83"/>
      <c r="QUN49" s="83"/>
      <c r="QUO49" s="83"/>
      <c r="QUP49" s="83"/>
      <c r="QUQ49" s="83"/>
      <c r="QUR49" s="83"/>
      <c r="QUS49" s="83"/>
      <c r="QUT49" s="83"/>
      <c r="QUU49" s="83"/>
      <c r="QUV49" s="83"/>
      <c r="QUW49" s="83"/>
      <c r="QUX49" s="83"/>
      <c r="QUY49" s="83"/>
      <c r="QUZ49" s="83"/>
      <c r="QVA49" s="83"/>
      <c r="QVB49" s="83"/>
      <c r="QVC49" s="83"/>
      <c r="QVD49" s="83"/>
      <c r="QVE49" s="83"/>
      <c r="QVF49" s="83"/>
      <c r="QVG49" s="83"/>
      <c r="QVH49" s="83"/>
      <c r="QVI49" s="83"/>
      <c r="QVJ49" s="83"/>
      <c r="QVK49" s="83"/>
      <c r="QVL49" s="83"/>
      <c r="QVM49" s="83"/>
      <c r="QVN49" s="83"/>
      <c r="QVO49" s="83"/>
      <c r="QVP49" s="83"/>
      <c r="QVQ49" s="83"/>
      <c r="QVR49" s="83"/>
      <c r="QVS49" s="83"/>
      <c r="QVT49" s="83"/>
      <c r="QVU49" s="83"/>
      <c r="QVV49" s="83"/>
      <c r="QVW49" s="83"/>
      <c r="QVX49" s="83"/>
      <c r="QVY49" s="83"/>
      <c r="QVZ49" s="83"/>
      <c r="QWA49" s="83"/>
      <c r="QWB49" s="83"/>
      <c r="QWC49" s="83"/>
      <c r="QWD49" s="83"/>
      <c r="QWE49" s="83"/>
      <c r="QWF49" s="83"/>
      <c r="QWG49" s="83"/>
      <c r="QWH49" s="83"/>
      <c r="QWI49" s="83"/>
      <c r="QWJ49" s="83"/>
      <c r="QWK49" s="83"/>
      <c r="QWL49" s="83"/>
      <c r="QWM49" s="83"/>
      <c r="QWN49" s="83"/>
      <c r="QWO49" s="83"/>
      <c r="QWP49" s="83"/>
      <c r="QWQ49" s="83"/>
      <c r="QWR49" s="83"/>
      <c r="QWS49" s="83"/>
      <c r="QWT49" s="83"/>
      <c r="QWU49" s="83"/>
      <c r="QWV49" s="83"/>
      <c r="QWW49" s="83"/>
      <c r="QWX49" s="83"/>
      <c r="QWY49" s="83"/>
      <c r="QWZ49" s="83"/>
      <c r="QXA49" s="83"/>
      <c r="QXB49" s="83"/>
      <c r="QXC49" s="83"/>
      <c r="QXD49" s="83"/>
      <c r="QXE49" s="83"/>
      <c r="QXF49" s="83"/>
      <c r="QXG49" s="83"/>
      <c r="QXH49" s="83"/>
      <c r="QXI49" s="83"/>
      <c r="QXJ49" s="83"/>
      <c r="QXK49" s="83"/>
      <c r="QXL49" s="83"/>
      <c r="QXM49" s="83"/>
      <c r="QXN49" s="83"/>
      <c r="QXO49" s="83"/>
      <c r="QXP49" s="83"/>
      <c r="QXQ49" s="83"/>
      <c r="QXR49" s="83"/>
      <c r="QXS49" s="83"/>
      <c r="QXT49" s="83"/>
      <c r="QXU49" s="83"/>
      <c r="QXV49" s="83"/>
      <c r="QXW49" s="83"/>
      <c r="QXX49" s="83"/>
      <c r="QXY49" s="83"/>
      <c r="QXZ49" s="83"/>
      <c r="QYA49" s="83"/>
      <c r="QYB49" s="83"/>
      <c r="QYC49" s="83"/>
      <c r="QYD49" s="83"/>
      <c r="QYE49" s="83"/>
      <c r="QYF49" s="83"/>
      <c r="QYG49" s="83"/>
      <c r="QYH49" s="83"/>
      <c r="QYI49" s="83"/>
      <c r="QYJ49" s="83"/>
      <c r="QYK49" s="83"/>
      <c r="QYL49" s="83"/>
      <c r="QYM49" s="83"/>
      <c r="QYN49" s="83"/>
      <c r="QYO49" s="83"/>
      <c r="QYP49" s="83"/>
      <c r="QYQ49" s="83"/>
      <c r="QYR49" s="83"/>
      <c r="QYS49" s="83"/>
      <c r="QYT49" s="83"/>
      <c r="QYU49" s="83"/>
      <c r="QYV49" s="83"/>
      <c r="QYW49" s="83"/>
      <c r="QYX49" s="83"/>
      <c r="QYY49" s="83"/>
      <c r="QYZ49" s="83"/>
      <c r="QZA49" s="83"/>
      <c r="QZB49" s="83"/>
      <c r="QZC49" s="83"/>
      <c r="QZD49" s="83"/>
      <c r="QZE49" s="83"/>
      <c r="QZF49" s="83"/>
      <c r="QZG49" s="83"/>
      <c r="QZH49" s="83"/>
      <c r="QZI49" s="83"/>
      <c r="QZJ49" s="83"/>
      <c r="QZK49" s="83"/>
      <c r="QZL49" s="83"/>
      <c r="QZM49" s="83"/>
      <c r="QZN49" s="83"/>
      <c r="QZO49" s="83"/>
      <c r="QZP49" s="83"/>
      <c r="QZQ49" s="83"/>
      <c r="QZR49" s="83"/>
      <c r="QZS49" s="83"/>
      <c r="QZT49" s="83"/>
      <c r="QZU49" s="83"/>
      <c r="QZV49" s="83"/>
      <c r="QZW49" s="83"/>
      <c r="QZX49" s="83"/>
      <c r="QZY49" s="83"/>
      <c r="QZZ49" s="83"/>
      <c r="RAA49" s="83"/>
      <c r="RAB49" s="83"/>
      <c r="RAC49" s="83"/>
      <c r="RAD49" s="83"/>
      <c r="RAE49" s="83"/>
      <c r="RAF49" s="83"/>
      <c r="RAG49" s="83"/>
      <c r="RAH49" s="83"/>
      <c r="RAI49" s="83"/>
      <c r="RAJ49" s="83"/>
      <c r="RAK49" s="83"/>
      <c r="RAL49" s="83"/>
      <c r="RAM49" s="83"/>
      <c r="RAN49" s="83"/>
      <c r="RAO49" s="83"/>
      <c r="RAP49" s="83"/>
      <c r="RAQ49" s="83"/>
      <c r="RAR49" s="83"/>
      <c r="RAS49" s="83"/>
      <c r="RAT49" s="83"/>
      <c r="RAU49" s="83"/>
      <c r="RAV49" s="83"/>
      <c r="RAW49" s="83"/>
      <c r="RAX49" s="83"/>
      <c r="RAY49" s="83"/>
      <c r="RAZ49" s="83"/>
      <c r="RBA49" s="83"/>
      <c r="RBB49" s="83"/>
      <c r="RBC49" s="83"/>
      <c r="RBD49" s="83"/>
      <c r="RBE49" s="83"/>
      <c r="RBF49" s="83"/>
      <c r="RBG49" s="83"/>
      <c r="RBH49" s="83"/>
      <c r="RBI49" s="83"/>
      <c r="RBJ49" s="83"/>
      <c r="RBK49" s="83"/>
      <c r="RBL49" s="83"/>
      <c r="RBM49" s="83"/>
      <c r="RBN49" s="83"/>
      <c r="RBO49" s="83"/>
      <c r="RBP49" s="83"/>
      <c r="RBQ49" s="83"/>
      <c r="RBR49" s="83"/>
      <c r="RBS49" s="83"/>
      <c r="RBT49" s="83"/>
      <c r="RBU49" s="83"/>
      <c r="RBV49" s="83"/>
      <c r="RBW49" s="83"/>
      <c r="RBX49" s="83"/>
      <c r="RBY49" s="83"/>
      <c r="RBZ49" s="83"/>
      <c r="RCA49" s="83"/>
      <c r="RCB49" s="83"/>
      <c r="RCC49" s="83"/>
      <c r="RCD49" s="83"/>
      <c r="RCE49" s="83"/>
      <c r="RCF49" s="83"/>
      <c r="RCG49" s="83"/>
      <c r="RCH49" s="83"/>
      <c r="RCI49" s="83"/>
      <c r="RCJ49" s="83"/>
      <c r="RCK49" s="83"/>
      <c r="RCL49" s="83"/>
      <c r="RCM49" s="83"/>
      <c r="RCN49" s="83"/>
      <c r="RCO49" s="83"/>
      <c r="RCP49" s="83"/>
      <c r="RCQ49" s="83"/>
      <c r="RCR49" s="83"/>
      <c r="RCS49" s="83"/>
      <c r="RCT49" s="83"/>
      <c r="RCU49" s="83"/>
      <c r="RCV49" s="83"/>
      <c r="RCW49" s="83"/>
      <c r="RCX49" s="83"/>
      <c r="RCY49" s="83"/>
      <c r="RCZ49" s="83"/>
      <c r="RDA49" s="83"/>
      <c r="RDB49" s="83"/>
      <c r="RDC49" s="83"/>
      <c r="RDD49" s="83"/>
      <c r="RDE49" s="83"/>
      <c r="RDF49" s="83"/>
      <c r="RDG49" s="83"/>
      <c r="RDH49" s="83"/>
      <c r="RDI49" s="83"/>
      <c r="RDJ49" s="83"/>
      <c r="RDK49" s="83"/>
      <c r="RDL49" s="83"/>
      <c r="RDM49" s="83"/>
      <c r="RDN49" s="83"/>
      <c r="RDO49" s="83"/>
      <c r="RDP49" s="83"/>
      <c r="RDQ49" s="83"/>
      <c r="RDR49" s="83"/>
      <c r="RDS49" s="83"/>
      <c r="RDT49" s="83"/>
      <c r="RDU49" s="83"/>
      <c r="RDV49" s="83"/>
      <c r="RDW49" s="83"/>
      <c r="RDX49" s="83"/>
      <c r="RDY49" s="83"/>
      <c r="RDZ49" s="83"/>
      <c r="REA49" s="83"/>
      <c r="REB49" s="83"/>
      <c r="REC49" s="83"/>
      <c r="RED49" s="83"/>
      <c r="REE49" s="83"/>
      <c r="REF49" s="83"/>
      <c r="REG49" s="83"/>
      <c r="REH49" s="83"/>
      <c r="REI49" s="83"/>
      <c r="REJ49" s="83"/>
      <c r="REK49" s="83"/>
      <c r="REL49" s="83"/>
      <c r="REM49" s="83"/>
      <c r="REN49" s="83"/>
      <c r="REO49" s="83"/>
      <c r="REP49" s="83"/>
      <c r="REQ49" s="83"/>
      <c r="RER49" s="83"/>
      <c r="RES49" s="83"/>
      <c r="RET49" s="83"/>
      <c r="REU49" s="83"/>
      <c r="REV49" s="83"/>
      <c r="REW49" s="83"/>
      <c r="REX49" s="83"/>
      <c r="REY49" s="83"/>
      <c r="REZ49" s="83"/>
      <c r="RFA49" s="83"/>
      <c r="RFB49" s="83"/>
      <c r="RFC49" s="83"/>
      <c r="RFD49" s="83"/>
      <c r="RFE49" s="83"/>
      <c r="RFF49" s="83"/>
      <c r="RFG49" s="83"/>
      <c r="RFH49" s="83"/>
      <c r="RFI49" s="83"/>
      <c r="RFJ49" s="83"/>
      <c r="RFK49" s="83"/>
      <c r="RFL49" s="83"/>
      <c r="RFM49" s="83"/>
      <c r="RFN49" s="83"/>
      <c r="RFO49" s="83"/>
      <c r="RFP49" s="83"/>
      <c r="RFQ49" s="83"/>
      <c r="RFR49" s="83"/>
      <c r="RFS49" s="83"/>
      <c r="RFT49" s="83"/>
      <c r="RFU49" s="83"/>
      <c r="RFV49" s="83"/>
      <c r="RFW49" s="83"/>
      <c r="RFX49" s="83"/>
      <c r="RFY49" s="83"/>
      <c r="RFZ49" s="83"/>
      <c r="RGA49" s="83"/>
      <c r="RGB49" s="83"/>
      <c r="RGC49" s="83"/>
      <c r="RGD49" s="83"/>
      <c r="RGE49" s="83"/>
      <c r="RGF49" s="83"/>
      <c r="RGG49" s="83"/>
      <c r="RGH49" s="83"/>
      <c r="RGI49" s="83"/>
      <c r="RGJ49" s="83"/>
      <c r="RGK49" s="83"/>
      <c r="RGL49" s="83"/>
      <c r="RGM49" s="83"/>
      <c r="RGN49" s="83"/>
      <c r="RGO49" s="83"/>
      <c r="RGP49" s="83"/>
      <c r="RGQ49" s="83"/>
      <c r="RGR49" s="83"/>
      <c r="RGS49" s="83"/>
      <c r="RGT49" s="83"/>
      <c r="RGU49" s="83"/>
      <c r="RGV49" s="83"/>
      <c r="RGW49" s="83"/>
      <c r="RGX49" s="83"/>
      <c r="RGY49" s="83"/>
      <c r="RGZ49" s="83"/>
      <c r="RHA49" s="83"/>
      <c r="RHB49" s="83"/>
      <c r="RHC49" s="83"/>
      <c r="RHD49" s="83"/>
      <c r="RHE49" s="83"/>
      <c r="RHF49" s="83"/>
      <c r="RHG49" s="83"/>
      <c r="RHH49" s="83"/>
      <c r="RHI49" s="83"/>
      <c r="RHJ49" s="83"/>
      <c r="RHK49" s="83"/>
      <c r="RHL49" s="83"/>
      <c r="RHM49" s="83"/>
      <c r="RHN49" s="83"/>
      <c r="RHO49" s="83"/>
      <c r="RHP49" s="83"/>
      <c r="RHQ49" s="83"/>
      <c r="RHR49" s="83"/>
      <c r="RHS49" s="83"/>
      <c r="RHT49" s="83"/>
      <c r="RHU49" s="83"/>
      <c r="RHV49" s="83"/>
      <c r="RHW49" s="83"/>
      <c r="RHX49" s="83"/>
      <c r="RHY49" s="83"/>
      <c r="RHZ49" s="83"/>
      <c r="RIA49" s="83"/>
      <c r="RIB49" s="83"/>
      <c r="RIC49" s="83"/>
      <c r="RID49" s="83"/>
      <c r="RIE49" s="83"/>
      <c r="RIF49" s="83"/>
      <c r="RIG49" s="83"/>
      <c r="RIH49" s="83"/>
      <c r="RII49" s="83"/>
      <c r="RIJ49" s="83"/>
      <c r="RIK49" s="83"/>
      <c r="RIL49" s="83"/>
      <c r="RIM49" s="83"/>
      <c r="RIN49" s="83"/>
      <c r="RIO49" s="83"/>
      <c r="RIP49" s="83"/>
      <c r="RIQ49" s="83"/>
      <c r="RIR49" s="83"/>
      <c r="RIS49" s="83"/>
      <c r="RIT49" s="83"/>
      <c r="RIU49" s="83"/>
      <c r="RIV49" s="83"/>
      <c r="RIW49" s="83"/>
      <c r="RIX49" s="83"/>
      <c r="RIY49" s="83"/>
      <c r="RIZ49" s="83"/>
      <c r="RJA49" s="83"/>
      <c r="RJB49" s="83"/>
      <c r="RJC49" s="83"/>
      <c r="RJD49" s="83"/>
      <c r="RJE49" s="83"/>
      <c r="RJF49" s="83"/>
      <c r="RJG49" s="83"/>
      <c r="RJH49" s="83"/>
      <c r="RJI49" s="83"/>
      <c r="RJJ49" s="83"/>
      <c r="RJK49" s="83"/>
      <c r="RJL49" s="83"/>
      <c r="RJM49" s="83"/>
      <c r="RJN49" s="83"/>
      <c r="RJO49" s="83"/>
      <c r="RJP49" s="83"/>
      <c r="RJQ49" s="83"/>
      <c r="RJR49" s="83"/>
      <c r="RJS49" s="83"/>
      <c r="RJT49" s="83"/>
      <c r="RJU49" s="83"/>
      <c r="RJV49" s="83"/>
      <c r="RJW49" s="83"/>
      <c r="RJX49" s="83"/>
      <c r="RJY49" s="83"/>
      <c r="RJZ49" s="83"/>
      <c r="RKA49" s="83"/>
      <c r="RKB49" s="83"/>
      <c r="RKC49" s="83"/>
      <c r="RKD49" s="83"/>
      <c r="RKE49" s="83"/>
      <c r="RKF49" s="83"/>
      <c r="RKG49" s="83"/>
      <c r="RKH49" s="83"/>
      <c r="RKI49" s="83"/>
      <c r="RKJ49" s="83"/>
      <c r="RKK49" s="83"/>
      <c r="RKL49" s="83"/>
      <c r="RKM49" s="83"/>
      <c r="RKN49" s="83"/>
      <c r="RKO49" s="83"/>
      <c r="RKP49" s="83"/>
      <c r="RKQ49" s="83"/>
      <c r="RKR49" s="83"/>
      <c r="RKS49" s="83"/>
      <c r="RKT49" s="83"/>
      <c r="RKU49" s="83"/>
      <c r="RKV49" s="83"/>
      <c r="RKW49" s="83"/>
      <c r="RKX49" s="83"/>
      <c r="RKY49" s="83"/>
      <c r="RKZ49" s="83"/>
      <c r="RLA49" s="83"/>
      <c r="RLB49" s="83"/>
      <c r="RLC49" s="83"/>
      <c r="RLD49" s="83"/>
      <c r="RLE49" s="83"/>
      <c r="RLF49" s="83"/>
      <c r="RLG49" s="83"/>
      <c r="RLH49" s="83"/>
      <c r="RLI49" s="83"/>
      <c r="RLJ49" s="83"/>
      <c r="RLK49" s="83"/>
      <c r="RLL49" s="83"/>
      <c r="RLM49" s="83"/>
      <c r="RLN49" s="83"/>
      <c r="RLO49" s="83"/>
      <c r="RLP49" s="83"/>
      <c r="RLQ49" s="83"/>
      <c r="RLR49" s="83"/>
      <c r="RLS49" s="83"/>
      <c r="RLT49" s="83"/>
      <c r="RLU49" s="83"/>
      <c r="RLV49" s="83"/>
      <c r="RLW49" s="83"/>
      <c r="RLX49" s="83"/>
      <c r="RLY49" s="83"/>
      <c r="RLZ49" s="83"/>
      <c r="RMA49" s="83"/>
      <c r="RMB49" s="83"/>
      <c r="RMC49" s="83"/>
      <c r="RMD49" s="83"/>
      <c r="RME49" s="83"/>
      <c r="RMF49" s="83"/>
      <c r="RMG49" s="83"/>
      <c r="RMH49" s="83"/>
      <c r="RMI49" s="83"/>
      <c r="RMJ49" s="83"/>
      <c r="RMK49" s="83"/>
      <c r="RML49" s="83"/>
      <c r="RMM49" s="83"/>
      <c r="RMN49" s="83"/>
      <c r="RMO49" s="83"/>
      <c r="RMP49" s="83"/>
      <c r="RMQ49" s="83"/>
      <c r="RMR49" s="83"/>
      <c r="RMS49" s="83"/>
      <c r="RMT49" s="83"/>
      <c r="RMU49" s="83"/>
      <c r="RMV49" s="83"/>
      <c r="RMW49" s="83"/>
      <c r="RMX49" s="83"/>
      <c r="RMY49" s="83"/>
      <c r="RMZ49" s="83"/>
      <c r="RNA49" s="83"/>
      <c r="RNB49" s="83"/>
      <c r="RNC49" s="83"/>
      <c r="RND49" s="83"/>
      <c r="RNE49" s="83"/>
      <c r="RNF49" s="83"/>
      <c r="RNG49" s="83"/>
      <c r="RNH49" s="83"/>
      <c r="RNI49" s="83"/>
      <c r="RNJ49" s="83"/>
      <c r="RNK49" s="83"/>
      <c r="RNL49" s="83"/>
      <c r="RNM49" s="83"/>
      <c r="RNN49" s="83"/>
      <c r="RNO49" s="83"/>
      <c r="RNP49" s="83"/>
      <c r="RNQ49" s="83"/>
      <c r="RNR49" s="83"/>
      <c r="RNS49" s="83"/>
      <c r="RNT49" s="83"/>
      <c r="RNU49" s="83"/>
      <c r="RNV49" s="83"/>
      <c r="RNW49" s="83"/>
      <c r="RNX49" s="83"/>
      <c r="RNY49" s="83"/>
      <c r="RNZ49" s="83"/>
      <c r="ROA49" s="83"/>
      <c r="ROB49" s="83"/>
      <c r="ROC49" s="83"/>
      <c r="ROD49" s="83"/>
      <c r="ROE49" s="83"/>
      <c r="ROF49" s="83"/>
      <c r="ROG49" s="83"/>
      <c r="ROH49" s="83"/>
      <c r="ROI49" s="83"/>
      <c r="ROJ49" s="83"/>
      <c r="ROK49" s="83"/>
      <c r="ROL49" s="83"/>
      <c r="ROM49" s="83"/>
      <c r="RON49" s="83"/>
      <c r="ROO49" s="83"/>
      <c r="ROP49" s="83"/>
      <c r="ROQ49" s="83"/>
      <c r="ROR49" s="83"/>
      <c r="ROS49" s="83"/>
      <c r="ROT49" s="83"/>
      <c r="ROU49" s="83"/>
      <c r="ROV49" s="83"/>
      <c r="ROW49" s="83"/>
      <c r="ROX49" s="83"/>
      <c r="ROY49" s="83"/>
      <c r="ROZ49" s="83"/>
      <c r="RPA49" s="83"/>
      <c r="RPB49" s="83"/>
      <c r="RPC49" s="83"/>
      <c r="RPD49" s="83"/>
      <c r="RPE49" s="83"/>
      <c r="RPF49" s="83"/>
      <c r="RPG49" s="83"/>
      <c r="RPH49" s="83"/>
      <c r="RPI49" s="83"/>
      <c r="RPJ49" s="83"/>
      <c r="RPK49" s="83"/>
      <c r="RPL49" s="83"/>
      <c r="RPM49" s="83"/>
      <c r="RPN49" s="83"/>
      <c r="RPO49" s="83"/>
      <c r="RPP49" s="83"/>
      <c r="RPQ49" s="83"/>
      <c r="RPR49" s="83"/>
      <c r="RPS49" s="83"/>
      <c r="RPT49" s="83"/>
      <c r="RPU49" s="83"/>
      <c r="RPV49" s="83"/>
      <c r="RPW49" s="83"/>
      <c r="RPX49" s="83"/>
      <c r="RPY49" s="83"/>
      <c r="RPZ49" s="83"/>
      <c r="RQA49" s="83"/>
      <c r="RQB49" s="83"/>
      <c r="RQC49" s="83"/>
      <c r="RQD49" s="83"/>
      <c r="RQE49" s="83"/>
      <c r="RQF49" s="83"/>
      <c r="RQG49" s="83"/>
      <c r="RQH49" s="83"/>
      <c r="RQI49" s="83"/>
      <c r="RQJ49" s="83"/>
      <c r="RQK49" s="83"/>
      <c r="RQL49" s="83"/>
      <c r="RQM49" s="83"/>
      <c r="RQN49" s="83"/>
      <c r="RQO49" s="83"/>
      <c r="RQP49" s="83"/>
      <c r="RQQ49" s="83"/>
      <c r="RQR49" s="83"/>
      <c r="RQS49" s="83"/>
      <c r="RQT49" s="83"/>
      <c r="RQU49" s="83"/>
      <c r="RQV49" s="83"/>
      <c r="RQW49" s="83"/>
      <c r="RQX49" s="83"/>
      <c r="RQY49" s="83"/>
      <c r="RQZ49" s="83"/>
      <c r="RRA49" s="83"/>
      <c r="RRB49" s="83"/>
      <c r="RRC49" s="83"/>
      <c r="RRD49" s="83"/>
      <c r="RRE49" s="83"/>
      <c r="RRF49" s="83"/>
      <c r="RRG49" s="83"/>
      <c r="RRH49" s="83"/>
      <c r="RRI49" s="83"/>
      <c r="RRJ49" s="83"/>
      <c r="RRK49" s="83"/>
      <c r="RRL49" s="83"/>
      <c r="RRM49" s="83"/>
      <c r="RRN49" s="83"/>
      <c r="RRO49" s="83"/>
      <c r="RRP49" s="83"/>
      <c r="RRQ49" s="83"/>
      <c r="RRR49" s="83"/>
      <c r="RRS49" s="83"/>
      <c r="RRT49" s="83"/>
      <c r="RRU49" s="83"/>
      <c r="RRV49" s="83"/>
      <c r="RRW49" s="83"/>
      <c r="RRX49" s="83"/>
      <c r="RRY49" s="83"/>
      <c r="RRZ49" s="83"/>
      <c r="RSA49" s="83"/>
      <c r="RSB49" s="83"/>
      <c r="RSC49" s="83"/>
      <c r="RSD49" s="83"/>
      <c r="RSE49" s="83"/>
      <c r="RSF49" s="83"/>
      <c r="RSG49" s="83"/>
      <c r="RSH49" s="83"/>
      <c r="RSI49" s="83"/>
      <c r="RSJ49" s="83"/>
      <c r="RSK49" s="83"/>
      <c r="RSL49" s="83"/>
      <c r="RSM49" s="83"/>
      <c r="RSN49" s="83"/>
      <c r="RSO49" s="83"/>
      <c r="RSP49" s="83"/>
      <c r="RSQ49" s="83"/>
      <c r="RSR49" s="83"/>
      <c r="RSS49" s="83"/>
      <c r="RST49" s="83"/>
      <c r="RSU49" s="83"/>
      <c r="RSV49" s="83"/>
      <c r="RSW49" s="83"/>
      <c r="RSX49" s="83"/>
      <c r="RSY49" s="83"/>
      <c r="RSZ49" s="83"/>
      <c r="RTA49" s="83"/>
      <c r="RTB49" s="83"/>
      <c r="RTC49" s="83"/>
      <c r="RTD49" s="83"/>
      <c r="RTE49" s="83"/>
      <c r="RTF49" s="83"/>
      <c r="RTG49" s="83"/>
      <c r="RTH49" s="83"/>
      <c r="RTI49" s="83"/>
      <c r="RTJ49" s="83"/>
      <c r="RTK49" s="83"/>
      <c r="RTL49" s="83"/>
      <c r="RTM49" s="83"/>
      <c r="RTN49" s="83"/>
      <c r="RTO49" s="83"/>
      <c r="RTP49" s="83"/>
      <c r="RTQ49" s="83"/>
      <c r="RTR49" s="83"/>
      <c r="RTS49" s="83"/>
      <c r="RTT49" s="83"/>
      <c r="RTU49" s="83"/>
      <c r="RTV49" s="83"/>
      <c r="RTW49" s="83"/>
      <c r="RTX49" s="83"/>
      <c r="RTY49" s="83"/>
      <c r="RTZ49" s="83"/>
      <c r="RUA49" s="83"/>
      <c r="RUB49" s="83"/>
      <c r="RUC49" s="83"/>
      <c r="RUD49" s="83"/>
      <c r="RUE49" s="83"/>
      <c r="RUF49" s="83"/>
      <c r="RUG49" s="83"/>
      <c r="RUH49" s="83"/>
      <c r="RUI49" s="83"/>
      <c r="RUJ49" s="83"/>
      <c r="RUK49" s="83"/>
      <c r="RUL49" s="83"/>
      <c r="RUM49" s="83"/>
      <c r="RUN49" s="83"/>
      <c r="RUO49" s="83"/>
      <c r="RUP49" s="83"/>
      <c r="RUQ49" s="83"/>
      <c r="RUR49" s="83"/>
      <c r="RUS49" s="83"/>
      <c r="RUT49" s="83"/>
      <c r="RUU49" s="83"/>
      <c r="RUV49" s="83"/>
      <c r="RUW49" s="83"/>
      <c r="RUX49" s="83"/>
      <c r="RUY49" s="83"/>
      <c r="RUZ49" s="83"/>
      <c r="RVA49" s="83"/>
      <c r="RVB49" s="83"/>
      <c r="RVC49" s="83"/>
      <c r="RVD49" s="83"/>
      <c r="RVE49" s="83"/>
      <c r="RVF49" s="83"/>
      <c r="RVG49" s="83"/>
      <c r="RVH49" s="83"/>
      <c r="RVI49" s="83"/>
      <c r="RVJ49" s="83"/>
      <c r="RVK49" s="83"/>
      <c r="RVL49" s="83"/>
      <c r="RVM49" s="83"/>
      <c r="RVN49" s="83"/>
      <c r="RVO49" s="83"/>
      <c r="RVP49" s="83"/>
      <c r="RVQ49" s="83"/>
      <c r="RVR49" s="83"/>
      <c r="RVS49" s="83"/>
      <c r="RVT49" s="83"/>
      <c r="RVU49" s="83"/>
      <c r="RVV49" s="83"/>
      <c r="RVW49" s="83"/>
      <c r="RVX49" s="83"/>
      <c r="RVY49" s="83"/>
      <c r="RVZ49" s="83"/>
      <c r="RWA49" s="83"/>
      <c r="RWB49" s="83"/>
      <c r="RWC49" s="83"/>
      <c r="RWD49" s="83"/>
      <c r="RWE49" s="83"/>
      <c r="RWF49" s="83"/>
      <c r="RWG49" s="83"/>
      <c r="RWH49" s="83"/>
      <c r="RWI49" s="83"/>
      <c r="RWJ49" s="83"/>
      <c r="RWK49" s="83"/>
      <c r="RWL49" s="83"/>
      <c r="RWM49" s="83"/>
      <c r="RWN49" s="83"/>
      <c r="RWO49" s="83"/>
      <c r="RWP49" s="83"/>
      <c r="RWQ49" s="83"/>
      <c r="RWR49" s="83"/>
      <c r="RWS49" s="83"/>
      <c r="RWT49" s="83"/>
      <c r="RWU49" s="83"/>
      <c r="RWV49" s="83"/>
      <c r="RWW49" s="83"/>
      <c r="RWX49" s="83"/>
      <c r="RWY49" s="83"/>
      <c r="RWZ49" s="83"/>
      <c r="RXA49" s="83"/>
      <c r="RXB49" s="83"/>
      <c r="RXC49" s="83"/>
      <c r="RXD49" s="83"/>
      <c r="RXE49" s="83"/>
      <c r="RXF49" s="83"/>
      <c r="RXG49" s="83"/>
      <c r="RXH49" s="83"/>
      <c r="RXI49" s="83"/>
      <c r="RXJ49" s="83"/>
      <c r="RXK49" s="83"/>
      <c r="RXL49" s="83"/>
      <c r="RXM49" s="83"/>
      <c r="RXN49" s="83"/>
      <c r="RXO49" s="83"/>
      <c r="RXP49" s="83"/>
      <c r="RXQ49" s="83"/>
      <c r="RXR49" s="83"/>
      <c r="RXS49" s="83"/>
      <c r="RXT49" s="83"/>
      <c r="RXU49" s="83"/>
      <c r="RXV49" s="83"/>
      <c r="RXW49" s="83"/>
      <c r="RXX49" s="83"/>
      <c r="RXY49" s="83"/>
      <c r="RXZ49" s="83"/>
      <c r="RYA49" s="83"/>
      <c r="RYB49" s="83"/>
      <c r="RYC49" s="83"/>
      <c r="RYD49" s="83"/>
      <c r="RYE49" s="83"/>
      <c r="RYF49" s="83"/>
      <c r="RYG49" s="83"/>
      <c r="RYH49" s="83"/>
      <c r="RYI49" s="83"/>
      <c r="RYJ49" s="83"/>
      <c r="RYK49" s="83"/>
      <c r="RYL49" s="83"/>
      <c r="RYM49" s="83"/>
      <c r="RYN49" s="83"/>
      <c r="RYO49" s="83"/>
      <c r="RYP49" s="83"/>
      <c r="RYQ49" s="83"/>
      <c r="RYR49" s="83"/>
      <c r="RYS49" s="83"/>
      <c r="RYT49" s="83"/>
      <c r="RYU49" s="83"/>
      <c r="RYV49" s="83"/>
      <c r="RYW49" s="83"/>
      <c r="RYX49" s="83"/>
      <c r="RYY49" s="83"/>
      <c r="RYZ49" s="83"/>
      <c r="RZA49" s="83"/>
      <c r="RZB49" s="83"/>
      <c r="RZC49" s="83"/>
      <c r="RZD49" s="83"/>
      <c r="RZE49" s="83"/>
      <c r="RZF49" s="83"/>
      <c r="RZG49" s="83"/>
      <c r="RZH49" s="83"/>
      <c r="RZI49" s="83"/>
      <c r="RZJ49" s="83"/>
      <c r="RZK49" s="83"/>
      <c r="RZL49" s="83"/>
      <c r="RZM49" s="83"/>
      <c r="RZN49" s="83"/>
      <c r="RZO49" s="83"/>
      <c r="RZP49" s="83"/>
      <c r="RZQ49" s="83"/>
      <c r="RZR49" s="83"/>
      <c r="RZS49" s="83"/>
      <c r="RZT49" s="83"/>
      <c r="RZU49" s="83"/>
      <c r="RZV49" s="83"/>
      <c r="RZW49" s="83"/>
      <c r="RZX49" s="83"/>
      <c r="RZY49" s="83"/>
      <c r="RZZ49" s="83"/>
      <c r="SAA49" s="83"/>
      <c r="SAB49" s="83"/>
      <c r="SAC49" s="83"/>
      <c r="SAD49" s="83"/>
      <c r="SAE49" s="83"/>
      <c r="SAF49" s="83"/>
      <c r="SAG49" s="83"/>
      <c r="SAH49" s="83"/>
      <c r="SAI49" s="83"/>
      <c r="SAJ49" s="83"/>
      <c r="SAK49" s="83"/>
      <c r="SAL49" s="83"/>
      <c r="SAM49" s="83"/>
      <c r="SAN49" s="83"/>
      <c r="SAO49" s="83"/>
      <c r="SAP49" s="83"/>
      <c r="SAQ49" s="83"/>
      <c r="SAR49" s="83"/>
      <c r="SAS49" s="83"/>
      <c r="SAT49" s="83"/>
      <c r="SAU49" s="83"/>
      <c r="SAV49" s="83"/>
      <c r="SAW49" s="83"/>
      <c r="SAX49" s="83"/>
      <c r="SAY49" s="83"/>
      <c r="SAZ49" s="83"/>
      <c r="SBA49" s="83"/>
      <c r="SBB49" s="83"/>
      <c r="SBC49" s="83"/>
      <c r="SBD49" s="83"/>
      <c r="SBE49" s="83"/>
      <c r="SBF49" s="83"/>
      <c r="SBG49" s="83"/>
      <c r="SBH49" s="83"/>
      <c r="SBI49" s="83"/>
      <c r="SBJ49" s="83"/>
      <c r="SBK49" s="83"/>
      <c r="SBL49" s="83"/>
      <c r="SBM49" s="83"/>
      <c r="SBN49" s="83"/>
      <c r="SBO49" s="83"/>
      <c r="SBP49" s="83"/>
      <c r="SBQ49" s="83"/>
      <c r="SBR49" s="83"/>
      <c r="SBS49" s="83"/>
      <c r="SBT49" s="83"/>
      <c r="SBU49" s="83"/>
      <c r="SBV49" s="83"/>
      <c r="SBW49" s="83"/>
      <c r="SBX49" s="83"/>
      <c r="SBY49" s="83"/>
      <c r="SBZ49" s="83"/>
      <c r="SCA49" s="83"/>
      <c r="SCB49" s="83"/>
      <c r="SCC49" s="83"/>
      <c r="SCD49" s="83"/>
      <c r="SCE49" s="83"/>
      <c r="SCF49" s="83"/>
      <c r="SCG49" s="83"/>
      <c r="SCH49" s="83"/>
      <c r="SCI49" s="83"/>
      <c r="SCJ49" s="83"/>
      <c r="SCK49" s="83"/>
      <c r="SCL49" s="83"/>
      <c r="SCM49" s="83"/>
      <c r="SCN49" s="83"/>
      <c r="SCO49" s="83"/>
      <c r="SCP49" s="83"/>
      <c r="SCQ49" s="83"/>
      <c r="SCR49" s="83"/>
      <c r="SCS49" s="83"/>
      <c r="SCT49" s="83"/>
      <c r="SCU49" s="83"/>
      <c r="SCV49" s="83"/>
      <c r="SCW49" s="83"/>
      <c r="SCX49" s="83"/>
      <c r="SCY49" s="83"/>
      <c r="SCZ49" s="83"/>
      <c r="SDA49" s="83"/>
      <c r="SDB49" s="83"/>
      <c r="SDC49" s="83"/>
      <c r="SDD49" s="83"/>
      <c r="SDE49" s="83"/>
      <c r="SDF49" s="83"/>
      <c r="SDG49" s="83"/>
      <c r="SDH49" s="83"/>
      <c r="SDI49" s="83"/>
      <c r="SDJ49" s="83"/>
      <c r="SDK49" s="83"/>
      <c r="SDL49" s="83"/>
      <c r="SDM49" s="83"/>
      <c r="SDN49" s="83"/>
      <c r="SDO49" s="83"/>
      <c r="SDP49" s="83"/>
      <c r="SDQ49" s="83"/>
      <c r="SDR49" s="83"/>
      <c r="SDS49" s="83"/>
      <c r="SDT49" s="83"/>
      <c r="SDU49" s="83"/>
      <c r="SDV49" s="83"/>
      <c r="SDW49" s="83"/>
      <c r="SDX49" s="83"/>
      <c r="SDY49" s="83"/>
      <c r="SDZ49" s="83"/>
      <c r="SEA49" s="83"/>
      <c r="SEB49" s="83"/>
      <c r="SEC49" s="83"/>
      <c r="SED49" s="83"/>
      <c r="SEE49" s="83"/>
      <c r="SEF49" s="83"/>
      <c r="SEG49" s="83"/>
      <c r="SEH49" s="83"/>
      <c r="SEI49" s="83"/>
      <c r="SEJ49" s="83"/>
      <c r="SEK49" s="83"/>
      <c r="SEL49" s="83"/>
      <c r="SEM49" s="83"/>
      <c r="SEN49" s="83"/>
      <c r="SEO49" s="83"/>
      <c r="SEP49" s="83"/>
      <c r="SEQ49" s="83"/>
      <c r="SER49" s="83"/>
      <c r="SES49" s="83"/>
      <c r="SET49" s="83"/>
      <c r="SEU49" s="83"/>
      <c r="SEV49" s="83"/>
      <c r="SEW49" s="83"/>
      <c r="SEX49" s="83"/>
      <c r="SEY49" s="83"/>
      <c r="SEZ49" s="83"/>
      <c r="SFA49" s="83"/>
      <c r="SFB49" s="83"/>
      <c r="SFC49" s="83"/>
      <c r="SFD49" s="83"/>
      <c r="SFE49" s="83"/>
      <c r="SFF49" s="83"/>
      <c r="SFG49" s="83"/>
      <c r="SFH49" s="83"/>
      <c r="SFI49" s="83"/>
      <c r="SFJ49" s="83"/>
      <c r="SFK49" s="83"/>
      <c r="SFL49" s="83"/>
      <c r="SFM49" s="83"/>
      <c r="SFN49" s="83"/>
      <c r="SFO49" s="83"/>
      <c r="SFP49" s="83"/>
      <c r="SFQ49" s="83"/>
      <c r="SFR49" s="83"/>
      <c r="SFS49" s="83"/>
      <c r="SFT49" s="83"/>
      <c r="SFU49" s="83"/>
      <c r="SFV49" s="83"/>
      <c r="SFW49" s="83"/>
      <c r="SFX49" s="83"/>
      <c r="SFY49" s="83"/>
      <c r="SFZ49" s="83"/>
      <c r="SGA49" s="83"/>
      <c r="SGB49" s="83"/>
      <c r="SGC49" s="83"/>
      <c r="SGD49" s="83"/>
      <c r="SGE49" s="83"/>
      <c r="SGF49" s="83"/>
      <c r="SGG49" s="83"/>
      <c r="SGH49" s="83"/>
      <c r="SGI49" s="83"/>
      <c r="SGJ49" s="83"/>
      <c r="SGK49" s="83"/>
      <c r="SGL49" s="83"/>
      <c r="SGM49" s="83"/>
      <c r="SGN49" s="83"/>
      <c r="SGO49" s="83"/>
      <c r="SGP49" s="83"/>
      <c r="SGQ49" s="83"/>
      <c r="SGR49" s="83"/>
      <c r="SGS49" s="83"/>
      <c r="SGT49" s="83"/>
      <c r="SGU49" s="83"/>
      <c r="SGV49" s="83"/>
      <c r="SGW49" s="83"/>
      <c r="SGX49" s="83"/>
      <c r="SGY49" s="83"/>
      <c r="SGZ49" s="83"/>
      <c r="SHA49" s="83"/>
      <c r="SHB49" s="83"/>
      <c r="SHC49" s="83"/>
      <c r="SHD49" s="83"/>
      <c r="SHE49" s="83"/>
      <c r="SHF49" s="83"/>
      <c r="SHG49" s="83"/>
      <c r="SHH49" s="83"/>
      <c r="SHI49" s="83"/>
      <c r="SHJ49" s="83"/>
      <c r="SHK49" s="83"/>
      <c r="SHL49" s="83"/>
      <c r="SHM49" s="83"/>
      <c r="SHN49" s="83"/>
      <c r="SHO49" s="83"/>
      <c r="SHP49" s="83"/>
      <c r="SHQ49" s="83"/>
      <c r="SHR49" s="83"/>
      <c r="SHS49" s="83"/>
      <c r="SHT49" s="83"/>
      <c r="SHU49" s="83"/>
      <c r="SHV49" s="83"/>
      <c r="SHW49" s="83"/>
      <c r="SHX49" s="83"/>
      <c r="SHY49" s="83"/>
      <c r="SHZ49" s="83"/>
      <c r="SIA49" s="83"/>
      <c r="SIB49" s="83"/>
      <c r="SIC49" s="83"/>
      <c r="SID49" s="83"/>
      <c r="SIE49" s="83"/>
      <c r="SIF49" s="83"/>
      <c r="SIG49" s="83"/>
      <c r="SIH49" s="83"/>
      <c r="SII49" s="83"/>
      <c r="SIJ49" s="83"/>
      <c r="SIK49" s="83"/>
      <c r="SIL49" s="83"/>
      <c r="SIM49" s="83"/>
      <c r="SIN49" s="83"/>
      <c r="SIO49" s="83"/>
      <c r="SIP49" s="83"/>
      <c r="SIQ49" s="83"/>
      <c r="SIR49" s="83"/>
      <c r="SIS49" s="83"/>
      <c r="SIT49" s="83"/>
      <c r="SIU49" s="83"/>
      <c r="SIV49" s="83"/>
      <c r="SIW49" s="83"/>
      <c r="SIX49" s="83"/>
      <c r="SIY49" s="83"/>
      <c r="SIZ49" s="83"/>
      <c r="SJA49" s="83"/>
      <c r="SJB49" s="83"/>
      <c r="SJC49" s="83"/>
      <c r="SJD49" s="83"/>
      <c r="SJE49" s="83"/>
      <c r="SJF49" s="83"/>
      <c r="SJG49" s="83"/>
      <c r="SJH49" s="83"/>
      <c r="SJI49" s="83"/>
      <c r="SJJ49" s="83"/>
      <c r="SJK49" s="83"/>
      <c r="SJL49" s="83"/>
      <c r="SJM49" s="83"/>
      <c r="SJN49" s="83"/>
      <c r="SJO49" s="83"/>
      <c r="SJP49" s="83"/>
      <c r="SJQ49" s="83"/>
      <c r="SJR49" s="83"/>
      <c r="SJS49" s="83"/>
      <c r="SJT49" s="83"/>
      <c r="SJU49" s="83"/>
      <c r="SJV49" s="83"/>
      <c r="SJW49" s="83"/>
      <c r="SJX49" s="83"/>
      <c r="SJY49" s="83"/>
      <c r="SJZ49" s="83"/>
      <c r="SKA49" s="83"/>
      <c r="SKB49" s="83"/>
      <c r="SKC49" s="83"/>
      <c r="SKD49" s="83"/>
      <c r="SKE49" s="83"/>
      <c r="SKF49" s="83"/>
      <c r="SKG49" s="83"/>
      <c r="SKH49" s="83"/>
      <c r="SKI49" s="83"/>
      <c r="SKJ49" s="83"/>
      <c r="SKK49" s="83"/>
      <c r="SKL49" s="83"/>
      <c r="SKM49" s="83"/>
      <c r="SKN49" s="83"/>
      <c r="SKO49" s="83"/>
      <c r="SKP49" s="83"/>
      <c r="SKQ49" s="83"/>
      <c r="SKR49" s="83"/>
      <c r="SKS49" s="83"/>
      <c r="SKT49" s="83"/>
      <c r="SKU49" s="83"/>
      <c r="SKV49" s="83"/>
      <c r="SKW49" s="83"/>
      <c r="SKX49" s="83"/>
      <c r="SKY49" s="83"/>
      <c r="SKZ49" s="83"/>
      <c r="SLA49" s="83"/>
      <c r="SLB49" s="83"/>
      <c r="SLC49" s="83"/>
      <c r="SLD49" s="83"/>
      <c r="SLE49" s="83"/>
      <c r="SLF49" s="83"/>
      <c r="SLG49" s="83"/>
      <c r="SLH49" s="83"/>
      <c r="SLI49" s="83"/>
      <c r="SLJ49" s="83"/>
      <c r="SLK49" s="83"/>
      <c r="SLL49" s="83"/>
      <c r="SLM49" s="83"/>
      <c r="SLN49" s="83"/>
      <c r="SLO49" s="83"/>
      <c r="SLP49" s="83"/>
      <c r="SLQ49" s="83"/>
      <c r="SLR49" s="83"/>
      <c r="SLS49" s="83"/>
      <c r="SLT49" s="83"/>
      <c r="SLU49" s="83"/>
      <c r="SLV49" s="83"/>
      <c r="SLW49" s="83"/>
      <c r="SLX49" s="83"/>
      <c r="SLY49" s="83"/>
      <c r="SLZ49" s="83"/>
      <c r="SMA49" s="83"/>
      <c r="SMB49" s="83"/>
      <c r="SMC49" s="83"/>
      <c r="SMD49" s="83"/>
      <c r="SME49" s="83"/>
      <c r="SMF49" s="83"/>
      <c r="SMG49" s="83"/>
      <c r="SMH49" s="83"/>
      <c r="SMI49" s="83"/>
      <c r="SMJ49" s="83"/>
      <c r="SMK49" s="83"/>
      <c r="SML49" s="83"/>
      <c r="SMM49" s="83"/>
      <c r="SMN49" s="83"/>
      <c r="SMO49" s="83"/>
      <c r="SMP49" s="83"/>
      <c r="SMQ49" s="83"/>
      <c r="SMR49" s="83"/>
      <c r="SMS49" s="83"/>
      <c r="SMT49" s="83"/>
      <c r="SMU49" s="83"/>
      <c r="SMV49" s="83"/>
      <c r="SMW49" s="83"/>
      <c r="SMX49" s="83"/>
      <c r="SMY49" s="83"/>
      <c r="SMZ49" s="83"/>
      <c r="SNA49" s="83"/>
      <c r="SNB49" s="83"/>
      <c r="SNC49" s="83"/>
      <c r="SND49" s="83"/>
      <c r="SNE49" s="83"/>
      <c r="SNF49" s="83"/>
      <c r="SNG49" s="83"/>
      <c r="SNH49" s="83"/>
      <c r="SNI49" s="83"/>
      <c r="SNJ49" s="83"/>
      <c r="SNK49" s="83"/>
      <c r="SNL49" s="83"/>
      <c r="SNM49" s="83"/>
      <c r="SNN49" s="83"/>
      <c r="SNO49" s="83"/>
      <c r="SNP49" s="83"/>
      <c r="SNQ49" s="83"/>
      <c r="SNR49" s="83"/>
      <c r="SNS49" s="83"/>
      <c r="SNT49" s="83"/>
      <c r="SNU49" s="83"/>
      <c r="SNV49" s="83"/>
      <c r="SNW49" s="83"/>
      <c r="SNX49" s="83"/>
      <c r="SNY49" s="83"/>
      <c r="SNZ49" s="83"/>
      <c r="SOA49" s="83"/>
      <c r="SOB49" s="83"/>
      <c r="SOC49" s="83"/>
      <c r="SOD49" s="83"/>
      <c r="SOE49" s="83"/>
      <c r="SOF49" s="83"/>
      <c r="SOG49" s="83"/>
      <c r="SOH49" s="83"/>
      <c r="SOI49" s="83"/>
      <c r="SOJ49" s="83"/>
      <c r="SOK49" s="83"/>
      <c r="SOL49" s="83"/>
      <c r="SOM49" s="83"/>
      <c r="SON49" s="83"/>
      <c r="SOO49" s="83"/>
      <c r="SOP49" s="83"/>
      <c r="SOQ49" s="83"/>
      <c r="SOR49" s="83"/>
      <c r="SOS49" s="83"/>
      <c r="SOT49" s="83"/>
      <c r="SOU49" s="83"/>
      <c r="SOV49" s="83"/>
      <c r="SOW49" s="83"/>
      <c r="SOX49" s="83"/>
      <c r="SOY49" s="83"/>
      <c r="SOZ49" s="83"/>
      <c r="SPA49" s="83"/>
      <c r="SPB49" s="83"/>
      <c r="SPC49" s="83"/>
      <c r="SPD49" s="83"/>
      <c r="SPE49" s="83"/>
      <c r="SPF49" s="83"/>
      <c r="SPG49" s="83"/>
      <c r="SPH49" s="83"/>
      <c r="SPI49" s="83"/>
      <c r="SPJ49" s="83"/>
      <c r="SPK49" s="83"/>
      <c r="SPL49" s="83"/>
      <c r="SPM49" s="83"/>
      <c r="SPN49" s="83"/>
      <c r="SPO49" s="83"/>
      <c r="SPP49" s="83"/>
      <c r="SPQ49" s="83"/>
      <c r="SPR49" s="83"/>
      <c r="SPS49" s="83"/>
      <c r="SPT49" s="83"/>
      <c r="SPU49" s="83"/>
      <c r="SPV49" s="83"/>
      <c r="SPW49" s="83"/>
      <c r="SPX49" s="83"/>
      <c r="SPY49" s="83"/>
      <c r="SPZ49" s="83"/>
      <c r="SQA49" s="83"/>
      <c r="SQB49" s="83"/>
      <c r="SQC49" s="83"/>
      <c r="SQD49" s="83"/>
      <c r="SQE49" s="83"/>
      <c r="SQF49" s="83"/>
      <c r="SQG49" s="83"/>
      <c r="SQH49" s="83"/>
      <c r="SQI49" s="83"/>
      <c r="SQJ49" s="83"/>
      <c r="SQK49" s="83"/>
      <c r="SQL49" s="83"/>
      <c r="SQM49" s="83"/>
      <c r="SQN49" s="83"/>
      <c r="SQO49" s="83"/>
      <c r="SQP49" s="83"/>
      <c r="SQQ49" s="83"/>
      <c r="SQR49" s="83"/>
      <c r="SQS49" s="83"/>
      <c r="SQT49" s="83"/>
      <c r="SQU49" s="83"/>
      <c r="SQV49" s="83"/>
      <c r="SQW49" s="83"/>
      <c r="SQX49" s="83"/>
      <c r="SQY49" s="83"/>
      <c r="SQZ49" s="83"/>
      <c r="SRA49" s="83"/>
      <c r="SRB49" s="83"/>
      <c r="SRC49" s="83"/>
      <c r="SRD49" s="83"/>
      <c r="SRE49" s="83"/>
      <c r="SRF49" s="83"/>
      <c r="SRG49" s="83"/>
      <c r="SRH49" s="83"/>
      <c r="SRI49" s="83"/>
      <c r="SRJ49" s="83"/>
      <c r="SRK49" s="83"/>
      <c r="SRL49" s="83"/>
      <c r="SRM49" s="83"/>
      <c r="SRN49" s="83"/>
      <c r="SRO49" s="83"/>
      <c r="SRP49" s="83"/>
      <c r="SRQ49" s="83"/>
      <c r="SRR49" s="83"/>
      <c r="SRS49" s="83"/>
      <c r="SRT49" s="83"/>
      <c r="SRU49" s="83"/>
      <c r="SRV49" s="83"/>
      <c r="SRW49" s="83"/>
      <c r="SRX49" s="83"/>
      <c r="SRY49" s="83"/>
      <c r="SRZ49" s="83"/>
      <c r="SSA49" s="83"/>
      <c r="SSB49" s="83"/>
      <c r="SSC49" s="83"/>
      <c r="SSD49" s="83"/>
      <c r="SSE49" s="83"/>
      <c r="SSF49" s="83"/>
      <c r="SSG49" s="83"/>
      <c r="SSH49" s="83"/>
      <c r="SSI49" s="83"/>
      <c r="SSJ49" s="83"/>
      <c r="SSK49" s="83"/>
      <c r="SSL49" s="83"/>
      <c r="SSM49" s="83"/>
      <c r="SSN49" s="83"/>
      <c r="SSO49" s="83"/>
      <c r="SSP49" s="83"/>
      <c r="SSQ49" s="83"/>
      <c r="SSR49" s="83"/>
      <c r="SSS49" s="83"/>
      <c r="SST49" s="83"/>
      <c r="SSU49" s="83"/>
      <c r="SSV49" s="83"/>
      <c r="SSW49" s="83"/>
      <c r="SSX49" s="83"/>
      <c r="SSY49" s="83"/>
      <c r="SSZ49" s="83"/>
      <c r="STA49" s="83"/>
      <c r="STB49" s="83"/>
      <c r="STC49" s="83"/>
      <c r="STD49" s="83"/>
      <c r="STE49" s="83"/>
      <c r="STF49" s="83"/>
      <c r="STG49" s="83"/>
      <c r="STH49" s="83"/>
      <c r="STI49" s="83"/>
      <c r="STJ49" s="83"/>
      <c r="STK49" s="83"/>
      <c r="STL49" s="83"/>
      <c r="STM49" s="83"/>
      <c r="STN49" s="83"/>
      <c r="STO49" s="83"/>
      <c r="STP49" s="83"/>
      <c r="STQ49" s="83"/>
      <c r="STR49" s="83"/>
      <c r="STS49" s="83"/>
      <c r="STT49" s="83"/>
      <c r="STU49" s="83"/>
      <c r="STV49" s="83"/>
      <c r="STW49" s="83"/>
      <c r="STX49" s="83"/>
      <c r="STY49" s="83"/>
      <c r="STZ49" s="83"/>
      <c r="SUA49" s="83"/>
      <c r="SUB49" s="83"/>
      <c r="SUC49" s="83"/>
      <c r="SUD49" s="83"/>
      <c r="SUE49" s="83"/>
      <c r="SUF49" s="83"/>
      <c r="SUG49" s="83"/>
      <c r="SUH49" s="83"/>
      <c r="SUI49" s="83"/>
      <c r="SUJ49" s="83"/>
      <c r="SUK49" s="83"/>
      <c r="SUL49" s="83"/>
      <c r="SUM49" s="83"/>
      <c r="SUN49" s="83"/>
      <c r="SUO49" s="83"/>
      <c r="SUP49" s="83"/>
      <c r="SUQ49" s="83"/>
      <c r="SUR49" s="83"/>
      <c r="SUS49" s="83"/>
      <c r="SUT49" s="83"/>
      <c r="SUU49" s="83"/>
      <c r="SUV49" s="83"/>
      <c r="SUW49" s="83"/>
      <c r="SUX49" s="83"/>
      <c r="SUY49" s="83"/>
      <c r="SUZ49" s="83"/>
      <c r="SVA49" s="83"/>
      <c r="SVB49" s="83"/>
      <c r="SVC49" s="83"/>
      <c r="SVD49" s="83"/>
      <c r="SVE49" s="83"/>
      <c r="SVF49" s="83"/>
      <c r="SVG49" s="83"/>
      <c r="SVH49" s="83"/>
      <c r="SVI49" s="83"/>
      <c r="SVJ49" s="83"/>
      <c r="SVK49" s="83"/>
      <c r="SVL49" s="83"/>
      <c r="SVM49" s="83"/>
      <c r="SVN49" s="83"/>
      <c r="SVO49" s="83"/>
      <c r="SVP49" s="83"/>
      <c r="SVQ49" s="83"/>
      <c r="SVR49" s="83"/>
      <c r="SVS49" s="83"/>
      <c r="SVT49" s="83"/>
      <c r="SVU49" s="83"/>
      <c r="SVV49" s="83"/>
      <c r="SVW49" s="83"/>
      <c r="SVX49" s="83"/>
      <c r="SVY49" s="83"/>
      <c r="SVZ49" s="83"/>
      <c r="SWA49" s="83"/>
      <c r="SWB49" s="83"/>
      <c r="SWC49" s="83"/>
      <c r="SWD49" s="83"/>
      <c r="SWE49" s="83"/>
      <c r="SWF49" s="83"/>
      <c r="SWG49" s="83"/>
      <c r="SWH49" s="83"/>
      <c r="SWI49" s="83"/>
      <c r="SWJ49" s="83"/>
      <c r="SWK49" s="83"/>
      <c r="SWL49" s="83"/>
      <c r="SWM49" s="83"/>
      <c r="SWN49" s="83"/>
      <c r="SWO49" s="83"/>
      <c r="SWP49" s="83"/>
      <c r="SWQ49" s="83"/>
      <c r="SWR49" s="83"/>
      <c r="SWS49" s="83"/>
      <c r="SWT49" s="83"/>
      <c r="SWU49" s="83"/>
      <c r="SWV49" s="83"/>
      <c r="SWW49" s="83"/>
      <c r="SWX49" s="83"/>
      <c r="SWY49" s="83"/>
      <c r="SWZ49" s="83"/>
      <c r="SXA49" s="83"/>
      <c r="SXB49" s="83"/>
      <c r="SXC49" s="83"/>
      <c r="SXD49" s="83"/>
      <c r="SXE49" s="83"/>
      <c r="SXF49" s="83"/>
      <c r="SXG49" s="83"/>
      <c r="SXH49" s="83"/>
      <c r="SXI49" s="83"/>
      <c r="SXJ49" s="83"/>
      <c r="SXK49" s="83"/>
      <c r="SXL49" s="83"/>
      <c r="SXM49" s="83"/>
      <c r="SXN49" s="83"/>
      <c r="SXO49" s="83"/>
      <c r="SXP49" s="83"/>
      <c r="SXQ49" s="83"/>
      <c r="SXR49" s="83"/>
      <c r="SXS49" s="83"/>
      <c r="SXT49" s="83"/>
      <c r="SXU49" s="83"/>
      <c r="SXV49" s="83"/>
      <c r="SXW49" s="83"/>
      <c r="SXX49" s="83"/>
      <c r="SXY49" s="83"/>
      <c r="SXZ49" s="83"/>
      <c r="SYA49" s="83"/>
      <c r="SYB49" s="83"/>
      <c r="SYC49" s="83"/>
      <c r="SYD49" s="83"/>
      <c r="SYE49" s="83"/>
      <c r="SYF49" s="83"/>
      <c r="SYG49" s="83"/>
      <c r="SYH49" s="83"/>
      <c r="SYI49" s="83"/>
      <c r="SYJ49" s="83"/>
      <c r="SYK49" s="83"/>
      <c r="SYL49" s="83"/>
      <c r="SYM49" s="83"/>
      <c r="SYN49" s="83"/>
      <c r="SYO49" s="83"/>
      <c r="SYP49" s="83"/>
      <c r="SYQ49" s="83"/>
      <c r="SYR49" s="83"/>
      <c r="SYS49" s="83"/>
      <c r="SYT49" s="83"/>
      <c r="SYU49" s="83"/>
      <c r="SYV49" s="83"/>
      <c r="SYW49" s="83"/>
      <c r="SYX49" s="83"/>
      <c r="SYY49" s="83"/>
      <c r="SYZ49" s="83"/>
      <c r="SZA49" s="83"/>
      <c r="SZB49" s="83"/>
      <c r="SZC49" s="83"/>
      <c r="SZD49" s="83"/>
      <c r="SZE49" s="83"/>
      <c r="SZF49" s="83"/>
      <c r="SZG49" s="83"/>
      <c r="SZH49" s="83"/>
      <c r="SZI49" s="83"/>
      <c r="SZJ49" s="83"/>
      <c r="SZK49" s="83"/>
      <c r="SZL49" s="83"/>
      <c r="SZM49" s="83"/>
      <c r="SZN49" s="83"/>
      <c r="SZO49" s="83"/>
      <c r="SZP49" s="83"/>
      <c r="SZQ49" s="83"/>
      <c r="SZR49" s="83"/>
      <c r="SZS49" s="83"/>
      <c r="SZT49" s="83"/>
      <c r="SZU49" s="83"/>
      <c r="SZV49" s="83"/>
      <c r="SZW49" s="83"/>
      <c r="SZX49" s="83"/>
      <c r="SZY49" s="83"/>
      <c r="SZZ49" s="83"/>
      <c r="TAA49" s="83"/>
      <c r="TAB49" s="83"/>
      <c r="TAC49" s="83"/>
      <c r="TAD49" s="83"/>
      <c r="TAE49" s="83"/>
      <c r="TAF49" s="83"/>
      <c r="TAG49" s="83"/>
      <c r="TAH49" s="83"/>
      <c r="TAI49" s="83"/>
      <c r="TAJ49" s="83"/>
      <c r="TAK49" s="83"/>
      <c r="TAL49" s="83"/>
      <c r="TAM49" s="83"/>
      <c r="TAN49" s="83"/>
      <c r="TAO49" s="83"/>
      <c r="TAP49" s="83"/>
      <c r="TAQ49" s="83"/>
      <c r="TAR49" s="83"/>
      <c r="TAS49" s="83"/>
      <c r="TAT49" s="83"/>
      <c r="TAU49" s="83"/>
      <c r="TAV49" s="83"/>
      <c r="TAW49" s="83"/>
      <c r="TAX49" s="83"/>
      <c r="TAY49" s="83"/>
      <c r="TAZ49" s="83"/>
      <c r="TBA49" s="83"/>
      <c r="TBB49" s="83"/>
      <c r="TBC49" s="83"/>
      <c r="TBD49" s="83"/>
      <c r="TBE49" s="83"/>
      <c r="TBF49" s="83"/>
      <c r="TBG49" s="83"/>
      <c r="TBH49" s="83"/>
      <c r="TBI49" s="83"/>
      <c r="TBJ49" s="83"/>
      <c r="TBK49" s="83"/>
      <c r="TBL49" s="83"/>
      <c r="TBM49" s="83"/>
      <c r="TBN49" s="83"/>
      <c r="TBO49" s="83"/>
      <c r="TBP49" s="83"/>
      <c r="TBQ49" s="83"/>
      <c r="TBR49" s="83"/>
      <c r="TBS49" s="83"/>
      <c r="TBT49" s="83"/>
      <c r="TBU49" s="83"/>
      <c r="TBV49" s="83"/>
      <c r="TBW49" s="83"/>
      <c r="TBX49" s="83"/>
      <c r="TBY49" s="83"/>
      <c r="TBZ49" s="83"/>
      <c r="TCA49" s="83"/>
      <c r="TCB49" s="83"/>
      <c r="TCC49" s="83"/>
      <c r="TCD49" s="83"/>
      <c r="TCE49" s="83"/>
      <c r="TCF49" s="83"/>
      <c r="TCG49" s="83"/>
      <c r="TCH49" s="83"/>
      <c r="TCI49" s="83"/>
      <c r="TCJ49" s="83"/>
      <c r="TCK49" s="83"/>
      <c r="TCL49" s="83"/>
      <c r="TCM49" s="83"/>
      <c r="TCN49" s="83"/>
      <c r="TCO49" s="83"/>
      <c r="TCP49" s="83"/>
      <c r="TCQ49" s="83"/>
      <c r="TCR49" s="83"/>
      <c r="TCS49" s="83"/>
      <c r="TCT49" s="83"/>
      <c r="TCU49" s="83"/>
      <c r="TCV49" s="83"/>
      <c r="TCW49" s="83"/>
      <c r="TCX49" s="83"/>
      <c r="TCY49" s="83"/>
      <c r="TCZ49" s="83"/>
      <c r="TDA49" s="83"/>
      <c r="TDB49" s="83"/>
      <c r="TDC49" s="83"/>
      <c r="TDD49" s="83"/>
      <c r="TDE49" s="83"/>
      <c r="TDF49" s="83"/>
      <c r="TDG49" s="83"/>
      <c r="TDH49" s="83"/>
      <c r="TDI49" s="83"/>
      <c r="TDJ49" s="83"/>
      <c r="TDK49" s="83"/>
      <c r="TDL49" s="83"/>
      <c r="TDM49" s="83"/>
      <c r="TDN49" s="83"/>
      <c r="TDO49" s="83"/>
      <c r="TDP49" s="83"/>
      <c r="TDQ49" s="83"/>
      <c r="TDR49" s="83"/>
      <c r="TDS49" s="83"/>
      <c r="TDT49" s="83"/>
      <c r="TDU49" s="83"/>
      <c r="TDV49" s="83"/>
      <c r="TDW49" s="83"/>
      <c r="TDX49" s="83"/>
      <c r="TDY49" s="83"/>
      <c r="TDZ49" s="83"/>
      <c r="TEA49" s="83"/>
      <c r="TEB49" s="83"/>
      <c r="TEC49" s="83"/>
      <c r="TED49" s="83"/>
      <c r="TEE49" s="83"/>
      <c r="TEF49" s="83"/>
      <c r="TEG49" s="83"/>
      <c r="TEH49" s="83"/>
      <c r="TEI49" s="83"/>
      <c r="TEJ49" s="83"/>
      <c r="TEK49" s="83"/>
      <c r="TEL49" s="83"/>
      <c r="TEM49" s="83"/>
      <c r="TEN49" s="83"/>
      <c r="TEO49" s="83"/>
      <c r="TEP49" s="83"/>
      <c r="TEQ49" s="83"/>
      <c r="TER49" s="83"/>
      <c r="TES49" s="83"/>
      <c r="TET49" s="83"/>
      <c r="TEU49" s="83"/>
      <c r="TEV49" s="83"/>
      <c r="TEW49" s="83"/>
      <c r="TEX49" s="83"/>
      <c r="TEY49" s="83"/>
      <c r="TEZ49" s="83"/>
      <c r="TFA49" s="83"/>
      <c r="TFB49" s="83"/>
      <c r="TFC49" s="83"/>
      <c r="TFD49" s="83"/>
      <c r="TFE49" s="83"/>
      <c r="TFF49" s="83"/>
      <c r="TFG49" s="83"/>
      <c r="TFH49" s="83"/>
      <c r="TFI49" s="83"/>
      <c r="TFJ49" s="83"/>
      <c r="TFK49" s="83"/>
      <c r="TFL49" s="83"/>
      <c r="TFM49" s="83"/>
      <c r="TFN49" s="83"/>
      <c r="TFO49" s="83"/>
      <c r="TFP49" s="83"/>
      <c r="TFQ49" s="83"/>
      <c r="TFR49" s="83"/>
      <c r="TFS49" s="83"/>
      <c r="TFT49" s="83"/>
      <c r="TFU49" s="83"/>
      <c r="TFV49" s="83"/>
      <c r="TFW49" s="83"/>
      <c r="TFX49" s="83"/>
      <c r="TFY49" s="83"/>
      <c r="TFZ49" s="83"/>
      <c r="TGA49" s="83"/>
      <c r="TGB49" s="83"/>
      <c r="TGC49" s="83"/>
      <c r="TGD49" s="83"/>
      <c r="TGE49" s="83"/>
      <c r="TGF49" s="83"/>
      <c r="TGG49" s="83"/>
      <c r="TGH49" s="83"/>
      <c r="TGI49" s="83"/>
      <c r="TGJ49" s="83"/>
      <c r="TGK49" s="83"/>
      <c r="TGL49" s="83"/>
      <c r="TGM49" s="83"/>
      <c r="TGN49" s="83"/>
      <c r="TGO49" s="83"/>
      <c r="TGP49" s="83"/>
      <c r="TGQ49" s="83"/>
      <c r="TGR49" s="83"/>
      <c r="TGS49" s="83"/>
      <c r="TGT49" s="83"/>
      <c r="TGU49" s="83"/>
      <c r="TGV49" s="83"/>
      <c r="TGW49" s="83"/>
      <c r="TGX49" s="83"/>
      <c r="TGY49" s="83"/>
      <c r="TGZ49" s="83"/>
      <c r="THA49" s="83"/>
      <c r="THB49" s="83"/>
      <c r="THC49" s="83"/>
      <c r="THD49" s="83"/>
      <c r="THE49" s="83"/>
      <c r="THF49" s="83"/>
      <c r="THG49" s="83"/>
      <c r="THH49" s="83"/>
      <c r="THI49" s="83"/>
      <c r="THJ49" s="83"/>
      <c r="THK49" s="83"/>
      <c r="THL49" s="83"/>
      <c r="THM49" s="83"/>
      <c r="THN49" s="83"/>
      <c r="THO49" s="83"/>
      <c r="THP49" s="83"/>
      <c r="THQ49" s="83"/>
      <c r="THR49" s="83"/>
      <c r="THS49" s="83"/>
      <c r="THT49" s="83"/>
      <c r="THU49" s="83"/>
      <c r="THV49" s="83"/>
      <c r="THW49" s="83"/>
      <c r="THX49" s="83"/>
      <c r="THY49" s="83"/>
      <c r="THZ49" s="83"/>
      <c r="TIA49" s="83"/>
      <c r="TIB49" s="83"/>
      <c r="TIC49" s="83"/>
      <c r="TID49" s="83"/>
      <c r="TIE49" s="83"/>
      <c r="TIF49" s="83"/>
      <c r="TIG49" s="83"/>
      <c r="TIH49" s="83"/>
      <c r="TII49" s="83"/>
      <c r="TIJ49" s="83"/>
      <c r="TIK49" s="83"/>
      <c r="TIL49" s="83"/>
      <c r="TIM49" s="83"/>
      <c r="TIN49" s="83"/>
      <c r="TIO49" s="83"/>
      <c r="TIP49" s="83"/>
      <c r="TIQ49" s="83"/>
      <c r="TIR49" s="83"/>
      <c r="TIS49" s="83"/>
      <c r="TIT49" s="83"/>
      <c r="TIU49" s="83"/>
      <c r="TIV49" s="83"/>
      <c r="TIW49" s="83"/>
      <c r="TIX49" s="83"/>
      <c r="TIY49" s="83"/>
      <c r="TIZ49" s="83"/>
      <c r="TJA49" s="83"/>
      <c r="TJB49" s="83"/>
      <c r="TJC49" s="83"/>
      <c r="TJD49" s="83"/>
      <c r="TJE49" s="83"/>
      <c r="TJF49" s="83"/>
      <c r="TJG49" s="83"/>
      <c r="TJH49" s="83"/>
      <c r="TJI49" s="83"/>
      <c r="TJJ49" s="83"/>
      <c r="TJK49" s="83"/>
      <c r="TJL49" s="83"/>
      <c r="TJM49" s="83"/>
      <c r="TJN49" s="83"/>
      <c r="TJO49" s="83"/>
      <c r="TJP49" s="83"/>
      <c r="TJQ49" s="83"/>
      <c r="TJR49" s="83"/>
      <c r="TJS49" s="83"/>
      <c r="TJT49" s="83"/>
      <c r="TJU49" s="83"/>
      <c r="TJV49" s="83"/>
      <c r="TJW49" s="83"/>
      <c r="TJX49" s="83"/>
      <c r="TJY49" s="83"/>
      <c r="TJZ49" s="83"/>
      <c r="TKA49" s="83"/>
      <c r="TKB49" s="83"/>
      <c r="TKC49" s="83"/>
      <c r="TKD49" s="83"/>
      <c r="TKE49" s="83"/>
      <c r="TKF49" s="83"/>
      <c r="TKG49" s="83"/>
      <c r="TKH49" s="83"/>
      <c r="TKI49" s="83"/>
      <c r="TKJ49" s="83"/>
      <c r="TKK49" s="83"/>
      <c r="TKL49" s="83"/>
      <c r="TKM49" s="83"/>
      <c r="TKN49" s="83"/>
      <c r="TKO49" s="83"/>
      <c r="TKP49" s="83"/>
      <c r="TKQ49" s="83"/>
      <c r="TKR49" s="83"/>
      <c r="TKS49" s="83"/>
      <c r="TKT49" s="83"/>
      <c r="TKU49" s="83"/>
      <c r="TKV49" s="83"/>
      <c r="TKW49" s="83"/>
      <c r="TKX49" s="83"/>
      <c r="TKY49" s="83"/>
      <c r="TKZ49" s="83"/>
      <c r="TLA49" s="83"/>
      <c r="TLB49" s="83"/>
      <c r="TLC49" s="83"/>
      <c r="TLD49" s="83"/>
      <c r="TLE49" s="83"/>
      <c r="TLF49" s="83"/>
      <c r="TLG49" s="83"/>
      <c r="TLH49" s="83"/>
      <c r="TLI49" s="83"/>
      <c r="TLJ49" s="83"/>
      <c r="TLK49" s="83"/>
      <c r="TLL49" s="83"/>
      <c r="TLM49" s="83"/>
      <c r="TLN49" s="83"/>
      <c r="TLO49" s="83"/>
      <c r="TLP49" s="83"/>
      <c r="TLQ49" s="83"/>
      <c r="TLR49" s="83"/>
      <c r="TLS49" s="83"/>
      <c r="TLT49" s="83"/>
      <c r="TLU49" s="83"/>
      <c r="TLV49" s="83"/>
      <c r="TLW49" s="83"/>
      <c r="TLX49" s="83"/>
      <c r="TLY49" s="83"/>
      <c r="TLZ49" s="83"/>
      <c r="TMA49" s="83"/>
      <c r="TMB49" s="83"/>
      <c r="TMC49" s="83"/>
      <c r="TMD49" s="83"/>
      <c r="TME49" s="83"/>
      <c r="TMF49" s="83"/>
      <c r="TMG49" s="83"/>
      <c r="TMH49" s="83"/>
      <c r="TMI49" s="83"/>
      <c r="TMJ49" s="83"/>
      <c r="TMK49" s="83"/>
      <c r="TML49" s="83"/>
      <c r="TMM49" s="83"/>
      <c r="TMN49" s="83"/>
      <c r="TMO49" s="83"/>
      <c r="TMP49" s="83"/>
      <c r="TMQ49" s="83"/>
      <c r="TMR49" s="83"/>
      <c r="TMS49" s="83"/>
      <c r="TMT49" s="83"/>
      <c r="TMU49" s="83"/>
      <c r="TMV49" s="83"/>
      <c r="TMW49" s="83"/>
      <c r="TMX49" s="83"/>
      <c r="TMY49" s="83"/>
      <c r="TMZ49" s="83"/>
      <c r="TNA49" s="83"/>
      <c r="TNB49" s="83"/>
      <c r="TNC49" s="83"/>
      <c r="TND49" s="83"/>
      <c r="TNE49" s="83"/>
      <c r="TNF49" s="83"/>
      <c r="TNG49" s="83"/>
      <c r="TNH49" s="83"/>
      <c r="TNI49" s="83"/>
      <c r="TNJ49" s="83"/>
      <c r="TNK49" s="83"/>
      <c r="TNL49" s="83"/>
      <c r="TNM49" s="83"/>
      <c r="TNN49" s="83"/>
      <c r="TNO49" s="83"/>
      <c r="TNP49" s="83"/>
      <c r="TNQ49" s="83"/>
      <c r="TNR49" s="83"/>
      <c r="TNS49" s="83"/>
      <c r="TNT49" s="83"/>
      <c r="TNU49" s="83"/>
      <c r="TNV49" s="83"/>
      <c r="TNW49" s="83"/>
      <c r="TNX49" s="83"/>
      <c r="TNY49" s="83"/>
      <c r="TNZ49" s="83"/>
      <c r="TOA49" s="83"/>
      <c r="TOB49" s="83"/>
      <c r="TOC49" s="83"/>
      <c r="TOD49" s="83"/>
      <c r="TOE49" s="83"/>
      <c r="TOF49" s="83"/>
      <c r="TOG49" s="83"/>
      <c r="TOH49" s="83"/>
      <c r="TOI49" s="83"/>
      <c r="TOJ49" s="83"/>
      <c r="TOK49" s="83"/>
      <c r="TOL49" s="83"/>
      <c r="TOM49" s="83"/>
      <c r="TON49" s="83"/>
      <c r="TOO49" s="83"/>
      <c r="TOP49" s="83"/>
      <c r="TOQ49" s="83"/>
      <c r="TOR49" s="83"/>
      <c r="TOS49" s="83"/>
      <c r="TOT49" s="83"/>
      <c r="TOU49" s="83"/>
      <c r="TOV49" s="83"/>
      <c r="TOW49" s="83"/>
      <c r="TOX49" s="83"/>
      <c r="TOY49" s="83"/>
      <c r="TOZ49" s="83"/>
      <c r="TPA49" s="83"/>
      <c r="TPB49" s="83"/>
      <c r="TPC49" s="83"/>
      <c r="TPD49" s="83"/>
      <c r="TPE49" s="83"/>
      <c r="TPF49" s="83"/>
      <c r="TPG49" s="83"/>
      <c r="TPH49" s="83"/>
      <c r="TPI49" s="83"/>
      <c r="TPJ49" s="83"/>
      <c r="TPK49" s="83"/>
      <c r="TPL49" s="83"/>
      <c r="TPM49" s="83"/>
      <c r="TPN49" s="83"/>
      <c r="TPO49" s="83"/>
      <c r="TPP49" s="83"/>
      <c r="TPQ49" s="83"/>
      <c r="TPR49" s="83"/>
      <c r="TPS49" s="83"/>
      <c r="TPT49" s="83"/>
      <c r="TPU49" s="83"/>
      <c r="TPV49" s="83"/>
      <c r="TPW49" s="83"/>
      <c r="TPX49" s="83"/>
      <c r="TPY49" s="83"/>
      <c r="TPZ49" s="83"/>
      <c r="TQA49" s="83"/>
      <c r="TQB49" s="83"/>
      <c r="TQC49" s="83"/>
      <c r="TQD49" s="83"/>
      <c r="TQE49" s="83"/>
      <c r="TQF49" s="83"/>
      <c r="TQG49" s="83"/>
      <c r="TQH49" s="83"/>
      <c r="TQI49" s="83"/>
      <c r="TQJ49" s="83"/>
      <c r="TQK49" s="83"/>
      <c r="TQL49" s="83"/>
      <c r="TQM49" s="83"/>
      <c r="TQN49" s="83"/>
      <c r="TQO49" s="83"/>
      <c r="TQP49" s="83"/>
      <c r="TQQ49" s="83"/>
      <c r="TQR49" s="83"/>
      <c r="TQS49" s="83"/>
      <c r="TQT49" s="83"/>
      <c r="TQU49" s="83"/>
      <c r="TQV49" s="83"/>
      <c r="TQW49" s="83"/>
      <c r="TQX49" s="83"/>
      <c r="TQY49" s="83"/>
      <c r="TQZ49" s="83"/>
      <c r="TRA49" s="83"/>
      <c r="TRB49" s="83"/>
      <c r="TRC49" s="83"/>
      <c r="TRD49" s="83"/>
      <c r="TRE49" s="83"/>
      <c r="TRF49" s="83"/>
      <c r="TRG49" s="83"/>
      <c r="TRH49" s="83"/>
      <c r="TRI49" s="83"/>
      <c r="TRJ49" s="83"/>
      <c r="TRK49" s="83"/>
      <c r="TRL49" s="83"/>
      <c r="TRM49" s="83"/>
      <c r="TRN49" s="83"/>
      <c r="TRO49" s="83"/>
      <c r="TRP49" s="83"/>
      <c r="TRQ49" s="83"/>
      <c r="TRR49" s="83"/>
      <c r="TRS49" s="83"/>
      <c r="TRT49" s="83"/>
      <c r="TRU49" s="83"/>
      <c r="TRV49" s="83"/>
      <c r="TRW49" s="83"/>
      <c r="TRX49" s="83"/>
      <c r="TRY49" s="83"/>
      <c r="TRZ49" s="83"/>
      <c r="TSA49" s="83"/>
      <c r="TSB49" s="83"/>
      <c r="TSC49" s="83"/>
      <c r="TSD49" s="83"/>
      <c r="TSE49" s="83"/>
      <c r="TSF49" s="83"/>
      <c r="TSG49" s="83"/>
      <c r="TSH49" s="83"/>
      <c r="TSI49" s="83"/>
      <c r="TSJ49" s="83"/>
      <c r="TSK49" s="83"/>
      <c r="TSL49" s="83"/>
      <c r="TSM49" s="83"/>
      <c r="TSN49" s="83"/>
      <c r="TSO49" s="83"/>
      <c r="TSP49" s="83"/>
      <c r="TSQ49" s="83"/>
      <c r="TSR49" s="83"/>
      <c r="TSS49" s="83"/>
      <c r="TST49" s="83"/>
      <c r="TSU49" s="83"/>
      <c r="TSV49" s="83"/>
      <c r="TSW49" s="83"/>
      <c r="TSX49" s="83"/>
      <c r="TSY49" s="83"/>
      <c r="TSZ49" s="83"/>
      <c r="TTA49" s="83"/>
      <c r="TTB49" s="83"/>
      <c r="TTC49" s="83"/>
      <c r="TTD49" s="83"/>
      <c r="TTE49" s="83"/>
      <c r="TTF49" s="83"/>
      <c r="TTG49" s="83"/>
      <c r="TTH49" s="83"/>
      <c r="TTI49" s="83"/>
      <c r="TTJ49" s="83"/>
      <c r="TTK49" s="83"/>
      <c r="TTL49" s="83"/>
      <c r="TTM49" s="83"/>
      <c r="TTN49" s="83"/>
      <c r="TTO49" s="83"/>
      <c r="TTP49" s="83"/>
      <c r="TTQ49" s="83"/>
      <c r="TTR49" s="83"/>
      <c r="TTS49" s="83"/>
      <c r="TTT49" s="83"/>
      <c r="TTU49" s="83"/>
      <c r="TTV49" s="83"/>
      <c r="TTW49" s="83"/>
      <c r="TTX49" s="83"/>
      <c r="TTY49" s="83"/>
      <c r="TTZ49" s="83"/>
      <c r="TUA49" s="83"/>
      <c r="TUB49" s="83"/>
      <c r="TUC49" s="83"/>
      <c r="TUD49" s="83"/>
      <c r="TUE49" s="83"/>
      <c r="TUF49" s="83"/>
      <c r="TUG49" s="83"/>
      <c r="TUH49" s="83"/>
      <c r="TUI49" s="83"/>
      <c r="TUJ49" s="83"/>
      <c r="TUK49" s="83"/>
      <c r="TUL49" s="83"/>
      <c r="TUM49" s="83"/>
      <c r="TUN49" s="83"/>
      <c r="TUO49" s="83"/>
      <c r="TUP49" s="83"/>
      <c r="TUQ49" s="83"/>
      <c r="TUR49" s="83"/>
      <c r="TUS49" s="83"/>
      <c r="TUT49" s="83"/>
      <c r="TUU49" s="83"/>
      <c r="TUV49" s="83"/>
      <c r="TUW49" s="83"/>
      <c r="TUX49" s="83"/>
      <c r="TUY49" s="83"/>
      <c r="TUZ49" s="83"/>
      <c r="TVA49" s="83"/>
      <c r="TVB49" s="83"/>
      <c r="TVC49" s="83"/>
      <c r="TVD49" s="83"/>
      <c r="TVE49" s="83"/>
      <c r="TVF49" s="83"/>
      <c r="TVG49" s="83"/>
      <c r="TVH49" s="83"/>
      <c r="TVI49" s="83"/>
      <c r="TVJ49" s="83"/>
      <c r="TVK49" s="83"/>
      <c r="TVL49" s="83"/>
      <c r="TVM49" s="83"/>
      <c r="TVN49" s="83"/>
      <c r="TVO49" s="83"/>
      <c r="TVP49" s="83"/>
      <c r="TVQ49" s="83"/>
      <c r="TVR49" s="83"/>
      <c r="TVS49" s="83"/>
      <c r="TVT49" s="83"/>
      <c r="TVU49" s="83"/>
      <c r="TVV49" s="83"/>
      <c r="TVW49" s="83"/>
      <c r="TVX49" s="83"/>
      <c r="TVY49" s="83"/>
      <c r="TVZ49" s="83"/>
      <c r="TWA49" s="83"/>
      <c r="TWB49" s="83"/>
      <c r="TWC49" s="83"/>
      <c r="TWD49" s="83"/>
      <c r="TWE49" s="83"/>
      <c r="TWF49" s="83"/>
      <c r="TWG49" s="83"/>
      <c r="TWH49" s="83"/>
      <c r="TWI49" s="83"/>
      <c r="TWJ49" s="83"/>
      <c r="TWK49" s="83"/>
      <c r="TWL49" s="83"/>
      <c r="TWM49" s="83"/>
      <c r="TWN49" s="83"/>
      <c r="TWO49" s="83"/>
      <c r="TWP49" s="83"/>
      <c r="TWQ49" s="83"/>
      <c r="TWR49" s="83"/>
      <c r="TWS49" s="83"/>
      <c r="TWT49" s="83"/>
      <c r="TWU49" s="83"/>
      <c r="TWV49" s="83"/>
      <c r="TWW49" s="83"/>
      <c r="TWX49" s="83"/>
      <c r="TWY49" s="83"/>
      <c r="TWZ49" s="83"/>
      <c r="TXA49" s="83"/>
      <c r="TXB49" s="83"/>
      <c r="TXC49" s="83"/>
      <c r="TXD49" s="83"/>
      <c r="TXE49" s="83"/>
      <c r="TXF49" s="83"/>
      <c r="TXG49" s="83"/>
      <c r="TXH49" s="83"/>
      <c r="TXI49" s="83"/>
      <c r="TXJ49" s="83"/>
      <c r="TXK49" s="83"/>
      <c r="TXL49" s="83"/>
      <c r="TXM49" s="83"/>
      <c r="TXN49" s="83"/>
      <c r="TXO49" s="83"/>
      <c r="TXP49" s="83"/>
      <c r="TXQ49" s="83"/>
      <c r="TXR49" s="83"/>
      <c r="TXS49" s="83"/>
      <c r="TXT49" s="83"/>
      <c r="TXU49" s="83"/>
      <c r="TXV49" s="83"/>
      <c r="TXW49" s="83"/>
      <c r="TXX49" s="83"/>
      <c r="TXY49" s="83"/>
      <c r="TXZ49" s="83"/>
      <c r="TYA49" s="83"/>
      <c r="TYB49" s="83"/>
      <c r="TYC49" s="83"/>
      <c r="TYD49" s="83"/>
      <c r="TYE49" s="83"/>
      <c r="TYF49" s="83"/>
      <c r="TYG49" s="83"/>
      <c r="TYH49" s="83"/>
      <c r="TYI49" s="83"/>
      <c r="TYJ49" s="83"/>
      <c r="TYK49" s="83"/>
      <c r="TYL49" s="83"/>
      <c r="TYM49" s="83"/>
      <c r="TYN49" s="83"/>
      <c r="TYO49" s="83"/>
      <c r="TYP49" s="83"/>
      <c r="TYQ49" s="83"/>
      <c r="TYR49" s="83"/>
      <c r="TYS49" s="83"/>
      <c r="TYT49" s="83"/>
      <c r="TYU49" s="83"/>
      <c r="TYV49" s="83"/>
      <c r="TYW49" s="83"/>
      <c r="TYX49" s="83"/>
      <c r="TYY49" s="83"/>
      <c r="TYZ49" s="83"/>
      <c r="TZA49" s="83"/>
      <c r="TZB49" s="83"/>
      <c r="TZC49" s="83"/>
      <c r="TZD49" s="83"/>
      <c r="TZE49" s="83"/>
      <c r="TZF49" s="83"/>
      <c r="TZG49" s="83"/>
      <c r="TZH49" s="83"/>
      <c r="TZI49" s="83"/>
      <c r="TZJ49" s="83"/>
      <c r="TZK49" s="83"/>
      <c r="TZL49" s="83"/>
      <c r="TZM49" s="83"/>
      <c r="TZN49" s="83"/>
      <c r="TZO49" s="83"/>
      <c r="TZP49" s="83"/>
      <c r="TZQ49" s="83"/>
      <c r="TZR49" s="83"/>
      <c r="TZS49" s="83"/>
      <c r="TZT49" s="83"/>
      <c r="TZU49" s="83"/>
      <c r="TZV49" s="83"/>
      <c r="TZW49" s="83"/>
      <c r="TZX49" s="83"/>
      <c r="TZY49" s="83"/>
      <c r="TZZ49" s="83"/>
      <c r="UAA49" s="83"/>
      <c r="UAB49" s="83"/>
      <c r="UAC49" s="83"/>
      <c r="UAD49" s="83"/>
      <c r="UAE49" s="83"/>
      <c r="UAF49" s="83"/>
      <c r="UAG49" s="83"/>
      <c r="UAH49" s="83"/>
      <c r="UAI49" s="83"/>
      <c r="UAJ49" s="83"/>
      <c r="UAK49" s="83"/>
      <c r="UAL49" s="83"/>
      <c r="UAM49" s="83"/>
      <c r="UAN49" s="83"/>
      <c r="UAO49" s="83"/>
      <c r="UAP49" s="83"/>
      <c r="UAQ49" s="83"/>
      <c r="UAR49" s="83"/>
      <c r="UAS49" s="83"/>
      <c r="UAT49" s="83"/>
      <c r="UAU49" s="83"/>
      <c r="UAV49" s="83"/>
      <c r="UAW49" s="83"/>
      <c r="UAX49" s="83"/>
      <c r="UAY49" s="83"/>
      <c r="UAZ49" s="83"/>
      <c r="UBA49" s="83"/>
      <c r="UBB49" s="83"/>
      <c r="UBC49" s="83"/>
      <c r="UBD49" s="83"/>
      <c r="UBE49" s="83"/>
      <c r="UBF49" s="83"/>
      <c r="UBG49" s="83"/>
      <c r="UBH49" s="83"/>
      <c r="UBI49" s="83"/>
      <c r="UBJ49" s="83"/>
      <c r="UBK49" s="83"/>
      <c r="UBL49" s="83"/>
      <c r="UBM49" s="83"/>
      <c r="UBN49" s="83"/>
      <c r="UBO49" s="83"/>
      <c r="UBP49" s="83"/>
      <c r="UBQ49" s="83"/>
      <c r="UBR49" s="83"/>
      <c r="UBS49" s="83"/>
      <c r="UBT49" s="83"/>
      <c r="UBU49" s="83"/>
      <c r="UBV49" s="83"/>
      <c r="UBW49" s="83"/>
      <c r="UBX49" s="83"/>
      <c r="UBY49" s="83"/>
      <c r="UBZ49" s="83"/>
      <c r="UCA49" s="83"/>
      <c r="UCB49" s="83"/>
      <c r="UCC49" s="83"/>
      <c r="UCD49" s="83"/>
      <c r="UCE49" s="83"/>
      <c r="UCF49" s="83"/>
      <c r="UCG49" s="83"/>
      <c r="UCH49" s="83"/>
      <c r="UCI49" s="83"/>
      <c r="UCJ49" s="83"/>
      <c r="UCK49" s="83"/>
      <c r="UCL49" s="83"/>
      <c r="UCM49" s="83"/>
      <c r="UCN49" s="83"/>
      <c r="UCO49" s="83"/>
      <c r="UCP49" s="83"/>
      <c r="UCQ49" s="83"/>
      <c r="UCR49" s="83"/>
      <c r="UCS49" s="83"/>
      <c r="UCT49" s="83"/>
      <c r="UCU49" s="83"/>
      <c r="UCV49" s="83"/>
      <c r="UCW49" s="83"/>
      <c r="UCX49" s="83"/>
      <c r="UCY49" s="83"/>
      <c r="UCZ49" s="83"/>
      <c r="UDA49" s="83"/>
      <c r="UDB49" s="83"/>
      <c r="UDC49" s="83"/>
      <c r="UDD49" s="83"/>
      <c r="UDE49" s="83"/>
      <c r="UDF49" s="83"/>
      <c r="UDG49" s="83"/>
      <c r="UDH49" s="83"/>
      <c r="UDI49" s="83"/>
      <c r="UDJ49" s="83"/>
      <c r="UDK49" s="83"/>
      <c r="UDL49" s="83"/>
      <c r="UDM49" s="83"/>
      <c r="UDN49" s="83"/>
      <c r="UDO49" s="83"/>
      <c r="UDP49" s="83"/>
      <c r="UDQ49" s="83"/>
      <c r="UDR49" s="83"/>
      <c r="UDS49" s="83"/>
      <c r="UDT49" s="83"/>
      <c r="UDU49" s="83"/>
      <c r="UDV49" s="83"/>
      <c r="UDW49" s="83"/>
      <c r="UDX49" s="83"/>
      <c r="UDY49" s="83"/>
      <c r="UDZ49" s="83"/>
      <c r="UEA49" s="83"/>
      <c r="UEB49" s="83"/>
      <c r="UEC49" s="83"/>
      <c r="UED49" s="83"/>
      <c r="UEE49" s="83"/>
      <c r="UEF49" s="83"/>
      <c r="UEG49" s="83"/>
      <c r="UEH49" s="83"/>
      <c r="UEI49" s="83"/>
      <c r="UEJ49" s="83"/>
      <c r="UEK49" s="83"/>
      <c r="UEL49" s="83"/>
      <c r="UEM49" s="83"/>
      <c r="UEN49" s="83"/>
      <c r="UEO49" s="83"/>
      <c r="UEP49" s="83"/>
      <c r="UEQ49" s="83"/>
      <c r="UER49" s="83"/>
      <c r="UES49" s="83"/>
      <c r="UET49" s="83"/>
      <c r="UEU49" s="83"/>
      <c r="UEV49" s="83"/>
      <c r="UEW49" s="83"/>
      <c r="UEX49" s="83"/>
      <c r="UEY49" s="83"/>
      <c r="UEZ49" s="83"/>
      <c r="UFA49" s="83"/>
      <c r="UFB49" s="83"/>
      <c r="UFC49" s="83"/>
      <c r="UFD49" s="83"/>
      <c r="UFE49" s="83"/>
      <c r="UFF49" s="83"/>
      <c r="UFG49" s="83"/>
      <c r="UFH49" s="83"/>
      <c r="UFI49" s="83"/>
      <c r="UFJ49" s="83"/>
      <c r="UFK49" s="83"/>
      <c r="UFL49" s="83"/>
      <c r="UFM49" s="83"/>
      <c r="UFN49" s="83"/>
      <c r="UFO49" s="83"/>
      <c r="UFP49" s="83"/>
      <c r="UFQ49" s="83"/>
      <c r="UFR49" s="83"/>
      <c r="UFS49" s="83"/>
      <c r="UFT49" s="83"/>
      <c r="UFU49" s="83"/>
      <c r="UFV49" s="83"/>
      <c r="UFW49" s="83"/>
      <c r="UFX49" s="83"/>
      <c r="UFY49" s="83"/>
      <c r="UFZ49" s="83"/>
      <c r="UGA49" s="83"/>
      <c r="UGB49" s="83"/>
      <c r="UGC49" s="83"/>
      <c r="UGD49" s="83"/>
      <c r="UGE49" s="83"/>
      <c r="UGF49" s="83"/>
      <c r="UGG49" s="83"/>
      <c r="UGH49" s="83"/>
      <c r="UGI49" s="83"/>
      <c r="UGJ49" s="83"/>
      <c r="UGK49" s="83"/>
      <c r="UGL49" s="83"/>
      <c r="UGM49" s="83"/>
      <c r="UGN49" s="83"/>
      <c r="UGO49" s="83"/>
      <c r="UGP49" s="83"/>
      <c r="UGQ49" s="83"/>
      <c r="UGR49" s="83"/>
      <c r="UGS49" s="83"/>
      <c r="UGT49" s="83"/>
      <c r="UGU49" s="83"/>
      <c r="UGV49" s="83"/>
      <c r="UGW49" s="83"/>
      <c r="UGX49" s="83"/>
      <c r="UGY49" s="83"/>
      <c r="UGZ49" s="83"/>
      <c r="UHA49" s="83"/>
      <c r="UHB49" s="83"/>
      <c r="UHC49" s="83"/>
      <c r="UHD49" s="83"/>
      <c r="UHE49" s="83"/>
      <c r="UHF49" s="83"/>
      <c r="UHG49" s="83"/>
      <c r="UHH49" s="83"/>
      <c r="UHI49" s="83"/>
      <c r="UHJ49" s="83"/>
      <c r="UHK49" s="83"/>
      <c r="UHL49" s="83"/>
      <c r="UHM49" s="83"/>
      <c r="UHN49" s="83"/>
      <c r="UHO49" s="83"/>
      <c r="UHP49" s="83"/>
      <c r="UHQ49" s="83"/>
      <c r="UHR49" s="83"/>
      <c r="UHS49" s="83"/>
      <c r="UHT49" s="83"/>
      <c r="UHU49" s="83"/>
      <c r="UHV49" s="83"/>
      <c r="UHW49" s="83"/>
      <c r="UHX49" s="83"/>
      <c r="UHY49" s="83"/>
      <c r="UHZ49" s="83"/>
      <c r="UIA49" s="83"/>
      <c r="UIB49" s="83"/>
      <c r="UIC49" s="83"/>
      <c r="UID49" s="83"/>
      <c r="UIE49" s="83"/>
      <c r="UIF49" s="83"/>
      <c r="UIG49" s="83"/>
      <c r="UIH49" s="83"/>
      <c r="UII49" s="83"/>
      <c r="UIJ49" s="83"/>
      <c r="UIK49" s="83"/>
      <c r="UIL49" s="83"/>
      <c r="UIM49" s="83"/>
      <c r="UIN49" s="83"/>
      <c r="UIO49" s="83"/>
      <c r="UIP49" s="83"/>
      <c r="UIQ49" s="83"/>
      <c r="UIR49" s="83"/>
      <c r="UIS49" s="83"/>
      <c r="UIT49" s="83"/>
      <c r="UIU49" s="83"/>
      <c r="UIV49" s="83"/>
      <c r="UIW49" s="83"/>
      <c r="UIX49" s="83"/>
      <c r="UIY49" s="83"/>
      <c r="UIZ49" s="83"/>
      <c r="UJA49" s="83"/>
      <c r="UJB49" s="83"/>
      <c r="UJC49" s="83"/>
      <c r="UJD49" s="83"/>
      <c r="UJE49" s="83"/>
      <c r="UJF49" s="83"/>
      <c r="UJG49" s="83"/>
      <c r="UJH49" s="83"/>
      <c r="UJI49" s="83"/>
      <c r="UJJ49" s="83"/>
      <c r="UJK49" s="83"/>
      <c r="UJL49" s="83"/>
      <c r="UJM49" s="83"/>
      <c r="UJN49" s="83"/>
      <c r="UJO49" s="83"/>
      <c r="UJP49" s="83"/>
      <c r="UJQ49" s="83"/>
      <c r="UJR49" s="83"/>
      <c r="UJS49" s="83"/>
      <c r="UJT49" s="83"/>
      <c r="UJU49" s="83"/>
      <c r="UJV49" s="83"/>
      <c r="UJW49" s="83"/>
      <c r="UJX49" s="83"/>
      <c r="UJY49" s="83"/>
      <c r="UJZ49" s="83"/>
      <c r="UKA49" s="83"/>
      <c r="UKB49" s="83"/>
      <c r="UKC49" s="83"/>
      <c r="UKD49" s="83"/>
      <c r="UKE49" s="83"/>
      <c r="UKF49" s="83"/>
      <c r="UKG49" s="83"/>
      <c r="UKH49" s="83"/>
      <c r="UKI49" s="83"/>
      <c r="UKJ49" s="83"/>
      <c r="UKK49" s="83"/>
      <c r="UKL49" s="83"/>
      <c r="UKM49" s="83"/>
      <c r="UKN49" s="83"/>
      <c r="UKO49" s="83"/>
      <c r="UKP49" s="83"/>
      <c r="UKQ49" s="83"/>
      <c r="UKR49" s="83"/>
      <c r="UKS49" s="83"/>
      <c r="UKT49" s="83"/>
      <c r="UKU49" s="83"/>
      <c r="UKV49" s="83"/>
      <c r="UKW49" s="83"/>
      <c r="UKX49" s="83"/>
      <c r="UKY49" s="83"/>
      <c r="UKZ49" s="83"/>
      <c r="ULA49" s="83"/>
      <c r="ULB49" s="83"/>
      <c r="ULC49" s="83"/>
      <c r="ULD49" s="83"/>
      <c r="ULE49" s="83"/>
      <c r="ULF49" s="83"/>
      <c r="ULG49" s="83"/>
      <c r="ULH49" s="83"/>
      <c r="ULI49" s="83"/>
      <c r="ULJ49" s="83"/>
      <c r="ULK49" s="83"/>
      <c r="ULL49" s="83"/>
      <c r="ULM49" s="83"/>
      <c r="ULN49" s="83"/>
      <c r="ULO49" s="83"/>
      <c r="ULP49" s="83"/>
      <c r="ULQ49" s="83"/>
      <c r="ULR49" s="83"/>
      <c r="ULS49" s="83"/>
      <c r="ULT49" s="83"/>
      <c r="ULU49" s="83"/>
      <c r="ULV49" s="83"/>
      <c r="ULW49" s="83"/>
      <c r="ULX49" s="83"/>
      <c r="ULY49" s="83"/>
      <c r="ULZ49" s="83"/>
      <c r="UMA49" s="83"/>
      <c r="UMB49" s="83"/>
      <c r="UMC49" s="83"/>
      <c r="UMD49" s="83"/>
      <c r="UME49" s="83"/>
      <c r="UMF49" s="83"/>
      <c r="UMG49" s="83"/>
      <c r="UMH49" s="83"/>
      <c r="UMI49" s="83"/>
      <c r="UMJ49" s="83"/>
      <c r="UMK49" s="83"/>
      <c r="UML49" s="83"/>
      <c r="UMM49" s="83"/>
      <c r="UMN49" s="83"/>
      <c r="UMO49" s="83"/>
      <c r="UMP49" s="83"/>
      <c r="UMQ49" s="83"/>
      <c r="UMR49" s="83"/>
      <c r="UMS49" s="83"/>
      <c r="UMT49" s="83"/>
      <c r="UMU49" s="83"/>
      <c r="UMV49" s="83"/>
      <c r="UMW49" s="83"/>
      <c r="UMX49" s="83"/>
      <c r="UMY49" s="83"/>
      <c r="UMZ49" s="83"/>
      <c r="UNA49" s="83"/>
      <c r="UNB49" s="83"/>
      <c r="UNC49" s="83"/>
      <c r="UND49" s="83"/>
      <c r="UNE49" s="83"/>
      <c r="UNF49" s="83"/>
      <c r="UNG49" s="83"/>
      <c r="UNH49" s="83"/>
      <c r="UNI49" s="83"/>
      <c r="UNJ49" s="83"/>
      <c r="UNK49" s="83"/>
      <c r="UNL49" s="83"/>
      <c r="UNM49" s="83"/>
      <c r="UNN49" s="83"/>
      <c r="UNO49" s="83"/>
      <c r="UNP49" s="83"/>
      <c r="UNQ49" s="83"/>
      <c r="UNR49" s="83"/>
      <c r="UNS49" s="83"/>
      <c r="UNT49" s="83"/>
      <c r="UNU49" s="83"/>
      <c r="UNV49" s="83"/>
      <c r="UNW49" s="83"/>
      <c r="UNX49" s="83"/>
      <c r="UNY49" s="83"/>
      <c r="UNZ49" s="83"/>
      <c r="UOA49" s="83"/>
      <c r="UOB49" s="83"/>
      <c r="UOC49" s="83"/>
      <c r="UOD49" s="83"/>
      <c r="UOE49" s="83"/>
      <c r="UOF49" s="83"/>
      <c r="UOG49" s="83"/>
      <c r="UOH49" s="83"/>
      <c r="UOI49" s="83"/>
      <c r="UOJ49" s="83"/>
      <c r="UOK49" s="83"/>
      <c r="UOL49" s="83"/>
      <c r="UOM49" s="83"/>
      <c r="UON49" s="83"/>
      <c r="UOO49" s="83"/>
      <c r="UOP49" s="83"/>
      <c r="UOQ49" s="83"/>
      <c r="UOR49" s="83"/>
      <c r="UOS49" s="83"/>
      <c r="UOT49" s="83"/>
      <c r="UOU49" s="83"/>
      <c r="UOV49" s="83"/>
      <c r="UOW49" s="83"/>
      <c r="UOX49" s="83"/>
      <c r="UOY49" s="83"/>
      <c r="UOZ49" s="83"/>
      <c r="UPA49" s="83"/>
      <c r="UPB49" s="83"/>
      <c r="UPC49" s="83"/>
      <c r="UPD49" s="83"/>
      <c r="UPE49" s="83"/>
      <c r="UPF49" s="83"/>
      <c r="UPG49" s="83"/>
      <c r="UPH49" s="83"/>
      <c r="UPI49" s="83"/>
      <c r="UPJ49" s="83"/>
      <c r="UPK49" s="83"/>
      <c r="UPL49" s="83"/>
      <c r="UPM49" s="83"/>
      <c r="UPN49" s="83"/>
      <c r="UPO49" s="83"/>
      <c r="UPP49" s="83"/>
      <c r="UPQ49" s="83"/>
      <c r="UPR49" s="83"/>
      <c r="UPS49" s="83"/>
      <c r="UPT49" s="83"/>
      <c r="UPU49" s="83"/>
      <c r="UPV49" s="83"/>
      <c r="UPW49" s="83"/>
      <c r="UPX49" s="83"/>
      <c r="UPY49" s="83"/>
      <c r="UPZ49" s="83"/>
      <c r="UQA49" s="83"/>
      <c r="UQB49" s="83"/>
      <c r="UQC49" s="83"/>
      <c r="UQD49" s="83"/>
      <c r="UQE49" s="83"/>
      <c r="UQF49" s="83"/>
      <c r="UQG49" s="83"/>
      <c r="UQH49" s="83"/>
      <c r="UQI49" s="83"/>
      <c r="UQJ49" s="83"/>
      <c r="UQK49" s="83"/>
      <c r="UQL49" s="83"/>
      <c r="UQM49" s="83"/>
      <c r="UQN49" s="83"/>
      <c r="UQO49" s="83"/>
      <c r="UQP49" s="83"/>
      <c r="UQQ49" s="83"/>
      <c r="UQR49" s="83"/>
      <c r="UQS49" s="83"/>
      <c r="UQT49" s="83"/>
      <c r="UQU49" s="83"/>
      <c r="UQV49" s="83"/>
      <c r="UQW49" s="83"/>
      <c r="UQX49" s="83"/>
      <c r="UQY49" s="83"/>
      <c r="UQZ49" s="83"/>
      <c r="URA49" s="83"/>
      <c r="URB49" s="83"/>
      <c r="URC49" s="83"/>
      <c r="URD49" s="83"/>
      <c r="URE49" s="83"/>
      <c r="URF49" s="83"/>
      <c r="URG49" s="83"/>
      <c r="URH49" s="83"/>
      <c r="URI49" s="83"/>
      <c r="URJ49" s="83"/>
      <c r="URK49" s="83"/>
      <c r="URL49" s="83"/>
      <c r="URM49" s="83"/>
      <c r="URN49" s="83"/>
      <c r="URO49" s="83"/>
      <c r="URP49" s="83"/>
      <c r="URQ49" s="83"/>
      <c r="URR49" s="83"/>
      <c r="URS49" s="83"/>
      <c r="URT49" s="83"/>
      <c r="URU49" s="83"/>
      <c r="URV49" s="83"/>
      <c r="URW49" s="83"/>
      <c r="URX49" s="83"/>
      <c r="URY49" s="83"/>
      <c r="URZ49" s="83"/>
      <c r="USA49" s="83"/>
      <c r="USB49" s="83"/>
      <c r="USC49" s="83"/>
      <c r="USD49" s="83"/>
      <c r="USE49" s="83"/>
      <c r="USF49" s="83"/>
      <c r="USG49" s="83"/>
      <c r="USH49" s="83"/>
      <c r="USI49" s="83"/>
      <c r="USJ49" s="83"/>
      <c r="USK49" s="83"/>
      <c r="USL49" s="83"/>
      <c r="USM49" s="83"/>
      <c r="USN49" s="83"/>
      <c r="USO49" s="83"/>
      <c r="USP49" s="83"/>
      <c r="USQ49" s="83"/>
      <c r="USR49" s="83"/>
      <c r="USS49" s="83"/>
      <c r="UST49" s="83"/>
      <c r="USU49" s="83"/>
      <c r="USV49" s="83"/>
      <c r="USW49" s="83"/>
      <c r="USX49" s="83"/>
      <c r="USY49" s="83"/>
      <c r="USZ49" s="83"/>
      <c r="UTA49" s="83"/>
      <c r="UTB49" s="83"/>
      <c r="UTC49" s="83"/>
      <c r="UTD49" s="83"/>
      <c r="UTE49" s="83"/>
      <c r="UTF49" s="83"/>
      <c r="UTG49" s="83"/>
      <c r="UTH49" s="83"/>
      <c r="UTI49" s="83"/>
      <c r="UTJ49" s="83"/>
      <c r="UTK49" s="83"/>
      <c r="UTL49" s="83"/>
      <c r="UTM49" s="83"/>
      <c r="UTN49" s="83"/>
      <c r="UTO49" s="83"/>
      <c r="UTP49" s="83"/>
      <c r="UTQ49" s="83"/>
      <c r="UTR49" s="83"/>
      <c r="UTS49" s="83"/>
      <c r="UTT49" s="83"/>
      <c r="UTU49" s="83"/>
      <c r="UTV49" s="83"/>
      <c r="UTW49" s="83"/>
      <c r="UTX49" s="83"/>
      <c r="UTY49" s="83"/>
      <c r="UTZ49" s="83"/>
      <c r="UUA49" s="83"/>
      <c r="UUB49" s="83"/>
      <c r="UUC49" s="83"/>
      <c r="UUD49" s="83"/>
      <c r="UUE49" s="83"/>
      <c r="UUF49" s="83"/>
      <c r="UUG49" s="83"/>
      <c r="UUH49" s="83"/>
      <c r="UUI49" s="83"/>
      <c r="UUJ49" s="83"/>
      <c r="UUK49" s="83"/>
      <c r="UUL49" s="83"/>
      <c r="UUM49" s="83"/>
      <c r="UUN49" s="83"/>
      <c r="UUO49" s="83"/>
      <c r="UUP49" s="83"/>
      <c r="UUQ49" s="83"/>
      <c r="UUR49" s="83"/>
      <c r="UUS49" s="83"/>
      <c r="UUT49" s="83"/>
      <c r="UUU49" s="83"/>
      <c r="UUV49" s="83"/>
      <c r="UUW49" s="83"/>
      <c r="UUX49" s="83"/>
      <c r="UUY49" s="83"/>
      <c r="UUZ49" s="83"/>
      <c r="UVA49" s="83"/>
      <c r="UVB49" s="83"/>
      <c r="UVC49" s="83"/>
      <c r="UVD49" s="83"/>
      <c r="UVE49" s="83"/>
      <c r="UVF49" s="83"/>
      <c r="UVG49" s="83"/>
      <c r="UVH49" s="83"/>
      <c r="UVI49" s="83"/>
      <c r="UVJ49" s="83"/>
      <c r="UVK49" s="83"/>
      <c r="UVL49" s="83"/>
      <c r="UVM49" s="83"/>
      <c r="UVN49" s="83"/>
      <c r="UVO49" s="83"/>
      <c r="UVP49" s="83"/>
      <c r="UVQ49" s="83"/>
      <c r="UVR49" s="83"/>
      <c r="UVS49" s="83"/>
      <c r="UVT49" s="83"/>
      <c r="UVU49" s="83"/>
      <c r="UVV49" s="83"/>
      <c r="UVW49" s="83"/>
      <c r="UVX49" s="83"/>
      <c r="UVY49" s="83"/>
      <c r="UVZ49" s="83"/>
      <c r="UWA49" s="83"/>
      <c r="UWB49" s="83"/>
      <c r="UWC49" s="83"/>
      <c r="UWD49" s="83"/>
      <c r="UWE49" s="83"/>
      <c r="UWF49" s="83"/>
      <c r="UWG49" s="83"/>
      <c r="UWH49" s="83"/>
      <c r="UWI49" s="83"/>
      <c r="UWJ49" s="83"/>
      <c r="UWK49" s="83"/>
      <c r="UWL49" s="83"/>
      <c r="UWM49" s="83"/>
      <c r="UWN49" s="83"/>
      <c r="UWO49" s="83"/>
      <c r="UWP49" s="83"/>
      <c r="UWQ49" s="83"/>
      <c r="UWR49" s="83"/>
      <c r="UWS49" s="83"/>
      <c r="UWT49" s="83"/>
      <c r="UWU49" s="83"/>
      <c r="UWV49" s="83"/>
      <c r="UWW49" s="83"/>
      <c r="UWX49" s="83"/>
      <c r="UWY49" s="83"/>
      <c r="UWZ49" s="83"/>
      <c r="UXA49" s="83"/>
      <c r="UXB49" s="83"/>
      <c r="UXC49" s="83"/>
      <c r="UXD49" s="83"/>
      <c r="UXE49" s="83"/>
      <c r="UXF49" s="83"/>
      <c r="UXG49" s="83"/>
      <c r="UXH49" s="83"/>
      <c r="UXI49" s="83"/>
      <c r="UXJ49" s="83"/>
      <c r="UXK49" s="83"/>
      <c r="UXL49" s="83"/>
      <c r="UXM49" s="83"/>
      <c r="UXN49" s="83"/>
      <c r="UXO49" s="83"/>
      <c r="UXP49" s="83"/>
      <c r="UXQ49" s="83"/>
      <c r="UXR49" s="83"/>
      <c r="UXS49" s="83"/>
      <c r="UXT49" s="83"/>
      <c r="UXU49" s="83"/>
      <c r="UXV49" s="83"/>
      <c r="UXW49" s="83"/>
      <c r="UXX49" s="83"/>
      <c r="UXY49" s="83"/>
      <c r="UXZ49" s="83"/>
      <c r="UYA49" s="83"/>
      <c r="UYB49" s="83"/>
      <c r="UYC49" s="83"/>
      <c r="UYD49" s="83"/>
      <c r="UYE49" s="83"/>
      <c r="UYF49" s="83"/>
      <c r="UYG49" s="83"/>
      <c r="UYH49" s="83"/>
      <c r="UYI49" s="83"/>
      <c r="UYJ49" s="83"/>
      <c r="UYK49" s="83"/>
      <c r="UYL49" s="83"/>
      <c r="UYM49" s="83"/>
      <c r="UYN49" s="83"/>
      <c r="UYO49" s="83"/>
      <c r="UYP49" s="83"/>
      <c r="UYQ49" s="83"/>
      <c r="UYR49" s="83"/>
      <c r="UYS49" s="83"/>
      <c r="UYT49" s="83"/>
      <c r="UYU49" s="83"/>
      <c r="UYV49" s="83"/>
      <c r="UYW49" s="83"/>
      <c r="UYX49" s="83"/>
      <c r="UYY49" s="83"/>
      <c r="UYZ49" s="83"/>
      <c r="UZA49" s="83"/>
      <c r="UZB49" s="83"/>
      <c r="UZC49" s="83"/>
      <c r="UZD49" s="83"/>
      <c r="UZE49" s="83"/>
      <c r="UZF49" s="83"/>
      <c r="UZG49" s="83"/>
      <c r="UZH49" s="83"/>
      <c r="UZI49" s="83"/>
      <c r="UZJ49" s="83"/>
      <c r="UZK49" s="83"/>
      <c r="UZL49" s="83"/>
      <c r="UZM49" s="83"/>
      <c r="UZN49" s="83"/>
      <c r="UZO49" s="83"/>
      <c r="UZP49" s="83"/>
      <c r="UZQ49" s="83"/>
      <c r="UZR49" s="83"/>
      <c r="UZS49" s="83"/>
      <c r="UZT49" s="83"/>
      <c r="UZU49" s="83"/>
      <c r="UZV49" s="83"/>
      <c r="UZW49" s="83"/>
      <c r="UZX49" s="83"/>
      <c r="UZY49" s="83"/>
      <c r="UZZ49" s="83"/>
      <c r="VAA49" s="83"/>
      <c r="VAB49" s="83"/>
      <c r="VAC49" s="83"/>
      <c r="VAD49" s="83"/>
      <c r="VAE49" s="83"/>
      <c r="VAF49" s="83"/>
      <c r="VAG49" s="83"/>
      <c r="VAH49" s="83"/>
      <c r="VAI49" s="83"/>
      <c r="VAJ49" s="83"/>
      <c r="VAK49" s="83"/>
      <c r="VAL49" s="83"/>
      <c r="VAM49" s="83"/>
      <c r="VAN49" s="83"/>
      <c r="VAO49" s="83"/>
      <c r="VAP49" s="83"/>
      <c r="VAQ49" s="83"/>
      <c r="VAR49" s="83"/>
      <c r="VAS49" s="83"/>
      <c r="VAT49" s="83"/>
      <c r="VAU49" s="83"/>
      <c r="VAV49" s="83"/>
      <c r="VAW49" s="83"/>
      <c r="VAX49" s="83"/>
      <c r="VAY49" s="83"/>
      <c r="VAZ49" s="83"/>
      <c r="VBA49" s="83"/>
      <c r="VBB49" s="83"/>
      <c r="VBC49" s="83"/>
      <c r="VBD49" s="83"/>
      <c r="VBE49" s="83"/>
      <c r="VBF49" s="83"/>
      <c r="VBG49" s="83"/>
      <c r="VBH49" s="83"/>
      <c r="VBI49" s="83"/>
      <c r="VBJ49" s="83"/>
      <c r="VBK49" s="83"/>
      <c r="VBL49" s="83"/>
      <c r="VBM49" s="83"/>
      <c r="VBN49" s="83"/>
      <c r="VBO49" s="83"/>
      <c r="VBP49" s="83"/>
      <c r="VBQ49" s="83"/>
      <c r="VBR49" s="83"/>
      <c r="VBS49" s="83"/>
      <c r="VBT49" s="83"/>
      <c r="VBU49" s="83"/>
      <c r="VBV49" s="83"/>
      <c r="VBW49" s="83"/>
      <c r="VBX49" s="83"/>
      <c r="VBY49" s="83"/>
      <c r="VBZ49" s="83"/>
      <c r="VCA49" s="83"/>
      <c r="VCB49" s="83"/>
      <c r="VCC49" s="83"/>
      <c r="VCD49" s="83"/>
      <c r="VCE49" s="83"/>
      <c r="VCF49" s="83"/>
      <c r="VCG49" s="83"/>
      <c r="VCH49" s="83"/>
      <c r="VCI49" s="83"/>
      <c r="VCJ49" s="83"/>
      <c r="VCK49" s="83"/>
      <c r="VCL49" s="83"/>
      <c r="VCM49" s="83"/>
      <c r="VCN49" s="83"/>
      <c r="VCO49" s="83"/>
      <c r="VCP49" s="83"/>
      <c r="VCQ49" s="83"/>
      <c r="VCR49" s="83"/>
    </row>
    <row r="50" spans="1:14968" ht="15" customHeight="1" x14ac:dyDescent="0.25">
      <c r="B50" s="135"/>
      <c r="C50" s="194" t="s">
        <v>91</v>
      </c>
      <c r="D50" s="199">
        <f>SUM(D52:D53)</f>
        <v>0</v>
      </c>
      <c r="E50" s="195" t="s">
        <v>16</v>
      </c>
      <c r="F50" s="190">
        <f>SUM(F52:F53)</f>
        <v>202000</v>
      </c>
      <c r="G50" s="190">
        <f>G53+G52</f>
        <v>0</v>
      </c>
      <c r="H50" s="190">
        <f t="shared" ref="H50:AI50" si="11">SUM(H52:H53)</f>
        <v>0</v>
      </c>
      <c r="I50" s="190">
        <f t="shared" si="11"/>
        <v>0</v>
      </c>
      <c r="J50" s="190">
        <f t="shared" si="11"/>
        <v>0</v>
      </c>
      <c r="K50" s="190">
        <f>K53+K52</f>
        <v>0</v>
      </c>
      <c r="L50" s="190">
        <f t="shared" si="11"/>
        <v>163382</v>
      </c>
      <c r="M50" s="190">
        <f t="shared" si="11"/>
        <v>0</v>
      </c>
      <c r="N50" s="190">
        <f>N53+N52</f>
        <v>0</v>
      </c>
      <c r="O50" s="190">
        <f t="shared" si="11"/>
        <v>0</v>
      </c>
      <c r="P50" s="190">
        <f t="shared" si="11"/>
        <v>0</v>
      </c>
      <c r="Q50" s="190">
        <f t="shared" si="11"/>
        <v>0</v>
      </c>
      <c r="R50" s="190" t="s">
        <v>85</v>
      </c>
      <c r="S50" s="190">
        <f t="shared" si="11"/>
        <v>0</v>
      </c>
      <c r="T50" s="190">
        <f t="shared" si="11"/>
        <v>216000</v>
      </c>
      <c r="U50" s="190">
        <f t="shared" si="11"/>
        <v>0</v>
      </c>
      <c r="V50" s="190">
        <f t="shared" si="11"/>
        <v>0</v>
      </c>
      <c r="W50" s="190">
        <f>SUM(W52:W53)</f>
        <v>0</v>
      </c>
      <c r="X50" s="190">
        <f t="shared" si="11"/>
        <v>0</v>
      </c>
      <c r="Y50" s="190">
        <f t="shared" si="11"/>
        <v>0</v>
      </c>
      <c r="Z50" s="190">
        <f t="shared" si="11"/>
        <v>0</v>
      </c>
      <c r="AA50" s="190">
        <f t="shared" si="11"/>
        <v>0</v>
      </c>
      <c r="AB50" s="190">
        <f t="shared" si="11"/>
        <v>0</v>
      </c>
      <c r="AC50" s="190">
        <f t="shared" si="11"/>
        <v>0</v>
      </c>
      <c r="AD50" s="190">
        <f t="shared" si="11"/>
        <v>0</v>
      </c>
      <c r="AE50" s="190">
        <f t="shared" si="11"/>
        <v>0</v>
      </c>
      <c r="AF50" s="190">
        <f t="shared" si="11"/>
        <v>158500</v>
      </c>
      <c r="AG50" s="190">
        <f t="shared" si="11"/>
        <v>148800</v>
      </c>
      <c r="AH50" s="190">
        <f t="shared" si="11"/>
        <v>0</v>
      </c>
      <c r="AI50" s="190">
        <f t="shared" si="11"/>
        <v>317500</v>
      </c>
      <c r="AJ50" s="10"/>
      <c r="AK50" s="26">
        <f>SUM(F50:AI50)</f>
        <v>1206182</v>
      </c>
      <c r="AL50" s="157"/>
      <c r="AM50" s="41"/>
      <c r="AO50" s="35"/>
      <c r="BW50" s="40"/>
      <c r="BX50" s="40"/>
      <c r="DA50" s="40"/>
      <c r="EI50" s="30"/>
      <c r="EJ50" s="40">
        <v>2136</v>
      </c>
      <c r="EK50" s="40"/>
      <c r="EL50" s="40"/>
      <c r="EM50" s="40"/>
      <c r="GP50" s="40"/>
      <c r="KK50" s="40"/>
      <c r="KL50" s="40"/>
      <c r="KM50" s="40"/>
      <c r="KN50" s="40"/>
      <c r="PR50" s="40"/>
      <c r="PS50" s="40"/>
      <c r="PU50" s="40"/>
      <c r="QI50" s="39"/>
      <c r="QM50" s="40"/>
      <c r="SP50" s="39"/>
      <c r="AHY50" s="5"/>
      <c r="AJN50" s="5"/>
      <c r="AJO50" s="5"/>
      <c r="AJP50" s="5"/>
    </row>
    <row r="51" spans="1:14968" ht="15" customHeight="1" x14ac:dyDescent="0.25">
      <c r="B51" s="135"/>
      <c r="C51" s="194" t="s">
        <v>90</v>
      </c>
      <c r="D51" s="199"/>
      <c r="E51" s="195" t="s">
        <v>16</v>
      </c>
      <c r="F51" s="190"/>
      <c r="G51" s="190"/>
      <c r="H51" s="190"/>
      <c r="I51" s="190"/>
      <c r="J51" s="190"/>
      <c r="K51" s="190" t="s">
        <v>156</v>
      </c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0"/>
      <c r="AK51" s="26">
        <f>SUM(F51:AI51)</f>
        <v>0</v>
      </c>
      <c r="AM51" s="41"/>
      <c r="AO51" s="35"/>
      <c r="BW51" s="40"/>
      <c r="BX51" s="40"/>
      <c r="DA51" s="40"/>
      <c r="EI51" s="30"/>
      <c r="EJ51" s="40"/>
      <c r="EK51" s="40"/>
      <c r="EL51" s="40"/>
      <c r="EM51" s="40"/>
      <c r="GP51" s="40"/>
      <c r="KK51" s="40"/>
      <c r="KL51" s="40"/>
      <c r="KM51" s="40"/>
      <c r="KN51" s="40"/>
      <c r="PR51" s="40"/>
      <c r="PS51" s="40"/>
      <c r="PU51" s="40"/>
      <c r="QI51" s="39"/>
      <c r="QM51" s="40"/>
      <c r="SP51" s="39"/>
      <c r="AHY51" s="5"/>
      <c r="AJN51" s="5"/>
      <c r="AJO51" s="5"/>
      <c r="AJP51" s="5"/>
    </row>
    <row r="52" spans="1:14968" ht="15" customHeight="1" x14ac:dyDescent="0.25">
      <c r="B52" s="135"/>
      <c r="C52" s="194" t="s">
        <v>89</v>
      </c>
      <c r="D52" s="199"/>
      <c r="E52" s="195" t="s">
        <v>16</v>
      </c>
      <c r="F52" s="190">
        <v>121500</v>
      </c>
      <c r="G52" s="190"/>
      <c r="H52" s="190">
        <v>0</v>
      </c>
      <c r="I52" s="190">
        <v>0</v>
      </c>
      <c r="J52" s="190">
        <v>0</v>
      </c>
      <c r="K52" s="190"/>
      <c r="L52" s="190">
        <v>102882</v>
      </c>
      <c r="M52" s="190">
        <v>0</v>
      </c>
      <c r="N52" s="190"/>
      <c r="O52" s="190"/>
      <c r="P52" s="190">
        <v>0</v>
      </c>
      <c r="Q52" s="190">
        <v>0</v>
      </c>
      <c r="R52" s="190">
        <v>0</v>
      </c>
      <c r="S52" s="190">
        <v>0</v>
      </c>
      <c r="T52" s="190">
        <v>124500</v>
      </c>
      <c r="U52" s="190">
        <v>0</v>
      </c>
      <c r="V52" s="190"/>
      <c r="W52" s="190"/>
      <c r="X52" s="190"/>
      <c r="Y52" s="190"/>
      <c r="Z52" s="190"/>
      <c r="AA52" s="190">
        <v>0</v>
      </c>
      <c r="AB52" s="190"/>
      <c r="AC52" s="190">
        <v>0</v>
      </c>
      <c r="AD52" s="190">
        <v>0</v>
      </c>
      <c r="AE52" s="190">
        <v>0</v>
      </c>
      <c r="AF52" s="190">
        <v>96400</v>
      </c>
      <c r="AG52" s="190">
        <v>90600</v>
      </c>
      <c r="AH52" s="190">
        <v>0</v>
      </c>
      <c r="AI52" s="190">
        <v>192500</v>
      </c>
      <c r="AJ52" s="10"/>
      <c r="AK52" s="26">
        <f>SUM(F52:AI52)</f>
        <v>728382</v>
      </c>
      <c r="AL52" s="31"/>
      <c r="AM52" s="41"/>
      <c r="AO52" s="35"/>
      <c r="BW52" s="40"/>
      <c r="BX52" s="40"/>
      <c r="BY52" s="31">
        <f>AM52/1000</f>
        <v>0</v>
      </c>
      <c r="DA52" s="40"/>
      <c r="EI52" s="30"/>
      <c r="EJ52" s="40">
        <v>1796</v>
      </c>
      <c r="EK52" s="40"/>
      <c r="EL52" s="40"/>
      <c r="EM52" s="40"/>
      <c r="GP52" s="40"/>
      <c r="KK52" s="40"/>
      <c r="KL52" s="40"/>
      <c r="KM52" s="40"/>
      <c r="KN52" s="40"/>
      <c r="PR52" s="40"/>
      <c r="PS52" s="40"/>
      <c r="PU52" s="40"/>
      <c r="QI52" s="39"/>
      <c r="QM52" s="40"/>
      <c r="SP52" s="39"/>
      <c r="AHY52" s="5"/>
      <c r="AJN52" s="5"/>
      <c r="AJO52" s="5"/>
      <c r="AJP52" s="5"/>
    </row>
    <row r="53" spans="1:14968" ht="15" customHeight="1" x14ac:dyDescent="0.25">
      <c r="B53" s="135"/>
      <c r="C53" s="194" t="s">
        <v>88</v>
      </c>
      <c r="D53" s="199"/>
      <c r="E53" s="195" t="s">
        <v>16</v>
      </c>
      <c r="F53" s="190">
        <v>80500</v>
      </c>
      <c r="G53" s="190"/>
      <c r="H53" s="190">
        <v>0</v>
      </c>
      <c r="I53" s="190">
        <v>0</v>
      </c>
      <c r="J53" s="190">
        <v>0</v>
      </c>
      <c r="K53" s="190"/>
      <c r="L53" s="190">
        <v>60500</v>
      </c>
      <c r="M53" s="190">
        <v>0</v>
      </c>
      <c r="N53" s="190"/>
      <c r="O53" s="190"/>
      <c r="P53" s="190">
        <v>0</v>
      </c>
      <c r="Q53" s="190">
        <v>0</v>
      </c>
      <c r="R53" s="190">
        <v>0</v>
      </c>
      <c r="S53" s="190">
        <v>0</v>
      </c>
      <c r="T53" s="190">
        <v>91500</v>
      </c>
      <c r="U53" s="190">
        <v>0</v>
      </c>
      <c r="V53" s="190"/>
      <c r="W53" s="190"/>
      <c r="X53" s="190"/>
      <c r="Y53" s="190"/>
      <c r="Z53" s="190"/>
      <c r="AA53" s="190">
        <v>0</v>
      </c>
      <c r="AB53" s="190"/>
      <c r="AC53" s="190">
        <v>0</v>
      </c>
      <c r="AD53" s="190">
        <v>0</v>
      </c>
      <c r="AE53" s="190"/>
      <c r="AF53" s="190">
        <v>62100</v>
      </c>
      <c r="AG53" s="190">
        <v>58200</v>
      </c>
      <c r="AH53" s="190">
        <v>0</v>
      </c>
      <c r="AI53" s="190">
        <v>125000</v>
      </c>
      <c r="AJ53" s="10"/>
      <c r="AK53" s="26">
        <f>SUM(F53:AI53)</f>
        <v>477800</v>
      </c>
      <c r="AM53" s="41"/>
      <c r="BW53" s="40"/>
      <c r="BX53" s="40"/>
      <c r="BY53" s="31">
        <f>AM53/1000</f>
        <v>0</v>
      </c>
      <c r="DA53" s="40"/>
      <c r="EI53" s="30"/>
      <c r="EJ53" s="40">
        <f>EJ50/EJ52*100</f>
        <v>118.93095768374164</v>
      </c>
      <c r="EK53" s="40"/>
      <c r="EL53" s="40"/>
      <c r="EM53" s="40"/>
      <c r="GP53" s="40"/>
      <c r="KK53" s="40"/>
      <c r="KL53" s="40"/>
      <c r="KM53" s="40"/>
      <c r="KN53" s="40"/>
      <c r="PR53" s="40"/>
      <c r="PS53" s="40"/>
      <c r="PU53" s="40"/>
      <c r="QI53" s="39"/>
      <c r="QM53" s="40"/>
      <c r="SP53" s="39"/>
      <c r="AHY53" s="5"/>
      <c r="AJN53" s="5"/>
      <c r="AJO53" s="5"/>
      <c r="AJP53" s="5"/>
    </row>
    <row r="54" spans="1:14968" x14ac:dyDescent="0.25">
      <c r="B54" s="137"/>
      <c r="C54" s="209" t="s">
        <v>87</v>
      </c>
      <c r="D54" s="210"/>
      <c r="E54" s="210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0"/>
      <c r="AK54" s="46" t="s">
        <v>86</v>
      </c>
      <c r="DI54" s="1" t="s">
        <v>85</v>
      </c>
      <c r="PS54" s="5">
        <v>678</v>
      </c>
    </row>
    <row r="55" spans="1:14968" x14ac:dyDescent="0.25">
      <c r="B55" s="135"/>
      <c r="C55" s="211" t="s">
        <v>84</v>
      </c>
      <c r="D55" s="290">
        <v>94.2</v>
      </c>
      <c r="E55" s="212" t="s">
        <v>29</v>
      </c>
      <c r="F55" s="292">
        <f t="shared" ref="F55:AI55" si="12">(F37/(F31+F32))*100</f>
        <v>94.443643133580679</v>
      </c>
      <c r="G55" s="292">
        <f t="shared" si="12"/>
        <v>94.244222241563492</v>
      </c>
      <c r="H55" s="292">
        <f t="shared" si="12"/>
        <v>94.393840669459678</v>
      </c>
      <c r="I55" s="292">
        <f t="shared" si="12"/>
        <v>95.076322154052278</v>
      </c>
      <c r="J55" s="292">
        <f t="shared" si="12"/>
        <v>94.752031207080336</v>
      </c>
      <c r="K55" s="292">
        <f t="shared" si="12"/>
        <v>95.174692111942534</v>
      </c>
      <c r="L55" s="292">
        <f t="shared" si="12"/>
        <v>94.822198500213872</v>
      </c>
      <c r="M55" s="292">
        <f t="shared" si="12"/>
        <v>95.439329658587155</v>
      </c>
      <c r="N55" s="292">
        <f t="shared" si="12"/>
        <v>95.735759475383759</v>
      </c>
      <c r="O55" s="292">
        <f t="shared" si="12"/>
        <v>95.240649304808926</v>
      </c>
      <c r="P55" s="292">
        <f t="shared" si="12"/>
        <v>95.580714277095652</v>
      </c>
      <c r="Q55" s="292">
        <f t="shared" si="12"/>
        <v>96.042038926355019</v>
      </c>
      <c r="R55" s="292">
        <f t="shared" si="12"/>
        <v>95.122392135976739</v>
      </c>
      <c r="S55" s="292">
        <f t="shared" si="12"/>
        <v>94.324383519577665</v>
      </c>
      <c r="T55" s="292">
        <f t="shared" si="12"/>
        <v>95.089555662128063</v>
      </c>
      <c r="U55" s="292" t="e">
        <f t="shared" si="12"/>
        <v>#DIV/0!</v>
      </c>
      <c r="V55" s="292" t="e">
        <f t="shared" si="12"/>
        <v>#DIV/0!</v>
      </c>
      <c r="W55" s="292" t="e">
        <f t="shared" si="12"/>
        <v>#DIV/0!</v>
      </c>
      <c r="X55" s="292" t="e">
        <f>(X37/(X31+X32))*100</f>
        <v>#DIV/0!</v>
      </c>
      <c r="Y55" s="292" t="e">
        <f t="shared" si="12"/>
        <v>#DIV/0!</v>
      </c>
      <c r="Z55" s="292" t="e">
        <f t="shared" si="12"/>
        <v>#DIV/0!</v>
      </c>
      <c r="AA55" s="292" t="e">
        <f t="shared" si="12"/>
        <v>#DIV/0!</v>
      </c>
      <c r="AB55" s="292">
        <f t="shared" si="12"/>
        <v>98.980187324357544</v>
      </c>
      <c r="AC55" s="292">
        <f t="shared" si="12"/>
        <v>95.344007478282037</v>
      </c>
      <c r="AD55" s="292">
        <f t="shared" si="12"/>
        <v>94.949158824014617</v>
      </c>
      <c r="AE55" s="292">
        <f t="shared" si="12"/>
        <v>94.993385827371995</v>
      </c>
      <c r="AF55" s="292">
        <f t="shared" si="12"/>
        <v>95.320284894809205</v>
      </c>
      <c r="AG55" s="292">
        <f t="shared" si="12"/>
        <v>95.283126571534709</v>
      </c>
      <c r="AH55" s="292">
        <f t="shared" si="12"/>
        <v>94.552382060380438</v>
      </c>
      <c r="AI55" s="292">
        <f t="shared" si="12"/>
        <v>95.676685692180655</v>
      </c>
      <c r="AJ55" s="7"/>
      <c r="AK55" s="293">
        <f>AK37/(SUM(AK31:AK32))*100</f>
        <v>95.087345949622957</v>
      </c>
      <c r="AL55" s="66"/>
      <c r="AM55" s="27"/>
      <c r="AO55" s="3" t="s">
        <v>85</v>
      </c>
      <c r="PS55" s="5">
        <v>420</v>
      </c>
      <c r="PU55" s="27">
        <f>PS55/PS54*100</f>
        <v>61.946902654867252</v>
      </c>
    </row>
    <row r="56" spans="1:14968" x14ac:dyDescent="0.25">
      <c r="B56" s="135"/>
      <c r="C56" s="211" t="s">
        <v>83</v>
      </c>
      <c r="D56" s="290">
        <v>5</v>
      </c>
      <c r="E56" s="212" t="s">
        <v>29</v>
      </c>
      <c r="F56" s="292">
        <f t="shared" ref="F56:AI56" si="13">(F38/(F31+F32))*100</f>
        <v>4.788027688455184</v>
      </c>
      <c r="G56" s="292">
        <f t="shared" si="13"/>
        <v>5.0046095671663551</v>
      </c>
      <c r="H56" s="292">
        <f t="shared" si="13"/>
        <v>4.9202485702900347</v>
      </c>
      <c r="I56" s="292">
        <f t="shared" si="13"/>
        <v>4.2902399236967703</v>
      </c>
      <c r="J56" s="292">
        <f t="shared" si="13"/>
        <v>4.5070079451595682</v>
      </c>
      <c r="K56" s="292">
        <f t="shared" si="13"/>
        <v>4.1231157185042289</v>
      </c>
      <c r="L56" s="292">
        <f t="shared" si="13"/>
        <v>4.4820400422453641</v>
      </c>
      <c r="M56" s="292">
        <f t="shared" si="13"/>
        <v>3.9406891736053073</v>
      </c>
      <c r="N56" s="292">
        <f t="shared" si="13"/>
        <v>3.6457623031090338</v>
      </c>
      <c r="O56" s="292">
        <f t="shared" si="13"/>
        <v>4.0550310574125987</v>
      </c>
      <c r="P56" s="292">
        <f t="shared" si="13"/>
        <v>3.742378981588895</v>
      </c>
      <c r="Q56" s="292">
        <f t="shared" si="13"/>
        <v>3.2578726919899319</v>
      </c>
      <c r="R56" s="292">
        <f t="shared" si="13"/>
        <v>4.2009503242143555</v>
      </c>
      <c r="S56" s="292">
        <f t="shared" si="13"/>
        <v>4.9946147575963531</v>
      </c>
      <c r="T56" s="292">
        <f t="shared" si="13"/>
        <v>4.1426832788094217</v>
      </c>
      <c r="U56" s="292" t="e">
        <f t="shared" si="13"/>
        <v>#DIV/0!</v>
      </c>
      <c r="V56" s="292" t="e">
        <f t="shared" si="13"/>
        <v>#DIV/0!</v>
      </c>
      <c r="W56" s="292" t="e">
        <f t="shared" si="13"/>
        <v>#DIV/0!</v>
      </c>
      <c r="X56" s="292" t="e">
        <f t="shared" si="13"/>
        <v>#DIV/0!</v>
      </c>
      <c r="Y56" s="292" t="e">
        <f t="shared" si="13"/>
        <v>#DIV/0!</v>
      </c>
      <c r="Z56" s="292" t="e">
        <f t="shared" si="13"/>
        <v>#DIV/0!</v>
      </c>
      <c r="AA56" s="292" t="e">
        <f t="shared" si="13"/>
        <v>#DIV/0!</v>
      </c>
      <c r="AB56" s="292">
        <f t="shared" si="13"/>
        <v>5.0104919851166949</v>
      </c>
      <c r="AC56" s="292">
        <f t="shared" si="13"/>
        <v>3.9610363664915722</v>
      </c>
      <c r="AD56" s="292">
        <f t="shared" si="13"/>
        <v>4.3342964098751313</v>
      </c>
      <c r="AE56" s="292">
        <f t="shared" si="13"/>
        <v>4.319845758256756</v>
      </c>
      <c r="AF56" s="292">
        <f t="shared" si="13"/>
        <v>3.9682635018258692</v>
      </c>
      <c r="AG56" s="292">
        <f t="shared" si="13"/>
        <v>4.0356683988055631</v>
      </c>
      <c r="AH56" s="292">
        <f t="shared" si="13"/>
        <v>4.7148000500014238</v>
      </c>
      <c r="AI56" s="292">
        <f t="shared" si="13"/>
        <v>3.6238643752306223</v>
      </c>
      <c r="AJ56" s="7"/>
      <c r="AK56" s="293">
        <f>AK38/(AK31+AK32)*100</f>
        <v>4.2502364569455615</v>
      </c>
      <c r="AM56" s="27">
        <f>100-AK55-AK56</f>
        <v>0.66241759343148132</v>
      </c>
      <c r="PS56" s="5">
        <f>PS54-PS55</f>
        <v>258</v>
      </c>
      <c r="PU56" s="27">
        <f>PS56/PS54*100</f>
        <v>38.053097345132741</v>
      </c>
    </row>
    <row r="57" spans="1:14968" x14ac:dyDescent="0.25">
      <c r="B57" s="135"/>
      <c r="C57" s="211" t="s">
        <v>82</v>
      </c>
      <c r="D57" s="290">
        <v>82</v>
      </c>
      <c r="E57" s="212" t="s">
        <v>29</v>
      </c>
      <c r="F57" s="292">
        <f t="shared" ref="F57:AI57" si="14">(F41/F40)*100</f>
        <v>82.031425566958305</v>
      </c>
      <c r="G57" s="292">
        <f t="shared" si="14"/>
        <v>82.07534544481247</v>
      </c>
      <c r="H57" s="292">
        <f t="shared" si="14"/>
        <v>81.051936235317655</v>
      </c>
      <c r="I57" s="292">
        <f t="shared" si="14"/>
        <v>82.174462705436156</v>
      </c>
      <c r="J57" s="292">
        <f>(J41/J40)*100</f>
        <v>83.399943759678223</v>
      </c>
      <c r="K57" s="292">
        <f t="shared" si="14"/>
        <v>81.014347126262393</v>
      </c>
      <c r="L57" s="292">
        <f t="shared" si="14"/>
        <v>81.172052431862255</v>
      </c>
      <c r="M57" s="292">
        <f t="shared" si="14"/>
        <v>82.080596333553913</v>
      </c>
      <c r="N57" s="292">
        <f t="shared" si="14"/>
        <v>82.120802211374468</v>
      </c>
      <c r="O57" s="292">
        <f t="shared" si="14"/>
        <v>82.221565221676087</v>
      </c>
      <c r="P57" s="292">
        <f t="shared" si="14"/>
        <v>82.556230024774891</v>
      </c>
      <c r="Q57" s="292">
        <f t="shared" si="14"/>
        <v>83.10649504073244</v>
      </c>
      <c r="R57" s="292">
        <f t="shared" si="14"/>
        <v>83.29969465902208</v>
      </c>
      <c r="S57" s="292">
        <f t="shared" si="14"/>
        <v>82.582439269932649</v>
      </c>
      <c r="T57" s="292">
        <f t="shared" si="14"/>
        <v>80.092887073984329</v>
      </c>
      <c r="U57" s="292" t="e">
        <f t="shared" si="14"/>
        <v>#DIV/0!</v>
      </c>
      <c r="V57" s="292" t="e">
        <f t="shared" si="14"/>
        <v>#DIV/0!</v>
      </c>
      <c r="W57" s="292" t="e">
        <f t="shared" si="14"/>
        <v>#DIV/0!</v>
      </c>
      <c r="X57" s="292" t="e">
        <f t="shared" si="14"/>
        <v>#DIV/0!</v>
      </c>
      <c r="Y57" s="292" t="e">
        <f t="shared" si="14"/>
        <v>#DIV/0!</v>
      </c>
      <c r="Z57" s="292" t="e">
        <f t="shared" si="14"/>
        <v>#DIV/0!</v>
      </c>
      <c r="AA57" s="292" t="e">
        <f t="shared" si="14"/>
        <v>#DIV/0!</v>
      </c>
      <c r="AB57" s="292" t="e">
        <f t="shared" si="14"/>
        <v>#DIV/0!</v>
      </c>
      <c r="AC57" s="292">
        <f t="shared" si="14"/>
        <v>82.35999724001762</v>
      </c>
      <c r="AD57" s="292">
        <f t="shared" si="14"/>
        <v>82.380657356289632</v>
      </c>
      <c r="AE57" s="292">
        <f t="shared" si="14"/>
        <v>82.518267695745735</v>
      </c>
      <c r="AF57" s="292">
        <f t="shared" si="14"/>
        <v>86.220829479846643</v>
      </c>
      <c r="AG57" s="292">
        <f t="shared" si="14"/>
        <v>84.449864240461096</v>
      </c>
      <c r="AH57" s="292">
        <f t="shared" si="14"/>
        <v>82.129631099986682</v>
      </c>
      <c r="AI57" s="292">
        <f t="shared" si="14"/>
        <v>76.979917160166238</v>
      </c>
      <c r="AJ57" s="7"/>
      <c r="AK57" s="293">
        <f>AK41/AK40*100</f>
        <v>82.135368433529948</v>
      </c>
    </row>
    <row r="58" spans="1:14968" x14ac:dyDescent="0.25">
      <c r="B58" s="135"/>
      <c r="C58" s="211" t="s">
        <v>80</v>
      </c>
      <c r="D58" s="290">
        <v>18</v>
      </c>
      <c r="E58" s="212" t="s">
        <v>29</v>
      </c>
      <c r="F58" s="292">
        <f t="shared" ref="F58:AI58" si="15">(F42/F40)*100</f>
        <v>17.968574433041695</v>
      </c>
      <c r="G58" s="292">
        <f t="shared" si="15"/>
        <v>17.924654555187526</v>
      </c>
      <c r="H58" s="292">
        <f t="shared" si="15"/>
        <v>18.948063764682345</v>
      </c>
      <c r="I58" s="292">
        <f t="shared" si="15"/>
        <v>17.825537294563844</v>
      </c>
      <c r="J58" s="292">
        <f t="shared" si="15"/>
        <v>16.600056240321766</v>
      </c>
      <c r="K58" s="292">
        <f t="shared" si="15"/>
        <v>18.9856528737376</v>
      </c>
      <c r="L58" s="292">
        <f t="shared" si="15"/>
        <v>18.827947568137755</v>
      </c>
      <c r="M58" s="292">
        <f t="shared" si="15"/>
        <v>17.919403666446094</v>
      </c>
      <c r="N58" s="292">
        <f t="shared" si="15"/>
        <v>17.879197788625536</v>
      </c>
      <c r="O58" s="292">
        <f t="shared" si="15"/>
        <v>17.778434778323909</v>
      </c>
      <c r="P58" s="292">
        <f t="shared" si="15"/>
        <v>17.443769975225106</v>
      </c>
      <c r="Q58" s="292">
        <f t="shared" si="15"/>
        <v>16.893504959267556</v>
      </c>
      <c r="R58" s="292">
        <f t="shared" si="15"/>
        <v>16.70030534097792</v>
      </c>
      <c r="S58" s="292">
        <f t="shared" si="15"/>
        <v>17.417560730067351</v>
      </c>
      <c r="T58" s="292">
        <f t="shared" si="15"/>
        <v>19.907112926015664</v>
      </c>
      <c r="U58" s="292" t="e">
        <f t="shared" si="15"/>
        <v>#DIV/0!</v>
      </c>
      <c r="V58" s="292" t="e">
        <f t="shared" si="15"/>
        <v>#DIV/0!</v>
      </c>
      <c r="W58" s="292" t="e">
        <f t="shared" si="15"/>
        <v>#DIV/0!</v>
      </c>
      <c r="X58" s="292" t="e">
        <f t="shared" si="15"/>
        <v>#DIV/0!</v>
      </c>
      <c r="Y58" s="292" t="e">
        <f t="shared" si="15"/>
        <v>#DIV/0!</v>
      </c>
      <c r="Z58" s="292" t="e">
        <f t="shared" si="15"/>
        <v>#DIV/0!</v>
      </c>
      <c r="AA58" s="292" t="e">
        <f t="shared" si="15"/>
        <v>#DIV/0!</v>
      </c>
      <c r="AB58" s="292" t="e">
        <f t="shared" si="15"/>
        <v>#DIV/0!</v>
      </c>
      <c r="AC58" s="292">
        <f t="shared" si="15"/>
        <v>17.64000275998238</v>
      </c>
      <c r="AD58" s="292">
        <f t="shared" si="15"/>
        <v>17.619342643710365</v>
      </c>
      <c r="AE58" s="292">
        <f t="shared" si="15"/>
        <v>17.481732304254276</v>
      </c>
      <c r="AF58" s="292">
        <f t="shared" si="15"/>
        <v>13.779170520153361</v>
      </c>
      <c r="AG58" s="292">
        <f t="shared" si="15"/>
        <v>15.550135759538893</v>
      </c>
      <c r="AH58" s="292">
        <f t="shared" si="15"/>
        <v>17.870368900013307</v>
      </c>
      <c r="AI58" s="292">
        <f t="shared" si="15"/>
        <v>23.020082839833751</v>
      </c>
      <c r="AJ58" s="7"/>
      <c r="AK58" s="293">
        <f>AK42/AK40*100</f>
        <v>17.864631566470052</v>
      </c>
    </row>
    <row r="59" spans="1:14968" ht="15" customHeight="1" x14ac:dyDescent="0.25">
      <c r="B59" s="135"/>
      <c r="C59" s="211" t="s">
        <v>81</v>
      </c>
      <c r="D59" s="290">
        <v>70</v>
      </c>
      <c r="E59" s="212" t="s">
        <v>29</v>
      </c>
      <c r="F59" s="292" t="e">
        <f t="shared" ref="F59:AH59" si="16">F46/F45*100</f>
        <v>#DIV/0!</v>
      </c>
      <c r="G59" s="292" t="e">
        <f t="shared" si="16"/>
        <v>#DIV/0!</v>
      </c>
      <c r="H59" s="292" t="e">
        <f t="shared" si="16"/>
        <v>#DIV/0!</v>
      </c>
      <c r="I59" s="292" t="e">
        <f t="shared" si="16"/>
        <v>#DIV/0!</v>
      </c>
      <c r="J59" s="292">
        <f t="shared" si="16"/>
        <v>73.117338003502624</v>
      </c>
      <c r="K59" s="292" t="e">
        <f t="shared" si="16"/>
        <v>#DIV/0!</v>
      </c>
      <c r="L59" s="292" t="e">
        <f t="shared" si="16"/>
        <v>#DIV/0!</v>
      </c>
      <c r="M59" s="292" t="e">
        <f t="shared" si="16"/>
        <v>#DIV/0!</v>
      </c>
      <c r="N59" s="292" t="e">
        <f t="shared" si="16"/>
        <v>#DIV/0!</v>
      </c>
      <c r="O59" s="292" t="e">
        <f t="shared" si="16"/>
        <v>#DIV/0!</v>
      </c>
      <c r="P59" s="292" t="e">
        <f t="shared" si="16"/>
        <v>#DIV/0!</v>
      </c>
      <c r="Q59" s="292" t="e">
        <f t="shared" si="16"/>
        <v>#DIV/0!</v>
      </c>
      <c r="R59" s="292" t="e">
        <f t="shared" si="16"/>
        <v>#DIV/0!</v>
      </c>
      <c r="S59" s="292" t="e">
        <f t="shared" si="16"/>
        <v>#DIV/0!</v>
      </c>
      <c r="T59" s="292" t="e">
        <f t="shared" si="16"/>
        <v>#DIV/0!</v>
      </c>
      <c r="U59" s="292" t="e">
        <f t="shared" si="16"/>
        <v>#DIV/0!</v>
      </c>
      <c r="V59" s="292" t="e">
        <f t="shared" si="16"/>
        <v>#DIV/0!</v>
      </c>
      <c r="W59" s="292" t="e">
        <f t="shared" si="16"/>
        <v>#DIV/0!</v>
      </c>
      <c r="X59" s="292" t="e">
        <f t="shared" si="16"/>
        <v>#DIV/0!</v>
      </c>
      <c r="Y59" s="292" t="e">
        <f t="shared" si="16"/>
        <v>#DIV/0!</v>
      </c>
      <c r="Z59" s="292" t="e">
        <f t="shared" si="16"/>
        <v>#DIV/0!</v>
      </c>
      <c r="AA59" s="292" t="e">
        <f t="shared" si="16"/>
        <v>#VALUE!</v>
      </c>
      <c r="AB59" s="292" t="e">
        <f t="shared" si="16"/>
        <v>#DIV/0!</v>
      </c>
      <c r="AC59" s="292" t="e">
        <f t="shared" si="16"/>
        <v>#DIV/0!</v>
      </c>
      <c r="AD59" s="292" t="e">
        <f t="shared" si="16"/>
        <v>#DIV/0!</v>
      </c>
      <c r="AE59" s="292" t="e">
        <f t="shared" si="16"/>
        <v>#DIV/0!</v>
      </c>
      <c r="AF59" s="292" t="e">
        <f t="shared" si="16"/>
        <v>#DIV/0!</v>
      </c>
      <c r="AG59" s="292" t="e">
        <f t="shared" si="16"/>
        <v>#DIV/0!</v>
      </c>
      <c r="AH59" s="292" t="e">
        <f t="shared" si="16"/>
        <v>#DIV/0!</v>
      </c>
      <c r="AI59" s="292" t="e">
        <f>AI46/AI45*100</f>
        <v>#DIV/0!</v>
      </c>
      <c r="AJ59" s="7"/>
      <c r="AK59" s="293">
        <f>AK46/AK45*100</f>
        <v>73.117338003502624</v>
      </c>
    </row>
    <row r="60" spans="1:14968" ht="15" customHeight="1" x14ac:dyDescent="0.25">
      <c r="B60" s="135"/>
      <c r="C60" s="211" t="s">
        <v>80</v>
      </c>
      <c r="D60" s="290">
        <v>30</v>
      </c>
      <c r="E60" s="212" t="s">
        <v>29</v>
      </c>
      <c r="F60" s="292" t="e">
        <f t="shared" ref="F60:AI60" si="17">F47/F45*100</f>
        <v>#DIV/0!</v>
      </c>
      <c r="G60" s="292" t="e">
        <f t="shared" si="17"/>
        <v>#DIV/0!</v>
      </c>
      <c r="H60" s="292" t="e">
        <f t="shared" si="17"/>
        <v>#DIV/0!</v>
      </c>
      <c r="I60" s="292" t="e">
        <f t="shared" si="17"/>
        <v>#DIV/0!</v>
      </c>
      <c r="J60" s="292">
        <f t="shared" si="17"/>
        <v>26.882661996497376</v>
      </c>
      <c r="K60" s="292" t="e">
        <f t="shared" si="17"/>
        <v>#DIV/0!</v>
      </c>
      <c r="L60" s="292" t="e">
        <f t="shared" si="17"/>
        <v>#DIV/0!</v>
      </c>
      <c r="M60" s="292" t="e">
        <f t="shared" si="17"/>
        <v>#DIV/0!</v>
      </c>
      <c r="N60" s="292" t="e">
        <f t="shared" si="17"/>
        <v>#DIV/0!</v>
      </c>
      <c r="O60" s="292" t="e">
        <f t="shared" si="17"/>
        <v>#DIV/0!</v>
      </c>
      <c r="P60" s="292" t="e">
        <f t="shared" si="17"/>
        <v>#DIV/0!</v>
      </c>
      <c r="Q60" s="292" t="e">
        <f t="shared" si="17"/>
        <v>#DIV/0!</v>
      </c>
      <c r="R60" s="292" t="e">
        <f t="shared" si="17"/>
        <v>#DIV/0!</v>
      </c>
      <c r="S60" s="292" t="e">
        <f t="shared" si="17"/>
        <v>#DIV/0!</v>
      </c>
      <c r="T60" s="292" t="e">
        <f t="shared" si="17"/>
        <v>#DIV/0!</v>
      </c>
      <c r="U60" s="292" t="e">
        <f t="shared" si="17"/>
        <v>#DIV/0!</v>
      </c>
      <c r="V60" s="292" t="e">
        <f t="shared" si="17"/>
        <v>#DIV/0!</v>
      </c>
      <c r="W60" s="292" t="e">
        <f t="shared" si="17"/>
        <v>#DIV/0!</v>
      </c>
      <c r="X60" s="292" t="e">
        <f t="shared" si="17"/>
        <v>#DIV/0!</v>
      </c>
      <c r="Y60" s="292" t="e">
        <f t="shared" si="17"/>
        <v>#DIV/0!</v>
      </c>
      <c r="Z60" s="292" t="e">
        <f t="shared" si="17"/>
        <v>#DIV/0!</v>
      </c>
      <c r="AA60" s="292" t="e">
        <f t="shared" si="17"/>
        <v>#DIV/0!</v>
      </c>
      <c r="AB60" s="292" t="e">
        <f t="shared" si="17"/>
        <v>#DIV/0!</v>
      </c>
      <c r="AC60" s="292" t="e">
        <f t="shared" si="17"/>
        <v>#DIV/0!</v>
      </c>
      <c r="AD60" s="292" t="e">
        <f t="shared" si="17"/>
        <v>#DIV/0!</v>
      </c>
      <c r="AE60" s="292" t="e">
        <f t="shared" si="17"/>
        <v>#DIV/0!</v>
      </c>
      <c r="AF60" s="292" t="e">
        <f t="shared" si="17"/>
        <v>#DIV/0!</v>
      </c>
      <c r="AG60" s="292" t="e">
        <f t="shared" si="17"/>
        <v>#DIV/0!</v>
      </c>
      <c r="AH60" s="292" t="e">
        <f t="shared" si="17"/>
        <v>#DIV/0!</v>
      </c>
      <c r="AI60" s="292" t="e">
        <f t="shared" si="17"/>
        <v>#DIV/0!</v>
      </c>
      <c r="AJ60" s="294"/>
      <c r="AK60" s="293">
        <f>AK47/AK45*100</f>
        <v>26.882661996497376</v>
      </c>
      <c r="GQ60" s="1">
        <v>95.03</v>
      </c>
    </row>
    <row r="61" spans="1:14968" ht="15" customHeight="1" x14ac:dyDescent="0.25">
      <c r="B61" s="135"/>
      <c r="C61" s="211" t="s">
        <v>79</v>
      </c>
      <c r="D61" s="290">
        <v>60</v>
      </c>
      <c r="E61" s="212" t="s">
        <v>29</v>
      </c>
      <c r="F61" s="292">
        <f t="shared" ref="F61:S61" si="18">F52/F50*100</f>
        <v>60.148514851485146</v>
      </c>
      <c r="G61" s="292" t="e">
        <f t="shared" si="18"/>
        <v>#DIV/0!</v>
      </c>
      <c r="H61" s="292" t="e">
        <f t="shared" si="18"/>
        <v>#DIV/0!</v>
      </c>
      <c r="I61" s="292" t="e">
        <f t="shared" si="18"/>
        <v>#DIV/0!</v>
      </c>
      <c r="J61" s="292" t="e">
        <f t="shared" si="18"/>
        <v>#DIV/0!</v>
      </c>
      <c r="K61" s="292" t="e">
        <f t="shared" si="18"/>
        <v>#DIV/0!</v>
      </c>
      <c r="L61" s="292">
        <f t="shared" si="18"/>
        <v>62.970217037372535</v>
      </c>
      <c r="M61" s="292" t="e">
        <f t="shared" si="18"/>
        <v>#DIV/0!</v>
      </c>
      <c r="N61" s="292" t="e">
        <f t="shared" si="18"/>
        <v>#DIV/0!</v>
      </c>
      <c r="O61" s="292" t="e">
        <f t="shared" si="18"/>
        <v>#DIV/0!</v>
      </c>
      <c r="P61" s="292" t="e">
        <f t="shared" si="18"/>
        <v>#DIV/0!</v>
      </c>
      <c r="Q61" s="292" t="e">
        <f t="shared" si="18"/>
        <v>#DIV/0!</v>
      </c>
      <c r="R61" s="292" t="e">
        <f t="shared" si="18"/>
        <v>#VALUE!</v>
      </c>
      <c r="S61" s="292" t="e">
        <f t="shared" si="18"/>
        <v>#DIV/0!</v>
      </c>
      <c r="T61" s="292">
        <f>(T52+T51)/T50*100</f>
        <v>57.638888888888886</v>
      </c>
      <c r="U61" s="292" t="e">
        <f>(U52+U51)/U50*100</f>
        <v>#DIV/0!</v>
      </c>
      <c r="V61" s="292" t="e">
        <f>(V52+V51)/V50*100</f>
        <v>#DIV/0!</v>
      </c>
      <c r="W61" s="292" t="e">
        <f>(W52+W51)/W50*100</f>
        <v>#DIV/0!</v>
      </c>
      <c r="X61" s="292" t="e">
        <f t="shared" ref="X61:AI61" si="19">X52/X50*100</f>
        <v>#DIV/0!</v>
      </c>
      <c r="Y61" s="292" t="e">
        <f t="shared" si="19"/>
        <v>#DIV/0!</v>
      </c>
      <c r="Z61" s="292" t="e">
        <f t="shared" si="19"/>
        <v>#DIV/0!</v>
      </c>
      <c r="AA61" s="292" t="e">
        <f t="shared" si="19"/>
        <v>#DIV/0!</v>
      </c>
      <c r="AB61" s="292" t="e">
        <f t="shared" si="19"/>
        <v>#DIV/0!</v>
      </c>
      <c r="AC61" s="292" t="e">
        <f t="shared" si="19"/>
        <v>#DIV/0!</v>
      </c>
      <c r="AD61" s="292" t="e">
        <f>AD52/AD50*100</f>
        <v>#DIV/0!</v>
      </c>
      <c r="AE61" s="292" t="e">
        <f t="shared" si="19"/>
        <v>#DIV/0!</v>
      </c>
      <c r="AF61" s="292">
        <f t="shared" si="19"/>
        <v>60.820189274447941</v>
      </c>
      <c r="AG61" s="292">
        <f t="shared" si="19"/>
        <v>60.887096774193552</v>
      </c>
      <c r="AH61" s="292" t="e">
        <f t="shared" si="19"/>
        <v>#DIV/0!</v>
      </c>
      <c r="AI61" s="292">
        <f t="shared" si="19"/>
        <v>60.629921259842526</v>
      </c>
      <c r="AJ61" s="7"/>
      <c r="AK61" s="293">
        <f>(AK52+AK51)/AK50*100</f>
        <v>60.38740422258001</v>
      </c>
      <c r="GQ61" s="1">
        <v>4.2300000000000004</v>
      </c>
      <c r="PU61" s="5">
        <f>PU62/94.2%</f>
        <v>1307.8556263269638</v>
      </c>
      <c r="PV61" s="1" t="s">
        <v>78</v>
      </c>
    </row>
    <row r="62" spans="1:14968" ht="15" customHeight="1" x14ac:dyDescent="0.25">
      <c r="B62" s="135"/>
      <c r="C62" s="211" t="s">
        <v>77</v>
      </c>
      <c r="D62" s="290">
        <v>40</v>
      </c>
      <c r="E62" s="212" t="s">
        <v>29</v>
      </c>
      <c r="F62" s="292">
        <f t="shared" ref="F62:AI62" si="20">F53/F50*100</f>
        <v>39.851485148514854</v>
      </c>
      <c r="G62" s="292" t="e">
        <f t="shared" si="20"/>
        <v>#DIV/0!</v>
      </c>
      <c r="H62" s="292" t="e">
        <f t="shared" si="20"/>
        <v>#DIV/0!</v>
      </c>
      <c r="I62" s="292" t="e">
        <f t="shared" si="20"/>
        <v>#DIV/0!</v>
      </c>
      <c r="J62" s="292" t="e">
        <f t="shared" si="20"/>
        <v>#DIV/0!</v>
      </c>
      <c r="K62" s="292" t="e">
        <f t="shared" si="20"/>
        <v>#DIV/0!</v>
      </c>
      <c r="L62" s="292">
        <f t="shared" si="20"/>
        <v>37.029782962627458</v>
      </c>
      <c r="M62" s="292" t="e">
        <f t="shared" si="20"/>
        <v>#DIV/0!</v>
      </c>
      <c r="N62" s="292" t="e">
        <f t="shared" si="20"/>
        <v>#DIV/0!</v>
      </c>
      <c r="O62" s="292" t="e">
        <f t="shared" si="20"/>
        <v>#DIV/0!</v>
      </c>
      <c r="P62" s="292" t="e">
        <f t="shared" si="20"/>
        <v>#DIV/0!</v>
      </c>
      <c r="Q62" s="292" t="e">
        <f t="shared" si="20"/>
        <v>#DIV/0!</v>
      </c>
      <c r="R62" s="292" t="e">
        <f t="shared" si="20"/>
        <v>#VALUE!</v>
      </c>
      <c r="S62" s="292" t="e">
        <f t="shared" si="20"/>
        <v>#DIV/0!</v>
      </c>
      <c r="T62" s="292">
        <f t="shared" si="20"/>
        <v>42.361111111111107</v>
      </c>
      <c r="U62" s="292" t="e">
        <f t="shared" si="20"/>
        <v>#DIV/0!</v>
      </c>
      <c r="V62" s="292" t="e">
        <f t="shared" si="20"/>
        <v>#DIV/0!</v>
      </c>
      <c r="W62" s="292" t="e">
        <f t="shared" si="20"/>
        <v>#DIV/0!</v>
      </c>
      <c r="X62" s="292" t="e">
        <f t="shared" si="20"/>
        <v>#DIV/0!</v>
      </c>
      <c r="Y62" s="292" t="e">
        <f t="shared" si="20"/>
        <v>#DIV/0!</v>
      </c>
      <c r="Z62" s="292" t="e">
        <f t="shared" si="20"/>
        <v>#DIV/0!</v>
      </c>
      <c r="AA62" s="292" t="e">
        <f t="shared" si="20"/>
        <v>#DIV/0!</v>
      </c>
      <c r="AB62" s="292" t="e">
        <f t="shared" si="20"/>
        <v>#DIV/0!</v>
      </c>
      <c r="AC62" s="292" t="e">
        <f t="shared" si="20"/>
        <v>#DIV/0!</v>
      </c>
      <c r="AD62" s="292" t="e">
        <f t="shared" si="20"/>
        <v>#DIV/0!</v>
      </c>
      <c r="AE62" s="292" t="e">
        <f t="shared" si="20"/>
        <v>#DIV/0!</v>
      </c>
      <c r="AF62" s="292">
        <f t="shared" si="20"/>
        <v>39.179810725552052</v>
      </c>
      <c r="AG62" s="292">
        <f t="shared" si="20"/>
        <v>39.112903225806448</v>
      </c>
      <c r="AH62" s="292" t="e">
        <f t="shared" si="20"/>
        <v>#DIV/0!</v>
      </c>
      <c r="AI62" s="292">
        <f t="shared" si="20"/>
        <v>39.370078740157481</v>
      </c>
      <c r="AJ62" s="294"/>
      <c r="AK62" s="293">
        <f>AK53/AK50*100</f>
        <v>39.61259577741999</v>
      </c>
      <c r="GQ62" s="1">
        <f>100-GQ60-GQ61</f>
        <v>0.73999999999999844</v>
      </c>
      <c r="PU62" s="5">
        <f>22*56</f>
        <v>1232</v>
      </c>
      <c r="PV62" s="1" t="s">
        <v>76</v>
      </c>
    </row>
    <row r="63" spans="1:14968" x14ac:dyDescent="0.25">
      <c r="B63" s="179">
        <v>3</v>
      </c>
      <c r="C63" s="213" t="s">
        <v>75</v>
      </c>
      <c r="D63" s="210"/>
      <c r="E63" s="210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0"/>
      <c r="AK63" s="43" t="s">
        <v>74</v>
      </c>
      <c r="AL63" s="31"/>
      <c r="CV63" s="5"/>
      <c r="PU63" s="5">
        <f>16.5*PU61</f>
        <v>21579.617834394903</v>
      </c>
    </row>
    <row r="64" spans="1:14968" x14ac:dyDescent="0.25">
      <c r="B64" s="137"/>
      <c r="C64" s="136" t="s">
        <v>73</v>
      </c>
      <c r="D64" s="290">
        <v>8</v>
      </c>
      <c r="E64" s="214" t="s">
        <v>70</v>
      </c>
      <c r="F64" s="11">
        <f>15872-3315</f>
        <v>12557</v>
      </c>
      <c r="G64" s="285">
        <v>20216</v>
      </c>
      <c r="H64" s="285">
        <v>17552</v>
      </c>
      <c r="I64" s="11">
        <v>13730</v>
      </c>
      <c r="J64" s="11">
        <f>9960-450</f>
        <v>9510</v>
      </c>
      <c r="K64" s="11">
        <f>9304+450</f>
        <v>9754</v>
      </c>
      <c r="L64" s="285">
        <f>10896-2750</f>
        <v>8146</v>
      </c>
      <c r="M64" s="11">
        <v>6280</v>
      </c>
      <c r="N64" s="11">
        <v>8392</v>
      </c>
      <c r="O64" s="11">
        <v>7832</v>
      </c>
      <c r="P64" s="11">
        <f>6480-1850</f>
        <v>4630</v>
      </c>
      <c r="Q64" s="11">
        <f>7336+1850</f>
        <v>9186</v>
      </c>
      <c r="R64" s="11">
        <v>5272</v>
      </c>
      <c r="S64" s="11">
        <f>6112-2500</f>
        <v>3612</v>
      </c>
      <c r="T64" s="11">
        <f>6512-1000</f>
        <v>5512</v>
      </c>
      <c r="U64" s="11"/>
      <c r="V64" s="11"/>
      <c r="W64" s="11"/>
      <c r="X64" s="11"/>
      <c r="Y64" s="285"/>
      <c r="Z64" s="285"/>
      <c r="AA64" s="11"/>
      <c r="AB64" s="11">
        <v>6824</v>
      </c>
      <c r="AC64" s="11">
        <f>16224-1500-4000</f>
        <v>10724</v>
      </c>
      <c r="AD64" s="11">
        <f>13160+1500</f>
        <v>14660</v>
      </c>
      <c r="AE64" s="11">
        <f>13160+4000</f>
        <v>17160</v>
      </c>
      <c r="AF64" s="11">
        <f>19193-2700</f>
        <v>16493</v>
      </c>
      <c r="AG64" s="11">
        <f>18960-2560</f>
        <v>16400</v>
      </c>
      <c r="AH64" s="285">
        <v>19128</v>
      </c>
      <c r="AI64" s="11">
        <f>12680-5320</f>
        <v>7360</v>
      </c>
      <c r="AJ64" s="10"/>
      <c r="AK64" s="9">
        <f>SUM(F64:AI64)</f>
        <v>250930</v>
      </c>
      <c r="AL64" s="31"/>
      <c r="CV64" s="5"/>
    </row>
    <row r="65" spans="2:952" x14ac:dyDescent="0.25">
      <c r="B65" s="135"/>
      <c r="C65" s="215"/>
      <c r="D65" s="192"/>
      <c r="E65" s="214" t="s">
        <v>29</v>
      </c>
      <c r="F65" s="292">
        <f>F64/F31*100</f>
        <v>0.76099617350494586</v>
      </c>
      <c r="G65" s="295">
        <f>G64/(G31-G49)*100</f>
        <v>1.1207096793149347</v>
      </c>
      <c r="H65" s="295">
        <f>H64/((H31+H32)-H49)*100</f>
        <v>1.1814627736911827</v>
      </c>
      <c r="I65" s="292">
        <f>I64/((I31+I32)-I49)*100</f>
        <v>1.0393287132535229</v>
      </c>
      <c r="J65" s="292">
        <f>J64/((J31+J32)-J49)*100</f>
        <v>0.82146626978299819</v>
      </c>
      <c r="K65" s="292">
        <f>K64/K31*100</f>
        <v>0.80276399693181866</v>
      </c>
      <c r="L65" s="295">
        <f>L64/((L31+L32)-L49)*100</f>
        <v>0.92110039044434666</v>
      </c>
      <c r="M65" s="292">
        <f t="shared" ref="M65" si="21">M64/((M31+M32)-M49)*100</f>
        <v>0.66441667812820704</v>
      </c>
      <c r="N65" s="292">
        <f t="shared" ref="N65:AI65" si="22">N64/((N31+N32)-(N49+N44))*100</f>
        <v>0.64660137472136892</v>
      </c>
      <c r="O65" s="292">
        <f t="shared" si="22"/>
        <v>0.63551053030887017</v>
      </c>
      <c r="P65" s="292">
        <f t="shared" si="22"/>
        <v>0.79808459696727851</v>
      </c>
      <c r="Q65" s="292">
        <f t="shared" si="22"/>
        <v>0.73539301016389036</v>
      </c>
      <c r="R65" s="292">
        <f t="shared" si="22"/>
        <v>0.7331151972611083</v>
      </c>
      <c r="S65" s="292">
        <f t="shared" si="22"/>
        <v>0.81557633383535377</v>
      </c>
      <c r="T65" s="292">
        <f t="shared" si="22"/>
        <v>0.79713540310871245</v>
      </c>
      <c r="U65" s="292" t="e">
        <f t="shared" si="22"/>
        <v>#DIV/0!</v>
      </c>
      <c r="V65" s="292" t="e">
        <f t="shared" si="22"/>
        <v>#DIV/0!</v>
      </c>
      <c r="W65" s="292" t="e">
        <f t="shared" si="22"/>
        <v>#DIV/0!</v>
      </c>
      <c r="X65" s="292" t="e">
        <f t="shared" si="22"/>
        <v>#DIV/0!</v>
      </c>
      <c r="Y65" s="292" t="e">
        <f t="shared" si="22"/>
        <v>#DIV/0!</v>
      </c>
      <c r="Z65" s="292" t="e">
        <f t="shared" si="22"/>
        <v>#DIV/0!</v>
      </c>
      <c r="AA65" s="292" t="e">
        <f t="shared" si="22"/>
        <v>#DIV/0!</v>
      </c>
      <c r="AB65" s="295">
        <f t="shared" si="22"/>
        <v>2.8243513387110792</v>
      </c>
      <c r="AC65" s="295">
        <f>AC64/((AC31+AC32)-(AC49+AC44))*100</f>
        <v>0.99648479858908745</v>
      </c>
      <c r="AD65" s="292">
        <f>AD64/((AD31+AD32)-(AD49+AD44))*100</f>
        <v>0.82823829308336283</v>
      </c>
      <c r="AE65" s="292">
        <f t="shared" si="22"/>
        <v>0.81771759579590231</v>
      </c>
      <c r="AF65" s="292">
        <f t="shared" si="22"/>
        <v>0.82540648504354241</v>
      </c>
      <c r="AG65" s="292">
        <f t="shared" si="22"/>
        <v>0.82783504478133296</v>
      </c>
      <c r="AH65" s="295">
        <f t="shared" si="22"/>
        <v>1.1836970606836581</v>
      </c>
      <c r="AI65" s="292">
        <f t="shared" si="22"/>
        <v>0.68831942510364541</v>
      </c>
      <c r="AJ65" s="10"/>
      <c r="AK65" s="296">
        <f>AK64/(((AK31)-(AK44+AK49)))*100</f>
        <v>0.88628008894941923</v>
      </c>
      <c r="AL65" s="67">
        <f>AK65*10</f>
        <v>8.8628008894941921</v>
      </c>
      <c r="AM65" s="297">
        <f>AK65*10</f>
        <v>8.8628008894941921</v>
      </c>
      <c r="CV65" s="4"/>
      <c r="GQ65" s="27">
        <f>R65*10</f>
        <v>7.3311519726110834</v>
      </c>
      <c r="PR65" s="27"/>
      <c r="PU65" s="5">
        <f>PU61+(AK49/1000)</f>
        <v>2568.1726263269638</v>
      </c>
      <c r="PV65" s="5" t="s">
        <v>72</v>
      </c>
    </row>
    <row r="66" spans="2:952" x14ac:dyDescent="0.25">
      <c r="B66" s="137"/>
      <c r="C66" s="216" t="s">
        <v>71</v>
      </c>
      <c r="D66" s="298">
        <v>16</v>
      </c>
      <c r="E66" s="217" t="s">
        <v>70</v>
      </c>
      <c r="F66" s="218">
        <v>3315</v>
      </c>
      <c r="G66" s="218">
        <v>0</v>
      </c>
      <c r="H66" s="218"/>
      <c r="I66" s="218"/>
      <c r="J66" s="218"/>
      <c r="K66" s="218"/>
      <c r="L66" s="218">
        <v>2750</v>
      </c>
      <c r="M66" s="218"/>
      <c r="N66" s="218"/>
      <c r="O66" s="218"/>
      <c r="P66" s="218"/>
      <c r="Q66" s="218"/>
      <c r="R66" s="218"/>
      <c r="S66" s="218"/>
      <c r="T66" s="218">
        <f>2500+1000</f>
        <v>3500</v>
      </c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>
        <v>2700</v>
      </c>
      <c r="AG66" s="218">
        <v>2560</v>
      </c>
      <c r="AH66" s="218"/>
      <c r="AI66" s="218">
        <v>5320</v>
      </c>
      <c r="AJ66" s="10"/>
      <c r="AK66" s="80">
        <f>SUM(F66:AI66)</f>
        <v>20145</v>
      </c>
      <c r="AL66" s="66"/>
      <c r="AM66" s="297"/>
      <c r="AO66" s="3">
        <f>AK66+AK68</f>
        <v>37085.627999999997</v>
      </c>
      <c r="BW66" s="5"/>
      <c r="BX66" s="5"/>
      <c r="DA66" s="5"/>
      <c r="EI66" s="30"/>
      <c r="EJ66" s="5"/>
      <c r="EK66" s="5"/>
      <c r="EL66" s="5"/>
      <c r="EM66" s="5"/>
      <c r="GP66" s="5"/>
      <c r="GQ66" s="27"/>
      <c r="KK66" s="5"/>
      <c r="KL66" s="5"/>
      <c r="KM66" s="5"/>
      <c r="KN66" s="5"/>
      <c r="PR66" s="5"/>
      <c r="PS66" s="5"/>
      <c r="PU66" s="5">
        <f>PU63+AK66</f>
        <v>41724.6178343949</v>
      </c>
      <c r="PV66" s="5" t="s">
        <v>69</v>
      </c>
      <c r="QI66" s="27"/>
      <c r="QM66" s="5"/>
      <c r="SP66" s="27"/>
      <c r="AHY66" s="5"/>
      <c r="AJN66" s="5"/>
      <c r="AJO66" s="5"/>
      <c r="AJP66" s="5"/>
    </row>
    <row r="67" spans="2:952" x14ac:dyDescent="0.25">
      <c r="B67" s="135"/>
      <c r="C67" s="219"/>
      <c r="D67" s="220"/>
      <c r="E67" s="221" t="s">
        <v>29</v>
      </c>
      <c r="F67" s="299">
        <f>F66/F49*100</f>
        <v>1.5491884869358781</v>
      </c>
      <c r="G67" s="299" t="e">
        <f>G66/G49*100</f>
        <v>#DIV/0!</v>
      </c>
      <c r="H67" s="299" t="e">
        <f t="shared" ref="H67:M67" si="23">H66/H49*100</f>
        <v>#DIV/0!</v>
      </c>
      <c r="I67" s="299" t="e">
        <f t="shared" si="23"/>
        <v>#DIV/0!</v>
      </c>
      <c r="J67" s="299" t="e">
        <f t="shared" si="23"/>
        <v>#DIV/0!</v>
      </c>
      <c r="K67" s="299" t="e">
        <f t="shared" si="23"/>
        <v>#DIV/0!</v>
      </c>
      <c r="L67" s="299">
        <f t="shared" si="23"/>
        <v>1.5959885553111599</v>
      </c>
      <c r="M67" s="299" t="e">
        <f t="shared" si="23"/>
        <v>#DIV/0!</v>
      </c>
      <c r="N67" s="299" t="e">
        <f>N66/(N44+N49)*100</f>
        <v>#DIV/0!</v>
      </c>
      <c r="O67" s="299" t="e">
        <f>O66/(O44+O49)*100</f>
        <v>#DIV/0!</v>
      </c>
      <c r="P67" s="299" t="e">
        <f>P66/(P49+P44)*100</f>
        <v>#DIV/0!</v>
      </c>
      <c r="Q67" s="299" t="e">
        <f>Q66/Q49*100</f>
        <v>#DIV/0!</v>
      </c>
      <c r="R67" s="299" t="e">
        <f>R66/R49*100</f>
        <v>#DIV/0!</v>
      </c>
      <c r="S67" s="299" t="e">
        <f>S66/S49*100</f>
        <v>#DIV/0!</v>
      </c>
      <c r="T67" s="299">
        <f>T66/(T49+T44)*100</f>
        <v>1.5927552390270538</v>
      </c>
      <c r="U67" s="299" t="e">
        <f t="shared" ref="U67:AA67" si="24">U66/U49*100</f>
        <v>#DIV/0!</v>
      </c>
      <c r="V67" s="299" t="e">
        <f>V66/V49*100</f>
        <v>#DIV/0!</v>
      </c>
      <c r="W67" s="299" t="e">
        <f>W66/W49*100</f>
        <v>#DIV/0!</v>
      </c>
      <c r="X67" s="299" t="e">
        <f t="shared" si="24"/>
        <v>#DIV/0!</v>
      </c>
      <c r="Y67" s="299" t="e">
        <f t="shared" si="24"/>
        <v>#DIV/0!</v>
      </c>
      <c r="Z67" s="299" t="e">
        <f t="shared" si="24"/>
        <v>#DIV/0!</v>
      </c>
      <c r="AA67" s="299" t="e">
        <f t="shared" si="24"/>
        <v>#DIV/0!</v>
      </c>
      <c r="AB67" s="299" t="e">
        <f>AB66/(AB49+AB44)*100</f>
        <v>#DIV/0!</v>
      </c>
      <c r="AC67" s="299" t="e">
        <f>AC66/(AC49)*100</f>
        <v>#DIV/0!</v>
      </c>
      <c r="AD67" s="299" t="e">
        <f t="shared" ref="AD67" si="25">AD66/AD49*100</f>
        <v>#DIV/0!</v>
      </c>
      <c r="AE67" s="299" t="e">
        <f>AE66/AE49*100</f>
        <v>#DIV/0!</v>
      </c>
      <c r="AF67" s="299">
        <f t="shared" ref="AF67:AI67" si="26">AF66/AF49*100</f>
        <v>1.6237573745647427</v>
      </c>
      <c r="AG67" s="299">
        <f t="shared" si="26"/>
        <v>1.6392287940782859</v>
      </c>
      <c r="AH67" s="299" t="e">
        <f t="shared" si="26"/>
        <v>#DIV/0!</v>
      </c>
      <c r="AI67" s="299">
        <f t="shared" si="26"/>
        <v>1.6032305698701141</v>
      </c>
      <c r="AJ67" s="10"/>
      <c r="AK67" s="300">
        <f>AK66/((AK49)+AK44)*100</f>
        <v>1.5984073848087426</v>
      </c>
      <c r="AL67" s="67"/>
      <c r="AM67" s="297">
        <f>AK67*10</f>
        <v>15.984073848087426</v>
      </c>
      <c r="BW67" s="5"/>
      <c r="BX67" s="5"/>
      <c r="CV67" s="4"/>
      <c r="DA67" s="5"/>
      <c r="EI67" s="30"/>
      <c r="EJ67" s="5"/>
      <c r="EK67" s="5"/>
      <c r="EL67" s="5"/>
      <c r="EM67" s="5"/>
      <c r="GP67" s="5"/>
      <c r="GQ67" s="27"/>
      <c r="KK67" s="5"/>
      <c r="KL67" s="5"/>
      <c r="KM67" s="5"/>
      <c r="KN67" s="5"/>
      <c r="PR67" s="27"/>
      <c r="PS67" s="5"/>
      <c r="PU67" s="82">
        <f>PU66/PU65</f>
        <v>16.246811996462259</v>
      </c>
      <c r="PV67" s="81" t="s">
        <v>68</v>
      </c>
      <c r="QI67" s="27"/>
      <c r="QM67" s="5"/>
      <c r="SP67" s="27"/>
      <c r="AHY67" s="5"/>
      <c r="AJN67" s="5"/>
      <c r="AJO67" s="5"/>
      <c r="AJP67" s="5"/>
    </row>
    <row r="68" spans="2:952" x14ac:dyDescent="0.25">
      <c r="B68" s="135"/>
      <c r="C68" s="136" t="s">
        <v>67</v>
      </c>
      <c r="D68" s="290">
        <v>0.55000000000000004</v>
      </c>
      <c r="E68" s="214" t="s">
        <v>16</v>
      </c>
      <c r="F68" s="11">
        <v>924.63800000000003</v>
      </c>
      <c r="G68" s="11">
        <v>1068</v>
      </c>
      <c r="H68" s="11">
        <v>819.6</v>
      </c>
      <c r="I68" s="11">
        <v>679</v>
      </c>
      <c r="J68" s="11">
        <v>602</v>
      </c>
      <c r="K68" s="11">
        <v>651.70000000000005</v>
      </c>
      <c r="L68" s="11">
        <v>613.31600000000003</v>
      </c>
      <c r="M68" s="11">
        <v>507.21</v>
      </c>
      <c r="N68" s="11">
        <v>719.34</v>
      </c>
      <c r="O68" s="11">
        <v>692.60400000000004</v>
      </c>
      <c r="P68" s="11">
        <v>383.6</v>
      </c>
      <c r="Q68" s="11">
        <v>724.08600000000001</v>
      </c>
      <c r="R68" s="11">
        <v>426.75599999999997</v>
      </c>
      <c r="S68" s="11">
        <v>229.702</v>
      </c>
      <c r="T68" s="11">
        <v>543.95600000000002</v>
      </c>
      <c r="U68" s="11"/>
      <c r="V68" s="11"/>
      <c r="W68" s="11"/>
      <c r="X68" s="11"/>
      <c r="Y68" s="11"/>
      <c r="Z68" s="11"/>
      <c r="AA68" s="11"/>
      <c r="AB68" s="11">
        <v>298.49599999999998</v>
      </c>
      <c r="AC68" s="11">
        <v>589.99599999999998</v>
      </c>
      <c r="AD68" s="11">
        <v>1071.5540000000001</v>
      </c>
      <c r="AE68" s="11">
        <v>1071.5540000000001</v>
      </c>
      <c r="AF68" s="11">
        <v>1290.7619999999999</v>
      </c>
      <c r="AG68" s="11">
        <v>1239.45</v>
      </c>
      <c r="AH68" s="11">
        <v>912.97799999999995</v>
      </c>
      <c r="AI68" s="11">
        <v>880.33</v>
      </c>
      <c r="AJ68" s="10"/>
      <c r="AK68" s="80">
        <f>SUM(F68:AI68)</f>
        <v>16940.628000000001</v>
      </c>
      <c r="GQ68" s="27"/>
      <c r="PU68" s="27">
        <v>16</v>
      </c>
      <c r="PV68" s="1" t="s">
        <v>66</v>
      </c>
    </row>
    <row r="69" spans="2:952" x14ac:dyDescent="0.25">
      <c r="B69" s="222"/>
      <c r="C69" s="223"/>
      <c r="D69" s="192"/>
      <c r="E69" s="224" t="s">
        <v>29</v>
      </c>
      <c r="F69" s="79">
        <f t="shared" ref="F69:AI69" si="27">F68/(F31+F32)*100</f>
        <v>5.6036153530084107E-2</v>
      </c>
      <c r="G69" s="79">
        <f t="shared" si="27"/>
        <v>5.9206467031477548E-2</v>
      </c>
      <c r="H69" s="79">
        <f t="shared" si="27"/>
        <v>5.516903425918946E-2</v>
      </c>
      <c r="I69" s="79">
        <f t="shared" si="27"/>
        <v>5.1398703299282013E-2</v>
      </c>
      <c r="J69" s="79">
        <f t="shared" si="27"/>
        <v>5.2000283323802826E-2</v>
      </c>
      <c r="K69" s="79">
        <f>K68/(K31+K32)*100</f>
        <v>5.3635564568429994E-2</v>
      </c>
      <c r="L69" s="79">
        <f t="shared" si="27"/>
        <v>5.8041571557816717E-2</v>
      </c>
      <c r="M69" s="79">
        <f t="shared" si="27"/>
        <v>5.3662226642262403E-2</v>
      </c>
      <c r="N69" s="79">
        <f t="shared" si="27"/>
        <v>5.5424956255013057E-2</v>
      </c>
      <c r="O69" s="79">
        <f t="shared" si="27"/>
        <v>5.6199838525797324E-2</v>
      </c>
      <c r="P69" s="79">
        <f t="shared" si="27"/>
        <v>6.6122084534913181E-2</v>
      </c>
      <c r="Q69" s="79">
        <f t="shared" si="27"/>
        <v>5.7967318001037528E-2</v>
      </c>
      <c r="R69" s="79">
        <f t="shared" si="27"/>
        <v>5.9343950895743847E-2</v>
      </c>
      <c r="S69" s="79">
        <f t="shared" si="27"/>
        <v>5.1865867949791929E-2</v>
      </c>
      <c r="T69" s="79">
        <f t="shared" si="27"/>
        <v>5.9695287970755725E-2</v>
      </c>
      <c r="U69" s="79" t="e">
        <f t="shared" si="27"/>
        <v>#DIV/0!</v>
      </c>
      <c r="V69" s="79" t="e">
        <f t="shared" si="27"/>
        <v>#DIV/0!</v>
      </c>
      <c r="W69" s="79" t="e">
        <f t="shared" si="27"/>
        <v>#DIV/0!</v>
      </c>
      <c r="X69" s="79" t="e">
        <f t="shared" si="27"/>
        <v>#DIV/0!</v>
      </c>
      <c r="Y69" s="79" t="e">
        <f t="shared" si="27"/>
        <v>#DIV/0!</v>
      </c>
      <c r="Z69" s="79" t="e">
        <f t="shared" si="27"/>
        <v>#DIV/0!</v>
      </c>
      <c r="AA69" s="79" t="e">
        <f t="shared" si="27"/>
        <v>#DIV/0!</v>
      </c>
      <c r="AB69" s="79">
        <f t="shared" si="27"/>
        <v>0.1235430212778286</v>
      </c>
      <c r="AC69" s="79">
        <f t="shared" si="27"/>
        <v>5.4823018018311014E-2</v>
      </c>
      <c r="AD69" s="79">
        <f t="shared" si="27"/>
        <v>6.0539021548884707E-2</v>
      </c>
      <c r="AE69" s="79">
        <f t="shared" si="27"/>
        <v>5.1062270433885913E-2</v>
      </c>
      <c r="AF69" s="79">
        <f t="shared" si="27"/>
        <v>5.963469669865018E-2</v>
      </c>
      <c r="AG69" s="79">
        <f t="shared" si="27"/>
        <v>5.7992964764869863E-2</v>
      </c>
      <c r="AH69" s="79">
        <f t="shared" si="27"/>
        <v>5.6497771594983516E-2</v>
      </c>
      <c r="AI69" s="79">
        <f t="shared" si="27"/>
        <v>6.2831301954677066E-2</v>
      </c>
      <c r="AJ69" s="78"/>
      <c r="AK69" s="77">
        <f>AK68/(AK31+71450)*100</f>
        <v>5.7145964441887631E-2</v>
      </c>
      <c r="AM69" s="297">
        <f>AK69*10</f>
        <v>0.57145964441887631</v>
      </c>
      <c r="AS69" s="2" t="s">
        <v>85</v>
      </c>
      <c r="GQ69" s="27">
        <f>P69*10</f>
        <v>0.66122084534913184</v>
      </c>
      <c r="PR69" s="27"/>
      <c r="PU69" s="27">
        <f>PU67-PU68</f>
        <v>0.24681199646225949</v>
      </c>
      <c r="PV69" s="1" t="s">
        <v>65</v>
      </c>
    </row>
    <row r="70" spans="2:952" x14ac:dyDescent="0.25">
      <c r="B70" s="225">
        <v>4</v>
      </c>
      <c r="C70" s="226" t="s">
        <v>64</v>
      </c>
      <c r="D70" s="227">
        <v>0.8</v>
      </c>
      <c r="E70" s="228" t="s">
        <v>29</v>
      </c>
      <c r="F70" s="289">
        <f t="shared" ref="F70:AI70" si="28">((SUM(F37:F38))-(SUM(F31:F32)))/(SUM(F31:F32))*100</f>
        <v>-0.7683291779641398</v>
      </c>
      <c r="G70" s="289">
        <f t="shared" si="28"/>
        <v>-0.75116819127015055</v>
      </c>
      <c r="H70" s="289">
        <f t="shared" si="28"/>
        <v>-0.68591076025029341</v>
      </c>
      <c r="I70" s="289">
        <f t="shared" si="28"/>
        <v>-0.63343792225094531</v>
      </c>
      <c r="J70" s="289">
        <f t="shared" si="28"/>
        <v>-0.74096084776010074</v>
      </c>
      <c r="K70" s="289">
        <f t="shared" si="28"/>
        <v>-0.70219216955323727</v>
      </c>
      <c r="L70" s="289">
        <f t="shared" si="28"/>
        <v>-0.69576145754075958</v>
      </c>
      <c r="M70" s="289">
        <f t="shared" si="28"/>
        <v>-0.61998116780753076</v>
      </c>
      <c r="N70" s="289">
        <f t="shared" si="28"/>
        <v>-0.61847822150720067</v>
      </c>
      <c r="O70" s="289">
        <f t="shared" si="28"/>
        <v>-0.70431963777847195</v>
      </c>
      <c r="P70" s="289">
        <f t="shared" si="28"/>
        <v>-0.67690674131544337</v>
      </c>
      <c r="Q70" s="289">
        <f t="shared" si="28"/>
        <v>-0.70008838165504261</v>
      </c>
      <c r="R70" s="289">
        <f t="shared" si="28"/>
        <v>-0.67665753980890608</v>
      </c>
      <c r="S70" s="289">
        <f t="shared" si="28"/>
        <v>-0.68100172282597649</v>
      </c>
      <c r="T70" s="289">
        <f t="shared" si="28"/>
        <v>-0.76776105906251069</v>
      </c>
      <c r="U70" s="289" t="e">
        <f t="shared" si="28"/>
        <v>#DIV/0!</v>
      </c>
      <c r="V70" s="289" t="e">
        <f t="shared" si="28"/>
        <v>#DIV/0!</v>
      </c>
      <c r="W70" s="289" t="e">
        <f t="shared" si="28"/>
        <v>#DIV/0!</v>
      </c>
      <c r="X70" s="289" t="e">
        <f t="shared" si="28"/>
        <v>#DIV/0!</v>
      </c>
      <c r="Y70" s="289" t="e">
        <f t="shared" si="28"/>
        <v>#DIV/0!</v>
      </c>
      <c r="Z70" s="289" t="e">
        <f t="shared" si="28"/>
        <v>#DIV/0!</v>
      </c>
      <c r="AA70" s="289" t="e">
        <f t="shared" si="28"/>
        <v>#DIV/0!</v>
      </c>
      <c r="AB70" s="289">
        <f t="shared" si="28"/>
        <v>3.9906793094742419</v>
      </c>
      <c r="AC70" s="289">
        <f t="shared" si="28"/>
        <v>-0.69495615522638809</v>
      </c>
      <c r="AD70" s="289">
        <f t="shared" ref="AD70" si="29">((SUM(AD37:AD38))-(SUM(AD31:AD32)))/(SUM(AD31:AD32))*100</f>
        <v>-0.71654476611025175</v>
      </c>
      <c r="AE70" s="289">
        <f t="shared" si="28"/>
        <v>-0.68676841437124381</v>
      </c>
      <c r="AF70" s="289">
        <f t="shared" si="28"/>
        <v>-0.71145160336492264</v>
      </c>
      <c r="AG70" s="289">
        <f t="shared" si="28"/>
        <v>-0.6812050296597203</v>
      </c>
      <c r="AH70" s="289">
        <f t="shared" si="28"/>
        <v>-0.73281788961814509</v>
      </c>
      <c r="AI70" s="289">
        <f t="shared" si="28"/>
        <v>-0.69944993258872845</v>
      </c>
      <c r="AJ70" s="76"/>
      <c r="AK70" s="301">
        <f>((SUM(AK37:AK38))-(SUM(AK31:AK32)))/(SUM(AK31:AK32))*100</f>
        <v>-0.6624175934314761</v>
      </c>
      <c r="AL70" s="75"/>
      <c r="AM70" s="73"/>
      <c r="BW70" s="35"/>
      <c r="BX70" s="35"/>
      <c r="DA70" s="35"/>
      <c r="EI70" s="36"/>
      <c r="EJ70" s="35"/>
      <c r="EK70" s="35"/>
      <c r="EL70" s="35"/>
      <c r="EM70" s="35"/>
      <c r="GP70" s="35"/>
      <c r="KK70" s="35"/>
      <c r="KL70" s="35"/>
      <c r="KM70" s="35"/>
      <c r="KN70" s="35"/>
      <c r="PR70" s="35"/>
      <c r="PS70" s="35"/>
      <c r="PU70" s="27"/>
      <c r="QI70" s="3"/>
      <c r="QM70" s="35"/>
      <c r="SP70" s="3"/>
      <c r="AHY70" s="35"/>
      <c r="AJN70" s="35"/>
      <c r="AJO70" s="35"/>
      <c r="AJP70" s="35"/>
    </row>
    <row r="71" spans="2:952" x14ac:dyDescent="0.25">
      <c r="B71" s="193"/>
      <c r="C71" s="211" t="s">
        <v>63</v>
      </c>
      <c r="D71" s="229">
        <v>22</v>
      </c>
      <c r="E71" s="212" t="s">
        <v>29</v>
      </c>
      <c r="F71" s="292">
        <v>21.8</v>
      </c>
      <c r="G71" s="292">
        <v>21.99</v>
      </c>
      <c r="H71" s="292">
        <v>21.98</v>
      </c>
      <c r="I71" s="292">
        <v>22.03</v>
      </c>
      <c r="J71" s="292">
        <v>22.09</v>
      </c>
      <c r="K71" s="292">
        <v>22.11</v>
      </c>
      <c r="L71" s="292">
        <v>22.1</v>
      </c>
      <c r="M71" s="292">
        <v>21.97</v>
      </c>
      <c r="N71" s="292">
        <v>21.97</v>
      </c>
      <c r="O71" s="292">
        <v>22.17</v>
      </c>
      <c r="P71" s="292">
        <v>22.15</v>
      </c>
      <c r="Q71" s="292">
        <v>22.17</v>
      </c>
      <c r="R71" s="292">
        <v>22.16</v>
      </c>
      <c r="S71" s="292">
        <v>22.14</v>
      </c>
      <c r="T71" s="292">
        <v>22.14</v>
      </c>
      <c r="U71" s="292"/>
      <c r="V71" s="292"/>
      <c r="W71" s="292"/>
      <c r="X71" s="292"/>
      <c r="Y71" s="292"/>
      <c r="Z71" s="292"/>
      <c r="AA71" s="292"/>
      <c r="AB71" s="292">
        <v>21.83</v>
      </c>
      <c r="AC71" s="292">
        <v>20.83</v>
      </c>
      <c r="AD71" s="292">
        <v>21.71</v>
      </c>
      <c r="AE71" s="292">
        <v>21.71</v>
      </c>
      <c r="AF71" s="292">
        <v>21.77</v>
      </c>
      <c r="AG71" s="292">
        <v>22.07</v>
      </c>
      <c r="AH71" s="292">
        <v>22.07</v>
      </c>
      <c r="AI71" s="292">
        <v>22.07</v>
      </c>
      <c r="AJ71" s="7"/>
      <c r="AK71" s="74">
        <f>AVERAGE(F71:AI71)</f>
        <v>21.957826086956516</v>
      </c>
      <c r="AL71" s="35"/>
      <c r="AM71" s="73"/>
      <c r="BW71" s="35"/>
      <c r="BX71" s="35"/>
      <c r="DA71" s="35"/>
      <c r="EI71" s="36"/>
      <c r="EJ71" s="35"/>
      <c r="EK71" s="35"/>
      <c r="EL71" s="35"/>
      <c r="EM71" s="35"/>
      <c r="GP71" s="35"/>
      <c r="KK71" s="35"/>
      <c r="KL71" s="35"/>
      <c r="KM71" s="35"/>
      <c r="KN71" s="35"/>
      <c r="PR71" s="35"/>
      <c r="PS71" s="35"/>
      <c r="PU71" s="35"/>
      <c r="QI71" s="3"/>
      <c r="QM71" s="35"/>
      <c r="SP71" s="3"/>
      <c r="AHY71" s="35"/>
      <c r="AJN71" s="35"/>
      <c r="AJO71" s="35"/>
      <c r="AJP71" s="35"/>
    </row>
    <row r="72" spans="2:952" x14ac:dyDescent="0.25">
      <c r="B72" s="230"/>
      <c r="C72" s="231" t="s">
        <v>62</v>
      </c>
      <c r="D72" s="192"/>
      <c r="E72" s="232" t="s">
        <v>16</v>
      </c>
      <c r="F72" s="292">
        <f t="shared" ref="F72:AI72" si="30">SUM(F64,F66)+(F71%*SUM(F64,F66))</f>
        <v>19332.096000000001</v>
      </c>
      <c r="G72" s="292">
        <f t="shared" si="30"/>
        <v>24661.4984</v>
      </c>
      <c r="H72" s="292">
        <f t="shared" si="30"/>
        <v>21409.929599999999</v>
      </c>
      <c r="I72" s="292">
        <f t="shared" si="30"/>
        <v>16754.719000000001</v>
      </c>
      <c r="J72" s="292">
        <f t="shared" si="30"/>
        <v>11610.759</v>
      </c>
      <c r="K72" s="292">
        <f t="shared" si="30"/>
        <v>11910.609399999999</v>
      </c>
      <c r="L72" s="292">
        <f t="shared" si="30"/>
        <v>13304.016</v>
      </c>
      <c r="M72" s="292">
        <f t="shared" si="30"/>
        <v>7659.7160000000003</v>
      </c>
      <c r="N72" s="292">
        <f t="shared" si="30"/>
        <v>10235.722400000001</v>
      </c>
      <c r="O72" s="292">
        <f t="shared" si="30"/>
        <v>9568.3544000000002</v>
      </c>
      <c r="P72" s="292">
        <f t="shared" si="30"/>
        <v>5655.5450000000001</v>
      </c>
      <c r="Q72" s="292">
        <f t="shared" si="30"/>
        <v>11222.5362</v>
      </c>
      <c r="R72" s="292">
        <f t="shared" si="30"/>
        <v>6440.2752</v>
      </c>
      <c r="S72" s="292">
        <f t="shared" si="30"/>
        <v>4411.6967999999997</v>
      </c>
      <c r="T72" s="292">
        <f t="shared" si="30"/>
        <v>11007.256799999999</v>
      </c>
      <c r="U72" s="292">
        <f t="shared" si="30"/>
        <v>0</v>
      </c>
      <c r="V72" s="292">
        <f>SUM(V64,V66)+(V71%*SUM(V64,V66))</f>
        <v>0</v>
      </c>
      <c r="W72" s="292">
        <f>SUM(W64,W66)+(W71%*SUM(W64,W66))</f>
        <v>0</v>
      </c>
      <c r="X72" s="292">
        <f t="shared" si="30"/>
        <v>0</v>
      </c>
      <c r="Y72" s="292">
        <f t="shared" si="30"/>
        <v>0</v>
      </c>
      <c r="Z72" s="292">
        <f t="shared" si="30"/>
        <v>0</v>
      </c>
      <c r="AA72" s="292">
        <f t="shared" si="30"/>
        <v>0</v>
      </c>
      <c r="AB72" s="292">
        <f t="shared" si="30"/>
        <v>8313.6792000000005</v>
      </c>
      <c r="AC72" s="292">
        <f t="shared" si="30"/>
        <v>12957.8092</v>
      </c>
      <c r="AD72" s="292">
        <f t="shared" si="30"/>
        <v>17842.686000000002</v>
      </c>
      <c r="AE72" s="292">
        <f t="shared" si="30"/>
        <v>20885.436000000002</v>
      </c>
      <c r="AF72" s="292">
        <f t="shared" si="30"/>
        <v>23371.3161</v>
      </c>
      <c r="AG72" s="292">
        <f t="shared" si="30"/>
        <v>23144.472000000002</v>
      </c>
      <c r="AH72" s="292">
        <f t="shared" si="30"/>
        <v>23349.549599999998</v>
      </c>
      <c r="AI72" s="292">
        <f t="shared" si="30"/>
        <v>15478.476000000001</v>
      </c>
      <c r="AJ72" s="7"/>
      <c r="AK72" s="74">
        <f>SUM(AK64,AK66)+(AK71%*SUM(AK64,AK66))</f>
        <v>330597.1770652174</v>
      </c>
      <c r="AL72" s="54"/>
      <c r="AM72" s="73"/>
      <c r="BW72" s="35"/>
      <c r="BX72" s="35"/>
      <c r="DA72" s="35"/>
      <c r="EI72" s="36"/>
      <c r="EJ72" s="35"/>
      <c r="EK72" s="35"/>
      <c r="EL72" s="35"/>
      <c r="EM72" s="35"/>
      <c r="GP72" s="35"/>
      <c r="GQ72" s="72">
        <f>AM72+400</f>
        <v>400</v>
      </c>
      <c r="KK72" s="35"/>
      <c r="KL72" s="35"/>
      <c r="KM72" s="35"/>
      <c r="KN72" s="35"/>
      <c r="PR72" s="35"/>
      <c r="PS72" s="35"/>
      <c r="PU72" s="35"/>
      <c r="QI72" s="3"/>
      <c r="QM72" s="35"/>
      <c r="SP72" s="3"/>
      <c r="AHY72" s="35"/>
      <c r="AJN72" s="35"/>
      <c r="AJO72" s="35"/>
      <c r="AJP72" s="35"/>
    </row>
    <row r="73" spans="2:952" x14ac:dyDescent="0.25">
      <c r="B73" s="179">
        <v>5</v>
      </c>
      <c r="C73" s="161" t="s">
        <v>61</v>
      </c>
      <c r="D73" s="180"/>
      <c r="E73" s="180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2"/>
      <c r="AD73" s="181"/>
      <c r="AE73" s="181"/>
      <c r="AF73" s="181"/>
      <c r="AG73" s="181"/>
      <c r="AH73" s="181"/>
      <c r="AI73" s="181"/>
      <c r="AJ73" s="31"/>
      <c r="AK73" s="46" t="s">
        <v>47</v>
      </c>
      <c r="GQ73" s="31">
        <v>17292</v>
      </c>
      <c r="PR73" s="5">
        <f>AM73-GQ73</f>
        <v>-17292</v>
      </c>
    </row>
    <row r="74" spans="2:952" x14ac:dyDescent="0.25">
      <c r="B74" s="137"/>
      <c r="C74" s="233" t="s">
        <v>60</v>
      </c>
      <c r="D74" s="234"/>
      <c r="E74" s="235" t="s">
        <v>16</v>
      </c>
      <c r="F74" s="236">
        <v>121504</v>
      </c>
      <c r="G74" s="236">
        <v>16020</v>
      </c>
      <c r="H74" s="236"/>
      <c r="I74" s="236"/>
      <c r="J74" s="236"/>
      <c r="K74" s="236"/>
      <c r="L74" s="236">
        <v>23988</v>
      </c>
      <c r="M74" s="236">
        <v>105472</v>
      </c>
      <c r="N74" s="236">
        <v>12361</v>
      </c>
      <c r="O74" s="236">
        <v>16456</v>
      </c>
      <c r="P74" s="236">
        <v>4160</v>
      </c>
      <c r="Q74" s="236">
        <v>4282</v>
      </c>
      <c r="R74" s="236"/>
      <c r="S74" s="236">
        <v>3069</v>
      </c>
      <c r="T74" s="236">
        <f>124500+13025</f>
        <v>137525</v>
      </c>
      <c r="U74" s="236">
        <v>14515</v>
      </c>
      <c r="V74" s="236">
        <v>7193</v>
      </c>
      <c r="W74" s="237"/>
      <c r="X74" s="236"/>
      <c r="Y74" s="236"/>
      <c r="Z74" s="236">
        <v>2805</v>
      </c>
      <c r="AA74" s="237">
        <v>4169</v>
      </c>
      <c r="AB74" s="236">
        <v>0</v>
      </c>
      <c r="AC74" s="237"/>
      <c r="AD74" s="237"/>
      <c r="AE74" s="237"/>
      <c r="AF74" s="237"/>
      <c r="AG74" s="237">
        <f>188516+18416</f>
        <v>206932</v>
      </c>
      <c r="AH74" s="237">
        <v>42602</v>
      </c>
      <c r="AI74" s="237"/>
      <c r="AJ74" s="28"/>
      <c r="AK74" s="52">
        <f>SUM(F74:AI74)</f>
        <v>723053</v>
      </c>
      <c r="AM74" s="61"/>
      <c r="AO74" s="2"/>
      <c r="BW74" s="60"/>
      <c r="BX74" s="60"/>
      <c r="DA74" s="60"/>
      <c r="EI74" s="22"/>
      <c r="EJ74" s="60"/>
      <c r="EK74" s="60"/>
      <c r="EL74" s="60"/>
      <c r="EM74" s="60"/>
      <c r="GP74" s="60"/>
      <c r="KK74" s="60"/>
      <c r="KL74" s="60"/>
      <c r="KM74" s="60"/>
      <c r="KN74" s="60"/>
      <c r="PR74" s="60"/>
      <c r="PS74" s="60"/>
      <c r="PU74" s="60"/>
      <c r="QI74" s="59"/>
      <c r="QM74" s="60"/>
      <c r="SP74" s="59"/>
      <c r="AHY74" s="20"/>
      <c r="AJN74" s="20"/>
      <c r="AJO74" s="20"/>
      <c r="AJP74" s="20"/>
    </row>
    <row r="75" spans="2:952" s="3" customFormat="1" x14ac:dyDescent="0.25">
      <c r="B75" s="238"/>
      <c r="C75" s="239" t="s">
        <v>54</v>
      </c>
      <c r="D75" s="240"/>
      <c r="E75" s="241" t="s">
        <v>16</v>
      </c>
      <c r="F75" s="242">
        <v>29308.43</v>
      </c>
      <c r="G75" s="242">
        <v>25523.72</v>
      </c>
      <c r="H75" s="242">
        <v>12762.31</v>
      </c>
      <c r="I75" s="242">
        <v>12763.22</v>
      </c>
      <c r="J75" s="242">
        <v>12764.22</v>
      </c>
      <c r="K75" s="242">
        <v>0</v>
      </c>
      <c r="L75" s="242">
        <v>25525.53</v>
      </c>
      <c r="M75" s="242">
        <v>25525.53</v>
      </c>
      <c r="N75" s="242">
        <v>0</v>
      </c>
      <c r="O75" s="242">
        <v>25526.43</v>
      </c>
      <c r="P75" s="242">
        <v>25525.53</v>
      </c>
      <c r="Q75" s="242">
        <v>25526.43</v>
      </c>
      <c r="R75" s="242">
        <v>0</v>
      </c>
      <c r="S75" s="242">
        <v>382851</v>
      </c>
      <c r="T75" s="242">
        <v>12764.12</v>
      </c>
      <c r="U75" s="242">
        <v>12763.22</v>
      </c>
      <c r="V75" s="242">
        <v>12763.22</v>
      </c>
      <c r="W75" s="242">
        <v>0</v>
      </c>
      <c r="X75" s="242">
        <v>0</v>
      </c>
      <c r="Y75" s="242">
        <v>0</v>
      </c>
      <c r="Z75" s="242">
        <v>38310.07</v>
      </c>
      <c r="AA75" s="242">
        <v>45337.79</v>
      </c>
      <c r="AB75" s="242">
        <v>33381.83</v>
      </c>
      <c r="AC75" s="242">
        <v>0</v>
      </c>
      <c r="AD75" s="242">
        <v>0</v>
      </c>
      <c r="AE75" s="242">
        <v>0</v>
      </c>
      <c r="AF75" s="242">
        <v>0</v>
      </c>
      <c r="AG75" s="242">
        <v>51217.57</v>
      </c>
      <c r="AH75" s="242">
        <v>51308.07</v>
      </c>
      <c r="AI75" s="242">
        <v>25528.240000000002</v>
      </c>
      <c r="AJ75" s="71"/>
      <c r="AK75" s="70">
        <f>SUM(F75:AI75)</f>
        <v>886976.47999999975</v>
      </c>
      <c r="AM75" s="68">
        <f>SUM(AK75+AK102+AK129+AK185)</f>
        <v>2168545.55406</v>
      </c>
      <c r="AN75" s="68"/>
      <c r="AO75" s="2"/>
      <c r="AP75" s="2" t="s">
        <v>157</v>
      </c>
      <c r="AQ75" s="2"/>
      <c r="AR75" s="2" t="s">
        <v>158</v>
      </c>
      <c r="AS75" s="2"/>
      <c r="AT75" s="2"/>
      <c r="AU75" s="2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9"/>
      <c r="EJ75" s="68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  <c r="FU75" s="68"/>
      <c r="FV75" s="68"/>
      <c r="FW75" s="68"/>
      <c r="FX75" s="68"/>
      <c r="FY75" s="68"/>
      <c r="FZ75" s="68"/>
      <c r="GA75" s="6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68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68"/>
      <c r="HD75" s="68"/>
      <c r="HE75" s="68"/>
      <c r="HF75" s="68"/>
      <c r="HG75" s="68"/>
      <c r="HH75" s="68"/>
      <c r="HI75" s="68"/>
      <c r="HJ75" s="68"/>
      <c r="HK75" s="68"/>
      <c r="HL75" s="68"/>
      <c r="HM75" s="68"/>
      <c r="HN75" s="68"/>
      <c r="HO75" s="68"/>
      <c r="HP75" s="68"/>
      <c r="HQ75" s="68"/>
      <c r="HR75" s="68"/>
      <c r="HS75" s="68"/>
      <c r="HT75" s="68"/>
      <c r="HU75" s="68"/>
      <c r="HV75" s="68"/>
      <c r="HW75" s="68"/>
      <c r="HX75" s="68"/>
      <c r="HY75" s="68"/>
      <c r="HZ75" s="68"/>
      <c r="IA75" s="68"/>
      <c r="IB75" s="68"/>
      <c r="IC75" s="68"/>
      <c r="ID75" s="68"/>
      <c r="IE75" s="68"/>
      <c r="IF75" s="68"/>
      <c r="IG75" s="68"/>
      <c r="IH75" s="68"/>
      <c r="II75" s="68"/>
      <c r="IJ75" s="68"/>
      <c r="IK75" s="68"/>
      <c r="IL75" s="68"/>
      <c r="IM75" s="68"/>
      <c r="IN75" s="68"/>
      <c r="IO75" s="68"/>
      <c r="IP75" s="68"/>
      <c r="IQ75" s="68"/>
      <c r="IR75" s="68"/>
      <c r="IS75" s="68"/>
      <c r="IT75" s="68"/>
      <c r="IU75" s="68"/>
      <c r="IV75" s="68"/>
      <c r="IW75" s="68"/>
      <c r="IX75" s="68"/>
      <c r="IY75" s="68"/>
      <c r="IZ75" s="68"/>
      <c r="JA75" s="68"/>
      <c r="JB75" s="68"/>
      <c r="JC75" s="68"/>
      <c r="JD75" s="68"/>
      <c r="JE75" s="68"/>
      <c r="JF75" s="68"/>
      <c r="JG75" s="68"/>
      <c r="JH75" s="68"/>
      <c r="JI75" s="68"/>
      <c r="JJ75" s="68"/>
      <c r="JK75" s="68"/>
      <c r="JL75" s="68"/>
      <c r="JM75" s="68"/>
      <c r="JN75" s="68"/>
      <c r="JO75" s="68"/>
      <c r="JP75" s="68"/>
      <c r="JQ75" s="68"/>
      <c r="JR75" s="68"/>
      <c r="JS75" s="68"/>
      <c r="JT75" s="68"/>
      <c r="JU75" s="68"/>
      <c r="JV75" s="68"/>
      <c r="JW75" s="68"/>
      <c r="JX75" s="68"/>
      <c r="JY75" s="68"/>
      <c r="JZ75" s="68"/>
      <c r="KA75" s="68"/>
      <c r="KB75" s="68"/>
      <c r="KC75" s="68"/>
      <c r="KD75" s="68"/>
      <c r="KE75" s="68"/>
      <c r="KF75" s="68"/>
      <c r="KG75" s="68"/>
      <c r="KH75" s="68"/>
      <c r="KI75" s="68"/>
      <c r="KJ75" s="68"/>
      <c r="KK75" s="68"/>
      <c r="KL75" s="68"/>
      <c r="KM75" s="68"/>
      <c r="KN75" s="68"/>
      <c r="KO75" s="68"/>
      <c r="KP75" s="68"/>
      <c r="KQ75" s="68"/>
      <c r="KR75" s="68"/>
      <c r="KS75" s="68"/>
      <c r="KT75" s="68"/>
      <c r="KU75" s="68"/>
      <c r="KV75" s="68"/>
      <c r="KW75" s="68"/>
      <c r="KX75" s="68"/>
      <c r="KY75" s="68"/>
      <c r="KZ75" s="68"/>
      <c r="LA75" s="68"/>
      <c r="LB75" s="68"/>
      <c r="LC75" s="68"/>
      <c r="LD75" s="68"/>
      <c r="LE75" s="68"/>
      <c r="LF75" s="68"/>
      <c r="LG75" s="68"/>
      <c r="LH75" s="68"/>
      <c r="LI75" s="68"/>
      <c r="LJ75" s="68"/>
      <c r="LK75" s="68"/>
      <c r="LL75" s="68"/>
      <c r="LM75" s="68"/>
      <c r="LN75" s="68"/>
      <c r="LO75" s="68"/>
      <c r="LP75" s="68"/>
      <c r="LQ75" s="68"/>
      <c r="LR75" s="68"/>
      <c r="LS75" s="68"/>
      <c r="LT75" s="68"/>
      <c r="LU75" s="68"/>
      <c r="LV75" s="68"/>
      <c r="LW75" s="68"/>
      <c r="LX75" s="68"/>
      <c r="LY75" s="68"/>
      <c r="LZ75" s="68"/>
      <c r="MA75" s="68"/>
      <c r="MB75" s="68"/>
      <c r="MC75" s="68"/>
      <c r="MD75" s="68"/>
      <c r="ME75" s="68"/>
      <c r="MF75" s="68"/>
      <c r="MG75" s="68"/>
      <c r="MH75" s="68"/>
      <c r="MI75" s="68"/>
      <c r="MJ75" s="68"/>
      <c r="MK75" s="68"/>
      <c r="ML75" s="68"/>
      <c r="MM75" s="68"/>
      <c r="MN75" s="68"/>
      <c r="MO75" s="68"/>
      <c r="MP75" s="68"/>
      <c r="MQ75" s="68"/>
      <c r="MR75" s="68"/>
      <c r="MS75" s="68"/>
      <c r="MT75" s="68"/>
      <c r="MU75" s="68"/>
      <c r="MV75" s="68"/>
      <c r="MW75" s="68"/>
      <c r="MX75" s="68"/>
      <c r="MY75" s="68"/>
      <c r="MZ75" s="68"/>
      <c r="NA75" s="68"/>
      <c r="NB75" s="68"/>
      <c r="NC75" s="68"/>
      <c r="ND75" s="68"/>
      <c r="NE75" s="68"/>
      <c r="NF75" s="68"/>
      <c r="NG75" s="68"/>
      <c r="NH75" s="68"/>
      <c r="NI75" s="68"/>
      <c r="NJ75" s="68"/>
      <c r="NK75" s="68"/>
      <c r="NL75" s="68"/>
      <c r="NM75" s="68"/>
      <c r="NN75" s="68"/>
      <c r="NO75" s="68"/>
      <c r="NP75" s="68"/>
      <c r="NQ75" s="68"/>
      <c r="NR75" s="68"/>
      <c r="NS75" s="68"/>
      <c r="NT75" s="68"/>
      <c r="NU75" s="68"/>
      <c r="NV75" s="68"/>
      <c r="NW75" s="68"/>
      <c r="NX75" s="68"/>
      <c r="NY75" s="68"/>
      <c r="NZ75" s="68"/>
      <c r="OA75" s="68"/>
      <c r="OB75" s="68"/>
      <c r="OC75" s="68"/>
      <c r="OD75" s="68"/>
      <c r="OE75" s="68"/>
      <c r="OF75" s="68"/>
      <c r="OG75" s="68"/>
      <c r="OH75" s="68"/>
      <c r="OI75" s="68"/>
      <c r="OJ75" s="68"/>
      <c r="OK75" s="68"/>
      <c r="OL75" s="68"/>
      <c r="OM75" s="68"/>
      <c r="ON75" s="68"/>
      <c r="OO75" s="68"/>
      <c r="OP75" s="68"/>
      <c r="OQ75" s="68"/>
      <c r="OR75" s="68"/>
      <c r="OS75" s="68"/>
      <c r="OT75" s="68"/>
      <c r="OU75" s="68"/>
      <c r="OV75" s="68"/>
      <c r="OW75" s="68"/>
      <c r="OX75" s="68"/>
      <c r="OY75" s="68"/>
      <c r="OZ75" s="68"/>
      <c r="PA75" s="68"/>
      <c r="PB75" s="68"/>
      <c r="PC75" s="68"/>
      <c r="PD75" s="68"/>
      <c r="PE75" s="68"/>
      <c r="PF75" s="68"/>
      <c r="PG75" s="68"/>
      <c r="PH75" s="68"/>
      <c r="PI75" s="68"/>
      <c r="PJ75" s="68"/>
      <c r="PK75" s="68"/>
      <c r="PL75" s="68"/>
      <c r="PM75" s="68"/>
      <c r="PN75" s="68"/>
      <c r="PO75" s="68"/>
      <c r="PP75" s="68"/>
      <c r="PQ75" s="68"/>
      <c r="PR75" s="68"/>
      <c r="PS75" s="68"/>
      <c r="PT75" s="68"/>
      <c r="PU75" s="68"/>
      <c r="PV75" s="68"/>
      <c r="PW75" s="68"/>
      <c r="PX75" s="68"/>
      <c r="PY75" s="68"/>
      <c r="PZ75" s="68"/>
      <c r="QA75" s="68"/>
      <c r="QB75" s="68"/>
      <c r="QC75" s="68"/>
      <c r="QD75" s="68"/>
      <c r="QE75" s="68"/>
      <c r="QF75" s="68"/>
      <c r="QG75" s="68"/>
      <c r="QH75" s="68"/>
      <c r="QI75" s="68"/>
      <c r="QJ75" s="68"/>
      <c r="QK75" s="68"/>
      <c r="QL75" s="68"/>
      <c r="QM75" s="68"/>
      <c r="QN75" s="68"/>
      <c r="QO75" s="68"/>
      <c r="QP75" s="68"/>
      <c r="QQ75" s="68"/>
      <c r="QR75" s="68"/>
      <c r="QS75" s="68"/>
      <c r="QT75" s="68"/>
      <c r="QU75" s="68"/>
      <c r="QV75" s="68"/>
      <c r="QW75" s="68"/>
      <c r="QX75" s="68"/>
      <c r="QY75" s="68"/>
      <c r="QZ75" s="68"/>
      <c r="RA75" s="68"/>
      <c r="RB75" s="68"/>
      <c r="RC75" s="68"/>
      <c r="RD75" s="68"/>
      <c r="RE75" s="68"/>
      <c r="RF75" s="68"/>
      <c r="RG75" s="68"/>
      <c r="RH75" s="68"/>
      <c r="RI75" s="68"/>
      <c r="RJ75" s="68"/>
      <c r="RK75" s="68"/>
      <c r="RL75" s="68"/>
      <c r="RM75" s="68"/>
      <c r="RN75" s="68"/>
      <c r="RO75" s="68"/>
      <c r="RP75" s="68"/>
      <c r="RQ75" s="68"/>
      <c r="RR75" s="68"/>
      <c r="RS75" s="68"/>
      <c r="RT75" s="68"/>
      <c r="RU75" s="68"/>
      <c r="RV75" s="68"/>
      <c r="RW75" s="68"/>
      <c r="RX75" s="68"/>
      <c r="RY75" s="68"/>
      <c r="RZ75" s="68"/>
      <c r="SA75" s="68"/>
      <c r="SB75" s="68"/>
      <c r="SC75" s="68"/>
      <c r="SD75" s="68"/>
      <c r="SE75" s="68"/>
      <c r="SF75" s="68"/>
      <c r="SG75" s="68"/>
      <c r="SH75" s="68"/>
      <c r="SI75" s="68"/>
      <c r="SJ75" s="68"/>
      <c r="SK75" s="68"/>
      <c r="SL75" s="68"/>
      <c r="SM75" s="68"/>
      <c r="SN75" s="68"/>
      <c r="SO75" s="68"/>
      <c r="SP75" s="68"/>
      <c r="SQ75" s="68"/>
      <c r="SR75" s="68"/>
      <c r="SS75" s="68"/>
      <c r="ST75" s="68"/>
      <c r="SU75" s="68"/>
      <c r="SV75" s="68"/>
      <c r="SW75" s="68"/>
      <c r="SX75" s="68"/>
      <c r="SY75" s="68"/>
      <c r="SZ75" s="68"/>
      <c r="TA75" s="68"/>
      <c r="TB75" s="68"/>
      <c r="TC75" s="68"/>
      <c r="TD75" s="68"/>
      <c r="TE75" s="68"/>
      <c r="TF75" s="68"/>
      <c r="TG75" s="68"/>
      <c r="TH75" s="68"/>
      <c r="TI75" s="68"/>
      <c r="TJ75" s="68"/>
      <c r="TK75" s="68"/>
      <c r="TL75" s="68"/>
      <c r="TM75" s="68"/>
      <c r="TN75" s="68"/>
      <c r="TO75" s="68"/>
      <c r="TP75" s="68"/>
      <c r="TQ75" s="68"/>
      <c r="TR75" s="68"/>
      <c r="TS75" s="68"/>
      <c r="TT75" s="68"/>
      <c r="TU75" s="68"/>
      <c r="TV75" s="68"/>
      <c r="TW75" s="68"/>
      <c r="TX75" s="68"/>
      <c r="TY75" s="68"/>
      <c r="TZ75" s="68"/>
      <c r="UA75" s="68"/>
      <c r="UB75" s="68"/>
      <c r="UC75" s="68"/>
      <c r="UD75" s="68"/>
      <c r="UE75" s="68"/>
      <c r="UF75" s="68"/>
      <c r="UG75" s="68"/>
      <c r="UH75" s="68"/>
      <c r="UI75" s="68"/>
      <c r="UJ75" s="68"/>
      <c r="UK75" s="68"/>
      <c r="UL75" s="68"/>
      <c r="UM75" s="68"/>
      <c r="UN75" s="68"/>
      <c r="UO75" s="68"/>
      <c r="UP75" s="68"/>
      <c r="UQ75" s="68"/>
      <c r="UR75" s="68"/>
      <c r="US75" s="68"/>
      <c r="UT75" s="68"/>
      <c r="UU75" s="68"/>
      <c r="UV75" s="68"/>
      <c r="UW75" s="68"/>
      <c r="UX75" s="68"/>
      <c r="UY75" s="68"/>
      <c r="UZ75" s="68"/>
      <c r="VA75" s="68"/>
      <c r="VB75" s="68"/>
      <c r="VC75" s="68"/>
      <c r="VD75" s="68"/>
      <c r="VE75" s="68"/>
      <c r="VF75" s="68"/>
      <c r="VG75" s="68"/>
      <c r="VH75" s="68"/>
      <c r="VI75" s="68"/>
      <c r="VJ75" s="68"/>
      <c r="VK75" s="68"/>
      <c r="VL75" s="68"/>
      <c r="VM75" s="68"/>
      <c r="VN75" s="68"/>
      <c r="VO75" s="68"/>
      <c r="VP75" s="68"/>
      <c r="VQ75" s="68"/>
      <c r="VR75" s="68"/>
      <c r="VS75" s="68"/>
      <c r="VT75" s="68"/>
      <c r="VU75" s="68"/>
      <c r="VV75" s="68"/>
      <c r="VW75" s="68"/>
      <c r="VX75" s="68"/>
      <c r="VY75" s="68"/>
      <c r="VZ75" s="68"/>
      <c r="WA75" s="68"/>
      <c r="WB75" s="68"/>
      <c r="WC75" s="68"/>
      <c r="WD75" s="68"/>
      <c r="WE75" s="68"/>
      <c r="WF75" s="68"/>
      <c r="WG75" s="68"/>
      <c r="WH75" s="68"/>
      <c r="WI75" s="68"/>
      <c r="WJ75" s="68"/>
      <c r="WK75" s="68"/>
      <c r="WL75" s="68"/>
      <c r="WM75" s="68"/>
      <c r="WN75" s="68"/>
      <c r="WO75" s="68"/>
      <c r="WP75" s="68"/>
      <c r="WQ75" s="68"/>
      <c r="WR75" s="68"/>
      <c r="WS75" s="68"/>
      <c r="WT75" s="68"/>
      <c r="WU75" s="68"/>
      <c r="WV75" s="68"/>
      <c r="WW75" s="68"/>
      <c r="WX75" s="68"/>
      <c r="WY75" s="68"/>
      <c r="WZ75" s="68"/>
      <c r="XA75" s="68"/>
      <c r="XB75" s="68"/>
      <c r="XC75" s="68"/>
      <c r="XD75" s="68"/>
      <c r="XE75" s="68"/>
      <c r="XF75" s="68"/>
      <c r="XG75" s="68"/>
      <c r="XH75" s="68"/>
      <c r="XI75" s="68"/>
      <c r="XJ75" s="68"/>
      <c r="XK75" s="68"/>
      <c r="XL75" s="68"/>
      <c r="XM75" s="68"/>
      <c r="XN75" s="68"/>
      <c r="XO75" s="68"/>
      <c r="XP75" s="68"/>
      <c r="XQ75" s="68"/>
      <c r="XR75" s="68"/>
      <c r="XS75" s="68"/>
      <c r="XT75" s="68"/>
      <c r="XU75" s="68"/>
      <c r="XV75" s="68"/>
      <c r="XW75" s="68"/>
      <c r="XX75" s="68"/>
      <c r="XY75" s="68"/>
      <c r="XZ75" s="68"/>
      <c r="YA75" s="68"/>
      <c r="YB75" s="68"/>
      <c r="YC75" s="68"/>
      <c r="YD75" s="68"/>
      <c r="YE75" s="68"/>
      <c r="YF75" s="68"/>
      <c r="YG75" s="68"/>
      <c r="YH75" s="68"/>
      <c r="YI75" s="68"/>
      <c r="YJ75" s="68"/>
      <c r="YK75" s="68"/>
      <c r="YL75" s="68"/>
      <c r="YM75" s="68"/>
      <c r="YN75" s="68"/>
      <c r="YO75" s="68"/>
      <c r="YP75" s="68"/>
      <c r="YQ75" s="68"/>
      <c r="YR75" s="68"/>
      <c r="YS75" s="68"/>
      <c r="YT75" s="68"/>
      <c r="YU75" s="68"/>
      <c r="YV75" s="68"/>
      <c r="YW75" s="68"/>
      <c r="YX75" s="68"/>
      <c r="YY75" s="68"/>
      <c r="YZ75" s="68"/>
      <c r="ZA75" s="68"/>
      <c r="ZB75" s="68"/>
      <c r="ZC75" s="68"/>
      <c r="ZD75" s="68"/>
      <c r="ZE75" s="68"/>
      <c r="ZF75" s="68"/>
      <c r="ZG75" s="68"/>
      <c r="ZH75" s="68"/>
      <c r="ZI75" s="68"/>
      <c r="ZJ75" s="68"/>
      <c r="ZK75" s="68"/>
      <c r="ZL75" s="68"/>
      <c r="ZM75" s="68"/>
      <c r="ZN75" s="68"/>
      <c r="ZO75" s="68"/>
      <c r="ZP75" s="68"/>
      <c r="ZQ75" s="68"/>
      <c r="ZR75" s="68"/>
      <c r="ZS75" s="68"/>
      <c r="ZT75" s="68"/>
      <c r="ZU75" s="68"/>
      <c r="ZV75" s="68"/>
      <c r="ZW75" s="68"/>
      <c r="ZX75" s="68"/>
      <c r="ZY75" s="68"/>
      <c r="ZZ75" s="68"/>
      <c r="AAA75" s="68"/>
      <c r="AAB75" s="68"/>
      <c r="AAC75" s="68"/>
      <c r="AAD75" s="68"/>
      <c r="AAE75" s="68"/>
      <c r="AAF75" s="68"/>
      <c r="AAG75" s="68"/>
      <c r="AAH75" s="68"/>
      <c r="AAI75" s="68"/>
      <c r="AAJ75" s="68"/>
      <c r="AAK75" s="68"/>
      <c r="AAL75" s="68"/>
      <c r="AAM75" s="68"/>
      <c r="AAN75" s="68"/>
      <c r="AAO75" s="68"/>
      <c r="AAP75" s="68"/>
      <c r="AAQ75" s="68"/>
      <c r="AAR75" s="68"/>
      <c r="AAS75" s="68"/>
      <c r="AAT75" s="68"/>
      <c r="AAU75" s="68"/>
      <c r="AAV75" s="68"/>
      <c r="AAW75" s="68"/>
      <c r="AAX75" s="68"/>
      <c r="AAY75" s="68"/>
      <c r="AAZ75" s="68"/>
      <c r="ABA75" s="68"/>
      <c r="ABB75" s="68"/>
      <c r="ABC75" s="68"/>
      <c r="ABD75" s="68"/>
      <c r="ABE75" s="68"/>
      <c r="ABF75" s="68"/>
      <c r="ABG75" s="68"/>
      <c r="ABH75" s="68"/>
      <c r="ABI75" s="68"/>
      <c r="ABJ75" s="68"/>
      <c r="ABK75" s="68"/>
      <c r="ABL75" s="68"/>
      <c r="ABM75" s="68"/>
      <c r="ABN75" s="68"/>
      <c r="ABO75" s="68"/>
      <c r="ABP75" s="68"/>
      <c r="ABQ75" s="68"/>
      <c r="ABR75" s="68"/>
      <c r="ABS75" s="68"/>
      <c r="ABT75" s="68"/>
      <c r="ABU75" s="68"/>
      <c r="ABV75" s="68"/>
      <c r="ABW75" s="68"/>
      <c r="ABX75" s="68"/>
      <c r="ABY75" s="68"/>
      <c r="ABZ75" s="68"/>
      <c r="ACA75" s="68"/>
      <c r="ACB75" s="68"/>
      <c r="ACC75" s="68"/>
      <c r="ACD75" s="68"/>
      <c r="ACE75" s="68"/>
      <c r="ACF75" s="68"/>
      <c r="ACG75" s="68"/>
      <c r="ACH75" s="68"/>
      <c r="ACI75" s="68"/>
      <c r="ACJ75" s="68"/>
      <c r="ACK75" s="68"/>
      <c r="ACL75" s="68"/>
      <c r="ACM75" s="68"/>
      <c r="ACN75" s="68"/>
      <c r="ACO75" s="68"/>
      <c r="ACP75" s="68"/>
      <c r="ACQ75" s="68"/>
      <c r="ACR75" s="68"/>
      <c r="ACS75" s="68"/>
      <c r="ACT75" s="68"/>
      <c r="ACU75" s="68"/>
      <c r="ACV75" s="68"/>
      <c r="ACW75" s="68"/>
      <c r="ACX75" s="68"/>
      <c r="ACY75" s="68"/>
      <c r="ACZ75" s="68"/>
      <c r="ADA75" s="68"/>
      <c r="ADB75" s="68"/>
      <c r="ADC75" s="68"/>
      <c r="ADD75" s="68"/>
      <c r="ADE75" s="68"/>
      <c r="ADF75" s="68"/>
      <c r="ADG75" s="68"/>
      <c r="ADH75" s="68"/>
      <c r="ADI75" s="68"/>
      <c r="ADJ75" s="68"/>
      <c r="ADK75" s="68"/>
      <c r="ADL75" s="68"/>
      <c r="ADM75" s="68"/>
      <c r="ADN75" s="68"/>
      <c r="ADO75" s="68"/>
      <c r="ADP75" s="68"/>
      <c r="ADQ75" s="68"/>
      <c r="ADR75" s="68"/>
      <c r="ADS75" s="68"/>
      <c r="ADT75" s="68"/>
      <c r="ADU75" s="68"/>
      <c r="ADV75" s="68"/>
      <c r="ADW75" s="68"/>
      <c r="ADX75" s="68"/>
      <c r="ADY75" s="68"/>
      <c r="ADZ75" s="68"/>
      <c r="AEA75" s="68"/>
      <c r="AEB75" s="68"/>
      <c r="AEC75" s="68"/>
      <c r="AED75" s="68"/>
      <c r="AEE75" s="68"/>
      <c r="AEF75" s="68"/>
      <c r="AEG75" s="68"/>
      <c r="AEH75" s="68"/>
      <c r="AEI75" s="68"/>
      <c r="AEJ75" s="68"/>
      <c r="AEK75" s="68"/>
      <c r="AEL75" s="68"/>
      <c r="AEM75" s="68"/>
      <c r="AEN75" s="68"/>
      <c r="AEO75" s="68"/>
      <c r="AEP75" s="68"/>
      <c r="AEQ75" s="68"/>
      <c r="AER75" s="68"/>
      <c r="AES75" s="68"/>
      <c r="AET75" s="68"/>
      <c r="AEU75" s="68"/>
      <c r="AEV75" s="68"/>
      <c r="AEW75" s="68"/>
      <c r="AEX75" s="68"/>
      <c r="AEY75" s="68"/>
      <c r="AEZ75" s="68"/>
      <c r="AFA75" s="68"/>
      <c r="AFB75" s="68"/>
      <c r="AFC75" s="68"/>
      <c r="AFD75" s="68"/>
      <c r="AFE75" s="68"/>
      <c r="AFF75" s="68"/>
      <c r="AFG75" s="68"/>
      <c r="AFH75" s="68"/>
      <c r="AFI75" s="68"/>
      <c r="AFJ75" s="68"/>
      <c r="AFK75" s="68"/>
      <c r="AFL75" s="68"/>
      <c r="AFM75" s="68"/>
      <c r="AFN75" s="68"/>
      <c r="AFO75" s="68"/>
      <c r="AFP75" s="68"/>
      <c r="AFQ75" s="68"/>
      <c r="AFR75" s="68"/>
      <c r="AFS75" s="68"/>
      <c r="AFT75" s="68"/>
      <c r="AFU75" s="68"/>
      <c r="AFV75" s="68"/>
      <c r="AFW75" s="68"/>
      <c r="AFX75" s="68"/>
      <c r="AFY75" s="68"/>
      <c r="AFZ75" s="68"/>
      <c r="AGA75" s="68"/>
      <c r="AGB75" s="68"/>
      <c r="AGC75" s="68"/>
      <c r="AGD75" s="68"/>
      <c r="AGE75" s="68"/>
      <c r="AGF75" s="68"/>
      <c r="AGG75" s="68"/>
      <c r="AGH75" s="68"/>
      <c r="AGI75" s="68"/>
      <c r="AGJ75" s="68"/>
      <c r="AGK75" s="3" t="s">
        <v>16</v>
      </c>
      <c r="AGL75" s="68" t="s">
        <v>59</v>
      </c>
    </row>
    <row r="76" spans="2:952" x14ac:dyDescent="0.25">
      <c r="B76" s="135"/>
      <c r="C76" s="243" t="s">
        <v>44</v>
      </c>
      <c r="D76" s="192"/>
      <c r="E76" s="214" t="s">
        <v>16</v>
      </c>
      <c r="F76" s="292">
        <f t="shared" ref="F76:AH76" si="31">SUM(F80:F81)*10.86</f>
        <v>29463.179999999997</v>
      </c>
      <c r="G76" s="292">
        <f t="shared" si="31"/>
        <v>25749.059999999998</v>
      </c>
      <c r="H76" s="292">
        <f t="shared" si="31"/>
        <v>12912.539999999999</v>
      </c>
      <c r="I76" s="292">
        <f t="shared" si="31"/>
        <v>12771.359999999999</v>
      </c>
      <c r="J76" s="292">
        <f t="shared" si="31"/>
        <v>12793.08</v>
      </c>
      <c r="K76" s="292">
        <f t="shared" si="31"/>
        <v>0</v>
      </c>
      <c r="L76" s="292">
        <f t="shared" si="31"/>
        <v>25542.719999999998</v>
      </c>
      <c r="M76" s="292">
        <f t="shared" si="31"/>
        <v>25521</v>
      </c>
      <c r="N76" s="292">
        <f t="shared" si="31"/>
        <v>0</v>
      </c>
      <c r="O76" s="292">
        <f t="shared" si="31"/>
        <v>25531.859999999997</v>
      </c>
      <c r="P76" s="292">
        <f t="shared" si="31"/>
        <v>25553.579999999998</v>
      </c>
      <c r="Q76" s="292">
        <f t="shared" si="31"/>
        <v>25597.02</v>
      </c>
      <c r="R76" s="292">
        <f t="shared" si="31"/>
        <v>0</v>
      </c>
      <c r="S76" s="292">
        <f t="shared" si="31"/>
        <v>38281.5</v>
      </c>
      <c r="T76" s="292">
        <f t="shared" si="31"/>
        <v>12814.8</v>
      </c>
      <c r="U76" s="292">
        <f t="shared" si="31"/>
        <v>12793.08</v>
      </c>
      <c r="V76" s="292">
        <f>SUM(V80:V81)*10.86</f>
        <v>12988.56</v>
      </c>
      <c r="W76" s="292">
        <f t="shared" si="31"/>
        <v>0</v>
      </c>
      <c r="X76" s="292">
        <f t="shared" si="31"/>
        <v>0</v>
      </c>
      <c r="Y76" s="292">
        <f t="shared" si="31"/>
        <v>0</v>
      </c>
      <c r="Z76" s="292">
        <f>SUM(Z80:Z81)*10.86</f>
        <v>38748.479999999996</v>
      </c>
      <c r="AA76" s="292">
        <f t="shared" si="31"/>
        <v>46155</v>
      </c>
      <c r="AB76" s="292">
        <f t="shared" si="31"/>
        <v>33416.22</v>
      </c>
      <c r="AC76" s="292">
        <f t="shared" si="31"/>
        <v>0</v>
      </c>
      <c r="AD76" s="292">
        <f t="shared" si="31"/>
        <v>0</v>
      </c>
      <c r="AE76" s="292">
        <f t="shared" si="31"/>
        <v>0</v>
      </c>
      <c r="AF76" s="292">
        <f t="shared" si="31"/>
        <v>0</v>
      </c>
      <c r="AG76" s="292">
        <f t="shared" si="31"/>
        <v>51595.86</v>
      </c>
      <c r="AH76" s="292">
        <f t="shared" si="31"/>
        <v>51574.14</v>
      </c>
      <c r="AI76" s="292">
        <f t="shared" ref="AI76" si="32">SUM(AI80:AI81)*10.86</f>
        <v>25618.739999999998</v>
      </c>
      <c r="AJ76" s="10"/>
      <c r="AK76" s="44">
        <f>SUM(F76:AI76)</f>
        <v>545421.77999999991</v>
      </c>
      <c r="AL76" s="67"/>
      <c r="AM76" s="302">
        <f>SUM(AK76,AK103)</f>
        <v>633761.54999999993</v>
      </c>
      <c r="AO76" s="2"/>
      <c r="BW76" s="40"/>
      <c r="BX76" s="40"/>
      <c r="DA76" s="40"/>
      <c r="EI76" s="30"/>
      <c r="EJ76" s="40"/>
      <c r="EK76" s="40"/>
      <c r="EL76" s="40"/>
      <c r="EM76" s="40"/>
      <c r="GP76" s="40"/>
      <c r="GQ76" s="66">
        <f>AM76/1000</f>
        <v>633.76154999999994</v>
      </c>
      <c r="KK76" s="40"/>
      <c r="KL76" s="40"/>
      <c r="KM76" s="40"/>
      <c r="KN76" s="40"/>
      <c r="PR76" s="40">
        <v>4696</v>
      </c>
      <c r="PS76" s="39">
        <f>GQ76/PR76*100</f>
        <v>13.495774063032368</v>
      </c>
      <c r="PU76" s="40"/>
      <c r="QI76" s="39"/>
      <c r="QM76" s="40"/>
      <c r="SP76" s="39"/>
      <c r="AHY76" s="5"/>
      <c r="AJN76" s="5"/>
      <c r="AJO76" s="5"/>
      <c r="AJP76" s="5"/>
    </row>
    <row r="77" spans="2:952" x14ac:dyDescent="0.25">
      <c r="B77" s="135"/>
      <c r="C77" s="243" t="s">
        <v>43</v>
      </c>
      <c r="D77" s="192"/>
      <c r="E77" s="214" t="s">
        <v>16</v>
      </c>
      <c r="F77" s="292">
        <f>F75-F76</f>
        <v>-154.74999999999636</v>
      </c>
      <c r="G77" s="292">
        <f t="shared" ref="G77:AI77" si="33">G75-G76</f>
        <v>-225.33999999999651</v>
      </c>
      <c r="H77" s="292">
        <f t="shared" si="33"/>
        <v>-150.22999999999956</v>
      </c>
      <c r="I77" s="292">
        <f t="shared" si="33"/>
        <v>-8.1399999999994179</v>
      </c>
      <c r="J77" s="292">
        <f t="shared" si="33"/>
        <v>-28.860000000000582</v>
      </c>
      <c r="K77" s="292">
        <f>K75-K76</f>
        <v>0</v>
      </c>
      <c r="L77" s="292">
        <f>L75-L76</f>
        <v>-17.18999999999869</v>
      </c>
      <c r="M77" s="292">
        <f>M75-M76</f>
        <v>4.5299999999988358</v>
      </c>
      <c r="N77" s="292">
        <f t="shared" si="33"/>
        <v>0</v>
      </c>
      <c r="O77" s="292">
        <f t="shared" si="33"/>
        <v>-5.4299999999966531</v>
      </c>
      <c r="P77" s="292">
        <f t="shared" si="33"/>
        <v>-28.049999999999272</v>
      </c>
      <c r="Q77" s="292">
        <f t="shared" si="33"/>
        <v>-70.590000000000146</v>
      </c>
      <c r="R77" s="292">
        <f t="shared" si="33"/>
        <v>0</v>
      </c>
      <c r="S77" s="292">
        <f t="shared" si="33"/>
        <v>344569.5</v>
      </c>
      <c r="T77" s="292">
        <f t="shared" si="33"/>
        <v>-50.679999999998472</v>
      </c>
      <c r="U77" s="292">
        <f t="shared" si="33"/>
        <v>-29.860000000000582</v>
      </c>
      <c r="V77" s="292">
        <f>V75-V76</f>
        <v>-225.34000000000015</v>
      </c>
      <c r="W77" s="292">
        <f t="shared" si="33"/>
        <v>0</v>
      </c>
      <c r="X77" s="292">
        <f>X75-X76</f>
        <v>0</v>
      </c>
      <c r="Y77" s="292">
        <f t="shared" si="33"/>
        <v>0</v>
      </c>
      <c r="Z77" s="292">
        <f t="shared" si="33"/>
        <v>-438.40999999999622</v>
      </c>
      <c r="AA77" s="292">
        <f t="shared" si="33"/>
        <v>-817.20999999999913</v>
      </c>
      <c r="AB77" s="292">
        <f>AB75-AB76</f>
        <v>-34.389999999999418</v>
      </c>
      <c r="AC77" s="292">
        <f t="shared" si="33"/>
        <v>0</v>
      </c>
      <c r="AD77" s="292">
        <f t="shared" si="33"/>
        <v>0</v>
      </c>
      <c r="AE77" s="292">
        <f t="shared" si="33"/>
        <v>0</v>
      </c>
      <c r="AF77" s="292">
        <f t="shared" si="33"/>
        <v>0</v>
      </c>
      <c r="AG77" s="292">
        <f t="shared" si="33"/>
        <v>-378.29000000000087</v>
      </c>
      <c r="AH77" s="292">
        <f t="shared" si="33"/>
        <v>-266.06999999999971</v>
      </c>
      <c r="AI77" s="292">
        <f t="shared" si="33"/>
        <v>-90.499999999996362</v>
      </c>
      <c r="AJ77" s="10"/>
      <c r="AK77" s="44">
        <f>SUM(F77:AI77)</f>
        <v>341554.7</v>
      </c>
      <c r="AL77" s="66"/>
      <c r="AM77" s="41">
        <f>AK130</f>
        <v>384657.74423999991</v>
      </c>
      <c r="AO77" s="2" t="s">
        <v>101</v>
      </c>
      <c r="AP77" s="89">
        <v>16933</v>
      </c>
      <c r="AQ77" s="3">
        <v>10.86</v>
      </c>
      <c r="AR77" s="35">
        <f>AP77*AQ77</f>
        <v>183892.38</v>
      </c>
      <c r="AS77" s="3">
        <f>AR77/1000</f>
        <v>183.89238</v>
      </c>
      <c r="BW77" s="40"/>
      <c r="BX77" s="40"/>
      <c r="DA77" s="40"/>
      <c r="EI77" s="30"/>
      <c r="EJ77" s="40"/>
      <c r="EK77" s="40"/>
      <c r="EL77" s="40"/>
      <c r="EM77" s="40"/>
      <c r="GP77" s="40"/>
      <c r="GQ77" s="27">
        <f>AM77/1000</f>
        <v>384.65774423999989</v>
      </c>
      <c r="KK77" s="40"/>
      <c r="KL77" s="40"/>
      <c r="KM77" s="40"/>
      <c r="KN77" s="40"/>
      <c r="PR77" s="40">
        <v>565</v>
      </c>
      <c r="PS77" s="39">
        <f>GQ77/PR77*100</f>
        <v>68.081016679645998</v>
      </c>
      <c r="PU77" s="40"/>
      <c r="QI77" s="39"/>
      <c r="QM77" s="40"/>
      <c r="SP77" s="39"/>
      <c r="AHY77" s="5"/>
      <c r="AJN77" s="5"/>
      <c r="AJO77" s="5"/>
      <c r="AJP77" s="5"/>
    </row>
    <row r="78" spans="2:952" x14ac:dyDescent="0.25">
      <c r="B78" s="135"/>
      <c r="C78" s="243" t="s">
        <v>58</v>
      </c>
      <c r="D78" s="192"/>
      <c r="E78" s="135" t="s">
        <v>16</v>
      </c>
      <c r="F78" s="292">
        <v>0</v>
      </c>
      <c r="G78" s="292">
        <v>0</v>
      </c>
      <c r="H78" s="292"/>
      <c r="I78" s="292">
        <v>0</v>
      </c>
      <c r="J78" s="292">
        <v>0</v>
      </c>
      <c r="K78" s="292"/>
      <c r="L78" s="292">
        <v>0</v>
      </c>
      <c r="M78" s="292">
        <v>0</v>
      </c>
      <c r="N78" s="292">
        <v>0</v>
      </c>
      <c r="O78" s="292">
        <v>0</v>
      </c>
      <c r="P78" s="292">
        <v>0</v>
      </c>
      <c r="Q78" s="292">
        <v>0</v>
      </c>
      <c r="R78" s="292">
        <v>0</v>
      </c>
      <c r="S78" s="292">
        <v>0</v>
      </c>
      <c r="T78" s="292">
        <v>0</v>
      </c>
      <c r="U78" s="292">
        <v>0</v>
      </c>
      <c r="V78" s="292">
        <v>0</v>
      </c>
      <c r="W78" s="292">
        <v>0</v>
      </c>
      <c r="X78" s="292">
        <v>0</v>
      </c>
      <c r="Y78" s="292">
        <v>0</v>
      </c>
      <c r="Z78" s="292">
        <v>0</v>
      </c>
      <c r="AA78" s="292">
        <v>0</v>
      </c>
      <c r="AB78" s="292">
        <v>0</v>
      </c>
      <c r="AC78" s="292"/>
      <c r="AD78" s="292">
        <v>0</v>
      </c>
      <c r="AE78" s="292">
        <v>0</v>
      </c>
      <c r="AF78" s="292">
        <v>0</v>
      </c>
      <c r="AG78" s="292">
        <v>0</v>
      </c>
      <c r="AH78" s="292">
        <v>0</v>
      </c>
      <c r="AI78" s="292">
        <v>0</v>
      </c>
      <c r="AJ78" s="10"/>
      <c r="AK78" s="44">
        <f>SUM(F78:AI78)</f>
        <v>0</v>
      </c>
      <c r="AM78" s="41"/>
      <c r="AO78" s="2" t="s">
        <v>98</v>
      </c>
      <c r="AP78" s="89">
        <v>33290</v>
      </c>
      <c r="AQ78" s="3">
        <v>10.86</v>
      </c>
      <c r="AR78" s="35">
        <f>AP78*AQ78</f>
        <v>361529.39999999997</v>
      </c>
      <c r="AS78" s="3">
        <f>AR78/1000</f>
        <v>361.52939999999995</v>
      </c>
      <c r="BW78" s="40"/>
      <c r="BX78" s="40"/>
      <c r="DA78" s="40"/>
      <c r="EI78" s="30"/>
      <c r="EJ78" s="40"/>
      <c r="EK78" s="40"/>
      <c r="EL78" s="40"/>
      <c r="EM78" s="40"/>
      <c r="GP78" s="40"/>
      <c r="KK78" s="40"/>
      <c r="KL78" s="40"/>
      <c r="KM78" s="40"/>
      <c r="KN78" s="40"/>
      <c r="PR78" s="40"/>
      <c r="PS78" s="40"/>
      <c r="PU78" s="40"/>
      <c r="QI78" s="39"/>
      <c r="QM78" s="40"/>
      <c r="SP78" s="39"/>
      <c r="AHY78" s="5"/>
      <c r="AJN78" s="5"/>
      <c r="AJO78" s="5"/>
      <c r="AJP78" s="5"/>
    </row>
    <row r="79" spans="2:952" x14ac:dyDescent="0.25">
      <c r="B79" s="135"/>
      <c r="C79" s="243" t="s">
        <v>33</v>
      </c>
      <c r="D79" s="192"/>
      <c r="E79" s="135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0"/>
      <c r="AK79" s="45" t="s">
        <v>33</v>
      </c>
      <c r="AM79" s="41">
        <f>12764.12+25546.34</f>
        <v>38310.46</v>
      </c>
      <c r="AO79" s="2"/>
      <c r="AP79" s="35"/>
      <c r="AS79" s="328">
        <f>SUM(AS77:AS78)</f>
        <v>545.4217799999999</v>
      </c>
      <c r="BW79" s="40"/>
      <c r="BX79" s="40"/>
      <c r="DA79" s="40"/>
      <c r="EI79" s="30"/>
      <c r="EJ79" s="40"/>
      <c r="EK79" s="40"/>
      <c r="EL79" s="40"/>
      <c r="EM79" s="40"/>
      <c r="GP79" s="40"/>
      <c r="KK79" s="40"/>
      <c r="KL79" s="40"/>
      <c r="KM79" s="40"/>
      <c r="KN79" s="40"/>
      <c r="PR79" s="40"/>
      <c r="PS79" s="40"/>
      <c r="PU79" s="40"/>
      <c r="QI79" s="39"/>
      <c r="QM79" s="40"/>
      <c r="SP79" s="39"/>
      <c r="AHY79" s="5"/>
      <c r="AJN79" s="5"/>
      <c r="AJO79" s="5"/>
      <c r="AJP79" s="5"/>
    </row>
    <row r="80" spans="2:952" x14ac:dyDescent="0.25">
      <c r="B80" s="167"/>
      <c r="C80" s="244" t="s">
        <v>57</v>
      </c>
      <c r="D80" s="166"/>
      <c r="E80" s="245" t="s">
        <v>36</v>
      </c>
      <c r="F80" s="246">
        <v>348</v>
      </c>
      <c r="G80" s="246"/>
      <c r="H80" s="246">
        <v>1189</v>
      </c>
      <c r="I80" s="246">
        <v>1176</v>
      </c>
      <c r="J80" s="246">
        <v>1178</v>
      </c>
      <c r="K80" s="246">
        <v>0</v>
      </c>
      <c r="L80" s="246">
        <v>0</v>
      </c>
      <c r="M80" s="246">
        <v>0</v>
      </c>
      <c r="N80" s="246">
        <v>0</v>
      </c>
      <c r="O80" s="246">
        <v>0</v>
      </c>
      <c r="P80" s="246">
        <v>0</v>
      </c>
      <c r="Q80" s="246">
        <v>0</v>
      </c>
      <c r="R80" s="246">
        <v>0</v>
      </c>
      <c r="S80" s="246">
        <v>1175</v>
      </c>
      <c r="T80" s="246">
        <v>1180</v>
      </c>
      <c r="U80" s="246">
        <v>1178</v>
      </c>
      <c r="V80" s="246">
        <v>1196</v>
      </c>
      <c r="W80" s="246">
        <v>0</v>
      </c>
      <c r="X80" s="246">
        <v>0</v>
      </c>
      <c r="Y80" s="246">
        <v>0</v>
      </c>
      <c r="Z80" s="246">
        <v>1207</v>
      </c>
      <c r="AA80" s="246">
        <v>2357</v>
      </c>
      <c r="AB80" s="246">
        <v>0</v>
      </c>
      <c r="AC80" s="246">
        <v>0</v>
      </c>
      <c r="AD80" s="246">
        <v>0</v>
      </c>
      <c r="AE80" s="246">
        <v>0</v>
      </c>
      <c r="AF80" s="246">
        <v>0</v>
      </c>
      <c r="AG80" s="246">
        <v>0</v>
      </c>
      <c r="AH80" s="246">
        <v>4749</v>
      </c>
      <c r="AI80" s="246">
        <v>0</v>
      </c>
      <c r="AJ80" s="51"/>
      <c r="AK80" s="26">
        <f>SUM(F80:AI80)</f>
        <v>16933</v>
      </c>
      <c r="AM80" s="65"/>
      <c r="AO80" s="2"/>
      <c r="AP80" s="3"/>
      <c r="AQ80" s="123"/>
      <c r="BW80" s="48"/>
      <c r="BX80" s="48"/>
      <c r="DA80" s="48"/>
      <c r="EI80" s="16"/>
      <c r="EJ80" s="48"/>
      <c r="EK80" s="48"/>
      <c r="EL80" s="48"/>
      <c r="EM80" s="48"/>
      <c r="GP80" s="48"/>
      <c r="KK80" s="48"/>
      <c r="KL80" s="48"/>
      <c r="KM80" s="48"/>
      <c r="KN80" s="48"/>
      <c r="PR80" s="48"/>
      <c r="PS80" s="48"/>
      <c r="PU80" s="48"/>
      <c r="QI80" s="47"/>
      <c r="QM80" s="48"/>
      <c r="SP80" s="47"/>
      <c r="AHY80" s="14"/>
      <c r="AJN80" s="14"/>
      <c r="AJO80" s="14"/>
      <c r="AJP80" s="14"/>
    </row>
    <row r="81" spans="2:952" x14ac:dyDescent="0.25">
      <c r="B81" s="167"/>
      <c r="C81" s="244" t="s">
        <v>56</v>
      </c>
      <c r="D81" s="166"/>
      <c r="E81" s="245" t="s">
        <v>36</v>
      </c>
      <c r="F81" s="246">
        <v>2365</v>
      </c>
      <c r="G81" s="246">
        <v>2371</v>
      </c>
      <c r="H81" s="246">
        <v>0</v>
      </c>
      <c r="I81" s="246">
        <v>0</v>
      </c>
      <c r="J81" s="246">
        <v>0</v>
      </c>
      <c r="K81" s="246">
        <v>0</v>
      </c>
      <c r="L81" s="246">
        <v>2352</v>
      </c>
      <c r="M81" s="246">
        <v>2350</v>
      </c>
      <c r="N81" s="246">
        <v>0</v>
      </c>
      <c r="O81" s="246">
        <v>2351</v>
      </c>
      <c r="P81" s="246">
        <v>2353</v>
      </c>
      <c r="Q81" s="246">
        <v>2357</v>
      </c>
      <c r="R81" s="246">
        <v>0</v>
      </c>
      <c r="S81" s="246">
        <v>2350</v>
      </c>
      <c r="T81" s="246">
        <v>0</v>
      </c>
      <c r="U81" s="246">
        <v>0</v>
      </c>
      <c r="V81" s="246">
        <v>0</v>
      </c>
      <c r="W81" s="246">
        <v>0</v>
      </c>
      <c r="X81" s="246">
        <v>0</v>
      </c>
      <c r="Y81" s="246">
        <v>0</v>
      </c>
      <c r="Z81" s="246">
        <v>2361</v>
      </c>
      <c r="AA81" s="246">
        <v>1893</v>
      </c>
      <c r="AB81" s="246">
        <v>3077</v>
      </c>
      <c r="AC81" s="246">
        <v>0</v>
      </c>
      <c r="AD81" s="246">
        <v>0</v>
      </c>
      <c r="AE81" s="246">
        <v>0</v>
      </c>
      <c r="AF81" s="246">
        <v>0</v>
      </c>
      <c r="AG81" s="246">
        <v>4751</v>
      </c>
      <c r="AH81" s="246">
        <v>0</v>
      </c>
      <c r="AI81" s="246">
        <v>2359</v>
      </c>
      <c r="AJ81" s="51"/>
      <c r="AK81" s="26">
        <f>SUM(F81:AI81)</f>
        <v>33290</v>
      </c>
      <c r="AM81" s="49"/>
      <c r="AO81" s="2"/>
      <c r="AS81" s="3">
        <v>0</v>
      </c>
      <c r="BW81" s="48"/>
      <c r="BX81" s="48"/>
      <c r="DA81" s="48"/>
      <c r="EI81" s="16"/>
      <c r="EJ81" s="48"/>
      <c r="EK81" s="48"/>
      <c r="EL81" s="48"/>
      <c r="EM81" s="48"/>
      <c r="GP81" s="48"/>
      <c r="KK81" s="48"/>
      <c r="KL81" s="48"/>
      <c r="KM81" s="48"/>
      <c r="KN81" s="48"/>
      <c r="PR81" s="48"/>
      <c r="PS81" s="48"/>
      <c r="PU81" s="48"/>
      <c r="QI81" s="47"/>
      <c r="QM81" s="48"/>
      <c r="SP81" s="47"/>
      <c r="AHY81" s="14"/>
      <c r="AJN81" s="14"/>
      <c r="AJO81" s="14"/>
      <c r="AJP81" s="14"/>
    </row>
    <row r="82" spans="2:952" x14ac:dyDescent="0.25">
      <c r="B82" s="135"/>
      <c r="C82" s="243" t="s">
        <v>32</v>
      </c>
      <c r="D82" s="192"/>
      <c r="E82" s="135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0"/>
      <c r="AK82" s="45" t="s">
        <v>32</v>
      </c>
      <c r="AM82" s="41"/>
      <c r="AO82" s="2"/>
      <c r="AS82" s="3">
        <f>SUM(AS81,AS79)</f>
        <v>545.4217799999999</v>
      </c>
      <c r="AT82" s="2" t="s">
        <v>159</v>
      </c>
      <c r="BW82" s="40"/>
      <c r="BX82" s="40"/>
      <c r="DA82" s="40"/>
      <c r="EI82" s="30"/>
      <c r="EJ82" s="40"/>
      <c r="EK82" s="40"/>
      <c r="EL82" s="40"/>
      <c r="EM82" s="40"/>
      <c r="GP82" s="40"/>
      <c r="KK82" s="40"/>
      <c r="KL82" s="40"/>
      <c r="KM82" s="40"/>
      <c r="KN82" s="40"/>
      <c r="PR82" s="40"/>
      <c r="PS82" s="40"/>
      <c r="PU82" s="40"/>
      <c r="QI82" s="39"/>
      <c r="QM82" s="40"/>
      <c r="SP82" s="39"/>
      <c r="AHY82" s="5"/>
      <c r="AJN82" s="5"/>
      <c r="AJO82" s="5"/>
      <c r="AJP82" s="5"/>
    </row>
    <row r="83" spans="2:952" x14ac:dyDescent="0.25">
      <c r="B83" s="135"/>
      <c r="C83" s="136" t="s">
        <v>57</v>
      </c>
      <c r="D83" s="192"/>
      <c r="E83" s="214" t="s">
        <v>32</v>
      </c>
      <c r="F83" s="11">
        <f>F80*12</f>
        <v>4176</v>
      </c>
      <c r="G83" s="11">
        <f t="shared" ref="G83:AI83" si="34">G80*12</f>
        <v>0</v>
      </c>
      <c r="H83" s="11">
        <f t="shared" si="34"/>
        <v>14268</v>
      </c>
      <c r="I83" s="11">
        <f t="shared" si="34"/>
        <v>14112</v>
      </c>
      <c r="J83" s="11">
        <f t="shared" si="34"/>
        <v>14136</v>
      </c>
      <c r="K83" s="11">
        <f t="shared" si="34"/>
        <v>0</v>
      </c>
      <c r="L83" s="11">
        <f t="shared" si="34"/>
        <v>0</v>
      </c>
      <c r="M83" s="11">
        <f t="shared" si="34"/>
        <v>0</v>
      </c>
      <c r="N83" s="11">
        <f t="shared" si="34"/>
        <v>0</v>
      </c>
      <c r="O83" s="11">
        <f t="shared" si="34"/>
        <v>0</v>
      </c>
      <c r="P83" s="11">
        <f t="shared" si="34"/>
        <v>0</v>
      </c>
      <c r="Q83" s="11">
        <f t="shared" si="34"/>
        <v>0</v>
      </c>
      <c r="R83" s="11">
        <f t="shared" si="34"/>
        <v>0</v>
      </c>
      <c r="S83" s="11">
        <f t="shared" si="34"/>
        <v>14100</v>
      </c>
      <c r="T83" s="11">
        <f t="shared" si="34"/>
        <v>14160</v>
      </c>
      <c r="U83" s="11">
        <f t="shared" si="34"/>
        <v>14136</v>
      </c>
      <c r="V83" s="11">
        <f t="shared" si="34"/>
        <v>14352</v>
      </c>
      <c r="W83" s="11">
        <f t="shared" si="34"/>
        <v>0</v>
      </c>
      <c r="X83" s="11">
        <f t="shared" si="34"/>
        <v>0</v>
      </c>
      <c r="Y83" s="11">
        <f t="shared" si="34"/>
        <v>0</v>
      </c>
      <c r="Z83" s="11">
        <f t="shared" si="34"/>
        <v>14484</v>
      </c>
      <c r="AA83" s="11">
        <f t="shared" si="34"/>
        <v>28284</v>
      </c>
      <c r="AB83" s="11">
        <f t="shared" si="34"/>
        <v>0</v>
      </c>
      <c r="AC83" s="11">
        <f t="shared" si="34"/>
        <v>0</v>
      </c>
      <c r="AD83" s="11">
        <f t="shared" si="34"/>
        <v>0</v>
      </c>
      <c r="AE83" s="11">
        <f t="shared" si="34"/>
        <v>0</v>
      </c>
      <c r="AF83" s="11">
        <f t="shared" si="34"/>
        <v>0</v>
      </c>
      <c r="AG83" s="11">
        <f t="shared" si="34"/>
        <v>0</v>
      </c>
      <c r="AH83" s="11">
        <f t="shared" si="34"/>
        <v>56988</v>
      </c>
      <c r="AI83" s="11">
        <f t="shared" si="34"/>
        <v>0</v>
      </c>
      <c r="AJ83" s="10"/>
      <c r="AK83" s="26">
        <f>AK80*12</f>
        <v>203196</v>
      </c>
      <c r="AM83" s="41">
        <f>SUM(AK75+AK102+AK129+AK185)</f>
        <v>2168545.55406</v>
      </c>
      <c r="AO83" s="2"/>
      <c r="AS83" s="35">
        <v>4696</v>
      </c>
      <c r="AT83" s="2" t="s">
        <v>160</v>
      </c>
      <c r="BW83" s="40"/>
      <c r="BX83" s="40"/>
      <c r="DA83" s="40"/>
      <c r="EI83" s="30"/>
      <c r="EJ83" s="40"/>
      <c r="EK83" s="40"/>
      <c r="EL83" s="40"/>
      <c r="EM83" s="40"/>
      <c r="GP83" s="40"/>
      <c r="KK83" s="40"/>
      <c r="KL83" s="40"/>
      <c r="KM83" s="40"/>
      <c r="KN83" s="40"/>
      <c r="PR83" s="40"/>
      <c r="PS83" s="40"/>
      <c r="PU83" s="40"/>
      <c r="QI83" s="39"/>
      <c r="QM83" s="40"/>
      <c r="SP83" s="39"/>
      <c r="AHY83" s="5"/>
      <c r="AJN83" s="5"/>
      <c r="AJO83" s="5"/>
      <c r="AJP83" s="5"/>
    </row>
    <row r="84" spans="2:952" x14ac:dyDescent="0.25">
      <c r="B84" s="135"/>
      <c r="C84" s="136" t="s">
        <v>56</v>
      </c>
      <c r="D84" s="192"/>
      <c r="E84" s="214" t="s">
        <v>32</v>
      </c>
      <c r="F84" s="11">
        <f t="shared" ref="F84:AI84" si="35">F81*6</f>
        <v>14190</v>
      </c>
      <c r="G84" s="11">
        <f t="shared" si="35"/>
        <v>14226</v>
      </c>
      <c r="H84" s="11">
        <v>0</v>
      </c>
      <c r="I84" s="11">
        <f t="shared" si="35"/>
        <v>0</v>
      </c>
      <c r="J84" s="11">
        <f t="shared" si="35"/>
        <v>0</v>
      </c>
      <c r="K84" s="11">
        <f t="shared" si="35"/>
        <v>0</v>
      </c>
      <c r="L84" s="11">
        <f t="shared" si="35"/>
        <v>14112</v>
      </c>
      <c r="M84" s="11">
        <f t="shared" si="35"/>
        <v>14100</v>
      </c>
      <c r="N84" s="11">
        <f t="shared" si="35"/>
        <v>0</v>
      </c>
      <c r="O84" s="11">
        <f>O81*6</f>
        <v>14106</v>
      </c>
      <c r="P84" s="11">
        <f t="shared" si="35"/>
        <v>14118</v>
      </c>
      <c r="Q84" s="11">
        <f t="shared" si="35"/>
        <v>14142</v>
      </c>
      <c r="R84" s="11">
        <f t="shared" si="35"/>
        <v>0</v>
      </c>
      <c r="S84" s="11">
        <f t="shared" si="35"/>
        <v>14100</v>
      </c>
      <c r="T84" s="11">
        <f t="shared" si="35"/>
        <v>0</v>
      </c>
      <c r="U84" s="11">
        <f t="shared" si="35"/>
        <v>0</v>
      </c>
      <c r="V84" s="11">
        <f t="shared" si="35"/>
        <v>0</v>
      </c>
      <c r="W84" s="11">
        <f t="shared" si="35"/>
        <v>0</v>
      </c>
      <c r="X84" s="11">
        <f t="shared" si="35"/>
        <v>0</v>
      </c>
      <c r="Y84" s="11">
        <f t="shared" si="35"/>
        <v>0</v>
      </c>
      <c r="Z84" s="11">
        <f t="shared" si="35"/>
        <v>14166</v>
      </c>
      <c r="AA84" s="11">
        <f t="shared" si="35"/>
        <v>11358</v>
      </c>
      <c r="AB84" s="11">
        <f t="shared" si="35"/>
        <v>18462</v>
      </c>
      <c r="AC84" s="11">
        <v>0</v>
      </c>
      <c r="AD84" s="11">
        <f t="shared" ref="AD84" si="36">AD81*6</f>
        <v>0</v>
      </c>
      <c r="AE84" s="11">
        <f t="shared" si="35"/>
        <v>0</v>
      </c>
      <c r="AF84" s="11">
        <f t="shared" si="35"/>
        <v>0</v>
      </c>
      <c r="AG84" s="11">
        <f t="shared" si="35"/>
        <v>28506</v>
      </c>
      <c r="AH84" s="11">
        <f t="shared" si="35"/>
        <v>0</v>
      </c>
      <c r="AI84" s="11">
        <f t="shared" si="35"/>
        <v>14154</v>
      </c>
      <c r="AJ84" s="10"/>
      <c r="AK84" s="26">
        <f>AK81*6</f>
        <v>199740</v>
      </c>
      <c r="AM84" s="41"/>
      <c r="AO84" s="2"/>
      <c r="AS84" s="3">
        <f>AS82/AS83*100</f>
        <v>11.614603492333899</v>
      </c>
      <c r="AT84" s="2" t="s">
        <v>29</v>
      </c>
      <c r="BW84" s="40"/>
      <c r="BX84" s="40"/>
      <c r="DA84" s="40"/>
      <c r="EI84" s="30"/>
      <c r="EJ84" s="40"/>
      <c r="EK84" s="40"/>
      <c r="EL84" s="40"/>
      <c r="EM84" s="40"/>
      <c r="GP84" s="40"/>
      <c r="KK84" s="40"/>
      <c r="KL84" s="40"/>
      <c r="KM84" s="40"/>
      <c r="KN84" s="40"/>
      <c r="PR84" s="40"/>
      <c r="PS84" s="40"/>
      <c r="PU84" s="40"/>
      <c r="QI84" s="39"/>
      <c r="QM84" s="40"/>
      <c r="SP84" s="39"/>
      <c r="AHY84" s="5"/>
      <c r="AJN84" s="5"/>
      <c r="AJO84" s="5"/>
      <c r="AJP84" s="5"/>
    </row>
    <row r="85" spans="2:952" x14ac:dyDescent="0.25">
      <c r="B85" s="135"/>
      <c r="C85" s="243" t="s">
        <v>41</v>
      </c>
      <c r="D85" s="192"/>
      <c r="E85" s="214" t="s">
        <v>40</v>
      </c>
      <c r="F85" s="247">
        <f>(F75*45)/1700</f>
        <v>775.81138235294122</v>
      </c>
      <c r="G85" s="248">
        <f>(G75*45)/1700</f>
        <v>675.62788235294124</v>
      </c>
      <c r="H85" s="248">
        <f t="shared" ref="H85:AI85" si="37">(H75*45)/1700</f>
        <v>337.82585294117644</v>
      </c>
      <c r="I85" s="248">
        <f t="shared" si="37"/>
        <v>337.84994117647062</v>
      </c>
      <c r="J85" s="248">
        <f t="shared" si="37"/>
        <v>337.87641176470589</v>
      </c>
      <c r="K85" s="248">
        <f t="shared" si="37"/>
        <v>0</v>
      </c>
      <c r="L85" s="248">
        <f t="shared" si="37"/>
        <v>675.675794117647</v>
      </c>
      <c r="M85" s="248">
        <f t="shared" si="37"/>
        <v>675.675794117647</v>
      </c>
      <c r="N85" s="248">
        <f t="shared" si="37"/>
        <v>0</v>
      </c>
      <c r="O85" s="248">
        <f t="shared" si="37"/>
        <v>675.69961764705886</v>
      </c>
      <c r="P85" s="247">
        <f t="shared" si="37"/>
        <v>675.675794117647</v>
      </c>
      <c r="Q85" s="247">
        <f t="shared" si="37"/>
        <v>675.69961764705886</v>
      </c>
      <c r="R85" s="247">
        <f t="shared" si="37"/>
        <v>0</v>
      </c>
      <c r="S85" s="247">
        <f t="shared" si="37"/>
        <v>10134.291176470588</v>
      </c>
      <c r="T85" s="247">
        <f t="shared" si="37"/>
        <v>337.87376470588237</v>
      </c>
      <c r="U85" s="247">
        <f t="shared" si="37"/>
        <v>337.84994117647062</v>
      </c>
      <c r="V85" s="247">
        <f t="shared" si="37"/>
        <v>337.84994117647062</v>
      </c>
      <c r="W85" s="247">
        <f t="shared" si="37"/>
        <v>0</v>
      </c>
      <c r="X85" s="247">
        <f t="shared" si="37"/>
        <v>0</v>
      </c>
      <c r="Y85" s="247">
        <f t="shared" si="37"/>
        <v>0</v>
      </c>
      <c r="Z85" s="247">
        <f t="shared" si="37"/>
        <v>1014.090088235294</v>
      </c>
      <c r="AA85" s="247">
        <f t="shared" si="37"/>
        <v>1200.1179705882353</v>
      </c>
      <c r="AB85" s="247">
        <f t="shared" si="37"/>
        <v>883.63667647058833</v>
      </c>
      <c r="AC85" s="247">
        <f t="shared" si="37"/>
        <v>0</v>
      </c>
      <c r="AD85" s="247">
        <f t="shared" si="37"/>
        <v>0</v>
      </c>
      <c r="AE85" s="247">
        <f t="shared" si="37"/>
        <v>0</v>
      </c>
      <c r="AF85" s="247">
        <f t="shared" si="37"/>
        <v>0</v>
      </c>
      <c r="AG85" s="247">
        <f t="shared" si="37"/>
        <v>1355.7592058823529</v>
      </c>
      <c r="AH85" s="247">
        <f t="shared" si="37"/>
        <v>1358.154794117647</v>
      </c>
      <c r="AI85" s="247">
        <f t="shared" si="37"/>
        <v>675.74752941176473</v>
      </c>
      <c r="AJ85" s="10"/>
      <c r="AK85" s="26">
        <f>SUM(F85:AI85)</f>
        <v>23478.789176470589</v>
      </c>
      <c r="AM85" s="41"/>
      <c r="AO85" s="2"/>
      <c r="BW85" s="40"/>
      <c r="BX85" s="40"/>
      <c r="DA85" s="40"/>
      <c r="EI85" s="30"/>
      <c r="EJ85" s="40"/>
      <c r="EK85" s="40"/>
      <c r="EL85" s="40"/>
      <c r="EM85" s="40"/>
      <c r="GP85" s="40"/>
      <c r="KK85" s="40"/>
      <c r="KL85" s="40"/>
      <c r="KM85" s="40"/>
      <c r="KN85" s="40"/>
      <c r="PR85" s="40"/>
      <c r="PS85" s="40"/>
      <c r="PU85" s="40"/>
      <c r="QI85" s="39"/>
      <c r="QM85" s="40"/>
      <c r="SP85" s="39"/>
      <c r="AHY85" s="5"/>
      <c r="AJN85" s="5"/>
      <c r="AJO85" s="5"/>
      <c r="AJP85" s="5"/>
    </row>
    <row r="86" spans="2:952" x14ac:dyDescent="0.25">
      <c r="B86" s="135"/>
      <c r="C86" s="243" t="s">
        <v>39</v>
      </c>
      <c r="D86" s="192"/>
      <c r="E86" s="214" t="s">
        <v>38</v>
      </c>
      <c r="F86" s="11">
        <f t="shared" ref="F86:AH86" si="38">SUM(F80:F81)/500</f>
        <v>5.4260000000000002</v>
      </c>
      <c r="G86" s="11">
        <f t="shared" si="38"/>
        <v>4.742</v>
      </c>
      <c r="H86" s="11">
        <f t="shared" si="38"/>
        <v>2.3780000000000001</v>
      </c>
      <c r="I86" s="11">
        <f t="shared" si="38"/>
        <v>2.3519999999999999</v>
      </c>
      <c r="J86" s="11">
        <f t="shared" si="38"/>
        <v>2.3559999999999999</v>
      </c>
      <c r="K86" s="11">
        <f t="shared" si="38"/>
        <v>0</v>
      </c>
      <c r="L86" s="11">
        <f t="shared" si="38"/>
        <v>4.7039999999999997</v>
      </c>
      <c r="M86" s="11">
        <f t="shared" si="38"/>
        <v>4.7</v>
      </c>
      <c r="N86" s="11">
        <f t="shared" si="38"/>
        <v>0</v>
      </c>
      <c r="O86" s="11">
        <f t="shared" si="38"/>
        <v>4.702</v>
      </c>
      <c r="P86" s="11">
        <f t="shared" si="38"/>
        <v>4.7060000000000004</v>
      </c>
      <c r="Q86" s="11">
        <f t="shared" si="38"/>
        <v>4.7140000000000004</v>
      </c>
      <c r="R86" s="11">
        <f t="shared" si="38"/>
        <v>0</v>
      </c>
      <c r="S86" s="11">
        <f t="shared" si="38"/>
        <v>7.05</v>
      </c>
      <c r="T86" s="11">
        <f t="shared" si="38"/>
        <v>2.36</v>
      </c>
      <c r="U86" s="11">
        <f t="shared" si="38"/>
        <v>2.3559999999999999</v>
      </c>
      <c r="V86" s="11">
        <f t="shared" si="38"/>
        <v>2.3919999999999999</v>
      </c>
      <c r="W86" s="11">
        <f t="shared" si="38"/>
        <v>0</v>
      </c>
      <c r="X86" s="11">
        <f t="shared" si="38"/>
        <v>0</v>
      </c>
      <c r="Y86" s="11">
        <f t="shared" si="38"/>
        <v>0</v>
      </c>
      <c r="Z86" s="11">
        <f t="shared" ref="Z86:AA86" si="39">SUM(Z80:Z81)/500</f>
        <v>7.1360000000000001</v>
      </c>
      <c r="AA86" s="11">
        <f t="shared" si="39"/>
        <v>8.5</v>
      </c>
      <c r="AB86" s="11">
        <f t="shared" si="38"/>
        <v>6.1539999999999999</v>
      </c>
      <c r="AC86" s="11">
        <f t="shared" si="38"/>
        <v>0</v>
      </c>
      <c r="AD86" s="11">
        <f t="shared" si="38"/>
        <v>0</v>
      </c>
      <c r="AE86" s="11">
        <f t="shared" ref="AE86:AG86" si="40">SUM(AE80:AE81)/500</f>
        <v>0</v>
      </c>
      <c r="AF86" s="11">
        <f t="shared" si="40"/>
        <v>0</v>
      </c>
      <c r="AG86" s="11">
        <f t="shared" si="40"/>
        <v>9.5020000000000007</v>
      </c>
      <c r="AH86" s="11">
        <f t="shared" si="38"/>
        <v>9.4979999999999993</v>
      </c>
      <c r="AI86" s="11">
        <f t="shared" ref="AI86" si="41">SUM(AI80:AI81)/500</f>
        <v>4.718</v>
      </c>
      <c r="AJ86" s="10"/>
      <c r="AK86" s="26">
        <f>SUM(F86:AI86)</f>
        <v>100.44600000000001</v>
      </c>
      <c r="AM86" s="41"/>
      <c r="BW86" s="40"/>
      <c r="BX86" s="40"/>
      <c r="DA86" s="40"/>
      <c r="EI86" s="30"/>
      <c r="EJ86" s="40"/>
      <c r="EK86" s="40"/>
      <c r="EL86" s="40"/>
      <c r="EM86" s="40"/>
      <c r="GP86" s="40"/>
      <c r="KK86" s="40"/>
      <c r="KL86" s="40"/>
      <c r="KM86" s="40"/>
      <c r="KN86" s="40"/>
      <c r="PR86" s="40"/>
      <c r="PS86" s="40"/>
      <c r="PU86" s="40"/>
      <c r="QI86" s="39"/>
      <c r="QM86" s="40"/>
      <c r="SP86" s="39"/>
      <c r="AHY86" s="5"/>
      <c r="AJN86" s="5"/>
      <c r="AJO86" s="5"/>
      <c r="AJP86" s="5"/>
    </row>
    <row r="87" spans="2:952" x14ac:dyDescent="0.25">
      <c r="B87" s="137"/>
      <c r="C87" s="161" t="s">
        <v>37</v>
      </c>
      <c r="D87" s="180"/>
      <c r="E87" s="180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2"/>
      <c r="AD87" s="181"/>
      <c r="AE87" s="181"/>
      <c r="AF87" s="181"/>
      <c r="AG87" s="181"/>
      <c r="AH87" s="181"/>
      <c r="AI87" s="181"/>
      <c r="AJ87" s="31"/>
      <c r="AK87" s="46" t="s">
        <v>34</v>
      </c>
    </row>
    <row r="88" spans="2:952" x14ac:dyDescent="0.25">
      <c r="B88" s="135"/>
      <c r="C88" s="243" t="s">
        <v>33</v>
      </c>
      <c r="D88" s="192"/>
      <c r="E88" s="135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0"/>
      <c r="AK88" s="45" t="s">
        <v>33</v>
      </c>
      <c r="AM88" s="41"/>
      <c r="BW88" s="40"/>
      <c r="BX88" s="40"/>
      <c r="DA88" s="40"/>
      <c r="EI88" s="30"/>
      <c r="EJ88" s="40"/>
      <c r="EK88" s="40"/>
      <c r="EL88" s="40"/>
      <c r="EM88" s="40"/>
      <c r="GP88" s="40"/>
      <c r="KK88" s="40"/>
      <c r="KL88" s="40"/>
      <c r="KM88" s="40"/>
      <c r="KN88" s="40"/>
      <c r="PR88" s="40"/>
      <c r="PS88" s="40"/>
      <c r="PU88" s="40"/>
      <c r="QI88" s="39"/>
      <c r="QM88" s="40"/>
      <c r="SP88" s="39"/>
      <c r="AHY88" s="5"/>
      <c r="AJN88" s="5"/>
      <c r="AJO88" s="5"/>
      <c r="AJP88" s="5"/>
    </row>
    <row r="89" spans="2:952" x14ac:dyDescent="0.25">
      <c r="B89" s="135"/>
      <c r="C89" s="136" t="s">
        <v>57</v>
      </c>
      <c r="D89" s="192"/>
      <c r="E89" s="214" t="s">
        <v>36</v>
      </c>
      <c r="F89" s="246">
        <v>0</v>
      </c>
      <c r="G89" s="246">
        <v>0</v>
      </c>
      <c r="H89" s="246">
        <v>14</v>
      </c>
      <c r="I89" s="246">
        <v>1</v>
      </c>
      <c r="J89" s="246">
        <v>3</v>
      </c>
      <c r="K89" s="246"/>
      <c r="L89" s="246"/>
      <c r="M89" s="246"/>
      <c r="N89" s="246"/>
      <c r="O89" s="246">
        <v>0</v>
      </c>
      <c r="P89" s="246">
        <v>0</v>
      </c>
      <c r="Q89" s="246"/>
      <c r="R89" s="11"/>
      <c r="S89" s="246">
        <v>0</v>
      </c>
      <c r="T89" s="246">
        <v>5</v>
      </c>
      <c r="U89" s="246">
        <v>3</v>
      </c>
      <c r="V89" s="246">
        <v>21</v>
      </c>
      <c r="W89" s="246"/>
      <c r="X89" s="246"/>
      <c r="Y89" s="246"/>
      <c r="Z89" s="246">
        <v>30</v>
      </c>
      <c r="AA89" s="246">
        <v>7</v>
      </c>
      <c r="AB89" s="246"/>
      <c r="AC89" s="246"/>
      <c r="AD89" s="246"/>
      <c r="AE89" s="246"/>
      <c r="AF89" s="246"/>
      <c r="AG89" s="246"/>
      <c r="AH89" s="246">
        <v>25</v>
      </c>
      <c r="AI89" s="246"/>
      <c r="AJ89" s="10"/>
      <c r="AK89" s="26">
        <f>SUM(F89:AI89)</f>
        <v>109</v>
      </c>
      <c r="AM89" s="41"/>
      <c r="BW89" s="40"/>
      <c r="BX89" s="40"/>
      <c r="DA89" s="40"/>
      <c r="EI89" s="30"/>
      <c r="EJ89" s="40"/>
      <c r="EK89" s="40"/>
      <c r="EL89" s="40"/>
      <c r="EM89" s="40"/>
      <c r="GP89" s="40"/>
      <c r="KK89" s="40"/>
      <c r="KL89" s="40"/>
      <c r="KM89" s="40"/>
      <c r="KN89" s="40"/>
      <c r="PR89" s="40"/>
      <c r="PS89" s="40"/>
      <c r="PU89" s="40"/>
      <c r="QI89" s="39"/>
      <c r="QM89" s="40"/>
      <c r="SP89" s="39"/>
      <c r="AHY89" s="5"/>
      <c r="AJN89" s="5"/>
      <c r="AJO89" s="5"/>
      <c r="AJP89" s="5"/>
    </row>
    <row r="90" spans="2:952" x14ac:dyDescent="0.25">
      <c r="B90" s="135"/>
      <c r="C90" s="136" t="s">
        <v>56</v>
      </c>
      <c r="D90" s="192"/>
      <c r="E90" s="214" t="s">
        <v>36</v>
      </c>
      <c r="F90" s="246">
        <v>15</v>
      </c>
      <c r="G90" s="246">
        <v>21</v>
      </c>
      <c r="H90" s="246">
        <v>0</v>
      </c>
      <c r="I90" s="246">
        <v>0</v>
      </c>
      <c r="J90" s="246"/>
      <c r="K90" s="246">
        <v>0</v>
      </c>
      <c r="L90" s="246">
        <v>2</v>
      </c>
      <c r="M90" s="246"/>
      <c r="N90" s="246"/>
      <c r="O90" s="246">
        <v>1</v>
      </c>
      <c r="P90" s="246">
        <v>3</v>
      </c>
      <c r="Q90" s="246">
        <v>7</v>
      </c>
      <c r="R90" s="11"/>
      <c r="S90" s="246">
        <v>0</v>
      </c>
      <c r="T90" s="11">
        <v>0</v>
      </c>
      <c r="U90" s="11"/>
      <c r="V90" s="246"/>
      <c r="W90" s="246"/>
      <c r="X90" s="246"/>
      <c r="Y90" s="246"/>
      <c r="Z90" s="246">
        <v>11</v>
      </c>
      <c r="AA90" s="246">
        <v>69</v>
      </c>
      <c r="AB90" s="246">
        <v>4</v>
      </c>
      <c r="AC90" s="246"/>
      <c r="AD90" s="246"/>
      <c r="AE90" s="246"/>
      <c r="AF90" s="246"/>
      <c r="AG90" s="246">
        <v>36</v>
      </c>
      <c r="AH90" s="246">
        <v>0</v>
      </c>
      <c r="AI90" s="246">
        <v>9</v>
      </c>
      <c r="AJ90" s="10"/>
      <c r="AK90" s="26">
        <f>SUM(F90:AI90)</f>
        <v>178</v>
      </c>
      <c r="AM90" s="41"/>
      <c r="BW90" s="40"/>
      <c r="BX90" s="40"/>
      <c r="DA90" s="40"/>
      <c r="EI90" s="30"/>
      <c r="EJ90" s="40"/>
      <c r="EK90" s="40"/>
      <c r="EL90" s="40"/>
      <c r="EM90" s="40"/>
      <c r="GP90" s="40"/>
      <c r="KK90" s="40"/>
      <c r="KL90" s="40"/>
      <c r="KM90" s="40"/>
      <c r="KN90" s="40"/>
      <c r="PR90" s="40"/>
      <c r="PS90" s="40"/>
      <c r="PU90" s="40"/>
      <c r="QI90" s="39"/>
      <c r="QM90" s="40"/>
      <c r="SP90" s="39"/>
      <c r="AHY90" s="5"/>
      <c r="AJN90" s="5"/>
      <c r="AJO90" s="5"/>
      <c r="AJP90" s="5"/>
    </row>
    <row r="91" spans="2:952" x14ac:dyDescent="0.25">
      <c r="B91" s="135"/>
      <c r="C91" s="243" t="s">
        <v>32</v>
      </c>
      <c r="D91" s="192"/>
      <c r="E91" s="135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11"/>
      <c r="S91" s="246"/>
      <c r="T91" s="11"/>
      <c r="U91" s="11"/>
      <c r="V91" s="246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0"/>
      <c r="AK91" s="45" t="s">
        <v>32</v>
      </c>
      <c r="AM91" s="41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W91" s="40"/>
      <c r="BX91" s="40"/>
      <c r="DA91" s="40"/>
      <c r="EI91" s="30"/>
      <c r="EJ91" s="40"/>
      <c r="EK91" s="40"/>
      <c r="EL91" s="40"/>
      <c r="EM91" s="40"/>
      <c r="GP91" s="40"/>
      <c r="KK91" s="40"/>
      <c r="KL91" s="40"/>
      <c r="KM91" s="40"/>
      <c r="KN91" s="40"/>
      <c r="PR91" s="40"/>
      <c r="PS91" s="40"/>
      <c r="PU91" s="40"/>
      <c r="QI91" s="39"/>
      <c r="QM91" s="40"/>
      <c r="SP91" s="39"/>
      <c r="AHY91" s="5"/>
      <c r="AJN91" s="5"/>
      <c r="AJO91" s="5"/>
      <c r="AJP91" s="5"/>
    </row>
    <row r="92" spans="2:952" x14ac:dyDescent="0.25">
      <c r="B92" s="135"/>
      <c r="C92" s="136" t="s">
        <v>57</v>
      </c>
      <c r="D92" s="192"/>
      <c r="E92" s="214" t="s">
        <v>32</v>
      </c>
      <c r="F92" s="246">
        <f>F89*12</f>
        <v>0</v>
      </c>
      <c r="G92" s="246">
        <f t="shared" ref="G92:U92" si="42">G89*12</f>
        <v>0</v>
      </c>
      <c r="H92" s="246">
        <f t="shared" si="42"/>
        <v>168</v>
      </c>
      <c r="I92" s="246">
        <f t="shared" si="42"/>
        <v>12</v>
      </c>
      <c r="J92" s="246">
        <f t="shared" si="42"/>
        <v>36</v>
      </c>
      <c r="K92" s="246">
        <f t="shared" si="42"/>
        <v>0</v>
      </c>
      <c r="L92" s="246">
        <f t="shared" si="42"/>
        <v>0</v>
      </c>
      <c r="M92" s="246">
        <f t="shared" si="42"/>
        <v>0</v>
      </c>
      <c r="N92" s="246">
        <f t="shared" si="42"/>
        <v>0</v>
      </c>
      <c r="O92" s="246">
        <f t="shared" si="42"/>
        <v>0</v>
      </c>
      <c r="P92" s="246">
        <f t="shared" si="42"/>
        <v>0</v>
      </c>
      <c r="Q92" s="246">
        <f t="shared" si="42"/>
        <v>0</v>
      </c>
      <c r="R92" s="246">
        <f t="shared" si="42"/>
        <v>0</v>
      </c>
      <c r="S92" s="246">
        <f t="shared" si="42"/>
        <v>0</v>
      </c>
      <c r="T92" s="246">
        <f t="shared" si="42"/>
        <v>60</v>
      </c>
      <c r="U92" s="246">
        <f t="shared" si="42"/>
        <v>36</v>
      </c>
      <c r="V92" s="246"/>
      <c r="W92" s="246">
        <v>0</v>
      </c>
      <c r="X92" s="246"/>
      <c r="Y92" s="246"/>
      <c r="Z92" s="246"/>
      <c r="AA92" s="246"/>
      <c r="AB92" s="246"/>
      <c r="AC92" s="246"/>
      <c r="AD92" s="246"/>
      <c r="AE92" s="246"/>
      <c r="AF92" s="246"/>
      <c r="AG92" s="246"/>
      <c r="AH92" s="246"/>
      <c r="AI92" s="246"/>
      <c r="AJ92" s="10"/>
      <c r="AK92" s="26">
        <f>SUM(F92:AI92)</f>
        <v>312</v>
      </c>
      <c r="AM92" s="41">
        <f>0.9031*100</f>
        <v>90.31</v>
      </c>
      <c r="AZ92" s="57"/>
      <c r="BA92" s="35"/>
      <c r="BB92" s="35"/>
      <c r="BC92" s="35"/>
      <c r="BD92" s="64"/>
      <c r="BE92" s="35"/>
      <c r="BF92" s="35"/>
      <c r="BG92" s="35"/>
      <c r="BH92" s="35"/>
      <c r="BI92" s="35"/>
      <c r="BW92" s="40"/>
      <c r="BX92" s="40"/>
      <c r="DA92" s="40"/>
      <c r="EI92" s="30"/>
      <c r="EJ92" s="40"/>
      <c r="EK92" s="40"/>
      <c r="EL92" s="40"/>
      <c r="EM92" s="40"/>
      <c r="GP92" s="40"/>
      <c r="KK92" s="40"/>
      <c r="KL92" s="40"/>
      <c r="KM92" s="40"/>
      <c r="KN92" s="40"/>
      <c r="PR92" s="40"/>
      <c r="PS92" s="40"/>
      <c r="PU92" s="40"/>
      <c r="QI92" s="39"/>
      <c r="QM92" s="40"/>
      <c r="SP92" s="39"/>
      <c r="AHY92" s="5"/>
      <c r="AJN92" s="5"/>
      <c r="AJO92" s="5"/>
      <c r="AJP92" s="5"/>
    </row>
    <row r="93" spans="2:952" x14ac:dyDescent="0.25">
      <c r="B93" s="135"/>
      <c r="C93" s="136" t="s">
        <v>56</v>
      </c>
      <c r="D93" s="192"/>
      <c r="E93" s="214" t="s">
        <v>32</v>
      </c>
      <c r="F93" s="246">
        <f>F90*6</f>
        <v>90</v>
      </c>
      <c r="G93" s="246">
        <f t="shared" ref="G93:U93" si="43">G90*6</f>
        <v>126</v>
      </c>
      <c r="H93" s="246">
        <f t="shared" si="43"/>
        <v>0</v>
      </c>
      <c r="I93" s="246">
        <f t="shared" si="43"/>
        <v>0</v>
      </c>
      <c r="J93" s="246">
        <f t="shared" si="43"/>
        <v>0</v>
      </c>
      <c r="K93" s="246">
        <f t="shared" si="43"/>
        <v>0</v>
      </c>
      <c r="L93" s="246">
        <f t="shared" si="43"/>
        <v>12</v>
      </c>
      <c r="M93" s="246">
        <f t="shared" si="43"/>
        <v>0</v>
      </c>
      <c r="N93" s="246">
        <f t="shared" si="43"/>
        <v>0</v>
      </c>
      <c r="O93" s="246">
        <f t="shared" si="43"/>
        <v>6</v>
      </c>
      <c r="P93" s="246">
        <f t="shared" si="43"/>
        <v>18</v>
      </c>
      <c r="Q93" s="246">
        <f t="shared" si="43"/>
        <v>42</v>
      </c>
      <c r="R93" s="246">
        <f t="shared" si="43"/>
        <v>0</v>
      </c>
      <c r="S93" s="246">
        <f t="shared" si="43"/>
        <v>0</v>
      </c>
      <c r="T93" s="246">
        <f t="shared" si="43"/>
        <v>0</v>
      </c>
      <c r="U93" s="246">
        <f t="shared" si="43"/>
        <v>0</v>
      </c>
      <c r="V93" s="246"/>
      <c r="W93" s="11">
        <v>0</v>
      </c>
      <c r="X93" s="11"/>
      <c r="Y93" s="246"/>
      <c r="Z93" s="246"/>
      <c r="AA93" s="246"/>
      <c r="AB93" s="11"/>
      <c r="AC93" s="11"/>
      <c r="AD93" s="11"/>
      <c r="AE93" s="11"/>
      <c r="AF93" s="11"/>
      <c r="AG93" s="11"/>
      <c r="AH93" s="11"/>
      <c r="AI93" s="11"/>
      <c r="AJ93" s="10"/>
      <c r="AK93" s="26">
        <f>SUM(F93:AI93)</f>
        <v>294</v>
      </c>
      <c r="AM93" s="41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W93" s="40"/>
      <c r="BX93" s="40"/>
      <c r="DA93" s="40"/>
      <c r="EI93" s="30"/>
      <c r="EJ93" s="40"/>
      <c r="EK93" s="40"/>
      <c r="EL93" s="40"/>
      <c r="EM93" s="40"/>
      <c r="GP93" s="40"/>
      <c r="KK93" s="40"/>
      <c r="KL93" s="40"/>
      <c r="KM93" s="40"/>
      <c r="KN93" s="40"/>
      <c r="PR93" s="40"/>
      <c r="PS93" s="40"/>
      <c r="PU93" s="40"/>
      <c r="QI93" s="39"/>
      <c r="QM93" s="40"/>
      <c r="SP93" s="39"/>
      <c r="AHY93" s="5"/>
      <c r="AJN93" s="5"/>
      <c r="AJO93" s="5"/>
      <c r="AJP93" s="5"/>
    </row>
    <row r="94" spans="2:952" ht="15" customHeight="1" x14ac:dyDescent="0.25">
      <c r="B94" s="137"/>
      <c r="C94" s="161" t="s">
        <v>35</v>
      </c>
      <c r="D94" s="180"/>
      <c r="E94" s="180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2"/>
      <c r="AD94" s="181"/>
      <c r="AE94" s="181"/>
      <c r="AF94" s="181"/>
      <c r="AG94" s="181"/>
      <c r="AH94" s="181"/>
      <c r="AI94" s="181"/>
      <c r="AJ94" s="31"/>
      <c r="AK94" s="46" t="s">
        <v>34</v>
      </c>
      <c r="AZ94" s="35"/>
      <c r="BA94" s="35"/>
      <c r="BB94" s="35"/>
      <c r="BC94" s="35"/>
      <c r="BD94" s="35"/>
      <c r="BE94" s="35"/>
      <c r="BF94" s="35"/>
      <c r="BG94" s="35"/>
      <c r="BH94" s="35"/>
      <c r="BI94" s="35"/>
    </row>
    <row r="95" spans="2:952" ht="15" customHeight="1" x14ac:dyDescent="0.25">
      <c r="B95" s="135"/>
      <c r="C95" s="243" t="s">
        <v>33</v>
      </c>
      <c r="D95" s="192"/>
      <c r="E95" s="135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0"/>
      <c r="AK95" s="45" t="s">
        <v>33</v>
      </c>
      <c r="AM95" s="41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W95" s="40"/>
      <c r="BX95" s="40"/>
      <c r="DA95" s="40"/>
      <c r="EI95" s="30"/>
      <c r="EJ95" s="40"/>
      <c r="EK95" s="40"/>
      <c r="EL95" s="40"/>
      <c r="EM95" s="40"/>
      <c r="GP95" s="40"/>
      <c r="KK95" s="40"/>
      <c r="KL95" s="40"/>
      <c r="KM95" s="40"/>
      <c r="KN95" s="40"/>
      <c r="PR95" s="40"/>
      <c r="PS95" s="40"/>
      <c r="PU95" s="40"/>
      <c r="QI95" s="39"/>
      <c r="QM95" s="40"/>
      <c r="SP95" s="39"/>
      <c r="AHY95" s="5"/>
      <c r="AJN95" s="5"/>
      <c r="AJO95" s="5"/>
      <c r="AJP95" s="5"/>
    </row>
    <row r="96" spans="2:952" ht="15" customHeight="1" x14ac:dyDescent="0.25">
      <c r="B96" s="135"/>
      <c r="C96" s="136" t="s">
        <v>57</v>
      </c>
      <c r="D96" s="290">
        <v>0.3</v>
      </c>
      <c r="E96" s="214" t="s">
        <v>29</v>
      </c>
      <c r="F96" s="292">
        <f t="shared" ref="F96:AI97" si="44">F89/F80*100</f>
        <v>0</v>
      </c>
      <c r="G96" s="292" t="e">
        <f t="shared" si="44"/>
        <v>#DIV/0!</v>
      </c>
      <c r="H96" s="292">
        <f>H89/H80*100</f>
        <v>1.1774600504625736</v>
      </c>
      <c r="I96" s="292">
        <f t="shared" si="44"/>
        <v>8.5034013605442174E-2</v>
      </c>
      <c r="J96" s="292">
        <f t="shared" si="44"/>
        <v>0.25466893039049238</v>
      </c>
      <c r="K96" s="292" t="e">
        <f t="shared" si="44"/>
        <v>#DIV/0!</v>
      </c>
      <c r="L96" s="292" t="e">
        <f t="shared" si="44"/>
        <v>#DIV/0!</v>
      </c>
      <c r="M96" s="292" t="e">
        <f t="shared" si="44"/>
        <v>#DIV/0!</v>
      </c>
      <c r="N96" s="292" t="e">
        <f t="shared" si="44"/>
        <v>#DIV/0!</v>
      </c>
      <c r="O96" s="292" t="e">
        <f t="shared" si="44"/>
        <v>#DIV/0!</v>
      </c>
      <c r="P96" s="292" t="e">
        <f t="shared" si="44"/>
        <v>#DIV/0!</v>
      </c>
      <c r="Q96" s="292" t="e">
        <f t="shared" si="44"/>
        <v>#DIV/0!</v>
      </c>
      <c r="R96" s="292" t="e">
        <f t="shared" si="44"/>
        <v>#DIV/0!</v>
      </c>
      <c r="S96" s="292">
        <f t="shared" si="44"/>
        <v>0</v>
      </c>
      <c r="T96" s="292">
        <f t="shared" si="44"/>
        <v>0.42372881355932202</v>
      </c>
      <c r="U96" s="292">
        <f>U89/U80*100</f>
        <v>0.25466893039049238</v>
      </c>
      <c r="V96" s="292">
        <f t="shared" si="44"/>
        <v>1.7558528428093645</v>
      </c>
      <c r="W96" s="292" t="e">
        <f t="shared" si="44"/>
        <v>#DIV/0!</v>
      </c>
      <c r="X96" s="292" t="e">
        <f t="shared" si="44"/>
        <v>#DIV/0!</v>
      </c>
      <c r="Y96" s="292" t="e">
        <f t="shared" si="44"/>
        <v>#DIV/0!</v>
      </c>
      <c r="Z96" s="292">
        <f t="shared" si="44"/>
        <v>2.4855012427506216</v>
      </c>
      <c r="AA96" s="292">
        <f t="shared" si="44"/>
        <v>0.29698769622401361</v>
      </c>
      <c r="AB96" s="292" t="e">
        <f t="shared" si="44"/>
        <v>#DIV/0!</v>
      </c>
      <c r="AC96" s="292" t="e">
        <f t="shared" si="44"/>
        <v>#DIV/0!</v>
      </c>
      <c r="AD96" s="292" t="e">
        <f t="shared" si="44"/>
        <v>#DIV/0!</v>
      </c>
      <c r="AE96" s="292" t="e">
        <f t="shared" si="44"/>
        <v>#DIV/0!</v>
      </c>
      <c r="AF96" s="292" t="e">
        <f t="shared" si="44"/>
        <v>#DIV/0!</v>
      </c>
      <c r="AG96" s="292" t="e">
        <f t="shared" si="44"/>
        <v>#DIV/0!</v>
      </c>
      <c r="AH96" s="292">
        <f t="shared" si="44"/>
        <v>0.52642661612971153</v>
      </c>
      <c r="AI96" s="292" t="e">
        <f t="shared" si="44"/>
        <v>#DIV/0!</v>
      </c>
      <c r="AJ96" s="10"/>
      <c r="AK96" s="44">
        <f>AK89/AK80*100</f>
        <v>0.64371345892635679</v>
      </c>
      <c r="AM96" s="41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W96" s="40"/>
      <c r="BX96" s="40"/>
      <c r="DA96" s="40"/>
      <c r="EI96" s="30"/>
      <c r="EJ96" s="40"/>
      <c r="EK96" s="40"/>
      <c r="EL96" s="40"/>
      <c r="EM96" s="40"/>
      <c r="GP96" s="40"/>
      <c r="KK96" s="40"/>
      <c r="KL96" s="40"/>
      <c r="KM96" s="40"/>
      <c r="KN96" s="40"/>
      <c r="PR96" s="40"/>
      <c r="PS96" s="40"/>
      <c r="PU96" s="40"/>
      <c r="QI96" s="39"/>
      <c r="QM96" s="40"/>
      <c r="SP96" s="39"/>
      <c r="AHY96" s="5"/>
      <c r="AJN96" s="5"/>
      <c r="AJO96" s="5"/>
      <c r="AJP96" s="5"/>
    </row>
    <row r="97" spans="2:952" ht="15" customHeight="1" x14ac:dyDescent="0.25">
      <c r="B97" s="135"/>
      <c r="C97" s="136" t="s">
        <v>56</v>
      </c>
      <c r="D97" s="290">
        <v>0.3</v>
      </c>
      <c r="E97" s="214" t="s">
        <v>29</v>
      </c>
      <c r="F97" s="292">
        <f t="shared" si="44"/>
        <v>0.63424947145877375</v>
      </c>
      <c r="G97" s="292">
        <f t="shared" si="44"/>
        <v>0.88570223534373693</v>
      </c>
      <c r="H97" s="292" t="e">
        <f>H90/H81*100</f>
        <v>#DIV/0!</v>
      </c>
      <c r="I97" s="292" t="e">
        <f t="shared" si="44"/>
        <v>#DIV/0!</v>
      </c>
      <c r="J97" s="292" t="e">
        <f t="shared" si="44"/>
        <v>#DIV/0!</v>
      </c>
      <c r="K97" s="292" t="e">
        <f t="shared" si="44"/>
        <v>#DIV/0!</v>
      </c>
      <c r="L97" s="292">
        <f t="shared" si="44"/>
        <v>8.5034013605442174E-2</v>
      </c>
      <c r="M97" s="292">
        <f t="shared" si="44"/>
        <v>0</v>
      </c>
      <c r="N97" s="292" t="e">
        <f t="shared" si="44"/>
        <v>#DIV/0!</v>
      </c>
      <c r="O97" s="292">
        <f t="shared" si="44"/>
        <v>4.2535091450446622E-2</v>
      </c>
      <c r="P97" s="292">
        <f t="shared" si="44"/>
        <v>0.12749681257968551</v>
      </c>
      <c r="Q97" s="292">
        <f t="shared" si="44"/>
        <v>0.29698769622401361</v>
      </c>
      <c r="R97" s="292" t="e">
        <f t="shared" si="44"/>
        <v>#DIV/0!</v>
      </c>
      <c r="S97" s="292">
        <f t="shared" si="44"/>
        <v>0</v>
      </c>
      <c r="T97" s="292" t="e">
        <f t="shared" si="44"/>
        <v>#DIV/0!</v>
      </c>
      <c r="U97" s="292" t="e">
        <f t="shared" si="44"/>
        <v>#DIV/0!</v>
      </c>
      <c r="V97" s="292" t="e">
        <f t="shared" si="44"/>
        <v>#DIV/0!</v>
      </c>
      <c r="W97" s="292" t="e">
        <f t="shared" si="44"/>
        <v>#DIV/0!</v>
      </c>
      <c r="X97" s="292" t="e">
        <f t="shared" si="44"/>
        <v>#DIV/0!</v>
      </c>
      <c r="Y97" s="292" t="e">
        <f t="shared" si="44"/>
        <v>#DIV/0!</v>
      </c>
      <c r="Z97" s="292">
        <f t="shared" si="44"/>
        <v>0.46590427784836935</v>
      </c>
      <c r="AA97" s="292">
        <f t="shared" si="44"/>
        <v>3.6450079239302693</v>
      </c>
      <c r="AB97" s="292">
        <f t="shared" si="44"/>
        <v>0.12999675008124797</v>
      </c>
      <c r="AC97" s="292" t="e">
        <f t="shared" si="44"/>
        <v>#DIV/0!</v>
      </c>
      <c r="AD97" s="292" t="e">
        <f t="shared" si="44"/>
        <v>#DIV/0!</v>
      </c>
      <c r="AE97" s="292" t="e">
        <f t="shared" si="44"/>
        <v>#DIV/0!</v>
      </c>
      <c r="AF97" s="292" t="e">
        <f t="shared" si="44"/>
        <v>#DIV/0!</v>
      </c>
      <c r="AG97" s="292">
        <f t="shared" si="44"/>
        <v>0.7577352136392338</v>
      </c>
      <c r="AH97" s="292" t="e">
        <f t="shared" si="44"/>
        <v>#DIV/0!</v>
      </c>
      <c r="AI97" s="292">
        <f t="shared" si="44"/>
        <v>0.38151759220008474</v>
      </c>
      <c r="AJ97" s="10"/>
      <c r="AK97" s="44">
        <f>AK90/AK81*100</f>
        <v>0.53469510363472517</v>
      </c>
      <c r="AM97" s="41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W97" s="40"/>
      <c r="BX97" s="40"/>
      <c r="DA97" s="40"/>
      <c r="EI97" s="30"/>
      <c r="EJ97" s="40"/>
      <c r="EK97" s="40"/>
      <c r="EL97" s="40"/>
      <c r="EM97" s="40"/>
      <c r="GP97" s="40"/>
      <c r="KK97" s="40"/>
      <c r="KL97" s="40"/>
      <c r="KM97" s="40"/>
      <c r="KN97" s="40"/>
      <c r="PR97" s="40"/>
      <c r="PS97" s="40"/>
      <c r="PU97" s="40"/>
      <c r="QI97" s="39"/>
      <c r="QM97" s="40"/>
      <c r="SP97" s="39"/>
      <c r="AHY97" s="5"/>
      <c r="AJN97" s="5"/>
      <c r="AJO97" s="5"/>
      <c r="AJP97" s="5"/>
    </row>
    <row r="98" spans="2:952" ht="15" customHeight="1" x14ac:dyDescent="0.25">
      <c r="B98" s="135"/>
      <c r="C98" s="243" t="s">
        <v>32</v>
      </c>
      <c r="D98" s="290"/>
      <c r="E98" s="135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  <c r="AA98" s="292"/>
      <c r="AB98" s="292"/>
      <c r="AC98" s="292"/>
      <c r="AD98" s="292"/>
      <c r="AE98" s="292"/>
      <c r="AF98" s="292"/>
      <c r="AG98" s="292"/>
      <c r="AH98" s="292"/>
      <c r="AI98" s="292"/>
      <c r="AJ98" s="10"/>
      <c r="AK98" s="45" t="s">
        <v>32</v>
      </c>
      <c r="AM98" s="41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W98" s="40"/>
      <c r="BX98" s="40"/>
      <c r="DA98" s="40"/>
      <c r="EI98" s="30"/>
      <c r="EJ98" s="40"/>
      <c r="EK98" s="40"/>
      <c r="EL98" s="40"/>
      <c r="EM98" s="40"/>
      <c r="GP98" s="40"/>
      <c r="KK98" s="40"/>
      <c r="KL98" s="40"/>
      <c r="KM98" s="40"/>
      <c r="KN98" s="40"/>
      <c r="PR98" s="40"/>
      <c r="PS98" s="40"/>
      <c r="PU98" s="40"/>
      <c r="QI98" s="39"/>
      <c r="QM98" s="40"/>
      <c r="SP98" s="39"/>
      <c r="AHY98" s="5"/>
      <c r="AJN98" s="5"/>
      <c r="AJO98" s="5"/>
      <c r="AJP98" s="5"/>
    </row>
    <row r="99" spans="2:952" ht="15" customHeight="1" x14ac:dyDescent="0.25">
      <c r="B99" s="135"/>
      <c r="C99" s="136" t="s">
        <v>57</v>
      </c>
      <c r="D99" s="290">
        <v>0.5</v>
      </c>
      <c r="E99" s="214" t="s">
        <v>29</v>
      </c>
      <c r="F99" s="292">
        <f t="shared" ref="F99:AI100" si="45">F92/F83*100</f>
        <v>0</v>
      </c>
      <c r="G99" s="292" t="e">
        <f t="shared" si="45"/>
        <v>#DIV/0!</v>
      </c>
      <c r="H99" s="292">
        <f t="shared" si="45"/>
        <v>1.1774600504625736</v>
      </c>
      <c r="I99" s="292">
        <f t="shared" si="45"/>
        <v>8.5034013605442174E-2</v>
      </c>
      <c r="J99" s="292">
        <f t="shared" si="45"/>
        <v>0.25466893039049238</v>
      </c>
      <c r="K99" s="292" t="e">
        <f t="shared" si="45"/>
        <v>#DIV/0!</v>
      </c>
      <c r="L99" s="292" t="e">
        <f t="shared" si="45"/>
        <v>#DIV/0!</v>
      </c>
      <c r="M99" s="292" t="e">
        <f t="shared" si="45"/>
        <v>#DIV/0!</v>
      </c>
      <c r="N99" s="292" t="e">
        <f t="shared" si="45"/>
        <v>#DIV/0!</v>
      </c>
      <c r="O99" s="292" t="e">
        <f t="shared" si="45"/>
        <v>#DIV/0!</v>
      </c>
      <c r="P99" s="292" t="e">
        <f t="shared" si="45"/>
        <v>#DIV/0!</v>
      </c>
      <c r="Q99" s="292" t="e">
        <f t="shared" si="45"/>
        <v>#DIV/0!</v>
      </c>
      <c r="R99" s="292" t="e">
        <f t="shared" si="45"/>
        <v>#DIV/0!</v>
      </c>
      <c r="S99" s="292">
        <f t="shared" si="45"/>
        <v>0</v>
      </c>
      <c r="T99" s="292">
        <f t="shared" si="45"/>
        <v>0.42372881355932202</v>
      </c>
      <c r="U99" s="292">
        <f t="shared" si="45"/>
        <v>0.25466893039049238</v>
      </c>
      <c r="V99" s="292">
        <f t="shared" si="45"/>
        <v>0</v>
      </c>
      <c r="W99" s="292" t="e">
        <f t="shared" si="45"/>
        <v>#DIV/0!</v>
      </c>
      <c r="X99" s="292" t="e">
        <f t="shared" si="45"/>
        <v>#DIV/0!</v>
      </c>
      <c r="Y99" s="292" t="e">
        <f t="shared" si="45"/>
        <v>#DIV/0!</v>
      </c>
      <c r="Z99" s="292">
        <f t="shared" si="45"/>
        <v>0</v>
      </c>
      <c r="AA99" s="292">
        <f t="shared" si="45"/>
        <v>0</v>
      </c>
      <c r="AB99" s="292" t="e">
        <f t="shared" si="45"/>
        <v>#DIV/0!</v>
      </c>
      <c r="AC99" s="292" t="e">
        <f t="shared" si="45"/>
        <v>#DIV/0!</v>
      </c>
      <c r="AD99" s="292" t="e">
        <f t="shared" si="45"/>
        <v>#DIV/0!</v>
      </c>
      <c r="AE99" s="292" t="e">
        <f t="shared" si="45"/>
        <v>#DIV/0!</v>
      </c>
      <c r="AF99" s="292" t="e">
        <f t="shared" si="45"/>
        <v>#DIV/0!</v>
      </c>
      <c r="AG99" s="292" t="e">
        <f t="shared" si="45"/>
        <v>#DIV/0!</v>
      </c>
      <c r="AH99" s="292">
        <f t="shared" si="45"/>
        <v>0</v>
      </c>
      <c r="AI99" s="292" t="e">
        <f t="shared" si="45"/>
        <v>#DIV/0!</v>
      </c>
      <c r="AJ99" s="10"/>
      <c r="AK99" s="44">
        <f>AK92/AK83*100</f>
        <v>0.1535463296521585</v>
      </c>
      <c r="AM99" s="41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W99" s="40"/>
      <c r="BX99" s="40"/>
      <c r="DA99" s="40"/>
      <c r="EI99" s="30"/>
      <c r="EJ99" s="40"/>
      <c r="EK99" s="40"/>
      <c r="EL99" s="40"/>
      <c r="EM99" s="40"/>
      <c r="GP99" s="40"/>
      <c r="KK99" s="40"/>
      <c r="KL99" s="40"/>
      <c r="KM99" s="40"/>
      <c r="KN99" s="40"/>
      <c r="PR99" s="40"/>
      <c r="PS99" s="40"/>
      <c r="PU99" s="40"/>
      <c r="QI99" s="39"/>
      <c r="QM99" s="40"/>
      <c r="SP99" s="39"/>
      <c r="AHY99" s="5"/>
      <c r="AJN99" s="5"/>
      <c r="AJO99" s="5"/>
      <c r="AJP99" s="5"/>
    </row>
    <row r="100" spans="2:952" ht="15" customHeight="1" x14ac:dyDescent="0.25">
      <c r="B100" s="135"/>
      <c r="C100" s="136" t="s">
        <v>56</v>
      </c>
      <c r="D100" s="290">
        <v>0.5</v>
      </c>
      <c r="E100" s="214" t="s">
        <v>29</v>
      </c>
      <c r="F100" s="292">
        <f t="shared" si="45"/>
        <v>0.63424947145877375</v>
      </c>
      <c r="G100" s="292">
        <f t="shared" si="45"/>
        <v>0.88570223534373693</v>
      </c>
      <c r="H100" s="292" t="e">
        <f t="shared" si="45"/>
        <v>#DIV/0!</v>
      </c>
      <c r="I100" s="292" t="e">
        <f t="shared" si="45"/>
        <v>#DIV/0!</v>
      </c>
      <c r="J100" s="292" t="e">
        <f t="shared" si="45"/>
        <v>#DIV/0!</v>
      </c>
      <c r="K100" s="292" t="e">
        <f t="shared" si="45"/>
        <v>#DIV/0!</v>
      </c>
      <c r="L100" s="292">
        <f t="shared" si="45"/>
        <v>8.5034013605442174E-2</v>
      </c>
      <c r="M100" s="292">
        <f t="shared" si="45"/>
        <v>0</v>
      </c>
      <c r="N100" s="292" t="e">
        <f t="shared" si="45"/>
        <v>#DIV/0!</v>
      </c>
      <c r="O100" s="292">
        <f t="shared" si="45"/>
        <v>4.2535091450446622E-2</v>
      </c>
      <c r="P100" s="292">
        <f t="shared" si="45"/>
        <v>0.12749681257968551</v>
      </c>
      <c r="Q100" s="292">
        <f t="shared" si="45"/>
        <v>0.29698769622401361</v>
      </c>
      <c r="R100" s="292" t="e">
        <f t="shared" si="45"/>
        <v>#DIV/0!</v>
      </c>
      <c r="S100" s="292">
        <f t="shared" si="45"/>
        <v>0</v>
      </c>
      <c r="T100" s="292" t="e">
        <f t="shared" si="45"/>
        <v>#DIV/0!</v>
      </c>
      <c r="U100" s="292" t="e">
        <f t="shared" si="45"/>
        <v>#DIV/0!</v>
      </c>
      <c r="V100" s="292" t="e">
        <f t="shared" si="45"/>
        <v>#DIV/0!</v>
      </c>
      <c r="W100" s="292" t="e">
        <f t="shared" si="45"/>
        <v>#DIV/0!</v>
      </c>
      <c r="X100" s="292" t="e">
        <f t="shared" si="45"/>
        <v>#DIV/0!</v>
      </c>
      <c r="Y100" s="292" t="e">
        <f t="shared" si="45"/>
        <v>#DIV/0!</v>
      </c>
      <c r="Z100" s="292">
        <f t="shared" si="45"/>
        <v>0</v>
      </c>
      <c r="AA100" s="292">
        <f t="shared" si="45"/>
        <v>0</v>
      </c>
      <c r="AB100" s="292">
        <f t="shared" si="45"/>
        <v>0</v>
      </c>
      <c r="AC100" s="292" t="e">
        <f t="shared" si="45"/>
        <v>#DIV/0!</v>
      </c>
      <c r="AD100" s="292" t="e">
        <f t="shared" si="45"/>
        <v>#DIV/0!</v>
      </c>
      <c r="AE100" s="292" t="e">
        <f t="shared" si="45"/>
        <v>#DIV/0!</v>
      </c>
      <c r="AF100" s="292" t="e">
        <f t="shared" si="45"/>
        <v>#DIV/0!</v>
      </c>
      <c r="AG100" s="292">
        <f t="shared" si="45"/>
        <v>0</v>
      </c>
      <c r="AH100" s="292" t="e">
        <f t="shared" si="45"/>
        <v>#DIV/0!</v>
      </c>
      <c r="AI100" s="292">
        <f t="shared" si="45"/>
        <v>0</v>
      </c>
      <c r="AJ100" s="10"/>
      <c r="AK100" s="44">
        <f>AK93/AK84*100</f>
        <v>0.14719134875337939</v>
      </c>
      <c r="AM100" s="41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W100" s="40"/>
      <c r="BX100" s="40"/>
      <c r="DA100" s="40"/>
      <c r="EI100" s="30"/>
      <c r="EJ100" s="40"/>
      <c r="EK100" s="40"/>
      <c r="EL100" s="40"/>
      <c r="EM100" s="40"/>
      <c r="GP100" s="40"/>
      <c r="KK100" s="40"/>
      <c r="KL100" s="40"/>
      <c r="KM100" s="40"/>
      <c r="KN100" s="40"/>
      <c r="PR100" s="40"/>
      <c r="PS100" s="40"/>
      <c r="PU100" s="40"/>
      <c r="QI100" s="39"/>
      <c r="QM100" s="40"/>
      <c r="SP100" s="39"/>
      <c r="AHY100" s="5"/>
      <c r="AJN100" s="5"/>
      <c r="AJO100" s="5"/>
      <c r="AJP100" s="5"/>
    </row>
    <row r="101" spans="2:952" x14ac:dyDescent="0.25">
      <c r="B101" s="179">
        <v>6</v>
      </c>
      <c r="C101" s="161" t="s">
        <v>55</v>
      </c>
      <c r="D101" s="180"/>
      <c r="E101" s="180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2"/>
      <c r="AD101" s="181"/>
      <c r="AE101" s="181"/>
      <c r="AF101" s="181"/>
      <c r="AG101" s="181"/>
      <c r="AH101" s="181"/>
      <c r="AI101" s="181"/>
      <c r="AJ101" s="31"/>
      <c r="AK101" s="46" t="s">
        <v>47</v>
      </c>
      <c r="AM101" s="8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W101" s="5"/>
      <c r="BX101" s="5"/>
      <c r="DA101" s="5"/>
      <c r="EI101" s="30"/>
      <c r="EJ101" s="5"/>
      <c r="EK101" s="5"/>
      <c r="EL101" s="5"/>
      <c r="EM101" s="5"/>
      <c r="GP101" s="5"/>
      <c r="KK101" s="5"/>
      <c r="KL101" s="5"/>
      <c r="KM101" s="5"/>
      <c r="KN101" s="5"/>
      <c r="PR101" s="5"/>
      <c r="PS101" s="5"/>
      <c r="PU101" s="5"/>
      <c r="QI101" s="27"/>
      <c r="QM101" s="5"/>
      <c r="SP101" s="27"/>
      <c r="AHY101" s="5"/>
      <c r="AJN101" s="5"/>
      <c r="AJO101" s="5"/>
      <c r="AJP101" s="5"/>
    </row>
    <row r="102" spans="2:952" x14ac:dyDescent="0.25">
      <c r="B102" s="137"/>
      <c r="C102" s="249" t="s">
        <v>54</v>
      </c>
      <c r="D102" s="250"/>
      <c r="E102" s="251" t="s">
        <v>16</v>
      </c>
      <c r="F102" s="252">
        <v>0</v>
      </c>
      <c r="G102" s="252">
        <v>0</v>
      </c>
      <c r="H102" s="252">
        <v>0</v>
      </c>
      <c r="I102" s="252">
        <v>0</v>
      </c>
      <c r="J102" s="252">
        <v>0</v>
      </c>
      <c r="K102" s="252">
        <v>0</v>
      </c>
      <c r="L102" s="252">
        <v>0</v>
      </c>
      <c r="M102" s="252">
        <v>0</v>
      </c>
      <c r="N102" s="252">
        <v>0</v>
      </c>
      <c r="O102" s="252">
        <v>0</v>
      </c>
      <c r="P102" s="252">
        <v>0</v>
      </c>
      <c r="Q102" s="252">
        <v>0</v>
      </c>
      <c r="R102" s="303"/>
      <c r="S102" s="252">
        <v>0</v>
      </c>
      <c r="T102" s="252"/>
      <c r="U102" s="252"/>
      <c r="V102" s="252"/>
      <c r="W102" s="252"/>
      <c r="X102" s="252"/>
      <c r="Y102" s="252"/>
      <c r="Z102" s="252"/>
      <c r="AA102" s="252"/>
      <c r="AB102" s="252"/>
      <c r="AC102" s="303"/>
      <c r="AD102" s="303"/>
      <c r="AE102" s="252"/>
      <c r="AF102" s="252"/>
      <c r="AG102" s="252">
        <v>11719.75</v>
      </c>
      <c r="AH102" s="252">
        <v>51053.77</v>
      </c>
      <c r="AI102" s="252">
        <v>25528.240000000002</v>
      </c>
      <c r="AJ102" s="25"/>
      <c r="AK102" s="52">
        <f>SUM(AK103:AK104)</f>
        <v>88301.760000000009</v>
      </c>
      <c r="AM102" s="61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W102" s="60"/>
      <c r="BX102" s="60"/>
      <c r="DA102" s="60"/>
      <c r="EI102" s="22"/>
      <c r="EJ102" s="60"/>
      <c r="EK102" s="60"/>
      <c r="EL102" s="60"/>
      <c r="EM102" s="60"/>
      <c r="GP102" s="60"/>
      <c r="KK102" s="60"/>
      <c r="KL102" s="60"/>
      <c r="KM102" s="60"/>
      <c r="KN102" s="60"/>
      <c r="PR102" s="60"/>
      <c r="PS102" s="60"/>
      <c r="PU102" s="60"/>
      <c r="QI102" s="59"/>
      <c r="QM102" s="60"/>
      <c r="SP102" s="59"/>
      <c r="AHY102" s="20"/>
      <c r="AJN102" s="20"/>
      <c r="AJO102" s="20"/>
      <c r="AJP102" s="20"/>
    </row>
    <row r="103" spans="2:952" x14ac:dyDescent="0.25">
      <c r="B103" s="135"/>
      <c r="C103" s="243" t="s">
        <v>44</v>
      </c>
      <c r="D103" s="192"/>
      <c r="E103" s="214" t="s">
        <v>16</v>
      </c>
      <c r="F103" s="292">
        <f t="shared" ref="F103:AD103" si="46">SUM(F106:F107)*10.86</f>
        <v>0</v>
      </c>
      <c r="G103" s="292">
        <f t="shared" si="46"/>
        <v>0</v>
      </c>
      <c r="H103" s="292">
        <f t="shared" si="46"/>
        <v>0</v>
      </c>
      <c r="I103" s="292">
        <f t="shared" si="46"/>
        <v>0</v>
      </c>
      <c r="J103" s="292">
        <f t="shared" si="46"/>
        <v>0</v>
      </c>
      <c r="K103" s="292">
        <f t="shared" si="46"/>
        <v>0</v>
      </c>
      <c r="L103" s="292">
        <f t="shared" si="46"/>
        <v>0</v>
      </c>
      <c r="M103" s="292">
        <f t="shared" si="46"/>
        <v>0</v>
      </c>
      <c r="N103" s="292">
        <f t="shared" si="46"/>
        <v>0</v>
      </c>
      <c r="O103" s="292">
        <f t="shared" si="46"/>
        <v>0</v>
      </c>
      <c r="P103" s="292">
        <f t="shared" si="46"/>
        <v>0</v>
      </c>
      <c r="Q103" s="292">
        <f t="shared" si="46"/>
        <v>0</v>
      </c>
      <c r="R103" s="252">
        <v>0</v>
      </c>
      <c r="S103" s="252">
        <v>0</v>
      </c>
      <c r="T103" s="292">
        <f t="shared" si="46"/>
        <v>0</v>
      </c>
      <c r="U103" s="292">
        <f t="shared" si="46"/>
        <v>0</v>
      </c>
      <c r="V103" s="292">
        <f t="shared" si="46"/>
        <v>0</v>
      </c>
      <c r="W103" s="292">
        <f t="shared" si="46"/>
        <v>0</v>
      </c>
      <c r="X103" s="292">
        <f t="shared" si="46"/>
        <v>0</v>
      </c>
      <c r="Y103" s="292">
        <f t="shared" si="46"/>
        <v>0</v>
      </c>
      <c r="Z103" s="292">
        <f t="shared" ref="Z103" si="47">SUM(Z106:Z107)*10.86</f>
        <v>0</v>
      </c>
      <c r="AA103" s="292">
        <f t="shared" si="46"/>
        <v>0</v>
      </c>
      <c r="AB103" s="292">
        <f t="shared" si="46"/>
        <v>0</v>
      </c>
      <c r="AC103" s="292">
        <f t="shared" si="46"/>
        <v>0</v>
      </c>
      <c r="AD103" s="292">
        <f t="shared" si="46"/>
        <v>0</v>
      </c>
      <c r="AE103" s="292">
        <f t="shared" ref="AE103:AF103" si="48">SUM(AE106:AE107)*10.86</f>
        <v>0</v>
      </c>
      <c r="AF103" s="292">
        <f t="shared" si="48"/>
        <v>0</v>
      </c>
      <c r="AG103" s="292">
        <v>11719.75</v>
      </c>
      <c r="AH103" s="292">
        <v>51055.58</v>
      </c>
      <c r="AI103" s="292">
        <f t="shared" ref="AI103" si="49">SUM(AI106:AI107)*10.86</f>
        <v>25564.44</v>
      </c>
      <c r="AJ103" s="10"/>
      <c r="AK103" s="44">
        <f>SUM(F103:AI103)</f>
        <v>88339.77</v>
      </c>
      <c r="AM103" s="41"/>
      <c r="AZ103" s="58"/>
      <c r="BA103" s="57"/>
      <c r="BB103" s="57"/>
      <c r="BC103" s="57"/>
      <c r="BD103" s="57"/>
      <c r="BE103" s="57"/>
      <c r="BF103" s="35"/>
      <c r="BG103" s="35"/>
      <c r="BH103" s="35"/>
      <c r="BI103" s="35"/>
      <c r="BW103" s="40"/>
      <c r="BX103" s="40"/>
      <c r="DA103" s="40"/>
      <c r="EI103" s="30"/>
      <c r="EJ103" s="40"/>
      <c r="EK103" s="40"/>
      <c r="EL103" s="40"/>
      <c r="EM103" s="40"/>
      <c r="GP103" s="40"/>
      <c r="KK103" s="40"/>
      <c r="KL103" s="40"/>
      <c r="KM103" s="40"/>
      <c r="KN103" s="40"/>
      <c r="PR103" s="40"/>
      <c r="PS103" s="63"/>
      <c r="PU103" s="40"/>
      <c r="QI103" s="39"/>
      <c r="QM103" s="40"/>
      <c r="SP103" s="39"/>
      <c r="AHY103" s="5"/>
      <c r="AJN103" s="5"/>
      <c r="AJO103" s="5"/>
      <c r="AJP103" s="5"/>
    </row>
    <row r="104" spans="2:952" x14ac:dyDescent="0.25">
      <c r="B104" s="135"/>
      <c r="C104" s="243" t="s">
        <v>43</v>
      </c>
      <c r="D104" s="192"/>
      <c r="E104" s="214" t="s">
        <v>16</v>
      </c>
      <c r="F104" s="292">
        <f t="shared" ref="F104:AI104" si="50">F102-F103</f>
        <v>0</v>
      </c>
      <c r="G104" s="292">
        <f t="shared" si="50"/>
        <v>0</v>
      </c>
      <c r="H104" s="292">
        <f t="shared" si="50"/>
        <v>0</v>
      </c>
      <c r="I104" s="292">
        <f t="shared" si="50"/>
        <v>0</v>
      </c>
      <c r="J104" s="292">
        <f t="shared" si="50"/>
        <v>0</v>
      </c>
      <c r="K104" s="292">
        <f t="shared" si="50"/>
        <v>0</v>
      </c>
      <c r="L104" s="292">
        <f t="shared" si="50"/>
        <v>0</v>
      </c>
      <c r="M104" s="292">
        <f t="shared" si="50"/>
        <v>0</v>
      </c>
      <c r="N104" s="292">
        <f t="shared" si="50"/>
        <v>0</v>
      </c>
      <c r="O104" s="292">
        <f t="shared" si="50"/>
        <v>0</v>
      </c>
      <c r="P104" s="292">
        <f t="shared" si="50"/>
        <v>0</v>
      </c>
      <c r="Q104" s="292">
        <f t="shared" si="50"/>
        <v>0</v>
      </c>
      <c r="R104" s="292">
        <f t="shared" si="50"/>
        <v>0</v>
      </c>
      <c r="S104" s="292">
        <f t="shared" si="50"/>
        <v>0</v>
      </c>
      <c r="T104" s="292">
        <f t="shared" si="50"/>
        <v>0</v>
      </c>
      <c r="U104" s="292">
        <f t="shared" si="50"/>
        <v>0</v>
      </c>
      <c r="V104" s="292">
        <f t="shared" si="50"/>
        <v>0</v>
      </c>
      <c r="W104" s="292">
        <f t="shared" si="50"/>
        <v>0</v>
      </c>
      <c r="X104" s="292">
        <f t="shared" si="50"/>
        <v>0</v>
      </c>
      <c r="Y104" s="292">
        <f t="shared" si="50"/>
        <v>0</v>
      </c>
      <c r="Z104" s="292">
        <f t="shared" si="50"/>
        <v>0</v>
      </c>
      <c r="AA104" s="292">
        <f t="shared" si="50"/>
        <v>0</v>
      </c>
      <c r="AB104" s="292">
        <f t="shared" si="50"/>
        <v>0</v>
      </c>
      <c r="AC104" s="292">
        <f t="shared" si="50"/>
        <v>0</v>
      </c>
      <c r="AD104" s="292">
        <f t="shared" si="50"/>
        <v>0</v>
      </c>
      <c r="AE104" s="292">
        <f t="shared" si="50"/>
        <v>0</v>
      </c>
      <c r="AF104" s="292">
        <f t="shared" si="50"/>
        <v>0</v>
      </c>
      <c r="AG104" s="292">
        <f t="shared" si="50"/>
        <v>0</v>
      </c>
      <c r="AH104" s="292">
        <f t="shared" si="50"/>
        <v>-1.8100000000049477</v>
      </c>
      <c r="AI104" s="292">
        <f t="shared" si="50"/>
        <v>-36.19999999999709</v>
      </c>
      <c r="AJ104" s="10"/>
      <c r="AK104" s="44">
        <f>SUM(F104:AI104)</f>
        <v>-38.010000000002037</v>
      </c>
      <c r="AM104" s="41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W104" s="40"/>
      <c r="BX104" s="40"/>
      <c r="DA104" s="40"/>
      <c r="EI104" s="30"/>
      <c r="EJ104" s="40"/>
      <c r="EK104" s="40"/>
      <c r="EL104" s="40"/>
      <c r="EM104" s="40"/>
      <c r="GP104" s="40"/>
      <c r="KK104" s="40"/>
      <c r="KL104" s="40"/>
      <c r="KM104" s="40"/>
      <c r="KN104" s="40"/>
      <c r="PR104" s="40"/>
      <c r="PS104" s="40"/>
      <c r="PU104" s="40"/>
      <c r="QI104" s="39"/>
      <c r="QM104" s="40"/>
      <c r="SP104" s="39"/>
      <c r="AHY104" s="5"/>
      <c r="AJN104" s="5"/>
      <c r="AJO104" s="5"/>
      <c r="AJP104" s="5"/>
    </row>
    <row r="105" spans="2:952" x14ac:dyDescent="0.25">
      <c r="B105" s="135"/>
      <c r="C105" s="243" t="s">
        <v>33</v>
      </c>
      <c r="D105" s="192"/>
      <c r="E105" s="1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0"/>
      <c r="AK105" s="45" t="s">
        <v>33</v>
      </c>
      <c r="AM105" s="41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W105" s="40"/>
      <c r="BX105" s="40"/>
      <c r="DA105" s="40"/>
      <c r="EI105" s="30"/>
      <c r="EJ105" s="40"/>
      <c r="EK105" s="40"/>
      <c r="EL105" s="40"/>
      <c r="EM105" s="40"/>
      <c r="GP105" s="40"/>
      <c r="KK105" s="40"/>
      <c r="KL105" s="40"/>
      <c r="KM105" s="40"/>
      <c r="KN105" s="40"/>
      <c r="PR105" s="40"/>
      <c r="PS105" s="40"/>
      <c r="PU105" s="40"/>
      <c r="QI105" s="39"/>
      <c r="QM105" s="40"/>
      <c r="SP105" s="39"/>
      <c r="AHY105" s="5"/>
      <c r="AJN105" s="5"/>
      <c r="AJO105" s="5"/>
      <c r="AJP105" s="5"/>
    </row>
    <row r="106" spans="2:952" x14ac:dyDescent="0.25">
      <c r="B106" s="167"/>
      <c r="C106" s="165" t="s">
        <v>53</v>
      </c>
      <c r="D106" s="166"/>
      <c r="E106" s="245" t="s">
        <v>36</v>
      </c>
      <c r="F106" s="246">
        <v>0</v>
      </c>
      <c r="G106" s="246">
        <v>0</v>
      </c>
      <c r="H106" s="246">
        <v>0</v>
      </c>
      <c r="I106" s="246">
        <v>0</v>
      </c>
      <c r="J106" s="246">
        <v>0</v>
      </c>
      <c r="K106" s="246">
        <v>0</v>
      </c>
      <c r="L106" s="246">
        <v>0</v>
      </c>
      <c r="M106" s="246">
        <v>0</v>
      </c>
      <c r="N106" s="246">
        <v>0</v>
      </c>
      <c r="O106" s="246">
        <v>0</v>
      </c>
      <c r="P106" s="246">
        <v>0</v>
      </c>
      <c r="Q106" s="246">
        <v>0</v>
      </c>
      <c r="R106" s="246"/>
      <c r="S106" s="246">
        <v>0</v>
      </c>
      <c r="T106" s="246"/>
      <c r="U106" s="246"/>
      <c r="V106" s="246">
        <v>0</v>
      </c>
      <c r="W106" s="246">
        <v>0</v>
      </c>
      <c r="X106" s="246">
        <v>0</v>
      </c>
      <c r="Y106" s="246">
        <v>0</v>
      </c>
      <c r="Z106" s="246">
        <v>0</v>
      </c>
      <c r="AA106" s="246">
        <v>0</v>
      </c>
      <c r="AB106" s="252"/>
      <c r="AC106" s="252">
        <v>0</v>
      </c>
      <c r="AD106" s="252"/>
      <c r="AE106" s="252"/>
      <c r="AF106" s="252"/>
      <c r="AG106" s="252"/>
      <c r="AH106" s="246">
        <v>1079</v>
      </c>
      <c r="AI106" s="246"/>
      <c r="AJ106" s="51"/>
      <c r="AK106" s="50">
        <f>SUM(F106:AI106)</f>
        <v>1079</v>
      </c>
      <c r="AM106" s="49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W106" s="48"/>
      <c r="BX106" s="48"/>
      <c r="DA106" s="48"/>
      <c r="EI106" s="16"/>
      <c r="EJ106" s="48"/>
      <c r="EK106" s="48"/>
      <c r="EL106" s="48"/>
      <c r="EM106" s="48"/>
      <c r="GP106" s="48"/>
      <c r="KK106" s="48"/>
      <c r="KL106" s="48"/>
      <c r="KM106" s="48"/>
      <c r="KN106" s="48"/>
      <c r="PR106" s="48"/>
      <c r="PS106" s="48"/>
      <c r="PU106" s="48"/>
      <c r="QI106" s="47"/>
      <c r="QM106" s="48"/>
      <c r="SP106" s="47"/>
      <c r="AHY106" s="14"/>
      <c r="AJN106" s="14"/>
      <c r="AJO106" s="14"/>
      <c r="AJP106" s="14"/>
    </row>
    <row r="107" spans="2:952" x14ac:dyDescent="0.25">
      <c r="B107" s="167"/>
      <c r="C107" s="165" t="s">
        <v>52</v>
      </c>
      <c r="D107" s="166"/>
      <c r="E107" s="245" t="s">
        <v>36</v>
      </c>
      <c r="F107" s="246">
        <v>0</v>
      </c>
      <c r="G107" s="246">
        <v>0</v>
      </c>
      <c r="H107" s="246">
        <v>0</v>
      </c>
      <c r="I107" s="246">
        <v>0</v>
      </c>
      <c r="J107" s="246">
        <v>0</v>
      </c>
      <c r="K107" s="246">
        <v>0</v>
      </c>
      <c r="L107" s="246">
        <v>0</v>
      </c>
      <c r="M107" s="246">
        <v>0</v>
      </c>
      <c r="N107" s="246">
        <v>0</v>
      </c>
      <c r="O107" s="246">
        <v>0</v>
      </c>
      <c r="P107" s="246">
        <v>0</v>
      </c>
      <c r="Q107" s="246">
        <v>0</v>
      </c>
      <c r="R107" s="246"/>
      <c r="S107" s="246">
        <v>0</v>
      </c>
      <c r="T107" s="246">
        <v>0</v>
      </c>
      <c r="U107" s="246">
        <v>0</v>
      </c>
      <c r="V107" s="246">
        <v>0</v>
      </c>
      <c r="W107" s="246">
        <v>0</v>
      </c>
      <c r="X107" s="246">
        <v>0</v>
      </c>
      <c r="Y107" s="246">
        <v>0</v>
      </c>
      <c r="Z107" s="246">
        <v>0</v>
      </c>
      <c r="AA107" s="246">
        <v>0</v>
      </c>
      <c r="AB107" s="252">
        <v>0</v>
      </c>
      <c r="AC107" s="246"/>
      <c r="AD107" s="246"/>
      <c r="AE107" s="252"/>
      <c r="AF107" s="252"/>
      <c r="AG107" s="246">
        <v>1079</v>
      </c>
      <c r="AH107" s="246">
        <v>4729</v>
      </c>
      <c r="AI107" s="246">
        <v>2354</v>
      </c>
      <c r="AJ107" s="51"/>
      <c r="AK107" s="50">
        <f>SUM(F107:AI107)</f>
        <v>8162</v>
      </c>
      <c r="AM107" s="49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W107" s="48"/>
      <c r="BX107" s="48"/>
      <c r="DA107" s="48"/>
      <c r="EI107" s="16"/>
      <c r="EJ107" s="48"/>
      <c r="EK107" s="48"/>
      <c r="EL107" s="48"/>
      <c r="EM107" s="48"/>
      <c r="GP107" s="48"/>
      <c r="KK107" s="48"/>
      <c r="KL107" s="48"/>
      <c r="KM107" s="48"/>
      <c r="KN107" s="48"/>
      <c r="PR107" s="48"/>
      <c r="PS107" s="48"/>
      <c r="PU107" s="48"/>
      <c r="QI107" s="47"/>
      <c r="QM107" s="48"/>
      <c r="SP107" s="47"/>
      <c r="AHY107" s="14"/>
      <c r="AJN107" s="14"/>
      <c r="AJO107" s="14"/>
      <c r="AJP107" s="14"/>
    </row>
    <row r="108" spans="2:952" x14ac:dyDescent="0.25">
      <c r="B108" s="135"/>
      <c r="C108" s="243" t="s">
        <v>32</v>
      </c>
      <c r="D108" s="192"/>
      <c r="E108" s="1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0"/>
      <c r="AK108" s="45" t="s">
        <v>32</v>
      </c>
      <c r="AM108" s="41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W108" s="40"/>
      <c r="BX108" s="40"/>
      <c r="DA108" s="40"/>
      <c r="EI108" s="30"/>
      <c r="EJ108" s="40"/>
      <c r="EK108" s="40"/>
      <c r="EL108" s="40"/>
      <c r="EM108" s="40"/>
      <c r="GP108" s="40"/>
      <c r="KK108" s="40"/>
      <c r="KL108" s="40"/>
      <c r="KM108" s="40"/>
      <c r="KN108" s="40"/>
      <c r="PR108" s="40"/>
      <c r="PS108" s="40"/>
      <c r="PU108" s="40"/>
      <c r="QI108" s="39"/>
      <c r="QM108" s="40"/>
      <c r="SP108" s="39"/>
      <c r="AHY108" s="5"/>
      <c r="AJN108" s="5"/>
      <c r="AJO108" s="5"/>
      <c r="AJP108" s="5"/>
    </row>
    <row r="109" spans="2:952" x14ac:dyDescent="0.25">
      <c r="B109" s="135"/>
      <c r="C109" s="165" t="s">
        <v>53</v>
      </c>
      <c r="D109" s="192"/>
      <c r="E109" s="214" t="s">
        <v>32</v>
      </c>
      <c r="F109" s="11">
        <f t="shared" ref="F109:AI109" si="51">F106*12</f>
        <v>0</v>
      </c>
      <c r="G109" s="11">
        <f t="shared" si="51"/>
        <v>0</v>
      </c>
      <c r="H109" s="11">
        <f t="shared" si="51"/>
        <v>0</v>
      </c>
      <c r="I109" s="11">
        <f t="shared" si="51"/>
        <v>0</v>
      </c>
      <c r="J109" s="11">
        <f t="shared" si="51"/>
        <v>0</v>
      </c>
      <c r="K109" s="11">
        <f t="shared" si="51"/>
        <v>0</v>
      </c>
      <c r="L109" s="11">
        <f t="shared" si="51"/>
        <v>0</v>
      </c>
      <c r="M109" s="11">
        <f t="shared" si="51"/>
        <v>0</v>
      </c>
      <c r="N109" s="11">
        <f t="shared" si="51"/>
        <v>0</v>
      </c>
      <c r="O109" s="11">
        <f t="shared" si="51"/>
        <v>0</v>
      </c>
      <c r="P109" s="11">
        <f t="shared" si="51"/>
        <v>0</v>
      </c>
      <c r="Q109" s="11">
        <f t="shared" si="51"/>
        <v>0</v>
      </c>
      <c r="R109" s="11">
        <f t="shared" si="51"/>
        <v>0</v>
      </c>
      <c r="S109" s="11">
        <f t="shared" si="51"/>
        <v>0</v>
      </c>
      <c r="T109" s="11">
        <f t="shared" si="51"/>
        <v>0</v>
      </c>
      <c r="U109" s="11">
        <f t="shared" si="51"/>
        <v>0</v>
      </c>
      <c r="V109" s="11">
        <f>V106*12</f>
        <v>0</v>
      </c>
      <c r="W109" s="11">
        <f t="shared" si="51"/>
        <v>0</v>
      </c>
      <c r="X109" s="11">
        <f t="shared" si="51"/>
        <v>0</v>
      </c>
      <c r="Y109" s="11">
        <f t="shared" si="51"/>
        <v>0</v>
      </c>
      <c r="Z109" s="11">
        <f t="shared" si="51"/>
        <v>0</v>
      </c>
      <c r="AA109" s="11">
        <f t="shared" si="51"/>
        <v>0</v>
      </c>
      <c r="AB109" s="11">
        <f t="shared" si="51"/>
        <v>0</v>
      </c>
      <c r="AC109" s="11">
        <f t="shared" si="51"/>
        <v>0</v>
      </c>
      <c r="AD109" s="11">
        <f t="shared" si="51"/>
        <v>0</v>
      </c>
      <c r="AE109" s="11">
        <f t="shared" si="51"/>
        <v>0</v>
      </c>
      <c r="AF109" s="11">
        <f t="shared" si="51"/>
        <v>0</v>
      </c>
      <c r="AG109" s="11">
        <f t="shared" si="51"/>
        <v>0</v>
      </c>
      <c r="AH109" s="11">
        <f t="shared" si="51"/>
        <v>12948</v>
      </c>
      <c r="AI109" s="11">
        <f t="shared" si="51"/>
        <v>0</v>
      </c>
      <c r="AJ109" s="10"/>
      <c r="AK109" s="26">
        <f>AK106*12</f>
        <v>12948</v>
      </c>
      <c r="AM109" s="41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W109" s="40"/>
      <c r="BX109" s="40"/>
      <c r="DA109" s="40"/>
      <c r="EI109" s="30"/>
      <c r="EJ109" s="40"/>
      <c r="EK109" s="40"/>
      <c r="EL109" s="40"/>
      <c r="EM109" s="40"/>
      <c r="GP109" s="40"/>
      <c r="KK109" s="40"/>
      <c r="KL109" s="40"/>
      <c r="KM109" s="40"/>
      <c r="KN109" s="40"/>
      <c r="PR109" s="40"/>
      <c r="PS109" s="40"/>
      <c r="PU109" s="40"/>
      <c r="QI109" s="39"/>
      <c r="QM109" s="40"/>
      <c r="SP109" s="39"/>
      <c r="AHY109" s="5"/>
      <c r="AJN109" s="5"/>
      <c r="AJO109" s="5"/>
      <c r="AJP109" s="5"/>
    </row>
    <row r="110" spans="2:952" x14ac:dyDescent="0.25">
      <c r="B110" s="135"/>
      <c r="C110" s="165" t="s">
        <v>52</v>
      </c>
      <c r="D110" s="192"/>
      <c r="E110" s="214" t="s">
        <v>32</v>
      </c>
      <c r="F110" s="11">
        <f t="shared" ref="F110:AI110" si="52">F107*6</f>
        <v>0</v>
      </c>
      <c r="G110" s="11">
        <f t="shared" si="52"/>
        <v>0</v>
      </c>
      <c r="H110" s="11">
        <f t="shared" si="52"/>
        <v>0</v>
      </c>
      <c r="I110" s="11">
        <f t="shared" si="52"/>
        <v>0</v>
      </c>
      <c r="J110" s="11">
        <f t="shared" si="52"/>
        <v>0</v>
      </c>
      <c r="K110" s="11">
        <f t="shared" si="52"/>
        <v>0</v>
      </c>
      <c r="L110" s="11">
        <f t="shared" si="52"/>
        <v>0</v>
      </c>
      <c r="M110" s="11">
        <f t="shared" si="52"/>
        <v>0</v>
      </c>
      <c r="N110" s="11">
        <f t="shared" si="52"/>
        <v>0</v>
      </c>
      <c r="O110" s="11">
        <f t="shared" si="52"/>
        <v>0</v>
      </c>
      <c r="P110" s="11">
        <f t="shared" si="52"/>
        <v>0</v>
      </c>
      <c r="Q110" s="11">
        <f t="shared" si="52"/>
        <v>0</v>
      </c>
      <c r="R110" s="11">
        <f t="shared" si="52"/>
        <v>0</v>
      </c>
      <c r="S110" s="11">
        <f t="shared" si="52"/>
        <v>0</v>
      </c>
      <c r="T110" s="11">
        <f t="shared" si="52"/>
        <v>0</v>
      </c>
      <c r="U110" s="11">
        <f t="shared" si="52"/>
        <v>0</v>
      </c>
      <c r="V110" s="11">
        <f t="shared" si="52"/>
        <v>0</v>
      </c>
      <c r="W110" s="11">
        <f t="shared" si="52"/>
        <v>0</v>
      </c>
      <c r="X110" s="11">
        <f t="shared" si="52"/>
        <v>0</v>
      </c>
      <c r="Y110" s="11">
        <f t="shared" si="52"/>
        <v>0</v>
      </c>
      <c r="Z110" s="11">
        <f t="shared" si="52"/>
        <v>0</v>
      </c>
      <c r="AA110" s="11">
        <f t="shared" si="52"/>
        <v>0</v>
      </c>
      <c r="AB110" s="11">
        <f t="shared" si="52"/>
        <v>0</v>
      </c>
      <c r="AC110" s="11">
        <f t="shared" si="52"/>
        <v>0</v>
      </c>
      <c r="AD110" s="11">
        <f t="shared" si="52"/>
        <v>0</v>
      </c>
      <c r="AE110" s="11">
        <f t="shared" si="52"/>
        <v>0</v>
      </c>
      <c r="AF110" s="11">
        <f t="shared" si="52"/>
        <v>0</v>
      </c>
      <c r="AG110" s="11">
        <f t="shared" si="52"/>
        <v>6474</v>
      </c>
      <c r="AH110" s="11">
        <f t="shared" si="52"/>
        <v>28374</v>
      </c>
      <c r="AI110" s="11">
        <f t="shared" si="52"/>
        <v>14124</v>
      </c>
      <c r="AJ110" s="10"/>
      <c r="AK110" s="26">
        <f>AK107*6</f>
        <v>48972</v>
      </c>
      <c r="AM110" s="41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W110" s="40"/>
      <c r="BX110" s="40"/>
      <c r="DA110" s="40"/>
      <c r="EI110" s="30"/>
      <c r="EJ110" s="40"/>
      <c r="EK110" s="40"/>
      <c r="EL110" s="40"/>
      <c r="EM110" s="40"/>
      <c r="GP110" s="40"/>
      <c r="KK110" s="40"/>
      <c r="KL110" s="40"/>
      <c r="KM110" s="40"/>
      <c r="KN110" s="40"/>
      <c r="PR110" s="40"/>
      <c r="PS110" s="40"/>
      <c r="PU110" s="40"/>
      <c r="QI110" s="39"/>
      <c r="QM110" s="40"/>
      <c r="SP110" s="39"/>
      <c r="AHY110" s="5"/>
      <c r="AJN110" s="5"/>
      <c r="AJO110" s="5"/>
      <c r="AJP110" s="5"/>
    </row>
    <row r="111" spans="2:952" x14ac:dyDescent="0.25">
      <c r="B111" s="135"/>
      <c r="C111" s="243" t="s">
        <v>41</v>
      </c>
      <c r="D111" s="192"/>
      <c r="E111" s="214" t="s">
        <v>40</v>
      </c>
      <c r="F111" s="11">
        <v>0</v>
      </c>
      <c r="G111" s="11">
        <f>(G102*45)/1700</f>
        <v>0</v>
      </c>
      <c r="H111" s="11">
        <f t="shared" ref="H111:Y111" si="53">(H102*45)/1700</f>
        <v>0</v>
      </c>
      <c r="I111" s="11">
        <f t="shared" si="53"/>
        <v>0</v>
      </c>
      <c r="J111" s="11">
        <f t="shared" si="53"/>
        <v>0</v>
      </c>
      <c r="K111" s="11">
        <f t="shared" si="53"/>
        <v>0</v>
      </c>
      <c r="L111" s="11">
        <f t="shared" si="53"/>
        <v>0</v>
      </c>
      <c r="M111" s="11">
        <f t="shared" si="53"/>
        <v>0</v>
      </c>
      <c r="N111" s="11">
        <f t="shared" si="53"/>
        <v>0</v>
      </c>
      <c r="O111" s="11">
        <f t="shared" si="53"/>
        <v>0</v>
      </c>
      <c r="P111" s="11">
        <f t="shared" si="53"/>
        <v>0</v>
      </c>
      <c r="Q111" s="11">
        <f t="shared" si="53"/>
        <v>0</v>
      </c>
      <c r="R111" s="11">
        <f t="shared" si="53"/>
        <v>0</v>
      </c>
      <c r="S111" s="11">
        <f t="shared" si="53"/>
        <v>0</v>
      </c>
      <c r="T111" s="11">
        <f t="shared" si="53"/>
        <v>0</v>
      </c>
      <c r="U111" s="11">
        <f t="shared" si="53"/>
        <v>0</v>
      </c>
      <c r="V111" s="11">
        <f t="shared" si="53"/>
        <v>0</v>
      </c>
      <c r="W111" s="11">
        <f t="shared" si="53"/>
        <v>0</v>
      </c>
      <c r="X111" s="11">
        <f t="shared" si="53"/>
        <v>0</v>
      </c>
      <c r="Y111" s="11">
        <f t="shared" si="53"/>
        <v>0</v>
      </c>
      <c r="Z111" s="11">
        <f t="shared" ref="Z111:AI111" si="54">Z102*45/1700</f>
        <v>0</v>
      </c>
      <c r="AA111" s="11">
        <f t="shared" si="54"/>
        <v>0</v>
      </c>
      <c r="AB111" s="11">
        <f t="shared" si="54"/>
        <v>0</v>
      </c>
      <c r="AC111" s="253">
        <f t="shared" si="54"/>
        <v>0</v>
      </c>
      <c r="AD111" s="11">
        <f t="shared" si="54"/>
        <v>0</v>
      </c>
      <c r="AE111" s="11">
        <f t="shared" si="54"/>
        <v>0</v>
      </c>
      <c r="AF111" s="11">
        <f t="shared" si="54"/>
        <v>0</v>
      </c>
      <c r="AG111" s="11">
        <f t="shared" si="54"/>
        <v>310.22867647058825</v>
      </c>
      <c r="AH111" s="11">
        <f t="shared" si="54"/>
        <v>1351.4233235294116</v>
      </c>
      <c r="AI111" s="11">
        <f t="shared" si="54"/>
        <v>675.74752941176473</v>
      </c>
      <c r="AJ111" s="10"/>
      <c r="AK111" s="62">
        <f>SUM(F111:AI111)</f>
        <v>2337.3995294117644</v>
      </c>
      <c r="AM111" s="41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W111" s="40"/>
      <c r="BX111" s="40"/>
      <c r="DA111" s="40"/>
      <c r="EI111" s="30"/>
      <c r="EJ111" s="40"/>
      <c r="EK111" s="40"/>
      <c r="EL111" s="40"/>
      <c r="EM111" s="40"/>
      <c r="GP111" s="40"/>
      <c r="KK111" s="40"/>
      <c r="KL111" s="40"/>
      <c r="KM111" s="40"/>
      <c r="KN111" s="40"/>
      <c r="PR111" s="40"/>
      <c r="PS111" s="40"/>
      <c r="PU111" s="40"/>
      <c r="QI111" s="39"/>
      <c r="QM111" s="40"/>
      <c r="SP111" s="39"/>
      <c r="AHY111" s="5"/>
      <c r="AJN111" s="5"/>
      <c r="AJO111" s="5"/>
      <c r="AJP111" s="5"/>
    </row>
    <row r="112" spans="2:952" x14ac:dyDescent="0.25">
      <c r="B112" s="135"/>
      <c r="C112" s="243" t="s">
        <v>39</v>
      </c>
      <c r="D112" s="192"/>
      <c r="E112" s="214" t="s">
        <v>38</v>
      </c>
      <c r="F112" s="11">
        <f t="shared" ref="F112:AH112" si="55">SUM(F106:F107)/500</f>
        <v>0</v>
      </c>
      <c r="G112" s="11">
        <f t="shared" si="55"/>
        <v>0</v>
      </c>
      <c r="H112" s="11">
        <f t="shared" si="55"/>
        <v>0</v>
      </c>
      <c r="I112" s="11">
        <f t="shared" si="55"/>
        <v>0</v>
      </c>
      <c r="J112" s="11">
        <f t="shared" si="55"/>
        <v>0</v>
      </c>
      <c r="K112" s="11">
        <f t="shared" si="55"/>
        <v>0</v>
      </c>
      <c r="L112" s="11">
        <f t="shared" si="55"/>
        <v>0</v>
      </c>
      <c r="M112" s="11">
        <f t="shared" si="55"/>
        <v>0</v>
      </c>
      <c r="N112" s="11">
        <f t="shared" si="55"/>
        <v>0</v>
      </c>
      <c r="O112" s="11">
        <f t="shared" si="55"/>
        <v>0</v>
      </c>
      <c r="P112" s="11">
        <f t="shared" si="55"/>
        <v>0</v>
      </c>
      <c r="Q112" s="11">
        <f t="shared" si="55"/>
        <v>0</v>
      </c>
      <c r="R112" s="11">
        <f t="shared" si="55"/>
        <v>0</v>
      </c>
      <c r="S112" s="11">
        <f t="shared" si="55"/>
        <v>0</v>
      </c>
      <c r="T112" s="11">
        <f t="shared" si="55"/>
        <v>0</v>
      </c>
      <c r="U112" s="11">
        <f t="shared" si="55"/>
        <v>0</v>
      </c>
      <c r="V112" s="11">
        <f t="shared" si="55"/>
        <v>0</v>
      </c>
      <c r="W112" s="11">
        <f t="shared" si="55"/>
        <v>0</v>
      </c>
      <c r="X112" s="11">
        <f t="shared" si="55"/>
        <v>0</v>
      </c>
      <c r="Y112" s="11">
        <f t="shared" si="55"/>
        <v>0</v>
      </c>
      <c r="Z112" s="11">
        <f t="shared" ref="Z112" si="56">SUM(Z106:Z107)/500</f>
        <v>0</v>
      </c>
      <c r="AA112" s="11">
        <f t="shared" si="55"/>
        <v>0</v>
      </c>
      <c r="AB112" s="11">
        <f t="shared" si="55"/>
        <v>0</v>
      </c>
      <c r="AC112" s="292">
        <f t="shared" si="55"/>
        <v>0</v>
      </c>
      <c r="AD112" s="11">
        <f t="shared" si="55"/>
        <v>0</v>
      </c>
      <c r="AE112" s="11">
        <f t="shared" ref="AE112:AG112" si="57">SUM(AE106:AE107)/500</f>
        <v>0</v>
      </c>
      <c r="AF112" s="11">
        <f t="shared" si="57"/>
        <v>0</v>
      </c>
      <c r="AG112" s="11">
        <f t="shared" si="57"/>
        <v>2.1579999999999999</v>
      </c>
      <c r="AH112" s="11">
        <f t="shared" si="55"/>
        <v>11.616</v>
      </c>
      <c r="AI112" s="11">
        <f t="shared" ref="AI112" si="58">SUM(AI106:AI107)/500</f>
        <v>4.7080000000000002</v>
      </c>
      <c r="AJ112" s="10"/>
      <c r="AK112" s="62">
        <f>SUM(F112:AI112)</f>
        <v>18.481999999999999</v>
      </c>
      <c r="AM112" s="41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W112" s="40"/>
      <c r="BX112" s="40"/>
      <c r="DA112" s="40"/>
      <c r="EI112" s="30"/>
      <c r="EJ112" s="40"/>
      <c r="EK112" s="40"/>
      <c r="EL112" s="40"/>
      <c r="EM112" s="40"/>
      <c r="GP112" s="40"/>
      <c r="KK112" s="40"/>
      <c r="KL112" s="40"/>
      <c r="KM112" s="40"/>
      <c r="KN112" s="40"/>
      <c r="PR112" s="40"/>
      <c r="PS112" s="40"/>
      <c r="PU112" s="40"/>
      <c r="QI112" s="39"/>
      <c r="QM112" s="40"/>
      <c r="SP112" s="39"/>
      <c r="AHY112" s="5"/>
      <c r="AJN112" s="5"/>
      <c r="AJO112" s="5"/>
      <c r="AJP112" s="5"/>
    </row>
    <row r="113" spans="2:952" x14ac:dyDescent="0.25">
      <c r="B113" s="137"/>
      <c r="C113" s="161" t="s">
        <v>37</v>
      </c>
      <c r="D113" s="180"/>
      <c r="E113" s="180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2"/>
      <c r="AD113" s="181"/>
      <c r="AE113" s="181"/>
      <c r="AF113" s="181"/>
      <c r="AG113" s="181"/>
      <c r="AH113" s="181"/>
      <c r="AI113" s="181"/>
      <c r="AJ113" s="31"/>
      <c r="AK113" s="46" t="s">
        <v>34</v>
      </c>
      <c r="AM113" s="8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W113" s="5"/>
      <c r="BX113" s="5"/>
      <c r="DA113" s="5"/>
      <c r="EI113" s="30"/>
      <c r="EJ113" s="5"/>
      <c r="EK113" s="5"/>
      <c r="EL113" s="5"/>
      <c r="EM113" s="5"/>
      <c r="GP113" s="5"/>
      <c r="KK113" s="5"/>
      <c r="KL113" s="5"/>
      <c r="KM113" s="5"/>
      <c r="KN113" s="5"/>
      <c r="PR113" s="5"/>
      <c r="PS113" s="5"/>
      <c r="PU113" s="5"/>
      <c r="QI113" s="27"/>
      <c r="QM113" s="5"/>
      <c r="SP113" s="27"/>
      <c r="AHY113" s="5"/>
      <c r="AJN113" s="5"/>
      <c r="AJO113" s="5"/>
      <c r="AJP113" s="5"/>
    </row>
    <row r="114" spans="2:952" x14ac:dyDescent="0.25">
      <c r="B114" s="135"/>
      <c r="C114" s="243" t="s">
        <v>33</v>
      </c>
      <c r="D114" s="192"/>
      <c r="E114" s="1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0"/>
      <c r="AK114" s="45" t="s">
        <v>33</v>
      </c>
      <c r="AM114" s="41"/>
      <c r="BW114" s="40"/>
      <c r="BX114" s="40"/>
      <c r="DA114" s="40"/>
      <c r="EI114" s="30"/>
      <c r="EJ114" s="40"/>
      <c r="EK114" s="40"/>
      <c r="EL114" s="40"/>
      <c r="EM114" s="40"/>
      <c r="GP114" s="40"/>
      <c r="KK114" s="40"/>
      <c r="KL114" s="40"/>
      <c r="KM114" s="40"/>
      <c r="KN114" s="40"/>
      <c r="PR114" s="40"/>
      <c r="PS114" s="40"/>
      <c r="PU114" s="40"/>
      <c r="QI114" s="39"/>
      <c r="QM114" s="40"/>
      <c r="SP114" s="39"/>
      <c r="AHY114" s="5"/>
      <c r="AJN114" s="5"/>
      <c r="AJO114" s="5"/>
      <c r="AJP114" s="5"/>
    </row>
    <row r="115" spans="2:952" x14ac:dyDescent="0.25">
      <c r="B115" s="135"/>
      <c r="C115" s="165" t="s">
        <v>53</v>
      </c>
      <c r="D115" s="192"/>
      <c r="E115" s="214" t="s">
        <v>36</v>
      </c>
      <c r="F115" s="246">
        <v>0</v>
      </c>
      <c r="G115" s="246">
        <v>0</v>
      </c>
      <c r="H115" s="246">
        <v>0</v>
      </c>
      <c r="I115" s="246">
        <v>0</v>
      </c>
      <c r="J115" s="246">
        <v>0</v>
      </c>
      <c r="K115" s="246">
        <v>0</v>
      </c>
      <c r="L115" s="246">
        <v>0</v>
      </c>
      <c r="M115" s="246">
        <v>0</v>
      </c>
      <c r="N115" s="246">
        <v>0</v>
      </c>
      <c r="O115" s="246">
        <v>0</v>
      </c>
      <c r="P115" s="246">
        <v>0</v>
      </c>
      <c r="Q115" s="246">
        <v>0</v>
      </c>
      <c r="R115" s="246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v>0</v>
      </c>
      <c r="X115" s="246">
        <v>0</v>
      </c>
      <c r="Y115" s="246">
        <v>0</v>
      </c>
      <c r="Z115" s="246">
        <v>0</v>
      </c>
      <c r="AA115" s="246">
        <v>0</v>
      </c>
      <c r="AB115" s="246">
        <v>0</v>
      </c>
      <c r="AC115" s="246">
        <v>0</v>
      </c>
      <c r="AD115" s="246">
        <v>0</v>
      </c>
      <c r="AE115" s="246">
        <v>0</v>
      </c>
      <c r="AF115" s="246">
        <v>0</v>
      </c>
      <c r="AG115" s="246">
        <v>0</v>
      </c>
      <c r="AH115" s="246">
        <v>0</v>
      </c>
      <c r="AI115" s="246">
        <v>0</v>
      </c>
      <c r="AJ115" s="10"/>
      <c r="AK115" s="26">
        <f>SUM(F115:AI115)</f>
        <v>0</v>
      </c>
      <c r="AM115" s="41"/>
      <c r="BW115" s="40"/>
      <c r="BX115" s="40"/>
      <c r="DA115" s="40"/>
      <c r="EI115" s="30"/>
      <c r="EJ115" s="40"/>
      <c r="EK115" s="40"/>
      <c r="EL115" s="40"/>
      <c r="EM115" s="40"/>
      <c r="GP115" s="40"/>
      <c r="KK115" s="40"/>
      <c r="KL115" s="40"/>
      <c r="KM115" s="40"/>
      <c r="KN115" s="40"/>
      <c r="PR115" s="40"/>
      <c r="PS115" s="40"/>
      <c r="PU115" s="40"/>
      <c r="QI115" s="39"/>
      <c r="QM115" s="40"/>
      <c r="SP115" s="39"/>
      <c r="AHY115" s="5"/>
      <c r="AJN115" s="5"/>
      <c r="AJO115" s="5"/>
      <c r="AJP115" s="5"/>
    </row>
    <row r="116" spans="2:952" x14ac:dyDescent="0.25">
      <c r="B116" s="135"/>
      <c r="C116" s="165" t="s">
        <v>52</v>
      </c>
      <c r="D116" s="192"/>
      <c r="E116" s="214" t="s">
        <v>36</v>
      </c>
      <c r="F116" s="246">
        <v>0</v>
      </c>
      <c r="G116" s="246">
        <v>0</v>
      </c>
      <c r="H116" s="246">
        <v>0</v>
      </c>
      <c r="I116" s="246">
        <v>0</v>
      </c>
      <c r="J116" s="246">
        <v>0</v>
      </c>
      <c r="K116" s="246">
        <v>0</v>
      </c>
      <c r="L116" s="246">
        <v>0</v>
      </c>
      <c r="M116" s="246">
        <v>0</v>
      </c>
      <c r="N116" s="246">
        <v>0</v>
      </c>
      <c r="O116" s="246">
        <v>0</v>
      </c>
      <c r="P116" s="246">
        <v>0</v>
      </c>
      <c r="Q116" s="246">
        <v>0</v>
      </c>
      <c r="R116" s="246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v>0</v>
      </c>
      <c r="X116" s="246">
        <v>0</v>
      </c>
      <c r="Y116" s="246">
        <v>0</v>
      </c>
      <c r="Z116" s="246">
        <v>0</v>
      </c>
      <c r="AA116" s="246">
        <v>0</v>
      </c>
      <c r="AB116" s="246">
        <v>0</v>
      </c>
      <c r="AC116" s="246">
        <v>0</v>
      </c>
      <c r="AD116" s="246">
        <v>0</v>
      </c>
      <c r="AE116" s="246">
        <v>0</v>
      </c>
      <c r="AF116" s="246">
        <v>0</v>
      </c>
      <c r="AG116" s="246">
        <v>29</v>
      </c>
      <c r="AH116" s="246">
        <v>0</v>
      </c>
      <c r="AI116" s="246">
        <v>0</v>
      </c>
      <c r="AJ116" s="10"/>
      <c r="AK116" s="26">
        <f>SUM(F116:AI116)</f>
        <v>29</v>
      </c>
      <c r="AM116" s="41"/>
      <c r="BW116" s="40"/>
      <c r="BX116" s="40"/>
      <c r="DA116" s="40"/>
      <c r="EI116" s="30"/>
      <c r="EJ116" s="40"/>
      <c r="EK116" s="40"/>
      <c r="EL116" s="40"/>
      <c r="EM116" s="40"/>
      <c r="GP116" s="40"/>
      <c r="KK116" s="40"/>
      <c r="KL116" s="40"/>
      <c r="KM116" s="40"/>
      <c r="KN116" s="40"/>
      <c r="PR116" s="40"/>
      <c r="PS116" s="40"/>
      <c r="PU116" s="40"/>
      <c r="QI116" s="39"/>
      <c r="QM116" s="40"/>
      <c r="SP116" s="39"/>
      <c r="AHY116" s="5"/>
      <c r="AJN116" s="5"/>
      <c r="AJO116" s="5"/>
      <c r="AJP116" s="5"/>
    </row>
    <row r="117" spans="2:952" x14ac:dyDescent="0.25">
      <c r="B117" s="135"/>
      <c r="C117" s="243" t="s">
        <v>32</v>
      </c>
      <c r="D117" s="192"/>
      <c r="E117" s="135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46"/>
      <c r="AE117" s="246"/>
      <c r="AF117" s="246"/>
      <c r="AG117" s="246"/>
      <c r="AH117" s="246"/>
      <c r="AI117" s="246"/>
      <c r="AJ117" s="10"/>
      <c r="AK117" s="45" t="s">
        <v>32</v>
      </c>
      <c r="AM117" s="41"/>
      <c r="BW117" s="40"/>
      <c r="BX117" s="40"/>
      <c r="DA117" s="40"/>
      <c r="EI117" s="30"/>
      <c r="EJ117" s="40"/>
      <c r="EK117" s="40"/>
      <c r="EL117" s="40"/>
      <c r="EM117" s="40"/>
      <c r="GP117" s="40"/>
      <c r="KK117" s="40"/>
      <c r="KL117" s="40"/>
      <c r="KM117" s="40"/>
      <c r="KN117" s="40"/>
      <c r="PR117" s="40"/>
      <c r="PS117" s="40"/>
      <c r="PU117" s="40"/>
      <c r="QI117" s="39"/>
      <c r="QM117" s="40"/>
      <c r="SP117" s="39"/>
      <c r="AHY117" s="5"/>
      <c r="AJN117" s="5"/>
      <c r="AJO117" s="5"/>
      <c r="AJP117" s="5"/>
    </row>
    <row r="118" spans="2:952" x14ac:dyDescent="0.25">
      <c r="B118" s="135"/>
      <c r="C118" s="165" t="s">
        <v>53</v>
      </c>
      <c r="D118" s="192"/>
      <c r="E118" s="214" t="s">
        <v>32</v>
      </c>
      <c r="F118" s="246">
        <v>0</v>
      </c>
      <c r="G118" s="246">
        <v>0</v>
      </c>
      <c r="H118" s="246">
        <v>0</v>
      </c>
      <c r="I118" s="246">
        <v>0</v>
      </c>
      <c r="J118" s="246">
        <v>0</v>
      </c>
      <c r="K118" s="246">
        <v>0</v>
      </c>
      <c r="L118" s="246">
        <v>0</v>
      </c>
      <c r="M118" s="246">
        <v>0</v>
      </c>
      <c r="N118" s="246">
        <v>0</v>
      </c>
      <c r="O118" s="246">
        <v>0</v>
      </c>
      <c r="P118" s="246">
        <v>0</v>
      </c>
      <c r="Q118" s="246">
        <v>0</v>
      </c>
      <c r="R118" s="246">
        <v>0</v>
      </c>
      <c r="S118" s="246">
        <v>0</v>
      </c>
      <c r="T118" s="246">
        <v>0</v>
      </c>
      <c r="U118" s="246">
        <v>0</v>
      </c>
      <c r="V118" s="246">
        <v>0</v>
      </c>
      <c r="W118" s="246">
        <v>0</v>
      </c>
      <c r="X118" s="246">
        <v>0</v>
      </c>
      <c r="Y118" s="246">
        <v>0</v>
      </c>
      <c r="Z118" s="246">
        <v>0</v>
      </c>
      <c r="AA118" s="246">
        <v>0</v>
      </c>
      <c r="AB118" s="246">
        <v>0</v>
      </c>
      <c r="AC118" s="246">
        <v>0</v>
      </c>
      <c r="AD118" s="246">
        <v>0</v>
      </c>
      <c r="AE118" s="246">
        <v>0</v>
      </c>
      <c r="AF118" s="246">
        <v>0</v>
      </c>
      <c r="AG118" s="246">
        <v>0</v>
      </c>
      <c r="AH118" s="246">
        <v>0</v>
      </c>
      <c r="AI118" s="246">
        <v>0</v>
      </c>
      <c r="AJ118" s="10"/>
      <c r="AK118" s="26">
        <f>SUM(F118:AI118)</f>
        <v>0</v>
      </c>
      <c r="AM118" s="41"/>
      <c r="BW118" s="40"/>
      <c r="BX118" s="40"/>
      <c r="DA118" s="40"/>
      <c r="EI118" s="30"/>
      <c r="EJ118" s="40"/>
      <c r="EK118" s="40"/>
      <c r="EL118" s="40"/>
      <c r="EM118" s="40"/>
      <c r="GP118" s="40"/>
      <c r="KK118" s="40"/>
      <c r="KL118" s="40"/>
      <c r="KM118" s="40"/>
      <c r="KN118" s="40"/>
      <c r="PR118" s="40"/>
      <c r="PS118" s="40"/>
      <c r="PU118" s="40"/>
      <c r="QI118" s="39"/>
      <c r="QM118" s="40"/>
      <c r="SP118" s="39"/>
      <c r="AHY118" s="5"/>
      <c r="AJN118" s="5"/>
      <c r="AJO118" s="5"/>
      <c r="AJP118" s="5"/>
    </row>
    <row r="119" spans="2:952" x14ac:dyDescent="0.25">
      <c r="B119" s="135"/>
      <c r="C119" s="165" t="s">
        <v>52</v>
      </c>
      <c r="D119" s="192"/>
      <c r="E119" s="214" t="s">
        <v>32</v>
      </c>
      <c r="F119" s="246">
        <v>0</v>
      </c>
      <c r="G119" s="246">
        <v>0</v>
      </c>
      <c r="H119" s="246">
        <v>0</v>
      </c>
      <c r="I119" s="246">
        <v>0</v>
      </c>
      <c r="J119" s="246">
        <v>0</v>
      </c>
      <c r="K119" s="246">
        <v>0</v>
      </c>
      <c r="L119" s="246">
        <v>0</v>
      </c>
      <c r="M119" s="246">
        <v>0</v>
      </c>
      <c r="N119" s="246">
        <v>0</v>
      </c>
      <c r="O119" s="246">
        <v>0</v>
      </c>
      <c r="P119" s="246">
        <v>0</v>
      </c>
      <c r="Q119" s="246">
        <v>0</v>
      </c>
      <c r="R119" s="246">
        <v>0</v>
      </c>
      <c r="S119" s="246">
        <v>0</v>
      </c>
      <c r="T119" s="246">
        <v>0</v>
      </c>
      <c r="U119" s="246">
        <v>0</v>
      </c>
      <c r="V119" s="246">
        <v>0</v>
      </c>
      <c r="W119" s="246">
        <v>0</v>
      </c>
      <c r="X119" s="246">
        <v>0</v>
      </c>
      <c r="Y119" s="246">
        <v>0</v>
      </c>
      <c r="Z119" s="246">
        <v>0</v>
      </c>
      <c r="AA119" s="246">
        <v>0</v>
      </c>
      <c r="AB119" s="246">
        <v>0</v>
      </c>
      <c r="AC119" s="246">
        <v>0</v>
      </c>
      <c r="AD119" s="246">
        <v>0</v>
      </c>
      <c r="AE119" s="246">
        <v>0</v>
      </c>
      <c r="AF119" s="246">
        <v>0</v>
      </c>
      <c r="AG119" s="246">
        <v>0</v>
      </c>
      <c r="AH119" s="246">
        <v>0</v>
      </c>
      <c r="AI119" s="246">
        <v>0</v>
      </c>
      <c r="AJ119" s="10"/>
      <c r="AK119" s="26">
        <f>SUM(F119:AI119)</f>
        <v>0</v>
      </c>
      <c r="AM119" s="41"/>
      <c r="BW119" s="40"/>
      <c r="BX119" s="40"/>
      <c r="DA119" s="40"/>
      <c r="EI119" s="30"/>
      <c r="EJ119" s="40"/>
      <c r="EK119" s="40"/>
      <c r="EL119" s="40"/>
      <c r="EM119" s="40"/>
      <c r="GP119" s="40"/>
      <c r="KK119" s="40"/>
      <c r="KL119" s="40"/>
      <c r="KM119" s="40"/>
      <c r="KN119" s="40"/>
      <c r="PR119" s="40"/>
      <c r="PS119" s="40"/>
      <c r="PU119" s="40"/>
      <c r="QI119" s="39"/>
      <c r="QM119" s="40"/>
      <c r="SP119" s="39"/>
      <c r="AHY119" s="5"/>
      <c r="AJN119" s="5"/>
      <c r="AJO119" s="5"/>
      <c r="AJP119" s="5"/>
    </row>
    <row r="120" spans="2:952" ht="15" customHeight="1" x14ac:dyDescent="0.25">
      <c r="B120" s="137"/>
      <c r="C120" s="161" t="s">
        <v>35</v>
      </c>
      <c r="D120" s="180"/>
      <c r="E120" s="180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2"/>
      <c r="AD120" s="181"/>
      <c r="AE120" s="181"/>
      <c r="AF120" s="181"/>
      <c r="AG120" s="181"/>
      <c r="AH120" s="181"/>
      <c r="AI120" s="181"/>
      <c r="AJ120" s="31"/>
      <c r="AK120" s="46" t="s">
        <v>34</v>
      </c>
      <c r="AM120" s="8"/>
      <c r="BW120" s="5"/>
      <c r="BX120" s="5"/>
      <c r="DA120" s="5"/>
      <c r="EI120" s="30"/>
      <c r="EJ120" s="5"/>
      <c r="EK120" s="5"/>
      <c r="EL120" s="5"/>
      <c r="EM120" s="5"/>
      <c r="GP120" s="5"/>
      <c r="KK120" s="5"/>
      <c r="KL120" s="5"/>
      <c r="KM120" s="5"/>
      <c r="KN120" s="5"/>
      <c r="PR120" s="5"/>
      <c r="PS120" s="5"/>
      <c r="PU120" s="5"/>
      <c r="QI120" s="27"/>
      <c r="QM120" s="5"/>
      <c r="SP120" s="27"/>
      <c r="AHY120" s="5"/>
      <c r="AJN120" s="5"/>
      <c r="AJO120" s="5"/>
      <c r="AJP120" s="5"/>
    </row>
    <row r="121" spans="2:952" ht="15" customHeight="1" x14ac:dyDescent="0.25">
      <c r="B121" s="135"/>
      <c r="C121" s="243" t="s">
        <v>33</v>
      </c>
      <c r="D121" s="192"/>
      <c r="E121" s="135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0"/>
      <c r="AK121" s="45" t="s">
        <v>33</v>
      </c>
      <c r="AM121" s="41"/>
      <c r="BW121" s="40"/>
      <c r="BX121" s="40"/>
      <c r="DA121" s="40"/>
      <c r="EI121" s="30"/>
      <c r="EJ121" s="40"/>
      <c r="EK121" s="40"/>
      <c r="EL121" s="40"/>
      <c r="EM121" s="40"/>
      <c r="GP121" s="40"/>
      <c r="KK121" s="40"/>
      <c r="KL121" s="40"/>
      <c r="KM121" s="40"/>
      <c r="KN121" s="40"/>
      <c r="PR121" s="40"/>
      <c r="PS121" s="40"/>
      <c r="PU121" s="40"/>
      <c r="QI121" s="39"/>
      <c r="QM121" s="40"/>
      <c r="SP121" s="39"/>
      <c r="AHY121" s="5"/>
      <c r="AJN121" s="5"/>
      <c r="AJO121" s="5"/>
      <c r="AJP121" s="5"/>
    </row>
    <row r="122" spans="2:952" ht="15" customHeight="1" x14ac:dyDescent="0.25">
      <c r="B122" s="135"/>
      <c r="C122" s="165" t="s">
        <v>53</v>
      </c>
      <c r="D122" s="290">
        <v>0.3</v>
      </c>
      <c r="E122" s="214" t="s">
        <v>29</v>
      </c>
      <c r="F122" s="292" t="e">
        <f t="shared" ref="F122:AI123" si="59">F115/F106*100</f>
        <v>#DIV/0!</v>
      </c>
      <c r="G122" s="292" t="e">
        <f t="shared" si="59"/>
        <v>#DIV/0!</v>
      </c>
      <c r="H122" s="292" t="e">
        <f t="shared" si="59"/>
        <v>#DIV/0!</v>
      </c>
      <c r="I122" s="292" t="e">
        <f t="shared" si="59"/>
        <v>#DIV/0!</v>
      </c>
      <c r="J122" s="292" t="e">
        <f t="shared" si="59"/>
        <v>#DIV/0!</v>
      </c>
      <c r="K122" s="292" t="e">
        <f t="shared" si="59"/>
        <v>#DIV/0!</v>
      </c>
      <c r="L122" s="292" t="e">
        <f t="shared" si="59"/>
        <v>#DIV/0!</v>
      </c>
      <c r="M122" s="292" t="e">
        <f t="shared" si="59"/>
        <v>#DIV/0!</v>
      </c>
      <c r="N122" s="292" t="e">
        <f t="shared" si="59"/>
        <v>#DIV/0!</v>
      </c>
      <c r="O122" s="292" t="e">
        <f t="shared" si="59"/>
        <v>#DIV/0!</v>
      </c>
      <c r="P122" s="292" t="e">
        <f t="shared" si="59"/>
        <v>#DIV/0!</v>
      </c>
      <c r="Q122" s="292" t="e">
        <f t="shared" si="59"/>
        <v>#DIV/0!</v>
      </c>
      <c r="R122" s="292" t="e">
        <f t="shared" si="59"/>
        <v>#DIV/0!</v>
      </c>
      <c r="S122" s="292" t="e">
        <f t="shared" si="59"/>
        <v>#DIV/0!</v>
      </c>
      <c r="T122" s="292" t="e">
        <f t="shared" si="59"/>
        <v>#DIV/0!</v>
      </c>
      <c r="U122" s="292" t="e">
        <f t="shared" si="59"/>
        <v>#DIV/0!</v>
      </c>
      <c r="V122" s="292" t="e">
        <f t="shared" si="59"/>
        <v>#DIV/0!</v>
      </c>
      <c r="W122" s="292" t="e">
        <f t="shared" si="59"/>
        <v>#DIV/0!</v>
      </c>
      <c r="X122" s="292" t="e">
        <f t="shared" si="59"/>
        <v>#DIV/0!</v>
      </c>
      <c r="Y122" s="292" t="e">
        <f t="shared" si="59"/>
        <v>#DIV/0!</v>
      </c>
      <c r="Z122" s="292" t="e">
        <f t="shared" si="59"/>
        <v>#DIV/0!</v>
      </c>
      <c r="AA122" s="292" t="e">
        <f t="shared" si="59"/>
        <v>#DIV/0!</v>
      </c>
      <c r="AB122" s="292" t="e">
        <f t="shared" si="59"/>
        <v>#DIV/0!</v>
      </c>
      <c r="AC122" s="292" t="e">
        <f t="shared" si="59"/>
        <v>#DIV/0!</v>
      </c>
      <c r="AD122" s="292" t="e">
        <f t="shared" si="59"/>
        <v>#DIV/0!</v>
      </c>
      <c r="AE122" s="292" t="e">
        <f t="shared" si="59"/>
        <v>#DIV/0!</v>
      </c>
      <c r="AF122" s="292" t="e">
        <f t="shared" si="59"/>
        <v>#DIV/0!</v>
      </c>
      <c r="AG122" s="292" t="e">
        <f t="shared" si="59"/>
        <v>#DIV/0!</v>
      </c>
      <c r="AH122" s="292">
        <f t="shared" si="59"/>
        <v>0</v>
      </c>
      <c r="AI122" s="292" t="e">
        <f t="shared" si="59"/>
        <v>#DIV/0!</v>
      </c>
      <c r="AJ122" s="10"/>
      <c r="AK122" s="44">
        <f>AK115/AK106*100</f>
        <v>0</v>
      </c>
      <c r="AM122" s="41"/>
      <c r="BW122" s="40"/>
      <c r="BX122" s="40"/>
      <c r="DA122" s="40"/>
      <c r="EI122" s="30"/>
      <c r="EJ122" s="40"/>
      <c r="EK122" s="40"/>
      <c r="EL122" s="40"/>
      <c r="EM122" s="40"/>
      <c r="GP122" s="40"/>
      <c r="KK122" s="40"/>
      <c r="KL122" s="40"/>
      <c r="KM122" s="40"/>
      <c r="KN122" s="40"/>
      <c r="PR122" s="40"/>
      <c r="PS122" s="40"/>
      <c r="PU122" s="40"/>
      <c r="QI122" s="39"/>
      <c r="QM122" s="40"/>
      <c r="SP122" s="39"/>
      <c r="AHY122" s="5"/>
      <c r="AJN122" s="5"/>
      <c r="AJO122" s="5"/>
      <c r="AJP122" s="5"/>
    </row>
    <row r="123" spans="2:952" ht="15" customHeight="1" x14ac:dyDescent="0.25">
      <c r="B123" s="135"/>
      <c r="C123" s="165" t="s">
        <v>52</v>
      </c>
      <c r="D123" s="290">
        <v>0.3</v>
      </c>
      <c r="E123" s="214" t="s">
        <v>29</v>
      </c>
      <c r="F123" s="292" t="e">
        <f t="shared" si="59"/>
        <v>#DIV/0!</v>
      </c>
      <c r="G123" s="292" t="e">
        <f t="shared" si="59"/>
        <v>#DIV/0!</v>
      </c>
      <c r="H123" s="292" t="e">
        <f t="shared" si="59"/>
        <v>#DIV/0!</v>
      </c>
      <c r="I123" s="292" t="e">
        <f t="shared" si="59"/>
        <v>#DIV/0!</v>
      </c>
      <c r="J123" s="292" t="e">
        <f t="shared" si="59"/>
        <v>#DIV/0!</v>
      </c>
      <c r="K123" s="292" t="e">
        <f t="shared" si="59"/>
        <v>#DIV/0!</v>
      </c>
      <c r="L123" s="292" t="e">
        <f t="shared" si="59"/>
        <v>#DIV/0!</v>
      </c>
      <c r="M123" s="292" t="e">
        <f t="shared" si="59"/>
        <v>#DIV/0!</v>
      </c>
      <c r="N123" s="292" t="e">
        <f t="shared" si="59"/>
        <v>#DIV/0!</v>
      </c>
      <c r="O123" s="292" t="e">
        <f t="shared" si="59"/>
        <v>#DIV/0!</v>
      </c>
      <c r="P123" s="292" t="e">
        <f t="shared" si="59"/>
        <v>#DIV/0!</v>
      </c>
      <c r="Q123" s="292" t="e">
        <f t="shared" si="59"/>
        <v>#DIV/0!</v>
      </c>
      <c r="R123" s="292" t="e">
        <f t="shared" si="59"/>
        <v>#DIV/0!</v>
      </c>
      <c r="S123" s="292" t="e">
        <f t="shared" si="59"/>
        <v>#DIV/0!</v>
      </c>
      <c r="T123" s="292" t="e">
        <f t="shared" si="59"/>
        <v>#DIV/0!</v>
      </c>
      <c r="U123" s="292" t="e">
        <f t="shared" si="59"/>
        <v>#DIV/0!</v>
      </c>
      <c r="V123" s="292" t="e">
        <f t="shared" si="59"/>
        <v>#DIV/0!</v>
      </c>
      <c r="W123" s="292" t="e">
        <f t="shared" si="59"/>
        <v>#DIV/0!</v>
      </c>
      <c r="X123" s="292" t="e">
        <f t="shared" si="59"/>
        <v>#DIV/0!</v>
      </c>
      <c r="Y123" s="292" t="e">
        <f t="shared" si="59"/>
        <v>#DIV/0!</v>
      </c>
      <c r="Z123" s="292" t="e">
        <f t="shared" si="59"/>
        <v>#DIV/0!</v>
      </c>
      <c r="AA123" s="292" t="e">
        <f t="shared" si="59"/>
        <v>#DIV/0!</v>
      </c>
      <c r="AB123" s="292" t="e">
        <f t="shared" si="59"/>
        <v>#DIV/0!</v>
      </c>
      <c r="AC123" s="292" t="e">
        <f t="shared" si="59"/>
        <v>#DIV/0!</v>
      </c>
      <c r="AD123" s="292" t="e">
        <f t="shared" si="59"/>
        <v>#DIV/0!</v>
      </c>
      <c r="AE123" s="292" t="e">
        <f t="shared" si="59"/>
        <v>#DIV/0!</v>
      </c>
      <c r="AF123" s="292" t="e">
        <f t="shared" si="59"/>
        <v>#DIV/0!</v>
      </c>
      <c r="AG123" s="292">
        <f t="shared" si="59"/>
        <v>2.6876737720111215</v>
      </c>
      <c r="AH123" s="292">
        <f t="shared" si="59"/>
        <v>0</v>
      </c>
      <c r="AI123" s="292">
        <f t="shared" si="59"/>
        <v>0</v>
      </c>
      <c r="AJ123" s="10"/>
      <c r="AK123" s="44">
        <f>AK116/AK107*100</f>
        <v>0.35530507228620434</v>
      </c>
      <c r="AM123" s="41"/>
      <c r="BW123" s="40"/>
      <c r="BX123" s="40"/>
      <c r="DA123" s="40"/>
      <c r="EI123" s="30"/>
      <c r="EJ123" s="40"/>
      <c r="EK123" s="40"/>
      <c r="EL123" s="40"/>
      <c r="EM123" s="40"/>
      <c r="GP123" s="40"/>
      <c r="KK123" s="40"/>
      <c r="KL123" s="40"/>
      <c r="KM123" s="40"/>
      <c r="KN123" s="40"/>
      <c r="PR123" s="40"/>
      <c r="PS123" s="40"/>
      <c r="PU123" s="40"/>
      <c r="QI123" s="39"/>
      <c r="QM123" s="40"/>
      <c r="SP123" s="39"/>
      <c r="AHY123" s="5"/>
      <c r="AJN123" s="5"/>
      <c r="AJO123" s="5"/>
      <c r="AJP123" s="5"/>
    </row>
    <row r="124" spans="2:952" ht="15" customHeight="1" x14ac:dyDescent="0.25">
      <c r="B124" s="135"/>
      <c r="C124" s="243" t="s">
        <v>32</v>
      </c>
      <c r="D124" s="290"/>
      <c r="E124" s="135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  <c r="AA124" s="292"/>
      <c r="AB124" s="292"/>
      <c r="AC124" s="292"/>
      <c r="AD124" s="292"/>
      <c r="AE124" s="292"/>
      <c r="AF124" s="292"/>
      <c r="AG124" s="292"/>
      <c r="AH124" s="292"/>
      <c r="AI124" s="292"/>
      <c r="AJ124" s="10"/>
      <c r="AK124" s="45" t="s">
        <v>32</v>
      </c>
      <c r="AM124" s="41"/>
      <c r="BW124" s="40"/>
      <c r="BX124" s="40"/>
      <c r="DA124" s="40"/>
      <c r="EI124" s="30"/>
      <c r="EJ124" s="40"/>
      <c r="EK124" s="40"/>
      <c r="EL124" s="40"/>
      <c r="EM124" s="40"/>
      <c r="GP124" s="40"/>
      <c r="KK124" s="40"/>
      <c r="KL124" s="40"/>
      <c r="KM124" s="40"/>
      <c r="KN124" s="40"/>
      <c r="PR124" s="40"/>
      <c r="PS124" s="40"/>
      <c r="PU124" s="40"/>
      <c r="QI124" s="39"/>
      <c r="QM124" s="40"/>
      <c r="SP124" s="39"/>
      <c r="AHY124" s="5"/>
      <c r="AJN124" s="5"/>
      <c r="AJO124" s="5"/>
      <c r="AJP124" s="5"/>
    </row>
    <row r="125" spans="2:952" ht="15" customHeight="1" x14ac:dyDescent="0.25">
      <c r="B125" s="135"/>
      <c r="C125" s="165" t="s">
        <v>53</v>
      </c>
      <c r="D125" s="290">
        <v>0.5</v>
      </c>
      <c r="E125" s="214" t="s">
        <v>29</v>
      </c>
      <c r="F125" s="292" t="e">
        <f t="shared" ref="F125:AI126" si="60">F118/F109*100</f>
        <v>#DIV/0!</v>
      </c>
      <c r="G125" s="292" t="e">
        <f t="shared" si="60"/>
        <v>#DIV/0!</v>
      </c>
      <c r="H125" s="292" t="e">
        <f t="shared" si="60"/>
        <v>#DIV/0!</v>
      </c>
      <c r="I125" s="292" t="e">
        <f t="shared" si="60"/>
        <v>#DIV/0!</v>
      </c>
      <c r="J125" s="292" t="e">
        <f t="shared" si="60"/>
        <v>#DIV/0!</v>
      </c>
      <c r="K125" s="292" t="e">
        <f t="shared" si="60"/>
        <v>#DIV/0!</v>
      </c>
      <c r="L125" s="292" t="e">
        <f t="shared" si="60"/>
        <v>#DIV/0!</v>
      </c>
      <c r="M125" s="292" t="e">
        <f t="shared" si="60"/>
        <v>#DIV/0!</v>
      </c>
      <c r="N125" s="292" t="e">
        <f t="shared" si="60"/>
        <v>#DIV/0!</v>
      </c>
      <c r="O125" s="292" t="e">
        <f t="shared" si="60"/>
        <v>#DIV/0!</v>
      </c>
      <c r="P125" s="292" t="e">
        <f t="shared" si="60"/>
        <v>#DIV/0!</v>
      </c>
      <c r="Q125" s="292" t="e">
        <f t="shared" si="60"/>
        <v>#DIV/0!</v>
      </c>
      <c r="R125" s="292" t="e">
        <f t="shared" si="60"/>
        <v>#DIV/0!</v>
      </c>
      <c r="S125" s="292" t="e">
        <f t="shared" si="60"/>
        <v>#DIV/0!</v>
      </c>
      <c r="T125" s="292" t="e">
        <f t="shared" si="60"/>
        <v>#DIV/0!</v>
      </c>
      <c r="U125" s="292" t="e">
        <f t="shared" si="60"/>
        <v>#DIV/0!</v>
      </c>
      <c r="V125" s="292" t="e">
        <f t="shared" si="60"/>
        <v>#DIV/0!</v>
      </c>
      <c r="W125" s="292" t="e">
        <f t="shared" si="60"/>
        <v>#DIV/0!</v>
      </c>
      <c r="X125" s="292" t="e">
        <f t="shared" si="60"/>
        <v>#DIV/0!</v>
      </c>
      <c r="Y125" s="292" t="e">
        <f t="shared" si="60"/>
        <v>#DIV/0!</v>
      </c>
      <c r="Z125" s="292" t="e">
        <f t="shared" si="60"/>
        <v>#DIV/0!</v>
      </c>
      <c r="AA125" s="292" t="e">
        <f t="shared" si="60"/>
        <v>#DIV/0!</v>
      </c>
      <c r="AB125" s="292" t="e">
        <f t="shared" si="60"/>
        <v>#DIV/0!</v>
      </c>
      <c r="AC125" s="292" t="e">
        <f t="shared" si="60"/>
        <v>#DIV/0!</v>
      </c>
      <c r="AD125" s="292" t="e">
        <f t="shared" si="60"/>
        <v>#DIV/0!</v>
      </c>
      <c r="AE125" s="292" t="e">
        <f t="shared" si="60"/>
        <v>#DIV/0!</v>
      </c>
      <c r="AF125" s="292" t="e">
        <f t="shared" si="60"/>
        <v>#DIV/0!</v>
      </c>
      <c r="AG125" s="292" t="e">
        <f t="shared" si="60"/>
        <v>#DIV/0!</v>
      </c>
      <c r="AH125" s="292">
        <f t="shared" si="60"/>
        <v>0</v>
      </c>
      <c r="AI125" s="292" t="e">
        <f t="shared" si="60"/>
        <v>#DIV/0!</v>
      </c>
      <c r="AJ125" s="10"/>
      <c r="AK125" s="44">
        <f>AK118/AK109*100</f>
        <v>0</v>
      </c>
      <c r="AM125" s="41"/>
      <c r="BW125" s="40"/>
      <c r="BX125" s="40"/>
      <c r="DA125" s="40"/>
      <c r="EI125" s="30"/>
      <c r="EJ125" s="40"/>
      <c r="EK125" s="40"/>
      <c r="EL125" s="40"/>
      <c r="EM125" s="40"/>
      <c r="GP125" s="40"/>
      <c r="KK125" s="40"/>
      <c r="KL125" s="40"/>
      <c r="KM125" s="40"/>
      <c r="KN125" s="40"/>
      <c r="PR125" s="40"/>
      <c r="PS125" s="40"/>
      <c r="PU125" s="40"/>
      <c r="QI125" s="39"/>
      <c r="QM125" s="40"/>
      <c r="SP125" s="39"/>
      <c r="AHY125" s="5"/>
      <c r="AJN125" s="5"/>
      <c r="AJO125" s="5"/>
      <c r="AJP125" s="5"/>
    </row>
    <row r="126" spans="2:952" ht="15" customHeight="1" x14ac:dyDescent="0.25">
      <c r="B126" s="135"/>
      <c r="C126" s="165" t="s">
        <v>52</v>
      </c>
      <c r="D126" s="290">
        <v>0.5</v>
      </c>
      <c r="E126" s="214" t="s">
        <v>29</v>
      </c>
      <c r="F126" s="292" t="e">
        <f t="shared" si="60"/>
        <v>#DIV/0!</v>
      </c>
      <c r="G126" s="292" t="e">
        <f t="shared" si="60"/>
        <v>#DIV/0!</v>
      </c>
      <c r="H126" s="292" t="e">
        <f t="shared" si="60"/>
        <v>#DIV/0!</v>
      </c>
      <c r="I126" s="292" t="e">
        <f t="shared" si="60"/>
        <v>#DIV/0!</v>
      </c>
      <c r="J126" s="292" t="e">
        <f t="shared" si="60"/>
        <v>#DIV/0!</v>
      </c>
      <c r="K126" s="292" t="e">
        <f t="shared" si="60"/>
        <v>#DIV/0!</v>
      </c>
      <c r="L126" s="292" t="e">
        <f t="shared" si="60"/>
        <v>#DIV/0!</v>
      </c>
      <c r="M126" s="292" t="e">
        <f t="shared" si="60"/>
        <v>#DIV/0!</v>
      </c>
      <c r="N126" s="292" t="e">
        <f t="shared" si="60"/>
        <v>#DIV/0!</v>
      </c>
      <c r="O126" s="292" t="e">
        <f t="shared" si="60"/>
        <v>#DIV/0!</v>
      </c>
      <c r="P126" s="292" t="e">
        <f t="shared" si="60"/>
        <v>#DIV/0!</v>
      </c>
      <c r="Q126" s="292" t="e">
        <f t="shared" si="60"/>
        <v>#DIV/0!</v>
      </c>
      <c r="R126" s="292" t="e">
        <f t="shared" si="60"/>
        <v>#DIV/0!</v>
      </c>
      <c r="S126" s="292" t="e">
        <f t="shared" si="60"/>
        <v>#DIV/0!</v>
      </c>
      <c r="T126" s="292" t="e">
        <f t="shared" si="60"/>
        <v>#DIV/0!</v>
      </c>
      <c r="U126" s="292" t="e">
        <f t="shared" si="60"/>
        <v>#DIV/0!</v>
      </c>
      <c r="V126" s="292" t="e">
        <f t="shared" si="60"/>
        <v>#DIV/0!</v>
      </c>
      <c r="W126" s="292" t="e">
        <f t="shared" si="60"/>
        <v>#DIV/0!</v>
      </c>
      <c r="X126" s="292" t="e">
        <f t="shared" si="60"/>
        <v>#DIV/0!</v>
      </c>
      <c r="Y126" s="292" t="e">
        <f t="shared" si="60"/>
        <v>#DIV/0!</v>
      </c>
      <c r="Z126" s="292" t="e">
        <f t="shared" si="60"/>
        <v>#DIV/0!</v>
      </c>
      <c r="AA126" s="292" t="e">
        <f t="shared" si="60"/>
        <v>#DIV/0!</v>
      </c>
      <c r="AB126" s="292" t="e">
        <f t="shared" si="60"/>
        <v>#DIV/0!</v>
      </c>
      <c r="AC126" s="292" t="e">
        <f t="shared" si="60"/>
        <v>#DIV/0!</v>
      </c>
      <c r="AD126" s="292" t="e">
        <f t="shared" si="60"/>
        <v>#DIV/0!</v>
      </c>
      <c r="AE126" s="292" t="e">
        <f t="shared" si="60"/>
        <v>#DIV/0!</v>
      </c>
      <c r="AF126" s="292" t="e">
        <f t="shared" si="60"/>
        <v>#DIV/0!</v>
      </c>
      <c r="AG126" s="292">
        <f t="shared" si="60"/>
        <v>0</v>
      </c>
      <c r="AH126" s="292">
        <f t="shared" si="60"/>
        <v>0</v>
      </c>
      <c r="AI126" s="292">
        <f t="shared" si="60"/>
        <v>0</v>
      </c>
      <c r="AJ126" s="10"/>
      <c r="AK126" s="44">
        <f>AK119/AK110*100</f>
        <v>0</v>
      </c>
      <c r="AM126" s="41"/>
      <c r="BW126" s="40"/>
      <c r="BX126" s="40"/>
      <c r="DA126" s="40"/>
      <c r="EI126" s="30"/>
      <c r="EJ126" s="40"/>
      <c r="EK126" s="40"/>
      <c r="EL126" s="40"/>
      <c r="EM126" s="40"/>
      <c r="GP126" s="40"/>
      <c r="KK126" s="40"/>
      <c r="KL126" s="40"/>
      <c r="KM126" s="40"/>
      <c r="KN126" s="40"/>
      <c r="PR126" s="40"/>
      <c r="PS126" s="40"/>
      <c r="PU126" s="40"/>
      <c r="QI126" s="39"/>
      <c r="QM126" s="40"/>
      <c r="SP126" s="39"/>
      <c r="AHY126" s="5"/>
      <c r="AJN126" s="5"/>
      <c r="AJO126" s="5"/>
      <c r="AJP126" s="5"/>
    </row>
    <row r="127" spans="2:952" x14ac:dyDescent="0.25">
      <c r="B127" s="179">
        <v>7</v>
      </c>
      <c r="C127" s="161" t="s">
        <v>51</v>
      </c>
      <c r="D127" s="180"/>
      <c r="E127" s="180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2"/>
      <c r="AD127" s="181"/>
      <c r="AE127" s="181"/>
      <c r="AF127" s="181"/>
      <c r="AG127" s="181"/>
      <c r="AH127" s="181"/>
      <c r="AI127" s="181"/>
      <c r="AJ127" s="31"/>
      <c r="AK127" s="46" t="s">
        <v>47</v>
      </c>
      <c r="AM127" s="8"/>
      <c r="AO127" s="2"/>
      <c r="AP127" s="2" t="s">
        <v>157</v>
      </c>
      <c r="AR127" s="2" t="s">
        <v>158</v>
      </c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W127" s="5"/>
      <c r="BX127" s="5"/>
      <c r="DA127" s="5"/>
      <c r="EI127" s="30"/>
      <c r="EJ127" s="5"/>
      <c r="EK127" s="5"/>
      <c r="EL127" s="5"/>
      <c r="EM127" s="5"/>
      <c r="GP127" s="5"/>
      <c r="KK127" s="5"/>
      <c r="KL127" s="5"/>
      <c r="KM127" s="5"/>
      <c r="KN127" s="5"/>
      <c r="PR127" s="5"/>
      <c r="PS127" s="5"/>
      <c r="PU127" s="5"/>
      <c r="QI127" s="27"/>
      <c r="QM127" s="5"/>
      <c r="SP127" s="27"/>
      <c r="AHY127" s="5"/>
      <c r="AJN127" s="5"/>
      <c r="AJO127" s="5"/>
      <c r="AJP127" s="5"/>
    </row>
    <row r="128" spans="2:952" x14ac:dyDescent="0.25">
      <c r="B128" s="137"/>
      <c r="C128" s="249" t="s">
        <v>46</v>
      </c>
      <c r="D128" s="282"/>
      <c r="E128" s="251" t="s">
        <v>16</v>
      </c>
      <c r="F128" s="304">
        <v>0</v>
      </c>
      <c r="G128" s="304">
        <v>0</v>
      </c>
      <c r="H128" s="304">
        <v>0</v>
      </c>
      <c r="I128" s="304">
        <v>0</v>
      </c>
      <c r="J128" s="304">
        <v>83500</v>
      </c>
      <c r="K128" s="304">
        <v>0</v>
      </c>
      <c r="L128" s="304">
        <v>0</v>
      </c>
      <c r="M128" s="304">
        <v>0</v>
      </c>
      <c r="N128" s="304">
        <v>0</v>
      </c>
      <c r="O128" s="268"/>
      <c r="P128" s="268"/>
      <c r="Q128" s="268">
        <v>82368</v>
      </c>
      <c r="R128" s="268"/>
      <c r="S128" s="335">
        <v>0</v>
      </c>
      <c r="T128" s="268"/>
      <c r="U128" s="268"/>
      <c r="V128" s="335">
        <v>0</v>
      </c>
      <c r="W128" s="268"/>
      <c r="X128" s="335"/>
      <c r="Y128" s="268"/>
      <c r="Z128" s="268"/>
      <c r="AA128" s="320">
        <v>32711</v>
      </c>
      <c r="AB128" s="320">
        <v>75500</v>
      </c>
      <c r="AC128" s="349">
        <v>0</v>
      </c>
      <c r="AD128" s="320">
        <v>2725</v>
      </c>
      <c r="AE128" s="268"/>
      <c r="AF128" s="268"/>
      <c r="AG128" s="320">
        <v>1492</v>
      </c>
      <c r="AH128" s="320"/>
      <c r="AI128" s="268"/>
      <c r="AJ128" s="72"/>
      <c r="AK128" s="52">
        <f>SUM(F128:AI128)</f>
        <v>278296</v>
      </c>
      <c r="AM128" s="8"/>
      <c r="AO128" s="2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W128" s="5"/>
      <c r="BX128" s="5"/>
      <c r="DA128" s="5"/>
      <c r="EI128" s="30"/>
      <c r="EJ128" s="5"/>
      <c r="EK128" s="5"/>
      <c r="EL128" s="5"/>
      <c r="EM128" s="5"/>
      <c r="GP128" s="5"/>
      <c r="KK128" s="5"/>
      <c r="KL128" s="5"/>
      <c r="KM128" s="5"/>
      <c r="KN128" s="5"/>
      <c r="PR128" s="5"/>
      <c r="PS128" s="5"/>
      <c r="PU128" s="5"/>
      <c r="QI128" s="27"/>
      <c r="QM128" s="5"/>
      <c r="SP128" s="27"/>
      <c r="AHY128" s="5"/>
      <c r="AJN128" s="5"/>
      <c r="AJO128" s="5"/>
      <c r="AJP128" s="5"/>
    </row>
    <row r="129" spans="2:952" x14ac:dyDescent="0.25">
      <c r="B129" s="137"/>
      <c r="C129" s="249" t="s">
        <v>45</v>
      </c>
      <c r="D129" s="250"/>
      <c r="E129" s="251" t="s">
        <v>16</v>
      </c>
      <c r="F129" s="303">
        <v>11461.24</v>
      </c>
      <c r="G129" s="303">
        <v>11461.15</v>
      </c>
      <c r="H129" s="303">
        <v>11461.15</v>
      </c>
      <c r="I129" s="303">
        <v>11510.73</v>
      </c>
      <c r="J129" s="303">
        <v>11461.97</v>
      </c>
      <c r="K129" s="252"/>
      <c r="L129" s="303">
        <v>11462.87</v>
      </c>
      <c r="M129" s="303">
        <v>11461.15</v>
      </c>
      <c r="N129" s="303">
        <v>34384.36</v>
      </c>
      <c r="O129" s="303">
        <v>25586.720000000001</v>
      </c>
      <c r="P129" s="303">
        <v>11461.97</v>
      </c>
      <c r="Q129" s="303">
        <v>11461.97</v>
      </c>
      <c r="R129" s="303"/>
      <c r="S129" s="303"/>
      <c r="T129" s="303">
        <v>11462.06</v>
      </c>
      <c r="U129" s="303">
        <v>11461.15</v>
      </c>
      <c r="V129" s="303">
        <v>22923.21</v>
      </c>
      <c r="W129" s="303">
        <v>34387.699999999997</v>
      </c>
      <c r="X129" s="303">
        <v>22923.93</v>
      </c>
      <c r="Y129" s="252"/>
      <c r="Z129" s="252"/>
      <c r="AA129" s="303">
        <v>40149.480000000003</v>
      </c>
      <c r="AB129" s="252"/>
      <c r="AC129" s="252"/>
      <c r="AD129" s="314">
        <v>76457.8</v>
      </c>
      <c r="AE129" s="314"/>
      <c r="AF129" s="314"/>
      <c r="AG129" s="314"/>
      <c r="AH129" s="314"/>
      <c r="AI129" s="252"/>
      <c r="AJ129" s="25"/>
      <c r="AK129" s="52">
        <f>SUM(AK130:AK131)</f>
        <v>382940.60999999993</v>
      </c>
      <c r="AL129" s="66"/>
      <c r="AM129" s="61"/>
      <c r="AO129" s="2" t="s">
        <v>164</v>
      </c>
      <c r="AP129" s="89">
        <v>23024</v>
      </c>
      <c r="AQ129" s="3">
        <v>9.7534799999999997</v>
      </c>
      <c r="AR129" s="35">
        <f>AP129*AQ129</f>
        <v>224564.12351999999</v>
      </c>
      <c r="AS129" s="3">
        <f>AR129/1000</f>
        <v>224.56412351999998</v>
      </c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W129" s="60"/>
      <c r="BX129" s="60"/>
      <c r="DA129" s="60"/>
      <c r="EI129" s="22"/>
      <c r="EJ129" s="60"/>
      <c r="EK129" s="60"/>
      <c r="EL129" s="60"/>
      <c r="EM129" s="60"/>
      <c r="GP129" s="60"/>
      <c r="KK129" s="60"/>
      <c r="KL129" s="60"/>
      <c r="KM129" s="60"/>
      <c r="KN129" s="60"/>
      <c r="PR129" s="60"/>
      <c r="PS129" s="60"/>
      <c r="PU129" s="60"/>
      <c r="QI129" s="59"/>
      <c r="QM129" s="60"/>
      <c r="SP129" s="59"/>
      <c r="AHY129" s="20"/>
      <c r="AJN129" s="20"/>
      <c r="AJO129" s="20"/>
      <c r="AJP129" s="20"/>
    </row>
    <row r="130" spans="2:952" x14ac:dyDescent="0.25">
      <c r="B130" s="135"/>
      <c r="C130" s="243" t="s">
        <v>44</v>
      </c>
      <c r="D130" s="192"/>
      <c r="E130" s="214" t="s">
        <v>16</v>
      </c>
      <c r="F130" s="292">
        <f>SUM(F133:F134)*9.75348</f>
        <v>11538.366839999999</v>
      </c>
      <c r="G130" s="292">
        <f t="shared" ref="G130:U130" si="61">SUM(G133:G134)*9.75348</f>
        <v>11499.352919999999</v>
      </c>
      <c r="H130" s="292">
        <f t="shared" si="61"/>
        <v>11557.873799999999</v>
      </c>
      <c r="I130" s="292">
        <f t="shared" si="61"/>
        <v>11616.394679999999</v>
      </c>
      <c r="J130" s="292">
        <f t="shared" si="61"/>
        <v>11528.613359999999</v>
      </c>
      <c r="K130" s="292">
        <f t="shared" si="61"/>
        <v>0</v>
      </c>
      <c r="L130" s="292">
        <f t="shared" si="61"/>
        <v>11557.873799999999</v>
      </c>
      <c r="M130" s="292">
        <f t="shared" si="61"/>
        <v>11518.85988</v>
      </c>
      <c r="N130" s="292">
        <f t="shared" si="61"/>
        <v>34624.853999999999</v>
      </c>
      <c r="O130" s="292">
        <f t="shared" si="61"/>
        <v>25680.912840000001</v>
      </c>
      <c r="P130" s="292">
        <f t="shared" si="61"/>
        <v>11509.106399999999</v>
      </c>
      <c r="Q130" s="292">
        <f t="shared" si="61"/>
        <v>11460.339</v>
      </c>
      <c r="R130" s="292">
        <f t="shared" si="61"/>
        <v>0</v>
      </c>
      <c r="S130" s="292">
        <f t="shared" si="61"/>
        <v>0</v>
      </c>
      <c r="T130" s="292">
        <f t="shared" si="61"/>
        <v>11489.59944</v>
      </c>
      <c r="U130" s="292">
        <f t="shared" si="61"/>
        <v>11489.59944</v>
      </c>
      <c r="V130" s="292">
        <f t="shared" ref="V130:AI130" si="62">SUM(V133:V134)*9.75348</f>
        <v>22920.678</v>
      </c>
      <c r="W130" s="292">
        <f t="shared" si="62"/>
        <v>34537.072679999997</v>
      </c>
      <c r="X130" s="292">
        <f t="shared" si="62"/>
        <v>23184.021959999998</v>
      </c>
      <c r="Y130" s="292">
        <f t="shared" si="62"/>
        <v>0</v>
      </c>
      <c r="Z130" s="292">
        <f t="shared" si="62"/>
        <v>0</v>
      </c>
      <c r="AA130" s="292">
        <f>SUM(AA133:AA134)*9.75348</f>
        <v>40184.337599999999</v>
      </c>
      <c r="AB130" s="292">
        <f t="shared" si="62"/>
        <v>0</v>
      </c>
      <c r="AC130" s="292">
        <f t="shared" si="62"/>
        <v>0</v>
      </c>
      <c r="AD130" s="292">
        <f>SUM(AD133:AD134)*9.75348</f>
        <v>76759.887600000002</v>
      </c>
      <c r="AE130" s="292">
        <f t="shared" si="62"/>
        <v>0</v>
      </c>
      <c r="AF130" s="292">
        <f t="shared" si="62"/>
        <v>0</v>
      </c>
      <c r="AG130" s="292">
        <f t="shared" si="62"/>
        <v>0</v>
      </c>
      <c r="AH130" s="292">
        <f t="shared" si="62"/>
        <v>0</v>
      </c>
      <c r="AI130" s="292">
        <f t="shared" si="62"/>
        <v>0</v>
      </c>
      <c r="AJ130" s="10"/>
      <c r="AK130" s="44">
        <f>SUM(F130:AI130)</f>
        <v>384657.74423999991</v>
      </c>
      <c r="AM130" s="41">
        <f>AK75+AK129</f>
        <v>1269917.0899999996</v>
      </c>
      <c r="AO130" s="2" t="s">
        <v>165</v>
      </c>
      <c r="AP130" s="89">
        <v>16414</v>
      </c>
      <c r="AQ130" s="3">
        <v>9.7534799999999997</v>
      </c>
      <c r="AR130" s="35">
        <f>AP130*AQ130</f>
        <v>160093.62072000001</v>
      </c>
      <c r="AS130" s="3">
        <f>AR130/1000</f>
        <v>160.09362072000002</v>
      </c>
      <c r="AZ130" s="58"/>
      <c r="BA130" s="57"/>
      <c r="BB130" s="57"/>
      <c r="BC130" s="57"/>
      <c r="BD130" s="57"/>
      <c r="BE130" s="57"/>
      <c r="BF130" s="35"/>
      <c r="BG130" s="35"/>
      <c r="BH130" s="35"/>
      <c r="BI130" s="35"/>
      <c r="BW130" s="40"/>
      <c r="BX130" s="40"/>
      <c r="DA130" s="40"/>
      <c r="EI130" s="30"/>
      <c r="EJ130" s="40"/>
      <c r="EK130" s="40"/>
      <c r="EL130" s="40"/>
      <c r="EM130" s="40"/>
      <c r="GP130" s="40"/>
      <c r="KK130" s="40"/>
      <c r="KL130" s="40"/>
      <c r="KM130" s="40"/>
      <c r="KN130" s="40"/>
      <c r="PR130" s="40"/>
      <c r="PS130" s="40"/>
      <c r="PU130" s="40"/>
      <c r="QI130" s="39"/>
      <c r="QM130" s="40"/>
      <c r="SP130" s="39"/>
      <c r="AHY130" s="5"/>
      <c r="AJN130" s="5"/>
      <c r="AJO130" s="5"/>
      <c r="AJP130" s="5"/>
    </row>
    <row r="131" spans="2:952" x14ac:dyDescent="0.25">
      <c r="B131" s="135"/>
      <c r="C131" s="243" t="s">
        <v>43</v>
      </c>
      <c r="D131" s="192"/>
      <c r="E131" s="214" t="s">
        <v>16</v>
      </c>
      <c r="F131" s="292">
        <f>F129-F130</f>
        <v>-77.126839999998992</v>
      </c>
      <c r="G131" s="292">
        <f t="shared" ref="G131:AI131" si="63">G129-G130</f>
        <v>-38.202919999999722</v>
      </c>
      <c r="H131" s="292">
        <f t="shared" si="63"/>
        <v>-96.723799999999756</v>
      </c>
      <c r="I131" s="292">
        <f t="shared" si="63"/>
        <v>-105.66467999999986</v>
      </c>
      <c r="J131" s="292">
        <f t="shared" si="63"/>
        <v>-66.64336000000003</v>
      </c>
      <c r="K131" s="292">
        <f t="shared" si="63"/>
        <v>0</v>
      </c>
      <c r="L131" s="292">
        <f t="shared" si="63"/>
        <v>-95.003799999998591</v>
      </c>
      <c r="M131" s="292">
        <f t="shared" si="63"/>
        <v>-57.709880000000339</v>
      </c>
      <c r="N131" s="292">
        <f t="shared" si="63"/>
        <v>-240.49399999999878</v>
      </c>
      <c r="O131" s="292">
        <f t="shared" si="63"/>
        <v>-94.192839999999705</v>
      </c>
      <c r="P131" s="292">
        <f t="shared" si="63"/>
        <v>-47.136399999999412</v>
      </c>
      <c r="Q131" s="292">
        <f t="shared" si="63"/>
        <v>1.6309999999994034</v>
      </c>
      <c r="R131" s="292">
        <f t="shared" si="63"/>
        <v>0</v>
      </c>
      <c r="S131" s="292">
        <f t="shared" si="63"/>
        <v>0</v>
      </c>
      <c r="T131" s="292">
        <f t="shared" si="63"/>
        <v>-27.539440000000468</v>
      </c>
      <c r="U131" s="292">
        <f t="shared" si="63"/>
        <v>-28.449440000000322</v>
      </c>
      <c r="V131" s="292">
        <f t="shared" si="63"/>
        <v>2.5319999999992433</v>
      </c>
      <c r="W131" s="292">
        <f t="shared" si="63"/>
        <v>-149.3726800000004</v>
      </c>
      <c r="X131" s="292">
        <f t="shared" si="63"/>
        <v>-260.09195999999793</v>
      </c>
      <c r="Y131" s="292">
        <f t="shared" si="63"/>
        <v>0</v>
      </c>
      <c r="Z131" s="292">
        <f t="shared" si="63"/>
        <v>0</v>
      </c>
      <c r="AA131" s="292">
        <f t="shared" si="63"/>
        <v>-34.857599999995728</v>
      </c>
      <c r="AB131" s="292">
        <f t="shared" si="63"/>
        <v>0</v>
      </c>
      <c r="AC131" s="292">
        <f t="shared" si="63"/>
        <v>0</v>
      </c>
      <c r="AD131" s="11">
        <f t="shared" si="63"/>
        <v>-302.08759999999893</v>
      </c>
      <c r="AE131" s="292">
        <f t="shared" si="63"/>
        <v>0</v>
      </c>
      <c r="AF131" s="292">
        <f t="shared" si="63"/>
        <v>0</v>
      </c>
      <c r="AG131" s="292">
        <f t="shared" si="63"/>
        <v>0</v>
      </c>
      <c r="AH131" s="292">
        <f t="shared" si="63"/>
        <v>0</v>
      </c>
      <c r="AI131" s="292">
        <f t="shared" si="63"/>
        <v>0</v>
      </c>
      <c r="AJ131" s="10"/>
      <c r="AK131" s="44">
        <f>SUM(F131:AI131)</f>
        <v>-1717.1342399999903</v>
      </c>
      <c r="AM131" s="41"/>
      <c r="AO131" s="2"/>
      <c r="AP131" s="35"/>
      <c r="AS131" s="124">
        <f>SUM(AS129:AS130)</f>
        <v>384.65774424</v>
      </c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W131" s="40"/>
      <c r="BX131" s="40"/>
      <c r="DA131" s="40"/>
      <c r="EI131" s="30"/>
      <c r="EJ131" s="40"/>
      <c r="EK131" s="40"/>
      <c r="EL131" s="40"/>
      <c r="EM131" s="40"/>
      <c r="GP131" s="40"/>
      <c r="GQ131" s="1">
        <f>0.9*12</f>
        <v>10.8</v>
      </c>
      <c r="KK131" s="40"/>
      <c r="KL131" s="40"/>
      <c r="KM131" s="40"/>
      <c r="KN131" s="40"/>
      <c r="PR131" s="40"/>
      <c r="PS131" s="40"/>
      <c r="PU131" s="40"/>
      <c r="QI131" s="39"/>
      <c r="QM131" s="40"/>
      <c r="SP131" s="39"/>
      <c r="AHY131" s="5"/>
      <c r="AJN131" s="5"/>
      <c r="AJO131" s="5"/>
      <c r="AJP131" s="5"/>
    </row>
    <row r="132" spans="2:952" x14ac:dyDescent="0.25">
      <c r="B132" s="135"/>
      <c r="C132" s="243" t="s">
        <v>33</v>
      </c>
      <c r="D132" s="192"/>
      <c r="E132" s="135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0"/>
      <c r="AK132" s="45" t="s">
        <v>33</v>
      </c>
      <c r="AM132" s="56"/>
      <c r="AO132" s="2"/>
      <c r="AP132" s="3"/>
      <c r="AQ132" s="123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W132" s="40"/>
      <c r="BX132" s="40"/>
      <c r="DA132" s="40"/>
      <c r="EI132" s="30"/>
      <c r="EJ132" s="40"/>
      <c r="EK132" s="40"/>
      <c r="EL132" s="40"/>
      <c r="EM132" s="40"/>
      <c r="GP132" s="40"/>
      <c r="KK132" s="40"/>
      <c r="KL132" s="40"/>
      <c r="KM132" s="40"/>
      <c r="KN132" s="40"/>
      <c r="PR132" s="40"/>
      <c r="PS132" s="40"/>
      <c r="PU132" s="40"/>
      <c r="QI132" s="39"/>
      <c r="QM132" s="40"/>
      <c r="SP132" s="39"/>
      <c r="AHY132" s="5"/>
      <c r="AJN132" s="5"/>
      <c r="AJO132" s="5"/>
      <c r="AJP132" s="5"/>
    </row>
    <row r="133" spans="2:952" x14ac:dyDescent="0.25">
      <c r="B133" s="167"/>
      <c r="C133" s="165" t="s">
        <v>50</v>
      </c>
      <c r="D133" s="166"/>
      <c r="E133" s="245" t="s">
        <v>36</v>
      </c>
      <c r="F133" s="246">
        <v>1183</v>
      </c>
      <c r="G133" s="246">
        <v>1179</v>
      </c>
      <c r="H133" s="246">
        <v>1185</v>
      </c>
      <c r="I133" s="246">
        <v>1191</v>
      </c>
      <c r="J133" s="246">
        <v>1182</v>
      </c>
      <c r="K133" s="246">
        <v>0</v>
      </c>
      <c r="L133" s="246">
        <v>1185</v>
      </c>
      <c r="M133" s="246">
        <v>1181</v>
      </c>
      <c r="N133" s="246">
        <v>1183</v>
      </c>
      <c r="O133" s="246">
        <v>1180</v>
      </c>
      <c r="P133" s="246">
        <v>1180</v>
      </c>
      <c r="Q133" s="246">
        <v>1175</v>
      </c>
      <c r="R133" s="246"/>
      <c r="S133" s="246"/>
      <c r="T133" s="246">
        <v>1178</v>
      </c>
      <c r="U133" s="246">
        <v>1178</v>
      </c>
      <c r="V133" s="246"/>
      <c r="W133" s="246">
        <v>1179</v>
      </c>
      <c r="X133" s="246"/>
      <c r="Y133" s="246"/>
      <c r="Z133" s="246"/>
      <c r="AA133" s="246">
        <v>4120</v>
      </c>
      <c r="AB133" s="246">
        <v>0</v>
      </c>
      <c r="AC133" s="246"/>
      <c r="AD133" s="246">
        <v>2365</v>
      </c>
      <c r="AE133" s="246"/>
      <c r="AF133" s="246"/>
      <c r="AG133" s="246"/>
      <c r="AH133" s="246"/>
      <c r="AI133" s="246"/>
      <c r="AJ133" s="51"/>
      <c r="AK133" s="50">
        <f>SUM(F133:AI133)</f>
        <v>23024</v>
      </c>
      <c r="AM133" s="49"/>
      <c r="AN133" s="55"/>
      <c r="AO133" s="2"/>
      <c r="AS133" s="3">
        <v>0</v>
      </c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W133" s="48"/>
      <c r="BX133" s="48"/>
      <c r="DA133" s="48"/>
      <c r="EI133" s="16"/>
      <c r="EJ133" s="48"/>
      <c r="EK133" s="48"/>
      <c r="EL133" s="48"/>
      <c r="EM133" s="48"/>
      <c r="GP133" s="48"/>
      <c r="KK133" s="48"/>
      <c r="KL133" s="48"/>
      <c r="KM133" s="48"/>
      <c r="KN133" s="48"/>
      <c r="PR133" s="48"/>
      <c r="PS133" s="48"/>
      <c r="PU133" s="48"/>
      <c r="QI133" s="47"/>
      <c r="QM133" s="48"/>
      <c r="SP133" s="47"/>
      <c r="AHY133" s="14"/>
      <c r="AJN133" s="14"/>
      <c r="AJO133" s="14"/>
      <c r="AJP133" s="14"/>
    </row>
    <row r="134" spans="2:952" x14ac:dyDescent="0.25">
      <c r="B134" s="167"/>
      <c r="C134" s="165" t="s">
        <v>49</v>
      </c>
      <c r="D134" s="166"/>
      <c r="E134" s="245" t="s">
        <v>36</v>
      </c>
      <c r="F134" s="246">
        <v>0</v>
      </c>
      <c r="G134" s="246"/>
      <c r="H134" s="246"/>
      <c r="I134" s="246"/>
      <c r="J134" s="246"/>
      <c r="K134" s="246"/>
      <c r="L134" s="246"/>
      <c r="M134" s="246"/>
      <c r="N134" s="246">
        <v>2367</v>
      </c>
      <c r="O134" s="246">
        <v>1453</v>
      </c>
      <c r="P134" s="246"/>
      <c r="Q134" s="252"/>
      <c r="R134" s="252"/>
      <c r="S134" s="252"/>
      <c r="T134" s="252"/>
      <c r="U134" s="252"/>
      <c r="V134" s="246">
        <v>2350</v>
      </c>
      <c r="W134" s="246">
        <v>2362</v>
      </c>
      <c r="X134" s="246">
        <v>2377</v>
      </c>
      <c r="Y134" s="252"/>
      <c r="Z134" s="252"/>
      <c r="AA134" s="252"/>
      <c r="AB134" s="252"/>
      <c r="AC134" s="252"/>
      <c r="AD134" s="246">
        <v>5505</v>
      </c>
      <c r="AE134" s="252">
        <v>0</v>
      </c>
      <c r="AF134" s="252">
        <v>0</v>
      </c>
      <c r="AG134" s="252">
        <v>0</v>
      </c>
      <c r="AH134" s="252">
        <v>0</v>
      </c>
      <c r="AI134" s="252">
        <v>0</v>
      </c>
      <c r="AJ134" s="51"/>
      <c r="AK134" s="50">
        <f>SUM(F134:AI134)</f>
        <v>16414</v>
      </c>
      <c r="AM134" s="49"/>
      <c r="AO134" s="2"/>
      <c r="AS134" s="3">
        <f>SUM(AS133,AS131)</f>
        <v>384.65774424</v>
      </c>
      <c r="AT134" s="2" t="s">
        <v>159</v>
      </c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W134" s="48"/>
      <c r="BX134" s="48"/>
      <c r="DA134" s="48"/>
      <c r="EI134" s="16"/>
      <c r="EJ134" s="48"/>
      <c r="EK134" s="48"/>
      <c r="EL134" s="48"/>
      <c r="EM134" s="48"/>
      <c r="GP134" s="48"/>
      <c r="KK134" s="48"/>
      <c r="KL134" s="48"/>
      <c r="KM134" s="48"/>
      <c r="KN134" s="48"/>
      <c r="PR134" s="48"/>
      <c r="PS134" s="48"/>
      <c r="PU134" s="48"/>
      <c r="QI134" s="47"/>
      <c r="QM134" s="48"/>
      <c r="SP134" s="47"/>
      <c r="AHY134" s="14"/>
      <c r="AJN134" s="14"/>
      <c r="AJO134" s="14"/>
      <c r="AJP134" s="14"/>
    </row>
    <row r="135" spans="2:952" x14ac:dyDescent="0.25">
      <c r="B135" s="135"/>
      <c r="C135" s="243" t="s">
        <v>32</v>
      </c>
      <c r="D135" s="192"/>
      <c r="E135" s="1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0"/>
      <c r="AK135" s="45" t="s">
        <v>32</v>
      </c>
      <c r="AM135" s="41"/>
      <c r="AO135" s="2"/>
      <c r="AS135" s="35">
        <v>962</v>
      </c>
      <c r="AT135" s="2" t="s">
        <v>160</v>
      </c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W135" s="40"/>
      <c r="BX135" s="40"/>
      <c r="DA135" s="40"/>
      <c r="EI135" s="30"/>
      <c r="EJ135" s="40"/>
      <c r="EK135" s="40"/>
      <c r="EL135" s="40"/>
      <c r="EM135" s="40"/>
      <c r="GP135" s="40"/>
      <c r="KK135" s="40"/>
      <c r="KL135" s="40"/>
      <c r="KM135" s="40"/>
      <c r="KN135" s="40"/>
      <c r="PR135" s="40"/>
      <c r="PS135" s="40"/>
      <c r="PU135" s="40"/>
      <c r="QI135" s="39"/>
      <c r="QM135" s="40"/>
      <c r="SP135" s="39"/>
      <c r="AHY135" s="5"/>
      <c r="AJN135" s="5"/>
      <c r="AJO135" s="5"/>
      <c r="AJP135" s="5"/>
    </row>
    <row r="136" spans="2:952" x14ac:dyDescent="0.25">
      <c r="B136" s="135"/>
      <c r="C136" s="165" t="s">
        <v>50</v>
      </c>
      <c r="D136" s="192"/>
      <c r="E136" s="214" t="s">
        <v>32</v>
      </c>
      <c r="F136" s="11">
        <f t="shared" ref="F136:AI136" si="64">F133*12</f>
        <v>14196</v>
      </c>
      <c r="G136" s="11">
        <f t="shared" si="64"/>
        <v>14148</v>
      </c>
      <c r="H136" s="11">
        <f t="shared" si="64"/>
        <v>14220</v>
      </c>
      <c r="I136" s="11">
        <f t="shared" si="64"/>
        <v>14292</v>
      </c>
      <c r="J136" s="11">
        <f t="shared" si="64"/>
        <v>14184</v>
      </c>
      <c r="K136" s="11">
        <f t="shared" si="64"/>
        <v>0</v>
      </c>
      <c r="L136" s="11">
        <f t="shared" si="64"/>
        <v>14220</v>
      </c>
      <c r="M136" s="11">
        <f t="shared" si="64"/>
        <v>14172</v>
      </c>
      <c r="N136" s="11">
        <f t="shared" si="64"/>
        <v>14196</v>
      </c>
      <c r="O136" s="11">
        <f t="shared" si="64"/>
        <v>14160</v>
      </c>
      <c r="P136" s="11">
        <f t="shared" si="64"/>
        <v>14160</v>
      </c>
      <c r="Q136" s="11">
        <f t="shared" si="64"/>
        <v>14100</v>
      </c>
      <c r="R136" s="11">
        <f t="shared" si="64"/>
        <v>0</v>
      </c>
      <c r="S136" s="11">
        <f t="shared" si="64"/>
        <v>0</v>
      </c>
      <c r="T136" s="11">
        <f t="shared" si="64"/>
        <v>14136</v>
      </c>
      <c r="U136" s="11">
        <f t="shared" si="64"/>
        <v>14136</v>
      </c>
      <c r="V136" s="11">
        <f t="shared" si="64"/>
        <v>0</v>
      </c>
      <c r="W136" s="11">
        <f t="shared" si="64"/>
        <v>14148</v>
      </c>
      <c r="X136" s="11">
        <f t="shared" si="64"/>
        <v>0</v>
      </c>
      <c r="Y136" s="11">
        <f t="shared" si="64"/>
        <v>0</v>
      </c>
      <c r="Z136" s="11">
        <f t="shared" si="64"/>
        <v>0</v>
      </c>
      <c r="AA136" s="11">
        <f t="shared" si="64"/>
        <v>49440</v>
      </c>
      <c r="AB136" s="11">
        <f t="shared" si="64"/>
        <v>0</v>
      </c>
      <c r="AC136" s="11">
        <f t="shared" si="64"/>
        <v>0</v>
      </c>
      <c r="AD136" s="11">
        <f t="shared" si="64"/>
        <v>28380</v>
      </c>
      <c r="AE136" s="11">
        <f t="shared" si="64"/>
        <v>0</v>
      </c>
      <c r="AF136" s="11">
        <f t="shared" si="64"/>
        <v>0</v>
      </c>
      <c r="AG136" s="11">
        <f t="shared" si="64"/>
        <v>0</v>
      </c>
      <c r="AH136" s="11">
        <f t="shared" si="64"/>
        <v>0</v>
      </c>
      <c r="AI136" s="11">
        <f t="shared" si="64"/>
        <v>0</v>
      </c>
      <c r="AJ136" s="10"/>
      <c r="AK136" s="26">
        <f>AK133*12</f>
        <v>276288</v>
      </c>
      <c r="AM136" s="41"/>
      <c r="AO136" s="2"/>
      <c r="AS136" s="3">
        <f>AS134/AS135*100</f>
        <v>39.9852124989605</v>
      </c>
      <c r="AT136" s="2" t="s">
        <v>29</v>
      </c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W136" s="40"/>
      <c r="BX136" s="40"/>
      <c r="DA136" s="40"/>
      <c r="EI136" s="30"/>
      <c r="EJ136" s="40"/>
      <c r="EK136" s="40"/>
      <c r="EL136" s="40"/>
      <c r="EM136" s="40"/>
      <c r="GP136" s="40"/>
      <c r="KK136" s="40"/>
      <c r="KL136" s="40"/>
      <c r="KM136" s="40"/>
      <c r="KN136" s="40"/>
      <c r="PR136" s="40"/>
      <c r="PS136" s="40"/>
      <c r="PU136" s="40"/>
      <c r="QI136" s="39"/>
      <c r="QM136" s="40"/>
      <c r="SP136" s="39"/>
      <c r="AHY136" s="5"/>
      <c r="AJN136" s="5"/>
      <c r="AJO136" s="5"/>
      <c r="AJP136" s="5"/>
    </row>
    <row r="137" spans="2:952" x14ac:dyDescent="0.25">
      <c r="B137" s="135"/>
      <c r="C137" s="165" t="s">
        <v>49</v>
      </c>
      <c r="D137" s="192"/>
      <c r="E137" s="214" t="s">
        <v>32</v>
      </c>
      <c r="F137" s="11">
        <f>F134*6</f>
        <v>0</v>
      </c>
      <c r="G137" s="11">
        <f t="shared" ref="G137:AI137" si="65">G134*6</f>
        <v>0</v>
      </c>
      <c r="H137" s="11">
        <f t="shared" si="65"/>
        <v>0</v>
      </c>
      <c r="I137" s="11">
        <f t="shared" si="65"/>
        <v>0</v>
      </c>
      <c r="J137" s="11">
        <f t="shared" si="65"/>
        <v>0</v>
      </c>
      <c r="K137" s="11">
        <f t="shared" si="65"/>
        <v>0</v>
      </c>
      <c r="L137" s="11">
        <f t="shared" si="65"/>
        <v>0</v>
      </c>
      <c r="M137" s="11">
        <f t="shared" si="65"/>
        <v>0</v>
      </c>
      <c r="N137" s="11">
        <f t="shared" si="65"/>
        <v>14202</v>
      </c>
      <c r="O137" s="11">
        <f t="shared" si="65"/>
        <v>8718</v>
      </c>
      <c r="P137" s="11">
        <f t="shared" si="65"/>
        <v>0</v>
      </c>
      <c r="Q137" s="11">
        <f t="shared" si="65"/>
        <v>0</v>
      </c>
      <c r="R137" s="11">
        <f t="shared" si="65"/>
        <v>0</v>
      </c>
      <c r="S137" s="11">
        <f t="shared" si="65"/>
        <v>0</v>
      </c>
      <c r="T137" s="11">
        <f t="shared" si="65"/>
        <v>0</v>
      </c>
      <c r="U137" s="11">
        <f t="shared" si="65"/>
        <v>0</v>
      </c>
      <c r="V137" s="11">
        <f t="shared" si="65"/>
        <v>14100</v>
      </c>
      <c r="W137" s="11">
        <f t="shared" si="65"/>
        <v>14172</v>
      </c>
      <c r="X137" s="11">
        <f t="shared" si="65"/>
        <v>14262</v>
      </c>
      <c r="Y137" s="11">
        <f t="shared" si="65"/>
        <v>0</v>
      </c>
      <c r="Z137" s="11">
        <f t="shared" si="65"/>
        <v>0</v>
      </c>
      <c r="AA137" s="11">
        <f t="shared" si="65"/>
        <v>0</v>
      </c>
      <c r="AB137" s="11">
        <f t="shared" si="65"/>
        <v>0</v>
      </c>
      <c r="AC137" s="11">
        <f t="shared" si="65"/>
        <v>0</v>
      </c>
      <c r="AD137" s="11">
        <f t="shared" si="65"/>
        <v>33030</v>
      </c>
      <c r="AE137" s="11">
        <f t="shared" si="65"/>
        <v>0</v>
      </c>
      <c r="AF137" s="11">
        <f t="shared" si="65"/>
        <v>0</v>
      </c>
      <c r="AG137" s="11">
        <f t="shared" si="65"/>
        <v>0</v>
      </c>
      <c r="AH137" s="11">
        <f t="shared" si="65"/>
        <v>0</v>
      </c>
      <c r="AI137" s="11">
        <f t="shared" si="65"/>
        <v>0</v>
      </c>
      <c r="AJ137" s="10"/>
      <c r="AK137" s="26">
        <f>AK134*6</f>
        <v>98484</v>
      </c>
      <c r="AM137" s="41"/>
      <c r="AO137" s="2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W137" s="40"/>
      <c r="BX137" s="40"/>
      <c r="DA137" s="40"/>
      <c r="EI137" s="30"/>
      <c r="EJ137" s="40"/>
      <c r="EK137" s="40"/>
      <c r="EL137" s="40"/>
      <c r="EM137" s="40"/>
      <c r="GP137" s="40"/>
      <c r="KK137" s="40"/>
      <c r="KL137" s="40"/>
      <c r="KM137" s="40"/>
      <c r="KN137" s="40"/>
      <c r="PR137" s="40"/>
      <c r="PS137" s="40"/>
      <c r="PU137" s="40"/>
      <c r="QI137" s="39"/>
      <c r="QM137" s="40"/>
      <c r="SP137" s="39"/>
      <c r="AHY137" s="5"/>
      <c r="AJN137" s="5"/>
      <c r="AJO137" s="5"/>
      <c r="AJP137" s="5"/>
    </row>
    <row r="138" spans="2:952" x14ac:dyDescent="0.25">
      <c r="B138" s="135"/>
      <c r="C138" s="243" t="s">
        <v>41</v>
      </c>
      <c r="D138" s="192"/>
      <c r="E138" s="214" t="s">
        <v>40</v>
      </c>
      <c r="F138" s="11">
        <f>(F129*45)/1700</f>
        <v>303.38576470588237</v>
      </c>
      <c r="G138" s="11">
        <f>(G129*45)/1700</f>
        <v>303.38338235294117</v>
      </c>
      <c r="H138" s="11">
        <f t="shared" ref="H138:Y138" si="66">(H129*45)/1700</f>
        <v>303.38338235294117</v>
      </c>
      <c r="I138" s="11">
        <f t="shared" si="66"/>
        <v>304.69579411764704</v>
      </c>
      <c r="J138" s="11">
        <f t="shared" si="66"/>
        <v>303.4050882352941</v>
      </c>
      <c r="K138" s="11">
        <f t="shared" si="66"/>
        <v>0</v>
      </c>
      <c r="L138" s="11">
        <f t="shared" si="66"/>
        <v>303.4289117647059</v>
      </c>
      <c r="M138" s="11">
        <f t="shared" si="66"/>
        <v>303.38338235294117</v>
      </c>
      <c r="N138" s="11">
        <f t="shared" si="66"/>
        <v>910.17423529411758</v>
      </c>
      <c r="O138" s="11">
        <f t="shared" si="66"/>
        <v>677.29552941176473</v>
      </c>
      <c r="P138" s="11">
        <f t="shared" si="66"/>
        <v>303.4050882352941</v>
      </c>
      <c r="Q138" s="11">
        <f t="shared" si="66"/>
        <v>303.4050882352941</v>
      </c>
      <c r="R138" s="11">
        <f t="shared" si="66"/>
        <v>0</v>
      </c>
      <c r="S138" s="11">
        <f t="shared" si="66"/>
        <v>0</v>
      </c>
      <c r="T138" s="11">
        <f t="shared" si="66"/>
        <v>303.40747058823524</v>
      </c>
      <c r="U138" s="11">
        <f t="shared" si="66"/>
        <v>303.38338235294117</v>
      </c>
      <c r="V138" s="11">
        <f t="shared" si="66"/>
        <v>606.79085294117647</v>
      </c>
      <c r="W138" s="11">
        <f t="shared" si="66"/>
        <v>910.2626470588234</v>
      </c>
      <c r="X138" s="11">
        <f t="shared" si="66"/>
        <v>606.80991176470582</v>
      </c>
      <c r="Y138" s="11">
        <f t="shared" si="66"/>
        <v>0</v>
      </c>
      <c r="Z138" s="11">
        <f t="shared" ref="Z138:AI138" si="67">Z129*45/1700</f>
        <v>0</v>
      </c>
      <c r="AA138" s="11">
        <f t="shared" si="67"/>
        <v>1062.7803529411765</v>
      </c>
      <c r="AB138" s="11">
        <f t="shared" si="67"/>
        <v>0</v>
      </c>
      <c r="AC138" s="11">
        <f t="shared" si="67"/>
        <v>0</v>
      </c>
      <c r="AD138" s="11">
        <f t="shared" si="67"/>
        <v>2023.8829411764707</v>
      </c>
      <c r="AE138" s="11">
        <f t="shared" si="67"/>
        <v>0</v>
      </c>
      <c r="AF138" s="11">
        <f t="shared" si="67"/>
        <v>0</v>
      </c>
      <c r="AG138" s="11">
        <f t="shared" si="67"/>
        <v>0</v>
      </c>
      <c r="AH138" s="11">
        <f t="shared" si="67"/>
        <v>0</v>
      </c>
      <c r="AI138" s="11">
        <f t="shared" si="67"/>
        <v>0</v>
      </c>
      <c r="AJ138" s="10"/>
      <c r="AK138" s="26">
        <f>SUM(F138:AI138)</f>
        <v>10136.663205882352</v>
      </c>
      <c r="AM138" s="41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W138" s="40"/>
      <c r="BX138" s="40"/>
      <c r="DA138" s="40"/>
      <c r="EI138" s="30"/>
      <c r="EJ138" s="40"/>
      <c r="EK138" s="40"/>
      <c r="EL138" s="40"/>
      <c r="EM138" s="40"/>
      <c r="GP138" s="40"/>
      <c r="KK138" s="40"/>
      <c r="KL138" s="40"/>
      <c r="KM138" s="40"/>
      <c r="KN138" s="40"/>
      <c r="PR138" s="40"/>
      <c r="PS138" s="40"/>
      <c r="PU138" s="40"/>
      <c r="QI138" s="39"/>
      <c r="QM138" s="40"/>
      <c r="SP138" s="39"/>
      <c r="AHY138" s="5"/>
      <c r="AJN138" s="5"/>
      <c r="AJO138" s="5"/>
      <c r="AJP138" s="5"/>
    </row>
    <row r="139" spans="2:952" x14ac:dyDescent="0.25">
      <c r="B139" s="135"/>
      <c r="C139" s="243" t="s">
        <v>39</v>
      </c>
      <c r="D139" s="192"/>
      <c r="E139" s="214" t="s">
        <v>38</v>
      </c>
      <c r="F139" s="11">
        <f t="shared" ref="F139:AD139" si="68">SUM(F133:F134)/500</f>
        <v>2.3660000000000001</v>
      </c>
      <c r="G139" s="11">
        <f t="shared" si="68"/>
        <v>2.3580000000000001</v>
      </c>
      <c r="H139" s="11">
        <f t="shared" si="68"/>
        <v>2.37</v>
      </c>
      <c r="I139" s="11">
        <f t="shared" si="68"/>
        <v>2.3820000000000001</v>
      </c>
      <c r="J139" s="11">
        <f t="shared" si="68"/>
        <v>2.3639999999999999</v>
      </c>
      <c r="K139" s="11">
        <f t="shared" si="68"/>
        <v>0</v>
      </c>
      <c r="L139" s="11">
        <f t="shared" si="68"/>
        <v>2.37</v>
      </c>
      <c r="M139" s="11">
        <f t="shared" si="68"/>
        <v>2.3620000000000001</v>
      </c>
      <c r="N139" s="11">
        <f t="shared" si="68"/>
        <v>7.1</v>
      </c>
      <c r="O139" s="11">
        <f t="shared" si="68"/>
        <v>5.266</v>
      </c>
      <c r="P139" s="11">
        <f t="shared" si="68"/>
        <v>2.36</v>
      </c>
      <c r="Q139" s="11">
        <f t="shared" si="68"/>
        <v>2.35</v>
      </c>
      <c r="R139" s="11">
        <f t="shared" si="68"/>
        <v>0</v>
      </c>
      <c r="S139" s="11">
        <f t="shared" si="68"/>
        <v>0</v>
      </c>
      <c r="T139" s="11">
        <f t="shared" si="68"/>
        <v>2.3559999999999999</v>
      </c>
      <c r="U139" s="11">
        <f t="shared" si="68"/>
        <v>2.3559999999999999</v>
      </c>
      <c r="V139" s="11">
        <f t="shared" si="68"/>
        <v>4.7</v>
      </c>
      <c r="W139" s="11">
        <f t="shared" si="68"/>
        <v>7.0819999999999999</v>
      </c>
      <c r="X139" s="11">
        <f t="shared" si="68"/>
        <v>4.7539999999999996</v>
      </c>
      <c r="Y139" s="11">
        <f t="shared" si="68"/>
        <v>0</v>
      </c>
      <c r="Z139" s="11">
        <f t="shared" ref="Z139" si="69">SUM(Z133:Z134)/500</f>
        <v>0</v>
      </c>
      <c r="AA139" s="11">
        <f t="shared" si="68"/>
        <v>8.24</v>
      </c>
      <c r="AB139" s="11">
        <f>SUM(AB133:AB134)/500</f>
        <v>0</v>
      </c>
      <c r="AC139" s="11">
        <f t="shared" si="68"/>
        <v>0</v>
      </c>
      <c r="AD139" s="11">
        <f t="shared" si="68"/>
        <v>15.74</v>
      </c>
      <c r="AE139" s="11">
        <f t="shared" ref="AE139:AI139" si="70">SUM(AE133:AE134)/500</f>
        <v>0</v>
      </c>
      <c r="AF139" s="11">
        <f t="shared" si="70"/>
        <v>0</v>
      </c>
      <c r="AG139" s="11">
        <f t="shared" si="70"/>
        <v>0</v>
      </c>
      <c r="AH139" s="11">
        <f t="shared" si="70"/>
        <v>0</v>
      </c>
      <c r="AI139" s="11">
        <f t="shared" si="70"/>
        <v>0</v>
      </c>
      <c r="AJ139" s="10"/>
      <c r="AK139" s="26">
        <f>SUM(F139:AI139)</f>
        <v>78.876000000000005</v>
      </c>
      <c r="AM139" s="41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W139" s="40"/>
      <c r="BX139" s="40"/>
      <c r="DA139" s="40"/>
      <c r="EI139" s="30"/>
      <c r="EJ139" s="40"/>
      <c r="EK139" s="40"/>
      <c r="EL139" s="40"/>
      <c r="EM139" s="40"/>
      <c r="GP139" s="40"/>
      <c r="KK139" s="40"/>
      <c r="KL139" s="40"/>
      <c r="KM139" s="40"/>
      <c r="KN139" s="40"/>
      <c r="PR139" s="40"/>
      <c r="PS139" s="40"/>
      <c r="PU139" s="40"/>
      <c r="QI139" s="39"/>
      <c r="QM139" s="40"/>
      <c r="SP139" s="39"/>
      <c r="AHY139" s="5"/>
      <c r="AJN139" s="5"/>
      <c r="AJO139" s="5"/>
      <c r="AJP139" s="5"/>
    </row>
    <row r="140" spans="2:952" x14ac:dyDescent="0.25">
      <c r="B140" s="137"/>
      <c r="C140" s="161" t="s">
        <v>37</v>
      </c>
      <c r="D140" s="180"/>
      <c r="E140" s="180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2"/>
      <c r="AD140" s="181"/>
      <c r="AE140" s="181"/>
      <c r="AF140" s="181"/>
      <c r="AG140" s="181"/>
      <c r="AH140" s="181"/>
      <c r="AI140" s="181"/>
      <c r="AJ140" s="31"/>
      <c r="AK140" s="46" t="s">
        <v>34</v>
      </c>
      <c r="AM140" s="8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W140" s="5"/>
      <c r="BX140" s="5"/>
      <c r="DA140" s="5"/>
      <c r="EI140" s="30"/>
      <c r="EJ140" s="5"/>
      <c r="EK140" s="5"/>
      <c r="EL140" s="5"/>
      <c r="EM140" s="5"/>
      <c r="GP140" s="5"/>
      <c r="KK140" s="5"/>
      <c r="KL140" s="5"/>
      <c r="KM140" s="5"/>
      <c r="KN140" s="5"/>
      <c r="PR140" s="5"/>
      <c r="PS140" s="5"/>
      <c r="PU140" s="5"/>
      <c r="QI140" s="27"/>
      <c r="QM140" s="5"/>
      <c r="SP140" s="27"/>
      <c r="AHY140" s="5"/>
      <c r="AJN140" s="5"/>
      <c r="AJO140" s="5"/>
      <c r="AJP140" s="5"/>
    </row>
    <row r="141" spans="2:952" x14ac:dyDescent="0.25">
      <c r="B141" s="135"/>
      <c r="C141" s="243" t="s">
        <v>33</v>
      </c>
      <c r="D141" s="192"/>
      <c r="E141" s="1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0"/>
      <c r="AK141" s="45" t="s">
        <v>33</v>
      </c>
      <c r="AM141" s="41"/>
      <c r="BW141" s="40"/>
      <c r="BX141" s="40"/>
      <c r="DA141" s="40"/>
      <c r="EI141" s="30"/>
      <c r="EJ141" s="40"/>
      <c r="EK141" s="40"/>
      <c r="EL141" s="40"/>
      <c r="EM141" s="40"/>
      <c r="GP141" s="40"/>
      <c r="KK141" s="40"/>
      <c r="KL141" s="40"/>
      <c r="KM141" s="40"/>
      <c r="KN141" s="40"/>
      <c r="PR141" s="40"/>
      <c r="PS141" s="40"/>
      <c r="PU141" s="40"/>
      <c r="QI141" s="39"/>
      <c r="QM141" s="40"/>
      <c r="SP141" s="39"/>
      <c r="AHY141" s="5"/>
      <c r="AJN141" s="5"/>
      <c r="AJO141" s="5"/>
      <c r="AJP141" s="5"/>
    </row>
    <row r="142" spans="2:952" x14ac:dyDescent="0.25">
      <c r="B142" s="135"/>
      <c r="C142" s="165" t="s">
        <v>50</v>
      </c>
      <c r="D142" s="192"/>
      <c r="E142" s="214" t="s">
        <v>36</v>
      </c>
      <c r="F142" s="246">
        <v>8</v>
      </c>
      <c r="G142" s="246">
        <v>4</v>
      </c>
      <c r="H142" s="246">
        <v>10</v>
      </c>
      <c r="I142" s="246">
        <v>11</v>
      </c>
      <c r="J142" s="246">
        <v>7</v>
      </c>
      <c r="K142" s="246">
        <v>0</v>
      </c>
      <c r="L142" s="246">
        <v>10</v>
      </c>
      <c r="M142" s="246">
        <v>6</v>
      </c>
      <c r="N142" s="246">
        <v>8</v>
      </c>
      <c r="O142" s="246">
        <v>5</v>
      </c>
      <c r="P142" s="246">
        <v>5</v>
      </c>
      <c r="Q142" s="246">
        <v>0</v>
      </c>
      <c r="R142" s="246">
        <v>0</v>
      </c>
      <c r="S142" s="246">
        <v>0</v>
      </c>
      <c r="T142" s="246">
        <v>3</v>
      </c>
      <c r="U142" s="246">
        <v>3</v>
      </c>
      <c r="V142" s="246">
        <v>0</v>
      </c>
      <c r="W142" s="246">
        <v>4</v>
      </c>
      <c r="X142" s="246"/>
      <c r="Y142" s="246"/>
      <c r="Z142" s="246"/>
      <c r="AA142" s="246">
        <v>4</v>
      </c>
      <c r="AB142" s="246">
        <v>0</v>
      </c>
      <c r="AC142" s="246">
        <v>0</v>
      </c>
      <c r="AD142" s="246">
        <v>15</v>
      </c>
      <c r="AE142" s="246">
        <v>0</v>
      </c>
      <c r="AF142" s="246">
        <v>0</v>
      </c>
      <c r="AG142" s="246">
        <v>0</v>
      </c>
      <c r="AH142" s="246">
        <v>0</v>
      </c>
      <c r="AI142" s="246">
        <v>0</v>
      </c>
      <c r="AJ142" s="10"/>
      <c r="AK142" s="26">
        <f>SUM(F142:AI142)</f>
        <v>103</v>
      </c>
      <c r="AM142" s="41"/>
      <c r="BW142" s="40"/>
      <c r="BX142" s="40"/>
      <c r="DA142" s="40"/>
      <c r="EI142" s="30"/>
      <c r="EJ142" s="40"/>
      <c r="EK142" s="40"/>
      <c r="EL142" s="40"/>
      <c r="EM142" s="40"/>
      <c r="GP142" s="40"/>
      <c r="KK142" s="40"/>
      <c r="KL142" s="40"/>
      <c r="KM142" s="40"/>
      <c r="KN142" s="40"/>
      <c r="PR142" s="40"/>
      <c r="PS142" s="40"/>
      <c r="PU142" s="40"/>
      <c r="QI142" s="39"/>
      <c r="QM142" s="40"/>
      <c r="SP142" s="39"/>
      <c r="AHY142" s="5"/>
      <c r="AJN142" s="5"/>
      <c r="AJO142" s="5"/>
      <c r="AJP142" s="5"/>
    </row>
    <row r="143" spans="2:952" x14ac:dyDescent="0.25">
      <c r="B143" s="135"/>
      <c r="C143" s="165" t="s">
        <v>49</v>
      </c>
      <c r="D143" s="192"/>
      <c r="E143" s="214" t="s">
        <v>36</v>
      </c>
      <c r="F143" s="246">
        <v>0</v>
      </c>
      <c r="G143" s="246">
        <v>0</v>
      </c>
      <c r="H143" s="246">
        <v>0</v>
      </c>
      <c r="I143" s="246">
        <v>0</v>
      </c>
      <c r="J143" s="246">
        <v>0</v>
      </c>
      <c r="K143" s="246">
        <v>0</v>
      </c>
      <c r="L143" s="246">
        <v>0</v>
      </c>
      <c r="M143" s="246">
        <v>0</v>
      </c>
      <c r="N143" s="246">
        <v>17</v>
      </c>
      <c r="O143" s="246">
        <v>5</v>
      </c>
      <c r="P143" s="246">
        <v>0</v>
      </c>
      <c r="Q143" s="246"/>
      <c r="R143" s="246"/>
      <c r="S143" s="246"/>
      <c r="T143" s="246"/>
      <c r="U143" s="246"/>
      <c r="V143" s="246"/>
      <c r="W143" s="246">
        <v>12</v>
      </c>
      <c r="X143" s="246">
        <v>27</v>
      </c>
      <c r="Y143" s="246"/>
      <c r="Z143" s="246"/>
      <c r="AA143" s="246"/>
      <c r="AB143" s="246">
        <v>0</v>
      </c>
      <c r="AC143" s="246">
        <v>0</v>
      </c>
      <c r="AD143" s="246">
        <v>17</v>
      </c>
      <c r="AE143" s="246">
        <v>0</v>
      </c>
      <c r="AF143" s="246">
        <v>0</v>
      </c>
      <c r="AG143" s="246">
        <v>0</v>
      </c>
      <c r="AH143" s="246">
        <v>0</v>
      </c>
      <c r="AI143" s="246">
        <v>0</v>
      </c>
      <c r="AJ143" s="10"/>
      <c r="AK143" s="26">
        <f>SUM(F143:AI143)</f>
        <v>78</v>
      </c>
      <c r="AM143" s="41"/>
      <c r="BW143" s="40"/>
      <c r="BX143" s="40"/>
      <c r="DA143" s="40"/>
      <c r="EI143" s="30"/>
      <c r="EJ143" s="40"/>
      <c r="EK143" s="40"/>
      <c r="EL143" s="40"/>
      <c r="EM143" s="40"/>
      <c r="GP143" s="40"/>
      <c r="KK143" s="40"/>
      <c r="KL143" s="40"/>
      <c r="KM143" s="40"/>
      <c r="KN143" s="40"/>
      <c r="PR143" s="40"/>
      <c r="PS143" s="40"/>
      <c r="PU143" s="40"/>
      <c r="QI143" s="39"/>
      <c r="QM143" s="40"/>
      <c r="SP143" s="39"/>
      <c r="AHY143" s="5"/>
      <c r="AJN143" s="5"/>
      <c r="AJO143" s="5"/>
      <c r="AJP143" s="5"/>
    </row>
    <row r="144" spans="2:952" x14ac:dyDescent="0.25">
      <c r="B144" s="135"/>
      <c r="C144" s="243" t="s">
        <v>32</v>
      </c>
      <c r="D144" s="192"/>
      <c r="E144" s="135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246"/>
      <c r="AE144" s="246"/>
      <c r="AF144" s="246"/>
      <c r="AG144" s="246"/>
      <c r="AH144" s="246"/>
      <c r="AI144" s="246"/>
      <c r="AJ144" s="10"/>
      <c r="AK144" s="45" t="s">
        <v>32</v>
      </c>
      <c r="AM144" s="41"/>
      <c r="BW144" s="40"/>
      <c r="BX144" s="40"/>
      <c r="DA144" s="40"/>
      <c r="EI144" s="30"/>
      <c r="EJ144" s="40"/>
      <c r="EK144" s="40"/>
      <c r="EL144" s="40"/>
      <c r="EM144" s="40"/>
      <c r="GP144" s="40"/>
      <c r="KK144" s="40"/>
      <c r="KL144" s="40"/>
      <c r="KM144" s="40"/>
      <c r="KN144" s="40"/>
      <c r="PR144" s="40"/>
      <c r="PS144" s="40"/>
      <c r="PU144" s="40"/>
      <c r="QI144" s="39"/>
      <c r="QM144" s="40"/>
      <c r="SP144" s="39"/>
      <c r="AHY144" s="5"/>
      <c r="AJN144" s="5"/>
      <c r="AJO144" s="5"/>
      <c r="AJP144" s="5"/>
    </row>
    <row r="145" spans="2:952" x14ac:dyDescent="0.25">
      <c r="B145" s="135"/>
      <c r="C145" s="165" t="str">
        <f>C142</f>
        <v xml:space="preserve">INL SP 900 mL  </v>
      </c>
      <c r="D145" s="192"/>
      <c r="E145" s="214" t="s">
        <v>32</v>
      </c>
      <c r="F145" s="246">
        <v>0</v>
      </c>
      <c r="G145" s="246">
        <v>0</v>
      </c>
      <c r="H145" s="246">
        <v>0</v>
      </c>
      <c r="I145" s="246"/>
      <c r="J145" s="246"/>
      <c r="K145" s="246">
        <v>0</v>
      </c>
      <c r="L145" s="246">
        <v>0</v>
      </c>
      <c r="M145" s="246">
        <v>0</v>
      </c>
      <c r="N145" s="246">
        <v>0</v>
      </c>
      <c r="O145" s="246">
        <v>0</v>
      </c>
      <c r="P145" s="246">
        <v>0</v>
      </c>
      <c r="Q145" s="246"/>
      <c r="R145" s="246"/>
      <c r="S145" s="246"/>
      <c r="T145" s="246">
        <v>0</v>
      </c>
      <c r="U145" s="246">
        <v>0</v>
      </c>
      <c r="V145" s="246"/>
      <c r="W145" s="246"/>
      <c r="X145" s="246"/>
      <c r="Y145" s="246"/>
      <c r="Z145" s="246"/>
      <c r="AA145" s="246"/>
      <c r="AB145" s="246">
        <v>0</v>
      </c>
      <c r="AC145" s="246">
        <v>0</v>
      </c>
      <c r="AD145" s="246">
        <v>0</v>
      </c>
      <c r="AE145" s="246"/>
      <c r="AF145" s="246"/>
      <c r="AG145" s="246">
        <v>0</v>
      </c>
      <c r="AH145" s="246">
        <v>0</v>
      </c>
      <c r="AI145" s="246">
        <v>0</v>
      </c>
      <c r="AJ145" s="10"/>
      <c r="AK145" s="26">
        <f>SUM(F145:AI145)</f>
        <v>0</v>
      </c>
      <c r="AM145" s="41"/>
      <c r="BW145" s="40"/>
      <c r="BX145" s="40"/>
      <c r="DA145" s="40"/>
      <c r="EI145" s="30"/>
      <c r="EJ145" s="40"/>
      <c r="EK145" s="40"/>
      <c r="EL145" s="40"/>
      <c r="EM145" s="40"/>
      <c r="GP145" s="40"/>
      <c r="KK145" s="40"/>
      <c r="KL145" s="40"/>
      <c r="KM145" s="40"/>
      <c r="KN145" s="40"/>
      <c r="PR145" s="40"/>
      <c r="PS145" s="40"/>
      <c r="PU145" s="40"/>
      <c r="QI145" s="39"/>
      <c r="QM145" s="40"/>
      <c r="SP145" s="39"/>
      <c r="AHY145" s="5"/>
      <c r="AJN145" s="5"/>
      <c r="AJO145" s="5"/>
      <c r="AJP145" s="5"/>
    </row>
    <row r="146" spans="2:952" x14ac:dyDescent="0.25">
      <c r="B146" s="135"/>
      <c r="C146" s="165" t="str">
        <f>C143</f>
        <v>INL SP 1,8 L</v>
      </c>
      <c r="D146" s="192"/>
      <c r="E146" s="214" t="s">
        <v>32</v>
      </c>
      <c r="F146" s="246">
        <v>0</v>
      </c>
      <c r="G146" s="246">
        <v>0</v>
      </c>
      <c r="H146" s="246">
        <v>0</v>
      </c>
      <c r="I146" s="246">
        <v>0</v>
      </c>
      <c r="J146" s="246">
        <v>0</v>
      </c>
      <c r="K146" s="246">
        <v>0</v>
      </c>
      <c r="L146" s="246">
        <v>0</v>
      </c>
      <c r="M146" s="246">
        <v>0</v>
      </c>
      <c r="N146" s="246">
        <v>0</v>
      </c>
      <c r="O146" s="246">
        <v>0</v>
      </c>
      <c r="P146" s="246">
        <v>0</v>
      </c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>
        <v>0</v>
      </c>
      <c r="AC146" s="246">
        <v>0</v>
      </c>
      <c r="AD146" s="246">
        <v>0</v>
      </c>
      <c r="AE146" s="246">
        <v>0</v>
      </c>
      <c r="AF146" s="246">
        <v>0</v>
      </c>
      <c r="AG146" s="246">
        <v>0</v>
      </c>
      <c r="AH146" s="246">
        <v>0</v>
      </c>
      <c r="AI146" s="246">
        <v>0</v>
      </c>
      <c r="AJ146" s="10"/>
      <c r="AK146" s="26">
        <f>SUM(F146:AI146)</f>
        <v>0</v>
      </c>
      <c r="AM146" s="41"/>
      <c r="BW146" s="40"/>
      <c r="BX146" s="40"/>
      <c r="DA146" s="40"/>
      <c r="EI146" s="30"/>
      <c r="EJ146" s="40"/>
      <c r="EK146" s="40"/>
      <c r="EL146" s="40"/>
      <c r="EM146" s="40"/>
      <c r="GP146" s="40"/>
      <c r="KK146" s="40"/>
      <c r="KL146" s="40"/>
      <c r="KM146" s="40"/>
      <c r="KN146" s="40"/>
      <c r="PR146" s="40"/>
      <c r="PS146" s="40"/>
      <c r="PU146" s="40"/>
      <c r="QI146" s="39"/>
      <c r="QM146" s="40"/>
      <c r="SP146" s="39"/>
      <c r="AHY146" s="5"/>
      <c r="AJN146" s="5"/>
      <c r="AJO146" s="5"/>
      <c r="AJP146" s="5"/>
    </row>
    <row r="147" spans="2:952" x14ac:dyDescent="0.25">
      <c r="B147" s="135"/>
      <c r="C147" s="161" t="s">
        <v>35</v>
      </c>
      <c r="D147" s="336"/>
      <c r="E147" s="337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  <c r="AA147" s="338"/>
      <c r="AB147" s="338"/>
      <c r="AC147" s="338"/>
      <c r="AD147" s="338"/>
      <c r="AE147" s="338"/>
      <c r="AF147" s="338"/>
      <c r="AG147" s="338"/>
      <c r="AH147" s="338"/>
      <c r="AI147" s="338"/>
      <c r="AJ147" s="339"/>
      <c r="AK147" s="340"/>
      <c r="AM147" s="41"/>
      <c r="BW147" s="40"/>
      <c r="BX147" s="40"/>
      <c r="DA147" s="40"/>
      <c r="EI147" s="30"/>
      <c r="EJ147" s="40"/>
      <c r="EK147" s="40"/>
      <c r="EL147" s="40"/>
      <c r="EM147" s="40"/>
      <c r="GP147" s="40"/>
      <c r="KK147" s="40"/>
      <c r="KL147" s="40"/>
      <c r="KM147" s="40"/>
      <c r="KN147" s="40"/>
      <c r="PR147" s="40"/>
      <c r="PS147" s="40"/>
      <c r="PU147" s="40"/>
      <c r="QI147" s="39"/>
      <c r="QM147" s="40"/>
      <c r="SP147" s="39"/>
      <c r="AHY147" s="5"/>
      <c r="AJN147" s="5"/>
      <c r="AJO147" s="5"/>
      <c r="AJP147" s="5"/>
    </row>
    <row r="148" spans="2:952" x14ac:dyDescent="0.25">
      <c r="B148" s="135"/>
      <c r="C148" s="243" t="s">
        <v>33</v>
      </c>
      <c r="D148" s="192"/>
      <c r="E148" s="214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  <c r="AD148" s="246"/>
      <c r="AE148" s="246"/>
      <c r="AF148" s="246"/>
      <c r="AG148" s="246"/>
      <c r="AH148" s="246"/>
      <c r="AI148" s="246"/>
      <c r="AJ148" s="10"/>
      <c r="AK148" s="26"/>
      <c r="AM148" s="41"/>
      <c r="BW148" s="40"/>
      <c r="BX148" s="40"/>
      <c r="DA148" s="40"/>
      <c r="EI148" s="30"/>
      <c r="EJ148" s="40"/>
      <c r="EK148" s="40"/>
      <c r="EL148" s="40"/>
      <c r="EM148" s="40"/>
      <c r="GP148" s="40"/>
      <c r="KK148" s="40"/>
      <c r="KL148" s="40"/>
      <c r="KM148" s="40"/>
      <c r="KN148" s="40"/>
      <c r="PR148" s="40"/>
      <c r="PS148" s="40"/>
      <c r="PU148" s="40"/>
      <c r="QI148" s="39"/>
      <c r="QM148" s="40"/>
      <c r="SP148" s="39"/>
      <c r="AHY148" s="5"/>
      <c r="AJN148" s="5"/>
      <c r="AJO148" s="5"/>
      <c r="AJP148" s="5"/>
    </row>
    <row r="149" spans="2:952" x14ac:dyDescent="0.25">
      <c r="B149" s="135"/>
      <c r="C149" s="165" t="s">
        <v>50</v>
      </c>
      <c r="D149" s="290">
        <v>0.3</v>
      </c>
      <c r="E149" s="214" t="s">
        <v>29</v>
      </c>
      <c r="F149" s="292">
        <f t="shared" ref="F149:V150" si="71">F142/F133*100</f>
        <v>0.67624683009298392</v>
      </c>
      <c r="G149" s="292">
        <f t="shared" si="71"/>
        <v>0.33927056827820185</v>
      </c>
      <c r="H149" s="292">
        <f t="shared" si="71"/>
        <v>0.8438818565400843</v>
      </c>
      <c r="I149" s="292">
        <f t="shared" si="71"/>
        <v>0.92359361880772461</v>
      </c>
      <c r="J149" s="292">
        <f t="shared" si="71"/>
        <v>0.59221658206429784</v>
      </c>
      <c r="K149" s="292" t="e">
        <f t="shared" si="71"/>
        <v>#DIV/0!</v>
      </c>
      <c r="L149" s="292">
        <f t="shared" si="71"/>
        <v>0.8438818565400843</v>
      </c>
      <c r="M149" s="292">
        <f t="shared" si="71"/>
        <v>0.5080440304826418</v>
      </c>
      <c r="N149" s="292">
        <f t="shared" si="71"/>
        <v>0.67624683009298392</v>
      </c>
      <c r="O149" s="292">
        <f t="shared" si="71"/>
        <v>0.42372881355932202</v>
      </c>
      <c r="P149" s="292">
        <f t="shared" si="71"/>
        <v>0.42372881355932202</v>
      </c>
      <c r="Q149" s="292">
        <f t="shared" si="71"/>
        <v>0</v>
      </c>
      <c r="R149" s="292" t="e">
        <f t="shared" si="71"/>
        <v>#DIV/0!</v>
      </c>
      <c r="S149" s="292" t="e">
        <f t="shared" si="71"/>
        <v>#DIV/0!</v>
      </c>
      <c r="T149" s="292">
        <f t="shared" si="71"/>
        <v>0.25466893039049238</v>
      </c>
      <c r="U149" s="292">
        <f t="shared" si="71"/>
        <v>0.25466893039049238</v>
      </c>
      <c r="V149" s="292" t="e">
        <f t="shared" si="71"/>
        <v>#DIV/0!</v>
      </c>
      <c r="W149" s="246"/>
      <c r="X149" s="246"/>
      <c r="Y149" s="246"/>
      <c r="Z149" s="246"/>
      <c r="AA149" s="246"/>
      <c r="AB149" s="246"/>
      <c r="AC149" s="246"/>
      <c r="AD149" s="246"/>
      <c r="AE149" s="246"/>
      <c r="AF149" s="246"/>
      <c r="AG149" s="246"/>
      <c r="AH149" s="246"/>
      <c r="AI149" s="246"/>
      <c r="AJ149" s="10"/>
      <c r="AK149" s="26"/>
      <c r="AM149" s="41"/>
      <c r="BW149" s="40"/>
      <c r="BX149" s="40"/>
      <c r="DA149" s="40"/>
      <c r="EI149" s="30"/>
      <c r="EJ149" s="40"/>
      <c r="EK149" s="40"/>
      <c r="EL149" s="40"/>
      <c r="EM149" s="40"/>
      <c r="GP149" s="40"/>
      <c r="KK149" s="40"/>
      <c r="KL149" s="40"/>
      <c r="KM149" s="40"/>
      <c r="KN149" s="40"/>
      <c r="PR149" s="40"/>
      <c r="PS149" s="40"/>
      <c r="PU149" s="40"/>
      <c r="QI149" s="39"/>
      <c r="QM149" s="40"/>
      <c r="SP149" s="39"/>
      <c r="AHY149" s="5"/>
      <c r="AJN149" s="5"/>
      <c r="AJO149" s="5"/>
      <c r="AJP149" s="5"/>
    </row>
    <row r="150" spans="2:952" x14ac:dyDescent="0.25">
      <c r="B150" s="135"/>
      <c r="C150" s="165" t="s">
        <v>170</v>
      </c>
      <c r="D150" s="290">
        <v>0.3</v>
      </c>
      <c r="E150" s="214" t="s">
        <v>29</v>
      </c>
      <c r="F150" s="292" t="e">
        <f>F143/F134*100</f>
        <v>#DIV/0!</v>
      </c>
      <c r="G150" s="292" t="e">
        <f t="shared" si="71"/>
        <v>#DIV/0!</v>
      </c>
      <c r="H150" s="292" t="e">
        <f t="shared" si="71"/>
        <v>#DIV/0!</v>
      </c>
      <c r="I150" s="292" t="e">
        <f t="shared" si="71"/>
        <v>#DIV/0!</v>
      </c>
      <c r="J150" s="292" t="e">
        <f t="shared" si="71"/>
        <v>#DIV/0!</v>
      </c>
      <c r="K150" s="292" t="e">
        <f t="shared" si="71"/>
        <v>#DIV/0!</v>
      </c>
      <c r="L150" s="292" t="e">
        <f t="shared" si="71"/>
        <v>#DIV/0!</v>
      </c>
      <c r="M150" s="292" t="e">
        <f t="shared" si="71"/>
        <v>#DIV/0!</v>
      </c>
      <c r="N150" s="292">
        <f t="shared" si="71"/>
        <v>0.71820870299957751</v>
      </c>
      <c r="O150" s="292">
        <f t="shared" si="71"/>
        <v>0.34411562284927738</v>
      </c>
      <c r="P150" s="292" t="e">
        <f t="shared" si="71"/>
        <v>#DIV/0!</v>
      </c>
      <c r="Q150" s="292" t="e">
        <f t="shared" si="71"/>
        <v>#DIV/0!</v>
      </c>
      <c r="R150" s="292" t="e">
        <f t="shared" si="71"/>
        <v>#DIV/0!</v>
      </c>
      <c r="S150" s="292" t="e">
        <f t="shared" si="71"/>
        <v>#DIV/0!</v>
      </c>
      <c r="T150" s="292" t="e">
        <f t="shared" si="71"/>
        <v>#DIV/0!</v>
      </c>
      <c r="U150" s="292" t="e">
        <f t="shared" si="71"/>
        <v>#DIV/0!</v>
      </c>
      <c r="V150" s="292">
        <f t="shared" si="71"/>
        <v>0</v>
      </c>
      <c r="W150" s="246"/>
      <c r="X150" s="246"/>
      <c r="Y150" s="246"/>
      <c r="Z150" s="246"/>
      <c r="AA150" s="246"/>
      <c r="AB150" s="246"/>
      <c r="AC150" s="246"/>
      <c r="AD150" s="246"/>
      <c r="AE150" s="246"/>
      <c r="AF150" s="246"/>
      <c r="AG150" s="246"/>
      <c r="AH150" s="246"/>
      <c r="AI150" s="246"/>
      <c r="AJ150" s="10"/>
      <c r="AK150" s="26"/>
      <c r="AM150" s="41"/>
      <c r="BW150" s="40"/>
      <c r="BX150" s="40"/>
      <c r="DA150" s="40"/>
      <c r="EI150" s="30"/>
      <c r="EJ150" s="40"/>
      <c r="EK150" s="40"/>
      <c r="EL150" s="40"/>
      <c r="EM150" s="40"/>
      <c r="GP150" s="40"/>
      <c r="KK150" s="40"/>
      <c r="KL150" s="40"/>
      <c r="KM150" s="40"/>
      <c r="KN150" s="40"/>
      <c r="PR150" s="40"/>
      <c r="PS150" s="40"/>
      <c r="PU150" s="40"/>
      <c r="QI150" s="39"/>
      <c r="QM150" s="40"/>
      <c r="SP150" s="39"/>
      <c r="AHY150" s="5"/>
      <c r="AJN150" s="5"/>
      <c r="AJO150" s="5"/>
      <c r="AJP150" s="5"/>
    </row>
    <row r="151" spans="2:952" x14ac:dyDescent="0.25">
      <c r="B151" s="135"/>
      <c r="C151" s="243" t="s">
        <v>32</v>
      </c>
      <c r="D151" s="290"/>
      <c r="E151" s="135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46"/>
      <c r="X151" s="246"/>
      <c r="Y151" s="246"/>
      <c r="Z151" s="246"/>
      <c r="AA151" s="246"/>
      <c r="AB151" s="246"/>
      <c r="AC151" s="246"/>
      <c r="AD151" s="246"/>
      <c r="AE151" s="246"/>
      <c r="AF151" s="246"/>
      <c r="AG151" s="246"/>
      <c r="AH151" s="246"/>
      <c r="AI151" s="246"/>
      <c r="AJ151" s="10"/>
      <c r="AK151" s="26"/>
      <c r="AM151" s="41"/>
      <c r="BW151" s="40"/>
      <c r="BX151" s="40"/>
      <c r="DA151" s="40"/>
      <c r="EI151" s="30"/>
      <c r="EJ151" s="40"/>
      <c r="EK151" s="40"/>
      <c r="EL151" s="40"/>
      <c r="EM151" s="40"/>
      <c r="GP151" s="40"/>
      <c r="KK151" s="40"/>
      <c r="KL151" s="40"/>
      <c r="KM151" s="40"/>
      <c r="KN151" s="40"/>
      <c r="PR151" s="40"/>
      <c r="PS151" s="40"/>
      <c r="PU151" s="40"/>
      <c r="QI151" s="39"/>
      <c r="QM151" s="40"/>
      <c r="SP151" s="39"/>
      <c r="AHY151" s="5"/>
      <c r="AJN151" s="5"/>
      <c r="AJO151" s="5"/>
      <c r="AJP151" s="5"/>
    </row>
    <row r="152" spans="2:952" x14ac:dyDescent="0.25">
      <c r="B152" s="135"/>
      <c r="C152" s="165" t="s">
        <v>50</v>
      </c>
      <c r="D152" s="290">
        <v>0.5</v>
      </c>
      <c r="E152" s="214" t="s">
        <v>29</v>
      </c>
      <c r="F152" s="292">
        <f t="shared" ref="F152:V153" si="72">F145/F136*100</f>
        <v>0</v>
      </c>
      <c r="G152" s="292">
        <f t="shared" si="72"/>
        <v>0</v>
      </c>
      <c r="H152" s="292">
        <f t="shared" si="72"/>
        <v>0</v>
      </c>
      <c r="I152" s="292">
        <f t="shared" si="72"/>
        <v>0</v>
      </c>
      <c r="J152" s="292">
        <f t="shared" si="72"/>
        <v>0</v>
      </c>
      <c r="K152" s="292" t="e">
        <f t="shared" si="72"/>
        <v>#DIV/0!</v>
      </c>
      <c r="L152" s="292">
        <f t="shared" si="72"/>
        <v>0</v>
      </c>
      <c r="M152" s="292">
        <f t="shared" si="72"/>
        <v>0</v>
      </c>
      <c r="N152" s="292">
        <f t="shared" si="72"/>
        <v>0</v>
      </c>
      <c r="O152" s="292">
        <f t="shared" si="72"/>
        <v>0</v>
      </c>
      <c r="P152" s="292">
        <f t="shared" si="72"/>
        <v>0</v>
      </c>
      <c r="Q152" s="292">
        <f t="shared" si="72"/>
        <v>0</v>
      </c>
      <c r="R152" s="292" t="e">
        <f t="shared" si="72"/>
        <v>#DIV/0!</v>
      </c>
      <c r="S152" s="292" t="e">
        <f t="shared" si="72"/>
        <v>#DIV/0!</v>
      </c>
      <c r="T152" s="292">
        <f t="shared" si="72"/>
        <v>0</v>
      </c>
      <c r="U152" s="292">
        <f t="shared" si="72"/>
        <v>0</v>
      </c>
      <c r="V152" s="292" t="e">
        <f t="shared" si="72"/>
        <v>#DIV/0!</v>
      </c>
      <c r="W152" s="246"/>
      <c r="X152" s="246"/>
      <c r="Y152" s="246"/>
      <c r="Z152" s="246"/>
      <c r="AA152" s="246"/>
      <c r="AB152" s="246"/>
      <c r="AC152" s="246"/>
      <c r="AD152" s="246"/>
      <c r="AE152" s="246"/>
      <c r="AF152" s="246"/>
      <c r="AG152" s="246"/>
      <c r="AH152" s="246"/>
      <c r="AI152" s="246"/>
      <c r="AJ152" s="10"/>
      <c r="AK152" s="26"/>
      <c r="AM152" s="41"/>
      <c r="BW152" s="40"/>
      <c r="BX152" s="40"/>
      <c r="DA152" s="40"/>
      <c r="EI152" s="30"/>
      <c r="EJ152" s="40"/>
      <c r="EK152" s="40"/>
      <c r="EL152" s="40"/>
      <c r="EM152" s="40"/>
      <c r="GP152" s="40"/>
      <c r="KK152" s="40"/>
      <c r="KL152" s="40"/>
      <c r="KM152" s="40"/>
      <c r="KN152" s="40"/>
      <c r="PR152" s="40"/>
      <c r="PS152" s="40"/>
      <c r="PU152" s="40"/>
      <c r="QI152" s="39"/>
      <c r="QM152" s="40"/>
      <c r="SP152" s="39"/>
      <c r="AHY152" s="5"/>
      <c r="AJN152" s="5"/>
      <c r="AJO152" s="5"/>
      <c r="AJP152" s="5"/>
    </row>
    <row r="153" spans="2:952" x14ac:dyDescent="0.25">
      <c r="B153" s="135"/>
      <c r="C153" s="165" t="s">
        <v>170</v>
      </c>
      <c r="D153" s="290">
        <v>0.5</v>
      </c>
      <c r="E153" s="214" t="s">
        <v>29</v>
      </c>
      <c r="F153" s="292" t="e">
        <f t="shared" si="72"/>
        <v>#DIV/0!</v>
      </c>
      <c r="G153" s="292" t="e">
        <f t="shared" si="72"/>
        <v>#DIV/0!</v>
      </c>
      <c r="H153" s="292" t="e">
        <f t="shared" si="72"/>
        <v>#DIV/0!</v>
      </c>
      <c r="I153" s="292" t="e">
        <f t="shared" si="72"/>
        <v>#DIV/0!</v>
      </c>
      <c r="J153" s="292" t="e">
        <f t="shared" si="72"/>
        <v>#DIV/0!</v>
      </c>
      <c r="K153" s="292" t="e">
        <f t="shared" si="72"/>
        <v>#DIV/0!</v>
      </c>
      <c r="L153" s="292" t="e">
        <f t="shared" si="72"/>
        <v>#DIV/0!</v>
      </c>
      <c r="M153" s="292" t="e">
        <f t="shared" si="72"/>
        <v>#DIV/0!</v>
      </c>
      <c r="N153" s="292">
        <f t="shared" si="72"/>
        <v>0</v>
      </c>
      <c r="O153" s="292">
        <f t="shared" si="72"/>
        <v>0</v>
      </c>
      <c r="P153" s="292" t="e">
        <f t="shared" si="72"/>
        <v>#DIV/0!</v>
      </c>
      <c r="Q153" s="292" t="e">
        <f t="shared" si="72"/>
        <v>#DIV/0!</v>
      </c>
      <c r="R153" s="292" t="e">
        <f t="shared" si="72"/>
        <v>#DIV/0!</v>
      </c>
      <c r="S153" s="292" t="e">
        <f t="shared" si="72"/>
        <v>#DIV/0!</v>
      </c>
      <c r="T153" s="292" t="e">
        <f t="shared" si="72"/>
        <v>#DIV/0!</v>
      </c>
      <c r="U153" s="292" t="e">
        <f t="shared" si="72"/>
        <v>#DIV/0!</v>
      </c>
      <c r="V153" s="292">
        <f t="shared" si="72"/>
        <v>0</v>
      </c>
      <c r="W153" s="246"/>
      <c r="X153" s="246"/>
      <c r="Y153" s="246"/>
      <c r="Z153" s="246"/>
      <c r="AA153" s="246"/>
      <c r="AB153" s="246"/>
      <c r="AC153" s="246"/>
      <c r="AD153" s="246"/>
      <c r="AE153" s="246"/>
      <c r="AF153" s="246"/>
      <c r="AG153" s="246"/>
      <c r="AH153" s="246"/>
      <c r="AI153" s="246"/>
      <c r="AJ153" s="10"/>
      <c r="AK153" s="26"/>
      <c r="AM153" s="41"/>
      <c r="BW153" s="40"/>
      <c r="BX153" s="40"/>
      <c r="DA153" s="40"/>
      <c r="EI153" s="30"/>
      <c r="EJ153" s="40"/>
      <c r="EK153" s="40"/>
      <c r="EL153" s="40"/>
      <c r="EM153" s="40"/>
      <c r="GP153" s="40"/>
      <c r="KK153" s="40"/>
      <c r="KL153" s="40"/>
      <c r="KM153" s="40"/>
      <c r="KN153" s="40"/>
      <c r="PR153" s="40"/>
      <c r="PS153" s="40"/>
      <c r="PU153" s="40"/>
      <c r="QI153" s="39"/>
      <c r="QM153" s="40"/>
      <c r="SP153" s="39"/>
      <c r="AHY153" s="5"/>
      <c r="AJN153" s="5"/>
      <c r="AJO153" s="5"/>
      <c r="AJP153" s="5"/>
    </row>
    <row r="154" spans="2:952" x14ac:dyDescent="0.25">
      <c r="B154" s="179">
        <v>8</v>
      </c>
      <c r="C154" s="161" t="s">
        <v>48</v>
      </c>
      <c r="D154" s="180"/>
      <c r="E154" s="180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2"/>
      <c r="AD154" s="181"/>
      <c r="AE154" s="181"/>
      <c r="AF154" s="181"/>
      <c r="AG154" s="181"/>
      <c r="AH154" s="181"/>
      <c r="AI154" s="181"/>
      <c r="AJ154" s="31"/>
      <c r="AK154" s="46" t="s">
        <v>47</v>
      </c>
      <c r="AM154" s="8"/>
      <c r="BW154" s="5"/>
      <c r="BX154" s="5"/>
      <c r="DA154" s="5"/>
      <c r="EI154" s="30"/>
      <c r="EJ154" s="5"/>
      <c r="EK154" s="5"/>
      <c r="EL154" s="5"/>
      <c r="EM154" s="5"/>
      <c r="GP154" s="5"/>
      <c r="KK154" s="5"/>
      <c r="KL154" s="5"/>
      <c r="KM154" s="5"/>
      <c r="KN154" s="5"/>
      <c r="PR154" s="5"/>
      <c r="PS154" s="5"/>
      <c r="PU154" s="5"/>
      <c r="QI154" s="27"/>
      <c r="QM154" s="5"/>
      <c r="SP154" s="27"/>
      <c r="AHY154" s="5"/>
      <c r="AJN154" s="5"/>
      <c r="AJO154" s="5"/>
      <c r="AJP154" s="5"/>
    </row>
    <row r="155" spans="2:952" x14ac:dyDescent="0.25">
      <c r="B155" s="135"/>
      <c r="C155" s="249" t="s">
        <v>45</v>
      </c>
      <c r="D155" s="250"/>
      <c r="E155" s="251" t="s">
        <v>16</v>
      </c>
      <c r="F155" s="304">
        <v>0</v>
      </c>
      <c r="G155" s="304">
        <v>0</v>
      </c>
      <c r="H155" s="304">
        <v>0</v>
      </c>
      <c r="I155" s="304">
        <v>0</v>
      </c>
      <c r="J155" s="304">
        <v>0</v>
      </c>
      <c r="K155" s="304">
        <v>0</v>
      </c>
      <c r="L155" s="304">
        <v>0</v>
      </c>
      <c r="M155" s="304">
        <v>0</v>
      </c>
      <c r="N155" s="304">
        <v>0</v>
      </c>
      <c r="O155" s="304">
        <v>0</v>
      </c>
      <c r="P155" s="304">
        <v>0</v>
      </c>
      <c r="Q155" s="304">
        <v>0</v>
      </c>
      <c r="R155" s="304">
        <v>0</v>
      </c>
      <c r="S155" s="304">
        <v>0</v>
      </c>
      <c r="T155" s="304">
        <v>0</v>
      </c>
      <c r="U155" s="304">
        <v>0</v>
      </c>
      <c r="V155" s="304">
        <v>0</v>
      </c>
      <c r="W155" s="304">
        <v>0</v>
      </c>
      <c r="X155" s="304">
        <v>0</v>
      </c>
      <c r="Y155" s="304">
        <v>0</v>
      </c>
      <c r="Z155" s="304">
        <v>0</v>
      </c>
      <c r="AA155" s="304">
        <v>0</v>
      </c>
      <c r="AB155" s="304">
        <v>0</v>
      </c>
      <c r="AC155" s="304">
        <v>0</v>
      </c>
      <c r="AD155" s="304">
        <v>0</v>
      </c>
      <c r="AE155" s="304">
        <v>0</v>
      </c>
      <c r="AF155" s="304">
        <v>0</v>
      </c>
      <c r="AG155" s="304">
        <v>0</v>
      </c>
      <c r="AH155" s="304">
        <v>0</v>
      </c>
      <c r="AI155" s="304">
        <v>0</v>
      </c>
      <c r="AJ155" s="25"/>
      <c r="AK155" s="52">
        <f>SUM(AK156:AK157)</f>
        <v>0</v>
      </c>
      <c r="AM155" s="39">
        <f>Q156/1000</f>
        <v>0</v>
      </c>
      <c r="BW155" s="40"/>
      <c r="BX155" s="40"/>
      <c r="DA155" s="40"/>
      <c r="EI155" s="30"/>
      <c r="EJ155" s="40"/>
      <c r="EK155" s="40"/>
      <c r="EL155" s="40"/>
      <c r="EM155" s="40"/>
      <c r="GP155" s="40"/>
      <c r="KK155" s="40"/>
      <c r="KL155" s="40"/>
      <c r="KM155" s="40"/>
      <c r="KN155" s="40"/>
      <c r="PR155" s="40"/>
      <c r="PS155" s="40"/>
      <c r="PU155" s="40"/>
      <c r="QI155" s="39"/>
      <c r="QM155" s="40"/>
      <c r="SP155" s="39"/>
      <c r="AHY155" s="5"/>
      <c r="AJN155" s="5"/>
      <c r="AJO155" s="5"/>
      <c r="AJP155" s="5"/>
    </row>
    <row r="156" spans="2:952" x14ac:dyDescent="0.25">
      <c r="B156" s="135"/>
      <c r="C156" s="243" t="s">
        <v>44</v>
      </c>
      <c r="D156" s="192"/>
      <c r="E156" s="214" t="s">
        <v>16</v>
      </c>
      <c r="F156" s="292">
        <f>SUM(F159:F161)*9.75348</f>
        <v>0</v>
      </c>
      <c r="G156" s="292">
        <f t="shared" ref="G156:T156" si="73">SUM(G159:G161)*9.75348</f>
        <v>0</v>
      </c>
      <c r="H156" s="292">
        <f t="shared" si="73"/>
        <v>0</v>
      </c>
      <c r="I156" s="292">
        <f t="shared" si="73"/>
        <v>0</v>
      </c>
      <c r="J156" s="292">
        <f t="shared" si="73"/>
        <v>0</v>
      </c>
      <c r="K156" s="292">
        <f t="shared" si="73"/>
        <v>0</v>
      </c>
      <c r="L156" s="292">
        <f t="shared" si="73"/>
        <v>0</v>
      </c>
      <c r="M156" s="292">
        <f t="shared" si="73"/>
        <v>0</v>
      </c>
      <c r="N156" s="292">
        <f t="shared" si="73"/>
        <v>0</v>
      </c>
      <c r="O156" s="292">
        <f t="shared" si="73"/>
        <v>0</v>
      </c>
      <c r="P156" s="292">
        <f t="shared" si="73"/>
        <v>0</v>
      </c>
      <c r="Q156" s="292">
        <f t="shared" si="73"/>
        <v>0</v>
      </c>
      <c r="R156" s="292">
        <f t="shared" si="73"/>
        <v>0</v>
      </c>
      <c r="S156" s="292">
        <f t="shared" si="73"/>
        <v>0</v>
      </c>
      <c r="T156" s="292">
        <f t="shared" si="73"/>
        <v>0</v>
      </c>
      <c r="U156" s="292">
        <f t="shared" ref="U156:AI156" si="74">SUM(U159:U161)*9.75348</f>
        <v>0</v>
      </c>
      <c r="V156" s="292">
        <f t="shared" si="74"/>
        <v>0</v>
      </c>
      <c r="W156" s="292">
        <f t="shared" si="74"/>
        <v>0</v>
      </c>
      <c r="X156" s="292">
        <f t="shared" si="74"/>
        <v>0</v>
      </c>
      <c r="Y156" s="292">
        <f t="shared" si="74"/>
        <v>0</v>
      </c>
      <c r="Z156" s="292">
        <f t="shared" si="74"/>
        <v>0</v>
      </c>
      <c r="AA156" s="292">
        <f t="shared" si="74"/>
        <v>0</v>
      </c>
      <c r="AB156" s="292">
        <f t="shared" si="74"/>
        <v>0</v>
      </c>
      <c r="AC156" s="292">
        <f t="shared" si="74"/>
        <v>0</v>
      </c>
      <c r="AD156" s="292">
        <f t="shared" si="74"/>
        <v>0</v>
      </c>
      <c r="AE156" s="292">
        <f t="shared" si="74"/>
        <v>0</v>
      </c>
      <c r="AF156" s="292">
        <f t="shared" si="74"/>
        <v>0</v>
      </c>
      <c r="AG156" s="292">
        <f t="shared" si="74"/>
        <v>0</v>
      </c>
      <c r="AH156" s="292">
        <f t="shared" si="74"/>
        <v>0</v>
      </c>
      <c r="AI156" s="292">
        <f t="shared" si="74"/>
        <v>0</v>
      </c>
      <c r="AJ156" s="10"/>
      <c r="AK156" s="44">
        <f>SUM(F156:AI156)</f>
        <v>0</v>
      </c>
      <c r="AM156" s="39"/>
      <c r="BW156" s="40"/>
      <c r="BX156" s="40"/>
      <c r="DA156" s="40"/>
      <c r="EI156" s="30"/>
      <c r="EJ156" s="40"/>
      <c r="EK156" s="40"/>
      <c r="EL156" s="40"/>
      <c r="EM156" s="40"/>
      <c r="GP156" s="40"/>
      <c r="KK156" s="40"/>
      <c r="KL156" s="40"/>
      <c r="KM156" s="40"/>
      <c r="KN156" s="40"/>
      <c r="PR156" s="40"/>
      <c r="PS156" s="40"/>
      <c r="PU156" s="40"/>
      <c r="QI156" s="39"/>
      <c r="QM156" s="40"/>
      <c r="SP156" s="39"/>
      <c r="AHY156" s="5"/>
      <c r="AJN156" s="5"/>
      <c r="AJO156" s="5"/>
      <c r="AJP156" s="5"/>
    </row>
    <row r="157" spans="2:952" x14ac:dyDescent="0.25">
      <c r="B157" s="135"/>
      <c r="C157" s="243" t="s">
        <v>43</v>
      </c>
      <c r="D157" s="192"/>
      <c r="E157" s="214" t="s">
        <v>16</v>
      </c>
      <c r="F157" s="292">
        <f>F155-F156</f>
        <v>0</v>
      </c>
      <c r="G157" s="292">
        <f t="shared" ref="G157:AI157" si="75">G155-G156</f>
        <v>0</v>
      </c>
      <c r="H157" s="292">
        <f t="shared" si="75"/>
        <v>0</v>
      </c>
      <c r="I157" s="292">
        <f t="shared" si="75"/>
        <v>0</v>
      </c>
      <c r="J157" s="292">
        <f t="shared" si="75"/>
        <v>0</v>
      </c>
      <c r="K157" s="292">
        <f t="shared" si="75"/>
        <v>0</v>
      </c>
      <c r="L157" s="292">
        <f t="shared" si="75"/>
        <v>0</v>
      </c>
      <c r="M157" s="292">
        <f t="shared" si="75"/>
        <v>0</v>
      </c>
      <c r="N157" s="292">
        <f t="shared" si="75"/>
        <v>0</v>
      </c>
      <c r="O157" s="292">
        <f t="shared" si="75"/>
        <v>0</v>
      </c>
      <c r="P157" s="292">
        <f t="shared" si="75"/>
        <v>0</v>
      </c>
      <c r="Q157" s="292">
        <f t="shared" si="75"/>
        <v>0</v>
      </c>
      <c r="R157" s="292">
        <f t="shared" si="75"/>
        <v>0</v>
      </c>
      <c r="S157" s="292">
        <f t="shared" si="75"/>
        <v>0</v>
      </c>
      <c r="T157" s="292">
        <f t="shared" si="75"/>
        <v>0</v>
      </c>
      <c r="U157" s="292">
        <f t="shared" si="75"/>
        <v>0</v>
      </c>
      <c r="V157" s="292">
        <f t="shared" si="75"/>
        <v>0</v>
      </c>
      <c r="W157" s="292">
        <f t="shared" si="75"/>
        <v>0</v>
      </c>
      <c r="X157" s="292">
        <f t="shared" si="75"/>
        <v>0</v>
      </c>
      <c r="Y157" s="292">
        <f t="shared" si="75"/>
        <v>0</v>
      </c>
      <c r="Z157" s="292">
        <f t="shared" si="75"/>
        <v>0</v>
      </c>
      <c r="AA157" s="292">
        <f t="shared" si="75"/>
        <v>0</v>
      </c>
      <c r="AB157" s="292">
        <f t="shared" si="75"/>
        <v>0</v>
      </c>
      <c r="AC157" s="292">
        <f t="shared" si="75"/>
        <v>0</v>
      </c>
      <c r="AD157" s="292">
        <f t="shared" si="75"/>
        <v>0</v>
      </c>
      <c r="AE157" s="292">
        <f t="shared" si="75"/>
        <v>0</v>
      </c>
      <c r="AF157" s="292">
        <f t="shared" si="75"/>
        <v>0</v>
      </c>
      <c r="AG157" s="292">
        <f t="shared" si="75"/>
        <v>0</v>
      </c>
      <c r="AH157" s="292">
        <f t="shared" si="75"/>
        <v>0</v>
      </c>
      <c r="AI157" s="292">
        <f t="shared" si="75"/>
        <v>0</v>
      </c>
      <c r="AJ157" s="10"/>
      <c r="AK157" s="44">
        <f>SUM(F157:AI157)</f>
        <v>0</v>
      </c>
      <c r="AM157" s="302"/>
      <c r="BW157" s="40"/>
      <c r="BX157" s="40"/>
      <c r="DA157" s="40"/>
      <c r="EI157" s="30"/>
      <c r="EJ157" s="40"/>
      <c r="EK157" s="40"/>
      <c r="EL157" s="40"/>
      <c r="EM157" s="40"/>
      <c r="GP157" s="40"/>
      <c r="KK157" s="40"/>
      <c r="KL157" s="40"/>
      <c r="KM157" s="40"/>
      <c r="KN157" s="40"/>
      <c r="PR157" s="40"/>
      <c r="PS157" s="40"/>
      <c r="PU157" s="40"/>
      <c r="QI157" s="39"/>
      <c r="QM157" s="40"/>
      <c r="SP157" s="39"/>
      <c r="AHY157" s="5"/>
      <c r="AJN157" s="5"/>
      <c r="AJO157" s="5"/>
      <c r="AJP157" s="5"/>
    </row>
    <row r="158" spans="2:952" x14ac:dyDescent="0.25">
      <c r="B158" s="135"/>
      <c r="C158" s="243" t="s">
        <v>33</v>
      </c>
      <c r="D158" s="192"/>
      <c r="E158" s="135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0"/>
      <c r="AK158" s="45" t="s">
        <v>33</v>
      </c>
      <c r="AM158" s="41"/>
      <c r="BW158" s="40"/>
      <c r="BX158" s="40"/>
      <c r="DA158" s="40"/>
      <c r="EI158" s="30"/>
      <c r="EJ158" s="40"/>
      <c r="EK158" s="40"/>
      <c r="EL158" s="40"/>
      <c r="EM158" s="40"/>
      <c r="GP158" s="40"/>
      <c r="KK158" s="40"/>
      <c r="KL158" s="40"/>
      <c r="KM158" s="40"/>
      <c r="KN158" s="40"/>
      <c r="PR158" s="40"/>
      <c r="PS158" s="40"/>
      <c r="PU158" s="40"/>
      <c r="QI158" s="39"/>
      <c r="QM158" s="40"/>
      <c r="SP158" s="39"/>
      <c r="AHY158" s="5"/>
      <c r="AJN158" s="5"/>
      <c r="AJO158" s="5"/>
      <c r="AJP158" s="5"/>
    </row>
    <row r="159" spans="2:952" x14ac:dyDescent="0.25">
      <c r="B159" s="167"/>
      <c r="C159" s="165" t="s">
        <v>31</v>
      </c>
      <c r="D159" s="166"/>
      <c r="E159" s="245" t="s">
        <v>36</v>
      </c>
      <c r="F159" s="246">
        <v>0</v>
      </c>
      <c r="G159" s="246">
        <v>0</v>
      </c>
      <c r="H159" s="246">
        <v>0</v>
      </c>
      <c r="I159" s="246">
        <v>0</v>
      </c>
      <c r="J159" s="246">
        <v>0</v>
      </c>
      <c r="K159" s="246">
        <v>0</v>
      </c>
      <c r="L159" s="246">
        <v>0</v>
      </c>
      <c r="M159" s="246">
        <v>0</v>
      </c>
      <c r="N159" s="246">
        <v>0</v>
      </c>
      <c r="O159" s="246">
        <v>0</v>
      </c>
      <c r="P159" s="246">
        <v>0</v>
      </c>
      <c r="Q159" s="246">
        <v>0</v>
      </c>
      <c r="R159" s="246">
        <v>0</v>
      </c>
      <c r="S159" s="246">
        <v>0</v>
      </c>
      <c r="T159" s="246">
        <v>0</v>
      </c>
      <c r="U159" s="246">
        <v>0</v>
      </c>
      <c r="V159" s="246">
        <v>0</v>
      </c>
      <c r="W159" s="246">
        <v>0</v>
      </c>
      <c r="X159" s="246">
        <v>0</v>
      </c>
      <c r="Y159" s="246">
        <v>0</v>
      </c>
      <c r="Z159" s="246">
        <v>0</v>
      </c>
      <c r="AA159" s="246">
        <v>0</v>
      </c>
      <c r="AB159" s="246">
        <v>0</v>
      </c>
      <c r="AC159" s="246">
        <v>0</v>
      </c>
      <c r="AD159" s="246">
        <v>0</v>
      </c>
      <c r="AE159" s="246">
        <v>0</v>
      </c>
      <c r="AF159" s="246">
        <v>0</v>
      </c>
      <c r="AG159" s="246">
        <v>0</v>
      </c>
      <c r="AH159" s="246">
        <v>0</v>
      </c>
      <c r="AI159" s="246">
        <v>0</v>
      </c>
      <c r="AJ159" s="51"/>
      <c r="AK159" s="50">
        <f>SUM(F159:AI159)</f>
        <v>0</v>
      </c>
      <c r="AM159" s="49"/>
      <c r="BW159" s="48"/>
      <c r="BX159" s="48"/>
      <c r="DA159" s="48"/>
      <c r="EI159" s="16"/>
      <c r="EJ159" s="48"/>
      <c r="EK159" s="48"/>
      <c r="EL159" s="48"/>
      <c r="EM159" s="48"/>
      <c r="GP159" s="48"/>
      <c r="KK159" s="48"/>
      <c r="KL159" s="48"/>
      <c r="KM159" s="48"/>
      <c r="KN159" s="48"/>
      <c r="PR159" s="48"/>
      <c r="PS159" s="48"/>
      <c r="PU159" s="48"/>
      <c r="QI159" s="47"/>
      <c r="QM159" s="48"/>
      <c r="SP159" s="47"/>
      <c r="AHY159" s="14"/>
      <c r="AJN159" s="14"/>
      <c r="AJO159" s="14"/>
      <c r="AJP159" s="14"/>
    </row>
    <row r="160" spans="2:952" x14ac:dyDescent="0.25">
      <c r="B160" s="167"/>
      <c r="C160" s="165" t="s">
        <v>30</v>
      </c>
      <c r="D160" s="166"/>
      <c r="E160" s="245" t="s">
        <v>36</v>
      </c>
      <c r="F160" s="246">
        <v>0</v>
      </c>
      <c r="G160" s="246">
        <v>0</v>
      </c>
      <c r="H160" s="246">
        <v>0</v>
      </c>
      <c r="I160" s="246">
        <v>0</v>
      </c>
      <c r="J160" s="246">
        <v>0</v>
      </c>
      <c r="K160" s="246">
        <v>0</v>
      </c>
      <c r="L160" s="246">
        <v>0</v>
      </c>
      <c r="M160" s="246">
        <v>0</v>
      </c>
      <c r="N160" s="246">
        <v>0</v>
      </c>
      <c r="O160" s="246">
        <v>0</v>
      </c>
      <c r="P160" s="246">
        <v>0</v>
      </c>
      <c r="Q160" s="246">
        <v>0</v>
      </c>
      <c r="R160" s="246">
        <v>0</v>
      </c>
      <c r="S160" s="246">
        <v>0</v>
      </c>
      <c r="T160" s="246">
        <v>0</v>
      </c>
      <c r="U160" s="246">
        <v>0</v>
      </c>
      <c r="V160" s="246">
        <v>0</v>
      </c>
      <c r="W160" s="246">
        <v>0</v>
      </c>
      <c r="X160" s="246">
        <v>0</v>
      </c>
      <c r="Y160" s="246">
        <v>0</v>
      </c>
      <c r="Z160" s="246">
        <v>0</v>
      </c>
      <c r="AA160" s="246">
        <v>0</v>
      </c>
      <c r="AB160" s="246">
        <v>0</v>
      </c>
      <c r="AC160" s="246">
        <v>0</v>
      </c>
      <c r="AD160" s="246">
        <v>0</v>
      </c>
      <c r="AE160" s="246">
        <v>0</v>
      </c>
      <c r="AF160" s="246">
        <v>0</v>
      </c>
      <c r="AG160" s="246">
        <v>0</v>
      </c>
      <c r="AH160" s="246">
        <v>0</v>
      </c>
      <c r="AI160" s="246">
        <v>0</v>
      </c>
      <c r="AJ160" s="51"/>
      <c r="AK160" s="50">
        <f>SUM(F160:AI160)</f>
        <v>0</v>
      </c>
      <c r="AM160" s="49"/>
      <c r="BW160" s="48"/>
      <c r="BX160" s="48"/>
      <c r="DA160" s="48"/>
      <c r="EI160" s="16"/>
      <c r="EJ160" s="48"/>
      <c r="EK160" s="48"/>
      <c r="EL160" s="48"/>
      <c r="EM160" s="48"/>
      <c r="GP160" s="48"/>
      <c r="KK160" s="48"/>
      <c r="KL160" s="48"/>
      <c r="KM160" s="48"/>
      <c r="KN160" s="48"/>
      <c r="PR160" s="48"/>
      <c r="PS160" s="48"/>
      <c r="PU160" s="48"/>
      <c r="QI160" s="47"/>
      <c r="QM160" s="48"/>
      <c r="SP160" s="47"/>
      <c r="AHY160" s="14"/>
      <c r="AJN160" s="14"/>
      <c r="AJO160" s="14"/>
      <c r="AJP160" s="14"/>
    </row>
    <row r="161" spans="2:952" x14ac:dyDescent="0.25">
      <c r="B161" s="167"/>
      <c r="C161" s="165" t="s">
        <v>42</v>
      </c>
      <c r="D161" s="166"/>
      <c r="E161" s="245" t="s">
        <v>36</v>
      </c>
      <c r="F161" s="246">
        <v>0</v>
      </c>
      <c r="G161" s="246">
        <v>0</v>
      </c>
      <c r="H161" s="246">
        <v>0</v>
      </c>
      <c r="I161" s="246">
        <v>0</v>
      </c>
      <c r="J161" s="246">
        <v>0</v>
      </c>
      <c r="K161" s="246">
        <v>0</v>
      </c>
      <c r="L161" s="246">
        <v>0</v>
      </c>
      <c r="M161" s="246">
        <v>0</v>
      </c>
      <c r="N161" s="246">
        <v>0</v>
      </c>
      <c r="O161" s="246">
        <v>0</v>
      </c>
      <c r="P161" s="246">
        <v>0</v>
      </c>
      <c r="Q161" s="246">
        <v>0</v>
      </c>
      <c r="R161" s="246">
        <v>0</v>
      </c>
      <c r="S161" s="246">
        <v>0</v>
      </c>
      <c r="T161" s="246">
        <v>0</v>
      </c>
      <c r="U161" s="246">
        <v>0</v>
      </c>
      <c r="V161" s="246">
        <v>0</v>
      </c>
      <c r="W161" s="246">
        <v>0</v>
      </c>
      <c r="X161" s="246">
        <v>0</v>
      </c>
      <c r="Y161" s="246">
        <v>0</v>
      </c>
      <c r="Z161" s="246">
        <v>0</v>
      </c>
      <c r="AA161" s="246">
        <v>0</v>
      </c>
      <c r="AB161" s="246">
        <v>0</v>
      </c>
      <c r="AC161" s="246">
        <v>0</v>
      </c>
      <c r="AD161" s="246">
        <v>0</v>
      </c>
      <c r="AE161" s="246">
        <v>0</v>
      </c>
      <c r="AF161" s="246">
        <v>0</v>
      </c>
      <c r="AG161" s="246">
        <v>0</v>
      </c>
      <c r="AH161" s="246">
        <v>0</v>
      </c>
      <c r="AI161" s="246">
        <v>0</v>
      </c>
      <c r="AJ161" s="51"/>
      <c r="AK161" s="50">
        <f>SUM(F161:AI161)</f>
        <v>0</v>
      </c>
      <c r="AM161" s="49"/>
      <c r="BW161" s="48"/>
      <c r="BX161" s="48"/>
      <c r="DA161" s="48"/>
      <c r="EI161" s="16"/>
      <c r="EJ161" s="48"/>
      <c r="EK161" s="48"/>
      <c r="EL161" s="48"/>
      <c r="EM161" s="48"/>
      <c r="GP161" s="48"/>
      <c r="KK161" s="48"/>
      <c r="KL161" s="48"/>
      <c r="KM161" s="48"/>
      <c r="KN161" s="48"/>
      <c r="PR161" s="48"/>
      <c r="PS161" s="48"/>
      <c r="PU161" s="48"/>
      <c r="QI161" s="47"/>
      <c r="QM161" s="48"/>
      <c r="SP161" s="47"/>
      <c r="AHY161" s="14"/>
      <c r="AJN161" s="14"/>
      <c r="AJO161" s="14"/>
      <c r="AJP161" s="14"/>
    </row>
    <row r="162" spans="2:952" x14ac:dyDescent="0.25">
      <c r="B162" s="135"/>
      <c r="C162" s="243" t="s">
        <v>32</v>
      </c>
      <c r="D162" s="192"/>
      <c r="E162" s="135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0"/>
      <c r="AK162" s="45" t="s">
        <v>32</v>
      </c>
      <c r="AM162" s="41"/>
      <c r="BW162" s="40"/>
      <c r="BX162" s="40"/>
      <c r="DA162" s="40"/>
      <c r="EI162" s="30"/>
      <c r="EJ162" s="40"/>
      <c r="EK162" s="40"/>
      <c r="EL162" s="40"/>
      <c r="EM162" s="40"/>
      <c r="GP162" s="40"/>
      <c r="KK162" s="40"/>
      <c r="KL162" s="40"/>
      <c r="KM162" s="40"/>
      <c r="KN162" s="40"/>
      <c r="PR162" s="40"/>
      <c r="PS162" s="40"/>
      <c r="PU162" s="40"/>
      <c r="QI162" s="39"/>
      <c r="QM162" s="40"/>
      <c r="SP162" s="39"/>
      <c r="AHY162" s="5"/>
      <c r="AJN162" s="5"/>
      <c r="AJO162" s="5"/>
      <c r="AJP162" s="5"/>
    </row>
    <row r="163" spans="2:952" x14ac:dyDescent="0.25">
      <c r="B163" s="135"/>
      <c r="C163" s="165" t="s">
        <v>31</v>
      </c>
      <c r="D163" s="192"/>
      <c r="E163" s="214" t="s">
        <v>32</v>
      </c>
      <c r="F163" s="11">
        <f>F159*24</f>
        <v>0</v>
      </c>
      <c r="G163" s="11">
        <f t="shared" ref="G163:AI163" si="76">G159*24</f>
        <v>0</v>
      </c>
      <c r="H163" s="11">
        <f t="shared" si="76"/>
        <v>0</v>
      </c>
      <c r="I163" s="11">
        <f t="shared" si="76"/>
        <v>0</v>
      </c>
      <c r="J163" s="11">
        <f t="shared" si="76"/>
        <v>0</v>
      </c>
      <c r="K163" s="11">
        <f t="shared" si="76"/>
        <v>0</v>
      </c>
      <c r="L163" s="11">
        <f t="shared" si="76"/>
        <v>0</v>
      </c>
      <c r="M163" s="11">
        <f t="shared" si="76"/>
        <v>0</v>
      </c>
      <c r="N163" s="11">
        <f t="shared" si="76"/>
        <v>0</v>
      </c>
      <c r="O163" s="11">
        <f t="shared" si="76"/>
        <v>0</v>
      </c>
      <c r="P163" s="11">
        <f t="shared" si="76"/>
        <v>0</v>
      </c>
      <c r="Q163" s="11">
        <f t="shared" si="76"/>
        <v>0</v>
      </c>
      <c r="R163" s="11">
        <f t="shared" si="76"/>
        <v>0</v>
      </c>
      <c r="S163" s="11">
        <f t="shared" si="76"/>
        <v>0</v>
      </c>
      <c r="T163" s="11">
        <f t="shared" si="76"/>
        <v>0</v>
      </c>
      <c r="U163" s="11">
        <f t="shared" si="76"/>
        <v>0</v>
      </c>
      <c r="V163" s="11">
        <f t="shared" si="76"/>
        <v>0</v>
      </c>
      <c r="W163" s="11">
        <f t="shared" si="76"/>
        <v>0</v>
      </c>
      <c r="X163" s="11">
        <f t="shared" si="76"/>
        <v>0</v>
      </c>
      <c r="Y163" s="11">
        <f t="shared" si="76"/>
        <v>0</v>
      </c>
      <c r="Z163" s="11">
        <f t="shared" si="76"/>
        <v>0</v>
      </c>
      <c r="AA163" s="11">
        <f t="shared" si="76"/>
        <v>0</v>
      </c>
      <c r="AB163" s="11">
        <f t="shared" si="76"/>
        <v>0</v>
      </c>
      <c r="AC163" s="11">
        <f t="shared" si="76"/>
        <v>0</v>
      </c>
      <c r="AD163" s="11">
        <f t="shared" si="76"/>
        <v>0</v>
      </c>
      <c r="AE163" s="11">
        <f t="shared" si="76"/>
        <v>0</v>
      </c>
      <c r="AF163" s="11">
        <f t="shared" si="76"/>
        <v>0</v>
      </c>
      <c r="AG163" s="11">
        <f t="shared" si="76"/>
        <v>0</v>
      </c>
      <c r="AH163" s="11">
        <f t="shared" si="76"/>
        <v>0</v>
      </c>
      <c r="AI163" s="11">
        <f t="shared" si="76"/>
        <v>0</v>
      </c>
      <c r="AJ163" s="10"/>
      <c r="AK163" s="26">
        <f>AK159*24</f>
        <v>0</v>
      </c>
      <c r="AM163" s="302"/>
      <c r="BW163" s="40"/>
      <c r="BX163" s="40"/>
      <c r="DA163" s="40"/>
      <c r="EI163" s="30"/>
      <c r="EJ163" s="40"/>
      <c r="EK163" s="40"/>
      <c r="EL163" s="40"/>
      <c r="EM163" s="40"/>
      <c r="GP163" s="40"/>
      <c r="KK163" s="40"/>
      <c r="KL163" s="40"/>
      <c r="KM163" s="40"/>
      <c r="KN163" s="40"/>
      <c r="PR163" s="40"/>
      <c r="PS163" s="40"/>
      <c r="PU163" s="40"/>
      <c r="QI163" s="39"/>
      <c r="QM163" s="40"/>
      <c r="SP163" s="39"/>
      <c r="AHY163" s="5"/>
      <c r="AJN163" s="5"/>
      <c r="AJO163" s="5"/>
      <c r="AJP163" s="5"/>
    </row>
    <row r="164" spans="2:952" x14ac:dyDescent="0.25">
      <c r="B164" s="135"/>
      <c r="C164" s="165" t="s">
        <v>30</v>
      </c>
      <c r="D164" s="192"/>
      <c r="E164" s="214" t="s">
        <v>32</v>
      </c>
      <c r="F164" s="11">
        <f>F160*12</f>
        <v>0</v>
      </c>
      <c r="G164" s="11">
        <f t="shared" ref="G164:AI165" si="77">G160*12</f>
        <v>0</v>
      </c>
      <c r="H164" s="11">
        <f t="shared" si="77"/>
        <v>0</v>
      </c>
      <c r="I164" s="11">
        <f t="shared" si="77"/>
        <v>0</v>
      </c>
      <c r="J164" s="11">
        <f t="shared" si="77"/>
        <v>0</v>
      </c>
      <c r="K164" s="11">
        <f t="shared" si="77"/>
        <v>0</v>
      </c>
      <c r="L164" s="11">
        <f t="shared" si="77"/>
        <v>0</v>
      </c>
      <c r="M164" s="11">
        <f t="shared" si="77"/>
        <v>0</v>
      </c>
      <c r="N164" s="11">
        <f t="shared" si="77"/>
        <v>0</v>
      </c>
      <c r="O164" s="11">
        <f t="shared" si="77"/>
        <v>0</v>
      </c>
      <c r="P164" s="11">
        <f t="shared" si="77"/>
        <v>0</v>
      </c>
      <c r="Q164" s="11">
        <f t="shared" si="77"/>
        <v>0</v>
      </c>
      <c r="R164" s="11">
        <f t="shared" si="77"/>
        <v>0</v>
      </c>
      <c r="S164" s="11">
        <f t="shared" si="77"/>
        <v>0</v>
      </c>
      <c r="T164" s="11">
        <f t="shared" si="77"/>
        <v>0</v>
      </c>
      <c r="U164" s="11">
        <f t="shared" si="77"/>
        <v>0</v>
      </c>
      <c r="V164" s="11">
        <f t="shared" si="77"/>
        <v>0</v>
      </c>
      <c r="W164" s="11">
        <f t="shared" si="77"/>
        <v>0</v>
      </c>
      <c r="X164" s="11">
        <f t="shared" si="77"/>
        <v>0</v>
      </c>
      <c r="Y164" s="11">
        <f t="shared" si="77"/>
        <v>0</v>
      </c>
      <c r="Z164" s="11">
        <f t="shared" si="77"/>
        <v>0</v>
      </c>
      <c r="AA164" s="11">
        <f t="shared" si="77"/>
        <v>0</v>
      </c>
      <c r="AB164" s="11">
        <f t="shared" si="77"/>
        <v>0</v>
      </c>
      <c r="AC164" s="11">
        <f t="shared" si="77"/>
        <v>0</v>
      </c>
      <c r="AD164" s="11">
        <f t="shared" si="77"/>
        <v>0</v>
      </c>
      <c r="AE164" s="11">
        <f t="shared" si="77"/>
        <v>0</v>
      </c>
      <c r="AF164" s="11">
        <f t="shared" si="77"/>
        <v>0</v>
      </c>
      <c r="AG164" s="11">
        <f t="shared" si="77"/>
        <v>0</v>
      </c>
      <c r="AH164" s="11">
        <f t="shared" si="77"/>
        <v>0</v>
      </c>
      <c r="AI164" s="11">
        <f t="shared" si="77"/>
        <v>0</v>
      </c>
      <c r="AJ164" s="10"/>
      <c r="AK164" s="26">
        <f>AK160*12</f>
        <v>0</v>
      </c>
      <c r="AM164" s="41"/>
      <c r="BW164" s="40"/>
      <c r="BX164" s="40"/>
      <c r="DA164" s="40"/>
      <c r="EI164" s="30"/>
      <c r="EJ164" s="40"/>
      <c r="EK164" s="40"/>
      <c r="EL164" s="40"/>
      <c r="EM164" s="40"/>
      <c r="GP164" s="40"/>
      <c r="KK164" s="40"/>
      <c r="KL164" s="40"/>
      <c r="KM164" s="40"/>
      <c r="KN164" s="40"/>
      <c r="PR164" s="40"/>
      <c r="PS164" s="40"/>
      <c r="PU164" s="40"/>
      <c r="QI164" s="39"/>
      <c r="QM164" s="40"/>
      <c r="SP164" s="39"/>
      <c r="AHY164" s="5"/>
      <c r="AJN164" s="5"/>
      <c r="AJO164" s="5"/>
      <c r="AJP164" s="5"/>
    </row>
    <row r="165" spans="2:952" x14ac:dyDescent="0.25">
      <c r="B165" s="135"/>
      <c r="C165" s="165" t="s">
        <v>42</v>
      </c>
      <c r="D165" s="192"/>
      <c r="E165" s="214" t="s">
        <v>32</v>
      </c>
      <c r="F165" s="11">
        <f>F161*6</f>
        <v>0</v>
      </c>
      <c r="G165" s="11">
        <f t="shared" ref="G165:AC165" si="78">G161*6</f>
        <v>0</v>
      </c>
      <c r="H165" s="11">
        <f t="shared" si="78"/>
        <v>0</v>
      </c>
      <c r="I165" s="11">
        <f t="shared" si="78"/>
        <v>0</v>
      </c>
      <c r="J165" s="11">
        <f t="shared" si="78"/>
        <v>0</v>
      </c>
      <c r="K165" s="11">
        <f t="shared" si="78"/>
        <v>0</v>
      </c>
      <c r="L165" s="11">
        <f t="shared" si="78"/>
        <v>0</v>
      </c>
      <c r="M165" s="11">
        <f t="shared" si="78"/>
        <v>0</v>
      </c>
      <c r="N165" s="11">
        <f t="shared" si="78"/>
        <v>0</v>
      </c>
      <c r="O165" s="11">
        <f t="shared" si="78"/>
        <v>0</v>
      </c>
      <c r="P165" s="11">
        <f t="shared" si="78"/>
        <v>0</v>
      </c>
      <c r="Q165" s="11">
        <f t="shared" si="78"/>
        <v>0</v>
      </c>
      <c r="R165" s="11">
        <f t="shared" si="78"/>
        <v>0</v>
      </c>
      <c r="S165" s="11">
        <f t="shared" si="78"/>
        <v>0</v>
      </c>
      <c r="T165" s="11">
        <f t="shared" si="78"/>
        <v>0</v>
      </c>
      <c r="U165" s="11">
        <f t="shared" si="78"/>
        <v>0</v>
      </c>
      <c r="V165" s="11">
        <f t="shared" si="78"/>
        <v>0</v>
      </c>
      <c r="W165" s="11">
        <f t="shared" si="78"/>
        <v>0</v>
      </c>
      <c r="X165" s="11">
        <f t="shared" si="78"/>
        <v>0</v>
      </c>
      <c r="Y165" s="11">
        <f t="shared" si="78"/>
        <v>0</v>
      </c>
      <c r="Z165" s="11">
        <f t="shared" si="78"/>
        <v>0</v>
      </c>
      <c r="AA165" s="11">
        <f t="shared" si="78"/>
        <v>0</v>
      </c>
      <c r="AB165" s="11">
        <f t="shared" si="78"/>
        <v>0</v>
      </c>
      <c r="AC165" s="11">
        <f t="shared" si="78"/>
        <v>0</v>
      </c>
      <c r="AD165" s="11">
        <f t="shared" si="77"/>
        <v>0</v>
      </c>
      <c r="AE165" s="11">
        <f t="shared" si="77"/>
        <v>0</v>
      </c>
      <c r="AF165" s="11">
        <f t="shared" si="77"/>
        <v>0</v>
      </c>
      <c r="AG165" s="11">
        <f t="shared" si="77"/>
        <v>0</v>
      </c>
      <c r="AH165" s="11">
        <f t="shared" si="77"/>
        <v>0</v>
      </c>
      <c r="AI165" s="11">
        <f t="shared" si="77"/>
        <v>0</v>
      </c>
      <c r="AJ165" s="10"/>
      <c r="AK165" s="26">
        <f>AK161*6</f>
        <v>0</v>
      </c>
      <c r="AM165" s="41"/>
      <c r="BW165" s="40"/>
      <c r="BX165" s="40"/>
      <c r="DA165" s="40"/>
      <c r="EI165" s="30"/>
      <c r="EJ165" s="40"/>
      <c r="EK165" s="40"/>
      <c r="EL165" s="40"/>
      <c r="EM165" s="40"/>
      <c r="GP165" s="40"/>
      <c r="KK165" s="40"/>
      <c r="KL165" s="40"/>
      <c r="KM165" s="40"/>
      <c r="KN165" s="40"/>
      <c r="PR165" s="40"/>
      <c r="PS165" s="40"/>
      <c r="PU165" s="40"/>
      <c r="QI165" s="39"/>
      <c r="QM165" s="40"/>
      <c r="SP165" s="39"/>
      <c r="AHY165" s="5"/>
      <c r="AJN165" s="5"/>
      <c r="AJO165" s="5"/>
      <c r="AJP165" s="5"/>
    </row>
    <row r="166" spans="2:952" x14ac:dyDescent="0.25">
      <c r="B166" s="135"/>
      <c r="C166" s="243" t="s">
        <v>41</v>
      </c>
      <c r="D166" s="192"/>
      <c r="E166" s="214" t="s">
        <v>40</v>
      </c>
      <c r="F166" s="11">
        <f>F155*45/1700</f>
        <v>0</v>
      </c>
      <c r="G166" s="11">
        <f t="shared" ref="G166:AI166" si="79">G155*45/1700</f>
        <v>0</v>
      </c>
      <c r="H166" s="11">
        <f t="shared" si="79"/>
        <v>0</v>
      </c>
      <c r="I166" s="11">
        <f t="shared" si="79"/>
        <v>0</v>
      </c>
      <c r="J166" s="11">
        <f t="shared" si="79"/>
        <v>0</v>
      </c>
      <c r="K166" s="11">
        <f t="shared" si="79"/>
        <v>0</v>
      </c>
      <c r="L166" s="11">
        <f>L155*45/1700</f>
        <v>0</v>
      </c>
      <c r="M166" s="11">
        <f t="shared" si="79"/>
        <v>0</v>
      </c>
      <c r="N166" s="11">
        <f t="shared" si="79"/>
        <v>0</v>
      </c>
      <c r="O166" s="11">
        <f t="shared" si="79"/>
        <v>0</v>
      </c>
      <c r="P166" s="11">
        <f t="shared" si="79"/>
        <v>0</v>
      </c>
      <c r="Q166" s="11">
        <f t="shared" si="79"/>
        <v>0</v>
      </c>
      <c r="R166" s="11">
        <f t="shared" si="79"/>
        <v>0</v>
      </c>
      <c r="S166" s="11">
        <f t="shared" si="79"/>
        <v>0</v>
      </c>
      <c r="T166" s="11">
        <f t="shared" si="79"/>
        <v>0</v>
      </c>
      <c r="U166" s="11">
        <f t="shared" si="79"/>
        <v>0</v>
      </c>
      <c r="V166" s="11">
        <f t="shared" si="79"/>
        <v>0</v>
      </c>
      <c r="W166" s="11">
        <f t="shared" si="79"/>
        <v>0</v>
      </c>
      <c r="X166" s="11">
        <f t="shared" si="79"/>
        <v>0</v>
      </c>
      <c r="Y166" s="11">
        <f t="shared" si="79"/>
        <v>0</v>
      </c>
      <c r="Z166" s="11">
        <f t="shared" si="79"/>
        <v>0</v>
      </c>
      <c r="AA166" s="11">
        <f t="shared" si="79"/>
        <v>0</v>
      </c>
      <c r="AB166" s="11">
        <f t="shared" si="79"/>
        <v>0</v>
      </c>
      <c r="AC166" s="11">
        <f t="shared" si="79"/>
        <v>0</v>
      </c>
      <c r="AD166" s="11">
        <f t="shared" si="79"/>
        <v>0</v>
      </c>
      <c r="AE166" s="11">
        <f t="shared" si="79"/>
        <v>0</v>
      </c>
      <c r="AF166" s="11">
        <f t="shared" si="79"/>
        <v>0</v>
      </c>
      <c r="AG166" s="11">
        <f t="shared" si="79"/>
        <v>0</v>
      </c>
      <c r="AH166" s="11">
        <f t="shared" si="79"/>
        <v>0</v>
      </c>
      <c r="AI166" s="11">
        <f t="shared" si="79"/>
        <v>0</v>
      </c>
      <c r="AJ166" s="10"/>
      <c r="AK166" s="26">
        <f>SUM(F166:AI166)</f>
        <v>0</v>
      </c>
      <c r="AM166" s="41"/>
      <c r="BW166" s="40"/>
      <c r="BX166" s="40"/>
      <c r="DA166" s="40"/>
      <c r="EI166" s="30"/>
      <c r="EJ166" s="40"/>
      <c r="EK166" s="40"/>
      <c r="EL166" s="40"/>
      <c r="EM166" s="40"/>
      <c r="GP166" s="40"/>
      <c r="KK166" s="40"/>
      <c r="KL166" s="40"/>
      <c r="KM166" s="40"/>
      <c r="KN166" s="40"/>
      <c r="PR166" s="40"/>
      <c r="PS166" s="40"/>
      <c r="PU166" s="40"/>
      <c r="QI166" s="39"/>
      <c r="QM166" s="40"/>
      <c r="SP166" s="39"/>
      <c r="AHY166" s="5"/>
      <c r="AJN166" s="5"/>
      <c r="AJO166" s="5"/>
      <c r="AJP166" s="5"/>
    </row>
    <row r="167" spans="2:952" x14ac:dyDescent="0.25">
      <c r="B167" s="135"/>
      <c r="C167" s="243" t="s">
        <v>39</v>
      </c>
      <c r="D167" s="192"/>
      <c r="E167" s="214" t="s">
        <v>38</v>
      </c>
      <c r="F167" s="11">
        <f t="shared" ref="F167:AH167" si="80">SUM(F159:F161)/500</f>
        <v>0</v>
      </c>
      <c r="G167" s="11">
        <f t="shared" si="80"/>
        <v>0</v>
      </c>
      <c r="H167" s="11">
        <f t="shared" si="80"/>
        <v>0</v>
      </c>
      <c r="I167" s="11">
        <f t="shared" si="80"/>
        <v>0</v>
      </c>
      <c r="J167" s="11">
        <f t="shared" si="80"/>
        <v>0</v>
      </c>
      <c r="K167" s="11">
        <f t="shared" si="80"/>
        <v>0</v>
      </c>
      <c r="L167" s="11">
        <f t="shared" si="80"/>
        <v>0</v>
      </c>
      <c r="M167" s="11">
        <f t="shared" si="80"/>
        <v>0</v>
      </c>
      <c r="N167" s="11">
        <f t="shared" si="80"/>
        <v>0</v>
      </c>
      <c r="O167" s="11">
        <f t="shared" si="80"/>
        <v>0</v>
      </c>
      <c r="P167" s="11">
        <f t="shared" si="80"/>
        <v>0</v>
      </c>
      <c r="Q167" s="11">
        <f t="shared" si="80"/>
        <v>0</v>
      </c>
      <c r="R167" s="11">
        <f t="shared" si="80"/>
        <v>0</v>
      </c>
      <c r="S167" s="11">
        <f t="shared" si="80"/>
        <v>0</v>
      </c>
      <c r="T167" s="11">
        <f t="shared" si="80"/>
        <v>0</v>
      </c>
      <c r="U167" s="11">
        <f t="shared" si="80"/>
        <v>0</v>
      </c>
      <c r="V167" s="11">
        <f t="shared" si="80"/>
        <v>0</v>
      </c>
      <c r="W167" s="11">
        <f t="shared" si="80"/>
        <v>0</v>
      </c>
      <c r="X167" s="11">
        <f>SUM(X159:X161)/500</f>
        <v>0</v>
      </c>
      <c r="Y167" s="11">
        <f t="shared" si="80"/>
        <v>0</v>
      </c>
      <c r="Z167" s="11">
        <f t="shared" ref="Z167" si="81">SUM(Z159:Z161)/500</f>
        <v>0</v>
      </c>
      <c r="AA167" s="11">
        <f t="shared" si="80"/>
        <v>0</v>
      </c>
      <c r="AB167" s="11">
        <f t="shared" si="80"/>
        <v>0</v>
      </c>
      <c r="AC167" s="11">
        <f t="shared" si="80"/>
        <v>0</v>
      </c>
      <c r="AD167" s="11">
        <f t="shared" si="80"/>
        <v>0</v>
      </c>
      <c r="AE167" s="11">
        <f t="shared" ref="AE167:AG167" si="82">SUM(AE159:AE161)/500</f>
        <v>0</v>
      </c>
      <c r="AF167" s="11">
        <f t="shared" si="82"/>
        <v>0</v>
      </c>
      <c r="AG167" s="11">
        <f t="shared" si="82"/>
        <v>0</v>
      </c>
      <c r="AH167" s="11">
        <f t="shared" si="80"/>
        <v>0</v>
      </c>
      <c r="AI167" s="11">
        <f t="shared" ref="AI167" si="83">SUM(AI159:AI161)/500</f>
        <v>0</v>
      </c>
      <c r="AJ167" s="10"/>
      <c r="AK167" s="26">
        <f>SUM(F167:AI167)</f>
        <v>0</v>
      </c>
      <c r="AM167" s="41"/>
      <c r="BW167" s="40"/>
      <c r="BX167" s="40"/>
      <c r="DA167" s="40"/>
      <c r="EI167" s="30"/>
      <c r="EJ167" s="40"/>
      <c r="EK167" s="40"/>
      <c r="EL167" s="40"/>
      <c r="EM167" s="40"/>
      <c r="GP167" s="40"/>
      <c r="KK167" s="40"/>
      <c r="KL167" s="40"/>
      <c r="KM167" s="40"/>
      <c r="KN167" s="40"/>
      <c r="PR167" s="40"/>
      <c r="PS167" s="40"/>
      <c r="PU167" s="40"/>
      <c r="QI167" s="39"/>
      <c r="QM167" s="40"/>
      <c r="SP167" s="39"/>
      <c r="AHY167" s="5"/>
      <c r="AJN167" s="5"/>
      <c r="AJO167" s="5"/>
      <c r="AJP167" s="5"/>
    </row>
    <row r="168" spans="2:952" ht="15" customHeight="1" x14ac:dyDescent="0.25">
      <c r="B168" s="137"/>
      <c r="C168" s="161" t="s">
        <v>37</v>
      </c>
      <c r="D168" s="180"/>
      <c r="E168" s="180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2"/>
      <c r="AD168" s="181"/>
      <c r="AE168" s="181"/>
      <c r="AF168" s="181"/>
      <c r="AG168" s="181"/>
      <c r="AH168" s="181"/>
      <c r="AI168" s="181"/>
      <c r="AJ168" s="31"/>
      <c r="AK168" s="46" t="s">
        <v>34</v>
      </c>
      <c r="AM168" s="8"/>
      <c r="BW168" s="5"/>
      <c r="BX168" s="5"/>
      <c r="DA168" s="5"/>
      <c r="EI168" s="30"/>
      <c r="EJ168" s="5"/>
      <c r="EK168" s="5"/>
      <c r="EL168" s="5"/>
      <c r="EM168" s="5"/>
      <c r="GP168" s="5"/>
      <c r="KK168" s="5"/>
      <c r="KL168" s="5"/>
      <c r="KM168" s="5"/>
      <c r="KN168" s="5"/>
      <c r="PR168" s="5"/>
      <c r="PS168" s="5"/>
      <c r="PU168" s="5"/>
      <c r="QI168" s="27"/>
      <c r="QM168" s="5"/>
      <c r="SP168" s="27"/>
      <c r="AHY168" s="5"/>
      <c r="AJN168" s="5"/>
      <c r="AJO168" s="5"/>
      <c r="AJP168" s="5"/>
    </row>
    <row r="169" spans="2:952" ht="15" customHeight="1" x14ac:dyDescent="0.25">
      <c r="B169" s="135"/>
      <c r="C169" s="243" t="s">
        <v>33</v>
      </c>
      <c r="D169" s="192"/>
      <c r="E169" s="135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0"/>
      <c r="AK169" s="45" t="s">
        <v>33</v>
      </c>
      <c r="AM169" s="41"/>
      <c r="BW169" s="40"/>
      <c r="BX169" s="40"/>
      <c r="DA169" s="40"/>
      <c r="EI169" s="30"/>
      <c r="EJ169" s="40"/>
      <c r="EK169" s="40"/>
      <c r="EL169" s="40"/>
      <c r="EM169" s="40"/>
      <c r="GP169" s="40"/>
      <c r="KK169" s="40"/>
      <c r="KL169" s="40"/>
      <c r="KM169" s="40"/>
      <c r="KN169" s="40"/>
      <c r="PR169" s="40"/>
      <c r="PS169" s="40"/>
      <c r="PU169" s="40"/>
      <c r="QI169" s="39"/>
      <c r="QM169" s="40"/>
      <c r="SP169" s="39"/>
      <c r="AHY169" s="5"/>
      <c r="AJN169" s="5"/>
      <c r="AJO169" s="5"/>
      <c r="AJP169" s="5"/>
    </row>
    <row r="170" spans="2:952" ht="15" customHeight="1" x14ac:dyDescent="0.25">
      <c r="B170" s="135"/>
      <c r="C170" s="165" t="s">
        <v>31</v>
      </c>
      <c r="D170" s="192"/>
      <c r="E170" s="214" t="s">
        <v>36</v>
      </c>
      <c r="F170" s="11">
        <v>0</v>
      </c>
      <c r="G170" s="11"/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0"/>
      <c r="AK170" s="26">
        <f>SUM(F170:AI170)</f>
        <v>0</v>
      </c>
      <c r="AM170" s="41"/>
      <c r="BW170" s="40"/>
      <c r="BX170" s="40"/>
      <c r="DA170" s="40"/>
      <c r="EI170" s="30"/>
      <c r="EJ170" s="40"/>
      <c r="EK170" s="40"/>
      <c r="EL170" s="40"/>
      <c r="EM170" s="40"/>
      <c r="GP170" s="40"/>
      <c r="KK170" s="40"/>
      <c r="KL170" s="40"/>
      <c r="KM170" s="40"/>
      <c r="KN170" s="40"/>
      <c r="PR170" s="40"/>
      <c r="PS170" s="40"/>
      <c r="PU170" s="40"/>
      <c r="QI170" s="39"/>
      <c r="QM170" s="40"/>
      <c r="SP170" s="39"/>
      <c r="AHY170" s="5"/>
      <c r="AJN170" s="5"/>
      <c r="AJO170" s="5"/>
      <c r="AJP170" s="5"/>
    </row>
    <row r="171" spans="2:952" ht="15" customHeight="1" x14ac:dyDescent="0.25">
      <c r="B171" s="135"/>
      <c r="C171" s="165" t="s">
        <v>30</v>
      </c>
      <c r="D171" s="192"/>
      <c r="E171" s="214" t="s">
        <v>36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0"/>
      <c r="AK171" s="26">
        <f>SUM(F171:AI171)</f>
        <v>0</v>
      </c>
      <c r="AM171" s="41"/>
      <c r="BW171" s="40"/>
      <c r="BX171" s="40"/>
      <c r="DA171" s="40"/>
      <c r="EI171" s="30"/>
      <c r="EJ171" s="40"/>
      <c r="EK171" s="40"/>
      <c r="EL171" s="40"/>
      <c r="EM171" s="40"/>
      <c r="GP171" s="40"/>
      <c r="KK171" s="40"/>
      <c r="KL171" s="40"/>
      <c r="KM171" s="40"/>
      <c r="KN171" s="40"/>
      <c r="PR171" s="40"/>
      <c r="PS171" s="40"/>
      <c r="PU171" s="40"/>
      <c r="QI171" s="39"/>
      <c r="QM171" s="40"/>
      <c r="SP171" s="39"/>
      <c r="AHY171" s="5"/>
      <c r="AJN171" s="5"/>
      <c r="AJO171" s="5"/>
      <c r="AJP171" s="5"/>
    </row>
    <row r="172" spans="2:952" ht="15" customHeight="1" x14ac:dyDescent="0.25">
      <c r="B172" s="135"/>
      <c r="C172" s="165" t="s">
        <v>42</v>
      </c>
      <c r="D172" s="192"/>
      <c r="E172" s="214" t="s">
        <v>36</v>
      </c>
      <c r="F172" s="11"/>
      <c r="G172" s="11"/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0"/>
      <c r="AK172" s="26">
        <f>SUM(F172:AI172)</f>
        <v>0</v>
      </c>
      <c r="AM172" s="41"/>
      <c r="BW172" s="40"/>
      <c r="BX172" s="40"/>
      <c r="DA172" s="40"/>
      <c r="EI172" s="30"/>
      <c r="EJ172" s="40"/>
      <c r="EK172" s="40"/>
      <c r="EL172" s="40"/>
      <c r="EM172" s="40"/>
      <c r="GP172" s="40"/>
      <c r="KK172" s="40"/>
      <c r="KL172" s="40"/>
      <c r="KM172" s="40"/>
      <c r="KN172" s="40"/>
      <c r="PR172" s="40"/>
      <c r="PS172" s="40"/>
      <c r="PU172" s="40"/>
      <c r="QI172" s="39"/>
      <c r="QM172" s="40"/>
      <c r="SP172" s="39"/>
      <c r="AHY172" s="5"/>
      <c r="AJN172" s="5"/>
      <c r="AJO172" s="5"/>
      <c r="AJP172" s="5"/>
    </row>
    <row r="173" spans="2:952" ht="15" customHeight="1" x14ac:dyDescent="0.25">
      <c r="B173" s="135"/>
      <c r="C173" s="243" t="s">
        <v>32</v>
      </c>
      <c r="D173" s="192"/>
      <c r="E173" s="135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0"/>
      <c r="AK173" s="45" t="s">
        <v>32</v>
      </c>
      <c r="AM173" s="41"/>
      <c r="BW173" s="40"/>
      <c r="BX173" s="40"/>
      <c r="DA173" s="40"/>
      <c r="EI173" s="30"/>
      <c r="EJ173" s="40"/>
      <c r="EK173" s="40"/>
      <c r="EL173" s="40"/>
      <c r="EM173" s="40"/>
      <c r="GP173" s="40"/>
      <c r="KK173" s="40"/>
      <c r="KL173" s="40"/>
      <c r="KM173" s="40"/>
      <c r="KN173" s="40"/>
      <c r="PR173" s="40"/>
      <c r="PS173" s="40"/>
      <c r="PU173" s="40"/>
      <c r="QI173" s="39"/>
      <c r="QM173" s="40"/>
      <c r="SP173" s="39"/>
      <c r="AHY173" s="5"/>
      <c r="AJN173" s="5"/>
      <c r="AJO173" s="5"/>
      <c r="AJP173" s="5"/>
    </row>
    <row r="174" spans="2:952" ht="15" customHeight="1" x14ac:dyDescent="0.25">
      <c r="B174" s="135"/>
      <c r="C174" s="165" t="s">
        <v>31</v>
      </c>
      <c r="D174" s="192"/>
      <c r="E174" s="214" t="s">
        <v>32</v>
      </c>
      <c r="F174" s="11">
        <v>0</v>
      </c>
      <c r="G174" s="11"/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0"/>
      <c r="AK174" s="26">
        <f>SUM(F174:AI174)</f>
        <v>0</v>
      </c>
      <c r="AM174" s="41"/>
      <c r="BW174" s="40"/>
      <c r="BX174" s="40"/>
      <c r="DA174" s="40"/>
      <c r="EI174" s="30"/>
      <c r="EJ174" s="40"/>
      <c r="EK174" s="40"/>
      <c r="EL174" s="40"/>
      <c r="EM174" s="40"/>
      <c r="GP174" s="40"/>
      <c r="KK174" s="40"/>
      <c r="KL174" s="40"/>
      <c r="KM174" s="40"/>
      <c r="KN174" s="40"/>
      <c r="PR174" s="40"/>
      <c r="PS174" s="40"/>
      <c r="PU174" s="40"/>
      <c r="QI174" s="39"/>
      <c r="QM174" s="40"/>
      <c r="SP174" s="39"/>
      <c r="AHY174" s="5"/>
      <c r="AJN174" s="5"/>
      <c r="AJO174" s="5"/>
      <c r="AJP174" s="5"/>
    </row>
    <row r="175" spans="2:952" ht="15" customHeight="1" x14ac:dyDescent="0.25">
      <c r="B175" s="135"/>
      <c r="C175" s="165" t="s">
        <v>30</v>
      </c>
      <c r="D175" s="192"/>
      <c r="E175" s="214" t="s">
        <v>32</v>
      </c>
      <c r="F175" s="11">
        <v>0</v>
      </c>
      <c r="G175" s="11"/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0"/>
      <c r="AK175" s="26">
        <f>SUM(F175:AI175)</f>
        <v>0</v>
      </c>
      <c r="AM175" s="41"/>
      <c r="BW175" s="40"/>
      <c r="BX175" s="40"/>
      <c r="DA175" s="40"/>
      <c r="EI175" s="30"/>
      <c r="EJ175" s="40"/>
      <c r="EK175" s="40"/>
      <c r="EL175" s="40"/>
      <c r="EM175" s="40"/>
      <c r="GP175" s="40"/>
      <c r="KK175" s="40"/>
      <c r="KL175" s="40"/>
      <c r="KM175" s="40"/>
      <c r="KN175" s="40"/>
      <c r="PR175" s="40"/>
      <c r="PS175" s="40"/>
      <c r="PU175" s="40"/>
      <c r="QI175" s="39"/>
      <c r="QM175" s="40"/>
      <c r="SP175" s="39"/>
      <c r="AHY175" s="5"/>
      <c r="AJN175" s="5"/>
      <c r="AJO175" s="5"/>
      <c r="AJP175" s="5"/>
    </row>
    <row r="176" spans="2:952" ht="15" customHeight="1" x14ac:dyDescent="0.25">
      <c r="B176" s="137"/>
      <c r="C176" s="161" t="s">
        <v>35</v>
      </c>
      <c r="D176" s="180"/>
      <c r="E176" s="180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2"/>
      <c r="AD176" s="181"/>
      <c r="AE176" s="181"/>
      <c r="AF176" s="181"/>
      <c r="AG176" s="181"/>
      <c r="AH176" s="181"/>
      <c r="AI176" s="181"/>
      <c r="AJ176" s="31"/>
      <c r="AK176" s="46" t="s">
        <v>34</v>
      </c>
      <c r="AM176" s="8"/>
      <c r="BW176" s="5"/>
      <c r="BX176" s="5"/>
      <c r="DA176" s="5"/>
      <c r="EI176" s="30"/>
      <c r="EJ176" s="5"/>
      <c r="EK176" s="5"/>
      <c r="EL176" s="5"/>
      <c r="EM176" s="5"/>
      <c r="GP176" s="5"/>
      <c r="KK176" s="5"/>
      <c r="KL176" s="5"/>
      <c r="KM176" s="5"/>
      <c r="KN176" s="5"/>
      <c r="PR176" s="5"/>
      <c r="PS176" s="5"/>
      <c r="PU176" s="5"/>
      <c r="QI176" s="27"/>
      <c r="QM176" s="5"/>
      <c r="SP176" s="27"/>
      <c r="AHY176" s="5"/>
      <c r="AJN176" s="5"/>
      <c r="AJO176" s="5"/>
      <c r="AJP176" s="5"/>
    </row>
    <row r="177" spans="2:952" ht="15" customHeight="1" x14ac:dyDescent="0.25">
      <c r="B177" s="135"/>
      <c r="C177" s="243" t="s">
        <v>33</v>
      </c>
      <c r="D177" s="192"/>
      <c r="E177" s="135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0"/>
      <c r="AK177" s="45" t="s">
        <v>33</v>
      </c>
      <c r="AM177" s="41"/>
      <c r="BW177" s="40"/>
      <c r="BX177" s="40"/>
      <c r="DA177" s="40"/>
      <c r="EI177" s="30"/>
      <c r="EJ177" s="40"/>
      <c r="EK177" s="40"/>
      <c r="EL177" s="40"/>
      <c r="EM177" s="40"/>
      <c r="GP177" s="40"/>
      <c r="KK177" s="40"/>
      <c r="KL177" s="40"/>
      <c r="KM177" s="40"/>
      <c r="KN177" s="40"/>
      <c r="PR177" s="40"/>
      <c r="PS177" s="40"/>
      <c r="PU177" s="40"/>
      <c r="QI177" s="39"/>
      <c r="QM177" s="40"/>
      <c r="SP177" s="39"/>
      <c r="AHY177" s="5"/>
      <c r="AJN177" s="5"/>
      <c r="AJO177" s="5"/>
      <c r="AJP177" s="5"/>
    </row>
    <row r="178" spans="2:952" ht="15" customHeight="1" x14ac:dyDescent="0.25">
      <c r="B178" s="135"/>
      <c r="C178" s="165" t="s">
        <v>31</v>
      </c>
      <c r="D178" s="290">
        <v>0.3</v>
      </c>
      <c r="E178" s="214" t="s">
        <v>29</v>
      </c>
      <c r="F178" s="292" t="e">
        <f>F170/F159*100</f>
        <v>#DIV/0!</v>
      </c>
      <c r="G178" s="292" t="e">
        <f t="shared" ref="G178:AI178" si="84">G170/G159*100</f>
        <v>#DIV/0!</v>
      </c>
      <c r="H178" s="292" t="e">
        <f t="shared" si="84"/>
        <v>#DIV/0!</v>
      </c>
      <c r="I178" s="292" t="e">
        <f t="shared" si="84"/>
        <v>#DIV/0!</v>
      </c>
      <c r="J178" s="292" t="e">
        <f t="shared" si="84"/>
        <v>#DIV/0!</v>
      </c>
      <c r="K178" s="292" t="e">
        <f t="shared" si="84"/>
        <v>#DIV/0!</v>
      </c>
      <c r="L178" s="292" t="e">
        <f t="shared" si="84"/>
        <v>#DIV/0!</v>
      </c>
      <c r="M178" s="292" t="e">
        <f t="shared" si="84"/>
        <v>#DIV/0!</v>
      </c>
      <c r="N178" s="292" t="e">
        <f t="shared" si="84"/>
        <v>#DIV/0!</v>
      </c>
      <c r="O178" s="292" t="e">
        <f t="shared" si="84"/>
        <v>#DIV/0!</v>
      </c>
      <c r="P178" s="292" t="e">
        <f t="shared" si="84"/>
        <v>#DIV/0!</v>
      </c>
      <c r="Q178" s="292" t="e">
        <f t="shared" si="84"/>
        <v>#DIV/0!</v>
      </c>
      <c r="R178" s="292" t="e">
        <f t="shared" si="84"/>
        <v>#DIV/0!</v>
      </c>
      <c r="S178" s="292" t="e">
        <f t="shared" si="84"/>
        <v>#DIV/0!</v>
      </c>
      <c r="T178" s="292" t="e">
        <f t="shared" si="84"/>
        <v>#DIV/0!</v>
      </c>
      <c r="U178" s="292" t="e">
        <f t="shared" si="84"/>
        <v>#DIV/0!</v>
      </c>
      <c r="V178" s="292" t="e">
        <f t="shared" si="84"/>
        <v>#DIV/0!</v>
      </c>
      <c r="W178" s="292" t="e">
        <f t="shared" si="84"/>
        <v>#DIV/0!</v>
      </c>
      <c r="X178" s="292" t="e">
        <f t="shared" si="84"/>
        <v>#DIV/0!</v>
      </c>
      <c r="Y178" s="292" t="e">
        <f t="shared" si="84"/>
        <v>#DIV/0!</v>
      </c>
      <c r="Z178" s="292" t="e">
        <f t="shared" si="84"/>
        <v>#DIV/0!</v>
      </c>
      <c r="AA178" s="292" t="e">
        <f t="shared" si="84"/>
        <v>#DIV/0!</v>
      </c>
      <c r="AB178" s="292" t="e">
        <f t="shared" si="84"/>
        <v>#DIV/0!</v>
      </c>
      <c r="AC178" s="292" t="e">
        <f t="shared" si="84"/>
        <v>#DIV/0!</v>
      </c>
      <c r="AD178" s="292" t="e">
        <f t="shared" si="84"/>
        <v>#DIV/0!</v>
      </c>
      <c r="AE178" s="292" t="e">
        <f t="shared" si="84"/>
        <v>#DIV/0!</v>
      </c>
      <c r="AF178" s="292" t="e">
        <f t="shared" si="84"/>
        <v>#DIV/0!</v>
      </c>
      <c r="AG178" s="292" t="e">
        <f t="shared" si="84"/>
        <v>#DIV/0!</v>
      </c>
      <c r="AH178" s="292" t="e">
        <f t="shared" si="84"/>
        <v>#DIV/0!</v>
      </c>
      <c r="AI178" s="292" t="e">
        <f t="shared" si="84"/>
        <v>#DIV/0!</v>
      </c>
      <c r="AJ178" s="10"/>
      <c r="AK178" s="44" t="e">
        <f>AK170/AK159*100</f>
        <v>#DIV/0!</v>
      </c>
      <c r="AM178" s="41"/>
      <c r="BW178" s="40"/>
      <c r="BX178" s="40"/>
      <c r="DA178" s="40"/>
      <c r="EI178" s="30"/>
      <c r="EJ178" s="40"/>
      <c r="EK178" s="40"/>
      <c r="EL178" s="40"/>
      <c r="EM178" s="40"/>
      <c r="GP178" s="40"/>
      <c r="KK178" s="40"/>
      <c r="KL178" s="40"/>
      <c r="KM178" s="40"/>
      <c r="KN178" s="40"/>
      <c r="PR178" s="40"/>
      <c r="PS178" s="40"/>
      <c r="PU178" s="40"/>
      <c r="QI178" s="39"/>
      <c r="QM178" s="40"/>
      <c r="SP178" s="39"/>
      <c r="AHY178" s="5"/>
      <c r="AJN178" s="5"/>
      <c r="AJO178" s="5"/>
      <c r="AJP178" s="5"/>
    </row>
    <row r="179" spans="2:952" ht="15" customHeight="1" x14ac:dyDescent="0.25">
      <c r="B179" s="135"/>
      <c r="C179" s="165" t="s">
        <v>30</v>
      </c>
      <c r="D179" s="290">
        <v>0.3</v>
      </c>
      <c r="E179" s="214" t="s">
        <v>29</v>
      </c>
      <c r="F179" s="292" t="e">
        <f t="shared" ref="F179:AI179" si="85">F171/F161*100</f>
        <v>#DIV/0!</v>
      </c>
      <c r="G179" s="292" t="e">
        <f t="shared" si="85"/>
        <v>#DIV/0!</v>
      </c>
      <c r="H179" s="292" t="e">
        <f t="shared" si="85"/>
        <v>#DIV/0!</v>
      </c>
      <c r="I179" s="292" t="e">
        <f t="shared" si="85"/>
        <v>#DIV/0!</v>
      </c>
      <c r="J179" s="292" t="e">
        <f t="shared" si="85"/>
        <v>#DIV/0!</v>
      </c>
      <c r="K179" s="292" t="e">
        <f t="shared" si="85"/>
        <v>#DIV/0!</v>
      </c>
      <c r="L179" s="292" t="e">
        <f t="shared" si="85"/>
        <v>#DIV/0!</v>
      </c>
      <c r="M179" s="292" t="e">
        <f t="shared" si="85"/>
        <v>#DIV/0!</v>
      </c>
      <c r="N179" s="292" t="e">
        <f t="shared" si="85"/>
        <v>#DIV/0!</v>
      </c>
      <c r="O179" s="292" t="e">
        <f t="shared" si="85"/>
        <v>#DIV/0!</v>
      </c>
      <c r="P179" s="292" t="e">
        <f t="shared" si="85"/>
        <v>#DIV/0!</v>
      </c>
      <c r="Q179" s="292" t="e">
        <f t="shared" si="85"/>
        <v>#DIV/0!</v>
      </c>
      <c r="R179" s="292" t="e">
        <f t="shared" si="85"/>
        <v>#DIV/0!</v>
      </c>
      <c r="S179" s="292" t="e">
        <f t="shared" si="85"/>
        <v>#DIV/0!</v>
      </c>
      <c r="T179" s="292" t="e">
        <f t="shared" si="85"/>
        <v>#DIV/0!</v>
      </c>
      <c r="U179" s="292" t="e">
        <f t="shared" si="85"/>
        <v>#DIV/0!</v>
      </c>
      <c r="V179" s="292" t="e">
        <f t="shared" si="85"/>
        <v>#DIV/0!</v>
      </c>
      <c r="W179" s="292" t="e">
        <f t="shared" si="85"/>
        <v>#DIV/0!</v>
      </c>
      <c r="X179" s="292" t="e">
        <f>X171/X161*100</f>
        <v>#DIV/0!</v>
      </c>
      <c r="Y179" s="292" t="e">
        <f t="shared" si="85"/>
        <v>#DIV/0!</v>
      </c>
      <c r="Z179" s="292" t="e">
        <f t="shared" si="85"/>
        <v>#DIV/0!</v>
      </c>
      <c r="AA179" s="292" t="e">
        <f t="shared" si="85"/>
        <v>#DIV/0!</v>
      </c>
      <c r="AB179" s="292" t="e">
        <f t="shared" si="85"/>
        <v>#DIV/0!</v>
      </c>
      <c r="AC179" s="292" t="e">
        <f t="shared" si="85"/>
        <v>#DIV/0!</v>
      </c>
      <c r="AD179" s="292" t="e">
        <f t="shared" si="85"/>
        <v>#DIV/0!</v>
      </c>
      <c r="AE179" s="292" t="e">
        <f t="shared" si="85"/>
        <v>#DIV/0!</v>
      </c>
      <c r="AF179" s="292" t="e">
        <f t="shared" si="85"/>
        <v>#DIV/0!</v>
      </c>
      <c r="AG179" s="292" t="e">
        <f t="shared" si="85"/>
        <v>#DIV/0!</v>
      </c>
      <c r="AH179" s="292" t="e">
        <f t="shared" si="85"/>
        <v>#DIV/0!</v>
      </c>
      <c r="AI179" s="292" t="e">
        <f t="shared" si="85"/>
        <v>#DIV/0!</v>
      </c>
      <c r="AJ179" s="10"/>
      <c r="AK179" s="44" t="e">
        <f>AK171/AK161*100</f>
        <v>#DIV/0!</v>
      </c>
      <c r="AM179" s="41"/>
      <c r="BW179" s="40"/>
      <c r="BX179" s="40"/>
      <c r="DA179" s="40"/>
      <c r="EI179" s="30"/>
      <c r="EJ179" s="40"/>
      <c r="EK179" s="40"/>
      <c r="EL179" s="40"/>
      <c r="EM179" s="40"/>
      <c r="GP179" s="40"/>
      <c r="KK179" s="40"/>
      <c r="KL179" s="40"/>
      <c r="KM179" s="40"/>
      <c r="KN179" s="40"/>
      <c r="PR179" s="40"/>
      <c r="PS179" s="40"/>
      <c r="PU179" s="40"/>
      <c r="QI179" s="39"/>
      <c r="QM179" s="40"/>
      <c r="SP179" s="39"/>
      <c r="AHY179" s="5"/>
      <c r="AJN179" s="5"/>
      <c r="AJO179" s="5"/>
      <c r="AJP179" s="5"/>
    </row>
    <row r="180" spans="2:952" ht="15" customHeight="1" x14ac:dyDescent="0.25">
      <c r="B180" s="135"/>
      <c r="C180" s="243" t="s">
        <v>32</v>
      </c>
      <c r="D180" s="290"/>
      <c r="E180" s="135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  <c r="AH180" s="292"/>
      <c r="AI180" s="292"/>
      <c r="AJ180" s="10"/>
      <c r="AK180" s="45" t="s">
        <v>32</v>
      </c>
      <c r="AM180" s="41"/>
      <c r="BW180" s="40"/>
      <c r="BX180" s="40"/>
      <c r="DA180" s="40"/>
      <c r="EI180" s="30"/>
      <c r="EJ180" s="40"/>
      <c r="EK180" s="40"/>
      <c r="EL180" s="40"/>
      <c r="EM180" s="40"/>
      <c r="GP180" s="40"/>
      <c r="KK180" s="40"/>
      <c r="KL180" s="40"/>
      <c r="KM180" s="40"/>
      <c r="KN180" s="40"/>
      <c r="PR180" s="40"/>
      <c r="PS180" s="40"/>
      <c r="PU180" s="40"/>
      <c r="QI180" s="39"/>
      <c r="QM180" s="40"/>
      <c r="SP180" s="39"/>
      <c r="AHY180" s="5"/>
      <c r="AJN180" s="5"/>
      <c r="AJO180" s="5"/>
      <c r="AJP180" s="5"/>
    </row>
    <row r="181" spans="2:952" ht="15" customHeight="1" x14ac:dyDescent="0.25">
      <c r="B181" s="135"/>
      <c r="C181" s="165" t="s">
        <v>31</v>
      </c>
      <c r="D181" s="290">
        <v>0.5</v>
      </c>
      <c r="E181" s="214" t="s">
        <v>29</v>
      </c>
      <c r="F181" s="292" t="e">
        <f t="shared" ref="F181:AI181" si="86">F174/F163*100</f>
        <v>#DIV/0!</v>
      </c>
      <c r="G181" s="292" t="e">
        <f t="shared" si="86"/>
        <v>#DIV/0!</v>
      </c>
      <c r="H181" s="292" t="e">
        <f t="shared" si="86"/>
        <v>#DIV/0!</v>
      </c>
      <c r="I181" s="292" t="e">
        <f t="shared" si="86"/>
        <v>#DIV/0!</v>
      </c>
      <c r="J181" s="292" t="e">
        <f t="shared" si="86"/>
        <v>#DIV/0!</v>
      </c>
      <c r="K181" s="292" t="e">
        <f t="shared" si="86"/>
        <v>#DIV/0!</v>
      </c>
      <c r="L181" s="292" t="e">
        <f t="shared" si="86"/>
        <v>#DIV/0!</v>
      </c>
      <c r="M181" s="292" t="e">
        <f t="shared" si="86"/>
        <v>#DIV/0!</v>
      </c>
      <c r="N181" s="292" t="e">
        <f t="shared" si="86"/>
        <v>#DIV/0!</v>
      </c>
      <c r="O181" s="292" t="e">
        <f t="shared" si="86"/>
        <v>#DIV/0!</v>
      </c>
      <c r="P181" s="292" t="e">
        <f t="shared" si="86"/>
        <v>#DIV/0!</v>
      </c>
      <c r="Q181" s="292" t="e">
        <f t="shared" si="86"/>
        <v>#DIV/0!</v>
      </c>
      <c r="R181" s="292" t="e">
        <f t="shared" si="86"/>
        <v>#DIV/0!</v>
      </c>
      <c r="S181" s="292" t="e">
        <f t="shared" si="86"/>
        <v>#DIV/0!</v>
      </c>
      <c r="T181" s="292" t="e">
        <f t="shared" si="86"/>
        <v>#DIV/0!</v>
      </c>
      <c r="U181" s="292" t="e">
        <f t="shared" si="86"/>
        <v>#DIV/0!</v>
      </c>
      <c r="V181" s="292" t="e">
        <f t="shared" si="86"/>
        <v>#DIV/0!</v>
      </c>
      <c r="W181" s="292" t="e">
        <f t="shared" si="86"/>
        <v>#DIV/0!</v>
      </c>
      <c r="X181" s="292" t="e">
        <f t="shared" si="86"/>
        <v>#DIV/0!</v>
      </c>
      <c r="Y181" s="292" t="e">
        <f t="shared" si="86"/>
        <v>#DIV/0!</v>
      </c>
      <c r="Z181" s="292" t="e">
        <f t="shared" si="86"/>
        <v>#DIV/0!</v>
      </c>
      <c r="AA181" s="292" t="e">
        <f t="shared" si="86"/>
        <v>#DIV/0!</v>
      </c>
      <c r="AB181" s="292" t="e">
        <f t="shared" si="86"/>
        <v>#DIV/0!</v>
      </c>
      <c r="AC181" s="292" t="e">
        <f t="shared" si="86"/>
        <v>#DIV/0!</v>
      </c>
      <c r="AD181" s="292" t="e">
        <f t="shared" si="86"/>
        <v>#DIV/0!</v>
      </c>
      <c r="AE181" s="292" t="e">
        <f t="shared" si="86"/>
        <v>#DIV/0!</v>
      </c>
      <c r="AF181" s="292" t="e">
        <f t="shared" si="86"/>
        <v>#DIV/0!</v>
      </c>
      <c r="AG181" s="292" t="e">
        <f t="shared" si="86"/>
        <v>#DIV/0!</v>
      </c>
      <c r="AH181" s="292" t="e">
        <f t="shared" si="86"/>
        <v>#DIV/0!</v>
      </c>
      <c r="AI181" s="292" t="e">
        <f t="shared" si="86"/>
        <v>#DIV/0!</v>
      </c>
      <c r="AJ181" s="10"/>
      <c r="AK181" s="44" t="e">
        <f>AK174/AK163*100</f>
        <v>#DIV/0!</v>
      </c>
      <c r="AM181" s="41"/>
      <c r="BW181" s="40"/>
      <c r="BX181" s="40"/>
      <c r="DA181" s="40"/>
      <c r="EI181" s="30"/>
      <c r="EJ181" s="40"/>
      <c r="EK181" s="40"/>
      <c r="EL181" s="40"/>
      <c r="EM181" s="40"/>
      <c r="GP181" s="40"/>
      <c r="KK181" s="40"/>
      <c r="KL181" s="40"/>
      <c r="KM181" s="40"/>
      <c r="KN181" s="40"/>
      <c r="PR181" s="40"/>
      <c r="PS181" s="40"/>
      <c r="PU181" s="40"/>
      <c r="QI181" s="39"/>
      <c r="QM181" s="40"/>
      <c r="SP181" s="39"/>
      <c r="AHY181" s="5"/>
      <c r="AJN181" s="5"/>
      <c r="AJO181" s="5"/>
      <c r="AJP181" s="5"/>
    </row>
    <row r="182" spans="2:952" ht="15" customHeight="1" x14ac:dyDescent="0.25">
      <c r="B182" s="135"/>
      <c r="C182" s="165" t="s">
        <v>30</v>
      </c>
      <c r="D182" s="290">
        <v>0.5</v>
      </c>
      <c r="E182" s="214" t="s">
        <v>29</v>
      </c>
      <c r="F182" s="292" t="e">
        <f t="shared" ref="F182:AI182" si="87">F175/F165*100</f>
        <v>#DIV/0!</v>
      </c>
      <c r="G182" s="292" t="e">
        <f t="shared" si="87"/>
        <v>#DIV/0!</v>
      </c>
      <c r="H182" s="292" t="e">
        <f t="shared" si="87"/>
        <v>#DIV/0!</v>
      </c>
      <c r="I182" s="292" t="e">
        <f t="shared" si="87"/>
        <v>#DIV/0!</v>
      </c>
      <c r="J182" s="292" t="e">
        <f t="shared" si="87"/>
        <v>#DIV/0!</v>
      </c>
      <c r="K182" s="292" t="e">
        <f t="shared" si="87"/>
        <v>#DIV/0!</v>
      </c>
      <c r="L182" s="292" t="e">
        <f t="shared" si="87"/>
        <v>#DIV/0!</v>
      </c>
      <c r="M182" s="292" t="e">
        <f t="shared" si="87"/>
        <v>#DIV/0!</v>
      </c>
      <c r="N182" s="292" t="e">
        <f t="shared" si="87"/>
        <v>#DIV/0!</v>
      </c>
      <c r="O182" s="292" t="e">
        <f t="shared" si="87"/>
        <v>#DIV/0!</v>
      </c>
      <c r="P182" s="292" t="e">
        <f t="shared" si="87"/>
        <v>#DIV/0!</v>
      </c>
      <c r="Q182" s="292" t="e">
        <f t="shared" si="87"/>
        <v>#DIV/0!</v>
      </c>
      <c r="R182" s="292" t="e">
        <f t="shared" si="87"/>
        <v>#DIV/0!</v>
      </c>
      <c r="S182" s="292" t="e">
        <f t="shared" si="87"/>
        <v>#DIV/0!</v>
      </c>
      <c r="T182" s="292" t="e">
        <f t="shared" si="87"/>
        <v>#DIV/0!</v>
      </c>
      <c r="U182" s="292" t="e">
        <f t="shared" si="87"/>
        <v>#DIV/0!</v>
      </c>
      <c r="V182" s="292" t="e">
        <f t="shared" si="87"/>
        <v>#DIV/0!</v>
      </c>
      <c r="W182" s="292" t="e">
        <f t="shared" si="87"/>
        <v>#DIV/0!</v>
      </c>
      <c r="X182" s="292" t="e">
        <f t="shared" si="87"/>
        <v>#DIV/0!</v>
      </c>
      <c r="Y182" s="292" t="e">
        <f t="shared" si="87"/>
        <v>#DIV/0!</v>
      </c>
      <c r="Z182" s="292" t="e">
        <f t="shared" si="87"/>
        <v>#DIV/0!</v>
      </c>
      <c r="AA182" s="292" t="e">
        <f t="shared" si="87"/>
        <v>#DIV/0!</v>
      </c>
      <c r="AB182" s="292" t="e">
        <f t="shared" si="87"/>
        <v>#DIV/0!</v>
      </c>
      <c r="AC182" s="292" t="e">
        <f t="shared" si="87"/>
        <v>#DIV/0!</v>
      </c>
      <c r="AD182" s="292" t="e">
        <f t="shared" si="87"/>
        <v>#DIV/0!</v>
      </c>
      <c r="AE182" s="292" t="e">
        <f t="shared" si="87"/>
        <v>#DIV/0!</v>
      </c>
      <c r="AF182" s="292" t="e">
        <f t="shared" si="87"/>
        <v>#DIV/0!</v>
      </c>
      <c r="AG182" s="292" t="e">
        <f t="shared" si="87"/>
        <v>#DIV/0!</v>
      </c>
      <c r="AH182" s="292" t="e">
        <f t="shared" si="87"/>
        <v>#DIV/0!</v>
      </c>
      <c r="AI182" s="292" t="e">
        <f t="shared" si="87"/>
        <v>#DIV/0!</v>
      </c>
      <c r="AJ182" s="10"/>
      <c r="AK182" s="44" t="e">
        <f>AK175/AK165*100</f>
        <v>#DIV/0!</v>
      </c>
      <c r="AM182" s="41"/>
      <c r="BW182" s="40"/>
      <c r="BX182" s="40"/>
      <c r="DA182" s="40"/>
      <c r="EI182" s="30"/>
      <c r="EJ182" s="40"/>
      <c r="EK182" s="40"/>
      <c r="EL182" s="40"/>
      <c r="EM182" s="40"/>
      <c r="GP182" s="40"/>
      <c r="KK182" s="40"/>
      <c r="KL182" s="40"/>
      <c r="KM182" s="40"/>
      <c r="KN182" s="40"/>
      <c r="PR182" s="40"/>
      <c r="PS182" s="40"/>
      <c r="PU182" s="40"/>
      <c r="QI182" s="39"/>
      <c r="QM182" s="40"/>
      <c r="SP182" s="39"/>
      <c r="AHY182" s="5"/>
      <c r="AJN182" s="5"/>
      <c r="AJO182" s="5"/>
      <c r="AJP182" s="5"/>
    </row>
    <row r="183" spans="2:952" ht="15" customHeight="1" x14ac:dyDescent="0.25">
      <c r="B183" s="137">
        <v>9</v>
      </c>
      <c r="C183" s="161" t="s">
        <v>161</v>
      </c>
      <c r="D183" s="305"/>
      <c r="E183" s="254"/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  <c r="AA183" s="306"/>
      <c r="AB183" s="306"/>
      <c r="AC183" s="306"/>
      <c r="AD183" s="306"/>
      <c r="AE183" s="306"/>
      <c r="AF183" s="307"/>
      <c r="AG183" s="307"/>
      <c r="AH183" s="307"/>
      <c r="AI183" s="307"/>
      <c r="AJ183" s="7"/>
      <c r="AK183" s="158" t="s">
        <v>47</v>
      </c>
      <c r="AM183" s="41"/>
      <c r="BW183" s="40"/>
      <c r="BX183" s="40"/>
      <c r="DA183" s="40"/>
      <c r="EI183" s="30"/>
      <c r="EJ183" s="40"/>
      <c r="EK183" s="40"/>
      <c r="EL183" s="40"/>
      <c r="EM183" s="40"/>
      <c r="GP183" s="40"/>
      <c r="KK183" s="40"/>
      <c r="KL183" s="40"/>
      <c r="KM183" s="40"/>
      <c r="KN183" s="40"/>
      <c r="PR183" s="40"/>
      <c r="PS183" s="40"/>
      <c r="PU183" s="40"/>
      <c r="QI183" s="39"/>
      <c r="QM183" s="40"/>
      <c r="SP183" s="39"/>
      <c r="AHY183" s="5"/>
      <c r="AJN183" s="5"/>
      <c r="AJO183" s="5"/>
      <c r="AJP183" s="5"/>
    </row>
    <row r="184" spans="2:952" s="87" customFormat="1" ht="15" customHeight="1" x14ac:dyDescent="0.25">
      <c r="B184" s="137"/>
      <c r="C184" s="233" t="s">
        <v>171</v>
      </c>
      <c r="D184" s="350"/>
      <c r="E184" s="251" t="s">
        <v>16</v>
      </c>
      <c r="F184" s="304">
        <v>0</v>
      </c>
      <c r="G184" s="304">
        <v>0</v>
      </c>
      <c r="H184" s="304"/>
      <c r="I184" s="304">
        <v>0</v>
      </c>
      <c r="J184" s="304">
        <v>0</v>
      </c>
      <c r="K184" s="304">
        <v>0</v>
      </c>
      <c r="L184" s="304">
        <v>0</v>
      </c>
      <c r="M184" s="304">
        <v>0</v>
      </c>
      <c r="N184" s="304">
        <v>0</v>
      </c>
      <c r="O184" s="335"/>
      <c r="P184" s="335"/>
      <c r="Q184" s="335"/>
      <c r="R184" s="335"/>
      <c r="S184" s="335"/>
      <c r="T184" s="335"/>
      <c r="U184" s="335"/>
      <c r="V184" s="335"/>
      <c r="W184" s="335"/>
      <c r="X184" s="335"/>
      <c r="Y184" s="335"/>
      <c r="Z184" s="335"/>
      <c r="AA184" s="320">
        <v>0</v>
      </c>
      <c r="AB184" s="320">
        <v>112076</v>
      </c>
      <c r="AC184" s="320">
        <v>27800</v>
      </c>
      <c r="AD184" s="335">
        <v>59735</v>
      </c>
      <c r="AE184" s="335">
        <v>30000</v>
      </c>
      <c r="AF184" s="335"/>
      <c r="AG184" s="335"/>
      <c r="AH184" s="335"/>
      <c r="AI184" s="335"/>
      <c r="AJ184" s="351"/>
      <c r="AK184" s="52">
        <f>SUM(F184:AI184)</f>
        <v>229611</v>
      </c>
      <c r="AM184" s="61"/>
      <c r="AN184" s="352"/>
      <c r="AO184" s="68"/>
      <c r="AP184" s="352"/>
      <c r="AQ184" s="352"/>
      <c r="AR184" s="352"/>
      <c r="AS184" s="352"/>
      <c r="AT184" s="352"/>
      <c r="AU184" s="352"/>
      <c r="AV184" s="352"/>
      <c r="AW184" s="352"/>
      <c r="AX184" s="352"/>
      <c r="AY184" s="352"/>
      <c r="AZ184" s="352"/>
      <c r="BA184" s="352"/>
      <c r="BB184" s="352"/>
      <c r="BC184" s="352"/>
      <c r="BD184" s="352"/>
      <c r="BE184" s="352"/>
      <c r="BF184" s="352"/>
      <c r="BG184" s="352"/>
      <c r="BH184" s="352"/>
      <c r="BI184" s="352"/>
      <c r="BJ184" s="352"/>
      <c r="BK184" s="352"/>
      <c r="BL184" s="352"/>
      <c r="BM184" s="352"/>
      <c r="BN184" s="352"/>
      <c r="BO184" s="352"/>
      <c r="BP184" s="352"/>
      <c r="BQ184" s="352"/>
      <c r="BR184" s="352"/>
      <c r="BS184" s="352"/>
      <c r="BT184" s="352"/>
      <c r="BU184" s="352"/>
      <c r="BV184" s="352"/>
      <c r="BW184" s="60"/>
      <c r="BX184" s="60"/>
      <c r="CX184" s="353"/>
      <c r="DA184" s="60"/>
      <c r="EI184" s="22"/>
      <c r="EJ184" s="60"/>
      <c r="EK184" s="60"/>
      <c r="EL184" s="60"/>
      <c r="EM184" s="60"/>
      <c r="GP184" s="60"/>
      <c r="KK184" s="60"/>
      <c r="KL184" s="60"/>
      <c r="KM184" s="60"/>
      <c r="KN184" s="60"/>
      <c r="PR184" s="60"/>
      <c r="PS184" s="60"/>
      <c r="PU184" s="60"/>
      <c r="QI184" s="59"/>
      <c r="QM184" s="60"/>
      <c r="SP184" s="59"/>
      <c r="AHY184" s="20"/>
      <c r="AJN184" s="20"/>
      <c r="AJO184" s="20"/>
      <c r="AJP184" s="20"/>
    </row>
    <row r="185" spans="2:952" ht="15" customHeight="1" x14ac:dyDescent="0.25">
      <c r="B185" s="135"/>
      <c r="C185" s="165" t="s">
        <v>172</v>
      </c>
      <c r="D185" s="290"/>
      <c r="E185" s="251" t="s">
        <v>16</v>
      </c>
      <c r="F185" s="292">
        <v>0</v>
      </c>
      <c r="G185" s="292">
        <v>0</v>
      </c>
      <c r="H185" s="292"/>
      <c r="I185" s="292"/>
      <c r="J185" s="292">
        <v>0</v>
      </c>
      <c r="K185" s="292">
        <v>0</v>
      </c>
      <c r="L185" s="292">
        <v>0</v>
      </c>
      <c r="M185" s="292">
        <v>0</v>
      </c>
      <c r="N185" s="292">
        <v>0</v>
      </c>
      <c r="O185" s="292">
        <v>0</v>
      </c>
      <c r="P185" s="292">
        <v>0</v>
      </c>
      <c r="Q185" s="292">
        <v>0</v>
      </c>
      <c r="R185" s="292">
        <v>0</v>
      </c>
      <c r="S185" s="292">
        <v>0</v>
      </c>
      <c r="T185" s="292">
        <v>0</v>
      </c>
      <c r="U185" s="292">
        <v>0</v>
      </c>
      <c r="V185" s="292">
        <v>0</v>
      </c>
      <c r="W185" s="292">
        <v>0</v>
      </c>
      <c r="X185" s="292"/>
      <c r="Y185" s="292">
        <v>0</v>
      </c>
      <c r="Z185" s="292">
        <v>0</v>
      </c>
      <c r="AA185" s="292">
        <v>29206.55</v>
      </c>
      <c r="AB185" s="292">
        <v>66544.63</v>
      </c>
      <c r="AC185" s="292">
        <v>76838.97</v>
      </c>
      <c r="AD185" s="292">
        <v>0</v>
      </c>
      <c r="AE185" s="292">
        <v>47646.85</v>
      </c>
      <c r="AF185" s="292">
        <v>0</v>
      </c>
      <c r="AG185" s="292">
        <v>0</v>
      </c>
      <c r="AH185" s="292">
        <v>50971.83</v>
      </c>
      <c r="AI185" s="292">
        <v>0</v>
      </c>
      <c r="AJ185" s="10"/>
      <c r="AK185" s="52">
        <f>SUM(F186:AK186)</f>
        <v>810326.70406000013</v>
      </c>
      <c r="AM185" s="2" t="s">
        <v>173</v>
      </c>
      <c r="AN185" s="89">
        <v>6154</v>
      </c>
      <c r="AO185" s="3">
        <v>0.90229999999999999</v>
      </c>
      <c r="AP185" s="35">
        <f>AN185*AO185</f>
        <v>5552.7542000000003</v>
      </c>
      <c r="AQ185" s="3">
        <f>AP185/1000</f>
        <v>5.5527542000000008</v>
      </c>
      <c r="BW185" s="40"/>
      <c r="BX185" s="40"/>
      <c r="DA185" s="40"/>
      <c r="EI185" s="30"/>
      <c r="EJ185" s="40"/>
      <c r="EK185" s="40"/>
      <c r="EL185" s="40"/>
      <c r="EM185" s="40"/>
      <c r="GP185" s="40"/>
      <c r="KK185" s="40"/>
      <c r="KL185" s="40"/>
      <c r="KM185" s="40"/>
      <c r="KN185" s="40"/>
      <c r="PR185" s="40"/>
      <c r="PS185" s="40"/>
      <c r="PU185" s="40"/>
      <c r="QI185" s="39"/>
      <c r="QM185" s="40"/>
      <c r="SP185" s="39"/>
      <c r="AHY185" s="5"/>
      <c r="AJN185" s="5"/>
      <c r="AJO185" s="5"/>
      <c r="AJP185" s="5"/>
    </row>
    <row r="186" spans="2:952" ht="15" customHeight="1" x14ac:dyDescent="0.25">
      <c r="B186" s="135"/>
      <c r="C186" s="165" t="s">
        <v>44</v>
      </c>
      <c r="D186" s="290"/>
      <c r="E186" s="214" t="s">
        <v>16</v>
      </c>
      <c r="F186" s="292">
        <f>SUM(F189:F191)*0.9023</f>
        <v>0</v>
      </c>
      <c r="G186" s="292">
        <f t="shared" ref="G186:AD186" si="88">SUM(G189:G191)*0.9023</f>
        <v>0</v>
      </c>
      <c r="H186" s="292">
        <f t="shared" si="88"/>
        <v>0</v>
      </c>
      <c r="I186" s="292">
        <f t="shared" si="88"/>
        <v>0</v>
      </c>
      <c r="J186" s="292">
        <f t="shared" si="88"/>
        <v>0</v>
      </c>
      <c r="K186" s="292">
        <f t="shared" si="88"/>
        <v>0</v>
      </c>
      <c r="L186" s="292">
        <f t="shared" si="88"/>
        <v>0</v>
      </c>
      <c r="M186" s="292">
        <f t="shared" si="88"/>
        <v>0</v>
      </c>
      <c r="N186" s="292">
        <f t="shared" si="88"/>
        <v>0</v>
      </c>
      <c r="O186" s="292">
        <f t="shared" si="88"/>
        <v>0</v>
      </c>
      <c r="P186" s="292">
        <f t="shared" si="88"/>
        <v>0</v>
      </c>
      <c r="Q186" s="292">
        <f t="shared" si="88"/>
        <v>0</v>
      </c>
      <c r="R186" s="292">
        <f t="shared" si="88"/>
        <v>0</v>
      </c>
      <c r="S186" s="292">
        <f t="shared" si="88"/>
        <v>0</v>
      </c>
      <c r="T186" s="292">
        <f t="shared" si="88"/>
        <v>0</v>
      </c>
      <c r="U186" s="292">
        <f t="shared" si="88"/>
        <v>0</v>
      </c>
      <c r="V186" s="292">
        <f t="shared" si="88"/>
        <v>0</v>
      </c>
      <c r="W186" s="292">
        <f t="shared" si="88"/>
        <v>0</v>
      </c>
      <c r="X186" s="292">
        <f t="shared" si="88"/>
        <v>0</v>
      </c>
      <c r="Y186" s="292">
        <f t="shared" si="88"/>
        <v>0</v>
      </c>
      <c r="Z186" s="292">
        <f t="shared" si="88"/>
        <v>0</v>
      </c>
      <c r="AA186" s="292">
        <f t="shared" si="88"/>
        <v>31799.758900000001</v>
      </c>
      <c r="AB186" s="292">
        <f t="shared" si="88"/>
        <v>72185.804600000003</v>
      </c>
      <c r="AC186" s="292">
        <f t="shared" si="88"/>
        <v>83235.3704</v>
      </c>
      <c r="AD186" s="292">
        <f t="shared" si="88"/>
        <v>0</v>
      </c>
      <c r="AE186" s="292">
        <f t="shared" ref="AE186:AI186" si="89">SUM(AE189:AE191)*9.75348</f>
        <v>300816.83016000001</v>
      </c>
      <c r="AF186" s="292">
        <f t="shared" si="89"/>
        <v>0</v>
      </c>
      <c r="AG186" s="292">
        <v>50971.83</v>
      </c>
      <c r="AH186" s="292">
        <v>108.28</v>
      </c>
      <c r="AI186" s="292">
        <f t="shared" si="89"/>
        <v>0</v>
      </c>
      <c r="AJ186" s="10"/>
      <c r="AK186" s="52">
        <f>SUM(L185:AI185)</f>
        <v>271208.83</v>
      </c>
      <c r="AM186" s="41"/>
      <c r="BW186" s="40"/>
      <c r="BX186" s="40"/>
      <c r="DA186" s="40"/>
      <c r="EI186" s="30"/>
      <c r="EJ186" s="40"/>
      <c r="EK186" s="40"/>
      <c r="EL186" s="40"/>
      <c r="EM186" s="40"/>
      <c r="GP186" s="40"/>
      <c r="KK186" s="40"/>
      <c r="KL186" s="40"/>
      <c r="KM186" s="40"/>
      <c r="KN186" s="40"/>
      <c r="PR186" s="40"/>
      <c r="PS186" s="40"/>
      <c r="PU186" s="40"/>
      <c r="QI186" s="39"/>
      <c r="QM186" s="40"/>
      <c r="SP186" s="39"/>
      <c r="AHY186" s="5"/>
      <c r="AJN186" s="5"/>
      <c r="AJO186" s="5"/>
      <c r="AJP186" s="5"/>
    </row>
    <row r="187" spans="2:952" ht="15" customHeight="1" x14ac:dyDescent="0.25">
      <c r="B187" s="135"/>
      <c r="C187" s="165" t="s">
        <v>43</v>
      </c>
      <c r="D187" s="290"/>
      <c r="E187" s="214" t="s">
        <v>16</v>
      </c>
      <c r="F187" s="292">
        <f>F185-F186</f>
        <v>0</v>
      </c>
      <c r="G187" s="292">
        <f t="shared" ref="G187:AI187" si="90">G185-G186</f>
        <v>0</v>
      </c>
      <c r="H187" s="292">
        <f t="shared" si="90"/>
        <v>0</v>
      </c>
      <c r="I187" s="292">
        <f t="shared" si="90"/>
        <v>0</v>
      </c>
      <c r="J187" s="292">
        <f t="shared" si="90"/>
        <v>0</v>
      </c>
      <c r="K187" s="292">
        <f t="shared" si="90"/>
        <v>0</v>
      </c>
      <c r="L187" s="292">
        <f t="shared" si="90"/>
        <v>0</v>
      </c>
      <c r="M187" s="292">
        <f t="shared" si="90"/>
        <v>0</v>
      </c>
      <c r="N187" s="292">
        <f t="shared" si="90"/>
        <v>0</v>
      </c>
      <c r="O187" s="292">
        <f t="shared" si="90"/>
        <v>0</v>
      </c>
      <c r="P187" s="292">
        <f t="shared" si="90"/>
        <v>0</v>
      </c>
      <c r="Q187" s="292">
        <f t="shared" si="90"/>
        <v>0</v>
      </c>
      <c r="R187" s="292">
        <f t="shared" si="90"/>
        <v>0</v>
      </c>
      <c r="S187" s="292">
        <f t="shared" si="90"/>
        <v>0</v>
      </c>
      <c r="T187" s="292">
        <f t="shared" si="90"/>
        <v>0</v>
      </c>
      <c r="U187" s="292">
        <f t="shared" si="90"/>
        <v>0</v>
      </c>
      <c r="V187" s="292">
        <f t="shared" si="90"/>
        <v>0</v>
      </c>
      <c r="W187" s="292">
        <f t="shared" si="90"/>
        <v>0</v>
      </c>
      <c r="X187" s="292">
        <f>X185-X186</f>
        <v>0</v>
      </c>
      <c r="Y187" s="292">
        <f t="shared" si="90"/>
        <v>0</v>
      </c>
      <c r="Z187" s="292">
        <f t="shared" si="90"/>
        <v>0</v>
      </c>
      <c r="AA187" s="11">
        <f>AA185-AA186</f>
        <v>-2593.2089000000014</v>
      </c>
      <c r="AB187" s="292">
        <f>AB185-AB186</f>
        <v>-5641.1745999999985</v>
      </c>
      <c r="AC187" s="292">
        <f t="shared" si="90"/>
        <v>-6396.4003999999986</v>
      </c>
      <c r="AD187" s="292">
        <f t="shared" si="90"/>
        <v>0</v>
      </c>
      <c r="AE187" s="292">
        <f t="shared" si="90"/>
        <v>-253169.98016000001</v>
      </c>
      <c r="AF187" s="292">
        <f t="shared" si="90"/>
        <v>0</v>
      </c>
      <c r="AG187" s="292">
        <f t="shared" si="90"/>
        <v>-50971.83</v>
      </c>
      <c r="AH187" s="292">
        <f t="shared" si="90"/>
        <v>50863.55</v>
      </c>
      <c r="AI187" s="292">
        <f t="shared" si="90"/>
        <v>0</v>
      </c>
      <c r="AJ187" s="10"/>
      <c r="AK187" s="52">
        <f>SUM(F187:AI187)</f>
        <v>-267909.04406000004</v>
      </c>
      <c r="AM187" s="41"/>
      <c r="BW187" s="40"/>
      <c r="BX187" s="40"/>
      <c r="DA187" s="40"/>
      <c r="EI187" s="30"/>
      <c r="EJ187" s="40"/>
      <c r="EK187" s="40"/>
      <c r="EL187" s="40"/>
      <c r="EM187" s="40"/>
      <c r="GP187" s="40"/>
      <c r="KK187" s="40"/>
      <c r="KL187" s="40"/>
      <c r="KM187" s="40"/>
      <c r="KN187" s="40"/>
      <c r="PR187" s="40"/>
      <c r="PS187" s="40"/>
      <c r="PU187" s="40"/>
      <c r="QI187" s="39"/>
      <c r="QM187" s="40"/>
      <c r="SP187" s="39"/>
      <c r="AHY187" s="5"/>
      <c r="AJN187" s="5"/>
      <c r="AJO187" s="5"/>
      <c r="AJP187" s="5"/>
    </row>
    <row r="188" spans="2:952" ht="15" customHeight="1" x14ac:dyDescent="0.25">
      <c r="B188" s="135"/>
      <c r="C188" s="165" t="s">
        <v>33</v>
      </c>
      <c r="D188" s="290"/>
      <c r="E188" s="214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92"/>
      <c r="AB188" s="292"/>
      <c r="AC188" s="292"/>
      <c r="AD188" s="292"/>
      <c r="AE188" s="292"/>
      <c r="AF188" s="292"/>
      <c r="AG188" s="292"/>
      <c r="AH188" s="292"/>
      <c r="AI188" s="292"/>
      <c r="AJ188" s="10"/>
      <c r="AK188" s="44" t="s">
        <v>33</v>
      </c>
      <c r="AM188" s="41"/>
      <c r="BW188" s="40"/>
      <c r="BX188" s="40"/>
      <c r="DA188" s="40"/>
      <c r="EI188" s="30"/>
      <c r="EJ188" s="40"/>
      <c r="EK188" s="40"/>
      <c r="EL188" s="40"/>
      <c r="EM188" s="40"/>
      <c r="GP188" s="40"/>
      <c r="KK188" s="40"/>
      <c r="KL188" s="40"/>
      <c r="KM188" s="40"/>
      <c r="KN188" s="40"/>
      <c r="PR188" s="40"/>
      <c r="PS188" s="40"/>
      <c r="PU188" s="40"/>
      <c r="QI188" s="39"/>
      <c r="QM188" s="40"/>
      <c r="SP188" s="39"/>
      <c r="AHY188" s="5"/>
      <c r="AJN188" s="5"/>
      <c r="AJO188" s="5"/>
      <c r="AJP188" s="5"/>
    </row>
    <row r="189" spans="2:952" ht="15" customHeight="1" x14ac:dyDescent="0.25">
      <c r="B189" s="135"/>
      <c r="C189" s="165" t="s">
        <v>162</v>
      </c>
      <c r="D189" s="290"/>
      <c r="E189" s="214" t="s">
        <v>36</v>
      </c>
      <c r="F189" s="292">
        <v>0</v>
      </c>
      <c r="G189" s="292">
        <v>0</v>
      </c>
      <c r="H189" s="11"/>
      <c r="I189" s="11"/>
      <c r="J189" s="292">
        <v>0</v>
      </c>
      <c r="K189" s="292">
        <v>0</v>
      </c>
      <c r="L189" s="292">
        <v>0</v>
      </c>
      <c r="M189" s="292">
        <v>0</v>
      </c>
      <c r="N189" s="292">
        <v>0</v>
      </c>
      <c r="O189" s="292">
        <v>0</v>
      </c>
      <c r="P189" s="292">
        <v>0</v>
      </c>
      <c r="Q189" s="292">
        <v>0</v>
      </c>
      <c r="R189" s="292">
        <v>0</v>
      </c>
      <c r="S189" s="292">
        <v>0</v>
      </c>
      <c r="T189" s="292">
        <v>0</v>
      </c>
      <c r="U189" s="292">
        <v>0</v>
      </c>
      <c r="V189" s="292">
        <v>0</v>
      </c>
      <c r="W189" s="292">
        <v>0</v>
      </c>
      <c r="X189" s="292"/>
      <c r="Y189" s="292">
        <v>0</v>
      </c>
      <c r="Z189" s="292">
        <v>0</v>
      </c>
      <c r="AA189" s="11">
        <v>2711</v>
      </c>
      <c r="AB189" s="11">
        <v>6154</v>
      </c>
      <c r="AC189" s="11">
        <v>7096</v>
      </c>
      <c r="AD189" s="11">
        <v>0</v>
      </c>
      <c r="AE189" s="11">
        <v>4406</v>
      </c>
      <c r="AF189" s="11">
        <v>0</v>
      </c>
      <c r="AG189" s="11">
        <v>4726</v>
      </c>
      <c r="AH189" s="11">
        <v>10</v>
      </c>
      <c r="AI189" s="11">
        <v>0</v>
      </c>
      <c r="AJ189" s="10"/>
      <c r="AK189" s="50">
        <f>SUM(F189:AI189)</f>
        <v>25103</v>
      </c>
      <c r="AM189" s="41"/>
      <c r="BW189" s="40"/>
      <c r="BX189" s="40"/>
      <c r="DA189" s="40"/>
      <c r="EI189" s="30"/>
      <c r="EJ189" s="40"/>
      <c r="EK189" s="40"/>
      <c r="EL189" s="40"/>
      <c r="EM189" s="40"/>
      <c r="GP189" s="40"/>
      <c r="KK189" s="40"/>
      <c r="KL189" s="40"/>
      <c r="KM189" s="40"/>
      <c r="KN189" s="40"/>
      <c r="PR189" s="40"/>
      <c r="PS189" s="40"/>
      <c r="PU189" s="40"/>
      <c r="QI189" s="39"/>
      <c r="QM189" s="40"/>
      <c r="SP189" s="39"/>
      <c r="AHY189" s="5"/>
      <c r="AJN189" s="5"/>
      <c r="AJO189" s="5"/>
      <c r="AJP189" s="5"/>
    </row>
    <row r="190" spans="2:952" ht="15" customHeight="1" x14ac:dyDescent="0.25">
      <c r="B190" s="135"/>
      <c r="C190" s="165" t="s">
        <v>32</v>
      </c>
      <c r="D190" s="290"/>
      <c r="E190" s="214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292"/>
      <c r="AB190" s="292"/>
      <c r="AC190" s="292"/>
      <c r="AD190" s="292"/>
      <c r="AE190" s="292"/>
      <c r="AF190" s="292"/>
      <c r="AG190" s="292"/>
      <c r="AH190" s="292"/>
      <c r="AI190" s="292"/>
      <c r="AJ190" s="10"/>
      <c r="AK190" s="44" t="s">
        <v>32</v>
      </c>
      <c r="AM190" s="41"/>
      <c r="BW190" s="40"/>
      <c r="BX190" s="40"/>
      <c r="DA190" s="40"/>
      <c r="EI190" s="30"/>
      <c r="EJ190" s="40"/>
      <c r="EK190" s="40"/>
      <c r="EL190" s="40"/>
      <c r="EM190" s="40"/>
      <c r="GP190" s="40"/>
      <c r="KK190" s="40"/>
      <c r="KL190" s="40"/>
      <c r="KM190" s="40"/>
      <c r="KN190" s="40"/>
      <c r="PR190" s="40"/>
      <c r="PS190" s="40"/>
      <c r="PU190" s="40"/>
      <c r="QI190" s="39"/>
      <c r="QM190" s="40"/>
      <c r="SP190" s="39"/>
      <c r="AHY190" s="5"/>
      <c r="AJN190" s="5"/>
      <c r="AJO190" s="5"/>
      <c r="AJP190" s="5"/>
    </row>
    <row r="191" spans="2:952" ht="15" customHeight="1" x14ac:dyDescent="0.25">
      <c r="B191" s="135"/>
      <c r="C191" s="165" t="s">
        <v>162</v>
      </c>
      <c r="D191" s="290"/>
      <c r="E191" s="214" t="s">
        <v>32</v>
      </c>
      <c r="F191" s="11">
        <f>F189*12</f>
        <v>0</v>
      </c>
      <c r="G191" s="11">
        <f t="shared" ref="G191:AD191" si="91">G189*12</f>
        <v>0</v>
      </c>
      <c r="H191" s="11">
        <f t="shared" si="91"/>
        <v>0</v>
      </c>
      <c r="I191" s="11">
        <f t="shared" si="91"/>
        <v>0</v>
      </c>
      <c r="J191" s="11">
        <f t="shared" si="91"/>
        <v>0</v>
      </c>
      <c r="K191" s="11">
        <f t="shared" si="91"/>
        <v>0</v>
      </c>
      <c r="L191" s="11">
        <f t="shared" si="91"/>
        <v>0</v>
      </c>
      <c r="M191" s="11">
        <f t="shared" si="91"/>
        <v>0</v>
      </c>
      <c r="N191" s="11">
        <f t="shared" si="91"/>
        <v>0</v>
      </c>
      <c r="O191" s="11">
        <f t="shared" si="91"/>
        <v>0</v>
      </c>
      <c r="P191" s="11">
        <f t="shared" si="91"/>
        <v>0</v>
      </c>
      <c r="Q191" s="11">
        <f t="shared" si="91"/>
        <v>0</v>
      </c>
      <c r="R191" s="11">
        <f t="shared" si="91"/>
        <v>0</v>
      </c>
      <c r="S191" s="11">
        <f t="shared" si="91"/>
        <v>0</v>
      </c>
      <c r="T191" s="11">
        <f t="shared" si="91"/>
        <v>0</v>
      </c>
      <c r="U191" s="11">
        <f t="shared" si="91"/>
        <v>0</v>
      </c>
      <c r="V191" s="11">
        <f t="shared" si="91"/>
        <v>0</v>
      </c>
      <c r="W191" s="11">
        <f t="shared" si="91"/>
        <v>0</v>
      </c>
      <c r="X191" s="11">
        <f t="shared" si="91"/>
        <v>0</v>
      </c>
      <c r="Y191" s="11">
        <f t="shared" si="91"/>
        <v>0</v>
      </c>
      <c r="Z191" s="11">
        <f t="shared" si="91"/>
        <v>0</v>
      </c>
      <c r="AA191" s="11">
        <f t="shared" si="91"/>
        <v>32532</v>
      </c>
      <c r="AB191" s="11">
        <f t="shared" si="91"/>
        <v>73848</v>
      </c>
      <c r="AC191" s="11">
        <f t="shared" si="91"/>
        <v>85152</v>
      </c>
      <c r="AD191" s="11">
        <f t="shared" si="91"/>
        <v>0</v>
      </c>
      <c r="AE191" s="11">
        <f t="shared" ref="AE191" si="92">AE189*6</f>
        <v>26436</v>
      </c>
      <c r="AF191" s="292">
        <v>0</v>
      </c>
      <c r="AG191" s="292">
        <v>0</v>
      </c>
      <c r="AH191" s="292">
        <v>0</v>
      </c>
      <c r="AI191" s="292">
        <v>0</v>
      </c>
      <c r="AJ191" s="10"/>
      <c r="AK191" s="26">
        <f>AK189*24</f>
        <v>602472</v>
      </c>
      <c r="AM191" s="41"/>
      <c r="BW191" s="40"/>
      <c r="BX191" s="40"/>
      <c r="DA191" s="40"/>
      <c r="EI191" s="30"/>
      <c r="EJ191" s="40"/>
      <c r="EK191" s="40"/>
      <c r="EL191" s="40"/>
      <c r="EM191" s="40"/>
      <c r="GP191" s="40"/>
      <c r="KK191" s="40"/>
      <c r="KL191" s="40"/>
      <c r="KM191" s="40"/>
      <c r="KN191" s="40"/>
      <c r="PR191" s="40"/>
      <c r="PS191" s="40"/>
      <c r="PU191" s="40"/>
      <c r="QI191" s="39"/>
      <c r="QM191" s="40"/>
      <c r="SP191" s="39"/>
      <c r="AHY191" s="5"/>
      <c r="AJN191" s="5"/>
      <c r="AJO191" s="5"/>
      <c r="AJP191" s="5"/>
    </row>
    <row r="192" spans="2:952" ht="15" customHeight="1" x14ac:dyDescent="0.25">
      <c r="B192" s="135"/>
      <c r="C192" s="165" t="s">
        <v>41</v>
      </c>
      <c r="D192" s="290"/>
      <c r="E192" s="214" t="s">
        <v>40</v>
      </c>
      <c r="F192" s="11">
        <f>F189*45/1700</f>
        <v>0</v>
      </c>
      <c r="G192" s="11">
        <f t="shared" ref="G192:AE192" si="93">G189*45/1700</f>
        <v>0</v>
      </c>
      <c r="H192" s="11">
        <f t="shared" si="93"/>
        <v>0</v>
      </c>
      <c r="I192" s="11">
        <f>I189*45/1700</f>
        <v>0</v>
      </c>
      <c r="J192" s="11">
        <f>J189*45/1700</f>
        <v>0</v>
      </c>
      <c r="K192" s="11">
        <f t="shared" si="93"/>
        <v>0</v>
      </c>
      <c r="L192" s="11">
        <f t="shared" si="93"/>
        <v>0</v>
      </c>
      <c r="M192" s="11">
        <f t="shared" si="93"/>
        <v>0</v>
      </c>
      <c r="N192" s="11">
        <f t="shared" si="93"/>
        <v>0</v>
      </c>
      <c r="O192" s="11">
        <f t="shared" si="93"/>
        <v>0</v>
      </c>
      <c r="P192" s="11">
        <f t="shared" si="93"/>
        <v>0</v>
      </c>
      <c r="Q192" s="11">
        <f t="shared" si="93"/>
        <v>0</v>
      </c>
      <c r="R192" s="11">
        <f t="shared" si="93"/>
        <v>0</v>
      </c>
      <c r="S192" s="11">
        <f t="shared" si="93"/>
        <v>0</v>
      </c>
      <c r="T192" s="11">
        <f t="shared" si="93"/>
        <v>0</v>
      </c>
      <c r="U192" s="11">
        <f t="shared" si="93"/>
        <v>0</v>
      </c>
      <c r="V192" s="11">
        <f t="shared" si="93"/>
        <v>0</v>
      </c>
      <c r="W192" s="11">
        <f t="shared" si="93"/>
        <v>0</v>
      </c>
      <c r="X192" s="11">
        <f t="shared" si="93"/>
        <v>0</v>
      </c>
      <c r="Y192" s="11">
        <f t="shared" si="93"/>
        <v>0</v>
      </c>
      <c r="Z192" s="11">
        <f t="shared" si="93"/>
        <v>0</v>
      </c>
      <c r="AA192" s="11">
        <f t="shared" si="93"/>
        <v>71.761764705882356</v>
      </c>
      <c r="AB192" s="11">
        <f t="shared" si="93"/>
        <v>162.9</v>
      </c>
      <c r="AC192" s="11">
        <f t="shared" si="93"/>
        <v>187.83529411764707</v>
      </c>
      <c r="AD192" s="11">
        <f t="shared" si="93"/>
        <v>0</v>
      </c>
      <c r="AE192" s="11">
        <f t="shared" si="93"/>
        <v>116.62941176470588</v>
      </c>
      <c r="AF192" s="292">
        <v>0</v>
      </c>
      <c r="AG192" s="292">
        <v>0</v>
      </c>
      <c r="AH192" s="292">
        <v>0</v>
      </c>
      <c r="AI192" s="292">
        <v>0</v>
      </c>
      <c r="AJ192" s="10"/>
      <c r="AK192" s="26">
        <f>SUM(F192:AI192)</f>
        <v>539.12647058823529</v>
      </c>
      <c r="AM192" s="41"/>
      <c r="BW192" s="40"/>
      <c r="BX192" s="40"/>
      <c r="DA192" s="40"/>
      <c r="EI192" s="30"/>
      <c r="EJ192" s="40"/>
      <c r="EK192" s="40"/>
      <c r="EL192" s="40"/>
      <c r="EM192" s="40"/>
      <c r="GP192" s="40"/>
      <c r="KK192" s="40"/>
      <c r="KL192" s="40"/>
      <c r="KM192" s="40"/>
      <c r="KN192" s="40"/>
      <c r="PR192" s="40"/>
      <c r="PS192" s="40"/>
      <c r="PU192" s="40"/>
      <c r="QI192" s="39"/>
      <c r="QM192" s="40"/>
      <c r="SP192" s="39"/>
      <c r="AHY192" s="5"/>
      <c r="AJN192" s="5"/>
      <c r="AJO192" s="5"/>
      <c r="AJP192" s="5"/>
    </row>
    <row r="193" spans="2:952" ht="15" customHeight="1" x14ac:dyDescent="0.25">
      <c r="B193" s="135"/>
      <c r="C193" s="165" t="s">
        <v>39</v>
      </c>
      <c r="D193" s="290"/>
      <c r="E193" s="214" t="s">
        <v>38</v>
      </c>
      <c r="F193" s="11">
        <f>SUM(F189)/500</f>
        <v>0</v>
      </c>
      <c r="G193" s="11">
        <f t="shared" ref="G193:AE193" si="94">SUM(G189)/500</f>
        <v>0</v>
      </c>
      <c r="H193" s="11">
        <f t="shared" si="94"/>
        <v>0</v>
      </c>
      <c r="I193" s="11">
        <f t="shared" si="94"/>
        <v>0</v>
      </c>
      <c r="J193" s="11">
        <f t="shared" si="94"/>
        <v>0</v>
      </c>
      <c r="K193" s="11">
        <f t="shared" si="94"/>
        <v>0</v>
      </c>
      <c r="L193" s="11">
        <f t="shared" si="94"/>
        <v>0</v>
      </c>
      <c r="M193" s="11">
        <f t="shared" si="94"/>
        <v>0</v>
      </c>
      <c r="N193" s="11">
        <f t="shared" si="94"/>
        <v>0</v>
      </c>
      <c r="O193" s="11">
        <f t="shared" si="94"/>
        <v>0</v>
      </c>
      <c r="P193" s="11">
        <f t="shared" si="94"/>
        <v>0</v>
      </c>
      <c r="Q193" s="11">
        <f t="shared" si="94"/>
        <v>0</v>
      </c>
      <c r="R193" s="11">
        <f t="shared" si="94"/>
        <v>0</v>
      </c>
      <c r="S193" s="11">
        <f t="shared" si="94"/>
        <v>0</v>
      </c>
      <c r="T193" s="11">
        <f t="shared" si="94"/>
        <v>0</v>
      </c>
      <c r="U193" s="11">
        <f t="shared" si="94"/>
        <v>0</v>
      </c>
      <c r="V193" s="11">
        <f t="shared" si="94"/>
        <v>0</v>
      </c>
      <c r="W193" s="11">
        <f t="shared" si="94"/>
        <v>0</v>
      </c>
      <c r="X193" s="11">
        <f t="shared" si="94"/>
        <v>0</v>
      </c>
      <c r="Y193" s="11">
        <f t="shared" si="94"/>
        <v>0</v>
      </c>
      <c r="Z193" s="11">
        <f t="shared" si="94"/>
        <v>0</v>
      </c>
      <c r="AA193" s="11">
        <f t="shared" si="94"/>
        <v>5.4219999999999997</v>
      </c>
      <c r="AB193" s="11">
        <f t="shared" si="94"/>
        <v>12.308</v>
      </c>
      <c r="AC193" s="11">
        <f t="shared" si="94"/>
        <v>14.192</v>
      </c>
      <c r="AD193" s="11">
        <f t="shared" si="94"/>
        <v>0</v>
      </c>
      <c r="AE193" s="11">
        <f t="shared" si="94"/>
        <v>8.8119999999999994</v>
      </c>
      <c r="AF193" s="292">
        <v>0</v>
      </c>
      <c r="AG193" s="292">
        <v>0</v>
      </c>
      <c r="AH193" s="292">
        <v>0</v>
      </c>
      <c r="AI193" s="292">
        <v>0</v>
      </c>
      <c r="AJ193" s="10"/>
      <c r="AK193" s="26">
        <f>SUM(F193:AI193)</f>
        <v>40.734000000000002</v>
      </c>
      <c r="AM193" s="41"/>
      <c r="BW193" s="40"/>
      <c r="BX193" s="40"/>
      <c r="DA193" s="40"/>
      <c r="EI193" s="30"/>
      <c r="EJ193" s="40"/>
      <c r="EK193" s="40"/>
      <c r="EL193" s="40"/>
      <c r="EM193" s="40"/>
      <c r="GP193" s="40"/>
      <c r="KK193" s="40"/>
      <c r="KL193" s="40"/>
      <c r="KM193" s="40"/>
      <c r="KN193" s="40"/>
      <c r="PR193" s="40"/>
      <c r="PS193" s="40"/>
      <c r="PU193" s="40"/>
      <c r="QI193" s="39"/>
      <c r="QM193" s="40"/>
      <c r="SP193" s="39"/>
      <c r="AHY193" s="5"/>
      <c r="AJN193" s="5"/>
      <c r="AJO193" s="5"/>
      <c r="AJP193" s="5"/>
    </row>
    <row r="194" spans="2:952" ht="15" customHeight="1" x14ac:dyDescent="0.25">
      <c r="B194" s="135"/>
      <c r="C194" s="161" t="s">
        <v>37</v>
      </c>
      <c r="D194" s="305"/>
      <c r="E194" s="254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6"/>
      <c r="AH194" s="306"/>
      <c r="AI194" s="306"/>
      <c r="AJ194" s="10"/>
      <c r="AK194" s="158" t="s">
        <v>34</v>
      </c>
      <c r="AM194" s="41"/>
      <c r="BW194" s="40"/>
      <c r="BX194" s="40"/>
      <c r="DA194" s="40"/>
      <c r="EI194" s="30"/>
      <c r="EJ194" s="40"/>
      <c r="EK194" s="40"/>
      <c r="EL194" s="40"/>
      <c r="EM194" s="40"/>
      <c r="GP194" s="40"/>
      <c r="KK194" s="40"/>
      <c r="KL194" s="40"/>
      <c r="KM194" s="40"/>
      <c r="KN194" s="40"/>
      <c r="PR194" s="40"/>
      <c r="PS194" s="40"/>
      <c r="PU194" s="40"/>
      <c r="QI194" s="39"/>
      <c r="QM194" s="40"/>
      <c r="SP194" s="39"/>
      <c r="AHY194" s="5"/>
      <c r="AJN194" s="5"/>
      <c r="AJO194" s="5"/>
      <c r="AJP194" s="5"/>
    </row>
    <row r="195" spans="2:952" ht="15" customHeight="1" x14ac:dyDescent="0.25">
      <c r="B195" s="135"/>
      <c r="C195" s="165" t="s">
        <v>33</v>
      </c>
      <c r="D195" s="290"/>
      <c r="E195" s="214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2"/>
      <c r="AB195" s="292"/>
      <c r="AC195" s="292"/>
      <c r="AD195" s="292"/>
      <c r="AE195" s="292"/>
      <c r="AF195" s="292"/>
      <c r="AG195" s="292"/>
      <c r="AH195" s="292"/>
      <c r="AI195" s="292"/>
      <c r="AJ195" s="10"/>
      <c r="AK195" s="44" t="s">
        <v>33</v>
      </c>
      <c r="AM195" s="41"/>
      <c r="BW195" s="40"/>
      <c r="BX195" s="40"/>
      <c r="DA195" s="40"/>
      <c r="EI195" s="30"/>
      <c r="EJ195" s="40"/>
      <c r="EK195" s="40"/>
      <c r="EL195" s="40"/>
      <c r="EM195" s="40"/>
      <c r="GP195" s="40"/>
      <c r="KK195" s="40"/>
      <c r="KL195" s="40"/>
      <c r="KM195" s="40"/>
      <c r="KN195" s="40"/>
      <c r="PR195" s="40"/>
      <c r="PS195" s="40"/>
      <c r="PU195" s="40"/>
      <c r="QI195" s="39"/>
      <c r="QM195" s="40"/>
      <c r="SP195" s="39"/>
      <c r="AHY195" s="5"/>
      <c r="AJN195" s="5"/>
      <c r="AJO195" s="5"/>
      <c r="AJP195" s="5"/>
    </row>
    <row r="196" spans="2:952" ht="15" customHeight="1" x14ac:dyDescent="0.25">
      <c r="B196" s="135"/>
      <c r="C196" s="165" t="s">
        <v>162</v>
      </c>
      <c r="D196" s="290"/>
      <c r="E196" s="214" t="s">
        <v>36</v>
      </c>
      <c r="F196" s="292">
        <v>0</v>
      </c>
      <c r="G196" s="292">
        <v>0</v>
      </c>
      <c r="H196" s="11"/>
      <c r="I196" s="292">
        <v>0</v>
      </c>
      <c r="J196" s="292">
        <v>0</v>
      </c>
      <c r="K196" s="292">
        <v>0</v>
      </c>
      <c r="L196" s="292">
        <v>0</v>
      </c>
      <c r="M196" s="292">
        <v>0</v>
      </c>
      <c r="N196" s="292">
        <v>0</v>
      </c>
      <c r="O196" s="292">
        <v>0</v>
      </c>
      <c r="P196" s="292">
        <v>0</v>
      </c>
      <c r="Q196" s="292">
        <v>0</v>
      </c>
      <c r="R196" s="292">
        <v>0</v>
      </c>
      <c r="S196" s="292">
        <v>0</v>
      </c>
      <c r="T196" s="292">
        <v>0</v>
      </c>
      <c r="U196" s="292">
        <v>0</v>
      </c>
      <c r="V196" s="292">
        <v>0</v>
      </c>
      <c r="W196" s="292">
        <v>0</v>
      </c>
      <c r="X196" s="292">
        <v>0</v>
      </c>
      <c r="Y196" s="292">
        <v>0</v>
      </c>
      <c r="Z196" s="292">
        <v>0</v>
      </c>
      <c r="AA196" s="11">
        <v>14</v>
      </c>
      <c r="AB196" s="11">
        <v>9</v>
      </c>
      <c r="AC196" s="292">
        <v>0</v>
      </c>
      <c r="AD196" s="292">
        <v>0</v>
      </c>
      <c r="AE196" s="11">
        <v>6</v>
      </c>
      <c r="AF196" s="292">
        <v>0</v>
      </c>
      <c r="AG196" s="292">
        <v>19</v>
      </c>
      <c r="AH196" s="11">
        <v>0</v>
      </c>
      <c r="AI196" s="292">
        <v>0</v>
      </c>
      <c r="AJ196" s="10"/>
      <c r="AK196" s="26">
        <f>SUM(F196:AI196)</f>
        <v>48</v>
      </c>
      <c r="AM196" s="41"/>
      <c r="BW196" s="40"/>
      <c r="BX196" s="40"/>
      <c r="DA196" s="40"/>
      <c r="EI196" s="30"/>
      <c r="EJ196" s="40"/>
      <c r="EK196" s="40"/>
      <c r="EL196" s="40"/>
      <c r="EM196" s="40"/>
      <c r="GP196" s="40"/>
      <c r="KK196" s="40"/>
      <c r="KL196" s="40"/>
      <c r="KM196" s="40"/>
      <c r="KN196" s="40"/>
      <c r="PR196" s="40"/>
      <c r="PS196" s="40"/>
      <c r="PU196" s="40"/>
      <c r="QI196" s="39"/>
      <c r="QM196" s="40"/>
      <c r="SP196" s="39"/>
      <c r="AHY196" s="5"/>
      <c r="AJN196" s="5"/>
      <c r="AJO196" s="5"/>
      <c r="AJP196" s="5"/>
    </row>
    <row r="197" spans="2:952" ht="15" customHeight="1" x14ac:dyDescent="0.25">
      <c r="B197" s="135"/>
      <c r="C197" s="165" t="s">
        <v>32</v>
      </c>
      <c r="D197" s="290"/>
      <c r="E197" s="214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2"/>
      <c r="AB197" s="292"/>
      <c r="AC197" s="292"/>
      <c r="AD197" s="292"/>
      <c r="AE197" s="292"/>
      <c r="AF197" s="292"/>
      <c r="AG197" s="292"/>
      <c r="AH197" s="292"/>
      <c r="AI197" s="292"/>
      <c r="AJ197" s="10"/>
      <c r="AK197" s="44" t="s">
        <v>32</v>
      </c>
      <c r="AM197" s="41"/>
      <c r="BW197" s="40"/>
      <c r="BX197" s="40"/>
      <c r="DA197" s="40"/>
      <c r="EI197" s="30"/>
      <c r="EJ197" s="40"/>
      <c r="EK197" s="40"/>
      <c r="EL197" s="40"/>
      <c r="EM197" s="40"/>
      <c r="GP197" s="40"/>
      <c r="KK197" s="40"/>
      <c r="KL197" s="40"/>
      <c r="KM197" s="40"/>
      <c r="KN197" s="40"/>
      <c r="PR197" s="40"/>
      <c r="PS197" s="40"/>
      <c r="PU197" s="40"/>
      <c r="QI197" s="39"/>
      <c r="QM197" s="40"/>
      <c r="SP197" s="39"/>
      <c r="AHY197" s="5"/>
      <c r="AJN197" s="5"/>
      <c r="AJO197" s="5"/>
      <c r="AJP197" s="5"/>
    </row>
    <row r="198" spans="2:952" ht="15" customHeight="1" x14ac:dyDescent="0.25">
      <c r="B198" s="135"/>
      <c r="C198" s="169" t="s">
        <v>162</v>
      </c>
      <c r="D198" s="309"/>
      <c r="E198" s="224" t="s">
        <v>32</v>
      </c>
      <c r="F198" s="310">
        <v>0</v>
      </c>
      <c r="G198" s="310">
        <v>0</v>
      </c>
      <c r="H198" s="286"/>
      <c r="I198" s="310">
        <v>0</v>
      </c>
      <c r="J198" s="310">
        <v>0</v>
      </c>
      <c r="K198" s="310">
        <v>0</v>
      </c>
      <c r="L198" s="310">
        <v>0</v>
      </c>
      <c r="M198" s="310">
        <v>0</v>
      </c>
      <c r="N198" s="310">
        <v>0</v>
      </c>
      <c r="O198" s="310">
        <v>0</v>
      </c>
      <c r="P198" s="310">
        <v>0</v>
      </c>
      <c r="Q198" s="310">
        <v>0</v>
      </c>
      <c r="R198" s="310">
        <v>0</v>
      </c>
      <c r="S198" s="310">
        <v>0</v>
      </c>
      <c r="T198" s="310">
        <v>0</v>
      </c>
      <c r="U198" s="310">
        <v>0</v>
      </c>
      <c r="V198" s="310">
        <v>0</v>
      </c>
      <c r="W198" s="310">
        <v>0</v>
      </c>
      <c r="X198" s="310">
        <v>0</v>
      </c>
      <c r="Y198" s="310">
        <v>0</v>
      </c>
      <c r="Z198" s="310">
        <v>0</v>
      </c>
      <c r="AA198" s="310">
        <v>0</v>
      </c>
      <c r="AB198" s="310">
        <v>0</v>
      </c>
      <c r="AC198" s="310">
        <v>0</v>
      </c>
      <c r="AD198" s="310">
        <v>0</v>
      </c>
      <c r="AE198" s="310">
        <v>0</v>
      </c>
      <c r="AF198" s="310">
        <v>0</v>
      </c>
      <c r="AG198" s="310">
        <v>0</v>
      </c>
      <c r="AH198" s="310">
        <v>0</v>
      </c>
      <c r="AI198" s="310">
        <v>0</v>
      </c>
      <c r="AJ198" s="10"/>
      <c r="AK198" s="26">
        <f>SUM(F198:AI198)</f>
        <v>0</v>
      </c>
      <c r="AM198" s="41"/>
      <c r="BW198" s="40"/>
      <c r="BX198" s="40"/>
      <c r="DA198" s="40"/>
      <c r="EI198" s="30"/>
      <c r="EJ198" s="40"/>
      <c r="EK198" s="40"/>
      <c r="EL198" s="40"/>
      <c r="EM198" s="40"/>
      <c r="GP198" s="40"/>
      <c r="KK198" s="40"/>
      <c r="KL198" s="40"/>
      <c r="KM198" s="40"/>
      <c r="KN198" s="40"/>
      <c r="PR198" s="40"/>
      <c r="PS198" s="40"/>
      <c r="PU198" s="40"/>
      <c r="QI198" s="39"/>
      <c r="QM198" s="40"/>
      <c r="SP198" s="39"/>
      <c r="AHY198" s="5"/>
      <c r="AJN198" s="5"/>
      <c r="AJO198" s="5"/>
      <c r="AJP198" s="5"/>
    </row>
    <row r="199" spans="2:952" ht="15" customHeight="1" x14ac:dyDescent="0.25">
      <c r="B199" s="135"/>
      <c r="C199" s="255" t="s">
        <v>174</v>
      </c>
      <c r="D199" s="308"/>
      <c r="E199" s="283" t="s">
        <v>16</v>
      </c>
      <c r="F199" s="307">
        <f>F184</f>
        <v>0</v>
      </c>
      <c r="G199" s="307">
        <f t="shared" ref="G199:AI199" si="95">G184</f>
        <v>0</v>
      </c>
      <c r="H199" s="256">
        <f t="shared" si="95"/>
        <v>0</v>
      </c>
      <c r="I199" s="307">
        <f t="shared" si="95"/>
        <v>0</v>
      </c>
      <c r="J199" s="307">
        <f t="shared" si="95"/>
        <v>0</v>
      </c>
      <c r="K199" s="307">
        <f t="shared" si="95"/>
        <v>0</v>
      </c>
      <c r="L199" s="307">
        <f t="shared" si="95"/>
        <v>0</v>
      </c>
      <c r="M199" s="307">
        <f t="shared" si="95"/>
        <v>0</v>
      </c>
      <c r="N199" s="307">
        <f t="shared" si="95"/>
        <v>0</v>
      </c>
      <c r="O199" s="307">
        <f t="shared" si="95"/>
        <v>0</v>
      </c>
      <c r="P199" s="307">
        <f t="shared" si="95"/>
        <v>0</v>
      </c>
      <c r="Q199" s="307">
        <f t="shared" si="95"/>
        <v>0</v>
      </c>
      <c r="R199" s="307">
        <f t="shared" si="95"/>
        <v>0</v>
      </c>
      <c r="S199" s="307">
        <f t="shared" si="95"/>
        <v>0</v>
      </c>
      <c r="T199" s="307">
        <f t="shared" si="95"/>
        <v>0</v>
      </c>
      <c r="U199" s="307">
        <f>U184</f>
        <v>0</v>
      </c>
      <c r="V199" s="307">
        <f>V184</f>
        <v>0</v>
      </c>
      <c r="W199" s="307">
        <f t="shared" si="95"/>
        <v>0</v>
      </c>
      <c r="X199" s="307">
        <f t="shared" si="95"/>
        <v>0</v>
      </c>
      <c r="Y199" s="307">
        <f t="shared" si="95"/>
        <v>0</v>
      </c>
      <c r="Z199" s="307">
        <f t="shared" si="95"/>
        <v>0</v>
      </c>
      <c r="AA199" s="307">
        <f t="shared" si="95"/>
        <v>0</v>
      </c>
      <c r="AB199" s="307">
        <f t="shared" si="95"/>
        <v>112076</v>
      </c>
      <c r="AC199" s="307">
        <f t="shared" si="95"/>
        <v>27800</v>
      </c>
      <c r="AD199" s="307">
        <f t="shared" si="95"/>
        <v>59735</v>
      </c>
      <c r="AE199" s="307">
        <f t="shared" si="95"/>
        <v>30000</v>
      </c>
      <c r="AF199" s="307">
        <f t="shared" si="95"/>
        <v>0</v>
      </c>
      <c r="AG199" s="307">
        <f t="shared" si="95"/>
        <v>0</v>
      </c>
      <c r="AH199" s="307">
        <f t="shared" si="95"/>
        <v>0</v>
      </c>
      <c r="AI199" s="307">
        <f t="shared" si="95"/>
        <v>0</v>
      </c>
      <c r="AJ199" s="10"/>
      <c r="AK199" s="284">
        <f>SUM(F199:AI199)</f>
        <v>229611</v>
      </c>
      <c r="AM199" s="41"/>
      <c r="BW199" s="40"/>
      <c r="BX199" s="40"/>
      <c r="DA199" s="40"/>
      <c r="EI199" s="30"/>
      <c r="EJ199" s="40"/>
      <c r="EK199" s="40"/>
      <c r="EL199" s="40"/>
      <c r="EM199" s="40"/>
      <c r="GP199" s="40"/>
      <c r="KK199" s="40"/>
      <c r="KL199" s="40"/>
      <c r="KM199" s="40"/>
      <c r="KN199" s="40"/>
      <c r="PR199" s="40"/>
      <c r="PS199" s="40"/>
      <c r="PU199" s="40"/>
      <c r="QI199" s="39"/>
      <c r="QM199" s="40"/>
      <c r="SP199" s="39"/>
      <c r="AHY199" s="5"/>
      <c r="AJN199" s="5"/>
      <c r="AJO199" s="5"/>
      <c r="AJP199" s="5"/>
    </row>
    <row r="200" spans="2:952" ht="15" customHeight="1" x14ac:dyDescent="0.25">
      <c r="B200" s="135"/>
      <c r="C200" s="255" t="s">
        <v>166</v>
      </c>
      <c r="D200" s="308"/>
      <c r="E200" s="283" t="s">
        <v>16</v>
      </c>
      <c r="F200" s="307">
        <f>F128</f>
        <v>0</v>
      </c>
      <c r="G200" s="307">
        <f t="shared" ref="G200:AD200" si="96">G128</f>
        <v>0</v>
      </c>
      <c r="H200" s="307">
        <f t="shared" si="96"/>
        <v>0</v>
      </c>
      <c r="I200" s="307">
        <f t="shared" si="96"/>
        <v>0</v>
      </c>
      <c r="J200" s="307">
        <f t="shared" si="96"/>
        <v>83500</v>
      </c>
      <c r="K200" s="307">
        <f t="shared" si="96"/>
        <v>0</v>
      </c>
      <c r="L200" s="307">
        <f t="shared" si="96"/>
        <v>0</v>
      </c>
      <c r="M200" s="307">
        <f t="shared" si="96"/>
        <v>0</v>
      </c>
      <c r="N200" s="307">
        <f t="shared" si="96"/>
        <v>0</v>
      </c>
      <c r="O200" s="307">
        <f t="shared" si="96"/>
        <v>0</v>
      </c>
      <c r="P200" s="307">
        <f t="shared" si="96"/>
        <v>0</v>
      </c>
      <c r="Q200" s="307">
        <f t="shared" si="96"/>
        <v>82368</v>
      </c>
      <c r="R200" s="307">
        <f t="shared" si="96"/>
        <v>0</v>
      </c>
      <c r="S200" s="307">
        <f t="shared" si="96"/>
        <v>0</v>
      </c>
      <c r="T200" s="307">
        <f t="shared" si="96"/>
        <v>0</v>
      </c>
      <c r="U200" s="307">
        <f t="shared" si="96"/>
        <v>0</v>
      </c>
      <c r="V200" s="307">
        <f t="shared" si="96"/>
        <v>0</v>
      </c>
      <c r="W200" s="307">
        <f t="shared" si="96"/>
        <v>0</v>
      </c>
      <c r="X200" s="307">
        <f t="shared" si="96"/>
        <v>0</v>
      </c>
      <c r="Y200" s="307">
        <f t="shared" si="96"/>
        <v>0</v>
      </c>
      <c r="Z200" s="307">
        <f t="shared" si="96"/>
        <v>0</v>
      </c>
      <c r="AA200" s="307">
        <f t="shared" si="96"/>
        <v>32711</v>
      </c>
      <c r="AB200" s="307">
        <f t="shared" si="96"/>
        <v>75500</v>
      </c>
      <c r="AC200" s="307">
        <f t="shared" si="96"/>
        <v>0</v>
      </c>
      <c r="AD200" s="307">
        <f t="shared" si="96"/>
        <v>2725</v>
      </c>
      <c r="AE200" s="307">
        <f>AE128</f>
        <v>0</v>
      </c>
      <c r="AF200" s="307">
        <f>AF128</f>
        <v>0</v>
      </c>
      <c r="AG200" s="307">
        <f>AG128</f>
        <v>1492</v>
      </c>
      <c r="AH200" s="307">
        <f>AH128</f>
        <v>0</v>
      </c>
      <c r="AI200" s="307">
        <f>AI128</f>
        <v>0</v>
      </c>
      <c r="AJ200" s="10"/>
      <c r="AK200" s="284">
        <f>SUM(F200:AI200)</f>
        <v>278296</v>
      </c>
      <c r="AM200" s="41"/>
      <c r="BW200" s="40"/>
      <c r="BX200" s="40"/>
      <c r="DA200" s="40"/>
      <c r="EI200" s="30"/>
      <c r="EJ200" s="40"/>
      <c r="EK200" s="40"/>
      <c r="EL200" s="40"/>
      <c r="EM200" s="40"/>
      <c r="GP200" s="40"/>
      <c r="KK200" s="40"/>
      <c r="KL200" s="40"/>
      <c r="KM200" s="40"/>
      <c r="KN200" s="40"/>
      <c r="PR200" s="40"/>
      <c r="PS200" s="40"/>
      <c r="PU200" s="40"/>
      <c r="QI200" s="39"/>
      <c r="QM200" s="40"/>
      <c r="SP200" s="39"/>
      <c r="AHY200" s="5"/>
      <c r="AJN200" s="5"/>
      <c r="AJO200" s="5"/>
      <c r="AJP200" s="5"/>
    </row>
    <row r="201" spans="2:952" ht="15" customHeight="1" x14ac:dyDescent="0.25">
      <c r="B201" s="135"/>
      <c r="C201" s="255" t="s">
        <v>167</v>
      </c>
      <c r="D201" s="308"/>
      <c r="E201" s="283" t="s">
        <v>16</v>
      </c>
      <c r="F201" s="307">
        <f>F74</f>
        <v>121504</v>
      </c>
      <c r="G201" s="307">
        <f t="shared" ref="G201:AI201" si="97">G74</f>
        <v>16020</v>
      </c>
      <c r="H201" s="307">
        <f t="shared" si="97"/>
        <v>0</v>
      </c>
      <c r="I201" s="307">
        <f t="shared" si="97"/>
        <v>0</v>
      </c>
      <c r="J201" s="307">
        <f t="shared" si="97"/>
        <v>0</v>
      </c>
      <c r="K201" s="307">
        <f t="shared" si="97"/>
        <v>0</v>
      </c>
      <c r="L201" s="307">
        <f t="shared" si="97"/>
        <v>23988</v>
      </c>
      <c r="M201" s="307">
        <f t="shared" si="97"/>
        <v>105472</v>
      </c>
      <c r="N201" s="307">
        <f t="shared" si="97"/>
        <v>12361</v>
      </c>
      <c r="O201" s="307">
        <f t="shared" si="97"/>
        <v>16456</v>
      </c>
      <c r="P201" s="307">
        <f t="shared" si="97"/>
        <v>4160</v>
      </c>
      <c r="Q201" s="307">
        <f t="shared" si="97"/>
        <v>4282</v>
      </c>
      <c r="R201" s="307">
        <f t="shared" si="97"/>
        <v>0</v>
      </c>
      <c r="S201" s="307">
        <f t="shared" si="97"/>
        <v>3069</v>
      </c>
      <c r="T201" s="307">
        <f t="shared" si="97"/>
        <v>137525</v>
      </c>
      <c r="U201" s="307">
        <f t="shared" si="97"/>
        <v>14515</v>
      </c>
      <c r="V201" s="307">
        <f t="shared" si="97"/>
        <v>7193</v>
      </c>
      <c r="W201" s="307">
        <f t="shared" si="97"/>
        <v>0</v>
      </c>
      <c r="X201" s="307">
        <f t="shared" si="97"/>
        <v>0</v>
      </c>
      <c r="Y201" s="307">
        <f t="shared" si="97"/>
        <v>0</v>
      </c>
      <c r="Z201" s="307">
        <f t="shared" si="97"/>
        <v>2805</v>
      </c>
      <c r="AA201" s="307">
        <f t="shared" si="97"/>
        <v>4169</v>
      </c>
      <c r="AB201" s="307">
        <f t="shared" si="97"/>
        <v>0</v>
      </c>
      <c r="AC201" s="307">
        <f t="shared" si="97"/>
        <v>0</v>
      </c>
      <c r="AD201" s="307">
        <f t="shared" si="97"/>
        <v>0</v>
      </c>
      <c r="AE201" s="307">
        <f t="shared" si="97"/>
        <v>0</v>
      </c>
      <c r="AF201" s="307">
        <f t="shared" si="97"/>
        <v>0</v>
      </c>
      <c r="AG201" s="307">
        <f t="shared" si="97"/>
        <v>206932</v>
      </c>
      <c r="AH201" s="307">
        <f t="shared" si="97"/>
        <v>42602</v>
      </c>
      <c r="AI201" s="307">
        <f t="shared" si="97"/>
        <v>0</v>
      </c>
      <c r="AJ201" s="10"/>
      <c r="AK201" s="284">
        <f>SUM(F201:AI201)</f>
        <v>723053</v>
      </c>
      <c r="AM201" s="41"/>
      <c r="BW201" s="40"/>
      <c r="BX201" s="40"/>
      <c r="DA201" s="40"/>
      <c r="EI201" s="30"/>
      <c r="EJ201" s="40"/>
      <c r="EK201" s="40"/>
      <c r="EL201" s="40"/>
      <c r="EM201" s="40"/>
      <c r="GP201" s="40"/>
      <c r="KK201" s="40"/>
      <c r="KL201" s="40"/>
      <c r="KM201" s="40"/>
      <c r="KN201" s="40"/>
      <c r="PR201" s="40"/>
      <c r="PS201" s="40"/>
      <c r="PU201" s="40"/>
      <c r="QI201" s="39"/>
      <c r="QM201" s="40"/>
      <c r="SP201" s="39"/>
      <c r="AHY201" s="5"/>
      <c r="AJN201" s="5"/>
      <c r="AJO201" s="5"/>
      <c r="AJP201" s="5"/>
    </row>
    <row r="202" spans="2:952" ht="15" customHeight="1" x14ac:dyDescent="0.25">
      <c r="B202" s="135"/>
      <c r="C202" s="341" t="s">
        <v>168</v>
      </c>
      <c r="D202" s="342"/>
      <c r="E202" s="343" t="s">
        <v>158</v>
      </c>
      <c r="F202" s="344">
        <f>F199+F200+F201</f>
        <v>121504</v>
      </c>
      <c r="G202" s="344">
        <f t="shared" ref="G202:AK202" si="98">G199+G200+G201</f>
        <v>16020</v>
      </c>
      <c r="H202" s="344">
        <f t="shared" si="98"/>
        <v>0</v>
      </c>
      <c r="I202" s="344">
        <f t="shared" si="98"/>
        <v>0</v>
      </c>
      <c r="J202" s="344">
        <f t="shared" si="98"/>
        <v>83500</v>
      </c>
      <c r="K202" s="344">
        <f t="shared" si="98"/>
        <v>0</v>
      </c>
      <c r="L202" s="344">
        <f t="shared" si="98"/>
        <v>23988</v>
      </c>
      <c r="M202" s="345">
        <f t="shared" si="98"/>
        <v>105472</v>
      </c>
      <c r="N202" s="345">
        <f t="shared" si="98"/>
        <v>12361</v>
      </c>
      <c r="O202" s="345">
        <f t="shared" si="98"/>
        <v>16456</v>
      </c>
      <c r="P202" s="345">
        <f t="shared" si="98"/>
        <v>4160</v>
      </c>
      <c r="Q202" s="345">
        <f t="shared" si="98"/>
        <v>86650</v>
      </c>
      <c r="R202" s="345">
        <f t="shared" si="98"/>
        <v>0</v>
      </c>
      <c r="S202" s="345">
        <f t="shared" si="98"/>
        <v>3069</v>
      </c>
      <c r="T202" s="345">
        <f t="shared" si="98"/>
        <v>137525</v>
      </c>
      <c r="U202" s="345">
        <f>U199+U200+U201</f>
        <v>14515</v>
      </c>
      <c r="V202" s="345">
        <f t="shared" si="98"/>
        <v>7193</v>
      </c>
      <c r="W202" s="345">
        <f t="shared" si="98"/>
        <v>0</v>
      </c>
      <c r="X202" s="345">
        <f t="shared" si="98"/>
        <v>0</v>
      </c>
      <c r="Y202" s="345">
        <f t="shared" si="98"/>
        <v>0</v>
      </c>
      <c r="Z202" s="345">
        <f t="shared" si="98"/>
        <v>2805</v>
      </c>
      <c r="AA202" s="345">
        <f t="shared" si="98"/>
        <v>36880</v>
      </c>
      <c r="AB202" s="345">
        <f t="shared" si="98"/>
        <v>187576</v>
      </c>
      <c r="AC202" s="345">
        <f t="shared" si="98"/>
        <v>27800</v>
      </c>
      <c r="AD202" s="345">
        <f t="shared" si="98"/>
        <v>62460</v>
      </c>
      <c r="AE202" s="344">
        <f t="shared" si="98"/>
        <v>30000</v>
      </c>
      <c r="AF202" s="344">
        <f t="shared" si="98"/>
        <v>0</v>
      </c>
      <c r="AG202" s="344">
        <f t="shared" si="98"/>
        <v>208424</v>
      </c>
      <c r="AH202" s="344">
        <f t="shared" si="98"/>
        <v>42602</v>
      </c>
      <c r="AI202" s="344">
        <f t="shared" si="98"/>
        <v>0</v>
      </c>
      <c r="AJ202" s="10"/>
      <c r="AK202" s="346">
        <f t="shared" si="98"/>
        <v>1230960</v>
      </c>
      <c r="AM202" s="41"/>
      <c r="BW202" s="40"/>
      <c r="BX202" s="40"/>
      <c r="DA202" s="40"/>
      <c r="EI202" s="30"/>
      <c r="EJ202" s="40"/>
      <c r="EK202" s="40"/>
      <c r="EL202" s="40"/>
      <c r="EM202" s="40"/>
      <c r="GP202" s="40"/>
      <c r="KK202" s="40"/>
      <c r="KL202" s="40"/>
      <c r="KM202" s="40"/>
      <c r="KN202" s="40"/>
      <c r="PR202" s="40"/>
      <c r="PS202" s="40"/>
      <c r="PU202" s="40"/>
      <c r="QI202" s="39"/>
      <c r="QM202" s="40"/>
      <c r="SP202" s="39"/>
      <c r="AHY202" s="5"/>
      <c r="AJN202" s="5"/>
      <c r="AJO202" s="5"/>
      <c r="AJP202" s="5"/>
    </row>
    <row r="203" spans="2:952" s="21" customFormat="1" ht="15" customHeight="1" x14ac:dyDescent="0.25">
      <c r="B203" s="321"/>
      <c r="C203" s="347" t="s">
        <v>175</v>
      </c>
      <c r="D203" s="322"/>
      <c r="E203" s="323" t="s">
        <v>16</v>
      </c>
      <c r="F203" s="324">
        <f t="shared" ref="F203:AC203" si="99">SUM(F185+F155+F129+F102+F75)</f>
        <v>40769.67</v>
      </c>
      <c r="G203" s="324">
        <f t="shared" si="99"/>
        <v>36984.870000000003</v>
      </c>
      <c r="H203" s="324">
        <f t="shared" si="99"/>
        <v>24223.46</v>
      </c>
      <c r="I203" s="324">
        <f t="shared" si="99"/>
        <v>24273.949999999997</v>
      </c>
      <c r="J203" s="324">
        <f t="shared" si="99"/>
        <v>24226.19</v>
      </c>
      <c r="K203" s="324">
        <f t="shared" si="99"/>
        <v>0</v>
      </c>
      <c r="L203" s="324">
        <f t="shared" si="99"/>
        <v>36988.400000000001</v>
      </c>
      <c r="M203" s="324">
        <f t="shared" si="99"/>
        <v>36986.68</v>
      </c>
      <c r="N203" s="324">
        <f t="shared" si="99"/>
        <v>34384.36</v>
      </c>
      <c r="O203" s="324">
        <f t="shared" si="99"/>
        <v>51113.15</v>
      </c>
      <c r="P203" s="324">
        <f t="shared" si="99"/>
        <v>36987.5</v>
      </c>
      <c r="Q203" s="324">
        <f t="shared" si="99"/>
        <v>36988.400000000001</v>
      </c>
      <c r="R203" s="324">
        <f t="shared" si="99"/>
        <v>0</v>
      </c>
      <c r="S203" s="324">
        <f t="shared" si="99"/>
        <v>382851</v>
      </c>
      <c r="T203" s="324">
        <f t="shared" si="99"/>
        <v>24226.18</v>
      </c>
      <c r="U203" s="324">
        <f>SUM(U185+U155+U129+U102+U75)</f>
        <v>24224.37</v>
      </c>
      <c r="V203" s="324">
        <f t="shared" si="99"/>
        <v>35686.43</v>
      </c>
      <c r="W203" s="324">
        <f t="shared" si="99"/>
        <v>34387.699999999997</v>
      </c>
      <c r="X203" s="324">
        <f t="shared" si="99"/>
        <v>22923.93</v>
      </c>
      <c r="Y203" s="324">
        <f t="shared" si="99"/>
        <v>0</v>
      </c>
      <c r="Z203" s="324">
        <f t="shared" si="99"/>
        <v>38310.07</v>
      </c>
      <c r="AA203" s="324">
        <f t="shared" si="99"/>
        <v>114693.82</v>
      </c>
      <c r="AB203" s="324">
        <f t="shared" si="99"/>
        <v>99926.46</v>
      </c>
      <c r="AC203" s="324">
        <f t="shared" si="99"/>
        <v>76838.97</v>
      </c>
      <c r="AD203" s="324">
        <f t="shared" ref="AD203:AI203" si="100">SUM(AD185+AD155+AD129+AD102+AD75)</f>
        <v>76457.8</v>
      </c>
      <c r="AE203" s="324">
        <f t="shared" si="100"/>
        <v>47646.85</v>
      </c>
      <c r="AF203" s="324">
        <f t="shared" si="100"/>
        <v>0</v>
      </c>
      <c r="AG203" s="324">
        <f t="shared" si="100"/>
        <v>62937.32</v>
      </c>
      <c r="AH203" s="324">
        <f t="shared" si="100"/>
        <v>153333.67000000001</v>
      </c>
      <c r="AI203" s="324">
        <f t="shared" si="100"/>
        <v>51056.480000000003</v>
      </c>
      <c r="AJ203" s="325"/>
      <c r="AK203" s="348">
        <f>SUM(F203:AI203)</f>
        <v>1629427.6800000002</v>
      </c>
      <c r="AM203" s="59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59"/>
      <c r="BX203" s="59"/>
      <c r="CX203" s="326"/>
      <c r="DA203" s="59"/>
      <c r="EI203" s="327"/>
      <c r="EJ203" s="59"/>
      <c r="EK203" s="59"/>
      <c r="EL203" s="59"/>
      <c r="EM203" s="59"/>
      <c r="GP203" s="59"/>
      <c r="KK203" s="59"/>
      <c r="KL203" s="59"/>
      <c r="KM203" s="59"/>
      <c r="KN203" s="59"/>
      <c r="PR203" s="59"/>
      <c r="PS203" s="59"/>
      <c r="PU203" s="59"/>
      <c r="QI203" s="59"/>
      <c r="QM203" s="59"/>
      <c r="SP203" s="59"/>
    </row>
    <row r="204" spans="2:952" s="2" customFormat="1" x14ac:dyDescent="0.25">
      <c r="B204" s="225">
        <v>10</v>
      </c>
      <c r="C204" s="226" t="s">
        <v>28</v>
      </c>
      <c r="D204" s="329"/>
      <c r="E204" s="330"/>
      <c r="F204" s="331"/>
      <c r="G204" s="331"/>
      <c r="H204" s="331"/>
      <c r="I204" s="331"/>
      <c r="J204" s="331"/>
      <c r="K204" s="331"/>
      <c r="L204" s="331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331"/>
      <c r="AE204" s="331"/>
      <c r="AF204" s="331"/>
      <c r="AG204" s="331"/>
      <c r="AH204" s="331"/>
      <c r="AI204" s="331"/>
      <c r="AJ204" s="7"/>
      <c r="AK204" s="332" t="s">
        <v>27</v>
      </c>
      <c r="AO204" s="3"/>
      <c r="CX204" s="333"/>
    </row>
    <row r="205" spans="2:952" x14ac:dyDescent="0.25">
      <c r="B205" s="137"/>
      <c r="C205" s="136" t="s">
        <v>26</v>
      </c>
      <c r="D205" s="192"/>
      <c r="E205" s="214" t="s">
        <v>22</v>
      </c>
      <c r="F205" s="38">
        <v>1220.5</v>
      </c>
      <c r="G205" s="354">
        <v>1286.8</v>
      </c>
      <c r="H205" s="354">
        <v>1501.2</v>
      </c>
      <c r="I205" s="354">
        <v>1434.7</v>
      </c>
      <c r="J205" s="354">
        <v>1455.4</v>
      </c>
      <c r="K205" s="38">
        <v>1197.5999999999999</v>
      </c>
      <c r="L205" s="38">
        <v>1197.4000000000001</v>
      </c>
      <c r="M205" s="38">
        <v>1207.0999999999999</v>
      </c>
      <c r="N205" s="38">
        <v>1075.3</v>
      </c>
      <c r="O205" s="38">
        <v>1190.8</v>
      </c>
      <c r="P205" s="38">
        <v>1140</v>
      </c>
      <c r="Q205" s="38">
        <v>1063.0999999999999</v>
      </c>
      <c r="R205" s="38">
        <v>1184.3</v>
      </c>
      <c r="S205" s="38">
        <v>1077.9000000000001</v>
      </c>
      <c r="T205" s="38">
        <v>1071.8</v>
      </c>
      <c r="U205" s="38">
        <v>1199.4000000000001</v>
      </c>
      <c r="V205" s="38">
        <v>600.4</v>
      </c>
      <c r="W205" s="38">
        <v>275.89999999999998</v>
      </c>
      <c r="X205" s="38">
        <v>345.8</v>
      </c>
      <c r="Y205" s="38">
        <v>351.1</v>
      </c>
      <c r="Z205" s="38">
        <v>247.8</v>
      </c>
      <c r="AA205" s="38">
        <v>321</v>
      </c>
      <c r="AB205" s="38">
        <v>404.1</v>
      </c>
      <c r="AC205" s="38">
        <v>1012.9</v>
      </c>
      <c r="AD205" s="38">
        <v>1144.3</v>
      </c>
      <c r="AE205" s="354">
        <v>1305.5999999999999</v>
      </c>
      <c r="AF205" s="354">
        <v>1389.7</v>
      </c>
      <c r="AG205" s="354">
        <v>1368.9</v>
      </c>
      <c r="AH205" s="38">
        <v>1450.3</v>
      </c>
      <c r="AI205" s="38">
        <v>1471.4</v>
      </c>
      <c r="AK205" s="42">
        <f>SUM(F205:AI205)</f>
        <v>31192.5</v>
      </c>
      <c r="AM205" s="41"/>
      <c r="BW205" s="40"/>
      <c r="BX205" s="40"/>
      <c r="DA205" s="40"/>
      <c r="EI205" s="30"/>
      <c r="EJ205" s="40"/>
      <c r="EK205" s="40"/>
      <c r="EL205" s="40"/>
      <c r="EM205" s="40"/>
      <c r="GP205" s="40"/>
      <c r="KK205" s="40"/>
      <c r="KL205" s="40"/>
      <c r="KM205" s="40"/>
      <c r="KN205" s="40"/>
      <c r="PR205" s="40"/>
      <c r="PS205" s="40"/>
      <c r="PU205" s="40"/>
      <c r="QI205" s="39"/>
      <c r="QM205" s="40"/>
      <c r="SP205" s="39"/>
      <c r="AGZ205" s="33"/>
      <c r="AHY205" s="5"/>
      <c r="AJN205" s="5"/>
      <c r="AJO205" s="5"/>
      <c r="AJP205" s="5"/>
    </row>
    <row r="206" spans="2:952" x14ac:dyDescent="0.25">
      <c r="B206" s="193"/>
      <c r="C206" s="211" t="s">
        <v>25</v>
      </c>
      <c r="D206" s="257">
        <v>1269.566</v>
      </c>
      <c r="E206" s="212" t="s">
        <v>22</v>
      </c>
      <c r="F206" s="38">
        <v>1232.9935</v>
      </c>
      <c r="G206" s="354">
        <v>1451.1266000000001</v>
      </c>
      <c r="H206" s="355">
        <v>1396.7910999999999</v>
      </c>
      <c r="I206" s="258">
        <v>1258.9802999999999</v>
      </c>
      <c r="J206" s="258">
        <v>1146.0961</v>
      </c>
      <c r="K206" s="258">
        <v>1170.585</v>
      </c>
      <c r="L206" s="258">
        <v>1151.3510000000001</v>
      </c>
      <c r="M206" s="38">
        <v>1024.8815</v>
      </c>
      <c r="N206" s="38">
        <v>1141.1113</v>
      </c>
      <c r="O206" s="38">
        <v>1102.6781000000001</v>
      </c>
      <c r="P206" s="38">
        <v>1021.6579</v>
      </c>
      <c r="Q206" s="38">
        <v>1141.1822</v>
      </c>
      <c r="R206" s="38">
        <v>1033.1663000000001</v>
      </c>
      <c r="S206" s="38">
        <v>1019.4151000000001</v>
      </c>
      <c r="T206" s="38">
        <v>1151.5462</v>
      </c>
      <c r="U206" s="38">
        <v>521.88379999999995</v>
      </c>
      <c r="V206" s="38">
        <v>49.0886</v>
      </c>
      <c r="W206" s="38">
        <v>158.07050000000001</v>
      </c>
      <c r="X206" s="38">
        <v>117.22110000000001</v>
      </c>
      <c r="Y206" s="38">
        <v>0</v>
      </c>
      <c r="Z206" s="38">
        <v>123.53749999999999</v>
      </c>
      <c r="AA206" s="38">
        <v>254.0402</v>
      </c>
      <c r="AB206" s="38">
        <v>928.67570000000001</v>
      </c>
      <c r="AC206" s="38">
        <v>1091.7498000000001</v>
      </c>
      <c r="AD206" s="38">
        <v>1242.8913</v>
      </c>
      <c r="AE206" s="354">
        <v>1331.9925000000001</v>
      </c>
      <c r="AF206" s="354">
        <v>1326.2254</v>
      </c>
      <c r="AG206" s="357">
        <v>1386.6237000000001</v>
      </c>
      <c r="AH206" s="38">
        <v>1419.2230999999999</v>
      </c>
      <c r="AI206" s="38">
        <v>1209.6410000000001</v>
      </c>
      <c r="AK206" s="37">
        <f>SUM(F206:AI206)</f>
        <v>28604.426399999997</v>
      </c>
      <c r="AM206" s="3">
        <f>AK206/AK30</f>
        <v>1243.6707130434781</v>
      </c>
      <c r="BW206" s="35"/>
      <c r="BX206" s="35"/>
      <c r="DA206" s="35"/>
      <c r="EI206" s="36"/>
      <c r="EJ206" s="35"/>
      <c r="EK206" s="35"/>
      <c r="EL206" s="35"/>
      <c r="EM206" s="35"/>
      <c r="GP206" s="35"/>
      <c r="KK206" s="35"/>
      <c r="KL206" s="35"/>
      <c r="KM206" s="35"/>
      <c r="KN206" s="35"/>
      <c r="PR206" s="35"/>
      <c r="PS206" s="35"/>
      <c r="PU206" s="35"/>
      <c r="QI206" s="3"/>
      <c r="QM206" s="35"/>
      <c r="SP206" s="3"/>
      <c r="AHY206" s="35"/>
      <c r="AJN206" s="35"/>
      <c r="AJO206" s="35"/>
      <c r="AJP206" s="35"/>
    </row>
    <row r="207" spans="2:952" x14ac:dyDescent="0.25">
      <c r="B207" s="135"/>
      <c r="C207" s="249" t="s">
        <v>12</v>
      </c>
      <c r="D207" s="192"/>
      <c r="E207" s="135"/>
      <c r="F207" s="38"/>
      <c r="G207" s="259"/>
      <c r="H207" s="259"/>
      <c r="I207" s="11"/>
      <c r="J207" s="259"/>
      <c r="K207" s="260"/>
      <c r="L207" s="260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292"/>
      <c r="AD207" s="292"/>
      <c r="AE207" s="292"/>
      <c r="AF207" s="292"/>
      <c r="AG207" s="292"/>
      <c r="AH207" s="292"/>
      <c r="AI207" s="292"/>
      <c r="AJ207" s="10"/>
      <c r="AK207" s="12" t="s">
        <v>12</v>
      </c>
    </row>
    <row r="208" spans="2:952" x14ac:dyDescent="0.25">
      <c r="B208" s="135"/>
      <c r="C208" s="136" t="s">
        <v>24</v>
      </c>
      <c r="D208" s="290">
        <v>253.91319999999999</v>
      </c>
      <c r="E208" s="214" t="s">
        <v>22</v>
      </c>
      <c r="F208" s="38">
        <v>260.69029999999998</v>
      </c>
      <c r="G208" s="38">
        <v>1541.8824999999999</v>
      </c>
      <c r="H208" s="38">
        <v>1196.5437999999999</v>
      </c>
      <c r="I208" s="38">
        <v>199.86080000000001</v>
      </c>
      <c r="J208" s="38">
        <v>178.59800000000001</v>
      </c>
      <c r="K208" s="38">
        <v>201.4658</v>
      </c>
      <c r="L208" s="38">
        <v>795.39200000000005</v>
      </c>
      <c r="M208" s="38">
        <v>792.5539</v>
      </c>
      <c r="N208" s="38">
        <v>195.60890000000001</v>
      </c>
      <c r="O208" s="38">
        <v>198.18129999999999</v>
      </c>
      <c r="P208" s="38"/>
      <c r="Q208" s="38"/>
      <c r="R208" s="38"/>
      <c r="S208" s="38"/>
      <c r="T208" s="38"/>
      <c r="U208" s="38"/>
      <c r="V208" s="38"/>
      <c r="W208" s="258"/>
      <c r="X208" s="258"/>
      <c r="Y208" s="258"/>
      <c r="Z208" s="258"/>
      <c r="AA208" s="258"/>
      <c r="AB208" s="38"/>
      <c r="AC208" s="38"/>
      <c r="AD208" s="38"/>
      <c r="AE208" s="38"/>
      <c r="AF208" s="38"/>
      <c r="AG208" s="38"/>
      <c r="AH208" s="38"/>
      <c r="AI208" s="38"/>
      <c r="AJ208" s="10"/>
      <c r="AK208" s="34">
        <f>SUM(F208:AI208)</f>
        <v>5560.7772999999997</v>
      </c>
      <c r="AM208" s="27"/>
      <c r="XT208" s="33"/>
      <c r="AGK208" s="33"/>
    </row>
    <row r="209" spans="2:952" x14ac:dyDescent="0.25">
      <c r="B209" s="135"/>
      <c r="C209" s="136" t="s">
        <v>23</v>
      </c>
      <c r="D209" s="290">
        <v>1015.6528</v>
      </c>
      <c r="E209" s="214" t="s">
        <v>22</v>
      </c>
      <c r="F209" s="38">
        <f>F206-F208</f>
        <v>972.30320000000006</v>
      </c>
      <c r="G209" s="38">
        <f t="shared" ref="G209:AH209" si="101">G206-G208</f>
        <v>-90.755899999999883</v>
      </c>
      <c r="H209" s="38">
        <f t="shared" si="101"/>
        <v>200.2473</v>
      </c>
      <c r="I209" s="38">
        <f t="shared" si="101"/>
        <v>1059.1195</v>
      </c>
      <c r="J209" s="38">
        <f t="shared" si="101"/>
        <v>967.49810000000002</v>
      </c>
      <c r="K209" s="38">
        <f t="shared" si="101"/>
        <v>969.11920000000009</v>
      </c>
      <c r="L209" s="38">
        <f t="shared" si="101"/>
        <v>355.95900000000006</v>
      </c>
      <c r="M209" s="38">
        <f t="shared" si="101"/>
        <v>232.32759999999996</v>
      </c>
      <c r="N209" s="38">
        <f t="shared" si="101"/>
        <v>945.50240000000008</v>
      </c>
      <c r="O209" s="38">
        <f t="shared" si="101"/>
        <v>904.49680000000012</v>
      </c>
      <c r="P209" s="38">
        <f t="shared" si="101"/>
        <v>1021.6579</v>
      </c>
      <c r="Q209" s="38">
        <f t="shared" si="101"/>
        <v>1141.1822</v>
      </c>
      <c r="R209" s="38">
        <f t="shared" si="101"/>
        <v>1033.1663000000001</v>
      </c>
      <c r="S209" s="38">
        <f t="shared" si="101"/>
        <v>1019.4151000000001</v>
      </c>
      <c r="T209" s="38">
        <f t="shared" si="101"/>
        <v>1151.5462</v>
      </c>
      <c r="U209" s="38">
        <f t="shared" si="101"/>
        <v>521.88379999999995</v>
      </c>
      <c r="V209" s="38">
        <f t="shared" si="101"/>
        <v>49.0886</v>
      </c>
      <c r="W209" s="38">
        <f t="shared" si="101"/>
        <v>158.07050000000001</v>
      </c>
      <c r="X209" s="38">
        <f>X206-X208</f>
        <v>117.22110000000001</v>
      </c>
      <c r="Y209" s="38">
        <f t="shared" si="101"/>
        <v>0</v>
      </c>
      <c r="Z209" s="38">
        <f t="shared" si="101"/>
        <v>123.53749999999999</v>
      </c>
      <c r="AA209" s="38">
        <f t="shared" si="101"/>
        <v>254.0402</v>
      </c>
      <c r="AB209" s="38">
        <f t="shared" si="101"/>
        <v>928.67570000000001</v>
      </c>
      <c r="AC209" s="38">
        <f t="shared" si="101"/>
        <v>1091.7498000000001</v>
      </c>
      <c r="AD209" s="38">
        <f t="shared" si="101"/>
        <v>1242.8913</v>
      </c>
      <c r="AE209" s="38">
        <f t="shared" si="101"/>
        <v>1331.9925000000001</v>
      </c>
      <c r="AF209" s="38">
        <f t="shared" si="101"/>
        <v>1326.2254</v>
      </c>
      <c r="AG209" s="38">
        <f t="shared" si="101"/>
        <v>1386.6237000000001</v>
      </c>
      <c r="AH209" s="38">
        <f t="shared" si="101"/>
        <v>1419.2230999999999</v>
      </c>
      <c r="AI209" s="38">
        <f>AI206-AI208</f>
        <v>1209.6410000000001</v>
      </c>
      <c r="AJ209" s="10"/>
      <c r="AK209" s="34">
        <f>SUM(F209:AI209)</f>
        <v>23043.649099999995</v>
      </c>
      <c r="XS209" s="33"/>
    </row>
    <row r="210" spans="2:952" x14ac:dyDescent="0.25">
      <c r="B210" s="261"/>
      <c r="C210" s="262" t="s">
        <v>1</v>
      </c>
      <c r="D210" s="311">
        <f>SUM(D208:D209)</f>
        <v>1269.566</v>
      </c>
      <c r="E210" s="263" t="s">
        <v>22</v>
      </c>
      <c r="F210" s="264">
        <f>F206</f>
        <v>1232.9935</v>
      </c>
      <c r="G210" s="264">
        <f t="shared" ref="G210:AI210" si="102">G206</f>
        <v>1451.1266000000001</v>
      </c>
      <c r="H210" s="264">
        <f t="shared" si="102"/>
        <v>1396.7910999999999</v>
      </c>
      <c r="I210" s="264">
        <f t="shared" si="102"/>
        <v>1258.9802999999999</v>
      </c>
      <c r="J210" s="264">
        <f t="shared" si="102"/>
        <v>1146.0961</v>
      </c>
      <c r="K210" s="264">
        <f t="shared" si="102"/>
        <v>1170.585</v>
      </c>
      <c r="L210" s="264">
        <f t="shared" si="102"/>
        <v>1151.3510000000001</v>
      </c>
      <c r="M210" s="264">
        <f t="shared" si="102"/>
        <v>1024.8815</v>
      </c>
      <c r="N210" s="264">
        <f t="shared" si="102"/>
        <v>1141.1113</v>
      </c>
      <c r="O210" s="264">
        <f t="shared" si="102"/>
        <v>1102.6781000000001</v>
      </c>
      <c r="P210" s="264">
        <f t="shared" si="102"/>
        <v>1021.6579</v>
      </c>
      <c r="Q210" s="264">
        <f t="shared" si="102"/>
        <v>1141.1822</v>
      </c>
      <c r="R210" s="264">
        <f t="shared" si="102"/>
        <v>1033.1663000000001</v>
      </c>
      <c r="S210" s="264">
        <f t="shared" si="102"/>
        <v>1019.4151000000001</v>
      </c>
      <c r="T210" s="264">
        <f t="shared" si="102"/>
        <v>1151.5462</v>
      </c>
      <c r="U210" s="264">
        <f t="shared" si="102"/>
        <v>521.88379999999995</v>
      </c>
      <c r="V210" s="264">
        <f t="shared" si="102"/>
        <v>49.0886</v>
      </c>
      <c r="W210" s="264">
        <f>W206</f>
        <v>158.07050000000001</v>
      </c>
      <c r="X210" s="264">
        <f>X206</f>
        <v>117.22110000000001</v>
      </c>
      <c r="Y210" s="264">
        <f t="shared" si="102"/>
        <v>0</v>
      </c>
      <c r="Z210" s="264">
        <f t="shared" si="102"/>
        <v>123.53749999999999</v>
      </c>
      <c r="AA210" s="264">
        <f t="shared" si="102"/>
        <v>254.0402</v>
      </c>
      <c r="AB210" s="264">
        <f t="shared" si="102"/>
        <v>928.67570000000001</v>
      </c>
      <c r="AC210" s="264">
        <f t="shared" si="102"/>
        <v>1091.7498000000001</v>
      </c>
      <c r="AD210" s="264">
        <f t="shared" si="102"/>
        <v>1242.8913</v>
      </c>
      <c r="AE210" s="264">
        <f t="shared" si="102"/>
        <v>1331.9925000000001</v>
      </c>
      <c r="AF210" s="264">
        <f t="shared" si="102"/>
        <v>1326.2254</v>
      </c>
      <c r="AG210" s="264">
        <f t="shared" si="102"/>
        <v>1386.6237000000001</v>
      </c>
      <c r="AH210" s="264">
        <f t="shared" si="102"/>
        <v>1419.2230999999999</v>
      </c>
      <c r="AI210" s="264">
        <f t="shared" si="102"/>
        <v>1209.6410000000001</v>
      </c>
      <c r="AJ210" s="25"/>
      <c r="AK210" s="32">
        <f>SUM(AK208:AK209)</f>
        <v>28604.426399999997</v>
      </c>
      <c r="AM210" s="23"/>
      <c r="BW210" s="20"/>
      <c r="BX210" s="20"/>
      <c r="DA210" s="20"/>
      <c r="EI210" s="22"/>
      <c r="EJ210" s="20"/>
      <c r="EK210" s="20"/>
      <c r="EL210" s="20"/>
      <c r="EM210" s="20"/>
      <c r="GP210" s="20"/>
      <c r="KK210" s="20"/>
      <c r="KL210" s="20"/>
      <c r="KM210" s="20"/>
      <c r="KN210" s="20"/>
      <c r="PR210" s="20"/>
      <c r="PS210" s="20"/>
      <c r="PU210" s="20"/>
      <c r="QI210" s="21"/>
      <c r="QM210" s="20"/>
      <c r="SP210" s="21"/>
      <c r="AHY210" s="20"/>
      <c r="AJN210" s="20"/>
      <c r="AJO210" s="20"/>
      <c r="AJP210" s="20"/>
    </row>
    <row r="211" spans="2:952" x14ac:dyDescent="0.25">
      <c r="B211" s="137">
        <v>11</v>
      </c>
      <c r="C211" s="265" t="s">
        <v>21</v>
      </c>
      <c r="D211" s="266"/>
      <c r="E211" s="266"/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  <c r="AC211" s="267"/>
      <c r="AD211" s="267"/>
      <c r="AE211" s="267"/>
      <c r="AF211" s="267"/>
      <c r="AG211" s="267"/>
      <c r="AH211" s="267"/>
      <c r="AI211" s="267"/>
      <c r="AJ211" s="25"/>
      <c r="AK211" s="312" t="s">
        <v>20</v>
      </c>
      <c r="AM211" s="23"/>
      <c r="BW211" s="20"/>
      <c r="BX211" s="20"/>
      <c r="DA211" s="20"/>
      <c r="EI211" s="22"/>
      <c r="EJ211" s="20"/>
      <c r="EK211" s="20"/>
      <c r="EL211" s="20"/>
      <c r="EM211" s="20"/>
      <c r="GP211" s="20"/>
      <c r="KK211" s="20"/>
      <c r="KL211" s="20"/>
      <c r="KM211" s="20"/>
      <c r="KN211" s="20"/>
      <c r="PR211" s="20"/>
      <c r="PS211" s="20"/>
      <c r="PU211" s="20"/>
      <c r="QI211" s="21"/>
      <c r="QM211" s="20"/>
      <c r="SP211" s="21"/>
      <c r="AHY211" s="20"/>
      <c r="AJN211" s="20"/>
      <c r="AJO211" s="20"/>
      <c r="AJP211" s="20"/>
    </row>
    <row r="212" spans="2:952" x14ac:dyDescent="0.25">
      <c r="B212" s="135"/>
      <c r="C212" s="136" t="s">
        <v>4</v>
      </c>
      <c r="D212" s="188">
        <f>17000*24</f>
        <v>408000</v>
      </c>
      <c r="E212" s="214" t="s">
        <v>16</v>
      </c>
      <c r="F212" s="246">
        <v>280614</v>
      </c>
      <c r="G212" s="246">
        <v>332048</v>
      </c>
      <c r="H212" s="246">
        <v>326497</v>
      </c>
      <c r="I212" s="246">
        <v>301887</v>
      </c>
      <c r="J212" s="246">
        <v>273360</v>
      </c>
      <c r="K212" s="246">
        <v>263746</v>
      </c>
      <c r="L212" s="246">
        <v>274396</v>
      </c>
      <c r="M212" s="246">
        <v>233678</v>
      </c>
      <c r="N212" s="11">
        <v>268486</v>
      </c>
      <c r="O212" s="11">
        <v>249129</v>
      </c>
      <c r="P212" s="268">
        <v>235732</v>
      </c>
      <c r="Q212" s="11">
        <v>271043</v>
      </c>
      <c r="R212" s="11">
        <v>248502</v>
      </c>
      <c r="S212" s="11">
        <v>252124</v>
      </c>
      <c r="T212" s="11">
        <v>268755</v>
      </c>
      <c r="U212" s="11">
        <v>120412</v>
      </c>
      <c r="V212" s="11">
        <v>3637</v>
      </c>
      <c r="W212" s="11">
        <v>28656</v>
      </c>
      <c r="X212" s="11">
        <v>22859</v>
      </c>
      <c r="Y212" s="11">
        <v>0</v>
      </c>
      <c r="Z212" s="11">
        <v>13407</v>
      </c>
      <c r="AA212" s="11">
        <v>26400</v>
      </c>
      <c r="AB212" s="11">
        <v>210011</v>
      </c>
      <c r="AC212" s="11">
        <v>194641</v>
      </c>
      <c r="AD212" s="11">
        <v>208092</v>
      </c>
      <c r="AE212" s="11">
        <v>242077</v>
      </c>
      <c r="AF212" s="11">
        <v>241698</v>
      </c>
      <c r="AG212" s="11">
        <v>266231</v>
      </c>
      <c r="AH212" s="11">
        <v>318707</v>
      </c>
      <c r="AI212" s="11"/>
      <c r="AJ212" s="10"/>
      <c r="AK212" s="26">
        <f>SUM(F212:AI212)</f>
        <v>5976825</v>
      </c>
      <c r="AL212" s="31"/>
      <c r="AM212" s="8">
        <f>AK212/AK30</f>
        <v>259861.95652173914</v>
      </c>
      <c r="BW212" s="5"/>
      <c r="BX212" s="5"/>
      <c r="DA212" s="5"/>
      <c r="EI212" s="30"/>
      <c r="EJ212" s="5"/>
      <c r="EK212" s="5"/>
      <c r="EL212" s="5"/>
      <c r="EM212" s="5"/>
      <c r="GP212" s="5"/>
      <c r="KK212" s="5"/>
      <c r="KL212" s="5"/>
      <c r="KM212" s="5"/>
      <c r="KN212" s="5"/>
      <c r="PR212" s="5"/>
      <c r="PS212" s="5"/>
      <c r="PU212" s="5"/>
      <c r="QI212" s="27"/>
      <c r="QM212" s="5"/>
      <c r="SP212" s="27"/>
      <c r="AHY212" s="5"/>
      <c r="AJN212" s="5"/>
      <c r="AJO212" s="5"/>
      <c r="AJP212" s="5"/>
    </row>
    <row r="213" spans="2:952" x14ac:dyDescent="0.25">
      <c r="B213" s="137"/>
      <c r="C213" s="243" t="s">
        <v>19</v>
      </c>
      <c r="D213" s="250"/>
      <c r="E213" s="137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  <c r="AA213" s="269"/>
      <c r="AB213" s="269"/>
      <c r="AC213" s="269"/>
      <c r="AD213" s="269"/>
      <c r="AE213" s="269"/>
      <c r="AF213" s="269"/>
      <c r="AG213" s="269"/>
      <c r="AH213" s="269"/>
      <c r="AI213" s="269"/>
      <c r="AJ213" s="25"/>
      <c r="AK213" s="29" t="s">
        <v>19</v>
      </c>
      <c r="AL213" s="28"/>
      <c r="AM213" s="23">
        <f>AM212/24</f>
        <v>10827.58152173913</v>
      </c>
      <c r="BW213" s="20"/>
      <c r="BX213" s="20"/>
      <c r="DA213" s="20"/>
      <c r="EI213" s="22"/>
      <c r="EJ213" s="20"/>
      <c r="EK213" s="20"/>
      <c r="EL213" s="20"/>
      <c r="EM213" s="20"/>
      <c r="GP213" s="20"/>
      <c r="KK213" s="20"/>
      <c r="KL213" s="20"/>
      <c r="KM213" s="20"/>
      <c r="KN213" s="20"/>
      <c r="PR213" s="20"/>
      <c r="PS213" s="20"/>
      <c r="PU213" s="20"/>
      <c r="QI213" s="21"/>
      <c r="QM213" s="20"/>
      <c r="SP213" s="21"/>
      <c r="AHY213" s="20"/>
      <c r="AJN213" s="20"/>
      <c r="AJO213" s="20"/>
      <c r="AJP213" s="20"/>
    </row>
    <row r="214" spans="2:952" x14ac:dyDescent="0.25">
      <c r="B214" s="135"/>
      <c r="C214" s="136" t="s">
        <v>18</v>
      </c>
      <c r="D214" s="188">
        <v>180000</v>
      </c>
      <c r="E214" s="214" t="s">
        <v>16</v>
      </c>
      <c r="F214" s="246">
        <v>155600</v>
      </c>
      <c r="G214" s="246">
        <v>159300</v>
      </c>
      <c r="H214" s="246">
        <v>156000</v>
      </c>
      <c r="I214" s="246">
        <v>144900</v>
      </c>
      <c r="J214" s="246">
        <v>147700</v>
      </c>
      <c r="K214" s="246">
        <v>142100</v>
      </c>
      <c r="L214" s="246">
        <v>138700</v>
      </c>
      <c r="M214" s="246">
        <v>139500</v>
      </c>
      <c r="N214" s="246">
        <v>137200</v>
      </c>
      <c r="O214" s="11">
        <v>138000</v>
      </c>
      <c r="P214" s="11">
        <v>138800</v>
      </c>
      <c r="Q214" s="11">
        <v>151000</v>
      </c>
      <c r="R214" s="11">
        <v>139100</v>
      </c>
      <c r="S214" s="11">
        <v>142400</v>
      </c>
      <c r="T214" s="11">
        <v>145300</v>
      </c>
      <c r="U214" s="11">
        <v>0</v>
      </c>
      <c r="V214" s="11">
        <v>0</v>
      </c>
      <c r="W214" s="11">
        <v>0</v>
      </c>
      <c r="X214" s="11">
        <v>0</v>
      </c>
      <c r="Y214" s="11"/>
      <c r="Z214" s="11"/>
      <c r="AA214" s="11"/>
      <c r="AB214" s="11"/>
      <c r="AC214" s="11">
        <v>125900</v>
      </c>
      <c r="AD214" s="11">
        <v>160000</v>
      </c>
      <c r="AE214" s="11"/>
      <c r="AF214" s="11"/>
      <c r="AG214" s="11"/>
      <c r="AH214" s="11"/>
      <c r="AI214" s="11"/>
      <c r="AJ214" s="10"/>
      <c r="AK214" s="26">
        <f>SUM(F214:AI214)</f>
        <v>2461500</v>
      </c>
      <c r="AL214" s="27"/>
      <c r="AM214" s="27">
        <f>AM213/1000</f>
        <v>10.82758152173913</v>
      </c>
    </row>
    <row r="215" spans="2:952" x14ac:dyDescent="0.25">
      <c r="B215" s="135"/>
      <c r="C215" s="136" t="s">
        <v>17</v>
      </c>
      <c r="D215" s="188">
        <v>122000</v>
      </c>
      <c r="E215" s="214" t="s">
        <v>16</v>
      </c>
      <c r="F215" s="246">
        <v>64000</v>
      </c>
      <c r="G215" s="246">
        <v>91100</v>
      </c>
      <c r="H215" s="246">
        <v>92100</v>
      </c>
      <c r="I215" s="246">
        <v>77100</v>
      </c>
      <c r="J215" s="246">
        <v>63900</v>
      </c>
      <c r="K215" s="246">
        <v>49300</v>
      </c>
      <c r="L215" s="246">
        <v>71100</v>
      </c>
      <c r="M215" s="246">
        <v>55400</v>
      </c>
      <c r="N215" s="246">
        <v>71200</v>
      </c>
      <c r="O215" s="11">
        <v>46300</v>
      </c>
      <c r="P215" s="11">
        <v>46700</v>
      </c>
      <c r="Q215" s="11">
        <v>46700</v>
      </c>
      <c r="R215" s="11">
        <v>60000</v>
      </c>
      <c r="S215" s="11">
        <v>40600</v>
      </c>
      <c r="T215" s="11">
        <v>47000</v>
      </c>
      <c r="U215" s="11">
        <v>0</v>
      </c>
      <c r="V215" s="11">
        <v>0</v>
      </c>
      <c r="W215" s="11">
        <v>0</v>
      </c>
      <c r="X215" s="11">
        <v>0</v>
      </c>
      <c r="Y215" s="11"/>
      <c r="Z215" s="11"/>
      <c r="AA215" s="11"/>
      <c r="AB215" s="11"/>
      <c r="AC215" s="11">
        <v>52000</v>
      </c>
      <c r="AD215" s="11">
        <v>75400</v>
      </c>
      <c r="AE215" s="11"/>
      <c r="AF215" s="11"/>
      <c r="AG215" s="11"/>
      <c r="AH215" s="11"/>
      <c r="AI215" s="11"/>
      <c r="AJ215" s="10"/>
      <c r="AK215" s="26">
        <f>SUM(F215:AI215)</f>
        <v>1049900</v>
      </c>
    </row>
    <row r="216" spans="2:952" x14ac:dyDescent="0.25">
      <c r="B216" s="135"/>
      <c r="C216" s="136" t="s">
        <v>8</v>
      </c>
      <c r="D216" s="188">
        <f>D212-D214-D215</f>
        <v>106000</v>
      </c>
      <c r="E216" s="214" t="s">
        <v>16</v>
      </c>
      <c r="F216" s="11">
        <f t="shared" ref="F216:AI216" si="103">F212-F214-F215</f>
        <v>61014</v>
      </c>
      <c r="G216" s="11">
        <f t="shared" si="103"/>
        <v>81648</v>
      </c>
      <c r="H216" s="11">
        <f t="shared" si="103"/>
        <v>78397</v>
      </c>
      <c r="I216" s="11">
        <f t="shared" si="103"/>
        <v>79887</v>
      </c>
      <c r="J216" s="11">
        <f t="shared" si="103"/>
        <v>61760</v>
      </c>
      <c r="K216" s="11">
        <f t="shared" si="103"/>
        <v>72346</v>
      </c>
      <c r="L216" s="11">
        <f t="shared" si="103"/>
        <v>64596</v>
      </c>
      <c r="M216" s="11">
        <f t="shared" si="103"/>
        <v>38778</v>
      </c>
      <c r="N216" s="11">
        <f t="shared" si="103"/>
        <v>60086</v>
      </c>
      <c r="O216" s="11">
        <f t="shared" si="103"/>
        <v>64829</v>
      </c>
      <c r="P216" s="11">
        <f t="shared" si="103"/>
        <v>50232</v>
      </c>
      <c r="Q216" s="11">
        <f t="shared" si="103"/>
        <v>73343</v>
      </c>
      <c r="R216" s="11">
        <f t="shared" si="103"/>
        <v>49402</v>
      </c>
      <c r="S216" s="11">
        <f t="shared" si="103"/>
        <v>69124</v>
      </c>
      <c r="T216" s="11">
        <f t="shared" si="103"/>
        <v>76455</v>
      </c>
      <c r="U216" s="11">
        <f t="shared" si="103"/>
        <v>120412</v>
      </c>
      <c r="V216" s="11">
        <f t="shared" si="103"/>
        <v>3637</v>
      </c>
      <c r="W216" s="11">
        <f t="shared" si="103"/>
        <v>28656</v>
      </c>
      <c r="X216" s="11">
        <f t="shared" si="103"/>
        <v>22859</v>
      </c>
      <c r="Y216" s="11">
        <f t="shared" si="103"/>
        <v>0</v>
      </c>
      <c r="Z216" s="11">
        <f t="shared" si="103"/>
        <v>13407</v>
      </c>
      <c r="AA216" s="11">
        <f t="shared" si="103"/>
        <v>26400</v>
      </c>
      <c r="AB216" s="11">
        <f t="shared" si="103"/>
        <v>210011</v>
      </c>
      <c r="AC216" s="11">
        <f t="shared" si="103"/>
        <v>16741</v>
      </c>
      <c r="AD216" s="11">
        <f t="shared" si="103"/>
        <v>-27308</v>
      </c>
      <c r="AE216" s="11">
        <f t="shared" si="103"/>
        <v>242077</v>
      </c>
      <c r="AF216" s="11">
        <f t="shared" si="103"/>
        <v>241698</v>
      </c>
      <c r="AG216" s="11">
        <f t="shared" si="103"/>
        <v>266231</v>
      </c>
      <c r="AH216" s="11">
        <f t="shared" si="103"/>
        <v>318707</v>
      </c>
      <c r="AI216" s="11">
        <f t="shared" si="103"/>
        <v>0</v>
      </c>
      <c r="AJ216" s="10"/>
      <c r="AK216" s="26">
        <f>SUM(F216:AI216)</f>
        <v>2465425</v>
      </c>
    </row>
    <row r="217" spans="2:952" x14ac:dyDescent="0.25">
      <c r="B217" s="137"/>
      <c r="C217" s="249" t="s">
        <v>1</v>
      </c>
      <c r="D217" s="270">
        <f>SUM(D214:D216)</f>
        <v>408000</v>
      </c>
      <c r="E217" s="214" t="s">
        <v>16</v>
      </c>
      <c r="F217" s="269">
        <f t="shared" ref="F217:AI217" si="104">SUM(F214:F216)</f>
        <v>280614</v>
      </c>
      <c r="G217" s="269">
        <f t="shared" si="104"/>
        <v>332048</v>
      </c>
      <c r="H217" s="269">
        <f t="shared" si="104"/>
        <v>326497</v>
      </c>
      <c r="I217" s="269">
        <f t="shared" si="104"/>
        <v>301887</v>
      </c>
      <c r="J217" s="269">
        <f t="shared" si="104"/>
        <v>273360</v>
      </c>
      <c r="K217" s="269">
        <f t="shared" si="104"/>
        <v>263746</v>
      </c>
      <c r="L217" s="269">
        <f t="shared" si="104"/>
        <v>274396</v>
      </c>
      <c r="M217" s="269">
        <f t="shared" si="104"/>
        <v>233678</v>
      </c>
      <c r="N217" s="269">
        <f t="shared" si="104"/>
        <v>268486</v>
      </c>
      <c r="O217" s="269">
        <f t="shared" si="104"/>
        <v>249129</v>
      </c>
      <c r="P217" s="269">
        <f t="shared" si="104"/>
        <v>235732</v>
      </c>
      <c r="Q217" s="269">
        <f t="shared" si="104"/>
        <v>271043</v>
      </c>
      <c r="R217" s="269">
        <f t="shared" si="104"/>
        <v>248502</v>
      </c>
      <c r="S217" s="269">
        <f t="shared" si="104"/>
        <v>252124</v>
      </c>
      <c r="T217" s="269">
        <f t="shared" si="104"/>
        <v>268755</v>
      </c>
      <c r="U217" s="269">
        <f t="shared" si="104"/>
        <v>120412</v>
      </c>
      <c r="V217" s="269">
        <f t="shared" si="104"/>
        <v>3637</v>
      </c>
      <c r="W217" s="269">
        <f t="shared" si="104"/>
        <v>28656</v>
      </c>
      <c r="X217" s="269">
        <f t="shared" si="104"/>
        <v>22859</v>
      </c>
      <c r="Y217" s="269">
        <f t="shared" si="104"/>
        <v>0</v>
      </c>
      <c r="Z217" s="269">
        <f t="shared" si="104"/>
        <v>13407</v>
      </c>
      <c r="AA217" s="269">
        <f>SUM(AA214:AA216)</f>
        <v>26400</v>
      </c>
      <c r="AB217" s="269">
        <f t="shared" si="104"/>
        <v>210011</v>
      </c>
      <c r="AC217" s="269">
        <f t="shared" si="104"/>
        <v>194641</v>
      </c>
      <c r="AD217" s="269">
        <f t="shared" si="104"/>
        <v>208092</v>
      </c>
      <c r="AE217" s="269">
        <f t="shared" si="104"/>
        <v>242077</v>
      </c>
      <c r="AF217" s="269">
        <f t="shared" si="104"/>
        <v>241698</v>
      </c>
      <c r="AG217" s="269">
        <f t="shared" si="104"/>
        <v>266231</v>
      </c>
      <c r="AH217" s="269">
        <f t="shared" si="104"/>
        <v>318707</v>
      </c>
      <c r="AI217" s="269">
        <f t="shared" si="104"/>
        <v>0</v>
      </c>
      <c r="AJ217" s="25"/>
      <c r="AK217" s="24">
        <f>SUM(AK214:AK216)</f>
        <v>5976825</v>
      </c>
      <c r="AM217" s="23"/>
      <c r="BW217" s="20"/>
      <c r="BX217" s="20"/>
      <c r="DA217" s="20"/>
      <c r="EI217" s="22"/>
      <c r="EJ217" s="20"/>
      <c r="EK217" s="20"/>
      <c r="EL217" s="20"/>
      <c r="EM217" s="20"/>
      <c r="GP217" s="20"/>
      <c r="KK217" s="20"/>
      <c r="KL217" s="20"/>
      <c r="KM217" s="20"/>
      <c r="KN217" s="20"/>
      <c r="PR217" s="20"/>
      <c r="PS217" s="20"/>
      <c r="PU217" s="20"/>
      <c r="QI217" s="21"/>
      <c r="QM217" s="20"/>
      <c r="SP217" s="21"/>
      <c r="AHY217" s="20"/>
      <c r="AJN217" s="20"/>
      <c r="AJO217" s="20"/>
      <c r="AJP217" s="20"/>
    </row>
    <row r="218" spans="2:952" x14ac:dyDescent="0.25">
      <c r="B218" s="179">
        <v>12</v>
      </c>
      <c r="C218" s="209" t="s">
        <v>15</v>
      </c>
      <c r="D218" s="210"/>
      <c r="E218" s="210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306"/>
      <c r="AD218" s="306"/>
      <c r="AE218" s="306"/>
      <c r="AF218" s="306"/>
      <c r="AG218" s="306"/>
      <c r="AH218" s="306"/>
      <c r="AI218" s="306"/>
      <c r="AJ218" s="10"/>
      <c r="AK218" s="312" t="s">
        <v>14</v>
      </c>
    </row>
    <row r="219" spans="2:952" ht="16.5" x14ac:dyDescent="0.25">
      <c r="B219" s="167"/>
      <c r="C219" s="244" t="s">
        <v>13</v>
      </c>
      <c r="D219" s="313">
        <v>670</v>
      </c>
      <c r="E219" s="245" t="s">
        <v>163</v>
      </c>
      <c r="F219" s="356">
        <v>794</v>
      </c>
      <c r="G219" s="314">
        <v>646</v>
      </c>
      <c r="H219" s="356">
        <v>1006</v>
      </c>
      <c r="I219" s="356">
        <v>723</v>
      </c>
      <c r="J219" s="314">
        <v>552</v>
      </c>
      <c r="K219" s="314">
        <v>470</v>
      </c>
      <c r="L219" s="356">
        <v>730</v>
      </c>
      <c r="M219" s="314">
        <v>634</v>
      </c>
      <c r="N219" s="314">
        <v>557</v>
      </c>
      <c r="O219" s="314">
        <v>604</v>
      </c>
      <c r="P219" s="314">
        <v>397</v>
      </c>
      <c r="Q219" s="314">
        <v>660</v>
      </c>
      <c r="R219" s="314">
        <v>537</v>
      </c>
      <c r="S219" s="314">
        <v>591</v>
      </c>
      <c r="T219" s="314">
        <v>500</v>
      </c>
      <c r="U219" s="314">
        <v>305</v>
      </c>
      <c r="V219" s="314">
        <v>95</v>
      </c>
      <c r="W219" s="314">
        <v>198</v>
      </c>
      <c r="X219" s="314">
        <v>197</v>
      </c>
      <c r="Y219" s="314">
        <v>0</v>
      </c>
      <c r="Z219" s="314">
        <v>150</v>
      </c>
      <c r="AA219" s="314">
        <v>444</v>
      </c>
      <c r="AB219" s="314">
        <v>605</v>
      </c>
      <c r="AC219" s="314">
        <v>517</v>
      </c>
      <c r="AD219" s="314">
        <v>665</v>
      </c>
      <c r="AE219" s="314">
        <v>563</v>
      </c>
      <c r="AF219" s="314">
        <v>679</v>
      </c>
      <c r="AG219" s="314">
        <v>733</v>
      </c>
      <c r="AH219" s="314">
        <v>764</v>
      </c>
      <c r="AI219" s="314"/>
      <c r="AK219" s="315">
        <f>SUM(F219:AI219)</f>
        <v>15316</v>
      </c>
      <c r="AM219" s="17">
        <f>AK219/AK30</f>
        <v>665.91304347826087</v>
      </c>
      <c r="BW219" s="14"/>
      <c r="BX219" s="14"/>
      <c r="DA219" s="14"/>
      <c r="EI219" s="16"/>
      <c r="EJ219" s="14"/>
      <c r="EK219" s="14"/>
      <c r="EL219" s="14"/>
      <c r="EM219" s="14"/>
      <c r="GP219" s="14"/>
      <c r="KK219" s="14"/>
      <c r="KL219" s="14"/>
      <c r="KM219" s="14"/>
      <c r="KN219" s="14"/>
      <c r="PR219" s="14"/>
      <c r="PS219" s="14"/>
      <c r="PU219" s="14"/>
      <c r="QI219" s="15"/>
      <c r="QM219" s="14"/>
      <c r="SP219" s="15"/>
      <c r="AHY219" s="14"/>
      <c r="AJN219" s="14"/>
      <c r="AJO219" s="14"/>
      <c r="AJP219" s="14"/>
    </row>
    <row r="220" spans="2:952" x14ac:dyDescent="0.25">
      <c r="B220" s="167"/>
      <c r="C220" s="271" t="s">
        <v>12</v>
      </c>
      <c r="D220" s="166"/>
      <c r="E220" s="167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314"/>
      <c r="AB220" s="314"/>
      <c r="AC220" s="314"/>
      <c r="AD220" s="314"/>
      <c r="AE220" s="314"/>
      <c r="AF220" s="314"/>
      <c r="AG220" s="314"/>
      <c r="AH220" s="314"/>
      <c r="AI220" s="314"/>
      <c r="AK220" s="19" t="s">
        <v>12</v>
      </c>
      <c r="AM220" s="17"/>
      <c r="BW220" s="14"/>
      <c r="BX220" s="14"/>
      <c r="DA220" s="14"/>
      <c r="EI220" s="16"/>
      <c r="EJ220" s="14"/>
      <c r="EK220" s="14"/>
      <c r="EL220" s="14"/>
      <c r="EM220" s="14"/>
      <c r="GP220" s="14"/>
      <c r="KK220" s="14"/>
      <c r="KL220" s="14"/>
      <c r="KM220" s="14"/>
      <c r="KN220" s="14"/>
      <c r="PR220" s="14"/>
      <c r="PS220" s="14"/>
      <c r="PU220" s="14"/>
      <c r="QI220" s="15"/>
      <c r="QM220" s="14"/>
      <c r="SP220" s="15"/>
      <c r="AHY220" s="14"/>
      <c r="AJN220" s="14"/>
      <c r="AJO220" s="14"/>
      <c r="AJP220" s="14"/>
    </row>
    <row r="221" spans="2:952" ht="16.5" x14ac:dyDescent="0.25">
      <c r="B221" s="167"/>
      <c r="C221" s="244" t="s">
        <v>11</v>
      </c>
      <c r="D221" s="316">
        <v>78.959999999999994</v>
      </c>
      <c r="E221" s="245" t="s">
        <v>163</v>
      </c>
      <c r="F221" s="272">
        <v>48</v>
      </c>
      <c r="G221" s="272">
        <v>121</v>
      </c>
      <c r="H221" s="272">
        <v>129</v>
      </c>
      <c r="I221" s="272">
        <v>51</v>
      </c>
      <c r="J221" s="272">
        <v>26</v>
      </c>
      <c r="K221" s="272">
        <v>77</v>
      </c>
      <c r="L221" s="272">
        <v>125</v>
      </c>
      <c r="M221" s="272">
        <v>94</v>
      </c>
      <c r="N221" s="272">
        <v>117</v>
      </c>
      <c r="O221" s="314">
        <v>56</v>
      </c>
      <c r="P221" s="314">
        <v>31</v>
      </c>
      <c r="Q221" s="314">
        <v>55</v>
      </c>
      <c r="R221" s="314">
        <v>81</v>
      </c>
      <c r="S221" s="314">
        <v>87</v>
      </c>
      <c r="T221" s="314">
        <v>97</v>
      </c>
      <c r="U221" s="314">
        <v>0</v>
      </c>
      <c r="V221" s="314">
        <v>0</v>
      </c>
      <c r="W221" s="314">
        <v>0</v>
      </c>
      <c r="X221" s="314">
        <v>0</v>
      </c>
      <c r="Y221" s="314">
        <v>0</v>
      </c>
      <c r="Z221" s="314">
        <v>0</v>
      </c>
      <c r="AA221" s="314">
        <v>0</v>
      </c>
      <c r="AB221" s="314">
        <v>0</v>
      </c>
      <c r="AC221" s="314">
        <v>71</v>
      </c>
      <c r="AD221" s="314">
        <v>167</v>
      </c>
      <c r="AE221" s="314"/>
      <c r="AF221" s="314"/>
      <c r="AG221" s="314"/>
      <c r="AH221" s="314"/>
      <c r="AI221" s="314"/>
      <c r="AK221" s="317">
        <f>SUM(F221:AI221)</f>
        <v>1433</v>
      </c>
      <c r="AL221" s="318"/>
      <c r="AM221" s="17"/>
      <c r="BW221" s="14"/>
      <c r="BX221" s="14"/>
      <c r="DA221" s="14"/>
      <c r="EI221" s="16"/>
      <c r="EJ221" s="14"/>
      <c r="EK221" s="14"/>
      <c r="EL221" s="14"/>
      <c r="EM221" s="14"/>
      <c r="GP221" s="14"/>
      <c r="KK221" s="14"/>
      <c r="KL221" s="14"/>
      <c r="KM221" s="14"/>
      <c r="KN221" s="14"/>
      <c r="PR221" s="14"/>
      <c r="PS221" s="14"/>
      <c r="PU221" s="14"/>
      <c r="QI221" s="15"/>
      <c r="QM221" s="14"/>
      <c r="SP221" s="15"/>
      <c r="AGK221" s="18">
        <f>AM221-AK221</f>
        <v>-1433</v>
      </c>
      <c r="AHY221" s="14"/>
      <c r="AJN221" s="14"/>
      <c r="AJO221" s="14"/>
      <c r="AJP221" s="14"/>
    </row>
    <row r="222" spans="2:952" ht="16.5" x14ac:dyDescent="0.25">
      <c r="B222" s="167"/>
      <c r="C222" s="244" t="s">
        <v>10</v>
      </c>
      <c r="D222" s="316">
        <v>118.4</v>
      </c>
      <c r="E222" s="245" t="s">
        <v>163</v>
      </c>
      <c r="F222" s="272">
        <v>67</v>
      </c>
      <c r="G222" s="272">
        <v>104</v>
      </c>
      <c r="H222" s="272">
        <v>115</v>
      </c>
      <c r="I222" s="272">
        <v>137</v>
      </c>
      <c r="J222" s="272">
        <v>161</v>
      </c>
      <c r="K222" s="272">
        <v>93</v>
      </c>
      <c r="L222" s="272">
        <v>81</v>
      </c>
      <c r="M222" s="272">
        <v>61</v>
      </c>
      <c r="N222" s="272">
        <v>83</v>
      </c>
      <c r="O222" s="314">
        <v>52</v>
      </c>
      <c r="P222" s="314">
        <v>69</v>
      </c>
      <c r="Q222" s="314">
        <v>91</v>
      </c>
      <c r="R222" s="314">
        <v>108</v>
      </c>
      <c r="S222" s="314">
        <v>51</v>
      </c>
      <c r="T222" s="314">
        <v>65</v>
      </c>
      <c r="U222" s="314">
        <v>0</v>
      </c>
      <c r="V222" s="314">
        <v>0</v>
      </c>
      <c r="W222" s="314">
        <v>0</v>
      </c>
      <c r="X222" s="314">
        <v>0</v>
      </c>
      <c r="Y222" s="314">
        <v>0</v>
      </c>
      <c r="Z222" s="314">
        <v>0</v>
      </c>
      <c r="AA222" s="314">
        <v>0</v>
      </c>
      <c r="AB222" s="314">
        <v>0</v>
      </c>
      <c r="AC222" s="314">
        <v>46</v>
      </c>
      <c r="AD222" s="314">
        <v>99</v>
      </c>
      <c r="AE222" s="314"/>
      <c r="AF222" s="314"/>
      <c r="AG222" s="314"/>
      <c r="AH222" s="314"/>
      <c r="AI222" s="314"/>
      <c r="AK222" s="317">
        <f>SUM(F222:AI222)</f>
        <v>1483</v>
      </c>
      <c r="AM222" s="17">
        <v>1303</v>
      </c>
      <c r="BW222" s="14"/>
      <c r="BX222" s="14"/>
      <c r="DA222" s="14"/>
      <c r="EI222" s="16"/>
      <c r="EJ222" s="14"/>
      <c r="EK222" s="14"/>
      <c r="EL222" s="14"/>
      <c r="EM222" s="14"/>
      <c r="GP222" s="14"/>
      <c r="KK222" s="14"/>
      <c r="KL222" s="14"/>
      <c r="KM222" s="14"/>
      <c r="KN222" s="14"/>
      <c r="PR222" s="14"/>
      <c r="PS222" s="14"/>
      <c r="PU222" s="14"/>
      <c r="QI222" s="15"/>
      <c r="QM222" s="14"/>
      <c r="SP222" s="15"/>
      <c r="AGK222" s="18">
        <f>AM222-AK222</f>
        <v>-180</v>
      </c>
      <c r="AHY222" s="14"/>
      <c r="AJN222" s="14"/>
      <c r="AJO222" s="14"/>
      <c r="AJP222" s="14"/>
    </row>
    <row r="223" spans="2:952" ht="16.5" x14ac:dyDescent="0.25">
      <c r="B223" s="167"/>
      <c r="C223" s="244" t="s">
        <v>9</v>
      </c>
      <c r="D223" s="313">
        <f>44.69%*D219</f>
        <v>299.423</v>
      </c>
      <c r="E223" s="245" t="s">
        <v>163</v>
      </c>
      <c r="F223" s="314">
        <v>325.2</v>
      </c>
      <c r="G223" s="314">
        <v>303.5</v>
      </c>
      <c r="H223" s="356">
        <v>357.7</v>
      </c>
      <c r="I223" s="314">
        <v>324.39999999999998</v>
      </c>
      <c r="J223" s="356">
        <v>355.4</v>
      </c>
      <c r="K223" s="314">
        <v>296.3</v>
      </c>
      <c r="L223" s="314">
        <v>290.10000000000002</v>
      </c>
      <c r="M223" s="314">
        <v>282.7</v>
      </c>
      <c r="N223" s="314">
        <v>329.6</v>
      </c>
      <c r="O223" s="314">
        <v>301.2</v>
      </c>
      <c r="P223" s="314">
        <v>292.39999999999998</v>
      </c>
      <c r="Q223" s="314">
        <v>321</v>
      </c>
      <c r="R223" s="314">
        <v>309.60000000000002</v>
      </c>
      <c r="S223" s="314">
        <v>294.10000000000002</v>
      </c>
      <c r="T223" s="314">
        <v>309.5</v>
      </c>
      <c r="U223" s="314">
        <v>130.80000000000001</v>
      </c>
      <c r="V223" s="314">
        <v>0</v>
      </c>
      <c r="W223" s="314">
        <v>69.099999999999994</v>
      </c>
      <c r="X223" s="314">
        <v>51</v>
      </c>
      <c r="Y223" s="314">
        <v>0</v>
      </c>
      <c r="Z223" s="314">
        <v>0</v>
      </c>
      <c r="AA223" s="314">
        <v>166.8</v>
      </c>
      <c r="AB223" s="314">
        <v>314.39999999999998</v>
      </c>
      <c r="AC223" s="314">
        <v>317.8</v>
      </c>
      <c r="AD223" s="314">
        <v>296.2</v>
      </c>
      <c r="AE223" s="314">
        <v>293.60000000000002</v>
      </c>
      <c r="AF223" s="314">
        <v>305.7</v>
      </c>
      <c r="AG223" s="314">
        <v>332.2</v>
      </c>
      <c r="AH223" s="314">
        <v>290.5</v>
      </c>
      <c r="AI223" s="314"/>
      <c r="AK223" s="317">
        <f>SUM(F223:AI223)</f>
        <v>7260.8</v>
      </c>
      <c r="AL223" s="18"/>
      <c r="AM223" s="17"/>
      <c r="BW223" s="14"/>
      <c r="BX223" s="14"/>
      <c r="DA223" s="14"/>
      <c r="EI223" s="16"/>
      <c r="EJ223" s="14"/>
      <c r="EK223" s="14"/>
      <c r="EL223" s="14"/>
      <c r="EM223" s="14"/>
      <c r="GP223" s="14"/>
      <c r="KK223" s="14"/>
      <c r="KL223" s="14"/>
      <c r="KM223" s="14"/>
      <c r="KN223" s="14"/>
      <c r="PR223" s="14"/>
      <c r="PS223" s="14"/>
      <c r="PU223" s="14"/>
      <c r="QI223" s="15"/>
      <c r="QM223" s="14"/>
      <c r="SP223" s="15"/>
      <c r="AHY223" s="14"/>
      <c r="AJN223" s="14"/>
      <c r="AJO223" s="14"/>
      <c r="AJP223" s="14"/>
    </row>
    <row r="224" spans="2:952" ht="16.5" x14ac:dyDescent="0.25">
      <c r="B224" s="167"/>
      <c r="C224" s="244" t="s">
        <v>8</v>
      </c>
      <c r="D224" s="313">
        <f>D219-SUM(D221:D223)</f>
        <v>173.21699999999998</v>
      </c>
      <c r="E224" s="245" t="s">
        <v>163</v>
      </c>
      <c r="F224" s="314">
        <f>F219-(SUM(F221:F223))</f>
        <v>353.8</v>
      </c>
      <c r="G224" s="314">
        <f t="shared" ref="G224:K224" si="105">G219-(SUM(G221:G223))</f>
        <v>117.5</v>
      </c>
      <c r="H224" s="314">
        <f t="shared" si="105"/>
        <v>404.29999999999995</v>
      </c>
      <c r="I224" s="314">
        <f t="shared" si="105"/>
        <v>210.60000000000002</v>
      </c>
      <c r="J224" s="314">
        <f t="shared" si="105"/>
        <v>9.6000000000000227</v>
      </c>
      <c r="K224" s="314">
        <f t="shared" si="105"/>
        <v>3.6999999999999886</v>
      </c>
      <c r="L224" s="314">
        <f t="shared" ref="L224:AI224" si="106">L219-(SUM(L221:L223))</f>
        <v>233.89999999999998</v>
      </c>
      <c r="M224" s="314">
        <f t="shared" si="106"/>
        <v>196.3</v>
      </c>
      <c r="N224" s="314">
        <f t="shared" si="106"/>
        <v>27.399999999999977</v>
      </c>
      <c r="O224" s="314">
        <f t="shared" si="106"/>
        <v>194.8</v>
      </c>
      <c r="P224" s="314">
        <f t="shared" si="106"/>
        <v>4.6000000000000227</v>
      </c>
      <c r="Q224" s="314">
        <f t="shared" si="106"/>
        <v>193</v>
      </c>
      <c r="R224" s="314">
        <f t="shared" si="106"/>
        <v>38.399999999999977</v>
      </c>
      <c r="S224" s="314">
        <f t="shared" si="106"/>
        <v>158.89999999999998</v>
      </c>
      <c r="T224" s="314">
        <f t="shared" si="106"/>
        <v>28.5</v>
      </c>
      <c r="U224" s="314">
        <f t="shared" si="106"/>
        <v>174.2</v>
      </c>
      <c r="V224" s="314">
        <f t="shared" si="106"/>
        <v>95</v>
      </c>
      <c r="W224" s="314">
        <f t="shared" si="106"/>
        <v>128.9</v>
      </c>
      <c r="X224" s="314">
        <f t="shared" si="106"/>
        <v>146</v>
      </c>
      <c r="Y224" s="314">
        <f t="shared" si="106"/>
        <v>0</v>
      </c>
      <c r="Z224" s="314">
        <f t="shared" si="106"/>
        <v>150</v>
      </c>
      <c r="AA224" s="314">
        <f t="shared" si="106"/>
        <v>277.2</v>
      </c>
      <c r="AB224" s="314">
        <f>AB219-(SUM(AB221:AB223))</f>
        <v>290.60000000000002</v>
      </c>
      <c r="AC224" s="314">
        <f t="shared" si="106"/>
        <v>82.199999999999989</v>
      </c>
      <c r="AD224" s="314">
        <f t="shared" si="106"/>
        <v>102.79999999999995</v>
      </c>
      <c r="AE224" s="314">
        <f t="shared" si="106"/>
        <v>269.39999999999998</v>
      </c>
      <c r="AF224" s="314">
        <f t="shared" si="106"/>
        <v>373.3</v>
      </c>
      <c r="AG224" s="314">
        <f t="shared" si="106"/>
        <v>400.8</v>
      </c>
      <c r="AH224" s="314">
        <f t="shared" si="106"/>
        <v>473.5</v>
      </c>
      <c r="AI224" s="314">
        <f t="shared" si="106"/>
        <v>0</v>
      </c>
      <c r="AK224" s="317">
        <f>SUM(F224:AI224)</f>
        <v>5139.1999999999989</v>
      </c>
      <c r="AL224" s="319"/>
      <c r="AM224" s="17"/>
      <c r="BW224" s="14"/>
      <c r="BX224" s="14"/>
      <c r="DA224" s="14"/>
      <c r="EI224" s="16"/>
      <c r="EJ224" s="14"/>
      <c r="EK224" s="14"/>
      <c r="EL224" s="14"/>
      <c r="EM224" s="14"/>
      <c r="GP224" s="14"/>
      <c r="KK224" s="14"/>
      <c r="KL224" s="14"/>
      <c r="KM224" s="14"/>
      <c r="KN224" s="14"/>
      <c r="PR224" s="14"/>
      <c r="PS224" s="14"/>
      <c r="PU224" s="14"/>
      <c r="QI224" s="15"/>
      <c r="QM224" s="14"/>
      <c r="SP224" s="15"/>
      <c r="AHY224" s="14"/>
      <c r="AJN224" s="14"/>
      <c r="AJO224" s="14"/>
      <c r="AJP224" s="14"/>
    </row>
    <row r="225" spans="1:14968" ht="16.5" x14ac:dyDescent="0.25">
      <c r="B225" s="167"/>
      <c r="C225" s="244" t="s">
        <v>7</v>
      </c>
      <c r="D225" s="313">
        <v>287.83999999999997</v>
      </c>
      <c r="E225" s="245" t="s">
        <v>163</v>
      </c>
      <c r="F225" s="314">
        <v>173</v>
      </c>
      <c r="G225" s="314">
        <v>160</v>
      </c>
      <c r="H225" s="356">
        <v>205</v>
      </c>
      <c r="I225" s="314">
        <v>173</v>
      </c>
      <c r="J225" s="314">
        <v>120</v>
      </c>
      <c r="K225" s="314">
        <v>159</v>
      </c>
      <c r="L225" s="314">
        <v>167</v>
      </c>
      <c r="M225" s="314">
        <v>151</v>
      </c>
      <c r="N225" s="356">
        <v>237</v>
      </c>
      <c r="O225" s="314">
        <v>160</v>
      </c>
      <c r="P225" s="314">
        <v>114</v>
      </c>
      <c r="Q225" s="314">
        <v>120</v>
      </c>
      <c r="R225" s="314">
        <v>119</v>
      </c>
      <c r="S225" s="314">
        <v>181</v>
      </c>
      <c r="T225" s="314">
        <v>134</v>
      </c>
      <c r="U225" s="314">
        <v>81</v>
      </c>
      <c r="V225" s="314">
        <v>50</v>
      </c>
      <c r="W225" s="314">
        <v>79</v>
      </c>
      <c r="X225" s="314">
        <v>0</v>
      </c>
      <c r="Y225" s="314">
        <v>176</v>
      </c>
      <c r="Z225" s="314">
        <v>27</v>
      </c>
      <c r="AA225" s="314">
        <v>42</v>
      </c>
      <c r="AB225" s="314">
        <v>108</v>
      </c>
      <c r="AC225" s="314">
        <v>121</v>
      </c>
      <c r="AD225" s="314">
        <v>136</v>
      </c>
      <c r="AE225" s="314">
        <v>126</v>
      </c>
      <c r="AF225" s="314">
        <v>182</v>
      </c>
      <c r="AG225" s="314">
        <v>170</v>
      </c>
      <c r="AH225" s="314">
        <v>177</v>
      </c>
      <c r="AI225" s="314"/>
      <c r="AK225" s="317">
        <f>SUM(F225:AI225)</f>
        <v>3848</v>
      </c>
      <c r="AM225" s="17"/>
      <c r="BW225" s="14"/>
      <c r="BX225" s="14"/>
      <c r="DA225" s="14"/>
      <c r="EI225" s="16"/>
      <c r="EJ225" s="14"/>
      <c r="EK225" s="14"/>
      <c r="EL225" s="14"/>
      <c r="EM225" s="14"/>
      <c r="GP225" s="14"/>
      <c r="KK225" s="14"/>
      <c r="KL225" s="14"/>
      <c r="KM225" s="14"/>
      <c r="KN225" s="14"/>
      <c r="PR225" s="14"/>
      <c r="PS225" s="14"/>
      <c r="PU225" s="14"/>
      <c r="QI225" s="15"/>
      <c r="QM225" s="14"/>
      <c r="SP225" s="15"/>
      <c r="AHY225" s="14"/>
      <c r="AJN225" s="14"/>
      <c r="AJO225" s="14"/>
      <c r="AJP225" s="14"/>
    </row>
    <row r="226" spans="1:14968" x14ac:dyDescent="0.25">
      <c r="B226" s="225">
        <v>13</v>
      </c>
      <c r="C226" s="209" t="s">
        <v>6</v>
      </c>
      <c r="D226" s="210"/>
      <c r="E226" s="210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81"/>
      <c r="AJ226" s="10"/>
      <c r="AK226" s="13" t="s">
        <v>5</v>
      </c>
    </row>
    <row r="227" spans="1:14968" s="2" customFormat="1" x14ac:dyDescent="0.25">
      <c r="A227" s="1"/>
      <c r="B227" s="273"/>
      <c r="C227" s="274" t="s">
        <v>4</v>
      </c>
      <c r="D227" s="275"/>
      <c r="E227" s="276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0"/>
      <c r="AK227" s="12" t="s">
        <v>4</v>
      </c>
      <c r="AL227" s="1"/>
      <c r="AM227" s="1"/>
      <c r="AO227" s="3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  <c r="ALN227" s="1"/>
      <c r="ALO227" s="1"/>
      <c r="ALP227" s="1"/>
      <c r="ALQ227" s="1"/>
      <c r="ALR227" s="1"/>
      <c r="ALS227" s="1"/>
      <c r="ALT227" s="1"/>
      <c r="ALU227" s="1"/>
      <c r="ALV227" s="1"/>
      <c r="ALW227" s="1"/>
      <c r="ALX227" s="1"/>
      <c r="ALY227" s="1"/>
      <c r="ALZ227" s="1"/>
      <c r="AMA227" s="1"/>
      <c r="AMB227" s="1"/>
      <c r="AMC227" s="1"/>
      <c r="AMD227" s="1"/>
      <c r="AME227" s="1"/>
      <c r="AMF227" s="1"/>
      <c r="AMG227" s="1"/>
      <c r="AMH227" s="1"/>
      <c r="AMI227" s="1"/>
      <c r="AMJ227" s="1"/>
      <c r="AMK227" s="1"/>
      <c r="AML227" s="1"/>
      <c r="AMM227" s="1"/>
      <c r="AMN227" s="1"/>
      <c r="AMO227" s="1"/>
      <c r="AMP227" s="1"/>
      <c r="AMQ227" s="1"/>
      <c r="AMR227" s="1"/>
      <c r="AMS227" s="1"/>
      <c r="AMT227" s="1"/>
      <c r="AMU227" s="1"/>
      <c r="AMV227" s="1"/>
      <c r="AMW227" s="1"/>
      <c r="AMX227" s="1"/>
      <c r="AMY227" s="1"/>
      <c r="AMZ227" s="1"/>
      <c r="ANA227" s="1"/>
      <c r="ANB227" s="1"/>
      <c r="ANC227" s="1"/>
      <c r="AND227" s="1"/>
      <c r="ANE227" s="1"/>
      <c r="ANF227" s="1"/>
      <c r="ANG227" s="1"/>
      <c r="ANH227" s="1"/>
      <c r="ANI227" s="1"/>
      <c r="ANJ227" s="1"/>
      <c r="ANK227" s="1"/>
      <c r="ANL227" s="1"/>
      <c r="ANM227" s="1"/>
      <c r="ANN227" s="1"/>
      <c r="ANO227" s="1"/>
      <c r="ANP227" s="1"/>
      <c r="ANQ227" s="1"/>
      <c r="ANR227" s="1"/>
      <c r="ANS227" s="1"/>
      <c r="ANT227" s="1"/>
      <c r="ANU227" s="1"/>
      <c r="ANV227" s="1"/>
      <c r="ANW227" s="1"/>
      <c r="ANX227" s="1"/>
      <c r="ANY227" s="1"/>
      <c r="ANZ227" s="1"/>
      <c r="AOA227" s="1"/>
      <c r="AOB227" s="1"/>
      <c r="AOC227" s="1"/>
      <c r="AOD227" s="1"/>
      <c r="AOE227" s="1"/>
      <c r="AOF227" s="1"/>
      <c r="AOG227" s="1"/>
      <c r="AOH227" s="1"/>
      <c r="AOI227" s="1"/>
      <c r="AOJ227" s="1"/>
      <c r="AOK227" s="1"/>
      <c r="AOL227" s="1"/>
      <c r="AOM227" s="1"/>
      <c r="AON227" s="1"/>
      <c r="AOO227" s="1"/>
      <c r="AOP227" s="1"/>
      <c r="AOQ227" s="1"/>
      <c r="AOR227" s="1"/>
      <c r="AOS227" s="1"/>
      <c r="AOT227" s="1"/>
      <c r="AOU227" s="1"/>
      <c r="AOV227" s="1"/>
      <c r="AOW227" s="1"/>
      <c r="AOX227" s="1"/>
      <c r="AOY227" s="1"/>
      <c r="AOZ227" s="1"/>
      <c r="APA227" s="1"/>
      <c r="APB227" s="1"/>
      <c r="APC227" s="1"/>
      <c r="APD227" s="1"/>
      <c r="APE227" s="1"/>
      <c r="APF227" s="1"/>
      <c r="APG227" s="1"/>
      <c r="APH227" s="1"/>
      <c r="API227" s="1"/>
      <c r="APJ227" s="1"/>
      <c r="APK227" s="1"/>
      <c r="APL227" s="1"/>
      <c r="APM227" s="1"/>
      <c r="APN227" s="1"/>
      <c r="APO227" s="1"/>
      <c r="APP227" s="1"/>
      <c r="APQ227" s="1"/>
      <c r="APR227" s="1"/>
      <c r="APS227" s="1"/>
      <c r="APT227" s="1"/>
      <c r="APU227" s="1"/>
      <c r="APV227" s="1"/>
      <c r="APW227" s="1"/>
      <c r="APX227" s="1"/>
      <c r="APY227" s="1"/>
      <c r="APZ227" s="1"/>
      <c r="AQA227" s="1"/>
      <c r="AQB227" s="1"/>
      <c r="AQC227" s="1"/>
      <c r="AQD227" s="1"/>
      <c r="AQE227" s="1"/>
      <c r="AQF227" s="1"/>
      <c r="AQG227" s="1"/>
      <c r="AQH227" s="1"/>
      <c r="AQI227" s="1"/>
      <c r="AQJ227" s="1"/>
      <c r="AQK227" s="1"/>
      <c r="AQL227" s="1"/>
      <c r="AQM227" s="1"/>
      <c r="AQN227" s="1"/>
      <c r="AQO227" s="1"/>
      <c r="AQP227" s="1"/>
      <c r="AQQ227" s="1"/>
      <c r="AQR227" s="1"/>
      <c r="AQS227" s="1"/>
      <c r="AQT227" s="1"/>
      <c r="AQU227" s="1"/>
      <c r="AQV227" s="1"/>
      <c r="AQW227" s="1"/>
      <c r="AQX227" s="1"/>
      <c r="AQY227" s="1"/>
      <c r="AQZ227" s="1"/>
      <c r="ARA227" s="1"/>
      <c r="ARB227" s="1"/>
      <c r="ARC227" s="1"/>
      <c r="ARD227" s="1"/>
      <c r="ARE227" s="1"/>
      <c r="ARF227" s="1"/>
      <c r="ARG227" s="1"/>
      <c r="ARH227" s="1"/>
      <c r="ARI227" s="1"/>
      <c r="ARJ227" s="1"/>
      <c r="ARK227" s="1"/>
      <c r="ARL227" s="1"/>
      <c r="ARM227" s="1"/>
      <c r="ARN227" s="1"/>
      <c r="ARO227" s="1"/>
      <c r="ARP227" s="1"/>
      <c r="ARQ227" s="1"/>
      <c r="ARR227" s="1"/>
      <c r="ARS227" s="1"/>
      <c r="ART227" s="1"/>
      <c r="ARU227" s="1"/>
      <c r="ARV227" s="1"/>
      <c r="ARW227" s="1"/>
      <c r="ARX227" s="1"/>
      <c r="ARY227" s="1"/>
      <c r="ARZ227" s="1"/>
      <c r="ASA227" s="1"/>
      <c r="ASB227" s="1"/>
      <c r="ASC227" s="1"/>
      <c r="ASD227" s="1"/>
      <c r="ASE227" s="1"/>
      <c r="ASF227" s="1"/>
      <c r="ASG227" s="1"/>
      <c r="ASH227" s="1"/>
      <c r="ASI227" s="1"/>
      <c r="ASJ227" s="1"/>
      <c r="ASK227" s="1"/>
      <c r="ASL227" s="1"/>
      <c r="ASM227" s="1"/>
      <c r="ASN227" s="1"/>
      <c r="ASO227" s="1"/>
      <c r="ASP227" s="1"/>
      <c r="ASQ227" s="1"/>
      <c r="ASR227" s="1"/>
      <c r="ASS227" s="1"/>
      <c r="AST227" s="1"/>
      <c r="ASU227" s="1"/>
      <c r="ASV227" s="1"/>
      <c r="ASW227" s="1"/>
      <c r="ASX227" s="1"/>
      <c r="ASY227" s="1"/>
      <c r="ASZ227" s="1"/>
      <c r="ATA227" s="1"/>
      <c r="ATB227" s="1"/>
      <c r="ATC227" s="1"/>
      <c r="ATD227" s="1"/>
      <c r="ATE227" s="1"/>
      <c r="ATF227" s="1"/>
      <c r="ATG227" s="1"/>
      <c r="ATH227" s="1"/>
      <c r="ATI227" s="1"/>
      <c r="ATJ227" s="1"/>
      <c r="ATK227" s="1"/>
      <c r="ATL227" s="1"/>
      <c r="ATM227" s="1"/>
      <c r="ATN227" s="1"/>
      <c r="ATO227" s="1"/>
      <c r="ATP227" s="1"/>
      <c r="ATQ227" s="1"/>
      <c r="ATR227" s="1"/>
      <c r="ATS227" s="1"/>
      <c r="ATT227" s="1"/>
      <c r="ATU227" s="1"/>
      <c r="ATV227" s="1"/>
      <c r="ATW227" s="1"/>
      <c r="ATX227" s="1"/>
      <c r="ATY227" s="1"/>
      <c r="ATZ227" s="1"/>
      <c r="AUA227" s="1"/>
      <c r="AUB227" s="1"/>
      <c r="AUC227" s="1"/>
      <c r="AUD227" s="1"/>
      <c r="AUE227" s="1"/>
      <c r="AUF227" s="1"/>
      <c r="AUG227" s="1"/>
      <c r="AUH227" s="1"/>
      <c r="AUI227" s="1"/>
      <c r="AUJ227" s="1"/>
      <c r="AUK227" s="1"/>
      <c r="AUL227" s="1"/>
      <c r="AUM227" s="1"/>
      <c r="AUN227" s="1"/>
      <c r="AUO227" s="1"/>
      <c r="AUP227" s="1"/>
      <c r="AUQ227" s="1"/>
      <c r="AUR227" s="1"/>
      <c r="AUS227" s="1"/>
      <c r="AUT227" s="1"/>
      <c r="AUU227" s="1"/>
      <c r="AUV227" s="1"/>
      <c r="AUW227" s="1"/>
      <c r="AUX227" s="1"/>
      <c r="AUY227" s="1"/>
      <c r="AUZ227" s="1"/>
      <c r="AVA227" s="1"/>
      <c r="AVB227" s="1"/>
      <c r="AVC227" s="1"/>
      <c r="AVD227" s="1"/>
      <c r="AVE227" s="1"/>
      <c r="AVF227" s="1"/>
      <c r="AVG227" s="1"/>
      <c r="AVH227" s="1"/>
      <c r="AVI227" s="1"/>
      <c r="AVJ227" s="1"/>
      <c r="AVK227" s="1"/>
      <c r="AVL227" s="1"/>
      <c r="AVM227" s="1"/>
      <c r="AVN227" s="1"/>
      <c r="AVO227" s="1"/>
      <c r="AVP227" s="1"/>
      <c r="AVQ227" s="1"/>
      <c r="AVR227" s="1"/>
      <c r="AVS227" s="1"/>
      <c r="AVT227" s="1"/>
      <c r="AVU227" s="1"/>
      <c r="AVV227" s="1"/>
      <c r="AVW227" s="1"/>
      <c r="AVX227" s="1"/>
      <c r="AVY227" s="1"/>
      <c r="AVZ227" s="1"/>
      <c r="AWA227" s="1"/>
      <c r="AWB227" s="1"/>
      <c r="AWC227" s="1"/>
      <c r="AWD227" s="1"/>
      <c r="AWE227" s="1"/>
      <c r="AWF227" s="1"/>
      <c r="AWG227" s="1"/>
      <c r="AWH227" s="1"/>
      <c r="AWI227" s="1"/>
      <c r="AWJ227" s="1"/>
      <c r="AWK227" s="1"/>
      <c r="AWL227" s="1"/>
      <c r="AWM227" s="1"/>
      <c r="AWN227" s="1"/>
      <c r="AWO227" s="1"/>
      <c r="AWP227" s="1"/>
      <c r="AWQ227" s="1"/>
      <c r="AWR227" s="1"/>
      <c r="AWS227" s="1"/>
      <c r="AWT227" s="1"/>
      <c r="AWU227" s="1"/>
      <c r="AWV227" s="1"/>
      <c r="AWW227" s="1"/>
      <c r="AWX227" s="1"/>
      <c r="AWY227" s="1"/>
      <c r="AWZ227" s="1"/>
      <c r="AXA227" s="1"/>
      <c r="AXB227" s="1"/>
      <c r="AXC227" s="1"/>
      <c r="AXD227" s="1"/>
      <c r="AXE227" s="1"/>
      <c r="AXF227" s="1"/>
      <c r="AXG227" s="1"/>
      <c r="AXH227" s="1"/>
      <c r="AXI227" s="1"/>
      <c r="AXJ227" s="1"/>
      <c r="AXK227" s="1"/>
      <c r="AXL227" s="1"/>
      <c r="AXM227" s="1"/>
      <c r="AXN227" s="1"/>
      <c r="AXO227" s="1"/>
      <c r="AXP227" s="1"/>
      <c r="AXQ227" s="1"/>
      <c r="AXR227" s="1"/>
      <c r="AXS227" s="1"/>
      <c r="AXT227" s="1"/>
      <c r="AXU227" s="1"/>
      <c r="AXV227" s="1"/>
      <c r="AXW227" s="1"/>
      <c r="AXX227" s="1"/>
      <c r="AXY227" s="1"/>
      <c r="AXZ227" s="1"/>
      <c r="AYA227" s="1"/>
      <c r="AYB227" s="1"/>
      <c r="AYC227" s="1"/>
      <c r="AYD227" s="1"/>
      <c r="AYE227" s="1"/>
      <c r="AYF227" s="1"/>
      <c r="AYG227" s="1"/>
      <c r="AYH227" s="1"/>
      <c r="AYI227" s="1"/>
      <c r="AYJ227" s="1"/>
      <c r="AYK227" s="1"/>
      <c r="AYL227" s="1"/>
      <c r="AYM227" s="1"/>
      <c r="AYN227" s="1"/>
      <c r="AYO227" s="1"/>
      <c r="AYP227" s="1"/>
      <c r="AYQ227" s="1"/>
      <c r="AYR227" s="1"/>
      <c r="AYS227" s="1"/>
      <c r="AYT227" s="1"/>
      <c r="AYU227" s="1"/>
      <c r="AYV227" s="1"/>
      <c r="AYW227" s="1"/>
      <c r="AYX227" s="1"/>
      <c r="AYY227" s="1"/>
      <c r="AYZ227" s="1"/>
      <c r="AZA227" s="1"/>
      <c r="AZB227" s="1"/>
      <c r="AZC227" s="1"/>
      <c r="AZD227" s="1"/>
      <c r="AZE227" s="1"/>
      <c r="AZF227" s="1"/>
      <c r="AZG227" s="1"/>
      <c r="AZH227" s="1"/>
      <c r="AZI227" s="1"/>
      <c r="AZJ227" s="1"/>
      <c r="AZK227" s="1"/>
      <c r="AZL227" s="1"/>
      <c r="AZM227" s="1"/>
      <c r="AZN227" s="1"/>
      <c r="AZO227" s="1"/>
      <c r="AZP227" s="1"/>
      <c r="AZQ227" s="1"/>
      <c r="AZR227" s="1"/>
      <c r="AZS227" s="1"/>
      <c r="AZT227" s="1"/>
      <c r="AZU227" s="1"/>
      <c r="AZV227" s="1"/>
      <c r="AZW227" s="1"/>
      <c r="AZX227" s="1"/>
      <c r="AZY227" s="1"/>
      <c r="AZZ227" s="1"/>
      <c r="BAA227" s="1"/>
      <c r="BAB227" s="1"/>
      <c r="BAC227" s="1"/>
      <c r="BAD227" s="1"/>
      <c r="BAE227" s="1"/>
      <c r="BAF227" s="1"/>
      <c r="BAG227" s="1"/>
      <c r="BAH227" s="1"/>
      <c r="BAI227" s="1"/>
      <c r="BAJ227" s="1"/>
      <c r="BAK227" s="1"/>
      <c r="BAL227" s="1"/>
      <c r="BAM227" s="1"/>
      <c r="BAN227" s="1"/>
      <c r="BAO227" s="1"/>
      <c r="BAP227" s="1"/>
      <c r="BAQ227" s="1"/>
      <c r="BAR227" s="1"/>
      <c r="BAS227" s="1"/>
      <c r="BAT227" s="1"/>
      <c r="BAU227" s="1"/>
      <c r="BAV227" s="1"/>
      <c r="BAW227" s="1"/>
      <c r="BAX227" s="1"/>
      <c r="BAY227" s="1"/>
      <c r="BAZ227" s="1"/>
      <c r="BBA227" s="1"/>
      <c r="BBB227" s="1"/>
      <c r="BBC227" s="1"/>
      <c r="BBD227" s="1"/>
      <c r="BBE227" s="1"/>
      <c r="BBF227" s="1"/>
      <c r="BBG227" s="1"/>
      <c r="BBH227" s="1"/>
      <c r="BBI227" s="1"/>
      <c r="BBJ227" s="1"/>
      <c r="BBK227" s="1"/>
      <c r="BBL227" s="1"/>
      <c r="BBM227" s="1"/>
      <c r="BBN227" s="1"/>
      <c r="BBO227" s="1"/>
      <c r="BBP227" s="1"/>
      <c r="BBQ227" s="1"/>
      <c r="BBR227" s="1"/>
      <c r="BBS227" s="1"/>
      <c r="BBT227" s="1"/>
      <c r="BBU227" s="1"/>
      <c r="BBV227" s="1"/>
      <c r="BBW227" s="1"/>
      <c r="BBX227" s="1"/>
      <c r="BBY227" s="1"/>
      <c r="BBZ227" s="1"/>
      <c r="BCA227" s="1"/>
      <c r="BCB227" s="1"/>
      <c r="BCC227" s="1"/>
      <c r="BCD227" s="1"/>
      <c r="BCE227" s="1"/>
      <c r="BCF227" s="1"/>
      <c r="BCG227" s="1"/>
      <c r="BCH227" s="1"/>
      <c r="BCI227" s="1"/>
      <c r="BCJ227" s="1"/>
      <c r="BCK227" s="1"/>
      <c r="BCL227" s="1"/>
      <c r="BCM227" s="1"/>
      <c r="BCN227" s="1"/>
      <c r="BCO227" s="1"/>
      <c r="BCP227" s="1"/>
      <c r="BCQ227" s="1"/>
      <c r="BCR227" s="1"/>
      <c r="BCS227" s="1"/>
      <c r="BCT227" s="1"/>
      <c r="BCU227" s="1"/>
      <c r="BCV227" s="1"/>
      <c r="BCW227" s="1"/>
      <c r="BCX227" s="1"/>
      <c r="BCY227" s="1"/>
      <c r="BCZ227" s="1"/>
      <c r="BDA227" s="1"/>
      <c r="BDB227" s="1"/>
      <c r="BDC227" s="1"/>
      <c r="BDD227" s="1"/>
      <c r="BDE227" s="1"/>
      <c r="BDF227" s="1"/>
      <c r="BDG227" s="1"/>
      <c r="BDH227" s="1"/>
      <c r="BDI227" s="1"/>
      <c r="BDJ227" s="1"/>
      <c r="BDK227" s="1"/>
      <c r="BDL227" s="1"/>
      <c r="BDM227" s="1"/>
      <c r="BDN227" s="1"/>
      <c r="BDO227" s="1"/>
      <c r="BDP227" s="1"/>
      <c r="BDQ227" s="1"/>
      <c r="BDR227" s="1"/>
      <c r="BDS227" s="1"/>
      <c r="BDT227" s="1"/>
      <c r="BDU227" s="1"/>
      <c r="BDV227" s="1"/>
      <c r="BDW227" s="1"/>
      <c r="BDX227" s="1"/>
      <c r="BDY227" s="1"/>
      <c r="BDZ227" s="1"/>
      <c r="BEA227" s="1"/>
      <c r="BEB227" s="1"/>
      <c r="BEC227" s="1"/>
      <c r="BED227" s="1"/>
      <c r="BEE227" s="1"/>
      <c r="BEF227" s="1"/>
      <c r="BEG227" s="1"/>
      <c r="BEH227" s="1"/>
      <c r="BEI227" s="1"/>
      <c r="BEJ227" s="1"/>
      <c r="BEK227" s="1"/>
      <c r="BEL227" s="1"/>
      <c r="BEM227" s="1"/>
      <c r="BEN227" s="1"/>
      <c r="BEO227" s="1"/>
      <c r="BEP227" s="1"/>
      <c r="BEQ227" s="1"/>
      <c r="BER227" s="1"/>
      <c r="BES227" s="1"/>
      <c r="BET227" s="1"/>
      <c r="BEU227" s="1"/>
      <c r="BEV227" s="1"/>
      <c r="BEW227" s="1"/>
      <c r="BEX227" s="1"/>
      <c r="BEY227" s="1"/>
      <c r="BEZ227" s="1"/>
      <c r="BFA227" s="1"/>
      <c r="BFB227" s="1"/>
      <c r="BFC227" s="1"/>
      <c r="BFD227" s="1"/>
      <c r="BFE227" s="1"/>
      <c r="BFF227" s="1"/>
      <c r="BFG227" s="1"/>
      <c r="BFH227" s="1"/>
      <c r="BFI227" s="1"/>
      <c r="BFJ227" s="1"/>
      <c r="BFK227" s="1"/>
      <c r="BFL227" s="1"/>
      <c r="BFM227" s="1"/>
      <c r="BFN227" s="1"/>
      <c r="BFO227" s="1"/>
      <c r="BFP227" s="1"/>
      <c r="BFQ227" s="1"/>
      <c r="BFR227" s="1"/>
      <c r="BFS227" s="1"/>
      <c r="BFT227" s="1"/>
      <c r="BFU227" s="1"/>
      <c r="BFV227" s="1"/>
      <c r="BFW227" s="1"/>
      <c r="BFX227" s="1"/>
      <c r="BFY227" s="1"/>
      <c r="BFZ227" s="1"/>
      <c r="BGA227" s="1"/>
      <c r="BGB227" s="1"/>
      <c r="BGC227" s="1"/>
      <c r="BGD227" s="1"/>
      <c r="BGE227" s="1"/>
      <c r="BGF227" s="1"/>
      <c r="BGG227" s="1"/>
      <c r="BGH227" s="1"/>
      <c r="BGI227" s="1"/>
      <c r="BGJ227" s="1"/>
      <c r="BGK227" s="1"/>
      <c r="BGL227" s="1"/>
      <c r="BGM227" s="1"/>
      <c r="BGN227" s="1"/>
      <c r="BGO227" s="1"/>
      <c r="BGP227" s="1"/>
      <c r="BGQ227" s="1"/>
      <c r="BGR227" s="1"/>
      <c r="BGS227" s="1"/>
      <c r="BGT227" s="1"/>
      <c r="BGU227" s="1"/>
      <c r="BGV227" s="1"/>
      <c r="BGW227" s="1"/>
      <c r="BGX227" s="1"/>
      <c r="BGY227" s="1"/>
      <c r="BGZ227" s="1"/>
      <c r="BHA227" s="1"/>
      <c r="BHB227" s="1"/>
      <c r="BHC227" s="1"/>
      <c r="BHD227" s="1"/>
      <c r="BHE227" s="1"/>
      <c r="BHF227" s="1"/>
      <c r="BHG227" s="1"/>
      <c r="BHH227" s="1"/>
      <c r="BHI227" s="1"/>
      <c r="BHJ227" s="1"/>
      <c r="BHK227" s="1"/>
      <c r="BHL227" s="1"/>
      <c r="BHM227" s="1"/>
      <c r="BHN227" s="1"/>
      <c r="BHO227" s="1"/>
      <c r="BHP227" s="1"/>
      <c r="BHQ227" s="1"/>
      <c r="BHR227" s="1"/>
      <c r="BHS227" s="1"/>
      <c r="BHT227" s="1"/>
      <c r="BHU227" s="1"/>
      <c r="BHV227" s="1"/>
      <c r="BHW227" s="1"/>
      <c r="BHX227" s="1"/>
      <c r="BHY227" s="1"/>
      <c r="BHZ227" s="1"/>
      <c r="BIA227" s="1"/>
      <c r="BIB227" s="1"/>
      <c r="BIC227" s="1"/>
      <c r="BID227" s="1"/>
      <c r="BIE227" s="1"/>
      <c r="BIF227" s="1"/>
      <c r="BIG227" s="1"/>
      <c r="BIH227" s="1"/>
      <c r="BII227" s="1"/>
      <c r="BIJ227" s="1"/>
      <c r="BIK227" s="1"/>
      <c r="BIL227" s="1"/>
      <c r="BIM227" s="1"/>
      <c r="BIN227" s="1"/>
      <c r="BIO227" s="1"/>
      <c r="BIP227" s="1"/>
      <c r="BIQ227" s="1"/>
      <c r="BIR227" s="1"/>
      <c r="BIS227" s="1"/>
      <c r="BIT227" s="1"/>
      <c r="BIU227" s="1"/>
      <c r="BIV227" s="1"/>
      <c r="BIW227" s="1"/>
      <c r="BIX227" s="1"/>
      <c r="BIY227" s="1"/>
      <c r="BIZ227" s="1"/>
      <c r="BJA227" s="1"/>
      <c r="BJB227" s="1"/>
      <c r="BJC227" s="1"/>
      <c r="BJD227" s="1"/>
      <c r="BJE227" s="1"/>
      <c r="BJF227" s="1"/>
      <c r="BJG227" s="1"/>
      <c r="BJH227" s="1"/>
      <c r="BJI227" s="1"/>
      <c r="BJJ227" s="1"/>
      <c r="BJK227" s="1"/>
      <c r="BJL227" s="1"/>
      <c r="BJM227" s="1"/>
      <c r="BJN227" s="1"/>
      <c r="BJO227" s="1"/>
      <c r="BJP227" s="1"/>
      <c r="BJQ227" s="1"/>
      <c r="BJR227" s="1"/>
      <c r="BJS227" s="1"/>
      <c r="BJT227" s="1"/>
      <c r="BJU227" s="1"/>
      <c r="BJV227" s="1"/>
      <c r="BJW227" s="1"/>
      <c r="BJX227" s="1"/>
      <c r="BJY227" s="1"/>
      <c r="BJZ227" s="1"/>
      <c r="BKA227" s="1"/>
      <c r="BKB227" s="1"/>
      <c r="BKC227" s="1"/>
      <c r="BKD227" s="1"/>
      <c r="BKE227" s="1"/>
      <c r="BKF227" s="1"/>
      <c r="BKG227" s="1"/>
      <c r="BKH227" s="1"/>
      <c r="BKI227" s="1"/>
      <c r="BKJ227" s="1"/>
      <c r="BKK227" s="1"/>
      <c r="BKL227" s="1"/>
      <c r="BKM227" s="1"/>
      <c r="BKN227" s="1"/>
      <c r="BKO227" s="1"/>
      <c r="BKP227" s="1"/>
      <c r="BKQ227" s="1"/>
      <c r="BKR227" s="1"/>
      <c r="BKS227" s="1"/>
      <c r="BKT227" s="1"/>
      <c r="BKU227" s="1"/>
      <c r="BKV227" s="1"/>
      <c r="BKW227" s="1"/>
      <c r="BKX227" s="1"/>
      <c r="BKY227" s="1"/>
      <c r="BKZ227" s="1"/>
      <c r="BLA227" s="1"/>
      <c r="BLB227" s="1"/>
      <c r="BLC227" s="1"/>
      <c r="BLD227" s="1"/>
      <c r="BLE227" s="1"/>
      <c r="BLF227" s="1"/>
      <c r="BLG227" s="1"/>
      <c r="BLH227" s="1"/>
      <c r="BLI227" s="1"/>
      <c r="BLJ227" s="1"/>
      <c r="BLK227" s="1"/>
      <c r="BLL227" s="1"/>
      <c r="BLM227" s="1"/>
      <c r="BLN227" s="1"/>
      <c r="BLO227" s="1"/>
      <c r="BLP227" s="1"/>
      <c r="BLQ227" s="1"/>
      <c r="BLR227" s="1"/>
      <c r="BLS227" s="1"/>
      <c r="BLT227" s="1"/>
      <c r="BLU227" s="1"/>
      <c r="BLV227" s="1"/>
      <c r="BLW227" s="1"/>
      <c r="BLX227" s="1"/>
      <c r="BLY227" s="1"/>
      <c r="BLZ227" s="1"/>
      <c r="BMA227" s="1"/>
      <c r="BMB227" s="1"/>
      <c r="BMC227" s="1"/>
      <c r="BMD227" s="1"/>
      <c r="BME227" s="1"/>
      <c r="BMF227" s="1"/>
      <c r="BMG227" s="1"/>
      <c r="BMH227" s="1"/>
      <c r="BMI227" s="1"/>
      <c r="BMJ227" s="1"/>
      <c r="BMK227" s="1"/>
      <c r="BML227" s="1"/>
      <c r="BMM227" s="1"/>
      <c r="BMN227" s="1"/>
      <c r="BMO227" s="1"/>
      <c r="BMP227" s="1"/>
      <c r="BMQ227" s="1"/>
      <c r="BMR227" s="1"/>
      <c r="BMS227" s="1"/>
      <c r="BMT227" s="1"/>
      <c r="BMU227" s="1"/>
      <c r="BMV227" s="1"/>
      <c r="BMW227" s="1"/>
      <c r="BMX227" s="1"/>
      <c r="BMY227" s="1"/>
      <c r="BMZ227" s="1"/>
      <c r="BNA227" s="1"/>
      <c r="BNB227" s="1"/>
      <c r="BNC227" s="1"/>
      <c r="BND227" s="1"/>
      <c r="BNE227" s="1"/>
      <c r="BNF227" s="1"/>
      <c r="BNG227" s="1"/>
      <c r="BNH227" s="1"/>
      <c r="BNI227" s="1"/>
      <c r="BNJ227" s="1"/>
      <c r="BNK227" s="1"/>
      <c r="BNL227" s="1"/>
      <c r="BNM227" s="1"/>
      <c r="BNN227" s="1"/>
      <c r="BNO227" s="1"/>
      <c r="BNP227" s="1"/>
      <c r="BNQ227" s="1"/>
      <c r="BNR227" s="1"/>
      <c r="BNS227" s="1"/>
      <c r="BNT227" s="1"/>
      <c r="BNU227" s="1"/>
      <c r="BNV227" s="1"/>
      <c r="BNW227" s="1"/>
      <c r="BNX227" s="1"/>
      <c r="BNY227" s="1"/>
      <c r="BNZ227" s="1"/>
      <c r="BOA227" s="1"/>
      <c r="BOB227" s="1"/>
      <c r="BOC227" s="1"/>
      <c r="BOD227" s="1"/>
      <c r="BOE227" s="1"/>
      <c r="BOF227" s="1"/>
      <c r="BOG227" s="1"/>
      <c r="BOH227" s="1"/>
      <c r="BOI227" s="1"/>
      <c r="BOJ227" s="1"/>
      <c r="BOK227" s="1"/>
      <c r="BOL227" s="1"/>
      <c r="BOM227" s="1"/>
      <c r="BON227" s="1"/>
      <c r="BOO227" s="1"/>
      <c r="BOP227" s="1"/>
      <c r="BOQ227" s="1"/>
      <c r="BOR227" s="1"/>
      <c r="BOS227" s="1"/>
      <c r="BOT227" s="1"/>
      <c r="BOU227" s="1"/>
      <c r="BOV227" s="1"/>
      <c r="BOW227" s="1"/>
      <c r="BOX227" s="1"/>
      <c r="BOY227" s="1"/>
      <c r="BOZ227" s="1"/>
      <c r="BPA227" s="1"/>
      <c r="BPB227" s="1"/>
      <c r="BPC227" s="1"/>
      <c r="BPD227" s="1"/>
      <c r="BPE227" s="1"/>
      <c r="BPF227" s="1"/>
      <c r="BPG227" s="1"/>
      <c r="BPH227" s="1"/>
      <c r="BPI227" s="1"/>
      <c r="BPJ227" s="1"/>
      <c r="BPK227" s="1"/>
      <c r="BPL227" s="1"/>
      <c r="BPM227" s="1"/>
      <c r="BPN227" s="1"/>
      <c r="BPO227" s="1"/>
      <c r="BPP227" s="1"/>
      <c r="BPQ227" s="1"/>
      <c r="BPR227" s="1"/>
      <c r="BPS227" s="1"/>
      <c r="BPT227" s="1"/>
      <c r="BPU227" s="1"/>
      <c r="BPV227" s="1"/>
      <c r="BPW227" s="1"/>
      <c r="BPX227" s="1"/>
      <c r="BPY227" s="1"/>
      <c r="BPZ227" s="1"/>
      <c r="BQA227" s="1"/>
      <c r="BQB227" s="1"/>
      <c r="BQC227" s="1"/>
      <c r="BQD227" s="1"/>
      <c r="BQE227" s="1"/>
      <c r="BQF227" s="1"/>
      <c r="BQG227" s="1"/>
      <c r="BQH227" s="1"/>
      <c r="BQI227" s="1"/>
      <c r="BQJ227" s="1"/>
      <c r="BQK227" s="1"/>
      <c r="BQL227" s="1"/>
      <c r="BQM227" s="1"/>
      <c r="BQN227" s="1"/>
      <c r="BQO227" s="1"/>
      <c r="BQP227" s="1"/>
      <c r="BQQ227" s="1"/>
      <c r="BQR227" s="1"/>
      <c r="BQS227" s="1"/>
      <c r="BQT227" s="1"/>
      <c r="BQU227" s="1"/>
      <c r="BQV227" s="1"/>
      <c r="BQW227" s="1"/>
      <c r="BQX227" s="1"/>
      <c r="BQY227" s="1"/>
      <c r="BQZ227" s="1"/>
      <c r="BRA227" s="1"/>
      <c r="BRB227" s="1"/>
      <c r="BRC227" s="1"/>
      <c r="BRD227" s="1"/>
      <c r="BRE227" s="1"/>
      <c r="BRF227" s="1"/>
      <c r="BRG227" s="1"/>
      <c r="BRH227" s="1"/>
      <c r="BRI227" s="1"/>
      <c r="BRJ227" s="1"/>
      <c r="BRK227" s="1"/>
      <c r="BRL227" s="1"/>
      <c r="BRM227" s="1"/>
      <c r="BRN227" s="1"/>
      <c r="BRO227" s="1"/>
      <c r="BRP227" s="1"/>
      <c r="BRQ227" s="1"/>
      <c r="BRR227" s="1"/>
      <c r="BRS227" s="1"/>
      <c r="BRT227" s="1"/>
      <c r="BRU227" s="1"/>
      <c r="BRV227" s="1"/>
      <c r="BRW227" s="1"/>
      <c r="BRX227" s="1"/>
      <c r="BRY227" s="1"/>
      <c r="BRZ227" s="1"/>
      <c r="BSA227" s="1"/>
      <c r="BSB227" s="1"/>
      <c r="BSC227" s="1"/>
      <c r="BSD227" s="1"/>
      <c r="BSE227" s="1"/>
      <c r="BSF227" s="1"/>
      <c r="BSG227" s="1"/>
      <c r="BSH227" s="1"/>
      <c r="BSI227" s="1"/>
      <c r="BSJ227" s="1"/>
      <c r="BSK227" s="1"/>
      <c r="BSL227" s="1"/>
      <c r="BSM227" s="1"/>
      <c r="BSN227" s="1"/>
      <c r="BSO227" s="1"/>
      <c r="BSP227" s="1"/>
      <c r="BSQ227" s="1"/>
      <c r="BSR227" s="1"/>
      <c r="BSS227" s="1"/>
      <c r="BST227" s="1"/>
      <c r="BSU227" s="1"/>
      <c r="BSV227" s="1"/>
      <c r="BSW227" s="1"/>
      <c r="BSX227" s="1"/>
      <c r="BSY227" s="1"/>
      <c r="BSZ227" s="1"/>
      <c r="BTA227" s="1"/>
      <c r="BTB227" s="1"/>
      <c r="BTC227" s="1"/>
      <c r="BTD227" s="1"/>
      <c r="BTE227" s="1"/>
      <c r="BTF227" s="1"/>
      <c r="BTG227" s="1"/>
      <c r="BTH227" s="1"/>
      <c r="BTI227" s="1"/>
      <c r="BTJ227" s="1"/>
      <c r="BTK227" s="1"/>
      <c r="BTL227" s="1"/>
      <c r="BTM227" s="1"/>
      <c r="BTN227" s="1"/>
      <c r="BTO227" s="1"/>
      <c r="BTP227" s="1"/>
      <c r="BTQ227" s="1"/>
      <c r="BTR227" s="1"/>
      <c r="BTS227" s="1"/>
      <c r="BTT227" s="1"/>
      <c r="BTU227" s="1"/>
      <c r="BTV227" s="1"/>
      <c r="BTW227" s="1"/>
      <c r="BTX227" s="1"/>
      <c r="BTY227" s="1"/>
      <c r="BTZ227" s="1"/>
      <c r="BUA227" s="1"/>
      <c r="BUB227" s="1"/>
      <c r="BUC227" s="1"/>
      <c r="BUD227" s="1"/>
      <c r="BUE227" s="1"/>
      <c r="BUF227" s="1"/>
      <c r="BUG227" s="1"/>
      <c r="BUH227" s="1"/>
      <c r="BUI227" s="1"/>
      <c r="BUJ227" s="1"/>
      <c r="BUK227" s="1"/>
      <c r="BUL227" s="1"/>
      <c r="BUM227" s="1"/>
      <c r="BUN227" s="1"/>
      <c r="BUO227" s="1"/>
      <c r="BUP227" s="1"/>
      <c r="BUQ227" s="1"/>
      <c r="BUR227" s="1"/>
      <c r="BUS227" s="1"/>
      <c r="BUT227" s="1"/>
      <c r="BUU227" s="1"/>
      <c r="BUV227" s="1"/>
      <c r="BUW227" s="1"/>
      <c r="BUX227" s="1"/>
      <c r="BUY227" s="1"/>
      <c r="BUZ227" s="1"/>
      <c r="BVA227" s="1"/>
      <c r="BVB227" s="1"/>
      <c r="BVC227" s="1"/>
      <c r="BVD227" s="1"/>
      <c r="BVE227" s="1"/>
      <c r="BVF227" s="1"/>
      <c r="BVG227" s="1"/>
      <c r="BVH227" s="1"/>
      <c r="BVI227" s="1"/>
      <c r="BVJ227" s="1"/>
      <c r="BVK227" s="1"/>
      <c r="BVL227" s="1"/>
      <c r="BVM227" s="1"/>
      <c r="BVN227" s="1"/>
      <c r="BVO227" s="1"/>
      <c r="BVP227" s="1"/>
      <c r="BVQ227" s="1"/>
      <c r="BVR227" s="1"/>
      <c r="BVS227" s="1"/>
      <c r="BVT227" s="1"/>
      <c r="BVU227" s="1"/>
      <c r="BVV227" s="1"/>
      <c r="BVW227" s="1"/>
      <c r="BVX227" s="1"/>
      <c r="BVY227" s="1"/>
      <c r="BVZ227" s="1"/>
      <c r="BWA227" s="1"/>
      <c r="BWB227" s="1"/>
      <c r="BWC227" s="1"/>
      <c r="BWD227" s="1"/>
      <c r="BWE227" s="1"/>
      <c r="BWF227" s="1"/>
      <c r="BWG227" s="1"/>
      <c r="BWH227" s="1"/>
      <c r="BWI227" s="1"/>
      <c r="BWJ227" s="1"/>
      <c r="BWK227" s="1"/>
      <c r="BWL227" s="1"/>
      <c r="BWM227" s="1"/>
      <c r="BWN227" s="1"/>
      <c r="BWO227" s="1"/>
      <c r="BWP227" s="1"/>
      <c r="BWQ227" s="1"/>
      <c r="BWR227" s="1"/>
      <c r="BWS227" s="1"/>
      <c r="BWT227" s="1"/>
      <c r="BWU227" s="1"/>
      <c r="BWV227" s="1"/>
      <c r="BWW227" s="1"/>
      <c r="BWX227" s="1"/>
      <c r="BWY227" s="1"/>
      <c r="BWZ227" s="1"/>
      <c r="BXA227" s="1"/>
      <c r="BXB227" s="1"/>
      <c r="BXC227" s="1"/>
      <c r="BXD227" s="1"/>
      <c r="BXE227" s="1"/>
      <c r="BXF227" s="1"/>
      <c r="BXG227" s="1"/>
      <c r="BXH227" s="1"/>
      <c r="BXI227" s="1"/>
      <c r="BXJ227" s="1"/>
      <c r="BXK227" s="1"/>
      <c r="BXL227" s="1"/>
      <c r="BXM227" s="1"/>
      <c r="BXN227" s="1"/>
      <c r="BXO227" s="1"/>
      <c r="BXP227" s="1"/>
      <c r="BXQ227" s="1"/>
      <c r="BXR227" s="1"/>
      <c r="BXS227" s="1"/>
      <c r="BXT227" s="1"/>
      <c r="BXU227" s="1"/>
      <c r="BXV227" s="1"/>
      <c r="BXW227" s="1"/>
      <c r="BXX227" s="1"/>
      <c r="BXY227" s="1"/>
      <c r="BXZ227" s="1"/>
      <c r="BYA227" s="1"/>
      <c r="BYB227" s="1"/>
      <c r="BYC227" s="1"/>
      <c r="BYD227" s="1"/>
      <c r="BYE227" s="1"/>
      <c r="BYF227" s="1"/>
      <c r="BYG227" s="1"/>
      <c r="BYH227" s="1"/>
      <c r="BYI227" s="1"/>
      <c r="BYJ227" s="1"/>
      <c r="BYK227" s="1"/>
      <c r="BYL227" s="1"/>
      <c r="BYM227" s="1"/>
      <c r="BYN227" s="1"/>
      <c r="BYO227" s="1"/>
      <c r="BYP227" s="1"/>
      <c r="BYQ227" s="1"/>
      <c r="BYR227" s="1"/>
      <c r="BYS227" s="1"/>
      <c r="BYT227" s="1"/>
      <c r="BYU227" s="1"/>
      <c r="BYV227" s="1"/>
      <c r="BYW227" s="1"/>
      <c r="BYX227" s="1"/>
      <c r="BYY227" s="1"/>
      <c r="BYZ227" s="1"/>
      <c r="BZA227" s="1"/>
      <c r="BZB227" s="1"/>
      <c r="BZC227" s="1"/>
      <c r="BZD227" s="1"/>
      <c r="BZE227" s="1"/>
      <c r="BZF227" s="1"/>
      <c r="BZG227" s="1"/>
      <c r="BZH227" s="1"/>
      <c r="BZI227" s="1"/>
      <c r="BZJ227" s="1"/>
      <c r="BZK227" s="1"/>
      <c r="BZL227" s="1"/>
      <c r="BZM227" s="1"/>
      <c r="BZN227" s="1"/>
      <c r="BZO227" s="1"/>
      <c r="BZP227" s="1"/>
      <c r="BZQ227" s="1"/>
      <c r="BZR227" s="1"/>
      <c r="BZS227" s="1"/>
      <c r="BZT227" s="1"/>
      <c r="BZU227" s="1"/>
      <c r="BZV227" s="1"/>
      <c r="BZW227" s="1"/>
      <c r="BZX227" s="1"/>
      <c r="BZY227" s="1"/>
      <c r="BZZ227" s="1"/>
      <c r="CAA227" s="1"/>
      <c r="CAB227" s="1"/>
      <c r="CAC227" s="1"/>
      <c r="CAD227" s="1"/>
      <c r="CAE227" s="1"/>
      <c r="CAF227" s="1"/>
      <c r="CAG227" s="1"/>
      <c r="CAH227" s="1"/>
      <c r="CAI227" s="1"/>
      <c r="CAJ227" s="1"/>
      <c r="CAK227" s="1"/>
      <c r="CAL227" s="1"/>
      <c r="CAM227" s="1"/>
      <c r="CAN227" s="1"/>
      <c r="CAO227" s="1"/>
      <c r="CAP227" s="1"/>
      <c r="CAQ227" s="1"/>
      <c r="CAR227" s="1"/>
      <c r="CAS227" s="1"/>
      <c r="CAT227" s="1"/>
      <c r="CAU227" s="1"/>
      <c r="CAV227" s="1"/>
      <c r="CAW227" s="1"/>
      <c r="CAX227" s="1"/>
      <c r="CAY227" s="1"/>
      <c r="CAZ227" s="1"/>
      <c r="CBA227" s="1"/>
      <c r="CBB227" s="1"/>
      <c r="CBC227" s="1"/>
      <c r="CBD227" s="1"/>
      <c r="CBE227" s="1"/>
      <c r="CBF227" s="1"/>
      <c r="CBG227" s="1"/>
      <c r="CBH227" s="1"/>
      <c r="CBI227" s="1"/>
      <c r="CBJ227" s="1"/>
      <c r="CBK227" s="1"/>
      <c r="CBL227" s="1"/>
      <c r="CBM227" s="1"/>
      <c r="CBN227" s="1"/>
      <c r="CBO227" s="1"/>
      <c r="CBP227" s="1"/>
      <c r="CBQ227" s="1"/>
      <c r="CBR227" s="1"/>
      <c r="CBS227" s="1"/>
      <c r="CBT227" s="1"/>
      <c r="CBU227" s="1"/>
      <c r="CBV227" s="1"/>
      <c r="CBW227" s="1"/>
      <c r="CBX227" s="1"/>
      <c r="CBY227" s="1"/>
      <c r="CBZ227" s="1"/>
      <c r="CCA227" s="1"/>
      <c r="CCB227" s="1"/>
      <c r="CCC227" s="1"/>
      <c r="CCD227" s="1"/>
      <c r="CCE227" s="1"/>
      <c r="CCF227" s="1"/>
      <c r="CCG227" s="1"/>
      <c r="CCH227" s="1"/>
      <c r="CCI227" s="1"/>
      <c r="CCJ227" s="1"/>
      <c r="CCK227" s="1"/>
      <c r="CCL227" s="1"/>
      <c r="CCM227" s="1"/>
      <c r="CCN227" s="1"/>
      <c r="CCO227" s="1"/>
      <c r="CCP227" s="1"/>
      <c r="CCQ227" s="1"/>
      <c r="CCR227" s="1"/>
      <c r="CCS227" s="1"/>
      <c r="CCT227" s="1"/>
      <c r="CCU227" s="1"/>
      <c r="CCV227" s="1"/>
      <c r="CCW227" s="1"/>
      <c r="CCX227" s="1"/>
      <c r="CCY227" s="1"/>
      <c r="CCZ227" s="1"/>
      <c r="CDA227" s="1"/>
      <c r="CDB227" s="1"/>
      <c r="CDC227" s="1"/>
      <c r="CDD227" s="1"/>
      <c r="CDE227" s="1"/>
      <c r="CDF227" s="1"/>
      <c r="CDG227" s="1"/>
      <c r="CDH227" s="1"/>
      <c r="CDI227" s="1"/>
      <c r="CDJ227" s="1"/>
      <c r="CDK227" s="1"/>
      <c r="CDL227" s="1"/>
      <c r="CDM227" s="1"/>
      <c r="CDN227" s="1"/>
      <c r="CDO227" s="1"/>
      <c r="CDP227" s="1"/>
      <c r="CDQ227" s="1"/>
      <c r="CDR227" s="1"/>
      <c r="CDS227" s="1"/>
      <c r="CDT227" s="1"/>
      <c r="CDU227" s="1"/>
      <c r="CDV227" s="1"/>
      <c r="CDW227" s="1"/>
      <c r="CDX227" s="1"/>
      <c r="CDY227" s="1"/>
      <c r="CDZ227" s="1"/>
      <c r="CEA227" s="1"/>
      <c r="CEB227" s="1"/>
      <c r="CEC227" s="1"/>
      <c r="CED227" s="1"/>
      <c r="CEE227" s="1"/>
      <c r="CEF227" s="1"/>
      <c r="CEG227" s="1"/>
      <c r="CEH227" s="1"/>
      <c r="CEI227" s="1"/>
      <c r="CEJ227" s="1"/>
      <c r="CEK227" s="1"/>
      <c r="CEL227" s="1"/>
      <c r="CEM227" s="1"/>
      <c r="CEN227" s="1"/>
      <c r="CEO227" s="1"/>
      <c r="CEP227" s="1"/>
      <c r="CEQ227" s="1"/>
      <c r="CER227" s="1"/>
      <c r="CES227" s="1"/>
      <c r="CET227" s="1"/>
      <c r="CEU227" s="1"/>
      <c r="CEV227" s="1"/>
      <c r="CEW227" s="1"/>
      <c r="CEX227" s="1"/>
      <c r="CEY227" s="1"/>
      <c r="CEZ227" s="1"/>
      <c r="CFA227" s="1"/>
      <c r="CFB227" s="1"/>
      <c r="CFC227" s="1"/>
      <c r="CFD227" s="1"/>
      <c r="CFE227" s="1"/>
      <c r="CFF227" s="1"/>
      <c r="CFG227" s="1"/>
      <c r="CFH227" s="1"/>
      <c r="CFI227" s="1"/>
      <c r="CFJ227" s="1"/>
      <c r="CFK227" s="1"/>
      <c r="CFL227" s="1"/>
      <c r="CFM227" s="1"/>
      <c r="CFN227" s="1"/>
      <c r="CFO227" s="1"/>
      <c r="CFP227" s="1"/>
      <c r="CFQ227" s="1"/>
      <c r="CFR227" s="1"/>
      <c r="CFS227" s="1"/>
      <c r="CFT227" s="1"/>
      <c r="CFU227" s="1"/>
      <c r="CFV227" s="1"/>
      <c r="CFW227" s="1"/>
      <c r="CFX227" s="1"/>
      <c r="CFY227" s="1"/>
      <c r="CFZ227" s="1"/>
      <c r="CGA227" s="1"/>
      <c r="CGB227" s="1"/>
      <c r="CGC227" s="1"/>
      <c r="CGD227" s="1"/>
      <c r="CGE227" s="1"/>
      <c r="CGF227" s="1"/>
      <c r="CGG227" s="1"/>
      <c r="CGH227" s="1"/>
      <c r="CGI227" s="1"/>
      <c r="CGJ227" s="1"/>
      <c r="CGK227" s="1"/>
      <c r="CGL227" s="1"/>
      <c r="CGM227" s="1"/>
      <c r="CGN227" s="1"/>
      <c r="CGO227" s="1"/>
      <c r="CGP227" s="1"/>
      <c r="CGQ227" s="1"/>
      <c r="CGR227" s="1"/>
      <c r="CGS227" s="1"/>
      <c r="CGT227" s="1"/>
      <c r="CGU227" s="1"/>
      <c r="CGV227" s="1"/>
      <c r="CGW227" s="1"/>
      <c r="CGX227" s="1"/>
      <c r="CGY227" s="1"/>
      <c r="CGZ227" s="1"/>
      <c r="CHA227" s="1"/>
      <c r="CHB227" s="1"/>
      <c r="CHC227" s="1"/>
      <c r="CHD227" s="1"/>
      <c r="CHE227" s="1"/>
      <c r="CHF227" s="1"/>
      <c r="CHG227" s="1"/>
      <c r="CHH227" s="1"/>
      <c r="CHI227" s="1"/>
      <c r="CHJ227" s="1"/>
      <c r="CHK227" s="1"/>
      <c r="CHL227" s="1"/>
      <c r="CHM227" s="1"/>
      <c r="CHN227" s="1"/>
      <c r="CHO227" s="1"/>
      <c r="CHP227" s="1"/>
      <c r="CHQ227" s="1"/>
      <c r="CHR227" s="1"/>
      <c r="CHS227" s="1"/>
      <c r="CHT227" s="1"/>
      <c r="CHU227" s="1"/>
      <c r="CHV227" s="1"/>
      <c r="CHW227" s="1"/>
      <c r="CHX227" s="1"/>
      <c r="CHY227" s="1"/>
      <c r="CHZ227" s="1"/>
      <c r="CIA227" s="1"/>
      <c r="CIB227" s="1"/>
      <c r="CIC227" s="1"/>
      <c r="CID227" s="1"/>
      <c r="CIE227" s="1"/>
      <c r="CIF227" s="1"/>
      <c r="CIG227" s="1"/>
      <c r="CIH227" s="1"/>
      <c r="CII227" s="1"/>
      <c r="CIJ227" s="1"/>
      <c r="CIK227" s="1"/>
      <c r="CIL227" s="1"/>
      <c r="CIM227" s="1"/>
      <c r="CIN227" s="1"/>
      <c r="CIO227" s="1"/>
      <c r="CIP227" s="1"/>
      <c r="CIQ227" s="1"/>
      <c r="CIR227" s="1"/>
      <c r="CIS227" s="1"/>
      <c r="CIT227" s="1"/>
      <c r="CIU227" s="1"/>
      <c r="CIV227" s="1"/>
      <c r="CIW227" s="1"/>
      <c r="CIX227" s="1"/>
      <c r="CIY227" s="1"/>
      <c r="CIZ227" s="1"/>
      <c r="CJA227" s="1"/>
      <c r="CJB227" s="1"/>
      <c r="CJC227" s="1"/>
      <c r="CJD227" s="1"/>
      <c r="CJE227" s="1"/>
      <c r="CJF227" s="1"/>
      <c r="CJG227" s="1"/>
      <c r="CJH227" s="1"/>
      <c r="CJI227" s="1"/>
      <c r="CJJ227" s="1"/>
      <c r="CJK227" s="1"/>
      <c r="CJL227" s="1"/>
      <c r="CJM227" s="1"/>
      <c r="CJN227" s="1"/>
      <c r="CJO227" s="1"/>
      <c r="CJP227" s="1"/>
      <c r="CJQ227" s="1"/>
      <c r="CJR227" s="1"/>
      <c r="CJS227" s="1"/>
      <c r="CJT227" s="1"/>
      <c r="CJU227" s="1"/>
      <c r="CJV227" s="1"/>
      <c r="CJW227" s="1"/>
      <c r="CJX227" s="1"/>
      <c r="CJY227" s="1"/>
      <c r="CJZ227" s="1"/>
      <c r="CKA227" s="1"/>
      <c r="CKB227" s="1"/>
      <c r="CKC227" s="1"/>
      <c r="CKD227" s="1"/>
      <c r="CKE227" s="1"/>
      <c r="CKF227" s="1"/>
      <c r="CKG227" s="1"/>
      <c r="CKH227" s="1"/>
      <c r="CKI227" s="1"/>
      <c r="CKJ227" s="1"/>
      <c r="CKK227" s="1"/>
      <c r="CKL227" s="1"/>
      <c r="CKM227" s="1"/>
      <c r="CKN227" s="1"/>
      <c r="CKO227" s="1"/>
      <c r="CKP227" s="1"/>
      <c r="CKQ227" s="1"/>
      <c r="CKR227" s="1"/>
      <c r="CKS227" s="1"/>
      <c r="CKT227" s="1"/>
      <c r="CKU227" s="1"/>
      <c r="CKV227" s="1"/>
      <c r="CKW227" s="1"/>
      <c r="CKX227" s="1"/>
      <c r="CKY227" s="1"/>
      <c r="CKZ227" s="1"/>
      <c r="CLA227" s="1"/>
      <c r="CLB227" s="1"/>
      <c r="CLC227" s="1"/>
      <c r="CLD227" s="1"/>
      <c r="CLE227" s="1"/>
      <c r="CLF227" s="1"/>
      <c r="CLG227" s="1"/>
      <c r="CLH227" s="1"/>
      <c r="CLI227" s="1"/>
      <c r="CLJ227" s="1"/>
      <c r="CLK227" s="1"/>
      <c r="CLL227" s="1"/>
      <c r="CLM227" s="1"/>
      <c r="CLN227" s="1"/>
      <c r="CLO227" s="1"/>
      <c r="CLP227" s="1"/>
      <c r="CLQ227" s="1"/>
      <c r="CLR227" s="1"/>
      <c r="CLS227" s="1"/>
      <c r="CLT227" s="1"/>
      <c r="CLU227" s="1"/>
      <c r="CLV227" s="1"/>
      <c r="CLW227" s="1"/>
      <c r="CLX227" s="1"/>
      <c r="CLY227" s="1"/>
      <c r="CLZ227" s="1"/>
      <c r="CMA227" s="1"/>
      <c r="CMB227" s="1"/>
      <c r="CMC227" s="1"/>
      <c r="CMD227" s="1"/>
      <c r="CME227" s="1"/>
      <c r="CMF227" s="1"/>
      <c r="CMG227" s="1"/>
      <c r="CMH227" s="1"/>
      <c r="CMI227" s="1"/>
      <c r="CMJ227" s="1"/>
      <c r="CMK227" s="1"/>
      <c r="CML227" s="1"/>
      <c r="CMM227" s="1"/>
      <c r="CMN227" s="1"/>
      <c r="CMO227" s="1"/>
      <c r="CMP227" s="1"/>
      <c r="CMQ227" s="1"/>
      <c r="CMR227" s="1"/>
      <c r="CMS227" s="1"/>
      <c r="CMT227" s="1"/>
      <c r="CMU227" s="1"/>
      <c r="CMV227" s="1"/>
      <c r="CMW227" s="1"/>
      <c r="CMX227" s="1"/>
      <c r="CMY227" s="1"/>
      <c r="CMZ227" s="1"/>
      <c r="CNA227" s="1"/>
      <c r="CNB227" s="1"/>
      <c r="CNC227" s="1"/>
      <c r="CND227" s="1"/>
      <c r="CNE227" s="1"/>
      <c r="CNF227" s="1"/>
      <c r="CNG227" s="1"/>
      <c r="CNH227" s="1"/>
      <c r="CNI227" s="1"/>
      <c r="CNJ227" s="1"/>
      <c r="CNK227" s="1"/>
      <c r="CNL227" s="1"/>
      <c r="CNM227" s="1"/>
      <c r="CNN227" s="1"/>
      <c r="CNO227" s="1"/>
      <c r="CNP227" s="1"/>
      <c r="CNQ227" s="1"/>
      <c r="CNR227" s="1"/>
      <c r="CNS227" s="1"/>
      <c r="CNT227" s="1"/>
      <c r="CNU227" s="1"/>
      <c r="CNV227" s="1"/>
      <c r="CNW227" s="1"/>
      <c r="CNX227" s="1"/>
      <c r="CNY227" s="1"/>
      <c r="CNZ227" s="1"/>
      <c r="COA227" s="1"/>
      <c r="COB227" s="1"/>
      <c r="COC227" s="1"/>
      <c r="COD227" s="1"/>
      <c r="COE227" s="1"/>
      <c r="COF227" s="1"/>
      <c r="COG227" s="1"/>
      <c r="COH227" s="1"/>
      <c r="COI227" s="1"/>
      <c r="COJ227" s="1"/>
      <c r="COK227" s="1"/>
      <c r="COL227" s="1"/>
      <c r="COM227" s="1"/>
      <c r="CON227" s="1"/>
      <c r="COO227" s="1"/>
      <c r="COP227" s="1"/>
      <c r="COQ227" s="1"/>
      <c r="COR227" s="1"/>
      <c r="COS227" s="1"/>
      <c r="COT227" s="1"/>
      <c r="COU227" s="1"/>
      <c r="COV227" s="1"/>
      <c r="COW227" s="1"/>
      <c r="COX227" s="1"/>
      <c r="COY227" s="1"/>
      <c r="COZ227" s="1"/>
      <c r="CPA227" s="1"/>
      <c r="CPB227" s="1"/>
      <c r="CPC227" s="1"/>
      <c r="CPD227" s="1"/>
      <c r="CPE227" s="1"/>
      <c r="CPF227" s="1"/>
      <c r="CPG227" s="1"/>
      <c r="CPH227" s="1"/>
      <c r="CPI227" s="1"/>
      <c r="CPJ227" s="1"/>
      <c r="CPK227" s="1"/>
      <c r="CPL227" s="1"/>
      <c r="CPM227" s="1"/>
      <c r="CPN227" s="1"/>
      <c r="CPO227" s="1"/>
      <c r="CPP227" s="1"/>
      <c r="CPQ227" s="1"/>
      <c r="CPR227" s="1"/>
      <c r="CPS227" s="1"/>
      <c r="CPT227" s="1"/>
      <c r="CPU227" s="1"/>
      <c r="CPV227" s="1"/>
      <c r="CPW227" s="1"/>
      <c r="CPX227" s="1"/>
      <c r="CPY227" s="1"/>
      <c r="CPZ227" s="1"/>
      <c r="CQA227" s="1"/>
      <c r="CQB227" s="1"/>
      <c r="CQC227" s="1"/>
      <c r="CQD227" s="1"/>
      <c r="CQE227" s="1"/>
      <c r="CQF227" s="1"/>
      <c r="CQG227" s="1"/>
      <c r="CQH227" s="1"/>
      <c r="CQI227" s="1"/>
      <c r="CQJ227" s="1"/>
      <c r="CQK227" s="1"/>
      <c r="CQL227" s="1"/>
      <c r="CQM227" s="1"/>
      <c r="CQN227" s="1"/>
      <c r="CQO227" s="1"/>
      <c r="CQP227" s="1"/>
      <c r="CQQ227" s="1"/>
      <c r="CQR227" s="1"/>
      <c r="CQS227" s="1"/>
      <c r="CQT227" s="1"/>
      <c r="CQU227" s="1"/>
      <c r="CQV227" s="1"/>
      <c r="CQW227" s="1"/>
      <c r="CQX227" s="1"/>
      <c r="CQY227" s="1"/>
      <c r="CQZ227" s="1"/>
      <c r="CRA227" s="1"/>
      <c r="CRB227" s="1"/>
      <c r="CRC227" s="1"/>
      <c r="CRD227" s="1"/>
      <c r="CRE227" s="1"/>
      <c r="CRF227" s="1"/>
      <c r="CRG227" s="1"/>
      <c r="CRH227" s="1"/>
      <c r="CRI227" s="1"/>
      <c r="CRJ227" s="1"/>
      <c r="CRK227" s="1"/>
      <c r="CRL227" s="1"/>
      <c r="CRM227" s="1"/>
      <c r="CRN227" s="1"/>
      <c r="CRO227" s="1"/>
      <c r="CRP227" s="1"/>
      <c r="CRQ227" s="1"/>
      <c r="CRR227" s="1"/>
      <c r="CRS227" s="1"/>
      <c r="CRT227" s="1"/>
      <c r="CRU227" s="1"/>
      <c r="CRV227" s="1"/>
      <c r="CRW227" s="1"/>
      <c r="CRX227" s="1"/>
      <c r="CRY227" s="1"/>
      <c r="CRZ227" s="1"/>
      <c r="CSA227" s="1"/>
      <c r="CSB227" s="1"/>
      <c r="CSC227" s="1"/>
      <c r="CSD227" s="1"/>
      <c r="CSE227" s="1"/>
      <c r="CSF227" s="1"/>
      <c r="CSG227" s="1"/>
      <c r="CSH227" s="1"/>
      <c r="CSI227" s="1"/>
      <c r="CSJ227" s="1"/>
      <c r="CSK227" s="1"/>
      <c r="CSL227" s="1"/>
      <c r="CSM227" s="1"/>
      <c r="CSN227" s="1"/>
      <c r="CSO227" s="1"/>
      <c r="CSP227" s="1"/>
      <c r="CSQ227" s="1"/>
      <c r="CSR227" s="1"/>
      <c r="CSS227" s="1"/>
      <c r="CST227" s="1"/>
      <c r="CSU227" s="1"/>
      <c r="CSV227" s="1"/>
      <c r="CSW227" s="1"/>
      <c r="CSX227" s="1"/>
      <c r="CSY227" s="1"/>
      <c r="CSZ227" s="1"/>
      <c r="CTA227" s="1"/>
      <c r="CTB227" s="1"/>
      <c r="CTC227" s="1"/>
      <c r="CTD227" s="1"/>
      <c r="CTE227" s="1"/>
      <c r="CTF227" s="1"/>
      <c r="CTG227" s="1"/>
      <c r="CTH227" s="1"/>
      <c r="CTI227" s="1"/>
      <c r="CTJ227" s="1"/>
      <c r="CTK227" s="1"/>
      <c r="CTL227" s="1"/>
      <c r="CTM227" s="1"/>
      <c r="CTN227" s="1"/>
      <c r="CTO227" s="1"/>
      <c r="CTP227" s="1"/>
      <c r="CTQ227" s="1"/>
      <c r="CTR227" s="1"/>
      <c r="CTS227" s="1"/>
      <c r="CTT227" s="1"/>
      <c r="CTU227" s="1"/>
      <c r="CTV227" s="1"/>
      <c r="CTW227" s="1"/>
      <c r="CTX227" s="1"/>
      <c r="CTY227" s="1"/>
      <c r="CTZ227" s="1"/>
      <c r="CUA227" s="1"/>
      <c r="CUB227" s="1"/>
      <c r="CUC227" s="1"/>
      <c r="CUD227" s="1"/>
      <c r="CUE227" s="1"/>
      <c r="CUF227" s="1"/>
      <c r="CUG227" s="1"/>
      <c r="CUH227" s="1"/>
      <c r="CUI227" s="1"/>
      <c r="CUJ227" s="1"/>
      <c r="CUK227" s="1"/>
      <c r="CUL227" s="1"/>
      <c r="CUM227" s="1"/>
      <c r="CUN227" s="1"/>
      <c r="CUO227" s="1"/>
      <c r="CUP227" s="1"/>
      <c r="CUQ227" s="1"/>
      <c r="CUR227" s="1"/>
      <c r="CUS227" s="1"/>
      <c r="CUT227" s="1"/>
      <c r="CUU227" s="1"/>
      <c r="CUV227" s="1"/>
      <c r="CUW227" s="1"/>
      <c r="CUX227" s="1"/>
      <c r="CUY227" s="1"/>
      <c r="CUZ227" s="1"/>
      <c r="CVA227" s="1"/>
      <c r="CVB227" s="1"/>
      <c r="CVC227" s="1"/>
      <c r="CVD227" s="1"/>
      <c r="CVE227" s="1"/>
      <c r="CVF227" s="1"/>
      <c r="CVG227" s="1"/>
      <c r="CVH227" s="1"/>
      <c r="CVI227" s="1"/>
      <c r="CVJ227" s="1"/>
      <c r="CVK227" s="1"/>
      <c r="CVL227" s="1"/>
      <c r="CVM227" s="1"/>
      <c r="CVN227" s="1"/>
      <c r="CVO227" s="1"/>
      <c r="CVP227" s="1"/>
      <c r="CVQ227" s="1"/>
      <c r="CVR227" s="1"/>
      <c r="CVS227" s="1"/>
      <c r="CVT227" s="1"/>
      <c r="CVU227" s="1"/>
      <c r="CVV227" s="1"/>
      <c r="CVW227" s="1"/>
      <c r="CVX227" s="1"/>
      <c r="CVY227" s="1"/>
      <c r="CVZ227" s="1"/>
      <c r="CWA227" s="1"/>
      <c r="CWB227" s="1"/>
      <c r="CWC227" s="1"/>
      <c r="CWD227" s="1"/>
      <c r="CWE227" s="1"/>
      <c r="CWF227" s="1"/>
      <c r="CWG227" s="1"/>
      <c r="CWH227" s="1"/>
      <c r="CWI227" s="1"/>
      <c r="CWJ227" s="1"/>
      <c r="CWK227" s="1"/>
      <c r="CWL227" s="1"/>
      <c r="CWM227" s="1"/>
      <c r="CWN227" s="1"/>
      <c r="CWO227" s="1"/>
      <c r="CWP227" s="1"/>
      <c r="CWQ227" s="1"/>
      <c r="CWR227" s="1"/>
      <c r="CWS227" s="1"/>
      <c r="CWT227" s="1"/>
      <c r="CWU227" s="1"/>
      <c r="CWV227" s="1"/>
      <c r="CWW227" s="1"/>
      <c r="CWX227" s="1"/>
      <c r="CWY227" s="1"/>
      <c r="CWZ227" s="1"/>
      <c r="CXA227" s="1"/>
      <c r="CXB227" s="1"/>
      <c r="CXC227" s="1"/>
      <c r="CXD227" s="1"/>
      <c r="CXE227" s="1"/>
      <c r="CXF227" s="1"/>
      <c r="CXG227" s="1"/>
      <c r="CXH227" s="1"/>
      <c r="CXI227" s="1"/>
      <c r="CXJ227" s="1"/>
      <c r="CXK227" s="1"/>
      <c r="CXL227" s="1"/>
      <c r="CXM227" s="1"/>
      <c r="CXN227" s="1"/>
      <c r="CXO227" s="1"/>
      <c r="CXP227" s="1"/>
      <c r="CXQ227" s="1"/>
      <c r="CXR227" s="1"/>
      <c r="CXS227" s="1"/>
      <c r="CXT227" s="1"/>
      <c r="CXU227" s="1"/>
      <c r="CXV227" s="1"/>
      <c r="CXW227" s="1"/>
      <c r="CXX227" s="1"/>
      <c r="CXY227" s="1"/>
      <c r="CXZ227" s="1"/>
      <c r="CYA227" s="1"/>
      <c r="CYB227" s="1"/>
      <c r="CYC227" s="1"/>
      <c r="CYD227" s="1"/>
      <c r="CYE227" s="1"/>
      <c r="CYF227" s="1"/>
      <c r="CYG227" s="1"/>
      <c r="CYH227" s="1"/>
      <c r="CYI227" s="1"/>
      <c r="CYJ227" s="1"/>
      <c r="CYK227" s="1"/>
      <c r="CYL227" s="1"/>
      <c r="CYM227" s="1"/>
      <c r="CYN227" s="1"/>
      <c r="CYO227" s="1"/>
      <c r="CYP227" s="1"/>
      <c r="CYQ227" s="1"/>
      <c r="CYR227" s="1"/>
      <c r="CYS227" s="1"/>
      <c r="CYT227" s="1"/>
      <c r="CYU227" s="1"/>
      <c r="CYV227" s="1"/>
      <c r="CYW227" s="1"/>
      <c r="CYX227" s="1"/>
      <c r="CYY227" s="1"/>
      <c r="CYZ227" s="1"/>
      <c r="CZA227" s="1"/>
      <c r="CZB227" s="1"/>
      <c r="CZC227" s="1"/>
      <c r="CZD227" s="1"/>
      <c r="CZE227" s="1"/>
      <c r="CZF227" s="1"/>
      <c r="CZG227" s="1"/>
      <c r="CZH227" s="1"/>
      <c r="CZI227" s="1"/>
      <c r="CZJ227" s="1"/>
      <c r="CZK227" s="1"/>
      <c r="CZL227" s="1"/>
      <c r="CZM227" s="1"/>
      <c r="CZN227" s="1"/>
      <c r="CZO227" s="1"/>
      <c r="CZP227" s="1"/>
      <c r="CZQ227" s="1"/>
      <c r="CZR227" s="1"/>
      <c r="CZS227" s="1"/>
      <c r="CZT227" s="1"/>
      <c r="CZU227" s="1"/>
      <c r="CZV227" s="1"/>
      <c r="CZW227" s="1"/>
      <c r="CZX227" s="1"/>
      <c r="CZY227" s="1"/>
      <c r="CZZ227" s="1"/>
      <c r="DAA227" s="1"/>
      <c r="DAB227" s="1"/>
      <c r="DAC227" s="1"/>
      <c r="DAD227" s="1"/>
      <c r="DAE227" s="1"/>
      <c r="DAF227" s="1"/>
      <c r="DAG227" s="1"/>
      <c r="DAH227" s="1"/>
      <c r="DAI227" s="1"/>
      <c r="DAJ227" s="1"/>
      <c r="DAK227" s="1"/>
      <c r="DAL227" s="1"/>
      <c r="DAM227" s="1"/>
      <c r="DAN227" s="1"/>
      <c r="DAO227" s="1"/>
      <c r="DAP227" s="1"/>
      <c r="DAQ227" s="1"/>
      <c r="DAR227" s="1"/>
      <c r="DAS227" s="1"/>
      <c r="DAT227" s="1"/>
      <c r="DAU227" s="1"/>
      <c r="DAV227" s="1"/>
      <c r="DAW227" s="1"/>
      <c r="DAX227" s="1"/>
      <c r="DAY227" s="1"/>
      <c r="DAZ227" s="1"/>
      <c r="DBA227" s="1"/>
      <c r="DBB227" s="1"/>
      <c r="DBC227" s="1"/>
      <c r="DBD227" s="1"/>
      <c r="DBE227" s="1"/>
      <c r="DBF227" s="1"/>
      <c r="DBG227" s="1"/>
      <c r="DBH227" s="1"/>
      <c r="DBI227" s="1"/>
      <c r="DBJ227" s="1"/>
      <c r="DBK227" s="1"/>
      <c r="DBL227" s="1"/>
      <c r="DBM227" s="1"/>
      <c r="DBN227" s="1"/>
      <c r="DBO227" s="1"/>
      <c r="DBP227" s="1"/>
      <c r="DBQ227" s="1"/>
      <c r="DBR227" s="1"/>
      <c r="DBS227" s="1"/>
      <c r="DBT227" s="1"/>
      <c r="DBU227" s="1"/>
      <c r="DBV227" s="1"/>
      <c r="DBW227" s="1"/>
      <c r="DBX227" s="1"/>
      <c r="DBY227" s="1"/>
      <c r="DBZ227" s="1"/>
      <c r="DCA227" s="1"/>
      <c r="DCB227" s="1"/>
      <c r="DCC227" s="1"/>
      <c r="DCD227" s="1"/>
      <c r="DCE227" s="1"/>
      <c r="DCF227" s="1"/>
      <c r="DCG227" s="1"/>
      <c r="DCH227" s="1"/>
      <c r="DCI227" s="1"/>
      <c r="DCJ227" s="1"/>
      <c r="DCK227" s="1"/>
      <c r="DCL227" s="1"/>
      <c r="DCM227" s="1"/>
      <c r="DCN227" s="1"/>
      <c r="DCO227" s="1"/>
      <c r="DCP227" s="1"/>
      <c r="DCQ227" s="1"/>
      <c r="DCR227" s="1"/>
      <c r="DCS227" s="1"/>
      <c r="DCT227" s="1"/>
      <c r="DCU227" s="1"/>
      <c r="DCV227" s="1"/>
      <c r="DCW227" s="1"/>
      <c r="DCX227" s="1"/>
      <c r="DCY227" s="1"/>
      <c r="DCZ227" s="1"/>
      <c r="DDA227" s="1"/>
      <c r="DDB227" s="1"/>
      <c r="DDC227" s="1"/>
      <c r="DDD227" s="1"/>
      <c r="DDE227" s="1"/>
      <c r="DDF227" s="1"/>
      <c r="DDG227" s="1"/>
      <c r="DDH227" s="1"/>
      <c r="DDI227" s="1"/>
      <c r="DDJ227" s="1"/>
      <c r="DDK227" s="1"/>
      <c r="DDL227" s="1"/>
      <c r="DDM227" s="1"/>
      <c r="DDN227" s="1"/>
      <c r="DDO227" s="1"/>
      <c r="DDP227" s="1"/>
      <c r="DDQ227" s="1"/>
      <c r="DDR227" s="1"/>
      <c r="DDS227" s="1"/>
      <c r="DDT227" s="1"/>
      <c r="DDU227" s="1"/>
      <c r="DDV227" s="1"/>
      <c r="DDW227" s="1"/>
      <c r="DDX227" s="1"/>
      <c r="DDY227" s="1"/>
      <c r="DDZ227" s="1"/>
      <c r="DEA227" s="1"/>
      <c r="DEB227" s="1"/>
      <c r="DEC227" s="1"/>
      <c r="DED227" s="1"/>
      <c r="DEE227" s="1"/>
      <c r="DEF227" s="1"/>
      <c r="DEG227" s="1"/>
      <c r="DEH227" s="1"/>
      <c r="DEI227" s="1"/>
      <c r="DEJ227" s="1"/>
      <c r="DEK227" s="1"/>
      <c r="DEL227" s="1"/>
      <c r="DEM227" s="1"/>
      <c r="DEN227" s="1"/>
      <c r="DEO227" s="1"/>
      <c r="DEP227" s="1"/>
      <c r="DEQ227" s="1"/>
      <c r="DER227" s="1"/>
      <c r="DES227" s="1"/>
      <c r="DET227" s="1"/>
      <c r="DEU227" s="1"/>
      <c r="DEV227" s="1"/>
      <c r="DEW227" s="1"/>
      <c r="DEX227" s="1"/>
      <c r="DEY227" s="1"/>
      <c r="DEZ227" s="1"/>
      <c r="DFA227" s="1"/>
      <c r="DFB227" s="1"/>
      <c r="DFC227" s="1"/>
      <c r="DFD227" s="1"/>
      <c r="DFE227" s="1"/>
      <c r="DFF227" s="1"/>
      <c r="DFG227" s="1"/>
      <c r="DFH227" s="1"/>
      <c r="DFI227" s="1"/>
      <c r="DFJ227" s="1"/>
      <c r="DFK227" s="1"/>
      <c r="DFL227" s="1"/>
      <c r="DFM227" s="1"/>
      <c r="DFN227" s="1"/>
      <c r="DFO227" s="1"/>
      <c r="DFP227" s="1"/>
      <c r="DFQ227" s="1"/>
      <c r="DFR227" s="1"/>
      <c r="DFS227" s="1"/>
      <c r="DFT227" s="1"/>
      <c r="DFU227" s="1"/>
      <c r="DFV227" s="1"/>
      <c r="DFW227" s="1"/>
      <c r="DFX227" s="1"/>
      <c r="DFY227" s="1"/>
      <c r="DFZ227" s="1"/>
      <c r="DGA227" s="1"/>
      <c r="DGB227" s="1"/>
      <c r="DGC227" s="1"/>
      <c r="DGD227" s="1"/>
      <c r="DGE227" s="1"/>
      <c r="DGF227" s="1"/>
      <c r="DGG227" s="1"/>
      <c r="DGH227" s="1"/>
      <c r="DGI227" s="1"/>
      <c r="DGJ227" s="1"/>
      <c r="DGK227" s="1"/>
      <c r="DGL227" s="1"/>
      <c r="DGM227" s="1"/>
      <c r="DGN227" s="1"/>
      <c r="DGO227" s="1"/>
      <c r="DGP227" s="1"/>
      <c r="DGQ227" s="1"/>
      <c r="DGR227" s="1"/>
      <c r="DGS227" s="1"/>
      <c r="DGT227" s="1"/>
      <c r="DGU227" s="1"/>
      <c r="DGV227" s="1"/>
      <c r="DGW227" s="1"/>
      <c r="DGX227" s="1"/>
      <c r="DGY227" s="1"/>
      <c r="DGZ227" s="1"/>
      <c r="DHA227" s="1"/>
      <c r="DHB227" s="1"/>
      <c r="DHC227" s="1"/>
      <c r="DHD227" s="1"/>
      <c r="DHE227" s="1"/>
      <c r="DHF227" s="1"/>
      <c r="DHG227" s="1"/>
      <c r="DHH227" s="1"/>
      <c r="DHI227" s="1"/>
      <c r="DHJ227" s="1"/>
      <c r="DHK227" s="1"/>
      <c r="DHL227" s="1"/>
      <c r="DHM227" s="1"/>
      <c r="DHN227" s="1"/>
      <c r="DHO227" s="1"/>
      <c r="DHP227" s="1"/>
      <c r="DHQ227" s="1"/>
      <c r="DHR227" s="1"/>
      <c r="DHS227" s="1"/>
      <c r="DHT227" s="1"/>
      <c r="DHU227" s="1"/>
      <c r="DHV227" s="1"/>
      <c r="DHW227" s="1"/>
      <c r="DHX227" s="1"/>
      <c r="DHY227" s="1"/>
      <c r="DHZ227" s="1"/>
      <c r="DIA227" s="1"/>
      <c r="DIB227" s="1"/>
      <c r="DIC227" s="1"/>
      <c r="DID227" s="1"/>
      <c r="DIE227" s="1"/>
      <c r="DIF227" s="1"/>
      <c r="DIG227" s="1"/>
      <c r="DIH227" s="1"/>
      <c r="DII227" s="1"/>
      <c r="DIJ227" s="1"/>
      <c r="DIK227" s="1"/>
      <c r="DIL227" s="1"/>
      <c r="DIM227" s="1"/>
      <c r="DIN227" s="1"/>
      <c r="DIO227" s="1"/>
      <c r="DIP227" s="1"/>
      <c r="DIQ227" s="1"/>
      <c r="DIR227" s="1"/>
      <c r="DIS227" s="1"/>
      <c r="DIT227" s="1"/>
      <c r="DIU227" s="1"/>
      <c r="DIV227" s="1"/>
      <c r="DIW227" s="1"/>
      <c r="DIX227" s="1"/>
      <c r="DIY227" s="1"/>
      <c r="DIZ227" s="1"/>
      <c r="DJA227" s="1"/>
      <c r="DJB227" s="1"/>
      <c r="DJC227" s="1"/>
      <c r="DJD227" s="1"/>
      <c r="DJE227" s="1"/>
      <c r="DJF227" s="1"/>
      <c r="DJG227" s="1"/>
      <c r="DJH227" s="1"/>
      <c r="DJI227" s="1"/>
      <c r="DJJ227" s="1"/>
      <c r="DJK227" s="1"/>
      <c r="DJL227" s="1"/>
      <c r="DJM227" s="1"/>
      <c r="DJN227" s="1"/>
      <c r="DJO227" s="1"/>
      <c r="DJP227" s="1"/>
      <c r="DJQ227" s="1"/>
      <c r="DJR227" s="1"/>
      <c r="DJS227" s="1"/>
      <c r="DJT227" s="1"/>
      <c r="DJU227" s="1"/>
      <c r="DJV227" s="1"/>
      <c r="DJW227" s="1"/>
      <c r="DJX227" s="1"/>
      <c r="DJY227" s="1"/>
      <c r="DJZ227" s="1"/>
      <c r="DKA227" s="1"/>
      <c r="DKB227" s="1"/>
      <c r="DKC227" s="1"/>
      <c r="DKD227" s="1"/>
      <c r="DKE227" s="1"/>
      <c r="DKF227" s="1"/>
      <c r="DKG227" s="1"/>
      <c r="DKH227" s="1"/>
      <c r="DKI227" s="1"/>
      <c r="DKJ227" s="1"/>
      <c r="DKK227" s="1"/>
      <c r="DKL227" s="1"/>
      <c r="DKM227" s="1"/>
      <c r="DKN227" s="1"/>
      <c r="DKO227" s="1"/>
      <c r="DKP227" s="1"/>
      <c r="DKQ227" s="1"/>
      <c r="DKR227" s="1"/>
      <c r="DKS227" s="1"/>
      <c r="DKT227" s="1"/>
      <c r="DKU227" s="1"/>
      <c r="DKV227" s="1"/>
      <c r="DKW227" s="1"/>
      <c r="DKX227" s="1"/>
      <c r="DKY227" s="1"/>
      <c r="DKZ227" s="1"/>
      <c r="DLA227" s="1"/>
      <c r="DLB227" s="1"/>
      <c r="DLC227" s="1"/>
      <c r="DLD227" s="1"/>
      <c r="DLE227" s="1"/>
      <c r="DLF227" s="1"/>
      <c r="DLG227" s="1"/>
      <c r="DLH227" s="1"/>
      <c r="DLI227" s="1"/>
      <c r="DLJ227" s="1"/>
      <c r="DLK227" s="1"/>
      <c r="DLL227" s="1"/>
      <c r="DLM227" s="1"/>
      <c r="DLN227" s="1"/>
      <c r="DLO227" s="1"/>
      <c r="DLP227" s="1"/>
      <c r="DLQ227" s="1"/>
      <c r="DLR227" s="1"/>
      <c r="DLS227" s="1"/>
      <c r="DLT227" s="1"/>
      <c r="DLU227" s="1"/>
      <c r="DLV227" s="1"/>
      <c r="DLW227" s="1"/>
      <c r="DLX227" s="1"/>
      <c r="DLY227" s="1"/>
      <c r="DLZ227" s="1"/>
      <c r="DMA227" s="1"/>
      <c r="DMB227" s="1"/>
      <c r="DMC227" s="1"/>
      <c r="DMD227" s="1"/>
      <c r="DME227" s="1"/>
      <c r="DMF227" s="1"/>
      <c r="DMG227" s="1"/>
      <c r="DMH227" s="1"/>
      <c r="DMI227" s="1"/>
      <c r="DMJ227" s="1"/>
      <c r="DMK227" s="1"/>
      <c r="DML227" s="1"/>
      <c r="DMM227" s="1"/>
      <c r="DMN227" s="1"/>
      <c r="DMO227" s="1"/>
      <c r="DMP227" s="1"/>
      <c r="DMQ227" s="1"/>
      <c r="DMR227" s="1"/>
      <c r="DMS227" s="1"/>
      <c r="DMT227" s="1"/>
      <c r="DMU227" s="1"/>
      <c r="DMV227" s="1"/>
      <c r="DMW227" s="1"/>
      <c r="DMX227" s="1"/>
      <c r="DMY227" s="1"/>
      <c r="DMZ227" s="1"/>
      <c r="DNA227" s="1"/>
      <c r="DNB227" s="1"/>
      <c r="DNC227" s="1"/>
      <c r="DND227" s="1"/>
      <c r="DNE227" s="1"/>
      <c r="DNF227" s="1"/>
      <c r="DNG227" s="1"/>
      <c r="DNH227" s="1"/>
      <c r="DNI227" s="1"/>
      <c r="DNJ227" s="1"/>
      <c r="DNK227" s="1"/>
      <c r="DNL227" s="1"/>
      <c r="DNM227" s="1"/>
      <c r="DNN227" s="1"/>
      <c r="DNO227" s="1"/>
      <c r="DNP227" s="1"/>
      <c r="DNQ227" s="1"/>
      <c r="DNR227" s="1"/>
      <c r="DNS227" s="1"/>
      <c r="DNT227" s="1"/>
      <c r="DNU227" s="1"/>
      <c r="DNV227" s="1"/>
      <c r="DNW227" s="1"/>
      <c r="DNX227" s="1"/>
      <c r="DNY227" s="1"/>
      <c r="DNZ227" s="1"/>
      <c r="DOA227" s="1"/>
      <c r="DOB227" s="1"/>
      <c r="DOC227" s="1"/>
      <c r="DOD227" s="1"/>
      <c r="DOE227" s="1"/>
      <c r="DOF227" s="1"/>
      <c r="DOG227" s="1"/>
      <c r="DOH227" s="1"/>
      <c r="DOI227" s="1"/>
      <c r="DOJ227" s="1"/>
      <c r="DOK227" s="1"/>
      <c r="DOL227" s="1"/>
      <c r="DOM227" s="1"/>
      <c r="DON227" s="1"/>
      <c r="DOO227" s="1"/>
      <c r="DOP227" s="1"/>
      <c r="DOQ227" s="1"/>
      <c r="DOR227" s="1"/>
      <c r="DOS227" s="1"/>
      <c r="DOT227" s="1"/>
      <c r="DOU227" s="1"/>
      <c r="DOV227" s="1"/>
      <c r="DOW227" s="1"/>
      <c r="DOX227" s="1"/>
      <c r="DOY227" s="1"/>
      <c r="DOZ227" s="1"/>
      <c r="DPA227" s="1"/>
      <c r="DPB227" s="1"/>
      <c r="DPC227" s="1"/>
      <c r="DPD227" s="1"/>
      <c r="DPE227" s="1"/>
      <c r="DPF227" s="1"/>
      <c r="DPG227" s="1"/>
      <c r="DPH227" s="1"/>
      <c r="DPI227" s="1"/>
      <c r="DPJ227" s="1"/>
      <c r="DPK227" s="1"/>
      <c r="DPL227" s="1"/>
      <c r="DPM227" s="1"/>
      <c r="DPN227" s="1"/>
      <c r="DPO227" s="1"/>
      <c r="DPP227" s="1"/>
      <c r="DPQ227" s="1"/>
      <c r="DPR227" s="1"/>
      <c r="DPS227" s="1"/>
      <c r="DPT227" s="1"/>
      <c r="DPU227" s="1"/>
      <c r="DPV227" s="1"/>
      <c r="DPW227" s="1"/>
      <c r="DPX227" s="1"/>
      <c r="DPY227" s="1"/>
      <c r="DPZ227" s="1"/>
      <c r="DQA227" s="1"/>
      <c r="DQB227" s="1"/>
      <c r="DQC227" s="1"/>
      <c r="DQD227" s="1"/>
      <c r="DQE227" s="1"/>
      <c r="DQF227" s="1"/>
      <c r="DQG227" s="1"/>
      <c r="DQH227" s="1"/>
      <c r="DQI227" s="1"/>
      <c r="DQJ227" s="1"/>
      <c r="DQK227" s="1"/>
      <c r="DQL227" s="1"/>
      <c r="DQM227" s="1"/>
      <c r="DQN227" s="1"/>
      <c r="DQO227" s="1"/>
      <c r="DQP227" s="1"/>
      <c r="DQQ227" s="1"/>
      <c r="DQR227" s="1"/>
      <c r="DQS227" s="1"/>
      <c r="DQT227" s="1"/>
      <c r="DQU227" s="1"/>
      <c r="DQV227" s="1"/>
      <c r="DQW227" s="1"/>
      <c r="DQX227" s="1"/>
      <c r="DQY227" s="1"/>
      <c r="DQZ227" s="1"/>
      <c r="DRA227" s="1"/>
      <c r="DRB227" s="1"/>
      <c r="DRC227" s="1"/>
      <c r="DRD227" s="1"/>
      <c r="DRE227" s="1"/>
      <c r="DRF227" s="1"/>
      <c r="DRG227" s="1"/>
      <c r="DRH227" s="1"/>
      <c r="DRI227" s="1"/>
      <c r="DRJ227" s="1"/>
      <c r="DRK227" s="1"/>
      <c r="DRL227" s="1"/>
      <c r="DRM227" s="1"/>
      <c r="DRN227" s="1"/>
      <c r="DRO227" s="1"/>
      <c r="DRP227" s="1"/>
      <c r="DRQ227" s="1"/>
      <c r="DRR227" s="1"/>
      <c r="DRS227" s="1"/>
      <c r="DRT227" s="1"/>
      <c r="DRU227" s="1"/>
      <c r="DRV227" s="1"/>
      <c r="DRW227" s="1"/>
      <c r="DRX227" s="1"/>
      <c r="DRY227" s="1"/>
      <c r="DRZ227" s="1"/>
      <c r="DSA227" s="1"/>
      <c r="DSB227" s="1"/>
      <c r="DSC227" s="1"/>
      <c r="DSD227" s="1"/>
      <c r="DSE227" s="1"/>
      <c r="DSF227" s="1"/>
      <c r="DSG227" s="1"/>
      <c r="DSH227" s="1"/>
      <c r="DSI227" s="1"/>
      <c r="DSJ227" s="1"/>
      <c r="DSK227" s="1"/>
      <c r="DSL227" s="1"/>
      <c r="DSM227" s="1"/>
      <c r="DSN227" s="1"/>
      <c r="DSO227" s="1"/>
      <c r="DSP227" s="1"/>
      <c r="DSQ227" s="1"/>
      <c r="DSR227" s="1"/>
      <c r="DSS227" s="1"/>
      <c r="DST227" s="1"/>
      <c r="DSU227" s="1"/>
      <c r="DSV227" s="1"/>
      <c r="DSW227" s="1"/>
      <c r="DSX227" s="1"/>
      <c r="DSY227" s="1"/>
      <c r="DSZ227" s="1"/>
      <c r="DTA227" s="1"/>
      <c r="DTB227" s="1"/>
      <c r="DTC227" s="1"/>
      <c r="DTD227" s="1"/>
      <c r="DTE227" s="1"/>
      <c r="DTF227" s="1"/>
      <c r="DTG227" s="1"/>
      <c r="DTH227" s="1"/>
      <c r="DTI227" s="1"/>
      <c r="DTJ227" s="1"/>
      <c r="DTK227" s="1"/>
      <c r="DTL227" s="1"/>
      <c r="DTM227" s="1"/>
      <c r="DTN227" s="1"/>
      <c r="DTO227" s="1"/>
      <c r="DTP227" s="1"/>
      <c r="DTQ227" s="1"/>
      <c r="DTR227" s="1"/>
      <c r="DTS227" s="1"/>
      <c r="DTT227" s="1"/>
      <c r="DTU227" s="1"/>
      <c r="DTV227" s="1"/>
      <c r="DTW227" s="1"/>
      <c r="DTX227" s="1"/>
      <c r="DTY227" s="1"/>
      <c r="DTZ227" s="1"/>
      <c r="DUA227" s="1"/>
      <c r="DUB227" s="1"/>
      <c r="DUC227" s="1"/>
      <c r="DUD227" s="1"/>
      <c r="DUE227" s="1"/>
      <c r="DUF227" s="1"/>
      <c r="DUG227" s="1"/>
      <c r="DUH227" s="1"/>
      <c r="DUI227" s="1"/>
      <c r="DUJ227" s="1"/>
      <c r="DUK227" s="1"/>
      <c r="DUL227" s="1"/>
      <c r="DUM227" s="1"/>
      <c r="DUN227" s="1"/>
      <c r="DUO227" s="1"/>
      <c r="DUP227" s="1"/>
      <c r="DUQ227" s="1"/>
      <c r="DUR227" s="1"/>
      <c r="DUS227" s="1"/>
      <c r="DUT227" s="1"/>
      <c r="DUU227" s="1"/>
      <c r="DUV227" s="1"/>
      <c r="DUW227" s="1"/>
      <c r="DUX227" s="1"/>
      <c r="DUY227" s="1"/>
      <c r="DUZ227" s="1"/>
      <c r="DVA227" s="1"/>
      <c r="DVB227" s="1"/>
      <c r="DVC227" s="1"/>
      <c r="DVD227" s="1"/>
      <c r="DVE227" s="1"/>
      <c r="DVF227" s="1"/>
      <c r="DVG227" s="1"/>
      <c r="DVH227" s="1"/>
      <c r="DVI227" s="1"/>
      <c r="DVJ227" s="1"/>
      <c r="DVK227" s="1"/>
      <c r="DVL227" s="1"/>
      <c r="DVM227" s="1"/>
      <c r="DVN227" s="1"/>
      <c r="DVO227" s="1"/>
      <c r="DVP227" s="1"/>
      <c r="DVQ227" s="1"/>
      <c r="DVR227" s="1"/>
      <c r="DVS227" s="1"/>
      <c r="DVT227" s="1"/>
      <c r="DVU227" s="1"/>
      <c r="DVV227" s="1"/>
      <c r="DVW227" s="1"/>
      <c r="DVX227" s="1"/>
      <c r="DVY227" s="1"/>
      <c r="DVZ227" s="1"/>
      <c r="DWA227" s="1"/>
      <c r="DWB227" s="1"/>
      <c r="DWC227" s="1"/>
      <c r="DWD227" s="1"/>
      <c r="DWE227" s="1"/>
      <c r="DWF227" s="1"/>
      <c r="DWG227" s="1"/>
      <c r="DWH227" s="1"/>
      <c r="DWI227" s="1"/>
      <c r="DWJ227" s="1"/>
      <c r="DWK227" s="1"/>
      <c r="DWL227" s="1"/>
      <c r="DWM227" s="1"/>
      <c r="DWN227" s="1"/>
      <c r="DWO227" s="1"/>
      <c r="DWP227" s="1"/>
      <c r="DWQ227" s="1"/>
      <c r="DWR227" s="1"/>
      <c r="DWS227" s="1"/>
      <c r="DWT227" s="1"/>
      <c r="DWU227" s="1"/>
      <c r="DWV227" s="1"/>
      <c r="DWW227" s="1"/>
      <c r="DWX227" s="1"/>
      <c r="DWY227" s="1"/>
      <c r="DWZ227" s="1"/>
      <c r="DXA227" s="1"/>
      <c r="DXB227" s="1"/>
      <c r="DXC227" s="1"/>
      <c r="DXD227" s="1"/>
      <c r="DXE227" s="1"/>
      <c r="DXF227" s="1"/>
      <c r="DXG227" s="1"/>
      <c r="DXH227" s="1"/>
      <c r="DXI227" s="1"/>
      <c r="DXJ227" s="1"/>
      <c r="DXK227" s="1"/>
      <c r="DXL227" s="1"/>
      <c r="DXM227" s="1"/>
      <c r="DXN227" s="1"/>
      <c r="DXO227" s="1"/>
      <c r="DXP227" s="1"/>
      <c r="DXQ227" s="1"/>
      <c r="DXR227" s="1"/>
      <c r="DXS227" s="1"/>
      <c r="DXT227" s="1"/>
      <c r="DXU227" s="1"/>
      <c r="DXV227" s="1"/>
      <c r="DXW227" s="1"/>
      <c r="DXX227" s="1"/>
      <c r="DXY227" s="1"/>
      <c r="DXZ227" s="1"/>
      <c r="DYA227" s="1"/>
      <c r="DYB227" s="1"/>
      <c r="DYC227" s="1"/>
      <c r="DYD227" s="1"/>
      <c r="DYE227" s="1"/>
      <c r="DYF227" s="1"/>
      <c r="DYG227" s="1"/>
      <c r="DYH227" s="1"/>
      <c r="DYI227" s="1"/>
      <c r="DYJ227" s="1"/>
      <c r="DYK227" s="1"/>
      <c r="DYL227" s="1"/>
      <c r="DYM227" s="1"/>
      <c r="DYN227" s="1"/>
      <c r="DYO227" s="1"/>
      <c r="DYP227" s="1"/>
      <c r="DYQ227" s="1"/>
      <c r="DYR227" s="1"/>
      <c r="DYS227" s="1"/>
      <c r="DYT227" s="1"/>
      <c r="DYU227" s="1"/>
      <c r="DYV227" s="1"/>
      <c r="DYW227" s="1"/>
      <c r="DYX227" s="1"/>
      <c r="DYY227" s="1"/>
      <c r="DYZ227" s="1"/>
      <c r="DZA227" s="1"/>
      <c r="DZB227" s="1"/>
      <c r="DZC227" s="1"/>
      <c r="DZD227" s="1"/>
      <c r="DZE227" s="1"/>
      <c r="DZF227" s="1"/>
      <c r="DZG227" s="1"/>
      <c r="DZH227" s="1"/>
      <c r="DZI227" s="1"/>
      <c r="DZJ227" s="1"/>
      <c r="DZK227" s="1"/>
      <c r="DZL227" s="1"/>
      <c r="DZM227" s="1"/>
      <c r="DZN227" s="1"/>
      <c r="DZO227" s="1"/>
      <c r="DZP227" s="1"/>
      <c r="DZQ227" s="1"/>
      <c r="DZR227" s="1"/>
      <c r="DZS227" s="1"/>
      <c r="DZT227" s="1"/>
      <c r="DZU227" s="1"/>
      <c r="DZV227" s="1"/>
      <c r="DZW227" s="1"/>
      <c r="DZX227" s="1"/>
      <c r="DZY227" s="1"/>
      <c r="DZZ227" s="1"/>
      <c r="EAA227" s="1"/>
      <c r="EAB227" s="1"/>
      <c r="EAC227" s="1"/>
      <c r="EAD227" s="1"/>
      <c r="EAE227" s="1"/>
      <c r="EAF227" s="1"/>
      <c r="EAG227" s="1"/>
      <c r="EAH227" s="1"/>
      <c r="EAI227" s="1"/>
      <c r="EAJ227" s="1"/>
      <c r="EAK227" s="1"/>
      <c r="EAL227" s="1"/>
      <c r="EAM227" s="1"/>
      <c r="EAN227" s="1"/>
      <c r="EAO227" s="1"/>
      <c r="EAP227" s="1"/>
      <c r="EAQ227" s="1"/>
      <c r="EAR227" s="1"/>
      <c r="EAS227" s="1"/>
      <c r="EAT227" s="1"/>
      <c r="EAU227" s="1"/>
      <c r="EAV227" s="1"/>
      <c r="EAW227" s="1"/>
      <c r="EAX227" s="1"/>
      <c r="EAY227" s="1"/>
      <c r="EAZ227" s="1"/>
      <c r="EBA227" s="1"/>
      <c r="EBB227" s="1"/>
      <c r="EBC227" s="1"/>
      <c r="EBD227" s="1"/>
      <c r="EBE227" s="1"/>
      <c r="EBF227" s="1"/>
      <c r="EBG227" s="1"/>
      <c r="EBH227" s="1"/>
      <c r="EBI227" s="1"/>
      <c r="EBJ227" s="1"/>
      <c r="EBK227" s="1"/>
      <c r="EBL227" s="1"/>
      <c r="EBM227" s="1"/>
      <c r="EBN227" s="1"/>
      <c r="EBO227" s="1"/>
      <c r="EBP227" s="1"/>
      <c r="EBQ227" s="1"/>
      <c r="EBR227" s="1"/>
      <c r="EBS227" s="1"/>
      <c r="EBT227" s="1"/>
      <c r="EBU227" s="1"/>
      <c r="EBV227" s="1"/>
      <c r="EBW227" s="1"/>
      <c r="EBX227" s="1"/>
      <c r="EBY227" s="1"/>
      <c r="EBZ227" s="1"/>
      <c r="ECA227" s="1"/>
      <c r="ECB227" s="1"/>
      <c r="ECC227" s="1"/>
      <c r="ECD227" s="1"/>
      <c r="ECE227" s="1"/>
      <c r="ECF227" s="1"/>
      <c r="ECG227" s="1"/>
      <c r="ECH227" s="1"/>
      <c r="ECI227" s="1"/>
      <c r="ECJ227" s="1"/>
      <c r="ECK227" s="1"/>
      <c r="ECL227" s="1"/>
      <c r="ECM227" s="1"/>
      <c r="ECN227" s="1"/>
      <c r="ECO227" s="1"/>
      <c r="ECP227" s="1"/>
      <c r="ECQ227" s="1"/>
      <c r="ECR227" s="1"/>
      <c r="ECS227" s="1"/>
      <c r="ECT227" s="1"/>
      <c r="ECU227" s="1"/>
      <c r="ECV227" s="1"/>
      <c r="ECW227" s="1"/>
      <c r="ECX227" s="1"/>
      <c r="ECY227" s="1"/>
      <c r="ECZ227" s="1"/>
      <c r="EDA227" s="1"/>
      <c r="EDB227" s="1"/>
      <c r="EDC227" s="1"/>
      <c r="EDD227" s="1"/>
      <c r="EDE227" s="1"/>
      <c r="EDF227" s="1"/>
      <c r="EDG227" s="1"/>
      <c r="EDH227" s="1"/>
      <c r="EDI227" s="1"/>
      <c r="EDJ227" s="1"/>
      <c r="EDK227" s="1"/>
      <c r="EDL227" s="1"/>
      <c r="EDM227" s="1"/>
      <c r="EDN227" s="1"/>
      <c r="EDO227" s="1"/>
      <c r="EDP227" s="1"/>
      <c r="EDQ227" s="1"/>
      <c r="EDR227" s="1"/>
      <c r="EDS227" s="1"/>
      <c r="EDT227" s="1"/>
      <c r="EDU227" s="1"/>
      <c r="EDV227" s="1"/>
      <c r="EDW227" s="1"/>
      <c r="EDX227" s="1"/>
      <c r="EDY227" s="1"/>
      <c r="EDZ227" s="1"/>
      <c r="EEA227" s="1"/>
      <c r="EEB227" s="1"/>
      <c r="EEC227" s="1"/>
      <c r="EED227" s="1"/>
      <c r="EEE227" s="1"/>
      <c r="EEF227" s="1"/>
      <c r="EEG227" s="1"/>
      <c r="EEH227" s="1"/>
      <c r="EEI227" s="1"/>
      <c r="EEJ227" s="1"/>
      <c r="EEK227" s="1"/>
      <c r="EEL227" s="1"/>
      <c r="EEM227" s="1"/>
      <c r="EEN227" s="1"/>
      <c r="EEO227" s="1"/>
      <c r="EEP227" s="1"/>
      <c r="EEQ227" s="1"/>
      <c r="EER227" s="1"/>
      <c r="EES227" s="1"/>
      <c r="EET227" s="1"/>
      <c r="EEU227" s="1"/>
      <c r="EEV227" s="1"/>
      <c r="EEW227" s="1"/>
      <c r="EEX227" s="1"/>
      <c r="EEY227" s="1"/>
      <c r="EEZ227" s="1"/>
      <c r="EFA227" s="1"/>
      <c r="EFB227" s="1"/>
      <c r="EFC227" s="1"/>
      <c r="EFD227" s="1"/>
      <c r="EFE227" s="1"/>
      <c r="EFF227" s="1"/>
      <c r="EFG227" s="1"/>
      <c r="EFH227" s="1"/>
      <c r="EFI227" s="1"/>
      <c r="EFJ227" s="1"/>
      <c r="EFK227" s="1"/>
      <c r="EFL227" s="1"/>
      <c r="EFM227" s="1"/>
      <c r="EFN227" s="1"/>
      <c r="EFO227" s="1"/>
      <c r="EFP227" s="1"/>
      <c r="EFQ227" s="1"/>
      <c r="EFR227" s="1"/>
      <c r="EFS227" s="1"/>
      <c r="EFT227" s="1"/>
      <c r="EFU227" s="1"/>
      <c r="EFV227" s="1"/>
      <c r="EFW227" s="1"/>
      <c r="EFX227" s="1"/>
      <c r="EFY227" s="1"/>
      <c r="EFZ227" s="1"/>
      <c r="EGA227" s="1"/>
      <c r="EGB227" s="1"/>
      <c r="EGC227" s="1"/>
      <c r="EGD227" s="1"/>
      <c r="EGE227" s="1"/>
      <c r="EGF227" s="1"/>
      <c r="EGG227" s="1"/>
      <c r="EGH227" s="1"/>
      <c r="EGI227" s="1"/>
      <c r="EGJ227" s="1"/>
      <c r="EGK227" s="1"/>
      <c r="EGL227" s="1"/>
      <c r="EGM227" s="1"/>
      <c r="EGN227" s="1"/>
      <c r="EGO227" s="1"/>
      <c r="EGP227" s="1"/>
      <c r="EGQ227" s="1"/>
      <c r="EGR227" s="1"/>
      <c r="EGS227" s="1"/>
      <c r="EGT227" s="1"/>
      <c r="EGU227" s="1"/>
      <c r="EGV227" s="1"/>
      <c r="EGW227" s="1"/>
      <c r="EGX227" s="1"/>
      <c r="EGY227" s="1"/>
      <c r="EGZ227" s="1"/>
      <c r="EHA227" s="1"/>
      <c r="EHB227" s="1"/>
      <c r="EHC227" s="1"/>
      <c r="EHD227" s="1"/>
      <c r="EHE227" s="1"/>
      <c r="EHF227" s="1"/>
      <c r="EHG227" s="1"/>
      <c r="EHH227" s="1"/>
      <c r="EHI227" s="1"/>
      <c r="EHJ227" s="1"/>
      <c r="EHK227" s="1"/>
      <c r="EHL227" s="1"/>
      <c r="EHM227" s="1"/>
      <c r="EHN227" s="1"/>
      <c r="EHO227" s="1"/>
      <c r="EHP227" s="1"/>
      <c r="EHQ227" s="1"/>
      <c r="EHR227" s="1"/>
      <c r="EHS227" s="1"/>
      <c r="EHT227" s="1"/>
      <c r="EHU227" s="1"/>
      <c r="EHV227" s="1"/>
      <c r="EHW227" s="1"/>
      <c r="EHX227" s="1"/>
      <c r="EHY227" s="1"/>
      <c r="EHZ227" s="1"/>
      <c r="EIA227" s="1"/>
      <c r="EIB227" s="1"/>
      <c r="EIC227" s="1"/>
      <c r="EID227" s="1"/>
      <c r="EIE227" s="1"/>
      <c r="EIF227" s="1"/>
      <c r="EIG227" s="1"/>
      <c r="EIH227" s="1"/>
      <c r="EII227" s="1"/>
      <c r="EIJ227" s="1"/>
      <c r="EIK227" s="1"/>
      <c r="EIL227" s="1"/>
      <c r="EIM227" s="1"/>
      <c r="EIN227" s="1"/>
      <c r="EIO227" s="1"/>
      <c r="EIP227" s="1"/>
      <c r="EIQ227" s="1"/>
      <c r="EIR227" s="1"/>
      <c r="EIS227" s="1"/>
      <c r="EIT227" s="1"/>
      <c r="EIU227" s="1"/>
      <c r="EIV227" s="1"/>
      <c r="EIW227" s="1"/>
      <c r="EIX227" s="1"/>
      <c r="EIY227" s="1"/>
      <c r="EIZ227" s="1"/>
      <c r="EJA227" s="1"/>
      <c r="EJB227" s="1"/>
      <c r="EJC227" s="1"/>
      <c r="EJD227" s="1"/>
      <c r="EJE227" s="1"/>
      <c r="EJF227" s="1"/>
      <c r="EJG227" s="1"/>
      <c r="EJH227" s="1"/>
      <c r="EJI227" s="1"/>
      <c r="EJJ227" s="1"/>
      <c r="EJK227" s="1"/>
      <c r="EJL227" s="1"/>
      <c r="EJM227" s="1"/>
      <c r="EJN227" s="1"/>
      <c r="EJO227" s="1"/>
      <c r="EJP227" s="1"/>
      <c r="EJQ227" s="1"/>
      <c r="EJR227" s="1"/>
      <c r="EJS227" s="1"/>
      <c r="EJT227" s="1"/>
      <c r="EJU227" s="1"/>
      <c r="EJV227" s="1"/>
      <c r="EJW227" s="1"/>
      <c r="EJX227" s="1"/>
      <c r="EJY227" s="1"/>
      <c r="EJZ227" s="1"/>
      <c r="EKA227" s="1"/>
      <c r="EKB227" s="1"/>
      <c r="EKC227" s="1"/>
      <c r="EKD227" s="1"/>
      <c r="EKE227" s="1"/>
      <c r="EKF227" s="1"/>
      <c r="EKG227" s="1"/>
      <c r="EKH227" s="1"/>
      <c r="EKI227" s="1"/>
      <c r="EKJ227" s="1"/>
      <c r="EKK227" s="1"/>
      <c r="EKL227" s="1"/>
      <c r="EKM227" s="1"/>
      <c r="EKN227" s="1"/>
      <c r="EKO227" s="1"/>
      <c r="EKP227" s="1"/>
      <c r="EKQ227" s="1"/>
      <c r="EKR227" s="1"/>
      <c r="EKS227" s="1"/>
      <c r="EKT227" s="1"/>
      <c r="EKU227" s="1"/>
      <c r="EKV227" s="1"/>
      <c r="EKW227" s="1"/>
      <c r="EKX227" s="1"/>
      <c r="EKY227" s="1"/>
      <c r="EKZ227" s="1"/>
      <c r="ELA227" s="1"/>
      <c r="ELB227" s="1"/>
      <c r="ELC227" s="1"/>
      <c r="ELD227" s="1"/>
      <c r="ELE227" s="1"/>
      <c r="ELF227" s="1"/>
      <c r="ELG227" s="1"/>
      <c r="ELH227" s="1"/>
      <c r="ELI227" s="1"/>
      <c r="ELJ227" s="1"/>
      <c r="ELK227" s="1"/>
      <c r="ELL227" s="1"/>
      <c r="ELM227" s="1"/>
      <c r="ELN227" s="1"/>
      <c r="ELO227" s="1"/>
      <c r="ELP227" s="1"/>
      <c r="ELQ227" s="1"/>
      <c r="ELR227" s="1"/>
      <c r="ELS227" s="1"/>
      <c r="ELT227" s="1"/>
      <c r="ELU227" s="1"/>
      <c r="ELV227" s="1"/>
      <c r="ELW227" s="1"/>
      <c r="ELX227" s="1"/>
      <c r="ELY227" s="1"/>
      <c r="ELZ227" s="1"/>
      <c r="EMA227" s="1"/>
      <c r="EMB227" s="1"/>
      <c r="EMC227" s="1"/>
      <c r="EMD227" s="1"/>
      <c r="EME227" s="1"/>
      <c r="EMF227" s="1"/>
      <c r="EMG227" s="1"/>
      <c r="EMH227" s="1"/>
      <c r="EMI227" s="1"/>
      <c r="EMJ227" s="1"/>
      <c r="EMK227" s="1"/>
      <c r="EML227" s="1"/>
      <c r="EMM227" s="1"/>
      <c r="EMN227" s="1"/>
      <c r="EMO227" s="1"/>
      <c r="EMP227" s="1"/>
      <c r="EMQ227" s="1"/>
      <c r="EMR227" s="1"/>
      <c r="EMS227" s="1"/>
      <c r="EMT227" s="1"/>
      <c r="EMU227" s="1"/>
      <c r="EMV227" s="1"/>
      <c r="EMW227" s="1"/>
      <c r="EMX227" s="1"/>
      <c r="EMY227" s="1"/>
      <c r="EMZ227" s="1"/>
      <c r="ENA227" s="1"/>
      <c r="ENB227" s="1"/>
      <c r="ENC227" s="1"/>
      <c r="END227" s="1"/>
      <c r="ENE227" s="1"/>
      <c r="ENF227" s="1"/>
      <c r="ENG227" s="1"/>
      <c r="ENH227" s="1"/>
      <c r="ENI227" s="1"/>
      <c r="ENJ227" s="1"/>
      <c r="ENK227" s="1"/>
      <c r="ENL227" s="1"/>
      <c r="ENM227" s="1"/>
      <c r="ENN227" s="1"/>
      <c r="ENO227" s="1"/>
      <c r="ENP227" s="1"/>
      <c r="ENQ227" s="1"/>
      <c r="ENR227" s="1"/>
      <c r="ENS227" s="1"/>
      <c r="ENT227" s="1"/>
      <c r="ENU227" s="1"/>
      <c r="ENV227" s="1"/>
      <c r="ENW227" s="1"/>
      <c r="ENX227" s="1"/>
      <c r="ENY227" s="1"/>
      <c r="ENZ227" s="1"/>
      <c r="EOA227" s="1"/>
      <c r="EOB227" s="1"/>
      <c r="EOC227" s="1"/>
      <c r="EOD227" s="1"/>
      <c r="EOE227" s="1"/>
      <c r="EOF227" s="1"/>
      <c r="EOG227" s="1"/>
      <c r="EOH227" s="1"/>
      <c r="EOI227" s="1"/>
      <c r="EOJ227" s="1"/>
      <c r="EOK227" s="1"/>
      <c r="EOL227" s="1"/>
      <c r="EOM227" s="1"/>
      <c r="EON227" s="1"/>
      <c r="EOO227" s="1"/>
      <c r="EOP227" s="1"/>
      <c r="EOQ227" s="1"/>
      <c r="EOR227" s="1"/>
      <c r="EOS227" s="1"/>
      <c r="EOT227" s="1"/>
      <c r="EOU227" s="1"/>
      <c r="EOV227" s="1"/>
      <c r="EOW227" s="1"/>
      <c r="EOX227" s="1"/>
      <c r="EOY227" s="1"/>
      <c r="EOZ227" s="1"/>
      <c r="EPA227" s="1"/>
      <c r="EPB227" s="1"/>
      <c r="EPC227" s="1"/>
      <c r="EPD227" s="1"/>
      <c r="EPE227" s="1"/>
      <c r="EPF227" s="1"/>
      <c r="EPG227" s="1"/>
      <c r="EPH227" s="1"/>
      <c r="EPI227" s="1"/>
      <c r="EPJ227" s="1"/>
      <c r="EPK227" s="1"/>
      <c r="EPL227" s="1"/>
      <c r="EPM227" s="1"/>
      <c r="EPN227" s="1"/>
      <c r="EPO227" s="1"/>
      <c r="EPP227" s="1"/>
      <c r="EPQ227" s="1"/>
      <c r="EPR227" s="1"/>
      <c r="EPS227" s="1"/>
      <c r="EPT227" s="1"/>
      <c r="EPU227" s="1"/>
      <c r="EPV227" s="1"/>
      <c r="EPW227" s="1"/>
      <c r="EPX227" s="1"/>
      <c r="EPY227" s="1"/>
      <c r="EPZ227" s="1"/>
      <c r="EQA227" s="1"/>
      <c r="EQB227" s="1"/>
      <c r="EQC227" s="1"/>
      <c r="EQD227" s="1"/>
      <c r="EQE227" s="1"/>
      <c r="EQF227" s="1"/>
      <c r="EQG227" s="1"/>
      <c r="EQH227" s="1"/>
      <c r="EQI227" s="1"/>
      <c r="EQJ227" s="1"/>
      <c r="EQK227" s="1"/>
      <c r="EQL227" s="1"/>
      <c r="EQM227" s="1"/>
      <c r="EQN227" s="1"/>
      <c r="EQO227" s="1"/>
      <c r="EQP227" s="1"/>
      <c r="EQQ227" s="1"/>
      <c r="EQR227" s="1"/>
      <c r="EQS227" s="1"/>
      <c r="EQT227" s="1"/>
      <c r="EQU227" s="1"/>
      <c r="EQV227" s="1"/>
      <c r="EQW227" s="1"/>
      <c r="EQX227" s="1"/>
      <c r="EQY227" s="1"/>
      <c r="EQZ227" s="1"/>
      <c r="ERA227" s="1"/>
      <c r="ERB227" s="1"/>
      <c r="ERC227" s="1"/>
      <c r="ERD227" s="1"/>
      <c r="ERE227" s="1"/>
      <c r="ERF227" s="1"/>
      <c r="ERG227" s="1"/>
      <c r="ERH227" s="1"/>
      <c r="ERI227" s="1"/>
      <c r="ERJ227" s="1"/>
      <c r="ERK227" s="1"/>
      <c r="ERL227" s="1"/>
      <c r="ERM227" s="1"/>
      <c r="ERN227" s="1"/>
      <c r="ERO227" s="1"/>
      <c r="ERP227" s="1"/>
      <c r="ERQ227" s="1"/>
      <c r="ERR227" s="1"/>
      <c r="ERS227" s="1"/>
      <c r="ERT227" s="1"/>
      <c r="ERU227" s="1"/>
      <c r="ERV227" s="1"/>
      <c r="ERW227" s="1"/>
      <c r="ERX227" s="1"/>
      <c r="ERY227" s="1"/>
      <c r="ERZ227" s="1"/>
      <c r="ESA227" s="1"/>
      <c r="ESB227" s="1"/>
      <c r="ESC227" s="1"/>
      <c r="ESD227" s="1"/>
      <c r="ESE227" s="1"/>
      <c r="ESF227" s="1"/>
      <c r="ESG227" s="1"/>
      <c r="ESH227" s="1"/>
      <c r="ESI227" s="1"/>
      <c r="ESJ227" s="1"/>
      <c r="ESK227" s="1"/>
      <c r="ESL227" s="1"/>
      <c r="ESM227" s="1"/>
      <c r="ESN227" s="1"/>
      <c r="ESO227" s="1"/>
      <c r="ESP227" s="1"/>
      <c r="ESQ227" s="1"/>
      <c r="ESR227" s="1"/>
      <c r="ESS227" s="1"/>
      <c r="EST227" s="1"/>
      <c r="ESU227" s="1"/>
      <c r="ESV227" s="1"/>
      <c r="ESW227" s="1"/>
      <c r="ESX227" s="1"/>
      <c r="ESY227" s="1"/>
      <c r="ESZ227" s="1"/>
      <c r="ETA227" s="1"/>
      <c r="ETB227" s="1"/>
      <c r="ETC227" s="1"/>
      <c r="ETD227" s="1"/>
      <c r="ETE227" s="1"/>
      <c r="ETF227" s="1"/>
      <c r="ETG227" s="1"/>
      <c r="ETH227" s="1"/>
      <c r="ETI227" s="1"/>
      <c r="ETJ227" s="1"/>
      <c r="ETK227" s="1"/>
      <c r="ETL227" s="1"/>
      <c r="ETM227" s="1"/>
      <c r="ETN227" s="1"/>
      <c r="ETO227" s="1"/>
      <c r="ETP227" s="1"/>
      <c r="ETQ227" s="1"/>
      <c r="ETR227" s="1"/>
      <c r="ETS227" s="1"/>
      <c r="ETT227" s="1"/>
      <c r="ETU227" s="1"/>
      <c r="ETV227" s="1"/>
      <c r="ETW227" s="1"/>
      <c r="ETX227" s="1"/>
      <c r="ETY227" s="1"/>
      <c r="ETZ227" s="1"/>
      <c r="EUA227" s="1"/>
      <c r="EUB227" s="1"/>
      <c r="EUC227" s="1"/>
      <c r="EUD227" s="1"/>
      <c r="EUE227" s="1"/>
      <c r="EUF227" s="1"/>
      <c r="EUG227" s="1"/>
      <c r="EUH227" s="1"/>
      <c r="EUI227" s="1"/>
      <c r="EUJ227" s="1"/>
      <c r="EUK227" s="1"/>
      <c r="EUL227" s="1"/>
      <c r="EUM227" s="1"/>
      <c r="EUN227" s="1"/>
      <c r="EUO227" s="1"/>
      <c r="EUP227" s="1"/>
      <c r="EUQ227" s="1"/>
      <c r="EUR227" s="1"/>
      <c r="EUS227" s="1"/>
      <c r="EUT227" s="1"/>
      <c r="EUU227" s="1"/>
      <c r="EUV227" s="1"/>
      <c r="EUW227" s="1"/>
      <c r="EUX227" s="1"/>
      <c r="EUY227" s="1"/>
      <c r="EUZ227" s="1"/>
      <c r="EVA227" s="1"/>
      <c r="EVB227" s="1"/>
      <c r="EVC227" s="1"/>
      <c r="EVD227" s="1"/>
      <c r="EVE227" s="1"/>
      <c r="EVF227" s="1"/>
      <c r="EVG227" s="1"/>
      <c r="EVH227" s="1"/>
      <c r="EVI227" s="1"/>
      <c r="EVJ227" s="1"/>
      <c r="EVK227" s="1"/>
      <c r="EVL227" s="1"/>
      <c r="EVM227" s="1"/>
      <c r="EVN227" s="1"/>
      <c r="EVO227" s="1"/>
      <c r="EVP227" s="1"/>
      <c r="EVQ227" s="1"/>
      <c r="EVR227" s="1"/>
      <c r="EVS227" s="1"/>
      <c r="EVT227" s="1"/>
      <c r="EVU227" s="1"/>
      <c r="EVV227" s="1"/>
      <c r="EVW227" s="1"/>
      <c r="EVX227" s="1"/>
      <c r="EVY227" s="1"/>
      <c r="EVZ227" s="1"/>
      <c r="EWA227" s="1"/>
      <c r="EWB227" s="1"/>
      <c r="EWC227" s="1"/>
      <c r="EWD227" s="1"/>
      <c r="EWE227" s="1"/>
      <c r="EWF227" s="1"/>
      <c r="EWG227" s="1"/>
      <c r="EWH227" s="1"/>
      <c r="EWI227" s="1"/>
      <c r="EWJ227" s="1"/>
      <c r="EWK227" s="1"/>
      <c r="EWL227" s="1"/>
      <c r="EWM227" s="1"/>
      <c r="EWN227" s="1"/>
      <c r="EWO227" s="1"/>
      <c r="EWP227" s="1"/>
      <c r="EWQ227" s="1"/>
      <c r="EWR227" s="1"/>
      <c r="EWS227" s="1"/>
      <c r="EWT227" s="1"/>
      <c r="EWU227" s="1"/>
      <c r="EWV227" s="1"/>
      <c r="EWW227" s="1"/>
      <c r="EWX227" s="1"/>
      <c r="EWY227" s="1"/>
      <c r="EWZ227" s="1"/>
      <c r="EXA227" s="1"/>
      <c r="EXB227" s="1"/>
      <c r="EXC227" s="1"/>
      <c r="EXD227" s="1"/>
      <c r="EXE227" s="1"/>
      <c r="EXF227" s="1"/>
      <c r="EXG227" s="1"/>
      <c r="EXH227" s="1"/>
      <c r="EXI227" s="1"/>
      <c r="EXJ227" s="1"/>
      <c r="EXK227" s="1"/>
      <c r="EXL227" s="1"/>
      <c r="EXM227" s="1"/>
      <c r="EXN227" s="1"/>
      <c r="EXO227" s="1"/>
      <c r="EXP227" s="1"/>
      <c r="EXQ227" s="1"/>
      <c r="EXR227" s="1"/>
      <c r="EXS227" s="1"/>
      <c r="EXT227" s="1"/>
      <c r="EXU227" s="1"/>
      <c r="EXV227" s="1"/>
      <c r="EXW227" s="1"/>
      <c r="EXX227" s="1"/>
      <c r="EXY227" s="1"/>
      <c r="EXZ227" s="1"/>
      <c r="EYA227" s="1"/>
      <c r="EYB227" s="1"/>
      <c r="EYC227" s="1"/>
      <c r="EYD227" s="1"/>
      <c r="EYE227" s="1"/>
      <c r="EYF227" s="1"/>
      <c r="EYG227" s="1"/>
      <c r="EYH227" s="1"/>
      <c r="EYI227" s="1"/>
      <c r="EYJ227" s="1"/>
      <c r="EYK227" s="1"/>
      <c r="EYL227" s="1"/>
      <c r="EYM227" s="1"/>
      <c r="EYN227" s="1"/>
      <c r="EYO227" s="1"/>
      <c r="EYP227" s="1"/>
      <c r="EYQ227" s="1"/>
      <c r="EYR227" s="1"/>
      <c r="EYS227" s="1"/>
      <c r="EYT227" s="1"/>
      <c r="EYU227" s="1"/>
      <c r="EYV227" s="1"/>
      <c r="EYW227" s="1"/>
      <c r="EYX227" s="1"/>
      <c r="EYY227" s="1"/>
      <c r="EYZ227" s="1"/>
      <c r="EZA227" s="1"/>
      <c r="EZB227" s="1"/>
      <c r="EZC227" s="1"/>
      <c r="EZD227" s="1"/>
      <c r="EZE227" s="1"/>
      <c r="EZF227" s="1"/>
      <c r="EZG227" s="1"/>
      <c r="EZH227" s="1"/>
      <c r="EZI227" s="1"/>
      <c r="EZJ227" s="1"/>
      <c r="EZK227" s="1"/>
      <c r="EZL227" s="1"/>
      <c r="EZM227" s="1"/>
      <c r="EZN227" s="1"/>
      <c r="EZO227" s="1"/>
      <c r="EZP227" s="1"/>
      <c r="EZQ227" s="1"/>
      <c r="EZR227" s="1"/>
      <c r="EZS227" s="1"/>
      <c r="EZT227" s="1"/>
      <c r="EZU227" s="1"/>
      <c r="EZV227" s="1"/>
      <c r="EZW227" s="1"/>
      <c r="EZX227" s="1"/>
      <c r="EZY227" s="1"/>
      <c r="EZZ227" s="1"/>
      <c r="FAA227" s="1"/>
      <c r="FAB227" s="1"/>
      <c r="FAC227" s="1"/>
      <c r="FAD227" s="1"/>
      <c r="FAE227" s="1"/>
      <c r="FAF227" s="1"/>
      <c r="FAG227" s="1"/>
      <c r="FAH227" s="1"/>
      <c r="FAI227" s="1"/>
      <c r="FAJ227" s="1"/>
      <c r="FAK227" s="1"/>
      <c r="FAL227" s="1"/>
      <c r="FAM227" s="1"/>
      <c r="FAN227" s="1"/>
      <c r="FAO227" s="1"/>
      <c r="FAP227" s="1"/>
      <c r="FAQ227" s="1"/>
      <c r="FAR227" s="1"/>
      <c r="FAS227" s="1"/>
      <c r="FAT227" s="1"/>
      <c r="FAU227" s="1"/>
      <c r="FAV227" s="1"/>
      <c r="FAW227" s="1"/>
      <c r="FAX227" s="1"/>
      <c r="FAY227" s="1"/>
      <c r="FAZ227" s="1"/>
      <c r="FBA227" s="1"/>
      <c r="FBB227" s="1"/>
      <c r="FBC227" s="1"/>
      <c r="FBD227" s="1"/>
      <c r="FBE227" s="1"/>
      <c r="FBF227" s="1"/>
      <c r="FBG227" s="1"/>
      <c r="FBH227" s="1"/>
      <c r="FBI227" s="1"/>
      <c r="FBJ227" s="1"/>
      <c r="FBK227" s="1"/>
      <c r="FBL227" s="1"/>
      <c r="FBM227" s="1"/>
      <c r="FBN227" s="1"/>
      <c r="FBO227" s="1"/>
      <c r="FBP227" s="1"/>
      <c r="FBQ227" s="1"/>
      <c r="FBR227" s="1"/>
      <c r="FBS227" s="1"/>
      <c r="FBT227" s="1"/>
      <c r="FBU227" s="1"/>
      <c r="FBV227" s="1"/>
      <c r="FBW227" s="1"/>
      <c r="FBX227" s="1"/>
      <c r="FBY227" s="1"/>
      <c r="FBZ227" s="1"/>
      <c r="FCA227" s="1"/>
      <c r="FCB227" s="1"/>
      <c r="FCC227" s="1"/>
      <c r="FCD227" s="1"/>
      <c r="FCE227" s="1"/>
      <c r="FCF227" s="1"/>
      <c r="FCG227" s="1"/>
      <c r="FCH227" s="1"/>
      <c r="FCI227" s="1"/>
      <c r="FCJ227" s="1"/>
      <c r="FCK227" s="1"/>
      <c r="FCL227" s="1"/>
      <c r="FCM227" s="1"/>
      <c r="FCN227" s="1"/>
      <c r="FCO227" s="1"/>
      <c r="FCP227" s="1"/>
      <c r="FCQ227" s="1"/>
      <c r="FCR227" s="1"/>
      <c r="FCS227" s="1"/>
      <c r="FCT227" s="1"/>
      <c r="FCU227" s="1"/>
      <c r="FCV227" s="1"/>
      <c r="FCW227" s="1"/>
      <c r="FCX227" s="1"/>
      <c r="FCY227" s="1"/>
      <c r="FCZ227" s="1"/>
      <c r="FDA227" s="1"/>
      <c r="FDB227" s="1"/>
      <c r="FDC227" s="1"/>
      <c r="FDD227" s="1"/>
      <c r="FDE227" s="1"/>
      <c r="FDF227" s="1"/>
      <c r="FDG227" s="1"/>
      <c r="FDH227" s="1"/>
      <c r="FDI227" s="1"/>
      <c r="FDJ227" s="1"/>
      <c r="FDK227" s="1"/>
      <c r="FDL227" s="1"/>
      <c r="FDM227" s="1"/>
      <c r="FDN227" s="1"/>
      <c r="FDO227" s="1"/>
      <c r="FDP227" s="1"/>
      <c r="FDQ227" s="1"/>
      <c r="FDR227" s="1"/>
      <c r="FDS227" s="1"/>
      <c r="FDT227" s="1"/>
      <c r="FDU227" s="1"/>
      <c r="FDV227" s="1"/>
      <c r="FDW227" s="1"/>
      <c r="FDX227" s="1"/>
      <c r="FDY227" s="1"/>
      <c r="FDZ227" s="1"/>
      <c r="FEA227" s="1"/>
      <c r="FEB227" s="1"/>
      <c r="FEC227" s="1"/>
      <c r="FED227" s="1"/>
      <c r="FEE227" s="1"/>
      <c r="FEF227" s="1"/>
      <c r="FEG227" s="1"/>
      <c r="FEH227" s="1"/>
      <c r="FEI227" s="1"/>
      <c r="FEJ227" s="1"/>
      <c r="FEK227" s="1"/>
      <c r="FEL227" s="1"/>
      <c r="FEM227" s="1"/>
      <c r="FEN227" s="1"/>
      <c r="FEO227" s="1"/>
      <c r="FEP227" s="1"/>
      <c r="FEQ227" s="1"/>
      <c r="FER227" s="1"/>
      <c r="FES227" s="1"/>
      <c r="FET227" s="1"/>
      <c r="FEU227" s="1"/>
      <c r="FEV227" s="1"/>
      <c r="FEW227" s="1"/>
      <c r="FEX227" s="1"/>
      <c r="FEY227" s="1"/>
      <c r="FEZ227" s="1"/>
      <c r="FFA227" s="1"/>
      <c r="FFB227" s="1"/>
      <c r="FFC227" s="1"/>
      <c r="FFD227" s="1"/>
      <c r="FFE227" s="1"/>
      <c r="FFF227" s="1"/>
      <c r="FFG227" s="1"/>
      <c r="FFH227" s="1"/>
      <c r="FFI227" s="1"/>
      <c r="FFJ227" s="1"/>
      <c r="FFK227" s="1"/>
      <c r="FFL227" s="1"/>
      <c r="FFM227" s="1"/>
      <c r="FFN227" s="1"/>
      <c r="FFO227" s="1"/>
      <c r="FFP227" s="1"/>
      <c r="FFQ227" s="1"/>
      <c r="FFR227" s="1"/>
      <c r="FFS227" s="1"/>
      <c r="FFT227" s="1"/>
      <c r="FFU227" s="1"/>
      <c r="FFV227" s="1"/>
      <c r="FFW227" s="1"/>
      <c r="FFX227" s="1"/>
      <c r="FFY227" s="1"/>
      <c r="FFZ227" s="1"/>
      <c r="FGA227" s="1"/>
      <c r="FGB227" s="1"/>
      <c r="FGC227" s="1"/>
      <c r="FGD227" s="1"/>
      <c r="FGE227" s="1"/>
      <c r="FGF227" s="1"/>
      <c r="FGG227" s="1"/>
      <c r="FGH227" s="1"/>
      <c r="FGI227" s="1"/>
      <c r="FGJ227" s="1"/>
      <c r="FGK227" s="1"/>
      <c r="FGL227" s="1"/>
      <c r="FGM227" s="1"/>
      <c r="FGN227" s="1"/>
      <c r="FGO227" s="1"/>
      <c r="FGP227" s="1"/>
      <c r="FGQ227" s="1"/>
      <c r="FGR227" s="1"/>
      <c r="FGS227" s="1"/>
      <c r="FGT227" s="1"/>
      <c r="FGU227" s="1"/>
      <c r="FGV227" s="1"/>
      <c r="FGW227" s="1"/>
      <c r="FGX227" s="1"/>
      <c r="FGY227" s="1"/>
      <c r="FGZ227" s="1"/>
      <c r="FHA227" s="1"/>
      <c r="FHB227" s="1"/>
      <c r="FHC227" s="1"/>
      <c r="FHD227" s="1"/>
      <c r="FHE227" s="1"/>
      <c r="FHF227" s="1"/>
      <c r="FHG227" s="1"/>
      <c r="FHH227" s="1"/>
      <c r="FHI227" s="1"/>
      <c r="FHJ227" s="1"/>
      <c r="FHK227" s="1"/>
      <c r="FHL227" s="1"/>
      <c r="FHM227" s="1"/>
      <c r="FHN227" s="1"/>
      <c r="FHO227" s="1"/>
      <c r="FHP227" s="1"/>
      <c r="FHQ227" s="1"/>
      <c r="FHR227" s="1"/>
      <c r="FHS227" s="1"/>
      <c r="FHT227" s="1"/>
      <c r="FHU227" s="1"/>
      <c r="FHV227" s="1"/>
      <c r="FHW227" s="1"/>
      <c r="FHX227" s="1"/>
      <c r="FHY227" s="1"/>
      <c r="FHZ227" s="1"/>
      <c r="FIA227" s="1"/>
      <c r="FIB227" s="1"/>
      <c r="FIC227" s="1"/>
      <c r="FID227" s="1"/>
      <c r="FIE227" s="1"/>
      <c r="FIF227" s="1"/>
      <c r="FIG227" s="1"/>
      <c r="FIH227" s="1"/>
      <c r="FII227" s="1"/>
      <c r="FIJ227" s="1"/>
      <c r="FIK227" s="1"/>
      <c r="FIL227" s="1"/>
      <c r="FIM227" s="1"/>
      <c r="FIN227" s="1"/>
      <c r="FIO227" s="1"/>
      <c r="FIP227" s="1"/>
      <c r="FIQ227" s="1"/>
      <c r="FIR227" s="1"/>
      <c r="FIS227" s="1"/>
      <c r="FIT227" s="1"/>
      <c r="FIU227" s="1"/>
      <c r="FIV227" s="1"/>
      <c r="FIW227" s="1"/>
      <c r="FIX227" s="1"/>
      <c r="FIY227" s="1"/>
      <c r="FIZ227" s="1"/>
      <c r="FJA227" s="1"/>
      <c r="FJB227" s="1"/>
      <c r="FJC227" s="1"/>
      <c r="FJD227" s="1"/>
      <c r="FJE227" s="1"/>
      <c r="FJF227" s="1"/>
      <c r="FJG227" s="1"/>
      <c r="FJH227" s="1"/>
      <c r="FJI227" s="1"/>
      <c r="FJJ227" s="1"/>
      <c r="FJK227" s="1"/>
      <c r="FJL227" s="1"/>
      <c r="FJM227" s="1"/>
      <c r="FJN227" s="1"/>
      <c r="FJO227" s="1"/>
      <c r="FJP227" s="1"/>
      <c r="FJQ227" s="1"/>
      <c r="FJR227" s="1"/>
      <c r="FJS227" s="1"/>
      <c r="FJT227" s="1"/>
      <c r="FJU227" s="1"/>
      <c r="FJV227" s="1"/>
      <c r="FJW227" s="1"/>
      <c r="FJX227" s="1"/>
      <c r="FJY227" s="1"/>
      <c r="FJZ227" s="1"/>
      <c r="FKA227" s="1"/>
      <c r="FKB227" s="1"/>
      <c r="FKC227" s="1"/>
      <c r="FKD227" s="1"/>
      <c r="FKE227" s="1"/>
      <c r="FKF227" s="1"/>
      <c r="FKG227" s="1"/>
      <c r="FKH227" s="1"/>
      <c r="FKI227" s="1"/>
      <c r="FKJ227" s="1"/>
      <c r="FKK227" s="1"/>
      <c r="FKL227" s="1"/>
      <c r="FKM227" s="1"/>
      <c r="FKN227" s="1"/>
      <c r="FKO227" s="1"/>
      <c r="FKP227" s="1"/>
      <c r="FKQ227" s="1"/>
      <c r="FKR227" s="1"/>
      <c r="FKS227" s="1"/>
      <c r="FKT227" s="1"/>
      <c r="FKU227" s="1"/>
      <c r="FKV227" s="1"/>
      <c r="FKW227" s="1"/>
      <c r="FKX227" s="1"/>
      <c r="FKY227" s="1"/>
      <c r="FKZ227" s="1"/>
      <c r="FLA227" s="1"/>
      <c r="FLB227" s="1"/>
      <c r="FLC227" s="1"/>
      <c r="FLD227" s="1"/>
      <c r="FLE227" s="1"/>
      <c r="FLF227" s="1"/>
      <c r="FLG227" s="1"/>
      <c r="FLH227" s="1"/>
      <c r="FLI227" s="1"/>
      <c r="FLJ227" s="1"/>
      <c r="FLK227" s="1"/>
      <c r="FLL227" s="1"/>
      <c r="FLM227" s="1"/>
      <c r="FLN227" s="1"/>
      <c r="FLO227" s="1"/>
      <c r="FLP227" s="1"/>
      <c r="FLQ227" s="1"/>
      <c r="FLR227" s="1"/>
      <c r="FLS227" s="1"/>
      <c r="FLT227" s="1"/>
      <c r="FLU227" s="1"/>
      <c r="FLV227" s="1"/>
      <c r="FLW227" s="1"/>
      <c r="FLX227" s="1"/>
      <c r="FLY227" s="1"/>
      <c r="FLZ227" s="1"/>
      <c r="FMA227" s="1"/>
      <c r="FMB227" s="1"/>
      <c r="FMC227" s="1"/>
      <c r="FMD227" s="1"/>
      <c r="FME227" s="1"/>
      <c r="FMF227" s="1"/>
      <c r="FMG227" s="1"/>
      <c r="FMH227" s="1"/>
      <c r="FMI227" s="1"/>
      <c r="FMJ227" s="1"/>
      <c r="FMK227" s="1"/>
      <c r="FML227" s="1"/>
      <c r="FMM227" s="1"/>
      <c r="FMN227" s="1"/>
      <c r="FMO227" s="1"/>
      <c r="FMP227" s="1"/>
      <c r="FMQ227" s="1"/>
      <c r="FMR227" s="1"/>
      <c r="FMS227" s="1"/>
      <c r="FMT227" s="1"/>
      <c r="FMU227" s="1"/>
      <c r="FMV227" s="1"/>
      <c r="FMW227" s="1"/>
      <c r="FMX227" s="1"/>
      <c r="FMY227" s="1"/>
      <c r="FMZ227" s="1"/>
      <c r="FNA227" s="1"/>
      <c r="FNB227" s="1"/>
      <c r="FNC227" s="1"/>
      <c r="FND227" s="1"/>
      <c r="FNE227" s="1"/>
      <c r="FNF227" s="1"/>
      <c r="FNG227" s="1"/>
      <c r="FNH227" s="1"/>
      <c r="FNI227" s="1"/>
      <c r="FNJ227" s="1"/>
      <c r="FNK227" s="1"/>
      <c r="FNL227" s="1"/>
      <c r="FNM227" s="1"/>
      <c r="FNN227" s="1"/>
      <c r="FNO227" s="1"/>
      <c r="FNP227" s="1"/>
      <c r="FNQ227" s="1"/>
      <c r="FNR227" s="1"/>
      <c r="FNS227" s="1"/>
      <c r="FNT227" s="1"/>
      <c r="FNU227" s="1"/>
      <c r="FNV227" s="1"/>
      <c r="FNW227" s="1"/>
      <c r="FNX227" s="1"/>
      <c r="FNY227" s="1"/>
      <c r="FNZ227" s="1"/>
      <c r="FOA227" s="1"/>
      <c r="FOB227" s="1"/>
      <c r="FOC227" s="1"/>
      <c r="FOD227" s="1"/>
      <c r="FOE227" s="1"/>
      <c r="FOF227" s="1"/>
      <c r="FOG227" s="1"/>
      <c r="FOH227" s="1"/>
      <c r="FOI227" s="1"/>
      <c r="FOJ227" s="1"/>
      <c r="FOK227" s="1"/>
      <c r="FOL227" s="1"/>
      <c r="FOM227" s="1"/>
      <c r="FON227" s="1"/>
      <c r="FOO227" s="1"/>
      <c r="FOP227" s="1"/>
      <c r="FOQ227" s="1"/>
      <c r="FOR227" s="1"/>
      <c r="FOS227" s="1"/>
      <c r="FOT227" s="1"/>
      <c r="FOU227" s="1"/>
      <c r="FOV227" s="1"/>
      <c r="FOW227" s="1"/>
      <c r="FOX227" s="1"/>
      <c r="FOY227" s="1"/>
      <c r="FOZ227" s="1"/>
      <c r="FPA227" s="1"/>
      <c r="FPB227" s="1"/>
      <c r="FPC227" s="1"/>
      <c r="FPD227" s="1"/>
      <c r="FPE227" s="1"/>
      <c r="FPF227" s="1"/>
      <c r="FPG227" s="1"/>
      <c r="FPH227" s="1"/>
      <c r="FPI227" s="1"/>
      <c r="FPJ227" s="1"/>
      <c r="FPK227" s="1"/>
      <c r="FPL227" s="1"/>
      <c r="FPM227" s="1"/>
      <c r="FPN227" s="1"/>
      <c r="FPO227" s="1"/>
      <c r="FPP227" s="1"/>
      <c r="FPQ227" s="1"/>
      <c r="FPR227" s="1"/>
      <c r="FPS227" s="1"/>
      <c r="FPT227" s="1"/>
      <c r="FPU227" s="1"/>
      <c r="FPV227" s="1"/>
      <c r="FPW227" s="1"/>
      <c r="FPX227" s="1"/>
      <c r="FPY227" s="1"/>
      <c r="FPZ227" s="1"/>
      <c r="FQA227" s="1"/>
      <c r="FQB227" s="1"/>
      <c r="FQC227" s="1"/>
      <c r="FQD227" s="1"/>
      <c r="FQE227" s="1"/>
      <c r="FQF227" s="1"/>
      <c r="FQG227" s="1"/>
      <c r="FQH227" s="1"/>
      <c r="FQI227" s="1"/>
      <c r="FQJ227" s="1"/>
      <c r="FQK227" s="1"/>
      <c r="FQL227" s="1"/>
      <c r="FQM227" s="1"/>
      <c r="FQN227" s="1"/>
      <c r="FQO227" s="1"/>
      <c r="FQP227" s="1"/>
      <c r="FQQ227" s="1"/>
      <c r="FQR227" s="1"/>
      <c r="FQS227" s="1"/>
      <c r="FQT227" s="1"/>
      <c r="FQU227" s="1"/>
      <c r="FQV227" s="1"/>
      <c r="FQW227" s="1"/>
      <c r="FQX227" s="1"/>
      <c r="FQY227" s="1"/>
      <c r="FQZ227" s="1"/>
      <c r="FRA227" s="1"/>
      <c r="FRB227" s="1"/>
      <c r="FRC227" s="1"/>
      <c r="FRD227" s="1"/>
      <c r="FRE227" s="1"/>
      <c r="FRF227" s="1"/>
      <c r="FRG227" s="1"/>
      <c r="FRH227" s="1"/>
      <c r="FRI227" s="1"/>
      <c r="FRJ227" s="1"/>
      <c r="FRK227" s="1"/>
      <c r="FRL227" s="1"/>
      <c r="FRM227" s="1"/>
      <c r="FRN227" s="1"/>
      <c r="FRO227" s="1"/>
      <c r="FRP227" s="1"/>
      <c r="FRQ227" s="1"/>
      <c r="FRR227" s="1"/>
      <c r="FRS227" s="1"/>
      <c r="FRT227" s="1"/>
      <c r="FRU227" s="1"/>
      <c r="FRV227" s="1"/>
      <c r="FRW227" s="1"/>
      <c r="FRX227" s="1"/>
      <c r="FRY227" s="1"/>
      <c r="FRZ227" s="1"/>
      <c r="FSA227" s="1"/>
      <c r="FSB227" s="1"/>
      <c r="FSC227" s="1"/>
      <c r="FSD227" s="1"/>
      <c r="FSE227" s="1"/>
      <c r="FSF227" s="1"/>
      <c r="FSG227" s="1"/>
      <c r="FSH227" s="1"/>
      <c r="FSI227" s="1"/>
      <c r="FSJ227" s="1"/>
      <c r="FSK227" s="1"/>
      <c r="FSL227" s="1"/>
      <c r="FSM227" s="1"/>
      <c r="FSN227" s="1"/>
      <c r="FSO227" s="1"/>
      <c r="FSP227" s="1"/>
      <c r="FSQ227" s="1"/>
      <c r="FSR227" s="1"/>
      <c r="FSS227" s="1"/>
      <c r="FST227" s="1"/>
      <c r="FSU227" s="1"/>
      <c r="FSV227" s="1"/>
      <c r="FSW227" s="1"/>
      <c r="FSX227" s="1"/>
      <c r="FSY227" s="1"/>
      <c r="FSZ227" s="1"/>
      <c r="FTA227" s="1"/>
      <c r="FTB227" s="1"/>
      <c r="FTC227" s="1"/>
      <c r="FTD227" s="1"/>
      <c r="FTE227" s="1"/>
      <c r="FTF227" s="1"/>
      <c r="FTG227" s="1"/>
      <c r="FTH227" s="1"/>
      <c r="FTI227" s="1"/>
      <c r="FTJ227" s="1"/>
      <c r="FTK227" s="1"/>
      <c r="FTL227" s="1"/>
      <c r="FTM227" s="1"/>
      <c r="FTN227" s="1"/>
      <c r="FTO227" s="1"/>
      <c r="FTP227" s="1"/>
      <c r="FTQ227" s="1"/>
      <c r="FTR227" s="1"/>
      <c r="FTS227" s="1"/>
      <c r="FTT227" s="1"/>
      <c r="FTU227" s="1"/>
      <c r="FTV227" s="1"/>
      <c r="FTW227" s="1"/>
      <c r="FTX227" s="1"/>
      <c r="FTY227" s="1"/>
      <c r="FTZ227" s="1"/>
      <c r="FUA227" s="1"/>
      <c r="FUB227" s="1"/>
      <c r="FUC227" s="1"/>
      <c r="FUD227" s="1"/>
      <c r="FUE227" s="1"/>
      <c r="FUF227" s="1"/>
      <c r="FUG227" s="1"/>
      <c r="FUH227" s="1"/>
      <c r="FUI227" s="1"/>
      <c r="FUJ227" s="1"/>
      <c r="FUK227" s="1"/>
      <c r="FUL227" s="1"/>
      <c r="FUM227" s="1"/>
      <c r="FUN227" s="1"/>
      <c r="FUO227" s="1"/>
      <c r="FUP227" s="1"/>
      <c r="FUQ227" s="1"/>
      <c r="FUR227" s="1"/>
      <c r="FUS227" s="1"/>
      <c r="FUT227" s="1"/>
      <c r="FUU227" s="1"/>
      <c r="FUV227" s="1"/>
      <c r="FUW227" s="1"/>
      <c r="FUX227" s="1"/>
      <c r="FUY227" s="1"/>
      <c r="FUZ227" s="1"/>
      <c r="FVA227" s="1"/>
      <c r="FVB227" s="1"/>
      <c r="FVC227" s="1"/>
      <c r="FVD227" s="1"/>
      <c r="FVE227" s="1"/>
      <c r="FVF227" s="1"/>
      <c r="FVG227" s="1"/>
      <c r="FVH227" s="1"/>
      <c r="FVI227" s="1"/>
      <c r="FVJ227" s="1"/>
      <c r="FVK227" s="1"/>
      <c r="FVL227" s="1"/>
      <c r="FVM227" s="1"/>
      <c r="FVN227" s="1"/>
      <c r="FVO227" s="1"/>
      <c r="FVP227" s="1"/>
      <c r="FVQ227" s="1"/>
      <c r="FVR227" s="1"/>
      <c r="FVS227" s="1"/>
      <c r="FVT227" s="1"/>
      <c r="FVU227" s="1"/>
      <c r="FVV227" s="1"/>
      <c r="FVW227" s="1"/>
      <c r="FVX227" s="1"/>
      <c r="FVY227" s="1"/>
      <c r="FVZ227" s="1"/>
      <c r="FWA227" s="1"/>
      <c r="FWB227" s="1"/>
      <c r="FWC227" s="1"/>
      <c r="FWD227" s="1"/>
      <c r="FWE227" s="1"/>
      <c r="FWF227" s="1"/>
      <c r="FWG227" s="1"/>
      <c r="FWH227" s="1"/>
      <c r="FWI227" s="1"/>
      <c r="FWJ227" s="1"/>
      <c r="FWK227" s="1"/>
      <c r="FWL227" s="1"/>
      <c r="FWM227" s="1"/>
      <c r="FWN227" s="1"/>
      <c r="FWO227" s="1"/>
      <c r="FWP227" s="1"/>
      <c r="FWQ227" s="1"/>
      <c r="FWR227" s="1"/>
      <c r="FWS227" s="1"/>
      <c r="FWT227" s="1"/>
      <c r="FWU227" s="1"/>
      <c r="FWV227" s="1"/>
      <c r="FWW227" s="1"/>
      <c r="FWX227" s="1"/>
      <c r="FWY227" s="1"/>
      <c r="FWZ227" s="1"/>
      <c r="FXA227" s="1"/>
      <c r="FXB227" s="1"/>
      <c r="FXC227" s="1"/>
      <c r="FXD227" s="1"/>
      <c r="FXE227" s="1"/>
      <c r="FXF227" s="1"/>
      <c r="FXG227" s="1"/>
      <c r="FXH227" s="1"/>
      <c r="FXI227" s="1"/>
      <c r="FXJ227" s="1"/>
      <c r="FXK227" s="1"/>
      <c r="FXL227" s="1"/>
      <c r="FXM227" s="1"/>
      <c r="FXN227" s="1"/>
      <c r="FXO227" s="1"/>
      <c r="FXP227" s="1"/>
      <c r="FXQ227" s="1"/>
      <c r="FXR227" s="1"/>
      <c r="FXS227" s="1"/>
      <c r="FXT227" s="1"/>
      <c r="FXU227" s="1"/>
      <c r="FXV227" s="1"/>
      <c r="FXW227" s="1"/>
      <c r="FXX227" s="1"/>
      <c r="FXY227" s="1"/>
      <c r="FXZ227" s="1"/>
      <c r="FYA227" s="1"/>
      <c r="FYB227" s="1"/>
      <c r="FYC227" s="1"/>
      <c r="FYD227" s="1"/>
      <c r="FYE227" s="1"/>
      <c r="FYF227" s="1"/>
      <c r="FYG227" s="1"/>
      <c r="FYH227" s="1"/>
      <c r="FYI227" s="1"/>
      <c r="FYJ227" s="1"/>
      <c r="FYK227" s="1"/>
      <c r="FYL227" s="1"/>
      <c r="FYM227" s="1"/>
      <c r="FYN227" s="1"/>
      <c r="FYO227" s="1"/>
      <c r="FYP227" s="1"/>
      <c r="FYQ227" s="1"/>
      <c r="FYR227" s="1"/>
      <c r="FYS227" s="1"/>
      <c r="FYT227" s="1"/>
      <c r="FYU227" s="1"/>
      <c r="FYV227" s="1"/>
      <c r="FYW227" s="1"/>
      <c r="FYX227" s="1"/>
      <c r="FYY227" s="1"/>
      <c r="FYZ227" s="1"/>
      <c r="FZA227" s="1"/>
      <c r="FZB227" s="1"/>
      <c r="FZC227" s="1"/>
      <c r="FZD227" s="1"/>
      <c r="FZE227" s="1"/>
      <c r="FZF227" s="1"/>
      <c r="FZG227" s="1"/>
      <c r="FZH227" s="1"/>
      <c r="FZI227" s="1"/>
      <c r="FZJ227" s="1"/>
      <c r="FZK227" s="1"/>
      <c r="FZL227" s="1"/>
      <c r="FZM227" s="1"/>
      <c r="FZN227" s="1"/>
      <c r="FZO227" s="1"/>
      <c r="FZP227" s="1"/>
      <c r="FZQ227" s="1"/>
      <c r="FZR227" s="1"/>
      <c r="FZS227" s="1"/>
      <c r="FZT227" s="1"/>
      <c r="FZU227" s="1"/>
      <c r="FZV227" s="1"/>
      <c r="FZW227" s="1"/>
      <c r="FZX227" s="1"/>
      <c r="FZY227" s="1"/>
      <c r="FZZ227" s="1"/>
      <c r="GAA227" s="1"/>
      <c r="GAB227" s="1"/>
      <c r="GAC227" s="1"/>
      <c r="GAD227" s="1"/>
      <c r="GAE227" s="1"/>
      <c r="GAF227" s="1"/>
      <c r="GAG227" s="1"/>
      <c r="GAH227" s="1"/>
      <c r="GAI227" s="1"/>
      <c r="GAJ227" s="1"/>
      <c r="GAK227" s="1"/>
      <c r="GAL227" s="1"/>
      <c r="GAM227" s="1"/>
      <c r="GAN227" s="1"/>
      <c r="GAO227" s="1"/>
      <c r="GAP227" s="1"/>
      <c r="GAQ227" s="1"/>
      <c r="GAR227" s="1"/>
      <c r="GAS227" s="1"/>
      <c r="GAT227" s="1"/>
      <c r="GAU227" s="1"/>
      <c r="GAV227" s="1"/>
      <c r="GAW227" s="1"/>
      <c r="GAX227" s="1"/>
      <c r="GAY227" s="1"/>
      <c r="GAZ227" s="1"/>
      <c r="GBA227" s="1"/>
      <c r="GBB227" s="1"/>
      <c r="GBC227" s="1"/>
      <c r="GBD227" s="1"/>
      <c r="GBE227" s="1"/>
      <c r="GBF227" s="1"/>
      <c r="GBG227" s="1"/>
      <c r="GBH227" s="1"/>
      <c r="GBI227" s="1"/>
      <c r="GBJ227" s="1"/>
      <c r="GBK227" s="1"/>
      <c r="GBL227" s="1"/>
      <c r="GBM227" s="1"/>
      <c r="GBN227" s="1"/>
      <c r="GBO227" s="1"/>
      <c r="GBP227" s="1"/>
      <c r="GBQ227" s="1"/>
      <c r="GBR227" s="1"/>
      <c r="GBS227" s="1"/>
      <c r="GBT227" s="1"/>
      <c r="GBU227" s="1"/>
      <c r="GBV227" s="1"/>
      <c r="GBW227" s="1"/>
      <c r="GBX227" s="1"/>
      <c r="GBY227" s="1"/>
      <c r="GBZ227" s="1"/>
      <c r="GCA227" s="1"/>
      <c r="GCB227" s="1"/>
      <c r="GCC227" s="1"/>
      <c r="GCD227" s="1"/>
      <c r="GCE227" s="1"/>
      <c r="GCF227" s="1"/>
      <c r="GCG227" s="1"/>
      <c r="GCH227" s="1"/>
      <c r="GCI227" s="1"/>
      <c r="GCJ227" s="1"/>
      <c r="GCK227" s="1"/>
      <c r="GCL227" s="1"/>
      <c r="GCM227" s="1"/>
      <c r="GCN227" s="1"/>
      <c r="GCO227" s="1"/>
      <c r="GCP227" s="1"/>
      <c r="GCQ227" s="1"/>
      <c r="GCR227" s="1"/>
      <c r="GCS227" s="1"/>
      <c r="GCT227" s="1"/>
      <c r="GCU227" s="1"/>
      <c r="GCV227" s="1"/>
      <c r="GCW227" s="1"/>
      <c r="GCX227" s="1"/>
      <c r="GCY227" s="1"/>
      <c r="GCZ227" s="1"/>
      <c r="GDA227" s="1"/>
      <c r="GDB227" s="1"/>
      <c r="GDC227" s="1"/>
      <c r="GDD227" s="1"/>
      <c r="GDE227" s="1"/>
      <c r="GDF227" s="1"/>
      <c r="GDG227" s="1"/>
      <c r="GDH227" s="1"/>
      <c r="GDI227" s="1"/>
      <c r="GDJ227" s="1"/>
      <c r="GDK227" s="1"/>
      <c r="GDL227" s="1"/>
      <c r="GDM227" s="1"/>
      <c r="GDN227" s="1"/>
      <c r="GDO227" s="1"/>
      <c r="GDP227" s="1"/>
      <c r="GDQ227" s="1"/>
      <c r="GDR227" s="1"/>
      <c r="GDS227" s="1"/>
      <c r="GDT227" s="1"/>
      <c r="GDU227" s="1"/>
      <c r="GDV227" s="1"/>
      <c r="GDW227" s="1"/>
      <c r="GDX227" s="1"/>
      <c r="GDY227" s="1"/>
      <c r="GDZ227" s="1"/>
      <c r="GEA227" s="1"/>
      <c r="GEB227" s="1"/>
      <c r="GEC227" s="1"/>
      <c r="GED227" s="1"/>
      <c r="GEE227" s="1"/>
      <c r="GEF227" s="1"/>
      <c r="GEG227" s="1"/>
      <c r="GEH227" s="1"/>
      <c r="GEI227" s="1"/>
      <c r="GEJ227" s="1"/>
      <c r="GEK227" s="1"/>
      <c r="GEL227" s="1"/>
      <c r="GEM227" s="1"/>
      <c r="GEN227" s="1"/>
      <c r="GEO227" s="1"/>
      <c r="GEP227" s="1"/>
      <c r="GEQ227" s="1"/>
      <c r="GER227" s="1"/>
      <c r="GES227" s="1"/>
      <c r="GET227" s="1"/>
      <c r="GEU227" s="1"/>
      <c r="GEV227" s="1"/>
      <c r="GEW227" s="1"/>
      <c r="GEX227" s="1"/>
      <c r="GEY227" s="1"/>
      <c r="GEZ227" s="1"/>
      <c r="GFA227" s="1"/>
      <c r="GFB227" s="1"/>
      <c r="GFC227" s="1"/>
      <c r="GFD227" s="1"/>
      <c r="GFE227" s="1"/>
      <c r="GFF227" s="1"/>
      <c r="GFG227" s="1"/>
      <c r="GFH227" s="1"/>
      <c r="GFI227" s="1"/>
      <c r="GFJ227" s="1"/>
      <c r="GFK227" s="1"/>
      <c r="GFL227" s="1"/>
      <c r="GFM227" s="1"/>
      <c r="GFN227" s="1"/>
      <c r="GFO227" s="1"/>
      <c r="GFP227" s="1"/>
      <c r="GFQ227" s="1"/>
      <c r="GFR227" s="1"/>
      <c r="GFS227" s="1"/>
      <c r="GFT227" s="1"/>
      <c r="GFU227" s="1"/>
      <c r="GFV227" s="1"/>
      <c r="GFW227" s="1"/>
      <c r="GFX227" s="1"/>
      <c r="GFY227" s="1"/>
      <c r="GFZ227" s="1"/>
      <c r="GGA227" s="1"/>
      <c r="GGB227" s="1"/>
      <c r="GGC227" s="1"/>
      <c r="GGD227" s="1"/>
      <c r="GGE227" s="1"/>
      <c r="GGF227" s="1"/>
      <c r="GGG227" s="1"/>
      <c r="GGH227" s="1"/>
      <c r="GGI227" s="1"/>
      <c r="GGJ227" s="1"/>
      <c r="GGK227" s="1"/>
      <c r="GGL227" s="1"/>
      <c r="GGM227" s="1"/>
      <c r="GGN227" s="1"/>
      <c r="GGO227" s="1"/>
      <c r="GGP227" s="1"/>
      <c r="GGQ227" s="1"/>
      <c r="GGR227" s="1"/>
      <c r="GGS227" s="1"/>
      <c r="GGT227" s="1"/>
      <c r="GGU227" s="1"/>
      <c r="GGV227" s="1"/>
      <c r="GGW227" s="1"/>
      <c r="GGX227" s="1"/>
      <c r="GGY227" s="1"/>
      <c r="GGZ227" s="1"/>
      <c r="GHA227" s="1"/>
      <c r="GHB227" s="1"/>
      <c r="GHC227" s="1"/>
      <c r="GHD227" s="1"/>
      <c r="GHE227" s="1"/>
      <c r="GHF227" s="1"/>
      <c r="GHG227" s="1"/>
      <c r="GHH227" s="1"/>
      <c r="GHI227" s="1"/>
      <c r="GHJ227" s="1"/>
      <c r="GHK227" s="1"/>
      <c r="GHL227" s="1"/>
      <c r="GHM227" s="1"/>
      <c r="GHN227" s="1"/>
      <c r="GHO227" s="1"/>
      <c r="GHP227" s="1"/>
      <c r="GHQ227" s="1"/>
      <c r="GHR227" s="1"/>
      <c r="GHS227" s="1"/>
      <c r="GHT227" s="1"/>
      <c r="GHU227" s="1"/>
      <c r="GHV227" s="1"/>
      <c r="GHW227" s="1"/>
      <c r="GHX227" s="1"/>
      <c r="GHY227" s="1"/>
      <c r="GHZ227" s="1"/>
      <c r="GIA227" s="1"/>
      <c r="GIB227" s="1"/>
      <c r="GIC227" s="1"/>
      <c r="GID227" s="1"/>
      <c r="GIE227" s="1"/>
      <c r="GIF227" s="1"/>
      <c r="GIG227" s="1"/>
      <c r="GIH227" s="1"/>
      <c r="GII227" s="1"/>
      <c r="GIJ227" s="1"/>
      <c r="GIK227" s="1"/>
      <c r="GIL227" s="1"/>
      <c r="GIM227" s="1"/>
      <c r="GIN227" s="1"/>
      <c r="GIO227" s="1"/>
      <c r="GIP227" s="1"/>
      <c r="GIQ227" s="1"/>
      <c r="GIR227" s="1"/>
      <c r="GIS227" s="1"/>
      <c r="GIT227" s="1"/>
      <c r="GIU227" s="1"/>
      <c r="GIV227" s="1"/>
      <c r="GIW227" s="1"/>
      <c r="GIX227" s="1"/>
      <c r="GIY227" s="1"/>
      <c r="GIZ227" s="1"/>
      <c r="GJA227" s="1"/>
      <c r="GJB227" s="1"/>
      <c r="GJC227" s="1"/>
      <c r="GJD227" s="1"/>
      <c r="GJE227" s="1"/>
      <c r="GJF227" s="1"/>
      <c r="GJG227" s="1"/>
      <c r="GJH227" s="1"/>
      <c r="GJI227" s="1"/>
      <c r="GJJ227" s="1"/>
      <c r="GJK227" s="1"/>
      <c r="GJL227" s="1"/>
      <c r="GJM227" s="1"/>
      <c r="GJN227" s="1"/>
      <c r="GJO227" s="1"/>
      <c r="GJP227" s="1"/>
      <c r="GJQ227" s="1"/>
      <c r="GJR227" s="1"/>
      <c r="GJS227" s="1"/>
      <c r="GJT227" s="1"/>
      <c r="GJU227" s="1"/>
      <c r="GJV227" s="1"/>
      <c r="GJW227" s="1"/>
      <c r="GJX227" s="1"/>
      <c r="GJY227" s="1"/>
      <c r="GJZ227" s="1"/>
      <c r="GKA227" s="1"/>
      <c r="GKB227" s="1"/>
      <c r="GKC227" s="1"/>
      <c r="GKD227" s="1"/>
      <c r="GKE227" s="1"/>
      <c r="GKF227" s="1"/>
      <c r="GKG227" s="1"/>
      <c r="GKH227" s="1"/>
      <c r="GKI227" s="1"/>
      <c r="GKJ227" s="1"/>
      <c r="GKK227" s="1"/>
      <c r="GKL227" s="1"/>
      <c r="GKM227" s="1"/>
      <c r="GKN227" s="1"/>
      <c r="GKO227" s="1"/>
      <c r="GKP227" s="1"/>
      <c r="GKQ227" s="1"/>
      <c r="GKR227" s="1"/>
      <c r="GKS227" s="1"/>
      <c r="GKT227" s="1"/>
      <c r="GKU227" s="1"/>
      <c r="GKV227" s="1"/>
      <c r="GKW227" s="1"/>
      <c r="GKX227" s="1"/>
      <c r="GKY227" s="1"/>
      <c r="GKZ227" s="1"/>
      <c r="GLA227" s="1"/>
      <c r="GLB227" s="1"/>
      <c r="GLC227" s="1"/>
      <c r="GLD227" s="1"/>
      <c r="GLE227" s="1"/>
      <c r="GLF227" s="1"/>
      <c r="GLG227" s="1"/>
      <c r="GLH227" s="1"/>
      <c r="GLI227" s="1"/>
      <c r="GLJ227" s="1"/>
      <c r="GLK227" s="1"/>
      <c r="GLL227" s="1"/>
      <c r="GLM227" s="1"/>
      <c r="GLN227" s="1"/>
      <c r="GLO227" s="1"/>
      <c r="GLP227" s="1"/>
      <c r="GLQ227" s="1"/>
      <c r="GLR227" s="1"/>
      <c r="GLS227" s="1"/>
      <c r="GLT227" s="1"/>
      <c r="GLU227" s="1"/>
      <c r="GLV227" s="1"/>
      <c r="GLW227" s="1"/>
      <c r="GLX227" s="1"/>
      <c r="GLY227" s="1"/>
      <c r="GLZ227" s="1"/>
      <c r="GMA227" s="1"/>
      <c r="GMB227" s="1"/>
      <c r="GMC227" s="1"/>
      <c r="GMD227" s="1"/>
      <c r="GME227" s="1"/>
      <c r="GMF227" s="1"/>
      <c r="GMG227" s="1"/>
      <c r="GMH227" s="1"/>
      <c r="GMI227" s="1"/>
      <c r="GMJ227" s="1"/>
      <c r="GMK227" s="1"/>
      <c r="GML227" s="1"/>
      <c r="GMM227" s="1"/>
      <c r="GMN227" s="1"/>
      <c r="GMO227" s="1"/>
      <c r="GMP227" s="1"/>
      <c r="GMQ227" s="1"/>
      <c r="GMR227" s="1"/>
      <c r="GMS227" s="1"/>
      <c r="GMT227" s="1"/>
      <c r="GMU227" s="1"/>
      <c r="GMV227" s="1"/>
      <c r="GMW227" s="1"/>
      <c r="GMX227" s="1"/>
      <c r="GMY227" s="1"/>
      <c r="GMZ227" s="1"/>
      <c r="GNA227" s="1"/>
      <c r="GNB227" s="1"/>
      <c r="GNC227" s="1"/>
      <c r="GND227" s="1"/>
      <c r="GNE227" s="1"/>
      <c r="GNF227" s="1"/>
      <c r="GNG227" s="1"/>
      <c r="GNH227" s="1"/>
      <c r="GNI227" s="1"/>
      <c r="GNJ227" s="1"/>
      <c r="GNK227" s="1"/>
      <c r="GNL227" s="1"/>
      <c r="GNM227" s="1"/>
      <c r="GNN227" s="1"/>
      <c r="GNO227" s="1"/>
      <c r="GNP227" s="1"/>
      <c r="GNQ227" s="1"/>
      <c r="GNR227" s="1"/>
      <c r="GNS227" s="1"/>
      <c r="GNT227" s="1"/>
      <c r="GNU227" s="1"/>
      <c r="GNV227" s="1"/>
      <c r="GNW227" s="1"/>
      <c r="GNX227" s="1"/>
      <c r="GNY227" s="1"/>
      <c r="GNZ227" s="1"/>
      <c r="GOA227" s="1"/>
      <c r="GOB227" s="1"/>
      <c r="GOC227" s="1"/>
      <c r="GOD227" s="1"/>
      <c r="GOE227" s="1"/>
      <c r="GOF227" s="1"/>
      <c r="GOG227" s="1"/>
      <c r="GOH227" s="1"/>
      <c r="GOI227" s="1"/>
      <c r="GOJ227" s="1"/>
      <c r="GOK227" s="1"/>
      <c r="GOL227" s="1"/>
      <c r="GOM227" s="1"/>
      <c r="GON227" s="1"/>
      <c r="GOO227" s="1"/>
      <c r="GOP227" s="1"/>
      <c r="GOQ227" s="1"/>
      <c r="GOR227" s="1"/>
      <c r="GOS227" s="1"/>
      <c r="GOT227" s="1"/>
      <c r="GOU227" s="1"/>
      <c r="GOV227" s="1"/>
      <c r="GOW227" s="1"/>
      <c r="GOX227" s="1"/>
      <c r="GOY227" s="1"/>
      <c r="GOZ227" s="1"/>
      <c r="GPA227" s="1"/>
      <c r="GPB227" s="1"/>
      <c r="GPC227" s="1"/>
      <c r="GPD227" s="1"/>
      <c r="GPE227" s="1"/>
      <c r="GPF227" s="1"/>
      <c r="GPG227" s="1"/>
      <c r="GPH227" s="1"/>
      <c r="GPI227" s="1"/>
      <c r="GPJ227" s="1"/>
      <c r="GPK227" s="1"/>
      <c r="GPL227" s="1"/>
      <c r="GPM227" s="1"/>
      <c r="GPN227" s="1"/>
      <c r="GPO227" s="1"/>
      <c r="GPP227" s="1"/>
      <c r="GPQ227" s="1"/>
      <c r="GPR227" s="1"/>
      <c r="GPS227" s="1"/>
      <c r="GPT227" s="1"/>
      <c r="GPU227" s="1"/>
      <c r="GPV227" s="1"/>
      <c r="GPW227" s="1"/>
      <c r="GPX227" s="1"/>
      <c r="GPY227" s="1"/>
      <c r="GPZ227" s="1"/>
      <c r="GQA227" s="1"/>
      <c r="GQB227" s="1"/>
      <c r="GQC227" s="1"/>
      <c r="GQD227" s="1"/>
      <c r="GQE227" s="1"/>
      <c r="GQF227" s="1"/>
      <c r="GQG227" s="1"/>
      <c r="GQH227" s="1"/>
      <c r="GQI227" s="1"/>
      <c r="GQJ227" s="1"/>
      <c r="GQK227" s="1"/>
      <c r="GQL227" s="1"/>
      <c r="GQM227" s="1"/>
      <c r="GQN227" s="1"/>
      <c r="GQO227" s="1"/>
      <c r="GQP227" s="1"/>
      <c r="GQQ227" s="1"/>
      <c r="GQR227" s="1"/>
      <c r="GQS227" s="1"/>
      <c r="GQT227" s="1"/>
      <c r="GQU227" s="1"/>
      <c r="GQV227" s="1"/>
      <c r="GQW227" s="1"/>
      <c r="GQX227" s="1"/>
      <c r="GQY227" s="1"/>
      <c r="GQZ227" s="1"/>
      <c r="GRA227" s="1"/>
      <c r="GRB227" s="1"/>
      <c r="GRC227" s="1"/>
      <c r="GRD227" s="1"/>
      <c r="GRE227" s="1"/>
      <c r="GRF227" s="1"/>
      <c r="GRG227" s="1"/>
      <c r="GRH227" s="1"/>
      <c r="GRI227" s="1"/>
      <c r="GRJ227" s="1"/>
      <c r="GRK227" s="1"/>
      <c r="GRL227" s="1"/>
      <c r="GRM227" s="1"/>
      <c r="GRN227" s="1"/>
      <c r="GRO227" s="1"/>
      <c r="GRP227" s="1"/>
      <c r="GRQ227" s="1"/>
      <c r="GRR227" s="1"/>
      <c r="GRS227" s="1"/>
      <c r="GRT227" s="1"/>
      <c r="GRU227" s="1"/>
      <c r="GRV227" s="1"/>
      <c r="GRW227" s="1"/>
      <c r="GRX227" s="1"/>
      <c r="GRY227" s="1"/>
      <c r="GRZ227" s="1"/>
      <c r="GSA227" s="1"/>
      <c r="GSB227" s="1"/>
      <c r="GSC227" s="1"/>
      <c r="GSD227" s="1"/>
      <c r="GSE227" s="1"/>
      <c r="GSF227" s="1"/>
      <c r="GSG227" s="1"/>
      <c r="GSH227" s="1"/>
      <c r="GSI227" s="1"/>
      <c r="GSJ227" s="1"/>
      <c r="GSK227" s="1"/>
      <c r="GSL227" s="1"/>
      <c r="GSM227" s="1"/>
      <c r="GSN227" s="1"/>
      <c r="GSO227" s="1"/>
      <c r="GSP227" s="1"/>
      <c r="GSQ227" s="1"/>
      <c r="GSR227" s="1"/>
      <c r="GSS227" s="1"/>
      <c r="GST227" s="1"/>
      <c r="GSU227" s="1"/>
      <c r="GSV227" s="1"/>
      <c r="GSW227" s="1"/>
      <c r="GSX227" s="1"/>
      <c r="GSY227" s="1"/>
      <c r="GSZ227" s="1"/>
      <c r="GTA227" s="1"/>
      <c r="GTB227" s="1"/>
      <c r="GTC227" s="1"/>
      <c r="GTD227" s="1"/>
      <c r="GTE227" s="1"/>
      <c r="GTF227" s="1"/>
      <c r="GTG227" s="1"/>
      <c r="GTH227" s="1"/>
      <c r="GTI227" s="1"/>
      <c r="GTJ227" s="1"/>
      <c r="GTK227" s="1"/>
      <c r="GTL227" s="1"/>
      <c r="GTM227" s="1"/>
      <c r="GTN227" s="1"/>
      <c r="GTO227" s="1"/>
      <c r="GTP227" s="1"/>
      <c r="GTQ227" s="1"/>
      <c r="GTR227" s="1"/>
      <c r="GTS227" s="1"/>
      <c r="GTT227" s="1"/>
      <c r="GTU227" s="1"/>
      <c r="GTV227" s="1"/>
      <c r="GTW227" s="1"/>
      <c r="GTX227" s="1"/>
      <c r="GTY227" s="1"/>
      <c r="GTZ227" s="1"/>
      <c r="GUA227" s="1"/>
      <c r="GUB227" s="1"/>
      <c r="GUC227" s="1"/>
      <c r="GUD227" s="1"/>
      <c r="GUE227" s="1"/>
      <c r="GUF227" s="1"/>
      <c r="GUG227" s="1"/>
      <c r="GUH227" s="1"/>
      <c r="GUI227" s="1"/>
      <c r="GUJ227" s="1"/>
      <c r="GUK227" s="1"/>
      <c r="GUL227" s="1"/>
      <c r="GUM227" s="1"/>
      <c r="GUN227" s="1"/>
      <c r="GUO227" s="1"/>
      <c r="GUP227" s="1"/>
      <c r="GUQ227" s="1"/>
      <c r="GUR227" s="1"/>
      <c r="GUS227" s="1"/>
      <c r="GUT227" s="1"/>
      <c r="GUU227" s="1"/>
      <c r="GUV227" s="1"/>
      <c r="GUW227" s="1"/>
      <c r="GUX227" s="1"/>
      <c r="GUY227" s="1"/>
      <c r="GUZ227" s="1"/>
      <c r="GVA227" s="1"/>
      <c r="GVB227" s="1"/>
      <c r="GVC227" s="1"/>
      <c r="GVD227" s="1"/>
      <c r="GVE227" s="1"/>
      <c r="GVF227" s="1"/>
      <c r="GVG227" s="1"/>
      <c r="GVH227" s="1"/>
      <c r="GVI227" s="1"/>
      <c r="GVJ227" s="1"/>
      <c r="GVK227" s="1"/>
      <c r="GVL227" s="1"/>
      <c r="GVM227" s="1"/>
      <c r="GVN227" s="1"/>
      <c r="GVO227" s="1"/>
      <c r="GVP227" s="1"/>
      <c r="GVQ227" s="1"/>
      <c r="GVR227" s="1"/>
      <c r="GVS227" s="1"/>
      <c r="GVT227" s="1"/>
      <c r="GVU227" s="1"/>
      <c r="GVV227" s="1"/>
      <c r="GVW227" s="1"/>
      <c r="GVX227" s="1"/>
      <c r="GVY227" s="1"/>
      <c r="GVZ227" s="1"/>
      <c r="GWA227" s="1"/>
      <c r="GWB227" s="1"/>
      <c r="GWC227" s="1"/>
      <c r="GWD227" s="1"/>
      <c r="GWE227" s="1"/>
      <c r="GWF227" s="1"/>
      <c r="GWG227" s="1"/>
      <c r="GWH227" s="1"/>
      <c r="GWI227" s="1"/>
      <c r="GWJ227" s="1"/>
      <c r="GWK227" s="1"/>
      <c r="GWL227" s="1"/>
      <c r="GWM227" s="1"/>
      <c r="GWN227" s="1"/>
      <c r="GWO227" s="1"/>
      <c r="GWP227" s="1"/>
      <c r="GWQ227" s="1"/>
      <c r="GWR227" s="1"/>
      <c r="GWS227" s="1"/>
      <c r="GWT227" s="1"/>
      <c r="GWU227" s="1"/>
      <c r="GWV227" s="1"/>
      <c r="GWW227" s="1"/>
      <c r="GWX227" s="1"/>
      <c r="GWY227" s="1"/>
      <c r="GWZ227" s="1"/>
      <c r="GXA227" s="1"/>
      <c r="GXB227" s="1"/>
      <c r="GXC227" s="1"/>
      <c r="GXD227" s="1"/>
      <c r="GXE227" s="1"/>
      <c r="GXF227" s="1"/>
      <c r="GXG227" s="1"/>
      <c r="GXH227" s="1"/>
      <c r="GXI227" s="1"/>
      <c r="GXJ227" s="1"/>
      <c r="GXK227" s="1"/>
      <c r="GXL227" s="1"/>
      <c r="GXM227" s="1"/>
      <c r="GXN227" s="1"/>
      <c r="GXO227" s="1"/>
      <c r="GXP227" s="1"/>
      <c r="GXQ227" s="1"/>
      <c r="GXR227" s="1"/>
      <c r="GXS227" s="1"/>
      <c r="GXT227" s="1"/>
      <c r="GXU227" s="1"/>
      <c r="GXV227" s="1"/>
      <c r="GXW227" s="1"/>
      <c r="GXX227" s="1"/>
      <c r="GXY227" s="1"/>
      <c r="GXZ227" s="1"/>
      <c r="GYA227" s="1"/>
      <c r="GYB227" s="1"/>
      <c r="GYC227" s="1"/>
      <c r="GYD227" s="1"/>
      <c r="GYE227" s="1"/>
      <c r="GYF227" s="1"/>
      <c r="GYG227" s="1"/>
      <c r="GYH227" s="1"/>
      <c r="GYI227" s="1"/>
      <c r="GYJ227" s="1"/>
      <c r="GYK227" s="1"/>
      <c r="GYL227" s="1"/>
      <c r="GYM227" s="1"/>
      <c r="GYN227" s="1"/>
      <c r="GYO227" s="1"/>
      <c r="GYP227" s="1"/>
      <c r="GYQ227" s="1"/>
      <c r="GYR227" s="1"/>
      <c r="GYS227" s="1"/>
      <c r="GYT227" s="1"/>
      <c r="GYU227" s="1"/>
      <c r="GYV227" s="1"/>
      <c r="GYW227" s="1"/>
      <c r="GYX227" s="1"/>
      <c r="GYY227" s="1"/>
      <c r="GYZ227" s="1"/>
      <c r="GZA227" s="1"/>
      <c r="GZB227" s="1"/>
      <c r="GZC227" s="1"/>
      <c r="GZD227" s="1"/>
      <c r="GZE227" s="1"/>
      <c r="GZF227" s="1"/>
      <c r="GZG227" s="1"/>
      <c r="GZH227" s="1"/>
      <c r="GZI227" s="1"/>
      <c r="GZJ227" s="1"/>
      <c r="GZK227" s="1"/>
      <c r="GZL227" s="1"/>
      <c r="GZM227" s="1"/>
      <c r="GZN227" s="1"/>
      <c r="GZO227" s="1"/>
      <c r="GZP227" s="1"/>
      <c r="GZQ227" s="1"/>
      <c r="GZR227" s="1"/>
      <c r="GZS227" s="1"/>
      <c r="GZT227" s="1"/>
      <c r="GZU227" s="1"/>
      <c r="GZV227" s="1"/>
      <c r="GZW227" s="1"/>
      <c r="GZX227" s="1"/>
      <c r="GZY227" s="1"/>
      <c r="GZZ227" s="1"/>
      <c r="HAA227" s="1"/>
      <c r="HAB227" s="1"/>
      <c r="HAC227" s="1"/>
      <c r="HAD227" s="1"/>
      <c r="HAE227" s="1"/>
      <c r="HAF227" s="1"/>
      <c r="HAG227" s="1"/>
      <c r="HAH227" s="1"/>
      <c r="HAI227" s="1"/>
      <c r="HAJ227" s="1"/>
      <c r="HAK227" s="1"/>
      <c r="HAL227" s="1"/>
      <c r="HAM227" s="1"/>
      <c r="HAN227" s="1"/>
      <c r="HAO227" s="1"/>
      <c r="HAP227" s="1"/>
      <c r="HAQ227" s="1"/>
      <c r="HAR227" s="1"/>
      <c r="HAS227" s="1"/>
      <c r="HAT227" s="1"/>
      <c r="HAU227" s="1"/>
      <c r="HAV227" s="1"/>
      <c r="HAW227" s="1"/>
      <c r="HAX227" s="1"/>
      <c r="HAY227" s="1"/>
      <c r="HAZ227" s="1"/>
      <c r="HBA227" s="1"/>
      <c r="HBB227" s="1"/>
      <c r="HBC227" s="1"/>
      <c r="HBD227" s="1"/>
      <c r="HBE227" s="1"/>
      <c r="HBF227" s="1"/>
      <c r="HBG227" s="1"/>
      <c r="HBH227" s="1"/>
      <c r="HBI227" s="1"/>
      <c r="HBJ227" s="1"/>
      <c r="HBK227" s="1"/>
      <c r="HBL227" s="1"/>
      <c r="HBM227" s="1"/>
      <c r="HBN227" s="1"/>
      <c r="HBO227" s="1"/>
      <c r="HBP227" s="1"/>
      <c r="HBQ227" s="1"/>
      <c r="HBR227" s="1"/>
      <c r="HBS227" s="1"/>
      <c r="HBT227" s="1"/>
      <c r="HBU227" s="1"/>
      <c r="HBV227" s="1"/>
      <c r="HBW227" s="1"/>
      <c r="HBX227" s="1"/>
      <c r="HBY227" s="1"/>
      <c r="HBZ227" s="1"/>
      <c r="HCA227" s="1"/>
      <c r="HCB227" s="1"/>
      <c r="HCC227" s="1"/>
      <c r="HCD227" s="1"/>
      <c r="HCE227" s="1"/>
      <c r="HCF227" s="1"/>
      <c r="HCG227" s="1"/>
      <c r="HCH227" s="1"/>
      <c r="HCI227" s="1"/>
      <c r="HCJ227" s="1"/>
      <c r="HCK227" s="1"/>
      <c r="HCL227" s="1"/>
      <c r="HCM227" s="1"/>
      <c r="HCN227" s="1"/>
      <c r="HCO227" s="1"/>
      <c r="HCP227" s="1"/>
      <c r="HCQ227" s="1"/>
      <c r="HCR227" s="1"/>
      <c r="HCS227" s="1"/>
      <c r="HCT227" s="1"/>
      <c r="HCU227" s="1"/>
      <c r="HCV227" s="1"/>
      <c r="HCW227" s="1"/>
      <c r="HCX227" s="1"/>
      <c r="HCY227" s="1"/>
      <c r="HCZ227" s="1"/>
      <c r="HDA227" s="1"/>
      <c r="HDB227" s="1"/>
      <c r="HDC227" s="1"/>
      <c r="HDD227" s="1"/>
      <c r="HDE227" s="1"/>
      <c r="HDF227" s="1"/>
      <c r="HDG227" s="1"/>
      <c r="HDH227" s="1"/>
      <c r="HDI227" s="1"/>
      <c r="HDJ227" s="1"/>
      <c r="HDK227" s="1"/>
      <c r="HDL227" s="1"/>
      <c r="HDM227" s="1"/>
      <c r="HDN227" s="1"/>
      <c r="HDO227" s="1"/>
      <c r="HDP227" s="1"/>
      <c r="HDQ227" s="1"/>
      <c r="HDR227" s="1"/>
      <c r="HDS227" s="1"/>
      <c r="HDT227" s="1"/>
      <c r="HDU227" s="1"/>
      <c r="HDV227" s="1"/>
      <c r="HDW227" s="1"/>
      <c r="HDX227" s="1"/>
      <c r="HDY227" s="1"/>
      <c r="HDZ227" s="1"/>
      <c r="HEA227" s="1"/>
      <c r="HEB227" s="1"/>
      <c r="HEC227" s="1"/>
      <c r="HED227" s="1"/>
      <c r="HEE227" s="1"/>
      <c r="HEF227" s="1"/>
      <c r="HEG227" s="1"/>
      <c r="HEH227" s="1"/>
      <c r="HEI227" s="1"/>
      <c r="HEJ227" s="1"/>
      <c r="HEK227" s="1"/>
      <c r="HEL227" s="1"/>
      <c r="HEM227" s="1"/>
      <c r="HEN227" s="1"/>
      <c r="HEO227" s="1"/>
      <c r="HEP227" s="1"/>
      <c r="HEQ227" s="1"/>
      <c r="HER227" s="1"/>
      <c r="HES227" s="1"/>
      <c r="HET227" s="1"/>
      <c r="HEU227" s="1"/>
      <c r="HEV227" s="1"/>
      <c r="HEW227" s="1"/>
      <c r="HEX227" s="1"/>
      <c r="HEY227" s="1"/>
      <c r="HEZ227" s="1"/>
      <c r="HFA227" s="1"/>
      <c r="HFB227" s="1"/>
      <c r="HFC227" s="1"/>
      <c r="HFD227" s="1"/>
      <c r="HFE227" s="1"/>
      <c r="HFF227" s="1"/>
      <c r="HFG227" s="1"/>
      <c r="HFH227" s="1"/>
      <c r="HFI227" s="1"/>
      <c r="HFJ227" s="1"/>
      <c r="HFK227" s="1"/>
      <c r="HFL227" s="1"/>
      <c r="HFM227" s="1"/>
      <c r="HFN227" s="1"/>
      <c r="HFO227" s="1"/>
      <c r="HFP227" s="1"/>
      <c r="HFQ227" s="1"/>
      <c r="HFR227" s="1"/>
      <c r="HFS227" s="1"/>
      <c r="HFT227" s="1"/>
      <c r="HFU227" s="1"/>
      <c r="HFV227" s="1"/>
      <c r="HFW227" s="1"/>
      <c r="HFX227" s="1"/>
      <c r="HFY227" s="1"/>
      <c r="HFZ227" s="1"/>
      <c r="HGA227" s="1"/>
      <c r="HGB227" s="1"/>
      <c r="HGC227" s="1"/>
      <c r="HGD227" s="1"/>
      <c r="HGE227" s="1"/>
      <c r="HGF227" s="1"/>
      <c r="HGG227" s="1"/>
      <c r="HGH227" s="1"/>
      <c r="HGI227" s="1"/>
      <c r="HGJ227" s="1"/>
      <c r="HGK227" s="1"/>
      <c r="HGL227" s="1"/>
      <c r="HGM227" s="1"/>
      <c r="HGN227" s="1"/>
      <c r="HGO227" s="1"/>
      <c r="HGP227" s="1"/>
      <c r="HGQ227" s="1"/>
      <c r="HGR227" s="1"/>
      <c r="HGS227" s="1"/>
      <c r="HGT227" s="1"/>
      <c r="HGU227" s="1"/>
      <c r="HGV227" s="1"/>
      <c r="HGW227" s="1"/>
      <c r="HGX227" s="1"/>
      <c r="HGY227" s="1"/>
      <c r="HGZ227" s="1"/>
      <c r="HHA227" s="1"/>
      <c r="HHB227" s="1"/>
      <c r="HHC227" s="1"/>
      <c r="HHD227" s="1"/>
      <c r="HHE227" s="1"/>
      <c r="HHF227" s="1"/>
      <c r="HHG227" s="1"/>
      <c r="HHH227" s="1"/>
      <c r="HHI227" s="1"/>
      <c r="HHJ227" s="1"/>
      <c r="HHK227" s="1"/>
      <c r="HHL227" s="1"/>
      <c r="HHM227" s="1"/>
      <c r="HHN227" s="1"/>
      <c r="HHO227" s="1"/>
      <c r="HHP227" s="1"/>
      <c r="HHQ227" s="1"/>
      <c r="HHR227" s="1"/>
      <c r="HHS227" s="1"/>
      <c r="HHT227" s="1"/>
      <c r="HHU227" s="1"/>
      <c r="HHV227" s="1"/>
      <c r="HHW227" s="1"/>
      <c r="HHX227" s="1"/>
      <c r="HHY227" s="1"/>
      <c r="HHZ227" s="1"/>
      <c r="HIA227" s="1"/>
      <c r="HIB227" s="1"/>
      <c r="HIC227" s="1"/>
      <c r="HID227" s="1"/>
      <c r="HIE227" s="1"/>
      <c r="HIF227" s="1"/>
      <c r="HIG227" s="1"/>
      <c r="HIH227" s="1"/>
      <c r="HII227" s="1"/>
      <c r="HIJ227" s="1"/>
      <c r="HIK227" s="1"/>
      <c r="HIL227" s="1"/>
      <c r="HIM227" s="1"/>
      <c r="HIN227" s="1"/>
      <c r="HIO227" s="1"/>
      <c r="HIP227" s="1"/>
      <c r="HIQ227" s="1"/>
      <c r="HIR227" s="1"/>
      <c r="HIS227" s="1"/>
      <c r="HIT227" s="1"/>
      <c r="HIU227" s="1"/>
      <c r="HIV227" s="1"/>
      <c r="HIW227" s="1"/>
      <c r="HIX227" s="1"/>
      <c r="HIY227" s="1"/>
      <c r="HIZ227" s="1"/>
      <c r="HJA227" s="1"/>
      <c r="HJB227" s="1"/>
      <c r="HJC227" s="1"/>
      <c r="HJD227" s="1"/>
      <c r="HJE227" s="1"/>
      <c r="HJF227" s="1"/>
      <c r="HJG227" s="1"/>
      <c r="HJH227" s="1"/>
      <c r="HJI227" s="1"/>
      <c r="HJJ227" s="1"/>
      <c r="HJK227" s="1"/>
      <c r="HJL227" s="1"/>
      <c r="HJM227" s="1"/>
      <c r="HJN227" s="1"/>
      <c r="HJO227" s="1"/>
      <c r="HJP227" s="1"/>
      <c r="HJQ227" s="1"/>
      <c r="HJR227" s="1"/>
      <c r="HJS227" s="1"/>
      <c r="HJT227" s="1"/>
      <c r="HJU227" s="1"/>
      <c r="HJV227" s="1"/>
      <c r="HJW227" s="1"/>
      <c r="HJX227" s="1"/>
      <c r="HJY227" s="1"/>
      <c r="HJZ227" s="1"/>
      <c r="HKA227" s="1"/>
      <c r="HKB227" s="1"/>
      <c r="HKC227" s="1"/>
      <c r="HKD227" s="1"/>
      <c r="HKE227" s="1"/>
      <c r="HKF227" s="1"/>
      <c r="HKG227" s="1"/>
      <c r="HKH227" s="1"/>
      <c r="HKI227" s="1"/>
      <c r="HKJ227" s="1"/>
      <c r="HKK227" s="1"/>
      <c r="HKL227" s="1"/>
      <c r="HKM227" s="1"/>
      <c r="HKN227" s="1"/>
      <c r="HKO227" s="1"/>
      <c r="HKP227" s="1"/>
      <c r="HKQ227" s="1"/>
      <c r="HKR227" s="1"/>
      <c r="HKS227" s="1"/>
      <c r="HKT227" s="1"/>
      <c r="HKU227" s="1"/>
      <c r="HKV227" s="1"/>
      <c r="HKW227" s="1"/>
      <c r="HKX227" s="1"/>
      <c r="HKY227" s="1"/>
      <c r="HKZ227" s="1"/>
      <c r="HLA227" s="1"/>
      <c r="HLB227" s="1"/>
      <c r="HLC227" s="1"/>
      <c r="HLD227" s="1"/>
      <c r="HLE227" s="1"/>
      <c r="HLF227" s="1"/>
      <c r="HLG227" s="1"/>
      <c r="HLH227" s="1"/>
      <c r="HLI227" s="1"/>
      <c r="HLJ227" s="1"/>
      <c r="HLK227" s="1"/>
      <c r="HLL227" s="1"/>
      <c r="HLM227" s="1"/>
      <c r="HLN227" s="1"/>
      <c r="HLO227" s="1"/>
      <c r="HLP227" s="1"/>
      <c r="HLQ227" s="1"/>
      <c r="HLR227" s="1"/>
      <c r="HLS227" s="1"/>
      <c r="HLT227" s="1"/>
      <c r="HLU227" s="1"/>
      <c r="HLV227" s="1"/>
      <c r="HLW227" s="1"/>
      <c r="HLX227" s="1"/>
      <c r="HLY227" s="1"/>
      <c r="HLZ227" s="1"/>
      <c r="HMA227" s="1"/>
      <c r="HMB227" s="1"/>
      <c r="HMC227" s="1"/>
      <c r="HMD227" s="1"/>
      <c r="HME227" s="1"/>
      <c r="HMF227" s="1"/>
      <c r="HMG227" s="1"/>
      <c r="HMH227" s="1"/>
      <c r="HMI227" s="1"/>
      <c r="HMJ227" s="1"/>
      <c r="HMK227" s="1"/>
      <c r="HML227" s="1"/>
      <c r="HMM227" s="1"/>
      <c r="HMN227" s="1"/>
      <c r="HMO227" s="1"/>
      <c r="HMP227" s="1"/>
      <c r="HMQ227" s="1"/>
      <c r="HMR227" s="1"/>
      <c r="HMS227" s="1"/>
      <c r="HMT227" s="1"/>
      <c r="HMU227" s="1"/>
      <c r="HMV227" s="1"/>
      <c r="HMW227" s="1"/>
      <c r="HMX227" s="1"/>
      <c r="HMY227" s="1"/>
      <c r="HMZ227" s="1"/>
      <c r="HNA227" s="1"/>
      <c r="HNB227" s="1"/>
      <c r="HNC227" s="1"/>
      <c r="HND227" s="1"/>
      <c r="HNE227" s="1"/>
      <c r="HNF227" s="1"/>
      <c r="HNG227" s="1"/>
      <c r="HNH227" s="1"/>
      <c r="HNI227" s="1"/>
      <c r="HNJ227" s="1"/>
      <c r="HNK227" s="1"/>
      <c r="HNL227" s="1"/>
      <c r="HNM227" s="1"/>
      <c r="HNN227" s="1"/>
      <c r="HNO227" s="1"/>
      <c r="HNP227" s="1"/>
      <c r="HNQ227" s="1"/>
      <c r="HNR227" s="1"/>
      <c r="HNS227" s="1"/>
      <c r="HNT227" s="1"/>
      <c r="HNU227" s="1"/>
      <c r="HNV227" s="1"/>
      <c r="HNW227" s="1"/>
      <c r="HNX227" s="1"/>
      <c r="HNY227" s="1"/>
      <c r="HNZ227" s="1"/>
      <c r="HOA227" s="1"/>
      <c r="HOB227" s="1"/>
      <c r="HOC227" s="1"/>
      <c r="HOD227" s="1"/>
      <c r="HOE227" s="1"/>
      <c r="HOF227" s="1"/>
      <c r="HOG227" s="1"/>
      <c r="HOH227" s="1"/>
      <c r="HOI227" s="1"/>
      <c r="HOJ227" s="1"/>
      <c r="HOK227" s="1"/>
      <c r="HOL227" s="1"/>
      <c r="HOM227" s="1"/>
      <c r="HON227" s="1"/>
      <c r="HOO227" s="1"/>
      <c r="HOP227" s="1"/>
      <c r="HOQ227" s="1"/>
      <c r="HOR227" s="1"/>
      <c r="HOS227" s="1"/>
      <c r="HOT227" s="1"/>
      <c r="HOU227" s="1"/>
      <c r="HOV227" s="1"/>
      <c r="HOW227" s="1"/>
      <c r="HOX227" s="1"/>
      <c r="HOY227" s="1"/>
      <c r="HOZ227" s="1"/>
      <c r="HPA227" s="1"/>
      <c r="HPB227" s="1"/>
      <c r="HPC227" s="1"/>
      <c r="HPD227" s="1"/>
      <c r="HPE227" s="1"/>
      <c r="HPF227" s="1"/>
      <c r="HPG227" s="1"/>
      <c r="HPH227" s="1"/>
      <c r="HPI227" s="1"/>
      <c r="HPJ227" s="1"/>
      <c r="HPK227" s="1"/>
      <c r="HPL227" s="1"/>
      <c r="HPM227" s="1"/>
      <c r="HPN227" s="1"/>
      <c r="HPO227" s="1"/>
      <c r="HPP227" s="1"/>
      <c r="HPQ227" s="1"/>
      <c r="HPR227" s="1"/>
      <c r="HPS227" s="1"/>
      <c r="HPT227" s="1"/>
      <c r="HPU227" s="1"/>
      <c r="HPV227" s="1"/>
      <c r="HPW227" s="1"/>
      <c r="HPX227" s="1"/>
      <c r="HPY227" s="1"/>
      <c r="HPZ227" s="1"/>
      <c r="HQA227" s="1"/>
      <c r="HQB227" s="1"/>
      <c r="HQC227" s="1"/>
      <c r="HQD227" s="1"/>
      <c r="HQE227" s="1"/>
      <c r="HQF227" s="1"/>
      <c r="HQG227" s="1"/>
      <c r="HQH227" s="1"/>
      <c r="HQI227" s="1"/>
      <c r="HQJ227" s="1"/>
      <c r="HQK227" s="1"/>
      <c r="HQL227" s="1"/>
      <c r="HQM227" s="1"/>
      <c r="HQN227" s="1"/>
      <c r="HQO227" s="1"/>
      <c r="HQP227" s="1"/>
      <c r="HQQ227" s="1"/>
      <c r="HQR227" s="1"/>
      <c r="HQS227" s="1"/>
      <c r="HQT227" s="1"/>
      <c r="HQU227" s="1"/>
      <c r="HQV227" s="1"/>
      <c r="HQW227" s="1"/>
      <c r="HQX227" s="1"/>
      <c r="HQY227" s="1"/>
      <c r="HQZ227" s="1"/>
      <c r="HRA227" s="1"/>
      <c r="HRB227" s="1"/>
      <c r="HRC227" s="1"/>
      <c r="HRD227" s="1"/>
      <c r="HRE227" s="1"/>
      <c r="HRF227" s="1"/>
      <c r="HRG227" s="1"/>
      <c r="HRH227" s="1"/>
      <c r="HRI227" s="1"/>
      <c r="HRJ227" s="1"/>
      <c r="HRK227" s="1"/>
      <c r="HRL227" s="1"/>
      <c r="HRM227" s="1"/>
      <c r="HRN227" s="1"/>
      <c r="HRO227" s="1"/>
      <c r="HRP227" s="1"/>
      <c r="HRQ227" s="1"/>
      <c r="HRR227" s="1"/>
      <c r="HRS227" s="1"/>
      <c r="HRT227" s="1"/>
      <c r="HRU227" s="1"/>
      <c r="HRV227" s="1"/>
      <c r="HRW227" s="1"/>
      <c r="HRX227" s="1"/>
      <c r="HRY227" s="1"/>
      <c r="HRZ227" s="1"/>
      <c r="HSA227" s="1"/>
      <c r="HSB227" s="1"/>
      <c r="HSC227" s="1"/>
      <c r="HSD227" s="1"/>
      <c r="HSE227" s="1"/>
      <c r="HSF227" s="1"/>
      <c r="HSG227" s="1"/>
      <c r="HSH227" s="1"/>
      <c r="HSI227" s="1"/>
      <c r="HSJ227" s="1"/>
      <c r="HSK227" s="1"/>
      <c r="HSL227" s="1"/>
      <c r="HSM227" s="1"/>
      <c r="HSN227" s="1"/>
      <c r="HSO227" s="1"/>
      <c r="HSP227" s="1"/>
      <c r="HSQ227" s="1"/>
      <c r="HSR227" s="1"/>
      <c r="HSS227" s="1"/>
      <c r="HST227" s="1"/>
      <c r="HSU227" s="1"/>
      <c r="HSV227" s="1"/>
      <c r="HSW227" s="1"/>
      <c r="HSX227" s="1"/>
      <c r="HSY227" s="1"/>
      <c r="HSZ227" s="1"/>
      <c r="HTA227" s="1"/>
      <c r="HTB227" s="1"/>
      <c r="HTC227" s="1"/>
      <c r="HTD227" s="1"/>
      <c r="HTE227" s="1"/>
      <c r="HTF227" s="1"/>
      <c r="HTG227" s="1"/>
      <c r="HTH227" s="1"/>
      <c r="HTI227" s="1"/>
      <c r="HTJ227" s="1"/>
      <c r="HTK227" s="1"/>
      <c r="HTL227" s="1"/>
      <c r="HTM227" s="1"/>
      <c r="HTN227" s="1"/>
      <c r="HTO227" s="1"/>
      <c r="HTP227" s="1"/>
      <c r="HTQ227" s="1"/>
      <c r="HTR227" s="1"/>
      <c r="HTS227" s="1"/>
      <c r="HTT227" s="1"/>
      <c r="HTU227" s="1"/>
      <c r="HTV227" s="1"/>
      <c r="HTW227" s="1"/>
      <c r="HTX227" s="1"/>
      <c r="HTY227" s="1"/>
      <c r="HTZ227" s="1"/>
      <c r="HUA227" s="1"/>
      <c r="HUB227" s="1"/>
      <c r="HUC227" s="1"/>
      <c r="HUD227" s="1"/>
      <c r="HUE227" s="1"/>
      <c r="HUF227" s="1"/>
      <c r="HUG227" s="1"/>
      <c r="HUH227" s="1"/>
      <c r="HUI227" s="1"/>
      <c r="HUJ227" s="1"/>
      <c r="HUK227" s="1"/>
      <c r="HUL227" s="1"/>
      <c r="HUM227" s="1"/>
      <c r="HUN227" s="1"/>
      <c r="HUO227" s="1"/>
      <c r="HUP227" s="1"/>
      <c r="HUQ227" s="1"/>
      <c r="HUR227" s="1"/>
      <c r="HUS227" s="1"/>
      <c r="HUT227" s="1"/>
      <c r="HUU227" s="1"/>
      <c r="HUV227" s="1"/>
      <c r="HUW227" s="1"/>
      <c r="HUX227" s="1"/>
      <c r="HUY227" s="1"/>
      <c r="HUZ227" s="1"/>
      <c r="HVA227" s="1"/>
      <c r="HVB227" s="1"/>
      <c r="HVC227" s="1"/>
      <c r="HVD227" s="1"/>
      <c r="HVE227" s="1"/>
      <c r="HVF227" s="1"/>
      <c r="HVG227" s="1"/>
      <c r="HVH227" s="1"/>
      <c r="HVI227" s="1"/>
      <c r="HVJ227" s="1"/>
      <c r="HVK227" s="1"/>
      <c r="HVL227" s="1"/>
      <c r="HVM227" s="1"/>
      <c r="HVN227" s="1"/>
      <c r="HVO227" s="1"/>
      <c r="HVP227" s="1"/>
      <c r="HVQ227" s="1"/>
      <c r="HVR227" s="1"/>
      <c r="HVS227" s="1"/>
      <c r="HVT227" s="1"/>
      <c r="HVU227" s="1"/>
      <c r="HVV227" s="1"/>
      <c r="HVW227" s="1"/>
      <c r="HVX227" s="1"/>
      <c r="HVY227" s="1"/>
      <c r="HVZ227" s="1"/>
      <c r="HWA227" s="1"/>
      <c r="HWB227" s="1"/>
      <c r="HWC227" s="1"/>
      <c r="HWD227" s="1"/>
      <c r="HWE227" s="1"/>
      <c r="HWF227" s="1"/>
      <c r="HWG227" s="1"/>
      <c r="HWH227" s="1"/>
      <c r="HWI227" s="1"/>
      <c r="HWJ227" s="1"/>
      <c r="HWK227" s="1"/>
      <c r="HWL227" s="1"/>
      <c r="HWM227" s="1"/>
      <c r="HWN227" s="1"/>
      <c r="HWO227" s="1"/>
      <c r="HWP227" s="1"/>
      <c r="HWQ227" s="1"/>
      <c r="HWR227" s="1"/>
      <c r="HWS227" s="1"/>
      <c r="HWT227" s="1"/>
      <c r="HWU227" s="1"/>
      <c r="HWV227" s="1"/>
      <c r="HWW227" s="1"/>
      <c r="HWX227" s="1"/>
      <c r="HWY227" s="1"/>
      <c r="HWZ227" s="1"/>
      <c r="HXA227" s="1"/>
      <c r="HXB227" s="1"/>
      <c r="HXC227" s="1"/>
      <c r="HXD227" s="1"/>
      <c r="HXE227" s="1"/>
      <c r="HXF227" s="1"/>
      <c r="HXG227" s="1"/>
      <c r="HXH227" s="1"/>
      <c r="HXI227" s="1"/>
      <c r="HXJ227" s="1"/>
      <c r="HXK227" s="1"/>
      <c r="HXL227" s="1"/>
      <c r="HXM227" s="1"/>
      <c r="HXN227" s="1"/>
      <c r="HXO227" s="1"/>
      <c r="HXP227" s="1"/>
      <c r="HXQ227" s="1"/>
      <c r="HXR227" s="1"/>
      <c r="HXS227" s="1"/>
      <c r="HXT227" s="1"/>
      <c r="HXU227" s="1"/>
      <c r="HXV227" s="1"/>
      <c r="HXW227" s="1"/>
      <c r="HXX227" s="1"/>
      <c r="HXY227" s="1"/>
      <c r="HXZ227" s="1"/>
      <c r="HYA227" s="1"/>
      <c r="HYB227" s="1"/>
      <c r="HYC227" s="1"/>
      <c r="HYD227" s="1"/>
      <c r="HYE227" s="1"/>
      <c r="HYF227" s="1"/>
      <c r="HYG227" s="1"/>
      <c r="HYH227" s="1"/>
      <c r="HYI227" s="1"/>
      <c r="HYJ227" s="1"/>
      <c r="HYK227" s="1"/>
      <c r="HYL227" s="1"/>
      <c r="HYM227" s="1"/>
      <c r="HYN227" s="1"/>
      <c r="HYO227" s="1"/>
      <c r="HYP227" s="1"/>
      <c r="HYQ227" s="1"/>
      <c r="HYR227" s="1"/>
      <c r="HYS227" s="1"/>
      <c r="HYT227" s="1"/>
      <c r="HYU227" s="1"/>
      <c r="HYV227" s="1"/>
      <c r="HYW227" s="1"/>
      <c r="HYX227" s="1"/>
      <c r="HYY227" s="1"/>
      <c r="HYZ227" s="1"/>
      <c r="HZA227" s="1"/>
      <c r="HZB227" s="1"/>
      <c r="HZC227" s="1"/>
      <c r="HZD227" s="1"/>
      <c r="HZE227" s="1"/>
      <c r="HZF227" s="1"/>
      <c r="HZG227" s="1"/>
      <c r="HZH227" s="1"/>
      <c r="HZI227" s="1"/>
      <c r="HZJ227" s="1"/>
      <c r="HZK227" s="1"/>
      <c r="HZL227" s="1"/>
      <c r="HZM227" s="1"/>
      <c r="HZN227" s="1"/>
      <c r="HZO227" s="1"/>
      <c r="HZP227" s="1"/>
      <c r="HZQ227" s="1"/>
      <c r="HZR227" s="1"/>
      <c r="HZS227" s="1"/>
      <c r="HZT227" s="1"/>
      <c r="HZU227" s="1"/>
      <c r="HZV227" s="1"/>
      <c r="HZW227" s="1"/>
      <c r="HZX227" s="1"/>
      <c r="HZY227" s="1"/>
      <c r="HZZ227" s="1"/>
      <c r="IAA227" s="1"/>
      <c r="IAB227" s="1"/>
      <c r="IAC227" s="1"/>
      <c r="IAD227" s="1"/>
      <c r="IAE227" s="1"/>
      <c r="IAF227" s="1"/>
      <c r="IAG227" s="1"/>
      <c r="IAH227" s="1"/>
      <c r="IAI227" s="1"/>
      <c r="IAJ227" s="1"/>
      <c r="IAK227" s="1"/>
      <c r="IAL227" s="1"/>
      <c r="IAM227" s="1"/>
      <c r="IAN227" s="1"/>
      <c r="IAO227" s="1"/>
      <c r="IAP227" s="1"/>
      <c r="IAQ227" s="1"/>
      <c r="IAR227" s="1"/>
      <c r="IAS227" s="1"/>
      <c r="IAT227" s="1"/>
      <c r="IAU227" s="1"/>
      <c r="IAV227" s="1"/>
      <c r="IAW227" s="1"/>
      <c r="IAX227" s="1"/>
      <c r="IAY227" s="1"/>
      <c r="IAZ227" s="1"/>
      <c r="IBA227" s="1"/>
      <c r="IBB227" s="1"/>
      <c r="IBC227" s="1"/>
      <c r="IBD227" s="1"/>
      <c r="IBE227" s="1"/>
      <c r="IBF227" s="1"/>
      <c r="IBG227" s="1"/>
      <c r="IBH227" s="1"/>
      <c r="IBI227" s="1"/>
      <c r="IBJ227" s="1"/>
      <c r="IBK227" s="1"/>
      <c r="IBL227" s="1"/>
      <c r="IBM227" s="1"/>
      <c r="IBN227" s="1"/>
      <c r="IBO227" s="1"/>
      <c r="IBP227" s="1"/>
      <c r="IBQ227" s="1"/>
      <c r="IBR227" s="1"/>
      <c r="IBS227" s="1"/>
      <c r="IBT227" s="1"/>
      <c r="IBU227" s="1"/>
      <c r="IBV227" s="1"/>
      <c r="IBW227" s="1"/>
      <c r="IBX227" s="1"/>
      <c r="IBY227" s="1"/>
      <c r="IBZ227" s="1"/>
      <c r="ICA227" s="1"/>
      <c r="ICB227" s="1"/>
      <c r="ICC227" s="1"/>
      <c r="ICD227" s="1"/>
      <c r="ICE227" s="1"/>
      <c r="ICF227" s="1"/>
      <c r="ICG227" s="1"/>
      <c r="ICH227" s="1"/>
      <c r="ICI227" s="1"/>
      <c r="ICJ227" s="1"/>
      <c r="ICK227" s="1"/>
      <c r="ICL227" s="1"/>
      <c r="ICM227" s="1"/>
      <c r="ICN227" s="1"/>
      <c r="ICO227" s="1"/>
      <c r="ICP227" s="1"/>
      <c r="ICQ227" s="1"/>
      <c r="ICR227" s="1"/>
      <c r="ICS227" s="1"/>
      <c r="ICT227" s="1"/>
      <c r="ICU227" s="1"/>
      <c r="ICV227" s="1"/>
      <c r="ICW227" s="1"/>
      <c r="ICX227" s="1"/>
      <c r="ICY227" s="1"/>
      <c r="ICZ227" s="1"/>
      <c r="IDA227" s="1"/>
      <c r="IDB227" s="1"/>
      <c r="IDC227" s="1"/>
      <c r="IDD227" s="1"/>
      <c r="IDE227" s="1"/>
      <c r="IDF227" s="1"/>
      <c r="IDG227" s="1"/>
      <c r="IDH227" s="1"/>
      <c r="IDI227" s="1"/>
      <c r="IDJ227" s="1"/>
      <c r="IDK227" s="1"/>
      <c r="IDL227" s="1"/>
      <c r="IDM227" s="1"/>
      <c r="IDN227" s="1"/>
      <c r="IDO227" s="1"/>
      <c r="IDP227" s="1"/>
      <c r="IDQ227" s="1"/>
      <c r="IDR227" s="1"/>
      <c r="IDS227" s="1"/>
      <c r="IDT227" s="1"/>
      <c r="IDU227" s="1"/>
      <c r="IDV227" s="1"/>
      <c r="IDW227" s="1"/>
      <c r="IDX227" s="1"/>
      <c r="IDY227" s="1"/>
      <c r="IDZ227" s="1"/>
      <c r="IEA227" s="1"/>
      <c r="IEB227" s="1"/>
      <c r="IEC227" s="1"/>
      <c r="IED227" s="1"/>
      <c r="IEE227" s="1"/>
      <c r="IEF227" s="1"/>
      <c r="IEG227" s="1"/>
      <c r="IEH227" s="1"/>
      <c r="IEI227" s="1"/>
      <c r="IEJ227" s="1"/>
      <c r="IEK227" s="1"/>
      <c r="IEL227" s="1"/>
      <c r="IEM227" s="1"/>
      <c r="IEN227" s="1"/>
      <c r="IEO227" s="1"/>
      <c r="IEP227" s="1"/>
      <c r="IEQ227" s="1"/>
      <c r="IER227" s="1"/>
      <c r="IES227" s="1"/>
      <c r="IET227" s="1"/>
      <c r="IEU227" s="1"/>
      <c r="IEV227" s="1"/>
      <c r="IEW227" s="1"/>
      <c r="IEX227" s="1"/>
      <c r="IEY227" s="1"/>
      <c r="IEZ227" s="1"/>
      <c r="IFA227" s="1"/>
      <c r="IFB227" s="1"/>
      <c r="IFC227" s="1"/>
      <c r="IFD227" s="1"/>
      <c r="IFE227" s="1"/>
      <c r="IFF227" s="1"/>
      <c r="IFG227" s="1"/>
      <c r="IFH227" s="1"/>
      <c r="IFI227" s="1"/>
      <c r="IFJ227" s="1"/>
      <c r="IFK227" s="1"/>
      <c r="IFL227" s="1"/>
      <c r="IFM227" s="1"/>
      <c r="IFN227" s="1"/>
      <c r="IFO227" s="1"/>
      <c r="IFP227" s="1"/>
      <c r="IFQ227" s="1"/>
      <c r="IFR227" s="1"/>
      <c r="IFS227" s="1"/>
      <c r="IFT227" s="1"/>
      <c r="IFU227" s="1"/>
      <c r="IFV227" s="1"/>
      <c r="IFW227" s="1"/>
      <c r="IFX227" s="1"/>
      <c r="IFY227" s="1"/>
      <c r="IFZ227" s="1"/>
      <c r="IGA227" s="1"/>
      <c r="IGB227" s="1"/>
      <c r="IGC227" s="1"/>
      <c r="IGD227" s="1"/>
      <c r="IGE227" s="1"/>
      <c r="IGF227" s="1"/>
      <c r="IGG227" s="1"/>
      <c r="IGH227" s="1"/>
      <c r="IGI227" s="1"/>
      <c r="IGJ227" s="1"/>
      <c r="IGK227" s="1"/>
      <c r="IGL227" s="1"/>
      <c r="IGM227" s="1"/>
      <c r="IGN227" s="1"/>
      <c r="IGO227" s="1"/>
      <c r="IGP227" s="1"/>
      <c r="IGQ227" s="1"/>
      <c r="IGR227" s="1"/>
      <c r="IGS227" s="1"/>
      <c r="IGT227" s="1"/>
      <c r="IGU227" s="1"/>
      <c r="IGV227" s="1"/>
      <c r="IGW227" s="1"/>
      <c r="IGX227" s="1"/>
      <c r="IGY227" s="1"/>
      <c r="IGZ227" s="1"/>
      <c r="IHA227" s="1"/>
      <c r="IHB227" s="1"/>
      <c r="IHC227" s="1"/>
      <c r="IHD227" s="1"/>
      <c r="IHE227" s="1"/>
      <c r="IHF227" s="1"/>
      <c r="IHG227" s="1"/>
      <c r="IHH227" s="1"/>
      <c r="IHI227" s="1"/>
      <c r="IHJ227" s="1"/>
      <c r="IHK227" s="1"/>
      <c r="IHL227" s="1"/>
      <c r="IHM227" s="1"/>
      <c r="IHN227" s="1"/>
      <c r="IHO227" s="1"/>
      <c r="IHP227" s="1"/>
      <c r="IHQ227" s="1"/>
      <c r="IHR227" s="1"/>
      <c r="IHS227" s="1"/>
      <c r="IHT227" s="1"/>
      <c r="IHU227" s="1"/>
      <c r="IHV227" s="1"/>
      <c r="IHW227" s="1"/>
      <c r="IHX227" s="1"/>
      <c r="IHY227" s="1"/>
      <c r="IHZ227" s="1"/>
      <c r="IIA227" s="1"/>
      <c r="IIB227" s="1"/>
      <c r="IIC227" s="1"/>
      <c r="IID227" s="1"/>
      <c r="IIE227" s="1"/>
      <c r="IIF227" s="1"/>
      <c r="IIG227" s="1"/>
      <c r="IIH227" s="1"/>
      <c r="III227" s="1"/>
      <c r="IIJ227" s="1"/>
      <c r="IIK227" s="1"/>
      <c r="IIL227" s="1"/>
      <c r="IIM227" s="1"/>
      <c r="IIN227" s="1"/>
      <c r="IIO227" s="1"/>
      <c r="IIP227" s="1"/>
      <c r="IIQ227" s="1"/>
      <c r="IIR227" s="1"/>
      <c r="IIS227" s="1"/>
      <c r="IIT227" s="1"/>
      <c r="IIU227" s="1"/>
      <c r="IIV227" s="1"/>
      <c r="IIW227" s="1"/>
      <c r="IIX227" s="1"/>
      <c r="IIY227" s="1"/>
      <c r="IIZ227" s="1"/>
      <c r="IJA227" s="1"/>
      <c r="IJB227" s="1"/>
      <c r="IJC227" s="1"/>
      <c r="IJD227" s="1"/>
      <c r="IJE227" s="1"/>
      <c r="IJF227" s="1"/>
      <c r="IJG227" s="1"/>
      <c r="IJH227" s="1"/>
      <c r="IJI227" s="1"/>
      <c r="IJJ227" s="1"/>
      <c r="IJK227" s="1"/>
      <c r="IJL227" s="1"/>
      <c r="IJM227" s="1"/>
      <c r="IJN227" s="1"/>
      <c r="IJO227" s="1"/>
      <c r="IJP227" s="1"/>
      <c r="IJQ227" s="1"/>
      <c r="IJR227" s="1"/>
      <c r="IJS227" s="1"/>
      <c r="IJT227" s="1"/>
      <c r="IJU227" s="1"/>
      <c r="IJV227" s="1"/>
      <c r="IJW227" s="1"/>
      <c r="IJX227" s="1"/>
      <c r="IJY227" s="1"/>
      <c r="IJZ227" s="1"/>
      <c r="IKA227" s="1"/>
      <c r="IKB227" s="1"/>
      <c r="IKC227" s="1"/>
      <c r="IKD227" s="1"/>
      <c r="IKE227" s="1"/>
      <c r="IKF227" s="1"/>
      <c r="IKG227" s="1"/>
      <c r="IKH227" s="1"/>
      <c r="IKI227" s="1"/>
      <c r="IKJ227" s="1"/>
      <c r="IKK227" s="1"/>
      <c r="IKL227" s="1"/>
      <c r="IKM227" s="1"/>
      <c r="IKN227" s="1"/>
      <c r="IKO227" s="1"/>
      <c r="IKP227" s="1"/>
      <c r="IKQ227" s="1"/>
      <c r="IKR227" s="1"/>
      <c r="IKS227" s="1"/>
      <c r="IKT227" s="1"/>
      <c r="IKU227" s="1"/>
      <c r="IKV227" s="1"/>
      <c r="IKW227" s="1"/>
      <c r="IKX227" s="1"/>
      <c r="IKY227" s="1"/>
      <c r="IKZ227" s="1"/>
      <c r="ILA227" s="1"/>
      <c r="ILB227" s="1"/>
      <c r="ILC227" s="1"/>
      <c r="ILD227" s="1"/>
      <c r="ILE227" s="1"/>
      <c r="ILF227" s="1"/>
      <c r="ILG227" s="1"/>
      <c r="ILH227" s="1"/>
      <c r="ILI227" s="1"/>
      <c r="ILJ227" s="1"/>
      <c r="ILK227" s="1"/>
      <c r="ILL227" s="1"/>
      <c r="ILM227" s="1"/>
      <c r="ILN227" s="1"/>
      <c r="ILO227" s="1"/>
      <c r="ILP227" s="1"/>
      <c r="ILQ227" s="1"/>
      <c r="ILR227" s="1"/>
      <c r="ILS227" s="1"/>
      <c r="ILT227" s="1"/>
      <c r="ILU227" s="1"/>
      <c r="ILV227" s="1"/>
      <c r="ILW227" s="1"/>
      <c r="ILX227" s="1"/>
      <c r="ILY227" s="1"/>
      <c r="ILZ227" s="1"/>
      <c r="IMA227" s="1"/>
      <c r="IMB227" s="1"/>
      <c r="IMC227" s="1"/>
      <c r="IMD227" s="1"/>
      <c r="IME227" s="1"/>
      <c r="IMF227" s="1"/>
      <c r="IMG227" s="1"/>
      <c r="IMH227" s="1"/>
      <c r="IMI227" s="1"/>
      <c r="IMJ227" s="1"/>
      <c r="IMK227" s="1"/>
      <c r="IML227" s="1"/>
      <c r="IMM227" s="1"/>
      <c r="IMN227" s="1"/>
      <c r="IMO227" s="1"/>
      <c r="IMP227" s="1"/>
      <c r="IMQ227" s="1"/>
      <c r="IMR227" s="1"/>
      <c r="IMS227" s="1"/>
      <c r="IMT227" s="1"/>
      <c r="IMU227" s="1"/>
      <c r="IMV227" s="1"/>
      <c r="IMW227" s="1"/>
      <c r="IMX227" s="1"/>
      <c r="IMY227" s="1"/>
      <c r="IMZ227" s="1"/>
      <c r="INA227" s="1"/>
      <c r="INB227" s="1"/>
      <c r="INC227" s="1"/>
      <c r="IND227" s="1"/>
      <c r="INE227" s="1"/>
      <c r="INF227" s="1"/>
      <c r="ING227" s="1"/>
      <c r="INH227" s="1"/>
      <c r="INI227" s="1"/>
      <c r="INJ227" s="1"/>
      <c r="INK227" s="1"/>
      <c r="INL227" s="1"/>
      <c r="INM227" s="1"/>
      <c r="INN227" s="1"/>
      <c r="INO227" s="1"/>
      <c r="INP227" s="1"/>
      <c r="INQ227" s="1"/>
      <c r="INR227" s="1"/>
      <c r="INS227" s="1"/>
      <c r="INT227" s="1"/>
      <c r="INU227" s="1"/>
      <c r="INV227" s="1"/>
      <c r="INW227" s="1"/>
      <c r="INX227" s="1"/>
      <c r="INY227" s="1"/>
      <c r="INZ227" s="1"/>
      <c r="IOA227" s="1"/>
      <c r="IOB227" s="1"/>
      <c r="IOC227" s="1"/>
      <c r="IOD227" s="1"/>
      <c r="IOE227" s="1"/>
      <c r="IOF227" s="1"/>
      <c r="IOG227" s="1"/>
      <c r="IOH227" s="1"/>
      <c r="IOI227" s="1"/>
      <c r="IOJ227" s="1"/>
      <c r="IOK227" s="1"/>
      <c r="IOL227" s="1"/>
      <c r="IOM227" s="1"/>
      <c r="ION227" s="1"/>
      <c r="IOO227" s="1"/>
      <c r="IOP227" s="1"/>
      <c r="IOQ227" s="1"/>
      <c r="IOR227" s="1"/>
      <c r="IOS227" s="1"/>
      <c r="IOT227" s="1"/>
      <c r="IOU227" s="1"/>
      <c r="IOV227" s="1"/>
      <c r="IOW227" s="1"/>
      <c r="IOX227" s="1"/>
      <c r="IOY227" s="1"/>
      <c r="IOZ227" s="1"/>
      <c r="IPA227" s="1"/>
      <c r="IPB227" s="1"/>
      <c r="IPC227" s="1"/>
      <c r="IPD227" s="1"/>
      <c r="IPE227" s="1"/>
      <c r="IPF227" s="1"/>
      <c r="IPG227" s="1"/>
      <c r="IPH227" s="1"/>
      <c r="IPI227" s="1"/>
      <c r="IPJ227" s="1"/>
      <c r="IPK227" s="1"/>
      <c r="IPL227" s="1"/>
      <c r="IPM227" s="1"/>
      <c r="IPN227" s="1"/>
      <c r="IPO227" s="1"/>
      <c r="IPP227" s="1"/>
      <c r="IPQ227" s="1"/>
      <c r="IPR227" s="1"/>
      <c r="IPS227" s="1"/>
      <c r="IPT227" s="1"/>
      <c r="IPU227" s="1"/>
      <c r="IPV227" s="1"/>
      <c r="IPW227" s="1"/>
      <c r="IPX227" s="1"/>
      <c r="IPY227" s="1"/>
      <c r="IPZ227" s="1"/>
      <c r="IQA227" s="1"/>
      <c r="IQB227" s="1"/>
      <c r="IQC227" s="1"/>
      <c r="IQD227" s="1"/>
      <c r="IQE227" s="1"/>
      <c r="IQF227" s="1"/>
      <c r="IQG227" s="1"/>
      <c r="IQH227" s="1"/>
      <c r="IQI227" s="1"/>
      <c r="IQJ227" s="1"/>
      <c r="IQK227" s="1"/>
      <c r="IQL227" s="1"/>
      <c r="IQM227" s="1"/>
      <c r="IQN227" s="1"/>
      <c r="IQO227" s="1"/>
      <c r="IQP227" s="1"/>
      <c r="IQQ227" s="1"/>
      <c r="IQR227" s="1"/>
      <c r="IQS227" s="1"/>
      <c r="IQT227" s="1"/>
      <c r="IQU227" s="1"/>
      <c r="IQV227" s="1"/>
      <c r="IQW227" s="1"/>
      <c r="IQX227" s="1"/>
      <c r="IQY227" s="1"/>
      <c r="IQZ227" s="1"/>
      <c r="IRA227" s="1"/>
      <c r="IRB227" s="1"/>
      <c r="IRC227" s="1"/>
      <c r="IRD227" s="1"/>
      <c r="IRE227" s="1"/>
      <c r="IRF227" s="1"/>
      <c r="IRG227" s="1"/>
      <c r="IRH227" s="1"/>
      <c r="IRI227" s="1"/>
      <c r="IRJ227" s="1"/>
      <c r="IRK227" s="1"/>
      <c r="IRL227" s="1"/>
      <c r="IRM227" s="1"/>
      <c r="IRN227" s="1"/>
      <c r="IRO227" s="1"/>
      <c r="IRP227" s="1"/>
      <c r="IRQ227" s="1"/>
      <c r="IRR227" s="1"/>
      <c r="IRS227" s="1"/>
      <c r="IRT227" s="1"/>
      <c r="IRU227" s="1"/>
      <c r="IRV227" s="1"/>
      <c r="IRW227" s="1"/>
      <c r="IRX227" s="1"/>
      <c r="IRY227" s="1"/>
      <c r="IRZ227" s="1"/>
      <c r="ISA227" s="1"/>
      <c r="ISB227" s="1"/>
      <c r="ISC227" s="1"/>
      <c r="ISD227" s="1"/>
      <c r="ISE227" s="1"/>
      <c r="ISF227" s="1"/>
      <c r="ISG227" s="1"/>
      <c r="ISH227" s="1"/>
      <c r="ISI227" s="1"/>
      <c r="ISJ227" s="1"/>
      <c r="ISK227" s="1"/>
      <c r="ISL227" s="1"/>
      <c r="ISM227" s="1"/>
      <c r="ISN227" s="1"/>
      <c r="ISO227" s="1"/>
      <c r="ISP227" s="1"/>
      <c r="ISQ227" s="1"/>
      <c r="ISR227" s="1"/>
      <c r="ISS227" s="1"/>
      <c r="IST227" s="1"/>
      <c r="ISU227" s="1"/>
      <c r="ISV227" s="1"/>
      <c r="ISW227" s="1"/>
      <c r="ISX227" s="1"/>
      <c r="ISY227" s="1"/>
      <c r="ISZ227" s="1"/>
      <c r="ITA227" s="1"/>
      <c r="ITB227" s="1"/>
      <c r="ITC227" s="1"/>
      <c r="ITD227" s="1"/>
      <c r="ITE227" s="1"/>
      <c r="ITF227" s="1"/>
      <c r="ITG227" s="1"/>
      <c r="ITH227" s="1"/>
      <c r="ITI227" s="1"/>
      <c r="ITJ227" s="1"/>
      <c r="ITK227" s="1"/>
      <c r="ITL227" s="1"/>
      <c r="ITM227" s="1"/>
      <c r="ITN227" s="1"/>
      <c r="ITO227" s="1"/>
      <c r="ITP227" s="1"/>
      <c r="ITQ227" s="1"/>
      <c r="ITR227" s="1"/>
      <c r="ITS227" s="1"/>
      <c r="ITT227" s="1"/>
      <c r="ITU227" s="1"/>
      <c r="ITV227" s="1"/>
      <c r="ITW227" s="1"/>
      <c r="ITX227" s="1"/>
      <c r="ITY227" s="1"/>
      <c r="ITZ227" s="1"/>
      <c r="IUA227" s="1"/>
      <c r="IUB227" s="1"/>
      <c r="IUC227" s="1"/>
      <c r="IUD227" s="1"/>
      <c r="IUE227" s="1"/>
      <c r="IUF227" s="1"/>
      <c r="IUG227" s="1"/>
      <c r="IUH227" s="1"/>
      <c r="IUI227" s="1"/>
      <c r="IUJ227" s="1"/>
      <c r="IUK227" s="1"/>
      <c r="IUL227" s="1"/>
      <c r="IUM227" s="1"/>
      <c r="IUN227" s="1"/>
      <c r="IUO227" s="1"/>
      <c r="IUP227" s="1"/>
      <c r="IUQ227" s="1"/>
      <c r="IUR227" s="1"/>
      <c r="IUS227" s="1"/>
      <c r="IUT227" s="1"/>
      <c r="IUU227" s="1"/>
      <c r="IUV227" s="1"/>
      <c r="IUW227" s="1"/>
      <c r="IUX227" s="1"/>
      <c r="IUY227" s="1"/>
      <c r="IUZ227" s="1"/>
      <c r="IVA227" s="1"/>
      <c r="IVB227" s="1"/>
      <c r="IVC227" s="1"/>
      <c r="IVD227" s="1"/>
      <c r="IVE227" s="1"/>
      <c r="IVF227" s="1"/>
      <c r="IVG227" s="1"/>
      <c r="IVH227" s="1"/>
      <c r="IVI227" s="1"/>
      <c r="IVJ227" s="1"/>
      <c r="IVK227" s="1"/>
      <c r="IVL227" s="1"/>
      <c r="IVM227" s="1"/>
      <c r="IVN227" s="1"/>
      <c r="IVO227" s="1"/>
      <c r="IVP227" s="1"/>
      <c r="IVQ227" s="1"/>
      <c r="IVR227" s="1"/>
      <c r="IVS227" s="1"/>
      <c r="IVT227" s="1"/>
      <c r="IVU227" s="1"/>
      <c r="IVV227" s="1"/>
      <c r="IVW227" s="1"/>
      <c r="IVX227" s="1"/>
      <c r="IVY227" s="1"/>
      <c r="IVZ227" s="1"/>
      <c r="IWA227" s="1"/>
      <c r="IWB227" s="1"/>
      <c r="IWC227" s="1"/>
      <c r="IWD227" s="1"/>
      <c r="IWE227" s="1"/>
      <c r="IWF227" s="1"/>
      <c r="IWG227" s="1"/>
      <c r="IWH227" s="1"/>
      <c r="IWI227" s="1"/>
      <c r="IWJ227" s="1"/>
      <c r="IWK227" s="1"/>
      <c r="IWL227" s="1"/>
      <c r="IWM227" s="1"/>
      <c r="IWN227" s="1"/>
      <c r="IWO227" s="1"/>
      <c r="IWP227" s="1"/>
      <c r="IWQ227" s="1"/>
      <c r="IWR227" s="1"/>
      <c r="IWS227" s="1"/>
      <c r="IWT227" s="1"/>
      <c r="IWU227" s="1"/>
      <c r="IWV227" s="1"/>
      <c r="IWW227" s="1"/>
      <c r="IWX227" s="1"/>
      <c r="IWY227" s="1"/>
      <c r="IWZ227" s="1"/>
      <c r="IXA227" s="1"/>
      <c r="IXB227" s="1"/>
      <c r="IXC227" s="1"/>
      <c r="IXD227" s="1"/>
      <c r="IXE227" s="1"/>
      <c r="IXF227" s="1"/>
      <c r="IXG227" s="1"/>
      <c r="IXH227" s="1"/>
      <c r="IXI227" s="1"/>
      <c r="IXJ227" s="1"/>
      <c r="IXK227" s="1"/>
      <c r="IXL227" s="1"/>
      <c r="IXM227" s="1"/>
      <c r="IXN227" s="1"/>
      <c r="IXO227" s="1"/>
      <c r="IXP227" s="1"/>
      <c r="IXQ227" s="1"/>
      <c r="IXR227" s="1"/>
      <c r="IXS227" s="1"/>
      <c r="IXT227" s="1"/>
      <c r="IXU227" s="1"/>
      <c r="IXV227" s="1"/>
      <c r="IXW227" s="1"/>
      <c r="IXX227" s="1"/>
      <c r="IXY227" s="1"/>
      <c r="IXZ227" s="1"/>
      <c r="IYA227" s="1"/>
      <c r="IYB227" s="1"/>
      <c r="IYC227" s="1"/>
      <c r="IYD227" s="1"/>
      <c r="IYE227" s="1"/>
      <c r="IYF227" s="1"/>
      <c r="IYG227" s="1"/>
      <c r="IYH227" s="1"/>
      <c r="IYI227" s="1"/>
      <c r="IYJ227" s="1"/>
      <c r="IYK227" s="1"/>
      <c r="IYL227" s="1"/>
      <c r="IYM227" s="1"/>
      <c r="IYN227" s="1"/>
      <c r="IYO227" s="1"/>
      <c r="IYP227" s="1"/>
      <c r="IYQ227" s="1"/>
      <c r="IYR227" s="1"/>
      <c r="IYS227" s="1"/>
      <c r="IYT227" s="1"/>
      <c r="IYU227" s="1"/>
      <c r="IYV227" s="1"/>
      <c r="IYW227" s="1"/>
      <c r="IYX227" s="1"/>
      <c r="IYY227" s="1"/>
      <c r="IYZ227" s="1"/>
      <c r="IZA227" s="1"/>
      <c r="IZB227" s="1"/>
      <c r="IZC227" s="1"/>
      <c r="IZD227" s="1"/>
      <c r="IZE227" s="1"/>
      <c r="IZF227" s="1"/>
      <c r="IZG227" s="1"/>
      <c r="IZH227" s="1"/>
      <c r="IZI227" s="1"/>
      <c r="IZJ227" s="1"/>
      <c r="IZK227" s="1"/>
      <c r="IZL227" s="1"/>
      <c r="IZM227" s="1"/>
      <c r="IZN227" s="1"/>
      <c r="IZO227" s="1"/>
      <c r="IZP227" s="1"/>
      <c r="IZQ227" s="1"/>
      <c r="IZR227" s="1"/>
      <c r="IZS227" s="1"/>
      <c r="IZT227" s="1"/>
      <c r="IZU227" s="1"/>
      <c r="IZV227" s="1"/>
      <c r="IZW227" s="1"/>
      <c r="IZX227" s="1"/>
      <c r="IZY227" s="1"/>
      <c r="IZZ227" s="1"/>
      <c r="JAA227" s="1"/>
      <c r="JAB227" s="1"/>
      <c r="JAC227" s="1"/>
      <c r="JAD227" s="1"/>
      <c r="JAE227" s="1"/>
      <c r="JAF227" s="1"/>
      <c r="JAG227" s="1"/>
      <c r="JAH227" s="1"/>
      <c r="JAI227" s="1"/>
      <c r="JAJ227" s="1"/>
      <c r="JAK227" s="1"/>
      <c r="JAL227" s="1"/>
      <c r="JAM227" s="1"/>
      <c r="JAN227" s="1"/>
      <c r="JAO227" s="1"/>
      <c r="JAP227" s="1"/>
      <c r="JAQ227" s="1"/>
      <c r="JAR227" s="1"/>
      <c r="JAS227" s="1"/>
      <c r="JAT227" s="1"/>
      <c r="JAU227" s="1"/>
      <c r="JAV227" s="1"/>
      <c r="JAW227" s="1"/>
      <c r="JAX227" s="1"/>
      <c r="JAY227" s="1"/>
      <c r="JAZ227" s="1"/>
      <c r="JBA227" s="1"/>
      <c r="JBB227" s="1"/>
      <c r="JBC227" s="1"/>
      <c r="JBD227" s="1"/>
      <c r="JBE227" s="1"/>
      <c r="JBF227" s="1"/>
      <c r="JBG227" s="1"/>
      <c r="JBH227" s="1"/>
      <c r="JBI227" s="1"/>
      <c r="JBJ227" s="1"/>
      <c r="JBK227" s="1"/>
      <c r="JBL227" s="1"/>
      <c r="JBM227" s="1"/>
      <c r="JBN227" s="1"/>
      <c r="JBO227" s="1"/>
      <c r="JBP227" s="1"/>
      <c r="JBQ227" s="1"/>
      <c r="JBR227" s="1"/>
      <c r="JBS227" s="1"/>
      <c r="JBT227" s="1"/>
      <c r="JBU227" s="1"/>
      <c r="JBV227" s="1"/>
      <c r="JBW227" s="1"/>
      <c r="JBX227" s="1"/>
      <c r="JBY227" s="1"/>
      <c r="JBZ227" s="1"/>
      <c r="JCA227" s="1"/>
      <c r="JCB227" s="1"/>
      <c r="JCC227" s="1"/>
      <c r="JCD227" s="1"/>
      <c r="JCE227" s="1"/>
      <c r="JCF227" s="1"/>
      <c r="JCG227" s="1"/>
      <c r="JCH227" s="1"/>
      <c r="JCI227" s="1"/>
      <c r="JCJ227" s="1"/>
      <c r="JCK227" s="1"/>
      <c r="JCL227" s="1"/>
      <c r="JCM227" s="1"/>
      <c r="JCN227" s="1"/>
      <c r="JCO227" s="1"/>
      <c r="JCP227" s="1"/>
      <c r="JCQ227" s="1"/>
      <c r="JCR227" s="1"/>
      <c r="JCS227" s="1"/>
      <c r="JCT227" s="1"/>
      <c r="JCU227" s="1"/>
      <c r="JCV227" s="1"/>
      <c r="JCW227" s="1"/>
      <c r="JCX227" s="1"/>
      <c r="JCY227" s="1"/>
      <c r="JCZ227" s="1"/>
      <c r="JDA227" s="1"/>
      <c r="JDB227" s="1"/>
      <c r="JDC227" s="1"/>
      <c r="JDD227" s="1"/>
      <c r="JDE227" s="1"/>
      <c r="JDF227" s="1"/>
      <c r="JDG227" s="1"/>
      <c r="JDH227" s="1"/>
      <c r="JDI227" s="1"/>
      <c r="JDJ227" s="1"/>
      <c r="JDK227" s="1"/>
      <c r="JDL227" s="1"/>
      <c r="JDM227" s="1"/>
      <c r="JDN227" s="1"/>
      <c r="JDO227" s="1"/>
      <c r="JDP227" s="1"/>
      <c r="JDQ227" s="1"/>
      <c r="JDR227" s="1"/>
      <c r="JDS227" s="1"/>
      <c r="JDT227" s="1"/>
      <c r="JDU227" s="1"/>
      <c r="JDV227" s="1"/>
      <c r="JDW227" s="1"/>
      <c r="JDX227" s="1"/>
      <c r="JDY227" s="1"/>
      <c r="JDZ227" s="1"/>
      <c r="JEA227" s="1"/>
      <c r="JEB227" s="1"/>
      <c r="JEC227" s="1"/>
      <c r="JED227" s="1"/>
      <c r="JEE227" s="1"/>
      <c r="JEF227" s="1"/>
      <c r="JEG227" s="1"/>
      <c r="JEH227" s="1"/>
      <c r="JEI227" s="1"/>
      <c r="JEJ227" s="1"/>
      <c r="JEK227" s="1"/>
      <c r="JEL227" s="1"/>
      <c r="JEM227" s="1"/>
      <c r="JEN227" s="1"/>
      <c r="JEO227" s="1"/>
      <c r="JEP227" s="1"/>
      <c r="JEQ227" s="1"/>
      <c r="JER227" s="1"/>
      <c r="JES227" s="1"/>
      <c r="JET227" s="1"/>
      <c r="JEU227" s="1"/>
      <c r="JEV227" s="1"/>
      <c r="JEW227" s="1"/>
      <c r="JEX227" s="1"/>
      <c r="JEY227" s="1"/>
      <c r="JEZ227" s="1"/>
      <c r="JFA227" s="1"/>
      <c r="JFB227" s="1"/>
      <c r="JFC227" s="1"/>
      <c r="JFD227" s="1"/>
      <c r="JFE227" s="1"/>
      <c r="JFF227" s="1"/>
      <c r="JFG227" s="1"/>
      <c r="JFH227" s="1"/>
      <c r="JFI227" s="1"/>
      <c r="JFJ227" s="1"/>
      <c r="JFK227" s="1"/>
      <c r="JFL227" s="1"/>
      <c r="JFM227" s="1"/>
      <c r="JFN227" s="1"/>
      <c r="JFO227" s="1"/>
      <c r="JFP227" s="1"/>
      <c r="JFQ227" s="1"/>
      <c r="JFR227" s="1"/>
      <c r="JFS227" s="1"/>
      <c r="JFT227" s="1"/>
      <c r="JFU227" s="1"/>
      <c r="JFV227" s="1"/>
      <c r="JFW227" s="1"/>
      <c r="JFX227" s="1"/>
      <c r="JFY227" s="1"/>
      <c r="JFZ227" s="1"/>
      <c r="JGA227" s="1"/>
      <c r="JGB227" s="1"/>
      <c r="JGC227" s="1"/>
      <c r="JGD227" s="1"/>
      <c r="JGE227" s="1"/>
      <c r="JGF227" s="1"/>
      <c r="JGG227" s="1"/>
      <c r="JGH227" s="1"/>
      <c r="JGI227" s="1"/>
      <c r="JGJ227" s="1"/>
      <c r="JGK227" s="1"/>
      <c r="JGL227" s="1"/>
      <c r="JGM227" s="1"/>
      <c r="JGN227" s="1"/>
      <c r="JGO227" s="1"/>
      <c r="JGP227" s="1"/>
      <c r="JGQ227" s="1"/>
      <c r="JGR227" s="1"/>
      <c r="JGS227" s="1"/>
      <c r="JGT227" s="1"/>
      <c r="JGU227" s="1"/>
      <c r="JGV227" s="1"/>
      <c r="JGW227" s="1"/>
      <c r="JGX227" s="1"/>
      <c r="JGY227" s="1"/>
      <c r="JGZ227" s="1"/>
      <c r="JHA227" s="1"/>
      <c r="JHB227" s="1"/>
      <c r="JHC227" s="1"/>
      <c r="JHD227" s="1"/>
      <c r="JHE227" s="1"/>
      <c r="JHF227" s="1"/>
      <c r="JHG227" s="1"/>
      <c r="JHH227" s="1"/>
      <c r="JHI227" s="1"/>
      <c r="JHJ227" s="1"/>
      <c r="JHK227" s="1"/>
      <c r="JHL227" s="1"/>
      <c r="JHM227" s="1"/>
      <c r="JHN227" s="1"/>
      <c r="JHO227" s="1"/>
      <c r="JHP227" s="1"/>
      <c r="JHQ227" s="1"/>
      <c r="JHR227" s="1"/>
      <c r="JHS227" s="1"/>
      <c r="JHT227" s="1"/>
      <c r="JHU227" s="1"/>
      <c r="JHV227" s="1"/>
      <c r="JHW227" s="1"/>
      <c r="JHX227" s="1"/>
      <c r="JHY227" s="1"/>
      <c r="JHZ227" s="1"/>
      <c r="JIA227" s="1"/>
      <c r="JIB227" s="1"/>
      <c r="JIC227" s="1"/>
      <c r="JID227" s="1"/>
      <c r="JIE227" s="1"/>
      <c r="JIF227" s="1"/>
      <c r="JIG227" s="1"/>
      <c r="JIH227" s="1"/>
      <c r="JII227" s="1"/>
      <c r="JIJ227" s="1"/>
      <c r="JIK227" s="1"/>
      <c r="JIL227" s="1"/>
      <c r="JIM227" s="1"/>
      <c r="JIN227" s="1"/>
      <c r="JIO227" s="1"/>
      <c r="JIP227" s="1"/>
      <c r="JIQ227" s="1"/>
      <c r="JIR227" s="1"/>
      <c r="JIS227" s="1"/>
      <c r="JIT227" s="1"/>
      <c r="JIU227" s="1"/>
      <c r="JIV227" s="1"/>
      <c r="JIW227" s="1"/>
      <c r="JIX227" s="1"/>
      <c r="JIY227" s="1"/>
      <c r="JIZ227" s="1"/>
      <c r="JJA227" s="1"/>
      <c r="JJB227" s="1"/>
      <c r="JJC227" s="1"/>
      <c r="JJD227" s="1"/>
      <c r="JJE227" s="1"/>
      <c r="JJF227" s="1"/>
      <c r="JJG227" s="1"/>
      <c r="JJH227" s="1"/>
      <c r="JJI227" s="1"/>
      <c r="JJJ227" s="1"/>
      <c r="JJK227" s="1"/>
      <c r="JJL227" s="1"/>
      <c r="JJM227" s="1"/>
      <c r="JJN227" s="1"/>
      <c r="JJO227" s="1"/>
      <c r="JJP227" s="1"/>
      <c r="JJQ227" s="1"/>
      <c r="JJR227" s="1"/>
      <c r="JJS227" s="1"/>
      <c r="JJT227" s="1"/>
      <c r="JJU227" s="1"/>
      <c r="JJV227" s="1"/>
      <c r="JJW227" s="1"/>
      <c r="JJX227" s="1"/>
      <c r="JJY227" s="1"/>
      <c r="JJZ227" s="1"/>
      <c r="JKA227" s="1"/>
      <c r="JKB227" s="1"/>
      <c r="JKC227" s="1"/>
      <c r="JKD227" s="1"/>
      <c r="JKE227" s="1"/>
      <c r="JKF227" s="1"/>
      <c r="JKG227" s="1"/>
      <c r="JKH227" s="1"/>
      <c r="JKI227" s="1"/>
      <c r="JKJ227" s="1"/>
      <c r="JKK227" s="1"/>
      <c r="JKL227" s="1"/>
      <c r="JKM227" s="1"/>
      <c r="JKN227" s="1"/>
      <c r="JKO227" s="1"/>
      <c r="JKP227" s="1"/>
      <c r="JKQ227" s="1"/>
      <c r="JKR227" s="1"/>
      <c r="JKS227" s="1"/>
      <c r="JKT227" s="1"/>
      <c r="JKU227" s="1"/>
      <c r="JKV227" s="1"/>
      <c r="JKW227" s="1"/>
      <c r="JKX227" s="1"/>
      <c r="JKY227" s="1"/>
      <c r="JKZ227" s="1"/>
      <c r="JLA227" s="1"/>
      <c r="JLB227" s="1"/>
      <c r="JLC227" s="1"/>
      <c r="JLD227" s="1"/>
      <c r="JLE227" s="1"/>
      <c r="JLF227" s="1"/>
      <c r="JLG227" s="1"/>
      <c r="JLH227" s="1"/>
      <c r="JLI227" s="1"/>
      <c r="JLJ227" s="1"/>
      <c r="JLK227" s="1"/>
      <c r="JLL227" s="1"/>
      <c r="JLM227" s="1"/>
      <c r="JLN227" s="1"/>
      <c r="JLO227" s="1"/>
      <c r="JLP227" s="1"/>
      <c r="JLQ227" s="1"/>
      <c r="JLR227" s="1"/>
      <c r="JLS227" s="1"/>
      <c r="JLT227" s="1"/>
      <c r="JLU227" s="1"/>
      <c r="JLV227" s="1"/>
      <c r="JLW227" s="1"/>
      <c r="JLX227" s="1"/>
      <c r="JLY227" s="1"/>
      <c r="JLZ227" s="1"/>
      <c r="JMA227" s="1"/>
      <c r="JMB227" s="1"/>
      <c r="JMC227" s="1"/>
      <c r="JMD227" s="1"/>
      <c r="JME227" s="1"/>
      <c r="JMF227" s="1"/>
      <c r="JMG227" s="1"/>
      <c r="JMH227" s="1"/>
      <c r="JMI227" s="1"/>
      <c r="JMJ227" s="1"/>
      <c r="JMK227" s="1"/>
      <c r="JML227" s="1"/>
      <c r="JMM227" s="1"/>
      <c r="JMN227" s="1"/>
      <c r="JMO227" s="1"/>
      <c r="JMP227" s="1"/>
      <c r="JMQ227" s="1"/>
      <c r="JMR227" s="1"/>
      <c r="JMS227" s="1"/>
      <c r="JMT227" s="1"/>
      <c r="JMU227" s="1"/>
      <c r="JMV227" s="1"/>
      <c r="JMW227" s="1"/>
      <c r="JMX227" s="1"/>
      <c r="JMY227" s="1"/>
      <c r="JMZ227" s="1"/>
      <c r="JNA227" s="1"/>
      <c r="JNB227" s="1"/>
      <c r="JNC227" s="1"/>
      <c r="JND227" s="1"/>
      <c r="JNE227" s="1"/>
      <c r="JNF227" s="1"/>
      <c r="JNG227" s="1"/>
      <c r="JNH227" s="1"/>
      <c r="JNI227" s="1"/>
      <c r="JNJ227" s="1"/>
      <c r="JNK227" s="1"/>
      <c r="JNL227" s="1"/>
      <c r="JNM227" s="1"/>
      <c r="JNN227" s="1"/>
      <c r="JNO227" s="1"/>
      <c r="JNP227" s="1"/>
      <c r="JNQ227" s="1"/>
      <c r="JNR227" s="1"/>
      <c r="JNS227" s="1"/>
      <c r="JNT227" s="1"/>
      <c r="JNU227" s="1"/>
      <c r="JNV227" s="1"/>
      <c r="JNW227" s="1"/>
      <c r="JNX227" s="1"/>
      <c r="JNY227" s="1"/>
      <c r="JNZ227" s="1"/>
      <c r="JOA227" s="1"/>
      <c r="JOB227" s="1"/>
      <c r="JOC227" s="1"/>
      <c r="JOD227" s="1"/>
      <c r="JOE227" s="1"/>
      <c r="JOF227" s="1"/>
      <c r="JOG227" s="1"/>
      <c r="JOH227" s="1"/>
      <c r="JOI227" s="1"/>
      <c r="JOJ227" s="1"/>
      <c r="JOK227" s="1"/>
      <c r="JOL227" s="1"/>
      <c r="JOM227" s="1"/>
      <c r="JON227" s="1"/>
      <c r="JOO227" s="1"/>
      <c r="JOP227" s="1"/>
      <c r="JOQ227" s="1"/>
      <c r="JOR227" s="1"/>
      <c r="JOS227" s="1"/>
      <c r="JOT227" s="1"/>
      <c r="JOU227" s="1"/>
      <c r="JOV227" s="1"/>
      <c r="JOW227" s="1"/>
      <c r="JOX227" s="1"/>
      <c r="JOY227" s="1"/>
      <c r="JOZ227" s="1"/>
      <c r="JPA227" s="1"/>
      <c r="JPB227" s="1"/>
      <c r="JPC227" s="1"/>
      <c r="JPD227" s="1"/>
      <c r="JPE227" s="1"/>
      <c r="JPF227" s="1"/>
      <c r="JPG227" s="1"/>
      <c r="JPH227" s="1"/>
      <c r="JPI227" s="1"/>
      <c r="JPJ227" s="1"/>
      <c r="JPK227" s="1"/>
      <c r="JPL227" s="1"/>
      <c r="JPM227" s="1"/>
      <c r="JPN227" s="1"/>
      <c r="JPO227" s="1"/>
      <c r="JPP227" s="1"/>
      <c r="JPQ227" s="1"/>
      <c r="JPR227" s="1"/>
      <c r="JPS227" s="1"/>
      <c r="JPT227" s="1"/>
      <c r="JPU227" s="1"/>
      <c r="JPV227" s="1"/>
      <c r="JPW227" s="1"/>
      <c r="JPX227" s="1"/>
      <c r="JPY227" s="1"/>
      <c r="JPZ227" s="1"/>
      <c r="JQA227" s="1"/>
      <c r="JQB227" s="1"/>
      <c r="JQC227" s="1"/>
      <c r="JQD227" s="1"/>
      <c r="JQE227" s="1"/>
      <c r="JQF227" s="1"/>
      <c r="JQG227" s="1"/>
      <c r="JQH227" s="1"/>
      <c r="JQI227" s="1"/>
      <c r="JQJ227" s="1"/>
      <c r="JQK227" s="1"/>
      <c r="JQL227" s="1"/>
      <c r="JQM227" s="1"/>
      <c r="JQN227" s="1"/>
      <c r="JQO227" s="1"/>
      <c r="JQP227" s="1"/>
      <c r="JQQ227" s="1"/>
      <c r="JQR227" s="1"/>
      <c r="JQS227" s="1"/>
      <c r="JQT227" s="1"/>
      <c r="JQU227" s="1"/>
      <c r="JQV227" s="1"/>
      <c r="JQW227" s="1"/>
      <c r="JQX227" s="1"/>
      <c r="JQY227" s="1"/>
      <c r="JQZ227" s="1"/>
      <c r="JRA227" s="1"/>
      <c r="JRB227" s="1"/>
      <c r="JRC227" s="1"/>
      <c r="JRD227" s="1"/>
      <c r="JRE227" s="1"/>
      <c r="JRF227" s="1"/>
      <c r="JRG227" s="1"/>
      <c r="JRH227" s="1"/>
      <c r="JRI227" s="1"/>
      <c r="JRJ227" s="1"/>
      <c r="JRK227" s="1"/>
      <c r="JRL227" s="1"/>
      <c r="JRM227" s="1"/>
      <c r="JRN227" s="1"/>
      <c r="JRO227" s="1"/>
      <c r="JRP227" s="1"/>
      <c r="JRQ227" s="1"/>
      <c r="JRR227" s="1"/>
      <c r="JRS227" s="1"/>
      <c r="JRT227" s="1"/>
      <c r="JRU227" s="1"/>
      <c r="JRV227" s="1"/>
      <c r="JRW227" s="1"/>
      <c r="JRX227" s="1"/>
      <c r="JRY227" s="1"/>
      <c r="JRZ227" s="1"/>
      <c r="JSA227" s="1"/>
      <c r="JSB227" s="1"/>
      <c r="JSC227" s="1"/>
      <c r="JSD227" s="1"/>
      <c r="JSE227" s="1"/>
      <c r="JSF227" s="1"/>
      <c r="JSG227" s="1"/>
      <c r="JSH227" s="1"/>
      <c r="JSI227" s="1"/>
      <c r="JSJ227" s="1"/>
      <c r="JSK227" s="1"/>
      <c r="JSL227" s="1"/>
      <c r="JSM227" s="1"/>
      <c r="JSN227" s="1"/>
      <c r="JSO227" s="1"/>
      <c r="JSP227" s="1"/>
      <c r="JSQ227" s="1"/>
      <c r="JSR227" s="1"/>
      <c r="JSS227" s="1"/>
      <c r="JST227" s="1"/>
      <c r="JSU227" s="1"/>
      <c r="JSV227" s="1"/>
      <c r="JSW227" s="1"/>
      <c r="JSX227" s="1"/>
      <c r="JSY227" s="1"/>
      <c r="JSZ227" s="1"/>
      <c r="JTA227" s="1"/>
      <c r="JTB227" s="1"/>
      <c r="JTC227" s="1"/>
      <c r="JTD227" s="1"/>
      <c r="JTE227" s="1"/>
      <c r="JTF227" s="1"/>
      <c r="JTG227" s="1"/>
      <c r="JTH227" s="1"/>
      <c r="JTI227" s="1"/>
      <c r="JTJ227" s="1"/>
      <c r="JTK227" s="1"/>
      <c r="JTL227" s="1"/>
      <c r="JTM227" s="1"/>
      <c r="JTN227" s="1"/>
      <c r="JTO227" s="1"/>
      <c r="JTP227" s="1"/>
      <c r="JTQ227" s="1"/>
      <c r="JTR227" s="1"/>
      <c r="JTS227" s="1"/>
      <c r="JTT227" s="1"/>
      <c r="JTU227" s="1"/>
      <c r="JTV227" s="1"/>
      <c r="JTW227" s="1"/>
      <c r="JTX227" s="1"/>
      <c r="JTY227" s="1"/>
      <c r="JTZ227" s="1"/>
      <c r="JUA227" s="1"/>
      <c r="JUB227" s="1"/>
      <c r="JUC227" s="1"/>
      <c r="JUD227" s="1"/>
      <c r="JUE227" s="1"/>
      <c r="JUF227" s="1"/>
      <c r="JUG227" s="1"/>
      <c r="JUH227" s="1"/>
      <c r="JUI227" s="1"/>
      <c r="JUJ227" s="1"/>
      <c r="JUK227" s="1"/>
      <c r="JUL227" s="1"/>
      <c r="JUM227" s="1"/>
      <c r="JUN227" s="1"/>
      <c r="JUO227" s="1"/>
      <c r="JUP227" s="1"/>
      <c r="JUQ227" s="1"/>
      <c r="JUR227" s="1"/>
      <c r="JUS227" s="1"/>
      <c r="JUT227" s="1"/>
      <c r="JUU227" s="1"/>
      <c r="JUV227" s="1"/>
      <c r="JUW227" s="1"/>
      <c r="JUX227" s="1"/>
      <c r="JUY227" s="1"/>
      <c r="JUZ227" s="1"/>
      <c r="JVA227" s="1"/>
      <c r="JVB227" s="1"/>
      <c r="JVC227" s="1"/>
      <c r="JVD227" s="1"/>
      <c r="JVE227" s="1"/>
      <c r="JVF227" s="1"/>
      <c r="JVG227" s="1"/>
      <c r="JVH227" s="1"/>
      <c r="JVI227" s="1"/>
      <c r="JVJ227" s="1"/>
      <c r="JVK227" s="1"/>
      <c r="JVL227" s="1"/>
      <c r="JVM227" s="1"/>
      <c r="JVN227" s="1"/>
      <c r="JVO227" s="1"/>
      <c r="JVP227" s="1"/>
      <c r="JVQ227" s="1"/>
      <c r="JVR227" s="1"/>
      <c r="JVS227" s="1"/>
      <c r="JVT227" s="1"/>
      <c r="JVU227" s="1"/>
      <c r="JVV227" s="1"/>
      <c r="JVW227" s="1"/>
      <c r="JVX227" s="1"/>
      <c r="JVY227" s="1"/>
      <c r="JVZ227" s="1"/>
      <c r="JWA227" s="1"/>
      <c r="JWB227" s="1"/>
      <c r="JWC227" s="1"/>
      <c r="JWD227" s="1"/>
      <c r="JWE227" s="1"/>
      <c r="JWF227" s="1"/>
      <c r="JWG227" s="1"/>
      <c r="JWH227" s="1"/>
      <c r="JWI227" s="1"/>
      <c r="JWJ227" s="1"/>
      <c r="JWK227" s="1"/>
      <c r="JWL227" s="1"/>
      <c r="JWM227" s="1"/>
      <c r="JWN227" s="1"/>
      <c r="JWO227" s="1"/>
      <c r="JWP227" s="1"/>
      <c r="JWQ227" s="1"/>
      <c r="JWR227" s="1"/>
      <c r="JWS227" s="1"/>
      <c r="JWT227" s="1"/>
      <c r="JWU227" s="1"/>
      <c r="JWV227" s="1"/>
      <c r="JWW227" s="1"/>
      <c r="JWX227" s="1"/>
      <c r="JWY227" s="1"/>
      <c r="JWZ227" s="1"/>
      <c r="JXA227" s="1"/>
      <c r="JXB227" s="1"/>
      <c r="JXC227" s="1"/>
      <c r="JXD227" s="1"/>
      <c r="JXE227" s="1"/>
      <c r="JXF227" s="1"/>
      <c r="JXG227" s="1"/>
      <c r="JXH227" s="1"/>
      <c r="JXI227" s="1"/>
      <c r="JXJ227" s="1"/>
      <c r="JXK227" s="1"/>
      <c r="JXL227" s="1"/>
      <c r="JXM227" s="1"/>
      <c r="JXN227" s="1"/>
      <c r="JXO227" s="1"/>
      <c r="JXP227" s="1"/>
      <c r="JXQ227" s="1"/>
      <c r="JXR227" s="1"/>
      <c r="JXS227" s="1"/>
      <c r="JXT227" s="1"/>
      <c r="JXU227" s="1"/>
      <c r="JXV227" s="1"/>
      <c r="JXW227" s="1"/>
      <c r="JXX227" s="1"/>
      <c r="JXY227" s="1"/>
      <c r="JXZ227" s="1"/>
      <c r="JYA227" s="1"/>
      <c r="JYB227" s="1"/>
      <c r="JYC227" s="1"/>
      <c r="JYD227" s="1"/>
      <c r="JYE227" s="1"/>
      <c r="JYF227" s="1"/>
      <c r="JYG227" s="1"/>
      <c r="JYH227" s="1"/>
      <c r="JYI227" s="1"/>
      <c r="JYJ227" s="1"/>
      <c r="JYK227" s="1"/>
      <c r="JYL227" s="1"/>
      <c r="JYM227" s="1"/>
      <c r="JYN227" s="1"/>
      <c r="JYO227" s="1"/>
      <c r="JYP227" s="1"/>
      <c r="JYQ227" s="1"/>
      <c r="JYR227" s="1"/>
      <c r="JYS227" s="1"/>
      <c r="JYT227" s="1"/>
      <c r="JYU227" s="1"/>
      <c r="JYV227" s="1"/>
      <c r="JYW227" s="1"/>
      <c r="JYX227" s="1"/>
      <c r="JYY227" s="1"/>
      <c r="JYZ227" s="1"/>
      <c r="JZA227" s="1"/>
      <c r="JZB227" s="1"/>
      <c r="JZC227" s="1"/>
      <c r="JZD227" s="1"/>
      <c r="JZE227" s="1"/>
      <c r="JZF227" s="1"/>
      <c r="JZG227" s="1"/>
      <c r="JZH227" s="1"/>
      <c r="JZI227" s="1"/>
      <c r="JZJ227" s="1"/>
      <c r="JZK227" s="1"/>
      <c r="JZL227" s="1"/>
      <c r="JZM227" s="1"/>
      <c r="JZN227" s="1"/>
      <c r="JZO227" s="1"/>
      <c r="JZP227" s="1"/>
      <c r="JZQ227" s="1"/>
      <c r="JZR227" s="1"/>
      <c r="JZS227" s="1"/>
      <c r="JZT227" s="1"/>
      <c r="JZU227" s="1"/>
      <c r="JZV227" s="1"/>
      <c r="JZW227" s="1"/>
      <c r="JZX227" s="1"/>
      <c r="JZY227" s="1"/>
      <c r="JZZ227" s="1"/>
      <c r="KAA227" s="1"/>
      <c r="KAB227" s="1"/>
      <c r="KAC227" s="1"/>
      <c r="KAD227" s="1"/>
      <c r="KAE227" s="1"/>
      <c r="KAF227" s="1"/>
      <c r="KAG227" s="1"/>
      <c r="KAH227" s="1"/>
      <c r="KAI227" s="1"/>
      <c r="KAJ227" s="1"/>
      <c r="KAK227" s="1"/>
      <c r="KAL227" s="1"/>
      <c r="KAM227" s="1"/>
      <c r="KAN227" s="1"/>
      <c r="KAO227" s="1"/>
      <c r="KAP227" s="1"/>
      <c r="KAQ227" s="1"/>
      <c r="KAR227" s="1"/>
      <c r="KAS227" s="1"/>
      <c r="KAT227" s="1"/>
      <c r="KAU227" s="1"/>
      <c r="KAV227" s="1"/>
      <c r="KAW227" s="1"/>
      <c r="KAX227" s="1"/>
      <c r="KAY227" s="1"/>
      <c r="KAZ227" s="1"/>
      <c r="KBA227" s="1"/>
      <c r="KBB227" s="1"/>
      <c r="KBC227" s="1"/>
      <c r="KBD227" s="1"/>
      <c r="KBE227" s="1"/>
      <c r="KBF227" s="1"/>
      <c r="KBG227" s="1"/>
      <c r="KBH227" s="1"/>
      <c r="KBI227" s="1"/>
      <c r="KBJ227" s="1"/>
      <c r="KBK227" s="1"/>
      <c r="KBL227" s="1"/>
      <c r="KBM227" s="1"/>
      <c r="KBN227" s="1"/>
      <c r="KBO227" s="1"/>
      <c r="KBP227" s="1"/>
      <c r="KBQ227" s="1"/>
      <c r="KBR227" s="1"/>
      <c r="KBS227" s="1"/>
      <c r="KBT227" s="1"/>
      <c r="KBU227" s="1"/>
      <c r="KBV227" s="1"/>
      <c r="KBW227" s="1"/>
      <c r="KBX227" s="1"/>
      <c r="KBY227" s="1"/>
      <c r="KBZ227" s="1"/>
      <c r="KCA227" s="1"/>
      <c r="KCB227" s="1"/>
      <c r="KCC227" s="1"/>
      <c r="KCD227" s="1"/>
      <c r="KCE227" s="1"/>
      <c r="KCF227" s="1"/>
      <c r="KCG227" s="1"/>
      <c r="KCH227" s="1"/>
      <c r="KCI227" s="1"/>
      <c r="KCJ227" s="1"/>
      <c r="KCK227" s="1"/>
      <c r="KCL227" s="1"/>
      <c r="KCM227" s="1"/>
      <c r="KCN227" s="1"/>
      <c r="KCO227" s="1"/>
      <c r="KCP227" s="1"/>
      <c r="KCQ227" s="1"/>
      <c r="KCR227" s="1"/>
      <c r="KCS227" s="1"/>
      <c r="KCT227" s="1"/>
      <c r="KCU227" s="1"/>
      <c r="KCV227" s="1"/>
      <c r="KCW227" s="1"/>
      <c r="KCX227" s="1"/>
      <c r="KCY227" s="1"/>
      <c r="KCZ227" s="1"/>
      <c r="KDA227" s="1"/>
      <c r="KDB227" s="1"/>
      <c r="KDC227" s="1"/>
      <c r="KDD227" s="1"/>
      <c r="KDE227" s="1"/>
      <c r="KDF227" s="1"/>
      <c r="KDG227" s="1"/>
      <c r="KDH227" s="1"/>
      <c r="KDI227" s="1"/>
      <c r="KDJ227" s="1"/>
      <c r="KDK227" s="1"/>
      <c r="KDL227" s="1"/>
      <c r="KDM227" s="1"/>
      <c r="KDN227" s="1"/>
      <c r="KDO227" s="1"/>
      <c r="KDP227" s="1"/>
      <c r="KDQ227" s="1"/>
      <c r="KDR227" s="1"/>
      <c r="KDS227" s="1"/>
      <c r="KDT227" s="1"/>
      <c r="KDU227" s="1"/>
      <c r="KDV227" s="1"/>
      <c r="KDW227" s="1"/>
      <c r="KDX227" s="1"/>
      <c r="KDY227" s="1"/>
      <c r="KDZ227" s="1"/>
      <c r="KEA227" s="1"/>
      <c r="KEB227" s="1"/>
      <c r="KEC227" s="1"/>
      <c r="KED227" s="1"/>
      <c r="KEE227" s="1"/>
      <c r="KEF227" s="1"/>
      <c r="KEG227" s="1"/>
      <c r="KEH227" s="1"/>
      <c r="KEI227" s="1"/>
      <c r="KEJ227" s="1"/>
      <c r="KEK227" s="1"/>
      <c r="KEL227" s="1"/>
      <c r="KEM227" s="1"/>
      <c r="KEN227" s="1"/>
      <c r="KEO227" s="1"/>
      <c r="KEP227" s="1"/>
      <c r="KEQ227" s="1"/>
      <c r="KER227" s="1"/>
      <c r="KES227" s="1"/>
      <c r="KET227" s="1"/>
      <c r="KEU227" s="1"/>
      <c r="KEV227" s="1"/>
      <c r="KEW227" s="1"/>
      <c r="KEX227" s="1"/>
      <c r="KEY227" s="1"/>
      <c r="KEZ227" s="1"/>
      <c r="KFA227" s="1"/>
      <c r="KFB227" s="1"/>
      <c r="KFC227" s="1"/>
      <c r="KFD227" s="1"/>
      <c r="KFE227" s="1"/>
      <c r="KFF227" s="1"/>
      <c r="KFG227" s="1"/>
      <c r="KFH227" s="1"/>
      <c r="KFI227" s="1"/>
      <c r="KFJ227" s="1"/>
      <c r="KFK227" s="1"/>
      <c r="KFL227" s="1"/>
      <c r="KFM227" s="1"/>
      <c r="KFN227" s="1"/>
      <c r="KFO227" s="1"/>
      <c r="KFP227" s="1"/>
      <c r="KFQ227" s="1"/>
      <c r="KFR227" s="1"/>
      <c r="KFS227" s="1"/>
      <c r="KFT227" s="1"/>
      <c r="KFU227" s="1"/>
      <c r="KFV227" s="1"/>
      <c r="KFW227" s="1"/>
      <c r="KFX227" s="1"/>
      <c r="KFY227" s="1"/>
      <c r="KFZ227" s="1"/>
      <c r="KGA227" s="1"/>
      <c r="KGB227" s="1"/>
      <c r="KGC227" s="1"/>
      <c r="KGD227" s="1"/>
      <c r="KGE227" s="1"/>
      <c r="KGF227" s="1"/>
      <c r="KGG227" s="1"/>
      <c r="KGH227" s="1"/>
      <c r="KGI227" s="1"/>
      <c r="KGJ227" s="1"/>
      <c r="KGK227" s="1"/>
      <c r="KGL227" s="1"/>
      <c r="KGM227" s="1"/>
      <c r="KGN227" s="1"/>
      <c r="KGO227" s="1"/>
      <c r="KGP227" s="1"/>
      <c r="KGQ227" s="1"/>
      <c r="KGR227" s="1"/>
      <c r="KGS227" s="1"/>
      <c r="KGT227" s="1"/>
      <c r="KGU227" s="1"/>
      <c r="KGV227" s="1"/>
      <c r="KGW227" s="1"/>
      <c r="KGX227" s="1"/>
      <c r="KGY227" s="1"/>
      <c r="KGZ227" s="1"/>
      <c r="KHA227" s="1"/>
      <c r="KHB227" s="1"/>
      <c r="KHC227" s="1"/>
      <c r="KHD227" s="1"/>
      <c r="KHE227" s="1"/>
      <c r="KHF227" s="1"/>
      <c r="KHG227" s="1"/>
      <c r="KHH227" s="1"/>
      <c r="KHI227" s="1"/>
      <c r="KHJ227" s="1"/>
      <c r="KHK227" s="1"/>
      <c r="KHL227" s="1"/>
      <c r="KHM227" s="1"/>
      <c r="KHN227" s="1"/>
      <c r="KHO227" s="1"/>
      <c r="KHP227" s="1"/>
      <c r="KHQ227" s="1"/>
      <c r="KHR227" s="1"/>
      <c r="KHS227" s="1"/>
      <c r="KHT227" s="1"/>
      <c r="KHU227" s="1"/>
      <c r="KHV227" s="1"/>
      <c r="KHW227" s="1"/>
      <c r="KHX227" s="1"/>
      <c r="KHY227" s="1"/>
      <c r="KHZ227" s="1"/>
      <c r="KIA227" s="1"/>
      <c r="KIB227" s="1"/>
      <c r="KIC227" s="1"/>
      <c r="KID227" s="1"/>
      <c r="KIE227" s="1"/>
      <c r="KIF227" s="1"/>
      <c r="KIG227" s="1"/>
      <c r="KIH227" s="1"/>
      <c r="KII227" s="1"/>
      <c r="KIJ227" s="1"/>
      <c r="KIK227" s="1"/>
      <c r="KIL227" s="1"/>
      <c r="KIM227" s="1"/>
      <c r="KIN227" s="1"/>
      <c r="KIO227" s="1"/>
      <c r="KIP227" s="1"/>
      <c r="KIQ227" s="1"/>
      <c r="KIR227" s="1"/>
      <c r="KIS227" s="1"/>
      <c r="KIT227" s="1"/>
      <c r="KIU227" s="1"/>
      <c r="KIV227" s="1"/>
      <c r="KIW227" s="1"/>
      <c r="KIX227" s="1"/>
      <c r="KIY227" s="1"/>
      <c r="KIZ227" s="1"/>
      <c r="KJA227" s="1"/>
      <c r="KJB227" s="1"/>
      <c r="KJC227" s="1"/>
      <c r="KJD227" s="1"/>
      <c r="KJE227" s="1"/>
      <c r="KJF227" s="1"/>
      <c r="KJG227" s="1"/>
      <c r="KJH227" s="1"/>
      <c r="KJI227" s="1"/>
      <c r="KJJ227" s="1"/>
      <c r="KJK227" s="1"/>
      <c r="KJL227" s="1"/>
      <c r="KJM227" s="1"/>
      <c r="KJN227" s="1"/>
      <c r="KJO227" s="1"/>
      <c r="KJP227" s="1"/>
      <c r="KJQ227" s="1"/>
      <c r="KJR227" s="1"/>
      <c r="KJS227" s="1"/>
      <c r="KJT227" s="1"/>
      <c r="KJU227" s="1"/>
      <c r="KJV227" s="1"/>
      <c r="KJW227" s="1"/>
      <c r="KJX227" s="1"/>
      <c r="KJY227" s="1"/>
      <c r="KJZ227" s="1"/>
      <c r="KKA227" s="1"/>
      <c r="KKB227" s="1"/>
      <c r="KKC227" s="1"/>
      <c r="KKD227" s="1"/>
      <c r="KKE227" s="1"/>
      <c r="KKF227" s="1"/>
      <c r="KKG227" s="1"/>
      <c r="KKH227" s="1"/>
      <c r="KKI227" s="1"/>
      <c r="KKJ227" s="1"/>
      <c r="KKK227" s="1"/>
      <c r="KKL227" s="1"/>
      <c r="KKM227" s="1"/>
      <c r="KKN227" s="1"/>
      <c r="KKO227" s="1"/>
      <c r="KKP227" s="1"/>
      <c r="KKQ227" s="1"/>
      <c r="KKR227" s="1"/>
      <c r="KKS227" s="1"/>
      <c r="KKT227" s="1"/>
      <c r="KKU227" s="1"/>
      <c r="KKV227" s="1"/>
      <c r="KKW227" s="1"/>
      <c r="KKX227" s="1"/>
      <c r="KKY227" s="1"/>
      <c r="KKZ227" s="1"/>
      <c r="KLA227" s="1"/>
      <c r="KLB227" s="1"/>
      <c r="KLC227" s="1"/>
      <c r="KLD227" s="1"/>
      <c r="KLE227" s="1"/>
      <c r="KLF227" s="1"/>
      <c r="KLG227" s="1"/>
      <c r="KLH227" s="1"/>
      <c r="KLI227" s="1"/>
      <c r="KLJ227" s="1"/>
      <c r="KLK227" s="1"/>
      <c r="KLL227" s="1"/>
      <c r="KLM227" s="1"/>
      <c r="KLN227" s="1"/>
      <c r="KLO227" s="1"/>
      <c r="KLP227" s="1"/>
      <c r="KLQ227" s="1"/>
      <c r="KLR227" s="1"/>
      <c r="KLS227" s="1"/>
      <c r="KLT227" s="1"/>
      <c r="KLU227" s="1"/>
      <c r="KLV227" s="1"/>
      <c r="KLW227" s="1"/>
      <c r="KLX227" s="1"/>
      <c r="KLY227" s="1"/>
      <c r="KLZ227" s="1"/>
      <c r="KMA227" s="1"/>
      <c r="KMB227" s="1"/>
      <c r="KMC227" s="1"/>
      <c r="KMD227" s="1"/>
      <c r="KME227" s="1"/>
      <c r="KMF227" s="1"/>
      <c r="KMG227" s="1"/>
      <c r="KMH227" s="1"/>
      <c r="KMI227" s="1"/>
      <c r="KMJ227" s="1"/>
      <c r="KMK227" s="1"/>
      <c r="KML227" s="1"/>
      <c r="KMM227" s="1"/>
      <c r="KMN227" s="1"/>
      <c r="KMO227" s="1"/>
      <c r="KMP227" s="1"/>
      <c r="KMQ227" s="1"/>
      <c r="KMR227" s="1"/>
      <c r="KMS227" s="1"/>
      <c r="KMT227" s="1"/>
      <c r="KMU227" s="1"/>
      <c r="KMV227" s="1"/>
      <c r="KMW227" s="1"/>
      <c r="KMX227" s="1"/>
      <c r="KMY227" s="1"/>
      <c r="KMZ227" s="1"/>
      <c r="KNA227" s="1"/>
      <c r="KNB227" s="1"/>
      <c r="KNC227" s="1"/>
      <c r="KND227" s="1"/>
      <c r="KNE227" s="1"/>
      <c r="KNF227" s="1"/>
      <c r="KNG227" s="1"/>
      <c r="KNH227" s="1"/>
      <c r="KNI227" s="1"/>
      <c r="KNJ227" s="1"/>
      <c r="KNK227" s="1"/>
      <c r="KNL227" s="1"/>
      <c r="KNM227" s="1"/>
      <c r="KNN227" s="1"/>
      <c r="KNO227" s="1"/>
      <c r="KNP227" s="1"/>
      <c r="KNQ227" s="1"/>
      <c r="KNR227" s="1"/>
      <c r="KNS227" s="1"/>
      <c r="KNT227" s="1"/>
      <c r="KNU227" s="1"/>
      <c r="KNV227" s="1"/>
      <c r="KNW227" s="1"/>
      <c r="KNX227" s="1"/>
      <c r="KNY227" s="1"/>
      <c r="KNZ227" s="1"/>
      <c r="KOA227" s="1"/>
      <c r="KOB227" s="1"/>
      <c r="KOC227" s="1"/>
      <c r="KOD227" s="1"/>
      <c r="KOE227" s="1"/>
      <c r="KOF227" s="1"/>
      <c r="KOG227" s="1"/>
      <c r="KOH227" s="1"/>
      <c r="KOI227" s="1"/>
      <c r="KOJ227" s="1"/>
      <c r="KOK227" s="1"/>
      <c r="KOL227" s="1"/>
      <c r="KOM227" s="1"/>
      <c r="KON227" s="1"/>
      <c r="KOO227" s="1"/>
      <c r="KOP227" s="1"/>
      <c r="KOQ227" s="1"/>
      <c r="KOR227" s="1"/>
      <c r="KOS227" s="1"/>
      <c r="KOT227" s="1"/>
      <c r="KOU227" s="1"/>
      <c r="KOV227" s="1"/>
      <c r="KOW227" s="1"/>
      <c r="KOX227" s="1"/>
      <c r="KOY227" s="1"/>
      <c r="KOZ227" s="1"/>
      <c r="KPA227" s="1"/>
      <c r="KPB227" s="1"/>
      <c r="KPC227" s="1"/>
      <c r="KPD227" s="1"/>
      <c r="KPE227" s="1"/>
      <c r="KPF227" s="1"/>
      <c r="KPG227" s="1"/>
      <c r="KPH227" s="1"/>
      <c r="KPI227" s="1"/>
      <c r="KPJ227" s="1"/>
      <c r="KPK227" s="1"/>
      <c r="KPL227" s="1"/>
      <c r="KPM227" s="1"/>
      <c r="KPN227" s="1"/>
      <c r="KPO227" s="1"/>
      <c r="KPP227" s="1"/>
      <c r="KPQ227" s="1"/>
      <c r="KPR227" s="1"/>
      <c r="KPS227" s="1"/>
      <c r="KPT227" s="1"/>
      <c r="KPU227" s="1"/>
      <c r="KPV227" s="1"/>
      <c r="KPW227" s="1"/>
      <c r="KPX227" s="1"/>
      <c r="KPY227" s="1"/>
      <c r="KPZ227" s="1"/>
      <c r="KQA227" s="1"/>
      <c r="KQB227" s="1"/>
      <c r="KQC227" s="1"/>
      <c r="KQD227" s="1"/>
      <c r="KQE227" s="1"/>
      <c r="KQF227" s="1"/>
      <c r="KQG227" s="1"/>
      <c r="KQH227" s="1"/>
      <c r="KQI227" s="1"/>
      <c r="KQJ227" s="1"/>
      <c r="KQK227" s="1"/>
      <c r="KQL227" s="1"/>
      <c r="KQM227" s="1"/>
      <c r="KQN227" s="1"/>
      <c r="KQO227" s="1"/>
      <c r="KQP227" s="1"/>
      <c r="KQQ227" s="1"/>
      <c r="KQR227" s="1"/>
      <c r="KQS227" s="1"/>
      <c r="KQT227" s="1"/>
      <c r="KQU227" s="1"/>
      <c r="KQV227" s="1"/>
      <c r="KQW227" s="1"/>
      <c r="KQX227" s="1"/>
      <c r="KQY227" s="1"/>
      <c r="KQZ227" s="1"/>
      <c r="KRA227" s="1"/>
      <c r="KRB227" s="1"/>
      <c r="KRC227" s="1"/>
      <c r="KRD227" s="1"/>
      <c r="KRE227" s="1"/>
      <c r="KRF227" s="1"/>
      <c r="KRG227" s="1"/>
      <c r="KRH227" s="1"/>
      <c r="KRI227" s="1"/>
      <c r="KRJ227" s="1"/>
      <c r="KRK227" s="1"/>
      <c r="KRL227" s="1"/>
      <c r="KRM227" s="1"/>
      <c r="KRN227" s="1"/>
      <c r="KRO227" s="1"/>
      <c r="KRP227" s="1"/>
      <c r="KRQ227" s="1"/>
      <c r="KRR227" s="1"/>
      <c r="KRS227" s="1"/>
      <c r="KRT227" s="1"/>
      <c r="KRU227" s="1"/>
      <c r="KRV227" s="1"/>
      <c r="KRW227" s="1"/>
      <c r="KRX227" s="1"/>
      <c r="KRY227" s="1"/>
      <c r="KRZ227" s="1"/>
      <c r="KSA227" s="1"/>
      <c r="KSB227" s="1"/>
      <c r="KSC227" s="1"/>
      <c r="KSD227" s="1"/>
      <c r="KSE227" s="1"/>
      <c r="KSF227" s="1"/>
      <c r="KSG227" s="1"/>
      <c r="KSH227" s="1"/>
      <c r="KSI227" s="1"/>
      <c r="KSJ227" s="1"/>
      <c r="KSK227" s="1"/>
      <c r="KSL227" s="1"/>
      <c r="KSM227" s="1"/>
      <c r="KSN227" s="1"/>
      <c r="KSO227" s="1"/>
      <c r="KSP227" s="1"/>
      <c r="KSQ227" s="1"/>
      <c r="KSR227" s="1"/>
      <c r="KSS227" s="1"/>
      <c r="KST227" s="1"/>
      <c r="KSU227" s="1"/>
      <c r="KSV227" s="1"/>
      <c r="KSW227" s="1"/>
      <c r="KSX227" s="1"/>
      <c r="KSY227" s="1"/>
      <c r="KSZ227" s="1"/>
      <c r="KTA227" s="1"/>
      <c r="KTB227" s="1"/>
      <c r="KTC227" s="1"/>
      <c r="KTD227" s="1"/>
      <c r="KTE227" s="1"/>
      <c r="KTF227" s="1"/>
      <c r="KTG227" s="1"/>
      <c r="KTH227" s="1"/>
      <c r="KTI227" s="1"/>
      <c r="KTJ227" s="1"/>
      <c r="KTK227" s="1"/>
      <c r="KTL227" s="1"/>
      <c r="KTM227" s="1"/>
      <c r="KTN227" s="1"/>
      <c r="KTO227" s="1"/>
      <c r="KTP227" s="1"/>
      <c r="KTQ227" s="1"/>
      <c r="KTR227" s="1"/>
      <c r="KTS227" s="1"/>
      <c r="KTT227" s="1"/>
      <c r="KTU227" s="1"/>
      <c r="KTV227" s="1"/>
      <c r="KTW227" s="1"/>
      <c r="KTX227" s="1"/>
      <c r="KTY227" s="1"/>
      <c r="KTZ227" s="1"/>
      <c r="KUA227" s="1"/>
      <c r="KUB227" s="1"/>
      <c r="KUC227" s="1"/>
      <c r="KUD227" s="1"/>
      <c r="KUE227" s="1"/>
      <c r="KUF227" s="1"/>
      <c r="KUG227" s="1"/>
      <c r="KUH227" s="1"/>
      <c r="KUI227" s="1"/>
      <c r="KUJ227" s="1"/>
      <c r="KUK227" s="1"/>
      <c r="KUL227" s="1"/>
      <c r="KUM227" s="1"/>
      <c r="KUN227" s="1"/>
      <c r="KUO227" s="1"/>
      <c r="KUP227" s="1"/>
      <c r="KUQ227" s="1"/>
      <c r="KUR227" s="1"/>
      <c r="KUS227" s="1"/>
      <c r="KUT227" s="1"/>
      <c r="KUU227" s="1"/>
      <c r="KUV227" s="1"/>
      <c r="KUW227" s="1"/>
      <c r="KUX227" s="1"/>
      <c r="KUY227" s="1"/>
      <c r="KUZ227" s="1"/>
      <c r="KVA227" s="1"/>
      <c r="KVB227" s="1"/>
      <c r="KVC227" s="1"/>
      <c r="KVD227" s="1"/>
      <c r="KVE227" s="1"/>
      <c r="KVF227" s="1"/>
      <c r="KVG227" s="1"/>
      <c r="KVH227" s="1"/>
      <c r="KVI227" s="1"/>
      <c r="KVJ227" s="1"/>
      <c r="KVK227" s="1"/>
      <c r="KVL227" s="1"/>
      <c r="KVM227" s="1"/>
      <c r="KVN227" s="1"/>
      <c r="KVO227" s="1"/>
      <c r="KVP227" s="1"/>
      <c r="KVQ227" s="1"/>
      <c r="KVR227" s="1"/>
      <c r="KVS227" s="1"/>
      <c r="KVT227" s="1"/>
      <c r="KVU227" s="1"/>
      <c r="KVV227" s="1"/>
      <c r="KVW227" s="1"/>
      <c r="KVX227" s="1"/>
      <c r="KVY227" s="1"/>
      <c r="KVZ227" s="1"/>
      <c r="KWA227" s="1"/>
      <c r="KWB227" s="1"/>
      <c r="KWC227" s="1"/>
      <c r="KWD227" s="1"/>
      <c r="KWE227" s="1"/>
      <c r="KWF227" s="1"/>
      <c r="KWG227" s="1"/>
      <c r="KWH227" s="1"/>
      <c r="KWI227" s="1"/>
      <c r="KWJ227" s="1"/>
      <c r="KWK227" s="1"/>
      <c r="KWL227" s="1"/>
      <c r="KWM227" s="1"/>
      <c r="KWN227" s="1"/>
      <c r="KWO227" s="1"/>
      <c r="KWP227" s="1"/>
      <c r="KWQ227" s="1"/>
      <c r="KWR227" s="1"/>
      <c r="KWS227" s="1"/>
      <c r="KWT227" s="1"/>
      <c r="KWU227" s="1"/>
      <c r="KWV227" s="1"/>
      <c r="KWW227" s="1"/>
      <c r="KWX227" s="1"/>
      <c r="KWY227" s="1"/>
      <c r="KWZ227" s="1"/>
      <c r="KXA227" s="1"/>
      <c r="KXB227" s="1"/>
      <c r="KXC227" s="1"/>
      <c r="KXD227" s="1"/>
      <c r="KXE227" s="1"/>
      <c r="KXF227" s="1"/>
      <c r="KXG227" s="1"/>
      <c r="KXH227" s="1"/>
      <c r="KXI227" s="1"/>
      <c r="KXJ227" s="1"/>
      <c r="KXK227" s="1"/>
      <c r="KXL227" s="1"/>
      <c r="KXM227" s="1"/>
      <c r="KXN227" s="1"/>
      <c r="KXO227" s="1"/>
      <c r="KXP227" s="1"/>
      <c r="KXQ227" s="1"/>
      <c r="KXR227" s="1"/>
      <c r="KXS227" s="1"/>
      <c r="KXT227" s="1"/>
      <c r="KXU227" s="1"/>
      <c r="KXV227" s="1"/>
      <c r="KXW227" s="1"/>
      <c r="KXX227" s="1"/>
      <c r="KXY227" s="1"/>
      <c r="KXZ227" s="1"/>
      <c r="KYA227" s="1"/>
      <c r="KYB227" s="1"/>
      <c r="KYC227" s="1"/>
      <c r="KYD227" s="1"/>
      <c r="KYE227" s="1"/>
      <c r="KYF227" s="1"/>
      <c r="KYG227" s="1"/>
      <c r="KYH227" s="1"/>
      <c r="KYI227" s="1"/>
      <c r="KYJ227" s="1"/>
      <c r="KYK227" s="1"/>
      <c r="KYL227" s="1"/>
      <c r="KYM227" s="1"/>
      <c r="KYN227" s="1"/>
      <c r="KYO227" s="1"/>
      <c r="KYP227" s="1"/>
      <c r="KYQ227" s="1"/>
      <c r="KYR227" s="1"/>
      <c r="KYS227" s="1"/>
      <c r="KYT227" s="1"/>
      <c r="KYU227" s="1"/>
      <c r="KYV227" s="1"/>
      <c r="KYW227" s="1"/>
      <c r="KYX227" s="1"/>
      <c r="KYY227" s="1"/>
      <c r="KYZ227" s="1"/>
      <c r="KZA227" s="1"/>
      <c r="KZB227" s="1"/>
      <c r="KZC227" s="1"/>
      <c r="KZD227" s="1"/>
      <c r="KZE227" s="1"/>
      <c r="KZF227" s="1"/>
      <c r="KZG227" s="1"/>
      <c r="KZH227" s="1"/>
      <c r="KZI227" s="1"/>
      <c r="KZJ227" s="1"/>
      <c r="KZK227" s="1"/>
      <c r="KZL227" s="1"/>
      <c r="KZM227" s="1"/>
      <c r="KZN227" s="1"/>
      <c r="KZO227" s="1"/>
      <c r="KZP227" s="1"/>
      <c r="KZQ227" s="1"/>
      <c r="KZR227" s="1"/>
      <c r="KZS227" s="1"/>
      <c r="KZT227" s="1"/>
      <c r="KZU227" s="1"/>
      <c r="KZV227" s="1"/>
      <c r="KZW227" s="1"/>
      <c r="KZX227" s="1"/>
      <c r="KZY227" s="1"/>
      <c r="KZZ227" s="1"/>
      <c r="LAA227" s="1"/>
      <c r="LAB227" s="1"/>
      <c r="LAC227" s="1"/>
      <c r="LAD227" s="1"/>
      <c r="LAE227" s="1"/>
      <c r="LAF227" s="1"/>
      <c r="LAG227" s="1"/>
      <c r="LAH227" s="1"/>
      <c r="LAI227" s="1"/>
      <c r="LAJ227" s="1"/>
      <c r="LAK227" s="1"/>
      <c r="LAL227" s="1"/>
      <c r="LAM227" s="1"/>
      <c r="LAN227" s="1"/>
      <c r="LAO227" s="1"/>
      <c r="LAP227" s="1"/>
      <c r="LAQ227" s="1"/>
      <c r="LAR227" s="1"/>
      <c r="LAS227" s="1"/>
      <c r="LAT227" s="1"/>
      <c r="LAU227" s="1"/>
      <c r="LAV227" s="1"/>
      <c r="LAW227" s="1"/>
      <c r="LAX227" s="1"/>
      <c r="LAY227" s="1"/>
      <c r="LAZ227" s="1"/>
      <c r="LBA227" s="1"/>
      <c r="LBB227" s="1"/>
      <c r="LBC227" s="1"/>
      <c r="LBD227" s="1"/>
      <c r="LBE227" s="1"/>
      <c r="LBF227" s="1"/>
      <c r="LBG227" s="1"/>
      <c r="LBH227" s="1"/>
      <c r="LBI227" s="1"/>
      <c r="LBJ227" s="1"/>
      <c r="LBK227" s="1"/>
      <c r="LBL227" s="1"/>
      <c r="LBM227" s="1"/>
      <c r="LBN227" s="1"/>
      <c r="LBO227" s="1"/>
      <c r="LBP227" s="1"/>
      <c r="LBQ227" s="1"/>
      <c r="LBR227" s="1"/>
      <c r="LBS227" s="1"/>
      <c r="LBT227" s="1"/>
      <c r="LBU227" s="1"/>
      <c r="LBV227" s="1"/>
      <c r="LBW227" s="1"/>
      <c r="LBX227" s="1"/>
      <c r="LBY227" s="1"/>
      <c r="LBZ227" s="1"/>
      <c r="LCA227" s="1"/>
      <c r="LCB227" s="1"/>
      <c r="LCC227" s="1"/>
      <c r="LCD227" s="1"/>
      <c r="LCE227" s="1"/>
      <c r="LCF227" s="1"/>
      <c r="LCG227" s="1"/>
      <c r="LCH227" s="1"/>
      <c r="LCI227" s="1"/>
      <c r="LCJ227" s="1"/>
      <c r="LCK227" s="1"/>
      <c r="LCL227" s="1"/>
      <c r="LCM227" s="1"/>
      <c r="LCN227" s="1"/>
      <c r="LCO227" s="1"/>
      <c r="LCP227" s="1"/>
      <c r="LCQ227" s="1"/>
      <c r="LCR227" s="1"/>
      <c r="LCS227" s="1"/>
      <c r="LCT227" s="1"/>
      <c r="LCU227" s="1"/>
      <c r="LCV227" s="1"/>
      <c r="LCW227" s="1"/>
      <c r="LCX227" s="1"/>
      <c r="LCY227" s="1"/>
      <c r="LCZ227" s="1"/>
      <c r="LDA227" s="1"/>
      <c r="LDB227" s="1"/>
      <c r="LDC227" s="1"/>
      <c r="LDD227" s="1"/>
      <c r="LDE227" s="1"/>
      <c r="LDF227" s="1"/>
      <c r="LDG227" s="1"/>
      <c r="LDH227" s="1"/>
      <c r="LDI227" s="1"/>
      <c r="LDJ227" s="1"/>
      <c r="LDK227" s="1"/>
      <c r="LDL227" s="1"/>
      <c r="LDM227" s="1"/>
      <c r="LDN227" s="1"/>
      <c r="LDO227" s="1"/>
      <c r="LDP227" s="1"/>
      <c r="LDQ227" s="1"/>
      <c r="LDR227" s="1"/>
      <c r="LDS227" s="1"/>
      <c r="LDT227" s="1"/>
      <c r="LDU227" s="1"/>
      <c r="LDV227" s="1"/>
      <c r="LDW227" s="1"/>
      <c r="LDX227" s="1"/>
      <c r="LDY227" s="1"/>
      <c r="LDZ227" s="1"/>
      <c r="LEA227" s="1"/>
      <c r="LEB227" s="1"/>
      <c r="LEC227" s="1"/>
      <c r="LED227" s="1"/>
      <c r="LEE227" s="1"/>
      <c r="LEF227" s="1"/>
      <c r="LEG227" s="1"/>
      <c r="LEH227" s="1"/>
      <c r="LEI227" s="1"/>
      <c r="LEJ227" s="1"/>
      <c r="LEK227" s="1"/>
      <c r="LEL227" s="1"/>
      <c r="LEM227" s="1"/>
      <c r="LEN227" s="1"/>
      <c r="LEO227" s="1"/>
      <c r="LEP227" s="1"/>
      <c r="LEQ227" s="1"/>
      <c r="LER227" s="1"/>
      <c r="LES227" s="1"/>
      <c r="LET227" s="1"/>
      <c r="LEU227" s="1"/>
      <c r="LEV227" s="1"/>
      <c r="LEW227" s="1"/>
      <c r="LEX227" s="1"/>
      <c r="LEY227" s="1"/>
      <c r="LEZ227" s="1"/>
      <c r="LFA227" s="1"/>
      <c r="LFB227" s="1"/>
      <c r="LFC227" s="1"/>
      <c r="LFD227" s="1"/>
      <c r="LFE227" s="1"/>
      <c r="LFF227" s="1"/>
      <c r="LFG227" s="1"/>
      <c r="LFH227" s="1"/>
      <c r="LFI227" s="1"/>
      <c r="LFJ227" s="1"/>
      <c r="LFK227" s="1"/>
      <c r="LFL227" s="1"/>
      <c r="LFM227" s="1"/>
      <c r="LFN227" s="1"/>
      <c r="LFO227" s="1"/>
      <c r="LFP227" s="1"/>
      <c r="LFQ227" s="1"/>
      <c r="LFR227" s="1"/>
      <c r="LFS227" s="1"/>
      <c r="LFT227" s="1"/>
      <c r="LFU227" s="1"/>
      <c r="LFV227" s="1"/>
      <c r="LFW227" s="1"/>
      <c r="LFX227" s="1"/>
      <c r="LFY227" s="1"/>
      <c r="LFZ227" s="1"/>
      <c r="LGA227" s="1"/>
      <c r="LGB227" s="1"/>
      <c r="LGC227" s="1"/>
      <c r="LGD227" s="1"/>
      <c r="LGE227" s="1"/>
      <c r="LGF227" s="1"/>
      <c r="LGG227" s="1"/>
      <c r="LGH227" s="1"/>
      <c r="LGI227" s="1"/>
      <c r="LGJ227" s="1"/>
      <c r="LGK227" s="1"/>
      <c r="LGL227" s="1"/>
      <c r="LGM227" s="1"/>
      <c r="LGN227" s="1"/>
      <c r="LGO227" s="1"/>
      <c r="LGP227" s="1"/>
      <c r="LGQ227" s="1"/>
      <c r="LGR227" s="1"/>
      <c r="LGS227" s="1"/>
      <c r="LGT227" s="1"/>
      <c r="LGU227" s="1"/>
      <c r="LGV227" s="1"/>
      <c r="LGW227" s="1"/>
      <c r="LGX227" s="1"/>
      <c r="LGY227" s="1"/>
      <c r="LGZ227" s="1"/>
      <c r="LHA227" s="1"/>
      <c r="LHB227" s="1"/>
      <c r="LHC227" s="1"/>
      <c r="LHD227" s="1"/>
      <c r="LHE227" s="1"/>
      <c r="LHF227" s="1"/>
      <c r="LHG227" s="1"/>
      <c r="LHH227" s="1"/>
      <c r="LHI227" s="1"/>
      <c r="LHJ227" s="1"/>
      <c r="LHK227" s="1"/>
      <c r="LHL227" s="1"/>
      <c r="LHM227" s="1"/>
      <c r="LHN227" s="1"/>
      <c r="LHO227" s="1"/>
      <c r="LHP227" s="1"/>
      <c r="LHQ227" s="1"/>
      <c r="LHR227" s="1"/>
      <c r="LHS227" s="1"/>
      <c r="LHT227" s="1"/>
      <c r="LHU227" s="1"/>
      <c r="LHV227" s="1"/>
      <c r="LHW227" s="1"/>
      <c r="LHX227" s="1"/>
      <c r="LHY227" s="1"/>
      <c r="LHZ227" s="1"/>
      <c r="LIA227" s="1"/>
      <c r="LIB227" s="1"/>
      <c r="LIC227" s="1"/>
      <c r="LID227" s="1"/>
      <c r="LIE227" s="1"/>
      <c r="LIF227" s="1"/>
      <c r="LIG227" s="1"/>
      <c r="LIH227" s="1"/>
      <c r="LII227" s="1"/>
      <c r="LIJ227" s="1"/>
      <c r="LIK227" s="1"/>
      <c r="LIL227" s="1"/>
      <c r="LIM227" s="1"/>
      <c r="LIN227" s="1"/>
      <c r="LIO227" s="1"/>
      <c r="LIP227" s="1"/>
      <c r="LIQ227" s="1"/>
      <c r="LIR227" s="1"/>
      <c r="LIS227" s="1"/>
      <c r="LIT227" s="1"/>
      <c r="LIU227" s="1"/>
      <c r="LIV227" s="1"/>
      <c r="LIW227" s="1"/>
      <c r="LIX227" s="1"/>
      <c r="LIY227" s="1"/>
      <c r="LIZ227" s="1"/>
      <c r="LJA227" s="1"/>
      <c r="LJB227" s="1"/>
      <c r="LJC227" s="1"/>
      <c r="LJD227" s="1"/>
      <c r="LJE227" s="1"/>
      <c r="LJF227" s="1"/>
      <c r="LJG227" s="1"/>
      <c r="LJH227" s="1"/>
      <c r="LJI227" s="1"/>
      <c r="LJJ227" s="1"/>
      <c r="LJK227" s="1"/>
      <c r="LJL227" s="1"/>
      <c r="LJM227" s="1"/>
      <c r="LJN227" s="1"/>
      <c r="LJO227" s="1"/>
      <c r="LJP227" s="1"/>
      <c r="LJQ227" s="1"/>
      <c r="LJR227" s="1"/>
      <c r="LJS227" s="1"/>
      <c r="LJT227" s="1"/>
      <c r="LJU227" s="1"/>
      <c r="LJV227" s="1"/>
      <c r="LJW227" s="1"/>
      <c r="LJX227" s="1"/>
      <c r="LJY227" s="1"/>
      <c r="LJZ227" s="1"/>
      <c r="LKA227" s="1"/>
      <c r="LKB227" s="1"/>
      <c r="LKC227" s="1"/>
      <c r="LKD227" s="1"/>
      <c r="LKE227" s="1"/>
      <c r="LKF227" s="1"/>
      <c r="LKG227" s="1"/>
      <c r="LKH227" s="1"/>
      <c r="LKI227" s="1"/>
      <c r="LKJ227" s="1"/>
      <c r="LKK227" s="1"/>
      <c r="LKL227" s="1"/>
      <c r="LKM227" s="1"/>
      <c r="LKN227" s="1"/>
      <c r="LKO227" s="1"/>
      <c r="LKP227" s="1"/>
      <c r="LKQ227" s="1"/>
      <c r="LKR227" s="1"/>
      <c r="LKS227" s="1"/>
      <c r="LKT227" s="1"/>
      <c r="LKU227" s="1"/>
      <c r="LKV227" s="1"/>
      <c r="LKW227" s="1"/>
      <c r="LKX227" s="1"/>
      <c r="LKY227" s="1"/>
      <c r="LKZ227" s="1"/>
      <c r="LLA227" s="1"/>
      <c r="LLB227" s="1"/>
      <c r="LLC227" s="1"/>
      <c r="LLD227" s="1"/>
      <c r="LLE227" s="1"/>
      <c r="LLF227" s="1"/>
      <c r="LLG227" s="1"/>
      <c r="LLH227" s="1"/>
      <c r="LLI227" s="1"/>
      <c r="LLJ227" s="1"/>
      <c r="LLK227" s="1"/>
      <c r="LLL227" s="1"/>
      <c r="LLM227" s="1"/>
      <c r="LLN227" s="1"/>
      <c r="LLO227" s="1"/>
      <c r="LLP227" s="1"/>
      <c r="LLQ227" s="1"/>
      <c r="LLR227" s="1"/>
      <c r="LLS227" s="1"/>
      <c r="LLT227" s="1"/>
      <c r="LLU227" s="1"/>
      <c r="LLV227" s="1"/>
      <c r="LLW227" s="1"/>
      <c r="LLX227" s="1"/>
      <c r="LLY227" s="1"/>
      <c r="LLZ227" s="1"/>
      <c r="LMA227" s="1"/>
      <c r="LMB227" s="1"/>
      <c r="LMC227" s="1"/>
      <c r="LMD227" s="1"/>
      <c r="LME227" s="1"/>
      <c r="LMF227" s="1"/>
      <c r="LMG227" s="1"/>
      <c r="LMH227" s="1"/>
      <c r="LMI227" s="1"/>
      <c r="LMJ227" s="1"/>
      <c r="LMK227" s="1"/>
      <c r="LML227" s="1"/>
      <c r="LMM227" s="1"/>
      <c r="LMN227" s="1"/>
      <c r="LMO227" s="1"/>
      <c r="LMP227" s="1"/>
      <c r="LMQ227" s="1"/>
      <c r="LMR227" s="1"/>
      <c r="LMS227" s="1"/>
      <c r="LMT227" s="1"/>
      <c r="LMU227" s="1"/>
      <c r="LMV227" s="1"/>
      <c r="LMW227" s="1"/>
      <c r="LMX227" s="1"/>
      <c r="LMY227" s="1"/>
      <c r="LMZ227" s="1"/>
      <c r="LNA227" s="1"/>
      <c r="LNB227" s="1"/>
      <c r="LNC227" s="1"/>
      <c r="LND227" s="1"/>
      <c r="LNE227" s="1"/>
      <c r="LNF227" s="1"/>
      <c r="LNG227" s="1"/>
      <c r="LNH227" s="1"/>
      <c r="LNI227" s="1"/>
      <c r="LNJ227" s="1"/>
      <c r="LNK227" s="1"/>
      <c r="LNL227" s="1"/>
      <c r="LNM227" s="1"/>
      <c r="LNN227" s="1"/>
      <c r="LNO227" s="1"/>
      <c r="LNP227" s="1"/>
      <c r="LNQ227" s="1"/>
      <c r="LNR227" s="1"/>
      <c r="LNS227" s="1"/>
      <c r="LNT227" s="1"/>
      <c r="LNU227" s="1"/>
      <c r="LNV227" s="1"/>
      <c r="LNW227" s="1"/>
      <c r="LNX227" s="1"/>
      <c r="LNY227" s="1"/>
      <c r="LNZ227" s="1"/>
      <c r="LOA227" s="1"/>
      <c r="LOB227" s="1"/>
      <c r="LOC227" s="1"/>
      <c r="LOD227" s="1"/>
      <c r="LOE227" s="1"/>
      <c r="LOF227" s="1"/>
      <c r="LOG227" s="1"/>
      <c r="LOH227" s="1"/>
      <c r="LOI227" s="1"/>
      <c r="LOJ227" s="1"/>
      <c r="LOK227" s="1"/>
      <c r="LOL227" s="1"/>
      <c r="LOM227" s="1"/>
      <c r="LON227" s="1"/>
      <c r="LOO227" s="1"/>
      <c r="LOP227" s="1"/>
      <c r="LOQ227" s="1"/>
      <c r="LOR227" s="1"/>
      <c r="LOS227" s="1"/>
      <c r="LOT227" s="1"/>
      <c r="LOU227" s="1"/>
      <c r="LOV227" s="1"/>
      <c r="LOW227" s="1"/>
      <c r="LOX227" s="1"/>
      <c r="LOY227" s="1"/>
      <c r="LOZ227" s="1"/>
      <c r="LPA227" s="1"/>
      <c r="LPB227" s="1"/>
      <c r="LPC227" s="1"/>
      <c r="LPD227" s="1"/>
      <c r="LPE227" s="1"/>
      <c r="LPF227" s="1"/>
      <c r="LPG227" s="1"/>
      <c r="LPH227" s="1"/>
      <c r="LPI227" s="1"/>
      <c r="LPJ227" s="1"/>
      <c r="LPK227" s="1"/>
      <c r="LPL227" s="1"/>
      <c r="LPM227" s="1"/>
      <c r="LPN227" s="1"/>
      <c r="LPO227" s="1"/>
      <c r="LPP227" s="1"/>
      <c r="LPQ227" s="1"/>
      <c r="LPR227" s="1"/>
      <c r="LPS227" s="1"/>
      <c r="LPT227" s="1"/>
      <c r="LPU227" s="1"/>
      <c r="LPV227" s="1"/>
      <c r="LPW227" s="1"/>
      <c r="LPX227" s="1"/>
      <c r="LPY227" s="1"/>
      <c r="LPZ227" s="1"/>
      <c r="LQA227" s="1"/>
      <c r="LQB227" s="1"/>
      <c r="LQC227" s="1"/>
      <c r="LQD227" s="1"/>
      <c r="LQE227" s="1"/>
      <c r="LQF227" s="1"/>
      <c r="LQG227" s="1"/>
      <c r="LQH227" s="1"/>
      <c r="LQI227" s="1"/>
      <c r="LQJ227" s="1"/>
      <c r="LQK227" s="1"/>
      <c r="LQL227" s="1"/>
      <c r="LQM227" s="1"/>
      <c r="LQN227" s="1"/>
      <c r="LQO227" s="1"/>
      <c r="LQP227" s="1"/>
      <c r="LQQ227" s="1"/>
      <c r="LQR227" s="1"/>
      <c r="LQS227" s="1"/>
      <c r="LQT227" s="1"/>
      <c r="LQU227" s="1"/>
      <c r="LQV227" s="1"/>
      <c r="LQW227" s="1"/>
      <c r="LQX227" s="1"/>
      <c r="LQY227" s="1"/>
      <c r="LQZ227" s="1"/>
      <c r="LRA227" s="1"/>
      <c r="LRB227" s="1"/>
      <c r="LRC227" s="1"/>
      <c r="LRD227" s="1"/>
      <c r="LRE227" s="1"/>
      <c r="LRF227" s="1"/>
      <c r="LRG227" s="1"/>
      <c r="LRH227" s="1"/>
      <c r="LRI227" s="1"/>
      <c r="LRJ227" s="1"/>
      <c r="LRK227" s="1"/>
      <c r="LRL227" s="1"/>
      <c r="LRM227" s="1"/>
      <c r="LRN227" s="1"/>
      <c r="LRO227" s="1"/>
      <c r="LRP227" s="1"/>
      <c r="LRQ227" s="1"/>
      <c r="LRR227" s="1"/>
      <c r="LRS227" s="1"/>
      <c r="LRT227" s="1"/>
      <c r="LRU227" s="1"/>
      <c r="LRV227" s="1"/>
      <c r="LRW227" s="1"/>
      <c r="LRX227" s="1"/>
      <c r="LRY227" s="1"/>
      <c r="LRZ227" s="1"/>
      <c r="LSA227" s="1"/>
      <c r="LSB227" s="1"/>
      <c r="LSC227" s="1"/>
      <c r="LSD227" s="1"/>
      <c r="LSE227" s="1"/>
      <c r="LSF227" s="1"/>
      <c r="LSG227" s="1"/>
      <c r="LSH227" s="1"/>
      <c r="LSI227" s="1"/>
      <c r="LSJ227" s="1"/>
      <c r="LSK227" s="1"/>
      <c r="LSL227" s="1"/>
      <c r="LSM227" s="1"/>
      <c r="LSN227" s="1"/>
      <c r="LSO227" s="1"/>
      <c r="LSP227" s="1"/>
      <c r="LSQ227" s="1"/>
      <c r="LSR227" s="1"/>
      <c r="LSS227" s="1"/>
      <c r="LST227" s="1"/>
      <c r="LSU227" s="1"/>
      <c r="LSV227" s="1"/>
      <c r="LSW227" s="1"/>
      <c r="LSX227" s="1"/>
      <c r="LSY227" s="1"/>
      <c r="LSZ227" s="1"/>
      <c r="LTA227" s="1"/>
      <c r="LTB227" s="1"/>
      <c r="LTC227" s="1"/>
      <c r="LTD227" s="1"/>
      <c r="LTE227" s="1"/>
      <c r="LTF227" s="1"/>
      <c r="LTG227" s="1"/>
      <c r="LTH227" s="1"/>
      <c r="LTI227" s="1"/>
      <c r="LTJ227" s="1"/>
      <c r="LTK227" s="1"/>
      <c r="LTL227" s="1"/>
      <c r="LTM227" s="1"/>
      <c r="LTN227" s="1"/>
      <c r="LTO227" s="1"/>
      <c r="LTP227" s="1"/>
      <c r="LTQ227" s="1"/>
      <c r="LTR227" s="1"/>
      <c r="LTS227" s="1"/>
      <c r="LTT227" s="1"/>
      <c r="LTU227" s="1"/>
      <c r="LTV227" s="1"/>
      <c r="LTW227" s="1"/>
      <c r="LTX227" s="1"/>
      <c r="LTY227" s="1"/>
      <c r="LTZ227" s="1"/>
      <c r="LUA227" s="1"/>
      <c r="LUB227" s="1"/>
      <c r="LUC227" s="1"/>
      <c r="LUD227" s="1"/>
      <c r="LUE227" s="1"/>
      <c r="LUF227" s="1"/>
      <c r="LUG227" s="1"/>
      <c r="LUH227" s="1"/>
      <c r="LUI227" s="1"/>
      <c r="LUJ227" s="1"/>
      <c r="LUK227" s="1"/>
      <c r="LUL227" s="1"/>
      <c r="LUM227" s="1"/>
      <c r="LUN227" s="1"/>
      <c r="LUO227" s="1"/>
      <c r="LUP227" s="1"/>
      <c r="LUQ227" s="1"/>
      <c r="LUR227" s="1"/>
      <c r="LUS227" s="1"/>
      <c r="LUT227" s="1"/>
      <c r="LUU227" s="1"/>
      <c r="LUV227" s="1"/>
      <c r="LUW227" s="1"/>
      <c r="LUX227" s="1"/>
      <c r="LUY227" s="1"/>
      <c r="LUZ227" s="1"/>
      <c r="LVA227" s="1"/>
      <c r="LVB227" s="1"/>
      <c r="LVC227" s="1"/>
      <c r="LVD227" s="1"/>
      <c r="LVE227" s="1"/>
      <c r="LVF227" s="1"/>
      <c r="LVG227" s="1"/>
      <c r="LVH227" s="1"/>
      <c r="LVI227" s="1"/>
      <c r="LVJ227" s="1"/>
      <c r="LVK227" s="1"/>
      <c r="LVL227" s="1"/>
      <c r="LVM227" s="1"/>
      <c r="LVN227" s="1"/>
      <c r="LVO227" s="1"/>
      <c r="LVP227" s="1"/>
      <c r="LVQ227" s="1"/>
      <c r="LVR227" s="1"/>
      <c r="LVS227" s="1"/>
      <c r="LVT227" s="1"/>
      <c r="LVU227" s="1"/>
      <c r="LVV227" s="1"/>
      <c r="LVW227" s="1"/>
      <c r="LVX227" s="1"/>
      <c r="LVY227" s="1"/>
      <c r="LVZ227" s="1"/>
      <c r="LWA227" s="1"/>
      <c r="LWB227" s="1"/>
      <c r="LWC227" s="1"/>
      <c r="LWD227" s="1"/>
      <c r="LWE227" s="1"/>
      <c r="LWF227" s="1"/>
      <c r="LWG227" s="1"/>
      <c r="LWH227" s="1"/>
      <c r="LWI227" s="1"/>
      <c r="LWJ227" s="1"/>
      <c r="LWK227" s="1"/>
      <c r="LWL227" s="1"/>
      <c r="LWM227" s="1"/>
      <c r="LWN227" s="1"/>
      <c r="LWO227" s="1"/>
      <c r="LWP227" s="1"/>
      <c r="LWQ227" s="1"/>
      <c r="LWR227" s="1"/>
      <c r="LWS227" s="1"/>
      <c r="LWT227" s="1"/>
      <c r="LWU227" s="1"/>
      <c r="LWV227" s="1"/>
      <c r="LWW227" s="1"/>
      <c r="LWX227" s="1"/>
      <c r="LWY227" s="1"/>
      <c r="LWZ227" s="1"/>
      <c r="LXA227" s="1"/>
      <c r="LXB227" s="1"/>
      <c r="LXC227" s="1"/>
      <c r="LXD227" s="1"/>
      <c r="LXE227" s="1"/>
      <c r="LXF227" s="1"/>
      <c r="LXG227" s="1"/>
      <c r="LXH227" s="1"/>
      <c r="LXI227" s="1"/>
      <c r="LXJ227" s="1"/>
      <c r="LXK227" s="1"/>
      <c r="LXL227" s="1"/>
      <c r="LXM227" s="1"/>
      <c r="LXN227" s="1"/>
      <c r="LXO227" s="1"/>
      <c r="LXP227" s="1"/>
      <c r="LXQ227" s="1"/>
      <c r="LXR227" s="1"/>
      <c r="LXS227" s="1"/>
      <c r="LXT227" s="1"/>
      <c r="LXU227" s="1"/>
      <c r="LXV227" s="1"/>
      <c r="LXW227" s="1"/>
      <c r="LXX227" s="1"/>
      <c r="LXY227" s="1"/>
      <c r="LXZ227" s="1"/>
      <c r="LYA227" s="1"/>
      <c r="LYB227" s="1"/>
      <c r="LYC227" s="1"/>
      <c r="LYD227" s="1"/>
      <c r="LYE227" s="1"/>
      <c r="LYF227" s="1"/>
      <c r="LYG227" s="1"/>
      <c r="LYH227" s="1"/>
      <c r="LYI227" s="1"/>
      <c r="LYJ227" s="1"/>
      <c r="LYK227" s="1"/>
      <c r="LYL227" s="1"/>
      <c r="LYM227" s="1"/>
      <c r="LYN227" s="1"/>
      <c r="LYO227" s="1"/>
      <c r="LYP227" s="1"/>
      <c r="LYQ227" s="1"/>
      <c r="LYR227" s="1"/>
      <c r="LYS227" s="1"/>
      <c r="LYT227" s="1"/>
      <c r="LYU227" s="1"/>
      <c r="LYV227" s="1"/>
      <c r="LYW227" s="1"/>
      <c r="LYX227" s="1"/>
      <c r="LYY227" s="1"/>
      <c r="LYZ227" s="1"/>
      <c r="LZA227" s="1"/>
      <c r="LZB227" s="1"/>
      <c r="LZC227" s="1"/>
      <c r="LZD227" s="1"/>
      <c r="LZE227" s="1"/>
      <c r="LZF227" s="1"/>
      <c r="LZG227" s="1"/>
      <c r="LZH227" s="1"/>
      <c r="LZI227" s="1"/>
      <c r="LZJ227" s="1"/>
      <c r="LZK227" s="1"/>
      <c r="LZL227" s="1"/>
      <c r="LZM227" s="1"/>
      <c r="LZN227" s="1"/>
      <c r="LZO227" s="1"/>
      <c r="LZP227" s="1"/>
      <c r="LZQ227" s="1"/>
      <c r="LZR227" s="1"/>
      <c r="LZS227" s="1"/>
      <c r="LZT227" s="1"/>
      <c r="LZU227" s="1"/>
      <c r="LZV227" s="1"/>
      <c r="LZW227" s="1"/>
      <c r="LZX227" s="1"/>
      <c r="LZY227" s="1"/>
      <c r="LZZ227" s="1"/>
      <c r="MAA227" s="1"/>
      <c r="MAB227" s="1"/>
      <c r="MAC227" s="1"/>
      <c r="MAD227" s="1"/>
      <c r="MAE227" s="1"/>
      <c r="MAF227" s="1"/>
      <c r="MAG227" s="1"/>
      <c r="MAH227" s="1"/>
      <c r="MAI227" s="1"/>
      <c r="MAJ227" s="1"/>
      <c r="MAK227" s="1"/>
      <c r="MAL227" s="1"/>
      <c r="MAM227" s="1"/>
      <c r="MAN227" s="1"/>
      <c r="MAO227" s="1"/>
      <c r="MAP227" s="1"/>
      <c r="MAQ227" s="1"/>
      <c r="MAR227" s="1"/>
      <c r="MAS227" s="1"/>
      <c r="MAT227" s="1"/>
      <c r="MAU227" s="1"/>
      <c r="MAV227" s="1"/>
      <c r="MAW227" s="1"/>
      <c r="MAX227" s="1"/>
      <c r="MAY227" s="1"/>
      <c r="MAZ227" s="1"/>
      <c r="MBA227" s="1"/>
      <c r="MBB227" s="1"/>
      <c r="MBC227" s="1"/>
      <c r="MBD227" s="1"/>
      <c r="MBE227" s="1"/>
      <c r="MBF227" s="1"/>
      <c r="MBG227" s="1"/>
      <c r="MBH227" s="1"/>
      <c r="MBI227" s="1"/>
      <c r="MBJ227" s="1"/>
      <c r="MBK227" s="1"/>
      <c r="MBL227" s="1"/>
      <c r="MBM227" s="1"/>
      <c r="MBN227" s="1"/>
      <c r="MBO227" s="1"/>
      <c r="MBP227" s="1"/>
      <c r="MBQ227" s="1"/>
      <c r="MBR227" s="1"/>
      <c r="MBS227" s="1"/>
      <c r="MBT227" s="1"/>
      <c r="MBU227" s="1"/>
      <c r="MBV227" s="1"/>
      <c r="MBW227" s="1"/>
      <c r="MBX227" s="1"/>
      <c r="MBY227" s="1"/>
      <c r="MBZ227" s="1"/>
      <c r="MCA227" s="1"/>
      <c r="MCB227" s="1"/>
      <c r="MCC227" s="1"/>
      <c r="MCD227" s="1"/>
      <c r="MCE227" s="1"/>
      <c r="MCF227" s="1"/>
      <c r="MCG227" s="1"/>
      <c r="MCH227" s="1"/>
      <c r="MCI227" s="1"/>
      <c r="MCJ227" s="1"/>
      <c r="MCK227" s="1"/>
      <c r="MCL227" s="1"/>
      <c r="MCM227" s="1"/>
      <c r="MCN227" s="1"/>
      <c r="MCO227" s="1"/>
      <c r="MCP227" s="1"/>
      <c r="MCQ227" s="1"/>
      <c r="MCR227" s="1"/>
      <c r="MCS227" s="1"/>
      <c r="MCT227" s="1"/>
      <c r="MCU227" s="1"/>
      <c r="MCV227" s="1"/>
      <c r="MCW227" s="1"/>
      <c r="MCX227" s="1"/>
      <c r="MCY227" s="1"/>
      <c r="MCZ227" s="1"/>
      <c r="MDA227" s="1"/>
      <c r="MDB227" s="1"/>
      <c r="MDC227" s="1"/>
      <c r="MDD227" s="1"/>
      <c r="MDE227" s="1"/>
      <c r="MDF227" s="1"/>
      <c r="MDG227" s="1"/>
      <c r="MDH227" s="1"/>
      <c r="MDI227" s="1"/>
      <c r="MDJ227" s="1"/>
      <c r="MDK227" s="1"/>
      <c r="MDL227" s="1"/>
      <c r="MDM227" s="1"/>
      <c r="MDN227" s="1"/>
      <c r="MDO227" s="1"/>
      <c r="MDP227" s="1"/>
      <c r="MDQ227" s="1"/>
      <c r="MDR227" s="1"/>
      <c r="MDS227" s="1"/>
      <c r="MDT227" s="1"/>
      <c r="MDU227" s="1"/>
      <c r="MDV227" s="1"/>
      <c r="MDW227" s="1"/>
      <c r="MDX227" s="1"/>
      <c r="MDY227" s="1"/>
      <c r="MDZ227" s="1"/>
      <c r="MEA227" s="1"/>
      <c r="MEB227" s="1"/>
      <c r="MEC227" s="1"/>
      <c r="MED227" s="1"/>
      <c r="MEE227" s="1"/>
      <c r="MEF227" s="1"/>
      <c r="MEG227" s="1"/>
      <c r="MEH227" s="1"/>
      <c r="MEI227" s="1"/>
      <c r="MEJ227" s="1"/>
      <c r="MEK227" s="1"/>
      <c r="MEL227" s="1"/>
      <c r="MEM227" s="1"/>
      <c r="MEN227" s="1"/>
      <c r="MEO227" s="1"/>
      <c r="MEP227" s="1"/>
      <c r="MEQ227" s="1"/>
      <c r="MER227" s="1"/>
      <c r="MES227" s="1"/>
      <c r="MET227" s="1"/>
      <c r="MEU227" s="1"/>
      <c r="MEV227" s="1"/>
      <c r="MEW227" s="1"/>
      <c r="MEX227" s="1"/>
      <c r="MEY227" s="1"/>
      <c r="MEZ227" s="1"/>
      <c r="MFA227" s="1"/>
      <c r="MFB227" s="1"/>
      <c r="MFC227" s="1"/>
      <c r="MFD227" s="1"/>
      <c r="MFE227" s="1"/>
      <c r="MFF227" s="1"/>
      <c r="MFG227" s="1"/>
      <c r="MFH227" s="1"/>
      <c r="MFI227" s="1"/>
      <c r="MFJ227" s="1"/>
      <c r="MFK227" s="1"/>
      <c r="MFL227" s="1"/>
      <c r="MFM227" s="1"/>
      <c r="MFN227" s="1"/>
      <c r="MFO227" s="1"/>
      <c r="MFP227" s="1"/>
      <c r="MFQ227" s="1"/>
      <c r="MFR227" s="1"/>
      <c r="MFS227" s="1"/>
      <c r="MFT227" s="1"/>
      <c r="MFU227" s="1"/>
      <c r="MFV227" s="1"/>
      <c r="MFW227" s="1"/>
      <c r="MFX227" s="1"/>
      <c r="MFY227" s="1"/>
      <c r="MFZ227" s="1"/>
      <c r="MGA227" s="1"/>
      <c r="MGB227" s="1"/>
      <c r="MGC227" s="1"/>
      <c r="MGD227" s="1"/>
      <c r="MGE227" s="1"/>
      <c r="MGF227" s="1"/>
      <c r="MGG227" s="1"/>
      <c r="MGH227" s="1"/>
      <c r="MGI227" s="1"/>
      <c r="MGJ227" s="1"/>
      <c r="MGK227" s="1"/>
      <c r="MGL227" s="1"/>
      <c r="MGM227" s="1"/>
      <c r="MGN227" s="1"/>
      <c r="MGO227" s="1"/>
      <c r="MGP227" s="1"/>
      <c r="MGQ227" s="1"/>
      <c r="MGR227" s="1"/>
      <c r="MGS227" s="1"/>
      <c r="MGT227" s="1"/>
      <c r="MGU227" s="1"/>
      <c r="MGV227" s="1"/>
      <c r="MGW227" s="1"/>
      <c r="MGX227" s="1"/>
      <c r="MGY227" s="1"/>
      <c r="MGZ227" s="1"/>
      <c r="MHA227" s="1"/>
      <c r="MHB227" s="1"/>
      <c r="MHC227" s="1"/>
      <c r="MHD227" s="1"/>
      <c r="MHE227" s="1"/>
      <c r="MHF227" s="1"/>
      <c r="MHG227" s="1"/>
      <c r="MHH227" s="1"/>
      <c r="MHI227" s="1"/>
      <c r="MHJ227" s="1"/>
      <c r="MHK227" s="1"/>
      <c r="MHL227" s="1"/>
      <c r="MHM227" s="1"/>
      <c r="MHN227" s="1"/>
      <c r="MHO227" s="1"/>
      <c r="MHP227" s="1"/>
      <c r="MHQ227" s="1"/>
      <c r="MHR227" s="1"/>
      <c r="MHS227" s="1"/>
      <c r="MHT227" s="1"/>
      <c r="MHU227" s="1"/>
      <c r="MHV227" s="1"/>
      <c r="MHW227" s="1"/>
      <c r="MHX227" s="1"/>
      <c r="MHY227" s="1"/>
      <c r="MHZ227" s="1"/>
      <c r="MIA227" s="1"/>
      <c r="MIB227" s="1"/>
      <c r="MIC227" s="1"/>
      <c r="MID227" s="1"/>
      <c r="MIE227" s="1"/>
      <c r="MIF227" s="1"/>
      <c r="MIG227" s="1"/>
      <c r="MIH227" s="1"/>
      <c r="MII227" s="1"/>
      <c r="MIJ227" s="1"/>
      <c r="MIK227" s="1"/>
      <c r="MIL227" s="1"/>
      <c r="MIM227" s="1"/>
      <c r="MIN227" s="1"/>
      <c r="MIO227" s="1"/>
      <c r="MIP227" s="1"/>
      <c r="MIQ227" s="1"/>
      <c r="MIR227" s="1"/>
      <c r="MIS227" s="1"/>
      <c r="MIT227" s="1"/>
      <c r="MIU227" s="1"/>
      <c r="MIV227" s="1"/>
      <c r="MIW227" s="1"/>
      <c r="MIX227" s="1"/>
      <c r="MIY227" s="1"/>
      <c r="MIZ227" s="1"/>
      <c r="MJA227" s="1"/>
      <c r="MJB227" s="1"/>
      <c r="MJC227" s="1"/>
      <c r="MJD227" s="1"/>
      <c r="MJE227" s="1"/>
      <c r="MJF227" s="1"/>
      <c r="MJG227" s="1"/>
      <c r="MJH227" s="1"/>
      <c r="MJI227" s="1"/>
      <c r="MJJ227" s="1"/>
      <c r="MJK227" s="1"/>
      <c r="MJL227" s="1"/>
      <c r="MJM227" s="1"/>
      <c r="MJN227" s="1"/>
      <c r="MJO227" s="1"/>
      <c r="MJP227" s="1"/>
      <c r="MJQ227" s="1"/>
      <c r="MJR227" s="1"/>
      <c r="MJS227" s="1"/>
      <c r="MJT227" s="1"/>
      <c r="MJU227" s="1"/>
      <c r="MJV227" s="1"/>
      <c r="MJW227" s="1"/>
      <c r="MJX227" s="1"/>
      <c r="MJY227" s="1"/>
      <c r="MJZ227" s="1"/>
      <c r="MKA227" s="1"/>
      <c r="MKB227" s="1"/>
      <c r="MKC227" s="1"/>
      <c r="MKD227" s="1"/>
      <c r="MKE227" s="1"/>
      <c r="MKF227" s="1"/>
      <c r="MKG227" s="1"/>
      <c r="MKH227" s="1"/>
      <c r="MKI227" s="1"/>
      <c r="MKJ227" s="1"/>
      <c r="MKK227" s="1"/>
      <c r="MKL227" s="1"/>
      <c r="MKM227" s="1"/>
      <c r="MKN227" s="1"/>
      <c r="MKO227" s="1"/>
      <c r="MKP227" s="1"/>
      <c r="MKQ227" s="1"/>
      <c r="MKR227" s="1"/>
      <c r="MKS227" s="1"/>
      <c r="MKT227" s="1"/>
      <c r="MKU227" s="1"/>
      <c r="MKV227" s="1"/>
      <c r="MKW227" s="1"/>
      <c r="MKX227" s="1"/>
      <c r="MKY227" s="1"/>
      <c r="MKZ227" s="1"/>
      <c r="MLA227" s="1"/>
      <c r="MLB227" s="1"/>
      <c r="MLC227" s="1"/>
      <c r="MLD227" s="1"/>
      <c r="MLE227" s="1"/>
      <c r="MLF227" s="1"/>
      <c r="MLG227" s="1"/>
      <c r="MLH227" s="1"/>
      <c r="MLI227" s="1"/>
      <c r="MLJ227" s="1"/>
      <c r="MLK227" s="1"/>
      <c r="MLL227" s="1"/>
      <c r="MLM227" s="1"/>
      <c r="MLN227" s="1"/>
      <c r="MLO227" s="1"/>
      <c r="MLP227" s="1"/>
      <c r="MLQ227" s="1"/>
      <c r="MLR227" s="1"/>
      <c r="MLS227" s="1"/>
      <c r="MLT227" s="1"/>
      <c r="MLU227" s="1"/>
      <c r="MLV227" s="1"/>
      <c r="MLW227" s="1"/>
      <c r="MLX227" s="1"/>
      <c r="MLY227" s="1"/>
      <c r="MLZ227" s="1"/>
      <c r="MMA227" s="1"/>
      <c r="MMB227" s="1"/>
      <c r="MMC227" s="1"/>
      <c r="MMD227" s="1"/>
      <c r="MME227" s="1"/>
      <c r="MMF227" s="1"/>
      <c r="MMG227" s="1"/>
      <c r="MMH227" s="1"/>
      <c r="MMI227" s="1"/>
      <c r="MMJ227" s="1"/>
      <c r="MMK227" s="1"/>
      <c r="MML227" s="1"/>
      <c r="MMM227" s="1"/>
      <c r="MMN227" s="1"/>
      <c r="MMO227" s="1"/>
      <c r="MMP227" s="1"/>
      <c r="MMQ227" s="1"/>
      <c r="MMR227" s="1"/>
      <c r="MMS227" s="1"/>
      <c r="MMT227" s="1"/>
      <c r="MMU227" s="1"/>
      <c r="MMV227" s="1"/>
      <c r="MMW227" s="1"/>
      <c r="MMX227" s="1"/>
      <c r="MMY227" s="1"/>
      <c r="MMZ227" s="1"/>
      <c r="MNA227" s="1"/>
      <c r="MNB227" s="1"/>
      <c r="MNC227" s="1"/>
      <c r="MND227" s="1"/>
      <c r="MNE227" s="1"/>
      <c r="MNF227" s="1"/>
      <c r="MNG227" s="1"/>
      <c r="MNH227" s="1"/>
      <c r="MNI227" s="1"/>
      <c r="MNJ227" s="1"/>
      <c r="MNK227" s="1"/>
      <c r="MNL227" s="1"/>
      <c r="MNM227" s="1"/>
      <c r="MNN227" s="1"/>
      <c r="MNO227" s="1"/>
      <c r="MNP227" s="1"/>
      <c r="MNQ227" s="1"/>
      <c r="MNR227" s="1"/>
      <c r="MNS227" s="1"/>
      <c r="MNT227" s="1"/>
      <c r="MNU227" s="1"/>
      <c r="MNV227" s="1"/>
      <c r="MNW227" s="1"/>
      <c r="MNX227" s="1"/>
      <c r="MNY227" s="1"/>
      <c r="MNZ227" s="1"/>
      <c r="MOA227" s="1"/>
      <c r="MOB227" s="1"/>
      <c r="MOC227" s="1"/>
      <c r="MOD227" s="1"/>
      <c r="MOE227" s="1"/>
      <c r="MOF227" s="1"/>
      <c r="MOG227" s="1"/>
      <c r="MOH227" s="1"/>
      <c r="MOI227" s="1"/>
      <c r="MOJ227" s="1"/>
      <c r="MOK227" s="1"/>
      <c r="MOL227" s="1"/>
      <c r="MOM227" s="1"/>
      <c r="MON227" s="1"/>
      <c r="MOO227" s="1"/>
      <c r="MOP227" s="1"/>
      <c r="MOQ227" s="1"/>
      <c r="MOR227" s="1"/>
      <c r="MOS227" s="1"/>
      <c r="MOT227" s="1"/>
      <c r="MOU227" s="1"/>
      <c r="MOV227" s="1"/>
      <c r="MOW227" s="1"/>
      <c r="MOX227" s="1"/>
      <c r="MOY227" s="1"/>
      <c r="MOZ227" s="1"/>
      <c r="MPA227" s="1"/>
      <c r="MPB227" s="1"/>
      <c r="MPC227" s="1"/>
      <c r="MPD227" s="1"/>
      <c r="MPE227" s="1"/>
      <c r="MPF227" s="1"/>
      <c r="MPG227" s="1"/>
      <c r="MPH227" s="1"/>
      <c r="MPI227" s="1"/>
      <c r="MPJ227" s="1"/>
      <c r="MPK227" s="1"/>
      <c r="MPL227" s="1"/>
      <c r="MPM227" s="1"/>
      <c r="MPN227" s="1"/>
      <c r="MPO227" s="1"/>
      <c r="MPP227" s="1"/>
      <c r="MPQ227" s="1"/>
      <c r="MPR227" s="1"/>
      <c r="MPS227" s="1"/>
      <c r="MPT227" s="1"/>
      <c r="MPU227" s="1"/>
      <c r="MPV227" s="1"/>
      <c r="MPW227" s="1"/>
      <c r="MPX227" s="1"/>
      <c r="MPY227" s="1"/>
      <c r="MPZ227" s="1"/>
      <c r="MQA227" s="1"/>
      <c r="MQB227" s="1"/>
      <c r="MQC227" s="1"/>
      <c r="MQD227" s="1"/>
      <c r="MQE227" s="1"/>
      <c r="MQF227" s="1"/>
      <c r="MQG227" s="1"/>
      <c r="MQH227" s="1"/>
      <c r="MQI227" s="1"/>
      <c r="MQJ227" s="1"/>
      <c r="MQK227" s="1"/>
      <c r="MQL227" s="1"/>
      <c r="MQM227" s="1"/>
      <c r="MQN227" s="1"/>
      <c r="MQO227" s="1"/>
      <c r="MQP227" s="1"/>
      <c r="MQQ227" s="1"/>
      <c r="MQR227" s="1"/>
      <c r="MQS227" s="1"/>
      <c r="MQT227" s="1"/>
      <c r="MQU227" s="1"/>
      <c r="MQV227" s="1"/>
      <c r="MQW227" s="1"/>
      <c r="MQX227" s="1"/>
      <c r="MQY227" s="1"/>
      <c r="MQZ227" s="1"/>
      <c r="MRA227" s="1"/>
      <c r="MRB227" s="1"/>
      <c r="MRC227" s="1"/>
      <c r="MRD227" s="1"/>
      <c r="MRE227" s="1"/>
      <c r="MRF227" s="1"/>
      <c r="MRG227" s="1"/>
      <c r="MRH227" s="1"/>
      <c r="MRI227" s="1"/>
      <c r="MRJ227" s="1"/>
      <c r="MRK227" s="1"/>
      <c r="MRL227" s="1"/>
      <c r="MRM227" s="1"/>
      <c r="MRN227" s="1"/>
      <c r="MRO227" s="1"/>
      <c r="MRP227" s="1"/>
      <c r="MRQ227" s="1"/>
      <c r="MRR227" s="1"/>
      <c r="MRS227" s="1"/>
      <c r="MRT227" s="1"/>
      <c r="MRU227" s="1"/>
      <c r="MRV227" s="1"/>
      <c r="MRW227" s="1"/>
      <c r="MRX227" s="1"/>
      <c r="MRY227" s="1"/>
      <c r="MRZ227" s="1"/>
      <c r="MSA227" s="1"/>
      <c r="MSB227" s="1"/>
      <c r="MSC227" s="1"/>
      <c r="MSD227" s="1"/>
      <c r="MSE227" s="1"/>
      <c r="MSF227" s="1"/>
      <c r="MSG227" s="1"/>
      <c r="MSH227" s="1"/>
      <c r="MSI227" s="1"/>
      <c r="MSJ227" s="1"/>
      <c r="MSK227" s="1"/>
      <c r="MSL227" s="1"/>
      <c r="MSM227" s="1"/>
      <c r="MSN227" s="1"/>
      <c r="MSO227" s="1"/>
      <c r="MSP227" s="1"/>
      <c r="MSQ227" s="1"/>
      <c r="MSR227" s="1"/>
      <c r="MSS227" s="1"/>
      <c r="MST227" s="1"/>
      <c r="MSU227" s="1"/>
      <c r="MSV227" s="1"/>
      <c r="MSW227" s="1"/>
      <c r="MSX227" s="1"/>
      <c r="MSY227" s="1"/>
      <c r="MSZ227" s="1"/>
      <c r="MTA227" s="1"/>
      <c r="MTB227" s="1"/>
      <c r="MTC227" s="1"/>
      <c r="MTD227" s="1"/>
      <c r="MTE227" s="1"/>
      <c r="MTF227" s="1"/>
      <c r="MTG227" s="1"/>
      <c r="MTH227" s="1"/>
      <c r="MTI227" s="1"/>
      <c r="MTJ227" s="1"/>
      <c r="MTK227" s="1"/>
      <c r="MTL227" s="1"/>
      <c r="MTM227" s="1"/>
      <c r="MTN227" s="1"/>
      <c r="MTO227" s="1"/>
      <c r="MTP227" s="1"/>
      <c r="MTQ227" s="1"/>
      <c r="MTR227" s="1"/>
      <c r="MTS227" s="1"/>
      <c r="MTT227" s="1"/>
      <c r="MTU227" s="1"/>
      <c r="MTV227" s="1"/>
      <c r="MTW227" s="1"/>
      <c r="MTX227" s="1"/>
      <c r="MTY227" s="1"/>
      <c r="MTZ227" s="1"/>
      <c r="MUA227" s="1"/>
      <c r="MUB227" s="1"/>
      <c r="MUC227" s="1"/>
      <c r="MUD227" s="1"/>
      <c r="MUE227" s="1"/>
      <c r="MUF227" s="1"/>
      <c r="MUG227" s="1"/>
      <c r="MUH227" s="1"/>
      <c r="MUI227" s="1"/>
      <c r="MUJ227" s="1"/>
      <c r="MUK227" s="1"/>
      <c r="MUL227" s="1"/>
      <c r="MUM227" s="1"/>
      <c r="MUN227" s="1"/>
      <c r="MUO227" s="1"/>
      <c r="MUP227" s="1"/>
      <c r="MUQ227" s="1"/>
      <c r="MUR227" s="1"/>
      <c r="MUS227" s="1"/>
      <c r="MUT227" s="1"/>
      <c r="MUU227" s="1"/>
      <c r="MUV227" s="1"/>
      <c r="MUW227" s="1"/>
      <c r="MUX227" s="1"/>
      <c r="MUY227" s="1"/>
      <c r="MUZ227" s="1"/>
      <c r="MVA227" s="1"/>
      <c r="MVB227" s="1"/>
      <c r="MVC227" s="1"/>
      <c r="MVD227" s="1"/>
      <c r="MVE227" s="1"/>
      <c r="MVF227" s="1"/>
      <c r="MVG227" s="1"/>
      <c r="MVH227" s="1"/>
      <c r="MVI227" s="1"/>
      <c r="MVJ227" s="1"/>
      <c r="MVK227" s="1"/>
      <c r="MVL227" s="1"/>
      <c r="MVM227" s="1"/>
      <c r="MVN227" s="1"/>
      <c r="MVO227" s="1"/>
      <c r="MVP227" s="1"/>
      <c r="MVQ227" s="1"/>
      <c r="MVR227" s="1"/>
      <c r="MVS227" s="1"/>
      <c r="MVT227" s="1"/>
      <c r="MVU227" s="1"/>
      <c r="MVV227" s="1"/>
      <c r="MVW227" s="1"/>
      <c r="MVX227" s="1"/>
      <c r="MVY227" s="1"/>
      <c r="MVZ227" s="1"/>
      <c r="MWA227" s="1"/>
      <c r="MWB227" s="1"/>
      <c r="MWC227" s="1"/>
      <c r="MWD227" s="1"/>
      <c r="MWE227" s="1"/>
      <c r="MWF227" s="1"/>
      <c r="MWG227" s="1"/>
      <c r="MWH227" s="1"/>
      <c r="MWI227" s="1"/>
      <c r="MWJ227" s="1"/>
      <c r="MWK227" s="1"/>
      <c r="MWL227" s="1"/>
      <c r="MWM227" s="1"/>
      <c r="MWN227" s="1"/>
      <c r="MWO227" s="1"/>
      <c r="MWP227" s="1"/>
      <c r="MWQ227" s="1"/>
      <c r="MWR227" s="1"/>
      <c r="MWS227" s="1"/>
      <c r="MWT227" s="1"/>
      <c r="MWU227" s="1"/>
      <c r="MWV227" s="1"/>
      <c r="MWW227" s="1"/>
      <c r="MWX227" s="1"/>
      <c r="MWY227" s="1"/>
      <c r="MWZ227" s="1"/>
      <c r="MXA227" s="1"/>
      <c r="MXB227" s="1"/>
      <c r="MXC227" s="1"/>
      <c r="MXD227" s="1"/>
      <c r="MXE227" s="1"/>
      <c r="MXF227" s="1"/>
      <c r="MXG227" s="1"/>
      <c r="MXH227" s="1"/>
      <c r="MXI227" s="1"/>
      <c r="MXJ227" s="1"/>
      <c r="MXK227" s="1"/>
      <c r="MXL227" s="1"/>
      <c r="MXM227" s="1"/>
      <c r="MXN227" s="1"/>
      <c r="MXO227" s="1"/>
      <c r="MXP227" s="1"/>
      <c r="MXQ227" s="1"/>
      <c r="MXR227" s="1"/>
      <c r="MXS227" s="1"/>
      <c r="MXT227" s="1"/>
      <c r="MXU227" s="1"/>
      <c r="MXV227" s="1"/>
      <c r="MXW227" s="1"/>
      <c r="MXX227" s="1"/>
      <c r="MXY227" s="1"/>
      <c r="MXZ227" s="1"/>
      <c r="MYA227" s="1"/>
      <c r="MYB227" s="1"/>
      <c r="MYC227" s="1"/>
      <c r="MYD227" s="1"/>
      <c r="MYE227" s="1"/>
      <c r="MYF227" s="1"/>
      <c r="MYG227" s="1"/>
      <c r="MYH227" s="1"/>
      <c r="MYI227" s="1"/>
      <c r="MYJ227" s="1"/>
      <c r="MYK227" s="1"/>
      <c r="MYL227" s="1"/>
      <c r="MYM227" s="1"/>
      <c r="MYN227" s="1"/>
      <c r="MYO227" s="1"/>
      <c r="MYP227" s="1"/>
      <c r="MYQ227" s="1"/>
      <c r="MYR227" s="1"/>
      <c r="MYS227" s="1"/>
      <c r="MYT227" s="1"/>
      <c r="MYU227" s="1"/>
      <c r="MYV227" s="1"/>
      <c r="MYW227" s="1"/>
      <c r="MYX227" s="1"/>
      <c r="MYY227" s="1"/>
      <c r="MYZ227" s="1"/>
      <c r="MZA227" s="1"/>
      <c r="MZB227" s="1"/>
      <c r="MZC227" s="1"/>
      <c r="MZD227" s="1"/>
      <c r="MZE227" s="1"/>
      <c r="MZF227" s="1"/>
      <c r="MZG227" s="1"/>
      <c r="MZH227" s="1"/>
      <c r="MZI227" s="1"/>
      <c r="MZJ227" s="1"/>
      <c r="MZK227" s="1"/>
      <c r="MZL227" s="1"/>
      <c r="MZM227" s="1"/>
      <c r="MZN227" s="1"/>
      <c r="MZO227" s="1"/>
      <c r="MZP227" s="1"/>
      <c r="MZQ227" s="1"/>
      <c r="MZR227" s="1"/>
      <c r="MZS227" s="1"/>
      <c r="MZT227" s="1"/>
      <c r="MZU227" s="1"/>
      <c r="MZV227" s="1"/>
      <c r="MZW227" s="1"/>
      <c r="MZX227" s="1"/>
      <c r="MZY227" s="1"/>
      <c r="MZZ227" s="1"/>
      <c r="NAA227" s="1"/>
      <c r="NAB227" s="1"/>
      <c r="NAC227" s="1"/>
      <c r="NAD227" s="1"/>
      <c r="NAE227" s="1"/>
      <c r="NAF227" s="1"/>
      <c r="NAG227" s="1"/>
      <c r="NAH227" s="1"/>
      <c r="NAI227" s="1"/>
      <c r="NAJ227" s="1"/>
      <c r="NAK227" s="1"/>
      <c r="NAL227" s="1"/>
      <c r="NAM227" s="1"/>
      <c r="NAN227" s="1"/>
      <c r="NAO227" s="1"/>
      <c r="NAP227" s="1"/>
      <c r="NAQ227" s="1"/>
      <c r="NAR227" s="1"/>
      <c r="NAS227" s="1"/>
      <c r="NAT227" s="1"/>
      <c r="NAU227" s="1"/>
      <c r="NAV227" s="1"/>
      <c r="NAW227" s="1"/>
      <c r="NAX227" s="1"/>
      <c r="NAY227" s="1"/>
      <c r="NAZ227" s="1"/>
      <c r="NBA227" s="1"/>
      <c r="NBB227" s="1"/>
      <c r="NBC227" s="1"/>
      <c r="NBD227" s="1"/>
      <c r="NBE227" s="1"/>
      <c r="NBF227" s="1"/>
      <c r="NBG227" s="1"/>
      <c r="NBH227" s="1"/>
      <c r="NBI227" s="1"/>
      <c r="NBJ227" s="1"/>
      <c r="NBK227" s="1"/>
      <c r="NBL227" s="1"/>
      <c r="NBM227" s="1"/>
      <c r="NBN227" s="1"/>
      <c r="NBO227" s="1"/>
      <c r="NBP227" s="1"/>
      <c r="NBQ227" s="1"/>
      <c r="NBR227" s="1"/>
      <c r="NBS227" s="1"/>
      <c r="NBT227" s="1"/>
      <c r="NBU227" s="1"/>
      <c r="NBV227" s="1"/>
      <c r="NBW227" s="1"/>
      <c r="NBX227" s="1"/>
      <c r="NBY227" s="1"/>
      <c r="NBZ227" s="1"/>
      <c r="NCA227" s="1"/>
      <c r="NCB227" s="1"/>
      <c r="NCC227" s="1"/>
      <c r="NCD227" s="1"/>
      <c r="NCE227" s="1"/>
      <c r="NCF227" s="1"/>
      <c r="NCG227" s="1"/>
      <c r="NCH227" s="1"/>
      <c r="NCI227" s="1"/>
      <c r="NCJ227" s="1"/>
      <c r="NCK227" s="1"/>
      <c r="NCL227" s="1"/>
      <c r="NCM227" s="1"/>
      <c r="NCN227" s="1"/>
      <c r="NCO227" s="1"/>
      <c r="NCP227" s="1"/>
      <c r="NCQ227" s="1"/>
      <c r="NCR227" s="1"/>
      <c r="NCS227" s="1"/>
      <c r="NCT227" s="1"/>
      <c r="NCU227" s="1"/>
      <c r="NCV227" s="1"/>
      <c r="NCW227" s="1"/>
      <c r="NCX227" s="1"/>
      <c r="NCY227" s="1"/>
      <c r="NCZ227" s="1"/>
      <c r="NDA227" s="1"/>
      <c r="NDB227" s="1"/>
      <c r="NDC227" s="1"/>
      <c r="NDD227" s="1"/>
      <c r="NDE227" s="1"/>
      <c r="NDF227" s="1"/>
      <c r="NDG227" s="1"/>
      <c r="NDH227" s="1"/>
      <c r="NDI227" s="1"/>
      <c r="NDJ227" s="1"/>
      <c r="NDK227" s="1"/>
      <c r="NDL227" s="1"/>
      <c r="NDM227" s="1"/>
      <c r="NDN227" s="1"/>
      <c r="NDO227" s="1"/>
      <c r="NDP227" s="1"/>
      <c r="NDQ227" s="1"/>
      <c r="NDR227" s="1"/>
      <c r="NDS227" s="1"/>
      <c r="NDT227" s="1"/>
      <c r="NDU227" s="1"/>
      <c r="NDV227" s="1"/>
      <c r="NDW227" s="1"/>
      <c r="NDX227" s="1"/>
      <c r="NDY227" s="1"/>
      <c r="NDZ227" s="1"/>
      <c r="NEA227" s="1"/>
      <c r="NEB227" s="1"/>
      <c r="NEC227" s="1"/>
      <c r="NED227" s="1"/>
      <c r="NEE227" s="1"/>
      <c r="NEF227" s="1"/>
      <c r="NEG227" s="1"/>
      <c r="NEH227" s="1"/>
      <c r="NEI227" s="1"/>
      <c r="NEJ227" s="1"/>
      <c r="NEK227" s="1"/>
      <c r="NEL227" s="1"/>
      <c r="NEM227" s="1"/>
      <c r="NEN227" s="1"/>
      <c r="NEO227" s="1"/>
      <c r="NEP227" s="1"/>
      <c r="NEQ227" s="1"/>
      <c r="NER227" s="1"/>
      <c r="NES227" s="1"/>
      <c r="NET227" s="1"/>
      <c r="NEU227" s="1"/>
      <c r="NEV227" s="1"/>
      <c r="NEW227" s="1"/>
      <c r="NEX227" s="1"/>
      <c r="NEY227" s="1"/>
      <c r="NEZ227" s="1"/>
      <c r="NFA227" s="1"/>
      <c r="NFB227" s="1"/>
      <c r="NFC227" s="1"/>
      <c r="NFD227" s="1"/>
      <c r="NFE227" s="1"/>
      <c r="NFF227" s="1"/>
      <c r="NFG227" s="1"/>
      <c r="NFH227" s="1"/>
      <c r="NFI227" s="1"/>
      <c r="NFJ227" s="1"/>
      <c r="NFK227" s="1"/>
      <c r="NFL227" s="1"/>
      <c r="NFM227" s="1"/>
      <c r="NFN227" s="1"/>
      <c r="NFO227" s="1"/>
      <c r="NFP227" s="1"/>
      <c r="NFQ227" s="1"/>
      <c r="NFR227" s="1"/>
      <c r="NFS227" s="1"/>
      <c r="NFT227" s="1"/>
      <c r="NFU227" s="1"/>
      <c r="NFV227" s="1"/>
      <c r="NFW227" s="1"/>
      <c r="NFX227" s="1"/>
      <c r="NFY227" s="1"/>
      <c r="NFZ227" s="1"/>
      <c r="NGA227" s="1"/>
      <c r="NGB227" s="1"/>
      <c r="NGC227" s="1"/>
      <c r="NGD227" s="1"/>
      <c r="NGE227" s="1"/>
      <c r="NGF227" s="1"/>
      <c r="NGG227" s="1"/>
      <c r="NGH227" s="1"/>
      <c r="NGI227" s="1"/>
      <c r="NGJ227" s="1"/>
      <c r="NGK227" s="1"/>
      <c r="NGL227" s="1"/>
      <c r="NGM227" s="1"/>
      <c r="NGN227" s="1"/>
      <c r="NGO227" s="1"/>
      <c r="NGP227" s="1"/>
      <c r="NGQ227" s="1"/>
      <c r="NGR227" s="1"/>
      <c r="NGS227" s="1"/>
      <c r="NGT227" s="1"/>
      <c r="NGU227" s="1"/>
      <c r="NGV227" s="1"/>
      <c r="NGW227" s="1"/>
      <c r="NGX227" s="1"/>
      <c r="NGY227" s="1"/>
      <c r="NGZ227" s="1"/>
      <c r="NHA227" s="1"/>
      <c r="NHB227" s="1"/>
      <c r="NHC227" s="1"/>
      <c r="NHD227" s="1"/>
      <c r="NHE227" s="1"/>
      <c r="NHF227" s="1"/>
      <c r="NHG227" s="1"/>
      <c r="NHH227" s="1"/>
      <c r="NHI227" s="1"/>
      <c r="NHJ227" s="1"/>
      <c r="NHK227" s="1"/>
      <c r="NHL227" s="1"/>
      <c r="NHM227" s="1"/>
      <c r="NHN227" s="1"/>
      <c r="NHO227" s="1"/>
      <c r="NHP227" s="1"/>
      <c r="NHQ227" s="1"/>
      <c r="NHR227" s="1"/>
      <c r="NHS227" s="1"/>
      <c r="NHT227" s="1"/>
      <c r="NHU227" s="1"/>
      <c r="NHV227" s="1"/>
      <c r="NHW227" s="1"/>
      <c r="NHX227" s="1"/>
      <c r="NHY227" s="1"/>
      <c r="NHZ227" s="1"/>
      <c r="NIA227" s="1"/>
      <c r="NIB227" s="1"/>
      <c r="NIC227" s="1"/>
      <c r="NID227" s="1"/>
      <c r="NIE227" s="1"/>
      <c r="NIF227" s="1"/>
      <c r="NIG227" s="1"/>
      <c r="NIH227" s="1"/>
      <c r="NII227" s="1"/>
      <c r="NIJ227" s="1"/>
      <c r="NIK227" s="1"/>
      <c r="NIL227" s="1"/>
      <c r="NIM227" s="1"/>
      <c r="NIN227" s="1"/>
      <c r="NIO227" s="1"/>
      <c r="NIP227" s="1"/>
      <c r="NIQ227" s="1"/>
      <c r="NIR227" s="1"/>
      <c r="NIS227" s="1"/>
      <c r="NIT227" s="1"/>
      <c r="NIU227" s="1"/>
      <c r="NIV227" s="1"/>
      <c r="NIW227" s="1"/>
      <c r="NIX227" s="1"/>
      <c r="NIY227" s="1"/>
      <c r="NIZ227" s="1"/>
      <c r="NJA227" s="1"/>
      <c r="NJB227" s="1"/>
      <c r="NJC227" s="1"/>
      <c r="NJD227" s="1"/>
      <c r="NJE227" s="1"/>
      <c r="NJF227" s="1"/>
      <c r="NJG227" s="1"/>
      <c r="NJH227" s="1"/>
      <c r="NJI227" s="1"/>
      <c r="NJJ227" s="1"/>
      <c r="NJK227" s="1"/>
      <c r="NJL227" s="1"/>
      <c r="NJM227" s="1"/>
      <c r="NJN227" s="1"/>
      <c r="NJO227" s="1"/>
      <c r="NJP227" s="1"/>
      <c r="NJQ227" s="1"/>
      <c r="NJR227" s="1"/>
      <c r="NJS227" s="1"/>
      <c r="NJT227" s="1"/>
      <c r="NJU227" s="1"/>
      <c r="NJV227" s="1"/>
      <c r="NJW227" s="1"/>
      <c r="NJX227" s="1"/>
      <c r="NJY227" s="1"/>
      <c r="NJZ227" s="1"/>
      <c r="NKA227" s="1"/>
      <c r="NKB227" s="1"/>
      <c r="NKC227" s="1"/>
      <c r="NKD227" s="1"/>
      <c r="NKE227" s="1"/>
      <c r="NKF227" s="1"/>
      <c r="NKG227" s="1"/>
      <c r="NKH227" s="1"/>
      <c r="NKI227" s="1"/>
      <c r="NKJ227" s="1"/>
      <c r="NKK227" s="1"/>
      <c r="NKL227" s="1"/>
      <c r="NKM227" s="1"/>
      <c r="NKN227" s="1"/>
      <c r="NKO227" s="1"/>
      <c r="NKP227" s="1"/>
      <c r="NKQ227" s="1"/>
      <c r="NKR227" s="1"/>
      <c r="NKS227" s="1"/>
      <c r="NKT227" s="1"/>
      <c r="NKU227" s="1"/>
      <c r="NKV227" s="1"/>
      <c r="NKW227" s="1"/>
      <c r="NKX227" s="1"/>
      <c r="NKY227" s="1"/>
      <c r="NKZ227" s="1"/>
      <c r="NLA227" s="1"/>
      <c r="NLB227" s="1"/>
      <c r="NLC227" s="1"/>
      <c r="NLD227" s="1"/>
      <c r="NLE227" s="1"/>
      <c r="NLF227" s="1"/>
      <c r="NLG227" s="1"/>
      <c r="NLH227" s="1"/>
      <c r="NLI227" s="1"/>
      <c r="NLJ227" s="1"/>
      <c r="NLK227" s="1"/>
      <c r="NLL227" s="1"/>
      <c r="NLM227" s="1"/>
      <c r="NLN227" s="1"/>
      <c r="NLO227" s="1"/>
      <c r="NLP227" s="1"/>
      <c r="NLQ227" s="1"/>
      <c r="NLR227" s="1"/>
      <c r="NLS227" s="1"/>
      <c r="NLT227" s="1"/>
      <c r="NLU227" s="1"/>
      <c r="NLV227" s="1"/>
      <c r="NLW227" s="1"/>
      <c r="NLX227" s="1"/>
      <c r="NLY227" s="1"/>
      <c r="NLZ227" s="1"/>
      <c r="NMA227" s="1"/>
      <c r="NMB227" s="1"/>
      <c r="NMC227" s="1"/>
      <c r="NMD227" s="1"/>
      <c r="NME227" s="1"/>
      <c r="NMF227" s="1"/>
      <c r="NMG227" s="1"/>
      <c r="NMH227" s="1"/>
      <c r="NMI227" s="1"/>
      <c r="NMJ227" s="1"/>
      <c r="NMK227" s="1"/>
      <c r="NML227" s="1"/>
      <c r="NMM227" s="1"/>
      <c r="NMN227" s="1"/>
      <c r="NMO227" s="1"/>
      <c r="NMP227" s="1"/>
      <c r="NMQ227" s="1"/>
      <c r="NMR227" s="1"/>
      <c r="NMS227" s="1"/>
      <c r="NMT227" s="1"/>
      <c r="NMU227" s="1"/>
      <c r="NMV227" s="1"/>
      <c r="NMW227" s="1"/>
      <c r="NMX227" s="1"/>
      <c r="NMY227" s="1"/>
      <c r="NMZ227" s="1"/>
      <c r="NNA227" s="1"/>
      <c r="NNB227" s="1"/>
      <c r="NNC227" s="1"/>
      <c r="NND227" s="1"/>
      <c r="NNE227" s="1"/>
      <c r="NNF227" s="1"/>
      <c r="NNG227" s="1"/>
      <c r="NNH227" s="1"/>
      <c r="NNI227" s="1"/>
      <c r="NNJ227" s="1"/>
      <c r="NNK227" s="1"/>
      <c r="NNL227" s="1"/>
      <c r="NNM227" s="1"/>
      <c r="NNN227" s="1"/>
      <c r="NNO227" s="1"/>
      <c r="NNP227" s="1"/>
      <c r="NNQ227" s="1"/>
      <c r="NNR227" s="1"/>
      <c r="NNS227" s="1"/>
      <c r="NNT227" s="1"/>
      <c r="NNU227" s="1"/>
      <c r="NNV227" s="1"/>
      <c r="NNW227" s="1"/>
      <c r="NNX227" s="1"/>
      <c r="NNY227" s="1"/>
      <c r="NNZ227" s="1"/>
      <c r="NOA227" s="1"/>
      <c r="NOB227" s="1"/>
      <c r="NOC227" s="1"/>
      <c r="NOD227" s="1"/>
      <c r="NOE227" s="1"/>
      <c r="NOF227" s="1"/>
      <c r="NOG227" s="1"/>
      <c r="NOH227" s="1"/>
      <c r="NOI227" s="1"/>
      <c r="NOJ227" s="1"/>
      <c r="NOK227" s="1"/>
      <c r="NOL227" s="1"/>
      <c r="NOM227" s="1"/>
      <c r="NON227" s="1"/>
      <c r="NOO227" s="1"/>
      <c r="NOP227" s="1"/>
      <c r="NOQ227" s="1"/>
      <c r="NOR227" s="1"/>
      <c r="NOS227" s="1"/>
      <c r="NOT227" s="1"/>
      <c r="NOU227" s="1"/>
      <c r="NOV227" s="1"/>
      <c r="NOW227" s="1"/>
      <c r="NOX227" s="1"/>
      <c r="NOY227" s="1"/>
      <c r="NOZ227" s="1"/>
      <c r="NPA227" s="1"/>
      <c r="NPB227" s="1"/>
      <c r="NPC227" s="1"/>
      <c r="NPD227" s="1"/>
      <c r="NPE227" s="1"/>
      <c r="NPF227" s="1"/>
      <c r="NPG227" s="1"/>
      <c r="NPH227" s="1"/>
      <c r="NPI227" s="1"/>
      <c r="NPJ227" s="1"/>
      <c r="NPK227" s="1"/>
      <c r="NPL227" s="1"/>
      <c r="NPM227" s="1"/>
      <c r="NPN227" s="1"/>
      <c r="NPO227" s="1"/>
      <c r="NPP227" s="1"/>
      <c r="NPQ227" s="1"/>
      <c r="NPR227" s="1"/>
      <c r="NPS227" s="1"/>
      <c r="NPT227" s="1"/>
      <c r="NPU227" s="1"/>
      <c r="NPV227" s="1"/>
      <c r="NPW227" s="1"/>
      <c r="NPX227" s="1"/>
      <c r="NPY227" s="1"/>
      <c r="NPZ227" s="1"/>
      <c r="NQA227" s="1"/>
      <c r="NQB227" s="1"/>
      <c r="NQC227" s="1"/>
      <c r="NQD227" s="1"/>
      <c r="NQE227" s="1"/>
      <c r="NQF227" s="1"/>
      <c r="NQG227" s="1"/>
      <c r="NQH227" s="1"/>
      <c r="NQI227" s="1"/>
      <c r="NQJ227" s="1"/>
      <c r="NQK227" s="1"/>
      <c r="NQL227" s="1"/>
      <c r="NQM227" s="1"/>
      <c r="NQN227" s="1"/>
      <c r="NQO227" s="1"/>
      <c r="NQP227" s="1"/>
      <c r="NQQ227" s="1"/>
      <c r="NQR227" s="1"/>
      <c r="NQS227" s="1"/>
      <c r="NQT227" s="1"/>
      <c r="NQU227" s="1"/>
      <c r="NQV227" s="1"/>
      <c r="NQW227" s="1"/>
      <c r="NQX227" s="1"/>
      <c r="NQY227" s="1"/>
      <c r="NQZ227" s="1"/>
      <c r="NRA227" s="1"/>
      <c r="NRB227" s="1"/>
      <c r="NRC227" s="1"/>
      <c r="NRD227" s="1"/>
      <c r="NRE227" s="1"/>
      <c r="NRF227" s="1"/>
      <c r="NRG227" s="1"/>
      <c r="NRH227" s="1"/>
      <c r="NRI227" s="1"/>
      <c r="NRJ227" s="1"/>
      <c r="NRK227" s="1"/>
      <c r="NRL227" s="1"/>
      <c r="NRM227" s="1"/>
      <c r="NRN227" s="1"/>
      <c r="NRO227" s="1"/>
      <c r="NRP227" s="1"/>
      <c r="NRQ227" s="1"/>
      <c r="NRR227" s="1"/>
      <c r="NRS227" s="1"/>
      <c r="NRT227" s="1"/>
      <c r="NRU227" s="1"/>
      <c r="NRV227" s="1"/>
      <c r="NRW227" s="1"/>
      <c r="NRX227" s="1"/>
      <c r="NRY227" s="1"/>
      <c r="NRZ227" s="1"/>
      <c r="NSA227" s="1"/>
      <c r="NSB227" s="1"/>
      <c r="NSC227" s="1"/>
      <c r="NSD227" s="1"/>
      <c r="NSE227" s="1"/>
      <c r="NSF227" s="1"/>
      <c r="NSG227" s="1"/>
      <c r="NSH227" s="1"/>
      <c r="NSI227" s="1"/>
      <c r="NSJ227" s="1"/>
      <c r="NSK227" s="1"/>
      <c r="NSL227" s="1"/>
      <c r="NSM227" s="1"/>
      <c r="NSN227" s="1"/>
      <c r="NSO227" s="1"/>
      <c r="NSP227" s="1"/>
      <c r="NSQ227" s="1"/>
      <c r="NSR227" s="1"/>
      <c r="NSS227" s="1"/>
      <c r="NST227" s="1"/>
      <c r="NSU227" s="1"/>
      <c r="NSV227" s="1"/>
      <c r="NSW227" s="1"/>
      <c r="NSX227" s="1"/>
      <c r="NSY227" s="1"/>
      <c r="NSZ227" s="1"/>
      <c r="NTA227" s="1"/>
      <c r="NTB227" s="1"/>
      <c r="NTC227" s="1"/>
      <c r="NTD227" s="1"/>
      <c r="NTE227" s="1"/>
      <c r="NTF227" s="1"/>
      <c r="NTG227" s="1"/>
      <c r="NTH227" s="1"/>
      <c r="NTI227" s="1"/>
      <c r="NTJ227" s="1"/>
      <c r="NTK227" s="1"/>
      <c r="NTL227" s="1"/>
      <c r="NTM227" s="1"/>
      <c r="NTN227" s="1"/>
      <c r="NTO227" s="1"/>
      <c r="NTP227" s="1"/>
      <c r="NTQ227" s="1"/>
      <c r="NTR227" s="1"/>
      <c r="NTS227" s="1"/>
      <c r="NTT227" s="1"/>
      <c r="NTU227" s="1"/>
      <c r="NTV227" s="1"/>
      <c r="NTW227" s="1"/>
      <c r="NTX227" s="1"/>
      <c r="NTY227" s="1"/>
      <c r="NTZ227" s="1"/>
      <c r="NUA227" s="1"/>
      <c r="NUB227" s="1"/>
      <c r="NUC227" s="1"/>
      <c r="NUD227" s="1"/>
      <c r="NUE227" s="1"/>
      <c r="NUF227" s="1"/>
      <c r="NUG227" s="1"/>
      <c r="NUH227" s="1"/>
      <c r="NUI227" s="1"/>
      <c r="NUJ227" s="1"/>
      <c r="NUK227" s="1"/>
      <c r="NUL227" s="1"/>
      <c r="NUM227" s="1"/>
      <c r="NUN227" s="1"/>
      <c r="NUO227" s="1"/>
      <c r="NUP227" s="1"/>
      <c r="NUQ227" s="1"/>
      <c r="NUR227" s="1"/>
      <c r="NUS227" s="1"/>
      <c r="NUT227" s="1"/>
      <c r="NUU227" s="1"/>
      <c r="NUV227" s="1"/>
      <c r="NUW227" s="1"/>
      <c r="NUX227" s="1"/>
      <c r="NUY227" s="1"/>
      <c r="NUZ227" s="1"/>
      <c r="NVA227" s="1"/>
      <c r="NVB227" s="1"/>
      <c r="NVC227" s="1"/>
      <c r="NVD227" s="1"/>
      <c r="NVE227" s="1"/>
      <c r="NVF227" s="1"/>
      <c r="NVG227" s="1"/>
      <c r="NVH227" s="1"/>
      <c r="NVI227" s="1"/>
      <c r="NVJ227" s="1"/>
      <c r="NVK227" s="1"/>
      <c r="NVL227" s="1"/>
      <c r="NVM227" s="1"/>
      <c r="NVN227" s="1"/>
      <c r="NVO227" s="1"/>
      <c r="NVP227" s="1"/>
      <c r="NVQ227" s="1"/>
      <c r="NVR227" s="1"/>
      <c r="NVS227" s="1"/>
      <c r="NVT227" s="1"/>
      <c r="NVU227" s="1"/>
      <c r="NVV227" s="1"/>
      <c r="NVW227" s="1"/>
      <c r="NVX227" s="1"/>
      <c r="NVY227" s="1"/>
      <c r="NVZ227" s="1"/>
      <c r="NWA227" s="1"/>
      <c r="NWB227" s="1"/>
      <c r="NWC227" s="1"/>
      <c r="NWD227" s="1"/>
      <c r="NWE227" s="1"/>
      <c r="NWF227" s="1"/>
      <c r="NWG227" s="1"/>
      <c r="NWH227" s="1"/>
      <c r="NWI227" s="1"/>
      <c r="NWJ227" s="1"/>
      <c r="NWK227" s="1"/>
      <c r="NWL227" s="1"/>
      <c r="NWM227" s="1"/>
      <c r="NWN227" s="1"/>
      <c r="NWO227" s="1"/>
      <c r="NWP227" s="1"/>
      <c r="NWQ227" s="1"/>
      <c r="NWR227" s="1"/>
      <c r="NWS227" s="1"/>
      <c r="NWT227" s="1"/>
      <c r="NWU227" s="1"/>
      <c r="NWV227" s="1"/>
      <c r="NWW227" s="1"/>
      <c r="NWX227" s="1"/>
      <c r="NWY227" s="1"/>
      <c r="NWZ227" s="1"/>
      <c r="NXA227" s="1"/>
      <c r="NXB227" s="1"/>
      <c r="NXC227" s="1"/>
      <c r="NXD227" s="1"/>
      <c r="NXE227" s="1"/>
      <c r="NXF227" s="1"/>
      <c r="NXG227" s="1"/>
      <c r="NXH227" s="1"/>
      <c r="NXI227" s="1"/>
      <c r="NXJ227" s="1"/>
      <c r="NXK227" s="1"/>
      <c r="NXL227" s="1"/>
      <c r="NXM227" s="1"/>
      <c r="NXN227" s="1"/>
      <c r="NXO227" s="1"/>
      <c r="NXP227" s="1"/>
      <c r="NXQ227" s="1"/>
      <c r="NXR227" s="1"/>
      <c r="NXS227" s="1"/>
      <c r="NXT227" s="1"/>
      <c r="NXU227" s="1"/>
      <c r="NXV227" s="1"/>
      <c r="NXW227" s="1"/>
      <c r="NXX227" s="1"/>
      <c r="NXY227" s="1"/>
      <c r="NXZ227" s="1"/>
      <c r="NYA227" s="1"/>
      <c r="NYB227" s="1"/>
      <c r="NYC227" s="1"/>
      <c r="NYD227" s="1"/>
      <c r="NYE227" s="1"/>
      <c r="NYF227" s="1"/>
      <c r="NYG227" s="1"/>
      <c r="NYH227" s="1"/>
      <c r="NYI227" s="1"/>
      <c r="NYJ227" s="1"/>
      <c r="NYK227" s="1"/>
      <c r="NYL227" s="1"/>
      <c r="NYM227" s="1"/>
      <c r="NYN227" s="1"/>
      <c r="NYO227" s="1"/>
      <c r="NYP227" s="1"/>
      <c r="NYQ227" s="1"/>
      <c r="NYR227" s="1"/>
      <c r="NYS227" s="1"/>
      <c r="NYT227" s="1"/>
      <c r="NYU227" s="1"/>
      <c r="NYV227" s="1"/>
      <c r="NYW227" s="1"/>
      <c r="NYX227" s="1"/>
      <c r="NYY227" s="1"/>
      <c r="NYZ227" s="1"/>
      <c r="NZA227" s="1"/>
      <c r="NZB227" s="1"/>
      <c r="NZC227" s="1"/>
      <c r="NZD227" s="1"/>
      <c r="NZE227" s="1"/>
      <c r="NZF227" s="1"/>
      <c r="NZG227" s="1"/>
      <c r="NZH227" s="1"/>
      <c r="NZI227" s="1"/>
      <c r="NZJ227" s="1"/>
      <c r="NZK227" s="1"/>
      <c r="NZL227" s="1"/>
      <c r="NZM227" s="1"/>
      <c r="NZN227" s="1"/>
      <c r="NZO227" s="1"/>
      <c r="NZP227" s="1"/>
      <c r="NZQ227" s="1"/>
      <c r="NZR227" s="1"/>
      <c r="NZS227" s="1"/>
      <c r="NZT227" s="1"/>
      <c r="NZU227" s="1"/>
      <c r="NZV227" s="1"/>
      <c r="NZW227" s="1"/>
      <c r="NZX227" s="1"/>
      <c r="NZY227" s="1"/>
      <c r="NZZ227" s="1"/>
      <c r="OAA227" s="1"/>
      <c r="OAB227" s="1"/>
      <c r="OAC227" s="1"/>
      <c r="OAD227" s="1"/>
      <c r="OAE227" s="1"/>
      <c r="OAF227" s="1"/>
      <c r="OAG227" s="1"/>
      <c r="OAH227" s="1"/>
      <c r="OAI227" s="1"/>
      <c r="OAJ227" s="1"/>
      <c r="OAK227" s="1"/>
      <c r="OAL227" s="1"/>
      <c r="OAM227" s="1"/>
      <c r="OAN227" s="1"/>
      <c r="OAO227" s="1"/>
      <c r="OAP227" s="1"/>
      <c r="OAQ227" s="1"/>
      <c r="OAR227" s="1"/>
      <c r="OAS227" s="1"/>
      <c r="OAT227" s="1"/>
      <c r="OAU227" s="1"/>
      <c r="OAV227" s="1"/>
      <c r="OAW227" s="1"/>
      <c r="OAX227" s="1"/>
      <c r="OAY227" s="1"/>
      <c r="OAZ227" s="1"/>
      <c r="OBA227" s="1"/>
      <c r="OBB227" s="1"/>
      <c r="OBC227" s="1"/>
      <c r="OBD227" s="1"/>
      <c r="OBE227" s="1"/>
      <c r="OBF227" s="1"/>
      <c r="OBG227" s="1"/>
      <c r="OBH227" s="1"/>
      <c r="OBI227" s="1"/>
      <c r="OBJ227" s="1"/>
      <c r="OBK227" s="1"/>
      <c r="OBL227" s="1"/>
      <c r="OBM227" s="1"/>
      <c r="OBN227" s="1"/>
      <c r="OBO227" s="1"/>
      <c r="OBP227" s="1"/>
      <c r="OBQ227" s="1"/>
      <c r="OBR227" s="1"/>
      <c r="OBS227" s="1"/>
      <c r="OBT227" s="1"/>
      <c r="OBU227" s="1"/>
      <c r="OBV227" s="1"/>
      <c r="OBW227" s="1"/>
      <c r="OBX227" s="1"/>
      <c r="OBY227" s="1"/>
      <c r="OBZ227" s="1"/>
      <c r="OCA227" s="1"/>
      <c r="OCB227" s="1"/>
      <c r="OCC227" s="1"/>
      <c r="OCD227" s="1"/>
      <c r="OCE227" s="1"/>
      <c r="OCF227" s="1"/>
      <c r="OCG227" s="1"/>
      <c r="OCH227" s="1"/>
      <c r="OCI227" s="1"/>
      <c r="OCJ227" s="1"/>
      <c r="OCK227" s="1"/>
      <c r="OCL227" s="1"/>
      <c r="OCM227" s="1"/>
      <c r="OCN227" s="1"/>
      <c r="OCO227" s="1"/>
      <c r="OCP227" s="1"/>
      <c r="OCQ227" s="1"/>
      <c r="OCR227" s="1"/>
      <c r="OCS227" s="1"/>
      <c r="OCT227" s="1"/>
      <c r="OCU227" s="1"/>
      <c r="OCV227" s="1"/>
      <c r="OCW227" s="1"/>
      <c r="OCX227" s="1"/>
      <c r="OCY227" s="1"/>
      <c r="OCZ227" s="1"/>
      <c r="ODA227" s="1"/>
      <c r="ODB227" s="1"/>
      <c r="ODC227" s="1"/>
      <c r="ODD227" s="1"/>
      <c r="ODE227" s="1"/>
      <c r="ODF227" s="1"/>
      <c r="ODG227" s="1"/>
      <c r="ODH227" s="1"/>
      <c r="ODI227" s="1"/>
      <c r="ODJ227" s="1"/>
      <c r="ODK227" s="1"/>
      <c r="ODL227" s="1"/>
      <c r="ODM227" s="1"/>
      <c r="ODN227" s="1"/>
      <c r="ODO227" s="1"/>
      <c r="ODP227" s="1"/>
      <c r="ODQ227" s="1"/>
      <c r="ODR227" s="1"/>
      <c r="ODS227" s="1"/>
      <c r="ODT227" s="1"/>
      <c r="ODU227" s="1"/>
      <c r="ODV227" s="1"/>
      <c r="ODW227" s="1"/>
      <c r="ODX227" s="1"/>
      <c r="ODY227" s="1"/>
      <c r="ODZ227" s="1"/>
      <c r="OEA227" s="1"/>
      <c r="OEB227" s="1"/>
      <c r="OEC227" s="1"/>
      <c r="OED227" s="1"/>
      <c r="OEE227" s="1"/>
      <c r="OEF227" s="1"/>
      <c r="OEG227" s="1"/>
      <c r="OEH227" s="1"/>
      <c r="OEI227" s="1"/>
      <c r="OEJ227" s="1"/>
      <c r="OEK227" s="1"/>
      <c r="OEL227" s="1"/>
      <c r="OEM227" s="1"/>
      <c r="OEN227" s="1"/>
      <c r="OEO227" s="1"/>
      <c r="OEP227" s="1"/>
      <c r="OEQ227" s="1"/>
      <c r="OER227" s="1"/>
      <c r="OES227" s="1"/>
      <c r="OET227" s="1"/>
      <c r="OEU227" s="1"/>
      <c r="OEV227" s="1"/>
      <c r="OEW227" s="1"/>
      <c r="OEX227" s="1"/>
      <c r="OEY227" s="1"/>
      <c r="OEZ227" s="1"/>
      <c r="OFA227" s="1"/>
      <c r="OFB227" s="1"/>
      <c r="OFC227" s="1"/>
      <c r="OFD227" s="1"/>
      <c r="OFE227" s="1"/>
      <c r="OFF227" s="1"/>
      <c r="OFG227" s="1"/>
      <c r="OFH227" s="1"/>
      <c r="OFI227" s="1"/>
      <c r="OFJ227" s="1"/>
      <c r="OFK227" s="1"/>
      <c r="OFL227" s="1"/>
      <c r="OFM227" s="1"/>
      <c r="OFN227" s="1"/>
      <c r="OFO227" s="1"/>
      <c r="OFP227" s="1"/>
      <c r="OFQ227" s="1"/>
      <c r="OFR227" s="1"/>
      <c r="OFS227" s="1"/>
      <c r="OFT227" s="1"/>
      <c r="OFU227" s="1"/>
      <c r="OFV227" s="1"/>
      <c r="OFW227" s="1"/>
      <c r="OFX227" s="1"/>
      <c r="OFY227" s="1"/>
      <c r="OFZ227" s="1"/>
      <c r="OGA227" s="1"/>
      <c r="OGB227" s="1"/>
      <c r="OGC227" s="1"/>
      <c r="OGD227" s="1"/>
      <c r="OGE227" s="1"/>
      <c r="OGF227" s="1"/>
      <c r="OGG227" s="1"/>
      <c r="OGH227" s="1"/>
      <c r="OGI227" s="1"/>
      <c r="OGJ227" s="1"/>
      <c r="OGK227" s="1"/>
      <c r="OGL227" s="1"/>
      <c r="OGM227" s="1"/>
      <c r="OGN227" s="1"/>
      <c r="OGO227" s="1"/>
      <c r="OGP227" s="1"/>
      <c r="OGQ227" s="1"/>
      <c r="OGR227" s="1"/>
      <c r="OGS227" s="1"/>
      <c r="OGT227" s="1"/>
      <c r="OGU227" s="1"/>
      <c r="OGV227" s="1"/>
      <c r="OGW227" s="1"/>
      <c r="OGX227" s="1"/>
      <c r="OGY227" s="1"/>
      <c r="OGZ227" s="1"/>
      <c r="OHA227" s="1"/>
      <c r="OHB227" s="1"/>
      <c r="OHC227" s="1"/>
      <c r="OHD227" s="1"/>
      <c r="OHE227" s="1"/>
      <c r="OHF227" s="1"/>
      <c r="OHG227" s="1"/>
      <c r="OHH227" s="1"/>
      <c r="OHI227" s="1"/>
      <c r="OHJ227" s="1"/>
      <c r="OHK227" s="1"/>
      <c r="OHL227" s="1"/>
      <c r="OHM227" s="1"/>
      <c r="OHN227" s="1"/>
      <c r="OHO227" s="1"/>
      <c r="OHP227" s="1"/>
      <c r="OHQ227" s="1"/>
      <c r="OHR227" s="1"/>
      <c r="OHS227" s="1"/>
      <c r="OHT227" s="1"/>
      <c r="OHU227" s="1"/>
      <c r="OHV227" s="1"/>
      <c r="OHW227" s="1"/>
      <c r="OHX227" s="1"/>
      <c r="OHY227" s="1"/>
      <c r="OHZ227" s="1"/>
      <c r="OIA227" s="1"/>
      <c r="OIB227" s="1"/>
      <c r="OIC227" s="1"/>
      <c r="OID227" s="1"/>
      <c r="OIE227" s="1"/>
      <c r="OIF227" s="1"/>
      <c r="OIG227" s="1"/>
      <c r="OIH227" s="1"/>
      <c r="OII227" s="1"/>
      <c r="OIJ227" s="1"/>
      <c r="OIK227" s="1"/>
      <c r="OIL227" s="1"/>
      <c r="OIM227" s="1"/>
      <c r="OIN227" s="1"/>
      <c r="OIO227" s="1"/>
      <c r="OIP227" s="1"/>
      <c r="OIQ227" s="1"/>
      <c r="OIR227" s="1"/>
      <c r="OIS227" s="1"/>
      <c r="OIT227" s="1"/>
      <c r="OIU227" s="1"/>
      <c r="OIV227" s="1"/>
      <c r="OIW227" s="1"/>
      <c r="OIX227" s="1"/>
      <c r="OIY227" s="1"/>
      <c r="OIZ227" s="1"/>
      <c r="OJA227" s="1"/>
      <c r="OJB227" s="1"/>
      <c r="OJC227" s="1"/>
      <c r="OJD227" s="1"/>
      <c r="OJE227" s="1"/>
      <c r="OJF227" s="1"/>
      <c r="OJG227" s="1"/>
      <c r="OJH227" s="1"/>
      <c r="OJI227" s="1"/>
      <c r="OJJ227" s="1"/>
      <c r="OJK227" s="1"/>
      <c r="OJL227" s="1"/>
      <c r="OJM227" s="1"/>
      <c r="OJN227" s="1"/>
      <c r="OJO227" s="1"/>
      <c r="OJP227" s="1"/>
      <c r="OJQ227" s="1"/>
      <c r="OJR227" s="1"/>
      <c r="OJS227" s="1"/>
      <c r="OJT227" s="1"/>
      <c r="OJU227" s="1"/>
      <c r="OJV227" s="1"/>
      <c r="OJW227" s="1"/>
      <c r="OJX227" s="1"/>
      <c r="OJY227" s="1"/>
      <c r="OJZ227" s="1"/>
      <c r="OKA227" s="1"/>
      <c r="OKB227" s="1"/>
      <c r="OKC227" s="1"/>
      <c r="OKD227" s="1"/>
      <c r="OKE227" s="1"/>
      <c r="OKF227" s="1"/>
      <c r="OKG227" s="1"/>
      <c r="OKH227" s="1"/>
      <c r="OKI227" s="1"/>
      <c r="OKJ227" s="1"/>
      <c r="OKK227" s="1"/>
      <c r="OKL227" s="1"/>
      <c r="OKM227" s="1"/>
      <c r="OKN227" s="1"/>
      <c r="OKO227" s="1"/>
      <c r="OKP227" s="1"/>
      <c r="OKQ227" s="1"/>
      <c r="OKR227" s="1"/>
      <c r="OKS227" s="1"/>
      <c r="OKT227" s="1"/>
      <c r="OKU227" s="1"/>
      <c r="OKV227" s="1"/>
      <c r="OKW227" s="1"/>
      <c r="OKX227" s="1"/>
      <c r="OKY227" s="1"/>
      <c r="OKZ227" s="1"/>
      <c r="OLA227" s="1"/>
      <c r="OLB227" s="1"/>
      <c r="OLC227" s="1"/>
      <c r="OLD227" s="1"/>
      <c r="OLE227" s="1"/>
      <c r="OLF227" s="1"/>
      <c r="OLG227" s="1"/>
      <c r="OLH227" s="1"/>
      <c r="OLI227" s="1"/>
      <c r="OLJ227" s="1"/>
      <c r="OLK227" s="1"/>
      <c r="OLL227" s="1"/>
      <c r="OLM227" s="1"/>
      <c r="OLN227" s="1"/>
      <c r="OLO227" s="1"/>
      <c r="OLP227" s="1"/>
      <c r="OLQ227" s="1"/>
      <c r="OLR227" s="1"/>
      <c r="OLS227" s="1"/>
      <c r="OLT227" s="1"/>
      <c r="OLU227" s="1"/>
      <c r="OLV227" s="1"/>
      <c r="OLW227" s="1"/>
      <c r="OLX227" s="1"/>
      <c r="OLY227" s="1"/>
      <c r="OLZ227" s="1"/>
      <c r="OMA227" s="1"/>
      <c r="OMB227" s="1"/>
      <c r="OMC227" s="1"/>
      <c r="OMD227" s="1"/>
      <c r="OME227" s="1"/>
      <c r="OMF227" s="1"/>
      <c r="OMG227" s="1"/>
      <c r="OMH227" s="1"/>
      <c r="OMI227" s="1"/>
      <c r="OMJ227" s="1"/>
      <c r="OMK227" s="1"/>
      <c r="OML227" s="1"/>
      <c r="OMM227" s="1"/>
      <c r="OMN227" s="1"/>
      <c r="OMO227" s="1"/>
      <c r="OMP227" s="1"/>
      <c r="OMQ227" s="1"/>
      <c r="OMR227" s="1"/>
      <c r="OMS227" s="1"/>
      <c r="OMT227" s="1"/>
      <c r="OMU227" s="1"/>
      <c r="OMV227" s="1"/>
      <c r="OMW227" s="1"/>
      <c r="OMX227" s="1"/>
      <c r="OMY227" s="1"/>
      <c r="OMZ227" s="1"/>
      <c r="ONA227" s="1"/>
      <c r="ONB227" s="1"/>
      <c r="ONC227" s="1"/>
      <c r="OND227" s="1"/>
      <c r="ONE227" s="1"/>
      <c r="ONF227" s="1"/>
      <c r="ONG227" s="1"/>
      <c r="ONH227" s="1"/>
      <c r="ONI227" s="1"/>
      <c r="ONJ227" s="1"/>
      <c r="ONK227" s="1"/>
      <c r="ONL227" s="1"/>
      <c r="ONM227" s="1"/>
      <c r="ONN227" s="1"/>
      <c r="ONO227" s="1"/>
      <c r="ONP227" s="1"/>
      <c r="ONQ227" s="1"/>
      <c r="ONR227" s="1"/>
      <c r="ONS227" s="1"/>
      <c r="ONT227" s="1"/>
      <c r="ONU227" s="1"/>
      <c r="ONV227" s="1"/>
      <c r="ONW227" s="1"/>
      <c r="ONX227" s="1"/>
      <c r="ONY227" s="1"/>
      <c r="ONZ227" s="1"/>
      <c r="OOA227" s="1"/>
      <c r="OOB227" s="1"/>
      <c r="OOC227" s="1"/>
      <c r="OOD227" s="1"/>
      <c r="OOE227" s="1"/>
      <c r="OOF227" s="1"/>
      <c r="OOG227" s="1"/>
      <c r="OOH227" s="1"/>
      <c r="OOI227" s="1"/>
      <c r="OOJ227" s="1"/>
      <c r="OOK227" s="1"/>
      <c r="OOL227" s="1"/>
      <c r="OOM227" s="1"/>
      <c r="OON227" s="1"/>
      <c r="OOO227" s="1"/>
      <c r="OOP227" s="1"/>
      <c r="OOQ227" s="1"/>
      <c r="OOR227" s="1"/>
      <c r="OOS227" s="1"/>
      <c r="OOT227" s="1"/>
      <c r="OOU227" s="1"/>
      <c r="OOV227" s="1"/>
      <c r="OOW227" s="1"/>
      <c r="OOX227" s="1"/>
      <c r="OOY227" s="1"/>
      <c r="OOZ227" s="1"/>
      <c r="OPA227" s="1"/>
      <c r="OPB227" s="1"/>
      <c r="OPC227" s="1"/>
      <c r="OPD227" s="1"/>
      <c r="OPE227" s="1"/>
      <c r="OPF227" s="1"/>
      <c r="OPG227" s="1"/>
      <c r="OPH227" s="1"/>
      <c r="OPI227" s="1"/>
      <c r="OPJ227" s="1"/>
      <c r="OPK227" s="1"/>
      <c r="OPL227" s="1"/>
      <c r="OPM227" s="1"/>
      <c r="OPN227" s="1"/>
      <c r="OPO227" s="1"/>
      <c r="OPP227" s="1"/>
      <c r="OPQ227" s="1"/>
      <c r="OPR227" s="1"/>
      <c r="OPS227" s="1"/>
      <c r="OPT227" s="1"/>
      <c r="OPU227" s="1"/>
      <c r="OPV227" s="1"/>
      <c r="OPW227" s="1"/>
      <c r="OPX227" s="1"/>
      <c r="OPY227" s="1"/>
      <c r="OPZ227" s="1"/>
      <c r="OQA227" s="1"/>
      <c r="OQB227" s="1"/>
      <c r="OQC227" s="1"/>
      <c r="OQD227" s="1"/>
      <c r="OQE227" s="1"/>
      <c r="OQF227" s="1"/>
      <c r="OQG227" s="1"/>
      <c r="OQH227" s="1"/>
      <c r="OQI227" s="1"/>
      <c r="OQJ227" s="1"/>
      <c r="OQK227" s="1"/>
      <c r="OQL227" s="1"/>
      <c r="OQM227" s="1"/>
      <c r="OQN227" s="1"/>
      <c r="OQO227" s="1"/>
      <c r="OQP227" s="1"/>
      <c r="OQQ227" s="1"/>
      <c r="OQR227" s="1"/>
      <c r="OQS227" s="1"/>
      <c r="OQT227" s="1"/>
      <c r="OQU227" s="1"/>
      <c r="OQV227" s="1"/>
      <c r="OQW227" s="1"/>
      <c r="OQX227" s="1"/>
      <c r="OQY227" s="1"/>
      <c r="OQZ227" s="1"/>
      <c r="ORA227" s="1"/>
      <c r="ORB227" s="1"/>
      <c r="ORC227" s="1"/>
      <c r="ORD227" s="1"/>
      <c r="ORE227" s="1"/>
      <c r="ORF227" s="1"/>
      <c r="ORG227" s="1"/>
      <c r="ORH227" s="1"/>
      <c r="ORI227" s="1"/>
      <c r="ORJ227" s="1"/>
      <c r="ORK227" s="1"/>
      <c r="ORL227" s="1"/>
      <c r="ORM227" s="1"/>
      <c r="ORN227" s="1"/>
      <c r="ORO227" s="1"/>
      <c r="ORP227" s="1"/>
      <c r="ORQ227" s="1"/>
      <c r="ORR227" s="1"/>
      <c r="ORS227" s="1"/>
      <c r="ORT227" s="1"/>
      <c r="ORU227" s="1"/>
      <c r="ORV227" s="1"/>
      <c r="ORW227" s="1"/>
      <c r="ORX227" s="1"/>
      <c r="ORY227" s="1"/>
      <c r="ORZ227" s="1"/>
      <c r="OSA227" s="1"/>
      <c r="OSB227" s="1"/>
      <c r="OSC227" s="1"/>
      <c r="OSD227" s="1"/>
      <c r="OSE227" s="1"/>
      <c r="OSF227" s="1"/>
      <c r="OSG227" s="1"/>
      <c r="OSH227" s="1"/>
      <c r="OSI227" s="1"/>
      <c r="OSJ227" s="1"/>
      <c r="OSK227" s="1"/>
      <c r="OSL227" s="1"/>
      <c r="OSM227" s="1"/>
      <c r="OSN227" s="1"/>
      <c r="OSO227" s="1"/>
      <c r="OSP227" s="1"/>
      <c r="OSQ227" s="1"/>
      <c r="OSR227" s="1"/>
      <c r="OSS227" s="1"/>
      <c r="OST227" s="1"/>
      <c r="OSU227" s="1"/>
      <c r="OSV227" s="1"/>
      <c r="OSW227" s="1"/>
      <c r="OSX227" s="1"/>
      <c r="OSY227" s="1"/>
      <c r="OSZ227" s="1"/>
      <c r="OTA227" s="1"/>
      <c r="OTB227" s="1"/>
      <c r="OTC227" s="1"/>
      <c r="OTD227" s="1"/>
      <c r="OTE227" s="1"/>
      <c r="OTF227" s="1"/>
      <c r="OTG227" s="1"/>
      <c r="OTH227" s="1"/>
      <c r="OTI227" s="1"/>
      <c r="OTJ227" s="1"/>
      <c r="OTK227" s="1"/>
      <c r="OTL227" s="1"/>
      <c r="OTM227" s="1"/>
      <c r="OTN227" s="1"/>
      <c r="OTO227" s="1"/>
      <c r="OTP227" s="1"/>
      <c r="OTQ227" s="1"/>
      <c r="OTR227" s="1"/>
      <c r="OTS227" s="1"/>
      <c r="OTT227" s="1"/>
      <c r="OTU227" s="1"/>
      <c r="OTV227" s="1"/>
      <c r="OTW227" s="1"/>
      <c r="OTX227" s="1"/>
      <c r="OTY227" s="1"/>
      <c r="OTZ227" s="1"/>
      <c r="OUA227" s="1"/>
      <c r="OUB227" s="1"/>
      <c r="OUC227" s="1"/>
      <c r="OUD227" s="1"/>
      <c r="OUE227" s="1"/>
      <c r="OUF227" s="1"/>
      <c r="OUG227" s="1"/>
      <c r="OUH227" s="1"/>
      <c r="OUI227" s="1"/>
      <c r="OUJ227" s="1"/>
      <c r="OUK227" s="1"/>
      <c r="OUL227" s="1"/>
      <c r="OUM227" s="1"/>
      <c r="OUN227" s="1"/>
      <c r="OUO227" s="1"/>
      <c r="OUP227" s="1"/>
      <c r="OUQ227" s="1"/>
      <c r="OUR227" s="1"/>
      <c r="OUS227" s="1"/>
      <c r="OUT227" s="1"/>
      <c r="OUU227" s="1"/>
      <c r="OUV227" s="1"/>
      <c r="OUW227" s="1"/>
      <c r="OUX227" s="1"/>
      <c r="OUY227" s="1"/>
      <c r="OUZ227" s="1"/>
      <c r="OVA227" s="1"/>
      <c r="OVB227" s="1"/>
      <c r="OVC227" s="1"/>
      <c r="OVD227" s="1"/>
      <c r="OVE227" s="1"/>
      <c r="OVF227" s="1"/>
      <c r="OVG227" s="1"/>
      <c r="OVH227" s="1"/>
      <c r="OVI227" s="1"/>
      <c r="OVJ227" s="1"/>
      <c r="OVK227" s="1"/>
      <c r="OVL227" s="1"/>
      <c r="OVM227" s="1"/>
      <c r="OVN227" s="1"/>
      <c r="OVO227" s="1"/>
      <c r="OVP227" s="1"/>
      <c r="OVQ227" s="1"/>
      <c r="OVR227" s="1"/>
      <c r="OVS227" s="1"/>
      <c r="OVT227" s="1"/>
      <c r="OVU227" s="1"/>
      <c r="OVV227" s="1"/>
      <c r="OVW227" s="1"/>
      <c r="OVX227" s="1"/>
      <c r="OVY227" s="1"/>
      <c r="OVZ227" s="1"/>
      <c r="OWA227" s="1"/>
      <c r="OWB227" s="1"/>
      <c r="OWC227" s="1"/>
      <c r="OWD227" s="1"/>
      <c r="OWE227" s="1"/>
      <c r="OWF227" s="1"/>
      <c r="OWG227" s="1"/>
      <c r="OWH227" s="1"/>
      <c r="OWI227" s="1"/>
      <c r="OWJ227" s="1"/>
      <c r="OWK227" s="1"/>
      <c r="OWL227" s="1"/>
      <c r="OWM227" s="1"/>
      <c r="OWN227" s="1"/>
      <c r="OWO227" s="1"/>
      <c r="OWP227" s="1"/>
      <c r="OWQ227" s="1"/>
      <c r="OWR227" s="1"/>
      <c r="OWS227" s="1"/>
      <c r="OWT227" s="1"/>
      <c r="OWU227" s="1"/>
      <c r="OWV227" s="1"/>
      <c r="OWW227" s="1"/>
      <c r="OWX227" s="1"/>
      <c r="OWY227" s="1"/>
      <c r="OWZ227" s="1"/>
      <c r="OXA227" s="1"/>
      <c r="OXB227" s="1"/>
      <c r="OXC227" s="1"/>
      <c r="OXD227" s="1"/>
      <c r="OXE227" s="1"/>
      <c r="OXF227" s="1"/>
      <c r="OXG227" s="1"/>
      <c r="OXH227" s="1"/>
      <c r="OXI227" s="1"/>
      <c r="OXJ227" s="1"/>
      <c r="OXK227" s="1"/>
      <c r="OXL227" s="1"/>
      <c r="OXM227" s="1"/>
      <c r="OXN227" s="1"/>
      <c r="OXO227" s="1"/>
      <c r="OXP227" s="1"/>
      <c r="OXQ227" s="1"/>
      <c r="OXR227" s="1"/>
      <c r="OXS227" s="1"/>
      <c r="OXT227" s="1"/>
      <c r="OXU227" s="1"/>
      <c r="OXV227" s="1"/>
      <c r="OXW227" s="1"/>
      <c r="OXX227" s="1"/>
      <c r="OXY227" s="1"/>
      <c r="OXZ227" s="1"/>
      <c r="OYA227" s="1"/>
      <c r="OYB227" s="1"/>
      <c r="OYC227" s="1"/>
      <c r="OYD227" s="1"/>
      <c r="OYE227" s="1"/>
      <c r="OYF227" s="1"/>
      <c r="OYG227" s="1"/>
      <c r="OYH227" s="1"/>
      <c r="OYI227" s="1"/>
      <c r="OYJ227" s="1"/>
      <c r="OYK227" s="1"/>
      <c r="OYL227" s="1"/>
      <c r="OYM227" s="1"/>
      <c r="OYN227" s="1"/>
      <c r="OYO227" s="1"/>
      <c r="OYP227" s="1"/>
      <c r="OYQ227" s="1"/>
      <c r="OYR227" s="1"/>
      <c r="OYS227" s="1"/>
      <c r="OYT227" s="1"/>
      <c r="OYU227" s="1"/>
      <c r="OYV227" s="1"/>
      <c r="OYW227" s="1"/>
      <c r="OYX227" s="1"/>
      <c r="OYY227" s="1"/>
      <c r="OYZ227" s="1"/>
      <c r="OZA227" s="1"/>
      <c r="OZB227" s="1"/>
      <c r="OZC227" s="1"/>
      <c r="OZD227" s="1"/>
      <c r="OZE227" s="1"/>
      <c r="OZF227" s="1"/>
      <c r="OZG227" s="1"/>
      <c r="OZH227" s="1"/>
      <c r="OZI227" s="1"/>
      <c r="OZJ227" s="1"/>
      <c r="OZK227" s="1"/>
      <c r="OZL227" s="1"/>
      <c r="OZM227" s="1"/>
      <c r="OZN227" s="1"/>
      <c r="OZO227" s="1"/>
      <c r="OZP227" s="1"/>
      <c r="OZQ227" s="1"/>
      <c r="OZR227" s="1"/>
      <c r="OZS227" s="1"/>
      <c r="OZT227" s="1"/>
      <c r="OZU227" s="1"/>
      <c r="OZV227" s="1"/>
      <c r="OZW227" s="1"/>
      <c r="OZX227" s="1"/>
      <c r="OZY227" s="1"/>
      <c r="OZZ227" s="1"/>
      <c r="PAA227" s="1"/>
      <c r="PAB227" s="1"/>
      <c r="PAC227" s="1"/>
      <c r="PAD227" s="1"/>
      <c r="PAE227" s="1"/>
      <c r="PAF227" s="1"/>
      <c r="PAG227" s="1"/>
      <c r="PAH227" s="1"/>
      <c r="PAI227" s="1"/>
      <c r="PAJ227" s="1"/>
      <c r="PAK227" s="1"/>
      <c r="PAL227" s="1"/>
      <c r="PAM227" s="1"/>
      <c r="PAN227" s="1"/>
      <c r="PAO227" s="1"/>
      <c r="PAP227" s="1"/>
      <c r="PAQ227" s="1"/>
      <c r="PAR227" s="1"/>
      <c r="PAS227" s="1"/>
      <c r="PAT227" s="1"/>
      <c r="PAU227" s="1"/>
      <c r="PAV227" s="1"/>
      <c r="PAW227" s="1"/>
      <c r="PAX227" s="1"/>
      <c r="PAY227" s="1"/>
      <c r="PAZ227" s="1"/>
      <c r="PBA227" s="1"/>
      <c r="PBB227" s="1"/>
      <c r="PBC227" s="1"/>
      <c r="PBD227" s="1"/>
      <c r="PBE227" s="1"/>
      <c r="PBF227" s="1"/>
      <c r="PBG227" s="1"/>
      <c r="PBH227" s="1"/>
      <c r="PBI227" s="1"/>
      <c r="PBJ227" s="1"/>
      <c r="PBK227" s="1"/>
      <c r="PBL227" s="1"/>
      <c r="PBM227" s="1"/>
      <c r="PBN227" s="1"/>
      <c r="PBO227" s="1"/>
      <c r="PBP227" s="1"/>
      <c r="PBQ227" s="1"/>
      <c r="PBR227" s="1"/>
      <c r="PBS227" s="1"/>
      <c r="PBT227" s="1"/>
      <c r="PBU227" s="1"/>
      <c r="PBV227" s="1"/>
      <c r="PBW227" s="1"/>
      <c r="PBX227" s="1"/>
      <c r="PBY227" s="1"/>
      <c r="PBZ227" s="1"/>
      <c r="PCA227" s="1"/>
      <c r="PCB227" s="1"/>
      <c r="PCC227" s="1"/>
      <c r="PCD227" s="1"/>
      <c r="PCE227" s="1"/>
      <c r="PCF227" s="1"/>
      <c r="PCG227" s="1"/>
      <c r="PCH227" s="1"/>
      <c r="PCI227" s="1"/>
      <c r="PCJ227" s="1"/>
      <c r="PCK227" s="1"/>
      <c r="PCL227" s="1"/>
      <c r="PCM227" s="1"/>
      <c r="PCN227" s="1"/>
      <c r="PCO227" s="1"/>
      <c r="PCP227" s="1"/>
      <c r="PCQ227" s="1"/>
      <c r="PCR227" s="1"/>
      <c r="PCS227" s="1"/>
      <c r="PCT227" s="1"/>
      <c r="PCU227" s="1"/>
      <c r="PCV227" s="1"/>
      <c r="PCW227" s="1"/>
      <c r="PCX227" s="1"/>
      <c r="PCY227" s="1"/>
      <c r="PCZ227" s="1"/>
      <c r="PDA227" s="1"/>
      <c r="PDB227" s="1"/>
      <c r="PDC227" s="1"/>
      <c r="PDD227" s="1"/>
      <c r="PDE227" s="1"/>
      <c r="PDF227" s="1"/>
      <c r="PDG227" s="1"/>
      <c r="PDH227" s="1"/>
      <c r="PDI227" s="1"/>
      <c r="PDJ227" s="1"/>
      <c r="PDK227" s="1"/>
      <c r="PDL227" s="1"/>
      <c r="PDM227" s="1"/>
      <c r="PDN227" s="1"/>
      <c r="PDO227" s="1"/>
      <c r="PDP227" s="1"/>
      <c r="PDQ227" s="1"/>
      <c r="PDR227" s="1"/>
      <c r="PDS227" s="1"/>
      <c r="PDT227" s="1"/>
      <c r="PDU227" s="1"/>
      <c r="PDV227" s="1"/>
      <c r="PDW227" s="1"/>
      <c r="PDX227" s="1"/>
      <c r="PDY227" s="1"/>
      <c r="PDZ227" s="1"/>
      <c r="PEA227" s="1"/>
      <c r="PEB227" s="1"/>
      <c r="PEC227" s="1"/>
      <c r="PED227" s="1"/>
      <c r="PEE227" s="1"/>
      <c r="PEF227" s="1"/>
      <c r="PEG227" s="1"/>
      <c r="PEH227" s="1"/>
      <c r="PEI227" s="1"/>
      <c r="PEJ227" s="1"/>
      <c r="PEK227" s="1"/>
      <c r="PEL227" s="1"/>
      <c r="PEM227" s="1"/>
      <c r="PEN227" s="1"/>
      <c r="PEO227" s="1"/>
      <c r="PEP227" s="1"/>
      <c r="PEQ227" s="1"/>
      <c r="PER227" s="1"/>
      <c r="PES227" s="1"/>
      <c r="PET227" s="1"/>
      <c r="PEU227" s="1"/>
      <c r="PEV227" s="1"/>
      <c r="PEW227" s="1"/>
      <c r="PEX227" s="1"/>
      <c r="PEY227" s="1"/>
      <c r="PEZ227" s="1"/>
      <c r="PFA227" s="1"/>
      <c r="PFB227" s="1"/>
      <c r="PFC227" s="1"/>
      <c r="PFD227" s="1"/>
      <c r="PFE227" s="1"/>
      <c r="PFF227" s="1"/>
      <c r="PFG227" s="1"/>
      <c r="PFH227" s="1"/>
      <c r="PFI227" s="1"/>
      <c r="PFJ227" s="1"/>
      <c r="PFK227" s="1"/>
      <c r="PFL227" s="1"/>
      <c r="PFM227" s="1"/>
      <c r="PFN227" s="1"/>
      <c r="PFO227" s="1"/>
      <c r="PFP227" s="1"/>
      <c r="PFQ227" s="1"/>
      <c r="PFR227" s="1"/>
      <c r="PFS227" s="1"/>
      <c r="PFT227" s="1"/>
      <c r="PFU227" s="1"/>
      <c r="PFV227" s="1"/>
      <c r="PFW227" s="1"/>
      <c r="PFX227" s="1"/>
      <c r="PFY227" s="1"/>
      <c r="PFZ227" s="1"/>
      <c r="PGA227" s="1"/>
      <c r="PGB227" s="1"/>
      <c r="PGC227" s="1"/>
      <c r="PGD227" s="1"/>
      <c r="PGE227" s="1"/>
      <c r="PGF227" s="1"/>
      <c r="PGG227" s="1"/>
      <c r="PGH227" s="1"/>
      <c r="PGI227" s="1"/>
      <c r="PGJ227" s="1"/>
      <c r="PGK227" s="1"/>
      <c r="PGL227" s="1"/>
      <c r="PGM227" s="1"/>
      <c r="PGN227" s="1"/>
      <c r="PGO227" s="1"/>
      <c r="PGP227" s="1"/>
      <c r="PGQ227" s="1"/>
      <c r="PGR227" s="1"/>
      <c r="PGS227" s="1"/>
      <c r="PGT227" s="1"/>
      <c r="PGU227" s="1"/>
      <c r="PGV227" s="1"/>
      <c r="PGW227" s="1"/>
      <c r="PGX227" s="1"/>
      <c r="PGY227" s="1"/>
      <c r="PGZ227" s="1"/>
      <c r="PHA227" s="1"/>
      <c r="PHB227" s="1"/>
      <c r="PHC227" s="1"/>
      <c r="PHD227" s="1"/>
      <c r="PHE227" s="1"/>
      <c r="PHF227" s="1"/>
      <c r="PHG227" s="1"/>
      <c r="PHH227" s="1"/>
      <c r="PHI227" s="1"/>
      <c r="PHJ227" s="1"/>
      <c r="PHK227" s="1"/>
      <c r="PHL227" s="1"/>
      <c r="PHM227" s="1"/>
      <c r="PHN227" s="1"/>
      <c r="PHO227" s="1"/>
      <c r="PHP227" s="1"/>
      <c r="PHQ227" s="1"/>
      <c r="PHR227" s="1"/>
      <c r="PHS227" s="1"/>
      <c r="PHT227" s="1"/>
      <c r="PHU227" s="1"/>
      <c r="PHV227" s="1"/>
      <c r="PHW227" s="1"/>
      <c r="PHX227" s="1"/>
      <c r="PHY227" s="1"/>
      <c r="PHZ227" s="1"/>
      <c r="PIA227" s="1"/>
      <c r="PIB227" s="1"/>
      <c r="PIC227" s="1"/>
      <c r="PID227" s="1"/>
      <c r="PIE227" s="1"/>
      <c r="PIF227" s="1"/>
      <c r="PIG227" s="1"/>
      <c r="PIH227" s="1"/>
      <c r="PII227" s="1"/>
      <c r="PIJ227" s="1"/>
      <c r="PIK227" s="1"/>
      <c r="PIL227" s="1"/>
      <c r="PIM227" s="1"/>
      <c r="PIN227" s="1"/>
      <c r="PIO227" s="1"/>
      <c r="PIP227" s="1"/>
      <c r="PIQ227" s="1"/>
      <c r="PIR227" s="1"/>
      <c r="PIS227" s="1"/>
      <c r="PIT227" s="1"/>
      <c r="PIU227" s="1"/>
      <c r="PIV227" s="1"/>
      <c r="PIW227" s="1"/>
      <c r="PIX227" s="1"/>
      <c r="PIY227" s="1"/>
      <c r="PIZ227" s="1"/>
      <c r="PJA227" s="1"/>
      <c r="PJB227" s="1"/>
      <c r="PJC227" s="1"/>
      <c r="PJD227" s="1"/>
      <c r="PJE227" s="1"/>
      <c r="PJF227" s="1"/>
      <c r="PJG227" s="1"/>
      <c r="PJH227" s="1"/>
      <c r="PJI227" s="1"/>
      <c r="PJJ227" s="1"/>
      <c r="PJK227" s="1"/>
      <c r="PJL227" s="1"/>
      <c r="PJM227" s="1"/>
      <c r="PJN227" s="1"/>
      <c r="PJO227" s="1"/>
      <c r="PJP227" s="1"/>
      <c r="PJQ227" s="1"/>
      <c r="PJR227" s="1"/>
      <c r="PJS227" s="1"/>
      <c r="PJT227" s="1"/>
      <c r="PJU227" s="1"/>
      <c r="PJV227" s="1"/>
      <c r="PJW227" s="1"/>
      <c r="PJX227" s="1"/>
      <c r="PJY227" s="1"/>
      <c r="PJZ227" s="1"/>
      <c r="PKA227" s="1"/>
      <c r="PKB227" s="1"/>
      <c r="PKC227" s="1"/>
      <c r="PKD227" s="1"/>
      <c r="PKE227" s="1"/>
      <c r="PKF227" s="1"/>
      <c r="PKG227" s="1"/>
      <c r="PKH227" s="1"/>
      <c r="PKI227" s="1"/>
      <c r="PKJ227" s="1"/>
      <c r="PKK227" s="1"/>
      <c r="PKL227" s="1"/>
      <c r="PKM227" s="1"/>
      <c r="PKN227" s="1"/>
      <c r="PKO227" s="1"/>
      <c r="PKP227" s="1"/>
      <c r="PKQ227" s="1"/>
      <c r="PKR227" s="1"/>
      <c r="PKS227" s="1"/>
      <c r="PKT227" s="1"/>
      <c r="PKU227" s="1"/>
      <c r="PKV227" s="1"/>
      <c r="PKW227" s="1"/>
      <c r="PKX227" s="1"/>
      <c r="PKY227" s="1"/>
      <c r="PKZ227" s="1"/>
      <c r="PLA227" s="1"/>
      <c r="PLB227" s="1"/>
      <c r="PLC227" s="1"/>
      <c r="PLD227" s="1"/>
      <c r="PLE227" s="1"/>
      <c r="PLF227" s="1"/>
      <c r="PLG227" s="1"/>
      <c r="PLH227" s="1"/>
      <c r="PLI227" s="1"/>
      <c r="PLJ227" s="1"/>
      <c r="PLK227" s="1"/>
      <c r="PLL227" s="1"/>
      <c r="PLM227" s="1"/>
      <c r="PLN227" s="1"/>
      <c r="PLO227" s="1"/>
      <c r="PLP227" s="1"/>
      <c r="PLQ227" s="1"/>
      <c r="PLR227" s="1"/>
      <c r="PLS227" s="1"/>
      <c r="PLT227" s="1"/>
      <c r="PLU227" s="1"/>
      <c r="PLV227" s="1"/>
      <c r="PLW227" s="1"/>
      <c r="PLX227" s="1"/>
      <c r="PLY227" s="1"/>
      <c r="PLZ227" s="1"/>
      <c r="PMA227" s="1"/>
      <c r="PMB227" s="1"/>
      <c r="PMC227" s="1"/>
      <c r="PMD227" s="1"/>
      <c r="PME227" s="1"/>
      <c r="PMF227" s="1"/>
      <c r="PMG227" s="1"/>
      <c r="PMH227" s="1"/>
      <c r="PMI227" s="1"/>
      <c r="PMJ227" s="1"/>
      <c r="PMK227" s="1"/>
      <c r="PML227" s="1"/>
      <c r="PMM227" s="1"/>
      <c r="PMN227" s="1"/>
      <c r="PMO227" s="1"/>
      <c r="PMP227" s="1"/>
      <c r="PMQ227" s="1"/>
      <c r="PMR227" s="1"/>
      <c r="PMS227" s="1"/>
      <c r="PMT227" s="1"/>
      <c r="PMU227" s="1"/>
      <c r="PMV227" s="1"/>
      <c r="PMW227" s="1"/>
      <c r="PMX227" s="1"/>
      <c r="PMY227" s="1"/>
      <c r="PMZ227" s="1"/>
      <c r="PNA227" s="1"/>
      <c r="PNB227" s="1"/>
      <c r="PNC227" s="1"/>
      <c r="PND227" s="1"/>
      <c r="PNE227" s="1"/>
      <c r="PNF227" s="1"/>
      <c r="PNG227" s="1"/>
      <c r="PNH227" s="1"/>
      <c r="PNI227" s="1"/>
      <c r="PNJ227" s="1"/>
      <c r="PNK227" s="1"/>
      <c r="PNL227" s="1"/>
      <c r="PNM227" s="1"/>
      <c r="PNN227" s="1"/>
      <c r="PNO227" s="1"/>
      <c r="PNP227" s="1"/>
      <c r="PNQ227" s="1"/>
      <c r="PNR227" s="1"/>
      <c r="PNS227" s="1"/>
      <c r="PNT227" s="1"/>
      <c r="PNU227" s="1"/>
      <c r="PNV227" s="1"/>
      <c r="PNW227" s="1"/>
      <c r="PNX227" s="1"/>
      <c r="PNY227" s="1"/>
      <c r="PNZ227" s="1"/>
      <c r="POA227" s="1"/>
      <c r="POB227" s="1"/>
      <c r="POC227" s="1"/>
      <c r="POD227" s="1"/>
      <c r="POE227" s="1"/>
      <c r="POF227" s="1"/>
      <c r="POG227" s="1"/>
      <c r="POH227" s="1"/>
      <c r="POI227" s="1"/>
      <c r="POJ227" s="1"/>
      <c r="POK227" s="1"/>
      <c r="POL227" s="1"/>
      <c r="POM227" s="1"/>
      <c r="PON227" s="1"/>
      <c r="POO227" s="1"/>
      <c r="POP227" s="1"/>
      <c r="POQ227" s="1"/>
      <c r="POR227" s="1"/>
      <c r="POS227" s="1"/>
      <c r="POT227" s="1"/>
      <c r="POU227" s="1"/>
      <c r="POV227" s="1"/>
      <c r="POW227" s="1"/>
      <c r="POX227" s="1"/>
      <c r="POY227" s="1"/>
      <c r="POZ227" s="1"/>
      <c r="PPA227" s="1"/>
      <c r="PPB227" s="1"/>
      <c r="PPC227" s="1"/>
      <c r="PPD227" s="1"/>
      <c r="PPE227" s="1"/>
      <c r="PPF227" s="1"/>
      <c r="PPG227" s="1"/>
      <c r="PPH227" s="1"/>
      <c r="PPI227" s="1"/>
      <c r="PPJ227" s="1"/>
      <c r="PPK227" s="1"/>
      <c r="PPL227" s="1"/>
      <c r="PPM227" s="1"/>
      <c r="PPN227" s="1"/>
      <c r="PPO227" s="1"/>
      <c r="PPP227" s="1"/>
      <c r="PPQ227" s="1"/>
      <c r="PPR227" s="1"/>
      <c r="PPS227" s="1"/>
      <c r="PPT227" s="1"/>
      <c r="PPU227" s="1"/>
      <c r="PPV227" s="1"/>
      <c r="PPW227" s="1"/>
      <c r="PPX227" s="1"/>
      <c r="PPY227" s="1"/>
      <c r="PPZ227" s="1"/>
      <c r="PQA227" s="1"/>
      <c r="PQB227" s="1"/>
      <c r="PQC227" s="1"/>
      <c r="PQD227" s="1"/>
      <c r="PQE227" s="1"/>
      <c r="PQF227" s="1"/>
      <c r="PQG227" s="1"/>
      <c r="PQH227" s="1"/>
      <c r="PQI227" s="1"/>
      <c r="PQJ227" s="1"/>
      <c r="PQK227" s="1"/>
      <c r="PQL227" s="1"/>
      <c r="PQM227" s="1"/>
      <c r="PQN227" s="1"/>
      <c r="PQO227" s="1"/>
      <c r="PQP227" s="1"/>
      <c r="PQQ227" s="1"/>
      <c r="PQR227" s="1"/>
      <c r="PQS227" s="1"/>
      <c r="PQT227" s="1"/>
      <c r="PQU227" s="1"/>
      <c r="PQV227" s="1"/>
      <c r="PQW227" s="1"/>
      <c r="PQX227" s="1"/>
      <c r="PQY227" s="1"/>
      <c r="PQZ227" s="1"/>
      <c r="PRA227" s="1"/>
      <c r="PRB227" s="1"/>
      <c r="PRC227" s="1"/>
      <c r="PRD227" s="1"/>
      <c r="PRE227" s="1"/>
      <c r="PRF227" s="1"/>
      <c r="PRG227" s="1"/>
      <c r="PRH227" s="1"/>
      <c r="PRI227" s="1"/>
      <c r="PRJ227" s="1"/>
      <c r="PRK227" s="1"/>
      <c r="PRL227" s="1"/>
      <c r="PRM227" s="1"/>
      <c r="PRN227" s="1"/>
      <c r="PRO227" s="1"/>
      <c r="PRP227" s="1"/>
      <c r="PRQ227" s="1"/>
      <c r="PRR227" s="1"/>
      <c r="PRS227" s="1"/>
      <c r="PRT227" s="1"/>
      <c r="PRU227" s="1"/>
      <c r="PRV227" s="1"/>
      <c r="PRW227" s="1"/>
      <c r="PRX227" s="1"/>
      <c r="PRY227" s="1"/>
      <c r="PRZ227" s="1"/>
      <c r="PSA227" s="1"/>
      <c r="PSB227" s="1"/>
      <c r="PSC227" s="1"/>
      <c r="PSD227" s="1"/>
      <c r="PSE227" s="1"/>
      <c r="PSF227" s="1"/>
      <c r="PSG227" s="1"/>
      <c r="PSH227" s="1"/>
      <c r="PSI227" s="1"/>
      <c r="PSJ227" s="1"/>
      <c r="PSK227" s="1"/>
      <c r="PSL227" s="1"/>
      <c r="PSM227" s="1"/>
      <c r="PSN227" s="1"/>
      <c r="PSO227" s="1"/>
      <c r="PSP227" s="1"/>
      <c r="PSQ227" s="1"/>
      <c r="PSR227" s="1"/>
      <c r="PSS227" s="1"/>
      <c r="PST227" s="1"/>
      <c r="PSU227" s="1"/>
      <c r="PSV227" s="1"/>
      <c r="PSW227" s="1"/>
      <c r="PSX227" s="1"/>
      <c r="PSY227" s="1"/>
      <c r="PSZ227" s="1"/>
      <c r="PTA227" s="1"/>
      <c r="PTB227" s="1"/>
      <c r="PTC227" s="1"/>
      <c r="PTD227" s="1"/>
      <c r="PTE227" s="1"/>
      <c r="PTF227" s="1"/>
      <c r="PTG227" s="1"/>
      <c r="PTH227" s="1"/>
      <c r="PTI227" s="1"/>
      <c r="PTJ227" s="1"/>
      <c r="PTK227" s="1"/>
      <c r="PTL227" s="1"/>
      <c r="PTM227" s="1"/>
      <c r="PTN227" s="1"/>
      <c r="PTO227" s="1"/>
      <c r="PTP227" s="1"/>
      <c r="PTQ227" s="1"/>
      <c r="PTR227" s="1"/>
      <c r="PTS227" s="1"/>
      <c r="PTT227" s="1"/>
      <c r="PTU227" s="1"/>
      <c r="PTV227" s="1"/>
      <c r="PTW227" s="1"/>
      <c r="PTX227" s="1"/>
      <c r="PTY227" s="1"/>
      <c r="PTZ227" s="1"/>
      <c r="PUA227" s="1"/>
      <c r="PUB227" s="1"/>
      <c r="PUC227" s="1"/>
      <c r="PUD227" s="1"/>
      <c r="PUE227" s="1"/>
      <c r="PUF227" s="1"/>
      <c r="PUG227" s="1"/>
      <c r="PUH227" s="1"/>
      <c r="PUI227" s="1"/>
      <c r="PUJ227" s="1"/>
      <c r="PUK227" s="1"/>
      <c r="PUL227" s="1"/>
      <c r="PUM227" s="1"/>
      <c r="PUN227" s="1"/>
      <c r="PUO227" s="1"/>
      <c r="PUP227" s="1"/>
      <c r="PUQ227" s="1"/>
      <c r="PUR227" s="1"/>
      <c r="PUS227" s="1"/>
      <c r="PUT227" s="1"/>
      <c r="PUU227" s="1"/>
      <c r="PUV227" s="1"/>
      <c r="PUW227" s="1"/>
      <c r="PUX227" s="1"/>
      <c r="PUY227" s="1"/>
      <c r="PUZ227" s="1"/>
      <c r="PVA227" s="1"/>
      <c r="PVB227" s="1"/>
      <c r="PVC227" s="1"/>
      <c r="PVD227" s="1"/>
      <c r="PVE227" s="1"/>
      <c r="PVF227" s="1"/>
      <c r="PVG227" s="1"/>
      <c r="PVH227" s="1"/>
      <c r="PVI227" s="1"/>
      <c r="PVJ227" s="1"/>
      <c r="PVK227" s="1"/>
      <c r="PVL227" s="1"/>
      <c r="PVM227" s="1"/>
      <c r="PVN227" s="1"/>
      <c r="PVO227" s="1"/>
      <c r="PVP227" s="1"/>
      <c r="PVQ227" s="1"/>
      <c r="PVR227" s="1"/>
      <c r="PVS227" s="1"/>
      <c r="PVT227" s="1"/>
      <c r="PVU227" s="1"/>
      <c r="PVV227" s="1"/>
      <c r="PVW227" s="1"/>
      <c r="PVX227" s="1"/>
      <c r="PVY227" s="1"/>
      <c r="PVZ227" s="1"/>
      <c r="PWA227" s="1"/>
      <c r="PWB227" s="1"/>
      <c r="PWC227" s="1"/>
      <c r="PWD227" s="1"/>
      <c r="PWE227" s="1"/>
      <c r="PWF227" s="1"/>
      <c r="PWG227" s="1"/>
      <c r="PWH227" s="1"/>
      <c r="PWI227" s="1"/>
      <c r="PWJ227" s="1"/>
      <c r="PWK227" s="1"/>
      <c r="PWL227" s="1"/>
      <c r="PWM227" s="1"/>
      <c r="PWN227" s="1"/>
      <c r="PWO227" s="1"/>
      <c r="PWP227" s="1"/>
      <c r="PWQ227" s="1"/>
      <c r="PWR227" s="1"/>
      <c r="PWS227" s="1"/>
      <c r="PWT227" s="1"/>
      <c r="PWU227" s="1"/>
      <c r="PWV227" s="1"/>
      <c r="PWW227" s="1"/>
      <c r="PWX227" s="1"/>
      <c r="PWY227" s="1"/>
      <c r="PWZ227" s="1"/>
      <c r="PXA227" s="1"/>
      <c r="PXB227" s="1"/>
      <c r="PXC227" s="1"/>
      <c r="PXD227" s="1"/>
      <c r="PXE227" s="1"/>
      <c r="PXF227" s="1"/>
      <c r="PXG227" s="1"/>
      <c r="PXH227" s="1"/>
      <c r="PXI227" s="1"/>
      <c r="PXJ227" s="1"/>
      <c r="PXK227" s="1"/>
      <c r="PXL227" s="1"/>
      <c r="PXM227" s="1"/>
      <c r="PXN227" s="1"/>
      <c r="PXO227" s="1"/>
      <c r="PXP227" s="1"/>
      <c r="PXQ227" s="1"/>
      <c r="PXR227" s="1"/>
      <c r="PXS227" s="1"/>
      <c r="PXT227" s="1"/>
      <c r="PXU227" s="1"/>
      <c r="PXV227" s="1"/>
      <c r="PXW227" s="1"/>
      <c r="PXX227" s="1"/>
      <c r="PXY227" s="1"/>
      <c r="PXZ227" s="1"/>
      <c r="PYA227" s="1"/>
      <c r="PYB227" s="1"/>
      <c r="PYC227" s="1"/>
      <c r="PYD227" s="1"/>
      <c r="PYE227" s="1"/>
      <c r="PYF227" s="1"/>
      <c r="PYG227" s="1"/>
      <c r="PYH227" s="1"/>
      <c r="PYI227" s="1"/>
      <c r="PYJ227" s="1"/>
      <c r="PYK227" s="1"/>
      <c r="PYL227" s="1"/>
      <c r="PYM227" s="1"/>
      <c r="PYN227" s="1"/>
      <c r="PYO227" s="1"/>
      <c r="PYP227" s="1"/>
      <c r="PYQ227" s="1"/>
      <c r="PYR227" s="1"/>
      <c r="PYS227" s="1"/>
      <c r="PYT227" s="1"/>
      <c r="PYU227" s="1"/>
      <c r="PYV227" s="1"/>
      <c r="PYW227" s="1"/>
      <c r="PYX227" s="1"/>
      <c r="PYY227" s="1"/>
      <c r="PYZ227" s="1"/>
      <c r="PZA227" s="1"/>
      <c r="PZB227" s="1"/>
      <c r="PZC227" s="1"/>
      <c r="PZD227" s="1"/>
      <c r="PZE227" s="1"/>
      <c r="PZF227" s="1"/>
      <c r="PZG227" s="1"/>
      <c r="PZH227" s="1"/>
      <c r="PZI227" s="1"/>
      <c r="PZJ227" s="1"/>
      <c r="PZK227" s="1"/>
      <c r="PZL227" s="1"/>
      <c r="PZM227" s="1"/>
      <c r="PZN227" s="1"/>
      <c r="PZO227" s="1"/>
      <c r="PZP227" s="1"/>
      <c r="PZQ227" s="1"/>
      <c r="PZR227" s="1"/>
      <c r="PZS227" s="1"/>
      <c r="PZT227" s="1"/>
      <c r="PZU227" s="1"/>
      <c r="PZV227" s="1"/>
      <c r="PZW227" s="1"/>
      <c r="PZX227" s="1"/>
      <c r="PZY227" s="1"/>
      <c r="PZZ227" s="1"/>
      <c r="QAA227" s="1"/>
      <c r="QAB227" s="1"/>
      <c r="QAC227" s="1"/>
      <c r="QAD227" s="1"/>
      <c r="QAE227" s="1"/>
      <c r="QAF227" s="1"/>
      <c r="QAG227" s="1"/>
      <c r="QAH227" s="1"/>
      <c r="QAI227" s="1"/>
      <c r="QAJ227" s="1"/>
      <c r="QAK227" s="1"/>
      <c r="QAL227" s="1"/>
      <c r="QAM227" s="1"/>
      <c r="QAN227" s="1"/>
      <c r="QAO227" s="1"/>
      <c r="QAP227" s="1"/>
      <c r="QAQ227" s="1"/>
      <c r="QAR227" s="1"/>
      <c r="QAS227" s="1"/>
      <c r="QAT227" s="1"/>
      <c r="QAU227" s="1"/>
      <c r="QAV227" s="1"/>
      <c r="QAW227" s="1"/>
      <c r="QAX227" s="1"/>
      <c r="QAY227" s="1"/>
      <c r="QAZ227" s="1"/>
      <c r="QBA227" s="1"/>
      <c r="QBB227" s="1"/>
      <c r="QBC227" s="1"/>
      <c r="QBD227" s="1"/>
      <c r="QBE227" s="1"/>
      <c r="QBF227" s="1"/>
      <c r="QBG227" s="1"/>
      <c r="QBH227" s="1"/>
      <c r="QBI227" s="1"/>
      <c r="QBJ227" s="1"/>
      <c r="QBK227" s="1"/>
      <c r="QBL227" s="1"/>
      <c r="QBM227" s="1"/>
      <c r="QBN227" s="1"/>
      <c r="QBO227" s="1"/>
      <c r="QBP227" s="1"/>
      <c r="QBQ227" s="1"/>
      <c r="QBR227" s="1"/>
      <c r="QBS227" s="1"/>
      <c r="QBT227" s="1"/>
      <c r="QBU227" s="1"/>
      <c r="QBV227" s="1"/>
      <c r="QBW227" s="1"/>
      <c r="QBX227" s="1"/>
      <c r="QBY227" s="1"/>
      <c r="QBZ227" s="1"/>
      <c r="QCA227" s="1"/>
      <c r="QCB227" s="1"/>
      <c r="QCC227" s="1"/>
      <c r="QCD227" s="1"/>
      <c r="QCE227" s="1"/>
      <c r="QCF227" s="1"/>
      <c r="QCG227" s="1"/>
      <c r="QCH227" s="1"/>
      <c r="QCI227" s="1"/>
      <c r="QCJ227" s="1"/>
      <c r="QCK227" s="1"/>
      <c r="QCL227" s="1"/>
      <c r="QCM227" s="1"/>
      <c r="QCN227" s="1"/>
      <c r="QCO227" s="1"/>
      <c r="QCP227" s="1"/>
      <c r="QCQ227" s="1"/>
      <c r="QCR227" s="1"/>
      <c r="QCS227" s="1"/>
      <c r="QCT227" s="1"/>
      <c r="QCU227" s="1"/>
      <c r="QCV227" s="1"/>
      <c r="QCW227" s="1"/>
      <c r="QCX227" s="1"/>
      <c r="QCY227" s="1"/>
      <c r="QCZ227" s="1"/>
      <c r="QDA227" s="1"/>
      <c r="QDB227" s="1"/>
      <c r="QDC227" s="1"/>
      <c r="QDD227" s="1"/>
      <c r="QDE227" s="1"/>
      <c r="QDF227" s="1"/>
      <c r="QDG227" s="1"/>
      <c r="QDH227" s="1"/>
      <c r="QDI227" s="1"/>
      <c r="QDJ227" s="1"/>
      <c r="QDK227" s="1"/>
      <c r="QDL227" s="1"/>
      <c r="QDM227" s="1"/>
      <c r="QDN227" s="1"/>
      <c r="QDO227" s="1"/>
      <c r="QDP227" s="1"/>
      <c r="QDQ227" s="1"/>
      <c r="QDR227" s="1"/>
      <c r="QDS227" s="1"/>
      <c r="QDT227" s="1"/>
      <c r="QDU227" s="1"/>
      <c r="QDV227" s="1"/>
      <c r="QDW227" s="1"/>
      <c r="QDX227" s="1"/>
      <c r="QDY227" s="1"/>
      <c r="QDZ227" s="1"/>
      <c r="QEA227" s="1"/>
      <c r="QEB227" s="1"/>
      <c r="QEC227" s="1"/>
      <c r="QED227" s="1"/>
      <c r="QEE227" s="1"/>
      <c r="QEF227" s="1"/>
      <c r="QEG227" s="1"/>
      <c r="QEH227" s="1"/>
      <c r="QEI227" s="1"/>
      <c r="QEJ227" s="1"/>
      <c r="QEK227" s="1"/>
      <c r="QEL227" s="1"/>
      <c r="QEM227" s="1"/>
      <c r="QEN227" s="1"/>
      <c r="QEO227" s="1"/>
      <c r="QEP227" s="1"/>
      <c r="QEQ227" s="1"/>
      <c r="QER227" s="1"/>
      <c r="QES227" s="1"/>
      <c r="QET227" s="1"/>
      <c r="QEU227" s="1"/>
      <c r="QEV227" s="1"/>
      <c r="QEW227" s="1"/>
      <c r="QEX227" s="1"/>
      <c r="QEY227" s="1"/>
      <c r="QEZ227" s="1"/>
      <c r="QFA227" s="1"/>
      <c r="QFB227" s="1"/>
      <c r="QFC227" s="1"/>
      <c r="QFD227" s="1"/>
      <c r="QFE227" s="1"/>
      <c r="QFF227" s="1"/>
      <c r="QFG227" s="1"/>
      <c r="QFH227" s="1"/>
      <c r="QFI227" s="1"/>
      <c r="QFJ227" s="1"/>
      <c r="QFK227" s="1"/>
      <c r="QFL227" s="1"/>
      <c r="QFM227" s="1"/>
      <c r="QFN227" s="1"/>
      <c r="QFO227" s="1"/>
      <c r="QFP227" s="1"/>
      <c r="QFQ227" s="1"/>
      <c r="QFR227" s="1"/>
      <c r="QFS227" s="1"/>
      <c r="QFT227" s="1"/>
      <c r="QFU227" s="1"/>
      <c r="QFV227" s="1"/>
      <c r="QFW227" s="1"/>
      <c r="QFX227" s="1"/>
      <c r="QFY227" s="1"/>
      <c r="QFZ227" s="1"/>
      <c r="QGA227" s="1"/>
      <c r="QGB227" s="1"/>
      <c r="QGC227" s="1"/>
      <c r="QGD227" s="1"/>
      <c r="QGE227" s="1"/>
      <c r="QGF227" s="1"/>
      <c r="QGG227" s="1"/>
      <c r="QGH227" s="1"/>
      <c r="QGI227" s="1"/>
      <c r="QGJ227" s="1"/>
      <c r="QGK227" s="1"/>
      <c r="QGL227" s="1"/>
      <c r="QGM227" s="1"/>
      <c r="QGN227" s="1"/>
      <c r="QGO227" s="1"/>
      <c r="QGP227" s="1"/>
      <c r="QGQ227" s="1"/>
      <c r="QGR227" s="1"/>
      <c r="QGS227" s="1"/>
      <c r="QGT227" s="1"/>
      <c r="QGU227" s="1"/>
      <c r="QGV227" s="1"/>
      <c r="QGW227" s="1"/>
      <c r="QGX227" s="1"/>
      <c r="QGY227" s="1"/>
      <c r="QGZ227" s="1"/>
      <c r="QHA227" s="1"/>
      <c r="QHB227" s="1"/>
      <c r="QHC227" s="1"/>
      <c r="QHD227" s="1"/>
      <c r="QHE227" s="1"/>
      <c r="QHF227" s="1"/>
      <c r="QHG227" s="1"/>
      <c r="QHH227" s="1"/>
      <c r="QHI227" s="1"/>
      <c r="QHJ227" s="1"/>
      <c r="QHK227" s="1"/>
      <c r="QHL227" s="1"/>
      <c r="QHM227" s="1"/>
      <c r="QHN227" s="1"/>
      <c r="QHO227" s="1"/>
      <c r="QHP227" s="1"/>
      <c r="QHQ227" s="1"/>
      <c r="QHR227" s="1"/>
      <c r="QHS227" s="1"/>
      <c r="QHT227" s="1"/>
      <c r="QHU227" s="1"/>
      <c r="QHV227" s="1"/>
      <c r="QHW227" s="1"/>
      <c r="QHX227" s="1"/>
      <c r="QHY227" s="1"/>
      <c r="QHZ227" s="1"/>
      <c r="QIA227" s="1"/>
      <c r="QIB227" s="1"/>
      <c r="QIC227" s="1"/>
      <c r="QID227" s="1"/>
      <c r="QIE227" s="1"/>
      <c r="QIF227" s="1"/>
      <c r="QIG227" s="1"/>
      <c r="QIH227" s="1"/>
      <c r="QII227" s="1"/>
      <c r="QIJ227" s="1"/>
      <c r="QIK227" s="1"/>
      <c r="QIL227" s="1"/>
      <c r="QIM227" s="1"/>
      <c r="QIN227" s="1"/>
      <c r="QIO227" s="1"/>
      <c r="QIP227" s="1"/>
      <c r="QIQ227" s="1"/>
      <c r="QIR227" s="1"/>
      <c r="QIS227" s="1"/>
      <c r="QIT227" s="1"/>
      <c r="QIU227" s="1"/>
      <c r="QIV227" s="1"/>
      <c r="QIW227" s="1"/>
      <c r="QIX227" s="1"/>
      <c r="QIY227" s="1"/>
      <c r="QIZ227" s="1"/>
      <c r="QJA227" s="1"/>
      <c r="QJB227" s="1"/>
      <c r="QJC227" s="1"/>
      <c r="QJD227" s="1"/>
      <c r="QJE227" s="1"/>
      <c r="QJF227" s="1"/>
      <c r="QJG227" s="1"/>
      <c r="QJH227" s="1"/>
      <c r="QJI227" s="1"/>
      <c r="QJJ227" s="1"/>
      <c r="QJK227" s="1"/>
      <c r="QJL227" s="1"/>
      <c r="QJM227" s="1"/>
      <c r="QJN227" s="1"/>
      <c r="QJO227" s="1"/>
      <c r="QJP227" s="1"/>
      <c r="QJQ227" s="1"/>
      <c r="QJR227" s="1"/>
      <c r="QJS227" s="1"/>
      <c r="QJT227" s="1"/>
      <c r="QJU227" s="1"/>
      <c r="QJV227" s="1"/>
      <c r="QJW227" s="1"/>
      <c r="QJX227" s="1"/>
      <c r="QJY227" s="1"/>
      <c r="QJZ227" s="1"/>
      <c r="QKA227" s="1"/>
      <c r="QKB227" s="1"/>
      <c r="QKC227" s="1"/>
      <c r="QKD227" s="1"/>
      <c r="QKE227" s="1"/>
      <c r="QKF227" s="1"/>
      <c r="QKG227" s="1"/>
      <c r="QKH227" s="1"/>
      <c r="QKI227" s="1"/>
      <c r="QKJ227" s="1"/>
      <c r="QKK227" s="1"/>
      <c r="QKL227" s="1"/>
      <c r="QKM227" s="1"/>
      <c r="QKN227" s="1"/>
      <c r="QKO227" s="1"/>
      <c r="QKP227" s="1"/>
      <c r="QKQ227" s="1"/>
      <c r="QKR227" s="1"/>
      <c r="QKS227" s="1"/>
      <c r="QKT227" s="1"/>
      <c r="QKU227" s="1"/>
      <c r="QKV227" s="1"/>
      <c r="QKW227" s="1"/>
      <c r="QKX227" s="1"/>
      <c r="QKY227" s="1"/>
      <c r="QKZ227" s="1"/>
      <c r="QLA227" s="1"/>
      <c r="QLB227" s="1"/>
      <c r="QLC227" s="1"/>
      <c r="QLD227" s="1"/>
      <c r="QLE227" s="1"/>
      <c r="QLF227" s="1"/>
      <c r="QLG227" s="1"/>
      <c r="QLH227" s="1"/>
      <c r="QLI227" s="1"/>
      <c r="QLJ227" s="1"/>
      <c r="QLK227" s="1"/>
      <c r="QLL227" s="1"/>
      <c r="QLM227" s="1"/>
      <c r="QLN227" s="1"/>
      <c r="QLO227" s="1"/>
      <c r="QLP227" s="1"/>
      <c r="QLQ227" s="1"/>
      <c r="QLR227" s="1"/>
      <c r="QLS227" s="1"/>
      <c r="QLT227" s="1"/>
      <c r="QLU227" s="1"/>
      <c r="QLV227" s="1"/>
      <c r="QLW227" s="1"/>
      <c r="QLX227" s="1"/>
      <c r="QLY227" s="1"/>
      <c r="QLZ227" s="1"/>
      <c r="QMA227" s="1"/>
      <c r="QMB227" s="1"/>
      <c r="QMC227" s="1"/>
      <c r="QMD227" s="1"/>
      <c r="QME227" s="1"/>
      <c r="QMF227" s="1"/>
      <c r="QMG227" s="1"/>
      <c r="QMH227" s="1"/>
      <c r="QMI227" s="1"/>
      <c r="QMJ227" s="1"/>
      <c r="QMK227" s="1"/>
      <c r="QML227" s="1"/>
      <c r="QMM227" s="1"/>
      <c r="QMN227" s="1"/>
      <c r="QMO227" s="1"/>
      <c r="QMP227" s="1"/>
      <c r="QMQ227" s="1"/>
      <c r="QMR227" s="1"/>
      <c r="QMS227" s="1"/>
      <c r="QMT227" s="1"/>
      <c r="QMU227" s="1"/>
      <c r="QMV227" s="1"/>
      <c r="QMW227" s="1"/>
      <c r="QMX227" s="1"/>
      <c r="QMY227" s="1"/>
      <c r="QMZ227" s="1"/>
      <c r="QNA227" s="1"/>
      <c r="QNB227" s="1"/>
      <c r="QNC227" s="1"/>
      <c r="QND227" s="1"/>
      <c r="QNE227" s="1"/>
      <c r="QNF227" s="1"/>
      <c r="QNG227" s="1"/>
      <c r="QNH227" s="1"/>
      <c r="QNI227" s="1"/>
      <c r="QNJ227" s="1"/>
      <c r="QNK227" s="1"/>
      <c r="QNL227" s="1"/>
      <c r="QNM227" s="1"/>
      <c r="QNN227" s="1"/>
      <c r="QNO227" s="1"/>
      <c r="QNP227" s="1"/>
      <c r="QNQ227" s="1"/>
      <c r="QNR227" s="1"/>
      <c r="QNS227" s="1"/>
      <c r="QNT227" s="1"/>
      <c r="QNU227" s="1"/>
      <c r="QNV227" s="1"/>
      <c r="QNW227" s="1"/>
      <c r="QNX227" s="1"/>
      <c r="QNY227" s="1"/>
      <c r="QNZ227" s="1"/>
      <c r="QOA227" s="1"/>
      <c r="QOB227" s="1"/>
      <c r="QOC227" s="1"/>
      <c r="QOD227" s="1"/>
      <c r="QOE227" s="1"/>
      <c r="QOF227" s="1"/>
      <c r="QOG227" s="1"/>
      <c r="QOH227" s="1"/>
      <c r="QOI227" s="1"/>
      <c r="QOJ227" s="1"/>
      <c r="QOK227" s="1"/>
      <c r="QOL227" s="1"/>
      <c r="QOM227" s="1"/>
      <c r="QON227" s="1"/>
      <c r="QOO227" s="1"/>
      <c r="QOP227" s="1"/>
      <c r="QOQ227" s="1"/>
      <c r="QOR227" s="1"/>
      <c r="QOS227" s="1"/>
      <c r="QOT227" s="1"/>
      <c r="QOU227" s="1"/>
      <c r="QOV227" s="1"/>
      <c r="QOW227" s="1"/>
      <c r="QOX227" s="1"/>
      <c r="QOY227" s="1"/>
      <c r="QOZ227" s="1"/>
      <c r="QPA227" s="1"/>
      <c r="QPB227" s="1"/>
      <c r="QPC227" s="1"/>
      <c r="QPD227" s="1"/>
      <c r="QPE227" s="1"/>
      <c r="QPF227" s="1"/>
      <c r="QPG227" s="1"/>
      <c r="QPH227" s="1"/>
      <c r="QPI227" s="1"/>
      <c r="QPJ227" s="1"/>
      <c r="QPK227" s="1"/>
      <c r="QPL227" s="1"/>
      <c r="QPM227" s="1"/>
      <c r="QPN227" s="1"/>
      <c r="QPO227" s="1"/>
      <c r="QPP227" s="1"/>
      <c r="QPQ227" s="1"/>
      <c r="QPR227" s="1"/>
      <c r="QPS227" s="1"/>
      <c r="QPT227" s="1"/>
      <c r="QPU227" s="1"/>
      <c r="QPV227" s="1"/>
      <c r="QPW227" s="1"/>
      <c r="QPX227" s="1"/>
      <c r="QPY227" s="1"/>
      <c r="QPZ227" s="1"/>
      <c r="QQA227" s="1"/>
      <c r="QQB227" s="1"/>
      <c r="QQC227" s="1"/>
      <c r="QQD227" s="1"/>
      <c r="QQE227" s="1"/>
      <c r="QQF227" s="1"/>
      <c r="QQG227" s="1"/>
      <c r="QQH227" s="1"/>
      <c r="QQI227" s="1"/>
      <c r="QQJ227" s="1"/>
      <c r="QQK227" s="1"/>
      <c r="QQL227" s="1"/>
      <c r="QQM227" s="1"/>
      <c r="QQN227" s="1"/>
      <c r="QQO227" s="1"/>
      <c r="QQP227" s="1"/>
      <c r="QQQ227" s="1"/>
      <c r="QQR227" s="1"/>
      <c r="QQS227" s="1"/>
      <c r="QQT227" s="1"/>
      <c r="QQU227" s="1"/>
      <c r="QQV227" s="1"/>
      <c r="QQW227" s="1"/>
      <c r="QQX227" s="1"/>
      <c r="QQY227" s="1"/>
      <c r="QQZ227" s="1"/>
      <c r="QRA227" s="1"/>
      <c r="QRB227" s="1"/>
      <c r="QRC227" s="1"/>
      <c r="QRD227" s="1"/>
      <c r="QRE227" s="1"/>
      <c r="QRF227" s="1"/>
      <c r="QRG227" s="1"/>
      <c r="QRH227" s="1"/>
      <c r="QRI227" s="1"/>
      <c r="QRJ227" s="1"/>
      <c r="QRK227" s="1"/>
      <c r="QRL227" s="1"/>
      <c r="QRM227" s="1"/>
      <c r="QRN227" s="1"/>
      <c r="QRO227" s="1"/>
      <c r="QRP227" s="1"/>
      <c r="QRQ227" s="1"/>
      <c r="QRR227" s="1"/>
      <c r="QRS227" s="1"/>
      <c r="QRT227" s="1"/>
      <c r="QRU227" s="1"/>
      <c r="QRV227" s="1"/>
      <c r="QRW227" s="1"/>
      <c r="QRX227" s="1"/>
      <c r="QRY227" s="1"/>
      <c r="QRZ227" s="1"/>
      <c r="QSA227" s="1"/>
      <c r="QSB227" s="1"/>
      <c r="QSC227" s="1"/>
      <c r="QSD227" s="1"/>
      <c r="QSE227" s="1"/>
      <c r="QSF227" s="1"/>
      <c r="QSG227" s="1"/>
      <c r="QSH227" s="1"/>
      <c r="QSI227" s="1"/>
      <c r="QSJ227" s="1"/>
      <c r="QSK227" s="1"/>
      <c r="QSL227" s="1"/>
      <c r="QSM227" s="1"/>
      <c r="QSN227" s="1"/>
      <c r="QSO227" s="1"/>
      <c r="QSP227" s="1"/>
      <c r="QSQ227" s="1"/>
      <c r="QSR227" s="1"/>
      <c r="QSS227" s="1"/>
      <c r="QST227" s="1"/>
      <c r="QSU227" s="1"/>
      <c r="QSV227" s="1"/>
      <c r="QSW227" s="1"/>
      <c r="QSX227" s="1"/>
      <c r="QSY227" s="1"/>
      <c r="QSZ227" s="1"/>
      <c r="QTA227" s="1"/>
      <c r="QTB227" s="1"/>
      <c r="QTC227" s="1"/>
      <c r="QTD227" s="1"/>
      <c r="QTE227" s="1"/>
      <c r="QTF227" s="1"/>
      <c r="QTG227" s="1"/>
      <c r="QTH227" s="1"/>
      <c r="QTI227" s="1"/>
      <c r="QTJ227" s="1"/>
      <c r="QTK227" s="1"/>
      <c r="QTL227" s="1"/>
      <c r="QTM227" s="1"/>
      <c r="QTN227" s="1"/>
      <c r="QTO227" s="1"/>
      <c r="QTP227" s="1"/>
      <c r="QTQ227" s="1"/>
      <c r="QTR227" s="1"/>
      <c r="QTS227" s="1"/>
      <c r="QTT227" s="1"/>
      <c r="QTU227" s="1"/>
      <c r="QTV227" s="1"/>
      <c r="QTW227" s="1"/>
      <c r="QTX227" s="1"/>
      <c r="QTY227" s="1"/>
      <c r="QTZ227" s="1"/>
      <c r="QUA227" s="1"/>
      <c r="QUB227" s="1"/>
      <c r="QUC227" s="1"/>
      <c r="QUD227" s="1"/>
      <c r="QUE227" s="1"/>
      <c r="QUF227" s="1"/>
      <c r="QUG227" s="1"/>
      <c r="QUH227" s="1"/>
      <c r="QUI227" s="1"/>
      <c r="QUJ227" s="1"/>
      <c r="QUK227" s="1"/>
      <c r="QUL227" s="1"/>
      <c r="QUM227" s="1"/>
      <c r="QUN227" s="1"/>
      <c r="QUO227" s="1"/>
      <c r="QUP227" s="1"/>
      <c r="QUQ227" s="1"/>
      <c r="QUR227" s="1"/>
      <c r="QUS227" s="1"/>
      <c r="QUT227" s="1"/>
      <c r="QUU227" s="1"/>
      <c r="QUV227" s="1"/>
      <c r="QUW227" s="1"/>
      <c r="QUX227" s="1"/>
      <c r="QUY227" s="1"/>
      <c r="QUZ227" s="1"/>
      <c r="QVA227" s="1"/>
      <c r="QVB227" s="1"/>
      <c r="QVC227" s="1"/>
      <c r="QVD227" s="1"/>
      <c r="QVE227" s="1"/>
      <c r="QVF227" s="1"/>
      <c r="QVG227" s="1"/>
      <c r="QVH227" s="1"/>
      <c r="QVI227" s="1"/>
      <c r="QVJ227" s="1"/>
      <c r="QVK227" s="1"/>
      <c r="QVL227" s="1"/>
      <c r="QVM227" s="1"/>
      <c r="QVN227" s="1"/>
      <c r="QVO227" s="1"/>
      <c r="QVP227" s="1"/>
      <c r="QVQ227" s="1"/>
      <c r="QVR227" s="1"/>
      <c r="QVS227" s="1"/>
      <c r="QVT227" s="1"/>
      <c r="QVU227" s="1"/>
      <c r="QVV227" s="1"/>
      <c r="QVW227" s="1"/>
      <c r="QVX227" s="1"/>
      <c r="QVY227" s="1"/>
      <c r="QVZ227" s="1"/>
      <c r="QWA227" s="1"/>
      <c r="QWB227" s="1"/>
      <c r="QWC227" s="1"/>
      <c r="QWD227" s="1"/>
      <c r="QWE227" s="1"/>
      <c r="QWF227" s="1"/>
      <c r="QWG227" s="1"/>
      <c r="QWH227" s="1"/>
      <c r="QWI227" s="1"/>
      <c r="QWJ227" s="1"/>
      <c r="QWK227" s="1"/>
      <c r="QWL227" s="1"/>
      <c r="QWM227" s="1"/>
      <c r="QWN227" s="1"/>
      <c r="QWO227" s="1"/>
      <c r="QWP227" s="1"/>
      <c r="QWQ227" s="1"/>
      <c r="QWR227" s="1"/>
      <c r="QWS227" s="1"/>
      <c r="QWT227" s="1"/>
      <c r="QWU227" s="1"/>
      <c r="QWV227" s="1"/>
      <c r="QWW227" s="1"/>
      <c r="QWX227" s="1"/>
      <c r="QWY227" s="1"/>
      <c r="QWZ227" s="1"/>
      <c r="QXA227" s="1"/>
      <c r="QXB227" s="1"/>
      <c r="QXC227" s="1"/>
      <c r="QXD227" s="1"/>
      <c r="QXE227" s="1"/>
      <c r="QXF227" s="1"/>
      <c r="QXG227" s="1"/>
      <c r="QXH227" s="1"/>
      <c r="QXI227" s="1"/>
      <c r="QXJ227" s="1"/>
      <c r="QXK227" s="1"/>
      <c r="QXL227" s="1"/>
      <c r="QXM227" s="1"/>
      <c r="QXN227" s="1"/>
      <c r="QXO227" s="1"/>
      <c r="QXP227" s="1"/>
      <c r="QXQ227" s="1"/>
      <c r="QXR227" s="1"/>
      <c r="QXS227" s="1"/>
      <c r="QXT227" s="1"/>
      <c r="QXU227" s="1"/>
      <c r="QXV227" s="1"/>
      <c r="QXW227" s="1"/>
      <c r="QXX227" s="1"/>
      <c r="QXY227" s="1"/>
      <c r="QXZ227" s="1"/>
      <c r="QYA227" s="1"/>
      <c r="QYB227" s="1"/>
      <c r="QYC227" s="1"/>
      <c r="QYD227" s="1"/>
      <c r="QYE227" s="1"/>
      <c r="QYF227" s="1"/>
      <c r="QYG227" s="1"/>
      <c r="QYH227" s="1"/>
      <c r="QYI227" s="1"/>
      <c r="QYJ227" s="1"/>
      <c r="QYK227" s="1"/>
      <c r="QYL227" s="1"/>
      <c r="QYM227" s="1"/>
      <c r="QYN227" s="1"/>
      <c r="QYO227" s="1"/>
      <c r="QYP227" s="1"/>
      <c r="QYQ227" s="1"/>
      <c r="QYR227" s="1"/>
      <c r="QYS227" s="1"/>
      <c r="QYT227" s="1"/>
      <c r="QYU227" s="1"/>
      <c r="QYV227" s="1"/>
      <c r="QYW227" s="1"/>
      <c r="QYX227" s="1"/>
      <c r="QYY227" s="1"/>
      <c r="QYZ227" s="1"/>
      <c r="QZA227" s="1"/>
      <c r="QZB227" s="1"/>
      <c r="QZC227" s="1"/>
      <c r="QZD227" s="1"/>
      <c r="QZE227" s="1"/>
      <c r="QZF227" s="1"/>
      <c r="QZG227" s="1"/>
      <c r="QZH227" s="1"/>
      <c r="QZI227" s="1"/>
      <c r="QZJ227" s="1"/>
      <c r="QZK227" s="1"/>
      <c r="QZL227" s="1"/>
      <c r="QZM227" s="1"/>
      <c r="QZN227" s="1"/>
      <c r="QZO227" s="1"/>
      <c r="QZP227" s="1"/>
      <c r="QZQ227" s="1"/>
      <c r="QZR227" s="1"/>
      <c r="QZS227" s="1"/>
      <c r="QZT227" s="1"/>
      <c r="QZU227" s="1"/>
      <c r="QZV227" s="1"/>
      <c r="QZW227" s="1"/>
      <c r="QZX227" s="1"/>
      <c r="QZY227" s="1"/>
      <c r="QZZ227" s="1"/>
      <c r="RAA227" s="1"/>
      <c r="RAB227" s="1"/>
      <c r="RAC227" s="1"/>
      <c r="RAD227" s="1"/>
      <c r="RAE227" s="1"/>
      <c r="RAF227" s="1"/>
      <c r="RAG227" s="1"/>
      <c r="RAH227" s="1"/>
      <c r="RAI227" s="1"/>
      <c r="RAJ227" s="1"/>
      <c r="RAK227" s="1"/>
      <c r="RAL227" s="1"/>
      <c r="RAM227" s="1"/>
      <c r="RAN227" s="1"/>
      <c r="RAO227" s="1"/>
      <c r="RAP227" s="1"/>
      <c r="RAQ227" s="1"/>
      <c r="RAR227" s="1"/>
      <c r="RAS227" s="1"/>
      <c r="RAT227" s="1"/>
      <c r="RAU227" s="1"/>
      <c r="RAV227" s="1"/>
      <c r="RAW227" s="1"/>
      <c r="RAX227" s="1"/>
      <c r="RAY227" s="1"/>
      <c r="RAZ227" s="1"/>
      <c r="RBA227" s="1"/>
      <c r="RBB227" s="1"/>
      <c r="RBC227" s="1"/>
      <c r="RBD227" s="1"/>
      <c r="RBE227" s="1"/>
      <c r="RBF227" s="1"/>
      <c r="RBG227" s="1"/>
      <c r="RBH227" s="1"/>
      <c r="RBI227" s="1"/>
      <c r="RBJ227" s="1"/>
      <c r="RBK227" s="1"/>
      <c r="RBL227" s="1"/>
      <c r="RBM227" s="1"/>
      <c r="RBN227" s="1"/>
      <c r="RBO227" s="1"/>
      <c r="RBP227" s="1"/>
      <c r="RBQ227" s="1"/>
      <c r="RBR227" s="1"/>
      <c r="RBS227" s="1"/>
      <c r="RBT227" s="1"/>
      <c r="RBU227" s="1"/>
      <c r="RBV227" s="1"/>
      <c r="RBW227" s="1"/>
      <c r="RBX227" s="1"/>
      <c r="RBY227" s="1"/>
      <c r="RBZ227" s="1"/>
      <c r="RCA227" s="1"/>
      <c r="RCB227" s="1"/>
      <c r="RCC227" s="1"/>
      <c r="RCD227" s="1"/>
      <c r="RCE227" s="1"/>
      <c r="RCF227" s="1"/>
      <c r="RCG227" s="1"/>
      <c r="RCH227" s="1"/>
      <c r="RCI227" s="1"/>
      <c r="RCJ227" s="1"/>
      <c r="RCK227" s="1"/>
      <c r="RCL227" s="1"/>
      <c r="RCM227" s="1"/>
      <c r="RCN227" s="1"/>
      <c r="RCO227" s="1"/>
      <c r="RCP227" s="1"/>
      <c r="RCQ227" s="1"/>
      <c r="RCR227" s="1"/>
      <c r="RCS227" s="1"/>
      <c r="RCT227" s="1"/>
      <c r="RCU227" s="1"/>
      <c r="RCV227" s="1"/>
      <c r="RCW227" s="1"/>
      <c r="RCX227" s="1"/>
      <c r="RCY227" s="1"/>
      <c r="RCZ227" s="1"/>
      <c r="RDA227" s="1"/>
      <c r="RDB227" s="1"/>
      <c r="RDC227" s="1"/>
      <c r="RDD227" s="1"/>
      <c r="RDE227" s="1"/>
      <c r="RDF227" s="1"/>
      <c r="RDG227" s="1"/>
      <c r="RDH227" s="1"/>
      <c r="RDI227" s="1"/>
      <c r="RDJ227" s="1"/>
      <c r="RDK227" s="1"/>
      <c r="RDL227" s="1"/>
      <c r="RDM227" s="1"/>
      <c r="RDN227" s="1"/>
      <c r="RDO227" s="1"/>
      <c r="RDP227" s="1"/>
      <c r="RDQ227" s="1"/>
      <c r="RDR227" s="1"/>
      <c r="RDS227" s="1"/>
      <c r="RDT227" s="1"/>
      <c r="RDU227" s="1"/>
      <c r="RDV227" s="1"/>
      <c r="RDW227" s="1"/>
      <c r="RDX227" s="1"/>
      <c r="RDY227" s="1"/>
      <c r="RDZ227" s="1"/>
      <c r="REA227" s="1"/>
      <c r="REB227" s="1"/>
      <c r="REC227" s="1"/>
      <c r="RED227" s="1"/>
      <c r="REE227" s="1"/>
      <c r="REF227" s="1"/>
      <c r="REG227" s="1"/>
      <c r="REH227" s="1"/>
      <c r="REI227" s="1"/>
      <c r="REJ227" s="1"/>
      <c r="REK227" s="1"/>
      <c r="REL227" s="1"/>
      <c r="REM227" s="1"/>
      <c r="REN227" s="1"/>
      <c r="REO227" s="1"/>
      <c r="REP227" s="1"/>
      <c r="REQ227" s="1"/>
      <c r="RER227" s="1"/>
      <c r="RES227" s="1"/>
      <c r="RET227" s="1"/>
      <c r="REU227" s="1"/>
      <c r="REV227" s="1"/>
      <c r="REW227" s="1"/>
      <c r="REX227" s="1"/>
      <c r="REY227" s="1"/>
      <c r="REZ227" s="1"/>
      <c r="RFA227" s="1"/>
      <c r="RFB227" s="1"/>
      <c r="RFC227" s="1"/>
      <c r="RFD227" s="1"/>
      <c r="RFE227" s="1"/>
      <c r="RFF227" s="1"/>
      <c r="RFG227" s="1"/>
      <c r="RFH227" s="1"/>
      <c r="RFI227" s="1"/>
      <c r="RFJ227" s="1"/>
      <c r="RFK227" s="1"/>
      <c r="RFL227" s="1"/>
      <c r="RFM227" s="1"/>
      <c r="RFN227" s="1"/>
      <c r="RFO227" s="1"/>
      <c r="RFP227" s="1"/>
      <c r="RFQ227" s="1"/>
      <c r="RFR227" s="1"/>
      <c r="RFS227" s="1"/>
      <c r="RFT227" s="1"/>
      <c r="RFU227" s="1"/>
      <c r="RFV227" s="1"/>
      <c r="RFW227" s="1"/>
      <c r="RFX227" s="1"/>
      <c r="RFY227" s="1"/>
      <c r="RFZ227" s="1"/>
      <c r="RGA227" s="1"/>
      <c r="RGB227" s="1"/>
      <c r="RGC227" s="1"/>
      <c r="RGD227" s="1"/>
      <c r="RGE227" s="1"/>
      <c r="RGF227" s="1"/>
      <c r="RGG227" s="1"/>
      <c r="RGH227" s="1"/>
      <c r="RGI227" s="1"/>
      <c r="RGJ227" s="1"/>
      <c r="RGK227" s="1"/>
      <c r="RGL227" s="1"/>
      <c r="RGM227" s="1"/>
      <c r="RGN227" s="1"/>
      <c r="RGO227" s="1"/>
      <c r="RGP227" s="1"/>
      <c r="RGQ227" s="1"/>
      <c r="RGR227" s="1"/>
      <c r="RGS227" s="1"/>
      <c r="RGT227" s="1"/>
      <c r="RGU227" s="1"/>
      <c r="RGV227" s="1"/>
      <c r="RGW227" s="1"/>
      <c r="RGX227" s="1"/>
      <c r="RGY227" s="1"/>
      <c r="RGZ227" s="1"/>
      <c r="RHA227" s="1"/>
      <c r="RHB227" s="1"/>
      <c r="RHC227" s="1"/>
      <c r="RHD227" s="1"/>
      <c r="RHE227" s="1"/>
      <c r="RHF227" s="1"/>
      <c r="RHG227" s="1"/>
      <c r="RHH227" s="1"/>
      <c r="RHI227" s="1"/>
      <c r="RHJ227" s="1"/>
      <c r="RHK227" s="1"/>
      <c r="RHL227" s="1"/>
      <c r="RHM227" s="1"/>
      <c r="RHN227" s="1"/>
      <c r="RHO227" s="1"/>
      <c r="RHP227" s="1"/>
      <c r="RHQ227" s="1"/>
      <c r="RHR227" s="1"/>
      <c r="RHS227" s="1"/>
      <c r="RHT227" s="1"/>
      <c r="RHU227" s="1"/>
      <c r="RHV227" s="1"/>
      <c r="RHW227" s="1"/>
      <c r="RHX227" s="1"/>
      <c r="RHY227" s="1"/>
      <c r="RHZ227" s="1"/>
      <c r="RIA227" s="1"/>
      <c r="RIB227" s="1"/>
      <c r="RIC227" s="1"/>
      <c r="RID227" s="1"/>
      <c r="RIE227" s="1"/>
      <c r="RIF227" s="1"/>
      <c r="RIG227" s="1"/>
      <c r="RIH227" s="1"/>
      <c r="RII227" s="1"/>
      <c r="RIJ227" s="1"/>
      <c r="RIK227" s="1"/>
      <c r="RIL227" s="1"/>
      <c r="RIM227" s="1"/>
      <c r="RIN227" s="1"/>
      <c r="RIO227" s="1"/>
      <c r="RIP227" s="1"/>
      <c r="RIQ227" s="1"/>
      <c r="RIR227" s="1"/>
      <c r="RIS227" s="1"/>
      <c r="RIT227" s="1"/>
      <c r="RIU227" s="1"/>
      <c r="RIV227" s="1"/>
      <c r="RIW227" s="1"/>
      <c r="RIX227" s="1"/>
      <c r="RIY227" s="1"/>
      <c r="RIZ227" s="1"/>
      <c r="RJA227" s="1"/>
      <c r="RJB227" s="1"/>
      <c r="RJC227" s="1"/>
      <c r="RJD227" s="1"/>
      <c r="RJE227" s="1"/>
      <c r="RJF227" s="1"/>
      <c r="RJG227" s="1"/>
      <c r="RJH227" s="1"/>
      <c r="RJI227" s="1"/>
      <c r="RJJ227" s="1"/>
      <c r="RJK227" s="1"/>
      <c r="RJL227" s="1"/>
      <c r="RJM227" s="1"/>
      <c r="RJN227" s="1"/>
      <c r="RJO227" s="1"/>
      <c r="RJP227" s="1"/>
      <c r="RJQ227" s="1"/>
      <c r="RJR227" s="1"/>
      <c r="RJS227" s="1"/>
      <c r="RJT227" s="1"/>
      <c r="RJU227" s="1"/>
      <c r="RJV227" s="1"/>
      <c r="RJW227" s="1"/>
      <c r="RJX227" s="1"/>
      <c r="RJY227" s="1"/>
      <c r="RJZ227" s="1"/>
      <c r="RKA227" s="1"/>
      <c r="RKB227" s="1"/>
      <c r="RKC227" s="1"/>
      <c r="RKD227" s="1"/>
      <c r="RKE227" s="1"/>
      <c r="RKF227" s="1"/>
      <c r="RKG227" s="1"/>
      <c r="RKH227" s="1"/>
      <c r="RKI227" s="1"/>
      <c r="RKJ227" s="1"/>
      <c r="RKK227" s="1"/>
      <c r="RKL227" s="1"/>
      <c r="RKM227" s="1"/>
      <c r="RKN227" s="1"/>
      <c r="RKO227" s="1"/>
      <c r="RKP227" s="1"/>
      <c r="RKQ227" s="1"/>
      <c r="RKR227" s="1"/>
      <c r="RKS227" s="1"/>
      <c r="RKT227" s="1"/>
      <c r="RKU227" s="1"/>
      <c r="RKV227" s="1"/>
      <c r="RKW227" s="1"/>
      <c r="RKX227" s="1"/>
      <c r="RKY227" s="1"/>
      <c r="RKZ227" s="1"/>
      <c r="RLA227" s="1"/>
      <c r="RLB227" s="1"/>
      <c r="RLC227" s="1"/>
      <c r="RLD227" s="1"/>
      <c r="RLE227" s="1"/>
      <c r="RLF227" s="1"/>
      <c r="RLG227" s="1"/>
      <c r="RLH227" s="1"/>
      <c r="RLI227" s="1"/>
      <c r="RLJ227" s="1"/>
      <c r="RLK227" s="1"/>
      <c r="RLL227" s="1"/>
      <c r="RLM227" s="1"/>
      <c r="RLN227" s="1"/>
      <c r="RLO227" s="1"/>
      <c r="RLP227" s="1"/>
      <c r="RLQ227" s="1"/>
      <c r="RLR227" s="1"/>
      <c r="RLS227" s="1"/>
      <c r="RLT227" s="1"/>
      <c r="RLU227" s="1"/>
      <c r="RLV227" s="1"/>
      <c r="RLW227" s="1"/>
      <c r="RLX227" s="1"/>
      <c r="RLY227" s="1"/>
      <c r="RLZ227" s="1"/>
      <c r="RMA227" s="1"/>
      <c r="RMB227" s="1"/>
      <c r="RMC227" s="1"/>
      <c r="RMD227" s="1"/>
      <c r="RME227" s="1"/>
      <c r="RMF227" s="1"/>
      <c r="RMG227" s="1"/>
      <c r="RMH227" s="1"/>
      <c r="RMI227" s="1"/>
      <c r="RMJ227" s="1"/>
      <c r="RMK227" s="1"/>
      <c r="RML227" s="1"/>
      <c r="RMM227" s="1"/>
      <c r="RMN227" s="1"/>
      <c r="RMO227" s="1"/>
      <c r="RMP227" s="1"/>
      <c r="RMQ227" s="1"/>
      <c r="RMR227" s="1"/>
      <c r="RMS227" s="1"/>
      <c r="RMT227" s="1"/>
      <c r="RMU227" s="1"/>
      <c r="RMV227" s="1"/>
      <c r="RMW227" s="1"/>
      <c r="RMX227" s="1"/>
      <c r="RMY227" s="1"/>
      <c r="RMZ227" s="1"/>
      <c r="RNA227" s="1"/>
      <c r="RNB227" s="1"/>
      <c r="RNC227" s="1"/>
      <c r="RND227" s="1"/>
      <c r="RNE227" s="1"/>
      <c r="RNF227" s="1"/>
      <c r="RNG227" s="1"/>
      <c r="RNH227" s="1"/>
      <c r="RNI227" s="1"/>
      <c r="RNJ227" s="1"/>
      <c r="RNK227" s="1"/>
      <c r="RNL227" s="1"/>
      <c r="RNM227" s="1"/>
      <c r="RNN227" s="1"/>
      <c r="RNO227" s="1"/>
      <c r="RNP227" s="1"/>
      <c r="RNQ227" s="1"/>
      <c r="RNR227" s="1"/>
      <c r="RNS227" s="1"/>
      <c r="RNT227" s="1"/>
      <c r="RNU227" s="1"/>
      <c r="RNV227" s="1"/>
      <c r="RNW227" s="1"/>
      <c r="RNX227" s="1"/>
      <c r="RNY227" s="1"/>
      <c r="RNZ227" s="1"/>
      <c r="ROA227" s="1"/>
      <c r="ROB227" s="1"/>
      <c r="ROC227" s="1"/>
      <c r="ROD227" s="1"/>
      <c r="ROE227" s="1"/>
      <c r="ROF227" s="1"/>
      <c r="ROG227" s="1"/>
      <c r="ROH227" s="1"/>
      <c r="ROI227" s="1"/>
      <c r="ROJ227" s="1"/>
      <c r="ROK227" s="1"/>
      <c r="ROL227" s="1"/>
      <c r="ROM227" s="1"/>
      <c r="RON227" s="1"/>
      <c r="ROO227" s="1"/>
      <c r="ROP227" s="1"/>
      <c r="ROQ227" s="1"/>
      <c r="ROR227" s="1"/>
      <c r="ROS227" s="1"/>
      <c r="ROT227" s="1"/>
      <c r="ROU227" s="1"/>
      <c r="ROV227" s="1"/>
      <c r="ROW227" s="1"/>
      <c r="ROX227" s="1"/>
      <c r="ROY227" s="1"/>
      <c r="ROZ227" s="1"/>
      <c r="RPA227" s="1"/>
      <c r="RPB227" s="1"/>
      <c r="RPC227" s="1"/>
      <c r="RPD227" s="1"/>
      <c r="RPE227" s="1"/>
      <c r="RPF227" s="1"/>
      <c r="RPG227" s="1"/>
      <c r="RPH227" s="1"/>
      <c r="RPI227" s="1"/>
      <c r="RPJ227" s="1"/>
      <c r="RPK227" s="1"/>
      <c r="RPL227" s="1"/>
      <c r="RPM227" s="1"/>
      <c r="RPN227" s="1"/>
      <c r="RPO227" s="1"/>
      <c r="RPP227" s="1"/>
      <c r="RPQ227" s="1"/>
      <c r="RPR227" s="1"/>
      <c r="RPS227" s="1"/>
      <c r="RPT227" s="1"/>
      <c r="RPU227" s="1"/>
      <c r="RPV227" s="1"/>
      <c r="RPW227" s="1"/>
      <c r="RPX227" s="1"/>
      <c r="RPY227" s="1"/>
      <c r="RPZ227" s="1"/>
      <c r="RQA227" s="1"/>
      <c r="RQB227" s="1"/>
      <c r="RQC227" s="1"/>
      <c r="RQD227" s="1"/>
      <c r="RQE227" s="1"/>
      <c r="RQF227" s="1"/>
      <c r="RQG227" s="1"/>
      <c r="RQH227" s="1"/>
      <c r="RQI227" s="1"/>
      <c r="RQJ227" s="1"/>
      <c r="RQK227" s="1"/>
      <c r="RQL227" s="1"/>
      <c r="RQM227" s="1"/>
      <c r="RQN227" s="1"/>
      <c r="RQO227" s="1"/>
      <c r="RQP227" s="1"/>
      <c r="RQQ227" s="1"/>
      <c r="RQR227" s="1"/>
      <c r="RQS227" s="1"/>
      <c r="RQT227" s="1"/>
      <c r="RQU227" s="1"/>
      <c r="RQV227" s="1"/>
      <c r="RQW227" s="1"/>
      <c r="RQX227" s="1"/>
      <c r="RQY227" s="1"/>
      <c r="RQZ227" s="1"/>
      <c r="RRA227" s="1"/>
      <c r="RRB227" s="1"/>
      <c r="RRC227" s="1"/>
      <c r="RRD227" s="1"/>
      <c r="RRE227" s="1"/>
      <c r="RRF227" s="1"/>
      <c r="RRG227" s="1"/>
      <c r="RRH227" s="1"/>
      <c r="RRI227" s="1"/>
      <c r="RRJ227" s="1"/>
      <c r="RRK227" s="1"/>
      <c r="RRL227" s="1"/>
      <c r="RRM227" s="1"/>
      <c r="RRN227" s="1"/>
      <c r="RRO227" s="1"/>
      <c r="RRP227" s="1"/>
      <c r="RRQ227" s="1"/>
      <c r="RRR227" s="1"/>
      <c r="RRS227" s="1"/>
      <c r="RRT227" s="1"/>
      <c r="RRU227" s="1"/>
      <c r="RRV227" s="1"/>
      <c r="RRW227" s="1"/>
      <c r="RRX227" s="1"/>
      <c r="RRY227" s="1"/>
      <c r="RRZ227" s="1"/>
      <c r="RSA227" s="1"/>
      <c r="RSB227" s="1"/>
      <c r="RSC227" s="1"/>
      <c r="RSD227" s="1"/>
      <c r="RSE227" s="1"/>
      <c r="RSF227" s="1"/>
      <c r="RSG227" s="1"/>
      <c r="RSH227" s="1"/>
      <c r="RSI227" s="1"/>
      <c r="RSJ227" s="1"/>
      <c r="RSK227" s="1"/>
      <c r="RSL227" s="1"/>
      <c r="RSM227" s="1"/>
      <c r="RSN227" s="1"/>
      <c r="RSO227" s="1"/>
      <c r="RSP227" s="1"/>
      <c r="RSQ227" s="1"/>
      <c r="RSR227" s="1"/>
      <c r="RSS227" s="1"/>
      <c r="RST227" s="1"/>
      <c r="RSU227" s="1"/>
      <c r="RSV227" s="1"/>
      <c r="RSW227" s="1"/>
      <c r="RSX227" s="1"/>
      <c r="RSY227" s="1"/>
      <c r="RSZ227" s="1"/>
      <c r="RTA227" s="1"/>
      <c r="RTB227" s="1"/>
      <c r="RTC227" s="1"/>
      <c r="RTD227" s="1"/>
      <c r="RTE227" s="1"/>
      <c r="RTF227" s="1"/>
      <c r="RTG227" s="1"/>
      <c r="RTH227" s="1"/>
      <c r="RTI227" s="1"/>
      <c r="RTJ227" s="1"/>
      <c r="RTK227" s="1"/>
      <c r="RTL227" s="1"/>
      <c r="RTM227" s="1"/>
      <c r="RTN227" s="1"/>
      <c r="RTO227" s="1"/>
      <c r="RTP227" s="1"/>
      <c r="RTQ227" s="1"/>
      <c r="RTR227" s="1"/>
      <c r="RTS227" s="1"/>
      <c r="RTT227" s="1"/>
      <c r="RTU227" s="1"/>
      <c r="RTV227" s="1"/>
      <c r="RTW227" s="1"/>
      <c r="RTX227" s="1"/>
      <c r="RTY227" s="1"/>
      <c r="RTZ227" s="1"/>
      <c r="RUA227" s="1"/>
      <c r="RUB227" s="1"/>
      <c r="RUC227" s="1"/>
      <c r="RUD227" s="1"/>
      <c r="RUE227" s="1"/>
      <c r="RUF227" s="1"/>
      <c r="RUG227" s="1"/>
      <c r="RUH227" s="1"/>
      <c r="RUI227" s="1"/>
      <c r="RUJ227" s="1"/>
      <c r="RUK227" s="1"/>
      <c r="RUL227" s="1"/>
      <c r="RUM227" s="1"/>
      <c r="RUN227" s="1"/>
      <c r="RUO227" s="1"/>
      <c r="RUP227" s="1"/>
      <c r="RUQ227" s="1"/>
      <c r="RUR227" s="1"/>
      <c r="RUS227" s="1"/>
      <c r="RUT227" s="1"/>
      <c r="RUU227" s="1"/>
      <c r="RUV227" s="1"/>
      <c r="RUW227" s="1"/>
      <c r="RUX227" s="1"/>
      <c r="RUY227" s="1"/>
      <c r="RUZ227" s="1"/>
      <c r="RVA227" s="1"/>
      <c r="RVB227" s="1"/>
      <c r="RVC227" s="1"/>
      <c r="RVD227" s="1"/>
      <c r="RVE227" s="1"/>
      <c r="RVF227" s="1"/>
      <c r="RVG227" s="1"/>
      <c r="RVH227" s="1"/>
      <c r="RVI227" s="1"/>
      <c r="RVJ227" s="1"/>
      <c r="RVK227" s="1"/>
      <c r="RVL227" s="1"/>
      <c r="RVM227" s="1"/>
      <c r="RVN227" s="1"/>
      <c r="RVO227" s="1"/>
      <c r="RVP227" s="1"/>
      <c r="RVQ227" s="1"/>
      <c r="RVR227" s="1"/>
      <c r="RVS227" s="1"/>
      <c r="RVT227" s="1"/>
      <c r="RVU227" s="1"/>
      <c r="RVV227" s="1"/>
      <c r="RVW227" s="1"/>
      <c r="RVX227" s="1"/>
      <c r="RVY227" s="1"/>
      <c r="RVZ227" s="1"/>
      <c r="RWA227" s="1"/>
      <c r="RWB227" s="1"/>
      <c r="RWC227" s="1"/>
      <c r="RWD227" s="1"/>
      <c r="RWE227" s="1"/>
      <c r="RWF227" s="1"/>
      <c r="RWG227" s="1"/>
      <c r="RWH227" s="1"/>
      <c r="RWI227" s="1"/>
      <c r="RWJ227" s="1"/>
      <c r="RWK227" s="1"/>
      <c r="RWL227" s="1"/>
      <c r="RWM227" s="1"/>
      <c r="RWN227" s="1"/>
      <c r="RWO227" s="1"/>
      <c r="RWP227" s="1"/>
      <c r="RWQ227" s="1"/>
      <c r="RWR227" s="1"/>
      <c r="RWS227" s="1"/>
      <c r="RWT227" s="1"/>
      <c r="RWU227" s="1"/>
      <c r="RWV227" s="1"/>
      <c r="RWW227" s="1"/>
      <c r="RWX227" s="1"/>
      <c r="RWY227" s="1"/>
      <c r="RWZ227" s="1"/>
      <c r="RXA227" s="1"/>
      <c r="RXB227" s="1"/>
      <c r="RXC227" s="1"/>
      <c r="RXD227" s="1"/>
      <c r="RXE227" s="1"/>
      <c r="RXF227" s="1"/>
      <c r="RXG227" s="1"/>
      <c r="RXH227" s="1"/>
      <c r="RXI227" s="1"/>
      <c r="RXJ227" s="1"/>
      <c r="RXK227" s="1"/>
      <c r="RXL227" s="1"/>
      <c r="RXM227" s="1"/>
      <c r="RXN227" s="1"/>
      <c r="RXO227" s="1"/>
      <c r="RXP227" s="1"/>
      <c r="RXQ227" s="1"/>
      <c r="RXR227" s="1"/>
      <c r="RXS227" s="1"/>
      <c r="RXT227" s="1"/>
      <c r="RXU227" s="1"/>
      <c r="RXV227" s="1"/>
      <c r="RXW227" s="1"/>
      <c r="RXX227" s="1"/>
      <c r="RXY227" s="1"/>
      <c r="RXZ227" s="1"/>
      <c r="RYA227" s="1"/>
      <c r="RYB227" s="1"/>
      <c r="RYC227" s="1"/>
      <c r="RYD227" s="1"/>
      <c r="RYE227" s="1"/>
      <c r="RYF227" s="1"/>
      <c r="RYG227" s="1"/>
      <c r="RYH227" s="1"/>
      <c r="RYI227" s="1"/>
      <c r="RYJ227" s="1"/>
      <c r="RYK227" s="1"/>
      <c r="RYL227" s="1"/>
      <c r="RYM227" s="1"/>
      <c r="RYN227" s="1"/>
      <c r="RYO227" s="1"/>
      <c r="RYP227" s="1"/>
      <c r="RYQ227" s="1"/>
      <c r="RYR227" s="1"/>
      <c r="RYS227" s="1"/>
      <c r="RYT227" s="1"/>
      <c r="RYU227" s="1"/>
      <c r="RYV227" s="1"/>
      <c r="RYW227" s="1"/>
      <c r="RYX227" s="1"/>
      <c r="RYY227" s="1"/>
      <c r="RYZ227" s="1"/>
      <c r="RZA227" s="1"/>
      <c r="RZB227" s="1"/>
      <c r="RZC227" s="1"/>
      <c r="RZD227" s="1"/>
      <c r="RZE227" s="1"/>
      <c r="RZF227" s="1"/>
      <c r="RZG227" s="1"/>
      <c r="RZH227" s="1"/>
      <c r="RZI227" s="1"/>
      <c r="RZJ227" s="1"/>
      <c r="RZK227" s="1"/>
      <c r="RZL227" s="1"/>
      <c r="RZM227" s="1"/>
      <c r="RZN227" s="1"/>
      <c r="RZO227" s="1"/>
      <c r="RZP227" s="1"/>
      <c r="RZQ227" s="1"/>
      <c r="RZR227" s="1"/>
      <c r="RZS227" s="1"/>
      <c r="RZT227" s="1"/>
      <c r="RZU227" s="1"/>
      <c r="RZV227" s="1"/>
      <c r="RZW227" s="1"/>
      <c r="RZX227" s="1"/>
      <c r="RZY227" s="1"/>
      <c r="RZZ227" s="1"/>
      <c r="SAA227" s="1"/>
      <c r="SAB227" s="1"/>
      <c r="SAC227" s="1"/>
      <c r="SAD227" s="1"/>
      <c r="SAE227" s="1"/>
      <c r="SAF227" s="1"/>
      <c r="SAG227" s="1"/>
      <c r="SAH227" s="1"/>
      <c r="SAI227" s="1"/>
      <c r="SAJ227" s="1"/>
      <c r="SAK227" s="1"/>
      <c r="SAL227" s="1"/>
      <c r="SAM227" s="1"/>
      <c r="SAN227" s="1"/>
      <c r="SAO227" s="1"/>
      <c r="SAP227" s="1"/>
      <c r="SAQ227" s="1"/>
      <c r="SAR227" s="1"/>
      <c r="SAS227" s="1"/>
      <c r="SAT227" s="1"/>
      <c r="SAU227" s="1"/>
      <c r="SAV227" s="1"/>
      <c r="SAW227" s="1"/>
      <c r="SAX227" s="1"/>
      <c r="SAY227" s="1"/>
      <c r="SAZ227" s="1"/>
      <c r="SBA227" s="1"/>
      <c r="SBB227" s="1"/>
      <c r="SBC227" s="1"/>
      <c r="SBD227" s="1"/>
      <c r="SBE227" s="1"/>
      <c r="SBF227" s="1"/>
      <c r="SBG227" s="1"/>
      <c r="SBH227" s="1"/>
      <c r="SBI227" s="1"/>
      <c r="SBJ227" s="1"/>
      <c r="SBK227" s="1"/>
      <c r="SBL227" s="1"/>
      <c r="SBM227" s="1"/>
      <c r="SBN227" s="1"/>
      <c r="SBO227" s="1"/>
      <c r="SBP227" s="1"/>
      <c r="SBQ227" s="1"/>
      <c r="SBR227" s="1"/>
      <c r="SBS227" s="1"/>
      <c r="SBT227" s="1"/>
      <c r="SBU227" s="1"/>
      <c r="SBV227" s="1"/>
      <c r="SBW227" s="1"/>
      <c r="SBX227" s="1"/>
      <c r="SBY227" s="1"/>
      <c r="SBZ227" s="1"/>
      <c r="SCA227" s="1"/>
      <c r="SCB227" s="1"/>
      <c r="SCC227" s="1"/>
      <c r="SCD227" s="1"/>
      <c r="SCE227" s="1"/>
      <c r="SCF227" s="1"/>
      <c r="SCG227" s="1"/>
      <c r="SCH227" s="1"/>
      <c r="SCI227" s="1"/>
      <c r="SCJ227" s="1"/>
      <c r="SCK227" s="1"/>
      <c r="SCL227" s="1"/>
      <c r="SCM227" s="1"/>
      <c r="SCN227" s="1"/>
      <c r="SCO227" s="1"/>
      <c r="SCP227" s="1"/>
      <c r="SCQ227" s="1"/>
      <c r="SCR227" s="1"/>
      <c r="SCS227" s="1"/>
      <c r="SCT227" s="1"/>
      <c r="SCU227" s="1"/>
      <c r="SCV227" s="1"/>
      <c r="SCW227" s="1"/>
      <c r="SCX227" s="1"/>
      <c r="SCY227" s="1"/>
      <c r="SCZ227" s="1"/>
      <c r="SDA227" s="1"/>
      <c r="SDB227" s="1"/>
      <c r="SDC227" s="1"/>
      <c r="SDD227" s="1"/>
      <c r="SDE227" s="1"/>
      <c r="SDF227" s="1"/>
      <c r="SDG227" s="1"/>
      <c r="SDH227" s="1"/>
      <c r="SDI227" s="1"/>
      <c r="SDJ227" s="1"/>
      <c r="SDK227" s="1"/>
      <c r="SDL227" s="1"/>
      <c r="SDM227" s="1"/>
      <c r="SDN227" s="1"/>
      <c r="SDO227" s="1"/>
      <c r="SDP227" s="1"/>
      <c r="SDQ227" s="1"/>
      <c r="SDR227" s="1"/>
      <c r="SDS227" s="1"/>
      <c r="SDT227" s="1"/>
      <c r="SDU227" s="1"/>
      <c r="SDV227" s="1"/>
      <c r="SDW227" s="1"/>
      <c r="SDX227" s="1"/>
      <c r="SDY227" s="1"/>
      <c r="SDZ227" s="1"/>
      <c r="SEA227" s="1"/>
      <c r="SEB227" s="1"/>
      <c r="SEC227" s="1"/>
      <c r="SED227" s="1"/>
      <c r="SEE227" s="1"/>
      <c r="SEF227" s="1"/>
      <c r="SEG227" s="1"/>
      <c r="SEH227" s="1"/>
      <c r="SEI227" s="1"/>
      <c r="SEJ227" s="1"/>
      <c r="SEK227" s="1"/>
      <c r="SEL227" s="1"/>
      <c r="SEM227" s="1"/>
      <c r="SEN227" s="1"/>
      <c r="SEO227" s="1"/>
      <c r="SEP227" s="1"/>
      <c r="SEQ227" s="1"/>
      <c r="SER227" s="1"/>
      <c r="SES227" s="1"/>
      <c r="SET227" s="1"/>
      <c r="SEU227" s="1"/>
      <c r="SEV227" s="1"/>
      <c r="SEW227" s="1"/>
      <c r="SEX227" s="1"/>
      <c r="SEY227" s="1"/>
      <c r="SEZ227" s="1"/>
      <c r="SFA227" s="1"/>
      <c r="SFB227" s="1"/>
      <c r="SFC227" s="1"/>
      <c r="SFD227" s="1"/>
      <c r="SFE227" s="1"/>
      <c r="SFF227" s="1"/>
      <c r="SFG227" s="1"/>
      <c r="SFH227" s="1"/>
      <c r="SFI227" s="1"/>
      <c r="SFJ227" s="1"/>
      <c r="SFK227" s="1"/>
      <c r="SFL227" s="1"/>
      <c r="SFM227" s="1"/>
      <c r="SFN227" s="1"/>
      <c r="SFO227" s="1"/>
      <c r="SFP227" s="1"/>
      <c r="SFQ227" s="1"/>
      <c r="SFR227" s="1"/>
      <c r="SFS227" s="1"/>
      <c r="SFT227" s="1"/>
      <c r="SFU227" s="1"/>
      <c r="SFV227" s="1"/>
      <c r="SFW227" s="1"/>
      <c r="SFX227" s="1"/>
      <c r="SFY227" s="1"/>
      <c r="SFZ227" s="1"/>
      <c r="SGA227" s="1"/>
      <c r="SGB227" s="1"/>
      <c r="SGC227" s="1"/>
      <c r="SGD227" s="1"/>
      <c r="SGE227" s="1"/>
      <c r="SGF227" s="1"/>
      <c r="SGG227" s="1"/>
      <c r="SGH227" s="1"/>
      <c r="SGI227" s="1"/>
      <c r="SGJ227" s="1"/>
      <c r="SGK227" s="1"/>
      <c r="SGL227" s="1"/>
      <c r="SGM227" s="1"/>
      <c r="SGN227" s="1"/>
      <c r="SGO227" s="1"/>
      <c r="SGP227" s="1"/>
      <c r="SGQ227" s="1"/>
      <c r="SGR227" s="1"/>
      <c r="SGS227" s="1"/>
      <c r="SGT227" s="1"/>
      <c r="SGU227" s="1"/>
      <c r="SGV227" s="1"/>
      <c r="SGW227" s="1"/>
      <c r="SGX227" s="1"/>
      <c r="SGY227" s="1"/>
      <c r="SGZ227" s="1"/>
      <c r="SHA227" s="1"/>
      <c r="SHB227" s="1"/>
      <c r="SHC227" s="1"/>
      <c r="SHD227" s="1"/>
      <c r="SHE227" s="1"/>
      <c r="SHF227" s="1"/>
      <c r="SHG227" s="1"/>
      <c r="SHH227" s="1"/>
      <c r="SHI227" s="1"/>
      <c r="SHJ227" s="1"/>
      <c r="SHK227" s="1"/>
      <c r="SHL227" s="1"/>
      <c r="SHM227" s="1"/>
      <c r="SHN227" s="1"/>
      <c r="SHO227" s="1"/>
      <c r="SHP227" s="1"/>
      <c r="SHQ227" s="1"/>
      <c r="SHR227" s="1"/>
      <c r="SHS227" s="1"/>
      <c r="SHT227" s="1"/>
      <c r="SHU227" s="1"/>
      <c r="SHV227" s="1"/>
      <c r="SHW227" s="1"/>
      <c r="SHX227" s="1"/>
      <c r="SHY227" s="1"/>
      <c r="SHZ227" s="1"/>
      <c r="SIA227" s="1"/>
      <c r="SIB227" s="1"/>
      <c r="SIC227" s="1"/>
      <c r="SID227" s="1"/>
      <c r="SIE227" s="1"/>
      <c r="SIF227" s="1"/>
      <c r="SIG227" s="1"/>
      <c r="SIH227" s="1"/>
      <c r="SII227" s="1"/>
      <c r="SIJ227" s="1"/>
      <c r="SIK227" s="1"/>
      <c r="SIL227" s="1"/>
      <c r="SIM227" s="1"/>
      <c r="SIN227" s="1"/>
      <c r="SIO227" s="1"/>
      <c r="SIP227" s="1"/>
      <c r="SIQ227" s="1"/>
      <c r="SIR227" s="1"/>
      <c r="SIS227" s="1"/>
      <c r="SIT227" s="1"/>
      <c r="SIU227" s="1"/>
      <c r="SIV227" s="1"/>
      <c r="SIW227" s="1"/>
      <c r="SIX227" s="1"/>
      <c r="SIY227" s="1"/>
      <c r="SIZ227" s="1"/>
      <c r="SJA227" s="1"/>
      <c r="SJB227" s="1"/>
      <c r="SJC227" s="1"/>
      <c r="SJD227" s="1"/>
      <c r="SJE227" s="1"/>
      <c r="SJF227" s="1"/>
      <c r="SJG227" s="1"/>
      <c r="SJH227" s="1"/>
      <c r="SJI227" s="1"/>
      <c r="SJJ227" s="1"/>
      <c r="SJK227" s="1"/>
      <c r="SJL227" s="1"/>
      <c r="SJM227" s="1"/>
      <c r="SJN227" s="1"/>
      <c r="SJO227" s="1"/>
      <c r="SJP227" s="1"/>
      <c r="SJQ227" s="1"/>
      <c r="SJR227" s="1"/>
      <c r="SJS227" s="1"/>
      <c r="SJT227" s="1"/>
      <c r="SJU227" s="1"/>
      <c r="SJV227" s="1"/>
      <c r="SJW227" s="1"/>
      <c r="SJX227" s="1"/>
      <c r="SJY227" s="1"/>
      <c r="SJZ227" s="1"/>
      <c r="SKA227" s="1"/>
      <c r="SKB227" s="1"/>
      <c r="SKC227" s="1"/>
      <c r="SKD227" s="1"/>
      <c r="SKE227" s="1"/>
      <c r="SKF227" s="1"/>
      <c r="SKG227" s="1"/>
      <c r="SKH227" s="1"/>
      <c r="SKI227" s="1"/>
      <c r="SKJ227" s="1"/>
      <c r="SKK227" s="1"/>
      <c r="SKL227" s="1"/>
      <c r="SKM227" s="1"/>
      <c r="SKN227" s="1"/>
      <c r="SKO227" s="1"/>
      <c r="SKP227" s="1"/>
      <c r="SKQ227" s="1"/>
      <c r="SKR227" s="1"/>
      <c r="SKS227" s="1"/>
      <c r="SKT227" s="1"/>
      <c r="SKU227" s="1"/>
      <c r="SKV227" s="1"/>
      <c r="SKW227" s="1"/>
      <c r="SKX227" s="1"/>
      <c r="SKY227" s="1"/>
      <c r="SKZ227" s="1"/>
      <c r="SLA227" s="1"/>
      <c r="SLB227" s="1"/>
      <c r="SLC227" s="1"/>
      <c r="SLD227" s="1"/>
      <c r="SLE227" s="1"/>
      <c r="SLF227" s="1"/>
      <c r="SLG227" s="1"/>
      <c r="SLH227" s="1"/>
      <c r="SLI227" s="1"/>
      <c r="SLJ227" s="1"/>
      <c r="SLK227" s="1"/>
      <c r="SLL227" s="1"/>
      <c r="SLM227" s="1"/>
      <c r="SLN227" s="1"/>
      <c r="SLO227" s="1"/>
      <c r="SLP227" s="1"/>
      <c r="SLQ227" s="1"/>
      <c r="SLR227" s="1"/>
      <c r="SLS227" s="1"/>
      <c r="SLT227" s="1"/>
      <c r="SLU227" s="1"/>
      <c r="SLV227" s="1"/>
      <c r="SLW227" s="1"/>
      <c r="SLX227" s="1"/>
      <c r="SLY227" s="1"/>
      <c r="SLZ227" s="1"/>
      <c r="SMA227" s="1"/>
      <c r="SMB227" s="1"/>
      <c r="SMC227" s="1"/>
      <c r="SMD227" s="1"/>
      <c r="SME227" s="1"/>
      <c r="SMF227" s="1"/>
      <c r="SMG227" s="1"/>
      <c r="SMH227" s="1"/>
      <c r="SMI227" s="1"/>
      <c r="SMJ227" s="1"/>
      <c r="SMK227" s="1"/>
      <c r="SML227" s="1"/>
      <c r="SMM227" s="1"/>
      <c r="SMN227" s="1"/>
      <c r="SMO227" s="1"/>
      <c r="SMP227" s="1"/>
      <c r="SMQ227" s="1"/>
      <c r="SMR227" s="1"/>
      <c r="SMS227" s="1"/>
      <c r="SMT227" s="1"/>
      <c r="SMU227" s="1"/>
      <c r="SMV227" s="1"/>
      <c r="SMW227" s="1"/>
      <c r="SMX227" s="1"/>
      <c r="SMY227" s="1"/>
      <c r="SMZ227" s="1"/>
      <c r="SNA227" s="1"/>
      <c r="SNB227" s="1"/>
      <c r="SNC227" s="1"/>
      <c r="SND227" s="1"/>
      <c r="SNE227" s="1"/>
      <c r="SNF227" s="1"/>
      <c r="SNG227" s="1"/>
      <c r="SNH227" s="1"/>
      <c r="SNI227" s="1"/>
      <c r="SNJ227" s="1"/>
      <c r="SNK227" s="1"/>
      <c r="SNL227" s="1"/>
      <c r="SNM227" s="1"/>
      <c r="SNN227" s="1"/>
      <c r="SNO227" s="1"/>
      <c r="SNP227" s="1"/>
      <c r="SNQ227" s="1"/>
      <c r="SNR227" s="1"/>
      <c r="SNS227" s="1"/>
      <c r="SNT227" s="1"/>
      <c r="SNU227" s="1"/>
      <c r="SNV227" s="1"/>
      <c r="SNW227" s="1"/>
      <c r="SNX227" s="1"/>
      <c r="SNY227" s="1"/>
      <c r="SNZ227" s="1"/>
      <c r="SOA227" s="1"/>
      <c r="SOB227" s="1"/>
      <c r="SOC227" s="1"/>
      <c r="SOD227" s="1"/>
      <c r="SOE227" s="1"/>
      <c r="SOF227" s="1"/>
      <c r="SOG227" s="1"/>
      <c r="SOH227" s="1"/>
      <c r="SOI227" s="1"/>
      <c r="SOJ227" s="1"/>
      <c r="SOK227" s="1"/>
      <c r="SOL227" s="1"/>
      <c r="SOM227" s="1"/>
      <c r="SON227" s="1"/>
      <c r="SOO227" s="1"/>
      <c r="SOP227" s="1"/>
      <c r="SOQ227" s="1"/>
      <c r="SOR227" s="1"/>
      <c r="SOS227" s="1"/>
      <c r="SOT227" s="1"/>
      <c r="SOU227" s="1"/>
      <c r="SOV227" s="1"/>
      <c r="SOW227" s="1"/>
      <c r="SOX227" s="1"/>
      <c r="SOY227" s="1"/>
      <c r="SOZ227" s="1"/>
      <c r="SPA227" s="1"/>
      <c r="SPB227" s="1"/>
      <c r="SPC227" s="1"/>
      <c r="SPD227" s="1"/>
      <c r="SPE227" s="1"/>
      <c r="SPF227" s="1"/>
      <c r="SPG227" s="1"/>
      <c r="SPH227" s="1"/>
      <c r="SPI227" s="1"/>
      <c r="SPJ227" s="1"/>
      <c r="SPK227" s="1"/>
      <c r="SPL227" s="1"/>
      <c r="SPM227" s="1"/>
      <c r="SPN227" s="1"/>
      <c r="SPO227" s="1"/>
      <c r="SPP227" s="1"/>
      <c r="SPQ227" s="1"/>
      <c r="SPR227" s="1"/>
      <c r="SPS227" s="1"/>
      <c r="SPT227" s="1"/>
      <c r="SPU227" s="1"/>
      <c r="SPV227" s="1"/>
      <c r="SPW227" s="1"/>
      <c r="SPX227" s="1"/>
      <c r="SPY227" s="1"/>
      <c r="SPZ227" s="1"/>
      <c r="SQA227" s="1"/>
      <c r="SQB227" s="1"/>
      <c r="SQC227" s="1"/>
      <c r="SQD227" s="1"/>
      <c r="SQE227" s="1"/>
      <c r="SQF227" s="1"/>
      <c r="SQG227" s="1"/>
      <c r="SQH227" s="1"/>
      <c r="SQI227" s="1"/>
      <c r="SQJ227" s="1"/>
      <c r="SQK227" s="1"/>
      <c r="SQL227" s="1"/>
      <c r="SQM227" s="1"/>
      <c r="SQN227" s="1"/>
      <c r="SQO227" s="1"/>
      <c r="SQP227" s="1"/>
      <c r="SQQ227" s="1"/>
      <c r="SQR227" s="1"/>
      <c r="SQS227" s="1"/>
      <c r="SQT227" s="1"/>
      <c r="SQU227" s="1"/>
      <c r="SQV227" s="1"/>
      <c r="SQW227" s="1"/>
      <c r="SQX227" s="1"/>
      <c r="SQY227" s="1"/>
      <c r="SQZ227" s="1"/>
      <c r="SRA227" s="1"/>
      <c r="SRB227" s="1"/>
      <c r="SRC227" s="1"/>
      <c r="SRD227" s="1"/>
      <c r="SRE227" s="1"/>
      <c r="SRF227" s="1"/>
      <c r="SRG227" s="1"/>
      <c r="SRH227" s="1"/>
      <c r="SRI227" s="1"/>
      <c r="SRJ227" s="1"/>
      <c r="SRK227" s="1"/>
      <c r="SRL227" s="1"/>
      <c r="SRM227" s="1"/>
      <c r="SRN227" s="1"/>
      <c r="SRO227" s="1"/>
      <c r="SRP227" s="1"/>
      <c r="SRQ227" s="1"/>
      <c r="SRR227" s="1"/>
      <c r="SRS227" s="1"/>
      <c r="SRT227" s="1"/>
      <c r="SRU227" s="1"/>
      <c r="SRV227" s="1"/>
      <c r="SRW227" s="1"/>
      <c r="SRX227" s="1"/>
      <c r="SRY227" s="1"/>
      <c r="SRZ227" s="1"/>
      <c r="SSA227" s="1"/>
      <c r="SSB227" s="1"/>
      <c r="SSC227" s="1"/>
      <c r="SSD227" s="1"/>
      <c r="SSE227" s="1"/>
      <c r="SSF227" s="1"/>
      <c r="SSG227" s="1"/>
      <c r="SSH227" s="1"/>
      <c r="SSI227" s="1"/>
      <c r="SSJ227" s="1"/>
      <c r="SSK227" s="1"/>
      <c r="SSL227" s="1"/>
      <c r="SSM227" s="1"/>
      <c r="SSN227" s="1"/>
      <c r="SSO227" s="1"/>
      <c r="SSP227" s="1"/>
      <c r="SSQ227" s="1"/>
      <c r="SSR227" s="1"/>
      <c r="SSS227" s="1"/>
      <c r="SST227" s="1"/>
      <c r="SSU227" s="1"/>
      <c r="SSV227" s="1"/>
      <c r="SSW227" s="1"/>
      <c r="SSX227" s="1"/>
      <c r="SSY227" s="1"/>
      <c r="SSZ227" s="1"/>
      <c r="STA227" s="1"/>
      <c r="STB227" s="1"/>
      <c r="STC227" s="1"/>
      <c r="STD227" s="1"/>
      <c r="STE227" s="1"/>
      <c r="STF227" s="1"/>
      <c r="STG227" s="1"/>
      <c r="STH227" s="1"/>
      <c r="STI227" s="1"/>
      <c r="STJ227" s="1"/>
      <c r="STK227" s="1"/>
      <c r="STL227" s="1"/>
      <c r="STM227" s="1"/>
      <c r="STN227" s="1"/>
      <c r="STO227" s="1"/>
      <c r="STP227" s="1"/>
      <c r="STQ227" s="1"/>
      <c r="STR227" s="1"/>
      <c r="STS227" s="1"/>
      <c r="STT227" s="1"/>
      <c r="STU227" s="1"/>
      <c r="STV227" s="1"/>
      <c r="STW227" s="1"/>
      <c r="STX227" s="1"/>
      <c r="STY227" s="1"/>
      <c r="STZ227" s="1"/>
      <c r="SUA227" s="1"/>
      <c r="SUB227" s="1"/>
      <c r="SUC227" s="1"/>
      <c r="SUD227" s="1"/>
      <c r="SUE227" s="1"/>
      <c r="SUF227" s="1"/>
      <c r="SUG227" s="1"/>
      <c r="SUH227" s="1"/>
      <c r="SUI227" s="1"/>
      <c r="SUJ227" s="1"/>
      <c r="SUK227" s="1"/>
      <c r="SUL227" s="1"/>
      <c r="SUM227" s="1"/>
      <c r="SUN227" s="1"/>
      <c r="SUO227" s="1"/>
      <c r="SUP227" s="1"/>
      <c r="SUQ227" s="1"/>
      <c r="SUR227" s="1"/>
      <c r="SUS227" s="1"/>
      <c r="SUT227" s="1"/>
      <c r="SUU227" s="1"/>
      <c r="SUV227" s="1"/>
      <c r="SUW227" s="1"/>
      <c r="SUX227" s="1"/>
      <c r="SUY227" s="1"/>
      <c r="SUZ227" s="1"/>
      <c r="SVA227" s="1"/>
      <c r="SVB227" s="1"/>
      <c r="SVC227" s="1"/>
      <c r="SVD227" s="1"/>
      <c r="SVE227" s="1"/>
      <c r="SVF227" s="1"/>
      <c r="SVG227" s="1"/>
      <c r="SVH227" s="1"/>
      <c r="SVI227" s="1"/>
      <c r="SVJ227" s="1"/>
      <c r="SVK227" s="1"/>
      <c r="SVL227" s="1"/>
      <c r="SVM227" s="1"/>
      <c r="SVN227" s="1"/>
      <c r="SVO227" s="1"/>
      <c r="SVP227" s="1"/>
      <c r="SVQ227" s="1"/>
      <c r="SVR227" s="1"/>
      <c r="SVS227" s="1"/>
      <c r="SVT227" s="1"/>
      <c r="SVU227" s="1"/>
      <c r="SVV227" s="1"/>
      <c r="SVW227" s="1"/>
      <c r="SVX227" s="1"/>
      <c r="SVY227" s="1"/>
      <c r="SVZ227" s="1"/>
      <c r="SWA227" s="1"/>
      <c r="SWB227" s="1"/>
      <c r="SWC227" s="1"/>
      <c r="SWD227" s="1"/>
      <c r="SWE227" s="1"/>
      <c r="SWF227" s="1"/>
      <c r="SWG227" s="1"/>
      <c r="SWH227" s="1"/>
      <c r="SWI227" s="1"/>
      <c r="SWJ227" s="1"/>
      <c r="SWK227" s="1"/>
      <c r="SWL227" s="1"/>
      <c r="SWM227" s="1"/>
      <c r="SWN227" s="1"/>
      <c r="SWO227" s="1"/>
      <c r="SWP227" s="1"/>
      <c r="SWQ227" s="1"/>
      <c r="SWR227" s="1"/>
      <c r="SWS227" s="1"/>
      <c r="SWT227" s="1"/>
      <c r="SWU227" s="1"/>
      <c r="SWV227" s="1"/>
      <c r="SWW227" s="1"/>
      <c r="SWX227" s="1"/>
      <c r="SWY227" s="1"/>
      <c r="SWZ227" s="1"/>
      <c r="SXA227" s="1"/>
      <c r="SXB227" s="1"/>
      <c r="SXC227" s="1"/>
      <c r="SXD227" s="1"/>
      <c r="SXE227" s="1"/>
      <c r="SXF227" s="1"/>
      <c r="SXG227" s="1"/>
      <c r="SXH227" s="1"/>
      <c r="SXI227" s="1"/>
      <c r="SXJ227" s="1"/>
      <c r="SXK227" s="1"/>
      <c r="SXL227" s="1"/>
      <c r="SXM227" s="1"/>
      <c r="SXN227" s="1"/>
      <c r="SXO227" s="1"/>
      <c r="SXP227" s="1"/>
      <c r="SXQ227" s="1"/>
      <c r="SXR227" s="1"/>
      <c r="SXS227" s="1"/>
      <c r="SXT227" s="1"/>
      <c r="SXU227" s="1"/>
      <c r="SXV227" s="1"/>
      <c r="SXW227" s="1"/>
      <c r="SXX227" s="1"/>
      <c r="SXY227" s="1"/>
      <c r="SXZ227" s="1"/>
      <c r="SYA227" s="1"/>
      <c r="SYB227" s="1"/>
      <c r="SYC227" s="1"/>
      <c r="SYD227" s="1"/>
      <c r="SYE227" s="1"/>
      <c r="SYF227" s="1"/>
      <c r="SYG227" s="1"/>
      <c r="SYH227" s="1"/>
      <c r="SYI227" s="1"/>
      <c r="SYJ227" s="1"/>
      <c r="SYK227" s="1"/>
      <c r="SYL227" s="1"/>
      <c r="SYM227" s="1"/>
      <c r="SYN227" s="1"/>
      <c r="SYO227" s="1"/>
      <c r="SYP227" s="1"/>
      <c r="SYQ227" s="1"/>
      <c r="SYR227" s="1"/>
      <c r="SYS227" s="1"/>
      <c r="SYT227" s="1"/>
      <c r="SYU227" s="1"/>
      <c r="SYV227" s="1"/>
      <c r="SYW227" s="1"/>
      <c r="SYX227" s="1"/>
      <c r="SYY227" s="1"/>
      <c r="SYZ227" s="1"/>
      <c r="SZA227" s="1"/>
      <c r="SZB227" s="1"/>
      <c r="SZC227" s="1"/>
      <c r="SZD227" s="1"/>
      <c r="SZE227" s="1"/>
      <c r="SZF227" s="1"/>
      <c r="SZG227" s="1"/>
      <c r="SZH227" s="1"/>
      <c r="SZI227" s="1"/>
      <c r="SZJ227" s="1"/>
      <c r="SZK227" s="1"/>
      <c r="SZL227" s="1"/>
      <c r="SZM227" s="1"/>
      <c r="SZN227" s="1"/>
      <c r="SZO227" s="1"/>
      <c r="SZP227" s="1"/>
      <c r="SZQ227" s="1"/>
      <c r="SZR227" s="1"/>
      <c r="SZS227" s="1"/>
      <c r="SZT227" s="1"/>
      <c r="SZU227" s="1"/>
      <c r="SZV227" s="1"/>
      <c r="SZW227" s="1"/>
      <c r="SZX227" s="1"/>
      <c r="SZY227" s="1"/>
      <c r="SZZ227" s="1"/>
      <c r="TAA227" s="1"/>
      <c r="TAB227" s="1"/>
      <c r="TAC227" s="1"/>
      <c r="TAD227" s="1"/>
      <c r="TAE227" s="1"/>
      <c r="TAF227" s="1"/>
      <c r="TAG227" s="1"/>
      <c r="TAH227" s="1"/>
      <c r="TAI227" s="1"/>
      <c r="TAJ227" s="1"/>
      <c r="TAK227" s="1"/>
      <c r="TAL227" s="1"/>
      <c r="TAM227" s="1"/>
      <c r="TAN227" s="1"/>
      <c r="TAO227" s="1"/>
      <c r="TAP227" s="1"/>
      <c r="TAQ227" s="1"/>
      <c r="TAR227" s="1"/>
      <c r="TAS227" s="1"/>
      <c r="TAT227" s="1"/>
      <c r="TAU227" s="1"/>
      <c r="TAV227" s="1"/>
      <c r="TAW227" s="1"/>
      <c r="TAX227" s="1"/>
      <c r="TAY227" s="1"/>
      <c r="TAZ227" s="1"/>
      <c r="TBA227" s="1"/>
      <c r="TBB227" s="1"/>
      <c r="TBC227" s="1"/>
      <c r="TBD227" s="1"/>
      <c r="TBE227" s="1"/>
      <c r="TBF227" s="1"/>
      <c r="TBG227" s="1"/>
      <c r="TBH227" s="1"/>
      <c r="TBI227" s="1"/>
      <c r="TBJ227" s="1"/>
      <c r="TBK227" s="1"/>
      <c r="TBL227" s="1"/>
      <c r="TBM227" s="1"/>
      <c r="TBN227" s="1"/>
      <c r="TBO227" s="1"/>
      <c r="TBP227" s="1"/>
      <c r="TBQ227" s="1"/>
      <c r="TBR227" s="1"/>
      <c r="TBS227" s="1"/>
      <c r="TBT227" s="1"/>
      <c r="TBU227" s="1"/>
      <c r="TBV227" s="1"/>
      <c r="TBW227" s="1"/>
      <c r="TBX227" s="1"/>
      <c r="TBY227" s="1"/>
      <c r="TBZ227" s="1"/>
      <c r="TCA227" s="1"/>
      <c r="TCB227" s="1"/>
      <c r="TCC227" s="1"/>
      <c r="TCD227" s="1"/>
      <c r="TCE227" s="1"/>
      <c r="TCF227" s="1"/>
      <c r="TCG227" s="1"/>
      <c r="TCH227" s="1"/>
      <c r="TCI227" s="1"/>
      <c r="TCJ227" s="1"/>
      <c r="TCK227" s="1"/>
      <c r="TCL227" s="1"/>
      <c r="TCM227" s="1"/>
      <c r="TCN227" s="1"/>
      <c r="TCO227" s="1"/>
      <c r="TCP227" s="1"/>
      <c r="TCQ227" s="1"/>
      <c r="TCR227" s="1"/>
      <c r="TCS227" s="1"/>
      <c r="TCT227" s="1"/>
      <c r="TCU227" s="1"/>
      <c r="TCV227" s="1"/>
      <c r="TCW227" s="1"/>
      <c r="TCX227" s="1"/>
      <c r="TCY227" s="1"/>
      <c r="TCZ227" s="1"/>
      <c r="TDA227" s="1"/>
      <c r="TDB227" s="1"/>
      <c r="TDC227" s="1"/>
      <c r="TDD227" s="1"/>
      <c r="TDE227" s="1"/>
      <c r="TDF227" s="1"/>
      <c r="TDG227" s="1"/>
      <c r="TDH227" s="1"/>
      <c r="TDI227" s="1"/>
      <c r="TDJ227" s="1"/>
      <c r="TDK227" s="1"/>
      <c r="TDL227" s="1"/>
      <c r="TDM227" s="1"/>
      <c r="TDN227" s="1"/>
      <c r="TDO227" s="1"/>
      <c r="TDP227" s="1"/>
      <c r="TDQ227" s="1"/>
      <c r="TDR227" s="1"/>
      <c r="TDS227" s="1"/>
      <c r="TDT227" s="1"/>
      <c r="TDU227" s="1"/>
      <c r="TDV227" s="1"/>
      <c r="TDW227" s="1"/>
      <c r="TDX227" s="1"/>
      <c r="TDY227" s="1"/>
      <c r="TDZ227" s="1"/>
      <c r="TEA227" s="1"/>
      <c r="TEB227" s="1"/>
      <c r="TEC227" s="1"/>
      <c r="TED227" s="1"/>
      <c r="TEE227" s="1"/>
      <c r="TEF227" s="1"/>
      <c r="TEG227" s="1"/>
      <c r="TEH227" s="1"/>
      <c r="TEI227" s="1"/>
      <c r="TEJ227" s="1"/>
      <c r="TEK227" s="1"/>
      <c r="TEL227" s="1"/>
      <c r="TEM227" s="1"/>
      <c r="TEN227" s="1"/>
      <c r="TEO227" s="1"/>
      <c r="TEP227" s="1"/>
      <c r="TEQ227" s="1"/>
      <c r="TER227" s="1"/>
      <c r="TES227" s="1"/>
      <c r="TET227" s="1"/>
      <c r="TEU227" s="1"/>
      <c r="TEV227" s="1"/>
      <c r="TEW227" s="1"/>
      <c r="TEX227" s="1"/>
      <c r="TEY227" s="1"/>
      <c r="TEZ227" s="1"/>
      <c r="TFA227" s="1"/>
      <c r="TFB227" s="1"/>
      <c r="TFC227" s="1"/>
      <c r="TFD227" s="1"/>
      <c r="TFE227" s="1"/>
      <c r="TFF227" s="1"/>
      <c r="TFG227" s="1"/>
      <c r="TFH227" s="1"/>
      <c r="TFI227" s="1"/>
      <c r="TFJ227" s="1"/>
      <c r="TFK227" s="1"/>
      <c r="TFL227" s="1"/>
      <c r="TFM227" s="1"/>
      <c r="TFN227" s="1"/>
      <c r="TFO227" s="1"/>
      <c r="TFP227" s="1"/>
      <c r="TFQ227" s="1"/>
      <c r="TFR227" s="1"/>
      <c r="TFS227" s="1"/>
      <c r="TFT227" s="1"/>
      <c r="TFU227" s="1"/>
      <c r="TFV227" s="1"/>
      <c r="TFW227" s="1"/>
      <c r="TFX227" s="1"/>
      <c r="TFY227" s="1"/>
      <c r="TFZ227" s="1"/>
      <c r="TGA227" s="1"/>
      <c r="TGB227" s="1"/>
      <c r="TGC227" s="1"/>
      <c r="TGD227" s="1"/>
      <c r="TGE227" s="1"/>
      <c r="TGF227" s="1"/>
      <c r="TGG227" s="1"/>
      <c r="TGH227" s="1"/>
      <c r="TGI227" s="1"/>
      <c r="TGJ227" s="1"/>
      <c r="TGK227" s="1"/>
      <c r="TGL227" s="1"/>
      <c r="TGM227" s="1"/>
      <c r="TGN227" s="1"/>
      <c r="TGO227" s="1"/>
      <c r="TGP227" s="1"/>
      <c r="TGQ227" s="1"/>
      <c r="TGR227" s="1"/>
      <c r="TGS227" s="1"/>
      <c r="TGT227" s="1"/>
      <c r="TGU227" s="1"/>
      <c r="TGV227" s="1"/>
      <c r="TGW227" s="1"/>
      <c r="TGX227" s="1"/>
      <c r="TGY227" s="1"/>
      <c r="TGZ227" s="1"/>
      <c r="THA227" s="1"/>
      <c r="THB227" s="1"/>
      <c r="THC227" s="1"/>
      <c r="THD227" s="1"/>
      <c r="THE227" s="1"/>
      <c r="THF227" s="1"/>
      <c r="THG227" s="1"/>
      <c r="THH227" s="1"/>
      <c r="THI227" s="1"/>
      <c r="THJ227" s="1"/>
      <c r="THK227" s="1"/>
      <c r="THL227" s="1"/>
      <c r="THM227" s="1"/>
      <c r="THN227" s="1"/>
      <c r="THO227" s="1"/>
      <c r="THP227" s="1"/>
      <c r="THQ227" s="1"/>
      <c r="THR227" s="1"/>
      <c r="THS227" s="1"/>
      <c r="THT227" s="1"/>
      <c r="THU227" s="1"/>
      <c r="THV227" s="1"/>
      <c r="THW227" s="1"/>
      <c r="THX227" s="1"/>
      <c r="THY227" s="1"/>
      <c r="THZ227" s="1"/>
      <c r="TIA227" s="1"/>
      <c r="TIB227" s="1"/>
      <c r="TIC227" s="1"/>
      <c r="TID227" s="1"/>
      <c r="TIE227" s="1"/>
      <c r="TIF227" s="1"/>
      <c r="TIG227" s="1"/>
      <c r="TIH227" s="1"/>
      <c r="TII227" s="1"/>
      <c r="TIJ227" s="1"/>
      <c r="TIK227" s="1"/>
      <c r="TIL227" s="1"/>
      <c r="TIM227" s="1"/>
      <c r="TIN227" s="1"/>
      <c r="TIO227" s="1"/>
      <c r="TIP227" s="1"/>
      <c r="TIQ227" s="1"/>
      <c r="TIR227" s="1"/>
      <c r="TIS227" s="1"/>
      <c r="TIT227" s="1"/>
      <c r="TIU227" s="1"/>
      <c r="TIV227" s="1"/>
      <c r="TIW227" s="1"/>
      <c r="TIX227" s="1"/>
      <c r="TIY227" s="1"/>
      <c r="TIZ227" s="1"/>
      <c r="TJA227" s="1"/>
      <c r="TJB227" s="1"/>
      <c r="TJC227" s="1"/>
      <c r="TJD227" s="1"/>
      <c r="TJE227" s="1"/>
      <c r="TJF227" s="1"/>
      <c r="TJG227" s="1"/>
      <c r="TJH227" s="1"/>
      <c r="TJI227" s="1"/>
      <c r="TJJ227" s="1"/>
      <c r="TJK227" s="1"/>
      <c r="TJL227" s="1"/>
      <c r="TJM227" s="1"/>
      <c r="TJN227" s="1"/>
      <c r="TJO227" s="1"/>
      <c r="TJP227" s="1"/>
      <c r="TJQ227" s="1"/>
      <c r="TJR227" s="1"/>
      <c r="TJS227" s="1"/>
      <c r="TJT227" s="1"/>
      <c r="TJU227" s="1"/>
      <c r="TJV227" s="1"/>
      <c r="TJW227" s="1"/>
      <c r="TJX227" s="1"/>
      <c r="TJY227" s="1"/>
      <c r="TJZ227" s="1"/>
      <c r="TKA227" s="1"/>
      <c r="TKB227" s="1"/>
      <c r="TKC227" s="1"/>
      <c r="TKD227" s="1"/>
      <c r="TKE227" s="1"/>
      <c r="TKF227" s="1"/>
      <c r="TKG227" s="1"/>
      <c r="TKH227" s="1"/>
      <c r="TKI227" s="1"/>
      <c r="TKJ227" s="1"/>
      <c r="TKK227" s="1"/>
      <c r="TKL227" s="1"/>
      <c r="TKM227" s="1"/>
      <c r="TKN227" s="1"/>
      <c r="TKO227" s="1"/>
      <c r="TKP227" s="1"/>
      <c r="TKQ227" s="1"/>
      <c r="TKR227" s="1"/>
      <c r="TKS227" s="1"/>
      <c r="TKT227" s="1"/>
      <c r="TKU227" s="1"/>
      <c r="TKV227" s="1"/>
      <c r="TKW227" s="1"/>
      <c r="TKX227" s="1"/>
      <c r="TKY227" s="1"/>
      <c r="TKZ227" s="1"/>
      <c r="TLA227" s="1"/>
      <c r="TLB227" s="1"/>
      <c r="TLC227" s="1"/>
      <c r="TLD227" s="1"/>
      <c r="TLE227" s="1"/>
      <c r="TLF227" s="1"/>
      <c r="TLG227" s="1"/>
      <c r="TLH227" s="1"/>
      <c r="TLI227" s="1"/>
      <c r="TLJ227" s="1"/>
      <c r="TLK227" s="1"/>
      <c r="TLL227" s="1"/>
      <c r="TLM227" s="1"/>
      <c r="TLN227" s="1"/>
      <c r="TLO227" s="1"/>
      <c r="TLP227" s="1"/>
      <c r="TLQ227" s="1"/>
      <c r="TLR227" s="1"/>
      <c r="TLS227" s="1"/>
      <c r="TLT227" s="1"/>
      <c r="TLU227" s="1"/>
      <c r="TLV227" s="1"/>
      <c r="TLW227" s="1"/>
      <c r="TLX227" s="1"/>
      <c r="TLY227" s="1"/>
      <c r="TLZ227" s="1"/>
      <c r="TMA227" s="1"/>
      <c r="TMB227" s="1"/>
      <c r="TMC227" s="1"/>
      <c r="TMD227" s="1"/>
      <c r="TME227" s="1"/>
      <c r="TMF227" s="1"/>
      <c r="TMG227" s="1"/>
      <c r="TMH227" s="1"/>
      <c r="TMI227" s="1"/>
      <c r="TMJ227" s="1"/>
      <c r="TMK227" s="1"/>
      <c r="TML227" s="1"/>
      <c r="TMM227" s="1"/>
      <c r="TMN227" s="1"/>
      <c r="TMO227" s="1"/>
      <c r="TMP227" s="1"/>
      <c r="TMQ227" s="1"/>
      <c r="TMR227" s="1"/>
      <c r="TMS227" s="1"/>
      <c r="TMT227" s="1"/>
      <c r="TMU227" s="1"/>
      <c r="TMV227" s="1"/>
      <c r="TMW227" s="1"/>
      <c r="TMX227" s="1"/>
      <c r="TMY227" s="1"/>
      <c r="TMZ227" s="1"/>
      <c r="TNA227" s="1"/>
      <c r="TNB227" s="1"/>
      <c r="TNC227" s="1"/>
      <c r="TND227" s="1"/>
      <c r="TNE227" s="1"/>
      <c r="TNF227" s="1"/>
      <c r="TNG227" s="1"/>
      <c r="TNH227" s="1"/>
      <c r="TNI227" s="1"/>
      <c r="TNJ227" s="1"/>
      <c r="TNK227" s="1"/>
      <c r="TNL227" s="1"/>
      <c r="TNM227" s="1"/>
      <c r="TNN227" s="1"/>
      <c r="TNO227" s="1"/>
      <c r="TNP227" s="1"/>
      <c r="TNQ227" s="1"/>
      <c r="TNR227" s="1"/>
      <c r="TNS227" s="1"/>
      <c r="TNT227" s="1"/>
      <c r="TNU227" s="1"/>
      <c r="TNV227" s="1"/>
      <c r="TNW227" s="1"/>
      <c r="TNX227" s="1"/>
      <c r="TNY227" s="1"/>
      <c r="TNZ227" s="1"/>
      <c r="TOA227" s="1"/>
      <c r="TOB227" s="1"/>
      <c r="TOC227" s="1"/>
      <c r="TOD227" s="1"/>
      <c r="TOE227" s="1"/>
      <c r="TOF227" s="1"/>
      <c r="TOG227" s="1"/>
      <c r="TOH227" s="1"/>
      <c r="TOI227" s="1"/>
      <c r="TOJ227" s="1"/>
      <c r="TOK227" s="1"/>
      <c r="TOL227" s="1"/>
      <c r="TOM227" s="1"/>
      <c r="TON227" s="1"/>
      <c r="TOO227" s="1"/>
      <c r="TOP227" s="1"/>
      <c r="TOQ227" s="1"/>
      <c r="TOR227" s="1"/>
      <c r="TOS227" s="1"/>
      <c r="TOT227" s="1"/>
      <c r="TOU227" s="1"/>
      <c r="TOV227" s="1"/>
      <c r="TOW227" s="1"/>
      <c r="TOX227" s="1"/>
      <c r="TOY227" s="1"/>
      <c r="TOZ227" s="1"/>
      <c r="TPA227" s="1"/>
      <c r="TPB227" s="1"/>
      <c r="TPC227" s="1"/>
      <c r="TPD227" s="1"/>
      <c r="TPE227" s="1"/>
      <c r="TPF227" s="1"/>
      <c r="TPG227" s="1"/>
      <c r="TPH227" s="1"/>
      <c r="TPI227" s="1"/>
      <c r="TPJ227" s="1"/>
      <c r="TPK227" s="1"/>
      <c r="TPL227" s="1"/>
      <c r="TPM227" s="1"/>
      <c r="TPN227" s="1"/>
      <c r="TPO227" s="1"/>
      <c r="TPP227" s="1"/>
      <c r="TPQ227" s="1"/>
      <c r="TPR227" s="1"/>
      <c r="TPS227" s="1"/>
      <c r="TPT227" s="1"/>
      <c r="TPU227" s="1"/>
      <c r="TPV227" s="1"/>
      <c r="TPW227" s="1"/>
      <c r="TPX227" s="1"/>
      <c r="TPY227" s="1"/>
      <c r="TPZ227" s="1"/>
      <c r="TQA227" s="1"/>
      <c r="TQB227" s="1"/>
      <c r="TQC227" s="1"/>
      <c r="TQD227" s="1"/>
      <c r="TQE227" s="1"/>
      <c r="TQF227" s="1"/>
      <c r="TQG227" s="1"/>
      <c r="TQH227" s="1"/>
      <c r="TQI227" s="1"/>
      <c r="TQJ227" s="1"/>
      <c r="TQK227" s="1"/>
      <c r="TQL227" s="1"/>
      <c r="TQM227" s="1"/>
      <c r="TQN227" s="1"/>
      <c r="TQO227" s="1"/>
      <c r="TQP227" s="1"/>
      <c r="TQQ227" s="1"/>
      <c r="TQR227" s="1"/>
      <c r="TQS227" s="1"/>
      <c r="TQT227" s="1"/>
      <c r="TQU227" s="1"/>
      <c r="TQV227" s="1"/>
      <c r="TQW227" s="1"/>
      <c r="TQX227" s="1"/>
      <c r="TQY227" s="1"/>
      <c r="TQZ227" s="1"/>
      <c r="TRA227" s="1"/>
      <c r="TRB227" s="1"/>
      <c r="TRC227" s="1"/>
      <c r="TRD227" s="1"/>
      <c r="TRE227" s="1"/>
      <c r="TRF227" s="1"/>
      <c r="TRG227" s="1"/>
      <c r="TRH227" s="1"/>
      <c r="TRI227" s="1"/>
      <c r="TRJ227" s="1"/>
      <c r="TRK227" s="1"/>
      <c r="TRL227" s="1"/>
      <c r="TRM227" s="1"/>
      <c r="TRN227" s="1"/>
      <c r="TRO227" s="1"/>
      <c r="TRP227" s="1"/>
      <c r="TRQ227" s="1"/>
      <c r="TRR227" s="1"/>
      <c r="TRS227" s="1"/>
      <c r="TRT227" s="1"/>
      <c r="TRU227" s="1"/>
      <c r="TRV227" s="1"/>
      <c r="TRW227" s="1"/>
      <c r="TRX227" s="1"/>
      <c r="TRY227" s="1"/>
      <c r="TRZ227" s="1"/>
      <c r="TSA227" s="1"/>
      <c r="TSB227" s="1"/>
      <c r="TSC227" s="1"/>
      <c r="TSD227" s="1"/>
      <c r="TSE227" s="1"/>
      <c r="TSF227" s="1"/>
      <c r="TSG227" s="1"/>
      <c r="TSH227" s="1"/>
      <c r="TSI227" s="1"/>
      <c r="TSJ227" s="1"/>
      <c r="TSK227" s="1"/>
      <c r="TSL227" s="1"/>
      <c r="TSM227" s="1"/>
      <c r="TSN227" s="1"/>
      <c r="TSO227" s="1"/>
      <c r="TSP227" s="1"/>
      <c r="TSQ227" s="1"/>
      <c r="TSR227" s="1"/>
      <c r="TSS227" s="1"/>
      <c r="TST227" s="1"/>
      <c r="TSU227" s="1"/>
      <c r="TSV227" s="1"/>
      <c r="TSW227" s="1"/>
      <c r="TSX227" s="1"/>
      <c r="TSY227" s="1"/>
      <c r="TSZ227" s="1"/>
      <c r="TTA227" s="1"/>
      <c r="TTB227" s="1"/>
      <c r="TTC227" s="1"/>
      <c r="TTD227" s="1"/>
      <c r="TTE227" s="1"/>
      <c r="TTF227" s="1"/>
      <c r="TTG227" s="1"/>
      <c r="TTH227" s="1"/>
      <c r="TTI227" s="1"/>
      <c r="TTJ227" s="1"/>
      <c r="TTK227" s="1"/>
      <c r="TTL227" s="1"/>
      <c r="TTM227" s="1"/>
      <c r="TTN227" s="1"/>
      <c r="TTO227" s="1"/>
      <c r="TTP227" s="1"/>
      <c r="TTQ227" s="1"/>
      <c r="TTR227" s="1"/>
      <c r="TTS227" s="1"/>
      <c r="TTT227" s="1"/>
      <c r="TTU227" s="1"/>
      <c r="TTV227" s="1"/>
      <c r="TTW227" s="1"/>
      <c r="TTX227" s="1"/>
      <c r="TTY227" s="1"/>
      <c r="TTZ227" s="1"/>
      <c r="TUA227" s="1"/>
      <c r="TUB227" s="1"/>
      <c r="TUC227" s="1"/>
      <c r="TUD227" s="1"/>
      <c r="TUE227" s="1"/>
      <c r="TUF227" s="1"/>
      <c r="TUG227" s="1"/>
      <c r="TUH227" s="1"/>
      <c r="TUI227" s="1"/>
      <c r="TUJ227" s="1"/>
      <c r="TUK227" s="1"/>
      <c r="TUL227" s="1"/>
      <c r="TUM227" s="1"/>
      <c r="TUN227" s="1"/>
      <c r="TUO227" s="1"/>
      <c r="TUP227" s="1"/>
      <c r="TUQ227" s="1"/>
      <c r="TUR227" s="1"/>
      <c r="TUS227" s="1"/>
      <c r="TUT227" s="1"/>
      <c r="TUU227" s="1"/>
      <c r="TUV227" s="1"/>
      <c r="TUW227" s="1"/>
      <c r="TUX227" s="1"/>
      <c r="TUY227" s="1"/>
      <c r="TUZ227" s="1"/>
      <c r="TVA227" s="1"/>
      <c r="TVB227" s="1"/>
      <c r="TVC227" s="1"/>
      <c r="TVD227" s="1"/>
      <c r="TVE227" s="1"/>
      <c r="TVF227" s="1"/>
      <c r="TVG227" s="1"/>
      <c r="TVH227" s="1"/>
      <c r="TVI227" s="1"/>
      <c r="TVJ227" s="1"/>
      <c r="TVK227" s="1"/>
      <c r="TVL227" s="1"/>
      <c r="TVM227" s="1"/>
      <c r="TVN227" s="1"/>
      <c r="TVO227" s="1"/>
      <c r="TVP227" s="1"/>
      <c r="TVQ227" s="1"/>
      <c r="TVR227" s="1"/>
      <c r="TVS227" s="1"/>
      <c r="TVT227" s="1"/>
      <c r="TVU227" s="1"/>
      <c r="TVV227" s="1"/>
      <c r="TVW227" s="1"/>
      <c r="TVX227" s="1"/>
      <c r="TVY227" s="1"/>
      <c r="TVZ227" s="1"/>
      <c r="TWA227" s="1"/>
      <c r="TWB227" s="1"/>
      <c r="TWC227" s="1"/>
      <c r="TWD227" s="1"/>
      <c r="TWE227" s="1"/>
      <c r="TWF227" s="1"/>
      <c r="TWG227" s="1"/>
      <c r="TWH227" s="1"/>
      <c r="TWI227" s="1"/>
      <c r="TWJ227" s="1"/>
      <c r="TWK227" s="1"/>
      <c r="TWL227" s="1"/>
      <c r="TWM227" s="1"/>
      <c r="TWN227" s="1"/>
      <c r="TWO227" s="1"/>
      <c r="TWP227" s="1"/>
      <c r="TWQ227" s="1"/>
      <c r="TWR227" s="1"/>
      <c r="TWS227" s="1"/>
      <c r="TWT227" s="1"/>
      <c r="TWU227" s="1"/>
      <c r="TWV227" s="1"/>
      <c r="TWW227" s="1"/>
      <c r="TWX227" s="1"/>
      <c r="TWY227" s="1"/>
      <c r="TWZ227" s="1"/>
      <c r="TXA227" s="1"/>
      <c r="TXB227" s="1"/>
      <c r="TXC227" s="1"/>
      <c r="TXD227" s="1"/>
      <c r="TXE227" s="1"/>
      <c r="TXF227" s="1"/>
      <c r="TXG227" s="1"/>
      <c r="TXH227" s="1"/>
      <c r="TXI227" s="1"/>
      <c r="TXJ227" s="1"/>
      <c r="TXK227" s="1"/>
      <c r="TXL227" s="1"/>
      <c r="TXM227" s="1"/>
      <c r="TXN227" s="1"/>
      <c r="TXO227" s="1"/>
      <c r="TXP227" s="1"/>
      <c r="TXQ227" s="1"/>
      <c r="TXR227" s="1"/>
      <c r="TXS227" s="1"/>
      <c r="TXT227" s="1"/>
      <c r="TXU227" s="1"/>
      <c r="TXV227" s="1"/>
      <c r="TXW227" s="1"/>
      <c r="TXX227" s="1"/>
      <c r="TXY227" s="1"/>
      <c r="TXZ227" s="1"/>
      <c r="TYA227" s="1"/>
      <c r="TYB227" s="1"/>
      <c r="TYC227" s="1"/>
      <c r="TYD227" s="1"/>
      <c r="TYE227" s="1"/>
      <c r="TYF227" s="1"/>
      <c r="TYG227" s="1"/>
      <c r="TYH227" s="1"/>
      <c r="TYI227" s="1"/>
      <c r="TYJ227" s="1"/>
      <c r="TYK227" s="1"/>
      <c r="TYL227" s="1"/>
      <c r="TYM227" s="1"/>
      <c r="TYN227" s="1"/>
      <c r="TYO227" s="1"/>
      <c r="TYP227" s="1"/>
      <c r="TYQ227" s="1"/>
      <c r="TYR227" s="1"/>
      <c r="TYS227" s="1"/>
      <c r="TYT227" s="1"/>
      <c r="TYU227" s="1"/>
      <c r="TYV227" s="1"/>
      <c r="TYW227" s="1"/>
      <c r="TYX227" s="1"/>
      <c r="TYY227" s="1"/>
      <c r="TYZ227" s="1"/>
      <c r="TZA227" s="1"/>
      <c r="TZB227" s="1"/>
      <c r="TZC227" s="1"/>
      <c r="TZD227" s="1"/>
      <c r="TZE227" s="1"/>
      <c r="TZF227" s="1"/>
      <c r="TZG227" s="1"/>
      <c r="TZH227" s="1"/>
      <c r="TZI227" s="1"/>
      <c r="TZJ227" s="1"/>
      <c r="TZK227" s="1"/>
      <c r="TZL227" s="1"/>
      <c r="TZM227" s="1"/>
      <c r="TZN227" s="1"/>
      <c r="TZO227" s="1"/>
      <c r="TZP227" s="1"/>
      <c r="TZQ227" s="1"/>
      <c r="TZR227" s="1"/>
      <c r="TZS227" s="1"/>
      <c r="TZT227" s="1"/>
      <c r="TZU227" s="1"/>
      <c r="TZV227" s="1"/>
      <c r="TZW227" s="1"/>
      <c r="TZX227" s="1"/>
      <c r="TZY227" s="1"/>
      <c r="TZZ227" s="1"/>
      <c r="UAA227" s="1"/>
      <c r="UAB227" s="1"/>
      <c r="UAC227" s="1"/>
      <c r="UAD227" s="1"/>
      <c r="UAE227" s="1"/>
      <c r="UAF227" s="1"/>
      <c r="UAG227" s="1"/>
      <c r="UAH227" s="1"/>
      <c r="UAI227" s="1"/>
      <c r="UAJ227" s="1"/>
      <c r="UAK227" s="1"/>
      <c r="UAL227" s="1"/>
      <c r="UAM227" s="1"/>
      <c r="UAN227" s="1"/>
      <c r="UAO227" s="1"/>
      <c r="UAP227" s="1"/>
      <c r="UAQ227" s="1"/>
      <c r="UAR227" s="1"/>
      <c r="UAS227" s="1"/>
      <c r="UAT227" s="1"/>
      <c r="UAU227" s="1"/>
      <c r="UAV227" s="1"/>
      <c r="UAW227" s="1"/>
      <c r="UAX227" s="1"/>
      <c r="UAY227" s="1"/>
      <c r="UAZ227" s="1"/>
      <c r="UBA227" s="1"/>
      <c r="UBB227" s="1"/>
      <c r="UBC227" s="1"/>
      <c r="UBD227" s="1"/>
      <c r="UBE227" s="1"/>
      <c r="UBF227" s="1"/>
      <c r="UBG227" s="1"/>
      <c r="UBH227" s="1"/>
      <c r="UBI227" s="1"/>
      <c r="UBJ227" s="1"/>
      <c r="UBK227" s="1"/>
      <c r="UBL227" s="1"/>
      <c r="UBM227" s="1"/>
      <c r="UBN227" s="1"/>
      <c r="UBO227" s="1"/>
      <c r="UBP227" s="1"/>
      <c r="UBQ227" s="1"/>
      <c r="UBR227" s="1"/>
      <c r="UBS227" s="1"/>
      <c r="UBT227" s="1"/>
      <c r="UBU227" s="1"/>
      <c r="UBV227" s="1"/>
      <c r="UBW227" s="1"/>
      <c r="UBX227" s="1"/>
      <c r="UBY227" s="1"/>
      <c r="UBZ227" s="1"/>
      <c r="UCA227" s="1"/>
      <c r="UCB227" s="1"/>
      <c r="UCC227" s="1"/>
      <c r="UCD227" s="1"/>
      <c r="UCE227" s="1"/>
      <c r="UCF227" s="1"/>
      <c r="UCG227" s="1"/>
      <c r="UCH227" s="1"/>
      <c r="UCI227" s="1"/>
      <c r="UCJ227" s="1"/>
      <c r="UCK227" s="1"/>
      <c r="UCL227" s="1"/>
      <c r="UCM227" s="1"/>
      <c r="UCN227" s="1"/>
      <c r="UCO227" s="1"/>
      <c r="UCP227" s="1"/>
      <c r="UCQ227" s="1"/>
      <c r="UCR227" s="1"/>
      <c r="UCS227" s="1"/>
      <c r="UCT227" s="1"/>
      <c r="UCU227" s="1"/>
      <c r="UCV227" s="1"/>
      <c r="UCW227" s="1"/>
      <c r="UCX227" s="1"/>
      <c r="UCY227" s="1"/>
      <c r="UCZ227" s="1"/>
      <c r="UDA227" s="1"/>
      <c r="UDB227" s="1"/>
      <c r="UDC227" s="1"/>
      <c r="UDD227" s="1"/>
      <c r="UDE227" s="1"/>
      <c r="UDF227" s="1"/>
      <c r="UDG227" s="1"/>
      <c r="UDH227" s="1"/>
      <c r="UDI227" s="1"/>
      <c r="UDJ227" s="1"/>
      <c r="UDK227" s="1"/>
      <c r="UDL227" s="1"/>
      <c r="UDM227" s="1"/>
      <c r="UDN227" s="1"/>
      <c r="UDO227" s="1"/>
      <c r="UDP227" s="1"/>
      <c r="UDQ227" s="1"/>
      <c r="UDR227" s="1"/>
      <c r="UDS227" s="1"/>
      <c r="UDT227" s="1"/>
      <c r="UDU227" s="1"/>
      <c r="UDV227" s="1"/>
      <c r="UDW227" s="1"/>
      <c r="UDX227" s="1"/>
      <c r="UDY227" s="1"/>
      <c r="UDZ227" s="1"/>
      <c r="UEA227" s="1"/>
      <c r="UEB227" s="1"/>
      <c r="UEC227" s="1"/>
      <c r="UED227" s="1"/>
      <c r="UEE227" s="1"/>
      <c r="UEF227" s="1"/>
      <c r="UEG227" s="1"/>
      <c r="UEH227" s="1"/>
      <c r="UEI227" s="1"/>
      <c r="UEJ227" s="1"/>
      <c r="UEK227" s="1"/>
      <c r="UEL227" s="1"/>
      <c r="UEM227" s="1"/>
      <c r="UEN227" s="1"/>
      <c r="UEO227" s="1"/>
      <c r="UEP227" s="1"/>
      <c r="UEQ227" s="1"/>
      <c r="UER227" s="1"/>
      <c r="UES227" s="1"/>
      <c r="UET227" s="1"/>
      <c r="UEU227" s="1"/>
      <c r="UEV227" s="1"/>
      <c r="UEW227" s="1"/>
      <c r="UEX227" s="1"/>
      <c r="UEY227" s="1"/>
      <c r="UEZ227" s="1"/>
      <c r="UFA227" s="1"/>
      <c r="UFB227" s="1"/>
      <c r="UFC227" s="1"/>
      <c r="UFD227" s="1"/>
      <c r="UFE227" s="1"/>
      <c r="UFF227" s="1"/>
      <c r="UFG227" s="1"/>
      <c r="UFH227" s="1"/>
      <c r="UFI227" s="1"/>
      <c r="UFJ227" s="1"/>
      <c r="UFK227" s="1"/>
      <c r="UFL227" s="1"/>
      <c r="UFM227" s="1"/>
      <c r="UFN227" s="1"/>
      <c r="UFO227" s="1"/>
      <c r="UFP227" s="1"/>
      <c r="UFQ227" s="1"/>
      <c r="UFR227" s="1"/>
      <c r="UFS227" s="1"/>
      <c r="UFT227" s="1"/>
      <c r="UFU227" s="1"/>
      <c r="UFV227" s="1"/>
      <c r="UFW227" s="1"/>
      <c r="UFX227" s="1"/>
      <c r="UFY227" s="1"/>
      <c r="UFZ227" s="1"/>
      <c r="UGA227" s="1"/>
      <c r="UGB227" s="1"/>
      <c r="UGC227" s="1"/>
      <c r="UGD227" s="1"/>
      <c r="UGE227" s="1"/>
      <c r="UGF227" s="1"/>
      <c r="UGG227" s="1"/>
      <c r="UGH227" s="1"/>
      <c r="UGI227" s="1"/>
      <c r="UGJ227" s="1"/>
      <c r="UGK227" s="1"/>
      <c r="UGL227" s="1"/>
      <c r="UGM227" s="1"/>
      <c r="UGN227" s="1"/>
      <c r="UGO227" s="1"/>
      <c r="UGP227" s="1"/>
      <c r="UGQ227" s="1"/>
      <c r="UGR227" s="1"/>
      <c r="UGS227" s="1"/>
      <c r="UGT227" s="1"/>
      <c r="UGU227" s="1"/>
      <c r="UGV227" s="1"/>
      <c r="UGW227" s="1"/>
      <c r="UGX227" s="1"/>
      <c r="UGY227" s="1"/>
      <c r="UGZ227" s="1"/>
      <c r="UHA227" s="1"/>
      <c r="UHB227" s="1"/>
      <c r="UHC227" s="1"/>
      <c r="UHD227" s="1"/>
      <c r="UHE227" s="1"/>
      <c r="UHF227" s="1"/>
      <c r="UHG227" s="1"/>
      <c r="UHH227" s="1"/>
      <c r="UHI227" s="1"/>
      <c r="UHJ227" s="1"/>
      <c r="UHK227" s="1"/>
      <c r="UHL227" s="1"/>
      <c r="UHM227" s="1"/>
      <c r="UHN227" s="1"/>
      <c r="UHO227" s="1"/>
      <c r="UHP227" s="1"/>
      <c r="UHQ227" s="1"/>
      <c r="UHR227" s="1"/>
      <c r="UHS227" s="1"/>
      <c r="UHT227" s="1"/>
      <c r="UHU227" s="1"/>
      <c r="UHV227" s="1"/>
      <c r="UHW227" s="1"/>
      <c r="UHX227" s="1"/>
      <c r="UHY227" s="1"/>
      <c r="UHZ227" s="1"/>
      <c r="UIA227" s="1"/>
      <c r="UIB227" s="1"/>
      <c r="UIC227" s="1"/>
      <c r="UID227" s="1"/>
      <c r="UIE227" s="1"/>
      <c r="UIF227" s="1"/>
      <c r="UIG227" s="1"/>
      <c r="UIH227" s="1"/>
      <c r="UII227" s="1"/>
      <c r="UIJ227" s="1"/>
      <c r="UIK227" s="1"/>
      <c r="UIL227" s="1"/>
      <c r="UIM227" s="1"/>
      <c r="UIN227" s="1"/>
      <c r="UIO227" s="1"/>
      <c r="UIP227" s="1"/>
      <c r="UIQ227" s="1"/>
      <c r="UIR227" s="1"/>
      <c r="UIS227" s="1"/>
      <c r="UIT227" s="1"/>
      <c r="UIU227" s="1"/>
      <c r="UIV227" s="1"/>
      <c r="UIW227" s="1"/>
      <c r="UIX227" s="1"/>
      <c r="UIY227" s="1"/>
      <c r="UIZ227" s="1"/>
      <c r="UJA227" s="1"/>
      <c r="UJB227" s="1"/>
      <c r="UJC227" s="1"/>
      <c r="UJD227" s="1"/>
      <c r="UJE227" s="1"/>
      <c r="UJF227" s="1"/>
      <c r="UJG227" s="1"/>
      <c r="UJH227" s="1"/>
      <c r="UJI227" s="1"/>
      <c r="UJJ227" s="1"/>
      <c r="UJK227" s="1"/>
      <c r="UJL227" s="1"/>
      <c r="UJM227" s="1"/>
      <c r="UJN227" s="1"/>
      <c r="UJO227" s="1"/>
      <c r="UJP227" s="1"/>
      <c r="UJQ227" s="1"/>
      <c r="UJR227" s="1"/>
      <c r="UJS227" s="1"/>
      <c r="UJT227" s="1"/>
      <c r="UJU227" s="1"/>
      <c r="UJV227" s="1"/>
      <c r="UJW227" s="1"/>
      <c r="UJX227" s="1"/>
      <c r="UJY227" s="1"/>
      <c r="UJZ227" s="1"/>
      <c r="UKA227" s="1"/>
      <c r="UKB227" s="1"/>
      <c r="UKC227" s="1"/>
      <c r="UKD227" s="1"/>
      <c r="UKE227" s="1"/>
      <c r="UKF227" s="1"/>
      <c r="UKG227" s="1"/>
      <c r="UKH227" s="1"/>
      <c r="UKI227" s="1"/>
      <c r="UKJ227" s="1"/>
      <c r="UKK227" s="1"/>
      <c r="UKL227" s="1"/>
      <c r="UKM227" s="1"/>
      <c r="UKN227" s="1"/>
      <c r="UKO227" s="1"/>
      <c r="UKP227" s="1"/>
      <c r="UKQ227" s="1"/>
      <c r="UKR227" s="1"/>
      <c r="UKS227" s="1"/>
      <c r="UKT227" s="1"/>
      <c r="UKU227" s="1"/>
      <c r="UKV227" s="1"/>
      <c r="UKW227" s="1"/>
      <c r="UKX227" s="1"/>
      <c r="UKY227" s="1"/>
      <c r="UKZ227" s="1"/>
      <c r="ULA227" s="1"/>
      <c r="ULB227" s="1"/>
      <c r="ULC227" s="1"/>
      <c r="ULD227" s="1"/>
      <c r="ULE227" s="1"/>
      <c r="ULF227" s="1"/>
      <c r="ULG227" s="1"/>
      <c r="ULH227" s="1"/>
      <c r="ULI227" s="1"/>
      <c r="ULJ227" s="1"/>
      <c r="ULK227" s="1"/>
      <c r="ULL227" s="1"/>
      <c r="ULM227" s="1"/>
      <c r="ULN227" s="1"/>
      <c r="ULO227" s="1"/>
      <c r="ULP227" s="1"/>
      <c r="ULQ227" s="1"/>
      <c r="ULR227" s="1"/>
      <c r="ULS227" s="1"/>
      <c r="ULT227" s="1"/>
      <c r="ULU227" s="1"/>
      <c r="ULV227" s="1"/>
      <c r="ULW227" s="1"/>
      <c r="ULX227" s="1"/>
      <c r="ULY227" s="1"/>
      <c r="ULZ227" s="1"/>
      <c r="UMA227" s="1"/>
      <c r="UMB227" s="1"/>
      <c r="UMC227" s="1"/>
      <c r="UMD227" s="1"/>
      <c r="UME227" s="1"/>
      <c r="UMF227" s="1"/>
      <c r="UMG227" s="1"/>
      <c r="UMH227" s="1"/>
      <c r="UMI227" s="1"/>
      <c r="UMJ227" s="1"/>
      <c r="UMK227" s="1"/>
      <c r="UML227" s="1"/>
      <c r="UMM227" s="1"/>
      <c r="UMN227" s="1"/>
      <c r="UMO227" s="1"/>
      <c r="UMP227" s="1"/>
      <c r="UMQ227" s="1"/>
      <c r="UMR227" s="1"/>
      <c r="UMS227" s="1"/>
      <c r="UMT227" s="1"/>
      <c r="UMU227" s="1"/>
      <c r="UMV227" s="1"/>
      <c r="UMW227" s="1"/>
      <c r="UMX227" s="1"/>
      <c r="UMY227" s="1"/>
      <c r="UMZ227" s="1"/>
      <c r="UNA227" s="1"/>
      <c r="UNB227" s="1"/>
      <c r="UNC227" s="1"/>
      <c r="UND227" s="1"/>
      <c r="UNE227" s="1"/>
      <c r="UNF227" s="1"/>
      <c r="UNG227" s="1"/>
      <c r="UNH227" s="1"/>
      <c r="UNI227" s="1"/>
      <c r="UNJ227" s="1"/>
      <c r="UNK227" s="1"/>
      <c r="UNL227" s="1"/>
      <c r="UNM227" s="1"/>
      <c r="UNN227" s="1"/>
      <c r="UNO227" s="1"/>
      <c r="UNP227" s="1"/>
      <c r="UNQ227" s="1"/>
      <c r="UNR227" s="1"/>
      <c r="UNS227" s="1"/>
      <c r="UNT227" s="1"/>
      <c r="UNU227" s="1"/>
      <c r="UNV227" s="1"/>
      <c r="UNW227" s="1"/>
      <c r="UNX227" s="1"/>
      <c r="UNY227" s="1"/>
      <c r="UNZ227" s="1"/>
      <c r="UOA227" s="1"/>
      <c r="UOB227" s="1"/>
      <c r="UOC227" s="1"/>
      <c r="UOD227" s="1"/>
      <c r="UOE227" s="1"/>
      <c r="UOF227" s="1"/>
      <c r="UOG227" s="1"/>
      <c r="UOH227" s="1"/>
      <c r="UOI227" s="1"/>
      <c r="UOJ227" s="1"/>
      <c r="UOK227" s="1"/>
      <c r="UOL227" s="1"/>
      <c r="UOM227" s="1"/>
      <c r="UON227" s="1"/>
      <c r="UOO227" s="1"/>
      <c r="UOP227" s="1"/>
      <c r="UOQ227" s="1"/>
      <c r="UOR227" s="1"/>
      <c r="UOS227" s="1"/>
      <c r="UOT227" s="1"/>
      <c r="UOU227" s="1"/>
      <c r="UOV227" s="1"/>
      <c r="UOW227" s="1"/>
      <c r="UOX227" s="1"/>
      <c r="UOY227" s="1"/>
      <c r="UOZ227" s="1"/>
      <c r="UPA227" s="1"/>
      <c r="UPB227" s="1"/>
      <c r="UPC227" s="1"/>
      <c r="UPD227" s="1"/>
      <c r="UPE227" s="1"/>
      <c r="UPF227" s="1"/>
      <c r="UPG227" s="1"/>
      <c r="UPH227" s="1"/>
      <c r="UPI227" s="1"/>
      <c r="UPJ227" s="1"/>
      <c r="UPK227" s="1"/>
      <c r="UPL227" s="1"/>
      <c r="UPM227" s="1"/>
      <c r="UPN227" s="1"/>
      <c r="UPO227" s="1"/>
      <c r="UPP227" s="1"/>
      <c r="UPQ227" s="1"/>
      <c r="UPR227" s="1"/>
      <c r="UPS227" s="1"/>
      <c r="UPT227" s="1"/>
      <c r="UPU227" s="1"/>
      <c r="UPV227" s="1"/>
      <c r="UPW227" s="1"/>
      <c r="UPX227" s="1"/>
      <c r="UPY227" s="1"/>
      <c r="UPZ227" s="1"/>
      <c r="UQA227" s="1"/>
      <c r="UQB227" s="1"/>
      <c r="UQC227" s="1"/>
      <c r="UQD227" s="1"/>
      <c r="UQE227" s="1"/>
      <c r="UQF227" s="1"/>
      <c r="UQG227" s="1"/>
      <c r="UQH227" s="1"/>
      <c r="UQI227" s="1"/>
      <c r="UQJ227" s="1"/>
      <c r="UQK227" s="1"/>
      <c r="UQL227" s="1"/>
      <c r="UQM227" s="1"/>
      <c r="UQN227" s="1"/>
      <c r="UQO227" s="1"/>
      <c r="UQP227" s="1"/>
      <c r="UQQ227" s="1"/>
      <c r="UQR227" s="1"/>
      <c r="UQS227" s="1"/>
      <c r="UQT227" s="1"/>
      <c r="UQU227" s="1"/>
      <c r="UQV227" s="1"/>
      <c r="UQW227" s="1"/>
      <c r="UQX227" s="1"/>
      <c r="UQY227" s="1"/>
      <c r="UQZ227" s="1"/>
      <c r="URA227" s="1"/>
      <c r="URB227" s="1"/>
      <c r="URC227" s="1"/>
      <c r="URD227" s="1"/>
      <c r="URE227" s="1"/>
      <c r="URF227" s="1"/>
      <c r="URG227" s="1"/>
      <c r="URH227" s="1"/>
      <c r="URI227" s="1"/>
      <c r="URJ227" s="1"/>
      <c r="URK227" s="1"/>
      <c r="URL227" s="1"/>
      <c r="URM227" s="1"/>
      <c r="URN227" s="1"/>
      <c r="URO227" s="1"/>
      <c r="URP227" s="1"/>
      <c r="URQ227" s="1"/>
      <c r="URR227" s="1"/>
      <c r="URS227" s="1"/>
      <c r="URT227" s="1"/>
      <c r="URU227" s="1"/>
      <c r="URV227" s="1"/>
      <c r="URW227" s="1"/>
      <c r="URX227" s="1"/>
      <c r="URY227" s="1"/>
      <c r="URZ227" s="1"/>
      <c r="USA227" s="1"/>
      <c r="USB227" s="1"/>
      <c r="USC227" s="1"/>
      <c r="USD227" s="1"/>
      <c r="USE227" s="1"/>
      <c r="USF227" s="1"/>
      <c r="USG227" s="1"/>
      <c r="USH227" s="1"/>
      <c r="USI227" s="1"/>
      <c r="USJ227" s="1"/>
      <c r="USK227" s="1"/>
      <c r="USL227" s="1"/>
      <c r="USM227" s="1"/>
      <c r="USN227" s="1"/>
      <c r="USO227" s="1"/>
      <c r="USP227" s="1"/>
      <c r="USQ227" s="1"/>
      <c r="USR227" s="1"/>
      <c r="USS227" s="1"/>
      <c r="UST227" s="1"/>
      <c r="USU227" s="1"/>
      <c r="USV227" s="1"/>
      <c r="USW227" s="1"/>
      <c r="USX227" s="1"/>
      <c r="USY227" s="1"/>
      <c r="USZ227" s="1"/>
      <c r="UTA227" s="1"/>
      <c r="UTB227" s="1"/>
      <c r="UTC227" s="1"/>
      <c r="UTD227" s="1"/>
      <c r="UTE227" s="1"/>
      <c r="UTF227" s="1"/>
      <c r="UTG227" s="1"/>
      <c r="UTH227" s="1"/>
      <c r="UTI227" s="1"/>
      <c r="UTJ227" s="1"/>
      <c r="UTK227" s="1"/>
      <c r="UTL227" s="1"/>
      <c r="UTM227" s="1"/>
      <c r="UTN227" s="1"/>
      <c r="UTO227" s="1"/>
      <c r="UTP227" s="1"/>
      <c r="UTQ227" s="1"/>
      <c r="UTR227" s="1"/>
      <c r="UTS227" s="1"/>
      <c r="UTT227" s="1"/>
      <c r="UTU227" s="1"/>
      <c r="UTV227" s="1"/>
      <c r="UTW227" s="1"/>
      <c r="UTX227" s="1"/>
      <c r="UTY227" s="1"/>
      <c r="UTZ227" s="1"/>
      <c r="UUA227" s="1"/>
      <c r="UUB227" s="1"/>
      <c r="UUC227" s="1"/>
      <c r="UUD227" s="1"/>
      <c r="UUE227" s="1"/>
      <c r="UUF227" s="1"/>
      <c r="UUG227" s="1"/>
      <c r="UUH227" s="1"/>
      <c r="UUI227" s="1"/>
      <c r="UUJ227" s="1"/>
      <c r="UUK227" s="1"/>
      <c r="UUL227" s="1"/>
      <c r="UUM227" s="1"/>
      <c r="UUN227" s="1"/>
      <c r="UUO227" s="1"/>
      <c r="UUP227" s="1"/>
      <c r="UUQ227" s="1"/>
      <c r="UUR227" s="1"/>
      <c r="UUS227" s="1"/>
      <c r="UUT227" s="1"/>
      <c r="UUU227" s="1"/>
      <c r="UUV227" s="1"/>
      <c r="UUW227" s="1"/>
      <c r="UUX227" s="1"/>
      <c r="UUY227" s="1"/>
      <c r="UUZ227" s="1"/>
      <c r="UVA227" s="1"/>
      <c r="UVB227" s="1"/>
      <c r="UVC227" s="1"/>
      <c r="UVD227" s="1"/>
      <c r="UVE227" s="1"/>
      <c r="UVF227" s="1"/>
      <c r="UVG227" s="1"/>
      <c r="UVH227" s="1"/>
      <c r="UVI227" s="1"/>
      <c r="UVJ227" s="1"/>
      <c r="UVK227" s="1"/>
      <c r="UVL227" s="1"/>
      <c r="UVM227" s="1"/>
      <c r="UVN227" s="1"/>
      <c r="UVO227" s="1"/>
      <c r="UVP227" s="1"/>
      <c r="UVQ227" s="1"/>
      <c r="UVR227" s="1"/>
      <c r="UVS227" s="1"/>
      <c r="UVT227" s="1"/>
      <c r="UVU227" s="1"/>
      <c r="UVV227" s="1"/>
      <c r="UVW227" s="1"/>
      <c r="UVX227" s="1"/>
      <c r="UVY227" s="1"/>
      <c r="UVZ227" s="1"/>
      <c r="UWA227" s="1"/>
      <c r="UWB227" s="1"/>
      <c r="UWC227" s="1"/>
      <c r="UWD227" s="1"/>
      <c r="UWE227" s="1"/>
      <c r="UWF227" s="1"/>
      <c r="UWG227" s="1"/>
      <c r="UWH227" s="1"/>
      <c r="UWI227" s="1"/>
      <c r="UWJ227" s="1"/>
      <c r="UWK227" s="1"/>
      <c r="UWL227" s="1"/>
      <c r="UWM227" s="1"/>
      <c r="UWN227" s="1"/>
      <c r="UWO227" s="1"/>
      <c r="UWP227" s="1"/>
      <c r="UWQ227" s="1"/>
      <c r="UWR227" s="1"/>
      <c r="UWS227" s="1"/>
      <c r="UWT227" s="1"/>
      <c r="UWU227" s="1"/>
      <c r="UWV227" s="1"/>
      <c r="UWW227" s="1"/>
      <c r="UWX227" s="1"/>
      <c r="UWY227" s="1"/>
      <c r="UWZ227" s="1"/>
      <c r="UXA227" s="1"/>
      <c r="UXB227" s="1"/>
      <c r="UXC227" s="1"/>
      <c r="UXD227" s="1"/>
      <c r="UXE227" s="1"/>
      <c r="UXF227" s="1"/>
      <c r="UXG227" s="1"/>
      <c r="UXH227" s="1"/>
      <c r="UXI227" s="1"/>
      <c r="UXJ227" s="1"/>
      <c r="UXK227" s="1"/>
      <c r="UXL227" s="1"/>
      <c r="UXM227" s="1"/>
      <c r="UXN227" s="1"/>
      <c r="UXO227" s="1"/>
      <c r="UXP227" s="1"/>
      <c r="UXQ227" s="1"/>
      <c r="UXR227" s="1"/>
      <c r="UXS227" s="1"/>
      <c r="UXT227" s="1"/>
      <c r="UXU227" s="1"/>
      <c r="UXV227" s="1"/>
      <c r="UXW227" s="1"/>
      <c r="UXX227" s="1"/>
      <c r="UXY227" s="1"/>
      <c r="UXZ227" s="1"/>
      <c r="UYA227" s="1"/>
      <c r="UYB227" s="1"/>
      <c r="UYC227" s="1"/>
      <c r="UYD227" s="1"/>
      <c r="UYE227" s="1"/>
      <c r="UYF227" s="1"/>
      <c r="UYG227" s="1"/>
      <c r="UYH227" s="1"/>
      <c r="UYI227" s="1"/>
      <c r="UYJ227" s="1"/>
      <c r="UYK227" s="1"/>
      <c r="UYL227" s="1"/>
      <c r="UYM227" s="1"/>
      <c r="UYN227" s="1"/>
      <c r="UYO227" s="1"/>
      <c r="UYP227" s="1"/>
      <c r="UYQ227" s="1"/>
      <c r="UYR227" s="1"/>
      <c r="UYS227" s="1"/>
      <c r="UYT227" s="1"/>
      <c r="UYU227" s="1"/>
      <c r="UYV227" s="1"/>
      <c r="UYW227" s="1"/>
      <c r="UYX227" s="1"/>
      <c r="UYY227" s="1"/>
      <c r="UYZ227" s="1"/>
      <c r="UZA227" s="1"/>
      <c r="UZB227" s="1"/>
      <c r="UZC227" s="1"/>
      <c r="UZD227" s="1"/>
      <c r="UZE227" s="1"/>
      <c r="UZF227" s="1"/>
      <c r="UZG227" s="1"/>
      <c r="UZH227" s="1"/>
      <c r="UZI227" s="1"/>
      <c r="UZJ227" s="1"/>
      <c r="UZK227" s="1"/>
      <c r="UZL227" s="1"/>
      <c r="UZM227" s="1"/>
      <c r="UZN227" s="1"/>
      <c r="UZO227" s="1"/>
      <c r="UZP227" s="1"/>
      <c r="UZQ227" s="1"/>
      <c r="UZR227" s="1"/>
      <c r="UZS227" s="1"/>
      <c r="UZT227" s="1"/>
      <c r="UZU227" s="1"/>
      <c r="UZV227" s="1"/>
      <c r="UZW227" s="1"/>
      <c r="UZX227" s="1"/>
      <c r="UZY227" s="1"/>
      <c r="UZZ227" s="1"/>
      <c r="VAA227" s="1"/>
      <c r="VAB227" s="1"/>
      <c r="VAC227" s="1"/>
      <c r="VAD227" s="1"/>
      <c r="VAE227" s="1"/>
      <c r="VAF227" s="1"/>
      <c r="VAG227" s="1"/>
      <c r="VAH227" s="1"/>
      <c r="VAI227" s="1"/>
      <c r="VAJ227" s="1"/>
      <c r="VAK227" s="1"/>
      <c r="VAL227" s="1"/>
      <c r="VAM227" s="1"/>
      <c r="VAN227" s="1"/>
      <c r="VAO227" s="1"/>
      <c r="VAP227" s="1"/>
      <c r="VAQ227" s="1"/>
      <c r="VAR227" s="1"/>
      <c r="VAS227" s="1"/>
      <c r="VAT227" s="1"/>
      <c r="VAU227" s="1"/>
      <c r="VAV227" s="1"/>
      <c r="VAW227" s="1"/>
      <c r="VAX227" s="1"/>
      <c r="VAY227" s="1"/>
      <c r="VAZ227" s="1"/>
      <c r="VBA227" s="1"/>
      <c r="VBB227" s="1"/>
      <c r="VBC227" s="1"/>
      <c r="VBD227" s="1"/>
      <c r="VBE227" s="1"/>
      <c r="VBF227" s="1"/>
      <c r="VBG227" s="1"/>
      <c r="VBH227" s="1"/>
      <c r="VBI227" s="1"/>
      <c r="VBJ227" s="1"/>
      <c r="VBK227" s="1"/>
      <c r="VBL227" s="1"/>
      <c r="VBM227" s="1"/>
      <c r="VBN227" s="1"/>
      <c r="VBO227" s="1"/>
      <c r="VBP227" s="1"/>
      <c r="VBQ227" s="1"/>
      <c r="VBR227" s="1"/>
      <c r="VBS227" s="1"/>
      <c r="VBT227" s="1"/>
      <c r="VBU227" s="1"/>
      <c r="VBV227" s="1"/>
      <c r="VBW227" s="1"/>
      <c r="VBX227" s="1"/>
      <c r="VBY227" s="1"/>
      <c r="VBZ227" s="1"/>
      <c r="VCA227" s="1"/>
      <c r="VCB227" s="1"/>
      <c r="VCC227" s="1"/>
      <c r="VCD227" s="1"/>
      <c r="VCE227" s="1"/>
      <c r="VCF227" s="1"/>
      <c r="VCG227" s="1"/>
      <c r="VCH227" s="1"/>
      <c r="VCI227" s="1"/>
      <c r="VCJ227" s="1"/>
      <c r="VCK227" s="1"/>
      <c r="VCL227" s="1"/>
      <c r="VCM227" s="1"/>
      <c r="VCN227" s="1"/>
      <c r="VCO227" s="1"/>
      <c r="VCP227" s="1"/>
      <c r="VCQ227" s="1"/>
      <c r="VCR227" s="1"/>
    </row>
    <row r="228" spans="1:14968" s="2" customFormat="1" x14ac:dyDescent="0.25">
      <c r="A228" s="1"/>
      <c r="B228" s="273"/>
      <c r="C228" s="211" t="s">
        <v>3</v>
      </c>
      <c r="D228" s="188">
        <v>28700</v>
      </c>
      <c r="E228" s="193" t="s">
        <v>2</v>
      </c>
      <c r="F228" s="11">
        <v>22900</v>
      </c>
      <c r="G228" s="11">
        <v>24400</v>
      </c>
      <c r="H228" s="11">
        <v>27900</v>
      </c>
      <c r="I228" s="11">
        <v>27400</v>
      </c>
      <c r="J228" s="11">
        <v>23900</v>
      </c>
      <c r="K228" s="11">
        <v>23200</v>
      </c>
      <c r="L228" s="11">
        <v>21500</v>
      </c>
      <c r="M228" s="11">
        <v>23800</v>
      </c>
      <c r="N228" s="11">
        <v>21900</v>
      </c>
      <c r="O228" s="11">
        <v>22800</v>
      </c>
      <c r="P228" s="11">
        <v>21700</v>
      </c>
      <c r="Q228" s="11">
        <v>20800</v>
      </c>
      <c r="R228" s="11">
        <v>22100</v>
      </c>
      <c r="S228" s="11">
        <v>20600</v>
      </c>
      <c r="T228" s="11">
        <v>21400</v>
      </c>
      <c r="U228" s="11">
        <v>22000</v>
      </c>
      <c r="V228" s="11">
        <v>13300</v>
      </c>
      <c r="W228" s="11">
        <v>6900</v>
      </c>
      <c r="X228" s="11">
        <v>5700</v>
      </c>
      <c r="Y228" s="11">
        <v>5100</v>
      </c>
      <c r="Z228" s="11">
        <v>4700</v>
      </c>
      <c r="AA228" s="11">
        <v>5900</v>
      </c>
      <c r="AB228" s="11">
        <v>9100</v>
      </c>
      <c r="AC228" s="11">
        <v>16300</v>
      </c>
      <c r="AD228" s="11">
        <v>21600</v>
      </c>
      <c r="AE228" s="11">
        <v>26500</v>
      </c>
      <c r="AF228" s="11">
        <v>26300</v>
      </c>
      <c r="AG228" s="11">
        <v>24900</v>
      </c>
      <c r="AH228" s="11">
        <v>29200</v>
      </c>
      <c r="AI228" s="11">
        <v>27600</v>
      </c>
      <c r="AJ228" s="10"/>
      <c r="AK228" s="9">
        <f>SUM(F228:AI228)</f>
        <v>591400</v>
      </c>
      <c r="AL228" s="1"/>
      <c r="AM228" s="8">
        <f>AK228/AK30</f>
        <v>25713.043478260868</v>
      </c>
      <c r="AO228" s="3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  <c r="ALN228" s="1"/>
      <c r="ALO228" s="1"/>
      <c r="ALP228" s="1"/>
      <c r="ALQ228" s="1"/>
      <c r="ALR228" s="1"/>
      <c r="ALS228" s="1"/>
      <c r="ALT228" s="1"/>
      <c r="ALU228" s="1"/>
      <c r="ALV228" s="1"/>
      <c r="ALW228" s="1"/>
      <c r="ALX228" s="1"/>
      <c r="ALY228" s="1"/>
      <c r="ALZ228" s="1"/>
      <c r="AMA228" s="1"/>
      <c r="AMB228" s="1"/>
      <c r="AMC228" s="1"/>
      <c r="AMD228" s="1"/>
      <c r="AME228" s="1"/>
      <c r="AMF228" s="1"/>
      <c r="AMG228" s="1"/>
      <c r="AMH228" s="1"/>
      <c r="AMI228" s="1"/>
      <c r="AMJ228" s="1"/>
      <c r="AMK228" s="1"/>
      <c r="AML228" s="1"/>
      <c r="AMM228" s="1"/>
      <c r="AMN228" s="1"/>
      <c r="AMO228" s="1"/>
      <c r="AMP228" s="1"/>
      <c r="AMQ228" s="1"/>
      <c r="AMR228" s="1"/>
      <c r="AMS228" s="1"/>
      <c r="AMT228" s="1"/>
      <c r="AMU228" s="1"/>
      <c r="AMV228" s="1"/>
      <c r="AMW228" s="1"/>
      <c r="AMX228" s="1"/>
      <c r="AMY228" s="1"/>
      <c r="AMZ228" s="1"/>
      <c r="ANA228" s="1"/>
      <c r="ANB228" s="1"/>
      <c r="ANC228" s="1"/>
      <c r="AND228" s="1"/>
      <c r="ANE228" s="1"/>
      <c r="ANF228" s="1"/>
      <c r="ANG228" s="1"/>
      <c r="ANH228" s="1"/>
      <c r="ANI228" s="1"/>
      <c r="ANJ228" s="1"/>
      <c r="ANK228" s="1"/>
      <c r="ANL228" s="1"/>
      <c r="ANM228" s="1"/>
      <c r="ANN228" s="1"/>
      <c r="ANO228" s="1"/>
      <c r="ANP228" s="1"/>
      <c r="ANQ228" s="1"/>
      <c r="ANR228" s="1"/>
      <c r="ANS228" s="1"/>
      <c r="ANT228" s="1"/>
      <c r="ANU228" s="1"/>
      <c r="ANV228" s="1"/>
      <c r="ANW228" s="1"/>
      <c r="ANX228" s="1"/>
      <c r="ANY228" s="1"/>
      <c r="ANZ228" s="1"/>
      <c r="AOA228" s="1"/>
      <c r="AOB228" s="1"/>
      <c r="AOC228" s="1"/>
      <c r="AOD228" s="1"/>
      <c r="AOE228" s="1"/>
      <c r="AOF228" s="1"/>
      <c r="AOG228" s="1"/>
      <c r="AOH228" s="1"/>
      <c r="AOI228" s="1"/>
      <c r="AOJ228" s="1"/>
      <c r="AOK228" s="1"/>
      <c r="AOL228" s="1"/>
      <c r="AOM228" s="1"/>
      <c r="AON228" s="1"/>
      <c r="AOO228" s="1"/>
      <c r="AOP228" s="1"/>
      <c r="AOQ228" s="1"/>
      <c r="AOR228" s="1"/>
      <c r="AOS228" s="1"/>
      <c r="AOT228" s="1"/>
      <c r="AOU228" s="1"/>
      <c r="AOV228" s="1"/>
      <c r="AOW228" s="1"/>
      <c r="AOX228" s="1"/>
      <c r="AOY228" s="1"/>
      <c r="AOZ228" s="1"/>
      <c r="APA228" s="1"/>
      <c r="APB228" s="1"/>
      <c r="APC228" s="1"/>
      <c r="APD228" s="1"/>
      <c r="APE228" s="1"/>
      <c r="APF228" s="1"/>
      <c r="APG228" s="1"/>
      <c r="APH228" s="1"/>
      <c r="API228" s="1"/>
      <c r="APJ228" s="1"/>
      <c r="APK228" s="1"/>
      <c r="APL228" s="1"/>
      <c r="APM228" s="1"/>
      <c r="APN228" s="1"/>
      <c r="APO228" s="1"/>
      <c r="APP228" s="1"/>
      <c r="APQ228" s="1"/>
      <c r="APR228" s="1"/>
      <c r="APS228" s="1"/>
      <c r="APT228" s="1"/>
      <c r="APU228" s="1"/>
      <c r="APV228" s="1"/>
      <c r="APW228" s="1"/>
      <c r="APX228" s="1"/>
      <c r="APY228" s="1"/>
      <c r="APZ228" s="1"/>
      <c r="AQA228" s="1"/>
      <c r="AQB228" s="1"/>
      <c r="AQC228" s="1"/>
      <c r="AQD228" s="1"/>
      <c r="AQE228" s="1"/>
      <c r="AQF228" s="1"/>
      <c r="AQG228" s="1"/>
      <c r="AQH228" s="1"/>
      <c r="AQI228" s="1"/>
      <c r="AQJ228" s="1"/>
      <c r="AQK228" s="1"/>
      <c r="AQL228" s="1"/>
      <c r="AQM228" s="1"/>
      <c r="AQN228" s="1"/>
      <c r="AQO228" s="1"/>
      <c r="AQP228" s="1"/>
      <c r="AQQ228" s="1"/>
      <c r="AQR228" s="1"/>
      <c r="AQS228" s="1"/>
      <c r="AQT228" s="1"/>
      <c r="AQU228" s="1"/>
      <c r="AQV228" s="1"/>
      <c r="AQW228" s="1"/>
      <c r="AQX228" s="1"/>
      <c r="AQY228" s="1"/>
      <c r="AQZ228" s="1"/>
      <c r="ARA228" s="1"/>
      <c r="ARB228" s="1"/>
      <c r="ARC228" s="1"/>
      <c r="ARD228" s="1"/>
      <c r="ARE228" s="1"/>
      <c r="ARF228" s="1"/>
      <c r="ARG228" s="1"/>
      <c r="ARH228" s="1"/>
      <c r="ARI228" s="1"/>
      <c r="ARJ228" s="1"/>
      <c r="ARK228" s="1"/>
      <c r="ARL228" s="1"/>
      <c r="ARM228" s="1"/>
      <c r="ARN228" s="1"/>
      <c r="ARO228" s="1"/>
      <c r="ARP228" s="1"/>
      <c r="ARQ228" s="1"/>
      <c r="ARR228" s="1"/>
      <c r="ARS228" s="1"/>
      <c r="ART228" s="1"/>
      <c r="ARU228" s="1"/>
      <c r="ARV228" s="1"/>
      <c r="ARW228" s="1"/>
      <c r="ARX228" s="1"/>
      <c r="ARY228" s="1"/>
      <c r="ARZ228" s="1"/>
      <c r="ASA228" s="1"/>
      <c r="ASB228" s="1"/>
      <c r="ASC228" s="1"/>
      <c r="ASD228" s="1"/>
      <c r="ASE228" s="1"/>
      <c r="ASF228" s="1"/>
      <c r="ASG228" s="1"/>
      <c r="ASH228" s="1"/>
      <c r="ASI228" s="1"/>
      <c r="ASJ228" s="1"/>
      <c r="ASK228" s="1"/>
      <c r="ASL228" s="1"/>
      <c r="ASM228" s="1"/>
      <c r="ASN228" s="1"/>
      <c r="ASO228" s="1"/>
      <c r="ASP228" s="1"/>
      <c r="ASQ228" s="1"/>
      <c r="ASR228" s="1"/>
      <c r="ASS228" s="1"/>
      <c r="AST228" s="1"/>
      <c r="ASU228" s="1"/>
      <c r="ASV228" s="1"/>
      <c r="ASW228" s="1"/>
      <c r="ASX228" s="1"/>
      <c r="ASY228" s="1"/>
      <c r="ASZ228" s="1"/>
      <c r="ATA228" s="1"/>
      <c r="ATB228" s="1"/>
      <c r="ATC228" s="1"/>
      <c r="ATD228" s="1"/>
      <c r="ATE228" s="1"/>
      <c r="ATF228" s="1"/>
      <c r="ATG228" s="1"/>
      <c r="ATH228" s="1"/>
      <c r="ATI228" s="1"/>
      <c r="ATJ228" s="1"/>
      <c r="ATK228" s="1"/>
      <c r="ATL228" s="1"/>
      <c r="ATM228" s="1"/>
      <c r="ATN228" s="1"/>
      <c r="ATO228" s="1"/>
      <c r="ATP228" s="1"/>
      <c r="ATQ228" s="1"/>
      <c r="ATR228" s="1"/>
      <c r="ATS228" s="1"/>
      <c r="ATT228" s="1"/>
      <c r="ATU228" s="1"/>
      <c r="ATV228" s="1"/>
      <c r="ATW228" s="1"/>
      <c r="ATX228" s="1"/>
      <c r="ATY228" s="1"/>
      <c r="ATZ228" s="1"/>
      <c r="AUA228" s="1"/>
      <c r="AUB228" s="1"/>
      <c r="AUC228" s="1"/>
      <c r="AUD228" s="1"/>
      <c r="AUE228" s="1"/>
      <c r="AUF228" s="1"/>
      <c r="AUG228" s="1"/>
      <c r="AUH228" s="1"/>
      <c r="AUI228" s="1"/>
      <c r="AUJ228" s="1"/>
      <c r="AUK228" s="1"/>
      <c r="AUL228" s="1"/>
      <c r="AUM228" s="1"/>
      <c r="AUN228" s="1"/>
      <c r="AUO228" s="1"/>
      <c r="AUP228" s="1"/>
      <c r="AUQ228" s="1"/>
      <c r="AUR228" s="1"/>
      <c r="AUS228" s="1"/>
      <c r="AUT228" s="1"/>
      <c r="AUU228" s="1"/>
      <c r="AUV228" s="1"/>
      <c r="AUW228" s="1"/>
      <c r="AUX228" s="1"/>
      <c r="AUY228" s="1"/>
      <c r="AUZ228" s="1"/>
      <c r="AVA228" s="1"/>
      <c r="AVB228" s="1"/>
      <c r="AVC228" s="1"/>
      <c r="AVD228" s="1"/>
      <c r="AVE228" s="1"/>
      <c r="AVF228" s="1"/>
      <c r="AVG228" s="1"/>
      <c r="AVH228" s="1"/>
      <c r="AVI228" s="1"/>
      <c r="AVJ228" s="1"/>
      <c r="AVK228" s="1"/>
      <c r="AVL228" s="1"/>
      <c r="AVM228" s="1"/>
      <c r="AVN228" s="1"/>
      <c r="AVO228" s="1"/>
      <c r="AVP228" s="1"/>
      <c r="AVQ228" s="1"/>
      <c r="AVR228" s="1"/>
      <c r="AVS228" s="1"/>
      <c r="AVT228" s="1"/>
      <c r="AVU228" s="1"/>
      <c r="AVV228" s="1"/>
      <c r="AVW228" s="1"/>
      <c r="AVX228" s="1"/>
      <c r="AVY228" s="1"/>
      <c r="AVZ228" s="1"/>
      <c r="AWA228" s="1"/>
      <c r="AWB228" s="1"/>
      <c r="AWC228" s="1"/>
      <c r="AWD228" s="1"/>
      <c r="AWE228" s="1"/>
      <c r="AWF228" s="1"/>
      <c r="AWG228" s="1"/>
      <c r="AWH228" s="1"/>
      <c r="AWI228" s="1"/>
      <c r="AWJ228" s="1"/>
      <c r="AWK228" s="1"/>
      <c r="AWL228" s="1"/>
      <c r="AWM228" s="1"/>
      <c r="AWN228" s="1"/>
      <c r="AWO228" s="1"/>
      <c r="AWP228" s="1"/>
      <c r="AWQ228" s="1"/>
      <c r="AWR228" s="1"/>
      <c r="AWS228" s="1"/>
      <c r="AWT228" s="1"/>
      <c r="AWU228" s="1"/>
      <c r="AWV228" s="1"/>
      <c r="AWW228" s="1"/>
      <c r="AWX228" s="1"/>
      <c r="AWY228" s="1"/>
      <c r="AWZ228" s="1"/>
      <c r="AXA228" s="1"/>
      <c r="AXB228" s="1"/>
      <c r="AXC228" s="1"/>
      <c r="AXD228" s="1"/>
      <c r="AXE228" s="1"/>
      <c r="AXF228" s="1"/>
      <c r="AXG228" s="1"/>
      <c r="AXH228" s="1"/>
      <c r="AXI228" s="1"/>
      <c r="AXJ228" s="1"/>
      <c r="AXK228" s="1"/>
      <c r="AXL228" s="1"/>
      <c r="AXM228" s="1"/>
      <c r="AXN228" s="1"/>
      <c r="AXO228" s="1"/>
      <c r="AXP228" s="1"/>
      <c r="AXQ228" s="1"/>
      <c r="AXR228" s="1"/>
      <c r="AXS228" s="1"/>
      <c r="AXT228" s="1"/>
      <c r="AXU228" s="1"/>
      <c r="AXV228" s="1"/>
      <c r="AXW228" s="1"/>
      <c r="AXX228" s="1"/>
      <c r="AXY228" s="1"/>
      <c r="AXZ228" s="1"/>
      <c r="AYA228" s="1"/>
      <c r="AYB228" s="1"/>
      <c r="AYC228" s="1"/>
      <c r="AYD228" s="1"/>
      <c r="AYE228" s="1"/>
      <c r="AYF228" s="1"/>
      <c r="AYG228" s="1"/>
      <c r="AYH228" s="1"/>
      <c r="AYI228" s="1"/>
      <c r="AYJ228" s="1"/>
      <c r="AYK228" s="1"/>
      <c r="AYL228" s="1"/>
      <c r="AYM228" s="1"/>
      <c r="AYN228" s="1"/>
      <c r="AYO228" s="1"/>
      <c r="AYP228" s="1"/>
      <c r="AYQ228" s="1"/>
      <c r="AYR228" s="1"/>
      <c r="AYS228" s="1"/>
      <c r="AYT228" s="1"/>
      <c r="AYU228" s="1"/>
      <c r="AYV228" s="1"/>
      <c r="AYW228" s="1"/>
      <c r="AYX228" s="1"/>
      <c r="AYY228" s="1"/>
      <c r="AYZ228" s="1"/>
      <c r="AZA228" s="1"/>
      <c r="AZB228" s="1"/>
      <c r="AZC228" s="1"/>
      <c r="AZD228" s="1"/>
      <c r="AZE228" s="1"/>
      <c r="AZF228" s="1"/>
      <c r="AZG228" s="1"/>
      <c r="AZH228" s="1"/>
      <c r="AZI228" s="1"/>
      <c r="AZJ228" s="1"/>
      <c r="AZK228" s="1"/>
      <c r="AZL228" s="1"/>
      <c r="AZM228" s="1"/>
      <c r="AZN228" s="1"/>
      <c r="AZO228" s="1"/>
      <c r="AZP228" s="1"/>
      <c r="AZQ228" s="1"/>
      <c r="AZR228" s="1"/>
      <c r="AZS228" s="1"/>
      <c r="AZT228" s="1"/>
      <c r="AZU228" s="1"/>
      <c r="AZV228" s="1"/>
      <c r="AZW228" s="1"/>
      <c r="AZX228" s="1"/>
      <c r="AZY228" s="1"/>
      <c r="AZZ228" s="1"/>
      <c r="BAA228" s="1"/>
      <c r="BAB228" s="1"/>
      <c r="BAC228" s="1"/>
      <c r="BAD228" s="1"/>
      <c r="BAE228" s="1"/>
      <c r="BAF228" s="1"/>
      <c r="BAG228" s="1"/>
      <c r="BAH228" s="1"/>
      <c r="BAI228" s="1"/>
      <c r="BAJ228" s="1"/>
      <c r="BAK228" s="1"/>
      <c r="BAL228" s="1"/>
      <c r="BAM228" s="1"/>
      <c r="BAN228" s="1"/>
      <c r="BAO228" s="1"/>
      <c r="BAP228" s="1"/>
      <c r="BAQ228" s="1"/>
      <c r="BAR228" s="1"/>
      <c r="BAS228" s="1"/>
      <c r="BAT228" s="1"/>
      <c r="BAU228" s="1"/>
      <c r="BAV228" s="1"/>
      <c r="BAW228" s="1"/>
      <c r="BAX228" s="1"/>
      <c r="BAY228" s="1"/>
      <c r="BAZ228" s="1"/>
      <c r="BBA228" s="1"/>
      <c r="BBB228" s="1"/>
      <c r="BBC228" s="1"/>
      <c r="BBD228" s="1"/>
      <c r="BBE228" s="1"/>
      <c r="BBF228" s="1"/>
      <c r="BBG228" s="1"/>
      <c r="BBH228" s="1"/>
      <c r="BBI228" s="1"/>
      <c r="BBJ228" s="1"/>
      <c r="BBK228" s="1"/>
      <c r="BBL228" s="1"/>
      <c r="BBM228" s="1"/>
      <c r="BBN228" s="1"/>
      <c r="BBO228" s="1"/>
      <c r="BBP228" s="1"/>
      <c r="BBQ228" s="1"/>
      <c r="BBR228" s="1"/>
      <c r="BBS228" s="1"/>
      <c r="BBT228" s="1"/>
      <c r="BBU228" s="1"/>
      <c r="BBV228" s="1"/>
      <c r="BBW228" s="1"/>
      <c r="BBX228" s="1"/>
      <c r="BBY228" s="1"/>
      <c r="BBZ228" s="1"/>
      <c r="BCA228" s="1"/>
      <c r="BCB228" s="1"/>
      <c r="BCC228" s="1"/>
      <c r="BCD228" s="1"/>
      <c r="BCE228" s="1"/>
      <c r="BCF228" s="1"/>
      <c r="BCG228" s="1"/>
      <c r="BCH228" s="1"/>
      <c r="BCI228" s="1"/>
      <c r="BCJ228" s="1"/>
      <c r="BCK228" s="1"/>
      <c r="BCL228" s="1"/>
      <c r="BCM228" s="1"/>
      <c r="BCN228" s="1"/>
      <c r="BCO228" s="1"/>
      <c r="BCP228" s="1"/>
      <c r="BCQ228" s="1"/>
      <c r="BCR228" s="1"/>
      <c r="BCS228" s="1"/>
      <c r="BCT228" s="1"/>
      <c r="BCU228" s="1"/>
      <c r="BCV228" s="1"/>
      <c r="BCW228" s="1"/>
      <c r="BCX228" s="1"/>
      <c r="BCY228" s="1"/>
      <c r="BCZ228" s="1"/>
      <c r="BDA228" s="1"/>
      <c r="BDB228" s="1"/>
      <c r="BDC228" s="1"/>
      <c r="BDD228" s="1"/>
      <c r="BDE228" s="1"/>
      <c r="BDF228" s="1"/>
      <c r="BDG228" s="1"/>
      <c r="BDH228" s="1"/>
      <c r="BDI228" s="1"/>
      <c r="BDJ228" s="1"/>
      <c r="BDK228" s="1"/>
      <c r="BDL228" s="1"/>
      <c r="BDM228" s="1"/>
      <c r="BDN228" s="1"/>
      <c r="BDO228" s="1"/>
      <c r="BDP228" s="1"/>
      <c r="BDQ228" s="1"/>
      <c r="BDR228" s="1"/>
      <c r="BDS228" s="1"/>
      <c r="BDT228" s="1"/>
      <c r="BDU228" s="1"/>
      <c r="BDV228" s="1"/>
      <c r="BDW228" s="1"/>
      <c r="BDX228" s="1"/>
      <c r="BDY228" s="1"/>
      <c r="BDZ228" s="1"/>
      <c r="BEA228" s="1"/>
      <c r="BEB228" s="1"/>
      <c r="BEC228" s="1"/>
      <c r="BED228" s="1"/>
      <c r="BEE228" s="1"/>
      <c r="BEF228" s="1"/>
      <c r="BEG228" s="1"/>
      <c r="BEH228" s="1"/>
      <c r="BEI228" s="1"/>
      <c r="BEJ228" s="1"/>
      <c r="BEK228" s="1"/>
      <c r="BEL228" s="1"/>
      <c r="BEM228" s="1"/>
      <c r="BEN228" s="1"/>
      <c r="BEO228" s="1"/>
      <c r="BEP228" s="1"/>
      <c r="BEQ228" s="1"/>
      <c r="BER228" s="1"/>
      <c r="BES228" s="1"/>
      <c r="BET228" s="1"/>
      <c r="BEU228" s="1"/>
      <c r="BEV228" s="1"/>
      <c r="BEW228" s="1"/>
      <c r="BEX228" s="1"/>
      <c r="BEY228" s="1"/>
      <c r="BEZ228" s="1"/>
      <c r="BFA228" s="1"/>
      <c r="BFB228" s="1"/>
      <c r="BFC228" s="1"/>
      <c r="BFD228" s="1"/>
      <c r="BFE228" s="1"/>
      <c r="BFF228" s="1"/>
      <c r="BFG228" s="1"/>
      <c r="BFH228" s="1"/>
      <c r="BFI228" s="1"/>
      <c r="BFJ228" s="1"/>
      <c r="BFK228" s="1"/>
      <c r="BFL228" s="1"/>
      <c r="BFM228" s="1"/>
      <c r="BFN228" s="1"/>
      <c r="BFO228" s="1"/>
      <c r="BFP228" s="1"/>
      <c r="BFQ228" s="1"/>
      <c r="BFR228" s="1"/>
      <c r="BFS228" s="1"/>
      <c r="BFT228" s="1"/>
      <c r="BFU228" s="1"/>
      <c r="BFV228" s="1"/>
      <c r="BFW228" s="1"/>
      <c r="BFX228" s="1"/>
      <c r="BFY228" s="1"/>
      <c r="BFZ228" s="1"/>
      <c r="BGA228" s="1"/>
      <c r="BGB228" s="1"/>
      <c r="BGC228" s="1"/>
      <c r="BGD228" s="1"/>
      <c r="BGE228" s="1"/>
      <c r="BGF228" s="1"/>
      <c r="BGG228" s="1"/>
      <c r="BGH228" s="1"/>
      <c r="BGI228" s="1"/>
      <c r="BGJ228" s="1"/>
      <c r="BGK228" s="1"/>
      <c r="BGL228" s="1"/>
      <c r="BGM228" s="1"/>
      <c r="BGN228" s="1"/>
      <c r="BGO228" s="1"/>
      <c r="BGP228" s="1"/>
      <c r="BGQ228" s="1"/>
      <c r="BGR228" s="1"/>
      <c r="BGS228" s="1"/>
      <c r="BGT228" s="1"/>
      <c r="BGU228" s="1"/>
      <c r="BGV228" s="1"/>
      <c r="BGW228" s="1"/>
      <c r="BGX228" s="1"/>
      <c r="BGY228" s="1"/>
      <c r="BGZ228" s="1"/>
      <c r="BHA228" s="1"/>
      <c r="BHB228" s="1"/>
      <c r="BHC228" s="1"/>
      <c r="BHD228" s="1"/>
      <c r="BHE228" s="1"/>
      <c r="BHF228" s="1"/>
      <c r="BHG228" s="1"/>
      <c r="BHH228" s="1"/>
      <c r="BHI228" s="1"/>
      <c r="BHJ228" s="1"/>
      <c r="BHK228" s="1"/>
      <c r="BHL228" s="1"/>
      <c r="BHM228" s="1"/>
      <c r="BHN228" s="1"/>
      <c r="BHO228" s="1"/>
      <c r="BHP228" s="1"/>
      <c r="BHQ228" s="1"/>
      <c r="BHR228" s="1"/>
      <c r="BHS228" s="1"/>
      <c r="BHT228" s="1"/>
      <c r="BHU228" s="1"/>
      <c r="BHV228" s="1"/>
      <c r="BHW228" s="1"/>
      <c r="BHX228" s="1"/>
      <c r="BHY228" s="1"/>
      <c r="BHZ228" s="1"/>
      <c r="BIA228" s="1"/>
      <c r="BIB228" s="1"/>
      <c r="BIC228" s="1"/>
      <c r="BID228" s="1"/>
      <c r="BIE228" s="1"/>
      <c r="BIF228" s="1"/>
      <c r="BIG228" s="1"/>
      <c r="BIH228" s="1"/>
      <c r="BII228" s="1"/>
      <c r="BIJ228" s="1"/>
      <c r="BIK228" s="1"/>
      <c r="BIL228" s="1"/>
      <c r="BIM228" s="1"/>
      <c r="BIN228" s="1"/>
      <c r="BIO228" s="1"/>
      <c r="BIP228" s="1"/>
      <c r="BIQ228" s="1"/>
      <c r="BIR228" s="1"/>
      <c r="BIS228" s="1"/>
      <c r="BIT228" s="1"/>
      <c r="BIU228" s="1"/>
      <c r="BIV228" s="1"/>
      <c r="BIW228" s="1"/>
      <c r="BIX228" s="1"/>
      <c r="BIY228" s="1"/>
      <c r="BIZ228" s="1"/>
      <c r="BJA228" s="1"/>
      <c r="BJB228" s="1"/>
      <c r="BJC228" s="1"/>
      <c r="BJD228" s="1"/>
      <c r="BJE228" s="1"/>
      <c r="BJF228" s="1"/>
      <c r="BJG228" s="1"/>
      <c r="BJH228" s="1"/>
      <c r="BJI228" s="1"/>
      <c r="BJJ228" s="1"/>
      <c r="BJK228" s="1"/>
      <c r="BJL228" s="1"/>
      <c r="BJM228" s="1"/>
      <c r="BJN228" s="1"/>
      <c r="BJO228" s="1"/>
      <c r="BJP228" s="1"/>
      <c r="BJQ228" s="1"/>
      <c r="BJR228" s="1"/>
      <c r="BJS228" s="1"/>
      <c r="BJT228" s="1"/>
      <c r="BJU228" s="1"/>
      <c r="BJV228" s="1"/>
      <c r="BJW228" s="1"/>
      <c r="BJX228" s="1"/>
      <c r="BJY228" s="1"/>
      <c r="BJZ228" s="1"/>
      <c r="BKA228" s="1"/>
      <c r="BKB228" s="1"/>
      <c r="BKC228" s="1"/>
      <c r="BKD228" s="1"/>
      <c r="BKE228" s="1"/>
      <c r="BKF228" s="1"/>
      <c r="BKG228" s="1"/>
      <c r="BKH228" s="1"/>
      <c r="BKI228" s="1"/>
      <c r="BKJ228" s="1"/>
      <c r="BKK228" s="1"/>
      <c r="BKL228" s="1"/>
      <c r="BKM228" s="1"/>
      <c r="BKN228" s="1"/>
      <c r="BKO228" s="1"/>
      <c r="BKP228" s="1"/>
      <c r="BKQ228" s="1"/>
      <c r="BKR228" s="1"/>
      <c r="BKS228" s="1"/>
      <c r="BKT228" s="1"/>
      <c r="BKU228" s="1"/>
      <c r="BKV228" s="1"/>
      <c r="BKW228" s="1"/>
      <c r="BKX228" s="1"/>
      <c r="BKY228" s="1"/>
      <c r="BKZ228" s="1"/>
      <c r="BLA228" s="1"/>
      <c r="BLB228" s="1"/>
      <c r="BLC228" s="1"/>
      <c r="BLD228" s="1"/>
      <c r="BLE228" s="1"/>
      <c r="BLF228" s="1"/>
      <c r="BLG228" s="1"/>
      <c r="BLH228" s="1"/>
      <c r="BLI228" s="1"/>
      <c r="BLJ228" s="1"/>
      <c r="BLK228" s="1"/>
      <c r="BLL228" s="1"/>
      <c r="BLM228" s="1"/>
      <c r="BLN228" s="1"/>
      <c r="BLO228" s="1"/>
      <c r="BLP228" s="1"/>
      <c r="BLQ228" s="1"/>
      <c r="BLR228" s="1"/>
      <c r="BLS228" s="1"/>
      <c r="BLT228" s="1"/>
      <c r="BLU228" s="1"/>
      <c r="BLV228" s="1"/>
      <c r="BLW228" s="1"/>
      <c r="BLX228" s="1"/>
      <c r="BLY228" s="1"/>
      <c r="BLZ228" s="1"/>
      <c r="BMA228" s="1"/>
      <c r="BMB228" s="1"/>
      <c r="BMC228" s="1"/>
      <c r="BMD228" s="1"/>
      <c r="BME228" s="1"/>
      <c r="BMF228" s="1"/>
      <c r="BMG228" s="1"/>
      <c r="BMH228" s="1"/>
      <c r="BMI228" s="1"/>
      <c r="BMJ228" s="1"/>
      <c r="BMK228" s="1"/>
      <c r="BML228" s="1"/>
      <c r="BMM228" s="1"/>
      <c r="BMN228" s="1"/>
      <c r="BMO228" s="1"/>
      <c r="BMP228" s="1"/>
      <c r="BMQ228" s="1"/>
      <c r="BMR228" s="1"/>
      <c r="BMS228" s="1"/>
      <c r="BMT228" s="1"/>
      <c r="BMU228" s="1"/>
      <c r="BMV228" s="1"/>
      <c r="BMW228" s="1"/>
      <c r="BMX228" s="1"/>
      <c r="BMY228" s="1"/>
      <c r="BMZ228" s="1"/>
      <c r="BNA228" s="1"/>
      <c r="BNB228" s="1"/>
      <c r="BNC228" s="1"/>
      <c r="BND228" s="1"/>
      <c r="BNE228" s="1"/>
      <c r="BNF228" s="1"/>
      <c r="BNG228" s="1"/>
      <c r="BNH228" s="1"/>
      <c r="BNI228" s="1"/>
      <c r="BNJ228" s="1"/>
      <c r="BNK228" s="1"/>
      <c r="BNL228" s="1"/>
      <c r="BNM228" s="1"/>
      <c r="BNN228" s="1"/>
      <c r="BNO228" s="1"/>
      <c r="BNP228" s="1"/>
      <c r="BNQ228" s="1"/>
      <c r="BNR228" s="1"/>
      <c r="BNS228" s="1"/>
      <c r="BNT228" s="1"/>
      <c r="BNU228" s="1"/>
      <c r="BNV228" s="1"/>
      <c r="BNW228" s="1"/>
      <c r="BNX228" s="1"/>
      <c r="BNY228" s="1"/>
      <c r="BNZ228" s="1"/>
      <c r="BOA228" s="1"/>
      <c r="BOB228" s="1"/>
      <c r="BOC228" s="1"/>
      <c r="BOD228" s="1"/>
      <c r="BOE228" s="1"/>
      <c r="BOF228" s="1"/>
      <c r="BOG228" s="1"/>
      <c r="BOH228" s="1"/>
      <c r="BOI228" s="1"/>
      <c r="BOJ228" s="1"/>
      <c r="BOK228" s="1"/>
      <c r="BOL228" s="1"/>
      <c r="BOM228" s="1"/>
      <c r="BON228" s="1"/>
      <c r="BOO228" s="1"/>
      <c r="BOP228" s="1"/>
      <c r="BOQ228" s="1"/>
      <c r="BOR228" s="1"/>
      <c r="BOS228" s="1"/>
      <c r="BOT228" s="1"/>
      <c r="BOU228" s="1"/>
      <c r="BOV228" s="1"/>
      <c r="BOW228" s="1"/>
      <c r="BOX228" s="1"/>
      <c r="BOY228" s="1"/>
      <c r="BOZ228" s="1"/>
      <c r="BPA228" s="1"/>
      <c r="BPB228" s="1"/>
      <c r="BPC228" s="1"/>
      <c r="BPD228" s="1"/>
      <c r="BPE228" s="1"/>
      <c r="BPF228" s="1"/>
      <c r="BPG228" s="1"/>
      <c r="BPH228" s="1"/>
      <c r="BPI228" s="1"/>
      <c r="BPJ228" s="1"/>
      <c r="BPK228" s="1"/>
      <c r="BPL228" s="1"/>
      <c r="BPM228" s="1"/>
      <c r="BPN228" s="1"/>
      <c r="BPO228" s="1"/>
      <c r="BPP228" s="1"/>
      <c r="BPQ228" s="1"/>
      <c r="BPR228" s="1"/>
      <c r="BPS228" s="1"/>
      <c r="BPT228" s="1"/>
      <c r="BPU228" s="1"/>
      <c r="BPV228" s="1"/>
      <c r="BPW228" s="1"/>
      <c r="BPX228" s="1"/>
      <c r="BPY228" s="1"/>
      <c r="BPZ228" s="1"/>
      <c r="BQA228" s="1"/>
      <c r="BQB228" s="1"/>
      <c r="BQC228" s="1"/>
      <c r="BQD228" s="1"/>
      <c r="BQE228" s="1"/>
      <c r="BQF228" s="1"/>
      <c r="BQG228" s="1"/>
      <c r="BQH228" s="1"/>
      <c r="BQI228" s="1"/>
      <c r="BQJ228" s="1"/>
      <c r="BQK228" s="1"/>
      <c r="BQL228" s="1"/>
      <c r="BQM228" s="1"/>
      <c r="BQN228" s="1"/>
      <c r="BQO228" s="1"/>
      <c r="BQP228" s="1"/>
      <c r="BQQ228" s="1"/>
      <c r="BQR228" s="1"/>
      <c r="BQS228" s="1"/>
      <c r="BQT228" s="1"/>
      <c r="BQU228" s="1"/>
      <c r="BQV228" s="1"/>
      <c r="BQW228" s="1"/>
      <c r="BQX228" s="1"/>
      <c r="BQY228" s="1"/>
      <c r="BQZ228" s="1"/>
      <c r="BRA228" s="1"/>
      <c r="BRB228" s="1"/>
      <c r="BRC228" s="1"/>
      <c r="BRD228" s="1"/>
      <c r="BRE228" s="1"/>
      <c r="BRF228" s="1"/>
      <c r="BRG228" s="1"/>
      <c r="BRH228" s="1"/>
      <c r="BRI228" s="1"/>
      <c r="BRJ228" s="1"/>
      <c r="BRK228" s="1"/>
      <c r="BRL228" s="1"/>
      <c r="BRM228" s="1"/>
      <c r="BRN228" s="1"/>
      <c r="BRO228" s="1"/>
      <c r="BRP228" s="1"/>
      <c r="BRQ228" s="1"/>
      <c r="BRR228" s="1"/>
      <c r="BRS228" s="1"/>
      <c r="BRT228" s="1"/>
      <c r="BRU228" s="1"/>
      <c r="BRV228" s="1"/>
      <c r="BRW228" s="1"/>
      <c r="BRX228" s="1"/>
      <c r="BRY228" s="1"/>
      <c r="BRZ228" s="1"/>
      <c r="BSA228" s="1"/>
      <c r="BSB228" s="1"/>
      <c r="BSC228" s="1"/>
      <c r="BSD228" s="1"/>
      <c r="BSE228" s="1"/>
      <c r="BSF228" s="1"/>
      <c r="BSG228" s="1"/>
      <c r="BSH228" s="1"/>
      <c r="BSI228" s="1"/>
      <c r="BSJ228" s="1"/>
      <c r="BSK228" s="1"/>
      <c r="BSL228" s="1"/>
      <c r="BSM228" s="1"/>
      <c r="BSN228" s="1"/>
      <c r="BSO228" s="1"/>
      <c r="BSP228" s="1"/>
      <c r="BSQ228" s="1"/>
      <c r="BSR228" s="1"/>
      <c r="BSS228" s="1"/>
      <c r="BST228" s="1"/>
      <c r="BSU228" s="1"/>
      <c r="BSV228" s="1"/>
      <c r="BSW228" s="1"/>
      <c r="BSX228" s="1"/>
      <c r="BSY228" s="1"/>
      <c r="BSZ228" s="1"/>
      <c r="BTA228" s="1"/>
      <c r="BTB228" s="1"/>
      <c r="BTC228" s="1"/>
      <c r="BTD228" s="1"/>
      <c r="BTE228" s="1"/>
      <c r="BTF228" s="1"/>
      <c r="BTG228" s="1"/>
      <c r="BTH228" s="1"/>
      <c r="BTI228" s="1"/>
      <c r="BTJ228" s="1"/>
      <c r="BTK228" s="1"/>
      <c r="BTL228" s="1"/>
      <c r="BTM228" s="1"/>
      <c r="BTN228" s="1"/>
      <c r="BTO228" s="1"/>
      <c r="BTP228" s="1"/>
      <c r="BTQ228" s="1"/>
      <c r="BTR228" s="1"/>
      <c r="BTS228" s="1"/>
      <c r="BTT228" s="1"/>
      <c r="BTU228" s="1"/>
      <c r="BTV228" s="1"/>
      <c r="BTW228" s="1"/>
      <c r="BTX228" s="1"/>
      <c r="BTY228" s="1"/>
      <c r="BTZ228" s="1"/>
      <c r="BUA228" s="1"/>
      <c r="BUB228" s="1"/>
      <c r="BUC228" s="1"/>
      <c r="BUD228" s="1"/>
      <c r="BUE228" s="1"/>
      <c r="BUF228" s="1"/>
      <c r="BUG228" s="1"/>
      <c r="BUH228" s="1"/>
      <c r="BUI228" s="1"/>
      <c r="BUJ228" s="1"/>
      <c r="BUK228" s="1"/>
      <c r="BUL228" s="1"/>
      <c r="BUM228" s="1"/>
      <c r="BUN228" s="1"/>
      <c r="BUO228" s="1"/>
      <c r="BUP228" s="1"/>
      <c r="BUQ228" s="1"/>
      <c r="BUR228" s="1"/>
      <c r="BUS228" s="1"/>
      <c r="BUT228" s="1"/>
      <c r="BUU228" s="1"/>
      <c r="BUV228" s="1"/>
      <c r="BUW228" s="1"/>
      <c r="BUX228" s="1"/>
      <c r="BUY228" s="1"/>
      <c r="BUZ228" s="1"/>
      <c r="BVA228" s="1"/>
      <c r="BVB228" s="1"/>
      <c r="BVC228" s="1"/>
      <c r="BVD228" s="1"/>
      <c r="BVE228" s="1"/>
      <c r="BVF228" s="1"/>
      <c r="BVG228" s="1"/>
      <c r="BVH228" s="1"/>
      <c r="BVI228" s="1"/>
      <c r="BVJ228" s="1"/>
      <c r="BVK228" s="1"/>
      <c r="BVL228" s="1"/>
      <c r="BVM228" s="1"/>
      <c r="BVN228" s="1"/>
      <c r="BVO228" s="1"/>
      <c r="BVP228" s="1"/>
      <c r="BVQ228" s="1"/>
      <c r="BVR228" s="1"/>
      <c r="BVS228" s="1"/>
      <c r="BVT228" s="1"/>
      <c r="BVU228" s="1"/>
      <c r="BVV228" s="1"/>
      <c r="BVW228" s="1"/>
      <c r="BVX228" s="1"/>
      <c r="BVY228" s="1"/>
      <c r="BVZ228" s="1"/>
      <c r="BWA228" s="1"/>
      <c r="BWB228" s="1"/>
      <c r="BWC228" s="1"/>
      <c r="BWD228" s="1"/>
      <c r="BWE228" s="1"/>
      <c r="BWF228" s="1"/>
      <c r="BWG228" s="1"/>
      <c r="BWH228" s="1"/>
      <c r="BWI228" s="1"/>
      <c r="BWJ228" s="1"/>
      <c r="BWK228" s="1"/>
      <c r="BWL228" s="1"/>
      <c r="BWM228" s="1"/>
      <c r="BWN228" s="1"/>
      <c r="BWO228" s="1"/>
      <c r="BWP228" s="1"/>
      <c r="BWQ228" s="1"/>
      <c r="BWR228" s="1"/>
      <c r="BWS228" s="1"/>
      <c r="BWT228" s="1"/>
      <c r="BWU228" s="1"/>
      <c r="BWV228" s="1"/>
      <c r="BWW228" s="1"/>
      <c r="BWX228" s="1"/>
      <c r="BWY228" s="1"/>
      <c r="BWZ228" s="1"/>
      <c r="BXA228" s="1"/>
      <c r="BXB228" s="1"/>
      <c r="BXC228" s="1"/>
      <c r="BXD228" s="1"/>
      <c r="BXE228" s="1"/>
      <c r="BXF228" s="1"/>
      <c r="BXG228" s="1"/>
      <c r="BXH228" s="1"/>
      <c r="BXI228" s="1"/>
      <c r="BXJ228" s="1"/>
      <c r="BXK228" s="1"/>
      <c r="BXL228" s="1"/>
      <c r="BXM228" s="1"/>
      <c r="BXN228" s="1"/>
      <c r="BXO228" s="1"/>
      <c r="BXP228" s="1"/>
      <c r="BXQ228" s="1"/>
      <c r="BXR228" s="1"/>
      <c r="BXS228" s="1"/>
      <c r="BXT228" s="1"/>
      <c r="BXU228" s="1"/>
      <c r="BXV228" s="1"/>
      <c r="BXW228" s="1"/>
      <c r="BXX228" s="1"/>
      <c r="BXY228" s="1"/>
      <c r="BXZ228" s="1"/>
      <c r="BYA228" s="1"/>
      <c r="BYB228" s="1"/>
      <c r="BYC228" s="1"/>
      <c r="BYD228" s="1"/>
      <c r="BYE228" s="1"/>
      <c r="BYF228" s="1"/>
      <c r="BYG228" s="1"/>
      <c r="BYH228" s="1"/>
      <c r="BYI228" s="1"/>
      <c r="BYJ228" s="1"/>
      <c r="BYK228" s="1"/>
      <c r="BYL228" s="1"/>
      <c r="BYM228" s="1"/>
      <c r="BYN228" s="1"/>
      <c r="BYO228" s="1"/>
      <c r="BYP228" s="1"/>
      <c r="BYQ228" s="1"/>
      <c r="BYR228" s="1"/>
      <c r="BYS228" s="1"/>
      <c r="BYT228" s="1"/>
      <c r="BYU228" s="1"/>
      <c r="BYV228" s="1"/>
      <c r="BYW228" s="1"/>
      <c r="BYX228" s="1"/>
      <c r="BYY228" s="1"/>
      <c r="BYZ228" s="1"/>
      <c r="BZA228" s="1"/>
      <c r="BZB228" s="1"/>
      <c r="BZC228" s="1"/>
      <c r="BZD228" s="1"/>
      <c r="BZE228" s="1"/>
      <c r="BZF228" s="1"/>
      <c r="BZG228" s="1"/>
      <c r="BZH228" s="1"/>
      <c r="BZI228" s="1"/>
      <c r="BZJ228" s="1"/>
      <c r="BZK228" s="1"/>
      <c r="BZL228" s="1"/>
      <c r="BZM228" s="1"/>
      <c r="BZN228" s="1"/>
      <c r="BZO228" s="1"/>
      <c r="BZP228" s="1"/>
      <c r="BZQ228" s="1"/>
      <c r="BZR228" s="1"/>
      <c r="BZS228" s="1"/>
      <c r="BZT228" s="1"/>
      <c r="BZU228" s="1"/>
      <c r="BZV228" s="1"/>
      <c r="BZW228" s="1"/>
      <c r="BZX228" s="1"/>
      <c r="BZY228" s="1"/>
      <c r="BZZ228" s="1"/>
      <c r="CAA228" s="1"/>
      <c r="CAB228" s="1"/>
      <c r="CAC228" s="1"/>
      <c r="CAD228" s="1"/>
      <c r="CAE228" s="1"/>
      <c r="CAF228" s="1"/>
      <c r="CAG228" s="1"/>
      <c r="CAH228" s="1"/>
      <c r="CAI228" s="1"/>
      <c r="CAJ228" s="1"/>
      <c r="CAK228" s="1"/>
      <c r="CAL228" s="1"/>
      <c r="CAM228" s="1"/>
      <c r="CAN228" s="1"/>
      <c r="CAO228" s="1"/>
      <c r="CAP228" s="1"/>
      <c r="CAQ228" s="1"/>
      <c r="CAR228" s="1"/>
      <c r="CAS228" s="1"/>
      <c r="CAT228" s="1"/>
      <c r="CAU228" s="1"/>
      <c r="CAV228" s="1"/>
      <c r="CAW228" s="1"/>
      <c r="CAX228" s="1"/>
      <c r="CAY228" s="1"/>
      <c r="CAZ228" s="1"/>
      <c r="CBA228" s="1"/>
      <c r="CBB228" s="1"/>
      <c r="CBC228" s="1"/>
      <c r="CBD228" s="1"/>
      <c r="CBE228" s="1"/>
      <c r="CBF228" s="1"/>
      <c r="CBG228" s="1"/>
      <c r="CBH228" s="1"/>
      <c r="CBI228" s="1"/>
      <c r="CBJ228" s="1"/>
      <c r="CBK228" s="1"/>
      <c r="CBL228" s="1"/>
      <c r="CBM228" s="1"/>
      <c r="CBN228" s="1"/>
      <c r="CBO228" s="1"/>
      <c r="CBP228" s="1"/>
      <c r="CBQ228" s="1"/>
      <c r="CBR228" s="1"/>
      <c r="CBS228" s="1"/>
      <c r="CBT228" s="1"/>
      <c r="CBU228" s="1"/>
      <c r="CBV228" s="1"/>
      <c r="CBW228" s="1"/>
      <c r="CBX228" s="1"/>
      <c r="CBY228" s="1"/>
      <c r="CBZ228" s="1"/>
      <c r="CCA228" s="1"/>
      <c r="CCB228" s="1"/>
      <c r="CCC228" s="1"/>
      <c r="CCD228" s="1"/>
      <c r="CCE228" s="1"/>
      <c r="CCF228" s="1"/>
      <c r="CCG228" s="1"/>
      <c r="CCH228" s="1"/>
      <c r="CCI228" s="1"/>
      <c r="CCJ228" s="1"/>
      <c r="CCK228" s="1"/>
      <c r="CCL228" s="1"/>
      <c r="CCM228" s="1"/>
      <c r="CCN228" s="1"/>
      <c r="CCO228" s="1"/>
      <c r="CCP228" s="1"/>
      <c r="CCQ228" s="1"/>
      <c r="CCR228" s="1"/>
      <c r="CCS228" s="1"/>
      <c r="CCT228" s="1"/>
      <c r="CCU228" s="1"/>
      <c r="CCV228" s="1"/>
      <c r="CCW228" s="1"/>
      <c r="CCX228" s="1"/>
      <c r="CCY228" s="1"/>
      <c r="CCZ228" s="1"/>
      <c r="CDA228" s="1"/>
      <c r="CDB228" s="1"/>
      <c r="CDC228" s="1"/>
      <c r="CDD228" s="1"/>
      <c r="CDE228" s="1"/>
      <c r="CDF228" s="1"/>
      <c r="CDG228" s="1"/>
      <c r="CDH228" s="1"/>
      <c r="CDI228" s="1"/>
      <c r="CDJ228" s="1"/>
      <c r="CDK228" s="1"/>
      <c r="CDL228" s="1"/>
      <c r="CDM228" s="1"/>
      <c r="CDN228" s="1"/>
      <c r="CDO228" s="1"/>
      <c r="CDP228" s="1"/>
      <c r="CDQ228" s="1"/>
      <c r="CDR228" s="1"/>
      <c r="CDS228" s="1"/>
      <c r="CDT228" s="1"/>
      <c r="CDU228" s="1"/>
      <c r="CDV228" s="1"/>
      <c r="CDW228" s="1"/>
      <c r="CDX228" s="1"/>
      <c r="CDY228" s="1"/>
      <c r="CDZ228" s="1"/>
      <c r="CEA228" s="1"/>
      <c r="CEB228" s="1"/>
      <c r="CEC228" s="1"/>
      <c r="CED228" s="1"/>
      <c r="CEE228" s="1"/>
      <c r="CEF228" s="1"/>
      <c r="CEG228" s="1"/>
      <c r="CEH228" s="1"/>
      <c r="CEI228" s="1"/>
      <c r="CEJ228" s="1"/>
      <c r="CEK228" s="1"/>
      <c r="CEL228" s="1"/>
      <c r="CEM228" s="1"/>
      <c r="CEN228" s="1"/>
      <c r="CEO228" s="1"/>
      <c r="CEP228" s="1"/>
      <c r="CEQ228" s="1"/>
      <c r="CER228" s="1"/>
      <c r="CES228" s="1"/>
      <c r="CET228" s="1"/>
      <c r="CEU228" s="1"/>
      <c r="CEV228" s="1"/>
      <c r="CEW228" s="1"/>
      <c r="CEX228" s="1"/>
      <c r="CEY228" s="1"/>
      <c r="CEZ228" s="1"/>
      <c r="CFA228" s="1"/>
      <c r="CFB228" s="1"/>
      <c r="CFC228" s="1"/>
      <c r="CFD228" s="1"/>
      <c r="CFE228" s="1"/>
      <c r="CFF228" s="1"/>
      <c r="CFG228" s="1"/>
      <c r="CFH228" s="1"/>
      <c r="CFI228" s="1"/>
      <c r="CFJ228" s="1"/>
      <c r="CFK228" s="1"/>
      <c r="CFL228" s="1"/>
      <c r="CFM228" s="1"/>
      <c r="CFN228" s="1"/>
      <c r="CFO228" s="1"/>
      <c r="CFP228" s="1"/>
      <c r="CFQ228" s="1"/>
      <c r="CFR228" s="1"/>
      <c r="CFS228" s="1"/>
      <c r="CFT228" s="1"/>
      <c r="CFU228" s="1"/>
      <c r="CFV228" s="1"/>
      <c r="CFW228" s="1"/>
      <c r="CFX228" s="1"/>
      <c r="CFY228" s="1"/>
      <c r="CFZ228" s="1"/>
      <c r="CGA228" s="1"/>
      <c r="CGB228" s="1"/>
      <c r="CGC228" s="1"/>
      <c r="CGD228" s="1"/>
      <c r="CGE228" s="1"/>
      <c r="CGF228" s="1"/>
      <c r="CGG228" s="1"/>
      <c r="CGH228" s="1"/>
      <c r="CGI228" s="1"/>
      <c r="CGJ228" s="1"/>
      <c r="CGK228" s="1"/>
      <c r="CGL228" s="1"/>
      <c r="CGM228" s="1"/>
      <c r="CGN228" s="1"/>
      <c r="CGO228" s="1"/>
      <c r="CGP228" s="1"/>
      <c r="CGQ228" s="1"/>
      <c r="CGR228" s="1"/>
      <c r="CGS228" s="1"/>
      <c r="CGT228" s="1"/>
      <c r="CGU228" s="1"/>
      <c r="CGV228" s="1"/>
      <c r="CGW228" s="1"/>
      <c r="CGX228" s="1"/>
      <c r="CGY228" s="1"/>
      <c r="CGZ228" s="1"/>
      <c r="CHA228" s="1"/>
      <c r="CHB228" s="1"/>
      <c r="CHC228" s="1"/>
      <c r="CHD228" s="1"/>
      <c r="CHE228" s="1"/>
      <c r="CHF228" s="1"/>
      <c r="CHG228" s="1"/>
      <c r="CHH228" s="1"/>
      <c r="CHI228" s="1"/>
      <c r="CHJ228" s="1"/>
      <c r="CHK228" s="1"/>
      <c r="CHL228" s="1"/>
      <c r="CHM228" s="1"/>
      <c r="CHN228" s="1"/>
      <c r="CHO228" s="1"/>
      <c r="CHP228" s="1"/>
      <c r="CHQ228" s="1"/>
      <c r="CHR228" s="1"/>
      <c r="CHS228" s="1"/>
      <c r="CHT228" s="1"/>
      <c r="CHU228" s="1"/>
      <c r="CHV228" s="1"/>
      <c r="CHW228" s="1"/>
      <c r="CHX228" s="1"/>
      <c r="CHY228" s="1"/>
      <c r="CHZ228" s="1"/>
      <c r="CIA228" s="1"/>
      <c r="CIB228" s="1"/>
      <c r="CIC228" s="1"/>
      <c r="CID228" s="1"/>
      <c r="CIE228" s="1"/>
      <c r="CIF228" s="1"/>
      <c r="CIG228" s="1"/>
      <c r="CIH228" s="1"/>
      <c r="CII228" s="1"/>
      <c r="CIJ228" s="1"/>
      <c r="CIK228" s="1"/>
      <c r="CIL228" s="1"/>
      <c r="CIM228" s="1"/>
      <c r="CIN228" s="1"/>
      <c r="CIO228" s="1"/>
      <c r="CIP228" s="1"/>
      <c r="CIQ228" s="1"/>
      <c r="CIR228" s="1"/>
      <c r="CIS228" s="1"/>
      <c r="CIT228" s="1"/>
      <c r="CIU228" s="1"/>
      <c r="CIV228" s="1"/>
      <c r="CIW228" s="1"/>
      <c r="CIX228" s="1"/>
      <c r="CIY228" s="1"/>
      <c r="CIZ228" s="1"/>
      <c r="CJA228" s="1"/>
      <c r="CJB228" s="1"/>
      <c r="CJC228" s="1"/>
      <c r="CJD228" s="1"/>
      <c r="CJE228" s="1"/>
      <c r="CJF228" s="1"/>
      <c r="CJG228" s="1"/>
      <c r="CJH228" s="1"/>
      <c r="CJI228" s="1"/>
      <c r="CJJ228" s="1"/>
      <c r="CJK228" s="1"/>
      <c r="CJL228" s="1"/>
      <c r="CJM228" s="1"/>
      <c r="CJN228" s="1"/>
      <c r="CJO228" s="1"/>
      <c r="CJP228" s="1"/>
      <c r="CJQ228" s="1"/>
      <c r="CJR228" s="1"/>
      <c r="CJS228" s="1"/>
      <c r="CJT228" s="1"/>
      <c r="CJU228" s="1"/>
      <c r="CJV228" s="1"/>
      <c r="CJW228" s="1"/>
      <c r="CJX228" s="1"/>
      <c r="CJY228" s="1"/>
      <c r="CJZ228" s="1"/>
      <c r="CKA228" s="1"/>
      <c r="CKB228" s="1"/>
      <c r="CKC228" s="1"/>
      <c r="CKD228" s="1"/>
      <c r="CKE228" s="1"/>
      <c r="CKF228" s="1"/>
      <c r="CKG228" s="1"/>
      <c r="CKH228" s="1"/>
      <c r="CKI228" s="1"/>
      <c r="CKJ228" s="1"/>
      <c r="CKK228" s="1"/>
      <c r="CKL228" s="1"/>
      <c r="CKM228" s="1"/>
      <c r="CKN228" s="1"/>
      <c r="CKO228" s="1"/>
      <c r="CKP228" s="1"/>
      <c r="CKQ228" s="1"/>
      <c r="CKR228" s="1"/>
      <c r="CKS228" s="1"/>
      <c r="CKT228" s="1"/>
      <c r="CKU228" s="1"/>
      <c r="CKV228" s="1"/>
      <c r="CKW228" s="1"/>
      <c r="CKX228" s="1"/>
      <c r="CKY228" s="1"/>
      <c r="CKZ228" s="1"/>
      <c r="CLA228" s="1"/>
      <c r="CLB228" s="1"/>
      <c r="CLC228" s="1"/>
      <c r="CLD228" s="1"/>
      <c r="CLE228" s="1"/>
      <c r="CLF228" s="1"/>
      <c r="CLG228" s="1"/>
      <c r="CLH228" s="1"/>
      <c r="CLI228" s="1"/>
      <c r="CLJ228" s="1"/>
      <c r="CLK228" s="1"/>
      <c r="CLL228" s="1"/>
      <c r="CLM228" s="1"/>
      <c r="CLN228" s="1"/>
      <c r="CLO228" s="1"/>
      <c r="CLP228" s="1"/>
      <c r="CLQ228" s="1"/>
      <c r="CLR228" s="1"/>
      <c r="CLS228" s="1"/>
      <c r="CLT228" s="1"/>
      <c r="CLU228" s="1"/>
      <c r="CLV228" s="1"/>
      <c r="CLW228" s="1"/>
      <c r="CLX228" s="1"/>
      <c r="CLY228" s="1"/>
      <c r="CLZ228" s="1"/>
      <c r="CMA228" s="1"/>
      <c r="CMB228" s="1"/>
      <c r="CMC228" s="1"/>
      <c r="CMD228" s="1"/>
      <c r="CME228" s="1"/>
      <c r="CMF228" s="1"/>
      <c r="CMG228" s="1"/>
      <c r="CMH228" s="1"/>
      <c r="CMI228" s="1"/>
      <c r="CMJ228" s="1"/>
      <c r="CMK228" s="1"/>
      <c r="CML228" s="1"/>
      <c r="CMM228" s="1"/>
      <c r="CMN228" s="1"/>
      <c r="CMO228" s="1"/>
      <c r="CMP228" s="1"/>
      <c r="CMQ228" s="1"/>
      <c r="CMR228" s="1"/>
      <c r="CMS228" s="1"/>
      <c r="CMT228" s="1"/>
      <c r="CMU228" s="1"/>
      <c r="CMV228" s="1"/>
      <c r="CMW228" s="1"/>
      <c r="CMX228" s="1"/>
      <c r="CMY228" s="1"/>
      <c r="CMZ228" s="1"/>
      <c r="CNA228" s="1"/>
      <c r="CNB228" s="1"/>
      <c r="CNC228" s="1"/>
      <c r="CND228" s="1"/>
      <c r="CNE228" s="1"/>
      <c r="CNF228" s="1"/>
      <c r="CNG228" s="1"/>
      <c r="CNH228" s="1"/>
      <c r="CNI228" s="1"/>
      <c r="CNJ228" s="1"/>
      <c r="CNK228" s="1"/>
      <c r="CNL228" s="1"/>
      <c r="CNM228" s="1"/>
      <c r="CNN228" s="1"/>
      <c r="CNO228" s="1"/>
      <c r="CNP228" s="1"/>
      <c r="CNQ228" s="1"/>
      <c r="CNR228" s="1"/>
      <c r="CNS228" s="1"/>
      <c r="CNT228" s="1"/>
      <c r="CNU228" s="1"/>
      <c r="CNV228" s="1"/>
      <c r="CNW228" s="1"/>
      <c r="CNX228" s="1"/>
      <c r="CNY228" s="1"/>
      <c r="CNZ228" s="1"/>
      <c r="COA228" s="1"/>
      <c r="COB228" s="1"/>
      <c r="COC228" s="1"/>
      <c r="COD228" s="1"/>
      <c r="COE228" s="1"/>
      <c r="COF228" s="1"/>
      <c r="COG228" s="1"/>
      <c r="COH228" s="1"/>
      <c r="COI228" s="1"/>
      <c r="COJ228" s="1"/>
      <c r="COK228" s="1"/>
      <c r="COL228" s="1"/>
      <c r="COM228" s="1"/>
      <c r="CON228" s="1"/>
      <c r="COO228" s="1"/>
      <c r="COP228" s="1"/>
      <c r="COQ228" s="1"/>
      <c r="COR228" s="1"/>
      <c r="COS228" s="1"/>
      <c r="COT228" s="1"/>
      <c r="COU228" s="1"/>
      <c r="COV228" s="1"/>
      <c r="COW228" s="1"/>
      <c r="COX228" s="1"/>
      <c r="COY228" s="1"/>
      <c r="COZ228" s="1"/>
      <c r="CPA228" s="1"/>
      <c r="CPB228" s="1"/>
      <c r="CPC228" s="1"/>
      <c r="CPD228" s="1"/>
      <c r="CPE228" s="1"/>
      <c r="CPF228" s="1"/>
      <c r="CPG228" s="1"/>
      <c r="CPH228" s="1"/>
      <c r="CPI228" s="1"/>
      <c r="CPJ228" s="1"/>
      <c r="CPK228" s="1"/>
      <c r="CPL228" s="1"/>
      <c r="CPM228" s="1"/>
      <c r="CPN228" s="1"/>
      <c r="CPO228" s="1"/>
      <c r="CPP228" s="1"/>
      <c r="CPQ228" s="1"/>
      <c r="CPR228" s="1"/>
      <c r="CPS228" s="1"/>
      <c r="CPT228" s="1"/>
      <c r="CPU228" s="1"/>
      <c r="CPV228" s="1"/>
      <c r="CPW228" s="1"/>
      <c r="CPX228" s="1"/>
      <c r="CPY228" s="1"/>
      <c r="CPZ228" s="1"/>
      <c r="CQA228" s="1"/>
      <c r="CQB228" s="1"/>
      <c r="CQC228" s="1"/>
      <c r="CQD228" s="1"/>
      <c r="CQE228" s="1"/>
      <c r="CQF228" s="1"/>
      <c r="CQG228" s="1"/>
      <c r="CQH228" s="1"/>
      <c r="CQI228" s="1"/>
      <c r="CQJ228" s="1"/>
      <c r="CQK228" s="1"/>
      <c r="CQL228" s="1"/>
      <c r="CQM228" s="1"/>
      <c r="CQN228" s="1"/>
      <c r="CQO228" s="1"/>
      <c r="CQP228" s="1"/>
      <c r="CQQ228" s="1"/>
      <c r="CQR228" s="1"/>
      <c r="CQS228" s="1"/>
      <c r="CQT228" s="1"/>
      <c r="CQU228" s="1"/>
      <c r="CQV228" s="1"/>
      <c r="CQW228" s="1"/>
      <c r="CQX228" s="1"/>
      <c r="CQY228" s="1"/>
      <c r="CQZ228" s="1"/>
      <c r="CRA228" s="1"/>
      <c r="CRB228" s="1"/>
      <c r="CRC228" s="1"/>
      <c r="CRD228" s="1"/>
      <c r="CRE228" s="1"/>
      <c r="CRF228" s="1"/>
      <c r="CRG228" s="1"/>
      <c r="CRH228" s="1"/>
      <c r="CRI228" s="1"/>
      <c r="CRJ228" s="1"/>
      <c r="CRK228" s="1"/>
      <c r="CRL228" s="1"/>
      <c r="CRM228" s="1"/>
      <c r="CRN228" s="1"/>
      <c r="CRO228" s="1"/>
      <c r="CRP228" s="1"/>
      <c r="CRQ228" s="1"/>
      <c r="CRR228" s="1"/>
      <c r="CRS228" s="1"/>
      <c r="CRT228" s="1"/>
      <c r="CRU228" s="1"/>
      <c r="CRV228" s="1"/>
      <c r="CRW228" s="1"/>
      <c r="CRX228" s="1"/>
      <c r="CRY228" s="1"/>
      <c r="CRZ228" s="1"/>
      <c r="CSA228" s="1"/>
      <c r="CSB228" s="1"/>
      <c r="CSC228" s="1"/>
      <c r="CSD228" s="1"/>
      <c r="CSE228" s="1"/>
      <c r="CSF228" s="1"/>
      <c r="CSG228" s="1"/>
      <c r="CSH228" s="1"/>
      <c r="CSI228" s="1"/>
      <c r="CSJ228" s="1"/>
      <c r="CSK228" s="1"/>
      <c r="CSL228" s="1"/>
      <c r="CSM228" s="1"/>
      <c r="CSN228" s="1"/>
      <c r="CSO228" s="1"/>
      <c r="CSP228" s="1"/>
      <c r="CSQ228" s="1"/>
      <c r="CSR228" s="1"/>
      <c r="CSS228" s="1"/>
      <c r="CST228" s="1"/>
      <c r="CSU228" s="1"/>
      <c r="CSV228" s="1"/>
      <c r="CSW228" s="1"/>
      <c r="CSX228" s="1"/>
      <c r="CSY228" s="1"/>
      <c r="CSZ228" s="1"/>
      <c r="CTA228" s="1"/>
      <c r="CTB228" s="1"/>
      <c r="CTC228" s="1"/>
      <c r="CTD228" s="1"/>
      <c r="CTE228" s="1"/>
      <c r="CTF228" s="1"/>
      <c r="CTG228" s="1"/>
      <c r="CTH228" s="1"/>
      <c r="CTI228" s="1"/>
      <c r="CTJ228" s="1"/>
      <c r="CTK228" s="1"/>
      <c r="CTL228" s="1"/>
      <c r="CTM228" s="1"/>
      <c r="CTN228" s="1"/>
      <c r="CTO228" s="1"/>
      <c r="CTP228" s="1"/>
      <c r="CTQ228" s="1"/>
      <c r="CTR228" s="1"/>
      <c r="CTS228" s="1"/>
      <c r="CTT228" s="1"/>
      <c r="CTU228" s="1"/>
      <c r="CTV228" s="1"/>
      <c r="CTW228" s="1"/>
      <c r="CTX228" s="1"/>
      <c r="CTY228" s="1"/>
      <c r="CTZ228" s="1"/>
      <c r="CUA228" s="1"/>
      <c r="CUB228" s="1"/>
      <c r="CUC228" s="1"/>
      <c r="CUD228" s="1"/>
      <c r="CUE228" s="1"/>
      <c r="CUF228" s="1"/>
      <c r="CUG228" s="1"/>
      <c r="CUH228" s="1"/>
      <c r="CUI228" s="1"/>
      <c r="CUJ228" s="1"/>
      <c r="CUK228" s="1"/>
      <c r="CUL228" s="1"/>
      <c r="CUM228" s="1"/>
      <c r="CUN228" s="1"/>
      <c r="CUO228" s="1"/>
      <c r="CUP228" s="1"/>
      <c r="CUQ228" s="1"/>
      <c r="CUR228" s="1"/>
      <c r="CUS228" s="1"/>
      <c r="CUT228" s="1"/>
      <c r="CUU228" s="1"/>
      <c r="CUV228" s="1"/>
      <c r="CUW228" s="1"/>
      <c r="CUX228" s="1"/>
      <c r="CUY228" s="1"/>
      <c r="CUZ228" s="1"/>
      <c r="CVA228" s="1"/>
      <c r="CVB228" s="1"/>
      <c r="CVC228" s="1"/>
      <c r="CVD228" s="1"/>
      <c r="CVE228" s="1"/>
      <c r="CVF228" s="1"/>
      <c r="CVG228" s="1"/>
      <c r="CVH228" s="1"/>
      <c r="CVI228" s="1"/>
      <c r="CVJ228" s="1"/>
      <c r="CVK228" s="1"/>
      <c r="CVL228" s="1"/>
      <c r="CVM228" s="1"/>
      <c r="CVN228" s="1"/>
      <c r="CVO228" s="1"/>
      <c r="CVP228" s="1"/>
      <c r="CVQ228" s="1"/>
      <c r="CVR228" s="1"/>
      <c r="CVS228" s="1"/>
      <c r="CVT228" s="1"/>
      <c r="CVU228" s="1"/>
      <c r="CVV228" s="1"/>
      <c r="CVW228" s="1"/>
      <c r="CVX228" s="1"/>
      <c r="CVY228" s="1"/>
      <c r="CVZ228" s="1"/>
      <c r="CWA228" s="1"/>
      <c r="CWB228" s="1"/>
      <c r="CWC228" s="1"/>
      <c r="CWD228" s="1"/>
      <c r="CWE228" s="1"/>
      <c r="CWF228" s="1"/>
      <c r="CWG228" s="1"/>
      <c r="CWH228" s="1"/>
      <c r="CWI228" s="1"/>
      <c r="CWJ228" s="1"/>
      <c r="CWK228" s="1"/>
      <c r="CWL228" s="1"/>
      <c r="CWM228" s="1"/>
      <c r="CWN228" s="1"/>
      <c r="CWO228" s="1"/>
      <c r="CWP228" s="1"/>
      <c r="CWQ228" s="1"/>
      <c r="CWR228" s="1"/>
      <c r="CWS228" s="1"/>
      <c r="CWT228" s="1"/>
      <c r="CWU228" s="1"/>
      <c r="CWV228" s="1"/>
      <c r="CWW228" s="1"/>
      <c r="CWX228" s="1"/>
      <c r="CWY228" s="1"/>
      <c r="CWZ228" s="1"/>
      <c r="CXA228" s="1"/>
      <c r="CXB228" s="1"/>
      <c r="CXC228" s="1"/>
      <c r="CXD228" s="1"/>
      <c r="CXE228" s="1"/>
      <c r="CXF228" s="1"/>
      <c r="CXG228" s="1"/>
      <c r="CXH228" s="1"/>
      <c r="CXI228" s="1"/>
      <c r="CXJ228" s="1"/>
      <c r="CXK228" s="1"/>
      <c r="CXL228" s="1"/>
      <c r="CXM228" s="1"/>
      <c r="CXN228" s="1"/>
      <c r="CXO228" s="1"/>
      <c r="CXP228" s="1"/>
      <c r="CXQ228" s="1"/>
      <c r="CXR228" s="1"/>
      <c r="CXS228" s="1"/>
      <c r="CXT228" s="1"/>
      <c r="CXU228" s="1"/>
      <c r="CXV228" s="1"/>
      <c r="CXW228" s="1"/>
      <c r="CXX228" s="1"/>
      <c r="CXY228" s="1"/>
      <c r="CXZ228" s="1"/>
      <c r="CYA228" s="1"/>
      <c r="CYB228" s="1"/>
      <c r="CYC228" s="1"/>
      <c r="CYD228" s="1"/>
      <c r="CYE228" s="1"/>
      <c r="CYF228" s="1"/>
      <c r="CYG228" s="1"/>
      <c r="CYH228" s="1"/>
      <c r="CYI228" s="1"/>
      <c r="CYJ228" s="1"/>
      <c r="CYK228" s="1"/>
      <c r="CYL228" s="1"/>
      <c r="CYM228" s="1"/>
      <c r="CYN228" s="1"/>
      <c r="CYO228" s="1"/>
      <c r="CYP228" s="1"/>
      <c r="CYQ228" s="1"/>
      <c r="CYR228" s="1"/>
      <c r="CYS228" s="1"/>
      <c r="CYT228" s="1"/>
      <c r="CYU228" s="1"/>
      <c r="CYV228" s="1"/>
      <c r="CYW228" s="1"/>
      <c r="CYX228" s="1"/>
      <c r="CYY228" s="1"/>
      <c r="CYZ228" s="1"/>
      <c r="CZA228" s="1"/>
      <c r="CZB228" s="1"/>
      <c r="CZC228" s="1"/>
      <c r="CZD228" s="1"/>
      <c r="CZE228" s="1"/>
      <c r="CZF228" s="1"/>
      <c r="CZG228" s="1"/>
      <c r="CZH228" s="1"/>
      <c r="CZI228" s="1"/>
      <c r="CZJ228" s="1"/>
      <c r="CZK228" s="1"/>
      <c r="CZL228" s="1"/>
      <c r="CZM228" s="1"/>
      <c r="CZN228" s="1"/>
      <c r="CZO228" s="1"/>
      <c r="CZP228" s="1"/>
      <c r="CZQ228" s="1"/>
      <c r="CZR228" s="1"/>
      <c r="CZS228" s="1"/>
      <c r="CZT228" s="1"/>
      <c r="CZU228" s="1"/>
      <c r="CZV228" s="1"/>
      <c r="CZW228" s="1"/>
      <c r="CZX228" s="1"/>
      <c r="CZY228" s="1"/>
      <c r="CZZ228" s="1"/>
      <c r="DAA228" s="1"/>
      <c r="DAB228" s="1"/>
      <c r="DAC228" s="1"/>
      <c r="DAD228" s="1"/>
      <c r="DAE228" s="1"/>
      <c r="DAF228" s="1"/>
      <c r="DAG228" s="1"/>
      <c r="DAH228" s="1"/>
      <c r="DAI228" s="1"/>
      <c r="DAJ228" s="1"/>
      <c r="DAK228" s="1"/>
      <c r="DAL228" s="1"/>
      <c r="DAM228" s="1"/>
      <c r="DAN228" s="1"/>
      <c r="DAO228" s="1"/>
      <c r="DAP228" s="1"/>
      <c r="DAQ228" s="1"/>
      <c r="DAR228" s="1"/>
      <c r="DAS228" s="1"/>
      <c r="DAT228" s="1"/>
      <c r="DAU228" s="1"/>
      <c r="DAV228" s="1"/>
      <c r="DAW228" s="1"/>
      <c r="DAX228" s="1"/>
      <c r="DAY228" s="1"/>
      <c r="DAZ228" s="1"/>
      <c r="DBA228" s="1"/>
      <c r="DBB228" s="1"/>
      <c r="DBC228" s="1"/>
      <c r="DBD228" s="1"/>
      <c r="DBE228" s="1"/>
      <c r="DBF228" s="1"/>
      <c r="DBG228" s="1"/>
      <c r="DBH228" s="1"/>
      <c r="DBI228" s="1"/>
      <c r="DBJ228" s="1"/>
      <c r="DBK228" s="1"/>
      <c r="DBL228" s="1"/>
      <c r="DBM228" s="1"/>
      <c r="DBN228" s="1"/>
      <c r="DBO228" s="1"/>
      <c r="DBP228" s="1"/>
      <c r="DBQ228" s="1"/>
      <c r="DBR228" s="1"/>
      <c r="DBS228" s="1"/>
      <c r="DBT228" s="1"/>
      <c r="DBU228" s="1"/>
      <c r="DBV228" s="1"/>
      <c r="DBW228" s="1"/>
      <c r="DBX228" s="1"/>
      <c r="DBY228" s="1"/>
      <c r="DBZ228" s="1"/>
      <c r="DCA228" s="1"/>
      <c r="DCB228" s="1"/>
      <c r="DCC228" s="1"/>
      <c r="DCD228" s="1"/>
      <c r="DCE228" s="1"/>
      <c r="DCF228" s="1"/>
      <c r="DCG228" s="1"/>
      <c r="DCH228" s="1"/>
      <c r="DCI228" s="1"/>
      <c r="DCJ228" s="1"/>
      <c r="DCK228" s="1"/>
      <c r="DCL228" s="1"/>
      <c r="DCM228" s="1"/>
      <c r="DCN228" s="1"/>
      <c r="DCO228" s="1"/>
      <c r="DCP228" s="1"/>
      <c r="DCQ228" s="1"/>
      <c r="DCR228" s="1"/>
      <c r="DCS228" s="1"/>
      <c r="DCT228" s="1"/>
      <c r="DCU228" s="1"/>
      <c r="DCV228" s="1"/>
      <c r="DCW228" s="1"/>
      <c r="DCX228" s="1"/>
      <c r="DCY228" s="1"/>
      <c r="DCZ228" s="1"/>
      <c r="DDA228" s="1"/>
      <c r="DDB228" s="1"/>
      <c r="DDC228" s="1"/>
      <c r="DDD228" s="1"/>
      <c r="DDE228" s="1"/>
      <c r="DDF228" s="1"/>
      <c r="DDG228" s="1"/>
      <c r="DDH228" s="1"/>
      <c r="DDI228" s="1"/>
      <c r="DDJ228" s="1"/>
      <c r="DDK228" s="1"/>
      <c r="DDL228" s="1"/>
      <c r="DDM228" s="1"/>
      <c r="DDN228" s="1"/>
      <c r="DDO228" s="1"/>
      <c r="DDP228" s="1"/>
      <c r="DDQ228" s="1"/>
      <c r="DDR228" s="1"/>
      <c r="DDS228" s="1"/>
      <c r="DDT228" s="1"/>
      <c r="DDU228" s="1"/>
      <c r="DDV228" s="1"/>
      <c r="DDW228" s="1"/>
      <c r="DDX228" s="1"/>
      <c r="DDY228" s="1"/>
      <c r="DDZ228" s="1"/>
      <c r="DEA228" s="1"/>
      <c r="DEB228" s="1"/>
      <c r="DEC228" s="1"/>
      <c r="DED228" s="1"/>
      <c r="DEE228" s="1"/>
      <c r="DEF228" s="1"/>
      <c r="DEG228" s="1"/>
      <c r="DEH228" s="1"/>
      <c r="DEI228" s="1"/>
      <c r="DEJ228" s="1"/>
      <c r="DEK228" s="1"/>
      <c r="DEL228" s="1"/>
      <c r="DEM228" s="1"/>
      <c r="DEN228" s="1"/>
      <c r="DEO228" s="1"/>
      <c r="DEP228" s="1"/>
      <c r="DEQ228" s="1"/>
      <c r="DER228" s="1"/>
      <c r="DES228" s="1"/>
      <c r="DET228" s="1"/>
      <c r="DEU228" s="1"/>
      <c r="DEV228" s="1"/>
      <c r="DEW228" s="1"/>
      <c r="DEX228" s="1"/>
      <c r="DEY228" s="1"/>
      <c r="DEZ228" s="1"/>
      <c r="DFA228" s="1"/>
      <c r="DFB228" s="1"/>
      <c r="DFC228" s="1"/>
      <c r="DFD228" s="1"/>
      <c r="DFE228" s="1"/>
      <c r="DFF228" s="1"/>
      <c r="DFG228" s="1"/>
      <c r="DFH228" s="1"/>
      <c r="DFI228" s="1"/>
      <c r="DFJ228" s="1"/>
      <c r="DFK228" s="1"/>
      <c r="DFL228" s="1"/>
      <c r="DFM228" s="1"/>
      <c r="DFN228" s="1"/>
      <c r="DFO228" s="1"/>
      <c r="DFP228" s="1"/>
      <c r="DFQ228" s="1"/>
      <c r="DFR228" s="1"/>
      <c r="DFS228" s="1"/>
      <c r="DFT228" s="1"/>
      <c r="DFU228" s="1"/>
      <c r="DFV228" s="1"/>
      <c r="DFW228" s="1"/>
      <c r="DFX228" s="1"/>
      <c r="DFY228" s="1"/>
      <c r="DFZ228" s="1"/>
      <c r="DGA228" s="1"/>
      <c r="DGB228" s="1"/>
      <c r="DGC228" s="1"/>
      <c r="DGD228" s="1"/>
      <c r="DGE228" s="1"/>
      <c r="DGF228" s="1"/>
      <c r="DGG228" s="1"/>
      <c r="DGH228" s="1"/>
      <c r="DGI228" s="1"/>
      <c r="DGJ228" s="1"/>
      <c r="DGK228" s="1"/>
      <c r="DGL228" s="1"/>
      <c r="DGM228" s="1"/>
      <c r="DGN228" s="1"/>
      <c r="DGO228" s="1"/>
      <c r="DGP228" s="1"/>
      <c r="DGQ228" s="1"/>
      <c r="DGR228" s="1"/>
      <c r="DGS228" s="1"/>
      <c r="DGT228" s="1"/>
      <c r="DGU228" s="1"/>
      <c r="DGV228" s="1"/>
      <c r="DGW228" s="1"/>
      <c r="DGX228" s="1"/>
      <c r="DGY228" s="1"/>
      <c r="DGZ228" s="1"/>
      <c r="DHA228" s="1"/>
      <c r="DHB228" s="1"/>
      <c r="DHC228" s="1"/>
      <c r="DHD228" s="1"/>
      <c r="DHE228" s="1"/>
      <c r="DHF228" s="1"/>
      <c r="DHG228" s="1"/>
      <c r="DHH228" s="1"/>
      <c r="DHI228" s="1"/>
      <c r="DHJ228" s="1"/>
      <c r="DHK228" s="1"/>
      <c r="DHL228" s="1"/>
      <c r="DHM228" s="1"/>
      <c r="DHN228" s="1"/>
      <c r="DHO228" s="1"/>
      <c r="DHP228" s="1"/>
      <c r="DHQ228" s="1"/>
      <c r="DHR228" s="1"/>
      <c r="DHS228" s="1"/>
      <c r="DHT228" s="1"/>
      <c r="DHU228" s="1"/>
      <c r="DHV228" s="1"/>
      <c r="DHW228" s="1"/>
      <c r="DHX228" s="1"/>
      <c r="DHY228" s="1"/>
      <c r="DHZ228" s="1"/>
      <c r="DIA228" s="1"/>
      <c r="DIB228" s="1"/>
      <c r="DIC228" s="1"/>
      <c r="DID228" s="1"/>
      <c r="DIE228" s="1"/>
      <c r="DIF228" s="1"/>
      <c r="DIG228" s="1"/>
      <c r="DIH228" s="1"/>
      <c r="DII228" s="1"/>
      <c r="DIJ228" s="1"/>
      <c r="DIK228" s="1"/>
      <c r="DIL228" s="1"/>
      <c r="DIM228" s="1"/>
      <c r="DIN228" s="1"/>
      <c r="DIO228" s="1"/>
      <c r="DIP228" s="1"/>
      <c r="DIQ228" s="1"/>
      <c r="DIR228" s="1"/>
      <c r="DIS228" s="1"/>
      <c r="DIT228" s="1"/>
      <c r="DIU228" s="1"/>
      <c r="DIV228" s="1"/>
      <c r="DIW228" s="1"/>
      <c r="DIX228" s="1"/>
      <c r="DIY228" s="1"/>
      <c r="DIZ228" s="1"/>
      <c r="DJA228" s="1"/>
      <c r="DJB228" s="1"/>
      <c r="DJC228" s="1"/>
      <c r="DJD228" s="1"/>
      <c r="DJE228" s="1"/>
      <c r="DJF228" s="1"/>
      <c r="DJG228" s="1"/>
      <c r="DJH228" s="1"/>
      <c r="DJI228" s="1"/>
      <c r="DJJ228" s="1"/>
      <c r="DJK228" s="1"/>
      <c r="DJL228" s="1"/>
      <c r="DJM228" s="1"/>
      <c r="DJN228" s="1"/>
      <c r="DJO228" s="1"/>
      <c r="DJP228" s="1"/>
      <c r="DJQ228" s="1"/>
      <c r="DJR228" s="1"/>
      <c r="DJS228" s="1"/>
      <c r="DJT228" s="1"/>
      <c r="DJU228" s="1"/>
      <c r="DJV228" s="1"/>
      <c r="DJW228" s="1"/>
      <c r="DJX228" s="1"/>
      <c r="DJY228" s="1"/>
      <c r="DJZ228" s="1"/>
      <c r="DKA228" s="1"/>
      <c r="DKB228" s="1"/>
      <c r="DKC228" s="1"/>
      <c r="DKD228" s="1"/>
      <c r="DKE228" s="1"/>
      <c r="DKF228" s="1"/>
      <c r="DKG228" s="1"/>
      <c r="DKH228" s="1"/>
      <c r="DKI228" s="1"/>
      <c r="DKJ228" s="1"/>
      <c r="DKK228" s="1"/>
      <c r="DKL228" s="1"/>
      <c r="DKM228" s="1"/>
      <c r="DKN228" s="1"/>
      <c r="DKO228" s="1"/>
      <c r="DKP228" s="1"/>
      <c r="DKQ228" s="1"/>
      <c r="DKR228" s="1"/>
      <c r="DKS228" s="1"/>
      <c r="DKT228" s="1"/>
      <c r="DKU228" s="1"/>
      <c r="DKV228" s="1"/>
      <c r="DKW228" s="1"/>
      <c r="DKX228" s="1"/>
      <c r="DKY228" s="1"/>
      <c r="DKZ228" s="1"/>
      <c r="DLA228" s="1"/>
      <c r="DLB228" s="1"/>
      <c r="DLC228" s="1"/>
      <c r="DLD228" s="1"/>
      <c r="DLE228" s="1"/>
      <c r="DLF228" s="1"/>
      <c r="DLG228" s="1"/>
      <c r="DLH228" s="1"/>
      <c r="DLI228" s="1"/>
      <c r="DLJ228" s="1"/>
      <c r="DLK228" s="1"/>
      <c r="DLL228" s="1"/>
      <c r="DLM228" s="1"/>
      <c r="DLN228" s="1"/>
      <c r="DLO228" s="1"/>
      <c r="DLP228" s="1"/>
      <c r="DLQ228" s="1"/>
      <c r="DLR228" s="1"/>
      <c r="DLS228" s="1"/>
      <c r="DLT228" s="1"/>
      <c r="DLU228" s="1"/>
      <c r="DLV228" s="1"/>
      <c r="DLW228" s="1"/>
      <c r="DLX228" s="1"/>
      <c r="DLY228" s="1"/>
      <c r="DLZ228" s="1"/>
      <c r="DMA228" s="1"/>
      <c r="DMB228" s="1"/>
      <c r="DMC228" s="1"/>
      <c r="DMD228" s="1"/>
      <c r="DME228" s="1"/>
      <c r="DMF228" s="1"/>
      <c r="DMG228" s="1"/>
      <c r="DMH228" s="1"/>
      <c r="DMI228" s="1"/>
      <c r="DMJ228" s="1"/>
      <c r="DMK228" s="1"/>
      <c r="DML228" s="1"/>
      <c r="DMM228" s="1"/>
      <c r="DMN228" s="1"/>
      <c r="DMO228" s="1"/>
      <c r="DMP228" s="1"/>
      <c r="DMQ228" s="1"/>
      <c r="DMR228" s="1"/>
      <c r="DMS228" s="1"/>
      <c r="DMT228" s="1"/>
      <c r="DMU228" s="1"/>
      <c r="DMV228" s="1"/>
      <c r="DMW228" s="1"/>
      <c r="DMX228" s="1"/>
      <c r="DMY228" s="1"/>
      <c r="DMZ228" s="1"/>
      <c r="DNA228" s="1"/>
      <c r="DNB228" s="1"/>
      <c r="DNC228" s="1"/>
      <c r="DND228" s="1"/>
      <c r="DNE228" s="1"/>
      <c r="DNF228" s="1"/>
      <c r="DNG228" s="1"/>
      <c r="DNH228" s="1"/>
      <c r="DNI228" s="1"/>
      <c r="DNJ228" s="1"/>
      <c r="DNK228" s="1"/>
      <c r="DNL228" s="1"/>
      <c r="DNM228" s="1"/>
      <c r="DNN228" s="1"/>
      <c r="DNO228" s="1"/>
      <c r="DNP228" s="1"/>
      <c r="DNQ228" s="1"/>
      <c r="DNR228" s="1"/>
      <c r="DNS228" s="1"/>
      <c r="DNT228" s="1"/>
      <c r="DNU228" s="1"/>
      <c r="DNV228" s="1"/>
      <c r="DNW228" s="1"/>
      <c r="DNX228" s="1"/>
      <c r="DNY228" s="1"/>
      <c r="DNZ228" s="1"/>
      <c r="DOA228" s="1"/>
      <c r="DOB228" s="1"/>
      <c r="DOC228" s="1"/>
      <c r="DOD228" s="1"/>
      <c r="DOE228" s="1"/>
      <c r="DOF228" s="1"/>
      <c r="DOG228" s="1"/>
      <c r="DOH228" s="1"/>
      <c r="DOI228" s="1"/>
      <c r="DOJ228" s="1"/>
      <c r="DOK228" s="1"/>
      <c r="DOL228" s="1"/>
      <c r="DOM228" s="1"/>
      <c r="DON228" s="1"/>
      <c r="DOO228" s="1"/>
      <c r="DOP228" s="1"/>
      <c r="DOQ228" s="1"/>
      <c r="DOR228" s="1"/>
      <c r="DOS228" s="1"/>
      <c r="DOT228" s="1"/>
      <c r="DOU228" s="1"/>
      <c r="DOV228" s="1"/>
      <c r="DOW228" s="1"/>
      <c r="DOX228" s="1"/>
      <c r="DOY228" s="1"/>
      <c r="DOZ228" s="1"/>
      <c r="DPA228" s="1"/>
      <c r="DPB228" s="1"/>
      <c r="DPC228" s="1"/>
      <c r="DPD228" s="1"/>
      <c r="DPE228" s="1"/>
      <c r="DPF228" s="1"/>
      <c r="DPG228" s="1"/>
      <c r="DPH228" s="1"/>
      <c r="DPI228" s="1"/>
      <c r="DPJ228" s="1"/>
      <c r="DPK228" s="1"/>
      <c r="DPL228" s="1"/>
      <c r="DPM228" s="1"/>
      <c r="DPN228" s="1"/>
      <c r="DPO228" s="1"/>
      <c r="DPP228" s="1"/>
      <c r="DPQ228" s="1"/>
      <c r="DPR228" s="1"/>
      <c r="DPS228" s="1"/>
      <c r="DPT228" s="1"/>
      <c r="DPU228" s="1"/>
      <c r="DPV228" s="1"/>
      <c r="DPW228" s="1"/>
      <c r="DPX228" s="1"/>
      <c r="DPY228" s="1"/>
      <c r="DPZ228" s="1"/>
      <c r="DQA228" s="1"/>
      <c r="DQB228" s="1"/>
      <c r="DQC228" s="1"/>
      <c r="DQD228" s="1"/>
      <c r="DQE228" s="1"/>
      <c r="DQF228" s="1"/>
      <c r="DQG228" s="1"/>
      <c r="DQH228" s="1"/>
      <c r="DQI228" s="1"/>
      <c r="DQJ228" s="1"/>
      <c r="DQK228" s="1"/>
      <c r="DQL228" s="1"/>
      <c r="DQM228" s="1"/>
      <c r="DQN228" s="1"/>
      <c r="DQO228" s="1"/>
      <c r="DQP228" s="1"/>
      <c r="DQQ228" s="1"/>
      <c r="DQR228" s="1"/>
      <c r="DQS228" s="1"/>
      <c r="DQT228" s="1"/>
      <c r="DQU228" s="1"/>
      <c r="DQV228" s="1"/>
      <c r="DQW228" s="1"/>
      <c r="DQX228" s="1"/>
      <c r="DQY228" s="1"/>
      <c r="DQZ228" s="1"/>
      <c r="DRA228" s="1"/>
      <c r="DRB228" s="1"/>
      <c r="DRC228" s="1"/>
      <c r="DRD228" s="1"/>
      <c r="DRE228" s="1"/>
      <c r="DRF228" s="1"/>
      <c r="DRG228" s="1"/>
      <c r="DRH228" s="1"/>
      <c r="DRI228" s="1"/>
      <c r="DRJ228" s="1"/>
      <c r="DRK228" s="1"/>
      <c r="DRL228" s="1"/>
      <c r="DRM228" s="1"/>
      <c r="DRN228" s="1"/>
      <c r="DRO228" s="1"/>
      <c r="DRP228" s="1"/>
      <c r="DRQ228" s="1"/>
      <c r="DRR228" s="1"/>
      <c r="DRS228" s="1"/>
      <c r="DRT228" s="1"/>
      <c r="DRU228" s="1"/>
      <c r="DRV228" s="1"/>
      <c r="DRW228" s="1"/>
      <c r="DRX228" s="1"/>
      <c r="DRY228" s="1"/>
      <c r="DRZ228" s="1"/>
      <c r="DSA228" s="1"/>
      <c r="DSB228" s="1"/>
      <c r="DSC228" s="1"/>
      <c r="DSD228" s="1"/>
      <c r="DSE228" s="1"/>
      <c r="DSF228" s="1"/>
      <c r="DSG228" s="1"/>
      <c r="DSH228" s="1"/>
      <c r="DSI228" s="1"/>
      <c r="DSJ228" s="1"/>
      <c r="DSK228" s="1"/>
      <c r="DSL228" s="1"/>
      <c r="DSM228" s="1"/>
      <c r="DSN228" s="1"/>
      <c r="DSO228" s="1"/>
      <c r="DSP228" s="1"/>
      <c r="DSQ228" s="1"/>
      <c r="DSR228" s="1"/>
      <c r="DSS228" s="1"/>
      <c r="DST228" s="1"/>
      <c r="DSU228" s="1"/>
      <c r="DSV228" s="1"/>
      <c r="DSW228" s="1"/>
      <c r="DSX228" s="1"/>
      <c r="DSY228" s="1"/>
      <c r="DSZ228" s="1"/>
      <c r="DTA228" s="1"/>
      <c r="DTB228" s="1"/>
      <c r="DTC228" s="1"/>
      <c r="DTD228" s="1"/>
      <c r="DTE228" s="1"/>
      <c r="DTF228" s="1"/>
      <c r="DTG228" s="1"/>
      <c r="DTH228" s="1"/>
      <c r="DTI228" s="1"/>
      <c r="DTJ228" s="1"/>
      <c r="DTK228" s="1"/>
      <c r="DTL228" s="1"/>
      <c r="DTM228" s="1"/>
      <c r="DTN228" s="1"/>
      <c r="DTO228" s="1"/>
      <c r="DTP228" s="1"/>
      <c r="DTQ228" s="1"/>
      <c r="DTR228" s="1"/>
      <c r="DTS228" s="1"/>
      <c r="DTT228" s="1"/>
      <c r="DTU228" s="1"/>
      <c r="DTV228" s="1"/>
      <c r="DTW228" s="1"/>
      <c r="DTX228" s="1"/>
      <c r="DTY228" s="1"/>
      <c r="DTZ228" s="1"/>
      <c r="DUA228" s="1"/>
      <c r="DUB228" s="1"/>
      <c r="DUC228" s="1"/>
      <c r="DUD228" s="1"/>
      <c r="DUE228" s="1"/>
      <c r="DUF228" s="1"/>
      <c r="DUG228" s="1"/>
      <c r="DUH228" s="1"/>
      <c r="DUI228" s="1"/>
      <c r="DUJ228" s="1"/>
      <c r="DUK228" s="1"/>
      <c r="DUL228" s="1"/>
      <c r="DUM228" s="1"/>
      <c r="DUN228" s="1"/>
      <c r="DUO228" s="1"/>
      <c r="DUP228" s="1"/>
      <c r="DUQ228" s="1"/>
      <c r="DUR228" s="1"/>
      <c r="DUS228" s="1"/>
      <c r="DUT228" s="1"/>
      <c r="DUU228" s="1"/>
      <c r="DUV228" s="1"/>
      <c r="DUW228" s="1"/>
      <c r="DUX228" s="1"/>
      <c r="DUY228" s="1"/>
      <c r="DUZ228" s="1"/>
      <c r="DVA228" s="1"/>
      <c r="DVB228" s="1"/>
      <c r="DVC228" s="1"/>
      <c r="DVD228" s="1"/>
      <c r="DVE228" s="1"/>
      <c r="DVF228" s="1"/>
      <c r="DVG228" s="1"/>
      <c r="DVH228" s="1"/>
      <c r="DVI228" s="1"/>
      <c r="DVJ228" s="1"/>
      <c r="DVK228" s="1"/>
      <c r="DVL228" s="1"/>
      <c r="DVM228" s="1"/>
      <c r="DVN228" s="1"/>
      <c r="DVO228" s="1"/>
      <c r="DVP228" s="1"/>
      <c r="DVQ228" s="1"/>
      <c r="DVR228" s="1"/>
      <c r="DVS228" s="1"/>
      <c r="DVT228" s="1"/>
      <c r="DVU228" s="1"/>
      <c r="DVV228" s="1"/>
      <c r="DVW228" s="1"/>
      <c r="DVX228" s="1"/>
      <c r="DVY228" s="1"/>
      <c r="DVZ228" s="1"/>
      <c r="DWA228" s="1"/>
      <c r="DWB228" s="1"/>
      <c r="DWC228" s="1"/>
      <c r="DWD228" s="1"/>
      <c r="DWE228" s="1"/>
      <c r="DWF228" s="1"/>
      <c r="DWG228" s="1"/>
      <c r="DWH228" s="1"/>
      <c r="DWI228" s="1"/>
      <c r="DWJ228" s="1"/>
      <c r="DWK228" s="1"/>
      <c r="DWL228" s="1"/>
      <c r="DWM228" s="1"/>
      <c r="DWN228" s="1"/>
      <c r="DWO228" s="1"/>
      <c r="DWP228" s="1"/>
      <c r="DWQ228" s="1"/>
      <c r="DWR228" s="1"/>
      <c r="DWS228" s="1"/>
      <c r="DWT228" s="1"/>
      <c r="DWU228" s="1"/>
      <c r="DWV228" s="1"/>
      <c r="DWW228" s="1"/>
      <c r="DWX228" s="1"/>
      <c r="DWY228" s="1"/>
      <c r="DWZ228" s="1"/>
      <c r="DXA228" s="1"/>
      <c r="DXB228" s="1"/>
      <c r="DXC228" s="1"/>
      <c r="DXD228" s="1"/>
      <c r="DXE228" s="1"/>
      <c r="DXF228" s="1"/>
      <c r="DXG228" s="1"/>
      <c r="DXH228" s="1"/>
      <c r="DXI228" s="1"/>
      <c r="DXJ228" s="1"/>
      <c r="DXK228" s="1"/>
      <c r="DXL228" s="1"/>
      <c r="DXM228" s="1"/>
      <c r="DXN228" s="1"/>
      <c r="DXO228" s="1"/>
      <c r="DXP228" s="1"/>
      <c r="DXQ228" s="1"/>
      <c r="DXR228" s="1"/>
      <c r="DXS228" s="1"/>
      <c r="DXT228" s="1"/>
      <c r="DXU228" s="1"/>
      <c r="DXV228" s="1"/>
      <c r="DXW228" s="1"/>
      <c r="DXX228" s="1"/>
      <c r="DXY228" s="1"/>
      <c r="DXZ228" s="1"/>
      <c r="DYA228" s="1"/>
      <c r="DYB228" s="1"/>
      <c r="DYC228" s="1"/>
      <c r="DYD228" s="1"/>
      <c r="DYE228" s="1"/>
      <c r="DYF228" s="1"/>
      <c r="DYG228" s="1"/>
      <c r="DYH228" s="1"/>
      <c r="DYI228" s="1"/>
      <c r="DYJ228" s="1"/>
      <c r="DYK228" s="1"/>
      <c r="DYL228" s="1"/>
      <c r="DYM228" s="1"/>
      <c r="DYN228" s="1"/>
      <c r="DYO228" s="1"/>
      <c r="DYP228" s="1"/>
      <c r="DYQ228" s="1"/>
      <c r="DYR228" s="1"/>
      <c r="DYS228" s="1"/>
      <c r="DYT228" s="1"/>
      <c r="DYU228" s="1"/>
      <c r="DYV228" s="1"/>
      <c r="DYW228" s="1"/>
      <c r="DYX228" s="1"/>
      <c r="DYY228" s="1"/>
      <c r="DYZ228" s="1"/>
      <c r="DZA228" s="1"/>
      <c r="DZB228" s="1"/>
      <c r="DZC228" s="1"/>
      <c r="DZD228" s="1"/>
      <c r="DZE228" s="1"/>
      <c r="DZF228" s="1"/>
      <c r="DZG228" s="1"/>
      <c r="DZH228" s="1"/>
      <c r="DZI228" s="1"/>
      <c r="DZJ228" s="1"/>
      <c r="DZK228" s="1"/>
      <c r="DZL228" s="1"/>
      <c r="DZM228" s="1"/>
      <c r="DZN228" s="1"/>
      <c r="DZO228" s="1"/>
      <c r="DZP228" s="1"/>
      <c r="DZQ228" s="1"/>
      <c r="DZR228" s="1"/>
      <c r="DZS228" s="1"/>
      <c r="DZT228" s="1"/>
      <c r="DZU228" s="1"/>
      <c r="DZV228" s="1"/>
      <c r="DZW228" s="1"/>
      <c r="DZX228" s="1"/>
      <c r="DZY228" s="1"/>
      <c r="DZZ228" s="1"/>
      <c r="EAA228" s="1"/>
      <c r="EAB228" s="1"/>
      <c r="EAC228" s="1"/>
      <c r="EAD228" s="1"/>
      <c r="EAE228" s="1"/>
      <c r="EAF228" s="1"/>
      <c r="EAG228" s="1"/>
      <c r="EAH228" s="1"/>
      <c r="EAI228" s="1"/>
      <c r="EAJ228" s="1"/>
      <c r="EAK228" s="1"/>
      <c r="EAL228" s="1"/>
      <c r="EAM228" s="1"/>
      <c r="EAN228" s="1"/>
      <c r="EAO228" s="1"/>
      <c r="EAP228" s="1"/>
      <c r="EAQ228" s="1"/>
      <c r="EAR228" s="1"/>
      <c r="EAS228" s="1"/>
      <c r="EAT228" s="1"/>
      <c r="EAU228" s="1"/>
      <c r="EAV228" s="1"/>
      <c r="EAW228" s="1"/>
      <c r="EAX228" s="1"/>
      <c r="EAY228" s="1"/>
      <c r="EAZ228" s="1"/>
      <c r="EBA228" s="1"/>
      <c r="EBB228" s="1"/>
      <c r="EBC228" s="1"/>
      <c r="EBD228" s="1"/>
      <c r="EBE228" s="1"/>
      <c r="EBF228" s="1"/>
      <c r="EBG228" s="1"/>
      <c r="EBH228" s="1"/>
      <c r="EBI228" s="1"/>
      <c r="EBJ228" s="1"/>
      <c r="EBK228" s="1"/>
      <c r="EBL228" s="1"/>
      <c r="EBM228" s="1"/>
      <c r="EBN228" s="1"/>
      <c r="EBO228" s="1"/>
      <c r="EBP228" s="1"/>
      <c r="EBQ228" s="1"/>
      <c r="EBR228" s="1"/>
      <c r="EBS228" s="1"/>
      <c r="EBT228" s="1"/>
      <c r="EBU228" s="1"/>
      <c r="EBV228" s="1"/>
      <c r="EBW228" s="1"/>
      <c r="EBX228" s="1"/>
      <c r="EBY228" s="1"/>
      <c r="EBZ228" s="1"/>
      <c r="ECA228" s="1"/>
      <c r="ECB228" s="1"/>
      <c r="ECC228" s="1"/>
      <c r="ECD228" s="1"/>
      <c r="ECE228" s="1"/>
      <c r="ECF228" s="1"/>
      <c r="ECG228" s="1"/>
      <c r="ECH228" s="1"/>
      <c r="ECI228" s="1"/>
      <c r="ECJ228" s="1"/>
      <c r="ECK228" s="1"/>
      <c r="ECL228" s="1"/>
      <c r="ECM228" s="1"/>
      <c r="ECN228" s="1"/>
      <c r="ECO228" s="1"/>
      <c r="ECP228" s="1"/>
      <c r="ECQ228" s="1"/>
      <c r="ECR228" s="1"/>
      <c r="ECS228" s="1"/>
      <c r="ECT228" s="1"/>
      <c r="ECU228" s="1"/>
      <c r="ECV228" s="1"/>
      <c r="ECW228" s="1"/>
      <c r="ECX228" s="1"/>
      <c r="ECY228" s="1"/>
      <c r="ECZ228" s="1"/>
      <c r="EDA228" s="1"/>
      <c r="EDB228" s="1"/>
      <c r="EDC228" s="1"/>
      <c r="EDD228" s="1"/>
      <c r="EDE228" s="1"/>
      <c r="EDF228" s="1"/>
      <c r="EDG228" s="1"/>
      <c r="EDH228" s="1"/>
      <c r="EDI228" s="1"/>
      <c r="EDJ228" s="1"/>
      <c r="EDK228" s="1"/>
      <c r="EDL228" s="1"/>
      <c r="EDM228" s="1"/>
      <c r="EDN228" s="1"/>
      <c r="EDO228" s="1"/>
      <c r="EDP228" s="1"/>
      <c r="EDQ228" s="1"/>
      <c r="EDR228" s="1"/>
      <c r="EDS228" s="1"/>
      <c r="EDT228" s="1"/>
      <c r="EDU228" s="1"/>
      <c r="EDV228" s="1"/>
      <c r="EDW228" s="1"/>
      <c r="EDX228" s="1"/>
      <c r="EDY228" s="1"/>
      <c r="EDZ228" s="1"/>
      <c r="EEA228" s="1"/>
      <c r="EEB228" s="1"/>
      <c r="EEC228" s="1"/>
      <c r="EED228" s="1"/>
      <c r="EEE228" s="1"/>
      <c r="EEF228" s="1"/>
      <c r="EEG228" s="1"/>
      <c r="EEH228" s="1"/>
      <c r="EEI228" s="1"/>
      <c r="EEJ228" s="1"/>
      <c r="EEK228" s="1"/>
      <c r="EEL228" s="1"/>
      <c r="EEM228" s="1"/>
      <c r="EEN228" s="1"/>
      <c r="EEO228" s="1"/>
      <c r="EEP228" s="1"/>
      <c r="EEQ228" s="1"/>
      <c r="EER228" s="1"/>
      <c r="EES228" s="1"/>
      <c r="EET228" s="1"/>
      <c r="EEU228" s="1"/>
      <c r="EEV228" s="1"/>
      <c r="EEW228" s="1"/>
      <c r="EEX228" s="1"/>
      <c r="EEY228" s="1"/>
      <c r="EEZ228" s="1"/>
      <c r="EFA228" s="1"/>
      <c r="EFB228" s="1"/>
      <c r="EFC228" s="1"/>
      <c r="EFD228" s="1"/>
      <c r="EFE228" s="1"/>
      <c r="EFF228" s="1"/>
      <c r="EFG228" s="1"/>
      <c r="EFH228" s="1"/>
      <c r="EFI228" s="1"/>
      <c r="EFJ228" s="1"/>
      <c r="EFK228" s="1"/>
      <c r="EFL228" s="1"/>
      <c r="EFM228" s="1"/>
      <c r="EFN228" s="1"/>
      <c r="EFO228" s="1"/>
      <c r="EFP228" s="1"/>
      <c r="EFQ228" s="1"/>
      <c r="EFR228" s="1"/>
      <c r="EFS228" s="1"/>
      <c r="EFT228" s="1"/>
      <c r="EFU228" s="1"/>
      <c r="EFV228" s="1"/>
      <c r="EFW228" s="1"/>
      <c r="EFX228" s="1"/>
      <c r="EFY228" s="1"/>
      <c r="EFZ228" s="1"/>
      <c r="EGA228" s="1"/>
      <c r="EGB228" s="1"/>
      <c r="EGC228" s="1"/>
      <c r="EGD228" s="1"/>
      <c r="EGE228" s="1"/>
      <c r="EGF228" s="1"/>
      <c r="EGG228" s="1"/>
      <c r="EGH228" s="1"/>
      <c r="EGI228" s="1"/>
      <c r="EGJ228" s="1"/>
      <c r="EGK228" s="1"/>
      <c r="EGL228" s="1"/>
      <c r="EGM228" s="1"/>
      <c r="EGN228" s="1"/>
      <c r="EGO228" s="1"/>
      <c r="EGP228" s="1"/>
      <c r="EGQ228" s="1"/>
      <c r="EGR228" s="1"/>
      <c r="EGS228" s="1"/>
      <c r="EGT228" s="1"/>
      <c r="EGU228" s="1"/>
      <c r="EGV228" s="1"/>
      <c r="EGW228" s="1"/>
      <c r="EGX228" s="1"/>
      <c r="EGY228" s="1"/>
      <c r="EGZ228" s="1"/>
      <c r="EHA228" s="1"/>
      <c r="EHB228" s="1"/>
      <c r="EHC228" s="1"/>
      <c r="EHD228" s="1"/>
      <c r="EHE228" s="1"/>
      <c r="EHF228" s="1"/>
      <c r="EHG228" s="1"/>
      <c r="EHH228" s="1"/>
      <c r="EHI228" s="1"/>
      <c r="EHJ228" s="1"/>
      <c r="EHK228" s="1"/>
      <c r="EHL228" s="1"/>
      <c r="EHM228" s="1"/>
      <c r="EHN228" s="1"/>
      <c r="EHO228" s="1"/>
      <c r="EHP228" s="1"/>
      <c r="EHQ228" s="1"/>
      <c r="EHR228" s="1"/>
      <c r="EHS228" s="1"/>
      <c r="EHT228" s="1"/>
      <c r="EHU228" s="1"/>
      <c r="EHV228" s="1"/>
      <c r="EHW228" s="1"/>
      <c r="EHX228" s="1"/>
      <c r="EHY228" s="1"/>
      <c r="EHZ228" s="1"/>
      <c r="EIA228" s="1"/>
      <c r="EIB228" s="1"/>
      <c r="EIC228" s="1"/>
      <c r="EID228" s="1"/>
      <c r="EIE228" s="1"/>
      <c r="EIF228" s="1"/>
      <c r="EIG228" s="1"/>
      <c r="EIH228" s="1"/>
      <c r="EII228" s="1"/>
      <c r="EIJ228" s="1"/>
      <c r="EIK228" s="1"/>
      <c r="EIL228" s="1"/>
      <c r="EIM228" s="1"/>
      <c r="EIN228" s="1"/>
      <c r="EIO228" s="1"/>
      <c r="EIP228" s="1"/>
      <c r="EIQ228" s="1"/>
      <c r="EIR228" s="1"/>
      <c r="EIS228" s="1"/>
      <c r="EIT228" s="1"/>
      <c r="EIU228" s="1"/>
      <c r="EIV228" s="1"/>
      <c r="EIW228" s="1"/>
      <c r="EIX228" s="1"/>
      <c r="EIY228" s="1"/>
      <c r="EIZ228" s="1"/>
      <c r="EJA228" s="1"/>
      <c r="EJB228" s="1"/>
      <c r="EJC228" s="1"/>
      <c r="EJD228" s="1"/>
      <c r="EJE228" s="1"/>
      <c r="EJF228" s="1"/>
      <c r="EJG228" s="1"/>
      <c r="EJH228" s="1"/>
      <c r="EJI228" s="1"/>
      <c r="EJJ228" s="1"/>
      <c r="EJK228" s="1"/>
      <c r="EJL228" s="1"/>
      <c r="EJM228" s="1"/>
      <c r="EJN228" s="1"/>
      <c r="EJO228" s="1"/>
      <c r="EJP228" s="1"/>
      <c r="EJQ228" s="1"/>
      <c r="EJR228" s="1"/>
      <c r="EJS228" s="1"/>
      <c r="EJT228" s="1"/>
      <c r="EJU228" s="1"/>
      <c r="EJV228" s="1"/>
      <c r="EJW228" s="1"/>
      <c r="EJX228" s="1"/>
      <c r="EJY228" s="1"/>
      <c r="EJZ228" s="1"/>
      <c r="EKA228" s="1"/>
      <c r="EKB228" s="1"/>
      <c r="EKC228" s="1"/>
      <c r="EKD228" s="1"/>
      <c r="EKE228" s="1"/>
      <c r="EKF228" s="1"/>
      <c r="EKG228" s="1"/>
      <c r="EKH228" s="1"/>
      <c r="EKI228" s="1"/>
      <c r="EKJ228" s="1"/>
      <c r="EKK228" s="1"/>
      <c r="EKL228" s="1"/>
      <c r="EKM228" s="1"/>
      <c r="EKN228" s="1"/>
      <c r="EKO228" s="1"/>
      <c r="EKP228" s="1"/>
      <c r="EKQ228" s="1"/>
      <c r="EKR228" s="1"/>
      <c r="EKS228" s="1"/>
      <c r="EKT228" s="1"/>
      <c r="EKU228" s="1"/>
      <c r="EKV228" s="1"/>
      <c r="EKW228" s="1"/>
      <c r="EKX228" s="1"/>
      <c r="EKY228" s="1"/>
      <c r="EKZ228" s="1"/>
      <c r="ELA228" s="1"/>
      <c r="ELB228" s="1"/>
      <c r="ELC228" s="1"/>
      <c r="ELD228" s="1"/>
      <c r="ELE228" s="1"/>
      <c r="ELF228" s="1"/>
      <c r="ELG228" s="1"/>
      <c r="ELH228" s="1"/>
      <c r="ELI228" s="1"/>
      <c r="ELJ228" s="1"/>
      <c r="ELK228" s="1"/>
      <c r="ELL228" s="1"/>
      <c r="ELM228" s="1"/>
      <c r="ELN228" s="1"/>
      <c r="ELO228" s="1"/>
      <c r="ELP228" s="1"/>
      <c r="ELQ228" s="1"/>
      <c r="ELR228" s="1"/>
      <c r="ELS228" s="1"/>
      <c r="ELT228" s="1"/>
      <c r="ELU228" s="1"/>
      <c r="ELV228" s="1"/>
      <c r="ELW228" s="1"/>
      <c r="ELX228" s="1"/>
      <c r="ELY228" s="1"/>
      <c r="ELZ228" s="1"/>
      <c r="EMA228" s="1"/>
      <c r="EMB228" s="1"/>
      <c r="EMC228" s="1"/>
      <c r="EMD228" s="1"/>
      <c r="EME228" s="1"/>
      <c r="EMF228" s="1"/>
      <c r="EMG228" s="1"/>
      <c r="EMH228" s="1"/>
      <c r="EMI228" s="1"/>
      <c r="EMJ228" s="1"/>
      <c r="EMK228" s="1"/>
      <c r="EML228" s="1"/>
      <c r="EMM228" s="1"/>
      <c r="EMN228" s="1"/>
      <c r="EMO228" s="1"/>
      <c r="EMP228" s="1"/>
      <c r="EMQ228" s="1"/>
      <c r="EMR228" s="1"/>
      <c r="EMS228" s="1"/>
      <c r="EMT228" s="1"/>
      <c r="EMU228" s="1"/>
      <c r="EMV228" s="1"/>
      <c r="EMW228" s="1"/>
      <c r="EMX228" s="1"/>
      <c r="EMY228" s="1"/>
      <c r="EMZ228" s="1"/>
      <c r="ENA228" s="1"/>
      <c r="ENB228" s="1"/>
      <c r="ENC228" s="1"/>
      <c r="END228" s="1"/>
      <c r="ENE228" s="1"/>
      <c r="ENF228" s="1"/>
      <c r="ENG228" s="1"/>
      <c r="ENH228" s="1"/>
      <c r="ENI228" s="1"/>
      <c r="ENJ228" s="1"/>
      <c r="ENK228" s="1"/>
      <c r="ENL228" s="1"/>
      <c r="ENM228" s="1"/>
      <c r="ENN228" s="1"/>
      <c r="ENO228" s="1"/>
      <c r="ENP228" s="1"/>
      <c r="ENQ228" s="1"/>
      <c r="ENR228" s="1"/>
      <c r="ENS228" s="1"/>
      <c r="ENT228" s="1"/>
      <c r="ENU228" s="1"/>
      <c r="ENV228" s="1"/>
      <c r="ENW228" s="1"/>
      <c r="ENX228" s="1"/>
      <c r="ENY228" s="1"/>
      <c r="ENZ228" s="1"/>
      <c r="EOA228" s="1"/>
      <c r="EOB228" s="1"/>
      <c r="EOC228" s="1"/>
      <c r="EOD228" s="1"/>
      <c r="EOE228" s="1"/>
      <c r="EOF228" s="1"/>
      <c r="EOG228" s="1"/>
      <c r="EOH228" s="1"/>
      <c r="EOI228" s="1"/>
      <c r="EOJ228" s="1"/>
      <c r="EOK228" s="1"/>
      <c r="EOL228" s="1"/>
      <c r="EOM228" s="1"/>
      <c r="EON228" s="1"/>
      <c r="EOO228" s="1"/>
      <c r="EOP228" s="1"/>
      <c r="EOQ228" s="1"/>
      <c r="EOR228" s="1"/>
      <c r="EOS228" s="1"/>
      <c r="EOT228" s="1"/>
      <c r="EOU228" s="1"/>
      <c r="EOV228" s="1"/>
      <c r="EOW228" s="1"/>
      <c r="EOX228" s="1"/>
      <c r="EOY228" s="1"/>
      <c r="EOZ228" s="1"/>
      <c r="EPA228" s="1"/>
      <c r="EPB228" s="1"/>
      <c r="EPC228" s="1"/>
      <c r="EPD228" s="1"/>
      <c r="EPE228" s="1"/>
      <c r="EPF228" s="1"/>
      <c r="EPG228" s="1"/>
      <c r="EPH228" s="1"/>
      <c r="EPI228" s="1"/>
      <c r="EPJ228" s="1"/>
      <c r="EPK228" s="1"/>
      <c r="EPL228" s="1"/>
      <c r="EPM228" s="1"/>
      <c r="EPN228" s="1"/>
      <c r="EPO228" s="1"/>
      <c r="EPP228" s="1"/>
      <c r="EPQ228" s="1"/>
      <c r="EPR228" s="1"/>
      <c r="EPS228" s="1"/>
      <c r="EPT228" s="1"/>
      <c r="EPU228" s="1"/>
      <c r="EPV228" s="1"/>
      <c r="EPW228" s="1"/>
      <c r="EPX228" s="1"/>
      <c r="EPY228" s="1"/>
      <c r="EPZ228" s="1"/>
      <c r="EQA228" s="1"/>
      <c r="EQB228" s="1"/>
      <c r="EQC228" s="1"/>
      <c r="EQD228" s="1"/>
      <c r="EQE228" s="1"/>
      <c r="EQF228" s="1"/>
      <c r="EQG228" s="1"/>
      <c r="EQH228" s="1"/>
      <c r="EQI228" s="1"/>
      <c r="EQJ228" s="1"/>
      <c r="EQK228" s="1"/>
      <c r="EQL228" s="1"/>
      <c r="EQM228" s="1"/>
      <c r="EQN228" s="1"/>
      <c r="EQO228" s="1"/>
      <c r="EQP228" s="1"/>
      <c r="EQQ228" s="1"/>
      <c r="EQR228" s="1"/>
      <c r="EQS228" s="1"/>
      <c r="EQT228" s="1"/>
      <c r="EQU228" s="1"/>
      <c r="EQV228" s="1"/>
      <c r="EQW228" s="1"/>
      <c r="EQX228" s="1"/>
      <c r="EQY228" s="1"/>
      <c r="EQZ228" s="1"/>
      <c r="ERA228" s="1"/>
      <c r="ERB228" s="1"/>
      <c r="ERC228" s="1"/>
      <c r="ERD228" s="1"/>
      <c r="ERE228" s="1"/>
      <c r="ERF228" s="1"/>
      <c r="ERG228" s="1"/>
      <c r="ERH228" s="1"/>
      <c r="ERI228" s="1"/>
      <c r="ERJ228" s="1"/>
      <c r="ERK228" s="1"/>
      <c r="ERL228" s="1"/>
      <c r="ERM228" s="1"/>
      <c r="ERN228" s="1"/>
      <c r="ERO228" s="1"/>
      <c r="ERP228" s="1"/>
      <c r="ERQ228" s="1"/>
      <c r="ERR228" s="1"/>
      <c r="ERS228" s="1"/>
      <c r="ERT228" s="1"/>
      <c r="ERU228" s="1"/>
      <c r="ERV228" s="1"/>
      <c r="ERW228" s="1"/>
      <c r="ERX228" s="1"/>
      <c r="ERY228" s="1"/>
      <c r="ERZ228" s="1"/>
      <c r="ESA228" s="1"/>
      <c r="ESB228" s="1"/>
      <c r="ESC228" s="1"/>
      <c r="ESD228" s="1"/>
      <c r="ESE228" s="1"/>
      <c r="ESF228" s="1"/>
      <c r="ESG228" s="1"/>
      <c r="ESH228" s="1"/>
      <c r="ESI228" s="1"/>
      <c r="ESJ228" s="1"/>
      <c r="ESK228" s="1"/>
      <c r="ESL228" s="1"/>
      <c r="ESM228" s="1"/>
      <c r="ESN228" s="1"/>
      <c r="ESO228" s="1"/>
      <c r="ESP228" s="1"/>
      <c r="ESQ228" s="1"/>
      <c r="ESR228" s="1"/>
      <c r="ESS228" s="1"/>
      <c r="EST228" s="1"/>
      <c r="ESU228" s="1"/>
      <c r="ESV228" s="1"/>
      <c r="ESW228" s="1"/>
      <c r="ESX228" s="1"/>
      <c r="ESY228" s="1"/>
      <c r="ESZ228" s="1"/>
      <c r="ETA228" s="1"/>
      <c r="ETB228" s="1"/>
      <c r="ETC228" s="1"/>
      <c r="ETD228" s="1"/>
      <c r="ETE228" s="1"/>
      <c r="ETF228" s="1"/>
      <c r="ETG228" s="1"/>
      <c r="ETH228" s="1"/>
      <c r="ETI228" s="1"/>
      <c r="ETJ228" s="1"/>
      <c r="ETK228" s="1"/>
      <c r="ETL228" s="1"/>
      <c r="ETM228" s="1"/>
      <c r="ETN228" s="1"/>
      <c r="ETO228" s="1"/>
      <c r="ETP228" s="1"/>
      <c r="ETQ228" s="1"/>
      <c r="ETR228" s="1"/>
      <c r="ETS228" s="1"/>
      <c r="ETT228" s="1"/>
      <c r="ETU228" s="1"/>
      <c r="ETV228" s="1"/>
      <c r="ETW228" s="1"/>
      <c r="ETX228" s="1"/>
      <c r="ETY228" s="1"/>
      <c r="ETZ228" s="1"/>
      <c r="EUA228" s="1"/>
      <c r="EUB228" s="1"/>
      <c r="EUC228" s="1"/>
      <c r="EUD228" s="1"/>
      <c r="EUE228" s="1"/>
      <c r="EUF228" s="1"/>
      <c r="EUG228" s="1"/>
      <c r="EUH228" s="1"/>
      <c r="EUI228" s="1"/>
      <c r="EUJ228" s="1"/>
      <c r="EUK228" s="1"/>
      <c r="EUL228" s="1"/>
      <c r="EUM228" s="1"/>
      <c r="EUN228" s="1"/>
      <c r="EUO228" s="1"/>
      <c r="EUP228" s="1"/>
      <c r="EUQ228" s="1"/>
      <c r="EUR228" s="1"/>
      <c r="EUS228" s="1"/>
      <c r="EUT228" s="1"/>
      <c r="EUU228" s="1"/>
      <c r="EUV228" s="1"/>
      <c r="EUW228" s="1"/>
      <c r="EUX228" s="1"/>
      <c r="EUY228" s="1"/>
      <c r="EUZ228" s="1"/>
      <c r="EVA228" s="1"/>
      <c r="EVB228" s="1"/>
      <c r="EVC228" s="1"/>
      <c r="EVD228" s="1"/>
      <c r="EVE228" s="1"/>
      <c r="EVF228" s="1"/>
      <c r="EVG228" s="1"/>
      <c r="EVH228" s="1"/>
      <c r="EVI228" s="1"/>
      <c r="EVJ228" s="1"/>
      <c r="EVK228" s="1"/>
      <c r="EVL228" s="1"/>
      <c r="EVM228" s="1"/>
      <c r="EVN228" s="1"/>
      <c r="EVO228" s="1"/>
      <c r="EVP228" s="1"/>
      <c r="EVQ228" s="1"/>
      <c r="EVR228" s="1"/>
      <c r="EVS228" s="1"/>
      <c r="EVT228" s="1"/>
      <c r="EVU228" s="1"/>
      <c r="EVV228" s="1"/>
      <c r="EVW228" s="1"/>
      <c r="EVX228" s="1"/>
      <c r="EVY228" s="1"/>
      <c r="EVZ228" s="1"/>
      <c r="EWA228" s="1"/>
      <c r="EWB228" s="1"/>
      <c r="EWC228" s="1"/>
      <c r="EWD228" s="1"/>
      <c r="EWE228" s="1"/>
      <c r="EWF228" s="1"/>
      <c r="EWG228" s="1"/>
      <c r="EWH228" s="1"/>
      <c r="EWI228" s="1"/>
      <c r="EWJ228" s="1"/>
      <c r="EWK228" s="1"/>
      <c r="EWL228" s="1"/>
      <c r="EWM228" s="1"/>
      <c r="EWN228" s="1"/>
      <c r="EWO228" s="1"/>
      <c r="EWP228" s="1"/>
      <c r="EWQ228" s="1"/>
      <c r="EWR228" s="1"/>
      <c r="EWS228" s="1"/>
      <c r="EWT228" s="1"/>
      <c r="EWU228" s="1"/>
      <c r="EWV228" s="1"/>
      <c r="EWW228" s="1"/>
      <c r="EWX228" s="1"/>
      <c r="EWY228" s="1"/>
      <c r="EWZ228" s="1"/>
      <c r="EXA228" s="1"/>
      <c r="EXB228" s="1"/>
      <c r="EXC228" s="1"/>
      <c r="EXD228" s="1"/>
      <c r="EXE228" s="1"/>
      <c r="EXF228" s="1"/>
      <c r="EXG228" s="1"/>
      <c r="EXH228" s="1"/>
      <c r="EXI228" s="1"/>
      <c r="EXJ228" s="1"/>
      <c r="EXK228" s="1"/>
      <c r="EXL228" s="1"/>
      <c r="EXM228" s="1"/>
      <c r="EXN228" s="1"/>
      <c r="EXO228" s="1"/>
      <c r="EXP228" s="1"/>
      <c r="EXQ228" s="1"/>
      <c r="EXR228" s="1"/>
      <c r="EXS228" s="1"/>
      <c r="EXT228" s="1"/>
      <c r="EXU228" s="1"/>
      <c r="EXV228" s="1"/>
      <c r="EXW228" s="1"/>
      <c r="EXX228" s="1"/>
      <c r="EXY228" s="1"/>
      <c r="EXZ228" s="1"/>
      <c r="EYA228" s="1"/>
      <c r="EYB228" s="1"/>
      <c r="EYC228" s="1"/>
      <c r="EYD228" s="1"/>
      <c r="EYE228" s="1"/>
      <c r="EYF228" s="1"/>
      <c r="EYG228" s="1"/>
      <c r="EYH228" s="1"/>
      <c r="EYI228" s="1"/>
      <c r="EYJ228" s="1"/>
      <c r="EYK228" s="1"/>
      <c r="EYL228" s="1"/>
      <c r="EYM228" s="1"/>
      <c r="EYN228" s="1"/>
      <c r="EYO228" s="1"/>
      <c r="EYP228" s="1"/>
      <c r="EYQ228" s="1"/>
      <c r="EYR228" s="1"/>
      <c r="EYS228" s="1"/>
      <c r="EYT228" s="1"/>
      <c r="EYU228" s="1"/>
      <c r="EYV228" s="1"/>
      <c r="EYW228" s="1"/>
      <c r="EYX228" s="1"/>
      <c r="EYY228" s="1"/>
      <c r="EYZ228" s="1"/>
      <c r="EZA228" s="1"/>
      <c r="EZB228" s="1"/>
      <c r="EZC228" s="1"/>
      <c r="EZD228" s="1"/>
      <c r="EZE228" s="1"/>
      <c r="EZF228" s="1"/>
      <c r="EZG228" s="1"/>
      <c r="EZH228" s="1"/>
      <c r="EZI228" s="1"/>
      <c r="EZJ228" s="1"/>
      <c r="EZK228" s="1"/>
      <c r="EZL228" s="1"/>
      <c r="EZM228" s="1"/>
      <c r="EZN228" s="1"/>
      <c r="EZO228" s="1"/>
      <c r="EZP228" s="1"/>
      <c r="EZQ228" s="1"/>
      <c r="EZR228" s="1"/>
      <c r="EZS228" s="1"/>
      <c r="EZT228" s="1"/>
      <c r="EZU228" s="1"/>
      <c r="EZV228" s="1"/>
      <c r="EZW228" s="1"/>
      <c r="EZX228" s="1"/>
      <c r="EZY228" s="1"/>
      <c r="EZZ228" s="1"/>
      <c r="FAA228" s="1"/>
      <c r="FAB228" s="1"/>
      <c r="FAC228" s="1"/>
      <c r="FAD228" s="1"/>
      <c r="FAE228" s="1"/>
      <c r="FAF228" s="1"/>
      <c r="FAG228" s="1"/>
      <c r="FAH228" s="1"/>
      <c r="FAI228" s="1"/>
      <c r="FAJ228" s="1"/>
      <c r="FAK228" s="1"/>
      <c r="FAL228" s="1"/>
      <c r="FAM228" s="1"/>
      <c r="FAN228" s="1"/>
      <c r="FAO228" s="1"/>
      <c r="FAP228" s="1"/>
      <c r="FAQ228" s="1"/>
      <c r="FAR228" s="1"/>
      <c r="FAS228" s="1"/>
      <c r="FAT228" s="1"/>
      <c r="FAU228" s="1"/>
      <c r="FAV228" s="1"/>
      <c r="FAW228" s="1"/>
      <c r="FAX228" s="1"/>
      <c r="FAY228" s="1"/>
      <c r="FAZ228" s="1"/>
      <c r="FBA228" s="1"/>
      <c r="FBB228" s="1"/>
      <c r="FBC228" s="1"/>
      <c r="FBD228" s="1"/>
      <c r="FBE228" s="1"/>
      <c r="FBF228" s="1"/>
      <c r="FBG228" s="1"/>
      <c r="FBH228" s="1"/>
      <c r="FBI228" s="1"/>
      <c r="FBJ228" s="1"/>
      <c r="FBK228" s="1"/>
      <c r="FBL228" s="1"/>
      <c r="FBM228" s="1"/>
      <c r="FBN228" s="1"/>
      <c r="FBO228" s="1"/>
      <c r="FBP228" s="1"/>
      <c r="FBQ228" s="1"/>
      <c r="FBR228" s="1"/>
      <c r="FBS228" s="1"/>
      <c r="FBT228" s="1"/>
      <c r="FBU228" s="1"/>
      <c r="FBV228" s="1"/>
      <c r="FBW228" s="1"/>
      <c r="FBX228" s="1"/>
      <c r="FBY228" s="1"/>
      <c r="FBZ228" s="1"/>
      <c r="FCA228" s="1"/>
      <c r="FCB228" s="1"/>
      <c r="FCC228" s="1"/>
      <c r="FCD228" s="1"/>
      <c r="FCE228" s="1"/>
      <c r="FCF228" s="1"/>
      <c r="FCG228" s="1"/>
      <c r="FCH228" s="1"/>
      <c r="FCI228" s="1"/>
      <c r="FCJ228" s="1"/>
      <c r="FCK228" s="1"/>
      <c r="FCL228" s="1"/>
      <c r="FCM228" s="1"/>
      <c r="FCN228" s="1"/>
      <c r="FCO228" s="1"/>
      <c r="FCP228" s="1"/>
      <c r="FCQ228" s="1"/>
      <c r="FCR228" s="1"/>
      <c r="FCS228" s="1"/>
      <c r="FCT228" s="1"/>
      <c r="FCU228" s="1"/>
      <c r="FCV228" s="1"/>
      <c r="FCW228" s="1"/>
      <c r="FCX228" s="1"/>
      <c r="FCY228" s="1"/>
      <c r="FCZ228" s="1"/>
      <c r="FDA228" s="1"/>
      <c r="FDB228" s="1"/>
      <c r="FDC228" s="1"/>
      <c r="FDD228" s="1"/>
      <c r="FDE228" s="1"/>
      <c r="FDF228" s="1"/>
      <c r="FDG228" s="1"/>
      <c r="FDH228" s="1"/>
      <c r="FDI228" s="1"/>
      <c r="FDJ228" s="1"/>
      <c r="FDK228" s="1"/>
      <c r="FDL228" s="1"/>
      <c r="FDM228" s="1"/>
      <c r="FDN228" s="1"/>
      <c r="FDO228" s="1"/>
      <c r="FDP228" s="1"/>
      <c r="FDQ228" s="1"/>
      <c r="FDR228" s="1"/>
      <c r="FDS228" s="1"/>
      <c r="FDT228" s="1"/>
      <c r="FDU228" s="1"/>
      <c r="FDV228" s="1"/>
      <c r="FDW228" s="1"/>
      <c r="FDX228" s="1"/>
      <c r="FDY228" s="1"/>
      <c r="FDZ228" s="1"/>
      <c r="FEA228" s="1"/>
      <c r="FEB228" s="1"/>
      <c r="FEC228" s="1"/>
      <c r="FED228" s="1"/>
      <c r="FEE228" s="1"/>
      <c r="FEF228" s="1"/>
      <c r="FEG228" s="1"/>
      <c r="FEH228" s="1"/>
      <c r="FEI228" s="1"/>
      <c r="FEJ228" s="1"/>
      <c r="FEK228" s="1"/>
      <c r="FEL228" s="1"/>
      <c r="FEM228" s="1"/>
      <c r="FEN228" s="1"/>
      <c r="FEO228" s="1"/>
      <c r="FEP228" s="1"/>
      <c r="FEQ228" s="1"/>
      <c r="FER228" s="1"/>
      <c r="FES228" s="1"/>
      <c r="FET228" s="1"/>
      <c r="FEU228" s="1"/>
      <c r="FEV228" s="1"/>
      <c r="FEW228" s="1"/>
      <c r="FEX228" s="1"/>
      <c r="FEY228" s="1"/>
      <c r="FEZ228" s="1"/>
      <c r="FFA228" s="1"/>
      <c r="FFB228" s="1"/>
      <c r="FFC228" s="1"/>
      <c r="FFD228" s="1"/>
      <c r="FFE228" s="1"/>
      <c r="FFF228" s="1"/>
      <c r="FFG228" s="1"/>
      <c r="FFH228" s="1"/>
      <c r="FFI228" s="1"/>
      <c r="FFJ228" s="1"/>
      <c r="FFK228" s="1"/>
      <c r="FFL228" s="1"/>
      <c r="FFM228" s="1"/>
      <c r="FFN228" s="1"/>
      <c r="FFO228" s="1"/>
      <c r="FFP228" s="1"/>
      <c r="FFQ228" s="1"/>
      <c r="FFR228" s="1"/>
      <c r="FFS228" s="1"/>
      <c r="FFT228" s="1"/>
      <c r="FFU228" s="1"/>
      <c r="FFV228" s="1"/>
      <c r="FFW228" s="1"/>
      <c r="FFX228" s="1"/>
      <c r="FFY228" s="1"/>
      <c r="FFZ228" s="1"/>
      <c r="FGA228" s="1"/>
      <c r="FGB228" s="1"/>
      <c r="FGC228" s="1"/>
      <c r="FGD228" s="1"/>
      <c r="FGE228" s="1"/>
      <c r="FGF228" s="1"/>
      <c r="FGG228" s="1"/>
      <c r="FGH228" s="1"/>
      <c r="FGI228" s="1"/>
      <c r="FGJ228" s="1"/>
      <c r="FGK228" s="1"/>
      <c r="FGL228" s="1"/>
      <c r="FGM228" s="1"/>
      <c r="FGN228" s="1"/>
      <c r="FGO228" s="1"/>
      <c r="FGP228" s="1"/>
      <c r="FGQ228" s="1"/>
      <c r="FGR228" s="1"/>
      <c r="FGS228" s="1"/>
      <c r="FGT228" s="1"/>
      <c r="FGU228" s="1"/>
      <c r="FGV228" s="1"/>
      <c r="FGW228" s="1"/>
      <c r="FGX228" s="1"/>
      <c r="FGY228" s="1"/>
      <c r="FGZ228" s="1"/>
      <c r="FHA228" s="1"/>
      <c r="FHB228" s="1"/>
      <c r="FHC228" s="1"/>
      <c r="FHD228" s="1"/>
      <c r="FHE228" s="1"/>
      <c r="FHF228" s="1"/>
      <c r="FHG228" s="1"/>
      <c r="FHH228" s="1"/>
      <c r="FHI228" s="1"/>
      <c r="FHJ228" s="1"/>
      <c r="FHK228" s="1"/>
      <c r="FHL228" s="1"/>
      <c r="FHM228" s="1"/>
      <c r="FHN228" s="1"/>
      <c r="FHO228" s="1"/>
      <c r="FHP228" s="1"/>
      <c r="FHQ228" s="1"/>
      <c r="FHR228" s="1"/>
      <c r="FHS228" s="1"/>
      <c r="FHT228" s="1"/>
      <c r="FHU228" s="1"/>
      <c r="FHV228" s="1"/>
      <c r="FHW228" s="1"/>
      <c r="FHX228" s="1"/>
      <c r="FHY228" s="1"/>
      <c r="FHZ228" s="1"/>
      <c r="FIA228" s="1"/>
      <c r="FIB228" s="1"/>
      <c r="FIC228" s="1"/>
      <c r="FID228" s="1"/>
      <c r="FIE228" s="1"/>
      <c r="FIF228" s="1"/>
      <c r="FIG228" s="1"/>
      <c r="FIH228" s="1"/>
      <c r="FII228" s="1"/>
      <c r="FIJ228" s="1"/>
      <c r="FIK228" s="1"/>
      <c r="FIL228" s="1"/>
      <c r="FIM228" s="1"/>
      <c r="FIN228" s="1"/>
      <c r="FIO228" s="1"/>
      <c r="FIP228" s="1"/>
      <c r="FIQ228" s="1"/>
      <c r="FIR228" s="1"/>
      <c r="FIS228" s="1"/>
      <c r="FIT228" s="1"/>
      <c r="FIU228" s="1"/>
      <c r="FIV228" s="1"/>
      <c r="FIW228" s="1"/>
      <c r="FIX228" s="1"/>
      <c r="FIY228" s="1"/>
      <c r="FIZ228" s="1"/>
      <c r="FJA228" s="1"/>
      <c r="FJB228" s="1"/>
      <c r="FJC228" s="1"/>
      <c r="FJD228" s="1"/>
      <c r="FJE228" s="1"/>
      <c r="FJF228" s="1"/>
      <c r="FJG228" s="1"/>
      <c r="FJH228" s="1"/>
      <c r="FJI228" s="1"/>
      <c r="FJJ228" s="1"/>
      <c r="FJK228" s="1"/>
      <c r="FJL228" s="1"/>
      <c r="FJM228" s="1"/>
      <c r="FJN228" s="1"/>
      <c r="FJO228" s="1"/>
      <c r="FJP228" s="1"/>
      <c r="FJQ228" s="1"/>
      <c r="FJR228" s="1"/>
      <c r="FJS228" s="1"/>
      <c r="FJT228" s="1"/>
      <c r="FJU228" s="1"/>
      <c r="FJV228" s="1"/>
      <c r="FJW228" s="1"/>
      <c r="FJX228" s="1"/>
      <c r="FJY228" s="1"/>
      <c r="FJZ228" s="1"/>
      <c r="FKA228" s="1"/>
      <c r="FKB228" s="1"/>
      <c r="FKC228" s="1"/>
      <c r="FKD228" s="1"/>
      <c r="FKE228" s="1"/>
      <c r="FKF228" s="1"/>
      <c r="FKG228" s="1"/>
      <c r="FKH228" s="1"/>
      <c r="FKI228" s="1"/>
      <c r="FKJ228" s="1"/>
      <c r="FKK228" s="1"/>
      <c r="FKL228" s="1"/>
      <c r="FKM228" s="1"/>
      <c r="FKN228" s="1"/>
      <c r="FKO228" s="1"/>
      <c r="FKP228" s="1"/>
      <c r="FKQ228" s="1"/>
      <c r="FKR228" s="1"/>
      <c r="FKS228" s="1"/>
      <c r="FKT228" s="1"/>
      <c r="FKU228" s="1"/>
      <c r="FKV228" s="1"/>
      <c r="FKW228" s="1"/>
      <c r="FKX228" s="1"/>
      <c r="FKY228" s="1"/>
      <c r="FKZ228" s="1"/>
      <c r="FLA228" s="1"/>
      <c r="FLB228" s="1"/>
      <c r="FLC228" s="1"/>
      <c r="FLD228" s="1"/>
      <c r="FLE228" s="1"/>
      <c r="FLF228" s="1"/>
      <c r="FLG228" s="1"/>
      <c r="FLH228" s="1"/>
      <c r="FLI228" s="1"/>
      <c r="FLJ228" s="1"/>
      <c r="FLK228" s="1"/>
      <c r="FLL228" s="1"/>
      <c r="FLM228" s="1"/>
      <c r="FLN228" s="1"/>
      <c r="FLO228" s="1"/>
      <c r="FLP228" s="1"/>
      <c r="FLQ228" s="1"/>
      <c r="FLR228" s="1"/>
      <c r="FLS228" s="1"/>
      <c r="FLT228" s="1"/>
      <c r="FLU228" s="1"/>
      <c r="FLV228" s="1"/>
      <c r="FLW228" s="1"/>
      <c r="FLX228" s="1"/>
      <c r="FLY228" s="1"/>
      <c r="FLZ228" s="1"/>
      <c r="FMA228" s="1"/>
      <c r="FMB228" s="1"/>
      <c r="FMC228" s="1"/>
      <c r="FMD228" s="1"/>
      <c r="FME228" s="1"/>
      <c r="FMF228" s="1"/>
      <c r="FMG228" s="1"/>
      <c r="FMH228" s="1"/>
      <c r="FMI228" s="1"/>
      <c r="FMJ228" s="1"/>
      <c r="FMK228" s="1"/>
      <c r="FML228" s="1"/>
      <c r="FMM228" s="1"/>
      <c r="FMN228" s="1"/>
      <c r="FMO228" s="1"/>
      <c r="FMP228" s="1"/>
      <c r="FMQ228" s="1"/>
      <c r="FMR228" s="1"/>
      <c r="FMS228" s="1"/>
      <c r="FMT228" s="1"/>
      <c r="FMU228" s="1"/>
      <c r="FMV228" s="1"/>
      <c r="FMW228" s="1"/>
      <c r="FMX228" s="1"/>
      <c r="FMY228" s="1"/>
      <c r="FMZ228" s="1"/>
      <c r="FNA228" s="1"/>
      <c r="FNB228" s="1"/>
      <c r="FNC228" s="1"/>
      <c r="FND228" s="1"/>
      <c r="FNE228" s="1"/>
      <c r="FNF228" s="1"/>
      <c r="FNG228" s="1"/>
      <c r="FNH228" s="1"/>
      <c r="FNI228" s="1"/>
      <c r="FNJ228" s="1"/>
      <c r="FNK228" s="1"/>
      <c r="FNL228" s="1"/>
      <c r="FNM228" s="1"/>
      <c r="FNN228" s="1"/>
      <c r="FNO228" s="1"/>
      <c r="FNP228" s="1"/>
      <c r="FNQ228" s="1"/>
      <c r="FNR228" s="1"/>
      <c r="FNS228" s="1"/>
      <c r="FNT228" s="1"/>
      <c r="FNU228" s="1"/>
      <c r="FNV228" s="1"/>
      <c r="FNW228" s="1"/>
      <c r="FNX228" s="1"/>
      <c r="FNY228" s="1"/>
      <c r="FNZ228" s="1"/>
      <c r="FOA228" s="1"/>
      <c r="FOB228" s="1"/>
      <c r="FOC228" s="1"/>
      <c r="FOD228" s="1"/>
      <c r="FOE228" s="1"/>
      <c r="FOF228" s="1"/>
      <c r="FOG228" s="1"/>
      <c r="FOH228" s="1"/>
      <c r="FOI228" s="1"/>
      <c r="FOJ228" s="1"/>
      <c r="FOK228" s="1"/>
      <c r="FOL228" s="1"/>
      <c r="FOM228" s="1"/>
      <c r="FON228" s="1"/>
      <c r="FOO228" s="1"/>
      <c r="FOP228" s="1"/>
      <c r="FOQ228" s="1"/>
      <c r="FOR228" s="1"/>
      <c r="FOS228" s="1"/>
      <c r="FOT228" s="1"/>
      <c r="FOU228" s="1"/>
      <c r="FOV228" s="1"/>
      <c r="FOW228" s="1"/>
      <c r="FOX228" s="1"/>
      <c r="FOY228" s="1"/>
      <c r="FOZ228" s="1"/>
      <c r="FPA228" s="1"/>
      <c r="FPB228" s="1"/>
      <c r="FPC228" s="1"/>
      <c r="FPD228" s="1"/>
      <c r="FPE228" s="1"/>
      <c r="FPF228" s="1"/>
      <c r="FPG228" s="1"/>
      <c r="FPH228" s="1"/>
      <c r="FPI228" s="1"/>
      <c r="FPJ228" s="1"/>
      <c r="FPK228" s="1"/>
      <c r="FPL228" s="1"/>
      <c r="FPM228" s="1"/>
      <c r="FPN228" s="1"/>
      <c r="FPO228" s="1"/>
      <c r="FPP228" s="1"/>
      <c r="FPQ228" s="1"/>
      <c r="FPR228" s="1"/>
      <c r="FPS228" s="1"/>
      <c r="FPT228" s="1"/>
      <c r="FPU228" s="1"/>
      <c r="FPV228" s="1"/>
      <c r="FPW228" s="1"/>
      <c r="FPX228" s="1"/>
      <c r="FPY228" s="1"/>
      <c r="FPZ228" s="1"/>
      <c r="FQA228" s="1"/>
      <c r="FQB228" s="1"/>
      <c r="FQC228" s="1"/>
      <c r="FQD228" s="1"/>
      <c r="FQE228" s="1"/>
      <c r="FQF228" s="1"/>
      <c r="FQG228" s="1"/>
      <c r="FQH228" s="1"/>
      <c r="FQI228" s="1"/>
      <c r="FQJ228" s="1"/>
      <c r="FQK228" s="1"/>
      <c r="FQL228" s="1"/>
      <c r="FQM228" s="1"/>
      <c r="FQN228" s="1"/>
      <c r="FQO228" s="1"/>
      <c r="FQP228" s="1"/>
      <c r="FQQ228" s="1"/>
      <c r="FQR228" s="1"/>
      <c r="FQS228" s="1"/>
      <c r="FQT228" s="1"/>
      <c r="FQU228" s="1"/>
      <c r="FQV228" s="1"/>
      <c r="FQW228" s="1"/>
      <c r="FQX228" s="1"/>
      <c r="FQY228" s="1"/>
      <c r="FQZ228" s="1"/>
      <c r="FRA228" s="1"/>
      <c r="FRB228" s="1"/>
      <c r="FRC228" s="1"/>
      <c r="FRD228" s="1"/>
      <c r="FRE228" s="1"/>
      <c r="FRF228" s="1"/>
      <c r="FRG228" s="1"/>
      <c r="FRH228" s="1"/>
      <c r="FRI228" s="1"/>
      <c r="FRJ228" s="1"/>
      <c r="FRK228" s="1"/>
      <c r="FRL228" s="1"/>
      <c r="FRM228" s="1"/>
      <c r="FRN228" s="1"/>
      <c r="FRO228" s="1"/>
      <c r="FRP228" s="1"/>
      <c r="FRQ228" s="1"/>
      <c r="FRR228" s="1"/>
      <c r="FRS228" s="1"/>
      <c r="FRT228" s="1"/>
      <c r="FRU228" s="1"/>
      <c r="FRV228" s="1"/>
      <c r="FRW228" s="1"/>
      <c r="FRX228" s="1"/>
      <c r="FRY228" s="1"/>
      <c r="FRZ228" s="1"/>
      <c r="FSA228" s="1"/>
      <c r="FSB228" s="1"/>
      <c r="FSC228" s="1"/>
      <c r="FSD228" s="1"/>
      <c r="FSE228" s="1"/>
      <c r="FSF228" s="1"/>
      <c r="FSG228" s="1"/>
      <c r="FSH228" s="1"/>
      <c r="FSI228" s="1"/>
      <c r="FSJ228" s="1"/>
      <c r="FSK228" s="1"/>
      <c r="FSL228" s="1"/>
      <c r="FSM228" s="1"/>
      <c r="FSN228" s="1"/>
      <c r="FSO228" s="1"/>
      <c r="FSP228" s="1"/>
      <c r="FSQ228" s="1"/>
      <c r="FSR228" s="1"/>
      <c r="FSS228" s="1"/>
      <c r="FST228" s="1"/>
      <c r="FSU228" s="1"/>
      <c r="FSV228" s="1"/>
      <c r="FSW228" s="1"/>
      <c r="FSX228" s="1"/>
      <c r="FSY228" s="1"/>
      <c r="FSZ228" s="1"/>
      <c r="FTA228" s="1"/>
      <c r="FTB228" s="1"/>
      <c r="FTC228" s="1"/>
      <c r="FTD228" s="1"/>
      <c r="FTE228" s="1"/>
      <c r="FTF228" s="1"/>
      <c r="FTG228" s="1"/>
      <c r="FTH228" s="1"/>
      <c r="FTI228" s="1"/>
      <c r="FTJ228" s="1"/>
      <c r="FTK228" s="1"/>
      <c r="FTL228" s="1"/>
      <c r="FTM228" s="1"/>
      <c r="FTN228" s="1"/>
      <c r="FTO228" s="1"/>
      <c r="FTP228" s="1"/>
      <c r="FTQ228" s="1"/>
      <c r="FTR228" s="1"/>
      <c r="FTS228" s="1"/>
      <c r="FTT228" s="1"/>
      <c r="FTU228" s="1"/>
      <c r="FTV228" s="1"/>
      <c r="FTW228" s="1"/>
      <c r="FTX228" s="1"/>
      <c r="FTY228" s="1"/>
      <c r="FTZ228" s="1"/>
      <c r="FUA228" s="1"/>
      <c r="FUB228" s="1"/>
      <c r="FUC228" s="1"/>
      <c r="FUD228" s="1"/>
      <c r="FUE228" s="1"/>
      <c r="FUF228" s="1"/>
      <c r="FUG228" s="1"/>
      <c r="FUH228" s="1"/>
      <c r="FUI228" s="1"/>
      <c r="FUJ228" s="1"/>
      <c r="FUK228" s="1"/>
      <c r="FUL228" s="1"/>
      <c r="FUM228" s="1"/>
      <c r="FUN228" s="1"/>
      <c r="FUO228" s="1"/>
      <c r="FUP228" s="1"/>
      <c r="FUQ228" s="1"/>
      <c r="FUR228" s="1"/>
      <c r="FUS228" s="1"/>
      <c r="FUT228" s="1"/>
      <c r="FUU228" s="1"/>
      <c r="FUV228" s="1"/>
      <c r="FUW228" s="1"/>
      <c r="FUX228" s="1"/>
      <c r="FUY228" s="1"/>
      <c r="FUZ228" s="1"/>
      <c r="FVA228" s="1"/>
      <c r="FVB228" s="1"/>
      <c r="FVC228" s="1"/>
      <c r="FVD228" s="1"/>
      <c r="FVE228" s="1"/>
      <c r="FVF228" s="1"/>
      <c r="FVG228" s="1"/>
      <c r="FVH228" s="1"/>
      <c r="FVI228" s="1"/>
      <c r="FVJ228" s="1"/>
      <c r="FVK228" s="1"/>
      <c r="FVL228" s="1"/>
      <c r="FVM228" s="1"/>
      <c r="FVN228" s="1"/>
      <c r="FVO228" s="1"/>
      <c r="FVP228" s="1"/>
      <c r="FVQ228" s="1"/>
      <c r="FVR228" s="1"/>
      <c r="FVS228" s="1"/>
      <c r="FVT228" s="1"/>
      <c r="FVU228" s="1"/>
      <c r="FVV228" s="1"/>
      <c r="FVW228" s="1"/>
      <c r="FVX228" s="1"/>
      <c r="FVY228" s="1"/>
      <c r="FVZ228" s="1"/>
      <c r="FWA228" s="1"/>
      <c r="FWB228" s="1"/>
      <c r="FWC228" s="1"/>
      <c r="FWD228" s="1"/>
      <c r="FWE228" s="1"/>
      <c r="FWF228" s="1"/>
      <c r="FWG228" s="1"/>
      <c r="FWH228" s="1"/>
      <c r="FWI228" s="1"/>
      <c r="FWJ228" s="1"/>
      <c r="FWK228" s="1"/>
      <c r="FWL228" s="1"/>
      <c r="FWM228" s="1"/>
      <c r="FWN228" s="1"/>
      <c r="FWO228" s="1"/>
      <c r="FWP228" s="1"/>
      <c r="FWQ228" s="1"/>
      <c r="FWR228" s="1"/>
      <c r="FWS228" s="1"/>
      <c r="FWT228" s="1"/>
      <c r="FWU228" s="1"/>
      <c r="FWV228" s="1"/>
      <c r="FWW228" s="1"/>
      <c r="FWX228" s="1"/>
      <c r="FWY228" s="1"/>
      <c r="FWZ228" s="1"/>
      <c r="FXA228" s="1"/>
      <c r="FXB228" s="1"/>
      <c r="FXC228" s="1"/>
      <c r="FXD228" s="1"/>
      <c r="FXE228" s="1"/>
      <c r="FXF228" s="1"/>
      <c r="FXG228" s="1"/>
      <c r="FXH228" s="1"/>
      <c r="FXI228" s="1"/>
      <c r="FXJ228" s="1"/>
      <c r="FXK228" s="1"/>
      <c r="FXL228" s="1"/>
      <c r="FXM228" s="1"/>
      <c r="FXN228" s="1"/>
      <c r="FXO228" s="1"/>
      <c r="FXP228" s="1"/>
      <c r="FXQ228" s="1"/>
      <c r="FXR228" s="1"/>
      <c r="FXS228" s="1"/>
      <c r="FXT228" s="1"/>
      <c r="FXU228" s="1"/>
      <c r="FXV228" s="1"/>
      <c r="FXW228" s="1"/>
      <c r="FXX228" s="1"/>
      <c r="FXY228" s="1"/>
      <c r="FXZ228" s="1"/>
      <c r="FYA228" s="1"/>
      <c r="FYB228" s="1"/>
      <c r="FYC228" s="1"/>
      <c r="FYD228" s="1"/>
      <c r="FYE228" s="1"/>
      <c r="FYF228" s="1"/>
      <c r="FYG228" s="1"/>
      <c r="FYH228" s="1"/>
      <c r="FYI228" s="1"/>
      <c r="FYJ228" s="1"/>
      <c r="FYK228" s="1"/>
      <c r="FYL228" s="1"/>
      <c r="FYM228" s="1"/>
      <c r="FYN228" s="1"/>
      <c r="FYO228" s="1"/>
      <c r="FYP228" s="1"/>
      <c r="FYQ228" s="1"/>
      <c r="FYR228" s="1"/>
      <c r="FYS228" s="1"/>
      <c r="FYT228" s="1"/>
      <c r="FYU228" s="1"/>
      <c r="FYV228" s="1"/>
      <c r="FYW228" s="1"/>
      <c r="FYX228" s="1"/>
      <c r="FYY228" s="1"/>
      <c r="FYZ228" s="1"/>
      <c r="FZA228" s="1"/>
      <c r="FZB228" s="1"/>
      <c r="FZC228" s="1"/>
      <c r="FZD228" s="1"/>
      <c r="FZE228" s="1"/>
      <c r="FZF228" s="1"/>
      <c r="FZG228" s="1"/>
      <c r="FZH228" s="1"/>
      <c r="FZI228" s="1"/>
      <c r="FZJ228" s="1"/>
      <c r="FZK228" s="1"/>
      <c r="FZL228" s="1"/>
      <c r="FZM228" s="1"/>
      <c r="FZN228" s="1"/>
      <c r="FZO228" s="1"/>
      <c r="FZP228" s="1"/>
      <c r="FZQ228" s="1"/>
      <c r="FZR228" s="1"/>
      <c r="FZS228" s="1"/>
      <c r="FZT228" s="1"/>
      <c r="FZU228" s="1"/>
      <c r="FZV228" s="1"/>
      <c r="FZW228" s="1"/>
      <c r="FZX228" s="1"/>
      <c r="FZY228" s="1"/>
      <c r="FZZ228" s="1"/>
      <c r="GAA228" s="1"/>
      <c r="GAB228" s="1"/>
      <c r="GAC228" s="1"/>
      <c r="GAD228" s="1"/>
      <c r="GAE228" s="1"/>
      <c r="GAF228" s="1"/>
      <c r="GAG228" s="1"/>
      <c r="GAH228" s="1"/>
      <c r="GAI228" s="1"/>
      <c r="GAJ228" s="1"/>
      <c r="GAK228" s="1"/>
      <c r="GAL228" s="1"/>
      <c r="GAM228" s="1"/>
      <c r="GAN228" s="1"/>
      <c r="GAO228" s="1"/>
      <c r="GAP228" s="1"/>
      <c r="GAQ228" s="1"/>
      <c r="GAR228" s="1"/>
      <c r="GAS228" s="1"/>
      <c r="GAT228" s="1"/>
      <c r="GAU228" s="1"/>
      <c r="GAV228" s="1"/>
      <c r="GAW228" s="1"/>
      <c r="GAX228" s="1"/>
      <c r="GAY228" s="1"/>
      <c r="GAZ228" s="1"/>
      <c r="GBA228" s="1"/>
      <c r="GBB228" s="1"/>
      <c r="GBC228" s="1"/>
      <c r="GBD228" s="1"/>
      <c r="GBE228" s="1"/>
      <c r="GBF228" s="1"/>
      <c r="GBG228" s="1"/>
      <c r="GBH228" s="1"/>
      <c r="GBI228" s="1"/>
      <c r="GBJ228" s="1"/>
      <c r="GBK228" s="1"/>
      <c r="GBL228" s="1"/>
      <c r="GBM228" s="1"/>
      <c r="GBN228" s="1"/>
      <c r="GBO228" s="1"/>
      <c r="GBP228" s="1"/>
      <c r="GBQ228" s="1"/>
      <c r="GBR228" s="1"/>
      <c r="GBS228" s="1"/>
      <c r="GBT228" s="1"/>
      <c r="GBU228" s="1"/>
      <c r="GBV228" s="1"/>
      <c r="GBW228" s="1"/>
      <c r="GBX228" s="1"/>
      <c r="GBY228" s="1"/>
      <c r="GBZ228" s="1"/>
      <c r="GCA228" s="1"/>
      <c r="GCB228" s="1"/>
      <c r="GCC228" s="1"/>
      <c r="GCD228" s="1"/>
      <c r="GCE228" s="1"/>
      <c r="GCF228" s="1"/>
      <c r="GCG228" s="1"/>
      <c r="GCH228" s="1"/>
      <c r="GCI228" s="1"/>
      <c r="GCJ228" s="1"/>
      <c r="GCK228" s="1"/>
      <c r="GCL228" s="1"/>
      <c r="GCM228" s="1"/>
      <c r="GCN228" s="1"/>
      <c r="GCO228" s="1"/>
      <c r="GCP228" s="1"/>
      <c r="GCQ228" s="1"/>
      <c r="GCR228" s="1"/>
      <c r="GCS228" s="1"/>
      <c r="GCT228" s="1"/>
      <c r="GCU228" s="1"/>
      <c r="GCV228" s="1"/>
      <c r="GCW228" s="1"/>
      <c r="GCX228" s="1"/>
      <c r="GCY228" s="1"/>
      <c r="GCZ228" s="1"/>
      <c r="GDA228" s="1"/>
      <c r="GDB228" s="1"/>
      <c r="GDC228" s="1"/>
      <c r="GDD228" s="1"/>
      <c r="GDE228" s="1"/>
      <c r="GDF228" s="1"/>
      <c r="GDG228" s="1"/>
      <c r="GDH228" s="1"/>
      <c r="GDI228" s="1"/>
      <c r="GDJ228" s="1"/>
      <c r="GDK228" s="1"/>
      <c r="GDL228" s="1"/>
      <c r="GDM228" s="1"/>
      <c r="GDN228" s="1"/>
      <c r="GDO228" s="1"/>
      <c r="GDP228" s="1"/>
      <c r="GDQ228" s="1"/>
      <c r="GDR228" s="1"/>
      <c r="GDS228" s="1"/>
      <c r="GDT228" s="1"/>
      <c r="GDU228" s="1"/>
      <c r="GDV228" s="1"/>
      <c r="GDW228" s="1"/>
      <c r="GDX228" s="1"/>
      <c r="GDY228" s="1"/>
      <c r="GDZ228" s="1"/>
      <c r="GEA228" s="1"/>
      <c r="GEB228" s="1"/>
      <c r="GEC228" s="1"/>
      <c r="GED228" s="1"/>
      <c r="GEE228" s="1"/>
      <c r="GEF228" s="1"/>
      <c r="GEG228" s="1"/>
      <c r="GEH228" s="1"/>
      <c r="GEI228" s="1"/>
      <c r="GEJ228" s="1"/>
      <c r="GEK228" s="1"/>
      <c r="GEL228" s="1"/>
      <c r="GEM228" s="1"/>
      <c r="GEN228" s="1"/>
      <c r="GEO228" s="1"/>
      <c r="GEP228" s="1"/>
      <c r="GEQ228" s="1"/>
      <c r="GER228" s="1"/>
      <c r="GES228" s="1"/>
      <c r="GET228" s="1"/>
      <c r="GEU228" s="1"/>
      <c r="GEV228" s="1"/>
      <c r="GEW228" s="1"/>
      <c r="GEX228" s="1"/>
      <c r="GEY228" s="1"/>
      <c r="GEZ228" s="1"/>
      <c r="GFA228" s="1"/>
      <c r="GFB228" s="1"/>
      <c r="GFC228" s="1"/>
      <c r="GFD228" s="1"/>
      <c r="GFE228" s="1"/>
      <c r="GFF228" s="1"/>
      <c r="GFG228" s="1"/>
      <c r="GFH228" s="1"/>
      <c r="GFI228" s="1"/>
      <c r="GFJ228" s="1"/>
      <c r="GFK228" s="1"/>
      <c r="GFL228" s="1"/>
      <c r="GFM228" s="1"/>
      <c r="GFN228" s="1"/>
      <c r="GFO228" s="1"/>
      <c r="GFP228" s="1"/>
      <c r="GFQ228" s="1"/>
      <c r="GFR228" s="1"/>
      <c r="GFS228" s="1"/>
      <c r="GFT228" s="1"/>
      <c r="GFU228" s="1"/>
      <c r="GFV228" s="1"/>
      <c r="GFW228" s="1"/>
      <c r="GFX228" s="1"/>
      <c r="GFY228" s="1"/>
      <c r="GFZ228" s="1"/>
      <c r="GGA228" s="1"/>
      <c r="GGB228" s="1"/>
      <c r="GGC228" s="1"/>
      <c r="GGD228" s="1"/>
      <c r="GGE228" s="1"/>
      <c r="GGF228" s="1"/>
      <c r="GGG228" s="1"/>
      <c r="GGH228" s="1"/>
      <c r="GGI228" s="1"/>
      <c r="GGJ228" s="1"/>
      <c r="GGK228" s="1"/>
      <c r="GGL228" s="1"/>
      <c r="GGM228" s="1"/>
      <c r="GGN228" s="1"/>
      <c r="GGO228" s="1"/>
      <c r="GGP228" s="1"/>
      <c r="GGQ228" s="1"/>
      <c r="GGR228" s="1"/>
      <c r="GGS228" s="1"/>
      <c r="GGT228" s="1"/>
      <c r="GGU228" s="1"/>
      <c r="GGV228" s="1"/>
      <c r="GGW228" s="1"/>
      <c r="GGX228" s="1"/>
      <c r="GGY228" s="1"/>
      <c r="GGZ228" s="1"/>
      <c r="GHA228" s="1"/>
      <c r="GHB228" s="1"/>
      <c r="GHC228" s="1"/>
      <c r="GHD228" s="1"/>
      <c r="GHE228" s="1"/>
      <c r="GHF228" s="1"/>
      <c r="GHG228" s="1"/>
      <c r="GHH228" s="1"/>
      <c r="GHI228" s="1"/>
      <c r="GHJ228" s="1"/>
      <c r="GHK228" s="1"/>
      <c r="GHL228" s="1"/>
      <c r="GHM228" s="1"/>
      <c r="GHN228" s="1"/>
      <c r="GHO228" s="1"/>
      <c r="GHP228" s="1"/>
      <c r="GHQ228" s="1"/>
      <c r="GHR228" s="1"/>
      <c r="GHS228" s="1"/>
      <c r="GHT228" s="1"/>
      <c r="GHU228" s="1"/>
      <c r="GHV228" s="1"/>
      <c r="GHW228" s="1"/>
      <c r="GHX228" s="1"/>
      <c r="GHY228" s="1"/>
      <c r="GHZ228" s="1"/>
      <c r="GIA228" s="1"/>
      <c r="GIB228" s="1"/>
      <c r="GIC228" s="1"/>
      <c r="GID228" s="1"/>
      <c r="GIE228" s="1"/>
      <c r="GIF228" s="1"/>
      <c r="GIG228" s="1"/>
      <c r="GIH228" s="1"/>
      <c r="GII228" s="1"/>
      <c r="GIJ228" s="1"/>
      <c r="GIK228" s="1"/>
      <c r="GIL228" s="1"/>
      <c r="GIM228" s="1"/>
      <c r="GIN228" s="1"/>
      <c r="GIO228" s="1"/>
      <c r="GIP228" s="1"/>
      <c r="GIQ228" s="1"/>
      <c r="GIR228" s="1"/>
      <c r="GIS228" s="1"/>
      <c r="GIT228" s="1"/>
      <c r="GIU228" s="1"/>
      <c r="GIV228" s="1"/>
      <c r="GIW228" s="1"/>
      <c r="GIX228" s="1"/>
      <c r="GIY228" s="1"/>
      <c r="GIZ228" s="1"/>
      <c r="GJA228" s="1"/>
      <c r="GJB228" s="1"/>
      <c r="GJC228" s="1"/>
      <c r="GJD228" s="1"/>
      <c r="GJE228" s="1"/>
      <c r="GJF228" s="1"/>
      <c r="GJG228" s="1"/>
      <c r="GJH228" s="1"/>
      <c r="GJI228" s="1"/>
      <c r="GJJ228" s="1"/>
      <c r="GJK228" s="1"/>
      <c r="GJL228" s="1"/>
      <c r="GJM228" s="1"/>
      <c r="GJN228" s="1"/>
      <c r="GJO228" s="1"/>
      <c r="GJP228" s="1"/>
      <c r="GJQ228" s="1"/>
      <c r="GJR228" s="1"/>
      <c r="GJS228" s="1"/>
      <c r="GJT228" s="1"/>
      <c r="GJU228" s="1"/>
      <c r="GJV228" s="1"/>
      <c r="GJW228" s="1"/>
      <c r="GJX228" s="1"/>
      <c r="GJY228" s="1"/>
      <c r="GJZ228" s="1"/>
      <c r="GKA228" s="1"/>
      <c r="GKB228" s="1"/>
      <c r="GKC228" s="1"/>
      <c r="GKD228" s="1"/>
      <c r="GKE228" s="1"/>
      <c r="GKF228" s="1"/>
      <c r="GKG228" s="1"/>
      <c r="GKH228" s="1"/>
      <c r="GKI228" s="1"/>
      <c r="GKJ228" s="1"/>
      <c r="GKK228" s="1"/>
      <c r="GKL228" s="1"/>
      <c r="GKM228" s="1"/>
      <c r="GKN228" s="1"/>
      <c r="GKO228" s="1"/>
      <c r="GKP228" s="1"/>
      <c r="GKQ228" s="1"/>
      <c r="GKR228" s="1"/>
      <c r="GKS228" s="1"/>
      <c r="GKT228" s="1"/>
      <c r="GKU228" s="1"/>
      <c r="GKV228" s="1"/>
      <c r="GKW228" s="1"/>
      <c r="GKX228" s="1"/>
      <c r="GKY228" s="1"/>
      <c r="GKZ228" s="1"/>
      <c r="GLA228" s="1"/>
      <c r="GLB228" s="1"/>
      <c r="GLC228" s="1"/>
      <c r="GLD228" s="1"/>
      <c r="GLE228" s="1"/>
      <c r="GLF228" s="1"/>
      <c r="GLG228" s="1"/>
      <c r="GLH228" s="1"/>
      <c r="GLI228" s="1"/>
      <c r="GLJ228" s="1"/>
      <c r="GLK228" s="1"/>
      <c r="GLL228" s="1"/>
      <c r="GLM228" s="1"/>
      <c r="GLN228" s="1"/>
      <c r="GLO228" s="1"/>
      <c r="GLP228" s="1"/>
      <c r="GLQ228" s="1"/>
      <c r="GLR228" s="1"/>
      <c r="GLS228" s="1"/>
      <c r="GLT228" s="1"/>
      <c r="GLU228" s="1"/>
      <c r="GLV228" s="1"/>
      <c r="GLW228" s="1"/>
      <c r="GLX228" s="1"/>
      <c r="GLY228" s="1"/>
      <c r="GLZ228" s="1"/>
      <c r="GMA228" s="1"/>
      <c r="GMB228" s="1"/>
      <c r="GMC228" s="1"/>
      <c r="GMD228" s="1"/>
      <c r="GME228" s="1"/>
      <c r="GMF228" s="1"/>
      <c r="GMG228" s="1"/>
      <c r="GMH228" s="1"/>
      <c r="GMI228" s="1"/>
      <c r="GMJ228" s="1"/>
      <c r="GMK228" s="1"/>
      <c r="GML228" s="1"/>
      <c r="GMM228" s="1"/>
      <c r="GMN228" s="1"/>
      <c r="GMO228" s="1"/>
      <c r="GMP228" s="1"/>
      <c r="GMQ228" s="1"/>
      <c r="GMR228" s="1"/>
      <c r="GMS228" s="1"/>
      <c r="GMT228" s="1"/>
      <c r="GMU228" s="1"/>
      <c r="GMV228" s="1"/>
      <c r="GMW228" s="1"/>
      <c r="GMX228" s="1"/>
      <c r="GMY228" s="1"/>
      <c r="GMZ228" s="1"/>
      <c r="GNA228" s="1"/>
      <c r="GNB228" s="1"/>
      <c r="GNC228" s="1"/>
      <c r="GND228" s="1"/>
      <c r="GNE228" s="1"/>
      <c r="GNF228" s="1"/>
      <c r="GNG228" s="1"/>
      <c r="GNH228" s="1"/>
      <c r="GNI228" s="1"/>
      <c r="GNJ228" s="1"/>
      <c r="GNK228" s="1"/>
      <c r="GNL228" s="1"/>
      <c r="GNM228" s="1"/>
      <c r="GNN228" s="1"/>
      <c r="GNO228" s="1"/>
      <c r="GNP228" s="1"/>
      <c r="GNQ228" s="1"/>
      <c r="GNR228" s="1"/>
      <c r="GNS228" s="1"/>
      <c r="GNT228" s="1"/>
      <c r="GNU228" s="1"/>
      <c r="GNV228" s="1"/>
      <c r="GNW228" s="1"/>
      <c r="GNX228" s="1"/>
      <c r="GNY228" s="1"/>
      <c r="GNZ228" s="1"/>
      <c r="GOA228" s="1"/>
      <c r="GOB228" s="1"/>
      <c r="GOC228" s="1"/>
      <c r="GOD228" s="1"/>
      <c r="GOE228" s="1"/>
      <c r="GOF228" s="1"/>
      <c r="GOG228" s="1"/>
      <c r="GOH228" s="1"/>
      <c r="GOI228" s="1"/>
      <c r="GOJ228" s="1"/>
      <c r="GOK228" s="1"/>
      <c r="GOL228" s="1"/>
      <c r="GOM228" s="1"/>
      <c r="GON228" s="1"/>
      <c r="GOO228" s="1"/>
      <c r="GOP228" s="1"/>
      <c r="GOQ228" s="1"/>
      <c r="GOR228" s="1"/>
      <c r="GOS228" s="1"/>
      <c r="GOT228" s="1"/>
      <c r="GOU228" s="1"/>
      <c r="GOV228" s="1"/>
      <c r="GOW228" s="1"/>
      <c r="GOX228" s="1"/>
      <c r="GOY228" s="1"/>
      <c r="GOZ228" s="1"/>
      <c r="GPA228" s="1"/>
      <c r="GPB228" s="1"/>
      <c r="GPC228" s="1"/>
      <c r="GPD228" s="1"/>
      <c r="GPE228" s="1"/>
      <c r="GPF228" s="1"/>
      <c r="GPG228" s="1"/>
      <c r="GPH228" s="1"/>
      <c r="GPI228" s="1"/>
      <c r="GPJ228" s="1"/>
      <c r="GPK228" s="1"/>
      <c r="GPL228" s="1"/>
      <c r="GPM228" s="1"/>
      <c r="GPN228" s="1"/>
      <c r="GPO228" s="1"/>
      <c r="GPP228" s="1"/>
      <c r="GPQ228" s="1"/>
      <c r="GPR228" s="1"/>
      <c r="GPS228" s="1"/>
      <c r="GPT228" s="1"/>
      <c r="GPU228" s="1"/>
      <c r="GPV228" s="1"/>
      <c r="GPW228" s="1"/>
      <c r="GPX228" s="1"/>
      <c r="GPY228" s="1"/>
      <c r="GPZ228" s="1"/>
      <c r="GQA228" s="1"/>
      <c r="GQB228" s="1"/>
      <c r="GQC228" s="1"/>
      <c r="GQD228" s="1"/>
      <c r="GQE228" s="1"/>
      <c r="GQF228" s="1"/>
      <c r="GQG228" s="1"/>
      <c r="GQH228" s="1"/>
      <c r="GQI228" s="1"/>
      <c r="GQJ228" s="1"/>
      <c r="GQK228" s="1"/>
      <c r="GQL228" s="1"/>
      <c r="GQM228" s="1"/>
      <c r="GQN228" s="1"/>
      <c r="GQO228" s="1"/>
      <c r="GQP228" s="1"/>
      <c r="GQQ228" s="1"/>
      <c r="GQR228" s="1"/>
      <c r="GQS228" s="1"/>
      <c r="GQT228" s="1"/>
      <c r="GQU228" s="1"/>
      <c r="GQV228" s="1"/>
      <c r="GQW228" s="1"/>
      <c r="GQX228" s="1"/>
      <c r="GQY228" s="1"/>
      <c r="GQZ228" s="1"/>
      <c r="GRA228" s="1"/>
      <c r="GRB228" s="1"/>
      <c r="GRC228" s="1"/>
      <c r="GRD228" s="1"/>
      <c r="GRE228" s="1"/>
      <c r="GRF228" s="1"/>
      <c r="GRG228" s="1"/>
      <c r="GRH228" s="1"/>
      <c r="GRI228" s="1"/>
      <c r="GRJ228" s="1"/>
      <c r="GRK228" s="1"/>
      <c r="GRL228" s="1"/>
      <c r="GRM228" s="1"/>
      <c r="GRN228" s="1"/>
      <c r="GRO228" s="1"/>
      <c r="GRP228" s="1"/>
      <c r="GRQ228" s="1"/>
      <c r="GRR228" s="1"/>
      <c r="GRS228" s="1"/>
      <c r="GRT228" s="1"/>
      <c r="GRU228" s="1"/>
      <c r="GRV228" s="1"/>
      <c r="GRW228" s="1"/>
      <c r="GRX228" s="1"/>
      <c r="GRY228" s="1"/>
      <c r="GRZ228" s="1"/>
      <c r="GSA228" s="1"/>
      <c r="GSB228" s="1"/>
      <c r="GSC228" s="1"/>
      <c r="GSD228" s="1"/>
      <c r="GSE228" s="1"/>
      <c r="GSF228" s="1"/>
      <c r="GSG228" s="1"/>
      <c r="GSH228" s="1"/>
      <c r="GSI228" s="1"/>
      <c r="GSJ228" s="1"/>
      <c r="GSK228" s="1"/>
      <c r="GSL228" s="1"/>
      <c r="GSM228" s="1"/>
      <c r="GSN228" s="1"/>
      <c r="GSO228" s="1"/>
      <c r="GSP228" s="1"/>
      <c r="GSQ228" s="1"/>
      <c r="GSR228" s="1"/>
      <c r="GSS228" s="1"/>
      <c r="GST228" s="1"/>
      <c r="GSU228" s="1"/>
      <c r="GSV228" s="1"/>
      <c r="GSW228" s="1"/>
      <c r="GSX228" s="1"/>
      <c r="GSY228" s="1"/>
      <c r="GSZ228" s="1"/>
      <c r="GTA228" s="1"/>
      <c r="GTB228" s="1"/>
      <c r="GTC228" s="1"/>
      <c r="GTD228" s="1"/>
      <c r="GTE228" s="1"/>
      <c r="GTF228" s="1"/>
      <c r="GTG228" s="1"/>
      <c r="GTH228" s="1"/>
      <c r="GTI228" s="1"/>
      <c r="GTJ228" s="1"/>
      <c r="GTK228" s="1"/>
      <c r="GTL228" s="1"/>
      <c r="GTM228" s="1"/>
      <c r="GTN228" s="1"/>
      <c r="GTO228" s="1"/>
      <c r="GTP228" s="1"/>
      <c r="GTQ228" s="1"/>
      <c r="GTR228" s="1"/>
      <c r="GTS228" s="1"/>
      <c r="GTT228" s="1"/>
      <c r="GTU228" s="1"/>
      <c r="GTV228" s="1"/>
      <c r="GTW228" s="1"/>
      <c r="GTX228" s="1"/>
      <c r="GTY228" s="1"/>
      <c r="GTZ228" s="1"/>
      <c r="GUA228" s="1"/>
      <c r="GUB228" s="1"/>
      <c r="GUC228" s="1"/>
      <c r="GUD228" s="1"/>
      <c r="GUE228" s="1"/>
      <c r="GUF228" s="1"/>
      <c r="GUG228" s="1"/>
      <c r="GUH228" s="1"/>
      <c r="GUI228" s="1"/>
      <c r="GUJ228" s="1"/>
      <c r="GUK228" s="1"/>
      <c r="GUL228" s="1"/>
      <c r="GUM228" s="1"/>
      <c r="GUN228" s="1"/>
      <c r="GUO228" s="1"/>
      <c r="GUP228" s="1"/>
      <c r="GUQ228" s="1"/>
      <c r="GUR228" s="1"/>
      <c r="GUS228" s="1"/>
      <c r="GUT228" s="1"/>
      <c r="GUU228" s="1"/>
      <c r="GUV228" s="1"/>
      <c r="GUW228" s="1"/>
      <c r="GUX228" s="1"/>
      <c r="GUY228" s="1"/>
      <c r="GUZ228" s="1"/>
      <c r="GVA228" s="1"/>
      <c r="GVB228" s="1"/>
      <c r="GVC228" s="1"/>
      <c r="GVD228" s="1"/>
      <c r="GVE228" s="1"/>
      <c r="GVF228" s="1"/>
      <c r="GVG228" s="1"/>
      <c r="GVH228" s="1"/>
      <c r="GVI228" s="1"/>
      <c r="GVJ228" s="1"/>
      <c r="GVK228" s="1"/>
      <c r="GVL228" s="1"/>
      <c r="GVM228" s="1"/>
      <c r="GVN228" s="1"/>
      <c r="GVO228" s="1"/>
      <c r="GVP228" s="1"/>
      <c r="GVQ228" s="1"/>
      <c r="GVR228" s="1"/>
      <c r="GVS228" s="1"/>
      <c r="GVT228" s="1"/>
      <c r="GVU228" s="1"/>
      <c r="GVV228" s="1"/>
      <c r="GVW228" s="1"/>
      <c r="GVX228" s="1"/>
      <c r="GVY228" s="1"/>
      <c r="GVZ228" s="1"/>
      <c r="GWA228" s="1"/>
      <c r="GWB228" s="1"/>
      <c r="GWC228" s="1"/>
      <c r="GWD228" s="1"/>
      <c r="GWE228" s="1"/>
      <c r="GWF228" s="1"/>
      <c r="GWG228" s="1"/>
      <c r="GWH228" s="1"/>
      <c r="GWI228" s="1"/>
      <c r="GWJ228" s="1"/>
      <c r="GWK228" s="1"/>
      <c r="GWL228" s="1"/>
      <c r="GWM228" s="1"/>
      <c r="GWN228" s="1"/>
      <c r="GWO228" s="1"/>
      <c r="GWP228" s="1"/>
      <c r="GWQ228" s="1"/>
      <c r="GWR228" s="1"/>
      <c r="GWS228" s="1"/>
      <c r="GWT228" s="1"/>
      <c r="GWU228" s="1"/>
      <c r="GWV228" s="1"/>
      <c r="GWW228" s="1"/>
      <c r="GWX228" s="1"/>
      <c r="GWY228" s="1"/>
      <c r="GWZ228" s="1"/>
      <c r="GXA228" s="1"/>
      <c r="GXB228" s="1"/>
      <c r="GXC228" s="1"/>
      <c r="GXD228" s="1"/>
      <c r="GXE228" s="1"/>
      <c r="GXF228" s="1"/>
      <c r="GXG228" s="1"/>
      <c r="GXH228" s="1"/>
      <c r="GXI228" s="1"/>
      <c r="GXJ228" s="1"/>
      <c r="GXK228" s="1"/>
      <c r="GXL228" s="1"/>
      <c r="GXM228" s="1"/>
      <c r="GXN228" s="1"/>
      <c r="GXO228" s="1"/>
      <c r="GXP228" s="1"/>
      <c r="GXQ228" s="1"/>
      <c r="GXR228" s="1"/>
      <c r="GXS228" s="1"/>
      <c r="GXT228" s="1"/>
      <c r="GXU228" s="1"/>
      <c r="GXV228" s="1"/>
      <c r="GXW228" s="1"/>
      <c r="GXX228" s="1"/>
      <c r="GXY228" s="1"/>
      <c r="GXZ228" s="1"/>
      <c r="GYA228" s="1"/>
      <c r="GYB228" s="1"/>
      <c r="GYC228" s="1"/>
      <c r="GYD228" s="1"/>
      <c r="GYE228" s="1"/>
      <c r="GYF228" s="1"/>
      <c r="GYG228" s="1"/>
      <c r="GYH228" s="1"/>
      <c r="GYI228" s="1"/>
      <c r="GYJ228" s="1"/>
      <c r="GYK228" s="1"/>
      <c r="GYL228" s="1"/>
      <c r="GYM228" s="1"/>
      <c r="GYN228" s="1"/>
      <c r="GYO228" s="1"/>
      <c r="GYP228" s="1"/>
      <c r="GYQ228" s="1"/>
      <c r="GYR228" s="1"/>
      <c r="GYS228" s="1"/>
      <c r="GYT228" s="1"/>
      <c r="GYU228" s="1"/>
      <c r="GYV228" s="1"/>
      <c r="GYW228" s="1"/>
      <c r="GYX228" s="1"/>
      <c r="GYY228" s="1"/>
      <c r="GYZ228" s="1"/>
      <c r="GZA228" s="1"/>
      <c r="GZB228" s="1"/>
      <c r="GZC228" s="1"/>
      <c r="GZD228" s="1"/>
      <c r="GZE228" s="1"/>
      <c r="GZF228" s="1"/>
      <c r="GZG228" s="1"/>
      <c r="GZH228" s="1"/>
      <c r="GZI228" s="1"/>
      <c r="GZJ228" s="1"/>
      <c r="GZK228" s="1"/>
      <c r="GZL228" s="1"/>
      <c r="GZM228" s="1"/>
      <c r="GZN228" s="1"/>
      <c r="GZO228" s="1"/>
      <c r="GZP228" s="1"/>
      <c r="GZQ228" s="1"/>
      <c r="GZR228" s="1"/>
      <c r="GZS228" s="1"/>
      <c r="GZT228" s="1"/>
      <c r="GZU228" s="1"/>
      <c r="GZV228" s="1"/>
      <c r="GZW228" s="1"/>
      <c r="GZX228" s="1"/>
      <c r="GZY228" s="1"/>
      <c r="GZZ228" s="1"/>
      <c r="HAA228" s="1"/>
      <c r="HAB228" s="1"/>
      <c r="HAC228" s="1"/>
      <c r="HAD228" s="1"/>
      <c r="HAE228" s="1"/>
      <c r="HAF228" s="1"/>
      <c r="HAG228" s="1"/>
      <c r="HAH228" s="1"/>
      <c r="HAI228" s="1"/>
      <c r="HAJ228" s="1"/>
      <c r="HAK228" s="1"/>
      <c r="HAL228" s="1"/>
      <c r="HAM228" s="1"/>
      <c r="HAN228" s="1"/>
      <c r="HAO228" s="1"/>
      <c r="HAP228" s="1"/>
      <c r="HAQ228" s="1"/>
      <c r="HAR228" s="1"/>
      <c r="HAS228" s="1"/>
      <c r="HAT228" s="1"/>
      <c r="HAU228" s="1"/>
      <c r="HAV228" s="1"/>
      <c r="HAW228" s="1"/>
      <c r="HAX228" s="1"/>
      <c r="HAY228" s="1"/>
      <c r="HAZ228" s="1"/>
      <c r="HBA228" s="1"/>
      <c r="HBB228" s="1"/>
      <c r="HBC228" s="1"/>
      <c r="HBD228" s="1"/>
      <c r="HBE228" s="1"/>
      <c r="HBF228" s="1"/>
      <c r="HBG228" s="1"/>
      <c r="HBH228" s="1"/>
      <c r="HBI228" s="1"/>
      <c r="HBJ228" s="1"/>
      <c r="HBK228" s="1"/>
      <c r="HBL228" s="1"/>
      <c r="HBM228" s="1"/>
      <c r="HBN228" s="1"/>
      <c r="HBO228" s="1"/>
      <c r="HBP228" s="1"/>
      <c r="HBQ228" s="1"/>
      <c r="HBR228" s="1"/>
      <c r="HBS228" s="1"/>
      <c r="HBT228" s="1"/>
      <c r="HBU228" s="1"/>
      <c r="HBV228" s="1"/>
      <c r="HBW228" s="1"/>
      <c r="HBX228" s="1"/>
      <c r="HBY228" s="1"/>
      <c r="HBZ228" s="1"/>
      <c r="HCA228" s="1"/>
      <c r="HCB228" s="1"/>
      <c r="HCC228" s="1"/>
      <c r="HCD228" s="1"/>
      <c r="HCE228" s="1"/>
      <c r="HCF228" s="1"/>
      <c r="HCG228" s="1"/>
      <c r="HCH228" s="1"/>
      <c r="HCI228" s="1"/>
      <c r="HCJ228" s="1"/>
      <c r="HCK228" s="1"/>
      <c r="HCL228" s="1"/>
      <c r="HCM228" s="1"/>
      <c r="HCN228" s="1"/>
      <c r="HCO228" s="1"/>
      <c r="HCP228" s="1"/>
      <c r="HCQ228" s="1"/>
      <c r="HCR228" s="1"/>
      <c r="HCS228" s="1"/>
      <c r="HCT228" s="1"/>
      <c r="HCU228" s="1"/>
      <c r="HCV228" s="1"/>
      <c r="HCW228" s="1"/>
      <c r="HCX228" s="1"/>
      <c r="HCY228" s="1"/>
      <c r="HCZ228" s="1"/>
      <c r="HDA228" s="1"/>
      <c r="HDB228" s="1"/>
      <c r="HDC228" s="1"/>
      <c r="HDD228" s="1"/>
      <c r="HDE228" s="1"/>
      <c r="HDF228" s="1"/>
      <c r="HDG228" s="1"/>
      <c r="HDH228" s="1"/>
      <c r="HDI228" s="1"/>
      <c r="HDJ228" s="1"/>
      <c r="HDK228" s="1"/>
      <c r="HDL228" s="1"/>
      <c r="HDM228" s="1"/>
      <c r="HDN228" s="1"/>
      <c r="HDO228" s="1"/>
      <c r="HDP228" s="1"/>
      <c r="HDQ228" s="1"/>
      <c r="HDR228" s="1"/>
      <c r="HDS228" s="1"/>
      <c r="HDT228" s="1"/>
      <c r="HDU228" s="1"/>
      <c r="HDV228" s="1"/>
      <c r="HDW228" s="1"/>
      <c r="HDX228" s="1"/>
      <c r="HDY228" s="1"/>
      <c r="HDZ228" s="1"/>
      <c r="HEA228" s="1"/>
      <c r="HEB228" s="1"/>
      <c r="HEC228" s="1"/>
      <c r="HED228" s="1"/>
      <c r="HEE228" s="1"/>
      <c r="HEF228" s="1"/>
      <c r="HEG228" s="1"/>
      <c r="HEH228" s="1"/>
      <c r="HEI228" s="1"/>
      <c r="HEJ228" s="1"/>
      <c r="HEK228" s="1"/>
      <c r="HEL228" s="1"/>
      <c r="HEM228" s="1"/>
      <c r="HEN228" s="1"/>
      <c r="HEO228" s="1"/>
      <c r="HEP228" s="1"/>
      <c r="HEQ228" s="1"/>
      <c r="HER228" s="1"/>
      <c r="HES228" s="1"/>
      <c r="HET228" s="1"/>
      <c r="HEU228" s="1"/>
      <c r="HEV228" s="1"/>
      <c r="HEW228" s="1"/>
      <c r="HEX228" s="1"/>
      <c r="HEY228" s="1"/>
      <c r="HEZ228" s="1"/>
      <c r="HFA228" s="1"/>
      <c r="HFB228" s="1"/>
      <c r="HFC228" s="1"/>
      <c r="HFD228" s="1"/>
      <c r="HFE228" s="1"/>
      <c r="HFF228" s="1"/>
      <c r="HFG228" s="1"/>
      <c r="HFH228" s="1"/>
      <c r="HFI228" s="1"/>
      <c r="HFJ228" s="1"/>
      <c r="HFK228" s="1"/>
      <c r="HFL228" s="1"/>
      <c r="HFM228" s="1"/>
      <c r="HFN228" s="1"/>
      <c r="HFO228" s="1"/>
      <c r="HFP228" s="1"/>
      <c r="HFQ228" s="1"/>
      <c r="HFR228" s="1"/>
      <c r="HFS228" s="1"/>
      <c r="HFT228" s="1"/>
      <c r="HFU228" s="1"/>
      <c r="HFV228" s="1"/>
      <c r="HFW228" s="1"/>
      <c r="HFX228" s="1"/>
      <c r="HFY228" s="1"/>
      <c r="HFZ228" s="1"/>
      <c r="HGA228" s="1"/>
      <c r="HGB228" s="1"/>
      <c r="HGC228" s="1"/>
      <c r="HGD228" s="1"/>
      <c r="HGE228" s="1"/>
      <c r="HGF228" s="1"/>
      <c r="HGG228" s="1"/>
      <c r="HGH228" s="1"/>
      <c r="HGI228" s="1"/>
      <c r="HGJ228" s="1"/>
      <c r="HGK228" s="1"/>
      <c r="HGL228" s="1"/>
      <c r="HGM228" s="1"/>
      <c r="HGN228" s="1"/>
      <c r="HGO228" s="1"/>
      <c r="HGP228" s="1"/>
      <c r="HGQ228" s="1"/>
      <c r="HGR228" s="1"/>
      <c r="HGS228" s="1"/>
      <c r="HGT228" s="1"/>
      <c r="HGU228" s="1"/>
      <c r="HGV228" s="1"/>
      <c r="HGW228" s="1"/>
      <c r="HGX228" s="1"/>
      <c r="HGY228" s="1"/>
      <c r="HGZ228" s="1"/>
      <c r="HHA228" s="1"/>
      <c r="HHB228" s="1"/>
      <c r="HHC228" s="1"/>
      <c r="HHD228" s="1"/>
      <c r="HHE228" s="1"/>
      <c r="HHF228" s="1"/>
      <c r="HHG228" s="1"/>
      <c r="HHH228" s="1"/>
      <c r="HHI228" s="1"/>
      <c r="HHJ228" s="1"/>
      <c r="HHK228" s="1"/>
      <c r="HHL228" s="1"/>
      <c r="HHM228" s="1"/>
      <c r="HHN228" s="1"/>
      <c r="HHO228" s="1"/>
      <c r="HHP228" s="1"/>
      <c r="HHQ228" s="1"/>
      <c r="HHR228" s="1"/>
      <c r="HHS228" s="1"/>
      <c r="HHT228" s="1"/>
      <c r="HHU228" s="1"/>
      <c r="HHV228" s="1"/>
      <c r="HHW228" s="1"/>
      <c r="HHX228" s="1"/>
      <c r="HHY228" s="1"/>
      <c r="HHZ228" s="1"/>
      <c r="HIA228" s="1"/>
      <c r="HIB228" s="1"/>
      <c r="HIC228" s="1"/>
      <c r="HID228" s="1"/>
      <c r="HIE228" s="1"/>
      <c r="HIF228" s="1"/>
      <c r="HIG228" s="1"/>
      <c r="HIH228" s="1"/>
      <c r="HII228" s="1"/>
      <c r="HIJ228" s="1"/>
      <c r="HIK228" s="1"/>
      <c r="HIL228" s="1"/>
      <c r="HIM228" s="1"/>
      <c r="HIN228" s="1"/>
      <c r="HIO228" s="1"/>
      <c r="HIP228" s="1"/>
      <c r="HIQ228" s="1"/>
      <c r="HIR228" s="1"/>
      <c r="HIS228" s="1"/>
      <c r="HIT228" s="1"/>
      <c r="HIU228" s="1"/>
      <c r="HIV228" s="1"/>
      <c r="HIW228" s="1"/>
      <c r="HIX228" s="1"/>
      <c r="HIY228" s="1"/>
      <c r="HIZ228" s="1"/>
      <c r="HJA228" s="1"/>
      <c r="HJB228" s="1"/>
      <c r="HJC228" s="1"/>
      <c r="HJD228" s="1"/>
      <c r="HJE228" s="1"/>
      <c r="HJF228" s="1"/>
      <c r="HJG228" s="1"/>
      <c r="HJH228" s="1"/>
      <c r="HJI228" s="1"/>
      <c r="HJJ228" s="1"/>
      <c r="HJK228" s="1"/>
      <c r="HJL228" s="1"/>
      <c r="HJM228" s="1"/>
      <c r="HJN228" s="1"/>
      <c r="HJO228" s="1"/>
      <c r="HJP228" s="1"/>
      <c r="HJQ228" s="1"/>
      <c r="HJR228" s="1"/>
      <c r="HJS228" s="1"/>
      <c r="HJT228" s="1"/>
      <c r="HJU228" s="1"/>
      <c r="HJV228" s="1"/>
      <c r="HJW228" s="1"/>
      <c r="HJX228" s="1"/>
      <c r="HJY228" s="1"/>
      <c r="HJZ228" s="1"/>
      <c r="HKA228" s="1"/>
      <c r="HKB228" s="1"/>
      <c r="HKC228" s="1"/>
      <c r="HKD228" s="1"/>
      <c r="HKE228" s="1"/>
      <c r="HKF228" s="1"/>
      <c r="HKG228" s="1"/>
      <c r="HKH228" s="1"/>
      <c r="HKI228" s="1"/>
      <c r="HKJ228" s="1"/>
      <c r="HKK228" s="1"/>
      <c r="HKL228" s="1"/>
      <c r="HKM228" s="1"/>
      <c r="HKN228" s="1"/>
      <c r="HKO228" s="1"/>
      <c r="HKP228" s="1"/>
      <c r="HKQ228" s="1"/>
      <c r="HKR228" s="1"/>
      <c r="HKS228" s="1"/>
      <c r="HKT228" s="1"/>
      <c r="HKU228" s="1"/>
      <c r="HKV228" s="1"/>
      <c r="HKW228" s="1"/>
      <c r="HKX228" s="1"/>
      <c r="HKY228" s="1"/>
      <c r="HKZ228" s="1"/>
      <c r="HLA228" s="1"/>
      <c r="HLB228" s="1"/>
      <c r="HLC228" s="1"/>
      <c r="HLD228" s="1"/>
      <c r="HLE228" s="1"/>
      <c r="HLF228" s="1"/>
      <c r="HLG228" s="1"/>
      <c r="HLH228" s="1"/>
      <c r="HLI228" s="1"/>
      <c r="HLJ228" s="1"/>
      <c r="HLK228" s="1"/>
      <c r="HLL228" s="1"/>
      <c r="HLM228" s="1"/>
      <c r="HLN228" s="1"/>
      <c r="HLO228" s="1"/>
      <c r="HLP228" s="1"/>
      <c r="HLQ228" s="1"/>
      <c r="HLR228" s="1"/>
      <c r="HLS228" s="1"/>
      <c r="HLT228" s="1"/>
      <c r="HLU228" s="1"/>
      <c r="HLV228" s="1"/>
      <c r="HLW228" s="1"/>
      <c r="HLX228" s="1"/>
      <c r="HLY228" s="1"/>
      <c r="HLZ228" s="1"/>
      <c r="HMA228" s="1"/>
      <c r="HMB228" s="1"/>
      <c r="HMC228" s="1"/>
      <c r="HMD228" s="1"/>
      <c r="HME228" s="1"/>
      <c r="HMF228" s="1"/>
      <c r="HMG228" s="1"/>
      <c r="HMH228" s="1"/>
      <c r="HMI228" s="1"/>
      <c r="HMJ228" s="1"/>
      <c r="HMK228" s="1"/>
      <c r="HML228" s="1"/>
      <c r="HMM228" s="1"/>
      <c r="HMN228" s="1"/>
      <c r="HMO228" s="1"/>
      <c r="HMP228" s="1"/>
      <c r="HMQ228" s="1"/>
      <c r="HMR228" s="1"/>
      <c r="HMS228" s="1"/>
      <c r="HMT228" s="1"/>
      <c r="HMU228" s="1"/>
      <c r="HMV228" s="1"/>
      <c r="HMW228" s="1"/>
      <c r="HMX228" s="1"/>
      <c r="HMY228" s="1"/>
      <c r="HMZ228" s="1"/>
      <c r="HNA228" s="1"/>
      <c r="HNB228" s="1"/>
      <c r="HNC228" s="1"/>
      <c r="HND228" s="1"/>
      <c r="HNE228" s="1"/>
      <c r="HNF228" s="1"/>
      <c r="HNG228" s="1"/>
      <c r="HNH228" s="1"/>
      <c r="HNI228" s="1"/>
      <c r="HNJ228" s="1"/>
      <c r="HNK228" s="1"/>
      <c r="HNL228" s="1"/>
      <c r="HNM228" s="1"/>
      <c r="HNN228" s="1"/>
      <c r="HNO228" s="1"/>
      <c r="HNP228" s="1"/>
      <c r="HNQ228" s="1"/>
      <c r="HNR228" s="1"/>
      <c r="HNS228" s="1"/>
      <c r="HNT228" s="1"/>
      <c r="HNU228" s="1"/>
      <c r="HNV228" s="1"/>
      <c r="HNW228" s="1"/>
      <c r="HNX228" s="1"/>
      <c r="HNY228" s="1"/>
      <c r="HNZ228" s="1"/>
      <c r="HOA228" s="1"/>
      <c r="HOB228" s="1"/>
      <c r="HOC228" s="1"/>
      <c r="HOD228" s="1"/>
      <c r="HOE228" s="1"/>
      <c r="HOF228" s="1"/>
      <c r="HOG228" s="1"/>
      <c r="HOH228" s="1"/>
      <c r="HOI228" s="1"/>
      <c r="HOJ228" s="1"/>
      <c r="HOK228" s="1"/>
      <c r="HOL228" s="1"/>
      <c r="HOM228" s="1"/>
      <c r="HON228" s="1"/>
      <c r="HOO228" s="1"/>
      <c r="HOP228" s="1"/>
      <c r="HOQ228" s="1"/>
      <c r="HOR228" s="1"/>
      <c r="HOS228" s="1"/>
      <c r="HOT228" s="1"/>
      <c r="HOU228" s="1"/>
      <c r="HOV228" s="1"/>
      <c r="HOW228" s="1"/>
      <c r="HOX228" s="1"/>
      <c r="HOY228" s="1"/>
      <c r="HOZ228" s="1"/>
      <c r="HPA228" s="1"/>
      <c r="HPB228" s="1"/>
      <c r="HPC228" s="1"/>
      <c r="HPD228" s="1"/>
      <c r="HPE228" s="1"/>
      <c r="HPF228" s="1"/>
      <c r="HPG228" s="1"/>
      <c r="HPH228" s="1"/>
      <c r="HPI228" s="1"/>
      <c r="HPJ228" s="1"/>
      <c r="HPK228" s="1"/>
      <c r="HPL228" s="1"/>
      <c r="HPM228" s="1"/>
      <c r="HPN228" s="1"/>
      <c r="HPO228" s="1"/>
      <c r="HPP228" s="1"/>
      <c r="HPQ228" s="1"/>
      <c r="HPR228" s="1"/>
      <c r="HPS228" s="1"/>
      <c r="HPT228" s="1"/>
      <c r="HPU228" s="1"/>
      <c r="HPV228" s="1"/>
      <c r="HPW228" s="1"/>
      <c r="HPX228" s="1"/>
      <c r="HPY228" s="1"/>
      <c r="HPZ228" s="1"/>
      <c r="HQA228" s="1"/>
      <c r="HQB228" s="1"/>
      <c r="HQC228" s="1"/>
      <c r="HQD228" s="1"/>
      <c r="HQE228" s="1"/>
      <c r="HQF228" s="1"/>
      <c r="HQG228" s="1"/>
      <c r="HQH228" s="1"/>
      <c r="HQI228" s="1"/>
      <c r="HQJ228" s="1"/>
      <c r="HQK228" s="1"/>
      <c r="HQL228" s="1"/>
      <c r="HQM228" s="1"/>
      <c r="HQN228" s="1"/>
      <c r="HQO228" s="1"/>
      <c r="HQP228" s="1"/>
      <c r="HQQ228" s="1"/>
      <c r="HQR228" s="1"/>
      <c r="HQS228" s="1"/>
      <c r="HQT228" s="1"/>
      <c r="HQU228" s="1"/>
      <c r="HQV228" s="1"/>
      <c r="HQW228" s="1"/>
      <c r="HQX228" s="1"/>
      <c r="HQY228" s="1"/>
      <c r="HQZ228" s="1"/>
      <c r="HRA228" s="1"/>
      <c r="HRB228" s="1"/>
      <c r="HRC228" s="1"/>
      <c r="HRD228" s="1"/>
      <c r="HRE228" s="1"/>
      <c r="HRF228" s="1"/>
      <c r="HRG228" s="1"/>
      <c r="HRH228" s="1"/>
      <c r="HRI228" s="1"/>
      <c r="HRJ228" s="1"/>
      <c r="HRK228" s="1"/>
      <c r="HRL228" s="1"/>
      <c r="HRM228" s="1"/>
      <c r="HRN228" s="1"/>
      <c r="HRO228" s="1"/>
      <c r="HRP228" s="1"/>
      <c r="HRQ228" s="1"/>
      <c r="HRR228" s="1"/>
      <c r="HRS228" s="1"/>
      <c r="HRT228" s="1"/>
      <c r="HRU228" s="1"/>
      <c r="HRV228" s="1"/>
      <c r="HRW228" s="1"/>
      <c r="HRX228" s="1"/>
      <c r="HRY228" s="1"/>
      <c r="HRZ228" s="1"/>
      <c r="HSA228" s="1"/>
      <c r="HSB228" s="1"/>
      <c r="HSC228" s="1"/>
      <c r="HSD228" s="1"/>
      <c r="HSE228" s="1"/>
      <c r="HSF228" s="1"/>
      <c r="HSG228" s="1"/>
      <c r="HSH228" s="1"/>
      <c r="HSI228" s="1"/>
      <c r="HSJ228" s="1"/>
      <c r="HSK228" s="1"/>
      <c r="HSL228" s="1"/>
      <c r="HSM228" s="1"/>
      <c r="HSN228" s="1"/>
      <c r="HSO228" s="1"/>
      <c r="HSP228" s="1"/>
      <c r="HSQ228" s="1"/>
      <c r="HSR228" s="1"/>
      <c r="HSS228" s="1"/>
      <c r="HST228" s="1"/>
      <c r="HSU228" s="1"/>
      <c r="HSV228" s="1"/>
      <c r="HSW228" s="1"/>
      <c r="HSX228" s="1"/>
      <c r="HSY228" s="1"/>
      <c r="HSZ228" s="1"/>
      <c r="HTA228" s="1"/>
      <c r="HTB228" s="1"/>
      <c r="HTC228" s="1"/>
      <c r="HTD228" s="1"/>
      <c r="HTE228" s="1"/>
      <c r="HTF228" s="1"/>
      <c r="HTG228" s="1"/>
      <c r="HTH228" s="1"/>
      <c r="HTI228" s="1"/>
      <c r="HTJ228" s="1"/>
      <c r="HTK228" s="1"/>
      <c r="HTL228" s="1"/>
      <c r="HTM228" s="1"/>
      <c r="HTN228" s="1"/>
      <c r="HTO228" s="1"/>
      <c r="HTP228" s="1"/>
      <c r="HTQ228" s="1"/>
      <c r="HTR228" s="1"/>
      <c r="HTS228" s="1"/>
      <c r="HTT228" s="1"/>
      <c r="HTU228" s="1"/>
      <c r="HTV228" s="1"/>
      <c r="HTW228" s="1"/>
      <c r="HTX228" s="1"/>
      <c r="HTY228" s="1"/>
      <c r="HTZ228" s="1"/>
      <c r="HUA228" s="1"/>
      <c r="HUB228" s="1"/>
      <c r="HUC228" s="1"/>
      <c r="HUD228" s="1"/>
      <c r="HUE228" s="1"/>
      <c r="HUF228" s="1"/>
      <c r="HUG228" s="1"/>
      <c r="HUH228" s="1"/>
      <c r="HUI228" s="1"/>
      <c r="HUJ228" s="1"/>
      <c r="HUK228" s="1"/>
      <c r="HUL228" s="1"/>
      <c r="HUM228" s="1"/>
      <c r="HUN228" s="1"/>
      <c r="HUO228" s="1"/>
      <c r="HUP228" s="1"/>
      <c r="HUQ228" s="1"/>
      <c r="HUR228" s="1"/>
      <c r="HUS228" s="1"/>
      <c r="HUT228" s="1"/>
      <c r="HUU228" s="1"/>
      <c r="HUV228" s="1"/>
      <c r="HUW228" s="1"/>
      <c r="HUX228" s="1"/>
      <c r="HUY228" s="1"/>
      <c r="HUZ228" s="1"/>
      <c r="HVA228" s="1"/>
      <c r="HVB228" s="1"/>
      <c r="HVC228" s="1"/>
      <c r="HVD228" s="1"/>
      <c r="HVE228" s="1"/>
      <c r="HVF228" s="1"/>
      <c r="HVG228" s="1"/>
      <c r="HVH228" s="1"/>
      <c r="HVI228" s="1"/>
      <c r="HVJ228" s="1"/>
      <c r="HVK228" s="1"/>
      <c r="HVL228" s="1"/>
      <c r="HVM228" s="1"/>
      <c r="HVN228" s="1"/>
      <c r="HVO228" s="1"/>
      <c r="HVP228" s="1"/>
      <c r="HVQ228" s="1"/>
      <c r="HVR228" s="1"/>
      <c r="HVS228" s="1"/>
      <c r="HVT228" s="1"/>
      <c r="HVU228" s="1"/>
      <c r="HVV228" s="1"/>
      <c r="HVW228" s="1"/>
      <c r="HVX228" s="1"/>
      <c r="HVY228" s="1"/>
      <c r="HVZ228" s="1"/>
      <c r="HWA228" s="1"/>
      <c r="HWB228" s="1"/>
      <c r="HWC228" s="1"/>
      <c r="HWD228" s="1"/>
      <c r="HWE228" s="1"/>
      <c r="HWF228" s="1"/>
      <c r="HWG228" s="1"/>
      <c r="HWH228" s="1"/>
      <c r="HWI228" s="1"/>
      <c r="HWJ228" s="1"/>
      <c r="HWK228" s="1"/>
      <c r="HWL228" s="1"/>
      <c r="HWM228" s="1"/>
      <c r="HWN228" s="1"/>
      <c r="HWO228" s="1"/>
      <c r="HWP228" s="1"/>
      <c r="HWQ228" s="1"/>
      <c r="HWR228" s="1"/>
      <c r="HWS228" s="1"/>
      <c r="HWT228" s="1"/>
      <c r="HWU228" s="1"/>
      <c r="HWV228" s="1"/>
      <c r="HWW228" s="1"/>
      <c r="HWX228" s="1"/>
      <c r="HWY228" s="1"/>
      <c r="HWZ228" s="1"/>
      <c r="HXA228" s="1"/>
      <c r="HXB228" s="1"/>
      <c r="HXC228" s="1"/>
      <c r="HXD228" s="1"/>
      <c r="HXE228" s="1"/>
      <c r="HXF228" s="1"/>
      <c r="HXG228" s="1"/>
      <c r="HXH228" s="1"/>
      <c r="HXI228" s="1"/>
      <c r="HXJ228" s="1"/>
      <c r="HXK228" s="1"/>
      <c r="HXL228" s="1"/>
      <c r="HXM228" s="1"/>
      <c r="HXN228" s="1"/>
      <c r="HXO228" s="1"/>
      <c r="HXP228" s="1"/>
      <c r="HXQ228" s="1"/>
      <c r="HXR228" s="1"/>
      <c r="HXS228" s="1"/>
      <c r="HXT228" s="1"/>
      <c r="HXU228" s="1"/>
      <c r="HXV228" s="1"/>
      <c r="HXW228" s="1"/>
      <c r="HXX228" s="1"/>
      <c r="HXY228" s="1"/>
      <c r="HXZ228" s="1"/>
      <c r="HYA228" s="1"/>
      <c r="HYB228" s="1"/>
      <c r="HYC228" s="1"/>
      <c r="HYD228" s="1"/>
      <c r="HYE228" s="1"/>
      <c r="HYF228" s="1"/>
      <c r="HYG228" s="1"/>
      <c r="HYH228" s="1"/>
      <c r="HYI228" s="1"/>
      <c r="HYJ228" s="1"/>
      <c r="HYK228" s="1"/>
      <c r="HYL228" s="1"/>
      <c r="HYM228" s="1"/>
      <c r="HYN228" s="1"/>
      <c r="HYO228" s="1"/>
      <c r="HYP228" s="1"/>
      <c r="HYQ228" s="1"/>
      <c r="HYR228" s="1"/>
      <c r="HYS228" s="1"/>
      <c r="HYT228" s="1"/>
      <c r="HYU228" s="1"/>
      <c r="HYV228" s="1"/>
      <c r="HYW228" s="1"/>
      <c r="HYX228" s="1"/>
      <c r="HYY228" s="1"/>
      <c r="HYZ228" s="1"/>
      <c r="HZA228" s="1"/>
      <c r="HZB228" s="1"/>
      <c r="HZC228" s="1"/>
      <c r="HZD228" s="1"/>
      <c r="HZE228" s="1"/>
      <c r="HZF228" s="1"/>
      <c r="HZG228" s="1"/>
      <c r="HZH228" s="1"/>
      <c r="HZI228" s="1"/>
      <c r="HZJ228" s="1"/>
      <c r="HZK228" s="1"/>
      <c r="HZL228" s="1"/>
      <c r="HZM228" s="1"/>
      <c r="HZN228" s="1"/>
      <c r="HZO228" s="1"/>
      <c r="HZP228" s="1"/>
      <c r="HZQ228" s="1"/>
      <c r="HZR228" s="1"/>
      <c r="HZS228" s="1"/>
      <c r="HZT228" s="1"/>
      <c r="HZU228" s="1"/>
      <c r="HZV228" s="1"/>
      <c r="HZW228" s="1"/>
      <c r="HZX228" s="1"/>
      <c r="HZY228" s="1"/>
      <c r="HZZ228" s="1"/>
      <c r="IAA228" s="1"/>
      <c r="IAB228" s="1"/>
      <c r="IAC228" s="1"/>
      <c r="IAD228" s="1"/>
      <c r="IAE228" s="1"/>
      <c r="IAF228" s="1"/>
      <c r="IAG228" s="1"/>
      <c r="IAH228" s="1"/>
      <c r="IAI228" s="1"/>
      <c r="IAJ228" s="1"/>
      <c r="IAK228" s="1"/>
      <c r="IAL228" s="1"/>
      <c r="IAM228" s="1"/>
      <c r="IAN228" s="1"/>
      <c r="IAO228" s="1"/>
      <c r="IAP228" s="1"/>
      <c r="IAQ228" s="1"/>
      <c r="IAR228" s="1"/>
      <c r="IAS228" s="1"/>
      <c r="IAT228" s="1"/>
      <c r="IAU228" s="1"/>
      <c r="IAV228" s="1"/>
      <c r="IAW228" s="1"/>
      <c r="IAX228" s="1"/>
      <c r="IAY228" s="1"/>
      <c r="IAZ228" s="1"/>
      <c r="IBA228" s="1"/>
      <c r="IBB228" s="1"/>
      <c r="IBC228" s="1"/>
      <c r="IBD228" s="1"/>
      <c r="IBE228" s="1"/>
      <c r="IBF228" s="1"/>
      <c r="IBG228" s="1"/>
      <c r="IBH228" s="1"/>
      <c r="IBI228" s="1"/>
      <c r="IBJ228" s="1"/>
      <c r="IBK228" s="1"/>
      <c r="IBL228" s="1"/>
      <c r="IBM228" s="1"/>
      <c r="IBN228" s="1"/>
      <c r="IBO228" s="1"/>
      <c r="IBP228" s="1"/>
      <c r="IBQ228" s="1"/>
      <c r="IBR228" s="1"/>
      <c r="IBS228" s="1"/>
      <c r="IBT228" s="1"/>
      <c r="IBU228" s="1"/>
      <c r="IBV228" s="1"/>
      <c r="IBW228" s="1"/>
      <c r="IBX228" s="1"/>
      <c r="IBY228" s="1"/>
      <c r="IBZ228" s="1"/>
      <c r="ICA228" s="1"/>
      <c r="ICB228" s="1"/>
      <c r="ICC228" s="1"/>
      <c r="ICD228" s="1"/>
      <c r="ICE228" s="1"/>
      <c r="ICF228" s="1"/>
      <c r="ICG228" s="1"/>
      <c r="ICH228" s="1"/>
      <c r="ICI228" s="1"/>
      <c r="ICJ228" s="1"/>
      <c r="ICK228" s="1"/>
      <c r="ICL228" s="1"/>
      <c r="ICM228" s="1"/>
      <c r="ICN228" s="1"/>
      <c r="ICO228" s="1"/>
      <c r="ICP228" s="1"/>
      <c r="ICQ228" s="1"/>
      <c r="ICR228" s="1"/>
      <c r="ICS228" s="1"/>
      <c r="ICT228" s="1"/>
      <c r="ICU228" s="1"/>
      <c r="ICV228" s="1"/>
      <c r="ICW228" s="1"/>
      <c r="ICX228" s="1"/>
      <c r="ICY228" s="1"/>
      <c r="ICZ228" s="1"/>
      <c r="IDA228" s="1"/>
      <c r="IDB228" s="1"/>
      <c r="IDC228" s="1"/>
      <c r="IDD228" s="1"/>
      <c r="IDE228" s="1"/>
      <c r="IDF228" s="1"/>
      <c r="IDG228" s="1"/>
      <c r="IDH228" s="1"/>
      <c r="IDI228" s="1"/>
      <c r="IDJ228" s="1"/>
      <c r="IDK228" s="1"/>
      <c r="IDL228" s="1"/>
      <c r="IDM228" s="1"/>
      <c r="IDN228" s="1"/>
      <c r="IDO228" s="1"/>
      <c r="IDP228" s="1"/>
      <c r="IDQ228" s="1"/>
      <c r="IDR228" s="1"/>
      <c r="IDS228" s="1"/>
      <c r="IDT228" s="1"/>
      <c r="IDU228" s="1"/>
      <c r="IDV228" s="1"/>
      <c r="IDW228" s="1"/>
      <c r="IDX228" s="1"/>
      <c r="IDY228" s="1"/>
      <c r="IDZ228" s="1"/>
      <c r="IEA228" s="1"/>
      <c r="IEB228" s="1"/>
      <c r="IEC228" s="1"/>
      <c r="IED228" s="1"/>
      <c r="IEE228" s="1"/>
      <c r="IEF228" s="1"/>
      <c r="IEG228" s="1"/>
      <c r="IEH228" s="1"/>
      <c r="IEI228" s="1"/>
      <c r="IEJ228" s="1"/>
      <c r="IEK228" s="1"/>
      <c r="IEL228" s="1"/>
      <c r="IEM228" s="1"/>
      <c r="IEN228" s="1"/>
      <c r="IEO228" s="1"/>
      <c r="IEP228" s="1"/>
      <c r="IEQ228" s="1"/>
      <c r="IER228" s="1"/>
      <c r="IES228" s="1"/>
      <c r="IET228" s="1"/>
      <c r="IEU228" s="1"/>
      <c r="IEV228" s="1"/>
      <c r="IEW228" s="1"/>
      <c r="IEX228" s="1"/>
      <c r="IEY228" s="1"/>
      <c r="IEZ228" s="1"/>
      <c r="IFA228" s="1"/>
      <c r="IFB228" s="1"/>
      <c r="IFC228" s="1"/>
      <c r="IFD228" s="1"/>
      <c r="IFE228" s="1"/>
      <c r="IFF228" s="1"/>
      <c r="IFG228" s="1"/>
      <c r="IFH228" s="1"/>
      <c r="IFI228" s="1"/>
      <c r="IFJ228" s="1"/>
      <c r="IFK228" s="1"/>
      <c r="IFL228" s="1"/>
      <c r="IFM228" s="1"/>
      <c r="IFN228" s="1"/>
      <c r="IFO228" s="1"/>
      <c r="IFP228" s="1"/>
      <c r="IFQ228" s="1"/>
      <c r="IFR228" s="1"/>
      <c r="IFS228" s="1"/>
      <c r="IFT228" s="1"/>
      <c r="IFU228" s="1"/>
      <c r="IFV228" s="1"/>
      <c r="IFW228" s="1"/>
      <c r="IFX228" s="1"/>
      <c r="IFY228" s="1"/>
      <c r="IFZ228" s="1"/>
      <c r="IGA228" s="1"/>
      <c r="IGB228" s="1"/>
      <c r="IGC228" s="1"/>
      <c r="IGD228" s="1"/>
      <c r="IGE228" s="1"/>
      <c r="IGF228" s="1"/>
      <c r="IGG228" s="1"/>
      <c r="IGH228" s="1"/>
      <c r="IGI228" s="1"/>
      <c r="IGJ228" s="1"/>
      <c r="IGK228" s="1"/>
      <c r="IGL228" s="1"/>
      <c r="IGM228" s="1"/>
      <c r="IGN228" s="1"/>
      <c r="IGO228" s="1"/>
      <c r="IGP228" s="1"/>
      <c r="IGQ228" s="1"/>
      <c r="IGR228" s="1"/>
      <c r="IGS228" s="1"/>
      <c r="IGT228" s="1"/>
      <c r="IGU228" s="1"/>
      <c r="IGV228" s="1"/>
      <c r="IGW228" s="1"/>
      <c r="IGX228" s="1"/>
      <c r="IGY228" s="1"/>
      <c r="IGZ228" s="1"/>
      <c r="IHA228" s="1"/>
      <c r="IHB228" s="1"/>
      <c r="IHC228" s="1"/>
      <c r="IHD228" s="1"/>
      <c r="IHE228" s="1"/>
      <c r="IHF228" s="1"/>
      <c r="IHG228" s="1"/>
      <c r="IHH228" s="1"/>
      <c r="IHI228" s="1"/>
      <c r="IHJ228" s="1"/>
      <c r="IHK228" s="1"/>
      <c r="IHL228" s="1"/>
      <c r="IHM228" s="1"/>
      <c r="IHN228" s="1"/>
      <c r="IHO228" s="1"/>
      <c r="IHP228" s="1"/>
      <c r="IHQ228" s="1"/>
      <c r="IHR228" s="1"/>
      <c r="IHS228" s="1"/>
      <c r="IHT228" s="1"/>
      <c r="IHU228" s="1"/>
      <c r="IHV228" s="1"/>
      <c r="IHW228" s="1"/>
      <c r="IHX228" s="1"/>
      <c r="IHY228" s="1"/>
      <c r="IHZ228" s="1"/>
      <c r="IIA228" s="1"/>
      <c r="IIB228" s="1"/>
      <c r="IIC228" s="1"/>
      <c r="IID228" s="1"/>
      <c r="IIE228" s="1"/>
      <c r="IIF228" s="1"/>
      <c r="IIG228" s="1"/>
      <c r="IIH228" s="1"/>
      <c r="III228" s="1"/>
      <c r="IIJ228" s="1"/>
      <c r="IIK228" s="1"/>
      <c r="IIL228" s="1"/>
      <c r="IIM228" s="1"/>
      <c r="IIN228" s="1"/>
      <c r="IIO228" s="1"/>
      <c r="IIP228" s="1"/>
      <c r="IIQ228" s="1"/>
      <c r="IIR228" s="1"/>
      <c r="IIS228" s="1"/>
      <c r="IIT228" s="1"/>
      <c r="IIU228" s="1"/>
      <c r="IIV228" s="1"/>
      <c r="IIW228" s="1"/>
      <c r="IIX228" s="1"/>
      <c r="IIY228" s="1"/>
      <c r="IIZ228" s="1"/>
      <c r="IJA228" s="1"/>
      <c r="IJB228" s="1"/>
      <c r="IJC228" s="1"/>
      <c r="IJD228" s="1"/>
      <c r="IJE228" s="1"/>
      <c r="IJF228" s="1"/>
      <c r="IJG228" s="1"/>
      <c r="IJH228" s="1"/>
      <c r="IJI228" s="1"/>
      <c r="IJJ228" s="1"/>
      <c r="IJK228" s="1"/>
      <c r="IJL228" s="1"/>
      <c r="IJM228" s="1"/>
      <c r="IJN228" s="1"/>
      <c r="IJO228" s="1"/>
      <c r="IJP228" s="1"/>
      <c r="IJQ228" s="1"/>
      <c r="IJR228" s="1"/>
      <c r="IJS228" s="1"/>
      <c r="IJT228" s="1"/>
      <c r="IJU228" s="1"/>
      <c r="IJV228" s="1"/>
      <c r="IJW228" s="1"/>
      <c r="IJX228" s="1"/>
      <c r="IJY228" s="1"/>
      <c r="IJZ228" s="1"/>
      <c r="IKA228" s="1"/>
      <c r="IKB228" s="1"/>
      <c r="IKC228" s="1"/>
      <c r="IKD228" s="1"/>
      <c r="IKE228" s="1"/>
      <c r="IKF228" s="1"/>
      <c r="IKG228" s="1"/>
      <c r="IKH228" s="1"/>
      <c r="IKI228" s="1"/>
      <c r="IKJ228" s="1"/>
      <c r="IKK228" s="1"/>
      <c r="IKL228" s="1"/>
      <c r="IKM228" s="1"/>
      <c r="IKN228" s="1"/>
      <c r="IKO228" s="1"/>
      <c r="IKP228" s="1"/>
      <c r="IKQ228" s="1"/>
      <c r="IKR228" s="1"/>
      <c r="IKS228" s="1"/>
      <c r="IKT228" s="1"/>
      <c r="IKU228" s="1"/>
      <c r="IKV228" s="1"/>
      <c r="IKW228" s="1"/>
      <c r="IKX228" s="1"/>
      <c r="IKY228" s="1"/>
      <c r="IKZ228" s="1"/>
      <c r="ILA228" s="1"/>
      <c r="ILB228" s="1"/>
      <c r="ILC228" s="1"/>
      <c r="ILD228" s="1"/>
      <c r="ILE228" s="1"/>
      <c r="ILF228" s="1"/>
      <c r="ILG228" s="1"/>
      <c r="ILH228" s="1"/>
      <c r="ILI228" s="1"/>
      <c r="ILJ228" s="1"/>
      <c r="ILK228" s="1"/>
      <c r="ILL228" s="1"/>
      <c r="ILM228" s="1"/>
      <c r="ILN228" s="1"/>
      <c r="ILO228" s="1"/>
      <c r="ILP228" s="1"/>
      <c r="ILQ228" s="1"/>
      <c r="ILR228" s="1"/>
      <c r="ILS228" s="1"/>
      <c r="ILT228" s="1"/>
      <c r="ILU228" s="1"/>
      <c r="ILV228" s="1"/>
      <c r="ILW228" s="1"/>
      <c r="ILX228" s="1"/>
      <c r="ILY228" s="1"/>
      <c r="ILZ228" s="1"/>
      <c r="IMA228" s="1"/>
      <c r="IMB228" s="1"/>
      <c r="IMC228" s="1"/>
      <c r="IMD228" s="1"/>
      <c r="IME228" s="1"/>
      <c r="IMF228" s="1"/>
      <c r="IMG228" s="1"/>
      <c r="IMH228" s="1"/>
      <c r="IMI228" s="1"/>
      <c r="IMJ228" s="1"/>
      <c r="IMK228" s="1"/>
      <c r="IML228" s="1"/>
      <c r="IMM228" s="1"/>
      <c r="IMN228" s="1"/>
      <c r="IMO228" s="1"/>
      <c r="IMP228" s="1"/>
      <c r="IMQ228" s="1"/>
      <c r="IMR228" s="1"/>
      <c r="IMS228" s="1"/>
      <c r="IMT228" s="1"/>
      <c r="IMU228" s="1"/>
      <c r="IMV228" s="1"/>
      <c r="IMW228" s="1"/>
      <c r="IMX228" s="1"/>
      <c r="IMY228" s="1"/>
      <c r="IMZ228" s="1"/>
      <c r="INA228" s="1"/>
      <c r="INB228" s="1"/>
      <c r="INC228" s="1"/>
      <c r="IND228" s="1"/>
      <c r="INE228" s="1"/>
      <c r="INF228" s="1"/>
      <c r="ING228" s="1"/>
      <c r="INH228" s="1"/>
      <c r="INI228" s="1"/>
      <c r="INJ228" s="1"/>
      <c r="INK228" s="1"/>
      <c r="INL228" s="1"/>
      <c r="INM228" s="1"/>
      <c r="INN228" s="1"/>
      <c r="INO228" s="1"/>
      <c r="INP228" s="1"/>
      <c r="INQ228" s="1"/>
      <c r="INR228" s="1"/>
      <c r="INS228" s="1"/>
      <c r="INT228" s="1"/>
      <c r="INU228" s="1"/>
      <c r="INV228" s="1"/>
      <c r="INW228" s="1"/>
      <c r="INX228" s="1"/>
      <c r="INY228" s="1"/>
      <c r="INZ228" s="1"/>
      <c r="IOA228" s="1"/>
      <c r="IOB228" s="1"/>
      <c r="IOC228" s="1"/>
      <c r="IOD228" s="1"/>
      <c r="IOE228" s="1"/>
      <c r="IOF228" s="1"/>
      <c r="IOG228" s="1"/>
      <c r="IOH228" s="1"/>
      <c r="IOI228" s="1"/>
      <c r="IOJ228" s="1"/>
      <c r="IOK228" s="1"/>
      <c r="IOL228" s="1"/>
      <c r="IOM228" s="1"/>
      <c r="ION228" s="1"/>
      <c r="IOO228" s="1"/>
      <c r="IOP228" s="1"/>
      <c r="IOQ228" s="1"/>
      <c r="IOR228" s="1"/>
      <c r="IOS228" s="1"/>
      <c r="IOT228" s="1"/>
      <c r="IOU228" s="1"/>
      <c r="IOV228" s="1"/>
      <c r="IOW228" s="1"/>
      <c r="IOX228" s="1"/>
      <c r="IOY228" s="1"/>
      <c r="IOZ228" s="1"/>
      <c r="IPA228" s="1"/>
      <c r="IPB228" s="1"/>
      <c r="IPC228" s="1"/>
      <c r="IPD228" s="1"/>
      <c r="IPE228" s="1"/>
      <c r="IPF228" s="1"/>
      <c r="IPG228" s="1"/>
      <c r="IPH228" s="1"/>
      <c r="IPI228" s="1"/>
      <c r="IPJ228" s="1"/>
      <c r="IPK228" s="1"/>
      <c r="IPL228" s="1"/>
      <c r="IPM228" s="1"/>
      <c r="IPN228" s="1"/>
      <c r="IPO228" s="1"/>
      <c r="IPP228" s="1"/>
      <c r="IPQ228" s="1"/>
      <c r="IPR228" s="1"/>
      <c r="IPS228" s="1"/>
      <c r="IPT228" s="1"/>
      <c r="IPU228" s="1"/>
      <c r="IPV228" s="1"/>
      <c r="IPW228" s="1"/>
      <c r="IPX228" s="1"/>
      <c r="IPY228" s="1"/>
      <c r="IPZ228" s="1"/>
      <c r="IQA228" s="1"/>
      <c r="IQB228" s="1"/>
      <c r="IQC228" s="1"/>
      <c r="IQD228" s="1"/>
      <c r="IQE228" s="1"/>
      <c r="IQF228" s="1"/>
      <c r="IQG228" s="1"/>
      <c r="IQH228" s="1"/>
      <c r="IQI228" s="1"/>
      <c r="IQJ228" s="1"/>
      <c r="IQK228" s="1"/>
      <c r="IQL228" s="1"/>
      <c r="IQM228" s="1"/>
      <c r="IQN228" s="1"/>
      <c r="IQO228" s="1"/>
      <c r="IQP228" s="1"/>
      <c r="IQQ228" s="1"/>
      <c r="IQR228" s="1"/>
      <c r="IQS228" s="1"/>
      <c r="IQT228" s="1"/>
      <c r="IQU228" s="1"/>
      <c r="IQV228" s="1"/>
      <c r="IQW228" s="1"/>
      <c r="IQX228" s="1"/>
      <c r="IQY228" s="1"/>
      <c r="IQZ228" s="1"/>
      <c r="IRA228" s="1"/>
      <c r="IRB228" s="1"/>
      <c r="IRC228" s="1"/>
      <c r="IRD228" s="1"/>
      <c r="IRE228" s="1"/>
      <c r="IRF228" s="1"/>
      <c r="IRG228" s="1"/>
      <c r="IRH228" s="1"/>
      <c r="IRI228" s="1"/>
      <c r="IRJ228" s="1"/>
      <c r="IRK228" s="1"/>
      <c r="IRL228" s="1"/>
      <c r="IRM228" s="1"/>
      <c r="IRN228" s="1"/>
      <c r="IRO228" s="1"/>
      <c r="IRP228" s="1"/>
      <c r="IRQ228" s="1"/>
      <c r="IRR228" s="1"/>
      <c r="IRS228" s="1"/>
      <c r="IRT228" s="1"/>
      <c r="IRU228" s="1"/>
      <c r="IRV228" s="1"/>
      <c r="IRW228" s="1"/>
      <c r="IRX228" s="1"/>
      <c r="IRY228" s="1"/>
      <c r="IRZ228" s="1"/>
      <c r="ISA228" s="1"/>
      <c r="ISB228" s="1"/>
      <c r="ISC228" s="1"/>
      <c r="ISD228" s="1"/>
      <c r="ISE228" s="1"/>
      <c r="ISF228" s="1"/>
      <c r="ISG228" s="1"/>
      <c r="ISH228" s="1"/>
      <c r="ISI228" s="1"/>
      <c r="ISJ228" s="1"/>
      <c r="ISK228" s="1"/>
      <c r="ISL228" s="1"/>
      <c r="ISM228" s="1"/>
      <c r="ISN228" s="1"/>
      <c r="ISO228" s="1"/>
      <c r="ISP228" s="1"/>
      <c r="ISQ228" s="1"/>
      <c r="ISR228" s="1"/>
      <c r="ISS228" s="1"/>
      <c r="IST228" s="1"/>
      <c r="ISU228" s="1"/>
      <c r="ISV228" s="1"/>
      <c r="ISW228" s="1"/>
      <c r="ISX228" s="1"/>
      <c r="ISY228" s="1"/>
      <c r="ISZ228" s="1"/>
      <c r="ITA228" s="1"/>
      <c r="ITB228" s="1"/>
      <c r="ITC228" s="1"/>
      <c r="ITD228" s="1"/>
      <c r="ITE228" s="1"/>
      <c r="ITF228" s="1"/>
      <c r="ITG228" s="1"/>
      <c r="ITH228" s="1"/>
      <c r="ITI228" s="1"/>
      <c r="ITJ228" s="1"/>
      <c r="ITK228" s="1"/>
      <c r="ITL228" s="1"/>
      <c r="ITM228" s="1"/>
      <c r="ITN228" s="1"/>
      <c r="ITO228" s="1"/>
      <c r="ITP228" s="1"/>
      <c r="ITQ228" s="1"/>
      <c r="ITR228" s="1"/>
      <c r="ITS228" s="1"/>
      <c r="ITT228" s="1"/>
      <c r="ITU228" s="1"/>
      <c r="ITV228" s="1"/>
      <c r="ITW228" s="1"/>
      <c r="ITX228" s="1"/>
      <c r="ITY228" s="1"/>
      <c r="ITZ228" s="1"/>
      <c r="IUA228" s="1"/>
      <c r="IUB228" s="1"/>
      <c r="IUC228" s="1"/>
      <c r="IUD228" s="1"/>
      <c r="IUE228" s="1"/>
      <c r="IUF228" s="1"/>
      <c r="IUG228" s="1"/>
      <c r="IUH228" s="1"/>
      <c r="IUI228" s="1"/>
      <c r="IUJ228" s="1"/>
      <c r="IUK228" s="1"/>
      <c r="IUL228" s="1"/>
      <c r="IUM228" s="1"/>
      <c r="IUN228" s="1"/>
      <c r="IUO228" s="1"/>
      <c r="IUP228" s="1"/>
      <c r="IUQ228" s="1"/>
      <c r="IUR228" s="1"/>
      <c r="IUS228" s="1"/>
      <c r="IUT228" s="1"/>
      <c r="IUU228" s="1"/>
      <c r="IUV228" s="1"/>
      <c r="IUW228" s="1"/>
      <c r="IUX228" s="1"/>
      <c r="IUY228" s="1"/>
      <c r="IUZ228" s="1"/>
      <c r="IVA228" s="1"/>
      <c r="IVB228" s="1"/>
      <c r="IVC228" s="1"/>
      <c r="IVD228" s="1"/>
      <c r="IVE228" s="1"/>
      <c r="IVF228" s="1"/>
      <c r="IVG228" s="1"/>
      <c r="IVH228" s="1"/>
      <c r="IVI228" s="1"/>
      <c r="IVJ228" s="1"/>
      <c r="IVK228" s="1"/>
      <c r="IVL228" s="1"/>
      <c r="IVM228" s="1"/>
      <c r="IVN228" s="1"/>
      <c r="IVO228" s="1"/>
      <c r="IVP228" s="1"/>
      <c r="IVQ228" s="1"/>
      <c r="IVR228" s="1"/>
      <c r="IVS228" s="1"/>
      <c r="IVT228" s="1"/>
      <c r="IVU228" s="1"/>
      <c r="IVV228" s="1"/>
      <c r="IVW228" s="1"/>
      <c r="IVX228" s="1"/>
      <c r="IVY228" s="1"/>
      <c r="IVZ228" s="1"/>
      <c r="IWA228" s="1"/>
      <c r="IWB228" s="1"/>
      <c r="IWC228" s="1"/>
      <c r="IWD228" s="1"/>
      <c r="IWE228" s="1"/>
      <c r="IWF228" s="1"/>
      <c r="IWG228" s="1"/>
      <c r="IWH228" s="1"/>
      <c r="IWI228" s="1"/>
      <c r="IWJ228" s="1"/>
      <c r="IWK228" s="1"/>
      <c r="IWL228" s="1"/>
      <c r="IWM228" s="1"/>
      <c r="IWN228" s="1"/>
      <c r="IWO228" s="1"/>
      <c r="IWP228" s="1"/>
      <c r="IWQ228" s="1"/>
      <c r="IWR228" s="1"/>
      <c r="IWS228" s="1"/>
      <c r="IWT228" s="1"/>
      <c r="IWU228" s="1"/>
      <c r="IWV228" s="1"/>
      <c r="IWW228" s="1"/>
      <c r="IWX228" s="1"/>
      <c r="IWY228" s="1"/>
      <c r="IWZ228" s="1"/>
      <c r="IXA228" s="1"/>
      <c r="IXB228" s="1"/>
      <c r="IXC228" s="1"/>
      <c r="IXD228" s="1"/>
      <c r="IXE228" s="1"/>
      <c r="IXF228" s="1"/>
      <c r="IXG228" s="1"/>
      <c r="IXH228" s="1"/>
      <c r="IXI228" s="1"/>
      <c r="IXJ228" s="1"/>
      <c r="IXK228" s="1"/>
      <c r="IXL228" s="1"/>
      <c r="IXM228" s="1"/>
      <c r="IXN228" s="1"/>
      <c r="IXO228" s="1"/>
      <c r="IXP228" s="1"/>
      <c r="IXQ228" s="1"/>
      <c r="IXR228" s="1"/>
      <c r="IXS228" s="1"/>
      <c r="IXT228" s="1"/>
      <c r="IXU228" s="1"/>
      <c r="IXV228" s="1"/>
      <c r="IXW228" s="1"/>
      <c r="IXX228" s="1"/>
      <c r="IXY228" s="1"/>
      <c r="IXZ228" s="1"/>
      <c r="IYA228" s="1"/>
      <c r="IYB228" s="1"/>
      <c r="IYC228" s="1"/>
      <c r="IYD228" s="1"/>
      <c r="IYE228" s="1"/>
      <c r="IYF228" s="1"/>
      <c r="IYG228" s="1"/>
      <c r="IYH228" s="1"/>
      <c r="IYI228" s="1"/>
      <c r="IYJ228" s="1"/>
      <c r="IYK228" s="1"/>
      <c r="IYL228" s="1"/>
      <c r="IYM228" s="1"/>
      <c r="IYN228" s="1"/>
      <c r="IYO228" s="1"/>
      <c r="IYP228" s="1"/>
      <c r="IYQ228" s="1"/>
      <c r="IYR228" s="1"/>
      <c r="IYS228" s="1"/>
      <c r="IYT228" s="1"/>
      <c r="IYU228" s="1"/>
      <c r="IYV228" s="1"/>
      <c r="IYW228" s="1"/>
      <c r="IYX228" s="1"/>
      <c r="IYY228" s="1"/>
      <c r="IYZ228" s="1"/>
      <c r="IZA228" s="1"/>
      <c r="IZB228" s="1"/>
      <c r="IZC228" s="1"/>
      <c r="IZD228" s="1"/>
      <c r="IZE228" s="1"/>
      <c r="IZF228" s="1"/>
      <c r="IZG228" s="1"/>
      <c r="IZH228" s="1"/>
      <c r="IZI228" s="1"/>
      <c r="IZJ228" s="1"/>
      <c r="IZK228" s="1"/>
      <c r="IZL228" s="1"/>
      <c r="IZM228" s="1"/>
      <c r="IZN228" s="1"/>
      <c r="IZO228" s="1"/>
      <c r="IZP228" s="1"/>
      <c r="IZQ228" s="1"/>
      <c r="IZR228" s="1"/>
      <c r="IZS228" s="1"/>
      <c r="IZT228" s="1"/>
      <c r="IZU228" s="1"/>
      <c r="IZV228" s="1"/>
      <c r="IZW228" s="1"/>
      <c r="IZX228" s="1"/>
      <c r="IZY228" s="1"/>
      <c r="IZZ228" s="1"/>
      <c r="JAA228" s="1"/>
      <c r="JAB228" s="1"/>
      <c r="JAC228" s="1"/>
      <c r="JAD228" s="1"/>
      <c r="JAE228" s="1"/>
      <c r="JAF228" s="1"/>
      <c r="JAG228" s="1"/>
      <c r="JAH228" s="1"/>
      <c r="JAI228" s="1"/>
      <c r="JAJ228" s="1"/>
      <c r="JAK228" s="1"/>
      <c r="JAL228" s="1"/>
      <c r="JAM228" s="1"/>
      <c r="JAN228" s="1"/>
      <c r="JAO228" s="1"/>
      <c r="JAP228" s="1"/>
      <c r="JAQ228" s="1"/>
      <c r="JAR228" s="1"/>
      <c r="JAS228" s="1"/>
      <c r="JAT228" s="1"/>
      <c r="JAU228" s="1"/>
      <c r="JAV228" s="1"/>
      <c r="JAW228" s="1"/>
      <c r="JAX228" s="1"/>
      <c r="JAY228" s="1"/>
      <c r="JAZ228" s="1"/>
      <c r="JBA228" s="1"/>
      <c r="JBB228" s="1"/>
      <c r="JBC228" s="1"/>
      <c r="JBD228" s="1"/>
      <c r="JBE228" s="1"/>
      <c r="JBF228" s="1"/>
      <c r="JBG228" s="1"/>
      <c r="JBH228" s="1"/>
      <c r="JBI228" s="1"/>
      <c r="JBJ228" s="1"/>
      <c r="JBK228" s="1"/>
      <c r="JBL228" s="1"/>
      <c r="JBM228" s="1"/>
      <c r="JBN228" s="1"/>
      <c r="JBO228" s="1"/>
      <c r="JBP228" s="1"/>
      <c r="JBQ228" s="1"/>
      <c r="JBR228" s="1"/>
      <c r="JBS228" s="1"/>
      <c r="JBT228" s="1"/>
      <c r="JBU228" s="1"/>
      <c r="JBV228" s="1"/>
      <c r="JBW228" s="1"/>
      <c r="JBX228" s="1"/>
      <c r="JBY228" s="1"/>
      <c r="JBZ228" s="1"/>
      <c r="JCA228" s="1"/>
      <c r="JCB228" s="1"/>
      <c r="JCC228" s="1"/>
      <c r="JCD228" s="1"/>
      <c r="JCE228" s="1"/>
      <c r="JCF228" s="1"/>
      <c r="JCG228" s="1"/>
      <c r="JCH228" s="1"/>
      <c r="JCI228" s="1"/>
      <c r="JCJ228" s="1"/>
      <c r="JCK228" s="1"/>
      <c r="JCL228" s="1"/>
      <c r="JCM228" s="1"/>
      <c r="JCN228" s="1"/>
      <c r="JCO228" s="1"/>
      <c r="JCP228" s="1"/>
      <c r="JCQ228" s="1"/>
      <c r="JCR228" s="1"/>
      <c r="JCS228" s="1"/>
      <c r="JCT228" s="1"/>
      <c r="JCU228" s="1"/>
      <c r="JCV228" s="1"/>
      <c r="JCW228" s="1"/>
      <c r="JCX228" s="1"/>
      <c r="JCY228" s="1"/>
      <c r="JCZ228" s="1"/>
      <c r="JDA228" s="1"/>
      <c r="JDB228" s="1"/>
      <c r="JDC228" s="1"/>
      <c r="JDD228" s="1"/>
      <c r="JDE228" s="1"/>
      <c r="JDF228" s="1"/>
      <c r="JDG228" s="1"/>
      <c r="JDH228" s="1"/>
      <c r="JDI228" s="1"/>
      <c r="JDJ228" s="1"/>
      <c r="JDK228" s="1"/>
      <c r="JDL228" s="1"/>
      <c r="JDM228" s="1"/>
      <c r="JDN228" s="1"/>
      <c r="JDO228" s="1"/>
      <c r="JDP228" s="1"/>
      <c r="JDQ228" s="1"/>
      <c r="JDR228" s="1"/>
      <c r="JDS228" s="1"/>
      <c r="JDT228" s="1"/>
      <c r="JDU228" s="1"/>
      <c r="JDV228" s="1"/>
      <c r="JDW228" s="1"/>
      <c r="JDX228" s="1"/>
      <c r="JDY228" s="1"/>
      <c r="JDZ228" s="1"/>
      <c r="JEA228" s="1"/>
      <c r="JEB228" s="1"/>
      <c r="JEC228" s="1"/>
      <c r="JED228" s="1"/>
      <c r="JEE228" s="1"/>
      <c r="JEF228" s="1"/>
      <c r="JEG228" s="1"/>
      <c r="JEH228" s="1"/>
      <c r="JEI228" s="1"/>
      <c r="JEJ228" s="1"/>
      <c r="JEK228" s="1"/>
      <c r="JEL228" s="1"/>
      <c r="JEM228" s="1"/>
      <c r="JEN228" s="1"/>
      <c r="JEO228" s="1"/>
      <c r="JEP228" s="1"/>
      <c r="JEQ228" s="1"/>
      <c r="JER228" s="1"/>
      <c r="JES228" s="1"/>
      <c r="JET228" s="1"/>
      <c r="JEU228" s="1"/>
      <c r="JEV228" s="1"/>
      <c r="JEW228" s="1"/>
      <c r="JEX228" s="1"/>
      <c r="JEY228" s="1"/>
      <c r="JEZ228" s="1"/>
      <c r="JFA228" s="1"/>
      <c r="JFB228" s="1"/>
      <c r="JFC228" s="1"/>
      <c r="JFD228" s="1"/>
      <c r="JFE228" s="1"/>
      <c r="JFF228" s="1"/>
      <c r="JFG228" s="1"/>
      <c r="JFH228" s="1"/>
      <c r="JFI228" s="1"/>
      <c r="JFJ228" s="1"/>
      <c r="JFK228" s="1"/>
      <c r="JFL228" s="1"/>
      <c r="JFM228" s="1"/>
      <c r="JFN228" s="1"/>
      <c r="JFO228" s="1"/>
      <c r="JFP228" s="1"/>
      <c r="JFQ228" s="1"/>
      <c r="JFR228" s="1"/>
      <c r="JFS228" s="1"/>
      <c r="JFT228" s="1"/>
      <c r="JFU228" s="1"/>
      <c r="JFV228" s="1"/>
      <c r="JFW228" s="1"/>
      <c r="JFX228" s="1"/>
      <c r="JFY228" s="1"/>
      <c r="JFZ228" s="1"/>
      <c r="JGA228" s="1"/>
      <c r="JGB228" s="1"/>
      <c r="JGC228" s="1"/>
      <c r="JGD228" s="1"/>
      <c r="JGE228" s="1"/>
      <c r="JGF228" s="1"/>
      <c r="JGG228" s="1"/>
      <c r="JGH228" s="1"/>
      <c r="JGI228" s="1"/>
      <c r="JGJ228" s="1"/>
      <c r="JGK228" s="1"/>
      <c r="JGL228" s="1"/>
      <c r="JGM228" s="1"/>
      <c r="JGN228" s="1"/>
      <c r="JGO228" s="1"/>
      <c r="JGP228" s="1"/>
      <c r="JGQ228" s="1"/>
      <c r="JGR228" s="1"/>
      <c r="JGS228" s="1"/>
      <c r="JGT228" s="1"/>
      <c r="JGU228" s="1"/>
      <c r="JGV228" s="1"/>
      <c r="JGW228" s="1"/>
      <c r="JGX228" s="1"/>
      <c r="JGY228" s="1"/>
      <c r="JGZ228" s="1"/>
      <c r="JHA228" s="1"/>
      <c r="JHB228" s="1"/>
      <c r="JHC228" s="1"/>
      <c r="JHD228" s="1"/>
      <c r="JHE228" s="1"/>
      <c r="JHF228" s="1"/>
      <c r="JHG228" s="1"/>
      <c r="JHH228" s="1"/>
      <c r="JHI228" s="1"/>
      <c r="JHJ228" s="1"/>
      <c r="JHK228" s="1"/>
      <c r="JHL228" s="1"/>
      <c r="JHM228" s="1"/>
      <c r="JHN228" s="1"/>
      <c r="JHO228" s="1"/>
      <c r="JHP228" s="1"/>
      <c r="JHQ228" s="1"/>
      <c r="JHR228" s="1"/>
      <c r="JHS228" s="1"/>
      <c r="JHT228" s="1"/>
      <c r="JHU228" s="1"/>
      <c r="JHV228" s="1"/>
      <c r="JHW228" s="1"/>
      <c r="JHX228" s="1"/>
      <c r="JHY228" s="1"/>
      <c r="JHZ228" s="1"/>
      <c r="JIA228" s="1"/>
      <c r="JIB228" s="1"/>
      <c r="JIC228" s="1"/>
      <c r="JID228" s="1"/>
      <c r="JIE228" s="1"/>
      <c r="JIF228" s="1"/>
      <c r="JIG228" s="1"/>
      <c r="JIH228" s="1"/>
      <c r="JII228" s="1"/>
      <c r="JIJ228" s="1"/>
      <c r="JIK228" s="1"/>
      <c r="JIL228" s="1"/>
      <c r="JIM228" s="1"/>
      <c r="JIN228" s="1"/>
      <c r="JIO228" s="1"/>
      <c r="JIP228" s="1"/>
      <c r="JIQ228" s="1"/>
      <c r="JIR228" s="1"/>
      <c r="JIS228" s="1"/>
      <c r="JIT228" s="1"/>
      <c r="JIU228" s="1"/>
      <c r="JIV228" s="1"/>
      <c r="JIW228" s="1"/>
      <c r="JIX228" s="1"/>
      <c r="JIY228" s="1"/>
      <c r="JIZ228" s="1"/>
      <c r="JJA228" s="1"/>
      <c r="JJB228" s="1"/>
      <c r="JJC228" s="1"/>
      <c r="JJD228" s="1"/>
      <c r="JJE228" s="1"/>
      <c r="JJF228" s="1"/>
      <c r="JJG228" s="1"/>
      <c r="JJH228" s="1"/>
      <c r="JJI228" s="1"/>
      <c r="JJJ228" s="1"/>
      <c r="JJK228" s="1"/>
      <c r="JJL228" s="1"/>
      <c r="JJM228" s="1"/>
      <c r="JJN228" s="1"/>
      <c r="JJO228" s="1"/>
      <c r="JJP228" s="1"/>
      <c r="JJQ228" s="1"/>
      <c r="JJR228" s="1"/>
      <c r="JJS228" s="1"/>
      <c r="JJT228" s="1"/>
      <c r="JJU228" s="1"/>
      <c r="JJV228" s="1"/>
      <c r="JJW228" s="1"/>
      <c r="JJX228" s="1"/>
      <c r="JJY228" s="1"/>
      <c r="JJZ228" s="1"/>
      <c r="JKA228" s="1"/>
      <c r="JKB228" s="1"/>
      <c r="JKC228" s="1"/>
      <c r="JKD228" s="1"/>
      <c r="JKE228" s="1"/>
      <c r="JKF228" s="1"/>
      <c r="JKG228" s="1"/>
      <c r="JKH228" s="1"/>
      <c r="JKI228" s="1"/>
      <c r="JKJ228" s="1"/>
      <c r="JKK228" s="1"/>
      <c r="JKL228" s="1"/>
      <c r="JKM228" s="1"/>
      <c r="JKN228" s="1"/>
      <c r="JKO228" s="1"/>
      <c r="JKP228" s="1"/>
      <c r="JKQ228" s="1"/>
      <c r="JKR228" s="1"/>
      <c r="JKS228" s="1"/>
      <c r="JKT228" s="1"/>
      <c r="JKU228" s="1"/>
      <c r="JKV228" s="1"/>
      <c r="JKW228" s="1"/>
      <c r="JKX228" s="1"/>
      <c r="JKY228" s="1"/>
      <c r="JKZ228" s="1"/>
      <c r="JLA228" s="1"/>
      <c r="JLB228" s="1"/>
      <c r="JLC228" s="1"/>
      <c r="JLD228" s="1"/>
      <c r="JLE228" s="1"/>
      <c r="JLF228" s="1"/>
      <c r="JLG228" s="1"/>
      <c r="JLH228" s="1"/>
      <c r="JLI228" s="1"/>
      <c r="JLJ228" s="1"/>
      <c r="JLK228" s="1"/>
      <c r="JLL228" s="1"/>
      <c r="JLM228" s="1"/>
      <c r="JLN228" s="1"/>
      <c r="JLO228" s="1"/>
      <c r="JLP228" s="1"/>
      <c r="JLQ228" s="1"/>
      <c r="JLR228" s="1"/>
      <c r="JLS228" s="1"/>
      <c r="JLT228" s="1"/>
      <c r="JLU228" s="1"/>
      <c r="JLV228" s="1"/>
      <c r="JLW228" s="1"/>
      <c r="JLX228" s="1"/>
      <c r="JLY228" s="1"/>
      <c r="JLZ228" s="1"/>
      <c r="JMA228" s="1"/>
      <c r="JMB228" s="1"/>
      <c r="JMC228" s="1"/>
      <c r="JMD228" s="1"/>
      <c r="JME228" s="1"/>
      <c r="JMF228" s="1"/>
      <c r="JMG228" s="1"/>
      <c r="JMH228" s="1"/>
      <c r="JMI228" s="1"/>
      <c r="JMJ228" s="1"/>
      <c r="JMK228" s="1"/>
      <c r="JML228" s="1"/>
      <c r="JMM228" s="1"/>
      <c r="JMN228" s="1"/>
      <c r="JMO228" s="1"/>
      <c r="JMP228" s="1"/>
      <c r="JMQ228" s="1"/>
      <c r="JMR228" s="1"/>
      <c r="JMS228" s="1"/>
      <c r="JMT228" s="1"/>
      <c r="JMU228" s="1"/>
      <c r="JMV228" s="1"/>
      <c r="JMW228" s="1"/>
      <c r="JMX228" s="1"/>
      <c r="JMY228" s="1"/>
      <c r="JMZ228" s="1"/>
      <c r="JNA228" s="1"/>
      <c r="JNB228" s="1"/>
      <c r="JNC228" s="1"/>
      <c r="JND228" s="1"/>
      <c r="JNE228" s="1"/>
      <c r="JNF228" s="1"/>
      <c r="JNG228" s="1"/>
      <c r="JNH228" s="1"/>
      <c r="JNI228" s="1"/>
      <c r="JNJ228" s="1"/>
      <c r="JNK228" s="1"/>
      <c r="JNL228" s="1"/>
      <c r="JNM228" s="1"/>
      <c r="JNN228" s="1"/>
      <c r="JNO228" s="1"/>
      <c r="JNP228" s="1"/>
      <c r="JNQ228" s="1"/>
      <c r="JNR228" s="1"/>
      <c r="JNS228" s="1"/>
      <c r="JNT228" s="1"/>
      <c r="JNU228" s="1"/>
      <c r="JNV228" s="1"/>
      <c r="JNW228" s="1"/>
      <c r="JNX228" s="1"/>
      <c r="JNY228" s="1"/>
      <c r="JNZ228" s="1"/>
      <c r="JOA228" s="1"/>
      <c r="JOB228" s="1"/>
      <c r="JOC228" s="1"/>
      <c r="JOD228" s="1"/>
      <c r="JOE228" s="1"/>
      <c r="JOF228" s="1"/>
      <c r="JOG228" s="1"/>
      <c r="JOH228" s="1"/>
      <c r="JOI228" s="1"/>
      <c r="JOJ228" s="1"/>
      <c r="JOK228" s="1"/>
      <c r="JOL228" s="1"/>
      <c r="JOM228" s="1"/>
      <c r="JON228" s="1"/>
      <c r="JOO228" s="1"/>
      <c r="JOP228" s="1"/>
      <c r="JOQ228" s="1"/>
      <c r="JOR228" s="1"/>
      <c r="JOS228" s="1"/>
      <c r="JOT228" s="1"/>
      <c r="JOU228" s="1"/>
      <c r="JOV228" s="1"/>
      <c r="JOW228" s="1"/>
      <c r="JOX228" s="1"/>
      <c r="JOY228" s="1"/>
      <c r="JOZ228" s="1"/>
      <c r="JPA228" s="1"/>
      <c r="JPB228" s="1"/>
      <c r="JPC228" s="1"/>
      <c r="JPD228" s="1"/>
      <c r="JPE228" s="1"/>
      <c r="JPF228" s="1"/>
      <c r="JPG228" s="1"/>
      <c r="JPH228" s="1"/>
      <c r="JPI228" s="1"/>
      <c r="JPJ228" s="1"/>
      <c r="JPK228" s="1"/>
      <c r="JPL228" s="1"/>
      <c r="JPM228" s="1"/>
      <c r="JPN228" s="1"/>
      <c r="JPO228" s="1"/>
      <c r="JPP228" s="1"/>
      <c r="JPQ228" s="1"/>
      <c r="JPR228" s="1"/>
      <c r="JPS228" s="1"/>
      <c r="JPT228" s="1"/>
      <c r="JPU228" s="1"/>
      <c r="JPV228" s="1"/>
      <c r="JPW228" s="1"/>
      <c r="JPX228" s="1"/>
      <c r="JPY228" s="1"/>
      <c r="JPZ228" s="1"/>
      <c r="JQA228" s="1"/>
      <c r="JQB228" s="1"/>
      <c r="JQC228" s="1"/>
      <c r="JQD228" s="1"/>
      <c r="JQE228" s="1"/>
      <c r="JQF228" s="1"/>
      <c r="JQG228" s="1"/>
      <c r="JQH228" s="1"/>
      <c r="JQI228" s="1"/>
      <c r="JQJ228" s="1"/>
      <c r="JQK228" s="1"/>
      <c r="JQL228" s="1"/>
      <c r="JQM228" s="1"/>
      <c r="JQN228" s="1"/>
      <c r="JQO228" s="1"/>
      <c r="JQP228" s="1"/>
      <c r="JQQ228" s="1"/>
      <c r="JQR228" s="1"/>
      <c r="JQS228" s="1"/>
      <c r="JQT228" s="1"/>
      <c r="JQU228" s="1"/>
      <c r="JQV228" s="1"/>
      <c r="JQW228" s="1"/>
      <c r="JQX228" s="1"/>
      <c r="JQY228" s="1"/>
      <c r="JQZ228" s="1"/>
      <c r="JRA228" s="1"/>
      <c r="JRB228" s="1"/>
      <c r="JRC228" s="1"/>
      <c r="JRD228" s="1"/>
      <c r="JRE228" s="1"/>
      <c r="JRF228" s="1"/>
      <c r="JRG228" s="1"/>
      <c r="JRH228" s="1"/>
      <c r="JRI228" s="1"/>
      <c r="JRJ228" s="1"/>
      <c r="JRK228" s="1"/>
      <c r="JRL228" s="1"/>
      <c r="JRM228" s="1"/>
      <c r="JRN228" s="1"/>
      <c r="JRO228" s="1"/>
      <c r="JRP228" s="1"/>
      <c r="JRQ228" s="1"/>
      <c r="JRR228" s="1"/>
      <c r="JRS228" s="1"/>
      <c r="JRT228" s="1"/>
      <c r="JRU228" s="1"/>
      <c r="JRV228" s="1"/>
      <c r="JRW228" s="1"/>
      <c r="JRX228" s="1"/>
      <c r="JRY228" s="1"/>
      <c r="JRZ228" s="1"/>
      <c r="JSA228" s="1"/>
      <c r="JSB228" s="1"/>
      <c r="JSC228" s="1"/>
      <c r="JSD228" s="1"/>
      <c r="JSE228" s="1"/>
      <c r="JSF228" s="1"/>
      <c r="JSG228" s="1"/>
      <c r="JSH228" s="1"/>
      <c r="JSI228" s="1"/>
      <c r="JSJ228" s="1"/>
      <c r="JSK228" s="1"/>
      <c r="JSL228" s="1"/>
      <c r="JSM228" s="1"/>
      <c r="JSN228" s="1"/>
      <c r="JSO228" s="1"/>
      <c r="JSP228" s="1"/>
      <c r="JSQ228" s="1"/>
      <c r="JSR228" s="1"/>
      <c r="JSS228" s="1"/>
      <c r="JST228" s="1"/>
      <c r="JSU228" s="1"/>
      <c r="JSV228" s="1"/>
      <c r="JSW228" s="1"/>
      <c r="JSX228" s="1"/>
      <c r="JSY228" s="1"/>
      <c r="JSZ228" s="1"/>
      <c r="JTA228" s="1"/>
      <c r="JTB228" s="1"/>
      <c r="JTC228" s="1"/>
      <c r="JTD228" s="1"/>
      <c r="JTE228" s="1"/>
      <c r="JTF228" s="1"/>
      <c r="JTG228" s="1"/>
      <c r="JTH228" s="1"/>
      <c r="JTI228" s="1"/>
      <c r="JTJ228" s="1"/>
      <c r="JTK228" s="1"/>
      <c r="JTL228" s="1"/>
      <c r="JTM228" s="1"/>
      <c r="JTN228" s="1"/>
      <c r="JTO228" s="1"/>
      <c r="JTP228" s="1"/>
      <c r="JTQ228" s="1"/>
      <c r="JTR228" s="1"/>
      <c r="JTS228" s="1"/>
      <c r="JTT228" s="1"/>
      <c r="JTU228" s="1"/>
      <c r="JTV228" s="1"/>
      <c r="JTW228" s="1"/>
      <c r="JTX228" s="1"/>
      <c r="JTY228" s="1"/>
      <c r="JTZ228" s="1"/>
      <c r="JUA228" s="1"/>
      <c r="JUB228" s="1"/>
      <c r="JUC228" s="1"/>
      <c r="JUD228" s="1"/>
      <c r="JUE228" s="1"/>
      <c r="JUF228" s="1"/>
      <c r="JUG228" s="1"/>
      <c r="JUH228" s="1"/>
      <c r="JUI228" s="1"/>
      <c r="JUJ228" s="1"/>
      <c r="JUK228" s="1"/>
      <c r="JUL228" s="1"/>
      <c r="JUM228" s="1"/>
      <c r="JUN228" s="1"/>
      <c r="JUO228" s="1"/>
      <c r="JUP228" s="1"/>
      <c r="JUQ228" s="1"/>
      <c r="JUR228" s="1"/>
      <c r="JUS228" s="1"/>
      <c r="JUT228" s="1"/>
      <c r="JUU228" s="1"/>
      <c r="JUV228" s="1"/>
      <c r="JUW228" s="1"/>
      <c r="JUX228" s="1"/>
      <c r="JUY228" s="1"/>
      <c r="JUZ228" s="1"/>
      <c r="JVA228" s="1"/>
      <c r="JVB228" s="1"/>
      <c r="JVC228" s="1"/>
      <c r="JVD228" s="1"/>
      <c r="JVE228" s="1"/>
      <c r="JVF228" s="1"/>
      <c r="JVG228" s="1"/>
      <c r="JVH228" s="1"/>
      <c r="JVI228" s="1"/>
      <c r="JVJ228" s="1"/>
      <c r="JVK228" s="1"/>
      <c r="JVL228" s="1"/>
      <c r="JVM228" s="1"/>
      <c r="JVN228" s="1"/>
      <c r="JVO228" s="1"/>
      <c r="JVP228" s="1"/>
      <c r="JVQ228" s="1"/>
      <c r="JVR228" s="1"/>
      <c r="JVS228" s="1"/>
      <c r="JVT228" s="1"/>
      <c r="JVU228" s="1"/>
      <c r="JVV228" s="1"/>
      <c r="JVW228" s="1"/>
      <c r="JVX228" s="1"/>
      <c r="JVY228" s="1"/>
      <c r="JVZ228" s="1"/>
      <c r="JWA228" s="1"/>
      <c r="JWB228" s="1"/>
      <c r="JWC228" s="1"/>
      <c r="JWD228" s="1"/>
      <c r="JWE228" s="1"/>
      <c r="JWF228" s="1"/>
      <c r="JWG228" s="1"/>
      <c r="JWH228" s="1"/>
      <c r="JWI228" s="1"/>
      <c r="JWJ228" s="1"/>
      <c r="JWK228" s="1"/>
      <c r="JWL228" s="1"/>
      <c r="JWM228" s="1"/>
      <c r="JWN228" s="1"/>
      <c r="JWO228" s="1"/>
      <c r="JWP228" s="1"/>
      <c r="JWQ228" s="1"/>
      <c r="JWR228" s="1"/>
      <c r="JWS228" s="1"/>
      <c r="JWT228" s="1"/>
      <c r="JWU228" s="1"/>
      <c r="JWV228" s="1"/>
      <c r="JWW228" s="1"/>
      <c r="JWX228" s="1"/>
      <c r="JWY228" s="1"/>
      <c r="JWZ228" s="1"/>
      <c r="JXA228" s="1"/>
      <c r="JXB228" s="1"/>
      <c r="JXC228" s="1"/>
      <c r="JXD228" s="1"/>
      <c r="JXE228" s="1"/>
      <c r="JXF228" s="1"/>
      <c r="JXG228" s="1"/>
      <c r="JXH228" s="1"/>
      <c r="JXI228" s="1"/>
      <c r="JXJ228" s="1"/>
      <c r="JXK228" s="1"/>
      <c r="JXL228" s="1"/>
      <c r="JXM228" s="1"/>
      <c r="JXN228" s="1"/>
      <c r="JXO228" s="1"/>
      <c r="JXP228" s="1"/>
      <c r="JXQ228" s="1"/>
      <c r="JXR228" s="1"/>
      <c r="JXS228" s="1"/>
      <c r="JXT228" s="1"/>
      <c r="JXU228" s="1"/>
      <c r="JXV228" s="1"/>
      <c r="JXW228" s="1"/>
      <c r="JXX228" s="1"/>
      <c r="JXY228" s="1"/>
      <c r="JXZ228" s="1"/>
      <c r="JYA228" s="1"/>
      <c r="JYB228" s="1"/>
      <c r="JYC228" s="1"/>
      <c r="JYD228" s="1"/>
      <c r="JYE228" s="1"/>
      <c r="JYF228" s="1"/>
      <c r="JYG228" s="1"/>
      <c r="JYH228" s="1"/>
      <c r="JYI228" s="1"/>
      <c r="JYJ228" s="1"/>
      <c r="JYK228" s="1"/>
      <c r="JYL228" s="1"/>
      <c r="JYM228" s="1"/>
      <c r="JYN228" s="1"/>
      <c r="JYO228" s="1"/>
      <c r="JYP228" s="1"/>
      <c r="JYQ228" s="1"/>
      <c r="JYR228" s="1"/>
      <c r="JYS228" s="1"/>
      <c r="JYT228" s="1"/>
      <c r="JYU228" s="1"/>
      <c r="JYV228" s="1"/>
      <c r="JYW228" s="1"/>
      <c r="JYX228" s="1"/>
      <c r="JYY228" s="1"/>
      <c r="JYZ228" s="1"/>
      <c r="JZA228" s="1"/>
      <c r="JZB228" s="1"/>
      <c r="JZC228" s="1"/>
      <c r="JZD228" s="1"/>
      <c r="JZE228" s="1"/>
      <c r="JZF228" s="1"/>
      <c r="JZG228" s="1"/>
      <c r="JZH228" s="1"/>
      <c r="JZI228" s="1"/>
      <c r="JZJ228" s="1"/>
      <c r="JZK228" s="1"/>
      <c r="JZL228" s="1"/>
      <c r="JZM228" s="1"/>
      <c r="JZN228" s="1"/>
      <c r="JZO228" s="1"/>
      <c r="JZP228" s="1"/>
      <c r="JZQ228" s="1"/>
      <c r="JZR228" s="1"/>
      <c r="JZS228" s="1"/>
      <c r="JZT228" s="1"/>
      <c r="JZU228" s="1"/>
      <c r="JZV228" s="1"/>
      <c r="JZW228" s="1"/>
      <c r="JZX228" s="1"/>
      <c r="JZY228" s="1"/>
      <c r="JZZ228" s="1"/>
      <c r="KAA228" s="1"/>
      <c r="KAB228" s="1"/>
      <c r="KAC228" s="1"/>
      <c r="KAD228" s="1"/>
      <c r="KAE228" s="1"/>
      <c r="KAF228" s="1"/>
      <c r="KAG228" s="1"/>
      <c r="KAH228" s="1"/>
      <c r="KAI228" s="1"/>
      <c r="KAJ228" s="1"/>
      <c r="KAK228" s="1"/>
      <c r="KAL228" s="1"/>
      <c r="KAM228" s="1"/>
      <c r="KAN228" s="1"/>
      <c r="KAO228" s="1"/>
      <c r="KAP228" s="1"/>
      <c r="KAQ228" s="1"/>
      <c r="KAR228" s="1"/>
      <c r="KAS228" s="1"/>
      <c r="KAT228" s="1"/>
      <c r="KAU228" s="1"/>
      <c r="KAV228" s="1"/>
      <c r="KAW228" s="1"/>
      <c r="KAX228" s="1"/>
      <c r="KAY228" s="1"/>
      <c r="KAZ228" s="1"/>
      <c r="KBA228" s="1"/>
      <c r="KBB228" s="1"/>
      <c r="KBC228" s="1"/>
      <c r="KBD228" s="1"/>
      <c r="KBE228" s="1"/>
      <c r="KBF228" s="1"/>
      <c r="KBG228" s="1"/>
      <c r="KBH228" s="1"/>
      <c r="KBI228" s="1"/>
      <c r="KBJ228" s="1"/>
      <c r="KBK228" s="1"/>
      <c r="KBL228" s="1"/>
      <c r="KBM228" s="1"/>
      <c r="KBN228" s="1"/>
      <c r="KBO228" s="1"/>
      <c r="KBP228" s="1"/>
      <c r="KBQ228" s="1"/>
      <c r="KBR228" s="1"/>
      <c r="KBS228" s="1"/>
      <c r="KBT228" s="1"/>
      <c r="KBU228" s="1"/>
      <c r="KBV228" s="1"/>
      <c r="KBW228" s="1"/>
      <c r="KBX228" s="1"/>
      <c r="KBY228" s="1"/>
      <c r="KBZ228" s="1"/>
      <c r="KCA228" s="1"/>
      <c r="KCB228" s="1"/>
      <c r="KCC228" s="1"/>
      <c r="KCD228" s="1"/>
      <c r="KCE228" s="1"/>
      <c r="KCF228" s="1"/>
      <c r="KCG228" s="1"/>
      <c r="KCH228" s="1"/>
      <c r="KCI228" s="1"/>
      <c r="KCJ228" s="1"/>
      <c r="KCK228" s="1"/>
      <c r="KCL228" s="1"/>
      <c r="KCM228" s="1"/>
      <c r="KCN228" s="1"/>
      <c r="KCO228" s="1"/>
      <c r="KCP228" s="1"/>
      <c r="KCQ228" s="1"/>
      <c r="KCR228" s="1"/>
      <c r="KCS228" s="1"/>
      <c r="KCT228" s="1"/>
      <c r="KCU228" s="1"/>
      <c r="KCV228" s="1"/>
      <c r="KCW228" s="1"/>
      <c r="KCX228" s="1"/>
      <c r="KCY228" s="1"/>
      <c r="KCZ228" s="1"/>
      <c r="KDA228" s="1"/>
      <c r="KDB228" s="1"/>
      <c r="KDC228" s="1"/>
      <c r="KDD228" s="1"/>
      <c r="KDE228" s="1"/>
      <c r="KDF228" s="1"/>
      <c r="KDG228" s="1"/>
      <c r="KDH228" s="1"/>
      <c r="KDI228" s="1"/>
      <c r="KDJ228" s="1"/>
      <c r="KDK228" s="1"/>
      <c r="KDL228" s="1"/>
      <c r="KDM228" s="1"/>
      <c r="KDN228" s="1"/>
      <c r="KDO228" s="1"/>
      <c r="KDP228" s="1"/>
      <c r="KDQ228" s="1"/>
      <c r="KDR228" s="1"/>
      <c r="KDS228" s="1"/>
      <c r="KDT228" s="1"/>
      <c r="KDU228" s="1"/>
      <c r="KDV228" s="1"/>
      <c r="KDW228" s="1"/>
      <c r="KDX228" s="1"/>
      <c r="KDY228" s="1"/>
      <c r="KDZ228" s="1"/>
      <c r="KEA228" s="1"/>
      <c r="KEB228" s="1"/>
      <c r="KEC228" s="1"/>
      <c r="KED228" s="1"/>
      <c r="KEE228" s="1"/>
      <c r="KEF228" s="1"/>
      <c r="KEG228" s="1"/>
      <c r="KEH228" s="1"/>
      <c r="KEI228" s="1"/>
      <c r="KEJ228" s="1"/>
      <c r="KEK228" s="1"/>
      <c r="KEL228" s="1"/>
      <c r="KEM228" s="1"/>
      <c r="KEN228" s="1"/>
      <c r="KEO228" s="1"/>
      <c r="KEP228" s="1"/>
      <c r="KEQ228" s="1"/>
      <c r="KER228" s="1"/>
      <c r="KES228" s="1"/>
      <c r="KET228" s="1"/>
      <c r="KEU228" s="1"/>
      <c r="KEV228" s="1"/>
      <c r="KEW228" s="1"/>
      <c r="KEX228" s="1"/>
      <c r="KEY228" s="1"/>
      <c r="KEZ228" s="1"/>
      <c r="KFA228" s="1"/>
      <c r="KFB228" s="1"/>
      <c r="KFC228" s="1"/>
      <c r="KFD228" s="1"/>
      <c r="KFE228" s="1"/>
      <c r="KFF228" s="1"/>
      <c r="KFG228" s="1"/>
      <c r="KFH228" s="1"/>
      <c r="KFI228" s="1"/>
      <c r="KFJ228" s="1"/>
      <c r="KFK228" s="1"/>
      <c r="KFL228" s="1"/>
      <c r="KFM228" s="1"/>
      <c r="KFN228" s="1"/>
      <c r="KFO228" s="1"/>
      <c r="KFP228" s="1"/>
      <c r="KFQ228" s="1"/>
      <c r="KFR228" s="1"/>
      <c r="KFS228" s="1"/>
      <c r="KFT228" s="1"/>
      <c r="KFU228" s="1"/>
      <c r="KFV228" s="1"/>
      <c r="KFW228" s="1"/>
      <c r="KFX228" s="1"/>
      <c r="KFY228" s="1"/>
      <c r="KFZ228" s="1"/>
      <c r="KGA228" s="1"/>
      <c r="KGB228" s="1"/>
      <c r="KGC228" s="1"/>
      <c r="KGD228" s="1"/>
      <c r="KGE228" s="1"/>
      <c r="KGF228" s="1"/>
      <c r="KGG228" s="1"/>
      <c r="KGH228" s="1"/>
      <c r="KGI228" s="1"/>
      <c r="KGJ228" s="1"/>
      <c r="KGK228" s="1"/>
      <c r="KGL228" s="1"/>
      <c r="KGM228" s="1"/>
      <c r="KGN228" s="1"/>
      <c r="KGO228" s="1"/>
      <c r="KGP228" s="1"/>
      <c r="KGQ228" s="1"/>
      <c r="KGR228" s="1"/>
      <c r="KGS228" s="1"/>
      <c r="KGT228" s="1"/>
      <c r="KGU228" s="1"/>
      <c r="KGV228" s="1"/>
      <c r="KGW228" s="1"/>
      <c r="KGX228" s="1"/>
      <c r="KGY228" s="1"/>
      <c r="KGZ228" s="1"/>
      <c r="KHA228" s="1"/>
      <c r="KHB228" s="1"/>
      <c r="KHC228" s="1"/>
      <c r="KHD228" s="1"/>
      <c r="KHE228" s="1"/>
      <c r="KHF228" s="1"/>
      <c r="KHG228" s="1"/>
      <c r="KHH228" s="1"/>
      <c r="KHI228" s="1"/>
      <c r="KHJ228" s="1"/>
      <c r="KHK228" s="1"/>
      <c r="KHL228" s="1"/>
      <c r="KHM228" s="1"/>
      <c r="KHN228" s="1"/>
      <c r="KHO228" s="1"/>
      <c r="KHP228" s="1"/>
      <c r="KHQ228" s="1"/>
      <c r="KHR228" s="1"/>
      <c r="KHS228" s="1"/>
      <c r="KHT228" s="1"/>
      <c r="KHU228" s="1"/>
      <c r="KHV228" s="1"/>
      <c r="KHW228" s="1"/>
      <c r="KHX228" s="1"/>
      <c r="KHY228" s="1"/>
      <c r="KHZ228" s="1"/>
      <c r="KIA228" s="1"/>
      <c r="KIB228" s="1"/>
      <c r="KIC228" s="1"/>
      <c r="KID228" s="1"/>
      <c r="KIE228" s="1"/>
      <c r="KIF228" s="1"/>
      <c r="KIG228" s="1"/>
      <c r="KIH228" s="1"/>
      <c r="KII228" s="1"/>
      <c r="KIJ228" s="1"/>
      <c r="KIK228" s="1"/>
      <c r="KIL228" s="1"/>
      <c r="KIM228" s="1"/>
      <c r="KIN228" s="1"/>
      <c r="KIO228" s="1"/>
      <c r="KIP228" s="1"/>
      <c r="KIQ228" s="1"/>
      <c r="KIR228" s="1"/>
      <c r="KIS228" s="1"/>
      <c r="KIT228" s="1"/>
      <c r="KIU228" s="1"/>
      <c r="KIV228" s="1"/>
      <c r="KIW228" s="1"/>
      <c r="KIX228" s="1"/>
      <c r="KIY228" s="1"/>
      <c r="KIZ228" s="1"/>
      <c r="KJA228" s="1"/>
      <c r="KJB228" s="1"/>
      <c r="KJC228" s="1"/>
      <c r="KJD228" s="1"/>
      <c r="KJE228" s="1"/>
      <c r="KJF228" s="1"/>
      <c r="KJG228" s="1"/>
      <c r="KJH228" s="1"/>
      <c r="KJI228" s="1"/>
      <c r="KJJ228" s="1"/>
      <c r="KJK228" s="1"/>
      <c r="KJL228" s="1"/>
      <c r="KJM228" s="1"/>
      <c r="KJN228" s="1"/>
      <c r="KJO228" s="1"/>
      <c r="KJP228" s="1"/>
      <c r="KJQ228" s="1"/>
      <c r="KJR228" s="1"/>
      <c r="KJS228" s="1"/>
      <c r="KJT228" s="1"/>
      <c r="KJU228" s="1"/>
      <c r="KJV228" s="1"/>
      <c r="KJW228" s="1"/>
      <c r="KJX228" s="1"/>
      <c r="KJY228" s="1"/>
      <c r="KJZ228" s="1"/>
      <c r="KKA228" s="1"/>
      <c r="KKB228" s="1"/>
      <c r="KKC228" s="1"/>
      <c r="KKD228" s="1"/>
      <c r="KKE228" s="1"/>
      <c r="KKF228" s="1"/>
      <c r="KKG228" s="1"/>
      <c r="KKH228" s="1"/>
      <c r="KKI228" s="1"/>
      <c r="KKJ228" s="1"/>
      <c r="KKK228" s="1"/>
      <c r="KKL228" s="1"/>
      <c r="KKM228" s="1"/>
      <c r="KKN228" s="1"/>
      <c r="KKO228" s="1"/>
      <c r="KKP228" s="1"/>
      <c r="KKQ228" s="1"/>
      <c r="KKR228" s="1"/>
      <c r="KKS228" s="1"/>
      <c r="KKT228" s="1"/>
      <c r="KKU228" s="1"/>
      <c r="KKV228" s="1"/>
      <c r="KKW228" s="1"/>
      <c r="KKX228" s="1"/>
      <c r="KKY228" s="1"/>
      <c r="KKZ228" s="1"/>
      <c r="KLA228" s="1"/>
      <c r="KLB228" s="1"/>
      <c r="KLC228" s="1"/>
      <c r="KLD228" s="1"/>
      <c r="KLE228" s="1"/>
      <c r="KLF228" s="1"/>
      <c r="KLG228" s="1"/>
      <c r="KLH228" s="1"/>
      <c r="KLI228" s="1"/>
      <c r="KLJ228" s="1"/>
      <c r="KLK228" s="1"/>
      <c r="KLL228" s="1"/>
      <c r="KLM228" s="1"/>
      <c r="KLN228" s="1"/>
      <c r="KLO228" s="1"/>
      <c r="KLP228" s="1"/>
      <c r="KLQ228" s="1"/>
      <c r="KLR228" s="1"/>
      <c r="KLS228" s="1"/>
      <c r="KLT228" s="1"/>
      <c r="KLU228" s="1"/>
      <c r="KLV228" s="1"/>
      <c r="KLW228" s="1"/>
      <c r="KLX228" s="1"/>
      <c r="KLY228" s="1"/>
      <c r="KLZ228" s="1"/>
      <c r="KMA228" s="1"/>
      <c r="KMB228" s="1"/>
      <c r="KMC228" s="1"/>
      <c r="KMD228" s="1"/>
      <c r="KME228" s="1"/>
      <c r="KMF228" s="1"/>
      <c r="KMG228" s="1"/>
      <c r="KMH228" s="1"/>
      <c r="KMI228" s="1"/>
      <c r="KMJ228" s="1"/>
      <c r="KMK228" s="1"/>
      <c r="KML228" s="1"/>
      <c r="KMM228" s="1"/>
      <c r="KMN228" s="1"/>
      <c r="KMO228" s="1"/>
      <c r="KMP228" s="1"/>
      <c r="KMQ228" s="1"/>
      <c r="KMR228" s="1"/>
      <c r="KMS228" s="1"/>
      <c r="KMT228" s="1"/>
      <c r="KMU228" s="1"/>
      <c r="KMV228" s="1"/>
      <c r="KMW228" s="1"/>
      <c r="KMX228" s="1"/>
      <c r="KMY228" s="1"/>
      <c r="KMZ228" s="1"/>
      <c r="KNA228" s="1"/>
      <c r="KNB228" s="1"/>
      <c r="KNC228" s="1"/>
      <c r="KND228" s="1"/>
      <c r="KNE228" s="1"/>
      <c r="KNF228" s="1"/>
      <c r="KNG228" s="1"/>
      <c r="KNH228" s="1"/>
      <c r="KNI228" s="1"/>
      <c r="KNJ228" s="1"/>
      <c r="KNK228" s="1"/>
      <c r="KNL228" s="1"/>
      <c r="KNM228" s="1"/>
      <c r="KNN228" s="1"/>
      <c r="KNO228" s="1"/>
      <c r="KNP228" s="1"/>
      <c r="KNQ228" s="1"/>
      <c r="KNR228" s="1"/>
      <c r="KNS228" s="1"/>
      <c r="KNT228" s="1"/>
      <c r="KNU228" s="1"/>
      <c r="KNV228" s="1"/>
      <c r="KNW228" s="1"/>
      <c r="KNX228" s="1"/>
      <c r="KNY228" s="1"/>
      <c r="KNZ228" s="1"/>
      <c r="KOA228" s="1"/>
      <c r="KOB228" s="1"/>
      <c r="KOC228" s="1"/>
      <c r="KOD228" s="1"/>
      <c r="KOE228" s="1"/>
      <c r="KOF228" s="1"/>
      <c r="KOG228" s="1"/>
      <c r="KOH228" s="1"/>
      <c r="KOI228" s="1"/>
      <c r="KOJ228" s="1"/>
      <c r="KOK228" s="1"/>
      <c r="KOL228" s="1"/>
      <c r="KOM228" s="1"/>
      <c r="KON228" s="1"/>
      <c r="KOO228" s="1"/>
      <c r="KOP228" s="1"/>
      <c r="KOQ228" s="1"/>
      <c r="KOR228" s="1"/>
      <c r="KOS228" s="1"/>
      <c r="KOT228" s="1"/>
      <c r="KOU228" s="1"/>
      <c r="KOV228" s="1"/>
      <c r="KOW228" s="1"/>
      <c r="KOX228" s="1"/>
      <c r="KOY228" s="1"/>
      <c r="KOZ228" s="1"/>
      <c r="KPA228" s="1"/>
      <c r="KPB228" s="1"/>
      <c r="KPC228" s="1"/>
      <c r="KPD228" s="1"/>
      <c r="KPE228" s="1"/>
      <c r="KPF228" s="1"/>
      <c r="KPG228" s="1"/>
      <c r="KPH228" s="1"/>
      <c r="KPI228" s="1"/>
      <c r="KPJ228" s="1"/>
      <c r="KPK228" s="1"/>
      <c r="KPL228" s="1"/>
      <c r="KPM228" s="1"/>
      <c r="KPN228" s="1"/>
      <c r="KPO228" s="1"/>
      <c r="KPP228" s="1"/>
      <c r="KPQ228" s="1"/>
      <c r="KPR228" s="1"/>
      <c r="KPS228" s="1"/>
      <c r="KPT228" s="1"/>
      <c r="KPU228" s="1"/>
      <c r="KPV228" s="1"/>
      <c r="KPW228" s="1"/>
      <c r="KPX228" s="1"/>
      <c r="KPY228" s="1"/>
      <c r="KPZ228" s="1"/>
      <c r="KQA228" s="1"/>
      <c r="KQB228" s="1"/>
      <c r="KQC228" s="1"/>
      <c r="KQD228" s="1"/>
      <c r="KQE228" s="1"/>
      <c r="KQF228" s="1"/>
      <c r="KQG228" s="1"/>
      <c r="KQH228" s="1"/>
      <c r="KQI228" s="1"/>
      <c r="KQJ228" s="1"/>
      <c r="KQK228" s="1"/>
      <c r="KQL228" s="1"/>
      <c r="KQM228" s="1"/>
      <c r="KQN228" s="1"/>
      <c r="KQO228" s="1"/>
      <c r="KQP228" s="1"/>
      <c r="KQQ228" s="1"/>
      <c r="KQR228" s="1"/>
      <c r="KQS228" s="1"/>
      <c r="KQT228" s="1"/>
      <c r="KQU228" s="1"/>
      <c r="KQV228" s="1"/>
      <c r="KQW228" s="1"/>
      <c r="KQX228" s="1"/>
      <c r="KQY228" s="1"/>
      <c r="KQZ228" s="1"/>
      <c r="KRA228" s="1"/>
      <c r="KRB228" s="1"/>
      <c r="KRC228" s="1"/>
      <c r="KRD228" s="1"/>
      <c r="KRE228" s="1"/>
      <c r="KRF228" s="1"/>
      <c r="KRG228" s="1"/>
      <c r="KRH228" s="1"/>
      <c r="KRI228" s="1"/>
      <c r="KRJ228" s="1"/>
      <c r="KRK228" s="1"/>
      <c r="KRL228" s="1"/>
      <c r="KRM228" s="1"/>
      <c r="KRN228" s="1"/>
      <c r="KRO228" s="1"/>
      <c r="KRP228" s="1"/>
      <c r="KRQ228" s="1"/>
      <c r="KRR228" s="1"/>
      <c r="KRS228" s="1"/>
      <c r="KRT228" s="1"/>
      <c r="KRU228" s="1"/>
      <c r="KRV228" s="1"/>
      <c r="KRW228" s="1"/>
      <c r="KRX228" s="1"/>
      <c r="KRY228" s="1"/>
      <c r="KRZ228" s="1"/>
      <c r="KSA228" s="1"/>
      <c r="KSB228" s="1"/>
      <c r="KSC228" s="1"/>
      <c r="KSD228" s="1"/>
      <c r="KSE228" s="1"/>
      <c r="KSF228" s="1"/>
      <c r="KSG228" s="1"/>
      <c r="KSH228" s="1"/>
      <c r="KSI228" s="1"/>
      <c r="KSJ228" s="1"/>
      <c r="KSK228" s="1"/>
      <c r="KSL228" s="1"/>
      <c r="KSM228" s="1"/>
      <c r="KSN228" s="1"/>
      <c r="KSO228" s="1"/>
      <c r="KSP228" s="1"/>
      <c r="KSQ228" s="1"/>
      <c r="KSR228" s="1"/>
      <c r="KSS228" s="1"/>
      <c r="KST228" s="1"/>
      <c r="KSU228" s="1"/>
      <c r="KSV228" s="1"/>
      <c r="KSW228" s="1"/>
      <c r="KSX228" s="1"/>
      <c r="KSY228" s="1"/>
      <c r="KSZ228" s="1"/>
      <c r="KTA228" s="1"/>
      <c r="KTB228" s="1"/>
      <c r="KTC228" s="1"/>
      <c r="KTD228" s="1"/>
      <c r="KTE228" s="1"/>
      <c r="KTF228" s="1"/>
      <c r="KTG228" s="1"/>
      <c r="KTH228" s="1"/>
      <c r="KTI228" s="1"/>
      <c r="KTJ228" s="1"/>
      <c r="KTK228" s="1"/>
      <c r="KTL228" s="1"/>
      <c r="KTM228" s="1"/>
      <c r="KTN228" s="1"/>
      <c r="KTO228" s="1"/>
      <c r="KTP228" s="1"/>
      <c r="KTQ228" s="1"/>
      <c r="KTR228" s="1"/>
      <c r="KTS228" s="1"/>
      <c r="KTT228" s="1"/>
      <c r="KTU228" s="1"/>
      <c r="KTV228" s="1"/>
      <c r="KTW228" s="1"/>
      <c r="KTX228" s="1"/>
      <c r="KTY228" s="1"/>
      <c r="KTZ228" s="1"/>
      <c r="KUA228" s="1"/>
      <c r="KUB228" s="1"/>
      <c r="KUC228" s="1"/>
      <c r="KUD228" s="1"/>
      <c r="KUE228" s="1"/>
      <c r="KUF228" s="1"/>
      <c r="KUG228" s="1"/>
      <c r="KUH228" s="1"/>
      <c r="KUI228" s="1"/>
      <c r="KUJ228" s="1"/>
      <c r="KUK228" s="1"/>
      <c r="KUL228" s="1"/>
      <c r="KUM228" s="1"/>
      <c r="KUN228" s="1"/>
      <c r="KUO228" s="1"/>
      <c r="KUP228" s="1"/>
      <c r="KUQ228" s="1"/>
      <c r="KUR228" s="1"/>
      <c r="KUS228" s="1"/>
      <c r="KUT228" s="1"/>
      <c r="KUU228" s="1"/>
      <c r="KUV228" s="1"/>
      <c r="KUW228" s="1"/>
      <c r="KUX228" s="1"/>
      <c r="KUY228" s="1"/>
      <c r="KUZ228" s="1"/>
      <c r="KVA228" s="1"/>
      <c r="KVB228" s="1"/>
      <c r="KVC228" s="1"/>
      <c r="KVD228" s="1"/>
      <c r="KVE228" s="1"/>
      <c r="KVF228" s="1"/>
      <c r="KVG228" s="1"/>
      <c r="KVH228" s="1"/>
      <c r="KVI228" s="1"/>
      <c r="KVJ228" s="1"/>
      <c r="KVK228" s="1"/>
      <c r="KVL228" s="1"/>
      <c r="KVM228" s="1"/>
      <c r="KVN228" s="1"/>
      <c r="KVO228" s="1"/>
      <c r="KVP228" s="1"/>
      <c r="KVQ228" s="1"/>
      <c r="KVR228" s="1"/>
      <c r="KVS228" s="1"/>
      <c r="KVT228" s="1"/>
      <c r="KVU228" s="1"/>
      <c r="KVV228" s="1"/>
      <c r="KVW228" s="1"/>
      <c r="KVX228" s="1"/>
      <c r="KVY228" s="1"/>
      <c r="KVZ228" s="1"/>
      <c r="KWA228" s="1"/>
      <c r="KWB228" s="1"/>
      <c r="KWC228" s="1"/>
      <c r="KWD228" s="1"/>
      <c r="KWE228" s="1"/>
      <c r="KWF228" s="1"/>
      <c r="KWG228" s="1"/>
      <c r="KWH228" s="1"/>
      <c r="KWI228" s="1"/>
      <c r="KWJ228" s="1"/>
      <c r="KWK228" s="1"/>
      <c r="KWL228" s="1"/>
      <c r="KWM228" s="1"/>
      <c r="KWN228" s="1"/>
      <c r="KWO228" s="1"/>
      <c r="KWP228" s="1"/>
      <c r="KWQ228" s="1"/>
      <c r="KWR228" s="1"/>
      <c r="KWS228" s="1"/>
      <c r="KWT228" s="1"/>
      <c r="KWU228" s="1"/>
      <c r="KWV228" s="1"/>
      <c r="KWW228" s="1"/>
      <c r="KWX228" s="1"/>
      <c r="KWY228" s="1"/>
      <c r="KWZ228" s="1"/>
      <c r="KXA228" s="1"/>
      <c r="KXB228" s="1"/>
      <c r="KXC228" s="1"/>
      <c r="KXD228" s="1"/>
      <c r="KXE228" s="1"/>
      <c r="KXF228" s="1"/>
      <c r="KXG228" s="1"/>
      <c r="KXH228" s="1"/>
      <c r="KXI228" s="1"/>
      <c r="KXJ228" s="1"/>
      <c r="KXK228" s="1"/>
      <c r="KXL228" s="1"/>
      <c r="KXM228" s="1"/>
      <c r="KXN228" s="1"/>
      <c r="KXO228" s="1"/>
      <c r="KXP228" s="1"/>
      <c r="KXQ228" s="1"/>
      <c r="KXR228" s="1"/>
      <c r="KXS228" s="1"/>
      <c r="KXT228" s="1"/>
      <c r="KXU228" s="1"/>
      <c r="KXV228" s="1"/>
      <c r="KXW228" s="1"/>
      <c r="KXX228" s="1"/>
      <c r="KXY228" s="1"/>
      <c r="KXZ228" s="1"/>
      <c r="KYA228" s="1"/>
      <c r="KYB228" s="1"/>
      <c r="KYC228" s="1"/>
      <c r="KYD228" s="1"/>
      <c r="KYE228" s="1"/>
      <c r="KYF228" s="1"/>
      <c r="KYG228" s="1"/>
      <c r="KYH228" s="1"/>
      <c r="KYI228" s="1"/>
      <c r="KYJ228" s="1"/>
      <c r="KYK228" s="1"/>
      <c r="KYL228" s="1"/>
      <c r="KYM228" s="1"/>
      <c r="KYN228" s="1"/>
      <c r="KYO228" s="1"/>
      <c r="KYP228" s="1"/>
      <c r="KYQ228" s="1"/>
      <c r="KYR228" s="1"/>
      <c r="KYS228" s="1"/>
      <c r="KYT228" s="1"/>
      <c r="KYU228" s="1"/>
      <c r="KYV228" s="1"/>
      <c r="KYW228" s="1"/>
      <c r="KYX228" s="1"/>
      <c r="KYY228" s="1"/>
      <c r="KYZ228" s="1"/>
      <c r="KZA228" s="1"/>
      <c r="KZB228" s="1"/>
      <c r="KZC228" s="1"/>
      <c r="KZD228" s="1"/>
      <c r="KZE228" s="1"/>
      <c r="KZF228" s="1"/>
      <c r="KZG228" s="1"/>
      <c r="KZH228" s="1"/>
      <c r="KZI228" s="1"/>
      <c r="KZJ228" s="1"/>
      <c r="KZK228" s="1"/>
      <c r="KZL228" s="1"/>
      <c r="KZM228" s="1"/>
      <c r="KZN228" s="1"/>
      <c r="KZO228" s="1"/>
      <c r="KZP228" s="1"/>
      <c r="KZQ228" s="1"/>
      <c r="KZR228" s="1"/>
      <c r="KZS228" s="1"/>
      <c r="KZT228" s="1"/>
      <c r="KZU228" s="1"/>
      <c r="KZV228" s="1"/>
      <c r="KZW228" s="1"/>
      <c r="KZX228" s="1"/>
      <c r="KZY228" s="1"/>
      <c r="KZZ228" s="1"/>
      <c r="LAA228" s="1"/>
      <c r="LAB228" s="1"/>
      <c r="LAC228" s="1"/>
      <c r="LAD228" s="1"/>
      <c r="LAE228" s="1"/>
      <c r="LAF228" s="1"/>
      <c r="LAG228" s="1"/>
      <c r="LAH228" s="1"/>
      <c r="LAI228" s="1"/>
      <c r="LAJ228" s="1"/>
      <c r="LAK228" s="1"/>
      <c r="LAL228" s="1"/>
      <c r="LAM228" s="1"/>
      <c r="LAN228" s="1"/>
      <c r="LAO228" s="1"/>
      <c r="LAP228" s="1"/>
      <c r="LAQ228" s="1"/>
      <c r="LAR228" s="1"/>
      <c r="LAS228" s="1"/>
      <c r="LAT228" s="1"/>
      <c r="LAU228" s="1"/>
      <c r="LAV228" s="1"/>
      <c r="LAW228" s="1"/>
      <c r="LAX228" s="1"/>
      <c r="LAY228" s="1"/>
      <c r="LAZ228" s="1"/>
      <c r="LBA228" s="1"/>
      <c r="LBB228" s="1"/>
      <c r="LBC228" s="1"/>
      <c r="LBD228" s="1"/>
      <c r="LBE228" s="1"/>
      <c r="LBF228" s="1"/>
      <c r="LBG228" s="1"/>
      <c r="LBH228" s="1"/>
      <c r="LBI228" s="1"/>
      <c r="LBJ228" s="1"/>
      <c r="LBK228" s="1"/>
      <c r="LBL228" s="1"/>
      <c r="LBM228" s="1"/>
      <c r="LBN228" s="1"/>
      <c r="LBO228" s="1"/>
      <c r="LBP228" s="1"/>
      <c r="LBQ228" s="1"/>
      <c r="LBR228" s="1"/>
      <c r="LBS228" s="1"/>
      <c r="LBT228" s="1"/>
      <c r="LBU228" s="1"/>
      <c r="LBV228" s="1"/>
      <c r="LBW228" s="1"/>
      <c r="LBX228" s="1"/>
      <c r="LBY228" s="1"/>
      <c r="LBZ228" s="1"/>
      <c r="LCA228" s="1"/>
      <c r="LCB228" s="1"/>
      <c r="LCC228" s="1"/>
      <c r="LCD228" s="1"/>
      <c r="LCE228" s="1"/>
      <c r="LCF228" s="1"/>
      <c r="LCG228" s="1"/>
      <c r="LCH228" s="1"/>
      <c r="LCI228" s="1"/>
      <c r="LCJ228" s="1"/>
      <c r="LCK228" s="1"/>
      <c r="LCL228" s="1"/>
      <c r="LCM228" s="1"/>
      <c r="LCN228" s="1"/>
      <c r="LCO228" s="1"/>
      <c r="LCP228" s="1"/>
      <c r="LCQ228" s="1"/>
      <c r="LCR228" s="1"/>
      <c r="LCS228" s="1"/>
      <c r="LCT228" s="1"/>
      <c r="LCU228" s="1"/>
      <c r="LCV228" s="1"/>
      <c r="LCW228" s="1"/>
      <c r="LCX228" s="1"/>
      <c r="LCY228" s="1"/>
      <c r="LCZ228" s="1"/>
      <c r="LDA228" s="1"/>
      <c r="LDB228" s="1"/>
      <c r="LDC228" s="1"/>
      <c r="LDD228" s="1"/>
      <c r="LDE228" s="1"/>
      <c r="LDF228" s="1"/>
      <c r="LDG228" s="1"/>
      <c r="LDH228" s="1"/>
      <c r="LDI228" s="1"/>
      <c r="LDJ228" s="1"/>
      <c r="LDK228" s="1"/>
      <c r="LDL228" s="1"/>
      <c r="LDM228" s="1"/>
      <c r="LDN228" s="1"/>
      <c r="LDO228" s="1"/>
      <c r="LDP228" s="1"/>
      <c r="LDQ228" s="1"/>
      <c r="LDR228" s="1"/>
      <c r="LDS228" s="1"/>
      <c r="LDT228" s="1"/>
      <c r="LDU228" s="1"/>
      <c r="LDV228" s="1"/>
      <c r="LDW228" s="1"/>
      <c r="LDX228" s="1"/>
      <c r="LDY228" s="1"/>
      <c r="LDZ228" s="1"/>
      <c r="LEA228" s="1"/>
      <c r="LEB228" s="1"/>
      <c r="LEC228" s="1"/>
      <c r="LED228" s="1"/>
      <c r="LEE228" s="1"/>
      <c r="LEF228" s="1"/>
      <c r="LEG228" s="1"/>
      <c r="LEH228" s="1"/>
      <c r="LEI228" s="1"/>
      <c r="LEJ228" s="1"/>
      <c r="LEK228" s="1"/>
      <c r="LEL228" s="1"/>
      <c r="LEM228" s="1"/>
      <c r="LEN228" s="1"/>
      <c r="LEO228" s="1"/>
      <c r="LEP228" s="1"/>
      <c r="LEQ228" s="1"/>
      <c r="LER228" s="1"/>
      <c r="LES228" s="1"/>
      <c r="LET228" s="1"/>
      <c r="LEU228" s="1"/>
      <c r="LEV228" s="1"/>
      <c r="LEW228" s="1"/>
      <c r="LEX228" s="1"/>
      <c r="LEY228" s="1"/>
      <c r="LEZ228" s="1"/>
      <c r="LFA228" s="1"/>
      <c r="LFB228" s="1"/>
      <c r="LFC228" s="1"/>
      <c r="LFD228" s="1"/>
      <c r="LFE228" s="1"/>
      <c r="LFF228" s="1"/>
      <c r="LFG228" s="1"/>
      <c r="LFH228" s="1"/>
      <c r="LFI228" s="1"/>
      <c r="LFJ228" s="1"/>
      <c r="LFK228" s="1"/>
      <c r="LFL228" s="1"/>
      <c r="LFM228" s="1"/>
      <c r="LFN228" s="1"/>
      <c r="LFO228" s="1"/>
      <c r="LFP228" s="1"/>
      <c r="LFQ228" s="1"/>
      <c r="LFR228" s="1"/>
      <c r="LFS228" s="1"/>
      <c r="LFT228" s="1"/>
      <c r="LFU228" s="1"/>
      <c r="LFV228" s="1"/>
      <c r="LFW228" s="1"/>
      <c r="LFX228" s="1"/>
      <c r="LFY228" s="1"/>
      <c r="LFZ228" s="1"/>
      <c r="LGA228" s="1"/>
      <c r="LGB228" s="1"/>
      <c r="LGC228" s="1"/>
      <c r="LGD228" s="1"/>
      <c r="LGE228" s="1"/>
      <c r="LGF228" s="1"/>
      <c r="LGG228" s="1"/>
      <c r="LGH228" s="1"/>
      <c r="LGI228" s="1"/>
      <c r="LGJ228" s="1"/>
      <c r="LGK228" s="1"/>
      <c r="LGL228" s="1"/>
      <c r="LGM228" s="1"/>
      <c r="LGN228" s="1"/>
      <c r="LGO228" s="1"/>
      <c r="LGP228" s="1"/>
      <c r="LGQ228" s="1"/>
      <c r="LGR228" s="1"/>
      <c r="LGS228" s="1"/>
      <c r="LGT228" s="1"/>
      <c r="LGU228" s="1"/>
      <c r="LGV228" s="1"/>
      <c r="LGW228" s="1"/>
      <c r="LGX228" s="1"/>
      <c r="LGY228" s="1"/>
      <c r="LGZ228" s="1"/>
      <c r="LHA228" s="1"/>
      <c r="LHB228" s="1"/>
      <c r="LHC228" s="1"/>
      <c r="LHD228" s="1"/>
      <c r="LHE228" s="1"/>
      <c r="LHF228" s="1"/>
      <c r="LHG228" s="1"/>
      <c r="LHH228" s="1"/>
      <c r="LHI228" s="1"/>
      <c r="LHJ228" s="1"/>
      <c r="LHK228" s="1"/>
      <c r="LHL228" s="1"/>
      <c r="LHM228" s="1"/>
      <c r="LHN228" s="1"/>
      <c r="LHO228" s="1"/>
      <c r="LHP228" s="1"/>
      <c r="LHQ228" s="1"/>
      <c r="LHR228" s="1"/>
      <c r="LHS228" s="1"/>
      <c r="LHT228" s="1"/>
      <c r="LHU228" s="1"/>
      <c r="LHV228" s="1"/>
      <c r="LHW228" s="1"/>
      <c r="LHX228" s="1"/>
      <c r="LHY228" s="1"/>
      <c r="LHZ228" s="1"/>
      <c r="LIA228" s="1"/>
      <c r="LIB228" s="1"/>
      <c r="LIC228" s="1"/>
      <c r="LID228" s="1"/>
      <c r="LIE228" s="1"/>
      <c r="LIF228" s="1"/>
      <c r="LIG228" s="1"/>
      <c r="LIH228" s="1"/>
      <c r="LII228" s="1"/>
      <c r="LIJ228" s="1"/>
      <c r="LIK228" s="1"/>
      <c r="LIL228" s="1"/>
      <c r="LIM228" s="1"/>
      <c r="LIN228" s="1"/>
      <c r="LIO228" s="1"/>
      <c r="LIP228" s="1"/>
      <c r="LIQ228" s="1"/>
      <c r="LIR228" s="1"/>
      <c r="LIS228" s="1"/>
      <c r="LIT228" s="1"/>
      <c r="LIU228" s="1"/>
      <c r="LIV228" s="1"/>
      <c r="LIW228" s="1"/>
      <c r="LIX228" s="1"/>
      <c r="LIY228" s="1"/>
      <c r="LIZ228" s="1"/>
      <c r="LJA228" s="1"/>
      <c r="LJB228" s="1"/>
      <c r="LJC228" s="1"/>
      <c r="LJD228" s="1"/>
      <c r="LJE228" s="1"/>
      <c r="LJF228" s="1"/>
      <c r="LJG228" s="1"/>
      <c r="LJH228" s="1"/>
      <c r="LJI228" s="1"/>
      <c r="LJJ228" s="1"/>
      <c r="LJK228" s="1"/>
      <c r="LJL228" s="1"/>
      <c r="LJM228" s="1"/>
      <c r="LJN228" s="1"/>
      <c r="LJO228" s="1"/>
      <c r="LJP228" s="1"/>
      <c r="LJQ228" s="1"/>
      <c r="LJR228" s="1"/>
      <c r="LJS228" s="1"/>
      <c r="LJT228" s="1"/>
      <c r="LJU228" s="1"/>
      <c r="LJV228" s="1"/>
      <c r="LJW228" s="1"/>
      <c r="LJX228" s="1"/>
      <c r="LJY228" s="1"/>
      <c r="LJZ228" s="1"/>
      <c r="LKA228" s="1"/>
      <c r="LKB228" s="1"/>
      <c r="LKC228" s="1"/>
      <c r="LKD228" s="1"/>
      <c r="LKE228" s="1"/>
      <c r="LKF228" s="1"/>
      <c r="LKG228" s="1"/>
      <c r="LKH228" s="1"/>
      <c r="LKI228" s="1"/>
      <c r="LKJ228" s="1"/>
      <c r="LKK228" s="1"/>
      <c r="LKL228" s="1"/>
      <c r="LKM228" s="1"/>
      <c r="LKN228" s="1"/>
      <c r="LKO228" s="1"/>
      <c r="LKP228" s="1"/>
      <c r="LKQ228" s="1"/>
      <c r="LKR228" s="1"/>
      <c r="LKS228" s="1"/>
      <c r="LKT228" s="1"/>
      <c r="LKU228" s="1"/>
      <c r="LKV228" s="1"/>
      <c r="LKW228" s="1"/>
      <c r="LKX228" s="1"/>
      <c r="LKY228" s="1"/>
      <c r="LKZ228" s="1"/>
      <c r="LLA228" s="1"/>
      <c r="LLB228" s="1"/>
      <c r="LLC228" s="1"/>
      <c r="LLD228" s="1"/>
      <c r="LLE228" s="1"/>
      <c r="LLF228" s="1"/>
      <c r="LLG228" s="1"/>
      <c r="LLH228" s="1"/>
      <c r="LLI228" s="1"/>
      <c r="LLJ228" s="1"/>
      <c r="LLK228" s="1"/>
      <c r="LLL228" s="1"/>
      <c r="LLM228" s="1"/>
      <c r="LLN228" s="1"/>
      <c r="LLO228" s="1"/>
      <c r="LLP228" s="1"/>
      <c r="LLQ228" s="1"/>
      <c r="LLR228" s="1"/>
      <c r="LLS228" s="1"/>
      <c r="LLT228" s="1"/>
      <c r="LLU228" s="1"/>
      <c r="LLV228" s="1"/>
      <c r="LLW228" s="1"/>
      <c r="LLX228" s="1"/>
      <c r="LLY228" s="1"/>
      <c r="LLZ228" s="1"/>
      <c r="LMA228" s="1"/>
      <c r="LMB228" s="1"/>
      <c r="LMC228" s="1"/>
      <c r="LMD228" s="1"/>
      <c r="LME228" s="1"/>
      <c r="LMF228" s="1"/>
      <c r="LMG228" s="1"/>
      <c r="LMH228" s="1"/>
      <c r="LMI228" s="1"/>
      <c r="LMJ228" s="1"/>
      <c r="LMK228" s="1"/>
      <c r="LML228" s="1"/>
      <c r="LMM228" s="1"/>
      <c r="LMN228" s="1"/>
      <c r="LMO228" s="1"/>
      <c r="LMP228" s="1"/>
      <c r="LMQ228" s="1"/>
      <c r="LMR228" s="1"/>
      <c r="LMS228" s="1"/>
      <c r="LMT228" s="1"/>
      <c r="LMU228" s="1"/>
      <c r="LMV228" s="1"/>
      <c r="LMW228" s="1"/>
      <c r="LMX228" s="1"/>
      <c r="LMY228" s="1"/>
      <c r="LMZ228" s="1"/>
      <c r="LNA228" s="1"/>
      <c r="LNB228" s="1"/>
      <c r="LNC228" s="1"/>
      <c r="LND228" s="1"/>
      <c r="LNE228" s="1"/>
      <c r="LNF228" s="1"/>
      <c r="LNG228" s="1"/>
      <c r="LNH228" s="1"/>
      <c r="LNI228" s="1"/>
      <c r="LNJ228" s="1"/>
      <c r="LNK228" s="1"/>
      <c r="LNL228" s="1"/>
      <c r="LNM228" s="1"/>
      <c r="LNN228" s="1"/>
      <c r="LNO228" s="1"/>
      <c r="LNP228" s="1"/>
      <c r="LNQ228" s="1"/>
      <c r="LNR228" s="1"/>
      <c r="LNS228" s="1"/>
      <c r="LNT228" s="1"/>
      <c r="LNU228" s="1"/>
      <c r="LNV228" s="1"/>
      <c r="LNW228" s="1"/>
      <c r="LNX228" s="1"/>
      <c r="LNY228" s="1"/>
      <c r="LNZ228" s="1"/>
      <c r="LOA228" s="1"/>
      <c r="LOB228" s="1"/>
      <c r="LOC228" s="1"/>
      <c r="LOD228" s="1"/>
      <c r="LOE228" s="1"/>
      <c r="LOF228" s="1"/>
      <c r="LOG228" s="1"/>
      <c r="LOH228" s="1"/>
      <c r="LOI228" s="1"/>
      <c r="LOJ228" s="1"/>
      <c r="LOK228" s="1"/>
      <c r="LOL228" s="1"/>
      <c r="LOM228" s="1"/>
      <c r="LON228" s="1"/>
      <c r="LOO228" s="1"/>
      <c r="LOP228" s="1"/>
      <c r="LOQ228" s="1"/>
      <c r="LOR228" s="1"/>
      <c r="LOS228" s="1"/>
      <c r="LOT228" s="1"/>
      <c r="LOU228" s="1"/>
      <c r="LOV228" s="1"/>
      <c r="LOW228" s="1"/>
      <c r="LOX228" s="1"/>
      <c r="LOY228" s="1"/>
      <c r="LOZ228" s="1"/>
      <c r="LPA228" s="1"/>
      <c r="LPB228" s="1"/>
      <c r="LPC228" s="1"/>
      <c r="LPD228" s="1"/>
      <c r="LPE228" s="1"/>
      <c r="LPF228" s="1"/>
      <c r="LPG228" s="1"/>
      <c r="LPH228" s="1"/>
      <c r="LPI228" s="1"/>
      <c r="LPJ228" s="1"/>
      <c r="LPK228" s="1"/>
      <c r="LPL228" s="1"/>
      <c r="LPM228" s="1"/>
      <c r="LPN228" s="1"/>
      <c r="LPO228" s="1"/>
      <c r="LPP228" s="1"/>
      <c r="LPQ228" s="1"/>
      <c r="LPR228" s="1"/>
      <c r="LPS228" s="1"/>
      <c r="LPT228" s="1"/>
      <c r="LPU228" s="1"/>
      <c r="LPV228" s="1"/>
      <c r="LPW228" s="1"/>
      <c r="LPX228" s="1"/>
      <c r="LPY228" s="1"/>
      <c r="LPZ228" s="1"/>
      <c r="LQA228" s="1"/>
      <c r="LQB228" s="1"/>
      <c r="LQC228" s="1"/>
      <c r="LQD228" s="1"/>
      <c r="LQE228" s="1"/>
      <c r="LQF228" s="1"/>
      <c r="LQG228" s="1"/>
      <c r="LQH228" s="1"/>
      <c r="LQI228" s="1"/>
      <c r="LQJ228" s="1"/>
      <c r="LQK228" s="1"/>
      <c r="LQL228" s="1"/>
      <c r="LQM228" s="1"/>
      <c r="LQN228" s="1"/>
      <c r="LQO228" s="1"/>
      <c r="LQP228" s="1"/>
      <c r="LQQ228" s="1"/>
      <c r="LQR228" s="1"/>
      <c r="LQS228" s="1"/>
      <c r="LQT228" s="1"/>
      <c r="LQU228" s="1"/>
      <c r="LQV228" s="1"/>
      <c r="LQW228" s="1"/>
      <c r="LQX228" s="1"/>
      <c r="LQY228" s="1"/>
      <c r="LQZ228" s="1"/>
      <c r="LRA228" s="1"/>
      <c r="LRB228" s="1"/>
      <c r="LRC228" s="1"/>
      <c r="LRD228" s="1"/>
      <c r="LRE228" s="1"/>
      <c r="LRF228" s="1"/>
      <c r="LRG228" s="1"/>
      <c r="LRH228" s="1"/>
      <c r="LRI228" s="1"/>
      <c r="LRJ228" s="1"/>
      <c r="LRK228" s="1"/>
      <c r="LRL228" s="1"/>
      <c r="LRM228" s="1"/>
      <c r="LRN228" s="1"/>
      <c r="LRO228" s="1"/>
      <c r="LRP228" s="1"/>
      <c r="LRQ228" s="1"/>
      <c r="LRR228" s="1"/>
      <c r="LRS228" s="1"/>
      <c r="LRT228" s="1"/>
      <c r="LRU228" s="1"/>
      <c r="LRV228" s="1"/>
      <c r="LRW228" s="1"/>
      <c r="LRX228" s="1"/>
      <c r="LRY228" s="1"/>
      <c r="LRZ228" s="1"/>
      <c r="LSA228" s="1"/>
      <c r="LSB228" s="1"/>
      <c r="LSC228" s="1"/>
      <c r="LSD228" s="1"/>
      <c r="LSE228" s="1"/>
      <c r="LSF228" s="1"/>
      <c r="LSG228" s="1"/>
      <c r="LSH228" s="1"/>
      <c r="LSI228" s="1"/>
      <c r="LSJ228" s="1"/>
      <c r="LSK228" s="1"/>
      <c r="LSL228" s="1"/>
      <c r="LSM228" s="1"/>
      <c r="LSN228" s="1"/>
      <c r="LSO228" s="1"/>
      <c r="LSP228" s="1"/>
      <c r="LSQ228" s="1"/>
      <c r="LSR228" s="1"/>
      <c r="LSS228" s="1"/>
      <c r="LST228" s="1"/>
      <c r="LSU228" s="1"/>
      <c r="LSV228" s="1"/>
      <c r="LSW228" s="1"/>
      <c r="LSX228" s="1"/>
      <c r="LSY228" s="1"/>
      <c r="LSZ228" s="1"/>
      <c r="LTA228" s="1"/>
      <c r="LTB228" s="1"/>
      <c r="LTC228" s="1"/>
      <c r="LTD228" s="1"/>
      <c r="LTE228" s="1"/>
      <c r="LTF228" s="1"/>
      <c r="LTG228" s="1"/>
      <c r="LTH228" s="1"/>
      <c r="LTI228" s="1"/>
      <c r="LTJ228" s="1"/>
      <c r="LTK228" s="1"/>
      <c r="LTL228" s="1"/>
      <c r="LTM228" s="1"/>
      <c r="LTN228" s="1"/>
      <c r="LTO228" s="1"/>
      <c r="LTP228" s="1"/>
      <c r="LTQ228" s="1"/>
      <c r="LTR228" s="1"/>
      <c r="LTS228" s="1"/>
      <c r="LTT228" s="1"/>
      <c r="LTU228" s="1"/>
      <c r="LTV228" s="1"/>
      <c r="LTW228" s="1"/>
      <c r="LTX228" s="1"/>
      <c r="LTY228" s="1"/>
      <c r="LTZ228" s="1"/>
      <c r="LUA228" s="1"/>
      <c r="LUB228" s="1"/>
      <c r="LUC228" s="1"/>
      <c r="LUD228" s="1"/>
      <c r="LUE228" s="1"/>
      <c r="LUF228" s="1"/>
      <c r="LUG228" s="1"/>
      <c r="LUH228" s="1"/>
      <c r="LUI228" s="1"/>
      <c r="LUJ228" s="1"/>
      <c r="LUK228" s="1"/>
      <c r="LUL228" s="1"/>
      <c r="LUM228" s="1"/>
      <c r="LUN228" s="1"/>
      <c r="LUO228" s="1"/>
      <c r="LUP228" s="1"/>
      <c r="LUQ228" s="1"/>
      <c r="LUR228" s="1"/>
      <c r="LUS228" s="1"/>
      <c r="LUT228" s="1"/>
      <c r="LUU228" s="1"/>
      <c r="LUV228" s="1"/>
      <c r="LUW228" s="1"/>
      <c r="LUX228" s="1"/>
      <c r="LUY228" s="1"/>
      <c r="LUZ228" s="1"/>
      <c r="LVA228" s="1"/>
      <c r="LVB228" s="1"/>
      <c r="LVC228" s="1"/>
      <c r="LVD228" s="1"/>
      <c r="LVE228" s="1"/>
      <c r="LVF228" s="1"/>
      <c r="LVG228" s="1"/>
      <c r="LVH228" s="1"/>
      <c r="LVI228" s="1"/>
      <c r="LVJ228" s="1"/>
      <c r="LVK228" s="1"/>
      <c r="LVL228" s="1"/>
      <c r="LVM228" s="1"/>
      <c r="LVN228" s="1"/>
      <c r="LVO228" s="1"/>
      <c r="LVP228" s="1"/>
      <c r="LVQ228" s="1"/>
      <c r="LVR228" s="1"/>
      <c r="LVS228" s="1"/>
      <c r="LVT228" s="1"/>
      <c r="LVU228" s="1"/>
      <c r="LVV228" s="1"/>
      <c r="LVW228" s="1"/>
      <c r="LVX228" s="1"/>
      <c r="LVY228" s="1"/>
      <c r="LVZ228" s="1"/>
      <c r="LWA228" s="1"/>
      <c r="LWB228" s="1"/>
      <c r="LWC228" s="1"/>
      <c r="LWD228" s="1"/>
      <c r="LWE228" s="1"/>
      <c r="LWF228" s="1"/>
      <c r="LWG228" s="1"/>
      <c r="LWH228" s="1"/>
      <c r="LWI228" s="1"/>
      <c r="LWJ228" s="1"/>
      <c r="LWK228" s="1"/>
      <c r="LWL228" s="1"/>
      <c r="LWM228" s="1"/>
      <c r="LWN228" s="1"/>
      <c r="LWO228" s="1"/>
      <c r="LWP228" s="1"/>
      <c r="LWQ228" s="1"/>
      <c r="LWR228" s="1"/>
      <c r="LWS228" s="1"/>
      <c r="LWT228" s="1"/>
      <c r="LWU228" s="1"/>
      <c r="LWV228" s="1"/>
      <c r="LWW228" s="1"/>
      <c r="LWX228" s="1"/>
      <c r="LWY228" s="1"/>
      <c r="LWZ228" s="1"/>
      <c r="LXA228" s="1"/>
      <c r="LXB228" s="1"/>
      <c r="LXC228" s="1"/>
      <c r="LXD228" s="1"/>
      <c r="LXE228" s="1"/>
      <c r="LXF228" s="1"/>
      <c r="LXG228" s="1"/>
      <c r="LXH228" s="1"/>
      <c r="LXI228" s="1"/>
      <c r="LXJ228" s="1"/>
      <c r="LXK228" s="1"/>
      <c r="LXL228" s="1"/>
      <c r="LXM228" s="1"/>
      <c r="LXN228" s="1"/>
      <c r="LXO228" s="1"/>
      <c r="LXP228" s="1"/>
      <c r="LXQ228" s="1"/>
      <c r="LXR228" s="1"/>
      <c r="LXS228" s="1"/>
      <c r="LXT228" s="1"/>
      <c r="LXU228" s="1"/>
      <c r="LXV228" s="1"/>
      <c r="LXW228" s="1"/>
      <c r="LXX228" s="1"/>
      <c r="LXY228" s="1"/>
      <c r="LXZ228" s="1"/>
      <c r="LYA228" s="1"/>
      <c r="LYB228" s="1"/>
      <c r="LYC228" s="1"/>
      <c r="LYD228" s="1"/>
      <c r="LYE228" s="1"/>
      <c r="LYF228" s="1"/>
      <c r="LYG228" s="1"/>
      <c r="LYH228" s="1"/>
      <c r="LYI228" s="1"/>
      <c r="LYJ228" s="1"/>
      <c r="LYK228" s="1"/>
      <c r="LYL228" s="1"/>
      <c r="LYM228" s="1"/>
      <c r="LYN228" s="1"/>
      <c r="LYO228" s="1"/>
      <c r="LYP228" s="1"/>
      <c r="LYQ228" s="1"/>
      <c r="LYR228" s="1"/>
      <c r="LYS228" s="1"/>
      <c r="LYT228" s="1"/>
      <c r="LYU228" s="1"/>
      <c r="LYV228" s="1"/>
      <c r="LYW228" s="1"/>
      <c r="LYX228" s="1"/>
      <c r="LYY228" s="1"/>
      <c r="LYZ228" s="1"/>
      <c r="LZA228" s="1"/>
      <c r="LZB228" s="1"/>
      <c r="LZC228" s="1"/>
      <c r="LZD228" s="1"/>
      <c r="LZE228" s="1"/>
      <c r="LZF228" s="1"/>
      <c r="LZG228" s="1"/>
      <c r="LZH228" s="1"/>
      <c r="LZI228" s="1"/>
      <c r="LZJ228" s="1"/>
      <c r="LZK228" s="1"/>
      <c r="LZL228" s="1"/>
      <c r="LZM228" s="1"/>
      <c r="LZN228" s="1"/>
      <c r="LZO228" s="1"/>
      <c r="LZP228" s="1"/>
      <c r="LZQ228" s="1"/>
      <c r="LZR228" s="1"/>
      <c r="LZS228" s="1"/>
      <c r="LZT228" s="1"/>
      <c r="LZU228" s="1"/>
      <c r="LZV228" s="1"/>
      <c r="LZW228" s="1"/>
      <c r="LZX228" s="1"/>
      <c r="LZY228" s="1"/>
      <c r="LZZ228" s="1"/>
      <c r="MAA228" s="1"/>
      <c r="MAB228" s="1"/>
      <c r="MAC228" s="1"/>
      <c r="MAD228" s="1"/>
      <c r="MAE228" s="1"/>
      <c r="MAF228" s="1"/>
      <c r="MAG228" s="1"/>
      <c r="MAH228" s="1"/>
      <c r="MAI228" s="1"/>
      <c r="MAJ228" s="1"/>
      <c r="MAK228" s="1"/>
      <c r="MAL228" s="1"/>
      <c r="MAM228" s="1"/>
      <c r="MAN228" s="1"/>
      <c r="MAO228" s="1"/>
      <c r="MAP228" s="1"/>
      <c r="MAQ228" s="1"/>
      <c r="MAR228" s="1"/>
      <c r="MAS228" s="1"/>
      <c r="MAT228" s="1"/>
      <c r="MAU228" s="1"/>
      <c r="MAV228" s="1"/>
      <c r="MAW228" s="1"/>
      <c r="MAX228" s="1"/>
      <c r="MAY228" s="1"/>
      <c r="MAZ228" s="1"/>
      <c r="MBA228" s="1"/>
      <c r="MBB228" s="1"/>
      <c r="MBC228" s="1"/>
      <c r="MBD228" s="1"/>
      <c r="MBE228" s="1"/>
      <c r="MBF228" s="1"/>
      <c r="MBG228" s="1"/>
      <c r="MBH228" s="1"/>
      <c r="MBI228" s="1"/>
      <c r="MBJ228" s="1"/>
      <c r="MBK228" s="1"/>
      <c r="MBL228" s="1"/>
      <c r="MBM228" s="1"/>
      <c r="MBN228" s="1"/>
      <c r="MBO228" s="1"/>
      <c r="MBP228" s="1"/>
      <c r="MBQ228" s="1"/>
      <c r="MBR228" s="1"/>
      <c r="MBS228" s="1"/>
      <c r="MBT228" s="1"/>
      <c r="MBU228" s="1"/>
      <c r="MBV228" s="1"/>
      <c r="MBW228" s="1"/>
      <c r="MBX228" s="1"/>
      <c r="MBY228" s="1"/>
      <c r="MBZ228" s="1"/>
      <c r="MCA228" s="1"/>
      <c r="MCB228" s="1"/>
      <c r="MCC228" s="1"/>
      <c r="MCD228" s="1"/>
      <c r="MCE228" s="1"/>
      <c r="MCF228" s="1"/>
      <c r="MCG228" s="1"/>
      <c r="MCH228" s="1"/>
      <c r="MCI228" s="1"/>
      <c r="MCJ228" s="1"/>
      <c r="MCK228" s="1"/>
      <c r="MCL228" s="1"/>
      <c r="MCM228" s="1"/>
      <c r="MCN228" s="1"/>
      <c r="MCO228" s="1"/>
      <c r="MCP228" s="1"/>
      <c r="MCQ228" s="1"/>
      <c r="MCR228" s="1"/>
      <c r="MCS228" s="1"/>
      <c r="MCT228" s="1"/>
      <c r="MCU228" s="1"/>
      <c r="MCV228" s="1"/>
      <c r="MCW228" s="1"/>
      <c r="MCX228" s="1"/>
      <c r="MCY228" s="1"/>
      <c r="MCZ228" s="1"/>
      <c r="MDA228" s="1"/>
      <c r="MDB228" s="1"/>
      <c r="MDC228" s="1"/>
      <c r="MDD228" s="1"/>
      <c r="MDE228" s="1"/>
      <c r="MDF228" s="1"/>
      <c r="MDG228" s="1"/>
      <c r="MDH228" s="1"/>
      <c r="MDI228" s="1"/>
      <c r="MDJ228" s="1"/>
      <c r="MDK228" s="1"/>
      <c r="MDL228" s="1"/>
      <c r="MDM228" s="1"/>
      <c r="MDN228" s="1"/>
      <c r="MDO228" s="1"/>
      <c r="MDP228" s="1"/>
      <c r="MDQ228" s="1"/>
      <c r="MDR228" s="1"/>
      <c r="MDS228" s="1"/>
      <c r="MDT228" s="1"/>
      <c r="MDU228" s="1"/>
      <c r="MDV228" s="1"/>
      <c r="MDW228" s="1"/>
      <c r="MDX228" s="1"/>
      <c r="MDY228" s="1"/>
      <c r="MDZ228" s="1"/>
      <c r="MEA228" s="1"/>
      <c r="MEB228" s="1"/>
      <c r="MEC228" s="1"/>
      <c r="MED228" s="1"/>
      <c r="MEE228" s="1"/>
      <c r="MEF228" s="1"/>
      <c r="MEG228" s="1"/>
      <c r="MEH228" s="1"/>
      <c r="MEI228" s="1"/>
      <c r="MEJ228" s="1"/>
      <c r="MEK228" s="1"/>
      <c r="MEL228" s="1"/>
      <c r="MEM228" s="1"/>
      <c r="MEN228" s="1"/>
      <c r="MEO228" s="1"/>
      <c r="MEP228" s="1"/>
      <c r="MEQ228" s="1"/>
      <c r="MER228" s="1"/>
      <c r="MES228" s="1"/>
      <c r="MET228" s="1"/>
      <c r="MEU228" s="1"/>
      <c r="MEV228" s="1"/>
      <c r="MEW228" s="1"/>
      <c r="MEX228" s="1"/>
      <c r="MEY228" s="1"/>
      <c r="MEZ228" s="1"/>
      <c r="MFA228" s="1"/>
      <c r="MFB228" s="1"/>
      <c r="MFC228" s="1"/>
      <c r="MFD228" s="1"/>
      <c r="MFE228" s="1"/>
      <c r="MFF228" s="1"/>
      <c r="MFG228" s="1"/>
      <c r="MFH228" s="1"/>
      <c r="MFI228" s="1"/>
      <c r="MFJ228" s="1"/>
      <c r="MFK228" s="1"/>
      <c r="MFL228" s="1"/>
      <c r="MFM228" s="1"/>
      <c r="MFN228" s="1"/>
      <c r="MFO228" s="1"/>
      <c r="MFP228" s="1"/>
      <c r="MFQ228" s="1"/>
      <c r="MFR228" s="1"/>
      <c r="MFS228" s="1"/>
      <c r="MFT228" s="1"/>
      <c r="MFU228" s="1"/>
      <c r="MFV228" s="1"/>
      <c r="MFW228" s="1"/>
      <c r="MFX228" s="1"/>
      <c r="MFY228" s="1"/>
      <c r="MFZ228" s="1"/>
      <c r="MGA228" s="1"/>
      <c r="MGB228" s="1"/>
      <c r="MGC228" s="1"/>
      <c r="MGD228" s="1"/>
      <c r="MGE228" s="1"/>
      <c r="MGF228" s="1"/>
      <c r="MGG228" s="1"/>
      <c r="MGH228" s="1"/>
      <c r="MGI228" s="1"/>
      <c r="MGJ228" s="1"/>
      <c r="MGK228" s="1"/>
      <c r="MGL228" s="1"/>
      <c r="MGM228" s="1"/>
      <c r="MGN228" s="1"/>
      <c r="MGO228" s="1"/>
      <c r="MGP228" s="1"/>
      <c r="MGQ228" s="1"/>
      <c r="MGR228" s="1"/>
      <c r="MGS228" s="1"/>
      <c r="MGT228" s="1"/>
      <c r="MGU228" s="1"/>
      <c r="MGV228" s="1"/>
      <c r="MGW228" s="1"/>
      <c r="MGX228" s="1"/>
      <c r="MGY228" s="1"/>
      <c r="MGZ228" s="1"/>
      <c r="MHA228" s="1"/>
      <c r="MHB228" s="1"/>
      <c r="MHC228" s="1"/>
      <c r="MHD228" s="1"/>
      <c r="MHE228" s="1"/>
      <c r="MHF228" s="1"/>
      <c r="MHG228" s="1"/>
      <c r="MHH228" s="1"/>
      <c r="MHI228" s="1"/>
      <c r="MHJ228" s="1"/>
      <c r="MHK228" s="1"/>
      <c r="MHL228" s="1"/>
      <c r="MHM228" s="1"/>
      <c r="MHN228" s="1"/>
      <c r="MHO228" s="1"/>
      <c r="MHP228" s="1"/>
      <c r="MHQ228" s="1"/>
      <c r="MHR228" s="1"/>
      <c r="MHS228" s="1"/>
      <c r="MHT228" s="1"/>
      <c r="MHU228" s="1"/>
      <c r="MHV228" s="1"/>
      <c r="MHW228" s="1"/>
      <c r="MHX228" s="1"/>
      <c r="MHY228" s="1"/>
      <c r="MHZ228" s="1"/>
      <c r="MIA228" s="1"/>
      <c r="MIB228" s="1"/>
      <c r="MIC228" s="1"/>
      <c r="MID228" s="1"/>
      <c r="MIE228" s="1"/>
      <c r="MIF228" s="1"/>
      <c r="MIG228" s="1"/>
      <c r="MIH228" s="1"/>
      <c r="MII228" s="1"/>
      <c r="MIJ228" s="1"/>
      <c r="MIK228" s="1"/>
      <c r="MIL228" s="1"/>
      <c r="MIM228" s="1"/>
      <c r="MIN228" s="1"/>
      <c r="MIO228" s="1"/>
      <c r="MIP228" s="1"/>
      <c r="MIQ228" s="1"/>
      <c r="MIR228" s="1"/>
      <c r="MIS228" s="1"/>
      <c r="MIT228" s="1"/>
      <c r="MIU228" s="1"/>
      <c r="MIV228" s="1"/>
      <c r="MIW228" s="1"/>
      <c r="MIX228" s="1"/>
      <c r="MIY228" s="1"/>
      <c r="MIZ228" s="1"/>
      <c r="MJA228" s="1"/>
      <c r="MJB228" s="1"/>
      <c r="MJC228" s="1"/>
      <c r="MJD228" s="1"/>
      <c r="MJE228" s="1"/>
      <c r="MJF228" s="1"/>
      <c r="MJG228" s="1"/>
      <c r="MJH228" s="1"/>
      <c r="MJI228" s="1"/>
      <c r="MJJ228" s="1"/>
      <c r="MJK228" s="1"/>
      <c r="MJL228" s="1"/>
      <c r="MJM228" s="1"/>
      <c r="MJN228" s="1"/>
      <c r="MJO228" s="1"/>
      <c r="MJP228" s="1"/>
      <c r="MJQ228" s="1"/>
      <c r="MJR228" s="1"/>
      <c r="MJS228" s="1"/>
      <c r="MJT228" s="1"/>
      <c r="MJU228" s="1"/>
      <c r="MJV228" s="1"/>
      <c r="MJW228" s="1"/>
      <c r="MJX228" s="1"/>
      <c r="MJY228" s="1"/>
      <c r="MJZ228" s="1"/>
      <c r="MKA228" s="1"/>
      <c r="MKB228" s="1"/>
      <c r="MKC228" s="1"/>
      <c r="MKD228" s="1"/>
      <c r="MKE228" s="1"/>
      <c r="MKF228" s="1"/>
      <c r="MKG228" s="1"/>
      <c r="MKH228" s="1"/>
      <c r="MKI228" s="1"/>
      <c r="MKJ228" s="1"/>
      <c r="MKK228" s="1"/>
      <c r="MKL228" s="1"/>
      <c r="MKM228" s="1"/>
      <c r="MKN228" s="1"/>
      <c r="MKO228" s="1"/>
      <c r="MKP228" s="1"/>
      <c r="MKQ228" s="1"/>
      <c r="MKR228" s="1"/>
      <c r="MKS228" s="1"/>
      <c r="MKT228" s="1"/>
      <c r="MKU228" s="1"/>
      <c r="MKV228" s="1"/>
      <c r="MKW228" s="1"/>
      <c r="MKX228" s="1"/>
      <c r="MKY228" s="1"/>
      <c r="MKZ228" s="1"/>
      <c r="MLA228" s="1"/>
      <c r="MLB228" s="1"/>
      <c r="MLC228" s="1"/>
      <c r="MLD228" s="1"/>
      <c r="MLE228" s="1"/>
      <c r="MLF228" s="1"/>
      <c r="MLG228" s="1"/>
      <c r="MLH228" s="1"/>
      <c r="MLI228" s="1"/>
      <c r="MLJ228" s="1"/>
      <c r="MLK228" s="1"/>
      <c r="MLL228" s="1"/>
      <c r="MLM228" s="1"/>
      <c r="MLN228" s="1"/>
      <c r="MLO228" s="1"/>
      <c r="MLP228" s="1"/>
      <c r="MLQ228" s="1"/>
      <c r="MLR228" s="1"/>
      <c r="MLS228" s="1"/>
      <c r="MLT228" s="1"/>
      <c r="MLU228" s="1"/>
      <c r="MLV228" s="1"/>
      <c r="MLW228" s="1"/>
      <c r="MLX228" s="1"/>
      <c r="MLY228" s="1"/>
      <c r="MLZ228" s="1"/>
      <c r="MMA228" s="1"/>
      <c r="MMB228" s="1"/>
      <c r="MMC228" s="1"/>
      <c r="MMD228" s="1"/>
      <c r="MME228" s="1"/>
      <c r="MMF228" s="1"/>
      <c r="MMG228" s="1"/>
      <c r="MMH228" s="1"/>
      <c r="MMI228" s="1"/>
      <c r="MMJ228" s="1"/>
      <c r="MMK228" s="1"/>
      <c r="MML228" s="1"/>
      <c r="MMM228" s="1"/>
      <c r="MMN228" s="1"/>
      <c r="MMO228" s="1"/>
      <c r="MMP228" s="1"/>
      <c r="MMQ228" s="1"/>
      <c r="MMR228" s="1"/>
      <c r="MMS228" s="1"/>
      <c r="MMT228" s="1"/>
      <c r="MMU228" s="1"/>
      <c r="MMV228" s="1"/>
      <c r="MMW228" s="1"/>
      <c r="MMX228" s="1"/>
      <c r="MMY228" s="1"/>
      <c r="MMZ228" s="1"/>
      <c r="MNA228" s="1"/>
      <c r="MNB228" s="1"/>
      <c r="MNC228" s="1"/>
      <c r="MND228" s="1"/>
      <c r="MNE228" s="1"/>
      <c r="MNF228" s="1"/>
      <c r="MNG228" s="1"/>
      <c r="MNH228" s="1"/>
      <c r="MNI228" s="1"/>
      <c r="MNJ228" s="1"/>
      <c r="MNK228" s="1"/>
      <c r="MNL228" s="1"/>
      <c r="MNM228" s="1"/>
      <c r="MNN228" s="1"/>
      <c r="MNO228" s="1"/>
      <c r="MNP228" s="1"/>
      <c r="MNQ228" s="1"/>
      <c r="MNR228" s="1"/>
      <c r="MNS228" s="1"/>
      <c r="MNT228" s="1"/>
      <c r="MNU228" s="1"/>
      <c r="MNV228" s="1"/>
      <c r="MNW228" s="1"/>
      <c r="MNX228" s="1"/>
      <c r="MNY228" s="1"/>
      <c r="MNZ228" s="1"/>
      <c r="MOA228" s="1"/>
      <c r="MOB228" s="1"/>
      <c r="MOC228" s="1"/>
      <c r="MOD228" s="1"/>
      <c r="MOE228" s="1"/>
      <c r="MOF228" s="1"/>
      <c r="MOG228" s="1"/>
      <c r="MOH228" s="1"/>
      <c r="MOI228" s="1"/>
      <c r="MOJ228" s="1"/>
      <c r="MOK228" s="1"/>
      <c r="MOL228" s="1"/>
      <c r="MOM228" s="1"/>
      <c r="MON228" s="1"/>
      <c r="MOO228" s="1"/>
      <c r="MOP228" s="1"/>
      <c r="MOQ228" s="1"/>
      <c r="MOR228" s="1"/>
      <c r="MOS228" s="1"/>
      <c r="MOT228" s="1"/>
      <c r="MOU228" s="1"/>
      <c r="MOV228" s="1"/>
      <c r="MOW228" s="1"/>
      <c r="MOX228" s="1"/>
      <c r="MOY228" s="1"/>
      <c r="MOZ228" s="1"/>
      <c r="MPA228" s="1"/>
      <c r="MPB228" s="1"/>
      <c r="MPC228" s="1"/>
      <c r="MPD228" s="1"/>
      <c r="MPE228" s="1"/>
      <c r="MPF228" s="1"/>
      <c r="MPG228" s="1"/>
      <c r="MPH228" s="1"/>
      <c r="MPI228" s="1"/>
      <c r="MPJ228" s="1"/>
      <c r="MPK228" s="1"/>
      <c r="MPL228" s="1"/>
      <c r="MPM228" s="1"/>
      <c r="MPN228" s="1"/>
      <c r="MPO228" s="1"/>
      <c r="MPP228" s="1"/>
      <c r="MPQ228" s="1"/>
      <c r="MPR228" s="1"/>
      <c r="MPS228" s="1"/>
      <c r="MPT228" s="1"/>
      <c r="MPU228" s="1"/>
      <c r="MPV228" s="1"/>
      <c r="MPW228" s="1"/>
      <c r="MPX228" s="1"/>
      <c r="MPY228" s="1"/>
      <c r="MPZ228" s="1"/>
      <c r="MQA228" s="1"/>
      <c r="MQB228" s="1"/>
      <c r="MQC228" s="1"/>
      <c r="MQD228" s="1"/>
      <c r="MQE228" s="1"/>
      <c r="MQF228" s="1"/>
      <c r="MQG228" s="1"/>
      <c r="MQH228" s="1"/>
      <c r="MQI228" s="1"/>
      <c r="MQJ228" s="1"/>
      <c r="MQK228" s="1"/>
      <c r="MQL228" s="1"/>
      <c r="MQM228" s="1"/>
      <c r="MQN228" s="1"/>
      <c r="MQO228" s="1"/>
      <c r="MQP228" s="1"/>
      <c r="MQQ228" s="1"/>
      <c r="MQR228" s="1"/>
      <c r="MQS228" s="1"/>
      <c r="MQT228" s="1"/>
      <c r="MQU228" s="1"/>
      <c r="MQV228" s="1"/>
      <c r="MQW228" s="1"/>
      <c r="MQX228" s="1"/>
      <c r="MQY228" s="1"/>
      <c r="MQZ228" s="1"/>
      <c r="MRA228" s="1"/>
      <c r="MRB228" s="1"/>
      <c r="MRC228" s="1"/>
      <c r="MRD228" s="1"/>
      <c r="MRE228" s="1"/>
      <c r="MRF228" s="1"/>
      <c r="MRG228" s="1"/>
      <c r="MRH228" s="1"/>
      <c r="MRI228" s="1"/>
      <c r="MRJ228" s="1"/>
      <c r="MRK228" s="1"/>
      <c r="MRL228" s="1"/>
      <c r="MRM228" s="1"/>
      <c r="MRN228" s="1"/>
      <c r="MRO228" s="1"/>
      <c r="MRP228" s="1"/>
      <c r="MRQ228" s="1"/>
      <c r="MRR228" s="1"/>
      <c r="MRS228" s="1"/>
      <c r="MRT228" s="1"/>
      <c r="MRU228" s="1"/>
      <c r="MRV228" s="1"/>
      <c r="MRW228" s="1"/>
      <c r="MRX228" s="1"/>
      <c r="MRY228" s="1"/>
      <c r="MRZ228" s="1"/>
      <c r="MSA228" s="1"/>
      <c r="MSB228" s="1"/>
      <c r="MSC228" s="1"/>
      <c r="MSD228" s="1"/>
      <c r="MSE228" s="1"/>
      <c r="MSF228" s="1"/>
      <c r="MSG228" s="1"/>
      <c r="MSH228" s="1"/>
      <c r="MSI228" s="1"/>
      <c r="MSJ228" s="1"/>
      <c r="MSK228" s="1"/>
      <c r="MSL228" s="1"/>
      <c r="MSM228" s="1"/>
      <c r="MSN228" s="1"/>
      <c r="MSO228" s="1"/>
      <c r="MSP228" s="1"/>
      <c r="MSQ228" s="1"/>
      <c r="MSR228" s="1"/>
      <c r="MSS228" s="1"/>
      <c r="MST228" s="1"/>
      <c r="MSU228" s="1"/>
      <c r="MSV228" s="1"/>
      <c r="MSW228" s="1"/>
      <c r="MSX228" s="1"/>
      <c r="MSY228" s="1"/>
      <c r="MSZ228" s="1"/>
      <c r="MTA228" s="1"/>
      <c r="MTB228" s="1"/>
      <c r="MTC228" s="1"/>
      <c r="MTD228" s="1"/>
      <c r="MTE228" s="1"/>
      <c r="MTF228" s="1"/>
      <c r="MTG228" s="1"/>
      <c r="MTH228" s="1"/>
      <c r="MTI228" s="1"/>
      <c r="MTJ228" s="1"/>
      <c r="MTK228" s="1"/>
      <c r="MTL228" s="1"/>
      <c r="MTM228" s="1"/>
      <c r="MTN228" s="1"/>
      <c r="MTO228" s="1"/>
      <c r="MTP228" s="1"/>
      <c r="MTQ228" s="1"/>
      <c r="MTR228" s="1"/>
      <c r="MTS228" s="1"/>
      <c r="MTT228" s="1"/>
      <c r="MTU228" s="1"/>
      <c r="MTV228" s="1"/>
      <c r="MTW228" s="1"/>
      <c r="MTX228" s="1"/>
      <c r="MTY228" s="1"/>
      <c r="MTZ228" s="1"/>
      <c r="MUA228" s="1"/>
      <c r="MUB228" s="1"/>
      <c r="MUC228" s="1"/>
      <c r="MUD228" s="1"/>
      <c r="MUE228" s="1"/>
      <c r="MUF228" s="1"/>
      <c r="MUG228" s="1"/>
      <c r="MUH228" s="1"/>
      <c r="MUI228" s="1"/>
      <c r="MUJ228" s="1"/>
      <c r="MUK228" s="1"/>
      <c r="MUL228" s="1"/>
      <c r="MUM228" s="1"/>
      <c r="MUN228" s="1"/>
      <c r="MUO228" s="1"/>
      <c r="MUP228" s="1"/>
      <c r="MUQ228" s="1"/>
      <c r="MUR228" s="1"/>
      <c r="MUS228" s="1"/>
      <c r="MUT228" s="1"/>
      <c r="MUU228" s="1"/>
      <c r="MUV228" s="1"/>
      <c r="MUW228" s="1"/>
      <c r="MUX228" s="1"/>
      <c r="MUY228" s="1"/>
      <c r="MUZ228" s="1"/>
      <c r="MVA228" s="1"/>
      <c r="MVB228" s="1"/>
      <c r="MVC228" s="1"/>
      <c r="MVD228" s="1"/>
      <c r="MVE228" s="1"/>
      <c r="MVF228" s="1"/>
      <c r="MVG228" s="1"/>
      <c r="MVH228" s="1"/>
      <c r="MVI228" s="1"/>
      <c r="MVJ228" s="1"/>
      <c r="MVK228" s="1"/>
      <c r="MVL228" s="1"/>
      <c r="MVM228" s="1"/>
      <c r="MVN228" s="1"/>
      <c r="MVO228" s="1"/>
      <c r="MVP228" s="1"/>
      <c r="MVQ228" s="1"/>
      <c r="MVR228" s="1"/>
      <c r="MVS228" s="1"/>
      <c r="MVT228" s="1"/>
      <c r="MVU228" s="1"/>
      <c r="MVV228" s="1"/>
      <c r="MVW228" s="1"/>
      <c r="MVX228" s="1"/>
      <c r="MVY228" s="1"/>
      <c r="MVZ228" s="1"/>
      <c r="MWA228" s="1"/>
      <c r="MWB228" s="1"/>
      <c r="MWC228" s="1"/>
      <c r="MWD228" s="1"/>
      <c r="MWE228" s="1"/>
      <c r="MWF228" s="1"/>
      <c r="MWG228" s="1"/>
      <c r="MWH228" s="1"/>
      <c r="MWI228" s="1"/>
      <c r="MWJ228" s="1"/>
      <c r="MWK228" s="1"/>
      <c r="MWL228" s="1"/>
      <c r="MWM228" s="1"/>
      <c r="MWN228" s="1"/>
      <c r="MWO228" s="1"/>
      <c r="MWP228" s="1"/>
      <c r="MWQ228" s="1"/>
      <c r="MWR228" s="1"/>
      <c r="MWS228" s="1"/>
      <c r="MWT228" s="1"/>
      <c r="MWU228" s="1"/>
      <c r="MWV228" s="1"/>
      <c r="MWW228" s="1"/>
      <c r="MWX228" s="1"/>
      <c r="MWY228" s="1"/>
      <c r="MWZ228" s="1"/>
      <c r="MXA228" s="1"/>
      <c r="MXB228" s="1"/>
      <c r="MXC228" s="1"/>
      <c r="MXD228" s="1"/>
      <c r="MXE228" s="1"/>
      <c r="MXF228" s="1"/>
      <c r="MXG228" s="1"/>
      <c r="MXH228" s="1"/>
      <c r="MXI228" s="1"/>
      <c r="MXJ228" s="1"/>
      <c r="MXK228" s="1"/>
      <c r="MXL228" s="1"/>
      <c r="MXM228" s="1"/>
      <c r="MXN228" s="1"/>
      <c r="MXO228" s="1"/>
      <c r="MXP228" s="1"/>
      <c r="MXQ228" s="1"/>
      <c r="MXR228" s="1"/>
      <c r="MXS228" s="1"/>
      <c r="MXT228" s="1"/>
      <c r="MXU228" s="1"/>
      <c r="MXV228" s="1"/>
      <c r="MXW228" s="1"/>
      <c r="MXX228" s="1"/>
      <c r="MXY228" s="1"/>
      <c r="MXZ228" s="1"/>
      <c r="MYA228" s="1"/>
      <c r="MYB228" s="1"/>
      <c r="MYC228" s="1"/>
      <c r="MYD228" s="1"/>
      <c r="MYE228" s="1"/>
      <c r="MYF228" s="1"/>
      <c r="MYG228" s="1"/>
      <c r="MYH228" s="1"/>
      <c r="MYI228" s="1"/>
      <c r="MYJ228" s="1"/>
      <c r="MYK228" s="1"/>
      <c r="MYL228" s="1"/>
      <c r="MYM228" s="1"/>
      <c r="MYN228" s="1"/>
      <c r="MYO228" s="1"/>
      <c r="MYP228" s="1"/>
      <c r="MYQ228" s="1"/>
      <c r="MYR228" s="1"/>
      <c r="MYS228" s="1"/>
      <c r="MYT228" s="1"/>
      <c r="MYU228" s="1"/>
      <c r="MYV228" s="1"/>
      <c r="MYW228" s="1"/>
      <c r="MYX228" s="1"/>
      <c r="MYY228" s="1"/>
      <c r="MYZ228" s="1"/>
      <c r="MZA228" s="1"/>
      <c r="MZB228" s="1"/>
      <c r="MZC228" s="1"/>
      <c r="MZD228" s="1"/>
      <c r="MZE228" s="1"/>
      <c r="MZF228" s="1"/>
      <c r="MZG228" s="1"/>
      <c r="MZH228" s="1"/>
      <c r="MZI228" s="1"/>
      <c r="MZJ228" s="1"/>
      <c r="MZK228" s="1"/>
      <c r="MZL228" s="1"/>
      <c r="MZM228" s="1"/>
      <c r="MZN228" s="1"/>
      <c r="MZO228" s="1"/>
      <c r="MZP228" s="1"/>
      <c r="MZQ228" s="1"/>
      <c r="MZR228" s="1"/>
      <c r="MZS228" s="1"/>
      <c r="MZT228" s="1"/>
      <c r="MZU228" s="1"/>
      <c r="MZV228" s="1"/>
      <c r="MZW228" s="1"/>
      <c r="MZX228" s="1"/>
      <c r="MZY228" s="1"/>
      <c r="MZZ228" s="1"/>
      <c r="NAA228" s="1"/>
      <c r="NAB228" s="1"/>
      <c r="NAC228" s="1"/>
      <c r="NAD228" s="1"/>
      <c r="NAE228" s="1"/>
      <c r="NAF228" s="1"/>
      <c r="NAG228" s="1"/>
      <c r="NAH228" s="1"/>
      <c r="NAI228" s="1"/>
      <c r="NAJ228" s="1"/>
      <c r="NAK228" s="1"/>
      <c r="NAL228" s="1"/>
      <c r="NAM228" s="1"/>
      <c r="NAN228" s="1"/>
      <c r="NAO228" s="1"/>
      <c r="NAP228" s="1"/>
      <c r="NAQ228" s="1"/>
      <c r="NAR228" s="1"/>
      <c r="NAS228" s="1"/>
      <c r="NAT228" s="1"/>
      <c r="NAU228" s="1"/>
      <c r="NAV228" s="1"/>
      <c r="NAW228" s="1"/>
      <c r="NAX228" s="1"/>
      <c r="NAY228" s="1"/>
      <c r="NAZ228" s="1"/>
      <c r="NBA228" s="1"/>
      <c r="NBB228" s="1"/>
      <c r="NBC228" s="1"/>
      <c r="NBD228" s="1"/>
      <c r="NBE228" s="1"/>
      <c r="NBF228" s="1"/>
      <c r="NBG228" s="1"/>
      <c r="NBH228" s="1"/>
      <c r="NBI228" s="1"/>
      <c r="NBJ228" s="1"/>
      <c r="NBK228" s="1"/>
      <c r="NBL228" s="1"/>
      <c r="NBM228" s="1"/>
      <c r="NBN228" s="1"/>
      <c r="NBO228" s="1"/>
      <c r="NBP228" s="1"/>
      <c r="NBQ228" s="1"/>
      <c r="NBR228" s="1"/>
      <c r="NBS228" s="1"/>
      <c r="NBT228" s="1"/>
      <c r="NBU228" s="1"/>
      <c r="NBV228" s="1"/>
      <c r="NBW228" s="1"/>
      <c r="NBX228" s="1"/>
      <c r="NBY228" s="1"/>
      <c r="NBZ228" s="1"/>
      <c r="NCA228" s="1"/>
      <c r="NCB228" s="1"/>
      <c r="NCC228" s="1"/>
      <c r="NCD228" s="1"/>
      <c r="NCE228" s="1"/>
      <c r="NCF228" s="1"/>
      <c r="NCG228" s="1"/>
      <c r="NCH228" s="1"/>
      <c r="NCI228" s="1"/>
      <c r="NCJ228" s="1"/>
      <c r="NCK228" s="1"/>
      <c r="NCL228" s="1"/>
      <c r="NCM228" s="1"/>
      <c r="NCN228" s="1"/>
      <c r="NCO228" s="1"/>
      <c r="NCP228" s="1"/>
      <c r="NCQ228" s="1"/>
      <c r="NCR228" s="1"/>
      <c r="NCS228" s="1"/>
      <c r="NCT228" s="1"/>
      <c r="NCU228" s="1"/>
      <c r="NCV228" s="1"/>
      <c r="NCW228" s="1"/>
      <c r="NCX228" s="1"/>
      <c r="NCY228" s="1"/>
      <c r="NCZ228" s="1"/>
      <c r="NDA228" s="1"/>
      <c r="NDB228" s="1"/>
      <c r="NDC228" s="1"/>
      <c r="NDD228" s="1"/>
      <c r="NDE228" s="1"/>
      <c r="NDF228" s="1"/>
      <c r="NDG228" s="1"/>
      <c r="NDH228" s="1"/>
      <c r="NDI228" s="1"/>
      <c r="NDJ228" s="1"/>
      <c r="NDK228" s="1"/>
      <c r="NDL228" s="1"/>
      <c r="NDM228" s="1"/>
      <c r="NDN228" s="1"/>
      <c r="NDO228" s="1"/>
      <c r="NDP228" s="1"/>
      <c r="NDQ228" s="1"/>
      <c r="NDR228" s="1"/>
      <c r="NDS228" s="1"/>
      <c r="NDT228" s="1"/>
      <c r="NDU228" s="1"/>
      <c r="NDV228" s="1"/>
      <c r="NDW228" s="1"/>
      <c r="NDX228" s="1"/>
      <c r="NDY228" s="1"/>
      <c r="NDZ228" s="1"/>
      <c r="NEA228" s="1"/>
      <c r="NEB228" s="1"/>
      <c r="NEC228" s="1"/>
      <c r="NED228" s="1"/>
      <c r="NEE228" s="1"/>
      <c r="NEF228" s="1"/>
      <c r="NEG228" s="1"/>
      <c r="NEH228" s="1"/>
      <c r="NEI228" s="1"/>
      <c r="NEJ228" s="1"/>
      <c r="NEK228" s="1"/>
      <c r="NEL228" s="1"/>
      <c r="NEM228" s="1"/>
      <c r="NEN228" s="1"/>
      <c r="NEO228" s="1"/>
      <c r="NEP228" s="1"/>
      <c r="NEQ228" s="1"/>
      <c r="NER228" s="1"/>
      <c r="NES228" s="1"/>
      <c r="NET228" s="1"/>
      <c r="NEU228" s="1"/>
      <c r="NEV228" s="1"/>
      <c r="NEW228" s="1"/>
      <c r="NEX228" s="1"/>
      <c r="NEY228" s="1"/>
      <c r="NEZ228" s="1"/>
      <c r="NFA228" s="1"/>
      <c r="NFB228" s="1"/>
      <c r="NFC228" s="1"/>
      <c r="NFD228" s="1"/>
      <c r="NFE228" s="1"/>
      <c r="NFF228" s="1"/>
      <c r="NFG228" s="1"/>
      <c r="NFH228" s="1"/>
      <c r="NFI228" s="1"/>
      <c r="NFJ228" s="1"/>
      <c r="NFK228" s="1"/>
      <c r="NFL228" s="1"/>
      <c r="NFM228" s="1"/>
      <c r="NFN228" s="1"/>
      <c r="NFO228" s="1"/>
      <c r="NFP228" s="1"/>
      <c r="NFQ228" s="1"/>
      <c r="NFR228" s="1"/>
      <c r="NFS228" s="1"/>
      <c r="NFT228" s="1"/>
      <c r="NFU228" s="1"/>
      <c r="NFV228" s="1"/>
      <c r="NFW228" s="1"/>
      <c r="NFX228" s="1"/>
      <c r="NFY228" s="1"/>
      <c r="NFZ228" s="1"/>
      <c r="NGA228" s="1"/>
      <c r="NGB228" s="1"/>
      <c r="NGC228" s="1"/>
      <c r="NGD228" s="1"/>
      <c r="NGE228" s="1"/>
      <c r="NGF228" s="1"/>
      <c r="NGG228" s="1"/>
      <c r="NGH228" s="1"/>
      <c r="NGI228" s="1"/>
      <c r="NGJ228" s="1"/>
      <c r="NGK228" s="1"/>
      <c r="NGL228" s="1"/>
      <c r="NGM228" s="1"/>
      <c r="NGN228" s="1"/>
      <c r="NGO228" s="1"/>
      <c r="NGP228" s="1"/>
      <c r="NGQ228" s="1"/>
      <c r="NGR228" s="1"/>
      <c r="NGS228" s="1"/>
      <c r="NGT228" s="1"/>
      <c r="NGU228" s="1"/>
      <c r="NGV228" s="1"/>
      <c r="NGW228" s="1"/>
      <c r="NGX228" s="1"/>
      <c r="NGY228" s="1"/>
      <c r="NGZ228" s="1"/>
      <c r="NHA228" s="1"/>
      <c r="NHB228" s="1"/>
      <c r="NHC228" s="1"/>
      <c r="NHD228" s="1"/>
      <c r="NHE228" s="1"/>
      <c r="NHF228" s="1"/>
      <c r="NHG228" s="1"/>
      <c r="NHH228" s="1"/>
      <c r="NHI228" s="1"/>
      <c r="NHJ228" s="1"/>
      <c r="NHK228" s="1"/>
      <c r="NHL228" s="1"/>
      <c r="NHM228" s="1"/>
      <c r="NHN228" s="1"/>
      <c r="NHO228" s="1"/>
      <c r="NHP228" s="1"/>
      <c r="NHQ228" s="1"/>
      <c r="NHR228" s="1"/>
      <c r="NHS228" s="1"/>
      <c r="NHT228" s="1"/>
      <c r="NHU228" s="1"/>
      <c r="NHV228" s="1"/>
      <c r="NHW228" s="1"/>
      <c r="NHX228" s="1"/>
      <c r="NHY228" s="1"/>
      <c r="NHZ228" s="1"/>
      <c r="NIA228" s="1"/>
      <c r="NIB228" s="1"/>
      <c r="NIC228" s="1"/>
      <c r="NID228" s="1"/>
      <c r="NIE228" s="1"/>
      <c r="NIF228" s="1"/>
      <c r="NIG228" s="1"/>
      <c r="NIH228" s="1"/>
      <c r="NII228" s="1"/>
      <c r="NIJ228" s="1"/>
      <c r="NIK228" s="1"/>
      <c r="NIL228" s="1"/>
      <c r="NIM228" s="1"/>
      <c r="NIN228" s="1"/>
      <c r="NIO228" s="1"/>
      <c r="NIP228" s="1"/>
      <c r="NIQ228" s="1"/>
      <c r="NIR228" s="1"/>
      <c r="NIS228" s="1"/>
      <c r="NIT228" s="1"/>
      <c r="NIU228" s="1"/>
      <c r="NIV228" s="1"/>
      <c r="NIW228" s="1"/>
      <c r="NIX228" s="1"/>
      <c r="NIY228" s="1"/>
      <c r="NIZ228" s="1"/>
      <c r="NJA228" s="1"/>
      <c r="NJB228" s="1"/>
      <c r="NJC228" s="1"/>
      <c r="NJD228" s="1"/>
      <c r="NJE228" s="1"/>
      <c r="NJF228" s="1"/>
      <c r="NJG228" s="1"/>
      <c r="NJH228" s="1"/>
      <c r="NJI228" s="1"/>
      <c r="NJJ228" s="1"/>
      <c r="NJK228" s="1"/>
      <c r="NJL228" s="1"/>
      <c r="NJM228" s="1"/>
      <c r="NJN228" s="1"/>
      <c r="NJO228" s="1"/>
      <c r="NJP228" s="1"/>
      <c r="NJQ228" s="1"/>
      <c r="NJR228" s="1"/>
      <c r="NJS228" s="1"/>
      <c r="NJT228" s="1"/>
      <c r="NJU228" s="1"/>
      <c r="NJV228" s="1"/>
      <c r="NJW228" s="1"/>
      <c r="NJX228" s="1"/>
      <c r="NJY228" s="1"/>
      <c r="NJZ228" s="1"/>
      <c r="NKA228" s="1"/>
      <c r="NKB228" s="1"/>
      <c r="NKC228" s="1"/>
      <c r="NKD228" s="1"/>
      <c r="NKE228" s="1"/>
      <c r="NKF228" s="1"/>
      <c r="NKG228" s="1"/>
      <c r="NKH228" s="1"/>
      <c r="NKI228" s="1"/>
      <c r="NKJ228" s="1"/>
      <c r="NKK228" s="1"/>
      <c r="NKL228" s="1"/>
      <c r="NKM228" s="1"/>
      <c r="NKN228" s="1"/>
      <c r="NKO228" s="1"/>
      <c r="NKP228" s="1"/>
      <c r="NKQ228" s="1"/>
      <c r="NKR228" s="1"/>
      <c r="NKS228" s="1"/>
      <c r="NKT228" s="1"/>
      <c r="NKU228" s="1"/>
      <c r="NKV228" s="1"/>
      <c r="NKW228" s="1"/>
      <c r="NKX228" s="1"/>
      <c r="NKY228" s="1"/>
      <c r="NKZ228" s="1"/>
      <c r="NLA228" s="1"/>
      <c r="NLB228" s="1"/>
      <c r="NLC228" s="1"/>
      <c r="NLD228" s="1"/>
      <c r="NLE228" s="1"/>
      <c r="NLF228" s="1"/>
      <c r="NLG228" s="1"/>
      <c r="NLH228" s="1"/>
      <c r="NLI228" s="1"/>
      <c r="NLJ228" s="1"/>
      <c r="NLK228" s="1"/>
      <c r="NLL228" s="1"/>
      <c r="NLM228" s="1"/>
      <c r="NLN228" s="1"/>
      <c r="NLO228" s="1"/>
      <c r="NLP228" s="1"/>
      <c r="NLQ228" s="1"/>
      <c r="NLR228" s="1"/>
      <c r="NLS228" s="1"/>
      <c r="NLT228" s="1"/>
      <c r="NLU228" s="1"/>
      <c r="NLV228" s="1"/>
      <c r="NLW228" s="1"/>
      <c r="NLX228" s="1"/>
      <c r="NLY228" s="1"/>
      <c r="NLZ228" s="1"/>
      <c r="NMA228" s="1"/>
      <c r="NMB228" s="1"/>
      <c r="NMC228" s="1"/>
      <c r="NMD228" s="1"/>
      <c r="NME228" s="1"/>
      <c r="NMF228" s="1"/>
      <c r="NMG228" s="1"/>
      <c r="NMH228" s="1"/>
      <c r="NMI228" s="1"/>
      <c r="NMJ228" s="1"/>
      <c r="NMK228" s="1"/>
      <c r="NML228" s="1"/>
      <c r="NMM228" s="1"/>
      <c r="NMN228" s="1"/>
      <c r="NMO228" s="1"/>
      <c r="NMP228" s="1"/>
      <c r="NMQ228" s="1"/>
      <c r="NMR228" s="1"/>
      <c r="NMS228" s="1"/>
      <c r="NMT228" s="1"/>
      <c r="NMU228" s="1"/>
      <c r="NMV228" s="1"/>
      <c r="NMW228" s="1"/>
      <c r="NMX228" s="1"/>
      <c r="NMY228" s="1"/>
      <c r="NMZ228" s="1"/>
      <c r="NNA228" s="1"/>
      <c r="NNB228" s="1"/>
      <c r="NNC228" s="1"/>
      <c r="NND228" s="1"/>
      <c r="NNE228" s="1"/>
      <c r="NNF228" s="1"/>
      <c r="NNG228" s="1"/>
      <c r="NNH228" s="1"/>
      <c r="NNI228" s="1"/>
      <c r="NNJ228" s="1"/>
      <c r="NNK228" s="1"/>
      <c r="NNL228" s="1"/>
      <c r="NNM228" s="1"/>
      <c r="NNN228" s="1"/>
      <c r="NNO228" s="1"/>
      <c r="NNP228" s="1"/>
      <c r="NNQ228" s="1"/>
      <c r="NNR228" s="1"/>
      <c r="NNS228" s="1"/>
      <c r="NNT228" s="1"/>
      <c r="NNU228" s="1"/>
      <c r="NNV228" s="1"/>
      <c r="NNW228" s="1"/>
      <c r="NNX228" s="1"/>
      <c r="NNY228" s="1"/>
      <c r="NNZ228" s="1"/>
      <c r="NOA228" s="1"/>
      <c r="NOB228" s="1"/>
      <c r="NOC228" s="1"/>
      <c r="NOD228" s="1"/>
      <c r="NOE228" s="1"/>
      <c r="NOF228" s="1"/>
      <c r="NOG228" s="1"/>
      <c r="NOH228" s="1"/>
      <c r="NOI228" s="1"/>
      <c r="NOJ228" s="1"/>
      <c r="NOK228" s="1"/>
      <c r="NOL228" s="1"/>
      <c r="NOM228" s="1"/>
      <c r="NON228" s="1"/>
      <c r="NOO228" s="1"/>
      <c r="NOP228" s="1"/>
      <c r="NOQ228" s="1"/>
      <c r="NOR228" s="1"/>
      <c r="NOS228" s="1"/>
      <c r="NOT228" s="1"/>
      <c r="NOU228" s="1"/>
      <c r="NOV228" s="1"/>
      <c r="NOW228" s="1"/>
      <c r="NOX228" s="1"/>
      <c r="NOY228" s="1"/>
      <c r="NOZ228" s="1"/>
      <c r="NPA228" s="1"/>
      <c r="NPB228" s="1"/>
      <c r="NPC228" s="1"/>
      <c r="NPD228" s="1"/>
      <c r="NPE228" s="1"/>
      <c r="NPF228" s="1"/>
      <c r="NPG228" s="1"/>
      <c r="NPH228" s="1"/>
      <c r="NPI228" s="1"/>
      <c r="NPJ228" s="1"/>
      <c r="NPK228" s="1"/>
      <c r="NPL228" s="1"/>
      <c r="NPM228" s="1"/>
      <c r="NPN228" s="1"/>
      <c r="NPO228" s="1"/>
      <c r="NPP228" s="1"/>
      <c r="NPQ228" s="1"/>
      <c r="NPR228" s="1"/>
      <c r="NPS228" s="1"/>
      <c r="NPT228" s="1"/>
      <c r="NPU228" s="1"/>
      <c r="NPV228" s="1"/>
      <c r="NPW228" s="1"/>
      <c r="NPX228" s="1"/>
      <c r="NPY228" s="1"/>
      <c r="NPZ228" s="1"/>
      <c r="NQA228" s="1"/>
      <c r="NQB228" s="1"/>
      <c r="NQC228" s="1"/>
      <c r="NQD228" s="1"/>
      <c r="NQE228" s="1"/>
      <c r="NQF228" s="1"/>
      <c r="NQG228" s="1"/>
      <c r="NQH228" s="1"/>
      <c r="NQI228" s="1"/>
      <c r="NQJ228" s="1"/>
      <c r="NQK228" s="1"/>
      <c r="NQL228" s="1"/>
      <c r="NQM228" s="1"/>
      <c r="NQN228" s="1"/>
      <c r="NQO228" s="1"/>
      <c r="NQP228" s="1"/>
      <c r="NQQ228" s="1"/>
      <c r="NQR228" s="1"/>
      <c r="NQS228" s="1"/>
      <c r="NQT228" s="1"/>
      <c r="NQU228" s="1"/>
      <c r="NQV228" s="1"/>
      <c r="NQW228" s="1"/>
      <c r="NQX228" s="1"/>
      <c r="NQY228" s="1"/>
      <c r="NQZ228" s="1"/>
      <c r="NRA228" s="1"/>
      <c r="NRB228" s="1"/>
      <c r="NRC228" s="1"/>
      <c r="NRD228" s="1"/>
      <c r="NRE228" s="1"/>
      <c r="NRF228" s="1"/>
      <c r="NRG228" s="1"/>
      <c r="NRH228" s="1"/>
      <c r="NRI228" s="1"/>
      <c r="NRJ228" s="1"/>
      <c r="NRK228" s="1"/>
      <c r="NRL228" s="1"/>
      <c r="NRM228" s="1"/>
      <c r="NRN228" s="1"/>
      <c r="NRO228" s="1"/>
      <c r="NRP228" s="1"/>
      <c r="NRQ228" s="1"/>
      <c r="NRR228" s="1"/>
      <c r="NRS228" s="1"/>
      <c r="NRT228" s="1"/>
      <c r="NRU228" s="1"/>
      <c r="NRV228" s="1"/>
      <c r="NRW228" s="1"/>
      <c r="NRX228" s="1"/>
      <c r="NRY228" s="1"/>
      <c r="NRZ228" s="1"/>
      <c r="NSA228" s="1"/>
      <c r="NSB228" s="1"/>
      <c r="NSC228" s="1"/>
      <c r="NSD228" s="1"/>
      <c r="NSE228" s="1"/>
      <c r="NSF228" s="1"/>
      <c r="NSG228" s="1"/>
      <c r="NSH228" s="1"/>
      <c r="NSI228" s="1"/>
      <c r="NSJ228" s="1"/>
      <c r="NSK228" s="1"/>
      <c r="NSL228" s="1"/>
      <c r="NSM228" s="1"/>
      <c r="NSN228" s="1"/>
      <c r="NSO228" s="1"/>
      <c r="NSP228" s="1"/>
      <c r="NSQ228" s="1"/>
      <c r="NSR228" s="1"/>
      <c r="NSS228" s="1"/>
      <c r="NST228" s="1"/>
      <c r="NSU228" s="1"/>
      <c r="NSV228" s="1"/>
      <c r="NSW228" s="1"/>
      <c r="NSX228" s="1"/>
      <c r="NSY228" s="1"/>
      <c r="NSZ228" s="1"/>
      <c r="NTA228" s="1"/>
      <c r="NTB228" s="1"/>
      <c r="NTC228" s="1"/>
      <c r="NTD228" s="1"/>
      <c r="NTE228" s="1"/>
      <c r="NTF228" s="1"/>
      <c r="NTG228" s="1"/>
      <c r="NTH228" s="1"/>
      <c r="NTI228" s="1"/>
      <c r="NTJ228" s="1"/>
      <c r="NTK228" s="1"/>
      <c r="NTL228" s="1"/>
      <c r="NTM228" s="1"/>
      <c r="NTN228" s="1"/>
      <c r="NTO228" s="1"/>
      <c r="NTP228" s="1"/>
      <c r="NTQ228" s="1"/>
      <c r="NTR228" s="1"/>
      <c r="NTS228" s="1"/>
      <c r="NTT228" s="1"/>
      <c r="NTU228" s="1"/>
      <c r="NTV228" s="1"/>
      <c r="NTW228" s="1"/>
      <c r="NTX228" s="1"/>
      <c r="NTY228" s="1"/>
      <c r="NTZ228" s="1"/>
      <c r="NUA228" s="1"/>
      <c r="NUB228" s="1"/>
      <c r="NUC228" s="1"/>
      <c r="NUD228" s="1"/>
      <c r="NUE228" s="1"/>
      <c r="NUF228" s="1"/>
      <c r="NUG228" s="1"/>
      <c r="NUH228" s="1"/>
      <c r="NUI228" s="1"/>
      <c r="NUJ228" s="1"/>
      <c r="NUK228" s="1"/>
      <c r="NUL228" s="1"/>
      <c r="NUM228" s="1"/>
      <c r="NUN228" s="1"/>
      <c r="NUO228" s="1"/>
      <c r="NUP228" s="1"/>
      <c r="NUQ228" s="1"/>
      <c r="NUR228" s="1"/>
      <c r="NUS228" s="1"/>
      <c r="NUT228" s="1"/>
      <c r="NUU228" s="1"/>
      <c r="NUV228" s="1"/>
      <c r="NUW228" s="1"/>
      <c r="NUX228" s="1"/>
      <c r="NUY228" s="1"/>
      <c r="NUZ228" s="1"/>
      <c r="NVA228" s="1"/>
      <c r="NVB228" s="1"/>
      <c r="NVC228" s="1"/>
      <c r="NVD228" s="1"/>
      <c r="NVE228" s="1"/>
      <c r="NVF228" s="1"/>
      <c r="NVG228" s="1"/>
      <c r="NVH228" s="1"/>
      <c r="NVI228" s="1"/>
      <c r="NVJ228" s="1"/>
      <c r="NVK228" s="1"/>
      <c r="NVL228" s="1"/>
      <c r="NVM228" s="1"/>
      <c r="NVN228" s="1"/>
      <c r="NVO228" s="1"/>
      <c r="NVP228" s="1"/>
      <c r="NVQ228" s="1"/>
      <c r="NVR228" s="1"/>
      <c r="NVS228" s="1"/>
      <c r="NVT228" s="1"/>
      <c r="NVU228" s="1"/>
      <c r="NVV228" s="1"/>
      <c r="NVW228" s="1"/>
      <c r="NVX228" s="1"/>
      <c r="NVY228" s="1"/>
      <c r="NVZ228" s="1"/>
      <c r="NWA228" s="1"/>
      <c r="NWB228" s="1"/>
      <c r="NWC228" s="1"/>
      <c r="NWD228" s="1"/>
      <c r="NWE228" s="1"/>
      <c r="NWF228" s="1"/>
      <c r="NWG228" s="1"/>
      <c r="NWH228" s="1"/>
      <c r="NWI228" s="1"/>
      <c r="NWJ228" s="1"/>
      <c r="NWK228" s="1"/>
      <c r="NWL228" s="1"/>
      <c r="NWM228" s="1"/>
      <c r="NWN228" s="1"/>
      <c r="NWO228" s="1"/>
      <c r="NWP228" s="1"/>
      <c r="NWQ228" s="1"/>
      <c r="NWR228" s="1"/>
      <c r="NWS228" s="1"/>
      <c r="NWT228" s="1"/>
      <c r="NWU228" s="1"/>
      <c r="NWV228" s="1"/>
      <c r="NWW228" s="1"/>
      <c r="NWX228" s="1"/>
      <c r="NWY228" s="1"/>
      <c r="NWZ228" s="1"/>
      <c r="NXA228" s="1"/>
      <c r="NXB228" s="1"/>
      <c r="NXC228" s="1"/>
      <c r="NXD228" s="1"/>
      <c r="NXE228" s="1"/>
      <c r="NXF228" s="1"/>
      <c r="NXG228" s="1"/>
      <c r="NXH228" s="1"/>
      <c r="NXI228" s="1"/>
      <c r="NXJ228" s="1"/>
      <c r="NXK228" s="1"/>
      <c r="NXL228" s="1"/>
      <c r="NXM228" s="1"/>
      <c r="NXN228" s="1"/>
      <c r="NXO228" s="1"/>
      <c r="NXP228" s="1"/>
      <c r="NXQ228" s="1"/>
      <c r="NXR228" s="1"/>
      <c r="NXS228" s="1"/>
      <c r="NXT228" s="1"/>
      <c r="NXU228" s="1"/>
      <c r="NXV228" s="1"/>
      <c r="NXW228" s="1"/>
      <c r="NXX228" s="1"/>
      <c r="NXY228" s="1"/>
      <c r="NXZ228" s="1"/>
      <c r="NYA228" s="1"/>
      <c r="NYB228" s="1"/>
      <c r="NYC228" s="1"/>
      <c r="NYD228" s="1"/>
      <c r="NYE228" s="1"/>
      <c r="NYF228" s="1"/>
      <c r="NYG228" s="1"/>
      <c r="NYH228" s="1"/>
      <c r="NYI228" s="1"/>
      <c r="NYJ228" s="1"/>
      <c r="NYK228" s="1"/>
      <c r="NYL228" s="1"/>
      <c r="NYM228" s="1"/>
      <c r="NYN228" s="1"/>
      <c r="NYO228" s="1"/>
      <c r="NYP228" s="1"/>
      <c r="NYQ228" s="1"/>
      <c r="NYR228" s="1"/>
      <c r="NYS228" s="1"/>
      <c r="NYT228" s="1"/>
      <c r="NYU228" s="1"/>
      <c r="NYV228" s="1"/>
      <c r="NYW228" s="1"/>
      <c r="NYX228" s="1"/>
      <c r="NYY228" s="1"/>
      <c r="NYZ228" s="1"/>
      <c r="NZA228" s="1"/>
      <c r="NZB228" s="1"/>
      <c r="NZC228" s="1"/>
      <c r="NZD228" s="1"/>
      <c r="NZE228" s="1"/>
      <c r="NZF228" s="1"/>
      <c r="NZG228" s="1"/>
      <c r="NZH228" s="1"/>
      <c r="NZI228" s="1"/>
      <c r="NZJ228" s="1"/>
      <c r="NZK228" s="1"/>
      <c r="NZL228" s="1"/>
      <c r="NZM228" s="1"/>
      <c r="NZN228" s="1"/>
      <c r="NZO228" s="1"/>
      <c r="NZP228" s="1"/>
      <c r="NZQ228" s="1"/>
      <c r="NZR228" s="1"/>
      <c r="NZS228" s="1"/>
      <c r="NZT228" s="1"/>
      <c r="NZU228" s="1"/>
      <c r="NZV228" s="1"/>
      <c r="NZW228" s="1"/>
      <c r="NZX228" s="1"/>
      <c r="NZY228" s="1"/>
      <c r="NZZ228" s="1"/>
      <c r="OAA228" s="1"/>
      <c r="OAB228" s="1"/>
      <c r="OAC228" s="1"/>
      <c r="OAD228" s="1"/>
      <c r="OAE228" s="1"/>
      <c r="OAF228" s="1"/>
      <c r="OAG228" s="1"/>
      <c r="OAH228" s="1"/>
      <c r="OAI228" s="1"/>
      <c r="OAJ228" s="1"/>
      <c r="OAK228" s="1"/>
      <c r="OAL228" s="1"/>
      <c r="OAM228" s="1"/>
      <c r="OAN228" s="1"/>
      <c r="OAO228" s="1"/>
      <c r="OAP228" s="1"/>
      <c r="OAQ228" s="1"/>
      <c r="OAR228" s="1"/>
      <c r="OAS228" s="1"/>
      <c r="OAT228" s="1"/>
      <c r="OAU228" s="1"/>
      <c r="OAV228" s="1"/>
      <c r="OAW228" s="1"/>
      <c r="OAX228" s="1"/>
      <c r="OAY228" s="1"/>
      <c r="OAZ228" s="1"/>
      <c r="OBA228" s="1"/>
      <c r="OBB228" s="1"/>
      <c r="OBC228" s="1"/>
      <c r="OBD228" s="1"/>
      <c r="OBE228" s="1"/>
      <c r="OBF228" s="1"/>
      <c r="OBG228" s="1"/>
      <c r="OBH228" s="1"/>
      <c r="OBI228" s="1"/>
      <c r="OBJ228" s="1"/>
      <c r="OBK228" s="1"/>
      <c r="OBL228" s="1"/>
      <c r="OBM228" s="1"/>
      <c r="OBN228" s="1"/>
      <c r="OBO228" s="1"/>
      <c r="OBP228" s="1"/>
      <c r="OBQ228" s="1"/>
      <c r="OBR228" s="1"/>
      <c r="OBS228" s="1"/>
      <c r="OBT228" s="1"/>
      <c r="OBU228" s="1"/>
      <c r="OBV228" s="1"/>
      <c r="OBW228" s="1"/>
      <c r="OBX228" s="1"/>
      <c r="OBY228" s="1"/>
      <c r="OBZ228" s="1"/>
      <c r="OCA228" s="1"/>
      <c r="OCB228" s="1"/>
      <c r="OCC228" s="1"/>
      <c r="OCD228" s="1"/>
      <c r="OCE228" s="1"/>
      <c r="OCF228" s="1"/>
      <c r="OCG228" s="1"/>
      <c r="OCH228" s="1"/>
      <c r="OCI228" s="1"/>
      <c r="OCJ228" s="1"/>
      <c r="OCK228" s="1"/>
      <c r="OCL228" s="1"/>
      <c r="OCM228" s="1"/>
      <c r="OCN228" s="1"/>
      <c r="OCO228" s="1"/>
      <c r="OCP228" s="1"/>
      <c r="OCQ228" s="1"/>
      <c r="OCR228" s="1"/>
      <c r="OCS228" s="1"/>
      <c r="OCT228" s="1"/>
      <c r="OCU228" s="1"/>
      <c r="OCV228" s="1"/>
      <c r="OCW228" s="1"/>
      <c r="OCX228" s="1"/>
      <c r="OCY228" s="1"/>
      <c r="OCZ228" s="1"/>
      <c r="ODA228" s="1"/>
      <c r="ODB228" s="1"/>
      <c r="ODC228" s="1"/>
      <c r="ODD228" s="1"/>
      <c r="ODE228" s="1"/>
      <c r="ODF228" s="1"/>
      <c r="ODG228" s="1"/>
      <c r="ODH228" s="1"/>
      <c r="ODI228" s="1"/>
      <c r="ODJ228" s="1"/>
      <c r="ODK228" s="1"/>
      <c r="ODL228" s="1"/>
      <c r="ODM228" s="1"/>
      <c r="ODN228" s="1"/>
      <c r="ODO228" s="1"/>
      <c r="ODP228" s="1"/>
      <c r="ODQ228" s="1"/>
      <c r="ODR228" s="1"/>
      <c r="ODS228" s="1"/>
      <c r="ODT228" s="1"/>
      <c r="ODU228" s="1"/>
      <c r="ODV228" s="1"/>
      <c r="ODW228" s="1"/>
      <c r="ODX228" s="1"/>
      <c r="ODY228" s="1"/>
      <c r="ODZ228" s="1"/>
      <c r="OEA228" s="1"/>
      <c r="OEB228" s="1"/>
      <c r="OEC228" s="1"/>
      <c r="OED228" s="1"/>
      <c r="OEE228" s="1"/>
      <c r="OEF228" s="1"/>
      <c r="OEG228" s="1"/>
      <c r="OEH228" s="1"/>
      <c r="OEI228" s="1"/>
      <c r="OEJ228" s="1"/>
      <c r="OEK228" s="1"/>
      <c r="OEL228" s="1"/>
      <c r="OEM228" s="1"/>
      <c r="OEN228" s="1"/>
      <c r="OEO228" s="1"/>
      <c r="OEP228" s="1"/>
      <c r="OEQ228" s="1"/>
      <c r="OER228" s="1"/>
      <c r="OES228" s="1"/>
      <c r="OET228" s="1"/>
      <c r="OEU228" s="1"/>
      <c r="OEV228" s="1"/>
      <c r="OEW228" s="1"/>
      <c r="OEX228" s="1"/>
      <c r="OEY228" s="1"/>
      <c r="OEZ228" s="1"/>
      <c r="OFA228" s="1"/>
      <c r="OFB228" s="1"/>
      <c r="OFC228" s="1"/>
      <c r="OFD228" s="1"/>
      <c r="OFE228" s="1"/>
      <c r="OFF228" s="1"/>
      <c r="OFG228" s="1"/>
      <c r="OFH228" s="1"/>
      <c r="OFI228" s="1"/>
      <c r="OFJ228" s="1"/>
      <c r="OFK228" s="1"/>
      <c r="OFL228" s="1"/>
      <c r="OFM228" s="1"/>
      <c r="OFN228" s="1"/>
      <c r="OFO228" s="1"/>
      <c r="OFP228" s="1"/>
      <c r="OFQ228" s="1"/>
      <c r="OFR228" s="1"/>
      <c r="OFS228" s="1"/>
      <c r="OFT228" s="1"/>
      <c r="OFU228" s="1"/>
      <c r="OFV228" s="1"/>
      <c r="OFW228" s="1"/>
      <c r="OFX228" s="1"/>
      <c r="OFY228" s="1"/>
      <c r="OFZ228" s="1"/>
      <c r="OGA228" s="1"/>
      <c r="OGB228" s="1"/>
      <c r="OGC228" s="1"/>
      <c r="OGD228" s="1"/>
      <c r="OGE228" s="1"/>
      <c r="OGF228" s="1"/>
      <c r="OGG228" s="1"/>
      <c r="OGH228" s="1"/>
      <c r="OGI228" s="1"/>
      <c r="OGJ228" s="1"/>
      <c r="OGK228" s="1"/>
      <c r="OGL228" s="1"/>
      <c r="OGM228" s="1"/>
      <c r="OGN228" s="1"/>
      <c r="OGO228" s="1"/>
      <c r="OGP228" s="1"/>
      <c r="OGQ228" s="1"/>
      <c r="OGR228" s="1"/>
      <c r="OGS228" s="1"/>
      <c r="OGT228" s="1"/>
      <c r="OGU228" s="1"/>
      <c r="OGV228" s="1"/>
      <c r="OGW228" s="1"/>
      <c r="OGX228" s="1"/>
      <c r="OGY228" s="1"/>
      <c r="OGZ228" s="1"/>
      <c r="OHA228" s="1"/>
      <c r="OHB228" s="1"/>
      <c r="OHC228" s="1"/>
      <c r="OHD228" s="1"/>
      <c r="OHE228" s="1"/>
      <c r="OHF228" s="1"/>
      <c r="OHG228" s="1"/>
      <c r="OHH228" s="1"/>
      <c r="OHI228" s="1"/>
      <c r="OHJ228" s="1"/>
      <c r="OHK228" s="1"/>
      <c r="OHL228" s="1"/>
      <c r="OHM228" s="1"/>
      <c r="OHN228" s="1"/>
      <c r="OHO228" s="1"/>
      <c r="OHP228" s="1"/>
      <c r="OHQ228" s="1"/>
      <c r="OHR228" s="1"/>
      <c r="OHS228" s="1"/>
      <c r="OHT228" s="1"/>
      <c r="OHU228" s="1"/>
      <c r="OHV228" s="1"/>
      <c r="OHW228" s="1"/>
      <c r="OHX228" s="1"/>
      <c r="OHY228" s="1"/>
      <c r="OHZ228" s="1"/>
      <c r="OIA228" s="1"/>
      <c r="OIB228" s="1"/>
      <c r="OIC228" s="1"/>
      <c r="OID228" s="1"/>
      <c r="OIE228" s="1"/>
      <c r="OIF228" s="1"/>
      <c r="OIG228" s="1"/>
      <c r="OIH228" s="1"/>
      <c r="OII228" s="1"/>
      <c r="OIJ228" s="1"/>
      <c r="OIK228" s="1"/>
      <c r="OIL228" s="1"/>
      <c r="OIM228" s="1"/>
      <c r="OIN228" s="1"/>
      <c r="OIO228" s="1"/>
      <c r="OIP228" s="1"/>
      <c r="OIQ228" s="1"/>
      <c r="OIR228" s="1"/>
      <c r="OIS228" s="1"/>
      <c r="OIT228" s="1"/>
      <c r="OIU228" s="1"/>
      <c r="OIV228" s="1"/>
      <c r="OIW228" s="1"/>
      <c r="OIX228" s="1"/>
      <c r="OIY228" s="1"/>
      <c r="OIZ228" s="1"/>
      <c r="OJA228" s="1"/>
      <c r="OJB228" s="1"/>
      <c r="OJC228" s="1"/>
      <c r="OJD228" s="1"/>
      <c r="OJE228" s="1"/>
      <c r="OJF228" s="1"/>
      <c r="OJG228" s="1"/>
      <c r="OJH228" s="1"/>
      <c r="OJI228" s="1"/>
      <c r="OJJ228" s="1"/>
      <c r="OJK228" s="1"/>
      <c r="OJL228" s="1"/>
      <c r="OJM228" s="1"/>
      <c r="OJN228" s="1"/>
      <c r="OJO228" s="1"/>
      <c r="OJP228" s="1"/>
      <c r="OJQ228" s="1"/>
      <c r="OJR228" s="1"/>
      <c r="OJS228" s="1"/>
      <c r="OJT228" s="1"/>
      <c r="OJU228" s="1"/>
      <c r="OJV228" s="1"/>
      <c r="OJW228" s="1"/>
      <c r="OJX228" s="1"/>
      <c r="OJY228" s="1"/>
      <c r="OJZ228" s="1"/>
      <c r="OKA228" s="1"/>
      <c r="OKB228" s="1"/>
      <c r="OKC228" s="1"/>
      <c r="OKD228" s="1"/>
      <c r="OKE228" s="1"/>
      <c r="OKF228" s="1"/>
      <c r="OKG228" s="1"/>
      <c r="OKH228" s="1"/>
      <c r="OKI228" s="1"/>
      <c r="OKJ228" s="1"/>
      <c r="OKK228" s="1"/>
      <c r="OKL228" s="1"/>
      <c r="OKM228" s="1"/>
      <c r="OKN228" s="1"/>
      <c r="OKO228" s="1"/>
      <c r="OKP228" s="1"/>
      <c r="OKQ228" s="1"/>
      <c r="OKR228" s="1"/>
      <c r="OKS228" s="1"/>
      <c r="OKT228" s="1"/>
      <c r="OKU228" s="1"/>
      <c r="OKV228" s="1"/>
      <c r="OKW228" s="1"/>
      <c r="OKX228" s="1"/>
      <c r="OKY228" s="1"/>
      <c r="OKZ228" s="1"/>
      <c r="OLA228" s="1"/>
      <c r="OLB228" s="1"/>
      <c r="OLC228" s="1"/>
      <c r="OLD228" s="1"/>
      <c r="OLE228" s="1"/>
      <c r="OLF228" s="1"/>
      <c r="OLG228" s="1"/>
      <c r="OLH228" s="1"/>
      <c r="OLI228" s="1"/>
      <c r="OLJ228" s="1"/>
      <c r="OLK228" s="1"/>
      <c r="OLL228" s="1"/>
      <c r="OLM228" s="1"/>
      <c r="OLN228" s="1"/>
      <c r="OLO228" s="1"/>
      <c r="OLP228" s="1"/>
      <c r="OLQ228" s="1"/>
      <c r="OLR228" s="1"/>
      <c r="OLS228" s="1"/>
      <c r="OLT228" s="1"/>
      <c r="OLU228" s="1"/>
      <c r="OLV228" s="1"/>
      <c r="OLW228" s="1"/>
      <c r="OLX228" s="1"/>
      <c r="OLY228" s="1"/>
      <c r="OLZ228" s="1"/>
      <c r="OMA228" s="1"/>
      <c r="OMB228" s="1"/>
      <c r="OMC228" s="1"/>
      <c r="OMD228" s="1"/>
      <c r="OME228" s="1"/>
      <c r="OMF228" s="1"/>
      <c r="OMG228" s="1"/>
      <c r="OMH228" s="1"/>
      <c r="OMI228" s="1"/>
      <c r="OMJ228" s="1"/>
      <c r="OMK228" s="1"/>
      <c r="OML228" s="1"/>
      <c r="OMM228" s="1"/>
      <c r="OMN228" s="1"/>
      <c r="OMO228" s="1"/>
      <c r="OMP228" s="1"/>
      <c r="OMQ228" s="1"/>
      <c r="OMR228" s="1"/>
      <c r="OMS228" s="1"/>
      <c r="OMT228" s="1"/>
      <c r="OMU228" s="1"/>
      <c r="OMV228" s="1"/>
      <c r="OMW228" s="1"/>
      <c r="OMX228" s="1"/>
      <c r="OMY228" s="1"/>
      <c r="OMZ228" s="1"/>
      <c r="ONA228" s="1"/>
      <c r="ONB228" s="1"/>
      <c r="ONC228" s="1"/>
      <c r="OND228" s="1"/>
      <c r="ONE228" s="1"/>
      <c r="ONF228" s="1"/>
      <c r="ONG228" s="1"/>
      <c r="ONH228" s="1"/>
      <c r="ONI228" s="1"/>
      <c r="ONJ228" s="1"/>
      <c r="ONK228" s="1"/>
      <c r="ONL228" s="1"/>
      <c r="ONM228" s="1"/>
      <c r="ONN228" s="1"/>
      <c r="ONO228" s="1"/>
      <c r="ONP228" s="1"/>
      <c r="ONQ228" s="1"/>
      <c r="ONR228" s="1"/>
      <c r="ONS228" s="1"/>
      <c r="ONT228" s="1"/>
      <c r="ONU228" s="1"/>
      <c r="ONV228" s="1"/>
      <c r="ONW228" s="1"/>
      <c r="ONX228" s="1"/>
      <c r="ONY228" s="1"/>
      <c r="ONZ228" s="1"/>
      <c r="OOA228" s="1"/>
      <c r="OOB228" s="1"/>
      <c r="OOC228" s="1"/>
      <c r="OOD228" s="1"/>
      <c r="OOE228" s="1"/>
      <c r="OOF228" s="1"/>
      <c r="OOG228" s="1"/>
      <c r="OOH228" s="1"/>
      <c r="OOI228" s="1"/>
      <c r="OOJ228" s="1"/>
      <c r="OOK228" s="1"/>
      <c r="OOL228" s="1"/>
      <c r="OOM228" s="1"/>
      <c r="OON228" s="1"/>
      <c r="OOO228" s="1"/>
      <c r="OOP228" s="1"/>
      <c r="OOQ228" s="1"/>
      <c r="OOR228" s="1"/>
      <c r="OOS228" s="1"/>
      <c r="OOT228" s="1"/>
      <c r="OOU228" s="1"/>
      <c r="OOV228" s="1"/>
      <c r="OOW228" s="1"/>
      <c r="OOX228" s="1"/>
      <c r="OOY228" s="1"/>
      <c r="OOZ228" s="1"/>
      <c r="OPA228" s="1"/>
      <c r="OPB228" s="1"/>
      <c r="OPC228" s="1"/>
      <c r="OPD228" s="1"/>
      <c r="OPE228" s="1"/>
      <c r="OPF228" s="1"/>
      <c r="OPG228" s="1"/>
      <c r="OPH228" s="1"/>
      <c r="OPI228" s="1"/>
      <c r="OPJ228" s="1"/>
      <c r="OPK228" s="1"/>
      <c r="OPL228" s="1"/>
      <c r="OPM228" s="1"/>
      <c r="OPN228" s="1"/>
      <c r="OPO228" s="1"/>
      <c r="OPP228" s="1"/>
      <c r="OPQ228" s="1"/>
      <c r="OPR228" s="1"/>
      <c r="OPS228" s="1"/>
      <c r="OPT228" s="1"/>
      <c r="OPU228" s="1"/>
      <c r="OPV228" s="1"/>
      <c r="OPW228" s="1"/>
      <c r="OPX228" s="1"/>
      <c r="OPY228" s="1"/>
      <c r="OPZ228" s="1"/>
      <c r="OQA228" s="1"/>
      <c r="OQB228" s="1"/>
      <c r="OQC228" s="1"/>
      <c r="OQD228" s="1"/>
      <c r="OQE228" s="1"/>
      <c r="OQF228" s="1"/>
      <c r="OQG228" s="1"/>
      <c r="OQH228" s="1"/>
      <c r="OQI228" s="1"/>
      <c r="OQJ228" s="1"/>
      <c r="OQK228" s="1"/>
      <c r="OQL228" s="1"/>
      <c r="OQM228" s="1"/>
      <c r="OQN228" s="1"/>
      <c r="OQO228" s="1"/>
      <c r="OQP228" s="1"/>
      <c r="OQQ228" s="1"/>
      <c r="OQR228" s="1"/>
      <c r="OQS228" s="1"/>
      <c r="OQT228" s="1"/>
      <c r="OQU228" s="1"/>
      <c r="OQV228" s="1"/>
      <c r="OQW228" s="1"/>
      <c r="OQX228" s="1"/>
      <c r="OQY228" s="1"/>
      <c r="OQZ228" s="1"/>
      <c r="ORA228" s="1"/>
      <c r="ORB228" s="1"/>
      <c r="ORC228" s="1"/>
      <c r="ORD228" s="1"/>
      <c r="ORE228" s="1"/>
      <c r="ORF228" s="1"/>
      <c r="ORG228" s="1"/>
      <c r="ORH228" s="1"/>
      <c r="ORI228" s="1"/>
      <c r="ORJ228" s="1"/>
      <c r="ORK228" s="1"/>
      <c r="ORL228" s="1"/>
      <c r="ORM228" s="1"/>
      <c r="ORN228" s="1"/>
      <c r="ORO228" s="1"/>
      <c r="ORP228" s="1"/>
      <c r="ORQ228" s="1"/>
      <c r="ORR228" s="1"/>
      <c r="ORS228" s="1"/>
      <c r="ORT228" s="1"/>
      <c r="ORU228" s="1"/>
      <c r="ORV228" s="1"/>
      <c r="ORW228" s="1"/>
      <c r="ORX228" s="1"/>
      <c r="ORY228" s="1"/>
      <c r="ORZ228" s="1"/>
      <c r="OSA228" s="1"/>
      <c r="OSB228" s="1"/>
      <c r="OSC228" s="1"/>
      <c r="OSD228" s="1"/>
      <c r="OSE228" s="1"/>
      <c r="OSF228" s="1"/>
      <c r="OSG228" s="1"/>
      <c r="OSH228" s="1"/>
      <c r="OSI228" s="1"/>
      <c r="OSJ228" s="1"/>
      <c r="OSK228" s="1"/>
      <c r="OSL228" s="1"/>
      <c r="OSM228" s="1"/>
      <c r="OSN228" s="1"/>
      <c r="OSO228" s="1"/>
      <c r="OSP228" s="1"/>
      <c r="OSQ228" s="1"/>
      <c r="OSR228" s="1"/>
      <c r="OSS228" s="1"/>
      <c r="OST228" s="1"/>
      <c r="OSU228" s="1"/>
      <c r="OSV228" s="1"/>
      <c r="OSW228" s="1"/>
      <c r="OSX228" s="1"/>
      <c r="OSY228" s="1"/>
      <c r="OSZ228" s="1"/>
      <c r="OTA228" s="1"/>
      <c r="OTB228" s="1"/>
      <c r="OTC228" s="1"/>
      <c r="OTD228" s="1"/>
      <c r="OTE228" s="1"/>
      <c r="OTF228" s="1"/>
      <c r="OTG228" s="1"/>
      <c r="OTH228" s="1"/>
      <c r="OTI228" s="1"/>
      <c r="OTJ228" s="1"/>
      <c r="OTK228" s="1"/>
      <c r="OTL228" s="1"/>
      <c r="OTM228" s="1"/>
      <c r="OTN228" s="1"/>
      <c r="OTO228" s="1"/>
      <c r="OTP228" s="1"/>
      <c r="OTQ228" s="1"/>
      <c r="OTR228" s="1"/>
      <c r="OTS228" s="1"/>
      <c r="OTT228" s="1"/>
      <c r="OTU228" s="1"/>
      <c r="OTV228" s="1"/>
      <c r="OTW228" s="1"/>
      <c r="OTX228" s="1"/>
      <c r="OTY228" s="1"/>
      <c r="OTZ228" s="1"/>
      <c r="OUA228" s="1"/>
      <c r="OUB228" s="1"/>
      <c r="OUC228" s="1"/>
      <c r="OUD228" s="1"/>
      <c r="OUE228" s="1"/>
      <c r="OUF228" s="1"/>
      <c r="OUG228" s="1"/>
      <c r="OUH228" s="1"/>
      <c r="OUI228" s="1"/>
      <c r="OUJ228" s="1"/>
      <c r="OUK228" s="1"/>
      <c r="OUL228" s="1"/>
      <c r="OUM228" s="1"/>
      <c r="OUN228" s="1"/>
      <c r="OUO228" s="1"/>
      <c r="OUP228" s="1"/>
      <c r="OUQ228" s="1"/>
      <c r="OUR228" s="1"/>
      <c r="OUS228" s="1"/>
      <c r="OUT228" s="1"/>
      <c r="OUU228" s="1"/>
      <c r="OUV228" s="1"/>
      <c r="OUW228" s="1"/>
      <c r="OUX228" s="1"/>
      <c r="OUY228" s="1"/>
      <c r="OUZ228" s="1"/>
      <c r="OVA228" s="1"/>
      <c r="OVB228" s="1"/>
      <c r="OVC228" s="1"/>
      <c r="OVD228" s="1"/>
      <c r="OVE228" s="1"/>
      <c r="OVF228" s="1"/>
      <c r="OVG228" s="1"/>
      <c r="OVH228" s="1"/>
      <c r="OVI228" s="1"/>
      <c r="OVJ228" s="1"/>
      <c r="OVK228" s="1"/>
      <c r="OVL228" s="1"/>
      <c r="OVM228" s="1"/>
      <c r="OVN228" s="1"/>
      <c r="OVO228" s="1"/>
      <c r="OVP228" s="1"/>
      <c r="OVQ228" s="1"/>
      <c r="OVR228" s="1"/>
      <c r="OVS228" s="1"/>
      <c r="OVT228" s="1"/>
      <c r="OVU228" s="1"/>
      <c r="OVV228" s="1"/>
      <c r="OVW228" s="1"/>
      <c r="OVX228" s="1"/>
      <c r="OVY228" s="1"/>
      <c r="OVZ228" s="1"/>
      <c r="OWA228" s="1"/>
      <c r="OWB228" s="1"/>
      <c r="OWC228" s="1"/>
      <c r="OWD228" s="1"/>
      <c r="OWE228" s="1"/>
      <c r="OWF228" s="1"/>
      <c r="OWG228" s="1"/>
      <c r="OWH228" s="1"/>
      <c r="OWI228" s="1"/>
      <c r="OWJ228" s="1"/>
      <c r="OWK228" s="1"/>
      <c r="OWL228" s="1"/>
      <c r="OWM228" s="1"/>
      <c r="OWN228" s="1"/>
      <c r="OWO228" s="1"/>
      <c r="OWP228" s="1"/>
      <c r="OWQ228" s="1"/>
      <c r="OWR228" s="1"/>
      <c r="OWS228" s="1"/>
      <c r="OWT228" s="1"/>
      <c r="OWU228" s="1"/>
      <c r="OWV228" s="1"/>
      <c r="OWW228" s="1"/>
      <c r="OWX228" s="1"/>
      <c r="OWY228" s="1"/>
      <c r="OWZ228" s="1"/>
      <c r="OXA228" s="1"/>
      <c r="OXB228" s="1"/>
      <c r="OXC228" s="1"/>
      <c r="OXD228" s="1"/>
      <c r="OXE228" s="1"/>
      <c r="OXF228" s="1"/>
      <c r="OXG228" s="1"/>
      <c r="OXH228" s="1"/>
      <c r="OXI228" s="1"/>
      <c r="OXJ228" s="1"/>
      <c r="OXK228" s="1"/>
      <c r="OXL228" s="1"/>
      <c r="OXM228" s="1"/>
      <c r="OXN228" s="1"/>
      <c r="OXO228" s="1"/>
      <c r="OXP228" s="1"/>
      <c r="OXQ228" s="1"/>
      <c r="OXR228" s="1"/>
      <c r="OXS228" s="1"/>
      <c r="OXT228" s="1"/>
      <c r="OXU228" s="1"/>
      <c r="OXV228" s="1"/>
      <c r="OXW228" s="1"/>
      <c r="OXX228" s="1"/>
      <c r="OXY228" s="1"/>
      <c r="OXZ228" s="1"/>
      <c r="OYA228" s="1"/>
      <c r="OYB228" s="1"/>
      <c r="OYC228" s="1"/>
      <c r="OYD228" s="1"/>
      <c r="OYE228" s="1"/>
      <c r="OYF228" s="1"/>
      <c r="OYG228" s="1"/>
      <c r="OYH228" s="1"/>
      <c r="OYI228" s="1"/>
      <c r="OYJ228" s="1"/>
      <c r="OYK228" s="1"/>
      <c r="OYL228" s="1"/>
      <c r="OYM228" s="1"/>
      <c r="OYN228" s="1"/>
      <c r="OYO228" s="1"/>
      <c r="OYP228" s="1"/>
      <c r="OYQ228" s="1"/>
      <c r="OYR228" s="1"/>
      <c r="OYS228" s="1"/>
      <c r="OYT228" s="1"/>
      <c r="OYU228" s="1"/>
      <c r="OYV228" s="1"/>
      <c r="OYW228" s="1"/>
      <c r="OYX228" s="1"/>
      <c r="OYY228" s="1"/>
      <c r="OYZ228" s="1"/>
      <c r="OZA228" s="1"/>
      <c r="OZB228" s="1"/>
      <c r="OZC228" s="1"/>
      <c r="OZD228" s="1"/>
      <c r="OZE228" s="1"/>
      <c r="OZF228" s="1"/>
      <c r="OZG228" s="1"/>
      <c r="OZH228" s="1"/>
      <c r="OZI228" s="1"/>
      <c r="OZJ228" s="1"/>
      <c r="OZK228" s="1"/>
      <c r="OZL228" s="1"/>
      <c r="OZM228" s="1"/>
      <c r="OZN228" s="1"/>
      <c r="OZO228" s="1"/>
      <c r="OZP228" s="1"/>
      <c r="OZQ228" s="1"/>
      <c r="OZR228" s="1"/>
      <c r="OZS228" s="1"/>
      <c r="OZT228" s="1"/>
      <c r="OZU228" s="1"/>
      <c r="OZV228" s="1"/>
      <c r="OZW228" s="1"/>
      <c r="OZX228" s="1"/>
      <c r="OZY228" s="1"/>
      <c r="OZZ228" s="1"/>
      <c r="PAA228" s="1"/>
      <c r="PAB228" s="1"/>
      <c r="PAC228" s="1"/>
      <c r="PAD228" s="1"/>
      <c r="PAE228" s="1"/>
      <c r="PAF228" s="1"/>
      <c r="PAG228" s="1"/>
      <c r="PAH228" s="1"/>
      <c r="PAI228" s="1"/>
      <c r="PAJ228" s="1"/>
      <c r="PAK228" s="1"/>
      <c r="PAL228" s="1"/>
      <c r="PAM228" s="1"/>
      <c r="PAN228" s="1"/>
      <c r="PAO228" s="1"/>
      <c r="PAP228" s="1"/>
      <c r="PAQ228" s="1"/>
      <c r="PAR228" s="1"/>
      <c r="PAS228" s="1"/>
      <c r="PAT228" s="1"/>
      <c r="PAU228" s="1"/>
      <c r="PAV228" s="1"/>
      <c r="PAW228" s="1"/>
      <c r="PAX228" s="1"/>
      <c r="PAY228" s="1"/>
      <c r="PAZ228" s="1"/>
      <c r="PBA228" s="1"/>
      <c r="PBB228" s="1"/>
      <c r="PBC228" s="1"/>
      <c r="PBD228" s="1"/>
      <c r="PBE228" s="1"/>
      <c r="PBF228" s="1"/>
      <c r="PBG228" s="1"/>
      <c r="PBH228" s="1"/>
      <c r="PBI228" s="1"/>
      <c r="PBJ228" s="1"/>
      <c r="PBK228" s="1"/>
      <c r="PBL228" s="1"/>
      <c r="PBM228" s="1"/>
      <c r="PBN228" s="1"/>
      <c r="PBO228" s="1"/>
      <c r="PBP228" s="1"/>
      <c r="PBQ228" s="1"/>
      <c r="PBR228" s="1"/>
      <c r="PBS228" s="1"/>
      <c r="PBT228" s="1"/>
      <c r="PBU228" s="1"/>
      <c r="PBV228" s="1"/>
      <c r="PBW228" s="1"/>
      <c r="PBX228" s="1"/>
      <c r="PBY228" s="1"/>
      <c r="PBZ228" s="1"/>
      <c r="PCA228" s="1"/>
      <c r="PCB228" s="1"/>
      <c r="PCC228" s="1"/>
      <c r="PCD228" s="1"/>
      <c r="PCE228" s="1"/>
      <c r="PCF228" s="1"/>
      <c r="PCG228" s="1"/>
      <c r="PCH228" s="1"/>
      <c r="PCI228" s="1"/>
      <c r="PCJ228" s="1"/>
      <c r="PCK228" s="1"/>
      <c r="PCL228" s="1"/>
      <c r="PCM228" s="1"/>
      <c r="PCN228" s="1"/>
      <c r="PCO228" s="1"/>
      <c r="PCP228" s="1"/>
      <c r="PCQ228" s="1"/>
      <c r="PCR228" s="1"/>
      <c r="PCS228" s="1"/>
      <c r="PCT228" s="1"/>
      <c r="PCU228" s="1"/>
      <c r="PCV228" s="1"/>
      <c r="PCW228" s="1"/>
      <c r="PCX228" s="1"/>
      <c r="PCY228" s="1"/>
      <c r="PCZ228" s="1"/>
      <c r="PDA228" s="1"/>
      <c r="PDB228" s="1"/>
      <c r="PDC228" s="1"/>
      <c r="PDD228" s="1"/>
      <c r="PDE228" s="1"/>
      <c r="PDF228" s="1"/>
      <c r="PDG228" s="1"/>
      <c r="PDH228" s="1"/>
      <c r="PDI228" s="1"/>
      <c r="PDJ228" s="1"/>
      <c r="PDK228" s="1"/>
      <c r="PDL228" s="1"/>
      <c r="PDM228" s="1"/>
      <c r="PDN228" s="1"/>
      <c r="PDO228" s="1"/>
      <c r="PDP228" s="1"/>
      <c r="PDQ228" s="1"/>
      <c r="PDR228" s="1"/>
      <c r="PDS228" s="1"/>
      <c r="PDT228" s="1"/>
      <c r="PDU228" s="1"/>
      <c r="PDV228" s="1"/>
      <c r="PDW228" s="1"/>
      <c r="PDX228" s="1"/>
      <c r="PDY228" s="1"/>
      <c r="PDZ228" s="1"/>
      <c r="PEA228" s="1"/>
      <c r="PEB228" s="1"/>
      <c r="PEC228" s="1"/>
      <c r="PED228" s="1"/>
      <c r="PEE228" s="1"/>
      <c r="PEF228" s="1"/>
      <c r="PEG228" s="1"/>
      <c r="PEH228" s="1"/>
      <c r="PEI228" s="1"/>
      <c r="PEJ228" s="1"/>
      <c r="PEK228" s="1"/>
      <c r="PEL228" s="1"/>
      <c r="PEM228" s="1"/>
      <c r="PEN228" s="1"/>
      <c r="PEO228" s="1"/>
      <c r="PEP228" s="1"/>
      <c r="PEQ228" s="1"/>
      <c r="PER228" s="1"/>
      <c r="PES228" s="1"/>
      <c r="PET228" s="1"/>
      <c r="PEU228" s="1"/>
      <c r="PEV228" s="1"/>
      <c r="PEW228" s="1"/>
      <c r="PEX228" s="1"/>
      <c r="PEY228" s="1"/>
      <c r="PEZ228" s="1"/>
      <c r="PFA228" s="1"/>
      <c r="PFB228" s="1"/>
      <c r="PFC228" s="1"/>
      <c r="PFD228" s="1"/>
      <c r="PFE228" s="1"/>
      <c r="PFF228" s="1"/>
      <c r="PFG228" s="1"/>
      <c r="PFH228" s="1"/>
      <c r="PFI228" s="1"/>
      <c r="PFJ228" s="1"/>
      <c r="PFK228" s="1"/>
      <c r="PFL228" s="1"/>
      <c r="PFM228" s="1"/>
      <c r="PFN228" s="1"/>
      <c r="PFO228" s="1"/>
      <c r="PFP228" s="1"/>
      <c r="PFQ228" s="1"/>
      <c r="PFR228" s="1"/>
      <c r="PFS228" s="1"/>
      <c r="PFT228" s="1"/>
      <c r="PFU228" s="1"/>
      <c r="PFV228" s="1"/>
      <c r="PFW228" s="1"/>
      <c r="PFX228" s="1"/>
      <c r="PFY228" s="1"/>
      <c r="PFZ228" s="1"/>
      <c r="PGA228" s="1"/>
      <c r="PGB228" s="1"/>
      <c r="PGC228" s="1"/>
      <c r="PGD228" s="1"/>
      <c r="PGE228" s="1"/>
      <c r="PGF228" s="1"/>
      <c r="PGG228" s="1"/>
      <c r="PGH228" s="1"/>
      <c r="PGI228" s="1"/>
      <c r="PGJ228" s="1"/>
      <c r="PGK228" s="1"/>
      <c r="PGL228" s="1"/>
      <c r="PGM228" s="1"/>
      <c r="PGN228" s="1"/>
      <c r="PGO228" s="1"/>
      <c r="PGP228" s="1"/>
      <c r="PGQ228" s="1"/>
      <c r="PGR228" s="1"/>
      <c r="PGS228" s="1"/>
      <c r="PGT228" s="1"/>
      <c r="PGU228" s="1"/>
      <c r="PGV228" s="1"/>
      <c r="PGW228" s="1"/>
      <c r="PGX228" s="1"/>
      <c r="PGY228" s="1"/>
      <c r="PGZ228" s="1"/>
      <c r="PHA228" s="1"/>
      <c r="PHB228" s="1"/>
      <c r="PHC228" s="1"/>
      <c r="PHD228" s="1"/>
      <c r="PHE228" s="1"/>
      <c r="PHF228" s="1"/>
      <c r="PHG228" s="1"/>
      <c r="PHH228" s="1"/>
      <c r="PHI228" s="1"/>
      <c r="PHJ228" s="1"/>
      <c r="PHK228" s="1"/>
      <c r="PHL228" s="1"/>
      <c r="PHM228" s="1"/>
      <c r="PHN228" s="1"/>
      <c r="PHO228" s="1"/>
      <c r="PHP228" s="1"/>
      <c r="PHQ228" s="1"/>
      <c r="PHR228" s="1"/>
      <c r="PHS228" s="1"/>
      <c r="PHT228" s="1"/>
      <c r="PHU228" s="1"/>
      <c r="PHV228" s="1"/>
      <c r="PHW228" s="1"/>
      <c r="PHX228" s="1"/>
      <c r="PHY228" s="1"/>
      <c r="PHZ228" s="1"/>
      <c r="PIA228" s="1"/>
      <c r="PIB228" s="1"/>
      <c r="PIC228" s="1"/>
      <c r="PID228" s="1"/>
      <c r="PIE228" s="1"/>
      <c r="PIF228" s="1"/>
      <c r="PIG228" s="1"/>
      <c r="PIH228" s="1"/>
      <c r="PII228" s="1"/>
      <c r="PIJ228" s="1"/>
      <c r="PIK228" s="1"/>
      <c r="PIL228" s="1"/>
      <c r="PIM228" s="1"/>
      <c r="PIN228" s="1"/>
      <c r="PIO228" s="1"/>
      <c r="PIP228" s="1"/>
      <c r="PIQ228" s="1"/>
      <c r="PIR228" s="1"/>
      <c r="PIS228" s="1"/>
      <c r="PIT228" s="1"/>
      <c r="PIU228" s="1"/>
      <c r="PIV228" s="1"/>
      <c r="PIW228" s="1"/>
      <c r="PIX228" s="1"/>
      <c r="PIY228" s="1"/>
      <c r="PIZ228" s="1"/>
      <c r="PJA228" s="1"/>
      <c r="PJB228" s="1"/>
      <c r="PJC228" s="1"/>
      <c r="PJD228" s="1"/>
      <c r="PJE228" s="1"/>
      <c r="PJF228" s="1"/>
      <c r="PJG228" s="1"/>
      <c r="PJH228" s="1"/>
      <c r="PJI228" s="1"/>
      <c r="PJJ228" s="1"/>
      <c r="PJK228" s="1"/>
      <c r="PJL228" s="1"/>
      <c r="PJM228" s="1"/>
      <c r="PJN228" s="1"/>
      <c r="PJO228" s="1"/>
      <c r="PJP228" s="1"/>
      <c r="PJQ228" s="1"/>
      <c r="PJR228" s="1"/>
      <c r="PJS228" s="1"/>
      <c r="PJT228" s="1"/>
      <c r="PJU228" s="1"/>
      <c r="PJV228" s="1"/>
      <c r="PJW228" s="1"/>
      <c r="PJX228" s="1"/>
      <c r="PJY228" s="1"/>
      <c r="PJZ228" s="1"/>
      <c r="PKA228" s="1"/>
      <c r="PKB228" s="1"/>
      <c r="PKC228" s="1"/>
      <c r="PKD228" s="1"/>
      <c r="PKE228" s="1"/>
      <c r="PKF228" s="1"/>
      <c r="PKG228" s="1"/>
      <c r="PKH228" s="1"/>
      <c r="PKI228" s="1"/>
      <c r="PKJ228" s="1"/>
      <c r="PKK228" s="1"/>
      <c r="PKL228" s="1"/>
      <c r="PKM228" s="1"/>
      <c r="PKN228" s="1"/>
      <c r="PKO228" s="1"/>
      <c r="PKP228" s="1"/>
      <c r="PKQ228" s="1"/>
      <c r="PKR228" s="1"/>
      <c r="PKS228" s="1"/>
      <c r="PKT228" s="1"/>
      <c r="PKU228" s="1"/>
      <c r="PKV228" s="1"/>
      <c r="PKW228" s="1"/>
      <c r="PKX228" s="1"/>
      <c r="PKY228" s="1"/>
      <c r="PKZ228" s="1"/>
      <c r="PLA228" s="1"/>
      <c r="PLB228" s="1"/>
      <c r="PLC228" s="1"/>
      <c r="PLD228" s="1"/>
      <c r="PLE228" s="1"/>
      <c r="PLF228" s="1"/>
      <c r="PLG228" s="1"/>
      <c r="PLH228" s="1"/>
      <c r="PLI228" s="1"/>
      <c r="PLJ228" s="1"/>
      <c r="PLK228" s="1"/>
      <c r="PLL228" s="1"/>
      <c r="PLM228" s="1"/>
      <c r="PLN228" s="1"/>
      <c r="PLO228" s="1"/>
      <c r="PLP228" s="1"/>
      <c r="PLQ228" s="1"/>
      <c r="PLR228" s="1"/>
      <c r="PLS228" s="1"/>
      <c r="PLT228" s="1"/>
      <c r="PLU228" s="1"/>
      <c r="PLV228" s="1"/>
      <c r="PLW228" s="1"/>
      <c r="PLX228" s="1"/>
      <c r="PLY228" s="1"/>
      <c r="PLZ228" s="1"/>
      <c r="PMA228" s="1"/>
      <c r="PMB228" s="1"/>
      <c r="PMC228" s="1"/>
      <c r="PMD228" s="1"/>
      <c r="PME228" s="1"/>
      <c r="PMF228" s="1"/>
      <c r="PMG228" s="1"/>
      <c r="PMH228" s="1"/>
      <c r="PMI228" s="1"/>
      <c r="PMJ228" s="1"/>
      <c r="PMK228" s="1"/>
      <c r="PML228" s="1"/>
      <c r="PMM228" s="1"/>
      <c r="PMN228" s="1"/>
      <c r="PMO228" s="1"/>
      <c r="PMP228" s="1"/>
      <c r="PMQ228" s="1"/>
      <c r="PMR228" s="1"/>
      <c r="PMS228" s="1"/>
      <c r="PMT228" s="1"/>
      <c r="PMU228" s="1"/>
      <c r="PMV228" s="1"/>
      <c r="PMW228" s="1"/>
      <c r="PMX228" s="1"/>
      <c r="PMY228" s="1"/>
      <c r="PMZ228" s="1"/>
      <c r="PNA228" s="1"/>
      <c r="PNB228" s="1"/>
      <c r="PNC228" s="1"/>
      <c r="PND228" s="1"/>
      <c r="PNE228" s="1"/>
      <c r="PNF228" s="1"/>
      <c r="PNG228" s="1"/>
      <c r="PNH228" s="1"/>
      <c r="PNI228" s="1"/>
      <c r="PNJ228" s="1"/>
      <c r="PNK228" s="1"/>
      <c r="PNL228" s="1"/>
      <c r="PNM228" s="1"/>
      <c r="PNN228" s="1"/>
      <c r="PNO228" s="1"/>
      <c r="PNP228" s="1"/>
      <c r="PNQ228" s="1"/>
      <c r="PNR228" s="1"/>
      <c r="PNS228" s="1"/>
      <c r="PNT228" s="1"/>
      <c r="PNU228" s="1"/>
      <c r="PNV228" s="1"/>
      <c r="PNW228" s="1"/>
      <c r="PNX228" s="1"/>
      <c r="PNY228" s="1"/>
      <c r="PNZ228" s="1"/>
      <c r="POA228" s="1"/>
      <c r="POB228" s="1"/>
      <c r="POC228" s="1"/>
      <c r="POD228" s="1"/>
      <c r="POE228" s="1"/>
      <c r="POF228" s="1"/>
      <c r="POG228" s="1"/>
      <c r="POH228" s="1"/>
      <c r="POI228" s="1"/>
      <c r="POJ228" s="1"/>
      <c r="POK228" s="1"/>
      <c r="POL228" s="1"/>
      <c r="POM228" s="1"/>
      <c r="PON228" s="1"/>
      <c r="POO228" s="1"/>
      <c r="POP228" s="1"/>
      <c r="POQ228" s="1"/>
      <c r="POR228" s="1"/>
      <c r="POS228" s="1"/>
      <c r="POT228" s="1"/>
      <c r="POU228" s="1"/>
      <c r="POV228" s="1"/>
      <c r="POW228" s="1"/>
      <c r="POX228" s="1"/>
      <c r="POY228" s="1"/>
      <c r="POZ228" s="1"/>
      <c r="PPA228" s="1"/>
      <c r="PPB228" s="1"/>
      <c r="PPC228" s="1"/>
      <c r="PPD228" s="1"/>
      <c r="PPE228" s="1"/>
      <c r="PPF228" s="1"/>
      <c r="PPG228" s="1"/>
      <c r="PPH228" s="1"/>
      <c r="PPI228" s="1"/>
      <c r="PPJ228" s="1"/>
      <c r="PPK228" s="1"/>
      <c r="PPL228" s="1"/>
      <c r="PPM228" s="1"/>
      <c r="PPN228" s="1"/>
      <c r="PPO228" s="1"/>
      <c r="PPP228" s="1"/>
      <c r="PPQ228" s="1"/>
      <c r="PPR228" s="1"/>
      <c r="PPS228" s="1"/>
      <c r="PPT228" s="1"/>
      <c r="PPU228" s="1"/>
      <c r="PPV228" s="1"/>
      <c r="PPW228" s="1"/>
      <c r="PPX228" s="1"/>
      <c r="PPY228" s="1"/>
      <c r="PPZ228" s="1"/>
      <c r="PQA228" s="1"/>
      <c r="PQB228" s="1"/>
      <c r="PQC228" s="1"/>
      <c r="PQD228" s="1"/>
      <c r="PQE228" s="1"/>
      <c r="PQF228" s="1"/>
      <c r="PQG228" s="1"/>
      <c r="PQH228" s="1"/>
      <c r="PQI228" s="1"/>
      <c r="PQJ228" s="1"/>
      <c r="PQK228" s="1"/>
      <c r="PQL228" s="1"/>
      <c r="PQM228" s="1"/>
      <c r="PQN228" s="1"/>
      <c r="PQO228" s="1"/>
      <c r="PQP228" s="1"/>
      <c r="PQQ228" s="1"/>
      <c r="PQR228" s="1"/>
      <c r="PQS228" s="1"/>
      <c r="PQT228" s="1"/>
      <c r="PQU228" s="1"/>
      <c r="PQV228" s="1"/>
      <c r="PQW228" s="1"/>
      <c r="PQX228" s="1"/>
      <c r="PQY228" s="1"/>
      <c r="PQZ228" s="1"/>
      <c r="PRA228" s="1"/>
      <c r="PRB228" s="1"/>
      <c r="PRC228" s="1"/>
      <c r="PRD228" s="1"/>
      <c r="PRE228" s="1"/>
      <c r="PRF228" s="1"/>
      <c r="PRG228" s="1"/>
      <c r="PRH228" s="1"/>
      <c r="PRI228" s="1"/>
      <c r="PRJ228" s="1"/>
      <c r="PRK228" s="1"/>
      <c r="PRL228" s="1"/>
      <c r="PRM228" s="1"/>
      <c r="PRN228" s="1"/>
      <c r="PRO228" s="1"/>
      <c r="PRP228" s="1"/>
      <c r="PRQ228" s="1"/>
      <c r="PRR228" s="1"/>
      <c r="PRS228" s="1"/>
      <c r="PRT228" s="1"/>
      <c r="PRU228" s="1"/>
      <c r="PRV228" s="1"/>
      <c r="PRW228" s="1"/>
      <c r="PRX228" s="1"/>
      <c r="PRY228" s="1"/>
      <c r="PRZ228" s="1"/>
      <c r="PSA228" s="1"/>
      <c r="PSB228" s="1"/>
      <c r="PSC228" s="1"/>
      <c r="PSD228" s="1"/>
      <c r="PSE228" s="1"/>
      <c r="PSF228" s="1"/>
      <c r="PSG228" s="1"/>
      <c r="PSH228" s="1"/>
      <c r="PSI228" s="1"/>
      <c r="PSJ228" s="1"/>
      <c r="PSK228" s="1"/>
      <c r="PSL228" s="1"/>
      <c r="PSM228" s="1"/>
      <c r="PSN228" s="1"/>
      <c r="PSO228" s="1"/>
      <c r="PSP228" s="1"/>
      <c r="PSQ228" s="1"/>
      <c r="PSR228" s="1"/>
      <c r="PSS228" s="1"/>
      <c r="PST228" s="1"/>
      <c r="PSU228" s="1"/>
      <c r="PSV228" s="1"/>
      <c r="PSW228" s="1"/>
      <c r="PSX228" s="1"/>
      <c r="PSY228" s="1"/>
      <c r="PSZ228" s="1"/>
      <c r="PTA228" s="1"/>
      <c r="PTB228" s="1"/>
      <c r="PTC228" s="1"/>
      <c r="PTD228" s="1"/>
      <c r="PTE228" s="1"/>
      <c r="PTF228" s="1"/>
      <c r="PTG228" s="1"/>
      <c r="PTH228" s="1"/>
      <c r="PTI228" s="1"/>
      <c r="PTJ228" s="1"/>
      <c r="PTK228" s="1"/>
      <c r="PTL228" s="1"/>
      <c r="PTM228" s="1"/>
      <c r="PTN228" s="1"/>
      <c r="PTO228" s="1"/>
      <c r="PTP228" s="1"/>
      <c r="PTQ228" s="1"/>
      <c r="PTR228" s="1"/>
      <c r="PTS228" s="1"/>
      <c r="PTT228" s="1"/>
      <c r="PTU228" s="1"/>
      <c r="PTV228" s="1"/>
      <c r="PTW228" s="1"/>
      <c r="PTX228" s="1"/>
      <c r="PTY228" s="1"/>
      <c r="PTZ228" s="1"/>
      <c r="PUA228" s="1"/>
      <c r="PUB228" s="1"/>
      <c r="PUC228" s="1"/>
      <c r="PUD228" s="1"/>
      <c r="PUE228" s="1"/>
      <c r="PUF228" s="1"/>
      <c r="PUG228" s="1"/>
      <c r="PUH228" s="1"/>
      <c r="PUI228" s="1"/>
      <c r="PUJ228" s="1"/>
      <c r="PUK228" s="1"/>
      <c r="PUL228" s="1"/>
      <c r="PUM228" s="1"/>
      <c r="PUN228" s="1"/>
      <c r="PUO228" s="1"/>
      <c r="PUP228" s="1"/>
      <c r="PUQ228" s="1"/>
      <c r="PUR228" s="1"/>
      <c r="PUS228" s="1"/>
      <c r="PUT228" s="1"/>
      <c r="PUU228" s="1"/>
      <c r="PUV228" s="1"/>
      <c r="PUW228" s="1"/>
      <c r="PUX228" s="1"/>
      <c r="PUY228" s="1"/>
      <c r="PUZ228" s="1"/>
      <c r="PVA228" s="1"/>
      <c r="PVB228" s="1"/>
      <c r="PVC228" s="1"/>
      <c r="PVD228" s="1"/>
      <c r="PVE228" s="1"/>
      <c r="PVF228" s="1"/>
      <c r="PVG228" s="1"/>
      <c r="PVH228" s="1"/>
      <c r="PVI228" s="1"/>
      <c r="PVJ228" s="1"/>
      <c r="PVK228" s="1"/>
      <c r="PVL228" s="1"/>
      <c r="PVM228" s="1"/>
      <c r="PVN228" s="1"/>
      <c r="PVO228" s="1"/>
      <c r="PVP228" s="1"/>
      <c r="PVQ228" s="1"/>
      <c r="PVR228" s="1"/>
      <c r="PVS228" s="1"/>
      <c r="PVT228" s="1"/>
      <c r="PVU228" s="1"/>
      <c r="PVV228" s="1"/>
      <c r="PVW228" s="1"/>
      <c r="PVX228" s="1"/>
      <c r="PVY228" s="1"/>
      <c r="PVZ228" s="1"/>
      <c r="PWA228" s="1"/>
      <c r="PWB228" s="1"/>
      <c r="PWC228" s="1"/>
      <c r="PWD228" s="1"/>
      <c r="PWE228" s="1"/>
      <c r="PWF228" s="1"/>
      <c r="PWG228" s="1"/>
      <c r="PWH228" s="1"/>
      <c r="PWI228" s="1"/>
      <c r="PWJ228" s="1"/>
      <c r="PWK228" s="1"/>
      <c r="PWL228" s="1"/>
      <c r="PWM228" s="1"/>
      <c r="PWN228" s="1"/>
      <c r="PWO228" s="1"/>
      <c r="PWP228" s="1"/>
      <c r="PWQ228" s="1"/>
      <c r="PWR228" s="1"/>
      <c r="PWS228" s="1"/>
      <c r="PWT228" s="1"/>
      <c r="PWU228" s="1"/>
      <c r="PWV228" s="1"/>
      <c r="PWW228" s="1"/>
      <c r="PWX228" s="1"/>
      <c r="PWY228" s="1"/>
      <c r="PWZ228" s="1"/>
      <c r="PXA228" s="1"/>
      <c r="PXB228" s="1"/>
      <c r="PXC228" s="1"/>
      <c r="PXD228" s="1"/>
      <c r="PXE228" s="1"/>
      <c r="PXF228" s="1"/>
      <c r="PXG228" s="1"/>
      <c r="PXH228" s="1"/>
      <c r="PXI228" s="1"/>
      <c r="PXJ228" s="1"/>
      <c r="PXK228" s="1"/>
      <c r="PXL228" s="1"/>
      <c r="PXM228" s="1"/>
      <c r="PXN228" s="1"/>
      <c r="PXO228" s="1"/>
      <c r="PXP228" s="1"/>
      <c r="PXQ228" s="1"/>
      <c r="PXR228" s="1"/>
      <c r="PXS228" s="1"/>
      <c r="PXT228" s="1"/>
      <c r="PXU228" s="1"/>
      <c r="PXV228" s="1"/>
      <c r="PXW228" s="1"/>
      <c r="PXX228" s="1"/>
      <c r="PXY228" s="1"/>
      <c r="PXZ228" s="1"/>
      <c r="PYA228" s="1"/>
      <c r="PYB228" s="1"/>
      <c r="PYC228" s="1"/>
      <c r="PYD228" s="1"/>
      <c r="PYE228" s="1"/>
      <c r="PYF228" s="1"/>
      <c r="PYG228" s="1"/>
      <c r="PYH228" s="1"/>
      <c r="PYI228" s="1"/>
      <c r="PYJ228" s="1"/>
      <c r="PYK228" s="1"/>
      <c r="PYL228" s="1"/>
      <c r="PYM228" s="1"/>
      <c r="PYN228" s="1"/>
      <c r="PYO228" s="1"/>
      <c r="PYP228" s="1"/>
      <c r="PYQ228" s="1"/>
      <c r="PYR228" s="1"/>
      <c r="PYS228" s="1"/>
      <c r="PYT228" s="1"/>
      <c r="PYU228" s="1"/>
      <c r="PYV228" s="1"/>
      <c r="PYW228" s="1"/>
      <c r="PYX228" s="1"/>
      <c r="PYY228" s="1"/>
      <c r="PYZ228" s="1"/>
      <c r="PZA228" s="1"/>
      <c r="PZB228" s="1"/>
      <c r="PZC228" s="1"/>
      <c r="PZD228" s="1"/>
      <c r="PZE228" s="1"/>
      <c r="PZF228" s="1"/>
      <c r="PZG228" s="1"/>
      <c r="PZH228" s="1"/>
      <c r="PZI228" s="1"/>
      <c r="PZJ228" s="1"/>
      <c r="PZK228" s="1"/>
      <c r="PZL228" s="1"/>
      <c r="PZM228" s="1"/>
      <c r="PZN228" s="1"/>
      <c r="PZO228" s="1"/>
      <c r="PZP228" s="1"/>
      <c r="PZQ228" s="1"/>
      <c r="PZR228" s="1"/>
      <c r="PZS228" s="1"/>
      <c r="PZT228" s="1"/>
      <c r="PZU228" s="1"/>
      <c r="PZV228" s="1"/>
      <c r="PZW228" s="1"/>
      <c r="PZX228" s="1"/>
      <c r="PZY228" s="1"/>
      <c r="PZZ228" s="1"/>
      <c r="QAA228" s="1"/>
      <c r="QAB228" s="1"/>
      <c r="QAC228" s="1"/>
      <c r="QAD228" s="1"/>
      <c r="QAE228" s="1"/>
      <c r="QAF228" s="1"/>
      <c r="QAG228" s="1"/>
      <c r="QAH228" s="1"/>
      <c r="QAI228" s="1"/>
      <c r="QAJ228" s="1"/>
      <c r="QAK228" s="1"/>
      <c r="QAL228" s="1"/>
      <c r="QAM228" s="1"/>
      <c r="QAN228" s="1"/>
      <c r="QAO228" s="1"/>
      <c r="QAP228" s="1"/>
      <c r="QAQ228" s="1"/>
      <c r="QAR228" s="1"/>
      <c r="QAS228" s="1"/>
      <c r="QAT228" s="1"/>
      <c r="QAU228" s="1"/>
      <c r="QAV228" s="1"/>
      <c r="QAW228" s="1"/>
      <c r="QAX228" s="1"/>
      <c r="QAY228" s="1"/>
      <c r="QAZ228" s="1"/>
      <c r="QBA228" s="1"/>
      <c r="QBB228" s="1"/>
      <c r="QBC228" s="1"/>
      <c r="QBD228" s="1"/>
      <c r="QBE228" s="1"/>
      <c r="QBF228" s="1"/>
      <c r="QBG228" s="1"/>
      <c r="QBH228" s="1"/>
      <c r="QBI228" s="1"/>
      <c r="QBJ228" s="1"/>
      <c r="QBK228" s="1"/>
      <c r="QBL228" s="1"/>
      <c r="QBM228" s="1"/>
      <c r="QBN228" s="1"/>
      <c r="QBO228" s="1"/>
      <c r="QBP228" s="1"/>
      <c r="QBQ228" s="1"/>
      <c r="QBR228" s="1"/>
      <c r="QBS228" s="1"/>
      <c r="QBT228" s="1"/>
      <c r="QBU228" s="1"/>
      <c r="QBV228" s="1"/>
      <c r="QBW228" s="1"/>
      <c r="QBX228" s="1"/>
      <c r="QBY228" s="1"/>
      <c r="QBZ228" s="1"/>
      <c r="QCA228" s="1"/>
      <c r="QCB228" s="1"/>
      <c r="QCC228" s="1"/>
      <c r="QCD228" s="1"/>
      <c r="QCE228" s="1"/>
      <c r="QCF228" s="1"/>
      <c r="QCG228" s="1"/>
      <c r="QCH228" s="1"/>
      <c r="QCI228" s="1"/>
      <c r="QCJ228" s="1"/>
      <c r="QCK228" s="1"/>
      <c r="QCL228" s="1"/>
      <c r="QCM228" s="1"/>
      <c r="QCN228" s="1"/>
      <c r="QCO228" s="1"/>
      <c r="QCP228" s="1"/>
      <c r="QCQ228" s="1"/>
      <c r="QCR228" s="1"/>
      <c r="QCS228" s="1"/>
      <c r="QCT228" s="1"/>
      <c r="QCU228" s="1"/>
      <c r="QCV228" s="1"/>
      <c r="QCW228" s="1"/>
      <c r="QCX228" s="1"/>
      <c r="QCY228" s="1"/>
      <c r="QCZ228" s="1"/>
      <c r="QDA228" s="1"/>
      <c r="QDB228" s="1"/>
      <c r="QDC228" s="1"/>
      <c r="QDD228" s="1"/>
      <c r="QDE228" s="1"/>
      <c r="QDF228" s="1"/>
      <c r="QDG228" s="1"/>
      <c r="QDH228" s="1"/>
      <c r="QDI228" s="1"/>
      <c r="QDJ228" s="1"/>
      <c r="QDK228" s="1"/>
      <c r="QDL228" s="1"/>
      <c r="QDM228" s="1"/>
      <c r="QDN228" s="1"/>
      <c r="QDO228" s="1"/>
      <c r="QDP228" s="1"/>
      <c r="QDQ228" s="1"/>
      <c r="QDR228" s="1"/>
      <c r="QDS228" s="1"/>
      <c r="QDT228" s="1"/>
      <c r="QDU228" s="1"/>
      <c r="QDV228" s="1"/>
      <c r="QDW228" s="1"/>
      <c r="QDX228" s="1"/>
      <c r="QDY228" s="1"/>
      <c r="QDZ228" s="1"/>
      <c r="QEA228" s="1"/>
      <c r="QEB228" s="1"/>
      <c r="QEC228" s="1"/>
      <c r="QED228" s="1"/>
      <c r="QEE228" s="1"/>
      <c r="QEF228" s="1"/>
      <c r="QEG228" s="1"/>
      <c r="QEH228" s="1"/>
      <c r="QEI228" s="1"/>
      <c r="QEJ228" s="1"/>
      <c r="QEK228" s="1"/>
      <c r="QEL228" s="1"/>
      <c r="QEM228" s="1"/>
      <c r="QEN228" s="1"/>
      <c r="QEO228" s="1"/>
      <c r="QEP228" s="1"/>
      <c r="QEQ228" s="1"/>
      <c r="QER228" s="1"/>
      <c r="QES228" s="1"/>
      <c r="QET228" s="1"/>
      <c r="QEU228" s="1"/>
      <c r="QEV228" s="1"/>
      <c r="QEW228" s="1"/>
      <c r="QEX228" s="1"/>
      <c r="QEY228" s="1"/>
      <c r="QEZ228" s="1"/>
      <c r="QFA228" s="1"/>
      <c r="QFB228" s="1"/>
      <c r="QFC228" s="1"/>
      <c r="QFD228" s="1"/>
      <c r="QFE228" s="1"/>
      <c r="QFF228" s="1"/>
      <c r="QFG228" s="1"/>
      <c r="QFH228" s="1"/>
      <c r="QFI228" s="1"/>
      <c r="QFJ228" s="1"/>
      <c r="QFK228" s="1"/>
      <c r="QFL228" s="1"/>
      <c r="QFM228" s="1"/>
      <c r="QFN228" s="1"/>
      <c r="QFO228" s="1"/>
      <c r="QFP228" s="1"/>
      <c r="QFQ228" s="1"/>
      <c r="QFR228" s="1"/>
      <c r="QFS228" s="1"/>
      <c r="QFT228" s="1"/>
      <c r="QFU228" s="1"/>
      <c r="QFV228" s="1"/>
      <c r="QFW228" s="1"/>
      <c r="QFX228" s="1"/>
      <c r="QFY228" s="1"/>
      <c r="QFZ228" s="1"/>
      <c r="QGA228" s="1"/>
      <c r="QGB228" s="1"/>
      <c r="QGC228" s="1"/>
      <c r="QGD228" s="1"/>
      <c r="QGE228" s="1"/>
      <c r="QGF228" s="1"/>
      <c r="QGG228" s="1"/>
      <c r="QGH228" s="1"/>
      <c r="QGI228" s="1"/>
      <c r="QGJ228" s="1"/>
      <c r="QGK228" s="1"/>
      <c r="QGL228" s="1"/>
      <c r="QGM228" s="1"/>
      <c r="QGN228" s="1"/>
      <c r="QGO228" s="1"/>
      <c r="QGP228" s="1"/>
      <c r="QGQ228" s="1"/>
      <c r="QGR228" s="1"/>
      <c r="QGS228" s="1"/>
      <c r="QGT228" s="1"/>
      <c r="QGU228" s="1"/>
      <c r="QGV228" s="1"/>
      <c r="QGW228" s="1"/>
      <c r="QGX228" s="1"/>
      <c r="QGY228" s="1"/>
      <c r="QGZ228" s="1"/>
      <c r="QHA228" s="1"/>
      <c r="QHB228" s="1"/>
      <c r="QHC228" s="1"/>
      <c r="QHD228" s="1"/>
      <c r="QHE228" s="1"/>
      <c r="QHF228" s="1"/>
      <c r="QHG228" s="1"/>
      <c r="QHH228" s="1"/>
      <c r="QHI228" s="1"/>
      <c r="QHJ228" s="1"/>
      <c r="QHK228" s="1"/>
      <c r="QHL228" s="1"/>
      <c r="QHM228" s="1"/>
      <c r="QHN228" s="1"/>
      <c r="QHO228" s="1"/>
      <c r="QHP228" s="1"/>
      <c r="QHQ228" s="1"/>
      <c r="QHR228" s="1"/>
      <c r="QHS228" s="1"/>
      <c r="QHT228" s="1"/>
      <c r="QHU228" s="1"/>
      <c r="QHV228" s="1"/>
      <c r="QHW228" s="1"/>
      <c r="QHX228" s="1"/>
      <c r="QHY228" s="1"/>
      <c r="QHZ228" s="1"/>
      <c r="QIA228" s="1"/>
      <c r="QIB228" s="1"/>
      <c r="QIC228" s="1"/>
      <c r="QID228" s="1"/>
      <c r="QIE228" s="1"/>
      <c r="QIF228" s="1"/>
      <c r="QIG228" s="1"/>
      <c r="QIH228" s="1"/>
      <c r="QII228" s="1"/>
      <c r="QIJ228" s="1"/>
      <c r="QIK228" s="1"/>
      <c r="QIL228" s="1"/>
      <c r="QIM228" s="1"/>
      <c r="QIN228" s="1"/>
      <c r="QIO228" s="1"/>
      <c r="QIP228" s="1"/>
      <c r="QIQ228" s="1"/>
      <c r="QIR228" s="1"/>
      <c r="QIS228" s="1"/>
      <c r="QIT228" s="1"/>
      <c r="QIU228" s="1"/>
      <c r="QIV228" s="1"/>
      <c r="QIW228" s="1"/>
      <c r="QIX228" s="1"/>
      <c r="QIY228" s="1"/>
      <c r="QIZ228" s="1"/>
      <c r="QJA228" s="1"/>
      <c r="QJB228" s="1"/>
      <c r="QJC228" s="1"/>
      <c r="QJD228" s="1"/>
      <c r="QJE228" s="1"/>
      <c r="QJF228" s="1"/>
      <c r="QJG228" s="1"/>
      <c r="QJH228" s="1"/>
      <c r="QJI228" s="1"/>
      <c r="QJJ228" s="1"/>
      <c r="QJK228" s="1"/>
      <c r="QJL228" s="1"/>
      <c r="QJM228" s="1"/>
      <c r="QJN228" s="1"/>
      <c r="QJO228" s="1"/>
      <c r="QJP228" s="1"/>
      <c r="QJQ228" s="1"/>
      <c r="QJR228" s="1"/>
      <c r="QJS228" s="1"/>
      <c r="QJT228" s="1"/>
      <c r="QJU228" s="1"/>
      <c r="QJV228" s="1"/>
      <c r="QJW228" s="1"/>
      <c r="QJX228" s="1"/>
      <c r="QJY228" s="1"/>
      <c r="QJZ228" s="1"/>
      <c r="QKA228" s="1"/>
      <c r="QKB228" s="1"/>
      <c r="QKC228" s="1"/>
      <c r="QKD228" s="1"/>
      <c r="QKE228" s="1"/>
      <c r="QKF228" s="1"/>
      <c r="QKG228" s="1"/>
      <c r="QKH228" s="1"/>
      <c r="QKI228" s="1"/>
      <c r="QKJ228" s="1"/>
      <c r="QKK228" s="1"/>
      <c r="QKL228" s="1"/>
      <c r="QKM228" s="1"/>
      <c r="QKN228" s="1"/>
      <c r="QKO228" s="1"/>
      <c r="QKP228" s="1"/>
      <c r="QKQ228" s="1"/>
      <c r="QKR228" s="1"/>
      <c r="QKS228" s="1"/>
      <c r="QKT228" s="1"/>
      <c r="QKU228" s="1"/>
      <c r="QKV228" s="1"/>
      <c r="QKW228" s="1"/>
      <c r="QKX228" s="1"/>
      <c r="QKY228" s="1"/>
      <c r="QKZ228" s="1"/>
      <c r="QLA228" s="1"/>
      <c r="QLB228" s="1"/>
      <c r="QLC228" s="1"/>
      <c r="QLD228" s="1"/>
      <c r="QLE228" s="1"/>
      <c r="QLF228" s="1"/>
      <c r="QLG228" s="1"/>
      <c r="QLH228" s="1"/>
      <c r="QLI228" s="1"/>
      <c r="QLJ228" s="1"/>
      <c r="QLK228" s="1"/>
      <c r="QLL228" s="1"/>
      <c r="QLM228" s="1"/>
      <c r="QLN228" s="1"/>
      <c r="QLO228" s="1"/>
      <c r="QLP228" s="1"/>
      <c r="QLQ228" s="1"/>
      <c r="QLR228" s="1"/>
      <c r="QLS228" s="1"/>
      <c r="QLT228" s="1"/>
      <c r="QLU228" s="1"/>
      <c r="QLV228" s="1"/>
      <c r="QLW228" s="1"/>
      <c r="QLX228" s="1"/>
      <c r="QLY228" s="1"/>
      <c r="QLZ228" s="1"/>
      <c r="QMA228" s="1"/>
      <c r="QMB228" s="1"/>
      <c r="QMC228" s="1"/>
      <c r="QMD228" s="1"/>
      <c r="QME228" s="1"/>
      <c r="QMF228" s="1"/>
      <c r="QMG228" s="1"/>
      <c r="QMH228" s="1"/>
      <c r="QMI228" s="1"/>
      <c r="QMJ228" s="1"/>
      <c r="QMK228" s="1"/>
      <c r="QML228" s="1"/>
      <c r="QMM228" s="1"/>
      <c r="QMN228" s="1"/>
      <c r="QMO228" s="1"/>
      <c r="QMP228" s="1"/>
      <c r="QMQ228" s="1"/>
      <c r="QMR228" s="1"/>
      <c r="QMS228" s="1"/>
      <c r="QMT228" s="1"/>
      <c r="QMU228" s="1"/>
      <c r="QMV228" s="1"/>
      <c r="QMW228" s="1"/>
      <c r="QMX228" s="1"/>
      <c r="QMY228" s="1"/>
      <c r="QMZ228" s="1"/>
      <c r="QNA228" s="1"/>
      <c r="QNB228" s="1"/>
      <c r="QNC228" s="1"/>
      <c r="QND228" s="1"/>
      <c r="QNE228" s="1"/>
      <c r="QNF228" s="1"/>
      <c r="QNG228" s="1"/>
      <c r="QNH228" s="1"/>
      <c r="QNI228" s="1"/>
      <c r="QNJ228" s="1"/>
      <c r="QNK228" s="1"/>
      <c r="QNL228" s="1"/>
      <c r="QNM228" s="1"/>
      <c r="QNN228" s="1"/>
      <c r="QNO228" s="1"/>
      <c r="QNP228" s="1"/>
      <c r="QNQ228" s="1"/>
      <c r="QNR228" s="1"/>
      <c r="QNS228" s="1"/>
      <c r="QNT228" s="1"/>
      <c r="QNU228" s="1"/>
      <c r="QNV228" s="1"/>
      <c r="QNW228" s="1"/>
      <c r="QNX228" s="1"/>
      <c r="QNY228" s="1"/>
      <c r="QNZ228" s="1"/>
      <c r="QOA228" s="1"/>
      <c r="QOB228" s="1"/>
      <c r="QOC228" s="1"/>
      <c r="QOD228" s="1"/>
      <c r="QOE228" s="1"/>
      <c r="QOF228" s="1"/>
      <c r="QOG228" s="1"/>
      <c r="QOH228" s="1"/>
      <c r="QOI228" s="1"/>
      <c r="QOJ228" s="1"/>
      <c r="QOK228" s="1"/>
      <c r="QOL228" s="1"/>
      <c r="QOM228" s="1"/>
      <c r="QON228" s="1"/>
      <c r="QOO228" s="1"/>
      <c r="QOP228" s="1"/>
      <c r="QOQ228" s="1"/>
      <c r="QOR228" s="1"/>
      <c r="QOS228" s="1"/>
      <c r="QOT228" s="1"/>
      <c r="QOU228" s="1"/>
      <c r="QOV228" s="1"/>
      <c r="QOW228" s="1"/>
      <c r="QOX228" s="1"/>
      <c r="QOY228" s="1"/>
      <c r="QOZ228" s="1"/>
      <c r="QPA228" s="1"/>
      <c r="QPB228" s="1"/>
      <c r="QPC228" s="1"/>
      <c r="QPD228" s="1"/>
      <c r="QPE228" s="1"/>
      <c r="QPF228" s="1"/>
      <c r="QPG228" s="1"/>
      <c r="QPH228" s="1"/>
      <c r="QPI228" s="1"/>
      <c r="QPJ228" s="1"/>
      <c r="QPK228" s="1"/>
      <c r="QPL228" s="1"/>
      <c r="QPM228" s="1"/>
      <c r="QPN228" s="1"/>
      <c r="QPO228" s="1"/>
      <c r="QPP228" s="1"/>
      <c r="QPQ228" s="1"/>
      <c r="QPR228" s="1"/>
      <c r="QPS228" s="1"/>
      <c r="QPT228" s="1"/>
      <c r="QPU228" s="1"/>
      <c r="QPV228" s="1"/>
      <c r="QPW228" s="1"/>
      <c r="QPX228" s="1"/>
      <c r="QPY228" s="1"/>
      <c r="QPZ228" s="1"/>
      <c r="QQA228" s="1"/>
      <c r="QQB228" s="1"/>
      <c r="QQC228" s="1"/>
      <c r="QQD228" s="1"/>
      <c r="QQE228" s="1"/>
      <c r="QQF228" s="1"/>
      <c r="QQG228" s="1"/>
      <c r="QQH228" s="1"/>
      <c r="QQI228" s="1"/>
      <c r="QQJ228" s="1"/>
      <c r="QQK228" s="1"/>
      <c r="QQL228" s="1"/>
      <c r="QQM228" s="1"/>
      <c r="QQN228" s="1"/>
      <c r="QQO228" s="1"/>
      <c r="QQP228" s="1"/>
      <c r="QQQ228" s="1"/>
      <c r="QQR228" s="1"/>
      <c r="QQS228" s="1"/>
      <c r="QQT228" s="1"/>
      <c r="QQU228" s="1"/>
      <c r="QQV228" s="1"/>
      <c r="QQW228" s="1"/>
      <c r="QQX228" s="1"/>
      <c r="QQY228" s="1"/>
      <c r="QQZ228" s="1"/>
      <c r="QRA228" s="1"/>
      <c r="QRB228" s="1"/>
      <c r="QRC228" s="1"/>
      <c r="QRD228" s="1"/>
      <c r="QRE228" s="1"/>
      <c r="QRF228" s="1"/>
      <c r="QRG228" s="1"/>
      <c r="QRH228" s="1"/>
      <c r="QRI228" s="1"/>
      <c r="QRJ228" s="1"/>
      <c r="QRK228" s="1"/>
      <c r="QRL228" s="1"/>
      <c r="QRM228" s="1"/>
      <c r="QRN228" s="1"/>
      <c r="QRO228" s="1"/>
      <c r="QRP228" s="1"/>
      <c r="QRQ228" s="1"/>
      <c r="QRR228" s="1"/>
      <c r="QRS228" s="1"/>
      <c r="QRT228" s="1"/>
      <c r="QRU228" s="1"/>
      <c r="QRV228" s="1"/>
      <c r="QRW228" s="1"/>
      <c r="QRX228" s="1"/>
      <c r="QRY228" s="1"/>
      <c r="QRZ228" s="1"/>
      <c r="QSA228" s="1"/>
      <c r="QSB228" s="1"/>
      <c r="QSC228" s="1"/>
      <c r="QSD228" s="1"/>
      <c r="QSE228" s="1"/>
      <c r="QSF228" s="1"/>
      <c r="QSG228" s="1"/>
      <c r="QSH228" s="1"/>
      <c r="QSI228" s="1"/>
      <c r="QSJ228" s="1"/>
      <c r="QSK228" s="1"/>
      <c r="QSL228" s="1"/>
      <c r="QSM228" s="1"/>
      <c r="QSN228" s="1"/>
      <c r="QSO228" s="1"/>
      <c r="QSP228" s="1"/>
      <c r="QSQ228" s="1"/>
      <c r="QSR228" s="1"/>
      <c r="QSS228" s="1"/>
      <c r="QST228" s="1"/>
      <c r="QSU228" s="1"/>
      <c r="QSV228" s="1"/>
      <c r="QSW228" s="1"/>
      <c r="QSX228" s="1"/>
      <c r="QSY228" s="1"/>
      <c r="QSZ228" s="1"/>
      <c r="QTA228" s="1"/>
      <c r="QTB228" s="1"/>
      <c r="QTC228" s="1"/>
      <c r="QTD228" s="1"/>
      <c r="QTE228" s="1"/>
      <c r="QTF228" s="1"/>
      <c r="QTG228" s="1"/>
      <c r="QTH228" s="1"/>
      <c r="QTI228" s="1"/>
      <c r="QTJ228" s="1"/>
      <c r="QTK228" s="1"/>
      <c r="QTL228" s="1"/>
      <c r="QTM228" s="1"/>
      <c r="QTN228" s="1"/>
      <c r="QTO228" s="1"/>
      <c r="QTP228" s="1"/>
      <c r="QTQ228" s="1"/>
      <c r="QTR228" s="1"/>
      <c r="QTS228" s="1"/>
      <c r="QTT228" s="1"/>
      <c r="QTU228" s="1"/>
      <c r="QTV228" s="1"/>
      <c r="QTW228" s="1"/>
      <c r="QTX228" s="1"/>
      <c r="QTY228" s="1"/>
      <c r="QTZ228" s="1"/>
      <c r="QUA228" s="1"/>
      <c r="QUB228" s="1"/>
      <c r="QUC228" s="1"/>
      <c r="QUD228" s="1"/>
      <c r="QUE228" s="1"/>
      <c r="QUF228" s="1"/>
      <c r="QUG228" s="1"/>
      <c r="QUH228" s="1"/>
      <c r="QUI228" s="1"/>
      <c r="QUJ228" s="1"/>
      <c r="QUK228" s="1"/>
      <c r="QUL228" s="1"/>
      <c r="QUM228" s="1"/>
      <c r="QUN228" s="1"/>
      <c r="QUO228" s="1"/>
      <c r="QUP228" s="1"/>
      <c r="QUQ228" s="1"/>
      <c r="QUR228" s="1"/>
      <c r="QUS228" s="1"/>
      <c r="QUT228" s="1"/>
      <c r="QUU228" s="1"/>
      <c r="QUV228" s="1"/>
      <c r="QUW228" s="1"/>
      <c r="QUX228" s="1"/>
      <c r="QUY228" s="1"/>
      <c r="QUZ228" s="1"/>
      <c r="QVA228" s="1"/>
      <c r="QVB228" s="1"/>
      <c r="QVC228" s="1"/>
      <c r="QVD228" s="1"/>
      <c r="QVE228" s="1"/>
      <c r="QVF228" s="1"/>
      <c r="QVG228" s="1"/>
      <c r="QVH228" s="1"/>
      <c r="QVI228" s="1"/>
      <c r="QVJ228" s="1"/>
      <c r="QVK228" s="1"/>
      <c r="QVL228" s="1"/>
      <c r="QVM228" s="1"/>
      <c r="QVN228" s="1"/>
      <c r="QVO228" s="1"/>
      <c r="QVP228" s="1"/>
      <c r="QVQ228" s="1"/>
      <c r="QVR228" s="1"/>
      <c r="QVS228" s="1"/>
      <c r="QVT228" s="1"/>
      <c r="QVU228" s="1"/>
      <c r="QVV228" s="1"/>
      <c r="QVW228" s="1"/>
      <c r="QVX228" s="1"/>
      <c r="QVY228" s="1"/>
      <c r="QVZ228" s="1"/>
      <c r="QWA228" s="1"/>
      <c r="QWB228" s="1"/>
      <c r="QWC228" s="1"/>
      <c r="QWD228" s="1"/>
      <c r="QWE228" s="1"/>
      <c r="QWF228" s="1"/>
      <c r="QWG228" s="1"/>
      <c r="QWH228" s="1"/>
      <c r="QWI228" s="1"/>
      <c r="QWJ228" s="1"/>
      <c r="QWK228" s="1"/>
      <c r="QWL228" s="1"/>
      <c r="QWM228" s="1"/>
      <c r="QWN228" s="1"/>
      <c r="QWO228" s="1"/>
      <c r="QWP228" s="1"/>
      <c r="QWQ228" s="1"/>
      <c r="QWR228" s="1"/>
      <c r="QWS228" s="1"/>
      <c r="QWT228" s="1"/>
      <c r="QWU228" s="1"/>
      <c r="QWV228" s="1"/>
      <c r="QWW228" s="1"/>
      <c r="QWX228" s="1"/>
      <c r="QWY228" s="1"/>
      <c r="QWZ228" s="1"/>
      <c r="QXA228" s="1"/>
      <c r="QXB228" s="1"/>
      <c r="QXC228" s="1"/>
      <c r="QXD228" s="1"/>
      <c r="QXE228" s="1"/>
      <c r="QXF228" s="1"/>
      <c r="QXG228" s="1"/>
      <c r="QXH228" s="1"/>
      <c r="QXI228" s="1"/>
      <c r="QXJ228" s="1"/>
      <c r="QXK228" s="1"/>
      <c r="QXL228" s="1"/>
      <c r="QXM228" s="1"/>
      <c r="QXN228" s="1"/>
      <c r="QXO228" s="1"/>
      <c r="QXP228" s="1"/>
      <c r="QXQ228" s="1"/>
      <c r="QXR228" s="1"/>
      <c r="QXS228" s="1"/>
      <c r="QXT228" s="1"/>
      <c r="QXU228" s="1"/>
      <c r="QXV228" s="1"/>
      <c r="QXW228" s="1"/>
      <c r="QXX228" s="1"/>
      <c r="QXY228" s="1"/>
      <c r="QXZ228" s="1"/>
      <c r="QYA228" s="1"/>
      <c r="QYB228" s="1"/>
      <c r="QYC228" s="1"/>
      <c r="QYD228" s="1"/>
      <c r="QYE228" s="1"/>
      <c r="QYF228" s="1"/>
      <c r="QYG228" s="1"/>
      <c r="QYH228" s="1"/>
      <c r="QYI228" s="1"/>
      <c r="QYJ228" s="1"/>
      <c r="QYK228" s="1"/>
      <c r="QYL228" s="1"/>
      <c r="QYM228" s="1"/>
      <c r="QYN228" s="1"/>
      <c r="QYO228" s="1"/>
      <c r="QYP228" s="1"/>
      <c r="QYQ228" s="1"/>
      <c r="QYR228" s="1"/>
      <c r="QYS228" s="1"/>
      <c r="QYT228" s="1"/>
      <c r="QYU228" s="1"/>
      <c r="QYV228" s="1"/>
      <c r="QYW228" s="1"/>
      <c r="QYX228" s="1"/>
      <c r="QYY228" s="1"/>
      <c r="QYZ228" s="1"/>
      <c r="QZA228" s="1"/>
      <c r="QZB228" s="1"/>
      <c r="QZC228" s="1"/>
      <c r="QZD228" s="1"/>
      <c r="QZE228" s="1"/>
      <c r="QZF228" s="1"/>
      <c r="QZG228" s="1"/>
      <c r="QZH228" s="1"/>
      <c r="QZI228" s="1"/>
      <c r="QZJ228" s="1"/>
      <c r="QZK228" s="1"/>
      <c r="QZL228" s="1"/>
      <c r="QZM228" s="1"/>
      <c r="QZN228" s="1"/>
      <c r="QZO228" s="1"/>
      <c r="QZP228" s="1"/>
      <c r="QZQ228" s="1"/>
      <c r="QZR228" s="1"/>
      <c r="QZS228" s="1"/>
      <c r="QZT228" s="1"/>
      <c r="QZU228" s="1"/>
      <c r="QZV228" s="1"/>
      <c r="QZW228" s="1"/>
      <c r="QZX228" s="1"/>
      <c r="QZY228" s="1"/>
      <c r="QZZ228" s="1"/>
      <c r="RAA228" s="1"/>
      <c r="RAB228" s="1"/>
      <c r="RAC228" s="1"/>
      <c r="RAD228" s="1"/>
      <c r="RAE228" s="1"/>
      <c r="RAF228" s="1"/>
      <c r="RAG228" s="1"/>
      <c r="RAH228" s="1"/>
      <c r="RAI228" s="1"/>
      <c r="RAJ228" s="1"/>
      <c r="RAK228" s="1"/>
      <c r="RAL228" s="1"/>
      <c r="RAM228" s="1"/>
      <c r="RAN228" s="1"/>
      <c r="RAO228" s="1"/>
      <c r="RAP228" s="1"/>
      <c r="RAQ228" s="1"/>
      <c r="RAR228" s="1"/>
      <c r="RAS228" s="1"/>
      <c r="RAT228" s="1"/>
      <c r="RAU228" s="1"/>
      <c r="RAV228" s="1"/>
      <c r="RAW228" s="1"/>
      <c r="RAX228" s="1"/>
      <c r="RAY228" s="1"/>
      <c r="RAZ228" s="1"/>
      <c r="RBA228" s="1"/>
      <c r="RBB228" s="1"/>
      <c r="RBC228" s="1"/>
      <c r="RBD228" s="1"/>
      <c r="RBE228" s="1"/>
      <c r="RBF228" s="1"/>
      <c r="RBG228" s="1"/>
      <c r="RBH228" s="1"/>
      <c r="RBI228" s="1"/>
      <c r="RBJ228" s="1"/>
      <c r="RBK228" s="1"/>
      <c r="RBL228" s="1"/>
      <c r="RBM228" s="1"/>
      <c r="RBN228" s="1"/>
      <c r="RBO228" s="1"/>
      <c r="RBP228" s="1"/>
      <c r="RBQ228" s="1"/>
      <c r="RBR228" s="1"/>
      <c r="RBS228" s="1"/>
      <c r="RBT228" s="1"/>
      <c r="RBU228" s="1"/>
      <c r="RBV228" s="1"/>
      <c r="RBW228" s="1"/>
      <c r="RBX228" s="1"/>
      <c r="RBY228" s="1"/>
      <c r="RBZ228" s="1"/>
      <c r="RCA228" s="1"/>
      <c r="RCB228" s="1"/>
      <c r="RCC228" s="1"/>
      <c r="RCD228" s="1"/>
      <c r="RCE228" s="1"/>
      <c r="RCF228" s="1"/>
      <c r="RCG228" s="1"/>
      <c r="RCH228" s="1"/>
      <c r="RCI228" s="1"/>
      <c r="RCJ228" s="1"/>
      <c r="RCK228" s="1"/>
      <c r="RCL228" s="1"/>
      <c r="RCM228" s="1"/>
      <c r="RCN228" s="1"/>
      <c r="RCO228" s="1"/>
      <c r="RCP228" s="1"/>
      <c r="RCQ228" s="1"/>
      <c r="RCR228" s="1"/>
      <c r="RCS228" s="1"/>
      <c r="RCT228" s="1"/>
      <c r="RCU228" s="1"/>
      <c r="RCV228" s="1"/>
      <c r="RCW228" s="1"/>
      <c r="RCX228" s="1"/>
      <c r="RCY228" s="1"/>
      <c r="RCZ228" s="1"/>
      <c r="RDA228" s="1"/>
      <c r="RDB228" s="1"/>
      <c r="RDC228" s="1"/>
      <c r="RDD228" s="1"/>
      <c r="RDE228" s="1"/>
      <c r="RDF228" s="1"/>
      <c r="RDG228" s="1"/>
      <c r="RDH228" s="1"/>
      <c r="RDI228" s="1"/>
      <c r="RDJ228" s="1"/>
      <c r="RDK228" s="1"/>
      <c r="RDL228" s="1"/>
      <c r="RDM228" s="1"/>
      <c r="RDN228" s="1"/>
      <c r="RDO228" s="1"/>
      <c r="RDP228" s="1"/>
      <c r="RDQ228" s="1"/>
      <c r="RDR228" s="1"/>
      <c r="RDS228" s="1"/>
      <c r="RDT228" s="1"/>
      <c r="RDU228" s="1"/>
      <c r="RDV228" s="1"/>
      <c r="RDW228" s="1"/>
      <c r="RDX228" s="1"/>
      <c r="RDY228" s="1"/>
      <c r="RDZ228" s="1"/>
      <c r="REA228" s="1"/>
      <c r="REB228" s="1"/>
      <c r="REC228" s="1"/>
      <c r="RED228" s="1"/>
      <c r="REE228" s="1"/>
      <c r="REF228" s="1"/>
      <c r="REG228" s="1"/>
      <c r="REH228" s="1"/>
      <c r="REI228" s="1"/>
      <c r="REJ228" s="1"/>
      <c r="REK228" s="1"/>
      <c r="REL228" s="1"/>
      <c r="REM228" s="1"/>
      <c r="REN228" s="1"/>
      <c r="REO228" s="1"/>
      <c r="REP228" s="1"/>
      <c r="REQ228" s="1"/>
      <c r="RER228" s="1"/>
      <c r="RES228" s="1"/>
      <c r="RET228" s="1"/>
      <c r="REU228" s="1"/>
      <c r="REV228" s="1"/>
      <c r="REW228" s="1"/>
      <c r="REX228" s="1"/>
      <c r="REY228" s="1"/>
      <c r="REZ228" s="1"/>
      <c r="RFA228" s="1"/>
      <c r="RFB228" s="1"/>
      <c r="RFC228" s="1"/>
      <c r="RFD228" s="1"/>
      <c r="RFE228" s="1"/>
      <c r="RFF228" s="1"/>
      <c r="RFG228" s="1"/>
      <c r="RFH228" s="1"/>
      <c r="RFI228" s="1"/>
      <c r="RFJ228" s="1"/>
      <c r="RFK228" s="1"/>
      <c r="RFL228" s="1"/>
      <c r="RFM228" s="1"/>
      <c r="RFN228" s="1"/>
      <c r="RFO228" s="1"/>
      <c r="RFP228" s="1"/>
      <c r="RFQ228" s="1"/>
      <c r="RFR228" s="1"/>
      <c r="RFS228" s="1"/>
      <c r="RFT228" s="1"/>
      <c r="RFU228" s="1"/>
      <c r="RFV228" s="1"/>
      <c r="RFW228" s="1"/>
      <c r="RFX228" s="1"/>
      <c r="RFY228" s="1"/>
      <c r="RFZ228" s="1"/>
      <c r="RGA228" s="1"/>
      <c r="RGB228" s="1"/>
      <c r="RGC228" s="1"/>
      <c r="RGD228" s="1"/>
      <c r="RGE228" s="1"/>
      <c r="RGF228" s="1"/>
      <c r="RGG228" s="1"/>
      <c r="RGH228" s="1"/>
      <c r="RGI228" s="1"/>
      <c r="RGJ228" s="1"/>
      <c r="RGK228" s="1"/>
      <c r="RGL228" s="1"/>
      <c r="RGM228" s="1"/>
      <c r="RGN228" s="1"/>
      <c r="RGO228" s="1"/>
      <c r="RGP228" s="1"/>
      <c r="RGQ228" s="1"/>
      <c r="RGR228" s="1"/>
      <c r="RGS228" s="1"/>
      <c r="RGT228" s="1"/>
      <c r="RGU228" s="1"/>
      <c r="RGV228" s="1"/>
      <c r="RGW228" s="1"/>
      <c r="RGX228" s="1"/>
      <c r="RGY228" s="1"/>
      <c r="RGZ228" s="1"/>
      <c r="RHA228" s="1"/>
      <c r="RHB228" s="1"/>
      <c r="RHC228" s="1"/>
      <c r="RHD228" s="1"/>
      <c r="RHE228" s="1"/>
      <c r="RHF228" s="1"/>
      <c r="RHG228" s="1"/>
      <c r="RHH228" s="1"/>
      <c r="RHI228" s="1"/>
      <c r="RHJ228" s="1"/>
      <c r="RHK228" s="1"/>
      <c r="RHL228" s="1"/>
      <c r="RHM228" s="1"/>
      <c r="RHN228" s="1"/>
      <c r="RHO228" s="1"/>
      <c r="RHP228" s="1"/>
      <c r="RHQ228" s="1"/>
      <c r="RHR228" s="1"/>
      <c r="RHS228" s="1"/>
      <c r="RHT228" s="1"/>
      <c r="RHU228" s="1"/>
      <c r="RHV228" s="1"/>
      <c r="RHW228" s="1"/>
      <c r="RHX228" s="1"/>
      <c r="RHY228" s="1"/>
      <c r="RHZ228" s="1"/>
      <c r="RIA228" s="1"/>
      <c r="RIB228" s="1"/>
      <c r="RIC228" s="1"/>
      <c r="RID228" s="1"/>
      <c r="RIE228" s="1"/>
      <c r="RIF228" s="1"/>
      <c r="RIG228" s="1"/>
      <c r="RIH228" s="1"/>
      <c r="RII228" s="1"/>
      <c r="RIJ228" s="1"/>
      <c r="RIK228" s="1"/>
      <c r="RIL228" s="1"/>
      <c r="RIM228" s="1"/>
      <c r="RIN228" s="1"/>
      <c r="RIO228" s="1"/>
      <c r="RIP228" s="1"/>
      <c r="RIQ228" s="1"/>
      <c r="RIR228" s="1"/>
      <c r="RIS228" s="1"/>
      <c r="RIT228" s="1"/>
      <c r="RIU228" s="1"/>
      <c r="RIV228" s="1"/>
      <c r="RIW228" s="1"/>
      <c r="RIX228" s="1"/>
      <c r="RIY228" s="1"/>
      <c r="RIZ228" s="1"/>
      <c r="RJA228" s="1"/>
      <c r="RJB228" s="1"/>
      <c r="RJC228" s="1"/>
      <c r="RJD228" s="1"/>
      <c r="RJE228" s="1"/>
      <c r="RJF228" s="1"/>
      <c r="RJG228" s="1"/>
      <c r="RJH228" s="1"/>
      <c r="RJI228" s="1"/>
      <c r="RJJ228" s="1"/>
      <c r="RJK228" s="1"/>
      <c r="RJL228" s="1"/>
      <c r="RJM228" s="1"/>
      <c r="RJN228" s="1"/>
      <c r="RJO228" s="1"/>
      <c r="RJP228" s="1"/>
      <c r="RJQ228" s="1"/>
      <c r="RJR228" s="1"/>
      <c r="RJS228" s="1"/>
      <c r="RJT228" s="1"/>
      <c r="RJU228" s="1"/>
      <c r="RJV228" s="1"/>
      <c r="RJW228" s="1"/>
      <c r="RJX228" s="1"/>
      <c r="RJY228" s="1"/>
      <c r="RJZ228" s="1"/>
      <c r="RKA228" s="1"/>
      <c r="RKB228" s="1"/>
      <c r="RKC228" s="1"/>
      <c r="RKD228" s="1"/>
      <c r="RKE228" s="1"/>
      <c r="RKF228" s="1"/>
      <c r="RKG228" s="1"/>
      <c r="RKH228" s="1"/>
      <c r="RKI228" s="1"/>
      <c r="RKJ228" s="1"/>
      <c r="RKK228" s="1"/>
      <c r="RKL228" s="1"/>
      <c r="RKM228" s="1"/>
      <c r="RKN228" s="1"/>
      <c r="RKO228" s="1"/>
      <c r="RKP228" s="1"/>
      <c r="RKQ228" s="1"/>
      <c r="RKR228" s="1"/>
      <c r="RKS228" s="1"/>
      <c r="RKT228" s="1"/>
      <c r="RKU228" s="1"/>
      <c r="RKV228" s="1"/>
      <c r="RKW228" s="1"/>
      <c r="RKX228" s="1"/>
      <c r="RKY228" s="1"/>
      <c r="RKZ228" s="1"/>
      <c r="RLA228" s="1"/>
      <c r="RLB228" s="1"/>
      <c r="RLC228" s="1"/>
      <c r="RLD228" s="1"/>
      <c r="RLE228" s="1"/>
      <c r="RLF228" s="1"/>
      <c r="RLG228" s="1"/>
      <c r="RLH228" s="1"/>
      <c r="RLI228" s="1"/>
      <c r="RLJ228" s="1"/>
      <c r="RLK228" s="1"/>
      <c r="RLL228" s="1"/>
      <c r="RLM228" s="1"/>
      <c r="RLN228" s="1"/>
      <c r="RLO228" s="1"/>
      <c r="RLP228" s="1"/>
      <c r="RLQ228" s="1"/>
      <c r="RLR228" s="1"/>
      <c r="RLS228" s="1"/>
      <c r="RLT228" s="1"/>
      <c r="RLU228" s="1"/>
      <c r="RLV228" s="1"/>
      <c r="RLW228" s="1"/>
      <c r="RLX228" s="1"/>
      <c r="RLY228" s="1"/>
      <c r="RLZ228" s="1"/>
      <c r="RMA228" s="1"/>
      <c r="RMB228" s="1"/>
      <c r="RMC228" s="1"/>
      <c r="RMD228" s="1"/>
      <c r="RME228" s="1"/>
      <c r="RMF228" s="1"/>
      <c r="RMG228" s="1"/>
      <c r="RMH228" s="1"/>
      <c r="RMI228" s="1"/>
      <c r="RMJ228" s="1"/>
      <c r="RMK228" s="1"/>
      <c r="RML228" s="1"/>
      <c r="RMM228" s="1"/>
      <c r="RMN228" s="1"/>
      <c r="RMO228" s="1"/>
      <c r="RMP228" s="1"/>
      <c r="RMQ228" s="1"/>
      <c r="RMR228" s="1"/>
      <c r="RMS228" s="1"/>
      <c r="RMT228" s="1"/>
      <c r="RMU228" s="1"/>
      <c r="RMV228" s="1"/>
      <c r="RMW228" s="1"/>
      <c r="RMX228" s="1"/>
      <c r="RMY228" s="1"/>
      <c r="RMZ228" s="1"/>
      <c r="RNA228" s="1"/>
      <c r="RNB228" s="1"/>
      <c r="RNC228" s="1"/>
      <c r="RND228" s="1"/>
      <c r="RNE228" s="1"/>
      <c r="RNF228" s="1"/>
      <c r="RNG228" s="1"/>
      <c r="RNH228" s="1"/>
      <c r="RNI228" s="1"/>
      <c r="RNJ228" s="1"/>
      <c r="RNK228" s="1"/>
      <c r="RNL228" s="1"/>
      <c r="RNM228" s="1"/>
      <c r="RNN228" s="1"/>
      <c r="RNO228" s="1"/>
      <c r="RNP228" s="1"/>
      <c r="RNQ228" s="1"/>
      <c r="RNR228" s="1"/>
      <c r="RNS228" s="1"/>
      <c r="RNT228" s="1"/>
      <c r="RNU228" s="1"/>
      <c r="RNV228" s="1"/>
      <c r="RNW228" s="1"/>
      <c r="RNX228" s="1"/>
      <c r="RNY228" s="1"/>
      <c r="RNZ228" s="1"/>
      <c r="ROA228" s="1"/>
      <c r="ROB228" s="1"/>
      <c r="ROC228" s="1"/>
      <c r="ROD228" s="1"/>
      <c r="ROE228" s="1"/>
      <c r="ROF228" s="1"/>
      <c r="ROG228" s="1"/>
      <c r="ROH228" s="1"/>
      <c r="ROI228" s="1"/>
      <c r="ROJ228" s="1"/>
      <c r="ROK228" s="1"/>
      <c r="ROL228" s="1"/>
      <c r="ROM228" s="1"/>
      <c r="RON228" s="1"/>
      <c r="ROO228" s="1"/>
      <c r="ROP228" s="1"/>
      <c r="ROQ228" s="1"/>
      <c r="ROR228" s="1"/>
      <c r="ROS228" s="1"/>
      <c r="ROT228" s="1"/>
      <c r="ROU228" s="1"/>
      <c r="ROV228" s="1"/>
      <c r="ROW228" s="1"/>
      <c r="ROX228" s="1"/>
      <c r="ROY228" s="1"/>
      <c r="ROZ228" s="1"/>
      <c r="RPA228" s="1"/>
      <c r="RPB228" s="1"/>
      <c r="RPC228" s="1"/>
      <c r="RPD228" s="1"/>
      <c r="RPE228" s="1"/>
      <c r="RPF228" s="1"/>
      <c r="RPG228" s="1"/>
      <c r="RPH228" s="1"/>
      <c r="RPI228" s="1"/>
      <c r="RPJ228" s="1"/>
      <c r="RPK228" s="1"/>
      <c r="RPL228" s="1"/>
      <c r="RPM228" s="1"/>
      <c r="RPN228" s="1"/>
      <c r="RPO228" s="1"/>
      <c r="RPP228" s="1"/>
      <c r="RPQ228" s="1"/>
      <c r="RPR228" s="1"/>
      <c r="RPS228" s="1"/>
      <c r="RPT228" s="1"/>
      <c r="RPU228" s="1"/>
      <c r="RPV228" s="1"/>
      <c r="RPW228" s="1"/>
      <c r="RPX228" s="1"/>
      <c r="RPY228" s="1"/>
      <c r="RPZ228" s="1"/>
      <c r="RQA228" s="1"/>
      <c r="RQB228" s="1"/>
      <c r="RQC228" s="1"/>
      <c r="RQD228" s="1"/>
      <c r="RQE228" s="1"/>
      <c r="RQF228" s="1"/>
      <c r="RQG228" s="1"/>
      <c r="RQH228" s="1"/>
      <c r="RQI228" s="1"/>
      <c r="RQJ228" s="1"/>
      <c r="RQK228" s="1"/>
      <c r="RQL228" s="1"/>
      <c r="RQM228" s="1"/>
      <c r="RQN228" s="1"/>
      <c r="RQO228" s="1"/>
      <c r="RQP228" s="1"/>
      <c r="RQQ228" s="1"/>
      <c r="RQR228" s="1"/>
      <c r="RQS228" s="1"/>
      <c r="RQT228" s="1"/>
      <c r="RQU228" s="1"/>
      <c r="RQV228" s="1"/>
      <c r="RQW228" s="1"/>
      <c r="RQX228" s="1"/>
      <c r="RQY228" s="1"/>
      <c r="RQZ228" s="1"/>
      <c r="RRA228" s="1"/>
      <c r="RRB228" s="1"/>
      <c r="RRC228" s="1"/>
      <c r="RRD228" s="1"/>
      <c r="RRE228" s="1"/>
      <c r="RRF228" s="1"/>
      <c r="RRG228" s="1"/>
      <c r="RRH228" s="1"/>
      <c r="RRI228" s="1"/>
      <c r="RRJ228" s="1"/>
      <c r="RRK228" s="1"/>
      <c r="RRL228" s="1"/>
      <c r="RRM228" s="1"/>
      <c r="RRN228" s="1"/>
      <c r="RRO228" s="1"/>
      <c r="RRP228" s="1"/>
      <c r="RRQ228" s="1"/>
      <c r="RRR228" s="1"/>
      <c r="RRS228" s="1"/>
      <c r="RRT228" s="1"/>
      <c r="RRU228" s="1"/>
      <c r="RRV228" s="1"/>
      <c r="RRW228" s="1"/>
      <c r="RRX228" s="1"/>
      <c r="RRY228" s="1"/>
      <c r="RRZ228" s="1"/>
      <c r="RSA228" s="1"/>
      <c r="RSB228" s="1"/>
      <c r="RSC228" s="1"/>
      <c r="RSD228" s="1"/>
      <c r="RSE228" s="1"/>
      <c r="RSF228" s="1"/>
      <c r="RSG228" s="1"/>
      <c r="RSH228" s="1"/>
      <c r="RSI228" s="1"/>
      <c r="RSJ228" s="1"/>
      <c r="RSK228" s="1"/>
      <c r="RSL228" s="1"/>
      <c r="RSM228" s="1"/>
      <c r="RSN228" s="1"/>
      <c r="RSO228" s="1"/>
      <c r="RSP228" s="1"/>
      <c r="RSQ228" s="1"/>
      <c r="RSR228" s="1"/>
      <c r="RSS228" s="1"/>
      <c r="RST228" s="1"/>
      <c r="RSU228" s="1"/>
      <c r="RSV228" s="1"/>
      <c r="RSW228" s="1"/>
      <c r="RSX228" s="1"/>
      <c r="RSY228" s="1"/>
      <c r="RSZ228" s="1"/>
      <c r="RTA228" s="1"/>
      <c r="RTB228" s="1"/>
      <c r="RTC228" s="1"/>
      <c r="RTD228" s="1"/>
      <c r="RTE228" s="1"/>
      <c r="RTF228" s="1"/>
      <c r="RTG228" s="1"/>
      <c r="RTH228" s="1"/>
      <c r="RTI228" s="1"/>
      <c r="RTJ228" s="1"/>
      <c r="RTK228" s="1"/>
      <c r="RTL228" s="1"/>
      <c r="RTM228" s="1"/>
      <c r="RTN228" s="1"/>
      <c r="RTO228" s="1"/>
      <c r="RTP228" s="1"/>
      <c r="RTQ228" s="1"/>
      <c r="RTR228" s="1"/>
      <c r="RTS228" s="1"/>
      <c r="RTT228" s="1"/>
      <c r="RTU228" s="1"/>
      <c r="RTV228" s="1"/>
      <c r="RTW228" s="1"/>
      <c r="RTX228" s="1"/>
      <c r="RTY228" s="1"/>
      <c r="RTZ228" s="1"/>
      <c r="RUA228" s="1"/>
      <c r="RUB228" s="1"/>
      <c r="RUC228" s="1"/>
      <c r="RUD228" s="1"/>
      <c r="RUE228" s="1"/>
      <c r="RUF228" s="1"/>
      <c r="RUG228" s="1"/>
      <c r="RUH228" s="1"/>
      <c r="RUI228" s="1"/>
      <c r="RUJ228" s="1"/>
      <c r="RUK228" s="1"/>
      <c r="RUL228" s="1"/>
      <c r="RUM228" s="1"/>
      <c r="RUN228" s="1"/>
      <c r="RUO228" s="1"/>
      <c r="RUP228" s="1"/>
      <c r="RUQ228" s="1"/>
      <c r="RUR228" s="1"/>
      <c r="RUS228" s="1"/>
      <c r="RUT228" s="1"/>
      <c r="RUU228" s="1"/>
      <c r="RUV228" s="1"/>
      <c r="RUW228" s="1"/>
      <c r="RUX228" s="1"/>
      <c r="RUY228" s="1"/>
      <c r="RUZ228" s="1"/>
      <c r="RVA228" s="1"/>
      <c r="RVB228" s="1"/>
      <c r="RVC228" s="1"/>
      <c r="RVD228" s="1"/>
      <c r="RVE228" s="1"/>
      <c r="RVF228" s="1"/>
      <c r="RVG228" s="1"/>
      <c r="RVH228" s="1"/>
      <c r="RVI228" s="1"/>
      <c r="RVJ228" s="1"/>
      <c r="RVK228" s="1"/>
      <c r="RVL228" s="1"/>
      <c r="RVM228" s="1"/>
      <c r="RVN228" s="1"/>
      <c r="RVO228" s="1"/>
      <c r="RVP228" s="1"/>
      <c r="RVQ228" s="1"/>
      <c r="RVR228" s="1"/>
      <c r="RVS228" s="1"/>
      <c r="RVT228" s="1"/>
      <c r="RVU228" s="1"/>
      <c r="RVV228" s="1"/>
      <c r="RVW228" s="1"/>
      <c r="RVX228" s="1"/>
      <c r="RVY228" s="1"/>
      <c r="RVZ228" s="1"/>
      <c r="RWA228" s="1"/>
      <c r="RWB228" s="1"/>
      <c r="RWC228" s="1"/>
      <c r="RWD228" s="1"/>
      <c r="RWE228" s="1"/>
      <c r="RWF228" s="1"/>
      <c r="RWG228" s="1"/>
      <c r="RWH228" s="1"/>
      <c r="RWI228" s="1"/>
      <c r="RWJ228" s="1"/>
      <c r="RWK228" s="1"/>
      <c r="RWL228" s="1"/>
      <c r="RWM228" s="1"/>
      <c r="RWN228" s="1"/>
      <c r="RWO228" s="1"/>
      <c r="RWP228" s="1"/>
      <c r="RWQ228" s="1"/>
      <c r="RWR228" s="1"/>
      <c r="RWS228" s="1"/>
      <c r="RWT228" s="1"/>
      <c r="RWU228" s="1"/>
      <c r="RWV228" s="1"/>
      <c r="RWW228" s="1"/>
      <c r="RWX228" s="1"/>
      <c r="RWY228" s="1"/>
      <c r="RWZ228" s="1"/>
      <c r="RXA228" s="1"/>
      <c r="RXB228" s="1"/>
      <c r="RXC228" s="1"/>
      <c r="RXD228" s="1"/>
      <c r="RXE228" s="1"/>
      <c r="RXF228" s="1"/>
      <c r="RXG228" s="1"/>
      <c r="RXH228" s="1"/>
      <c r="RXI228" s="1"/>
      <c r="RXJ228" s="1"/>
      <c r="RXK228" s="1"/>
      <c r="RXL228" s="1"/>
      <c r="RXM228" s="1"/>
      <c r="RXN228" s="1"/>
      <c r="RXO228" s="1"/>
      <c r="RXP228" s="1"/>
      <c r="RXQ228" s="1"/>
      <c r="RXR228" s="1"/>
      <c r="RXS228" s="1"/>
      <c r="RXT228" s="1"/>
      <c r="RXU228" s="1"/>
      <c r="RXV228" s="1"/>
      <c r="RXW228" s="1"/>
      <c r="RXX228" s="1"/>
      <c r="RXY228" s="1"/>
      <c r="RXZ228" s="1"/>
      <c r="RYA228" s="1"/>
      <c r="RYB228" s="1"/>
      <c r="RYC228" s="1"/>
      <c r="RYD228" s="1"/>
      <c r="RYE228" s="1"/>
      <c r="RYF228" s="1"/>
      <c r="RYG228" s="1"/>
      <c r="RYH228" s="1"/>
      <c r="RYI228" s="1"/>
      <c r="RYJ228" s="1"/>
      <c r="RYK228" s="1"/>
      <c r="RYL228" s="1"/>
      <c r="RYM228" s="1"/>
      <c r="RYN228" s="1"/>
      <c r="RYO228" s="1"/>
      <c r="RYP228" s="1"/>
      <c r="RYQ228" s="1"/>
      <c r="RYR228" s="1"/>
      <c r="RYS228" s="1"/>
      <c r="RYT228" s="1"/>
      <c r="RYU228" s="1"/>
      <c r="RYV228" s="1"/>
      <c r="RYW228" s="1"/>
      <c r="RYX228" s="1"/>
      <c r="RYY228" s="1"/>
      <c r="RYZ228" s="1"/>
      <c r="RZA228" s="1"/>
      <c r="RZB228" s="1"/>
      <c r="RZC228" s="1"/>
      <c r="RZD228" s="1"/>
      <c r="RZE228" s="1"/>
      <c r="RZF228" s="1"/>
      <c r="RZG228" s="1"/>
      <c r="RZH228" s="1"/>
      <c r="RZI228" s="1"/>
      <c r="RZJ228" s="1"/>
      <c r="RZK228" s="1"/>
      <c r="RZL228" s="1"/>
      <c r="RZM228" s="1"/>
      <c r="RZN228" s="1"/>
      <c r="RZO228" s="1"/>
      <c r="RZP228" s="1"/>
      <c r="RZQ228" s="1"/>
      <c r="RZR228" s="1"/>
      <c r="RZS228" s="1"/>
      <c r="RZT228" s="1"/>
      <c r="RZU228" s="1"/>
      <c r="RZV228" s="1"/>
      <c r="RZW228" s="1"/>
      <c r="RZX228" s="1"/>
      <c r="RZY228" s="1"/>
      <c r="RZZ228" s="1"/>
      <c r="SAA228" s="1"/>
      <c r="SAB228" s="1"/>
      <c r="SAC228" s="1"/>
      <c r="SAD228" s="1"/>
      <c r="SAE228" s="1"/>
      <c r="SAF228" s="1"/>
      <c r="SAG228" s="1"/>
      <c r="SAH228" s="1"/>
      <c r="SAI228" s="1"/>
      <c r="SAJ228" s="1"/>
      <c r="SAK228" s="1"/>
      <c r="SAL228" s="1"/>
      <c r="SAM228" s="1"/>
      <c r="SAN228" s="1"/>
      <c r="SAO228" s="1"/>
      <c r="SAP228" s="1"/>
      <c r="SAQ228" s="1"/>
      <c r="SAR228" s="1"/>
      <c r="SAS228" s="1"/>
      <c r="SAT228" s="1"/>
      <c r="SAU228" s="1"/>
      <c r="SAV228" s="1"/>
      <c r="SAW228" s="1"/>
      <c r="SAX228" s="1"/>
      <c r="SAY228" s="1"/>
      <c r="SAZ228" s="1"/>
      <c r="SBA228" s="1"/>
      <c r="SBB228" s="1"/>
      <c r="SBC228" s="1"/>
      <c r="SBD228" s="1"/>
      <c r="SBE228" s="1"/>
      <c r="SBF228" s="1"/>
      <c r="SBG228" s="1"/>
      <c r="SBH228" s="1"/>
      <c r="SBI228" s="1"/>
      <c r="SBJ228" s="1"/>
      <c r="SBK228" s="1"/>
      <c r="SBL228" s="1"/>
      <c r="SBM228" s="1"/>
      <c r="SBN228" s="1"/>
      <c r="SBO228" s="1"/>
      <c r="SBP228" s="1"/>
      <c r="SBQ228" s="1"/>
      <c r="SBR228" s="1"/>
      <c r="SBS228" s="1"/>
      <c r="SBT228" s="1"/>
      <c r="SBU228" s="1"/>
      <c r="SBV228" s="1"/>
      <c r="SBW228" s="1"/>
      <c r="SBX228" s="1"/>
      <c r="SBY228" s="1"/>
      <c r="SBZ228" s="1"/>
      <c r="SCA228" s="1"/>
      <c r="SCB228" s="1"/>
      <c r="SCC228" s="1"/>
      <c r="SCD228" s="1"/>
      <c r="SCE228" s="1"/>
      <c r="SCF228" s="1"/>
      <c r="SCG228" s="1"/>
      <c r="SCH228" s="1"/>
      <c r="SCI228" s="1"/>
      <c r="SCJ228" s="1"/>
      <c r="SCK228" s="1"/>
      <c r="SCL228" s="1"/>
      <c r="SCM228" s="1"/>
      <c r="SCN228" s="1"/>
      <c r="SCO228" s="1"/>
      <c r="SCP228" s="1"/>
      <c r="SCQ228" s="1"/>
      <c r="SCR228" s="1"/>
      <c r="SCS228" s="1"/>
      <c r="SCT228" s="1"/>
      <c r="SCU228" s="1"/>
      <c r="SCV228" s="1"/>
      <c r="SCW228" s="1"/>
      <c r="SCX228" s="1"/>
      <c r="SCY228" s="1"/>
      <c r="SCZ228" s="1"/>
      <c r="SDA228" s="1"/>
      <c r="SDB228" s="1"/>
      <c r="SDC228" s="1"/>
      <c r="SDD228" s="1"/>
      <c r="SDE228" s="1"/>
      <c r="SDF228" s="1"/>
      <c r="SDG228" s="1"/>
      <c r="SDH228" s="1"/>
      <c r="SDI228" s="1"/>
      <c r="SDJ228" s="1"/>
      <c r="SDK228" s="1"/>
      <c r="SDL228" s="1"/>
      <c r="SDM228" s="1"/>
      <c r="SDN228" s="1"/>
      <c r="SDO228" s="1"/>
      <c r="SDP228" s="1"/>
      <c r="SDQ228" s="1"/>
      <c r="SDR228" s="1"/>
      <c r="SDS228" s="1"/>
      <c r="SDT228" s="1"/>
      <c r="SDU228" s="1"/>
      <c r="SDV228" s="1"/>
      <c r="SDW228" s="1"/>
      <c r="SDX228" s="1"/>
      <c r="SDY228" s="1"/>
      <c r="SDZ228" s="1"/>
      <c r="SEA228" s="1"/>
      <c r="SEB228" s="1"/>
      <c r="SEC228" s="1"/>
      <c r="SED228" s="1"/>
      <c r="SEE228" s="1"/>
      <c r="SEF228" s="1"/>
      <c r="SEG228" s="1"/>
      <c r="SEH228" s="1"/>
      <c r="SEI228" s="1"/>
      <c r="SEJ228" s="1"/>
      <c r="SEK228" s="1"/>
      <c r="SEL228" s="1"/>
      <c r="SEM228" s="1"/>
      <c r="SEN228" s="1"/>
      <c r="SEO228" s="1"/>
      <c r="SEP228" s="1"/>
      <c r="SEQ228" s="1"/>
      <c r="SER228" s="1"/>
      <c r="SES228" s="1"/>
      <c r="SET228" s="1"/>
      <c r="SEU228" s="1"/>
      <c r="SEV228" s="1"/>
      <c r="SEW228" s="1"/>
      <c r="SEX228" s="1"/>
      <c r="SEY228" s="1"/>
      <c r="SEZ228" s="1"/>
      <c r="SFA228" s="1"/>
      <c r="SFB228" s="1"/>
      <c r="SFC228" s="1"/>
      <c r="SFD228" s="1"/>
      <c r="SFE228" s="1"/>
      <c r="SFF228" s="1"/>
      <c r="SFG228" s="1"/>
      <c r="SFH228" s="1"/>
      <c r="SFI228" s="1"/>
      <c r="SFJ228" s="1"/>
      <c r="SFK228" s="1"/>
      <c r="SFL228" s="1"/>
      <c r="SFM228" s="1"/>
      <c r="SFN228" s="1"/>
      <c r="SFO228" s="1"/>
      <c r="SFP228" s="1"/>
      <c r="SFQ228" s="1"/>
      <c r="SFR228" s="1"/>
      <c r="SFS228" s="1"/>
      <c r="SFT228" s="1"/>
      <c r="SFU228" s="1"/>
      <c r="SFV228" s="1"/>
      <c r="SFW228" s="1"/>
      <c r="SFX228" s="1"/>
      <c r="SFY228" s="1"/>
      <c r="SFZ228" s="1"/>
      <c r="SGA228" s="1"/>
      <c r="SGB228" s="1"/>
      <c r="SGC228" s="1"/>
      <c r="SGD228" s="1"/>
      <c r="SGE228" s="1"/>
      <c r="SGF228" s="1"/>
      <c r="SGG228" s="1"/>
      <c r="SGH228" s="1"/>
      <c r="SGI228" s="1"/>
      <c r="SGJ228" s="1"/>
      <c r="SGK228" s="1"/>
      <c r="SGL228" s="1"/>
      <c r="SGM228" s="1"/>
      <c r="SGN228" s="1"/>
      <c r="SGO228" s="1"/>
      <c r="SGP228" s="1"/>
      <c r="SGQ228" s="1"/>
      <c r="SGR228" s="1"/>
      <c r="SGS228" s="1"/>
      <c r="SGT228" s="1"/>
      <c r="SGU228" s="1"/>
      <c r="SGV228" s="1"/>
      <c r="SGW228" s="1"/>
      <c r="SGX228" s="1"/>
      <c r="SGY228" s="1"/>
      <c r="SGZ228" s="1"/>
      <c r="SHA228" s="1"/>
      <c r="SHB228" s="1"/>
      <c r="SHC228" s="1"/>
      <c r="SHD228" s="1"/>
      <c r="SHE228" s="1"/>
      <c r="SHF228" s="1"/>
      <c r="SHG228" s="1"/>
      <c r="SHH228" s="1"/>
      <c r="SHI228" s="1"/>
      <c r="SHJ228" s="1"/>
      <c r="SHK228" s="1"/>
      <c r="SHL228" s="1"/>
      <c r="SHM228" s="1"/>
      <c r="SHN228" s="1"/>
      <c r="SHO228" s="1"/>
      <c r="SHP228" s="1"/>
      <c r="SHQ228" s="1"/>
      <c r="SHR228" s="1"/>
      <c r="SHS228" s="1"/>
      <c r="SHT228" s="1"/>
      <c r="SHU228" s="1"/>
      <c r="SHV228" s="1"/>
      <c r="SHW228" s="1"/>
      <c r="SHX228" s="1"/>
      <c r="SHY228" s="1"/>
      <c r="SHZ228" s="1"/>
      <c r="SIA228" s="1"/>
      <c r="SIB228" s="1"/>
      <c r="SIC228" s="1"/>
      <c r="SID228" s="1"/>
      <c r="SIE228" s="1"/>
      <c r="SIF228" s="1"/>
      <c r="SIG228" s="1"/>
      <c r="SIH228" s="1"/>
      <c r="SII228" s="1"/>
      <c r="SIJ228" s="1"/>
      <c r="SIK228" s="1"/>
      <c r="SIL228" s="1"/>
      <c r="SIM228" s="1"/>
      <c r="SIN228" s="1"/>
      <c r="SIO228" s="1"/>
      <c r="SIP228" s="1"/>
      <c r="SIQ228" s="1"/>
      <c r="SIR228" s="1"/>
      <c r="SIS228" s="1"/>
      <c r="SIT228" s="1"/>
      <c r="SIU228" s="1"/>
      <c r="SIV228" s="1"/>
      <c r="SIW228" s="1"/>
      <c r="SIX228" s="1"/>
      <c r="SIY228" s="1"/>
      <c r="SIZ228" s="1"/>
      <c r="SJA228" s="1"/>
      <c r="SJB228" s="1"/>
      <c r="SJC228" s="1"/>
      <c r="SJD228" s="1"/>
      <c r="SJE228" s="1"/>
      <c r="SJF228" s="1"/>
      <c r="SJG228" s="1"/>
      <c r="SJH228" s="1"/>
      <c r="SJI228" s="1"/>
      <c r="SJJ228" s="1"/>
      <c r="SJK228" s="1"/>
      <c r="SJL228" s="1"/>
      <c r="SJM228" s="1"/>
      <c r="SJN228" s="1"/>
      <c r="SJO228" s="1"/>
      <c r="SJP228" s="1"/>
      <c r="SJQ228" s="1"/>
      <c r="SJR228" s="1"/>
      <c r="SJS228" s="1"/>
      <c r="SJT228" s="1"/>
      <c r="SJU228" s="1"/>
      <c r="SJV228" s="1"/>
      <c r="SJW228" s="1"/>
      <c r="SJX228" s="1"/>
      <c r="SJY228" s="1"/>
      <c r="SJZ228" s="1"/>
      <c r="SKA228" s="1"/>
      <c r="SKB228" s="1"/>
      <c r="SKC228" s="1"/>
      <c r="SKD228" s="1"/>
      <c r="SKE228" s="1"/>
      <c r="SKF228" s="1"/>
      <c r="SKG228" s="1"/>
      <c r="SKH228" s="1"/>
      <c r="SKI228" s="1"/>
      <c r="SKJ228" s="1"/>
      <c r="SKK228" s="1"/>
      <c r="SKL228" s="1"/>
      <c r="SKM228" s="1"/>
      <c r="SKN228" s="1"/>
      <c r="SKO228" s="1"/>
      <c r="SKP228" s="1"/>
      <c r="SKQ228" s="1"/>
      <c r="SKR228" s="1"/>
      <c r="SKS228" s="1"/>
      <c r="SKT228" s="1"/>
      <c r="SKU228" s="1"/>
      <c r="SKV228" s="1"/>
      <c r="SKW228" s="1"/>
      <c r="SKX228" s="1"/>
      <c r="SKY228" s="1"/>
      <c r="SKZ228" s="1"/>
      <c r="SLA228" s="1"/>
      <c r="SLB228" s="1"/>
      <c r="SLC228" s="1"/>
      <c r="SLD228" s="1"/>
      <c r="SLE228" s="1"/>
      <c r="SLF228" s="1"/>
      <c r="SLG228" s="1"/>
      <c r="SLH228" s="1"/>
      <c r="SLI228" s="1"/>
      <c r="SLJ228" s="1"/>
      <c r="SLK228" s="1"/>
      <c r="SLL228" s="1"/>
      <c r="SLM228" s="1"/>
      <c r="SLN228" s="1"/>
      <c r="SLO228" s="1"/>
      <c r="SLP228" s="1"/>
      <c r="SLQ228" s="1"/>
      <c r="SLR228" s="1"/>
      <c r="SLS228" s="1"/>
      <c r="SLT228" s="1"/>
      <c r="SLU228" s="1"/>
      <c r="SLV228" s="1"/>
      <c r="SLW228" s="1"/>
      <c r="SLX228" s="1"/>
      <c r="SLY228" s="1"/>
      <c r="SLZ228" s="1"/>
      <c r="SMA228" s="1"/>
      <c r="SMB228" s="1"/>
      <c r="SMC228" s="1"/>
      <c r="SMD228" s="1"/>
      <c r="SME228" s="1"/>
      <c r="SMF228" s="1"/>
      <c r="SMG228" s="1"/>
      <c r="SMH228" s="1"/>
      <c r="SMI228" s="1"/>
      <c r="SMJ228" s="1"/>
      <c r="SMK228" s="1"/>
      <c r="SML228" s="1"/>
      <c r="SMM228" s="1"/>
      <c r="SMN228" s="1"/>
      <c r="SMO228" s="1"/>
      <c r="SMP228" s="1"/>
      <c r="SMQ228" s="1"/>
      <c r="SMR228" s="1"/>
      <c r="SMS228" s="1"/>
      <c r="SMT228" s="1"/>
      <c r="SMU228" s="1"/>
      <c r="SMV228" s="1"/>
      <c r="SMW228" s="1"/>
      <c r="SMX228" s="1"/>
      <c r="SMY228" s="1"/>
      <c r="SMZ228" s="1"/>
      <c r="SNA228" s="1"/>
      <c r="SNB228" s="1"/>
      <c r="SNC228" s="1"/>
      <c r="SND228" s="1"/>
      <c r="SNE228" s="1"/>
      <c r="SNF228" s="1"/>
      <c r="SNG228" s="1"/>
      <c r="SNH228" s="1"/>
      <c r="SNI228" s="1"/>
      <c r="SNJ228" s="1"/>
      <c r="SNK228" s="1"/>
      <c r="SNL228" s="1"/>
      <c r="SNM228" s="1"/>
      <c r="SNN228" s="1"/>
      <c r="SNO228" s="1"/>
      <c r="SNP228" s="1"/>
      <c r="SNQ228" s="1"/>
      <c r="SNR228" s="1"/>
      <c r="SNS228" s="1"/>
      <c r="SNT228" s="1"/>
      <c r="SNU228" s="1"/>
      <c r="SNV228" s="1"/>
      <c r="SNW228" s="1"/>
      <c r="SNX228" s="1"/>
      <c r="SNY228" s="1"/>
      <c r="SNZ228" s="1"/>
      <c r="SOA228" s="1"/>
      <c r="SOB228" s="1"/>
      <c r="SOC228" s="1"/>
      <c r="SOD228" s="1"/>
      <c r="SOE228" s="1"/>
      <c r="SOF228" s="1"/>
      <c r="SOG228" s="1"/>
      <c r="SOH228" s="1"/>
      <c r="SOI228" s="1"/>
      <c r="SOJ228" s="1"/>
      <c r="SOK228" s="1"/>
      <c r="SOL228" s="1"/>
      <c r="SOM228" s="1"/>
      <c r="SON228" s="1"/>
      <c r="SOO228" s="1"/>
      <c r="SOP228" s="1"/>
      <c r="SOQ228" s="1"/>
      <c r="SOR228" s="1"/>
      <c r="SOS228" s="1"/>
      <c r="SOT228" s="1"/>
      <c r="SOU228" s="1"/>
      <c r="SOV228" s="1"/>
      <c r="SOW228" s="1"/>
      <c r="SOX228" s="1"/>
      <c r="SOY228" s="1"/>
      <c r="SOZ228" s="1"/>
      <c r="SPA228" s="1"/>
      <c r="SPB228" s="1"/>
      <c r="SPC228" s="1"/>
      <c r="SPD228" s="1"/>
      <c r="SPE228" s="1"/>
      <c r="SPF228" s="1"/>
      <c r="SPG228" s="1"/>
      <c r="SPH228" s="1"/>
      <c r="SPI228" s="1"/>
      <c r="SPJ228" s="1"/>
      <c r="SPK228" s="1"/>
      <c r="SPL228" s="1"/>
      <c r="SPM228" s="1"/>
      <c r="SPN228" s="1"/>
      <c r="SPO228" s="1"/>
      <c r="SPP228" s="1"/>
      <c r="SPQ228" s="1"/>
      <c r="SPR228" s="1"/>
      <c r="SPS228" s="1"/>
      <c r="SPT228" s="1"/>
      <c r="SPU228" s="1"/>
      <c r="SPV228" s="1"/>
      <c r="SPW228" s="1"/>
      <c r="SPX228" s="1"/>
      <c r="SPY228" s="1"/>
      <c r="SPZ228" s="1"/>
      <c r="SQA228" s="1"/>
      <c r="SQB228" s="1"/>
      <c r="SQC228" s="1"/>
      <c r="SQD228" s="1"/>
      <c r="SQE228" s="1"/>
      <c r="SQF228" s="1"/>
      <c r="SQG228" s="1"/>
      <c r="SQH228" s="1"/>
      <c r="SQI228" s="1"/>
      <c r="SQJ228" s="1"/>
      <c r="SQK228" s="1"/>
      <c r="SQL228" s="1"/>
      <c r="SQM228" s="1"/>
      <c r="SQN228" s="1"/>
      <c r="SQO228" s="1"/>
      <c r="SQP228" s="1"/>
      <c r="SQQ228" s="1"/>
      <c r="SQR228" s="1"/>
      <c r="SQS228" s="1"/>
      <c r="SQT228" s="1"/>
      <c r="SQU228" s="1"/>
      <c r="SQV228" s="1"/>
      <c r="SQW228" s="1"/>
      <c r="SQX228" s="1"/>
      <c r="SQY228" s="1"/>
      <c r="SQZ228" s="1"/>
      <c r="SRA228" s="1"/>
      <c r="SRB228" s="1"/>
      <c r="SRC228" s="1"/>
      <c r="SRD228" s="1"/>
      <c r="SRE228" s="1"/>
      <c r="SRF228" s="1"/>
      <c r="SRG228" s="1"/>
      <c r="SRH228" s="1"/>
      <c r="SRI228" s="1"/>
      <c r="SRJ228" s="1"/>
      <c r="SRK228" s="1"/>
      <c r="SRL228" s="1"/>
      <c r="SRM228" s="1"/>
      <c r="SRN228" s="1"/>
      <c r="SRO228" s="1"/>
      <c r="SRP228" s="1"/>
      <c r="SRQ228" s="1"/>
      <c r="SRR228" s="1"/>
      <c r="SRS228" s="1"/>
      <c r="SRT228" s="1"/>
      <c r="SRU228" s="1"/>
      <c r="SRV228" s="1"/>
      <c r="SRW228" s="1"/>
      <c r="SRX228" s="1"/>
      <c r="SRY228" s="1"/>
      <c r="SRZ228" s="1"/>
      <c r="SSA228" s="1"/>
      <c r="SSB228" s="1"/>
      <c r="SSC228" s="1"/>
      <c r="SSD228" s="1"/>
      <c r="SSE228" s="1"/>
      <c r="SSF228" s="1"/>
      <c r="SSG228" s="1"/>
      <c r="SSH228" s="1"/>
      <c r="SSI228" s="1"/>
      <c r="SSJ228" s="1"/>
      <c r="SSK228" s="1"/>
      <c r="SSL228" s="1"/>
      <c r="SSM228" s="1"/>
      <c r="SSN228" s="1"/>
      <c r="SSO228" s="1"/>
      <c r="SSP228" s="1"/>
      <c r="SSQ228" s="1"/>
      <c r="SSR228" s="1"/>
      <c r="SSS228" s="1"/>
      <c r="SST228" s="1"/>
      <c r="SSU228" s="1"/>
      <c r="SSV228" s="1"/>
      <c r="SSW228" s="1"/>
      <c r="SSX228" s="1"/>
      <c r="SSY228" s="1"/>
      <c r="SSZ228" s="1"/>
      <c r="STA228" s="1"/>
      <c r="STB228" s="1"/>
      <c r="STC228" s="1"/>
      <c r="STD228" s="1"/>
      <c r="STE228" s="1"/>
      <c r="STF228" s="1"/>
      <c r="STG228" s="1"/>
      <c r="STH228" s="1"/>
      <c r="STI228" s="1"/>
      <c r="STJ228" s="1"/>
      <c r="STK228" s="1"/>
      <c r="STL228" s="1"/>
      <c r="STM228" s="1"/>
      <c r="STN228" s="1"/>
      <c r="STO228" s="1"/>
      <c r="STP228" s="1"/>
      <c r="STQ228" s="1"/>
      <c r="STR228" s="1"/>
      <c r="STS228" s="1"/>
      <c r="STT228" s="1"/>
      <c r="STU228" s="1"/>
      <c r="STV228" s="1"/>
      <c r="STW228" s="1"/>
      <c r="STX228" s="1"/>
      <c r="STY228" s="1"/>
      <c r="STZ228" s="1"/>
      <c r="SUA228" s="1"/>
      <c r="SUB228" s="1"/>
      <c r="SUC228" s="1"/>
      <c r="SUD228" s="1"/>
      <c r="SUE228" s="1"/>
      <c r="SUF228" s="1"/>
      <c r="SUG228" s="1"/>
      <c r="SUH228" s="1"/>
      <c r="SUI228" s="1"/>
      <c r="SUJ228" s="1"/>
      <c r="SUK228" s="1"/>
      <c r="SUL228" s="1"/>
      <c r="SUM228" s="1"/>
      <c r="SUN228" s="1"/>
      <c r="SUO228" s="1"/>
      <c r="SUP228" s="1"/>
      <c r="SUQ228" s="1"/>
      <c r="SUR228" s="1"/>
      <c r="SUS228" s="1"/>
      <c r="SUT228" s="1"/>
      <c r="SUU228" s="1"/>
      <c r="SUV228" s="1"/>
      <c r="SUW228" s="1"/>
      <c r="SUX228" s="1"/>
      <c r="SUY228" s="1"/>
      <c r="SUZ228" s="1"/>
      <c r="SVA228" s="1"/>
      <c r="SVB228" s="1"/>
      <c r="SVC228" s="1"/>
      <c r="SVD228" s="1"/>
      <c r="SVE228" s="1"/>
      <c r="SVF228" s="1"/>
      <c r="SVG228" s="1"/>
      <c r="SVH228" s="1"/>
      <c r="SVI228" s="1"/>
      <c r="SVJ228" s="1"/>
      <c r="SVK228" s="1"/>
      <c r="SVL228" s="1"/>
      <c r="SVM228" s="1"/>
      <c r="SVN228" s="1"/>
      <c r="SVO228" s="1"/>
      <c r="SVP228" s="1"/>
      <c r="SVQ228" s="1"/>
      <c r="SVR228" s="1"/>
      <c r="SVS228" s="1"/>
      <c r="SVT228" s="1"/>
      <c r="SVU228" s="1"/>
      <c r="SVV228" s="1"/>
      <c r="SVW228" s="1"/>
      <c r="SVX228" s="1"/>
      <c r="SVY228" s="1"/>
      <c r="SVZ228" s="1"/>
      <c r="SWA228" s="1"/>
      <c r="SWB228" s="1"/>
      <c r="SWC228" s="1"/>
      <c r="SWD228" s="1"/>
      <c r="SWE228" s="1"/>
      <c r="SWF228" s="1"/>
      <c r="SWG228" s="1"/>
      <c r="SWH228" s="1"/>
      <c r="SWI228" s="1"/>
      <c r="SWJ228" s="1"/>
      <c r="SWK228" s="1"/>
      <c r="SWL228" s="1"/>
      <c r="SWM228" s="1"/>
      <c r="SWN228" s="1"/>
      <c r="SWO228" s="1"/>
      <c r="SWP228" s="1"/>
      <c r="SWQ228" s="1"/>
      <c r="SWR228" s="1"/>
      <c r="SWS228" s="1"/>
      <c r="SWT228" s="1"/>
      <c r="SWU228" s="1"/>
      <c r="SWV228" s="1"/>
      <c r="SWW228" s="1"/>
      <c r="SWX228" s="1"/>
      <c r="SWY228" s="1"/>
      <c r="SWZ228" s="1"/>
      <c r="SXA228" s="1"/>
      <c r="SXB228" s="1"/>
      <c r="SXC228" s="1"/>
      <c r="SXD228" s="1"/>
      <c r="SXE228" s="1"/>
      <c r="SXF228" s="1"/>
      <c r="SXG228" s="1"/>
      <c r="SXH228" s="1"/>
      <c r="SXI228" s="1"/>
      <c r="SXJ228" s="1"/>
      <c r="SXK228" s="1"/>
      <c r="SXL228" s="1"/>
      <c r="SXM228" s="1"/>
      <c r="SXN228" s="1"/>
      <c r="SXO228" s="1"/>
      <c r="SXP228" s="1"/>
      <c r="SXQ228" s="1"/>
      <c r="SXR228" s="1"/>
      <c r="SXS228" s="1"/>
      <c r="SXT228" s="1"/>
      <c r="SXU228" s="1"/>
      <c r="SXV228" s="1"/>
      <c r="SXW228" s="1"/>
      <c r="SXX228" s="1"/>
      <c r="SXY228" s="1"/>
      <c r="SXZ228" s="1"/>
      <c r="SYA228" s="1"/>
      <c r="SYB228" s="1"/>
      <c r="SYC228" s="1"/>
      <c r="SYD228" s="1"/>
      <c r="SYE228" s="1"/>
      <c r="SYF228" s="1"/>
      <c r="SYG228" s="1"/>
      <c r="SYH228" s="1"/>
      <c r="SYI228" s="1"/>
      <c r="SYJ228" s="1"/>
      <c r="SYK228" s="1"/>
      <c r="SYL228" s="1"/>
      <c r="SYM228" s="1"/>
      <c r="SYN228" s="1"/>
      <c r="SYO228" s="1"/>
      <c r="SYP228" s="1"/>
      <c r="SYQ228" s="1"/>
      <c r="SYR228" s="1"/>
      <c r="SYS228" s="1"/>
      <c r="SYT228" s="1"/>
      <c r="SYU228" s="1"/>
      <c r="SYV228" s="1"/>
      <c r="SYW228" s="1"/>
      <c r="SYX228" s="1"/>
      <c r="SYY228" s="1"/>
      <c r="SYZ228" s="1"/>
      <c r="SZA228" s="1"/>
      <c r="SZB228" s="1"/>
      <c r="SZC228" s="1"/>
      <c r="SZD228" s="1"/>
      <c r="SZE228" s="1"/>
      <c r="SZF228" s="1"/>
      <c r="SZG228" s="1"/>
      <c r="SZH228" s="1"/>
      <c r="SZI228" s="1"/>
      <c r="SZJ228" s="1"/>
      <c r="SZK228" s="1"/>
      <c r="SZL228" s="1"/>
      <c r="SZM228" s="1"/>
      <c r="SZN228" s="1"/>
      <c r="SZO228" s="1"/>
      <c r="SZP228" s="1"/>
      <c r="SZQ228" s="1"/>
      <c r="SZR228" s="1"/>
      <c r="SZS228" s="1"/>
      <c r="SZT228" s="1"/>
      <c r="SZU228" s="1"/>
      <c r="SZV228" s="1"/>
      <c r="SZW228" s="1"/>
      <c r="SZX228" s="1"/>
      <c r="SZY228" s="1"/>
      <c r="SZZ228" s="1"/>
      <c r="TAA228" s="1"/>
      <c r="TAB228" s="1"/>
      <c r="TAC228" s="1"/>
      <c r="TAD228" s="1"/>
      <c r="TAE228" s="1"/>
      <c r="TAF228" s="1"/>
      <c r="TAG228" s="1"/>
      <c r="TAH228" s="1"/>
      <c r="TAI228" s="1"/>
      <c r="TAJ228" s="1"/>
      <c r="TAK228" s="1"/>
      <c r="TAL228" s="1"/>
      <c r="TAM228" s="1"/>
      <c r="TAN228" s="1"/>
      <c r="TAO228" s="1"/>
      <c r="TAP228" s="1"/>
      <c r="TAQ228" s="1"/>
      <c r="TAR228" s="1"/>
      <c r="TAS228" s="1"/>
      <c r="TAT228" s="1"/>
      <c r="TAU228" s="1"/>
      <c r="TAV228" s="1"/>
      <c r="TAW228" s="1"/>
      <c r="TAX228" s="1"/>
      <c r="TAY228" s="1"/>
      <c r="TAZ228" s="1"/>
      <c r="TBA228" s="1"/>
      <c r="TBB228" s="1"/>
      <c r="TBC228" s="1"/>
      <c r="TBD228" s="1"/>
      <c r="TBE228" s="1"/>
      <c r="TBF228" s="1"/>
      <c r="TBG228" s="1"/>
      <c r="TBH228" s="1"/>
      <c r="TBI228" s="1"/>
      <c r="TBJ228" s="1"/>
      <c r="TBK228" s="1"/>
      <c r="TBL228" s="1"/>
      <c r="TBM228" s="1"/>
      <c r="TBN228" s="1"/>
      <c r="TBO228" s="1"/>
      <c r="TBP228" s="1"/>
      <c r="TBQ228" s="1"/>
      <c r="TBR228" s="1"/>
      <c r="TBS228" s="1"/>
      <c r="TBT228" s="1"/>
      <c r="TBU228" s="1"/>
      <c r="TBV228" s="1"/>
      <c r="TBW228" s="1"/>
      <c r="TBX228" s="1"/>
      <c r="TBY228" s="1"/>
      <c r="TBZ228" s="1"/>
      <c r="TCA228" s="1"/>
      <c r="TCB228" s="1"/>
      <c r="TCC228" s="1"/>
      <c r="TCD228" s="1"/>
      <c r="TCE228" s="1"/>
      <c r="TCF228" s="1"/>
      <c r="TCG228" s="1"/>
      <c r="TCH228" s="1"/>
      <c r="TCI228" s="1"/>
      <c r="TCJ228" s="1"/>
      <c r="TCK228" s="1"/>
      <c r="TCL228" s="1"/>
      <c r="TCM228" s="1"/>
      <c r="TCN228" s="1"/>
      <c r="TCO228" s="1"/>
      <c r="TCP228" s="1"/>
      <c r="TCQ228" s="1"/>
      <c r="TCR228" s="1"/>
      <c r="TCS228" s="1"/>
      <c r="TCT228" s="1"/>
      <c r="TCU228" s="1"/>
      <c r="TCV228" s="1"/>
      <c r="TCW228" s="1"/>
      <c r="TCX228" s="1"/>
      <c r="TCY228" s="1"/>
      <c r="TCZ228" s="1"/>
      <c r="TDA228" s="1"/>
      <c r="TDB228" s="1"/>
      <c r="TDC228" s="1"/>
      <c r="TDD228" s="1"/>
      <c r="TDE228" s="1"/>
      <c r="TDF228" s="1"/>
      <c r="TDG228" s="1"/>
      <c r="TDH228" s="1"/>
      <c r="TDI228" s="1"/>
      <c r="TDJ228" s="1"/>
      <c r="TDK228" s="1"/>
      <c r="TDL228" s="1"/>
      <c r="TDM228" s="1"/>
      <c r="TDN228" s="1"/>
      <c r="TDO228" s="1"/>
      <c r="TDP228" s="1"/>
      <c r="TDQ228" s="1"/>
      <c r="TDR228" s="1"/>
      <c r="TDS228" s="1"/>
      <c r="TDT228" s="1"/>
      <c r="TDU228" s="1"/>
      <c r="TDV228" s="1"/>
      <c r="TDW228" s="1"/>
      <c r="TDX228" s="1"/>
      <c r="TDY228" s="1"/>
      <c r="TDZ228" s="1"/>
      <c r="TEA228" s="1"/>
      <c r="TEB228" s="1"/>
      <c r="TEC228" s="1"/>
      <c r="TED228" s="1"/>
      <c r="TEE228" s="1"/>
      <c r="TEF228" s="1"/>
      <c r="TEG228" s="1"/>
      <c r="TEH228" s="1"/>
      <c r="TEI228" s="1"/>
      <c r="TEJ228" s="1"/>
      <c r="TEK228" s="1"/>
      <c r="TEL228" s="1"/>
      <c r="TEM228" s="1"/>
      <c r="TEN228" s="1"/>
      <c r="TEO228" s="1"/>
      <c r="TEP228" s="1"/>
      <c r="TEQ228" s="1"/>
      <c r="TER228" s="1"/>
      <c r="TES228" s="1"/>
      <c r="TET228" s="1"/>
      <c r="TEU228" s="1"/>
      <c r="TEV228" s="1"/>
      <c r="TEW228" s="1"/>
      <c r="TEX228" s="1"/>
      <c r="TEY228" s="1"/>
      <c r="TEZ228" s="1"/>
      <c r="TFA228" s="1"/>
      <c r="TFB228" s="1"/>
      <c r="TFC228" s="1"/>
      <c r="TFD228" s="1"/>
      <c r="TFE228" s="1"/>
      <c r="TFF228" s="1"/>
      <c r="TFG228" s="1"/>
      <c r="TFH228" s="1"/>
      <c r="TFI228" s="1"/>
      <c r="TFJ228" s="1"/>
      <c r="TFK228" s="1"/>
      <c r="TFL228" s="1"/>
      <c r="TFM228" s="1"/>
      <c r="TFN228" s="1"/>
      <c r="TFO228" s="1"/>
      <c r="TFP228" s="1"/>
      <c r="TFQ228" s="1"/>
      <c r="TFR228" s="1"/>
      <c r="TFS228" s="1"/>
      <c r="TFT228" s="1"/>
      <c r="TFU228" s="1"/>
      <c r="TFV228" s="1"/>
      <c r="TFW228" s="1"/>
      <c r="TFX228" s="1"/>
      <c r="TFY228" s="1"/>
      <c r="TFZ228" s="1"/>
      <c r="TGA228" s="1"/>
      <c r="TGB228" s="1"/>
      <c r="TGC228" s="1"/>
      <c r="TGD228" s="1"/>
      <c r="TGE228" s="1"/>
      <c r="TGF228" s="1"/>
      <c r="TGG228" s="1"/>
      <c r="TGH228" s="1"/>
      <c r="TGI228" s="1"/>
      <c r="TGJ228" s="1"/>
      <c r="TGK228" s="1"/>
      <c r="TGL228" s="1"/>
      <c r="TGM228" s="1"/>
      <c r="TGN228" s="1"/>
      <c r="TGO228" s="1"/>
      <c r="TGP228" s="1"/>
      <c r="TGQ228" s="1"/>
      <c r="TGR228" s="1"/>
      <c r="TGS228" s="1"/>
      <c r="TGT228" s="1"/>
      <c r="TGU228" s="1"/>
      <c r="TGV228" s="1"/>
      <c r="TGW228" s="1"/>
      <c r="TGX228" s="1"/>
      <c r="TGY228" s="1"/>
      <c r="TGZ228" s="1"/>
      <c r="THA228" s="1"/>
      <c r="THB228" s="1"/>
      <c r="THC228" s="1"/>
      <c r="THD228" s="1"/>
      <c r="THE228" s="1"/>
      <c r="THF228" s="1"/>
      <c r="THG228" s="1"/>
      <c r="THH228" s="1"/>
      <c r="THI228" s="1"/>
      <c r="THJ228" s="1"/>
      <c r="THK228" s="1"/>
      <c r="THL228" s="1"/>
      <c r="THM228" s="1"/>
      <c r="THN228" s="1"/>
      <c r="THO228" s="1"/>
      <c r="THP228" s="1"/>
      <c r="THQ228" s="1"/>
      <c r="THR228" s="1"/>
      <c r="THS228" s="1"/>
      <c r="THT228" s="1"/>
      <c r="THU228" s="1"/>
      <c r="THV228" s="1"/>
      <c r="THW228" s="1"/>
      <c r="THX228" s="1"/>
      <c r="THY228" s="1"/>
      <c r="THZ228" s="1"/>
      <c r="TIA228" s="1"/>
      <c r="TIB228" s="1"/>
      <c r="TIC228" s="1"/>
      <c r="TID228" s="1"/>
      <c r="TIE228" s="1"/>
      <c r="TIF228" s="1"/>
      <c r="TIG228" s="1"/>
      <c r="TIH228" s="1"/>
      <c r="TII228" s="1"/>
      <c r="TIJ228" s="1"/>
      <c r="TIK228" s="1"/>
      <c r="TIL228" s="1"/>
      <c r="TIM228" s="1"/>
      <c r="TIN228" s="1"/>
      <c r="TIO228" s="1"/>
      <c r="TIP228" s="1"/>
      <c r="TIQ228" s="1"/>
      <c r="TIR228" s="1"/>
      <c r="TIS228" s="1"/>
      <c r="TIT228" s="1"/>
      <c r="TIU228" s="1"/>
      <c r="TIV228" s="1"/>
      <c r="TIW228" s="1"/>
      <c r="TIX228" s="1"/>
      <c r="TIY228" s="1"/>
      <c r="TIZ228" s="1"/>
      <c r="TJA228" s="1"/>
      <c r="TJB228" s="1"/>
      <c r="TJC228" s="1"/>
      <c r="TJD228" s="1"/>
      <c r="TJE228" s="1"/>
      <c r="TJF228" s="1"/>
      <c r="TJG228" s="1"/>
      <c r="TJH228" s="1"/>
      <c r="TJI228" s="1"/>
      <c r="TJJ228" s="1"/>
      <c r="TJK228" s="1"/>
      <c r="TJL228" s="1"/>
      <c r="TJM228" s="1"/>
      <c r="TJN228" s="1"/>
      <c r="TJO228" s="1"/>
      <c r="TJP228" s="1"/>
      <c r="TJQ228" s="1"/>
      <c r="TJR228" s="1"/>
      <c r="TJS228" s="1"/>
      <c r="TJT228" s="1"/>
      <c r="TJU228" s="1"/>
      <c r="TJV228" s="1"/>
      <c r="TJW228" s="1"/>
      <c r="TJX228" s="1"/>
      <c r="TJY228" s="1"/>
      <c r="TJZ228" s="1"/>
      <c r="TKA228" s="1"/>
      <c r="TKB228" s="1"/>
      <c r="TKC228" s="1"/>
      <c r="TKD228" s="1"/>
      <c r="TKE228" s="1"/>
      <c r="TKF228" s="1"/>
      <c r="TKG228" s="1"/>
      <c r="TKH228" s="1"/>
      <c r="TKI228" s="1"/>
      <c r="TKJ228" s="1"/>
      <c r="TKK228" s="1"/>
      <c r="TKL228" s="1"/>
      <c r="TKM228" s="1"/>
      <c r="TKN228" s="1"/>
      <c r="TKO228" s="1"/>
      <c r="TKP228" s="1"/>
      <c r="TKQ228" s="1"/>
      <c r="TKR228" s="1"/>
      <c r="TKS228" s="1"/>
      <c r="TKT228" s="1"/>
      <c r="TKU228" s="1"/>
      <c r="TKV228" s="1"/>
      <c r="TKW228" s="1"/>
      <c r="TKX228" s="1"/>
      <c r="TKY228" s="1"/>
      <c r="TKZ228" s="1"/>
      <c r="TLA228" s="1"/>
      <c r="TLB228" s="1"/>
      <c r="TLC228" s="1"/>
      <c r="TLD228" s="1"/>
      <c r="TLE228" s="1"/>
      <c r="TLF228" s="1"/>
      <c r="TLG228" s="1"/>
      <c r="TLH228" s="1"/>
      <c r="TLI228" s="1"/>
      <c r="TLJ228" s="1"/>
      <c r="TLK228" s="1"/>
      <c r="TLL228" s="1"/>
      <c r="TLM228" s="1"/>
      <c r="TLN228" s="1"/>
      <c r="TLO228" s="1"/>
      <c r="TLP228" s="1"/>
      <c r="TLQ228" s="1"/>
      <c r="TLR228" s="1"/>
      <c r="TLS228" s="1"/>
      <c r="TLT228" s="1"/>
      <c r="TLU228" s="1"/>
      <c r="TLV228" s="1"/>
      <c r="TLW228" s="1"/>
      <c r="TLX228" s="1"/>
      <c r="TLY228" s="1"/>
      <c r="TLZ228" s="1"/>
      <c r="TMA228" s="1"/>
      <c r="TMB228" s="1"/>
      <c r="TMC228" s="1"/>
      <c r="TMD228" s="1"/>
      <c r="TME228" s="1"/>
      <c r="TMF228" s="1"/>
      <c r="TMG228" s="1"/>
      <c r="TMH228" s="1"/>
      <c r="TMI228" s="1"/>
      <c r="TMJ228" s="1"/>
      <c r="TMK228" s="1"/>
      <c r="TML228" s="1"/>
      <c r="TMM228" s="1"/>
      <c r="TMN228" s="1"/>
      <c r="TMO228" s="1"/>
      <c r="TMP228" s="1"/>
      <c r="TMQ228" s="1"/>
      <c r="TMR228" s="1"/>
      <c r="TMS228" s="1"/>
      <c r="TMT228" s="1"/>
      <c r="TMU228" s="1"/>
      <c r="TMV228" s="1"/>
      <c r="TMW228" s="1"/>
      <c r="TMX228" s="1"/>
      <c r="TMY228" s="1"/>
      <c r="TMZ228" s="1"/>
      <c r="TNA228" s="1"/>
      <c r="TNB228" s="1"/>
      <c r="TNC228" s="1"/>
      <c r="TND228" s="1"/>
      <c r="TNE228" s="1"/>
      <c r="TNF228" s="1"/>
      <c r="TNG228" s="1"/>
      <c r="TNH228" s="1"/>
      <c r="TNI228" s="1"/>
      <c r="TNJ228" s="1"/>
      <c r="TNK228" s="1"/>
      <c r="TNL228" s="1"/>
      <c r="TNM228" s="1"/>
      <c r="TNN228" s="1"/>
      <c r="TNO228" s="1"/>
      <c r="TNP228" s="1"/>
      <c r="TNQ228" s="1"/>
      <c r="TNR228" s="1"/>
      <c r="TNS228" s="1"/>
      <c r="TNT228" s="1"/>
      <c r="TNU228" s="1"/>
      <c r="TNV228" s="1"/>
      <c r="TNW228" s="1"/>
      <c r="TNX228" s="1"/>
      <c r="TNY228" s="1"/>
      <c r="TNZ228" s="1"/>
      <c r="TOA228" s="1"/>
      <c r="TOB228" s="1"/>
      <c r="TOC228" s="1"/>
      <c r="TOD228" s="1"/>
      <c r="TOE228" s="1"/>
      <c r="TOF228" s="1"/>
      <c r="TOG228" s="1"/>
      <c r="TOH228" s="1"/>
      <c r="TOI228" s="1"/>
      <c r="TOJ228" s="1"/>
      <c r="TOK228" s="1"/>
      <c r="TOL228" s="1"/>
      <c r="TOM228" s="1"/>
      <c r="TON228" s="1"/>
      <c r="TOO228" s="1"/>
      <c r="TOP228" s="1"/>
      <c r="TOQ228" s="1"/>
      <c r="TOR228" s="1"/>
      <c r="TOS228" s="1"/>
      <c r="TOT228" s="1"/>
      <c r="TOU228" s="1"/>
      <c r="TOV228" s="1"/>
      <c r="TOW228" s="1"/>
      <c r="TOX228" s="1"/>
      <c r="TOY228" s="1"/>
      <c r="TOZ228" s="1"/>
      <c r="TPA228" s="1"/>
      <c r="TPB228" s="1"/>
      <c r="TPC228" s="1"/>
      <c r="TPD228" s="1"/>
      <c r="TPE228" s="1"/>
      <c r="TPF228" s="1"/>
      <c r="TPG228" s="1"/>
      <c r="TPH228" s="1"/>
      <c r="TPI228" s="1"/>
      <c r="TPJ228" s="1"/>
      <c r="TPK228" s="1"/>
      <c r="TPL228" s="1"/>
      <c r="TPM228" s="1"/>
      <c r="TPN228" s="1"/>
      <c r="TPO228" s="1"/>
      <c r="TPP228" s="1"/>
      <c r="TPQ228" s="1"/>
      <c r="TPR228" s="1"/>
      <c r="TPS228" s="1"/>
      <c r="TPT228" s="1"/>
      <c r="TPU228" s="1"/>
      <c r="TPV228" s="1"/>
      <c r="TPW228" s="1"/>
      <c r="TPX228" s="1"/>
      <c r="TPY228" s="1"/>
      <c r="TPZ228" s="1"/>
      <c r="TQA228" s="1"/>
      <c r="TQB228" s="1"/>
      <c r="TQC228" s="1"/>
      <c r="TQD228" s="1"/>
      <c r="TQE228" s="1"/>
      <c r="TQF228" s="1"/>
      <c r="TQG228" s="1"/>
      <c r="TQH228" s="1"/>
      <c r="TQI228" s="1"/>
      <c r="TQJ228" s="1"/>
      <c r="TQK228" s="1"/>
      <c r="TQL228" s="1"/>
      <c r="TQM228" s="1"/>
      <c r="TQN228" s="1"/>
      <c r="TQO228" s="1"/>
      <c r="TQP228" s="1"/>
      <c r="TQQ228" s="1"/>
      <c r="TQR228" s="1"/>
      <c r="TQS228" s="1"/>
      <c r="TQT228" s="1"/>
      <c r="TQU228" s="1"/>
      <c r="TQV228" s="1"/>
      <c r="TQW228" s="1"/>
      <c r="TQX228" s="1"/>
      <c r="TQY228" s="1"/>
      <c r="TQZ228" s="1"/>
      <c r="TRA228" s="1"/>
      <c r="TRB228" s="1"/>
      <c r="TRC228" s="1"/>
      <c r="TRD228" s="1"/>
      <c r="TRE228" s="1"/>
      <c r="TRF228" s="1"/>
      <c r="TRG228" s="1"/>
      <c r="TRH228" s="1"/>
      <c r="TRI228" s="1"/>
      <c r="TRJ228" s="1"/>
      <c r="TRK228" s="1"/>
      <c r="TRL228" s="1"/>
      <c r="TRM228" s="1"/>
      <c r="TRN228" s="1"/>
      <c r="TRO228" s="1"/>
      <c r="TRP228" s="1"/>
      <c r="TRQ228" s="1"/>
      <c r="TRR228" s="1"/>
      <c r="TRS228" s="1"/>
      <c r="TRT228" s="1"/>
      <c r="TRU228" s="1"/>
      <c r="TRV228" s="1"/>
      <c r="TRW228" s="1"/>
      <c r="TRX228" s="1"/>
      <c r="TRY228" s="1"/>
      <c r="TRZ228" s="1"/>
      <c r="TSA228" s="1"/>
      <c r="TSB228" s="1"/>
      <c r="TSC228" s="1"/>
      <c r="TSD228" s="1"/>
      <c r="TSE228" s="1"/>
      <c r="TSF228" s="1"/>
      <c r="TSG228" s="1"/>
      <c r="TSH228" s="1"/>
      <c r="TSI228" s="1"/>
      <c r="TSJ228" s="1"/>
      <c r="TSK228" s="1"/>
      <c r="TSL228" s="1"/>
      <c r="TSM228" s="1"/>
      <c r="TSN228" s="1"/>
      <c r="TSO228" s="1"/>
      <c r="TSP228" s="1"/>
      <c r="TSQ228" s="1"/>
      <c r="TSR228" s="1"/>
      <c r="TSS228" s="1"/>
      <c r="TST228" s="1"/>
      <c r="TSU228" s="1"/>
      <c r="TSV228" s="1"/>
      <c r="TSW228" s="1"/>
      <c r="TSX228" s="1"/>
      <c r="TSY228" s="1"/>
      <c r="TSZ228" s="1"/>
      <c r="TTA228" s="1"/>
      <c r="TTB228" s="1"/>
      <c r="TTC228" s="1"/>
      <c r="TTD228" s="1"/>
      <c r="TTE228" s="1"/>
      <c r="TTF228" s="1"/>
      <c r="TTG228" s="1"/>
      <c r="TTH228" s="1"/>
      <c r="TTI228" s="1"/>
      <c r="TTJ228" s="1"/>
      <c r="TTK228" s="1"/>
      <c r="TTL228" s="1"/>
      <c r="TTM228" s="1"/>
      <c r="TTN228" s="1"/>
      <c r="TTO228" s="1"/>
      <c r="TTP228" s="1"/>
      <c r="TTQ228" s="1"/>
      <c r="TTR228" s="1"/>
      <c r="TTS228" s="1"/>
      <c r="TTT228" s="1"/>
      <c r="TTU228" s="1"/>
      <c r="TTV228" s="1"/>
      <c r="TTW228" s="1"/>
      <c r="TTX228" s="1"/>
      <c r="TTY228" s="1"/>
      <c r="TTZ228" s="1"/>
      <c r="TUA228" s="1"/>
      <c r="TUB228" s="1"/>
      <c r="TUC228" s="1"/>
      <c r="TUD228" s="1"/>
      <c r="TUE228" s="1"/>
      <c r="TUF228" s="1"/>
      <c r="TUG228" s="1"/>
      <c r="TUH228" s="1"/>
      <c r="TUI228" s="1"/>
      <c r="TUJ228" s="1"/>
      <c r="TUK228" s="1"/>
      <c r="TUL228" s="1"/>
      <c r="TUM228" s="1"/>
      <c r="TUN228" s="1"/>
      <c r="TUO228" s="1"/>
      <c r="TUP228" s="1"/>
      <c r="TUQ228" s="1"/>
      <c r="TUR228" s="1"/>
      <c r="TUS228" s="1"/>
      <c r="TUT228" s="1"/>
      <c r="TUU228" s="1"/>
      <c r="TUV228" s="1"/>
      <c r="TUW228" s="1"/>
      <c r="TUX228" s="1"/>
      <c r="TUY228" s="1"/>
      <c r="TUZ228" s="1"/>
      <c r="TVA228" s="1"/>
      <c r="TVB228" s="1"/>
      <c r="TVC228" s="1"/>
      <c r="TVD228" s="1"/>
      <c r="TVE228" s="1"/>
      <c r="TVF228" s="1"/>
      <c r="TVG228" s="1"/>
      <c r="TVH228" s="1"/>
      <c r="TVI228" s="1"/>
      <c r="TVJ228" s="1"/>
      <c r="TVK228" s="1"/>
      <c r="TVL228" s="1"/>
      <c r="TVM228" s="1"/>
      <c r="TVN228" s="1"/>
      <c r="TVO228" s="1"/>
      <c r="TVP228" s="1"/>
      <c r="TVQ228" s="1"/>
      <c r="TVR228" s="1"/>
      <c r="TVS228" s="1"/>
      <c r="TVT228" s="1"/>
      <c r="TVU228" s="1"/>
      <c r="TVV228" s="1"/>
      <c r="TVW228" s="1"/>
      <c r="TVX228" s="1"/>
      <c r="TVY228" s="1"/>
      <c r="TVZ228" s="1"/>
      <c r="TWA228" s="1"/>
      <c r="TWB228" s="1"/>
      <c r="TWC228" s="1"/>
      <c r="TWD228" s="1"/>
      <c r="TWE228" s="1"/>
      <c r="TWF228" s="1"/>
      <c r="TWG228" s="1"/>
      <c r="TWH228" s="1"/>
      <c r="TWI228" s="1"/>
      <c r="TWJ228" s="1"/>
      <c r="TWK228" s="1"/>
      <c r="TWL228" s="1"/>
      <c r="TWM228" s="1"/>
      <c r="TWN228" s="1"/>
      <c r="TWO228" s="1"/>
      <c r="TWP228" s="1"/>
      <c r="TWQ228" s="1"/>
      <c r="TWR228" s="1"/>
      <c r="TWS228" s="1"/>
      <c r="TWT228" s="1"/>
      <c r="TWU228" s="1"/>
      <c r="TWV228" s="1"/>
      <c r="TWW228" s="1"/>
      <c r="TWX228" s="1"/>
      <c r="TWY228" s="1"/>
      <c r="TWZ228" s="1"/>
      <c r="TXA228" s="1"/>
      <c r="TXB228" s="1"/>
      <c r="TXC228" s="1"/>
      <c r="TXD228" s="1"/>
      <c r="TXE228" s="1"/>
      <c r="TXF228" s="1"/>
      <c r="TXG228" s="1"/>
      <c r="TXH228" s="1"/>
      <c r="TXI228" s="1"/>
      <c r="TXJ228" s="1"/>
      <c r="TXK228" s="1"/>
      <c r="TXL228" s="1"/>
      <c r="TXM228" s="1"/>
      <c r="TXN228" s="1"/>
      <c r="TXO228" s="1"/>
      <c r="TXP228" s="1"/>
      <c r="TXQ228" s="1"/>
      <c r="TXR228" s="1"/>
      <c r="TXS228" s="1"/>
      <c r="TXT228" s="1"/>
      <c r="TXU228" s="1"/>
      <c r="TXV228" s="1"/>
      <c r="TXW228" s="1"/>
      <c r="TXX228" s="1"/>
      <c r="TXY228" s="1"/>
      <c r="TXZ228" s="1"/>
      <c r="TYA228" s="1"/>
      <c r="TYB228" s="1"/>
      <c r="TYC228" s="1"/>
      <c r="TYD228" s="1"/>
      <c r="TYE228" s="1"/>
      <c r="TYF228" s="1"/>
      <c r="TYG228" s="1"/>
      <c r="TYH228" s="1"/>
      <c r="TYI228" s="1"/>
      <c r="TYJ228" s="1"/>
      <c r="TYK228" s="1"/>
      <c r="TYL228" s="1"/>
      <c r="TYM228" s="1"/>
      <c r="TYN228" s="1"/>
      <c r="TYO228" s="1"/>
      <c r="TYP228" s="1"/>
      <c r="TYQ228" s="1"/>
      <c r="TYR228" s="1"/>
      <c r="TYS228" s="1"/>
      <c r="TYT228" s="1"/>
      <c r="TYU228" s="1"/>
      <c r="TYV228" s="1"/>
      <c r="TYW228" s="1"/>
      <c r="TYX228" s="1"/>
      <c r="TYY228" s="1"/>
      <c r="TYZ228" s="1"/>
      <c r="TZA228" s="1"/>
      <c r="TZB228" s="1"/>
      <c r="TZC228" s="1"/>
      <c r="TZD228" s="1"/>
      <c r="TZE228" s="1"/>
      <c r="TZF228" s="1"/>
      <c r="TZG228" s="1"/>
      <c r="TZH228" s="1"/>
      <c r="TZI228" s="1"/>
      <c r="TZJ228" s="1"/>
      <c r="TZK228" s="1"/>
      <c r="TZL228" s="1"/>
      <c r="TZM228" s="1"/>
      <c r="TZN228" s="1"/>
      <c r="TZO228" s="1"/>
      <c r="TZP228" s="1"/>
      <c r="TZQ228" s="1"/>
      <c r="TZR228" s="1"/>
      <c r="TZS228" s="1"/>
      <c r="TZT228" s="1"/>
      <c r="TZU228" s="1"/>
      <c r="TZV228" s="1"/>
      <c r="TZW228" s="1"/>
      <c r="TZX228" s="1"/>
      <c r="TZY228" s="1"/>
      <c r="TZZ228" s="1"/>
      <c r="UAA228" s="1"/>
      <c r="UAB228" s="1"/>
      <c r="UAC228" s="1"/>
      <c r="UAD228" s="1"/>
      <c r="UAE228" s="1"/>
      <c r="UAF228" s="1"/>
      <c r="UAG228" s="1"/>
      <c r="UAH228" s="1"/>
      <c r="UAI228" s="1"/>
      <c r="UAJ228" s="1"/>
      <c r="UAK228" s="1"/>
      <c r="UAL228" s="1"/>
      <c r="UAM228" s="1"/>
      <c r="UAN228" s="1"/>
      <c r="UAO228" s="1"/>
      <c r="UAP228" s="1"/>
      <c r="UAQ228" s="1"/>
      <c r="UAR228" s="1"/>
      <c r="UAS228" s="1"/>
      <c r="UAT228" s="1"/>
      <c r="UAU228" s="1"/>
      <c r="UAV228" s="1"/>
      <c r="UAW228" s="1"/>
      <c r="UAX228" s="1"/>
      <c r="UAY228" s="1"/>
      <c r="UAZ228" s="1"/>
      <c r="UBA228" s="1"/>
      <c r="UBB228" s="1"/>
      <c r="UBC228" s="1"/>
      <c r="UBD228" s="1"/>
      <c r="UBE228" s="1"/>
      <c r="UBF228" s="1"/>
      <c r="UBG228" s="1"/>
      <c r="UBH228" s="1"/>
      <c r="UBI228" s="1"/>
      <c r="UBJ228" s="1"/>
      <c r="UBK228" s="1"/>
      <c r="UBL228" s="1"/>
      <c r="UBM228" s="1"/>
      <c r="UBN228" s="1"/>
      <c r="UBO228" s="1"/>
      <c r="UBP228" s="1"/>
      <c r="UBQ228" s="1"/>
      <c r="UBR228" s="1"/>
      <c r="UBS228" s="1"/>
      <c r="UBT228" s="1"/>
      <c r="UBU228" s="1"/>
      <c r="UBV228" s="1"/>
      <c r="UBW228" s="1"/>
      <c r="UBX228" s="1"/>
      <c r="UBY228" s="1"/>
      <c r="UBZ228" s="1"/>
      <c r="UCA228" s="1"/>
      <c r="UCB228" s="1"/>
      <c r="UCC228" s="1"/>
      <c r="UCD228" s="1"/>
      <c r="UCE228" s="1"/>
      <c r="UCF228" s="1"/>
      <c r="UCG228" s="1"/>
      <c r="UCH228" s="1"/>
      <c r="UCI228" s="1"/>
      <c r="UCJ228" s="1"/>
      <c r="UCK228" s="1"/>
      <c r="UCL228" s="1"/>
      <c r="UCM228" s="1"/>
      <c r="UCN228" s="1"/>
      <c r="UCO228" s="1"/>
      <c r="UCP228" s="1"/>
      <c r="UCQ228" s="1"/>
      <c r="UCR228" s="1"/>
      <c r="UCS228" s="1"/>
      <c r="UCT228" s="1"/>
      <c r="UCU228" s="1"/>
      <c r="UCV228" s="1"/>
      <c r="UCW228" s="1"/>
      <c r="UCX228" s="1"/>
      <c r="UCY228" s="1"/>
      <c r="UCZ228" s="1"/>
      <c r="UDA228" s="1"/>
      <c r="UDB228" s="1"/>
      <c r="UDC228" s="1"/>
      <c r="UDD228" s="1"/>
      <c r="UDE228" s="1"/>
      <c r="UDF228" s="1"/>
      <c r="UDG228" s="1"/>
      <c r="UDH228" s="1"/>
      <c r="UDI228" s="1"/>
      <c r="UDJ228" s="1"/>
      <c r="UDK228" s="1"/>
      <c r="UDL228" s="1"/>
      <c r="UDM228" s="1"/>
      <c r="UDN228" s="1"/>
      <c r="UDO228" s="1"/>
      <c r="UDP228" s="1"/>
      <c r="UDQ228" s="1"/>
      <c r="UDR228" s="1"/>
      <c r="UDS228" s="1"/>
      <c r="UDT228" s="1"/>
      <c r="UDU228" s="1"/>
      <c r="UDV228" s="1"/>
      <c r="UDW228" s="1"/>
      <c r="UDX228" s="1"/>
      <c r="UDY228" s="1"/>
      <c r="UDZ228" s="1"/>
      <c r="UEA228" s="1"/>
      <c r="UEB228" s="1"/>
      <c r="UEC228" s="1"/>
      <c r="UED228" s="1"/>
      <c r="UEE228" s="1"/>
      <c r="UEF228" s="1"/>
      <c r="UEG228" s="1"/>
      <c r="UEH228" s="1"/>
      <c r="UEI228" s="1"/>
      <c r="UEJ228" s="1"/>
      <c r="UEK228" s="1"/>
      <c r="UEL228" s="1"/>
      <c r="UEM228" s="1"/>
      <c r="UEN228" s="1"/>
      <c r="UEO228" s="1"/>
      <c r="UEP228" s="1"/>
      <c r="UEQ228" s="1"/>
      <c r="UER228" s="1"/>
      <c r="UES228" s="1"/>
      <c r="UET228" s="1"/>
      <c r="UEU228" s="1"/>
      <c r="UEV228" s="1"/>
      <c r="UEW228" s="1"/>
      <c r="UEX228" s="1"/>
      <c r="UEY228" s="1"/>
      <c r="UEZ228" s="1"/>
      <c r="UFA228" s="1"/>
      <c r="UFB228" s="1"/>
      <c r="UFC228" s="1"/>
      <c r="UFD228" s="1"/>
      <c r="UFE228" s="1"/>
      <c r="UFF228" s="1"/>
      <c r="UFG228" s="1"/>
      <c r="UFH228" s="1"/>
      <c r="UFI228" s="1"/>
      <c r="UFJ228" s="1"/>
      <c r="UFK228" s="1"/>
      <c r="UFL228" s="1"/>
      <c r="UFM228" s="1"/>
      <c r="UFN228" s="1"/>
      <c r="UFO228" s="1"/>
      <c r="UFP228" s="1"/>
      <c r="UFQ228" s="1"/>
      <c r="UFR228" s="1"/>
      <c r="UFS228" s="1"/>
      <c r="UFT228" s="1"/>
      <c r="UFU228" s="1"/>
      <c r="UFV228" s="1"/>
      <c r="UFW228" s="1"/>
      <c r="UFX228" s="1"/>
      <c r="UFY228" s="1"/>
      <c r="UFZ228" s="1"/>
      <c r="UGA228" s="1"/>
      <c r="UGB228" s="1"/>
      <c r="UGC228" s="1"/>
      <c r="UGD228" s="1"/>
      <c r="UGE228" s="1"/>
      <c r="UGF228" s="1"/>
      <c r="UGG228" s="1"/>
      <c r="UGH228" s="1"/>
      <c r="UGI228" s="1"/>
      <c r="UGJ228" s="1"/>
      <c r="UGK228" s="1"/>
      <c r="UGL228" s="1"/>
      <c r="UGM228" s="1"/>
      <c r="UGN228" s="1"/>
      <c r="UGO228" s="1"/>
      <c r="UGP228" s="1"/>
      <c r="UGQ228" s="1"/>
      <c r="UGR228" s="1"/>
      <c r="UGS228" s="1"/>
      <c r="UGT228" s="1"/>
      <c r="UGU228" s="1"/>
      <c r="UGV228" s="1"/>
      <c r="UGW228" s="1"/>
      <c r="UGX228" s="1"/>
      <c r="UGY228" s="1"/>
      <c r="UGZ228" s="1"/>
      <c r="UHA228" s="1"/>
      <c r="UHB228" s="1"/>
      <c r="UHC228" s="1"/>
      <c r="UHD228" s="1"/>
      <c r="UHE228" s="1"/>
      <c r="UHF228" s="1"/>
      <c r="UHG228" s="1"/>
      <c r="UHH228" s="1"/>
      <c r="UHI228" s="1"/>
      <c r="UHJ228" s="1"/>
      <c r="UHK228" s="1"/>
      <c r="UHL228" s="1"/>
      <c r="UHM228" s="1"/>
      <c r="UHN228" s="1"/>
      <c r="UHO228" s="1"/>
      <c r="UHP228" s="1"/>
      <c r="UHQ228" s="1"/>
      <c r="UHR228" s="1"/>
      <c r="UHS228" s="1"/>
      <c r="UHT228" s="1"/>
      <c r="UHU228" s="1"/>
      <c r="UHV228" s="1"/>
      <c r="UHW228" s="1"/>
      <c r="UHX228" s="1"/>
      <c r="UHY228" s="1"/>
      <c r="UHZ228" s="1"/>
      <c r="UIA228" s="1"/>
      <c r="UIB228" s="1"/>
      <c r="UIC228" s="1"/>
      <c r="UID228" s="1"/>
      <c r="UIE228" s="1"/>
      <c r="UIF228" s="1"/>
      <c r="UIG228" s="1"/>
      <c r="UIH228" s="1"/>
      <c r="UII228" s="1"/>
      <c r="UIJ228" s="1"/>
      <c r="UIK228" s="1"/>
      <c r="UIL228" s="1"/>
      <c r="UIM228" s="1"/>
      <c r="UIN228" s="1"/>
      <c r="UIO228" s="1"/>
      <c r="UIP228" s="1"/>
      <c r="UIQ228" s="1"/>
      <c r="UIR228" s="1"/>
      <c r="UIS228" s="1"/>
      <c r="UIT228" s="1"/>
      <c r="UIU228" s="1"/>
      <c r="UIV228" s="1"/>
      <c r="UIW228" s="1"/>
      <c r="UIX228" s="1"/>
      <c r="UIY228" s="1"/>
      <c r="UIZ228" s="1"/>
      <c r="UJA228" s="1"/>
      <c r="UJB228" s="1"/>
      <c r="UJC228" s="1"/>
      <c r="UJD228" s="1"/>
      <c r="UJE228" s="1"/>
      <c r="UJF228" s="1"/>
      <c r="UJG228" s="1"/>
      <c r="UJH228" s="1"/>
      <c r="UJI228" s="1"/>
      <c r="UJJ228" s="1"/>
      <c r="UJK228" s="1"/>
      <c r="UJL228" s="1"/>
      <c r="UJM228" s="1"/>
      <c r="UJN228" s="1"/>
      <c r="UJO228" s="1"/>
      <c r="UJP228" s="1"/>
      <c r="UJQ228" s="1"/>
      <c r="UJR228" s="1"/>
      <c r="UJS228" s="1"/>
      <c r="UJT228" s="1"/>
      <c r="UJU228" s="1"/>
      <c r="UJV228" s="1"/>
      <c r="UJW228" s="1"/>
      <c r="UJX228" s="1"/>
      <c r="UJY228" s="1"/>
      <c r="UJZ228" s="1"/>
      <c r="UKA228" s="1"/>
      <c r="UKB228" s="1"/>
      <c r="UKC228" s="1"/>
      <c r="UKD228" s="1"/>
      <c r="UKE228" s="1"/>
      <c r="UKF228" s="1"/>
      <c r="UKG228" s="1"/>
      <c r="UKH228" s="1"/>
      <c r="UKI228" s="1"/>
      <c r="UKJ228" s="1"/>
      <c r="UKK228" s="1"/>
      <c r="UKL228" s="1"/>
      <c r="UKM228" s="1"/>
      <c r="UKN228" s="1"/>
      <c r="UKO228" s="1"/>
      <c r="UKP228" s="1"/>
      <c r="UKQ228" s="1"/>
      <c r="UKR228" s="1"/>
      <c r="UKS228" s="1"/>
      <c r="UKT228" s="1"/>
      <c r="UKU228" s="1"/>
      <c r="UKV228" s="1"/>
      <c r="UKW228" s="1"/>
      <c r="UKX228" s="1"/>
      <c r="UKY228" s="1"/>
      <c r="UKZ228" s="1"/>
      <c r="ULA228" s="1"/>
      <c r="ULB228" s="1"/>
      <c r="ULC228" s="1"/>
      <c r="ULD228" s="1"/>
      <c r="ULE228" s="1"/>
      <c r="ULF228" s="1"/>
      <c r="ULG228" s="1"/>
      <c r="ULH228" s="1"/>
      <c r="ULI228" s="1"/>
      <c r="ULJ228" s="1"/>
      <c r="ULK228" s="1"/>
      <c r="ULL228" s="1"/>
      <c r="ULM228" s="1"/>
      <c r="ULN228" s="1"/>
      <c r="ULO228" s="1"/>
      <c r="ULP228" s="1"/>
      <c r="ULQ228" s="1"/>
      <c r="ULR228" s="1"/>
      <c r="ULS228" s="1"/>
      <c r="ULT228" s="1"/>
      <c r="ULU228" s="1"/>
      <c r="ULV228" s="1"/>
      <c r="ULW228" s="1"/>
      <c r="ULX228" s="1"/>
      <c r="ULY228" s="1"/>
      <c r="ULZ228" s="1"/>
      <c r="UMA228" s="1"/>
      <c r="UMB228" s="1"/>
      <c r="UMC228" s="1"/>
      <c r="UMD228" s="1"/>
      <c r="UME228" s="1"/>
      <c r="UMF228" s="1"/>
      <c r="UMG228" s="1"/>
      <c r="UMH228" s="1"/>
      <c r="UMI228" s="1"/>
      <c r="UMJ228" s="1"/>
      <c r="UMK228" s="1"/>
      <c r="UML228" s="1"/>
      <c r="UMM228" s="1"/>
      <c r="UMN228" s="1"/>
      <c r="UMO228" s="1"/>
      <c r="UMP228" s="1"/>
      <c r="UMQ228" s="1"/>
      <c r="UMR228" s="1"/>
      <c r="UMS228" s="1"/>
      <c r="UMT228" s="1"/>
      <c r="UMU228" s="1"/>
      <c r="UMV228" s="1"/>
      <c r="UMW228" s="1"/>
      <c r="UMX228" s="1"/>
      <c r="UMY228" s="1"/>
      <c r="UMZ228" s="1"/>
      <c r="UNA228" s="1"/>
      <c r="UNB228" s="1"/>
      <c r="UNC228" s="1"/>
      <c r="UND228" s="1"/>
      <c r="UNE228" s="1"/>
      <c r="UNF228" s="1"/>
      <c r="UNG228" s="1"/>
      <c r="UNH228" s="1"/>
      <c r="UNI228" s="1"/>
      <c r="UNJ228" s="1"/>
      <c r="UNK228" s="1"/>
      <c r="UNL228" s="1"/>
      <c r="UNM228" s="1"/>
      <c r="UNN228" s="1"/>
      <c r="UNO228" s="1"/>
      <c r="UNP228" s="1"/>
      <c r="UNQ228" s="1"/>
      <c r="UNR228" s="1"/>
      <c r="UNS228" s="1"/>
      <c r="UNT228" s="1"/>
      <c r="UNU228" s="1"/>
      <c r="UNV228" s="1"/>
      <c r="UNW228" s="1"/>
      <c r="UNX228" s="1"/>
      <c r="UNY228" s="1"/>
      <c r="UNZ228" s="1"/>
      <c r="UOA228" s="1"/>
      <c r="UOB228" s="1"/>
      <c r="UOC228" s="1"/>
      <c r="UOD228" s="1"/>
      <c r="UOE228" s="1"/>
      <c r="UOF228" s="1"/>
      <c r="UOG228" s="1"/>
      <c r="UOH228" s="1"/>
      <c r="UOI228" s="1"/>
      <c r="UOJ228" s="1"/>
      <c r="UOK228" s="1"/>
      <c r="UOL228" s="1"/>
      <c r="UOM228" s="1"/>
      <c r="UON228" s="1"/>
      <c r="UOO228" s="1"/>
      <c r="UOP228" s="1"/>
      <c r="UOQ228" s="1"/>
      <c r="UOR228" s="1"/>
      <c r="UOS228" s="1"/>
      <c r="UOT228" s="1"/>
      <c r="UOU228" s="1"/>
      <c r="UOV228" s="1"/>
      <c r="UOW228" s="1"/>
      <c r="UOX228" s="1"/>
      <c r="UOY228" s="1"/>
      <c r="UOZ228" s="1"/>
      <c r="UPA228" s="1"/>
      <c r="UPB228" s="1"/>
      <c r="UPC228" s="1"/>
      <c r="UPD228" s="1"/>
      <c r="UPE228" s="1"/>
      <c r="UPF228" s="1"/>
      <c r="UPG228" s="1"/>
      <c r="UPH228" s="1"/>
      <c r="UPI228" s="1"/>
      <c r="UPJ228" s="1"/>
      <c r="UPK228" s="1"/>
      <c r="UPL228" s="1"/>
      <c r="UPM228" s="1"/>
      <c r="UPN228" s="1"/>
      <c r="UPO228" s="1"/>
      <c r="UPP228" s="1"/>
      <c r="UPQ228" s="1"/>
      <c r="UPR228" s="1"/>
      <c r="UPS228" s="1"/>
      <c r="UPT228" s="1"/>
      <c r="UPU228" s="1"/>
      <c r="UPV228" s="1"/>
      <c r="UPW228" s="1"/>
      <c r="UPX228" s="1"/>
      <c r="UPY228" s="1"/>
      <c r="UPZ228" s="1"/>
      <c r="UQA228" s="1"/>
      <c r="UQB228" s="1"/>
      <c r="UQC228" s="1"/>
      <c r="UQD228" s="1"/>
      <c r="UQE228" s="1"/>
      <c r="UQF228" s="1"/>
      <c r="UQG228" s="1"/>
      <c r="UQH228" s="1"/>
      <c r="UQI228" s="1"/>
      <c r="UQJ228" s="1"/>
      <c r="UQK228" s="1"/>
      <c r="UQL228" s="1"/>
      <c r="UQM228" s="1"/>
      <c r="UQN228" s="1"/>
      <c r="UQO228" s="1"/>
      <c r="UQP228" s="1"/>
      <c r="UQQ228" s="1"/>
      <c r="UQR228" s="1"/>
      <c r="UQS228" s="1"/>
      <c r="UQT228" s="1"/>
      <c r="UQU228" s="1"/>
      <c r="UQV228" s="1"/>
      <c r="UQW228" s="1"/>
      <c r="UQX228" s="1"/>
      <c r="UQY228" s="1"/>
      <c r="UQZ228" s="1"/>
      <c r="URA228" s="1"/>
      <c r="URB228" s="1"/>
      <c r="URC228" s="1"/>
      <c r="URD228" s="1"/>
      <c r="URE228" s="1"/>
      <c r="URF228" s="1"/>
      <c r="URG228" s="1"/>
      <c r="URH228" s="1"/>
      <c r="URI228" s="1"/>
      <c r="URJ228" s="1"/>
      <c r="URK228" s="1"/>
      <c r="URL228" s="1"/>
      <c r="URM228" s="1"/>
      <c r="URN228" s="1"/>
      <c r="URO228" s="1"/>
      <c r="URP228" s="1"/>
      <c r="URQ228" s="1"/>
      <c r="URR228" s="1"/>
      <c r="URS228" s="1"/>
      <c r="URT228" s="1"/>
      <c r="URU228" s="1"/>
      <c r="URV228" s="1"/>
      <c r="URW228" s="1"/>
      <c r="URX228" s="1"/>
      <c r="URY228" s="1"/>
      <c r="URZ228" s="1"/>
      <c r="USA228" s="1"/>
      <c r="USB228" s="1"/>
      <c r="USC228" s="1"/>
      <c r="USD228" s="1"/>
      <c r="USE228" s="1"/>
      <c r="USF228" s="1"/>
      <c r="USG228" s="1"/>
      <c r="USH228" s="1"/>
      <c r="USI228" s="1"/>
      <c r="USJ228" s="1"/>
      <c r="USK228" s="1"/>
      <c r="USL228" s="1"/>
      <c r="USM228" s="1"/>
      <c r="USN228" s="1"/>
      <c r="USO228" s="1"/>
      <c r="USP228" s="1"/>
      <c r="USQ228" s="1"/>
      <c r="USR228" s="1"/>
      <c r="USS228" s="1"/>
      <c r="UST228" s="1"/>
      <c r="USU228" s="1"/>
      <c r="USV228" s="1"/>
      <c r="USW228" s="1"/>
      <c r="USX228" s="1"/>
      <c r="USY228" s="1"/>
      <c r="USZ228" s="1"/>
      <c r="UTA228" s="1"/>
      <c r="UTB228" s="1"/>
      <c r="UTC228" s="1"/>
      <c r="UTD228" s="1"/>
      <c r="UTE228" s="1"/>
      <c r="UTF228" s="1"/>
      <c r="UTG228" s="1"/>
      <c r="UTH228" s="1"/>
      <c r="UTI228" s="1"/>
      <c r="UTJ228" s="1"/>
      <c r="UTK228" s="1"/>
      <c r="UTL228" s="1"/>
      <c r="UTM228" s="1"/>
      <c r="UTN228" s="1"/>
      <c r="UTO228" s="1"/>
      <c r="UTP228" s="1"/>
      <c r="UTQ228" s="1"/>
      <c r="UTR228" s="1"/>
      <c r="UTS228" s="1"/>
      <c r="UTT228" s="1"/>
      <c r="UTU228" s="1"/>
      <c r="UTV228" s="1"/>
      <c r="UTW228" s="1"/>
      <c r="UTX228" s="1"/>
      <c r="UTY228" s="1"/>
      <c r="UTZ228" s="1"/>
      <c r="UUA228" s="1"/>
      <c r="UUB228" s="1"/>
      <c r="UUC228" s="1"/>
      <c r="UUD228" s="1"/>
      <c r="UUE228" s="1"/>
      <c r="UUF228" s="1"/>
      <c r="UUG228" s="1"/>
      <c r="UUH228" s="1"/>
      <c r="UUI228" s="1"/>
      <c r="UUJ228" s="1"/>
      <c r="UUK228" s="1"/>
      <c r="UUL228" s="1"/>
      <c r="UUM228" s="1"/>
      <c r="UUN228" s="1"/>
      <c r="UUO228" s="1"/>
      <c r="UUP228" s="1"/>
      <c r="UUQ228" s="1"/>
      <c r="UUR228" s="1"/>
      <c r="UUS228" s="1"/>
      <c r="UUT228" s="1"/>
      <c r="UUU228" s="1"/>
      <c r="UUV228" s="1"/>
      <c r="UUW228" s="1"/>
      <c r="UUX228" s="1"/>
      <c r="UUY228" s="1"/>
      <c r="UUZ228" s="1"/>
      <c r="UVA228" s="1"/>
      <c r="UVB228" s="1"/>
      <c r="UVC228" s="1"/>
      <c r="UVD228" s="1"/>
      <c r="UVE228" s="1"/>
      <c r="UVF228" s="1"/>
      <c r="UVG228" s="1"/>
      <c r="UVH228" s="1"/>
      <c r="UVI228" s="1"/>
      <c r="UVJ228" s="1"/>
      <c r="UVK228" s="1"/>
      <c r="UVL228" s="1"/>
      <c r="UVM228" s="1"/>
      <c r="UVN228" s="1"/>
      <c r="UVO228" s="1"/>
      <c r="UVP228" s="1"/>
      <c r="UVQ228" s="1"/>
      <c r="UVR228" s="1"/>
      <c r="UVS228" s="1"/>
      <c r="UVT228" s="1"/>
      <c r="UVU228" s="1"/>
      <c r="UVV228" s="1"/>
      <c r="UVW228" s="1"/>
      <c r="UVX228" s="1"/>
      <c r="UVY228" s="1"/>
      <c r="UVZ228" s="1"/>
      <c r="UWA228" s="1"/>
      <c r="UWB228" s="1"/>
      <c r="UWC228" s="1"/>
      <c r="UWD228" s="1"/>
      <c r="UWE228" s="1"/>
      <c r="UWF228" s="1"/>
      <c r="UWG228" s="1"/>
      <c r="UWH228" s="1"/>
      <c r="UWI228" s="1"/>
      <c r="UWJ228" s="1"/>
      <c r="UWK228" s="1"/>
      <c r="UWL228" s="1"/>
      <c r="UWM228" s="1"/>
      <c r="UWN228" s="1"/>
      <c r="UWO228" s="1"/>
      <c r="UWP228" s="1"/>
      <c r="UWQ228" s="1"/>
      <c r="UWR228" s="1"/>
      <c r="UWS228" s="1"/>
      <c r="UWT228" s="1"/>
      <c r="UWU228" s="1"/>
      <c r="UWV228" s="1"/>
      <c r="UWW228" s="1"/>
      <c r="UWX228" s="1"/>
      <c r="UWY228" s="1"/>
      <c r="UWZ228" s="1"/>
      <c r="UXA228" s="1"/>
      <c r="UXB228" s="1"/>
      <c r="UXC228" s="1"/>
      <c r="UXD228" s="1"/>
      <c r="UXE228" s="1"/>
      <c r="UXF228" s="1"/>
      <c r="UXG228" s="1"/>
      <c r="UXH228" s="1"/>
      <c r="UXI228" s="1"/>
      <c r="UXJ228" s="1"/>
      <c r="UXK228" s="1"/>
      <c r="UXL228" s="1"/>
      <c r="UXM228" s="1"/>
      <c r="UXN228" s="1"/>
      <c r="UXO228" s="1"/>
      <c r="UXP228" s="1"/>
      <c r="UXQ228" s="1"/>
      <c r="UXR228" s="1"/>
      <c r="UXS228" s="1"/>
      <c r="UXT228" s="1"/>
      <c r="UXU228" s="1"/>
      <c r="UXV228" s="1"/>
      <c r="UXW228" s="1"/>
      <c r="UXX228" s="1"/>
      <c r="UXY228" s="1"/>
      <c r="UXZ228" s="1"/>
      <c r="UYA228" s="1"/>
      <c r="UYB228" s="1"/>
      <c r="UYC228" s="1"/>
      <c r="UYD228" s="1"/>
      <c r="UYE228" s="1"/>
      <c r="UYF228" s="1"/>
      <c r="UYG228" s="1"/>
      <c r="UYH228" s="1"/>
      <c r="UYI228" s="1"/>
      <c r="UYJ228" s="1"/>
      <c r="UYK228" s="1"/>
      <c r="UYL228" s="1"/>
      <c r="UYM228" s="1"/>
      <c r="UYN228" s="1"/>
      <c r="UYO228" s="1"/>
      <c r="UYP228" s="1"/>
      <c r="UYQ228" s="1"/>
      <c r="UYR228" s="1"/>
      <c r="UYS228" s="1"/>
      <c r="UYT228" s="1"/>
      <c r="UYU228" s="1"/>
      <c r="UYV228" s="1"/>
      <c r="UYW228" s="1"/>
      <c r="UYX228" s="1"/>
      <c r="UYY228" s="1"/>
      <c r="UYZ228" s="1"/>
      <c r="UZA228" s="1"/>
      <c r="UZB228" s="1"/>
      <c r="UZC228" s="1"/>
      <c r="UZD228" s="1"/>
      <c r="UZE228" s="1"/>
      <c r="UZF228" s="1"/>
      <c r="UZG228" s="1"/>
      <c r="UZH228" s="1"/>
      <c r="UZI228" s="1"/>
      <c r="UZJ228" s="1"/>
      <c r="UZK228" s="1"/>
      <c r="UZL228" s="1"/>
      <c r="UZM228" s="1"/>
      <c r="UZN228" s="1"/>
      <c r="UZO228" s="1"/>
      <c r="UZP228" s="1"/>
      <c r="UZQ228" s="1"/>
      <c r="UZR228" s="1"/>
      <c r="UZS228" s="1"/>
      <c r="UZT228" s="1"/>
      <c r="UZU228" s="1"/>
      <c r="UZV228" s="1"/>
      <c r="UZW228" s="1"/>
      <c r="UZX228" s="1"/>
      <c r="UZY228" s="1"/>
      <c r="UZZ228" s="1"/>
      <c r="VAA228" s="1"/>
      <c r="VAB228" s="1"/>
      <c r="VAC228" s="1"/>
      <c r="VAD228" s="1"/>
      <c r="VAE228" s="1"/>
      <c r="VAF228" s="1"/>
      <c r="VAG228" s="1"/>
      <c r="VAH228" s="1"/>
      <c r="VAI228" s="1"/>
      <c r="VAJ228" s="1"/>
      <c r="VAK228" s="1"/>
      <c r="VAL228" s="1"/>
      <c r="VAM228" s="1"/>
      <c r="VAN228" s="1"/>
      <c r="VAO228" s="1"/>
      <c r="VAP228" s="1"/>
      <c r="VAQ228" s="1"/>
      <c r="VAR228" s="1"/>
      <c r="VAS228" s="1"/>
      <c r="VAT228" s="1"/>
      <c r="VAU228" s="1"/>
      <c r="VAV228" s="1"/>
      <c r="VAW228" s="1"/>
      <c r="VAX228" s="1"/>
      <c r="VAY228" s="1"/>
      <c r="VAZ228" s="1"/>
      <c r="VBA228" s="1"/>
      <c r="VBB228" s="1"/>
      <c r="VBC228" s="1"/>
      <c r="VBD228" s="1"/>
      <c r="VBE228" s="1"/>
      <c r="VBF228" s="1"/>
      <c r="VBG228" s="1"/>
      <c r="VBH228" s="1"/>
      <c r="VBI228" s="1"/>
      <c r="VBJ228" s="1"/>
      <c r="VBK228" s="1"/>
      <c r="VBL228" s="1"/>
      <c r="VBM228" s="1"/>
      <c r="VBN228" s="1"/>
      <c r="VBO228" s="1"/>
      <c r="VBP228" s="1"/>
      <c r="VBQ228" s="1"/>
      <c r="VBR228" s="1"/>
      <c r="VBS228" s="1"/>
      <c r="VBT228" s="1"/>
      <c r="VBU228" s="1"/>
      <c r="VBV228" s="1"/>
      <c r="VBW228" s="1"/>
      <c r="VBX228" s="1"/>
      <c r="VBY228" s="1"/>
      <c r="VBZ228" s="1"/>
      <c r="VCA228" s="1"/>
      <c r="VCB228" s="1"/>
      <c r="VCC228" s="1"/>
      <c r="VCD228" s="1"/>
      <c r="VCE228" s="1"/>
      <c r="VCF228" s="1"/>
      <c r="VCG228" s="1"/>
      <c r="VCH228" s="1"/>
      <c r="VCI228" s="1"/>
      <c r="VCJ228" s="1"/>
      <c r="VCK228" s="1"/>
      <c r="VCL228" s="1"/>
      <c r="VCM228" s="1"/>
      <c r="VCN228" s="1"/>
      <c r="VCO228" s="1"/>
      <c r="VCP228" s="1"/>
      <c r="VCQ228" s="1"/>
      <c r="VCR228" s="1"/>
    </row>
    <row r="229" spans="1:14968" s="2" customFormat="1" ht="15.75" thickBot="1" x14ac:dyDescent="0.3">
      <c r="A229" s="1"/>
      <c r="B229" s="277"/>
      <c r="C229" s="278" t="s">
        <v>1</v>
      </c>
      <c r="D229" s="279"/>
      <c r="E229" s="280" t="s">
        <v>0</v>
      </c>
      <c r="F229" s="281">
        <f t="shared" ref="F229:AI229" si="107">SUM(F228:F228)</f>
        <v>22900</v>
      </c>
      <c r="G229" s="281">
        <f t="shared" si="107"/>
        <v>24400</v>
      </c>
      <c r="H229" s="281">
        <f t="shared" si="107"/>
        <v>27900</v>
      </c>
      <c r="I229" s="281">
        <f t="shared" si="107"/>
        <v>27400</v>
      </c>
      <c r="J229" s="281">
        <f t="shared" si="107"/>
        <v>23900</v>
      </c>
      <c r="K229" s="281">
        <f t="shared" si="107"/>
        <v>23200</v>
      </c>
      <c r="L229" s="281">
        <f t="shared" si="107"/>
        <v>21500</v>
      </c>
      <c r="M229" s="281">
        <f t="shared" si="107"/>
        <v>23800</v>
      </c>
      <c r="N229" s="281">
        <f t="shared" si="107"/>
        <v>21900</v>
      </c>
      <c r="O229" s="281">
        <f t="shared" si="107"/>
        <v>22800</v>
      </c>
      <c r="P229" s="281">
        <f t="shared" si="107"/>
        <v>21700</v>
      </c>
      <c r="Q229" s="281">
        <f t="shared" si="107"/>
        <v>20800</v>
      </c>
      <c r="R229" s="281">
        <f t="shared" si="107"/>
        <v>22100</v>
      </c>
      <c r="S229" s="281">
        <f t="shared" si="107"/>
        <v>20600</v>
      </c>
      <c r="T229" s="281">
        <f t="shared" si="107"/>
        <v>21400</v>
      </c>
      <c r="U229" s="281">
        <f t="shared" si="107"/>
        <v>22000</v>
      </c>
      <c r="V229" s="281">
        <f t="shared" si="107"/>
        <v>13300</v>
      </c>
      <c r="W229" s="281">
        <f t="shared" si="107"/>
        <v>6900</v>
      </c>
      <c r="X229" s="281">
        <f t="shared" si="107"/>
        <v>5700</v>
      </c>
      <c r="Y229" s="281">
        <f t="shared" si="107"/>
        <v>5100</v>
      </c>
      <c r="Z229" s="281">
        <f t="shared" si="107"/>
        <v>4700</v>
      </c>
      <c r="AA229" s="281">
        <f t="shared" si="107"/>
        <v>5900</v>
      </c>
      <c r="AB229" s="281">
        <f t="shared" si="107"/>
        <v>9100</v>
      </c>
      <c r="AC229" s="281">
        <f t="shared" si="107"/>
        <v>16300</v>
      </c>
      <c r="AD229" s="281">
        <f t="shared" si="107"/>
        <v>21600</v>
      </c>
      <c r="AE229" s="281">
        <f t="shared" si="107"/>
        <v>26500</v>
      </c>
      <c r="AF229" s="281">
        <f t="shared" si="107"/>
        <v>26300</v>
      </c>
      <c r="AG229" s="281">
        <f t="shared" si="107"/>
        <v>24900</v>
      </c>
      <c r="AH229" s="281">
        <f t="shared" si="107"/>
        <v>29200</v>
      </c>
      <c r="AI229" s="281">
        <f t="shared" si="107"/>
        <v>27600</v>
      </c>
      <c r="AJ229" s="7"/>
      <c r="AK229" s="6">
        <f>SUM(F229:AI229)</f>
        <v>591400</v>
      </c>
      <c r="AL229" s="1"/>
      <c r="AM229" s="1"/>
      <c r="AO229" s="3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  <c r="AMK229" s="1"/>
      <c r="AML229" s="1"/>
      <c r="AMM229" s="1"/>
      <c r="AMN229" s="1"/>
      <c r="AMO229" s="1"/>
      <c r="AMP229" s="1"/>
      <c r="AMQ229" s="1"/>
      <c r="AMR229" s="1"/>
      <c r="AMS229" s="1"/>
      <c r="AMT229" s="1"/>
      <c r="AMU229" s="1"/>
      <c r="AMV229" s="1"/>
      <c r="AMW229" s="1"/>
      <c r="AMX229" s="1"/>
      <c r="AMY229" s="1"/>
      <c r="AMZ229" s="1"/>
      <c r="ANA229" s="1"/>
      <c r="ANB229" s="1"/>
      <c r="ANC229" s="1"/>
      <c r="AND229" s="1"/>
      <c r="ANE229" s="1"/>
      <c r="ANF229" s="1"/>
      <c r="ANG229" s="1"/>
      <c r="ANH229" s="1"/>
      <c r="ANI229" s="1"/>
      <c r="ANJ229" s="1"/>
      <c r="ANK229" s="1"/>
      <c r="ANL229" s="1"/>
      <c r="ANM229" s="1"/>
      <c r="ANN229" s="1"/>
      <c r="ANO229" s="1"/>
      <c r="ANP229" s="1"/>
      <c r="ANQ229" s="1"/>
      <c r="ANR229" s="1"/>
      <c r="ANS229" s="1"/>
      <c r="ANT229" s="1"/>
      <c r="ANU229" s="1"/>
      <c r="ANV229" s="1"/>
      <c r="ANW229" s="1"/>
      <c r="ANX229" s="1"/>
      <c r="ANY229" s="1"/>
      <c r="ANZ229" s="1"/>
      <c r="AOA229" s="1"/>
      <c r="AOB229" s="1"/>
      <c r="AOC229" s="1"/>
      <c r="AOD229" s="1"/>
      <c r="AOE229" s="1"/>
      <c r="AOF229" s="1"/>
      <c r="AOG229" s="1"/>
      <c r="AOH229" s="1"/>
      <c r="AOI229" s="1"/>
      <c r="AOJ229" s="1"/>
      <c r="AOK229" s="1"/>
      <c r="AOL229" s="1"/>
      <c r="AOM229" s="1"/>
      <c r="AON229" s="1"/>
      <c r="AOO229" s="1"/>
      <c r="AOP229" s="1"/>
      <c r="AOQ229" s="1"/>
      <c r="AOR229" s="1"/>
      <c r="AOS229" s="1"/>
      <c r="AOT229" s="1"/>
      <c r="AOU229" s="1"/>
      <c r="AOV229" s="1"/>
      <c r="AOW229" s="1"/>
      <c r="AOX229" s="1"/>
      <c r="AOY229" s="1"/>
      <c r="AOZ229" s="1"/>
      <c r="APA229" s="1"/>
      <c r="APB229" s="1"/>
      <c r="APC229" s="1"/>
      <c r="APD229" s="1"/>
      <c r="APE229" s="1"/>
      <c r="APF229" s="1"/>
      <c r="APG229" s="1"/>
      <c r="APH229" s="1"/>
      <c r="API229" s="1"/>
      <c r="APJ229" s="1"/>
      <c r="APK229" s="1"/>
      <c r="APL229" s="1"/>
      <c r="APM229" s="1"/>
      <c r="APN229" s="1"/>
      <c r="APO229" s="1"/>
      <c r="APP229" s="1"/>
      <c r="APQ229" s="1"/>
      <c r="APR229" s="1"/>
      <c r="APS229" s="1"/>
      <c r="APT229" s="1"/>
      <c r="APU229" s="1"/>
      <c r="APV229" s="1"/>
      <c r="APW229" s="1"/>
      <c r="APX229" s="1"/>
      <c r="APY229" s="1"/>
      <c r="APZ229" s="1"/>
      <c r="AQA229" s="1"/>
      <c r="AQB229" s="1"/>
      <c r="AQC229" s="1"/>
      <c r="AQD229" s="1"/>
      <c r="AQE229" s="1"/>
      <c r="AQF229" s="1"/>
      <c r="AQG229" s="1"/>
      <c r="AQH229" s="1"/>
      <c r="AQI229" s="1"/>
      <c r="AQJ229" s="1"/>
      <c r="AQK229" s="1"/>
      <c r="AQL229" s="1"/>
      <c r="AQM229" s="1"/>
      <c r="AQN229" s="1"/>
      <c r="AQO229" s="1"/>
      <c r="AQP229" s="1"/>
      <c r="AQQ229" s="1"/>
      <c r="AQR229" s="1"/>
      <c r="AQS229" s="1"/>
      <c r="AQT229" s="1"/>
      <c r="AQU229" s="1"/>
      <c r="AQV229" s="1"/>
      <c r="AQW229" s="1"/>
      <c r="AQX229" s="1"/>
      <c r="AQY229" s="1"/>
      <c r="AQZ229" s="1"/>
      <c r="ARA229" s="1"/>
      <c r="ARB229" s="1"/>
      <c r="ARC229" s="1"/>
      <c r="ARD229" s="1"/>
      <c r="ARE229" s="1"/>
      <c r="ARF229" s="1"/>
      <c r="ARG229" s="1"/>
      <c r="ARH229" s="1"/>
      <c r="ARI229" s="1"/>
      <c r="ARJ229" s="1"/>
      <c r="ARK229" s="1"/>
      <c r="ARL229" s="1"/>
      <c r="ARM229" s="1"/>
      <c r="ARN229" s="1"/>
      <c r="ARO229" s="1"/>
      <c r="ARP229" s="1"/>
      <c r="ARQ229" s="1"/>
      <c r="ARR229" s="1"/>
      <c r="ARS229" s="1"/>
      <c r="ART229" s="1"/>
      <c r="ARU229" s="1"/>
      <c r="ARV229" s="1"/>
      <c r="ARW229" s="1"/>
      <c r="ARX229" s="1"/>
      <c r="ARY229" s="1"/>
      <c r="ARZ229" s="1"/>
      <c r="ASA229" s="1"/>
      <c r="ASB229" s="1"/>
      <c r="ASC229" s="1"/>
      <c r="ASD229" s="1"/>
      <c r="ASE229" s="1"/>
      <c r="ASF229" s="1"/>
      <c r="ASG229" s="1"/>
      <c r="ASH229" s="1"/>
      <c r="ASI229" s="1"/>
      <c r="ASJ229" s="1"/>
      <c r="ASK229" s="1"/>
      <c r="ASL229" s="1"/>
      <c r="ASM229" s="1"/>
      <c r="ASN229" s="1"/>
      <c r="ASO229" s="1"/>
      <c r="ASP229" s="1"/>
      <c r="ASQ229" s="1"/>
      <c r="ASR229" s="1"/>
      <c r="ASS229" s="1"/>
      <c r="AST229" s="1"/>
      <c r="ASU229" s="1"/>
      <c r="ASV229" s="1"/>
      <c r="ASW229" s="1"/>
      <c r="ASX229" s="1"/>
      <c r="ASY229" s="1"/>
      <c r="ASZ229" s="1"/>
      <c r="ATA229" s="1"/>
      <c r="ATB229" s="1"/>
      <c r="ATC229" s="1"/>
      <c r="ATD229" s="1"/>
      <c r="ATE229" s="1"/>
      <c r="ATF229" s="1"/>
      <c r="ATG229" s="1"/>
      <c r="ATH229" s="1"/>
      <c r="ATI229" s="1"/>
      <c r="ATJ229" s="1"/>
      <c r="ATK229" s="1"/>
      <c r="ATL229" s="1"/>
      <c r="ATM229" s="1"/>
      <c r="ATN229" s="1"/>
      <c r="ATO229" s="1"/>
      <c r="ATP229" s="1"/>
      <c r="ATQ229" s="1"/>
      <c r="ATR229" s="1"/>
      <c r="ATS229" s="1"/>
      <c r="ATT229" s="1"/>
      <c r="ATU229" s="1"/>
      <c r="ATV229" s="1"/>
      <c r="ATW229" s="1"/>
      <c r="ATX229" s="1"/>
      <c r="ATY229" s="1"/>
      <c r="ATZ229" s="1"/>
      <c r="AUA229" s="1"/>
      <c r="AUB229" s="1"/>
      <c r="AUC229" s="1"/>
      <c r="AUD229" s="1"/>
      <c r="AUE229" s="1"/>
      <c r="AUF229" s="1"/>
      <c r="AUG229" s="1"/>
      <c r="AUH229" s="1"/>
      <c r="AUI229" s="1"/>
      <c r="AUJ229" s="1"/>
      <c r="AUK229" s="1"/>
      <c r="AUL229" s="1"/>
      <c r="AUM229" s="1"/>
      <c r="AUN229" s="1"/>
      <c r="AUO229" s="1"/>
      <c r="AUP229" s="1"/>
      <c r="AUQ229" s="1"/>
      <c r="AUR229" s="1"/>
      <c r="AUS229" s="1"/>
      <c r="AUT229" s="1"/>
      <c r="AUU229" s="1"/>
      <c r="AUV229" s="1"/>
      <c r="AUW229" s="1"/>
      <c r="AUX229" s="1"/>
      <c r="AUY229" s="1"/>
      <c r="AUZ229" s="1"/>
      <c r="AVA229" s="1"/>
      <c r="AVB229" s="1"/>
      <c r="AVC229" s="1"/>
      <c r="AVD229" s="1"/>
      <c r="AVE229" s="1"/>
      <c r="AVF229" s="1"/>
      <c r="AVG229" s="1"/>
      <c r="AVH229" s="1"/>
      <c r="AVI229" s="1"/>
      <c r="AVJ229" s="1"/>
      <c r="AVK229" s="1"/>
      <c r="AVL229" s="1"/>
      <c r="AVM229" s="1"/>
      <c r="AVN229" s="1"/>
      <c r="AVO229" s="1"/>
      <c r="AVP229" s="1"/>
      <c r="AVQ229" s="1"/>
      <c r="AVR229" s="1"/>
      <c r="AVS229" s="1"/>
      <c r="AVT229" s="1"/>
      <c r="AVU229" s="1"/>
      <c r="AVV229" s="1"/>
      <c r="AVW229" s="1"/>
      <c r="AVX229" s="1"/>
      <c r="AVY229" s="1"/>
      <c r="AVZ229" s="1"/>
      <c r="AWA229" s="1"/>
      <c r="AWB229" s="1"/>
      <c r="AWC229" s="1"/>
      <c r="AWD229" s="1"/>
      <c r="AWE229" s="1"/>
      <c r="AWF229" s="1"/>
      <c r="AWG229" s="1"/>
      <c r="AWH229" s="1"/>
      <c r="AWI229" s="1"/>
      <c r="AWJ229" s="1"/>
      <c r="AWK229" s="1"/>
      <c r="AWL229" s="1"/>
      <c r="AWM229" s="1"/>
      <c r="AWN229" s="1"/>
      <c r="AWO229" s="1"/>
      <c r="AWP229" s="1"/>
      <c r="AWQ229" s="1"/>
      <c r="AWR229" s="1"/>
      <c r="AWS229" s="1"/>
      <c r="AWT229" s="1"/>
      <c r="AWU229" s="1"/>
      <c r="AWV229" s="1"/>
      <c r="AWW229" s="1"/>
      <c r="AWX229" s="1"/>
      <c r="AWY229" s="1"/>
      <c r="AWZ229" s="1"/>
      <c r="AXA229" s="1"/>
      <c r="AXB229" s="1"/>
      <c r="AXC229" s="1"/>
      <c r="AXD229" s="1"/>
      <c r="AXE229" s="1"/>
      <c r="AXF229" s="1"/>
      <c r="AXG229" s="1"/>
      <c r="AXH229" s="1"/>
      <c r="AXI229" s="1"/>
      <c r="AXJ229" s="1"/>
      <c r="AXK229" s="1"/>
      <c r="AXL229" s="1"/>
      <c r="AXM229" s="1"/>
      <c r="AXN229" s="1"/>
      <c r="AXO229" s="1"/>
      <c r="AXP229" s="1"/>
      <c r="AXQ229" s="1"/>
      <c r="AXR229" s="1"/>
      <c r="AXS229" s="1"/>
      <c r="AXT229" s="1"/>
      <c r="AXU229" s="1"/>
      <c r="AXV229" s="1"/>
      <c r="AXW229" s="1"/>
      <c r="AXX229" s="1"/>
      <c r="AXY229" s="1"/>
      <c r="AXZ229" s="1"/>
      <c r="AYA229" s="1"/>
      <c r="AYB229" s="1"/>
      <c r="AYC229" s="1"/>
      <c r="AYD229" s="1"/>
      <c r="AYE229" s="1"/>
      <c r="AYF229" s="1"/>
      <c r="AYG229" s="1"/>
      <c r="AYH229" s="1"/>
      <c r="AYI229" s="1"/>
      <c r="AYJ229" s="1"/>
      <c r="AYK229" s="1"/>
      <c r="AYL229" s="1"/>
      <c r="AYM229" s="1"/>
      <c r="AYN229" s="1"/>
      <c r="AYO229" s="1"/>
      <c r="AYP229" s="1"/>
      <c r="AYQ229" s="1"/>
      <c r="AYR229" s="1"/>
      <c r="AYS229" s="1"/>
      <c r="AYT229" s="1"/>
      <c r="AYU229" s="1"/>
      <c r="AYV229" s="1"/>
      <c r="AYW229" s="1"/>
      <c r="AYX229" s="1"/>
      <c r="AYY229" s="1"/>
      <c r="AYZ229" s="1"/>
      <c r="AZA229" s="1"/>
      <c r="AZB229" s="1"/>
      <c r="AZC229" s="1"/>
      <c r="AZD229" s="1"/>
      <c r="AZE229" s="1"/>
      <c r="AZF229" s="1"/>
      <c r="AZG229" s="1"/>
      <c r="AZH229" s="1"/>
      <c r="AZI229" s="1"/>
      <c r="AZJ229" s="1"/>
      <c r="AZK229" s="1"/>
      <c r="AZL229" s="1"/>
      <c r="AZM229" s="1"/>
      <c r="AZN229" s="1"/>
      <c r="AZO229" s="1"/>
      <c r="AZP229" s="1"/>
      <c r="AZQ229" s="1"/>
      <c r="AZR229" s="1"/>
      <c r="AZS229" s="1"/>
      <c r="AZT229" s="1"/>
      <c r="AZU229" s="1"/>
      <c r="AZV229" s="1"/>
      <c r="AZW229" s="1"/>
      <c r="AZX229" s="1"/>
      <c r="AZY229" s="1"/>
      <c r="AZZ229" s="1"/>
      <c r="BAA229" s="1"/>
      <c r="BAB229" s="1"/>
      <c r="BAC229" s="1"/>
      <c r="BAD229" s="1"/>
      <c r="BAE229" s="1"/>
      <c r="BAF229" s="1"/>
      <c r="BAG229" s="1"/>
      <c r="BAH229" s="1"/>
      <c r="BAI229" s="1"/>
      <c r="BAJ229" s="1"/>
      <c r="BAK229" s="1"/>
      <c r="BAL229" s="1"/>
      <c r="BAM229" s="1"/>
      <c r="BAN229" s="1"/>
      <c r="BAO229" s="1"/>
      <c r="BAP229" s="1"/>
      <c r="BAQ229" s="1"/>
      <c r="BAR229" s="1"/>
      <c r="BAS229" s="1"/>
      <c r="BAT229" s="1"/>
      <c r="BAU229" s="1"/>
      <c r="BAV229" s="1"/>
      <c r="BAW229" s="1"/>
      <c r="BAX229" s="1"/>
      <c r="BAY229" s="1"/>
      <c r="BAZ229" s="1"/>
      <c r="BBA229" s="1"/>
      <c r="BBB229" s="1"/>
      <c r="BBC229" s="1"/>
      <c r="BBD229" s="1"/>
      <c r="BBE229" s="1"/>
      <c r="BBF229" s="1"/>
      <c r="BBG229" s="1"/>
      <c r="BBH229" s="1"/>
      <c r="BBI229" s="1"/>
      <c r="BBJ229" s="1"/>
      <c r="BBK229" s="1"/>
      <c r="BBL229" s="1"/>
      <c r="BBM229" s="1"/>
      <c r="BBN229" s="1"/>
      <c r="BBO229" s="1"/>
      <c r="BBP229" s="1"/>
      <c r="BBQ229" s="1"/>
      <c r="BBR229" s="1"/>
      <c r="BBS229" s="1"/>
      <c r="BBT229" s="1"/>
      <c r="BBU229" s="1"/>
      <c r="BBV229" s="1"/>
      <c r="BBW229" s="1"/>
      <c r="BBX229" s="1"/>
      <c r="BBY229" s="1"/>
      <c r="BBZ229" s="1"/>
      <c r="BCA229" s="1"/>
      <c r="BCB229" s="1"/>
      <c r="BCC229" s="1"/>
      <c r="BCD229" s="1"/>
      <c r="BCE229" s="1"/>
      <c r="BCF229" s="1"/>
      <c r="BCG229" s="1"/>
      <c r="BCH229" s="1"/>
      <c r="BCI229" s="1"/>
      <c r="BCJ229" s="1"/>
      <c r="BCK229" s="1"/>
      <c r="BCL229" s="1"/>
      <c r="BCM229" s="1"/>
      <c r="BCN229" s="1"/>
      <c r="BCO229" s="1"/>
      <c r="BCP229" s="1"/>
      <c r="BCQ229" s="1"/>
      <c r="BCR229" s="1"/>
      <c r="BCS229" s="1"/>
      <c r="BCT229" s="1"/>
      <c r="BCU229" s="1"/>
      <c r="BCV229" s="1"/>
      <c r="BCW229" s="1"/>
      <c r="BCX229" s="1"/>
      <c r="BCY229" s="1"/>
      <c r="BCZ229" s="1"/>
      <c r="BDA229" s="1"/>
      <c r="BDB229" s="1"/>
      <c r="BDC229" s="1"/>
      <c r="BDD229" s="1"/>
      <c r="BDE229" s="1"/>
      <c r="BDF229" s="1"/>
      <c r="BDG229" s="1"/>
      <c r="BDH229" s="1"/>
      <c r="BDI229" s="1"/>
      <c r="BDJ229" s="1"/>
      <c r="BDK229" s="1"/>
      <c r="BDL229" s="1"/>
      <c r="BDM229" s="1"/>
      <c r="BDN229" s="1"/>
      <c r="BDO229" s="1"/>
      <c r="BDP229" s="1"/>
      <c r="BDQ229" s="1"/>
      <c r="BDR229" s="1"/>
      <c r="BDS229" s="1"/>
      <c r="BDT229" s="1"/>
      <c r="BDU229" s="1"/>
      <c r="BDV229" s="1"/>
      <c r="BDW229" s="1"/>
      <c r="BDX229" s="1"/>
      <c r="BDY229" s="1"/>
      <c r="BDZ229" s="1"/>
      <c r="BEA229" s="1"/>
      <c r="BEB229" s="1"/>
      <c r="BEC229" s="1"/>
      <c r="BED229" s="1"/>
      <c r="BEE229" s="1"/>
      <c r="BEF229" s="1"/>
      <c r="BEG229" s="1"/>
      <c r="BEH229" s="1"/>
      <c r="BEI229" s="1"/>
      <c r="BEJ229" s="1"/>
      <c r="BEK229" s="1"/>
      <c r="BEL229" s="1"/>
      <c r="BEM229" s="1"/>
      <c r="BEN229" s="1"/>
      <c r="BEO229" s="1"/>
      <c r="BEP229" s="1"/>
      <c r="BEQ229" s="1"/>
      <c r="BER229" s="1"/>
      <c r="BES229" s="1"/>
      <c r="BET229" s="1"/>
      <c r="BEU229" s="1"/>
      <c r="BEV229" s="1"/>
      <c r="BEW229" s="1"/>
      <c r="BEX229" s="1"/>
      <c r="BEY229" s="1"/>
      <c r="BEZ229" s="1"/>
      <c r="BFA229" s="1"/>
      <c r="BFB229" s="1"/>
      <c r="BFC229" s="1"/>
      <c r="BFD229" s="1"/>
      <c r="BFE229" s="1"/>
      <c r="BFF229" s="1"/>
      <c r="BFG229" s="1"/>
      <c r="BFH229" s="1"/>
      <c r="BFI229" s="1"/>
      <c r="BFJ229" s="1"/>
      <c r="BFK229" s="1"/>
      <c r="BFL229" s="1"/>
      <c r="BFM229" s="1"/>
      <c r="BFN229" s="1"/>
      <c r="BFO229" s="1"/>
      <c r="BFP229" s="1"/>
      <c r="BFQ229" s="1"/>
      <c r="BFR229" s="1"/>
      <c r="BFS229" s="1"/>
      <c r="BFT229" s="1"/>
      <c r="BFU229" s="1"/>
      <c r="BFV229" s="1"/>
      <c r="BFW229" s="1"/>
      <c r="BFX229" s="1"/>
      <c r="BFY229" s="1"/>
      <c r="BFZ229" s="1"/>
      <c r="BGA229" s="1"/>
      <c r="BGB229" s="1"/>
      <c r="BGC229" s="1"/>
      <c r="BGD229" s="1"/>
      <c r="BGE229" s="1"/>
      <c r="BGF229" s="1"/>
      <c r="BGG229" s="1"/>
      <c r="BGH229" s="1"/>
      <c r="BGI229" s="1"/>
      <c r="BGJ229" s="1"/>
      <c r="BGK229" s="1"/>
      <c r="BGL229" s="1"/>
      <c r="BGM229" s="1"/>
      <c r="BGN229" s="1"/>
      <c r="BGO229" s="1"/>
      <c r="BGP229" s="1"/>
      <c r="BGQ229" s="1"/>
      <c r="BGR229" s="1"/>
      <c r="BGS229" s="1"/>
      <c r="BGT229" s="1"/>
      <c r="BGU229" s="1"/>
      <c r="BGV229" s="1"/>
      <c r="BGW229" s="1"/>
      <c r="BGX229" s="1"/>
      <c r="BGY229" s="1"/>
      <c r="BGZ229" s="1"/>
      <c r="BHA229" s="1"/>
      <c r="BHB229" s="1"/>
      <c r="BHC229" s="1"/>
      <c r="BHD229" s="1"/>
      <c r="BHE229" s="1"/>
      <c r="BHF229" s="1"/>
      <c r="BHG229" s="1"/>
      <c r="BHH229" s="1"/>
      <c r="BHI229" s="1"/>
      <c r="BHJ229" s="1"/>
      <c r="BHK229" s="1"/>
      <c r="BHL229" s="1"/>
      <c r="BHM229" s="1"/>
      <c r="BHN229" s="1"/>
      <c r="BHO229" s="1"/>
      <c r="BHP229" s="1"/>
      <c r="BHQ229" s="1"/>
      <c r="BHR229" s="1"/>
      <c r="BHS229" s="1"/>
      <c r="BHT229" s="1"/>
      <c r="BHU229" s="1"/>
      <c r="BHV229" s="1"/>
      <c r="BHW229" s="1"/>
      <c r="BHX229" s="1"/>
      <c r="BHY229" s="1"/>
      <c r="BHZ229" s="1"/>
      <c r="BIA229" s="1"/>
      <c r="BIB229" s="1"/>
      <c r="BIC229" s="1"/>
      <c r="BID229" s="1"/>
      <c r="BIE229" s="1"/>
      <c r="BIF229" s="1"/>
      <c r="BIG229" s="1"/>
      <c r="BIH229" s="1"/>
      <c r="BII229" s="1"/>
      <c r="BIJ229" s="1"/>
      <c r="BIK229" s="1"/>
      <c r="BIL229" s="1"/>
      <c r="BIM229" s="1"/>
      <c r="BIN229" s="1"/>
      <c r="BIO229" s="1"/>
      <c r="BIP229" s="1"/>
      <c r="BIQ229" s="1"/>
      <c r="BIR229" s="1"/>
      <c r="BIS229" s="1"/>
      <c r="BIT229" s="1"/>
      <c r="BIU229" s="1"/>
      <c r="BIV229" s="1"/>
      <c r="BIW229" s="1"/>
      <c r="BIX229" s="1"/>
      <c r="BIY229" s="1"/>
      <c r="BIZ229" s="1"/>
      <c r="BJA229" s="1"/>
      <c r="BJB229" s="1"/>
      <c r="BJC229" s="1"/>
      <c r="BJD229" s="1"/>
      <c r="BJE229" s="1"/>
      <c r="BJF229" s="1"/>
      <c r="BJG229" s="1"/>
      <c r="BJH229" s="1"/>
      <c r="BJI229" s="1"/>
      <c r="BJJ229" s="1"/>
      <c r="BJK229" s="1"/>
      <c r="BJL229" s="1"/>
      <c r="BJM229" s="1"/>
      <c r="BJN229" s="1"/>
      <c r="BJO229" s="1"/>
      <c r="BJP229" s="1"/>
      <c r="BJQ229" s="1"/>
      <c r="BJR229" s="1"/>
      <c r="BJS229" s="1"/>
      <c r="BJT229" s="1"/>
      <c r="BJU229" s="1"/>
      <c r="BJV229" s="1"/>
      <c r="BJW229" s="1"/>
      <c r="BJX229" s="1"/>
      <c r="BJY229" s="1"/>
      <c r="BJZ229" s="1"/>
      <c r="BKA229" s="1"/>
      <c r="BKB229" s="1"/>
      <c r="BKC229" s="1"/>
      <c r="BKD229" s="1"/>
      <c r="BKE229" s="1"/>
      <c r="BKF229" s="1"/>
      <c r="BKG229" s="1"/>
      <c r="BKH229" s="1"/>
      <c r="BKI229" s="1"/>
      <c r="BKJ229" s="1"/>
      <c r="BKK229" s="1"/>
      <c r="BKL229" s="1"/>
      <c r="BKM229" s="1"/>
      <c r="BKN229" s="1"/>
      <c r="BKO229" s="1"/>
      <c r="BKP229" s="1"/>
      <c r="BKQ229" s="1"/>
      <c r="BKR229" s="1"/>
      <c r="BKS229" s="1"/>
      <c r="BKT229" s="1"/>
      <c r="BKU229" s="1"/>
      <c r="BKV229" s="1"/>
      <c r="BKW229" s="1"/>
      <c r="BKX229" s="1"/>
      <c r="BKY229" s="1"/>
      <c r="BKZ229" s="1"/>
      <c r="BLA229" s="1"/>
      <c r="BLB229" s="1"/>
      <c r="BLC229" s="1"/>
      <c r="BLD229" s="1"/>
      <c r="BLE229" s="1"/>
      <c r="BLF229" s="1"/>
      <c r="BLG229" s="1"/>
      <c r="BLH229" s="1"/>
      <c r="BLI229" s="1"/>
      <c r="BLJ229" s="1"/>
      <c r="BLK229" s="1"/>
      <c r="BLL229" s="1"/>
      <c r="BLM229" s="1"/>
      <c r="BLN229" s="1"/>
      <c r="BLO229" s="1"/>
      <c r="BLP229" s="1"/>
      <c r="BLQ229" s="1"/>
      <c r="BLR229" s="1"/>
      <c r="BLS229" s="1"/>
      <c r="BLT229" s="1"/>
      <c r="BLU229" s="1"/>
      <c r="BLV229" s="1"/>
      <c r="BLW229" s="1"/>
      <c r="BLX229" s="1"/>
      <c r="BLY229" s="1"/>
      <c r="BLZ229" s="1"/>
      <c r="BMA229" s="1"/>
      <c r="BMB229" s="1"/>
      <c r="BMC229" s="1"/>
      <c r="BMD229" s="1"/>
      <c r="BME229" s="1"/>
      <c r="BMF229" s="1"/>
      <c r="BMG229" s="1"/>
      <c r="BMH229" s="1"/>
      <c r="BMI229" s="1"/>
      <c r="BMJ229" s="1"/>
      <c r="BMK229" s="1"/>
      <c r="BML229" s="1"/>
      <c r="BMM229" s="1"/>
      <c r="BMN229" s="1"/>
      <c r="BMO229" s="1"/>
      <c r="BMP229" s="1"/>
      <c r="BMQ229" s="1"/>
      <c r="BMR229" s="1"/>
      <c r="BMS229" s="1"/>
      <c r="BMT229" s="1"/>
      <c r="BMU229" s="1"/>
      <c r="BMV229" s="1"/>
      <c r="BMW229" s="1"/>
      <c r="BMX229" s="1"/>
      <c r="BMY229" s="1"/>
      <c r="BMZ229" s="1"/>
      <c r="BNA229" s="1"/>
      <c r="BNB229" s="1"/>
      <c r="BNC229" s="1"/>
      <c r="BND229" s="1"/>
      <c r="BNE229" s="1"/>
      <c r="BNF229" s="1"/>
      <c r="BNG229" s="1"/>
      <c r="BNH229" s="1"/>
      <c r="BNI229" s="1"/>
      <c r="BNJ229" s="1"/>
      <c r="BNK229" s="1"/>
      <c r="BNL229" s="1"/>
      <c r="BNM229" s="1"/>
      <c r="BNN229" s="1"/>
      <c r="BNO229" s="1"/>
      <c r="BNP229" s="1"/>
      <c r="BNQ229" s="1"/>
      <c r="BNR229" s="1"/>
      <c r="BNS229" s="1"/>
      <c r="BNT229" s="1"/>
      <c r="BNU229" s="1"/>
      <c r="BNV229" s="1"/>
      <c r="BNW229" s="1"/>
      <c r="BNX229" s="1"/>
      <c r="BNY229" s="1"/>
      <c r="BNZ229" s="1"/>
      <c r="BOA229" s="1"/>
      <c r="BOB229" s="1"/>
      <c r="BOC229" s="1"/>
      <c r="BOD229" s="1"/>
      <c r="BOE229" s="1"/>
      <c r="BOF229" s="1"/>
      <c r="BOG229" s="1"/>
      <c r="BOH229" s="1"/>
      <c r="BOI229" s="1"/>
      <c r="BOJ229" s="1"/>
      <c r="BOK229" s="1"/>
      <c r="BOL229" s="1"/>
      <c r="BOM229" s="1"/>
      <c r="BON229" s="1"/>
      <c r="BOO229" s="1"/>
      <c r="BOP229" s="1"/>
      <c r="BOQ229" s="1"/>
      <c r="BOR229" s="1"/>
      <c r="BOS229" s="1"/>
      <c r="BOT229" s="1"/>
      <c r="BOU229" s="1"/>
      <c r="BOV229" s="1"/>
      <c r="BOW229" s="1"/>
      <c r="BOX229" s="1"/>
      <c r="BOY229" s="1"/>
      <c r="BOZ229" s="1"/>
      <c r="BPA229" s="1"/>
      <c r="BPB229" s="1"/>
      <c r="BPC229" s="1"/>
      <c r="BPD229" s="1"/>
      <c r="BPE229" s="1"/>
      <c r="BPF229" s="1"/>
      <c r="BPG229" s="1"/>
      <c r="BPH229" s="1"/>
      <c r="BPI229" s="1"/>
      <c r="BPJ229" s="1"/>
      <c r="BPK229" s="1"/>
      <c r="BPL229" s="1"/>
      <c r="BPM229" s="1"/>
      <c r="BPN229" s="1"/>
      <c r="BPO229" s="1"/>
      <c r="BPP229" s="1"/>
      <c r="BPQ229" s="1"/>
      <c r="BPR229" s="1"/>
      <c r="BPS229" s="1"/>
      <c r="BPT229" s="1"/>
      <c r="BPU229" s="1"/>
      <c r="BPV229" s="1"/>
      <c r="BPW229" s="1"/>
      <c r="BPX229" s="1"/>
      <c r="BPY229" s="1"/>
      <c r="BPZ229" s="1"/>
      <c r="BQA229" s="1"/>
      <c r="BQB229" s="1"/>
      <c r="BQC229" s="1"/>
      <c r="BQD229" s="1"/>
      <c r="BQE229" s="1"/>
      <c r="BQF229" s="1"/>
      <c r="BQG229" s="1"/>
      <c r="BQH229" s="1"/>
      <c r="BQI229" s="1"/>
      <c r="BQJ229" s="1"/>
      <c r="BQK229" s="1"/>
      <c r="BQL229" s="1"/>
      <c r="BQM229" s="1"/>
      <c r="BQN229" s="1"/>
      <c r="BQO229" s="1"/>
      <c r="BQP229" s="1"/>
      <c r="BQQ229" s="1"/>
      <c r="BQR229" s="1"/>
      <c r="BQS229" s="1"/>
      <c r="BQT229" s="1"/>
      <c r="BQU229" s="1"/>
      <c r="BQV229" s="1"/>
      <c r="BQW229" s="1"/>
      <c r="BQX229" s="1"/>
      <c r="BQY229" s="1"/>
      <c r="BQZ229" s="1"/>
      <c r="BRA229" s="1"/>
      <c r="BRB229" s="1"/>
      <c r="BRC229" s="1"/>
      <c r="BRD229" s="1"/>
      <c r="BRE229" s="1"/>
      <c r="BRF229" s="1"/>
      <c r="BRG229" s="1"/>
      <c r="BRH229" s="1"/>
      <c r="BRI229" s="1"/>
      <c r="BRJ229" s="1"/>
      <c r="BRK229" s="1"/>
      <c r="BRL229" s="1"/>
      <c r="BRM229" s="1"/>
      <c r="BRN229" s="1"/>
      <c r="BRO229" s="1"/>
      <c r="BRP229" s="1"/>
      <c r="BRQ229" s="1"/>
      <c r="BRR229" s="1"/>
      <c r="BRS229" s="1"/>
      <c r="BRT229" s="1"/>
      <c r="BRU229" s="1"/>
      <c r="BRV229" s="1"/>
      <c r="BRW229" s="1"/>
      <c r="BRX229" s="1"/>
      <c r="BRY229" s="1"/>
      <c r="BRZ229" s="1"/>
      <c r="BSA229" s="1"/>
      <c r="BSB229" s="1"/>
      <c r="BSC229" s="1"/>
      <c r="BSD229" s="1"/>
      <c r="BSE229" s="1"/>
      <c r="BSF229" s="1"/>
      <c r="BSG229" s="1"/>
      <c r="BSH229" s="1"/>
      <c r="BSI229" s="1"/>
      <c r="BSJ229" s="1"/>
      <c r="BSK229" s="1"/>
      <c r="BSL229" s="1"/>
      <c r="BSM229" s="1"/>
      <c r="BSN229" s="1"/>
      <c r="BSO229" s="1"/>
      <c r="BSP229" s="1"/>
      <c r="BSQ229" s="1"/>
      <c r="BSR229" s="1"/>
      <c r="BSS229" s="1"/>
      <c r="BST229" s="1"/>
      <c r="BSU229" s="1"/>
      <c r="BSV229" s="1"/>
      <c r="BSW229" s="1"/>
      <c r="BSX229" s="1"/>
      <c r="BSY229" s="1"/>
      <c r="BSZ229" s="1"/>
      <c r="BTA229" s="1"/>
      <c r="BTB229" s="1"/>
      <c r="BTC229" s="1"/>
      <c r="BTD229" s="1"/>
      <c r="BTE229" s="1"/>
      <c r="BTF229" s="1"/>
      <c r="BTG229" s="1"/>
      <c r="BTH229" s="1"/>
      <c r="BTI229" s="1"/>
      <c r="BTJ229" s="1"/>
      <c r="BTK229" s="1"/>
      <c r="BTL229" s="1"/>
      <c r="BTM229" s="1"/>
      <c r="BTN229" s="1"/>
      <c r="BTO229" s="1"/>
      <c r="BTP229" s="1"/>
      <c r="BTQ229" s="1"/>
      <c r="BTR229" s="1"/>
      <c r="BTS229" s="1"/>
      <c r="BTT229" s="1"/>
      <c r="BTU229" s="1"/>
      <c r="BTV229" s="1"/>
      <c r="BTW229" s="1"/>
      <c r="BTX229" s="1"/>
      <c r="BTY229" s="1"/>
      <c r="BTZ229" s="1"/>
      <c r="BUA229" s="1"/>
      <c r="BUB229" s="1"/>
      <c r="BUC229" s="1"/>
      <c r="BUD229" s="1"/>
      <c r="BUE229" s="1"/>
      <c r="BUF229" s="1"/>
      <c r="BUG229" s="1"/>
      <c r="BUH229" s="1"/>
      <c r="BUI229" s="1"/>
      <c r="BUJ229" s="1"/>
      <c r="BUK229" s="1"/>
      <c r="BUL229" s="1"/>
      <c r="BUM229" s="1"/>
      <c r="BUN229" s="1"/>
      <c r="BUO229" s="1"/>
      <c r="BUP229" s="1"/>
      <c r="BUQ229" s="1"/>
      <c r="BUR229" s="1"/>
      <c r="BUS229" s="1"/>
      <c r="BUT229" s="1"/>
      <c r="BUU229" s="1"/>
      <c r="BUV229" s="1"/>
      <c r="BUW229" s="1"/>
      <c r="BUX229" s="1"/>
      <c r="BUY229" s="1"/>
      <c r="BUZ229" s="1"/>
      <c r="BVA229" s="1"/>
      <c r="BVB229" s="1"/>
      <c r="BVC229" s="1"/>
      <c r="BVD229" s="1"/>
      <c r="BVE229" s="1"/>
      <c r="BVF229" s="1"/>
      <c r="BVG229" s="1"/>
      <c r="BVH229" s="1"/>
      <c r="BVI229" s="1"/>
      <c r="BVJ229" s="1"/>
      <c r="BVK229" s="1"/>
      <c r="BVL229" s="1"/>
      <c r="BVM229" s="1"/>
      <c r="BVN229" s="1"/>
      <c r="BVO229" s="1"/>
      <c r="BVP229" s="1"/>
      <c r="BVQ229" s="1"/>
      <c r="BVR229" s="1"/>
      <c r="BVS229" s="1"/>
      <c r="BVT229" s="1"/>
      <c r="BVU229" s="1"/>
      <c r="BVV229" s="1"/>
      <c r="BVW229" s="1"/>
      <c r="BVX229" s="1"/>
      <c r="BVY229" s="1"/>
      <c r="BVZ229" s="1"/>
      <c r="BWA229" s="1"/>
      <c r="BWB229" s="1"/>
      <c r="BWC229" s="1"/>
      <c r="BWD229" s="1"/>
      <c r="BWE229" s="1"/>
      <c r="BWF229" s="1"/>
      <c r="BWG229" s="1"/>
      <c r="BWH229" s="1"/>
      <c r="BWI229" s="1"/>
      <c r="BWJ229" s="1"/>
      <c r="BWK229" s="1"/>
      <c r="BWL229" s="1"/>
      <c r="BWM229" s="1"/>
      <c r="BWN229" s="1"/>
      <c r="BWO229" s="1"/>
      <c r="BWP229" s="1"/>
      <c r="BWQ229" s="1"/>
      <c r="BWR229" s="1"/>
      <c r="BWS229" s="1"/>
      <c r="BWT229" s="1"/>
      <c r="BWU229" s="1"/>
      <c r="BWV229" s="1"/>
      <c r="BWW229" s="1"/>
      <c r="BWX229" s="1"/>
      <c r="BWY229" s="1"/>
      <c r="BWZ229" s="1"/>
      <c r="BXA229" s="1"/>
      <c r="BXB229" s="1"/>
      <c r="BXC229" s="1"/>
      <c r="BXD229" s="1"/>
      <c r="BXE229" s="1"/>
      <c r="BXF229" s="1"/>
      <c r="BXG229" s="1"/>
      <c r="BXH229" s="1"/>
      <c r="BXI229" s="1"/>
      <c r="BXJ229" s="1"/>
      <c r="BXK229" s="1"/>
      <c r="BXL229" s="1"/>
      <c r="BXM229" s="1"/>
      <c r="BXN229" s="1"/>
      <c r="BXO229" s="1"/>
      <c r="BXP229" s="1"/>
      <c r="BXQ229" s="1"/>
      <c r="BXR229" s="1"/>
      <c r="BXS229" s="1"/>
      <c r="BXT229" s="1"/>
      <c r="BXU229" s="1"/>
      <c r="BXV229" s="1"/>
      <c r="BXW229" s="1"/>
      <c r="BXX229" s="1"/>
      <c r="BXY229" s="1"/>
      <c r="BXZ229" s="1"/>
      <c r="BYA229" s="1"/>
      <c r="BYB229" s="1"/>
      <c r="BYC229" s="1"/>
      <c r="BYD229" s="1"/>
      <c r="BYE229" s="1"/>
      <c r="BYF229" s="1"/>
      <c r="BYG229" s="1"/>
      <c r="BYH229" s="1"/>
      <c r="BYI229" s="1"/>
      <c r="BYJ229" s="1"/>
      <c r="BYK229" s="1"/>
      <c r="BYL229" s="1"/>
      <c r="BYM229" s="1"/>
      <c r="BYN229" s="1"/>
      <c r="BYO229" s="1"/>
      <c r="BYP229" s="1"/>
      <c r="BYQ229" s="1"/>
      <c r="BYR229" s="1"/>
      <c r="BYS229" s="1"/>
      <c r="BYT229" s="1"/>
      <c r="BYU229" s="1"/>
      <c r="BYV229" s="1"/>
      <c r="BYW229" s="1"/>
      <c r="BYX229" s="1"/>
      <c r="BYY229" s="1"/>
      <c r="BYZ229" s="1"/>
      <c r="BZA229" s="1"/>
      <c r="BZB229" s="1"/>
      <c r="BZC229" s="1"/>
      <c r="BZD229" s="1"/>
      <c r="BZE229" s="1"/>
      <c r="BZF229" s="1"/>
      <c r="BZG229" s="1"/>
      <c r="BZH229" s="1"/>
      <c r="BZI229" s="1"/>
      <c r="BZJ229" s="1"/>
      <c r="BZK229" s="1"/>
      <c r="BZL229" s="1"/>
      <c r="BZM229" s="1"/>
      <c r="BZN229" s="1"/>
      <c r="BZO229" s="1"/>
      <c r="BZP229" s="1"/>
      <c r="BZQ229" s="1"/>
      <c r="BZR229" s="1"/>
      <c r="BZS229" s="1"/>
      <c r="BZT229" s="1"/>
      <c r="BZU229" s="1"/>
      <c r="BZV229" s="1"/>
      <c r="BZW229" s="1"/>
      <c r="BZX229" s="1"/>
      <c r="BZY229" s="1"/>
      <c r="BZZ229" s="1"/>
      <c r="CAA229" s="1"/>
      <c r="CAB229" s="1"/>
      <c r="CAC229" s="1"/>
      <c r="CAD229" s="1"/>
      <c r="CAE229" s="1"/>
      <c r="CAF229" s="1"/>
      <c r="CAG229" s="1"/>
      <c r="CAH229" s="1"/>
      <c r="CAI229" s="1"/>
      <c r="CAJ229" s="1"/>
      <c r="CAK229" s="1"/>
      <c r="CAL229" s="1"/>
      <c r="CAM229" s="1"/>
      <c r="CAN229" s="1"/>
      <c r="CAO229" s="1"/>
      <c r="CAP229" s="1"/>
      <c r="CAQ229" s="1"/>
      <c r="CAR229" s="1"/>
      <c r="CAS229" s="1"/>
      <c r="CAT229" s="1"/>
      <c r="CAU229" s="1"/>
      <c r="CAV229" s="1"/>
      <c r="CAW229" s="1"/>
      <c r="CAX229" s="1"/>
      <c r="CAY229" s="1"/>
      <c r="CAZ229" s="1"/>
      <c r="CBA229" s="1"/>
      <c r="CBB229" s="1"/>
      <c r="CBC229" s="1"/>
      <c r="CBD229" s="1"/>
      <c r="CBE229" s="1"/>
      <c r="CBF229" s="1"/>
      <c r="CBG229" s="1"/>
      <c r="CBH229" s="1"/>
      <c r="CBI229" s="1"/>
      <c r="CBJ229" s="1"/>
      <c r="CBK229" s="1"/>
      <c r="CBL229" s="1"/>
      <c r="CBM229" s="1"/>
      <c r="CBN229" s="1"/>
      <c r="CBO229" s="1"/>
      <c r="CBP229" s="1"/>
      <c r="CBQ229" s="1"/>
      <c r="CBR229" s="1"/>
      <c r="CBS229" s="1"/>
      <c r="CBT229" s="1"/>
      <c r="CBU229" s="1"/>
      <c r="CBV229" s="1"/>
      <c r="CBW229" s="1"/>
      <c r="CBX229" s="1"/>
      <c r="CBY229" s="1"/>
      <c r="CBZ229" s="1"/>
      <c r="CCA229" s="1"/>
      <c r="CCB229" s="1"/>
      <c r="CCC229" s="1"/>
      <c r="CCD229" s="1"/>
      <c r="CCE229" s="1"/>
      <c r="CCF229" s="1"/>
      <c r="CCG229" s="1"/>
      <c r="CCH229" s="1"/>
      <c r="CCI229" s="1"/>
      <c r="CCJ229" s="1"/>
      <c r="CCK229" s="1"/>
      <c r="CCL229" s="1"/>
      <c r="CCM229" s="1"/>
      <c r="CCN229" s="1"/>
      <c r="CCO229" s="1"/>
      <c r="CCP229" s="1"/>
      <c r="CCQ229" s="1"/>
      <c r="CCR229" s="1"/>
      <c r="CCS229" s="1"/>
      <c r="CCT229" s="1"/>
      <c r="CCU229" s="1"/>
      <c r="CCV229" s="1"/>
      <c r="CCW229" s="1"/>
      <c r="CCX229" s="1"/>
      <c r="CCY229" s="1"/>
      <c r="CCZ229" s="1"/>
      <c r="CDA229" s="1"/>
      <c r="CDB229" s="1"/>
      <c r="CDC229" s="1"/>
      <c r="CDD229" s="1"/>
      <c r="CDE229" s="1"/>
      <c r="CDF229" s="1"/>
      <c r="CDG229" s="1"/>
      <c r="CDH229" s="1"/>
      <c r="CDI229" s="1"/>
      <c r="CDJ229" s="1"/>
      <c r="CDK229" s="1"/>
      <c r="CDL229" s="1"/>
      <c r="CDM229" s="1"/>
      <c r="CDN229" s="1"/>
      <c r="CDO229" s="1"/>
      <c r="CDP229" s="1"/>
      <c r="CDQ229" s="1"/>
      <c r="CDR229" s="1"/>
      <c r="CDS229" s="1"/>
      <c r="CDT229" s="1"/>
      <c r="CDU229" s="1"/>
      <c r="CDV229" s="1"/>
      <c r="CDW229" s="1"/>
      <c r="CDX229" s="1"/>
      <c r="CDY229" s="1"/>
      <c r="CDZ229" s="1"/>
      <c r="CEA229" s="1"/>
      <c r="CEB229" s="1"/>
      <c r="CEC229" s="1"/>
      <c r="CED229" s="1"/>
      <c r="CEE229" s="1"/>
      <c r="CEF229" s="1"/>
      <c r="CEG229" s="1"/>
      <c r="CEH229" s="1"/>
      <c r="CEI229" s="1"/>
      <c r="CEJ229" s="1"/>
      <c r="CEK229" s="1"/>
      <c r="CEL229" s="1"/>
      <c r="CEM229" s="1"/>
      <c r="CEN229" s="1"/>
      <c r="CEO229" s="1"/>
      <c r="CEP229" s="1"/>
      <c r="CEQ229" s="1"/>
      <c r="CER229" s="1"/>
      <c r="CES229" s="1"/>
      <c r="CET229" s="1"/>
      <c r="CEU229" s="1"/>
      <c r="CEV229" s="1"/>
      <c r="CEW229" s="1"/>
      <c r="CEX229" s="1"/>
      <c r="CEY229" s="1"/>
      <c r="CEZ229" s="1"/>
      <c r="CFA229" s="1"/>
      <c r="CFB229" s="1"/>
      <c r="CFC229" s="1"/>
      <c r="CFD229" s="1"/>
      <c r="CFE229" s="1"/>
      <c r="CFF229" s="1"/>
      <c r="CFG229" s="1"/>
      <c r="CFH229" s="1"/>
      <c r="CFI229" s="1"/>
      <c r="CFJ229" s="1"/>
      <c r="CFK229" s="1"/>
      <c r="CFL229" s="1"/>
      <c r="CFM229" s="1"/>
      <c r="CFN229" s="1"/>
      <c r="CFO229" s="1"/>
      <c r="CFP229" s="1"/>
      <c r="CFQ229" s="1"/>
      <c r="CFR229" s="1"/>
      <c r="CFS229" s="1"/>
      <c r="CFT229" s="1"/>
      <c r="CFU229" s="1"/>
      <c r="CFV229" s="1"/>
      <c r="CFW229" s="1"/>
      <c r="CFX229" s="1"/>
      <c r="CFY229" s="1"/>
      <c r="CFZ229" s="1"/>
      <c r="CGA229" s="1"/>
      <c r="CGB229" s="1"/>
      <c r="CGC229" s="1"/>
      <c r="CGD229" s="1"/>
      <c r="CGE229" s="1"/>
      <c r="CGF229" s="1"/>
      <c r="CGG229" s="1"/>
      <c r="CGH229" s="1"/>
      <c r="CGI229" s="1"/>
      <c r="CGJ229" s="1"/>
      <c r="CGK229" s="1"/>
      <c r="CGL229" s="1"/>
      <c r="CGM229" s="1"/>
      <c r="CGN229" s="1"/>
      <c r="CGO229" s="1"/>
      <c r="CGP229" s="1"/>
      <c r="CGQ229" s="1"/>
      <c r="CGR229" s="1"/>
      <c r="CGS229" s="1"/>
      <c r="CGT229" s="1"/>
      <c r="CGU229" s="1"/>
      <c r="CGV229" s="1"/>
      <c r="CGW229" s="1"/>
      <c r="CGX229" s="1"/>
      <c r="CGY229" s="1"/>
      <c r="CGZ229" s="1"/>
      <c r="CHA229" s="1"/>
      <c r="CHB229" s="1"/>
      <c r="CHC229" s="1"/>
      <c r="CHD229" s="1"/>
      <c r="CHE229" s="1"/>
      <c r="CHF229" s="1"/>
      <c r="CHG229" s="1"/>
      <c r="CHH229" s="1"/>
      <c r="CHI229" s="1"/>
      <c r="CHJ229" s="1"/>
      <c r="CHK229" s="1"/>
      <c r="CHL229" s="1"/>
      <c r="CHM229" s="1"/>
      <c r="CHN229" s="1"/>
      <c r="CHO229" s="1"/>
      <c r="CHP229" s="1"/>
      <c r="CHQ229" s="1"/>
      <c r="CHR229" s="1"/>
      <c r="CHS229" s="1"/>
      <c r="CHT229" s="1"/>
      <c r="CHU229" s="1"/>
      <c r="CHV229" s="1"/>
      <c r="CHW229" s="1"/>
      <c r="CHX229" s="1"/>
      <c r="CHY229" s="1"/>
      <c r="CHZ229" s="1"/>
      <c r="CIA229" s="1"/>
      <c r="CIB229" s="1"/>
      <c r="CIC229" s="1"/>
      <c r="CID229" s="1"/>
      <c r="CIE229" s="1"/>
      <c r="CIF229" s="1"/>
      <c r="CIG229" s="1"/>
      <c r="CIH229" s="1"/>
      <c r="CII229" s="1"/>
      <c r="CIJ229" s="1"/>
      <c r="CIK229" s="1"/>
      <c r="CIL229" s="1"/>
      <c r="CIM229" s="1"/>
      <c r="CIN229" s="1"/>
      <c r="CIO229" s="1"/>
      <c r="CIP229" s="1"/>
      <c r="CIQ229" s="1"/>
      <c r="CIR229" s="1"/>
      <c r="CIS229" s="1"/>
      <c r="CIT229" s="1"/>
      <c r="CIU229" s="1"/>
      <c r="CIV229" s="1"/>
      <c r="CIW229" s="1"/>
      <c r="CIX229" s="1"/>
      <c r="CIY229" s="1"/>
      <c r="CIZ229" s="1"/>
      <c r="CJA229" s="1"/>
      <c r="CJB229" s="1"/>
      <c r="CJC229" s="1"/>
      <c r="CJD229" s="1"/>
      <c r="CJE229" s="1"/>
      <c r="CJF229" s="1"/>
      <c r="CJG229" s="1"/>
      <c r="CJH229" s="1"/>
      <c r="CJI229" s="1"/>
      <c r="CJJ229" s="1"/>
      <c r="CJK229" s="1"/>
      <c r="CJL229" s="1"/>
      <c r="CJM229" s="1"/>
      <c r="CJN229" s="1"/>
      <c r="CJO229" s="1"/>
      <c r="CJP229" s="1"/>
      <c r="CJQ229" s="1"/>
      <c r="CJR229" s="1"/>
      <c r="CJS229" s="1"/>
      <c r="CJT229" s="1"/>
      <c r="CJU229" s="1"/>
      <c r="CJV229" s="1"/>
      <c r="CJW229" s="1"/>
      <c r="CJX229" s="1"/>
      <c r="CJY229" s="1"/>
      <c r="CJZ229" s="1"/>
      <c r="CKA229" s="1"/>
      <c r="CKB229" s="1"/>
      <c r="CKC229" s="1"/>
      <c r="CKD229" s="1"/>
      <c r="CKE229" s="1"/>
      <c r="CKF229" s="1"/>
      <c r="CKG229" s="1"/>
      <c r="CKH229" s="1"/>
      <c r="CKI229" s="1"/>
      <c r="CKJ229" s="1"/>
      <c r="CKK229" s="1"/>
      <c r="CKL229" s="1"/>
      <c r="CKM229" s="1"/>
      <c r="CKN229" s="1"/>
      <c r="CKO229" s="1"/>
      <c r="CKP229" s="1"/>
      <c r="CKQ229" s="1"/>
      <c r="CKR229" s="1"/>
      <c r="CKS229" s="1"/>
      <c r="CKT229" s="1"/>
      <c r="CKU229" s="1"/>
      <c r="CKV229" s="1"/>
      <c r="CKW229" s="1"/>
      <c r="CKX229" s="1"/>
      <c r="CKY229" s="1"/>
      <c r="CKZ229" s="1"/>
      <c r="CLA229" s="1"/>
      <c r="CLB229" s="1"/>
      <c r="CLC229" s="1"/>
      <c r="CLD229" s="1"/>
      <c r="CLE229" s="1"/>
      <c r="CLF229" s="1"/>
      <c r="CLG229" s="1"/>
      <c r="CLH229" s="1"/>
      <c r="CLI229" s="1"/>
      <c r="CLJ229" s="1"/>
      <c r="CLK229" s="1"/>
      <c r="CLL229" s="1"/>
      <c r="CLM229" s="1"/>
      <c r="CLN229" s="1"/>
      <c r="CLO229" s="1"/>
      <c r="CLP229" s="1"/>
      <c r="CLQ229" s="1"/>
      <c r="CLR229" s="1"/>
      <c r="CLS229" s="1"/>
      <c r="CLT229" s="1"/>
      <c r="CLU229" s="1"/>
      <c r="CLV229" s="1"/>
      <c r="CLW229" s="1"/>
      <c r="CLX229" s="1"/>
      <c r="CLY229" s="1"/>
      <c r="CLZ229" s="1"/>
      <c r="CMA229" s="1"/>
      <c r="CMB229" s="1"/>
      <c r="CMC229" s="1"/>
      <c r="CMD229" s="1"/>
      <c r="CME229" s="1"/>
      <c r="CMF229" s="1"/>
      <c r="CMG229" s="1"/>
      <c r="CMH229" s="1"/>
      <c r="CMI229" s="1"/>
      <c r="CMJ229" s="1"/>
      <c r="CMK229" s="1"/>
      <c r="CML229" s="1"/>
      <c r="CMM229" s="1"/>
      <c r="CMN229" s="1"/>
      <c r="CMO229" s="1"/>
      <c r="CMP229" s="1"/>
      <c r="CMQ229" s="1"/>
      <c r="CMR229" s="1"/>
      <c r="CMS229" s="1"/>
      <c r="CMT229" s="1"/>
      <c r="CMU229" s="1"/>
      <c r="CMV229" s="1"/>
      <c r="CMW229" s="1"/>
      <c r="CMX229" s="1"/>
      <c r="CMY229" s="1"/>
      <c r="CMZ229" s="1"/>
      <c r="CNA229" s="1"/>
      <c r="CNB229" s="1"/>
      <c r="CNC229" s="1"/>
      <c r="CND229" s="1"/>
      <c r="CNE229" s="1"/>
      <c r="CNF229" s="1"/>
      <c r="CNG229" s="1"/>
      <c r="CNH229" s="1"/>
      <c r="CNI229" s="1"/>
      <c r="CNJ229" s="1"/>
      <c r="CNK229" s="1"/>
      <c r="CNL229" s="1"/>
      <c r="CNM229" s="1"/>
      <c r="CNN229" s="1"/>
      <c r="CNO229" s="1"/>
      <c r="CNP229" s="1"/>
      <c r="CNQ229" s="1"/>
      <c r="CNR229" s="1"/>
      <c r="CNS229" s="1"/>
      <c r="CNT229" s="1"/>
      <c r="CNU229" s="1"/>
      <c r="CNV229" s="1"/>
      <c r="CNW229" s="1"/>
      <c r="CNX229" s="1"/>
      <c r="CNY229" s="1"/>
      <c r="CNZ229" s="1"/>
      <c r="COA229" s="1"/>
      <c r="COB229" s="1"/>
      <c r="COC229" s="1"/>
      <c r="COD229" s="1"/>
      <c r="COE229" s="1"/>
      <c r="COF229" s="1"/>
      <c r="COG229" s="1"/>
      <c r="COH229" s="1"/>
      <c r="COI229" s="1"/>
      <c r="COJ229" s="1"/>
      <c r="COK229" s="1"/>
      <c r="COL229" s="1"/>
      <c r="COM229" s="1"/>
      <c r="CON229" s="1"/>
      <c r="COO229" s="1"/>
      <c r="COP229" s="1"/>
      <c r="COQ229" s="1"/>
      <c r="COR229" s="1"/>
      <c r="COS229" s="1"/>
      <c r="COT229" s="1"/>
      <c r="COU229" s="1"/>
      <c r="COV229" s="1"/>
      <c r="COW229" s="1"/>
      <c r="COX229" s="1"/>
      <c r="COY229" s="1"/>
      <c r="COZ229" s="1"/>
      <c r="CPA229" s="1"/>
      <c r="CPB229" s="1"/>
      <c r="CPC229" s="1"/>
      <c r="CPD229" s="1"/>
      <c r="CPE229" s="1"/>
      <c r="CPF229" s="1"/>
      <c r="CPG229" s="1"/>
      <c r="CPH229" s="1"/>
      <c r="CPI229" s="1"/>
      <c r="CPJ229" s="1"/>
      <c r="CPK229" s="1"/>
      <c r="CPL229" s="1"/>
      <c r="CPM229" s="1"/>
      <c r="CPN229" s="1"/>
      <c r="CPO229" s="1"/>
      <c r="CPP229" s="1"/>
      <c r="CPQ229" s="1"/>
      <c r="CPR229" s="1"/>
      <c r="CPS229" s="1"/>
      <c r="CPT229" s="1"/>
      <c r="CPU229" s="1"/>
      <c r="CPV229" s="1"/>
      <c r="CPW229" s="1"/>
      <c r="CPX229" s="1"/>
      <c r="CPY229" s="1"/>
      <c r="CPZ229" s="1"/>
      <c r="CQA229" s="1"/>
      <c r="CQB229" s="1"/>
      <c r="CQC229" s="1"/>
      <c r="CQD229" s="1"/>
      <c r="CQE229" s="1"/>
      <c r="CQF229" s="1"/>
      <c r="CQG229" s="1"/>
      <c r="CQH229" s="1"/>
      <c r="CQI229" s="1"/>
      <c r="CQJ229" s="1"/>
      <c r="CQK229" s="1"/>
      <c r="CQL229" s="1"/>
      <c r="CQM229" s="1"/>
      <c r="CQN229" s="1"/>
      <c r="CQO229" s="1"/>
      <c r="CQP229" s="1"/>
      <c r="CQQ229" s="1"/>
      <c r="CQR229" s="1"/>
      <c r="CQS229" s="1"/>
      <c r="CQT229" s="1"/>
      <c r="CQU229" s="1"/>
      <c r="CQV229" s="1"/>
      <c r="CQW229" s="1"/>
      <c r="CQX229" s="1"/>
      <c r="CQY229" s="1"/>
      <c r="CQZ229" s="1"/>
      <c r="CRA229" s="1"/>
      <c r="CRB229" s="1"/>
      <c r="CRC229" s="1"/>
      <c r="CRD229" s="1"/>
      <c r="CRE229" s="1"/>
      <c r="CRF229" s="1"/>
      <c r="CRG229" s="1"/>
      <c r="CRH229" s="1"/>
      <c r="CRI229" s="1"/>
      <c r="CRJ229" s="1"/>
      <c r="CRK229" s="1"/>
      <c r="CRL229" s="1"/>
      <c r="CRM229" s="1"/>
      <c r="CRN229" s="1"/>
      <c r="CRO229" s="1"/>
      <c r="CRP229" s="1"/>
      <c r="CRQ229" s="1"/>
      <c r="CRR229" s="1"/>
      <c r="CRS229" s="1"/>
      <c r="CRT229" s="1"/>
      <c r="CRU229" s="1"/>
      <c r="CRV229" s="1"/>
      <c r="CRW229" s="1"/>
      <c r="CRX229" s="1"/>
      <c r="CRY229" s="1"/>
      <c r="CRZ229" s="1"/>
      <c r="CSA229" s="1"/>
      <c r="CSB229" s="1"/>
      <c r="CSC229" s="1"/>
      <c r="CSD229" s="1"/>
      <c r="CSE229" s="1"/>
      <c r="CSF229" s="1"/>
      <c r="CSG229" s="1"/>
      <c r="CSH229" s="1"/>
      <c r="CSI229" s="1"/>
      <c r="CSJ229" s="1"/>
      <c r="CSK229" s="1"/>
      <c r="CSL229" s="1"/>
      <c r="CSM229" s="1"/>
      <c r="CSN229" s="1"/>
      <c r="CSO229" s="1"/>
      <c r="CSP229" s="1"/>
      <c r="CSQ229" s="1"/>
      <c r="CSR229" s="1"/>
      <c r="CSS229" s="1"/>
      <c r="CST229" s="1"/>
      <c r="CSU229" s="1"/>
      <c r="CSV229" s="1"/>
      <c r="CSW229" s="1"/>
      <c r="CSX229" s="1"/>
      <c r="CSY229" s="1"/>
      <c r="CSZ229" s="1"/>
      <c r="CTA229" s="1"/>
      <c r="CTB229" s="1"/>
      <c r="CTC229" s="1"/>
      <c r="CTD229" s="1"/>
      <c r="CTE229" s="1"/>
      <c r="CTF229" s="1"/>
      <c r="CTG229" s="1"/>
      <c r="CTH229" s="1"/>
      <c r="CTI229" s="1"/>
      <c r="CTJ229" s="1"/>
      <c r="CTK229" s="1"/>
      <c r="CTL229" s="1"/>
      <c r="CTM229" s="1"/>
      <c r="CTN229" s="1"/>
      <c r="CTO229" s="1"/>
      <c r="CTP229" s="1"/>
      <c r="CTQ229" s="1"/>
      <c r="CTR229" s="1"/>
      <c r="CTS229" s="1"/>
      <c r="CTT229" s="1"/>
      <c r="CTU229" s="1"/>
      <c r="CTV229" s="1"/>
      <c r="CTW229" s="1"/>
      <c r="CTX229" s="1"/>
      <c r="CTY229" s="1"/>
      <c r="CTZ229" s="1"/>
      <c r="CUA229" s="1"/>
      <c r="CUB229" s="1"/>
      <c r="CUC229" s="1"/>
      <c r="CUD229" s="1"/>
      <c r="CUE229" s="1"/>
      <c r="CUF229" s="1"/>
      <c r="CUG229" s="1"/>
      <c r="CUH229" s="1"/>
      <c r="CUI229" s="1"/>
      <c r="CUJ229" s="1"/>
      <c r="CUK229" s="1"/>
      <c r="CUL229" s="1"/>
      <c r="CUM229" s="1"/>
      <c r="CUN229" s="1"/>
      <c r="CUO229" s="1"/>
      <c r="CUP229" s="1"/>
      <c r="CUQ229" s="1"/>
      <c r="CUR229" s="1"/>
      <c r="CUS229" s="1"/>
      <c r="CUT229" s="1"/>
      <c r="CUU229" s="1"/>
      <c r="CUV229" s="1"/>
      <c r="CUW229" s="1"/>
      <c r="CUX229" s="1"/>
      <c r="CUY229" s="1"/>
      <c r="CUZ229" s="1"/>
      <c r="CVA229" s="1"/>
      <c r="CVB229" s="1"/>
      <c r="CVC229" s="1"/>
      <c r="CVD229" s="1"/>
      <c r="CVE229" s="1"/>
      <c r="CVF229" s="1"/>
      <c r="CVG229" s="1"/>
      <c r="CVH229" s="1"/>
      <c r="CVI229" s="1"/>
      <c r="CVJ229" s="1"/>
      <c r="CVK229" s="1"/>
      <c r="CVL229" s="1"/>
      <c r="CVM229" s="1"/>
      <c r="CVN229" s="1"/>
      <c r="CVO229" s="1"/>
      <c r="CVP229" s="1"/>
      <c r="CVQ229" s="1"/>
      <c r="CVR229" s="1"/>
      <c r="CVS229" s="1"/>
      <c r="CVT229" s="1"/>
      <c r="CVU229" s="1"/>
      <c r="CVV229" s="1"/>
      <c r="CVW229" s="1"/>
      <c r="CVX229" s="1"/>
      <c r="CVY229" s="1"/>
      <c r="CVZ229" s="1"/>
      <c r="CWA229" s="1"/>
      <c r="CWB229" s="1"/>
      <c r="CWC229" s="1"/>
      <c r="CWD229" s="1"/>
      <c r="CWE229" s="1"/>
      <c r="CWF229" s="1"/>
      <c r="CWG229" s="1"/>
      <c r="CWH229" s="1"/>
      <c r="CWI229" s="1"/>
      <c r="CWJ229" s="1"/>
      <c r="CWK229" s="1"/>
      <c r="CWL229" s="1"/>
      <c r="CWM229" s="1"/>
      <c r="CWN229" s="1"/>
      <c r="CWO229" s="1"/>
      <c r="CWP229" s="1"/>
      <c r="CWQ229" s="1"/>
      <c r="CWR229" s="1"/>
      <c r="CWS229" s="1"/>
      <c r="CWT229" s="1"/>
      <c r="CWU229" s="1"/>
      <c r="CWV229" s="1"/>
      <c r="CWW229" s="1"/>
      <c r="CWX229" s="1"/>
      <c r="CWY229" s="1"/>
      <c r="CWZ229" s="1"/>
      <c r="CXA229" s="1"/>
      <c r="CXB229" s="1"/>
      <c r="CXC229" s="1"/>
      <c r="CXD229" s="1"/>
      <c r="CXE229" s="1"/>
      <c r="CXF229" s="1"/>
      <c r="CXG229" s="1"/>
      <c r="CXH229" s="1"/>
      <c r="CXI229" s="1"/>
      <c r="CXJ229" s="1"/>
      <c r="CXK229" s="1"/>
      <c r="CXL229" s="1"/>
      <c r="CXM229" s="1"/>
      <c r="CXN229" s="1"/>
      <c r="CXO229" s="1"/>
      <c r="CXP229" s="1"/>
      <c r="CXQ229" s="1"/>
      <c r="CXR229" s="1"/>
      <c r="CXS229" s="1"/>
      <c r="CXT229" s="1"/>
      <c r="CXU229" s="1"/>
      <c r="CXV229" s="1"/>
      <c r="CXW229" s="1"/>
      <c r="CXX229" s="1"/>
      <c r="CXY229" s="1"/>
      <c r="CXZ229" s="1"/>
      <c r="CYA229" s="1"/>
      <c r="CYB229" s="1"/>
      <c r="CYC229" s="1"/>
      <c r="CYD229" s="1"/>
      <c r="CYE229" s="1"/>
      <c r="CYF229" s="1"/>
      <c r="CYG229" s="1"/>
      <c r="CYH229" s="1"/>
      <c r="CYI229" s="1"/>
      <c r="CYJ229" s="1"/>
      <c r="CYK229" s="1"/>
      <c r="CYL229" s="1"/>
      <c r="CYM229" s="1"/>
      <c r="CYN229" s="1"/>
      <c r="CYO229" s="1"/>
      <c r="CYP229" s="1"/>
      <c r="CYQ229" s="1"/>
      <c r="CYR229" s="1"/>
      <c r="CYS229" s="1"/>
      <c r="CYT229" s="1"/>
      <c r="CYU229" s="1"/>
      <c r="CYV229" s="1"/>
      <c r="CYW229" s="1"/>
      <c r="CYX229" s="1"/>
      <c r="CYY229" s="1"/>
      <c r="CYZ229" s="1"/>
      <c r="CZA229" s="1"/>
      <c r="CZB229" s="1"/>
      <c r="CZC229" s="1"/>
      <c r="CZD229" s="1"/>
      <c r="CZE229" s="1"/>
      <c r="CZF229" s="1"/>
      <c r="CZG229" s="1"/>
      <c r="CZH229" s="1"/>
      <c r="CZI229" s="1"/>
      <c r="CZJ229" s="1"/>
      <c r="CZK229" s="1"/>
      <c r="CZL229" s="1"/>
      <c r="CZM229" s="1"/>
      <c r="CZN229" s="1"/>
      <c r="CZO229" s="1"/>
      <c r="CZP229" s="1"/>
      <c r="CZQ229" s="1"/>
      <c r="CZR229" s="1"/>
      <c r="CZS229" s="1"/>
      <c r="CZT229" s="1"/>
      <c r="CZU229" s="1"/>
      <c r="CZV229" s="1"/>
      <c r="CZW229" s="1"/>
      <c r="CZX229" s="1"/>
      <c r="CZY229" s="1"/>
      <c r="CZZ229" s="1"/>
      <c r="DAA229" s="1"/>
      <c r="DAB229" s="1"/>
      <c r="DAC229" s="1"/>
      <c r="DAD229" s="1"/>
      <c r="DAE229" s="1"/>
      <c r="DAF229" s="1"/>
      <c r="DAG229" s="1"/>
      <c r="DAH229" s="1"/>
      <c r="DAI229" s="1"/>
      <c r="DAJ229" s="1"/>
      <c r="DAK229" s="1"/>
      <c r="DAL229" s="1"/>
      <c r="DAM229" s="1"/>
      <c r="DAN229" s="1"/>
      <c r="DAO229" s="1"/>
      <c r="DAP229" s="1"/>
      <c r="DAQ229" s="1"/>
      <c r="DAR229" s="1"/>
      <c r="DAS229" s="1"/>
      <c r="DAT229" s="1"/>
      <c r="DAU229" s="1"/>
      <c r="DAV229" s="1"/>
      <c r="DAW229" s="1"/>
      <c r="DAX229" s="1"/>
      <c r="DAY229" s="1"/>
      <c r="DAZ229" s="1"/>
      <c r="DBA229" s="1"/>
      <c r="DBB229" s="1"/>
      <c r="DBC229" s="1"/>
      <c r="DBD229" s="1"/>
      <c r="DBE229" s="1"/>
      <c r="DBF229" s="1"/>
      <c r="DBG229" s="1"/>
      <c r="DBH229" s="1"/>
      <c r="DBI229" s="1"/>
      <c r="DBJ229" s="1"/>
      <c r="DBK229" s="1"/>
      <c r="DBL229" s="1"/>
      <c r="DBM229" s="1"/>
      <c r="DBN229" s="1"/>
      <c r="DBO229" s="1"/>
      <c r="DBP229" s="1"/>
      <c r="DBQ229" s="1"/>
      <c r="DBR229" s="1"/>
      <c r="DBS229" s="1"/>
      <c r="DBT229" s="1"/>
      <c r="DBU229" s="1"/>
      <c r="DBV229" s="1"/>
      <c r="DBW229" s="1"/>
      <c r="DBX229" s="1"/>
      <c r="DBY229" s="1"/>
      <c r="DBZ229" s="1"/>
      <c r="DCA229" s="1"/>
      <c r="DCB229" s="1"/>
      <c r="DCC229" s="1"/>
      <c r="DCD229" s="1"/>
      <c r="DCE229" s="1"/>
      <c r="DCF229" s="1"/>
      <c r="DCG229" s="1"/>
      <c r="DCH229" s="1"/>
      <c r="DCI229" s="1"/>
      <c r="DCJ229" s="1"/>
      <c r="DCK229" s="1"/>
      <c r="DCL229" s="1"/>
      <c r="DCM229" s="1"/>
      <c r="DCN229" s="1"/>
      <c r="DCO229" s="1"/>
      <c r="DCP229" s="1"/>
      <c r="DCQ229" s="1"/>
      <c r="DCR229" s="1"/>
      <c r="DCS229" s="1"/>
      <c r="DCT229" s="1"/>
      <c r="DCU229" s="1"/>
      <c r="DCV229" s="1"/>
      <c r="DCW229" s="1"/>
      <c r="DCX229" s="1"/>
      <c r="DCY229" s="1"/>
      <c r="DCZ229" s="1"/>
      <c r="DDA229" s="1"/>
      <c r="DDB229" s="1"/>
      <c r="DDC229" s="1"/>
      <c r="DDD229" s="1"/>
      <c r="DDE229" s="1"/>
      <c r="DDF229" s="1"/>
      <c r="DDG229" s="1"/>
      <c r="DDH229" s="1"/>
      <c r="DDI229" s="1"/>
      <c r="DDJ229" s="1"/>
      <c r="DDK229" s="1"/>
      <c r="DDL229" s="1"/>
      <c r="DDM229" s="1"/>
      <c r="DDN229" s="1"/>
      <c r="DDO229" s="1"/>
      <c r="DDP229" s="1"/>
      <c r="DDQ229" s="1"/>
      <c r="DDR229" s="1"/>
      <c r="DDS229" s="1"/>
      <c r="DDT229" s="1"/>
      <c r="DDU229" s="1"/>
      <c r="DDV229" s="1"/>
      <c r="DDW229" s="1"/>
      <c r="DDX229" s="1"/>
      <c r="DDY229" s="1"/>
      <c r="DDZ229" s="1"/>
      <c r="DEA229" s="1"/>
      <c r="DEB229" s="1"/>
      <c r="DEC229" s="1"/>
      <c r="DED229" s="1"/>
      <c r="DEE229" s="1"/>
      <c r="DEF229" s="1"/>
      <c r="DEG229" s="1"/>
      <c r="DEH229" s="1"/>
      <c r="DEI229" s="1"/>
      <c r="DEJ229" s="1"/>
      <c r="DEK229" s="1"/>
      <c r="DEL229" s="1"/>
      <c r="DEM229" s="1"/>
      <c r="DEN229" s="1"/>
      <c r="DEO229" s="1"/>
      <c r="DEP229" s="1"/>
      <c r="DEQ229" s="1"/>
      <c r="DER229" s="1"/>
      <c r="DES229" s="1"/>
      <c r="DET229" s="1"/>
      <c r="DEU229" s="1"/>
      <c r="DEV229" s="1"/>
      <c r="DEW229" s="1"/>
      <c r="DEX229" s="1"/>
      <c r="DEY229" s="1"/>
      <c r="DEZ229" s="1"/>
      <c r="DFA229" s="1"/>
      <c r="DFB229" s="1"/>
      <c r="DFC229" s="1"/>
      <c r="DFD229" s="1"/>
      <c r="DFE229" s="1"/>
      <c r="DFF229" s="1"/>
      <c r="DFG229" s="1"/>
      <c r="DFH229" s="1"/>
      <c r="DFI229" s="1"/>
      <c r="DFJ229" s="1"/>
      <c r="DFK229" s="1"/>
      <c r="DFL229" s="1"/>
      <c r="DFM229" s="1"/>
      <c r="DFN229" s="1"/>
      <c r="DFO229" s="1"/>
      <c r="DFP229" s="1"/>
      <c r="DFQ229" s="1"/>
      <c r="DFR229" s="1"/>
      <c r="DFS229" s="1"/>
      <c r="DFT229" s="1"/>
      <c r="DFU229" s="1"/>
      <c r="DFV229" s="1"/>
      <c r="DFW229" s="1"/>
      <c r="DFX229" s="1"/>
      <c r="DFY229" s="1"/>
      <c r="DFZ229" s="1"/>
      <c r="DGA229" s="1"/>
      <c r="DGB229" s="1"/>
      <c r="DGC229" s="1"/>
      <c r="DGD229" s="1"/>
      <c r="DGE229" s="1"/>
      <c r="DGF229" s="1"/>
      <c r="DGG229" s="1"/>
      <c r="DGH229" s="1"/>
      <c r="DGI229" s="1"/>
      <c r="DGJ229" s="1"/>
      <c r="DGK229" s="1"/>
      <c r="DGL229" s="1"/>
      <c r="DGM229" s="1"/>
      <c r="DGN229" s="1"/>
      <c r="DGO229" s="1"/>
      <c r="DGP229" s="1"/>
      <c r="DGQ229" s="1"/>
      <c r="DGR229" s="1"/>
      <c r="DGS229" s="1"/>
      <c r="DGT229" s="1"/>
      <c r="DGU229" s="1"/>
      <c r="DGV229" s="1"/>
      <c r="DGW229" s="1"/>
      <c r="DGX229" s="1"/>
      <c r="DGY229" s="1"/>
      <c r="DGZ229" s="1"/>
      <c r="DHA229" s="1"/>
      <c r="DHB229" s="1"/>
      <c r="DHC229" s="1"/>
      <c r="DHD229" s="1"/>
      <c r="DHE229" s="1"/>
      <c r="DHF229" s="1"/>
      <c r="DHG229" s="1"/>
      <c r="DHH229" s="1"/>
      <c r="DHI229" s="1"/>
      <c r="DHJ229" s="1"/>
      <c r="DHK229" s="1"/>
      <c r="DHL229" s="1"/>
      <c r="DHM229" s="1"/>
      <c r="DHN229" s="1"/>
      <c r="DHO229" s="1"/>
      <c r="DHP229" s="1"/>
      <c r="DHQ229" s="1"/>
      <c r="DHR229" s="1"/>
      <c r="DHS229" s="1"/>
      <c r="DHT229" s="1"/>
      <c r="DHU229" s="1"/>
      <c r="DHV229" s="1"/>
      <c r="DHW229" s="1"/>
      <c r="DHX229" s="1"/>
      <c r="DHY229" s="1"/>
      <c r="DHZ229" s="1"/>
      <c r="DIA229" s="1"/>
      <c r="DIB229" s="1"/>
      <c r="DIC229" s="1"/>
      <c r="DID229" s="1"/>
      <c r="DIE229" s="1"/>
      <c r="DIF229" s="1"/>
      <c r="DIG229" s="1"/>
      <c r="DIH229" s="1"/>
      <c r="DII229" s="1"/>
      <c r="DIJ229" s="1"/>
      <c r="DIK229" s="1"/>
      <c r="DIL229" s="1"/>
      <c r="DIM229" s="1"/>
      <c r="DIN229" s="1"/>
      <c r="DIO229" s="1"/>
      <c r="DIP229" s="1"/>
      <c r="DIQ229" s="1"/>
      <c r="DIR229" s="1"/>
      <c r="DIS229" s="1"/>
      <c r="DIT229" s="1"/>
      <c r="DIU229" s="1"/>
      <c r="DIV229" s="1"/>
      <c r="DIW229" s="1"/>
      <c r="DIX229" s="1"/>
      <c r="DIY229" s="1"/>
      <c r="DIZ229" s="1"/>
      <c r="DJA229" s="1"/>
      <c r="DJB229" s="1"/>
      <c r="DJC229" s="1"/>
      <c r="DJD229" s="1"/>
      <c r="DJE229" s="1"/>
      <c r="DJF229" s="1"/>
      <c r="DJG229" s="1"/>
      <c r="DJH229" s="1"/>
      <c r="DJI229" s="1"/>
      <c r="DJJ229" s="1"/>
      <c r="DJK229" s="1"/>
      <c r="DJL229" s="1"/>
      <c r="DJM229" s="1"/>
      <c r="DJN229" s="1"/>
      <c r="DJO229" s="1"/>
      <c r="DJP229" s="1"/>
      <c r="DJQ229" s="1"/>
      <c r="DJR229" s="1"/>
      <c r="DJS229" s="1"/>
      <c r="DJT229" s="1"/>
      <c r="DJU229" s="1"/>
      <c r="DJV229" s="1"/>
      <c r="DJW229" s="1"/>
      <c r="DJX229" s="1"/>
      <c r="DJY229" s="1"/>
      <c r="DJZ229" s="1"/>
      <c r="DKA229" s="1"/>
      <c r="DKB229" s="1"/>
      <c r="DKC229" s="1"/>
      <c r="DKD229" s="1"/>
      <c r="DKE229" s="1"/>
      <c r="DKF229" s="1"/>
      <c r="DKG229" s="1"/>
      <c r="DKH229" s="1"/>
      <c r="DKI229" s="1"/>
      <c r="DKJ229" s="1"/>
      <c r="DKK229" s="1"/>
      <c r="DKL229" s="1"/>
      <c r="DKM229" s="1"/>
      <c r="DKN229" s="1"/>
      <c r="DKO229" s="1"/>
      <c r="DKP229" s="1"/>
      <c r="DKQ229" s="1"/>
      <c r="DKR229" s="1"/>
      <c r="DKS229" s="1"/>
      <c r="DKT229" s="1"/>
      <c r="DKU229" s="1"/>
      <c r="DKV229" s="1"/>
      <c r="DKW229" s="1"/>
      <c r="DKX229" s="1"/>
      <c r="DKY229" s="1"/>
      <c r="DKZ229" s="1"/>
      <c r="DLA229" s="1"/>
      <c r="DLB229" s="1"/>
      <c r="DLC229" s="1"/>
      <c r="DLD229" s="1"/>
      <c r="DLE229" s="1"/>
      <c r="DLF229" s="1"/>
      <c r="DLG229" s="1"/>
      <c r="DLH229" s="1"/>
      <c r="DLI229" s="1"/>
      <c r="DLJ229" s="1"/>
      <c r="DLK229" s="1"/>
      <c r="DLL229" s="1"/>
      <c r="DLM229" s="1"/>
      <c r="DLN229" s="1"/>
      <c r="DLO229" s="1"/>
      <c r="DLP229" s="1"/>
      <c r="DLQ229" s="1"/>
      <c r="DLR229" s="1"/>
      <c r="DLS229" s="1"/>
      <c r="DLT229" s="1"/>
      <c r="DLU229" s="1"/>
      <c r="DLV229" s="1"/>
      <c r="DLW229" s="1"/>
      <c r="DLX229" s="1"/>
      <c r="DLY229" s="1"/>
      <c r="DLZ229" s="1"/>
      <c r="DMA229" s="1"/>
      <c r="DMB229" s="1"/>
      <c r="DMC229" s="1"/>
      <c r="DMD229" s="1"/>
      <c r="DME229" s="1"/>
      <c r="DMF229" s="1"/>
      <c r="DMG229" s="1"/>
      <c r="DMH229" s="1"/>
      <c r="DMI229" s="1"/>
      <c r="DMJ229" s="1"/>
      <c r="DMK229" s="1"/>
      <c r="DML229" s="1"/>
      <c r="DMM229" s="1"/>
      <c r="DMN229" s="1"/>
      <c r="DMO229" s="1"/>
      <c r="DMP229" s="1"/>
      <c r="DMQ229" s="1"/>
      <c r="DMR229" s="1"/>
      <c r="DMS229" s="1"/>
      <c r="DMT229" s="1"/>
      <c r="DMU229" s="1"/>
      <c r="DMV229" s="1"/>
      <c r="DMW229" s="1"/>
      <c r="DMX229" s="1"/>
      <c r="DMY229" s="1"/>
      <c r="DMZ229" s="1"/>
      <c r="DNA229" s="1"/>
      <c r="DNB229" s="1"/>
      <c r="DNC229" s="1"/>
      <c r="DND229" s="1"/>
      <c r="DNE229" s="1"/>
      <c r="DNF229" s="1"/>
      <c r="DNG229" s="1"/>
      <c r="DNH229" s="1"/>
      <c r="DNI229" s="1"/>
      <c r="DNJ229" s="1"/>
      <c r="DNK229" s="1"/>
      <c r="DNL229" s="1"/>
      <c r="DNM229" s="1"/>
      <c r="DNN229" s="1"/>
      <c r="DNO229" s="1"/>
      <c r="DNP229" s="1"/>
      <c r="DNQ229" s="1"/>
      <c r="DNR229" s="1"/>
      <c r="DNS229" s="1"/>
      <c r="DNT229" s="1"/>
      <c r="DNU229" s="1"/>
      <c r="DNV229" s="1"/>
      <c r="DNW229" s="1"/>
      <c r="DNX229" s="1"/>
      <c r="DNY229" s="1"/>
      <c r="DNZ229" s="1"/>
      <c r="DOA229" s="1"/>
      <c r="DOB229" s="1"/>
      <c r="DOC229" s="1"/>
      <c r="DOD229" s="1"/>
      <c r="DOE229" s="1"/>
      <c r="DOF229" s="1"/>
      <c r="DOG229" s="1"/>
      <c r="DOH229" s="1"/>
      <c r="DOI229" s="1"/>
      <c r="DOJ229" s="1"/>
      <c r="DOK229" s="1"/>
      <c r="DOL229" s="1"/>
      <c r="DOM229" s="1"/>
      <c r="DON229" s="1"/>
      <c r="DOO229" s="1"/>
      <c r="DOP229" s="1"/>
      <c r="DOQ229" s="1"/>
      <c r="DOR229" s="1"/>
      <c r="DOS229" s="1"/>
      <c r="DOT229" s="1"/>
      <c r="DOU229" s="1"/>
      <c r="DOV229" s="1"/>
      <c r="DOW229" s="1"/>
      <c r="DOX229" s="1"/>
      <c r="DOY229" s="1"/>
      <c r="DOZ229" s="1"/>
      <c r="DPA229" s="1"/>
      <c r="DPB229" s="1"/>
      <c r="DPC229" s="1"/>
      <c r="DPD229" s="1"/>
      <c r="DPE229" s="1"/>
      <c r="DPF229" s="1"/>
      <c r="DPG229" s="1"/>
      <c r="DPH229" s="1"/>
      <c r="DPI229" s="1"/>
      <c r="DPJ229" s="1"/>
      <c r="DPK229" s="1"/>
      <c r="DPL229" s="1"/>
      <c r="DPM229" s="1"/>
      <c r="DPN229" s="1"/>
      <c r="DPO229" s="1"/>
      <c r="DPP229" s="1"/>
      <c r="DPQ229" s="1"/>
      <c r="DPR229" s="1"/>
      <c r="DPS229" s="1"/>
      <c r="DPT229" s="1"/>
      <c r="DPU229" s="1"/>
      <c r="DPV229" s="1"/>
      <c r="DPW229" s="1"/>
      <c r="DPX229" s="1"/>
      <c r="DPY229" s="1"/>
      <c r="DPZ229" s="1"/>
      <c r="DQA229" s="1"/>
      <c r="DQB229" s="1"/>
      <c r="DQC229" s="1"/>
      <c r="DQD229" s="1"/>
      <c r="DQE229" s="1"/>
      <c r="DQF229" s="1"/>
      <c r="DQG229" s="1"/>
      <c r="DQH229" s="1"/>
      <c r="DQI229" s="1"/>
      <c r="DQJ229" s="1"/>
      <c r="DQK229" s="1"/>
      <c r="DQL229" s="1"/>
      <c r="DQM229" s="1"/>
      <c r="DQN229" s="1"/>
      <c r="DQO229" s="1"/>
      <c r="DQP229" s="1"/>
      <c r="DQQ229" s="1"/>
      <c r="DQR229" s="1"/>
      <c r="DQS229" s="1"/>
      <c r="DQT229" s="1"/>
      <c r="DQU229" s="1"/>
      <c r="DQV229" s="1"/>
      <c r="DQW229" s="1"/>
      <c r="DQX229" s="1"/>
      <c r="DQY229" s="1"/>
      <c r="DQZ229" s="1"/>
      <c r="DRA229" s="1"/>
      <c r="DRB229" s="1"/>
      <c r="DRC229" s="1"/>
      <c r="DRD229" s="1"/>
      <c r="DRE229" s="1"/>
      <c r="DRF229" s="1"/>
      <c r="DRG229" s="1"/>
      <c r="DRH229" s="1"/>
      <c r="DRI229" s="1"/>
      <c r="DRJ229" s="1"/>
      <c r="DRK229" s="1"/>
      <c r="DRL229" s="1"/>
      <c r="DRM229" s="1"/>
      <c r="DRN229" s="1"/>
      <c r="DRO229" s="1"/>
      <c r="DRP229" s="1"/>
      <c r="DRQ229" s="1"/>
      <c r="DRR229" s="1"/>
      <c r="DRS229" s="1"/>
      <c r="DRT229" s="1"/>
      <c r="DRU229" s="1"/>
      <c r="DRV229" s="1"/>
      <c r="DRW229" s="1"/>
      <c r="DRX229" s="1"/>
      <c r="DRY229" s="1"/>
      <c r="DRZ229" s="1"/>
      <c r="DSA229" s="1"/>
      <c r="DSB229" s="1"/>
      <c r="DSC229" s="1"/>
      <c r="DSD229" s="1"/>
      <c r="DSE229" s="1"/>
      <c r="DSF229" s="1"/>
      <c r="DSG229" s="1"/>
      <c r="DSH229" s="1"/>
      <c r="DSI229" s="1"/>
      <c r="DSJ229" s="1"/>
      <c r="DSK229" s="1"/>
      <c r="DSL229" s="1"/>
      <c r="DSM229" s="1"/>
      <c r="DSN229" s="1"/>
      <c r="DSO229" s="1"/>
      <c r="DSP229" s="1"/>
      <c r="DSQ229" s="1"/>
      <c r="DSR229" s="1"/>
      <c r="DSS229" s="1"/>
      <c r="DST229" s="1"/>
      <c r="DSU229" s="1"/>
      <c r="DSV229" s="1"/>
      <c r="DSW229" s="1"/>
      <c r="DSX229" s="1"/>
      <c r="DSY229" s="1"/>
      <c r="DSZ229" s="1"/>
      <c r="DTA229" s="1"/>
      <c r="DTB229" s="1"/>
      <c r="DTC229" s="1"/>
      <c r="DTD229" s="1"/>
      <c r="DTE229" s="1"/>
      <c r="DTF229" s="1"/>
      <c r="DTG229" s="1"/>
      <c r="DTH229" s="1"/>
      <c r="DTI229" s="1"/>
      <c r="DTJ229" s="1"/>
      <c r="DTK229" s="1"/>
      <c r="DTL229" s="1"/>
      <c r="DTM229" s="1"/>
      <c r="DTN229" s="1"/>
      <c r="DTO229" s="1"/>
      <c r="DTP229" s="1"/>
      <c r="DTQ229" s="1"/>
      <c r="DTR229" s="1"/>
      <c r="DTS229" s="1"/>
      <c r="DTT229" s="1"/>
      <c r="DTU229" s="1"/>
      <c r="DTV229" s="1"/>
      <c r="DTW229" s="1"/>
      <c r="DTX229" s="1"/>
      <c r="DTY229" s="1"/>
      <c r="DTZ229" s="1"/>
      <c r="DUA229" s="1"/>
      <c r="DUB229" s="1"/>
      <c r="DUC229" s="1"/>
      <c r="DUD229" s="1"/>
      <c r="DUE229" s="1"/>
      <c r="DUF229" s="1"/>
      <c r="DUG229" s="1"/>
      <c r="DUH229" s="1"/>
      <c r="DUI229" s="1"/>
      <c r="DUJ229" s="1"/>
      <c r="DUK229" s="1"/>
      <c r="DUL229" s="1"/>
      <c r="DUM229" s="1"/>
      <c r="DUN229" s="1"/>
      <c r="DUO229" s="1"/>
      <c r="DUP229" s="1"/>
      <c r="DUQ229" s="1"/>
      <c r="DUR229" s="1"/>
      <c r="DUS229" s="1"/>
      <c r="DUT229" s="1"/>
      <c r="DUU229" s="1"/>
      <c r="DUV229" s="1"/>
      <c r="DUW229" s="1"/>
      <c r="DUX229" s="1"/>
      <c r="DUY229" s="1"/>
      <c r="DUZ229" s="1"/>
      <c r="DVA229" s="1"/>
      <c r="DVB229" s="1"/>
      <c r="DVC229" s="1"/>
      <c r="DVD229" s="1"/>
      <c r="DVE229" s="1"/>
      <c r="DVF229" s="1"/>
      <c r="DVG229" s="1"/>
      <c r="DVH229" s="1"/>
      <c r="DVI229" s="1"/>
      <c r="DVJ229" s="1"/>
      <c r="DVK229" s="1"/>
      <c r="DVL229" s="1"/>
      <c r="DVM229" s="1"/>
      <c r="DVN229" s="1"/>
      <c r="DVO229" s="1"/>
      <c r="DVP229" s="1"/>
      <c r="DVQ229" s="1"/>
      <c r="DVR229" s="1"/>
      <c r="DVS229" s="1"/>
      <c r="DVT229" s="1"/>
      <c r="DVU229" s="1"/>
      <c r="DVV229" s="1"/>
      <c r="DVW229" s="1"/>
      <c r="DVX229" s="1"/>
      <c r="DVY229" s="1"/>
      <c r="DVZ229" s="1"/>
      <c r="DWA229" s="1"/>
      <c r="DWB229" s="1"/>
      <c r="DWC229" s="1"/>
      <c r="DWD229" s="1"/>
      <c r="DWE229" s="1"/>
      <c r="DWF229" s="1"/>
      <c r="DWG229" s="1"/>
      <c r="DWH229" s="1"/>
      <c r="DWI229" s="1"/>
      <c r="DWJ229" s="1"/>
      <c r="DWK229" s="1"/>
      <c r="DWL229" s="1"/>
      <c r="DWM229" s="1"/>
      <c r="DWN229" s="1"/>
      <c r="DWO229" s="1"/>
      <c r="DWP229" s="1"/>
      <c r="DWQ229" s="1"/>
      <c r="DWR229" s="1"/>
      <c r="DWS229" s="1"/>
      <c r="DWT229" s="1"/>
      <c r="DWU229" s="1"/>
      <c r="DWV229" s="1"/>
      <c r="DWW229" s="1"/>
      <c r="DWX229" s="1"/>
      <c r="DWY229" s="1"/>
      <c r="DWZ229" s="1"/>
      <c r="DXA229" s="1"/>
      <c r="DXB229" s="1"/>
      <c r="DXC229" s="1"/>
      <c r="DXD229" s="1"/>
      <c r="DXE229" s="1"/>
      <c r="DXF229" s="1"/>
      <c r="DXG229" s="1"/>
      <c r="DXH229" s="1"/>
      <c r="DXI229" s="1"/>
      <c r="DXJ229" s="1"/>
      <c r="DXK229" s="1"/>
      <c r="DXL229" s="1"/>
      <c r="DXM229" s="1"/>
      <c r="DXN229" s="1"/>
      <c r="DXO229" s="1"/>
      <c r="DXP229" s="1"/>
      <c r="DXQ229" s="1"/>
      <c r="DXR229" s="1"/>
      <c r="DXS229" s="1"/>
      <c r="DXT229" s="1"/>
      <c r="DXU229" s="1"/>
      <c r="DXV229" s="1"/>
      <c r="DXW229" s="1"/>
      <c r="DXX229" s="1"/>
      <c r="DXY229" s="1"/>
      <c r="DXZ229" s="1"/>
      <c r="DYA229" s="1"/>
      <c r="DYB229" s="1"/>
      <c r="DYC229" s="1"/>
      <c r="DYD229" s="1"/>
      <c r="DYE229" s="1"/>
      <c r="DYF229" s="1"/>
      <c r="DYG229" s="1"/>
      <c r="DYH229" s="1"/>
      <c r="DYI229" s="1"/>
      <c r="DYJ229" s="1"/>
      <c r="DYK229" s="1"/>
      <c r="DYL229" s="1"/>
      <c r="DYM229" s="1"/>
      <c r="DYN229" s="1"/>
      <c r="DYO229" s="1"/>
      <c r="DYP229" s="1"/>
      <c r="DYQ229" s="1"/>
      <c r="DYR229" s="1"/>
      <c r="DYS229" s="1"/>
      <c r="DYT229" s="1"/>
      <c r="DYU229" s="1"/>
      <c r="DYV229" s="1"/>
      <c r="DYW229" s="1"/>
      <c r="DYX229" s="1"/>
      <c r="DYY229" s="1"/>
      <c r="DYZ229" s="1"/>
      <c r="DZA229" s="1"/>
      <c r="DZB229" s="1"/>
      <c r="DZC229" s="1"/>
      <c r="DZD229" s="1"/>
      <c r="DZE229" s="1"/>
      <c r="DZF229" s="1"/>
      <c r="DZG229" s="1"/>
      <c r="DZH229" s="1"/>
      <c r="DZI229" s="1"/>
      <c r="DZJ229" s="1"/>
      <c r="DZK229" s="1"/>
      <c r="DZL229" s="1"/>
      <c r="DZM229" s="1"/>
      <c r="DZN229" s="1"/>
      <c r="DZO229" s="1"/>
      <c r="DZP229" s="1"/>
      <c r="DZQ229" s="1"/>
      <c r="DZR229" s="1"/>
      <c r="DZS229" s="1"/>
      <c r="DZT229" s="1"/>
      <c r="DZU229" s="1"/>
      <c r="DZV229" s="1"/>
      <c r="DZW229" s="1"/>
      <c r="DZX229" s="1"/>
      <c r="DZY229" s="1"/>
      <c r="DZZ229" s="1"/>
      <c r="EAA229" s="1"/>
      <c r="EAB229" s="1"/>
      <c r="EAC229" s="1"/>
      <c r="EAD229" s="1"/>
      <c r="EAE229" s="1"/>
      <c r="EAF229" s="1"/>
      <c r="EAG229" s="1"/>
      <c r="EAH229" s="1"/>
      <c r="EAI229" s="1"/>
      <c r="EAJ229" s="1"/>
      <c r="EAK229" s="1"/>
      <c r="EAL229" s="1"/>
      <c r="EAM229" s="1"/>
      <c r="EAN229" s="1"/>
      <c r="EAO229" s="1"/>
      <c r="EAP229" s="1"/>
      <c r="EAQ229" s="1"/>
      <c r="EAR229" s="1"/>
      <c r="EAS229" s="1"/>
      <c r="EAT229" s="1"/>
      <c r="EAU229" s="1"/>
      <c r="EAV229" s="1"/>
      <c r="EAW229" s="1"/>
      <c r="EAX229" s="1"/>
      <c r="EAY229" s="1"/>
      <c r="EAZ229" s="1"/>
      <c r="EBA229" s="1"/>
      <c r="EBB229" s="1"/>
      <c r="EBC229" s="1"/>
      <c r="EBD229" s="1"/>
      <c r="EBE229" s="1"/>
      <c r="EBF229" s="1"/>
      <c r="EBG229" s="1"/>
      <c r="EBH229" s="1"/>
      <c r="EBI229" s="1"/>
      <c r="EBJ229" s="1"/>
      <c r="EBK229" s="1"/>
      <c r="EBL229" s="1"/>
      <c r="EBM229" s="1"/>
      <c r="EBN229" s="1"/>
      <c r="EBO229" s="1"/>
      <c r="EBP229" s="1"/>
      <c r="EBQ229" s="1"/>
      <c r="EBR229" s="1"/>
      <c r="EBS229" s="1"/>
      <c r="EBT229" s="1"/>
      <c r="EBU229" s="1"/>
      <c r="EBV229" s="1"/>
      <c r="EBW229" s="1"/>
      <c r="EBX229" s="1"/>
      <c r="EBY229" s="1"/>
      <c r="EBZ229" s="1"/>
      <c r="ECA229" s="1"/>
      <c r="ECB229" s="1"/>
      <c r="ECC229" s="1"/>
      <c r="ECD229" s="1"/>
      <c r="ECE229" s="1"/>
      <c r="ECF229" s="1"/>
      <c r="ECG229" s="1"/>
      <c r="ECH229" s="1"/>
      <c r="ECI229" s="1"/>
      <c r="ECJ229" s="1"/>
      <c r="ECK229" s="1"/>
      <c r="ECL229" s="1"/>
      <c r="ECM229" s="1"/>
      <c r="ECN229" s="1"/>
      <c r="ECO229" s="1"/>
      <c r="ECP229" s="1"/>
      <c r="ECQ229" s="1"/>
      <c r="ECR229" s="1"/>
      <c r="ECS229" s="1"/>
      <c r="ECT229" s="1"/>
      <c r="ECU229" s="1"/>
      <c r="ECV229" s="1"/>
      <c r="ECW229" s="1"/>
      <c r="ECX229" s="1"/>
      <c r="ECY229" s="1"/>
      <c r="ECZ229" s="1"/>
      <c r="EDA229" s="1"/>
      <c r="EDB229" s="1"/>
      <c r="EDC229" s="1"/>
      <c r="EDD229" s="1"/>
      <c r="EDE229" s="1"/>
      <c r="EDF229" s="1"/>
      <c r="EDG229" s="1"/>
      <c r="EDH229" s="1"/>
      <c r="EDI229" s="1"/>
      <c r="EDJ229" s="1"/>
      <c r="EDK229" s="1"/>
      <c r="EDL229" s="1"/>
      <c r="EDM229" s="1"/>
      <c r="EDN229" s="1"/>
      <c r="EDO229" s="1"/>
      <c r="EDP229" s="1"/>
      <c r="EDQ229" s="1"/>
      <c r="EDR229" s="1"/>
      <c r="EDS229" s="1"/>
      <c r="EDT229" s="1"/>
      <c r="EDU229" s="1"/>
      <c r="EDV229" s="1"/>
      <c r="EDW229" s="1"/>
      <c r="EDX229" s="1"/>
      <c r="EDY229" s="1"/>
      <c r="EDZ229" s="1"/>
      <c r="EEA229" s="1"/>
      <c r="EEB229" s="1"/>
      <c r="EEC229" s="1"/>
      <c r="EED229" s="1"/>
      <c r="EEE229" s="1"/>
      <c r="EEF229" s="1"/>
      <c r="EEG229" s="1"/>
      <c r="EEH229" s="1"/>
      <c r="EEI229" s="1"/>
      <c r="EEJ229" s="1"/>
      <c r="EEK229" s="1"/>
      <c r="EEL229" s="1"/>
      <c r="EEM229" s="1"/>
      <c r="EEN229" s="1"/>
      <c r="EEO229" s="1"/>
      <c r="EEP229" s="1"/>
      <c r="EEQ229" s="1"/>
      <c r="EER229" s="1"/>
      <c r="EES229" s="1"/>
      <c r="EET229" s="1"/>
      <c r="EEU229" s="1"/>
      <c r="EEV229" s="1"/>
      <c r="EEW229" s="1"/>
      <c r="EEX229" s="1"/>
      <c r="EEY229" s="1"/>
      <c r="EEZ229" s="1"/>
      <c r="EFA229" s="1"/>
      <c r="EFB229" s="1"/>
      <c r="EFC229" s="1"/>
      <c r="EFD229" s="1"/>
      <c r="EFE229" s="1"/>
      <c r="EFF229" s="1"/>
      <c r="EFG229" s="1"/>
      <c r="EFH229" s="1"/>
      <c r="EFI229" s="1"/>
      <c r="EFJ229" s="1"/>
      <c r="EFK229" s="1"/>
      <c r="EFL229" s="1"/>
      <c r="EFM229" s="1"/>
      <c r="EFN229" s="1"/>
      <c r="EFO229" s="1"/>
      <c r="EFP229" s="1"/>
      <c r="EFQ229" s="1"/>
      <c r="EFR229" s="1"/>
      <c r="EFS229" s="1"/>
      <c r="EFT229" s="1"/>
      <c r="EFU229" s="1"/>
      <c r="EFV229" s="1"/>
      <c r="EFW229" s="1"/>
      <c r="EFX229" s="1"/>
      <c r="EFY229" s="1"/>
      <c r="EFZ229" s="1"/>
      <c r="EGA229" s="1"/>
      <c r="EGB229" s="1"/>
      <c r="EGC229" s="1"/>
      <c r="EGD229" s="1"/>
      <c r="EGE229" s="1"/>
      <c r="EGF229" s="1"/>
      <c r="EGG229" s="1"/>
      <c r="EGH229" s="1"/>
      <c r="EGI229" s="1"/>
      <c r="EGJ229" s="1"/>
      <c r="EGK229" s="1"/>
      <c r="EGL229" s="1"/>
      <c r="EGM229" s="1"/>
      <c r="EGN229" s="1"/>
      <c r="EGO229" s="1"/>
      <c r="EGP229" s="1"/>
      <c r="EGQ229" s="1"/>
      <c r="EGR229" s="1"/>
      <c r="EGS229" s="1"/>
      <c r="EGT229" s="1"/>
      <c r="EGU229" s="1"/>
      <c r="EGV229" s="1"/>
      <c r="EGW229" s="1"/>
      <c r="EGX229" s="1"/>
      <c r="EGY229" s="1"/>
      <c r="EGZ229" s="1"/>
      <c r="EHA229" s="1"/>
      <c r="EHB229" s="1"/>
      <c r="EHC229" s="1"/>
      <c r="EHD229" s="1"/>
      <c r="EHE229" s="1"/>
      <c r="EHF229" s="1"/>
      <c r="EHG229" s="1"/>
      <c r="EHH229" s="1"/>
      <c r="EHI229" s="1"/>
      <c r="EHJ229" s="1"/>
      <c r="EHK229" s="1"/>
      <c r="EHL229" s="1"/>
      <c r="EHM229" s="1"/>
      <c r="EHN229" s="1"/>
      <c r="EHO229" s="1"/>
      <c r="EHP229" s="1"/>
      <c r="EHQ229" s="1"/>
      <c r="EHR229" s="1"/>
      <c r="EHS229" s="1"/>
      <c r="EHT229" s="1"/>
      <c r="EHU229" s="1"/>
      <c r="EHV229" s="1"/>
      <c r="EHW229" s="1"/>
      <c r="EHX229" s="1"/>
      <c r="EHY229" s="1"/>
      <c r="EHZ229" s="1"/>
      <c r="EIA229" s="1"/>
      <c r="EIB229" s="1"/>
      <c r="EIC229" s="1"/>
      <c r="EID229" s="1"/>
      <c r="EIE229" s="1"/>
      <c r="EIF229" s="1"/>
      <c r="EIG229" s="1"/>
      <c r="EIH229" s="1"/>
      <c r="EII229" s="1"/>
      <c r="EIJ229" s="1"/>
      <c r="EIK229" s="1"/>
      <c r="EIL229" s="1"/>
      <c r="EIM229" s="1"/>
      <c r="EIN229" s="1"/>
      <c r="EIO229" s="1"/>
      <c r="EIP229" s="1"/>
      <c r="EIQ229" s="1"/>
      <c r="EIR229" s="1"/>
      <c r="EIS229" s="1"/>
      <c r="EIT229" s="1"/>
      <c r="EIU229" s="1"/>
      <c r="EIV229" s="1"/>
      <c r="EIW229" s="1"/>
      <c r="EIX229" s="1"/>
      <c r="EIY229" s="1"/>
      <c r="EIZ229" s="1"/>
      <c r="EJA229" s="1"/>
      <c r="EJB229" s="1"/>
      <c r="EJC229" s="1"/>
      <c r="EJD229" s="1"/>
      <c r="EJE229" s="1"/>
      <c r="EJF229" s="1"/>
      <c r="EJG229" s="1"/>
      <c r="EJH229" s="1"/>
      <c r="EJI229" s="1"/>
      <c r="EJJ229" s="1"/>
      <c r="EJK229" s="1"/>
      <c r="EJL229" s="1"/>
      <c r="EJM229" s="1"/>
      <c r="EJN229" s="1"/>
      <c r="EJO229" s="1"/>
      <c r="EJP229" s="1"/>
      <c r="EJQ229" s="1"/>
      <c r="EJR229" s="1"/>
      <c r="EJS229" s="1"/>
      <c r="EJT229" s="1"/>
      <c r="EJU229" s="1"/>
      <c r="EJV229" s="1"/>
      <c r="EJW229" s="1"/>
      <c r="EJX229" s="1"/>
      <c r="EJY229" s="1"/>
      <c r="EJZ229" s="1"/>
      <c r="EKA229" s="1"/>
      <c r="EKB229" s="1"/>
      <c r="EKC229" s="1"/>
      <c r="EKD229" s="1"/>
      <c r="EKE229" s="1"/>
      <c r="EKF229" s="1"/>
      <c r="EKG229" s="1"/>
      <c r="EKH229" s="1"/>
      <c r="EKI229" s="1"/>
      <c r="EKJ229" s="1"/>
      <c r="EKK229" s="1"/>
      <c r="EKL229" s="1"/>
      <c r="EKM229" s="1"/>
      <c r="EKN229" s="1"/>
      <c r="EKO229" s="1"/>
      <c r="EKP229" s="1"/>
      <c r="EKQ229" s="1"/>
      <c r="EKR229" s="1"/>
      <c r="EKS229" s="1"/>
      <c r="EKT229" s="1"/>
      <c r="EKU229" s="1"/>
      <c r="EKV229" s="1"/>
      <c r="EKW229" s="1"/>
      <c r="EKX229" s="1"/>
      <c r="EKY229" s="1"/>
      <c r="EKZ229" s="1"/>
      <c r="ELA229" s="1"/>
      <c r="ELB229" s="1"/>
      <c r="ELC229" s="1"/>
      <c r="ELD229" s="1"/>
      <c r="ELE229" s="1"/>
      <c r="ELF229" s="1"/>
      <c r="ELG229" s="1"/>
      <c r="ELH229" s="1"/>
      <c r="ELI229" s="1"/>
      <c r="ELJ229" s="1"/>
      <c r="ELK229" s="1"/>
      <c r="ELL229" s="1"/>
      <c r="ELM229" s="1"/>
      <c r="ELN229" s="1"/>
      <c r="ELO229" s="1"/>
      <c r="ELP229" s="1"/>
      <c r="ELQ229" s="1"/>
      <c r="ELR229" s="1"/>
      <c r="ELS229" s="1"/>
      <c r="ELT229" s="1"/>
      <c r="ELU229" s="1"/>
      <c r="ELV229" s="1"/>
      <c r="ELW229" s="1"/>
      <c r="ELX229" s="1"/>
      <c r="ELY229" s="1"/>
      <c r="ELZ229" s="1"/>
      <c r="EMA229" s="1"/>
      <c r="EMB229" s="1"/>
      <c r="EMC229" s="1"/>
      <c r="EMD229" s="1"/>
      <c r="EME229" s="1"/>
      <c r="EMF229" s="1"/>
      <c r="EMG229" s="1"/>
      <c r="EMH229" s="1"/>
      <c r="EMI229" s="1"/>
      <c r="EMJ229" s="1"/>
      <c r="EMK229" s="1"/>
      <c r="EML229" s="1"/>
      <c r="EMM229" s="1"/>
      <c r="EMN229" s="1"/>
      <c r="EMO229" s="1"/>
      <c r="EMP229" s="1"/>
      <c r="EMQ229" s="1"/>
      <c r="EMR229" s="1"/>
      <c r="EMS229" s="1"/>
      <c r="EMT229" s="1"/>
      <c r="EMU229" s="1"/>
      <c r="EMV229" s="1"/>
      <c r="EMW229" s="1"/>
      <c r="EMX229" s="1"/>
      <c r="EMY229" s="1"/>
      <c r="EMZ229" s="1"/>
      <c r="ENA229" s="1"/>
      <c r="ENB229" s="1"/>
      <c r="ENC229" s="1"/>
      <c r="END229" s="1"/>
      <c r="ENE229" s="1"/>
      <c r="ENF229" s="1"/>
      <c r="ENG229" s="1"/>
      <c r="ENH229" s="1"/>
      <c r="ENI229" s="1"/>
      <c r="ENJ229" s="1"/>
      <c r="ENK229" s="1"/>
      <c r="ENL229" s="1"/>
      <c r="ENM229" s="1"/>
      <c r="ENN229" s="1"/>
      <c r="ENO229" s="1"/>
      <c r="ENP229" s="1"/>
      <c r="ENQ229" s="1"/>
      <c r="ENR229" s="1"/>
      <c r="ENS229" s="1"/>
      <c r="ENT229" s="1"/>
      <c r="ENU229" s="1"/>
      <c r="ENV229" s="1"/>
      <c r="ENW229" s="1"/>
      <c r="ENX229" s="1"/>
      <c r="ENY229" s="1"/>
      <c r="ENZ229" s="1"/>
      <c r="EOA229" s="1"/>
      <c r="EOB229" s="1"/>
      <c r="EOC229" s="1"/>
      <c r="EOD229" s="1"/>
      <c r="EOE229" s="1"/>
      <c r="EOF229" s="1"/>
      <c r="EOG229" s="1"/>
      <c r="EOH229" s="1"/>
      <c r="EOI229" s="1"/>
      <c r="EOJ229" s="1"/>
      <c r="EOK229" s="1"/>
      <c r="EOL229" s="1"/>
      <c r="EOM229" s="1"/>
      <c r="EON229" s="1"/>
      <c r="EOO229" s="1"/>
      <c r="EOP229" s="1"/>
      <c r="EOQ229" s="1"/>
      <c r="EOR229" s="1"/>
      <c r="EOS229" s="1"/>
      <c r="EOT229" s="1"/>
      <c r="EOU229" s="1"/>
      <c r="EOV229" s="1"/>
      <c r="EOW229" s="1"/>
      <c r="EOX229" s="1"/>
      <c r="EOY229" s="1"/>
      <c r="EOZ229" s="1"/>
      <c r="EPA229" s="1"/>
      <c r="EPB229" s="1"/>
      <c r="EPC229" s="1"/>
      <c r="EPD229" s="1"/>
      <c r="EPE229" s="1"/>
      <c r="EPF229" s="1"/>
      <c r="EPG229" s="1"/>
      <c r="EPH229" s="1"/>
      <c r="EPI229" s="1"/>
      <c r="EPJ229" s="1"/>
      <c r="EPK229" s="1"/>
      <c r="EPL229" s="1"/>
      <c r="EPM229" s="1"/>
      <c r="EPN229" s="1"/>
      <c r="EPO229" s="1"/>
      <c r="EPP229" s="1"/>
      <c r="EPQ229" s="1"/>
      <c r="EPR229" s="1"/>
      <c r="EPS229" s="1"/>
      <c r="EPT229" s="1"/>
      <c r="EPU229" s="1"/>
      <c r="EPV229" s="1"/>
      <c r="EPW229" s="1"/>
      <c r="EPX229" s="1"/>
      <c r="EPY229" s="1"/>
      <c r="EPZ229" s="1"/>
      <c r="EQA229" s="1"/>
      <c r="EQB229" s="1"/>
      <c r="EQC229" s="1"/>
      <c r="EQD229" s="1"/>
      <c r="EQE229" s="1"/>
      <c r="EQF229" s="1"/>
      <c r="EQG229" s="1"/>
      <c r="EQH229" s="1"/>
      <c r="EQI229" s="1"/>
      <c r="EQJ229" s="1"/>
      <c r="EQK229" s="1"/>
      <c r="EQL229" s="1"/>
      <c r="EQM229" s="1"/>
      <c r="EQN229" s="1"/>
      <c r="EQO229" s="1"/>
      <c r="EQP229" s="1"/>
      <c r="EQQ229" s="1"/>
      <c r="EQR229" s="1"/>
      <c r="EQS229" s="1"/>
      <c r="EQT229" s="1"/>
      <c r="EQU229" s="1"/>
      <c r="EQV229" s="1"/>
      <c r="EQW229" s="1"/>
      <c r="EQX229" s="1"/>
      <c r="EQY229" s="1"/>
      <c r="EQZ229" s="1"/>
      <c r="ERA229" s="1"/>
      <c r="ERB229" s="1"/>
      <c r="ERC229" s="1"/>
      <c r="ERD229" s="1"/>
      <c r="ERE229" s="1"/>
      <c r="ERF229" s="1"/>
      <c r="ERG229" s="1"/>
      <c r="ERH229" s="1"/>
      <c r="ERI229" s="1"/>
      <c r="ERJ229" s="1"/>
      <c r="ERK229" s="1"/>
      <c r="ERL229" s="1"/>
      <c r="ERM229" s="1"/>
      <c r="ERN229" s="1"/>
      <c r="ERO229" s="1"/>
      <c r="ERP229" s="1"/>
      <c r="ERQ229" s="1"/>
      <c r="ERR229" s="1"/>
      <c r="ERS229" s="1"/>
      <c r="ERT229" s="1"/>
      <c r="ERU229" s="1"/>
      <c r="ERV229" s="1"/>
      <c r="ERW229" s="1"/>
      <c r="ERX229" s="1"/>
      <c r="ERY229" s="1"/>
      <c r="ERZ229" s="1"/>
      <c r="ESA229" s="1"/>
      <c r="ESB229" s="1"/>
      <c r="ESC229" s="1"/>
      <c r="ESD229" s="1"/>
      <c r="ESE229" s="1"/>
      <c r="ESF229" s="1"/>
      <c r="ESG229" s="1"/>
      <c r="ESH229" s="1"/>
      <c r="ESI229" s="1"/>
      <c r="ESJ229" s="1"/>
      <c r="ESK229" s="1"/>
      <c r="ESL229" s="1"/>
      <c r="ESM229" s="1"/>
      <c r="ESN229" s="1"/>
      <c r="ESO229" s="1"/>
      <c r="ESP229" s="1"/>
      <c r="ESQ229" s="1"/>
      <c r="ESR229" s="1"/>
      <c r="ESS229" s="1"/>
      <c r="EST229" s="1"/>
      <c r="ESU229" s="1"/>
      <c r="ESV229" s="1"/>
      <c r="ESW229" s="1"/>
      <c r="ESX229" s="1"/>
      <c r="ESY229" s="1"/>
      <c r="ESZ229" s="1"/>
      <c r="ETA229" s="1"/>
      <c r="ETB229" s="1"/>
      <c r="ETC229" s="1"/>
      <c r="ETD229" s="1"/>
      <c r="ETE229" s="1"/>
      <c r="ETF229" s="1"/>
      <c r="ETG229" s="1"/>
      <c r="ETH229" s="1"/>
      <c r="ETI229" s="1"/>
      <c r="ETJ229" s="1"/>
      <c r="ETK229" s="1"/>
      <c r="ETL229" s="1"/>
      <c r="ETM229" s="1"/>
      <c r="ETN229" s="1"/>
      <c r="ETO229" s="1"/>
      <c r="ETP229" s="1"/>
      <c r="ETQ229" s="1"/>
      <c r="ETR229" s="1"/>
      <c r="ETS229" s="1"/>
      <c r="ETT229" s="1"/>
      <c r="ETU229" s="1"/>
      <c r="ETV229" s="1"/>
      <c r="ETW229" s="1"/>
      <c r="ETX229" s="1"/>
      <c r="ETY229" s="1"/>
      <c r="ETZ229" s="1"/>
      <c r="EUA229" s="1"/>
      <c r="EUB229" s="1"/>
      <c r="EUC229" s="1"/>
      <c r="EUD229" s="1"/>
      <c r="EUE229" s="1"/>
      <c r="EUF229" s="1"/>
      <c r="EUG229" s="1"/>
      <c r="EUH229" s="1"/>
      <c r="EUI229" s="1"/>
      <c r="EUJ229" s="1"/>
      <c r="EUK229" s="1"/>
      <c r="EUL229" s="1"/>
      <c r="EUM229" s="1"/>
      <c r="EUN229" s="1"/>
      <c r="EUO229" s="1"/>
      <c r="EUP229" s="1"/>
      <c r="EUQ229" s="1"/>
      <c r="EUR229" s="1"/>
      <c r="EUS229" s="1"/>
      <c r="EUT229" s="1"/>
      <c r="EUU229" s="1"/>
      <c r="EUV229" s="1"/>
      <c r="EUW229" s="1"/>
      <c r="EUX229" s="1"/>
      <c r="EUY229" s="1"/>
      <c r="EUZ229" s="1"/>
      <c r="EVA229" s="1"/>
      <c r="EVB229" s="1"/>
      <c r="EVC229" s="1"/>
      <c r="EVD229" s="1"/>
      <c r="EVE229" s="1"/>
      <c r="EVF229" s="1"/>
      <c r="EVG229" s="1"/>
      <c r="EVH229" s="1"/>
      <c r="EVI229" s="1"/>
      <c r="EVJ229" s="1"/>
      <c r="EVK229" s="1"/>
      <c r="EVL229" s="1"/>
      <c r="EVM229" s="1"/>
      <c r="EVN229" s="1"/>
      <c r="EVO229" s="1"/>
      <c r="EVP229" s="1"/>
      <c r="EVQ229" s="1"/>
      <c r="EVR229" s="1"/>
      <c r="EVS229" s="1"/>
      <c r="EVT229" s="1"/>
      <c r="EVU229" s="1"/>
      <c r="EVV229" s="1"/>
      <c r="EVW229" s="1"/>
      <c r="EVX229" s="1"/>
      <c r="EVY229" s="1"/>
      <c r="EVZ229" s="1"/>
      <c r="EWA229" s="1"/>
      <c r="EWB229" s="1"/>
      <c r="EWC229" s="1"/>
      <c r="EWD229" s="1"/>
      <c r="EWE229" s="1"/>
      <c r="EWF229" s="1"/>
      <c r="EWG229" s="1"/>
      <c r="EWH229" s="1"/>
      <c r="EWI229" s="1"/>
      <c r="EWJ229" s="1"/>
      <c r="EWK229" s="1"/>
      <c r="EWL229" s="1"/>
      <c r="EWM229" s="1"/>
      <c r="EWN229" s="1"/>
      <c r="EWO229" s="1"/>
      <c r="EWP229" s="1"/>
      <c r="EWQ229" s="1"/>
      <c r="EWR229" s="1"/>
      <c r="EWS229" s="1"/>
      <c r="EWT229" s="1"/>
      <c r="EWU229" s="1"/>
      <c r="EWV229" s="1"/>
      <c r="EWW229" s="1"/>
      <c r="EWX229" s="1"/>
      <c r="EWY229" s="1"/>
      <c r="EWZ229" s="1"/>
      <c r="EXA229" s="1"/>
      <c r="EXB229" s="1"/>
      <c r="EXC229" s="1"/>
      <c r="EXD229" s="1"/>
      <c r="EXE229" s="1"/>
      <c r="EXF229" s="1"/>
      <c r="EXG229" s="1"/>
      <c r="EXH229" s="1"/>
      <c r="EXI229" s="1"/>
      <c r="EXJ229" s="1"/>
      <c r="EXK229" s="1"/>
      <c r="EXL229" s="1"/>
      <c r="EXM229" s="1"/>
      <c r="EXN229" s="1"/>
      <c r="EXO229" s="1"/>
      <c r="EXP229" s="1"/>
      <c r="EXQ229" s="1"/>
      <c r="EXR229" s="1"/>
      <c r="EXS229" s="1"/>
      <c r="EXT229" s="1"/>
      <c r="EXU229" s="1"/>
      <c r="EXV229" s="1"/>
      <c r="EXW229" s="1"/>
      <c r="EXX229" s="1"/>
      <c r="EXY229" s="1"/>
      <c r="EXZ229" s="1"/>
      <c r="EYA229" s="1"/>
      <c r="EYB229" s="1"/>
      <c r="EYC229" s="1"/>
      <c r="EYD229" s="1"/>
      <c r="EYE229" s="1"/>
      <c r="EYF229" s="1"/>
      <c r="EYG229" s="1"/>
      <c r="EYH229" s="1"/>
      <c r="EYI229" s="1"/>
      <c r="EYJ229" s="1"/>
      <c r="EYK229" s="1"/>
      <c r="EYL229" s="1"/>
      <c r="EYM229" s="1"/>
      <c r="EYN229" s="1"/>
      <c r="EYO229" s="1"/>
      <c r="EYP229" s="1"/>
      <c r="EYQ229" s="1"/>
      <c r="EYR229" s="1"/>
      <c r="EYS229" s="1"/>
      <c r="EYT229" s="1"/>
      <c r="EYU229" s="1"/>
      <c r="EYV229" s="1"/>
      <c r="EYW229" s="1"/>
      <c r="EYX229" s="1"/>
      <c r="EYY229" s="1"/>
      <c r="EYZ229" s="1"/>
      <c r="EZA229" s="1"/>
      <c r="EZB229" s="1"/>
      <c r="EZC229" s="1"/>
      <c r="EZD229" s="1"/>
      <c r="EZE229" s="1"/>
      <c r="EZF229" s="1"/>
      <c r="EZG229" s="1"/>
      <c r="EZH229" s="1"/>
      <c r="EZI229" s="1"/>
      <c r="EZJ229" s="1"/>
      <c r="EZK229" s="1"/>
      <c r="EZL229" s="1"/>
      <c r="EZM229" s="1"/>
      <c r="EZN229" s="1"/>
      <c r="EZO229" s="1"/>
      <c r="EZP229" s="1"/>
      <c r="EZQ229" s="1"/>
      <c r="EZR229" s="1"/>
      <c r="EZS229" s="1"/>
      <c r="EZT229" s="1"/>
      <c r="EZU229" s="1"/>
      <c r="EZV229" s="1"/>
      <c r="EZW229" s="1"/>
      <c r="EZX229" s="1"/>
      <c r="EZY229" s="1"/>
      <c r="EZZ229" s="1"/>
      <c r="FAA229" s="1"/>
      <c r="FAB229" s="1"/>
      <c r="FAC229" s="1"/>
      <c r="FAD229" s="1"/>
      <c r="FAE229" s="1"/>
      <c r="FAF229" s="1"/>
      <c r="FAG229" s="1"/>
      <c r="FAH229" s="1"/>
      <c r="FAI229" s="1"/>
      <c r="FAJ229" s="1"/>
      <c r="FAK229" s="1"/>
      <c r="FAL229" s="1"/>
      <c r="FAM229" s="1"/>
      <c r="FAN229" s="1"/>
      <c r="FAO229" s="1"/>
      <c r="FAP229" s="1"/>
      <c r="FAQ229" s="1"/>
      <c r="FAR229" s="1"/>
      <c r="FAS229" s="1"/>
      <c r="FAT229" s="1"/>
      <c r="FAU229" s="1"/>
      <c r="FAV229" s="1"/>
      <c r="FAW229" s="1"/>
      <c r="FAX229" s="1"/>
      <c r="FAY229" s="1"/>
      <c r="FAZ229" s="1"/>
      <c r="FBA229" s="1"/>
      <c r="FBB229" s="1"/>
      <c r="FBC229" s="1"/>
      <c r="FBD229" s="1"/>
      <c r="FBE229" s="1"/>
      <c r="FBF229" s="1"/>
      <c r="FBG229" s="1"/>
      <c r="FBH229" s="1"/>
      <c r="FBI229" s="1"/>
      <c r="FBJ229" s="1"/>
      <c r="FBK229" s="1"/>
      <c r="FBL229" s="1"/>
      <c r="FBM229" s="1"/>
      <c r="FBN229" s="1"/>
      <c r="FBO229" s="1"/>
      <c r="FBP229" s="1"/>
      <c r="FBQ229" s="1"/>
      <c r="FBR229" s="1"/>
      <c r="FBS229" s="1"/>
      <c r="FBT229" s="1"/>
      <c r="FBU229" s="1"/>
      <c r="FBV229" s="1"/>
      <c r="FBW229" s="1"/>
      <c r="FBX229" s="1"/>
      <c r="FBY229" s="1"/>
      <c r="FBZ229" s="1"/>
      <c r="FCA229" s="1"/>
      <c r="FCB229" s="1"/>
      <c r="FCC229" s="1"/>
      <c r="FCD229" s="1"/>
      <c r="FCE229" s="1"/>
      <c r="FCF229" s="1"/>
      <c r="FCG229" s="1"/>
      <c r="FCH229" s="1"/>
      <c r="FCI229" s="1"/>
      <c r="FCJ229" s="1"/>
      <c r="FCK229" s="1"/>
      <c r="FCL229" s="1"/>
      <c r="FCM229" s="1"/>
      <c r="FCN229" s="1"/>
      <c r="FCO229" s="1"/>
      <c r="FCP229" s="1"/>
      <c r="FCQ229" s="1"/>
      <c r="FCR229" s="1"/>
      <c r="FCS229" s="1"/>
      <c r="FCT229" s="1"/>
      <c r="FCU229" s="1"/>
      <c r="FCV229" s="1"/>
      <c r="FCW229" s="1"/>
      <c r="FCX229" s="1"/>
      <c r="FCY229" s="1"/>
      <c r="FCZ229" s="1"/>
      <c r="FDA229" s="1"/>
      <c r="FDB229" s="1"/>
      <c r="FDC229" s="1"/>
      <c r="FDD229" s="1"/>
      <c r="FDE229" s="1"/>
      <c r="FDF229" s="1"/>
      <c r="FDG229" s="1"/>
      <c r="FDH229" s="1"/>
      <c r="FDI229" s="1"/>
      <c r="FDJ229" s="1"/>
      <c r="FDK229" s="1"/>
      <c r="FDL229" s="1"/>
      <c r="FDM229" s="1"/>
      <c r="FDN229" s="1"/>
      <c r="FDO229" s="1"/>
      <c r="FDP229" s="1"/>
      <c r="FDQ229" s="1"/>
      <c r="FDR229" s="1"/>
      <c r="FDS229" s="1"/>
      <c r="FDT229" s="1"/>
      <c r="FDU229" s="1"/>
      <c r="FDV229" s="1"/>
      <c r="FDW229" s="1"/>
      <c r="FDX229" s="1"/>
      <c r="FDY229" s="1"/>
      <c r="FDZ229" s="1"/>
      <c r="FEA229" s="1"/>
      <c r="FEB229" s="1"/>
      <c r="FEC229" s="1"/>
      <c r="FED229" s="1"/>
      <c r="FEE229" s="1"/>
      <c r="FEF229" s="1"/>
      <c r="FEG229" s="1"/>
      <c r="FEH229" s="1"/>
      <c r="FEI229" s="1"/>
      <c r="FEJ229" s="1"/>
      <c r="FEK229" s="1"/>
      <c r="FEL229" s="1"/>
      <c r="FEM229" s="1"/>
      <c r="FEN229" s="1"/>
      <c r="FEO229" s="1"/>
      <c r="FEP229" s="1"/>
      <c r="FEQ229" s="1"/>
      <c r="FER229" s="1"/>
      <c r="FES229" s="1"/>
      <c r="FET229" s="1"/>
      <c r="FEU229" s="1"/>
      <c r="FEV229" s="1"/>
      <c r="FEW229" s="1"/>
      <c r="FEX229" s="1"/>
      <c r="FEY229" s="1"/>
      <c r="FEZ229" s="1"/>
      <c r="FFA229" s="1"/>
      <c r="FFB229" s="1"/>
      <c r="FFC229" s="1"/>
      <c r="FFD229" s="1"/>
      <c r="FFE229" s="1"/>
      <c r="FFF229" s="1"/>
      <c r="FFG229" s="1"/>
      <c r="FFH229" s="1"/>
      <c r="FFI229" s="1"/>
      <c r="FFJ229" s="1"/>
      <c r="FFK229" s="1"/>
      <c r="FFL229" s="1"/>
      <c r="FFM229" s="1"/>
      <c r="FFN229" s="1"/>
      <c r="FFO229" s="1"/>
      <c r="FFP229" s="1"/>
      <c r="FFQ229" s="1"/>
      <c r="FFR229" s="1"/>
      <c r="FFS229" s="1"/>
      <c r="FFT229" s="1"/>
      <c r="FFU229" s="1"/>
      <c r="FFV229" s="1"/>
      <c r="FFW229" s="1"/>
      <c r="FFX229" s="1"/>
      <c r="FFY229" s="1"/>
      <c r="FFZ229" s="1"/>
      <c r="FGA229" s="1"/>
      <c r="FGB229" s="1"/>
      <c r="FGC229" s="1"/>
      <c r="FGD229" s="1"/>
      <c r="FGE229" s="1"/>
      <c r="FGF229" s="1"/>
      <c r="FGG229" s="1"/>
      <c r="FGH229" s="1"/>
      <c r="FGI229" s="1"/>
      <c r="FGJ229" s="1"/>
      <c r="FGK229" s="1"/>
      <c r="FGL229" s="1"/>
      <c r="FGM229" s="1"/>
      <c r="FGN229" s="1"/>
      <c r="FGO229" s="1"/>
      <c r="FGP229" s="1"/>
      <c r="FGQ229" s="1"/>
      <c r="FGR229" s="1"/>
      <c r="FGS229" s="1"/>
      <c r="FGT229" s="1"/>
      <c r="FGU229" s="1"/>
      <c r="FGV229" s="1"/>
      <c r="FGW229" s="1"/>
      <c r="FGX229" s="1"/>
      <c r="FGY229" s="1"/>
      <c r="FGZ229" s="1"/>
      <c r="FHA229" s="1"/>
      <c r="FHB229" s="1"/>
      <c r="FHC229" s="1"/>
      <c r="FHD229" s="1"/>
      <c r="FHE229" s="1"/>
      <c r="FHF229" s="1"/>
      <c r="FHG229" s="1"/>
      <c r="FHH229" s="1"/>
      <c r="FHI229" s="1"/>
      <c r="FHJ229" s="1"/>
      <c r="FHK229" s="1"/>
      <c r="FHL229" s="1"/>
      <c r="FHM229" s="1"/>
      <c r="FHN229" s="1"/>
      <c r="FHO229" s="1"/>
      <c r="FHP229" s="1"/>
      <c r="FHQ229" s="1"/>
      <c r="FHR229" s="1"/>
      <c r="FHS229" s="1"/>
      <c r="FHT229" s="1"/>
      <c r="FHU229" s="1"/>
      <c r="FHV229" s="1"/>
      <c r="FHW229" s="1"/>
      <c r="FHX229" s="1"/>
      <c r="FHY229" s="1"/>
      <c r="FHZ229" s="1"/>
      <c r="FIA229" s="1"/>
      <c r="FIB229" s="1"/>
      <c r="FIC229" s="1"/>
      <c r="FID229" s="1"/>
      <c r="FIE229" s="1"/>
      <c r="FIF229" s="1"/>
      <c r="FIG229" s="1"/>
      <c r="FIH229" s="1"/>
      <c r="FII229" s="1"/>
      <c r="FIJ229" s="1"/>
      <c r="FIK229" s="1"/>
      <c r="FIL229" s="1"/>
      <c r="FIM229" s="1"/>
      <c r="FIN229" s="1"/>
      <c r="FIO229" s="1"/>
      <c r="FIP229" s="1"/>
      <c r="FIQ229" s="1"/>
      <c r="FIR229" s="1"/>
      <c r="FIS229" s="1"/>
      <c r="FIT229" s="1"/>
      <c r="FIU229" s="1"/>
      <c r="FIV229" s="1"/>
      <c r="FIW229" s="1"/>
      <c r="FIX229" s="1"/>
      <c r="FIY229" s="1"/>
      <c r="FIZ229" s="1"/>
      <c r="FJA229" s="1"/>
      <c r="FJB229" s="1"/>
      <c r="FJC229" s="1"/>
      <c r="FJD229" s="1"/>
      <c r="FJE229" s="1"/>
      <c r="FJF229" s="1"/>
      <c r="FJG229" s="1"/>
      <c r="FJH229" s="1"/>
      <c r="FJI229" s="1"/>
      <c r="FJJ229" s="1"/>
      <c r="FJK229" s="1"/>
      <c r="FJL229" s="1"/>
      <c r="FJM229" s="1"/>
      <c r="FJN229" s="1"/>
      <c r="FJO229" s="1"/>
      <c r="FJP229" s="1"/>
      <c r="FJQ229" s="1"/>
      <c r="FJR229" s="1"/>
      <c r="FJS229" s="1"/>
      <c r="FJT229" s="1"/>
      <c r="FJU229" s="1"/>
      <c r="FJV229" s="1"/>
      <c r="FJW229" s="1"/>
      <c r="FJX229" s="1"/>
      <c r="FJY229" s="1"/>
      <c r="FJZ229" s="1"/>
      <c r="FKA229" s="1"/>
      <c r="FKB229" s="1"/>
      <c r="FKC229" s="1"/>
      <c r="FKD229" s="1"/>
      <c r="FKE229" s="1"/>
      <c r="FKF229" s="1"/>
      <c r="FKG229" s="1"/>
      <c r="FKH229" s="1"/>
      <c r="FKI229" s="1"/>
      <c r="FKJ229" s="1"/>
      <c r="FKK229" s="1"/>
      <c r="FKL229" s="1"/>
      <c r="FKM229" s="1"/>
      <c r="FKN229" s="1"/>
      <c r="FKO229" s="1"/>
      <c r="FKP229" s="1"/>
      <c r="FKQ229" s="1"/>
      <c r="FKR229" s="1"/>
      <c r="FKS229" s="1"/>
      <c r="FKT229" s="1"/>
      <c r="FKU229" s="1"/>
      <c r="FKV229" s="1"/>
      <c r="FKW229" s="1"/>
      <c r="FKX229" s="1"/>
      <c r="FKY229" s="1"/>
      <c r="FKZ229" s="1"/>
      <c r="FLA229" s="1"/>
      <c r="FLB229" s="1"/>
      <c r="FLC229" s="1"/>
      <c r="FLD229" s="1"/>
      <c r="FLE229" s="1"/>
      <c r="FLF229" s="1"/>
      <c r="FLG229" s="1"/>
      <c r="FLH229" s="1"/>
      <c r="FLI229" s="1"/>
      <c r="FLJ229" s="1"/>
      <c r="FLK229" s="1"/>
      <c r="FLL229" s="1"/>
      <c r="FLM229" s="1"/>
      <c r="FLN229" s="1"/>
      <c r="FLO229" s="1"/>
      <c r="FLP229" s="1"/>
      <c r="FLQ229" s="1"/>
      <c r="FLR229" s="1"/>
      <c r="FLS229" s="1"/>
      <c r="FLT229" s="1"/>
      <c r="FLU229" s="1"/>
      <c r="FLV229" s="1"/>
      <c r="FLW229" s="1"/>
      <c r="FLX229" s="1"/>
      <c r="FLY229" s="1"/>
      <c r="FLZ229" s="1"/>
      <c r="FMA229" s="1"/>
      <c r="FMB229" s="1"/>
      <c r="FMC229" s="1"/>
      <c r="FMD229" s="1"/>
      <c r="FME229" s="1"/>
      <c r="FMF229" s="1"/>
      <c r="FMG229" s="1"/>
      <c r="FMH229" s="1"/>
      <c r="FMI229" s="1"/>
      <c r="FMJ229" s="1"/>
      <c r="FMK229" s="1"/>
      <c r="FML229" s="1"/>
      <c r="FMM229" s="1"/>
      <c r="FMN229" s="1"/>
      <c r="FMO229" s="1"/>
      <c r="FMP229" s="1"/>
      <c r="FMQ229" s="1"/>
      <c r="FMR229" s="1"/>
      <c r="FMS229" s="1"/>
      <c r="FMT229" s="1"/>
      <c r="FMU229" s="1"/>
      <c r="FMV229" s="1"/>
      <c r="FMW229" s="1"/>
      <c r="FMX229" s="1"/>
      <c r="FMY229" s="1"/>
      <c r="FMZ229" s="1"/>
      <c r="FNA229" s="1"/>
      <c r="FNB229" s="1"/>
      <c r="FNC229" s="1"/>
      <c r="FND229" s="1"/>
      <c r="FNE229" s="1"/>
      <c r="FNF229" s="1"/>
      <c r="FNG229" s="1"/>
      <c r="FNH229" s="1"/>
      <c r="FNI229" s="1"/>
      <c r="FNJ229" s="1"/>
      <c r="FNK229" s="1"/>
      <c r="FNL229" s="1"/>
      <c r="FNM229" s="1"/>
      <c r="FNN229" s="1"/>
      <c r="FNO229" s="1"/>
      <c r="FNP229" s="1"/>
      <c r="FNQ229" s="1"/>
      <c r="FNR229" s="1"/>
      <c r="FNS229" s="1"/>
      <c r="FNT229" s="1"/>
      <c r="FNU229" s="1"/>
      <c r="FNV229" s="1"/>
      <c r="FNW229" s="1"/>
      <c r="FNX229" s="1"/>
      <c r="FNY229" s="1"/>
      <c r="FNZ229" s="1"/>
      <c r="FOA229" s="1"/>
      <c r="FOB229" s="1"/>
      <c r="FOC229" s="1"/>
      <c r="FOD229" s="1"/>
      <c r="FOE229" s="1"/>
      <c r="FOF229" s="1"/>
      <c r="FOG229" s="1"/>
      <c r="FOH229" s="1"/>
      <c r="FOI229" s="1"/>
      <c r="FOJ229" s="1"/>
      <c r="FOK229" s="1"/>
      <c r="FOL229" s="1"/>
      <c r="FOM229" s="1"/>
      <c r="FON229" s="1"/>
      <c r="FOO229" s="1"/>
      <c r="FOP229" s="1"/>
      <c r="FOQ229" s="1"/>
      <c r="FOR229" s="1"/>
      <c r="FOS229" s="1"/>
      <c r="FOT229" s="1"/>
      <c r="FOU229" s="1"/>
      <c r="FOV229" s="1"/>
      <c r="FOW229" s="1"/>
      <c r="FOX229" s="1"/>
      <c r="FOY229" s="1"/>
      <c r="FOZ229" s="1"/>
      <c r="FPA229" s="1"/>
      <c r="FPB229" s="1"/>
      <c r="FPC229" s="1"/>
      <c r="FPD229" s="1"/>
      <c r="FPE229" s="1"/>
      <c r="FPF229" s="1"/>
      <c r="FPG229" s="1"/>
      <c r="FPH229" s="1"/>
      <c r="FPI229" s="1"/>
      <c r="FPJ229" s="1"/>
      <c r="FPK229" s="1"/>
      <c r="FPL229" s="1"/>
      <c r="FPM229" s="1"/>
      <c r="FPN229" s="1"/>
      <c r="FPO229" s="1"/>
      <c r="FPP229" s="1"/>
      <c r="FPQ229" s="1"/>
      <c r="FPR229" s="1"/>
      <c r="FPS229" s="1"/>
      <c r="FPT229" s="1"/>
      <c r="FPU229" s="1"/>
      <c r="FPV229" s="1"/>
      <c r="FPW229" s="1"/>
      <c r="FPX229" s="1"/>
      <c r="FPY229" s="1"/>
      <c r="FPZ229" s="1"/>
      <c r="FQA229" s="1"/>
      <c r="FQB229" s="1"/>
      <c r="FQC229" s="1"/>
      <c r="FQD229" s="1"/>
      <c r="FQE229" s="1"/>
      <c r="FQF229" s="1"/>
      <c r="FQG229" s="1"/>
      <c r="FQH229" s="1"/>
      <c r="FQI229" s="1"/>
      <c r="FQJ229" s="1"/>
      <c r="FQK229" s="1"/>
      <c r="FQL229" s="1"/>
      <c r="FQM229" s="1"/>
      <c r="FQN229" s="1"/>
      <c r="FQO229" s="1"/>
      <c r="FQP229" s="1"/>
      <c r="FQQ229" s="1"/>
      <c r="FQR229" s="1"/>
      <c r="FQS229" s="1"/>
      <c r="FQT229" s="1"/>
      <c r="FQU229" s="1"/>
      <c r="FQV229" s="1"/>
      <c r="FQW229" s="1"/>
      <c r="FQX229" s="1"/>
      <c r="FQY229" s="1"/>
      <c r="FQZ229" s="1"/>
      <c r="FRA229" s="1"/>
      <c r="FRB229" s="1"/>
      <c r="FRC229" s="1"/>
      <c r="FRD229" s="1"/>
      <c r="FRE229" s="1"/>
      <c r="FRF229" s="1"/>
      <c r="FRG229" s="1"/>
      <c r="FRH229" s="1"/>
      <c r="FRI229" s="1"/>
      <c r="FRJ229" s="1"/>
      <c r="FRK229" s="1"/>
      <c r="FRL229" s="1"/>
      <c r="FRM229" s="1"/>
      <c r="FRN229" s="1"/>
      <c r="FRO229" s="1"/>
      <c r="FRP229" s="1"/>
      <c r="FRQ229" s="1"/>
      <c r="FRR229" s="1"/>
      <c r="FRS229" s="1"/>
      <c r="FRT229" s="1"/>
      <c r="FRU229" s="1"/>
      <c r="FRV229" s="1"/>
      <c r="FRW229" s="1"/>
      <c r="FRX229" s="1"/>
      <c r="FRY229" s="1"/>
      <c r="FRZ229" s="1"/>
      <c r="FSA229" s="1"/>
      <c r="FSB229" s="1"/>
      <c r="FSC229" s="1"/>
      <c r="FSD229" s="1"/>
      <c r="FSE229" s="1"/>
      <c r="FSF229" s="1"/>
      <c r="FSG229" s="1"/>
      <c r="FSH229" s="1"/>
      <c r="FSI229" s="1"/>
      <c r="FSJ229" s="1"/>
      <c r="FSK229" s="1"/>
      <c r="FSL229" s="1"/>
      <c r="FSM229" s="1"/>
      <c r="FSN229" s="1"/>
      <c r="FSO229" s="1"/>
      <c r="FSP229" s="1"/>
      <c r="FSQ229" s="1"/>
      <c r="FSR229" s="1"/>
      <c r="FSS229" s="1"/>
      <c r="FST229" s="1"/>
      <c r="FSU229" s="1"/>
      <c r="FSV229" s="1"/>
      <c r="FSW229" s="1"/>
      <c r="FSX229" s="1"/>
      <c r="FSY229" s="1"/>
      <c r="FSZ229" s="1"/>
      <c r="FTA229" s="1"/>
      <c r="FTB229" s="1"/>
      <c r="FTC229" s="1"/>
      <c r="FTD229" s="1"/>
      <c r="FTE229" s="1"/>
      <c r="FTF229" s="1"/>
      <c r="FTG229" s="1"/>
      <c r="FTH229" s="1"/>
      <c r="FTI229" s="1"/>
      <c r="FTJ229" s="1"/>
      <c r="FTK229" s="1"/>
      <c r="FTL229" s="1"/>
      <c r="FTM229" s="1"/>
      <c r="FTN229" s="1"/>
      <c r="FTO229" s="1"/>
      <c r="FTP229" s="1"/>
      <c r="FTQ229" s="1"/>
      <c r="FTR229" s="1"/>
      <c r="FTS229" s="1"/>
      <c r="FTT229" s="1"/>
      <c r="FTU229" s="1"/>
      <c r="FTV229" s="1"/>
      <c r="FTW229" s="1"/>
      <c r="FTX229" s="1"/>
      <c r="FTY229" s="1"/>
      <c r="FTZ229" s="1"/>
      <c r="FUA229" s="1"/>
      <c r="FUB229" s="1"/>
      <c r="FUC229" s="1"/>
      <c r="FUD229" s="1"/>
      <c r="FUE229" s="1"/>
      <c r="FUF229" s="1"/>
      <c r="FUG229" s="1"/>
      <c r="FUH229" s="1"/>
      <c r="FUI229" s="1"/>
      <c r="FUJ229" s="1"/>
      <c r="FUK229" s="1"/>
      <c r="FUL229" s="1"/>
      <c r="FUM229" s="1"/>
      <c r="FUN229" s="1"/>
      <c r="FUO229" s="1"/>
      <c r="FUP229" s="1"/>
      <c r="FUQ229" s="1"/>
      <c r="FUR229" s="1"/>
      <c r="FUS229" s="1"/>
      <c r="FUT229" s="1"/>
      <c r="FUU229" s="1"/>
      <c r="FUV229" s="1"/>
      <c r="FUW229" s="1"/>
      <c r="FUX229" s="1"/>
      <c r="FUY229" s="1"/>
      <c r="FUZ229" s="1"/>
      <c r="FVA229" s="1"/>
      <c r="FVB229" s="1"/>
      <c r="FVC229" s="1"/>
      <c r="FVD229" s="1"/>
      <c r="FVE229" s="1"/>
      <c r="FVF229" s="1"/>
      <c r="FVG229" s="1"/>
      <c r="FVH229" s="1"/>
      <c r="FVI229" s="1"/>
      <c r="FVJ229" s="1"/>
      <c r="FVK229" s="1"/>
      <c r="FVL229" s="1"/>
      <c r="FVM229" s="1"/>
      <c r="FVN229" s="1"/>
      <c r="FVO229" s="1"/>
      <c r="FVP229" s="1"/>
      <c r="FVQ229" s="1"/>
      <c r="FVR229" s="1"/>
      <c r="FVS229" s="1"/>
      <c r="FVT229" s="1"/>
      <c r="FVU229" s="1"/>
      <c r="FVV229" s="1"/>
      <c r="FVW229" s="1"/>
      <c r="FVX229" s="1"/>
      <c r="FVY229" s="1"/>
      <c r="FVZ229" s="1"/>
      <c r="FWA229" s="1"/>
      <c r="FWB229" s="1"/>
      <c r="FWC229" s="1"/>
      <c r="FWD229" s="1"/>
      <c r="FWE229" s="1"/>
      <c r="FWF229" s="1"/>
      <c r="FWG229" s="1"/>
      <c r="FWH229" s="1"/>
      <c r="FWI229" s="1"/>
      <c r="FWJ229" s="1"/>
      <c r="FWK229" s="1"/>
      <c r="FWL229" s="1"/>
      <c r="FWM229" s="1"/>
      <c r="FWN229" s="1"/>
      <c r="FWO229" s="1"/>
      <c r="FWP229" s="1"/>
      <c r="FWQ229" s="1"/>
      <c r="FWR229" s="1"/>
      <c r="FWS229" s="1"/>
      <c r="FWT229" s="1"/>
      <c r="FWU229" s="1"/>
      <c r="FWV229" s="1"/>
      <c r="FWW229" s="1"/>
      <c r="FWX229" s="1"/>
      <c r="FWY229" s="1"/>
      <c r="FWZ229" s="1"/>
      <c r="FXA229" s="1"/>
      <c r="FXB229" s="1"/>
      <c r="FXC229" s="1"/>
      <c r="FXD229" s="1"/>
      <c r="FXE229" s="1"/>
      <c r="FXF229" s="1"/>
      <c r="FXG229" s="1"/>
      <c r="FXH229" s="1"/>
      <c r="FXI229" s="1"/>
      <c r="FXJ229" s="1"/>
      <c r="FXK229" s="1"/>
      <c r="FXL229" s="1"/>
      <c r="FXM229" s="1"/>
      <c r="FXN229" s="1"/>
      <c r="FXO229" s="1"/>
      <c r="FXP229" s="1"/>
      <c r="FXQ229" s="1"/>
      <c r="FXR229" s="1"/>
      <c r="FXS229" s="1"/>
      <c r="FXT229" s="1"/>
      <c r="FXU229" s="1"/>
      <c r="FXV229" s="1"/>
      <c r="FXW229" s="1"/>
      <c r="FXX229" s="1"/>
      <c r="FXY229" s="1"/>
      <c r="FXZ229" s="1"/>
      <c r="FYA229" s="1"/>
      <c r="FYB229" s="1"/>
      <c r="FYC229" s="1"/>
      <c r="FYD229" s="1"/>
      <c r="FYE229" s="1"/>
      <c r="FYF229" s="1"/>
      <c r="FYG229" s="1"/>
      <c r="FYH229" s="1"/>
      <c r="FYI229" s="1"/>
      <c r="FYJ229" s="1"/>
      <c r="FYK229" s="1"/>
      <c r="FYL229" s="1"/>
      <c r="FYM229" s="1"/>
      <c r="FYN229" s="1"/>
      <c r="FYO229" s="1"/>
      <c r="FYP229" s="1"/>
      <c r="FYQ229" s="1"/>
      <c r="FYR229" s="1"/>
      <c r="FYS229" s="1"/>
      <c r="FYT229" s="1"/>
      <c r="FYU229" s="1"/>
      <c r="FYV229" s="1"/>
      <c r="FYW229" s="1"/>
      <c r="FYX229" s="1"/>
      <c r="FYY229" s="1"/>
      <c r="FYZ229" s="1"/>
      <c r="FZA229" s="1"/>
      <c r="FZB229" s="1"/>
      <c r="FZC229" s="1"/>
      <c r="FZD229" s="1"/>
      <c r="FZE229" s="1"/>
      <c r="FZF229" s="1"/>
      <c r="FZG229" s="1"/>
      <c r="FZH229" s="1"/>
      <c r="FZI229" s="1"/>
      <c r="FZJ229" s="1"/>
      <c r="FZK229" s="1"/>
      <c r="FZL229" s="1"/>
      <c r="FZM229" s="1"/>
      <c r="FZN229" s="1"/>
      <c r="FZO229" s="1"/>
      <c r="FZP229" s="1"/>
      <c r="FZQ229" s="1"/>
      <c r="FZR229" s="1"/>
      <c r="FZS229" s="1"/>
      <c r="FZT229" s="1"/>
      <c r="FZU229" s="1"/>
      <c r="FZV229" s="1"/>
      <c r="FZW229" s="1"/>
      <c r="FZX229" s="1"/>
      <c r="FZY229" s="1"/>
      <c r="FZZ229" s="1"/>
      <c r="GAA229" s="1"/>
      <c r="GAB229" s="1"/>
      <c r="GAC229" s="1"/>
      <c r="GAD229" s="1"/>
      <c r="GAE229" s="1"/>
      <c r="GAF229" s="1"/>
      <c r="GAG229" s="1"/>
      <c r="GAH229" s="1"/>
      <c r="GAI229" s="1"/>
      <c r="GAJ229" s="1"/>
      <c r="GAK229" s="1"/>
      <c r="GAL229" s="1"/>
      <c r="GAM229" s="1"/>
      <c r="GAN229" s="1"/>
      <c r="GAO229" s="1"/>
      <c r="GAP229" s="1"/>
      <c r="GAQ229" s="1"/>
      <c r="GAR229" s="1"/>
      <c r="GAS229" s="1"/>
      <c r="GAT229" s="1"/>
      <c r="GAU229" s="1"/>
      <c r="GAV229" s="1"/>
      <c r="GAW229" s="1"/>
      <c r="GAX229" s="1"/>
      <c r="GAY229" s="1"/>
      <c r="GAZ229" s="1"/>
      <c r="GBA229" s="1"/>
      <c r="GBB229" s="1"/>
      <c r="GBC229" s="1"/>
      <c r="GBD229" s="1"/>
      <c r="GBE229" s="1"/>
      <c r="GBF229" s="1"/>
      <c r="GBG229" s="1"/>
      <c r="GBH229" s="1"/>
      <c r="GBI229" s="1"/>
      <c r="GBJ229" s="1"/>
      <c r="GBK229" s="1"/>
      <c r="GBL229" s="1"/>
      <c r="GBM229" s="1"/>
      <c r="GBN229" s="1"/>
      <c r="GBO229" s="1"/>
      <c r="GBP229" s="1"/>
      <c r="GBQ229" s="1"/>
      <c r="GBR229" s="1"/>
      <c r="GBS229" s="1"/>
      <c r="GBT229" s="1"/>
      <c r="GBU229" s="1"/>
      <c r="GBV229" s="1"/>
      <c r="GBW229" s="1"/>
      <c r="GBX229" s="1"/>
      <c r="GBY229" s="1"/>
      <c r="GBZ229" s="1"/>
      <c r="GCA229" s="1"/>
      <c r="GCB229" s="1"/>
      <c r="GCC229" s="1"/>
      <c r="GCD229" s="1"/>
      <c r="GCE229" s="1"/>
      <c r="GCF229" s="1"/>
      <c r="GCG229" s="1"/>
      <c r="GCH229" s="1"/>
      <c r="GCI229" s="1"/>
      <c r="GCJ229" s="1"/>
      <c r="GCK229" s="1"/>
      <c r="GCL229" s="1"/>
      <c r="GCM229" s="1"/>
      <c r="GCN229" s="1"/>
      <c r="GCO229" s="1"/>
      <c r="GCP229" s="1"/>
      <c r="GCQ229" s="1"/>
      <c r="GCR229" s="1"/>
      <c r="GCS229" s="1"/>
      <c r="GCT229" s="1"/>
      <c r="GCU229" s="1"/>
      <c r="GCV229" s="1"/>
      <c r="GCW229" s="1"/>
      <c r="GCX229" s="1"/>
      <c r="GCY229" s="1"/>
      <c r="GCZ229" s="1"/>
      <c r="GDA229" s="1"/>
      <c r="GDB229" s="1"/>
      <c r="GDC229" s="1"/>
      <c r="GDD229" s="1"/>
      <c r="GDE229" s="1"/>
      <c r="GDF229" s="1"/>
      <c r="GDG229" s="1"/>
      <c r="GDH229" s="1"/>
      <c r="GDI229" s="1"/>
      <c r="GDJ229" s="1"/>
      <c r="GDK229" s="1"/>
      <c r="GDL229" s="1"/>
      <c r="GDM229" s="1"/>
      <c r="GDN229" s="1"/>
      <c r="GDO229" s="1"/>
      <c r="GDP229" s="1"/>
      <c r="GDQ229" s="1"/>
      <c r="GDR229" s="1"/>
      <c r="GDS229" s="1"/>
      <c r="GDT229" s="1"/>
      <c r="GDU229" s="1"/>
      <c r="GDV229" s="1"/>
      <c r="GDW229" s="1"/>
      <c r="GDX229" s="1"/>
      <c r="GDY229" s="1"/>
      <c r="GDZ229" s="1"/>
      <c r="GEA229" s="1"/>
      <c r="GEB229" s="1"/>
      <c r="GEC229" s="1"/>
      <c r="GED229" s="1"/>
      <c r="GEE229" s="1"/>
      <c r="GEF229" s="1"/>
      <c r="GEG229" s="1"/>
      <c r="GEH229" s="1"/>
      <c r="GEI229" s="1"/>
      <c r="GEJ229" s="1"/>
      <c r="GEK229" s="1"/>
      <c r="GEL229" s="1"/>
      <c r="GEM229" s="1"/>
      <c r="GEN229" s="1"/>
      <c r="GEO229" s="1"/>
      <c r="GEP229" s="1"/>
      <c r="GEQ229" s="1"/>
      <c r="GER229" s="1"/>
      <c r="GES229" s="1"/>
      <c r="GET229" s="1"/>
      <c r="GEU229" s="1"/>
      <c r="GEV229" s="1"/>
      <c r="GEW229" s="1"/>
      <c r="GEX229" s="1"/>
      <c r="GEY229" s="1"/>
      <c r="GEZ229" s="1"/>
      <c r="GFA229" s="1"/>
      <c r="GFB229" s="1"/>
      <c r="GFC229" s="1"/>
      <c r="GFD229" s="1"/>
      <c r="GFE229" s="1"/>
      <c r="GFF229" s="1"/>
      <c r="GFG229" s="1"/>
      <c r="GFH229" s="1"/>
      <c r="GFI229" s="1"/>
      <c r="GFJ229" s="1"/>
      <c r="GFK229" s="1"/>
      <c r="GFL229" s="1"/>
      <c r="GFM229" s="1"/>
      <c r="GFN229" s="1"/>
      <c r="GFO229" s="1"/>
      <c r="GFP229" s="1"/>
      <c r="GFQ229" s="1"/>
      <c r="GFR229" s="1"/>
      <c r="GFS229" s="1"/>
      <c r="GFT229" s="1"/>
      <c r="GFU229" s="1"/>
      <c r="GFV229" s="1"/>
      <c r="GFW229" s="1"/>
      <c r="GFX229" s="1"/>
      <c r="GFY229" s="1"/>
      <c r="GFZ229" s="1"/>
      <c r="GGA229" s="1"/>
      <c r="GGB229" s="1"/>
      <c r="GGC229" s="1"/>
      <c r="GGD229" s="1"/>
      <c r="GGE229" s="1"/>
      <c r="GGF229" s="1"/>
      <c r="GGG229" s="1"/>
      <c r="GGH229" s="1"/>
      <c r="GGI229" s="1"/>
      <c r="GGJ229" s="1"/>
      <c r="GGK229" s="1"/>
      <c r="GGL229" s="1"/>
      <c r="GGM229" s="1"/>
      <c r="GGN229" s="1"/>
      <c r="GGO229" s="1"/>
      <c r="GGP229" s="1"/>
      <c r="GGQ229" s="1"/>
      <c r="GGR229" s="1"/>
      <c r="GGS229" s="1"/>
      <c r="GGT229" s="1"/>
      <c r="GGU229" s="1"/>
      <c r="GGV229" s="1"/>
      <c r="GGW229" s="1"/>
      <c r="GGX229" s="1"/>
      <c r="GGY229" s="1"/>
      <c r="GGZ229" s="1"/>
      <c r="GHA229" s="1"/>
      <c r="GHB229" s="1"/>
      <c r="GHC229" s="1"/>
      <c r="GHD229" s="1"/>
      <c r="GHE229" s="1"/>
      <c r="GHF229" s="1"/>
      <c r="GHG229" s="1"/>
      <c r="GHH229" s="1"/>
      <c r="GHI229" s="1"/>
      <c r="GHJ229" s="1"/>
      <c r="GHK229" s="1"/>
      <c r="GHL229" s="1"/>
      <c r="GHM229" s="1"/>
      <c r="GHN229" s="1"/>
      <c r="GHO229" s="1"/>
      <c r="GHP229" s="1"/>
      <c r="GHQ229" s="1"/>
      <c r="GHR229" s="1"/>
      <c r="GHS229" s="1"/>
      <c r="GHT229" s="1"/>
      <c r="GHU229" s="1"/>
      <c r="GHV229" s="1"/>
      <c r="GHW229" s="1"/>
      <c r="GHX229" s="1"/>
      <c r="GHY229" s="1"/>
      <c r="GHZ229" s="1"/>
      <c r="GIA229" s="1"/>
      <c r="GIB229" s="1"/>
      <c r="GIC229" s="1"/>
      <c r="GID229" s="1"/>
      <c r="GIE229" s="1"/>
      <c r="GIF229" s="1"/>
      <c r="GIG229" s="1"/>
      <c r="GIH229" s="1"/>
      <c r="GII229" s="1"/>
      <c r="GIJ229" s="1"/>
      <c r="GIK229" s="1"/>
      <c r="GIL229" s="1"/>
      <c r="GIM229" s="1"/>
      <c r="GIN229" s="1"/>
      <c r="GIO229" s="1"/>
      <c r="GIP229" s="1"/>
      <c r="GIQ229" s="1"/>
      <c r="GIR229" s="1"/>
      <c r="GIS229" s="1"/>
      <c r="GIT229" s="1"/>
      <c r="GIU229" s="1"/>
      <c r="GIV229" s="1"/>
      <c r="GIW229" s="1"/>
      <c r="GIX229" s="1"/>
      <c r="GIY229" s="1"/>
      <c r="GIZ229" s="1"/>
      <c r="GJA229" s="1"/>
      <c r="GJB229" s="1"/>
      <c r="GJC229" s="1"/>
      <c r="GJD229" s="1"/>
      <c r="GJE229" s="1"/>
      <c r="GJF229" s="1"/>
      <c r="GJG229" s="1"/>
      <c r="GJH229" s="1"/>
      <c r="GJI229" s="1"/>
      <c r="GJJ229" s="1"/>
      <c r="GJK229" s="1"/>
      <c r="GJL229" s="1"/>
      <c r="GJM229" s="1"/>
      <c r="GJN229" s="1"/>
      <c r="GJO229" s="1"/>
      <c r="GJP229" s="1"/>
      <c r="GJQ229" s="1"/>
      <c r="GJR229" s="1"/>
      <c r="GJS229" s="1"/>
      <c r="GJT229" s="1"/>
      <c r="GJU229" s="1"/>
      <c r="GJV229" s="1"/>
      <c r="GJW229" s="1"/>
      <c r="GJX229" s="1"/>
      <c r="GJY229" s="1"/>
      <c r="GJZ229" s="1"/>
      <c r="GKA229" s="1"/>
      <c r="GKB229" s="1"/>
      <c r="GKC229" s="1"/>
      <c r="GKD229" s="1"/>
      <c r="GKE229" s="1"/>
      <c r="GKF229" s="1"/>
      <c r="GKG229" s="1"/>
      <c r="GKH229" s="1"/>
      <c r="GKI229" s="1"/>
      <c r="GKJ229" s="1"/>
      <c r="GKK229" s="1"/>
      <c r="GKL229" s="1"/>
      <c r="GKM229" s="1"/>
      <c r="GKN229" s="1"/>
      <c r="GKO229" s="1"/>
      <c r="GKP229" s="1"/>
      <c r="GKQ229" s="1"/>
      <c r="GKR229" s="1"/>
      <c r="GKS229" s="1"/>
      <c r="GKT229" s="1"/>
      <c r="GKU229" s="1"/>
      <c r="GKV229" s="1"/>
      <c r="GKW229" s="1"/>
      <c r="GKX229" s="1"/>
      <c r="GKY229" s="1"/>
      <c r="GKZ229" s="1"/>
      <c r="GLA229" s="1"/>
      <c r="GLB229" s="1"/>
      <c r="GLC229" s="1"/>
      <c r="GLD229" s="1"/>
      <c r="GLE229" s="1"/>
      <c r="GLF229" s="1"/>
      <c r="GLG229" s="1"/>
      <c r="GLH229" s="1"/>
      <c r="GLI229" s="1"/>
      <c r="GLJ229" s="1"/>
      <c r="GLK229" s="1"/>
      <c r="GLL229" s="1"/>
      <c r="GLM229" s="1"/>
      <c r="GLN229" s="1"/>
      <c r="GLO229" s="1"/>
      <c r="GLP229" s="1"/>
      <c r="GLQ229" s="1"/>
      <c r="GLR229" s="1"/>
      <c r="GLS229" s="1"/>
      <c r="GLT229" s="1"/>
      <c r="GLU229" s="1"/>
      <c r="GLV229" s="1"/>
      <c r="GLW229" s="1"/>
      <c r="GLX229" s="1"/>
      <c r="GLY229" s="1"/>
      <c r="GLZ229" s="1"/>
      <c r="GMA229" s="1"/>
      <c r="GMB229" s="1"/>
      <c r="GMC229" s="1"/>
      <c r="GMD229" s="1"/>
      <c r="GME229" s="1"/>
      <c r="GMF229" s="1"/>
      <c r="GMG229" s="1"/>
      <c r="GMH229" s="1"/>
      <c r="GMI229" s="1"/>
      <c r="GMJ229" s="1"/>
      <c r="GMK229" s="1"/>
      <c r="GML229" s="1"/>
      <c r="GMM229" s="1"/>
      <c r="GMN229" s="1"/>
      <c r="GMO229" s="1"/>
      <c r="GMP229" s="1"/>
      <c r="GMQ229" s="1"/>
      <c r="GMR229" s="1"/>
      <c r="GMS229" s="1"/>
      <c r="GMT229" s="1"/>
      <c r="GMU229" s="1"/>
      <c r="GMV229" s="1"/>
      <c r="GMW229" s="1"/>
      <c r="GMX229" s="1"/>
      <c r="GMY229" s="1"/>
      <c r="GMZ229" s="1"/>
      <c r="GNA229" s="1"/>
      <c r="GNB229" s="1"/>
      <c r="GNC229" s="1"/>
      <c r="GND229" s="1"/>
      <c r="GNE229" s="1"/>
      <c r="GNF229" s="1"/>
      <c r="GNG229" s="1"/>
      <c r="GNH229" s="1"/>
      <c r="GNI229" s="1"/>
      <c r="GNJ229" s="1"/>
      <c r="GNK229" s="1"/>
      <c r="GNL229" s="1"/>
      <c r="GNM229" s="1"/>
      <c r="GNN229" s="1"/>
      <c r="GNO229" s="1"/>
      <c r="GNP229" s="1"/>
      <c r="GNQ229" s="1"/>
      <c r="GNR229" s="1"/>
      <c r="GNS229" s="1"/>
      <c r="GNT229" s="1"/>
      <c r="GNU229" s="1"/>
      <c r="GNV229" s="1"/>
      <c r="GNW229" s="1"/>
      <c r="GNX229" s="1"/>
      <c r="GNY229" s="1"/>
      <c r="GNZ229" s="1"/>
      <c r="GOA229" s="1"/>
      <c r="GOB229" s="1"/>
      <c r="GOC229" s="1"/>
      <c r="GOD229" s="1"/>
      <c r="GOE229" s="1"/>
      <c r="GOF229" s="1"/>
      <c r="GOG229" s="1"/>
      <c r="GOH229" s="1"/>
      <c r="GOI229" s="1"/>
      <c r="GOJ229" s="1"/>
      <c r="GOK229" s="1"/>
      <c r="GOL229" s="1"/>
      <c r="GOM229" s="1"/>
      <c r="GON229" s="1"/>
      <c r="GOO229" s="1"/>
      <c r="GOP229" s="1"/>
      <c r="GOQ229" s="1"/>
      <c r="GOR229" s="1"/>
      <c r="GOS229" s="1"/>
      <c r="GOT229" s="1"/>
      <c r="GOU229" s="1"/>
      <c r="GOV229" s="1"/>
      <c r="GOW229" s="1"/>
      <c r="GOX229" s="1"/>
      <c r="GOY229" s="1"/>
      <c r="GOZ229" s="1"/>
      <c r="GPA229" s="1"/>
      <c r="GPB229" s="1"/>
      <c r="GPC229" s="1"/>
      <c r="GPD229" s="1"/>
      <c r="GPE229" s="1"/>
      <c r="GPF229" s="1"/>
      <c r="GPG229" s="1"/>
      <c r="GPH229" s="1"/>
      <c r="GPI229" s="1"/>
      <c r="GPJ229" s="1"/>
      <c r="GPK229" s="1"/>
      <c r="GPL229" s="1"/>
      <c r="GPM229" s="1"/>
      <c r="GPN229" s="1"/>
      <c r="GPO229" s="1"/>
      <c r="GPP229" s="1"/>
      <c r="GPQ229" s="1"/>
      <c r="GPR229" s="1"/>
      <c r="GPS229" s="1"/>
      <c r="GPT229" s="1"/>
      <c r="GPU229" s="1"/>
      <c r="GPV229" s="1"/>
      <c r="GPW229" s="1"/>
      <c r="GPX229" s="1"/>
      <c r="GPY229" s="1"/>
      <c r="GPZ229" s="1"/>
      <c r="GQA229" s="1"/>
      <c r="GQB229" s="1"/>
      <c r="GQC229" s="1"/>
      <c r="GQD229" s="1"/>
      <c r="GQE229" s="1"/>
      <c r="GQF229" s="1"/>
      <c r="GQG229" s="1"/>
      <c r="GQH229" s="1"/>
      <c r="GQI229" s="1"/>
      <c r="GQJ229" s="1"/>
      <c r="GQK229" s="1"/>
      <c r="GQL229" s="1"/>
      <c r="GQM229" s="1"/>
      <c r="GQN229" s="1"/>
      <c r="GQO229" s="1"/>
      <c r="GQP229" s="1"/>
      <c r="GQQ229" s="1"/>
      <c r="GQR229" s="1"/>
      <c r="GQS229" s="1"/>
      <c r="GQT229" s="1"/>
      <c r="GQU229" s="1"/>
      <c r="GQV229" s="1"/>
      <c r="GQW229" s="1"/>
      <c r="GQX229" s="1"/>
      <c r="GQY229" s="1"/>
      <c r="GQZ229" s="1"/>
      <c r="GRA229" s="1"/>
      <c r="GRB229" s="1"/>
      <c r="GRC229" s="1"/>
      <c r="GRD229" s="1"/>
      <c r="GRE229" s="1"/>
      <c r="GRF229" s="1"/>
      <c r="GRG229" s="1"/>
      <c r="GRH229" s="1"/>
      <c r="GRI229" s="1"/>
      <c r="GRJ229" s="1"/>
      <c r="GRK229" s="1"/>
      <c r="GRL229" s="1"/>
      <c r="GRM229" s="1"/>
      <c r="GRN229" s="1"/>
      <c r="GRO229" s="1"/>
      <c r="GRP229" s="1"/>
      <c r="GRQ229" s="1"/>
      <c r="GRR229" s="1"/>
      <c r="GRS229" s="1"/>
      <c r="GRT229" s="1"/>
      <c r="GRU229" s="1"/>
      <c r="GRV229" s="1"/>
      <c r="GRW229" s="1"/>
      <c r="GRX229" s="1"/>
      <c r="GRY229" s="1"/>
      <c r="GRZ229" s="1"/>
      <c r="GSA229" s="1"/>
      <c r="GSB229" s="1"/>
      <c r="GSC229" s="1"/>
      <c r="GSD229" s="1"/>
      <c r="GSE229" s="1"/>
      <c r="GSF229" s="1"/>
      <c r="GSG229" s="1"/>
      <c r="GSH229" s="1"/>
      <c r="GSI229" s="1"/>
      <c r="GSJ229" s="1"/>
      <c r="GSK229" s="1"/>
      <c r="GSL229" s="1"/>
      <c r="GSM229" s="1"/>
      <c r="GSN229" s="1"/>
      <c r="GSO229" s="1"/>
      <c r="GSP229" s="1"/>
      <c r="GSQ229" s="1"/>
      <c r="GSR229" s="1"/>
      <c r="GSS229" s="1"/>
      <c r="GST229" s="1"/>
      <c r="GSU229" s="1"/>
      <c r="GSV229" s="1"/>
      <c r="GSW229" s="1"/>
      <c r="GSX229" s="1"/>
      <c r="GSY229" s="1"/>
      <c r="GSZ229" s="1"/>
      <c r="GTA229" s="1"/>
      <c r="GTB229" s="1"/>
      <c r="GTC229" s="1"/>
      <c r="GTD229" s="1"/>
      <c r="GTE229" s="1"/>
      <c r="GTF229" s="1"/>
      <c r="GTG229" s="1"/>
      <c r="GTH229" s="1"/>
      <c r="GTI229" s="1"/>
      <c r="GTJ229" s="1"/>
      <c r="GTK229" s="1"/>
      <c r="GTL229" s="1"/>
      <c r="GTM229" s="1"/>
      <c r="GTN229" s="1"/>
      <c r="GTO229" s="1"/>
      <c r="GTP229" s="1"/>
      <c r="GTQ229" s="1"/>
      <c r="GTR229" s="1"/>
      <c r="GTS229" s="1"/>
      <c r="GTT229" s="1"/>
      <c r="GTU229" s="1"/>
      <c r="GTV229" s="1"/>
      <c r="GTW229" s="1"/>
      <c r="GTX229" s="1"/>
      <c r="GTY229" s="1"/>
      <c r="GTZ229" s="1"/>
      <c r="GUA229" s="1"/>
      <c r="GUB229" s="1"/>
      <c r="GUC229" s="1"/>
      <c r="GUD229" s="1"/>
      <c r="GUE229" s="1"/>
      <c r="GUF229" s="1"/>
      <c r="GUG229" s="1"/>
      <c r="GUH229" s="1"/>
      <c r="GUI229" s="1"/>
      <c r="GUJ229" s="1"/>
      <c r="GUK229" s="1"/>
      <c r="GUL229" s="1"/>
      <c r="GUM229" s="1"/>
      <c r="GUN229" s="1"/>
      <c r="GUO229" s="1"/>
      <c r="GUP229" s="1"/>
      <c r="GUQ229" s="1"/>
      <c r="GUR229" s="1"/>
      <c r="GUS229" s="1"/>
      <c r="GUT229" s="1"/>
      <c r="GUU229" s="1"/>
      <c r="GUV229" s="1"/>
      <c r="GUW229" s="1"/>
      <c r="GUX229" s="1"/>
      <c r="GUY229" s="1"/>
      <c r="GUZ229" s="1"/>
      <c r="GVA229" s="1"/>
      <c r="GVB229" s="1"/>
      <c r="GVC229" s="1"/>
      <c r="GVD229" s="1"/>
      <c r="GVE229" s="1"/>
      <c r="GVF229" s="1"/>
      <c r="GVG229" s="1"/>
      <c r="GVH229" s="1"/>
      <c r="GVI229" s="1"/>
      <c r="GVJ229" s="1"/>
      <c r="GVK229" s="1"/>
      <c r="GVL229" s="1"/>
      <c r="GVM229" s="1"/>
      <c r="GVN229" s="1"/>
      <c r="GVO229" s="1"/>
      <c r="GVP229" s="1"/>
      <c r="GVQ229" s="1"/>
      <c r="GVR229" s="1"/>
      <c r="GVS229" s="1"/>
      <c r="GVT229" s="1"/>
      <c r="GVU229" s="1"/>
      <c r="GVV229" s="1"/>
      <c r="GVW229" s="1"/>
      <c r="GVX229" s="1"/>
      <c r="GVY229" s="1"/>
      <c r="GVZ229" s="1"/>
      <c r="GWA229" s="1"/>
      <c r="GWB229" s="1"/>
      <c r="GWC229" s="1"/>
      <c r="GWD229" s="1"/>
      <c r="GWE229" s="1"/>
      <c r="GWF229" s="1"/>
      <c r="GWG229" s="1"/>
      <c r="GWH229" s="1"/>
      <c r="GWI229" s="1"/>
      <c r="GWJ229" s="1"/>
      <c r="GWK229" s="1"/>
      <c r="GWL229" s="1"/>
      <c r="GWM229" s="1"/>
      <c r="GWN229" s="1"/>
      <c r="GWO229" s="1"/>
      <c r="GWP229" s="1"/>
      <c r="GWQ229" s="1"/>
      <c r="GWR229" s="1"/>
      <c r="GWS229" s="1"/>
      <c r="GWT229" s="1"/>
      <c r="GWU229" s="1"/>
      <c r="GWV229" s="1"/>
      <c r="GWW229" s="1"/>
      <c r="GWX229" s="1"/>
      <c r="GWY229" s="1"/>
      <c r="GWZ229" s="1"/>
      <c r="GXA229" s="1"/>
      <c r="GXB229" s="1"/>
      <c r="GXC229" s="1"/>
      <c r="GXD229" s="1"/>
      <c r="GXE229" s="1"/>
      <c r="GXF229" s="1"/>
      <c r="GXG229" s="1"/>
      <c r="GXH229" s="1"/>
      <c r="GXI229" s="1"/>
      <c r="GXJ229" s="1"/>
      <c r="GXK229" s="1"/>
      <c r="GXL229" s="1"/>
      <c r="GXM229" s="1"/>
      <c r="GXN229" s="1"/>
      <c r="GXO229" s="1"/>
      <c r="GXP229" s="1"/>
      <c r="GXQ229" s="1"/>
      <c r="GXR229" s="1"/>
      <c r="GXS229" s="1"/>
      <c r="GXT229" s="1"/>
      <c r="GXU229" s="1"/>
      <c r="GXV229" s="1"/>
      <c r="GXW229" s="1"/>
      <c r="GXX229" s="1"/>
      <c r="GXY229" s="1"/>
      <c r="GXZ229" s="1"/>
      <c r="GYA229" s="1"/>
      <c r="GYB229" s="1"/>
      <c r="GYC229" s="1"/>
      <c r="GYD229" s="1"/>
      <c r="GYE229" s="1"/>
      <c r="GYF229" s="1"/>
      <c r="GYG229" s="1"/>
      <c r="GYH229" s="1"/>
      <c r="GYI229" s="1"/>
      <c r="GYJ229" s="1"/>
      <c r="GYK229" s="1"/>
      <c r="GYL229" s="1"/>
      <c r="GYM229" s="1"/>
      <c r="GYN229" s="1"/>
      <c r="GYO229" s="1"/>
      <c r="GYP229" s="1"/>
      <c r="GYQ229" s="1"/>
      <c r="GYR229" s="1"/>
      <c r="GYS229" s="1"/>
      <c r="GYT229" s="1"/>
      <c r="GYU229" s="1"/>
      <c r="GYV229" s="1"/>
      <c r="GYW229" s="1"/>
      <c r="GYX229" s="1"/>
      <c r="GYY229" s="1"/>
      <c r="GYZ229" s="1"/>
      <c r="GZA229" s="1"/>
      <c r="GZB229" s="1"/>
      <c r="GZC229" s="1"/>
      <c r="GZD229" s="1"/>
      <c r="GZE229" s="1"/>
      <c r="GZF229" s="1"/>
      <c r="GZG229" s="1"/>
      <c r="GZH229" s="1"/>
      <c r="GZI229" s="1"/>
      <c r="GZJ229" s="1"/>
      <c r="GZK229" s="1"/>
      <c r="GZL229" s="1"/>
      <c r="GZM229" s="1"/>
      <c r="GZN229" s="1"/>
      <c r="GZO229" s="1"/>
      <c r="GZP229" s="1"/>
      <c r="GZQ229" s="1"/>
      <c r="GZR229" s="1"/>
      <c r="GZS229" s="1"/>
      <c r="GZT229" s="1"/>
      <c r="GZU229" s="1"/>
      <c r="GZV229" s="1"/>
      <c r="GZW229" s="1"/>
      <c r="GZX229" s="1"/>
      <c r="GZY229" s="1"/>
      <c r="GZZ229" s="1"/>
      <c r="HAA229" s="1"/>
      <c r="HAB229" s="1"/>
      <c r="HAC229" s="1"/>
      <c r="HAD229" s="1"/>
      <c r="HAE229" s="1"/>
      <c r="HAF229" s="1"/>
      <c r="HAG229" s="1"/>
      <c r="HAH229" s="1"/>
      <c r="HAI229" s="1"/>
      <c r="HAJ229" s="1"/>
      <c r="HAK229" s="1"/>
      <c r="HAL229" s="1"/>
      <c r="HAM229" s="1"/>
      <c r="HAN229" s="1"/>
      <c r="HAO229" s="1"/>
      <c r="HAP229" s="1"/>
      <c r="HAQ229" s="1"/>
      <c r="HAR229" s="1"/>
      <c r="HAS229" s="1"/>
      <c r="HAT229" s="1"/>
      <c r="HAU229" s="1"/>
      <c r="HAV229" s="1"/>
      <c r="HAW229" s="1"/>
      <c r="HAX229" s="1"/>
      <c r="HAY229" s="1"/>
      <c r="HAZ229" s="1"/>
      <c r="HBA229" s="1"/>
      <c r="HBB229" s="1"/>
      <c r="HBC229" s="1"/>
      <c r="HBD229" s="1"/>
      <c r="HBE229" s="1"/>
      <c r="HBF229" s="1"/>
      <c r="HBG229" s="1"/>
      <c r="HBH229" s="1"/>
      <c r="HBI229" s="1"/>
      <c r="HBJ229" s="1"/>
      <c r="HBK229" s="1"/>
      <c r="HBL229" s="1"/>
      <c r="HBM229" s="1"/>
      <c r="HBN229" s="1"/>
      <c r="HBO229" s="1"/>
      <c r="HBP229" s="1"/>
      <c r="HBQ229" s="1"/>
      <c r="HBR229" s="1"/>
      <c r="HBS229" s="1"/>
      <c r="HBT229" s="1"/>
      <c r="HBU229" s="1"/>
      <c r="HBV229" s="1"/>
      <c r="HBW229" s="1"/>
      <c r="HBX229" s="1"/>
      <c r="HBY229" s="1"/>
      <c r="HBZ229" s="1"/>
      <c r="HCA229" s="1"/>
      <c r="HCB229" s="1"/>
      <c r="HCC229" s="1"/>
      <c r="HCD229" s="1"/>
      <c r="HCE229" s="1"/>
      <c r="HCF229" s="1"/>
      <c r="HCG229" s="1"/>
      <c r="HCH229" s="1"/>
      <c r="HCI229" s="1"/>
      <c r="HCJ229" s="1"/>
      <c r="HCK229" s="1"/>
      <c r="HCL229" s="1"/>
      <c r="HCM229" s="1"/>
      <c r="HCN229" s="1"/>
      <c r="HCO229" s="1"/>
      <c r="HCP229" s="1"/>
      <c r="HCQ229" s="1"/>
      <c r="HCR229" s="1"/>
      <c r="HCS229" s="1"/>
      <c r="HCT229" s="1"/>
      <c r="HCU229" s="1"/>
      <c r="HCV229" s="1"/>
      <c r="HCW229" s="1"/>
      <c r="HCX229" s="1"/>
      <c r="HCY229" s="1"/>
      <c r="HCZ229" s="1"/>
      <c r="HDA229" s="1"/>
      <c r="HDB229" s="1"/>
      <c r="HDC229" s="1"/>
      <c r="HDD229" s="1"/>
      <c r="HDE229" s="1"/>
      <c r="HDF229" s="1"/>
      <c r="HDG229" s="1"/>
      <c r="HDH229" s="1"/>
      <c r="HDI229" s="1"/>
      <c r="HDJ229" s="1"/>
      <c r="HDK229" s="1"/>
      <c r="HDL229" s="1"/>
      <c r="HDM229" s="1"/>
      <c r="HDN229" s="1"/>
      <c r="HDO229" s="1"/>
      <c r="HDP229" s="1"/>
      <c r="HDQ229" s="1"/>
      <c r="HDR229" s="1"/>
      <c r="HDS229" s="1"/>
      <c r="HDT229" s="1"/>
      <c r="HDU229" s="1"/>
      <c r="HDV229" s="1"/>
      <c r="HDW229" s="1"/>
      <c r="HDX229" s="1"/>
      <c r="HDY229" s="1"/>
      <c r="HDZ229" s="1"/>
      <c r="HEA229" s="1"/>
      <c r="HEB229" s="1"/>
      <c r="HEC229" s="1"/>
      <c r="HED229" s="1"/>
      <c r="HEE229" s="1"/>
      <c r="HEF229" s="1"/>
      <c r="HEG229" s="1"/>
      <c r="HEH229" s="1"/>
      <c r="HEI229" s="1"/>
      <c r="HEJ229" s="1"/>
      <c r="HEK229" s="1"/>
      <c r="HEL229" s="1"/>
      <c r="HEM229" s="1"/>
      <c r="HEN229" s="1"/>
      <c r="HEO229" s="1"/>
      <c r="HEP229" s="1"/>
      <c r="HEQ229" s="1"/>
      <c r="HER229" s="1"/>
      <c r="HES229" s="1"/>
      <c r="HET229" s="1"/>
      <c r="HEU229" s="1"/>
      <c r="HEV229" s="1"/>
      <c r="HEW229" s="1"/>
      <c r="HEX229" s="1"/>
      <c r="HEY229" s="1"/>
      <c r="HEZ229" s="1"/>
      <c r="HFA229" s="1"/>
      <c r="HFB229" s="1"/>
      <c r="HFC229" s="1"/>
      <c r="HFD229" s="1"/>
      <c r="HFE229" s="1"/>
      <c r="HFF229" s="1"/>
      <c r="HFG229" s="1"/>
      <c r="HFH229" s="1"/>
      <c r="HFI229" s="1"/>
      <c r="HFJ229" s="1"/>
      <c r="HFK229" s="1"/>
      <c r="HFL229" s="1"/>
      <c r="HFM229" s="1"/>
      <c r="HFN229" s="1"/>
      <c r="HFO229" s="1"/>
      <c r="HFP229" s="1"/>
      <c r="HFQ229" s="1"/>
      <c r="HFR229" s="1"/>
      <c r="HFS229" s="1"/>
      <c r="HFT229" s="1"/>
      <c r="HFU229" s="1"/>
      <c r="HFV229" s="1"/>
      <c r="HFW229" s="1"/>
      <c r="HFX229" s="1"/>
      <c r="HFY229" s="1"/>
      <c r="HFZ229" s="1"/>
      <c r="HGA229" s="1"/>
      <c r="HGB229" s="1"/>
      <c r="HGC229" s="1"/>
      <c r="HGD229" s="1"/>
      <c r="HGE229" s="1"/>
      <c r="HGF229" s="1"/>
      <c r="HGG229" s="1"/>
      <c r="HGH229" s="1"/>
      <c r="HGI229" s="1"/>
      <c r="HGJ229" s="1"/>
      <c r="HGK229" s="1"/>
      <c r="HGL229" s="1"/>
      <c r="HGM229" s="1"/>
      <c r="HGN229" s="1"/>
      <c r="HGO229" s="1"/>
      <c r="HGP229" s="1"/>
      <c r="HGQ229" s="1"/>
      <c r="HGR229" s="1"/>
      <c r="HGS229" s="1"/>
      <c r="HGT229" s="1"/>
      <c r="HGU229" s="1"/>
      <c r="HGV229" s="1"/>
      <c r="HGW229" s="1"/>
      <c r="HGX229" s="1"/>
      <c r="HGY229" s="1"/>
      <c r="HGZ229" s="1"/>
      <c r="HHA229" s="1"/>
      <c r="HHB229" s="1"/>
      <c r="HHC229" s="1"/>
      <c r="HHD229" s="1"/>
      <c r="HHE229" s="1"/>
      <c r="HHF229" s="1"/>
      <c r="HHG229" s="1"/>
      <c r="HHH229" s="1"/>
      <c r="HHI229" s="1"/>
      <c r="HHJ229" s="1"/>
      <c r="HHK229" s="1"/>
      <c r="HHL229" s="1"/>
      <c r="HHM229" s="1"/>
      <c r="HHN229" s="1"/>
      <c r="HHO229" s="1"/>
      <c r="HHP229" s="1"/>
      <c r="HHQ229" s="1"/>
      <c r="HHR229" s="1"/>
      <c r="HHS229" s="1"/>
      <c r="HHT229" s="1"/>
      <c r="HHU229" s="1"/>
      <c r="HHV229" s="1"/>
      <c r="HHW229" s="1"/>
      <c r="HHX229" s="1"/>
      <c r="HHY229" s="1"/>
      <c r="HHZ229" s="1"/>
      <c r="HIA229" s="1"/>
      <c r="HIB229" s="1"/>
      <c r="HIC229" s="1"/>
      <c r="HID229" s="1"/>
      <c r="HIE229" s="1"/>
      <c r="HIF229" s="1"/>
      <c r="HIG229" s="1"/>
      <c r="HIH229" s="1"/>
      <c r="HII229" s="1"/>
      <c r="HIJ229" s="1"/>
      <c r="HIK229" s="1"/>
      <c r="HIL229" s="1"/>
      <c r="HIM229" s="1"/>
      <c r="HIN229" s="1"/>
      <c r="HIO229" s="1"/>
      <c r="HIP229" s="1"/>
      <c r="HIQ229" s="1"/>
      <c r="HIR229" s="1"/>
      <c r="HIS229" s="1"/>
      <c r="HIT229" s="1"/>
      <c r="HIU229" s="1"/>
      <c r="HIV229" s="1"/>
      <c r="HIW229" s="1"/>
      <c r="HIX229" s="1"/>
      <c r="HIY229" s="1"/>
      <c r="HIZ229" s="1"/>
      <c r="HJA229" s="1"/>
      <c r="HJB229" s="1"/>
      <c r="HJC229" s="1"/>
      <c r="HJD229" s="1"/>
      <c r="HJE229" s="1"/>
      <c r="HJF229" s="1"/>
      <c r="HJG229" s="1"/>
      <c r="HJH229" s="1"/>
      <c r="HJI229" s="1"/>
      <c r="HJJ229" s="1"/>
      <c r="HJK229" s="1"/>
      <c r="HJL229" s="1"/>
      <c r="HJM229" s="1"/>
      <c r="HJN229" s="1"/>
      <c r="HJO229" s="1"/>
      <c r="HJP229" s="1"/>
      <c r="HJQ229" s="1"/>
      <c r="HJR229" s="1"/>
      <c r="HJS229" s="1"/>
      <c r="HJT229" s="1"/>
      <c r="HJU229" s="1"/>
      <c r="HJV229" s="1"/>
      <c r="HJW229" s="1"/>
      <c r="HJX229" s="1"/>
      <c r="HJY229" s="1"/>
      <c r="HJZ229" s="1"/>
      <c r="HKA229" s="1"/>
      <c r="HKB229" s="1"/>
      <c r="HKC229" s="1"/>
      <c r="HKD229" s="1"/>
      <c r="HKE229" s="1"/>
      <c r="HKF229" s="1"/>
      <c r="HKG229" s="1"/>
      <c r="HKH229" s="1"/>
      <c r="HKI229" s="1"/>
      <c r="HKJ229" s="1"/>
      <c r="HKK229" s="1"/>
      <c r="HKL229" s="1"/>
      <c r="HKM229" s="1"/>
      <c r="HKN229" s="1"/>
      <c r="HKO229" s="1"/>
      <c r="HKP229" s="1"/>
      <c r="HKQ229" s="1"/>
      <c r="HKR229" s="1"/>
      <c r="HKS229" s="1"/>
      <c r="HKT229" s="1"/>
      <c r="HKU229" s="1"/>
      <c r="HKV229" s="1"/>
      <c r="HKW229" s="1"/>
      <c r="HKX229" s="1"/>
      <c r="HKY229" s="1"/>
      <c r="HKZ229" s="1"/>
      <c r="HLA229" s="1"/>
      <c r="HLB229" s="1"/>
      <c r="HLC229" s="1"/>
      <c r="HLD229" s="1"/>
      <c r="HLE229" s="1"/>
      <c r="HLF229" s="1"/>
      <c r="HLG229" s="1"/>
      <c r="HLH229" s="1"/>
      <c r="HLI229" s="1"/>
      <c r="HLJ229" s="1"/>
      <c r="HLK229" s="1"/>
      <c r="HLL229" s="1"/>
      <c r="HLM229" s="1"/>
      <c r="HLN229" s="1"/>
      <c r="HLO229" s="1"/>
      <c r="HLP229" s="1"/>
      <c r="HLQ229" s="1"/>
      <c r="HLR229" s="1"/>
      <c r="HLS229" s="1"/>
      <c r="HLT229" s="1"/>
      <c r="HLU229" s="1"/>
      <c r="HLV229" s="1"/>
      <c r="HLW229" s="1"/>
      <c r="HLX229" s="1"/>
      <c r="HLY229" s="1"/>
      <c r="HLZ229" s="1"/>
      <c r="HMA229" s="1"/>
      <c r="HMB229" s="1"/>
      <c r="HMC229" s="1"/>
      <c r="HMD229" s="1"/>
      <c r="HME229" s="1"/>
      <c r="HMF229" s="1"/>
      <c r="HMG229" s="1"/>
      <c r="HMH229" s="1"/>
      <c r="HMI229" s="1"/>
      <c r="HMJ229" s="1"/>
      <c r="HMK229" s="1"/>
      <c r="HML229" s="1"/>
      <c r="HMM229" s="1"/>
      <c r="HMN229" s="1"/>
      <c r="HMO229" s="1"/>
      <c r="HMP229" s="1"/>
      <c r="HMQ229" s="1"/>
      <c r="HMR229" s="1"/>
      <c r="HMS229" s="1"/>
      <c r="HMT229" s="1"/>
      <c r="HMU229" s="1"/>
      <c r="HMV229" s="1"/>
      <c r="HMW229" s="1"/>
      <c r="HMX229" s="1"/>
      <c r="HMY229" s="1"/>
      <c r="HMZ229" s="1"/>
      <c r="HNA229" s="1"/>
      <c r="HNB229" s="1"/>
      <c r="HNC229" s="1"/>
      <c r="HND229" s="1"/>
      <c r="HNE229" s="1"/>
      <c r="HNF229" s="1"/>
      <c r="HNG229" s="1"/>
      <c r="HNH229" s="1"/>
      <c r="HNI229" s="1"/>
      <c r="HNJ229" s="1"/>
      <c r="HNK229" s="1"/>
      <c r="HNL229" s="1"/>
      <c r="HNM229" s="1"/>
      <c r="HNN229" s="1"/>
      <c r="HNO229" s="1"/>
      <c r="HNP229" s="1"/>
      <c r="HNQ229" s="1"/>
      <c r="HNR229" s="1"/>
      <c r="HNS229" s="1"/>
      <c r="HNT229" s="1"/>
      <c r="HNU229" s="1"/>
      <c r="HNV229" s="1"/>
      <c r="HNW229" s="1"/>
      <c r="HNX229" s="1"/>
      <c r="HNY229" s="1"/>
      <c r="HNZ229" s="1"/>
      <c r="HOA229" s="1"/>
      <c r="HOB229" s="1"/>
      <c r="HOC229" s="1"/>
      <c r="HOD229" s="1"/>
      <c r="HOE229" s="1"/>
      <c r="HOF229" s="1"/>
      <c r="HOG229" s="1"/>
      <c r="HOH229" s="1"/>
      <c r="HOI229" s="1"/>
      <c r="HOJ229" s="1"/>
      <c r="HOK229" s="1"/>
      <c r="HOL229" s="1"/>
      <c r="HOM229" s="1"/>
      <c r="HON229" s="1"/>
      <c r="HOO229" s="1"/>
      <c r="HOP229" s="1"/>
      <c r="HOQ229" s="1"/>
      <c r="HOR229" s="1"/>
      <c r="HOS229" s="1"/>
      <c r="HOT229" s="1"/>
      <c r="HOU229" s="1"/>
      <c r="HOV229" s="1"/>
      <c r="HOW229" s="1"/>
      <c r="HOX229" s="1"/>
      <c r="HOY229" s="1"/>
      <c r="HOZ229" s="1"/>
      <c r="HPA229" s="1"/>
      <c r="HPB229" s="1"/>
      <c r="HPC229" s="1"/>
      <c r="HPD229" s="1"/>
      <c r="HPE229" s="1"/>
      <c r="HPF229" s="1"/>
      <c r="HPG229" s="1"/>
      <c r="HPH229" s="1"/>
      <c r="HPI229" s="1"/>
      <c r="HPJ229" s="1"/>
      <c r="HPK229" s="1"/>
      <c r="HPL229" s="1"/>
      <c r="HPM229" s="1"/>
      <c r="HPN229" s="1"/>
      <c r="HPO229" s="1"/>
      <c r="HPP229" s="1"/>
      <c r="HPQ229" s="1"/>
      <c r="HPR229" s="1"/>
      <c r="HPS229" s="1"/>
      <c r="HPT229" s="1"/>
      <c r="HPU229" s="1"/>
      <c r="HPV229" s="1"/>
      <c r="HPW229" s="1"/>
      <c r="HPX229" s="1"/>
      <c r="HPY229" s="1"/>
      <c r="HPZ229" s="1"/>
      <c r="HQA229" s="1"/>
      <c r="HQB229" s="1"/>
      <c r="HQC229" s="1"/>
      <c r="HQD229" s="1"/>
      <c r="HQE229" s="1"/>
      <c r="HQF229" s="1"/>
      <c r="HQG229" s="1"/>
      <c r="HQH229" s="1"/>
      <c r="HQI229" s="1"/>
      <c r="HQJ229" s="1"/>
      <c r="HQK229" s="1"/>
      <c r="HQL229" s="1"/>
      <c r="HQM229" s="1"/>
      <c r="HQN229" s="1"/>
      <c r="HQO229" s="1"/>
      <c r="HQP229" s="1"/>
      <c r="HQQ229" s="1"/>
      <c r="HQR229" s="1"/>
      <c r="HQS229" s="1"/>
      <c r="HQT229" s="1"/>
      <c r="HQU229" s="1"/>
      <c r="HQV229" s="1"/>
      <c r="HQW229" s="1"/>
      <c r="HQX229" s="1"/>
      <c r="HQY229" s="1"/>
      <c r="HQZ229" s="1"/>
      <c r="HRA229" s="1"/>
      <c r="HRB229" s="1"/>
      <c r="HRC229" s="1"/>
      <c r="HRD229" s="1"/>
      <c r="HRE229" s="1"/>
      <c r="HRF229" s="1"/>
      <c r="HRG229" s="1"/>
      <c r="HRH229" s="1"/>
      <c r="HRI229" s="1"/>
      <c r="HRJ229" s="1"/>
      <c r="HRK229" s="1"/>
      <c r="HRL229" s="1"/>
      <c r="HRM229" s="1"/>
      <c r="HRN229" s="1"/>
      <c r="HRO229" s="1"/>
      <c r="HRP229" s="1"/>
      <c r="HRQ229" s="1"/>
      <c r="HRR229" s="1"/>
      <c r="HRS229" s="1"/>
      <c r="HRT229" s="1"/>
      <c r="HRU229" s="1"/>
      <c r="HRV229" s="1"/>
      <c r="HRW229" s="1"/>
      <c r="HRX229" s="1"/>
      <c r="HRY229" s="1"/>
      <c r="HRZ229" s="1"/>
      <c r="HSA229" s="1"/>
      <c r="HSB229" s="1"/>
      <c r="HSC229" s="1"/>
      <c r="HSD229" s="1"/>
      <c r="HSE229" s="1"/>
      <c r="HSF229" s="1"/>
      <c r="HSG229" s="1"/>
      <c r="HSH229" s="1"/>
      <c r="HSI229" s="1"/>
      <c r="HSJ229" s="1"/>
      <c r="HSK229" s="1"/>
      <c r="HSL229" s="1"/>
      <c r="HSM229" s="1"/>
      <c r="HSN229" s="1"/>
      <c r="HSO229" s="1"/>
      <c r="HSP229" s="1"/>
      <c r="HSQ229" s="1"/>
      <c r="HSR229" s="1"/>
      <c r="HSS229" s="1"/>
      <c r="HST229" s="1"/>
      <c r="HSU229" s="1"/>
      <c r="HSV229" s="1"/>
      <c r="HSW229" s="1"/>
      <c r="HSX229" s="1"/>
      <c r="HSY229" s="1"/>
      <c r="HSZ229" s="1"/>
      <c r="HTA229" s="1"/>
      <c r="HTB229" s="1"/>
      <c r="HTC229" s="1"/>
      <c r="HTD229" s="1"/>
      <c r="HTE229" s="1"/>
      <c r="HTF229" s="1"/>
      <c r="HTG229" s="1"/>
      <c r="HTH229" s="1"/>
      <c r="HTI229" s="1"/>
      <c r="HTJ229" s="1"/>
      <c r="HTK229" s="1"/>
      <c r="HTL229" s="1"/>
      <c r="HTM229" s="1"/>
      <c r="HTN229" s="1"/>
      <c r="HTO229" s="1"/>
      <c r="HTP229" s="1"/>
      <c r="HTQ229" s="1"/>
      <c r="HTR229" s="1"/>
      <c r="HTS229" s="1"/>
      <c r="HTT229" s="1"/>
      <c r="HTU229" s="1"/>
      <c r="HTV229" s="1"/>
      <c r="HTW229" s="1"/>
      <c r="HTX229" s="1"/>
      <c r="HTY229" s="1"/>
      <c r="HTZ229" s="1"/>
      <c r="HUA229" s="1"/>
      <c r="HUB229" s="1"/>
      <c r="HUC229" s="1"/>
      <c r="HUD229" s="1"/>
      <c r="HUE229" s="1"/>
      <c r="HUF229" s="1"/>
      <c r="HUG229" s="1"/>
      <c r="HUH229" s="1"/>
      <c r="HUI229" s="1"/>
      <c r="HUJ229" s="1"/>
      <c r="HUK229" s="1"/>
      <c r="HUL229" s="1"/>
      <c r="HUM229" s="1"/>
      <c r="HUN229" s="1"/>
      <c r="HUO229" s="1"/>
      <c r="HUP229" s="1"/>
      <c r="HUQ229" s="1"/>
      <c r="HUR229" s="1"/>
      <c r="HUS229" s="1"/>
      <c r="HUT229" s="1"/>
      <c r="HUU229" s="1"/>
      <c r="HUV229" s="1"/>
      <c r="HUW229" s="1"/>
      <c r="HUX229" s="1"/>
      <c r="HUY229" s="1"/>
      <c r="HUZ229" s="1"/>
      <c r="HVA229" s="1"/>
      <c r="HVB229" s="1"/>
      <c r="HVC229" s="1"/>
      <c r="HVD229" s="1"/>
      <c r="HVE229" s="1"/>
      <c r="HVF229" s="1"/>
      <c r="HVG229" s="1"/>
      <c r="HVH229" s="1"/>
      <c r="HVI229" s="1"/>
      <c r="HVJ229" s="1"/>
      <c r="HVK229" s="1"/>
      <c r="HVL229" s="1"/>
      <c r="HVM229" s="1"/>
      <c r="HVN229" s="1"/>
      <c r="HVO229" s="1"/>
      <c r="HVP229" s="1"/>
      <c r="HVQ229" s="1"/>
      <c r="HVR229" s="1"/>
      <c r="HVS229" s="1"/>
      <c r="HVT229" s="1"/>
      <c r="HVU229" s="1"/>
      <c r="HVV229" s="1"/>
      <c r="HVW229" s="1"/>
      <c r="HVX229" s="1"/>
      <c r="HVY229" s="1"/>
      <c r="HVZ229" s="1"/>
      <c r="HWA229" s="1"/>
      <c r="HWB229" s="1"/>
      <c r="HWC229" s="1"/>
      <c r="HWD229" s="1"/>
      <c r="HWE229" s="1"/>
      <c r="HWF229" s="1"/>
      <c r="HWG229" s="1"/>
      <c r="HWH229" s="1"/>
      <c r="HWI229" s="1"/>
      <c r="HWJ229" s="1"/>
      <c r="HWK229" s="1"/>
      <c r="HWL229" s="1"/>
      <c r="HWM229" s="1"/>
      <c r="HWN229" s="1"/>
      <c r="HWO229" s="1"/>
      <c r="HWP229" s="1"/>
      <c r="HWQ229" s="1"/>
      <c r="HWR229" s="1"/>
      <c r="HWS229" s="1"/>
      <c r="HWT229" s="1"/>
      <c r="HWU229" s="1"/>
      <c r="HWV229" s="1"/>
      <c r="HWW229" s="1"/>
      <c r="HWX229" s="1"/>
      <c r="HWY229" s="1"/>
      <c r="HWZ229" s="1"/>
      <c r="HXA229" s="1"/>
      <c r="HXB229" s="1"/>
      <c r="HXC229" s="1"/>
      <c r="HXD229" s="1"/>
      <c r="HXE229" s="1"/>
      <c r="HXF229" s="1"/>
      <c r="HXG229" s="1"/>
      <c r="HXH229" s="1"/>
      <c r="HXI229" s="1"/>
      <c r="HXJ229" s="1"/>
      <c r="HXK229" s="1"/>
      <c r="HXL229" s="1"/>
      <c r="HXM229" s="1"/>
      <c r="HXN229" s="1"/>
      <c r="HXO229" s="1"/>
      <c r="HXP229" s="1"/>
      <c r="HXQ229" s="1"/>
      <c r="HXR229" s="1"/>
      <c r="HXS229" s="1"/>
      <c r="HXT229" s="1"/>
      <c r="HXU229" s="1"/>
      <c r="HXV229" s="1"/>
      <c r="HXW229" s="1"/>
      <c r="HXX229" s="1"/>
      <c r="HXY229" s="1"/>
      <c r="HXZ229" s="1"/>
      <c r="HYA229" s="1"/>
      <c r="HYB229" s="1"/>
      <c r="HYC229" s="1"/>
      <c r="HYD229" s="1"/>
      <c r="HYE229" s="1"/>
      <c r="HYF229" s="1"/>
      <c r="HYG229" s="1"/>
      <c r="HYH229" s="1"/>
      <c r="HYI229" s="1"/>
      <c r="HYJ229" s="1"/>
      <c r="HYK229" s="1"/>
      <c r="HYL229" s="1"/>
      <c r="HYM229" s="1"/>
      <c r="HYN229" s="1"/>
      <c r="HYO229" s="1"/>
      <c r="HYP229" s="1"/>
      <c r="HYQ229" s="1"/>
      <c r="HYR229" s="1"/>
      <c r="HYS229" s="1"/>
      <c r="HYT229" s="1"/>
      <c r="HYU229" s="1"/>
      <c r="HYV229" s="1"/>
      <c r="HYW229" s="1"/>
      <c r="HYX229" s="1"/>
      <c r="HYY229" s="1"/>
      <c r="HYZ229" s="1"/>
      <c r="HZA229" s="1"/>
      <c r="HZB229" s="1"/>
      <c r="HZC229" s="1"/>
      <c r="HZD229" s="1"/>
      <c r="HZE229" s="1"/>
      <c r="HZF229" s="1"/>
      <c r="HZG229" s="1"/>
      <c r="HZH229" s="1"/>
      <c r="HZI229" s="1"/>
      <c r="HZJ229" s="1"/>
      <c r="HZK229" s="1"/>
      <c r="HZL229" s="1"/>
      <c r="HZM229" s="1"/>
      <c r="HZN229" s="1"/>
      <c r="HZO229" s="1"/>
      <c r="HZP229" s="1"/>
      <c r="HZQ229" s="1"/>
      <c r="HZR229" s="1"/>
      <c r="HZS229" s="1"/>
      <c r="HZT229" s="1"/>
      <c r="HZU229" s="1"/>
      <c r="HZV229" s="1"/>
      <c r="HZW229" s="1"/>
      <c r="HZX229" s="1"/>
      <c r="HZY229" s="1"/>
      <c r="HZZ229" s="1"/>
      <c r="IAA229" s="1"/>
      <c r="IAB229" s="1"/>
      <c r="IAC229" s="1"/>
      <c r="IAD229" s="1"/>
      <c r="IAE229" s="1"/>
      <c r="IAF229" s="1"/>
      <c r="IAG229" s="1"/>
      <c r="IAH229" s="1"/>
      <c r="IAI229" s="1"/>
      <c r="IAJ229" s="1"/>
      <c r="IAK229" s="1"/>
      <c r="IAL229" s="1"/>
      <c r="IAM229" s="1"/>
      <c r="IAN229" s="1"/>
      <c r="IAO229" s="1"/>
      <c r="IAP229" s="1"/>
      <c r="IAQ229" s="1"/>
      <c r="IAR229" s="1"/>
      <c r="IAS229" s="1"/>
      <c r="IAT229" s="1"/>
      <c r="IAU229" s="1"/>
      <c r="IAV229" s="1"/>
      <c r="IAW229" s="1"/>
      <c r="IAX229" s="1"/>
      <c r="IAY229" s="1"/>
      <c r="IAZ229" s="1"/>
      <c r="IBA229" s="1"/>
      <c r="IBB229" s="1"/>
      <c r="IBC229" s="1"/>
      <c r="IBD229" s="1"/>
      <c r="IBE229" s="1"/>
      <c r="IBF229" s="1"/>
      <c r="IBG229" s="1"/>
      <c r="IBH229" s="1"/>
      <c r="IBI229" s="1"/>
      <c r="IBJ229" s="1"/>
      <c r="IBK229" s="1"/>
      <c r="IBL229" s="1"/>
      <c r="IBM229" s="1"/>
      <c r="IBN229" s="1"/>
      <c r="IBO229" s="1"/>
      <c r="IBP229" s="1"/>
      <c r="IBQ229" s="1"/>
      <c r="IBR229" s="1"/>
      <c r="IBS229" s="1"/>
      <c r="IBT229" s="1"/>
      <c r="IBU229" s="1"/>
      <c r="IBV229" s="1"/>
      <c r="IBW229" s="1"/>
      <c r="IBX229" s="1"/>
      <c r="IBY229" s="1"/>
      <c r="IBZ229" s="1"/>
      <c r="ICA229" s="1"/>
      <c r="ICB229" s="1"/>
      <c r="ICC229" s="1"/>
      <c r="ICD229" s="1"/>
      <c r="ICE229" s="1"/>
      <c r="ICF229" s="1"/>
      <c r="ICG229" s="1"/>
      <c r="ICH229" s="1"/>
      <c r="ICI229" s="1"/>
      <c r="ICJ229" s="1"/>
      <c r="ICK229" s="1"/>
      <c r="ICL229" s="1"/>
      <c r="ICM229" s="1"/>
      <c r="ICN229" s="1"/>
      <c r="ICO229" s="1"/>
      <c r="ICP229" s="1"/>
      <c r="ICQ229" s="1"/>
      <c r="ICR229" s="1"/>
      <c r="ICS229" s="1"/>
      <c r="ICT229" s="1"/>
      <c r="ICU229" s="1"/>
      <c r="ICV229" s="1"/>
      <c r="ICW229" s="1"/>
      <c r="ICX229" s="1"/>
      <c r="ICY229" s="1"/>
      <c r="ICZ229" s="1"/>
      <c r="IDA229" s="1"/>
      <c r="IDB229" s="1"/>
      <c r="IDC229" s="1"/>
      <c r="IDD229" s="1"/>
      <c r="IDE229" s="1"/>
      <c r="IDF229" s="1"/>
      <c r="IDG229" s="1"/>
      <c r="IDH229" s="1"/>
      <c r="IDI229" s="1"/>
      <c r="IDJ229" s="1"/>
      <c r="IDK229" s="1"/>
      <c r="IDL229" s="1"/>
      <c r="IDM229" s="1"/>
      <c r="IDN229" s="1"/>
      <c r="IDO229" s="1"/>
      <c r="IDP229" s="1"/>
      <c r="IDQ229" s="1"/>
      <c r="IDR229" s="1"/>
      <c r="IDS229" s="1"/>
      <c r="IDT229" s="1"/>
      <c r="IDU229" s="1"/>
      <c r="IDV229" s="1"/>
      <c r="IDW229" s="1"/>
      <c r="IDX229" s="1"/>
      <c r="IDY229" s="1"/>
      <c r="IDZ229" s="1"/>
      <c r="IEA229" s="1"/>
      <c r="IEB229" s="1"/>
      <c r="IEC229" s="1"/>
      <c r="IED229" s="1"/>
      <c r="IEE229" s="1"/>
      <c r="IEF229" s="1"/>
      <c r="IEG229" s="1"/>
      <c r="IEH229" s="1"/>
      <c r="IEI229" s="1"/>
      <c r="IEJ229" s="1"/>
      <c r="IEK229" s="1"/>
      <c r="IEL229" s="1"/>
      <c r="IEM229" s="1"/>
      <c r="IEN229" s="1"/>
      <c r="IEO229" s="1"/>
      <c r="IEP229" s="1"/>
      <c r="IEQ229" s="1"/>
      <c r="IER229" s="1"/>
      <c r="IES229" s="1"/>
      <c r="IET229" s="1"/>
      <c r="IEU229" s="1"/>
      <c r="IEV229" s="1"/>
      <c r="IEW229" s="1"/>
      <c r="IEX229" s="1"/>
      <c r="IEY229" s="1"/>
      <c r="IEZ229" s="1"/>
      <c r="IFA229" s="1"/>
      <c r="IFB229" s="1"/>
      <c r="IFC229" s="1"/>
      <c r="IFD229" s="1"/>
      <c r="IFE229" s="1"/>
      <c r="IFF229" s="1"/>
      <c r="IFG229" s="1"/>
      <c r="IFH229" s="1"/>
      <c r="IFI229" s="1"/>
      <c r="IFJ229" s="1"/>
      <c r="IFK229" s="1"/>
      <c r="IFL229" s="1"/>
      <c r="IFM229" s="1"/>
      <c r="IFN229" s="1"/>
      <c r="IFO229" s="1"/>
      <c r="IFP229" s="1"/>
      <c r="IFQ229" s="1"/>
      <c r="IFR229" s="1"/>
      <c r="IFS229" s="1"/>
      <c r="IFT229" s="1"/>
      <c r="IFU229" s="1"/>
      <c r="IFV229" s="1"/>
      <c r="IFW229" s="1"/>
      <c r="IFX229" s="1"/>
      <c r="IFY229" s="1"/>
      <c r="IFZ229" s="1"/>
      <c r="IGA229" s="1"/>
      <c r="IGB229" s="1"/>
      <c r="IGC229" s="1"/>
      <c r="IGD229" s="1"/>
      <c r="IGE229" s="1"/>
      <c r="IGF229" s="1"/>
      <c r="IGG229" s="1"/>
      <c r="IGH229" s="1"/>
      <c r="IGI229" s="1"/>
      <c r="IGJ229" s="1"/>
      <c r="IGK229" s="1"/>
      <c r="IGL229" s="1"/>
      <c r="IGM229" s="1"/>
      <c r="IGN229" s="1"/>
      <c r="IGO229" s="1"/>
      <c r="IGP229" s="1"/>
      <c r="IGQ229" s="1"/>
      <c r="IGR229" s="1"/>
      <c r="IGS229" s="1"/>
      <c r="IGT229" s="1"/>
      <c r="IGU229" s="1"/>
      <c r="IGV229" s="1"/>
      <c r="IGW229" s="1"/>
      <c r="IGX229" s="1"/>
      <c r="IGY229" s="1"/>
      <c r="IGZ229" s="1"/>
      <c r="IHA229" s="1"/>
      <c r="IHB229" s="1"/>
      <c r="IHC229" s="1"/>
      <c r="IHD229" s="1"/>
      <c r="IHE229" s="1"/>
      <c r="IHF229" s="1"/>
      <c r="IHG229" s="1"/>
      <c r="IHH229" s="1"/>
      <c r="IHI229" s="1"/>
      <c r="IHJ229" s="1"/>
      <c r="IHK229" s="1"/>
      <c r="IHL229" s="1"/>
      <c r="IHM229" s="1"/>
      <c r="IHN229" s="1"/>
      <c r="IHO229" s="1"/>
      <c r="IHP229" s="1"/>
      <c r="IHQ229" s="1"/>
      <c r="IHR229" s="1"/>
      <c r="IHS229" s="1"/>
      <c r="IHT229" s="1"/>
      <c r="IHU229" s="1"/>
      <c r="IHV229" s="1"/>
      <c r="IHW229" s="1"/>
      <c r="IHX229" s="1"/>
      <c r="IHY229" s="1"/>
      <c r="IHZ229" s="1"/>
      <c r="IIA229" s="1"/>
      <c r="IIB229" s="1"/>
      <c r="IIC229" s="1"/>
      <c r="IID229" s="1"/>
      <c r="IIE229" s="1"/>
      <c r="IIF229" s="1"/>
      <c r="IIG229" s="1"/>
      <c r="IIH229" s="1"/>
      <c r="III229" s="1"/>
      <c r="IIJ229" s="1"/>
      <c r="IIK229" s="1"/>
      <c r="IIL229" s="1"/>
      <c r="IIM229" s="1"/>
      <c r="IIN229" s="1"/>
      <c r="IIO229" s="1"/>
      <c r="IIP229" s="1"/>
      <c r="IIQ229" s="1"/>
      <c r="IIR229" s="1"/>
      <c r="IIS229" s="1"/>
      <c r="IIT229" s="1"/>
      <c r="IIU229" s="1"/>
      <c r="IIV229" s="1"/>
      <c r="IIW229" s="1"/>
      <c r="IIX229" s="1"/>
      <c r="IIY229" s="1"/>
      <c r="IIZ229" s="1"/>
      <c r="IJA229" s="1"/>
      <c r="IJB229" s="1"/>
      <c r="IJC229" s="1"/>
      <c r="IJD229" s="1"/>
      <c r="IJE229" s="1"/>
      <c r="IJF229" s="1"/>
      <c r="IJG229" s="1"/>
      <c r="IJH229" s="1"/>
      <c r="IJI229" s="1"/>
      <c r="IJJ229" s="1"/>
      <c r="IJK229" s="1"/>
      <c r="IJL229" s="1"/>
      <c r="IJM229" s="1"/>
      <c r="IJN229" s="1"/>
      <c r="IJO229" s="1"/>
      <c r="IJP229" s="1"/>
      <c r="IJQ229" s="1"/>
      <c r="IJR229" s="1"/>
      <c r="IJS229" s="1"/>
      <c r="IJT229" s="1"/>
      <c r="IJU229" s="1"/>
      <c r="IJV229" s="1"/>
      <c r="IJW229" s="1"/>
      <c r="IJX229" s="1"/>
      <c r="IJY229" s="1"/>
      <c r="IJZ229" s="1"/>
      <c r="IKA229" s="1"/>
      <c r="IKB229" s="1"/>
      <c r="IKC229" s="1"/>
      <c r="IKD229" s="1"/>
      <c r="IKE229" s="1"/>
      <c r="IKF229" s="1"/>
      <c r="IKG229" s="1"/>
      <c r="IKH229" s="1"/>
      <c r="IKI229" s="1"/>
      <c r="IKJ229" s="1"/>
      <c r="IKK229" s="1"/>
      <c r="IKL229" s="1"/>
      <c r="IKM229" s="1"/>
      <c r="IKN229" s="1"/>
      <c r="IKO229" s="1"/>
      <c r="IKP229" s="1"/>
      <c r="IKQ229" s="1"/>
      <c r="IKR229" s="1"/>
      <c r="IKS229" s="1"/>
      <c r="IKT229" s="1"/>
      <c r="IKU229" s="1"/>
      <c r="IKV229" s="1"/>
      <c r="IKW229" s="1"/>
      <c r="IKX229" s="1"/>
      <c r="IKY229" s="1"/>
      <c r="IKZ229" s="1"/>
      <c r="ILA229" s="1"/>
      <c r="ILB229" s="1"/>
      <c r="ILC229" s="1"/>
      <c r="ILD229" s="1"/>
      <c r="ILE229" s="1"/>
      <c r="ILF229" s="1"/>
      <c r="ILG229" s="1"/>
      <c r="ILH229" s="1"/>
      <c r="ILI229" s="1"/>
      <c r="ILJ229" s="1"/>
      <c r="ILK229" s="1"/>
      <c r="ILL229" s="1"/>
      <c r="ILM229" s="1"/>
      <c r="ILN229" s="1"/>
      <c r="ILO229" s="1"/>
      <c r="ILP229" s="1"/>
      <c r="ILQ229" s="1"/>
      <c r="ILR229" s="1"/>
      <c r="ILS229" s="1"/>
      <c r="ILT229" s="1"/>
      <c r="ILU229" s="1"/>
      <c r="ILV229" s="1"/>
      <c r="ILW229" s="1"/>
      <c r="ILX229" s="1"/>
      <c r="ILY229" s="1"/>
      <c r="ILZ229" s="1"/>
      <c r="IMA229" s="1"/>
      <c r="IMB229" s="1"/>
      <c r="IMC229" s="1"/>
      <c r="IMD229" s="1"/>
      <c r="IME229" s="1"/>
      <c r="IMF229" s="1"/>
      <c r="IMG229" s="1"/>
      <c r="IMH229" s="1"/>
      <c r="IMI229" s="1"/>
      <c r="IMJ229" s="1"/>
      <c r="IMK229" s="1"/>
      <c r="IML229" s="1"/>
      <c r="IMM229" s="1"/>
      <c r="IMN229" s="1"/>
      <c r="IMO229" s="1"/>
      <c r="IMP229" s="1"/>
      <c r="IMQ229" s="1"/>
      <c r="IMR229" s="1"/>
      <c r="IMS229" s="1"/>
      <c r="IMT229" s="1"/>
      <c r="IMU229" s="1"/>
      <c r="IMV229" s="1"/>
      <c r="IMW229" s="1"/>
      <c r="IMX229" s="1"/>
      <c r="IMY229" s="1"/>
      <c r="IMZ229" s="1"/>
      <c r="INA229" s="1"/>
      <c r="INB229" s="1"/>
      <c r="INC229" s="1"/>
      <c r="IND229" s="1"/>
      <c r="INE229" s="1"/>
      <c r="INF229" s="1"/>
      <c r="ING229" s="1"/>
      <c r="INH229" s="1"/>
      <c r="INI229" s="1"/>
      <c r="INJ229" s="1"/>
      <c r="INK229" s="1"/>
      <c r="INL229" s="1"/>
      <c r="INM229" s="1"/>
      <c r="INN229" s="1"/>
      <c r="INO229" s="1"/>
      <c r="INP229" s="1"/>
      <c r="INQ229" s="1"/>
      <c r="INR229" s="1"/>
      <c r="INS229" s="1"/>
      <c r="INT229" s="1"/>
      <c r="INU229" s="1"/>
      <c r="INV229" s="1"/>
      <c r="INW229" s="1"/>
      <c r="INX229" s="1"/>
      <c r="INY229" s="1"/>
      <c r="INZ229" s="1"/>
      <c r="IOA229" s="1"/>
      <c r="IOB229" s="1"/>
      <c r="IOC229" s="1"/>
      <c r="IOD229" s="1"/>
      <c r="IOE229" s="1"/>
      <c r="IOF229" s="1"/>
      <c r="IOG229" s="1"/>
      <c r="IOH229" s="1"/>
      <c r="IOI229" s="1"/>
      <c r="IOJ229" s="1"/>
      <c r="IOK229" s="1"/>
      <c r="IOL229" s="1"/>
      <c r="IOM229" s="1"/>
      <c r="ION229" s="1"/>
      <c r="IOO229" s="1"/>
      <c r="IOP229" s="1"/>
      <c r="IOQ229" s="1"/>
      <c r="IOR229" s="1"/>
      <c r="IOS229" s="1"/>
      <c r="IOT229" s="1"/>
      <c r="IOU229" s="1"/>
      <c r="IOV229" s="1"/>
      <c r="IOW229" s="1"/>
      <c r="IOX229" s="1"/>
      <c r="IOY229" s="1"/>
      <c r="IOZ229" s="1"/>
      <c r="IPA229" s="1"/>
      <c r="IPB229" s="1"/>
      <c r="IPC229" s="1"/>
      <c r="IPD229" s="1"/>
      <c r="IPE229" s="1"/>
      <c r="IPF229" s="1"/>
      <c r="IPG229" s="1"/>
      <c r="IPH229" s="1"/>
      <c r="IPI229" s="1"/>
      <c r="IPJ229" s="1"/>
      <c r="IPK229" s="1"/>
      <c r="IPL229" s="1"/>
      <c r="IPM229" s="1"/>
      <c r="IPN229" s="1"/>
      <c r="IPO229" s="1"/>
      <c r="IPP229" s="1"/>
      <c r="IPQ229" s="1"/>
      <c r="IPR229" s="1"/>
      <c r="IPS229" s="1"/>
      <c r="IPT229" s="1"/>
      <c r="IPU229" s="1"/>
      <c r="IPV229" s="1"/>
      <c r="IPW229" s="1"/>
      <c r="IPX229" s="1"/>
      <c r="IPY229" s="1"/>
      <c r="IPZ229" s="1"/>
      <c r="IQA229" s="1"/>
      <c r="IQB229" s="1"/>
      <c r="IQC229" s="1"/>
      <c r="IQD229" s="1"/>
      <c r="IQE229" s="1"/>
      <c r="IQF229" s="1"/>
      <c r="IQG229" s="1"/>
      <c r="IQH229" s="1"/>
      <c r="IQI229" s="1"/>
      <c r="IQJ229" s="1"/>
      <c r="IQK229" s="1"/>
      <c r="IQL229" s="1"/>
      <c r="IQM229" s="1"/>
      <c r="IQN229" s="1"/>
      <c r="IQO229" s="1"/>
      <c r="IQP229" s="1"/>
      <c r="IQQ229" s="1"/>
      <c r="IQR229" s="1"/>
      <c r="IQS229" s="1"/>
      <c r="IQT229" s="1"/>
      <c r="IQU229" s="1"/>
      <c r="IQV229" s="1"/>
      <c r="IQW229" s="1"/>
      <c r="IQX229" s="1"/>
      <c r="IQY229" s="1"/>
      <c r="IQZ229" s="1"/>
      <c r="IRA229" s="1"/>
      <c r="IRB229" s="1"/>
      <c r="IRC229" s="1"/>
      <c r="IRD229" s="1"/>
      <c r="IRE229" s="1"/>
      <c r="IRF229" s="1"/>
      <c r="IRG229" s="1"/>
      <c r="IRH229" s="1"/>
      <c r="IRI229" s="1"/>
      <c r="IRJ229" s="1"/>
      <c r="IRK229" s="1"/>
      <c r="IRL229" s="1"/>
      <c r="IRM229" s="1"/>
      <c r="IRN229" s="1"/>
      <c r="IRO229" s="1"/>
      <c r="IRP229" s="1"/>
      <c r="IRQ229" s="1"/>
      <c r="IRR229" s="1"/>
      <c r="IRS229" s="1"/>
      <c r="IRT229" s="1"/>
      <c r="IRU229" s="1"/>
      <c r="IRV229" s="1"/>
      <c r="IRW229" s="1"/>
      <c r="IRX229" s="1"/>
      <c r="IRY229" s="1"/>
      <c r="IRZ229" s="1"/>
      <c r="ISA229" s="1"/>
      <c r="ISB229" s="1"/>
      <c r="ISC229" s="1"/>
      <c r="ISD229" s="1"/>
      <c r="ISE229" s="1"/>
      <c r="ISF229" s="1"/>
      <c r="ISG229" s="1"/>
      <c r="ISH229" s="1"/>
      <c r="ISI229" s="1"/>
      <c r="ISJ229" s="1"/>
      <c r="ISK229" s="1"/>
      <c r="ISL229" s="1"/>
      <c r="ISM229" s="1"/>
      <c r="ISN229" s="1"/>
      <c r="ISO229" s="1"/>
      <c r="ISP229" s="1"/>
      <c r="ISQ229" s="1"/>
      <c r="ISR229" s="1"/>
      <c r="ISS229" s="1"/>
      <c r="IST229" s="1"/>
      <c r="ISU229" s="1"/>
      <c r="ISV229" s="1"/>
      <c r="ISW229" s="1"/>
      <c r="ISX229" s="1"/>
      <c r="ISY229" s="1"/>
      <c r="ISZ229" s="1"/>
      <c r="ITA229" s="1"/>
      <c r="ITB229" s="1"/>
      <c r="ITC229" s="1"/>
      <c r="ITD229" s="1"/>
      <c r="ITE229" s="1"/>
      <c r="ITF229" s="1"/>
      <c r="ITG229" s="1"/>
      <c r="ITH229" s="1"/>
      <c r="ITI229" s="1"/>
      <c r="ITJ229" s="1"/>
      <c r="ITK229" s="1"/>
      <c r="ITL229" s="1"/>
      <c r="ITM229" s="1"/>
      <c r="ITN229" s="1"/>
      <c r="ITO229" s="1"/>
      <c r="ITP229" s="1"/>
      <c r="ITQ229" s="1"/>
      <c r="ITR229" s="1"/>
      <c r="ITS229" s="1"/>
      <c r="ITT229" s="1"/>
      <c r="ITU229" s="1"/>
      <c r="ITV229" s="1"/>
      <c r="ITW229" s="1"/>
      <c r="ITX229" s="1"/>
      <c r="ITY229" s="1"/>
      <c r="ITZ229" s="1"/>
      <c r="IUA229" s="1"/>
      <c r="IUB229" s="1"/>
      <c r="IUC229" s="1"/>
      <c r="IUD229" s="1"/>
      <c r="IUE229" s="1"/>
      <c r="IUF229" s="1"/>
      <c r="IUG229" s="1"/>
      <c r="IUH229" s="1"/>
      <c r="IUI229" s="1"/>
      <c r="IUJ229" s="1"/>
      <c r="IUK229" s="1"/>
      <c r="IUL229" s="1"/>
      <c r="IUM229" s="1"/>
      <c r="IUN229" s="1"/>
      <c r="IUO229" s="1"/>
      <c r="IUP229" s="1"/>
      <c r="IUQ229" s="1"/>
      <c r="IUR229" s="1"/>
      <c r="IUS229" s="1"/>
      <c r="IUT229" s="1"/>
      <c r="IUU229" s="1"/>
      <c r="IUV229" s="1"/>
      <c r="IUW229" s="1"/>
      <c r="IUX229" s="1"/>
      <c r="IUY229" s="1"/>
      <c r="IUZ229" s="1"/>
      <c r="IVA229" s="1"/>
      <c r="IVB229" s="1"/>
      <c r="IVC229" s="1"/>
      <c r="IVD229" s="1"/>
      <c r="IVE229" s="1"/>
      <c r="IVF229" s="1"/>
      <c r="IVG229" s="1"/>
      <c r="IVH229" s="1"/>
      <c r="IVI229" s="1"/>
      <c r="IVJ229" s="1"/>
      <c r="IVK229" s="1"/>
      <c r="IVL229" s="1"/>
      <c r="IVM229" s="1"/>
      <c r="IVN229" s="1"/>
      <c r="IVO229" s="1"/>
      <c r="IVP229" s="1"/>
      <c r="IVQ229" s="1"/>
      <c r="IVR229" s="1"/>
      <c r="IVS229" s="1"/>
      <c r="IVT229" s="1"/>
      <c r="IVU229" s="1"/>
      <c r="IVV229" s="1"/>
      <c r="IVW229" s="1"/>
      <c r="IVX229" s="1"/>
      <c r="IVY229" s="1"/>
      <c r="IVZ229" s="1"/>
      <c r="IWA229" s="1"/>
      <c r="IWB229" s="1"/>
      <c r="IWC229" s="1"/>
      <c r="IWD229" s="1"/>
      <c r="IWE229" s="1"/>
      <c r="IWF229" s="1"/>
      <c r="IWG229" s="1"/>
      <c r="IWH229" s="1"/>
      <c r="IWI229" s="1"/>
      <c r="IWJ229" s="1"/>
      <c r="IWK229" s="1"/>
      <c r="IWL229" s="1"/>
      <c r="IWM229" s="1"/>
      <c r="IWN229" s="1"/>
      <c r="IWO229" s="1"/>
      <c r="IWP229" s="1"/>
      <c r="IWQ229" s="1"/>
      <c r="IWR229" s="1"/>
      <c r="IWS229" s="1"/>
      <c r="IWT229" s="1"/>
      <c r="IWU229" s="1"/>
      <c r="IWV229" s="1"/>
      <c r="IWW229" s="1"/>
      <c r="IWX229" s="1"/>
      <c r="IWY229" s="1"/>
      <c r="IWZ229" s="1"/>
      <c r="IXA229" s="1"/>
      <c r="IXB229" s="1"/>
      <c r="IXC229" s="1"/>
      <c r="IXD229" s="1"/>
      <c r="IXE229" s="1"/>
      <c r="IXF229" s="1"/>
      <c r="IXG229" s="1"/>
      <c r="IXH229" s="1"/>
      <c r="IXI229" s="1"/>
      <c r="IXJ229" s="1"/>
      <c r="IXK229" s="1"/>
      <c r="IXL229" s="1"/>
      <c r="IXM229" s="1"/>
      <c r="IXN229" s="1"/>
      <c r="IXO229" s="1"/>
      <c r="IXP229" s="1"/>
      <c r="IXQ229" s="1"/>
      <c r="IXR229" s="1"/>
      <c r="IXS229" s="1"/>
      <c r="IXT229" s="1"/>
      <c r="IXU229" s="1"/>
      <c r="IXV229" s="1"/>
      <c r="IXW229" s="1"/>
      <c r="IXX229" s="1"/>
      <c r="IXY229" s="1"/>
      <c r="IXZ229" s="1"/>
      <c r="IYA229" s="1"/>
      <c r="IYB229" s="1"/>
      <c r="IYC229" s="1"/>
      <c r="IYD229" s="1"/>
      <c r="IYE229" s="1"/>
      <c r="IYF229" s="1"/>
      <c r="IYG229" s="1"/>
      <c r="IYH229" s="1"/>
      <c r="IYI229" s="1"/>
      <c r="IYJ229" s="1"/>
      <c r="IYK229" s="1"/>
      <c r="IYL229" s="1"/>
      <c r="IYM229" s="1"/>
      <c r="IYN229" s="1"/>
      <c r="IYO229" s="1"/>
      <c r="IYP229" s="1"/>
      <c r="IYQ229" s="1"/>
      <c r="IYR229" s="1"/>
      <c r="IYS229" s="1"/>
      <c r="IYT229" s="1"/>
      <c r="IYU229" s="1"/>
      <c r="IYV229" s="1"/>
      <c r="IYW229" s="1"/>
      <c r="IYX229" s="1"/>
      <c r="IYY229" s="1"/>
      <c r="IYZ229" s="1"/>
      <c r="IZA229" s="1"/>
      <c r="IZB229" s="1"/>
      <c r="IZC229" s="1"/>
      <c r="IZD229" s="1"/>
      <c r="IZE229" s="1"/>
      <c r="IZF229" s="1"/>
      <c r="IZG229" s="1"/>
      <c r="IZH229" s="1"/>
      <c r="IZI229" s="1"/>
      <c r="IZJ229" s="1"/>
      <c r="IZK229" s="1"/>
      <c r="IZL229" s="1"/>
      <c r="IZM229" s="1"/>
      <c r="IZN229" s="1"/>
      <c r="IZO229" s="1"/>
      <c r="IZP229" s="1"/>
      <c r="IZQ229" s="1"/>
      <c r="IZR229" s="1"/>
      <c r="IZS229" s="1"/>
      <c r="IZT229" s="1"/>
      <c r="IZU229" s="1"/>
      <c r="IZV229" s="1"/>
      <c r="IZW229" s="1"/>
      <c r="IZX229" s="1"/>
      <c r="IZY229" s="1"/>
      <c r="IZZ229" s="1"/>
      <c r="JAA229" s="1"/>
      <c r="JAB229" s="1"/>
      <c r="JAC229" s="1"/>
      <c r="JAD229" s="1"/>
      <c r="JAE229" s="1"/>
      <c r="JAF229" s="1"/>
      <c r="JAG229" s="1"/>
      <c r="JAH229" s="1"/>
      <c r="JAI229" s="1"/>
      <c r="JAJ229" s="1"/>
      <c r="JAK229" s="1"/>
      <c r="JAL229" s="1"/>
      <c r="JAM229" s="1"/>
      <c r="JAN229" s="1"/>
      <c r="JAO229" s="1"/>
      <c r="JAP229" s="1"/>
      <c r="JAQ229" s="1"/>
      <c r="JAR229" s="1"/>
      <c r="JAS229" s="1"/>
      <c r="JAT229" s="1"/>
      <c r="JAU229" s="1"/>
      <c r="JAV229" s="1"/>
      <c r="JAW229" s="1"/>
      <c r="JAX229" s="1"/>
      <c r="JAY229" s="1"/>
      <c r="JAZ229" s="1"/>
      <c r="JBA229" s="1"/>
      <c r="JBB229" s="1"/>
      <c r="JBC229" s="1"/>
      <c r="JBD229" s="1"/>
      <c r="JBE229" s="1"/>
      <c r="JBF229" s="1"/>
      <c r="JBG229" s="1"/>
      <c r="JBH229" s="1"/>
      <c r="JBI229" s="1"/>
      <c r="JBJ229" s="1"/>
      <c r="JBK229" s="1"/>
      <c r="JBL229" s="1"/>
      <c r="JBM229" s="1"/>
      <c r="JBN229" s="1"/>
      <c r="JBO229" s="1"/>
      <c r="JBP229" s="1"/>
      <c r="JBQ229" s="1"/>
      <c r="JBR229" s="1"/>
      <c r="JBS229" s="1"/>
      <c r="JBT229" s="1"/>
      <c r="JBU229" s="1"/>
      <c r="JBV229" s="1"/>
      <c r="JBW229" s="1"/>
      <c r="JBX229" s="1"/>
      <c r="JBY229" s="1"/>
      <c r="JBZ229" s="1"/>
      <c r="JCA229" s="1"/>
      <c r="JCB229" s="1"/>
      <c r="JCC229" s="1"/>
      <c r="JCD229" s="1"/>
      <c r="JCE229" s="1"/>
      <c r="JCF229" s="1"/>
      <c r="JCG229" s="1"/>
      <c r="JCH229" s="1"/>
      <c r="JCI229" s="1"/>
      <c r="JCJ229" s="1"/>
      <c r="JCK229" s="1"/>
      <c r="JCL229" s="1"/>
      <c r="JCM229" s="1"/>
      <c r="JCN229" s="1"/>
      <c r="JCO229" s="1"/>
      <c r="JCP229" s="1"/>
      <c r="JCQ229" s="1"/>
      <c r="JCR229" s="1"/>
      <c r="JCS229" s="1"/>
      <c r="JCT229" s="1"/>
      <c r="JCU229" s="1"/>
      <c r="JCV229" s="1"/>
      <c r="JCW229" s="1"/>
      <c r="JCX229" s="1"/>
      <c r="JCY229" s="1"/>
      <c r="JCZ229" s="1"/>
      <c r="JDA229" s="1"/>
      <c r="JDB229" s="1"/>
      <c r="JDC229" s="1"/>
      <c r="JDD229" s="1"/>
      <c r="JDE229" s="1"/>
      <c r="JDF229" s="1"/>
      <c r="JDG229" s="1"/>
      <c r="JDH229" s="1"/>
      <c r="JDI229" s="1"/>
      <c r="JDJ229" s="1"/>
      <c r="JDK229" s="1"/>
      <c r="JDL229" s="1"/>
      <c r="JDM229" s="1"/>
      <c r="JDN229" s="1"/>
      <c r="JDO229" s="1"/>
      <c r="JDP229" s="1"/>
      <c r="JDQ229" s="1"/>
      <c r="JDR229" s="1"/>
      <c r="JDS229" s="1"/>
      <c r="JDT229" s="1"/>
      <c r="JDU229" s="1"/>
      <c r="JDV229" s="1"/>
      <c r="JDW229" s="1"/>
      <c r="JDX229" s="1"/>
      <c r="JDY229" s="1"/>
      <c r="JDZ229" s="1"/>
      <c r="JEA229" s="1"/>
      <c r="JEB229" s="1"/>
      <c r="JEC229" s="1"/>
      <c r="JED229" s="1"/>
      <c r="JEE229" s="1"/>
      <c r="JEF229" s="1"/>
      <c r="JEG229" s="1"/>
      <c r="JEH229" s="1"/>
      <c r="JEI229" s="1"/>
      <c r="JEJ229" s="1"/>
      <c r="JEK229" s="1"/>
      <c r="JEL229" s="1"/>
      <c r="JEM229" s="1"/>
      <c r="JEN229" s="1"/>
      <c r="JEO229" s="1"/>
      <c r="JEP229" s="1"/>
      <c r="JEQ229" s="1"/>
      <c r="JER229" s="1"/>
      <c r="JES229" s="1"/>
      <c r="JET229" s="1"/>
      <c r="JEU229" s="1"/>
      <c r="JEV229" s="1"/>
      <c r="JEW229" s="1"/>
      <c r="JEX229" s="1"/>
      <c r="JEY229" s="1"/>
      <c r="JEZ229" s="1"/>
      <c r="JFA229" s="1"/>
      <c r="JFB229" s="1"/>
      <c r="JFC229" s="1"/>
      <c r="JFD229" s="1"/>
      <c r="JFE229" s="1"/>
      <c r="JFF229" s="1"/>
      <c r="JFG229" s="1"/>
      <c r="JFH229" s="1"/>
      <c r="JFI229" s="1"/>
      <c r="JFJ229" s="1"/>
      <c r="JFK229" s="1"/>
      <c r="JFL229" s="1"/>
      <c r="JFM229" s="1"/>
      <c r="JFN229" s="1"/>
      <c r="JFO229" s="1"/>
      <c r="JFP229" s="1"/>
      <c r="JFQ229" s="1"/>
      <c r="JFR229" s="1"/>
      <c r="JFS229" s="1"/>
      <c r="JFT229" s="1"/>
      <c r="JFU229" s="1"/>
      <c r="JFV229" s="1"/>
      <c r="JFW229" s="1"/>
      <c r="JFX229" s="1"/>
      <c r="JFY229" s="1"/>
      <c r="JFZ229" s="1"/>
      <c r="JGA229" s="1"/>
      <c r="JGB229" s="1"/>
      <c r="JGC229" s="1"/>
      <c r="JGD229" s="1"/>
      <c r="JGE229" s="1"/>
      <c r="JGF229" s="1"/>
      <c r="JGG229" s="1"/>
      <c r="JGH229" s="1"/>
      <c r="JGI229" s="1"/>
      <c r="JGJ229" s="1"/>
      <c r="JGK229" s="1"/>
      <c r="JGL229" s="1"/>
      <c r="JGM229" s="1"/>
      <c r="JGN229" s="1"/>
      <c r="JGO229" s="1"/>
      <c r="JGP229" s="1"/>
      <c r="JGQ229" s="1"/>
      <c r="JGR229" s="1"/>
      <c r="JGS229" s="1"/>
      <c r="JGT229" s="1"/>
      <c r="JGU229" s="1"/>
      <c r="JGV229" s="1"/>
      <c r="JGW229" s="1"/>
      <c r="JGX229" s="1"/>
      <c r="JGY229" s="1"/>
      <c r="JGZ229" s="1"/>
      <c r="JHA229" s="1"/>
      <c r="JHB229" s="1"/>
      <c r="JHC229" s="1"/>
      <c r="JHD229" s="1"/>
      <c r="JHE229" s="1"/>
      <c r="JHF229" s="1"/>
      <c r="JHG229" s="1"/>
      <c r="JHH229" s="1"/>
      <c r="JHI229" s="1"/>
      <c r="JHJ229" s="1"/>
      <c r="JHK229" s="1"/>
      <c r="JHL229" s="1"/>
      <c r="JHM229" s="1"/>
      <c r="JHN229" s="1"/>
      <c r="JHO229" s="1"/>
      <c r="JHP229" s="1"/>
      <c r="JHQ229" s="1"/>
      <c r="JHR229" s="1"/>
      <c r="JHS229" s="1"/>
      <c r="JHT229" s="1"/>
      <c r="JHU229" s="1"/>
      <c r="JHV229" s="1"/>
      <c r="JHW229" s="1"/>
      <c r="JHX229" s="1"/>
      <c r="JHY229" s="1"/>
      <c r="JHZ229" s="1"/>
      <c r="JIA229" s="1"/>
      <c r="JIB229" s="1"/>
      <c r="JIC229" s="1"/>
      <c r="JID229" s="1"/>
      <c r="JIE229" s="1"/>
      <c r="JIF229" s="1"/>
      <c r="JIG229" s="1"/>
      <c r="JIH229" s="1"/>
      <c r="JII229" s="1"/>
      <c r="JIJ229" s="1"/>
      <c r="JIK229" s="1"/>
      <c r="JIL229" s="1"/>
      <c r="JIM229" s="1"/>
      <c r="JIN229" s="1"/>
      <c r="JIO229" s="1"/>
      <c r="JIP229" s="1"/>
      <c r="JIQ229" s="1"/>
      <c r="JIR229" s="1"/>
      <c r="JIS229" s="1"/>
      <c r="JIT229" s="1"/>
      <c r="JIU229" s="1"/>
      <c r="JIV229" s="1"/>
      <c r="JIW229" s="1"/>
      <c r="JIX229" s="1"/>
      <c r="JIY229" s="1"/>
      <c r="JIZ229" s="1"/>
      <c r="JJA229" s="1"/>
      <c r="JJB229" s="1"/>
      <c r="JJC229" s="1"/>
      <c r="JJD229" s="1"/>
      <c r="JJE229" s="1"/>
      <c r="JJF229" s="1"/>
      <c r="JJG229" s="1"/>
      <c r="JJH229" s="1"/>
      <c r="JJI229" s="1"/>
      <c r="JJJ229" s="1"/>
      <c r="JJK229" s="1"/>
      <c r="JJL229" s="1"/>
      <c r="JJM229" s="1"/>
      <c r="JJN229" s="1"/>
      <c r="JJO229" s="1"/>
      <c r="JJP229" s="1"/>
      <c r="JJQ229" s="1"/>
      <c r="JJR229" s="1"/>
      <c r="JJS229" s="1"/>
      <c r="JJT229" s="1"/>
      <c r="JJU229" s="1"/>
      <c r="JJV229" s="1"/>
      <c r="JJW229" s="1"/>
      <c r="JJX229" s="1"/>
      <c r="JJY229" s="1"/>
      <c r="JJZ229" s="1"/>
      <c r="JKA229" s="1"/>
      <c r="JKB229" s="1"/>
      <c r="JKC229" s="1"/>
      <c r="JKD229" s="1"/>
      <c r="JKE229" s="1"/>
      <c r="JKF229" s="1"/>
      <c r="JKG229" s="1"/>
      <c r="JKH229" s="1"/>
      <c r="JKI229" s="1"/>
      <c r="JKJ229" s="1"/>
      <c r="JKK229" s="1"/>
      <c r="JKL229" s="1"/>
      <c r="JKM229" s="1"/>
      <c r="JKN229" s="1"/>
      <c r="JKO229" s="1"/>
      <c r="JKP229" s="1"/>
      <c r="JKQ229" s="1"/>
      <c r="JKR229" s="1"/>
      <c r="JKS229" s="1"/>
      <c r="JKT229" s="1"/>
      <c r="JKU229" s="1"/>
      <c r="JKV229" s="1"/>
      <c r="JKW229" s="1"/>
      <c r="JKX229" s="1"/>
      <c r="JKY229" s="1"/>
      <c r="JKZ229" s="1"/>
      <c r="JLA229" s="1"/>
      <c r="JLB229" s="1"/>
      <c r="JLC229" s="1"/>
      <c r="JLD229" s="1"/>
      <c r="JLE229" s="1"/>
      <c r="JLF229" s="1"/>
      <c r="JLG229" s="1"/>
      <c r="JLH229" s="1"/>
      <c r="JLI229" s="1"/>
      <c r="JLJ229" s="1"/>
      <c r="JLK229" s="1"/>
      <c r="JLL229" s="1"/>
      <c r="JLM229" s="1"/>
      <c r="JLN229" s="1"/>
      <c r="JLO229" s="1"/>
      <c r="JLP229" s="1"/>
      <c r="JLQ229" s="1"/>
      <c r="JLR229" s="1"/>
      <c r="JLS229" s="1"/>
      <c r="JLT229" s="1"/>
      <c r="JLU229" s="1"/>
      <c r="JLV229" s="1"/>
      <c r="JLW229" s="1"/>
      <c r="JLX229" s="1"/>
      <c r="JLY229" s="1"/>
      <c r="JLZ229" s="1"/>
      <c r="JMA229" s="1"/>
      <c r="JMB229" s="1"/>
      <c r="JMC229" s="1"/>
      <c r="JMD229" s="1"/>
      <c r="JME229" s="1"/>
      <c r="JMF229" s="1"/>
      <c r="JMG229" s="1"/>
      <c r="JMH229" s="1"/>
      <c r="JMI229" s="1"/>
      <c r="JMJ229" s="1"/>
      <c r="JMK229" s="1"/>
      <c r="JML229" s="1"/>
      <c r="JMM229" s="1"/>
      <c r="JMN229" s="1"/>
      <c r="JMO229" s="1"/>
      <c r="JMP229" s="1"/>
      <c r="JMQ229" s="1"/>
      <c r="JMR229" s="1"/>
      <c r="JMS229" s="1"/>
      <c r="JMT229" s="1"/>
      <c r="JMU229" s="1"/>
      <c r="JMV229" s="1"/>
      <c r="JMW229" s="1"/>
      <c r="JMX229" s="1"/>
      <c r="JMY229" s="1"/>
      <c r="JMZ229" s="1"/>
      <c r="JNA229" s="1"/>
      <c r="JNB229" s="1"/>
      <c r="JNC229" s="1"/>
      <c r="JND229" s="1"/>
      <c r="JNE229" s="1"/>
      <c r="JNF229" s="1"/>
      <c r="JNG229" s="1"/>
      <c r="JNH229" s="1"/>
      <c r="JNI229" s="1"/>
      <c r="JNJ229" s="1"/>
      <c r="JNK229" s="1"/>
      <c r="JNL229" s="1"/>
      <c r="JNM229" s="1"/>
      <c r="JNN229" s="1"/>
      <c r="JNO229" s="1"/>
      <c r="JNP229" s="1"/>
      <c r="JNQ229" s="1"/>
      <c r="JNR229" s="1"/>
      <c r="JNS229" s="1"/>
      <c r="JNT229" s="1"/>
      <c r="JNU229" s="1"/>
      <c r="JNV229" s="1"/>
      <c r="JNW229" s="1"/>
      <c r="JNX229" s="1"/>
      <c r="JNY229" s="1"/>
      <c r="JNZ229" s="1"/>
      <c r="JOA229" s="1"/>
      <c r="JOB229" s="1"/>
      <c r="JOC229" s="1"/>
      <c r="JOD229" s="1"/>
      <c r="JOE229" s="1"/>
      <c r="JOF229" s="1"/>
      <c r="JOG229" s="1"/>
      <c r="JOH229" s="1"/>
      <c r="JOI229" s="1"/>
      <c r="JOJ229" s="1"/>
      <c r="JOK229" s="1"/>
      <c r="JOL229" s="1"/>
      <c r="JOM229" s="1"/>
      <c r="JON229" s="1"/>
      <c r="JOO229" s="1"/>
      <c r="JOP229" s="1"/>
      <c r="JOQ229" s="1"/>
      <c r="JOR229" s="1"/>
      <c r="JOS229" s="1"/>
      <c r="JOT229" s="1"/>
      <c r="JOU229" s="1"/>
      <c r="JOV229" s="1"/>
      <c r="JOW229" s="1"/>
      <c r="JOX229" s="1"/>
      <c r="JOY229" s="1"/>
      <c r="JOZ229" s="1"/>
      <c r="JPA229" s="1"/>
      <c r="JPB229" s="1"/>
      <c r="JPC229" s="1"/>
      <c r="JPD229" s="1"/>
      <c r="JPE229" s="1"/>
      <c r="JPF229" s="1"/>
      <c r="JPG229" s="1"/>
      <c r="JPH229" s="1"/>
      <c r="JPI229" s="1"/>
      <c r="JPJ229" s="1"/>
      <c r="JPK229" s="1"/>
      <c r="JPL229" s="1"/>
      <c r="JPM229" s="1"/>
      <c r="JPN229" s="1"/>
      <c r="JPO229" s="1"/>
      <c r="JPP229" s="1"/>
      <c r="JPQ229" s="1"/>
      <c r="JPR229" s="1"/>
      <c r="JPS229" s="1"/>
      <c r="JPT229" s="1"/>
      <c r="JPU229" s="1"/>
      <c r="JPV229" s="1"/>
      <c r="JPW229" s="1"/>
      <c r="JPX229" s="1"/>
      <c r="JPY229" s="1"/>
      <c r="JPZ229" s="1"/>
      <c r="JQA229" s="1"/>
      <c r="JQB229" s="1"/>
      <c r="JQC229" s="1"/>
      <c r="JQD229" s="1"/>
      <c r="JQE229" s="1"/>
      <c r="JQF229" s="1"/>
      <c r="JQG229" s="1"/>
      <c r="JQH229" s="1"/>
      <c r="JQI229" s="1"/>
      <c r="JQJ229" s="1"/>
      <c r="JQK229" s="1"/>
      <c r="JQL229" s="1"/>
      <c r="JQM229" s="1"/>
      <c r="JQN229" s="1"/>
      <c r="JQO229" s="1"/>
      <c r="JQP229" s="1"/>
      <c r="JQQ229" s="1"/>
      <c r="JQR229" s="1"/>
      <c r="JQS229" s="1"/>
      <c r="JQT229" s="1"/>
      <c r="JQU229" s="1"/>
      <c r="JQV229" s="1"/>
      <c r="JQW229" s="1"/>
      <c r="JQX229" s="1"/>
      <c r="JQY229" s="1"/>
      <c r="JQZ229" s="1"/>
      <c r="JRA229" s="1"/>
      <c r="JRB229" s="1"/>
      <c r="JRC229" s="1"/>
      <c r="JRD229" s="1"/>
      <c r="JRE229" s="1"/>
      <c r="JRF229" s="1"/>
      <c r="JRG229" s="1"/>
      <c r="JRH229" s="1"/>
      <c r="JRI229" s="1"/>
      <c r="JRJ229" s="1"/>
      <c r="JRK229" s="1"/>
      <c r="JRL229" s="1"/>
      <c r="JRM229" s="1"/>
      <c r="JRN229" s="1"/>
      <c r="JRO229" s="1"/>
      <c r="JRP229" s="1"/>
      <c r="JRQ229" s="1"/>
      <c r="JRR229" s="1"/>
      <c r="JRS229" s="1"/>
      <c r="JRT229" s="1"/>
      <c r="JRU229" s="1"/>
      <c r="JRV229" s="1"/>
      <c r="JRW229" s="1"/>
      <c r="JRX229" s="1"/>
      <c r="JRY229" s="1"/>
      <c r="JRZ229" s="1"/>
      <c r="JSA229" s="1"/>
      <c r="JSB229" s="1"/>
      <c r="JSC229" s="1"/>
      <c r="JSD229" s="1"/>
      <c r="JSE229" s="1"/>
      <c r="JSF229" s="1"/>
      <c r="JSG229" s="1"/>
      <c r="JSH229" s="1"/>
      <c r="JSI229" s="1"/>
      <c r="JSJ229" s="1"/>
      <c r="JSK229" s="1"/>
      <c r="JSL229" s="1"/>
      <c r="JSM229" s="1"/>
      <c r="JSN229" s="1"/>
      <c r="JSO229" s="1"/>
      <c r="JSP229" s="1"/>
      <c r="JSQ229" s="1"/>
      <c r="JSR229" s="1"/>
      <c r="JSS229" s="1"/>
      <c r="JST229" s="1"/>
      <c r="JSU229" s="1"/>
      <c r="JSV229" s="1"/>
      <c r="JSW229" s="1"/>
      <c r="JSX229" s="1"/>
      <c r="JSY229" s="1"/>
      <c r="JSZ229" s="1"/>
      <c r="JTA229" s="1"/>
      <c r="JTB229" s="1"/>
      <c r="JTC229" s="1"/>
      <c r="JTD229" s="1"/>
      <c r="JTE229" s="1"/>
      <c r="JTF229" s="1"/>
      <c r="JTG229" s="1"/>
      <c r="JTH229" s="1"/>
      <c r="JTI229" s="1"/>
      <c r="JTJ229" s="1"/>
      <c r="JTK229" s="1"/>
      <c r="JTL229" s="1"/>
      <c r="JTM229" s="1"/>
      <c r="JTN229" s="1"/>
      <c r="JTO229" s="1"/>
      <c r="JTP229" s="1"/>
      <c r="JTQ229" s="1"/>
      <c r="JTR229" s="1"/>
      <c r="JTS229" s="1"/>
      <c r="JTT229" s="1"/>
      <c r="JTU229" s="1"/>
      <c r="JTV229" s="1"/>
      <c r="JTW229" s="1"/>
      <c r="JTX229" s="1"/>
      <c r="JTY229" s="1"/>
      <c r="JTZ229" s="1"/>
      <c r="JUA229" s="1"/>
      <c r="JUB229" s="1"/>
      <c r="JUC229" s="1"/>
      <c r="JUD229" s="1"/>
      <c r="JUE229" s="1"/>
      <c r="JUF229" s="1"/>
      <c r="JUG229" s="1"/>
      <c r="JUH229" s="1"/>
      <c r="JUI229" s="1"/>
      <c r="JUJ229" s="1"/>
      <c r="JUK229" s="1"/>
      <c r="JUL229" s="1"/>
      <c r="JUM229" s="1"/>
      <c r="JUN229" s="1"/>
      <c r="JUO229" s="1"/>
      <c r="JUP229" s="1"/>
      <c r="JUQ229" s="1"/>
      <c r="JUR229" s="1"/>
      <c r="JUS229" s="1"/>
      <c r="JUT229" s="1"/>
      <c r="JUU229" s="1"/>
      <c r="JUV229" s="1"/>
      <c r="JUW229" s="1"/>
      <c r="JUX229" s="1"/>
      <c r="JUY229" s="1"/>
      <c r="JUZ229" s="1"/>
      <c r="JVA229" s="1"/>
      <c r="JVB229" s="1"/>
      <c r="JVC229" s="1"/>
      <c r="JVD229" s="1"/>
      <c r="JVE229" s="1"/>
      <c r="JVF229" s="1"/>
      <c r="JVG229" s="1"/>
      <c r="JVH229" s="1"/>
      <c r="JVI229" s="1"/>
      <c r="JVJ229" s="1"/>
      <c r="JVK229" s="1"/>
      <c r="JVL229" s="1"/>
      <c r="JVM229" s="1"/>
      <c r="JVN229" s="1"/>
      <c r="JVO229" s="1"/>
      <c r="JVP229" s="1"/>
      <c r="JVQ229" s="1"/>
      <c r="JVR229" s="1"/>
      <c r="JVS229" s="1"/>
      <c r="JVT229" s="1"/>
      <c r="JVU229" s="1"/>
      <c r="JVV229" s="1"/>
      <c r="JVW229" s="1"/>
      <c r="JVX229" s="1"/>
      <c r="JVY229" s="1"/>
      <c r="JVZ229" s="1"/>
      <c r="JWA229" s="1"/>
      <c r="JWB229" s="1"/>
      <c r="JWC229" s="1"/>
      <c r="JWD229" s="1"/>
      <c r="JWE229" s="1"/>
      <c r="JWF229" s="1"/>
      <c r="JWG229" s="1"/>
      <c r="JWH229" s="1"/>
      <c r="JWI229" s="1"/>
      <c r="JWJ229" s="1"/>
      <c r="JWK229" s="1"/>
      <c r="JWL229" s="1"/>
      <c r="JWM229" s="1"/>
      <c r="JWN229" s="1"/>
      <c r="JWO229" s="1"/>
      <c r="JWP229" s="1"/>
      <c r="JWQ229" s="1"/>
      <c r="JWR229" s="1"/>
      <c r="JWS229" s="1"/>
      <c r="JWT229" s="1"/>
      <c r="JWU229" s="1"/>
      <c r="JWV229" s="1"/>
      <c r="JWW229" s="1"/>
      <c r="JWX229" s="1"/>
      <c r="JWY229" s="1"/>
      <c r="JWZ229" s="1"/>
      <c r="JXA229" s="1"/>
      <c r="JXB229" s="1"/>
      <c r="JXC229" s="1"/>
      <c r="JXD229" s="1"/>
      <c r="JXE229" s="1"/>
      <c r="JXF229" s="1"/>
      <c r="JXG229" s="1"/>
      <c r="JXH229" s="1"/>
      <c r="JXI229" s="1"/>
      <c r="JXJ229" s="1"/>
      <c r="JXK229" s="1"/>
      <c r="JXL229" s="1"/>
      <c r="JXM229" s="1"/>
      <c r="JXN229" s="1"/>
      <c r="JXO229" s="1"/>
      <c r="JXP229" s="1"/>
      <c r="JXQ229" s="1"/>
      <c r="JXR229" s="1"/>
      <c r="JXS229" s="1"/>
      <c r="JXT229" s="1"/>
      <c r="JXU229" s="1"/>
      <c r="JXV229" s="1"/>
      <c r="JXW229" s="1"/>
      <c r="JXX229" s="1"/>
      <c r="JXY229" s="1"/>
      <c r="JXZ229" s="1"/>
      <c r="JYA229" s="1"/>
      <c r="JYB229" s="1"/>
      <c r="JYC229" s="1"/>
      <c r="JYD229" s="1"/>
      <c r="JYE229" s="1"/>
      <c r="JYF229" s="1"/>
      <c r="JYG229" s="1"/>
      <c r="JYH229" s="1"/>
      <c r="JYI229" s="1"/>
      <c r="JYJ229" s="1"/>
      <c r="JYK229" s="1"/>
      <c r="JYL229" s="1"/>
      <c r="JYM229" s="1"/>
      <c r="JYN229" s="1"/>
      <c r="JYO229" s="1"/>
      <c r="JYP229" s="1"/>
      <c r="JYQ229" s="1"/>
      <c r="JYR229" s="1"/>
      <c r="JYS229" s="1"/>
      <c r="JYT229" s="1"/>
      <c r="JYU229" s="1"/>
      <c r="JYV229" s="1"/>
      <c r="JYW229" s="1"/>
      <c r="JYX229" s="1"/>
      <c r="JYY229" s="1"/>
      <c r="JYZ229" s="1"/>
      <c r="JZA229" s="1"/>
      <c r="JZB229" s="1"/>
      <c r="JZC229" s="1"/>
      <c r="JZD229" s="1"/>
      <c r="JZE229" s="1"/>
      <c r="JZF229" s="1"/>
      <c r="JZG229" s="1"/>
      <c r="JZH229" s="1"/>
      <c r="JZI229" s="1"/>
      <c r="JZJ229" s="1"/>
      <c r="JZK229" s="1"/>
      <c r="JZL229" s="1"/>
      <c r="JZM229" s="1"/>
      <c r="JZN229" s="1"/>
      <c r="JZO229" s="1"/>
      <c r="JZP229" s="1"/>
      <c r="JZQ229" s="1"/>
      <c r="JZR229" s="1"/>
      <c r="JZS229" s="1"/>
      <c r="JZT229" s="1"/>
      <c r="JZU229" s="1"/>
      <c r="JZV229" s="1"/>
      <c r="JZW229" s="1"/>
      <c r="JZX229" s="1"/>
      <c r="JZY229" s="1"/>
      <c r="JZZ229" s="1"/>
      <c r="KAA229" s="1"/>
      <c r="KAB229" s="1"/>
      <c r="KAC229" s="1"/>
      <c r="KAD229" s="1"/>
      <c r="KAE229" s="1"/>
      <c r="KAF229" s="1"/>
      <c r="KAG229" s="1"/>
      <c r="KAH229" s="1"/>
      <c r="KAI229" s="1"/>
      <c r="KAJ229" s="1"/>
      <c r="KAK229" s="1"/>
      <c r="KAL229" s="1"/>
      <c r="KAM229" s="1"/>
      <c r="KAN229" s="1"/>
      <c r="KAO229" s="1"/>
      <c r="KAP229" s="1"/>
      <c r="KAQ229" s="1"/>
      <c r="KAR229" s="1"/>
      <c r="KAS229" s="1"/>
      <c r="KAT229" s="1"/>
      <c r="KAU229" s="1"/>
      <c r="KAV229" s="1"/>
      <c r="KAW229" s="1"/>
      <c r="KAX229" s="1"/>
      <c r="KAY229" s="1"/>
      <c r="KAZ229" s="1"/>
      <c r="KBA229" s="1"/>
      <c r="KBB229" s="1"/>
      <c r="KBC229" s="1"/>
      <c r="KBD229" s="1"/>
      <c r="KBE229" s="1"/>
      <c r="KBF229" s="1"/>
      <c r="KBG229" s="1"/>
      <c r="KBH229" s="1"/>
      <c r="KBI229" s="1"/>
      <c r="KBJ229" s="1"/>
      <c r="KBK229" s="1"/>
      <c r="KBL229" s="1"/>
      <c r="KBM229" s="1"/>
      <c r="KBN229" s="1"/>
      <c r="KBO229" s="1"/>
      <c r="KBP229" s="1"/>
      <c r="KBQ229" s="1"/>
      <c r="KBR229" s="1"/>
      <c r="KBS229" s="1"/>
      <c r="KBT229" s="1"/>
      <c r="KBU229" s="1"/>
      <c r="KBV229" s="1"/>
      <c r="KBW229" s="1"/>
      <c r="KBX229" s="1"/>
      <c r="KBY229" s="1"/>
      <c r="KBZ229" s="1"/>
      <c r="KCA229" s="1"/>
      <c r="KCB229" s="1"/>
      <c r="KCC229" s="1"/>
      <c r="KCD229" s="1"/>
      <c r="KCE229" s="1"/>
      <c r="KCF229" s="1"/>
      <c r="KCG229" s="1"/>
      <c r="KCH229" s="1"/>
      <c r="KCI229" s="1"/>
      <c r="KCJ229" s="1"/>
      <c r="KCK229" s="1"/>
      <c r="KCL229" s="1"/>
      <c r="KCM229" s="1"/>
      <c r="KCN229" s="1"/>
      <c r="KCO229" s="1"/>
      <c r="KCP229" s="1"/>
      <c r="KCQ229" s="1"/>
      <c r="KCR229" s="1"/>
      <c r="KCS229" s="1"/>
      <c r="KCT229" s="1"/>
      <c r="KCU229" s="1"/>
      <c r="KCV229" s="1"/>
      <c r="KCW229" s="1"/>
      <c r="KCX229" s="1"/>
      <c r="KCY229" s="1"/>
      <c r="KCZ229" s="1"/>
      <c r="KDA229" s="1"/>
      <c r="KDB229" s="1"/>
      <c r="KDC229" s="1"/>
      <c r="KDD229" s="1"/>
      <c r="KDE229" s="1"/>
      <c r="KDF229" s="1"/>
      <c r="KDG229" s="1"/>
      <c r="KDH229" s="1"/>
      <c r="KDI229" s="1"/>
      <c r="KDJ229" s="1"/>
      <c r="KDK229" s="1"/>
      <c r="KDL229" s="1"/>
      <c r="KDM229" s="1"/>
      <c r="KDN229" s="1"/>
      <c r="KDO229" s="1"/>
      <c r="KDP229" s="1"/>
      <c r="KDQ229" s="1"/>
      <c r="KDR229" s="1"/>
      <c r="KDS229" s="1"/>
      <c r="KDT229" s="1"/>
      <c r="KDU229" s="1"/>
      <c r="KDV229" s="1"/>
      <c r="KDW229" s="1"/>
      <c r="KDX229" s="1"/>
      <c r="KDY229" s="1"/>
      <c r="KDZ229" s="1"/>
      <c r="KEA229" s="1"/>
      <c r="KEB229" s="1"/>
      <c r="KEC229" s="1"/>
      <c r="KED229" s="1"/>
      <c r="KEE229" s="1"/>
      <c r="KEF229" s="1"/>
      <c r="KEG229" s="1"/>
      <c r="KEH229" s="1"/>
      <c r="KEI229" s="1"/>
      <c r="KEJ229" s="1"/>
      <c r="KEK229" s="1"/>
      <c r="KEL229" s="1"/>
      <c r="KEM229" s="1"/>
      <c r="KEN229" s="1"/>
      <c r="KEO229" s="1"/>
      <c r="KEP229" s="1"/>
      <c r="KEQ229" s="1"/>
      <c r="KER229" s="1"/>
      <c r="KES229" s="1"/>
      <c r="KET229" s="1"/>
      <c r="KEU229" s="1"/>
      <c r="KEV229" s="1"/>
      <c r="KEW229" s="1"/>
      <c r="KEX229" s="1"/>
      <c r="KEY229" s="1"/>
      <c r="KEZ229" s="1"/>
      <c r="KFA229" s="1"/>
      <c r="KFB229" s="1"/>
      <c r="KFC229" s="1"/>
      <c r="KFD229" s="1"/>
      <c r="KFE229" s="1"/>
      <c r="KFF229" s="1"/>
      <c r="KFG229" s="1"/>
      <c r="KFH229" s="1"/>
      <c r="KFI229" s="1"/>
      <c r="KFJ229" s="1"/>
      <c r="KFK229" s="1"/>
      <c r="KFL229" s="1"/>
      <c r="KFM229" s="1"/>
      <c r="KFN229" s="1"/>
      <c r="KFO229" s="1"/>
      <c r="KFP229" s="1"/>
      <c r="KFQ229" s="1"/>
      <c r="KFR229" s="1"/>
      <c r="KFS229" s="1"/>
      <c r="KFT229" s="1"/>
      <c r="KFU229" s="1"/>
      <c r="KFV229" s="1"/>
      <c r="KFW229" s="1"/>
      <c r="KFX229" s="1"/>
      <c r="KFY229" s="1"/>
      <c r="KFZ229" s="1"/>
      <c r="KGA229" s="1"/>
      <c r="KGB229" s="1"/>
      <c r="KGC229" s="1"/>
      <c r="KGD229" s="1"/>
      <c r="KGE229" s="1"/>
      <c r="KGF229" s="1"/>
      <c r="KGG229" s="1"/>
      <c r="KGH229" s="1"/>
      <c r="KGI229" s="1"/>
      <c r="KGJ229" s="1"/>
      <c r="KGK229" s="1"/>
      <c r="KGL229" s="1"/>
      <c r="KGM229" s="1"/>
      <c r="KGN229" s="1"/>
      <c r="KGO229" s="1"/>
      <c r="KGP229" s="1"/>
      <c r="KGQ229" s="1"/>
      <c r="KGR229" s="1"/>
      <c r="KGS229" s="1"/>
      <c r="KGT229" s="1"/>
      <c r="KGU229" s="1"/>
      <c r="KGV229" s="1"/>
      <c r="KGW229" s="1"/>
      <c r="KGX229" s="1"/>
      <c r="KGY229" s="1"/>
      <c r="KGZ229" s="1"/>
      <c r="KHA229" s="1"/>
      <c r="KHB229" s="1"/>
      <c r="KHC229" s="1"/>
      <c r="KHD229" s="1"/>
      <c r="KHE229" s="1"/>
      <c r="KHF229" s="1"/>
      <c r="KHG229" s="1"/>
      <c r="KHH229" s="1"/>
      <c r="KHI229" s="1"/>
      <c r="KHJ229" s="1"/>
      <c r="KHK229" s="1"/>
      <c r="KHL229" s="1"/>
      <c r="KHM229" s="1"/>
      <c r="KHN229" s="1"/>
      <c r="KHO229" s="1"/>
      <c r="KHP229" s="1"/>
      <c r="KHQ229" s="1"/>
      <c r="KHR229" s="1"/>
      <c r="KHS229" s="1"/>
      <c r="KHT229" s="1"/>
      <c r="KHU229" s="1"/>
      <c r="KHV229" s="1"/>
      <c r="KHW229" s="1"/>
      <c r="KHX229" s="1"/>
      <c r="KHY229" s="1"/>
      <c r="KHZ229" s="1"/>
      <c r="KIA229" s="1"/>
      <c r="KIB229" s="1"/>
      <c r="KIC229" s="1"/>
      <c r="KID229" s="1"/>
      <c r="KIE229" s="1"/>
      <c r="KIF229" s="1"/>
      <c r="KIG229" s="1"/>
      <c r="KIH229" s="1"/>
      <c r="KII229" s="1"/>
      <c r="KIJ229" s="1"/>
      <c r="KIK229" s="1"/>
      <c r="KIL229" s="1"/>
      <c r="KIM229" s="1"/>
      <c r="KIN229" s="1"/>
      <c r="KIO229" s="1"/>
      <c r="KIP229" s="1"/>
      <c r="KIQ229" s="1"/>
      <c r="KIR229" s="1"/>
      <c r="KIS229" s="1"/>
      <c r="KIT229" s="1"/>
      <c r="KIU229" s="1"/>
      <c r="KIV229" s="1"/>
      <c r="KIW229" s="1"/>
      <c r="KIX229" s="1"/>
      <c r="KIY229" s="1"/>
      <c r="KIZ229" s="1"/>
      <c r="KJA229" s="1"/>
      <c r="KJB229" s="1"/>
      <c r="KJC229" s="1"/>
      <c r="KJD229" s="1"/>
      <c r="KJE229" s="1"/>
      <c r="KJF229" s="1"/>
      <c r="KJG229" s="1"/>
      <c r="KJH229" s="1"/>
      <c r="KJI229" s="1"/>
      <c r="KJJ229" s="1"/>
      <c r="KJK229" s="1"/>
      <c r="KJL229" s="1"/>
      <c r="KJM229" s="1"/>
      <c r="KJN229" s="1"/>
      <c r="KJO229" s="1"/>
      <c r="KJP229" s="1"/>
      <c r="KJQ229" s="1"/>
      <c r="KJR229" s="1"/>
      <c r="KJS229" s="1"/>
      <c r="KJT229" s="1"/>
      <c r="KJU229" s="1"/>
      <c r="KJV229" s="1"/>
      <c r="KJW229" s="1"/>
      <c r="KJX229" s="1"/>
      <c r="KJY229" s="1"/>
      <c r="KJZ229" s="1"/>
      <c r="KKA229" s="1"/>
      <c r="KKB229" s="1"/>
      <c r="KKC229" s="1"/>
      <c r="KKD229" s="1"/>
      <c r="KKE229" s="1"/>
      <c r="KKF229" s="1"/>
      <c r="KKG229" s="1"/>
      <c r="KKH229" s="1"/>
      <c r="KKI229" s="1"/>
      <c r="KKJ229" s="1"/>
      <c r="KKK229" s="1"/>
      <c r="KKL229" s="1"/>
      <c r="KKM229" s="1"/>
      <c r="KKN229" s="1"/>
      <c r="KKO229" s="1"/>
      <c r="KKP229" s="1"/>
      <c r="KKQ229" s="1"/>
      <c r="KKR229" s="1"/>
      <c r="KKS229" s="1"/>
      <c r="KKT229" s="1"/>
      <c r="KKU229" s="1"/>
      <c r="KKV229" s="1"/>
      <c r="KKW229" s="1"/>
      <c r="KKX229" s="1"/>
      <c r="KKY229" s="1"/>
      <c r="KKZ229" s="1"/>
      <c r="KLA229" s="1"/>
      <c r="KLB229" s="1"/>
      <c r="KLC229" s="1"/>
      <c r="KLD229" s="1"/>
      <c r="KLE229" s="1"/>
      <c r="KLF229" s="1"/>
      <c r="KLG229" s="1"/>
      <c r="KLH229" s="1"/>
      <c r="KLI229" s="1"/>
      <c r="KLJ229" s="1"/>
      <c r="KLK229" s="1"/>
      <c r="KLL229" s="1"/>
      <c r="KLM229" s="1"/>
      <c r="KLN229" s="1"/>
      <c r="KLO229" s="1"/>
      <c r="KLP229" s="1"/>
      <c r="KLQ229" s="1"/>
      <c r="KLR229" s="1"/>
      <c r="KLS229" s="1"/>
      <c r="KLT229" s="1"/>
      <c r="KLU229" s="1"/>
      <c r="KLV229" s="1"/>
      <c r="KLW229" s="1"/>
      <c r="KLX229" s="1"/>
      <c r="KLY229" s="1"/>
      <c r="KLZ229" s="1"/>
      <c r="KMA229" s="1"/>
      <c r="KMB229" s="1"/>
      <c r="KMC229" s="1"/>
      <c r="KMD229" s="1"/>
      <c r="KME229" s="1"/>
      <c r="KMF229" s="1"/>
      <c r="KMG229" s="1"/>
      <c r="KMH229" s="1"/>
      <c r="KMI229" s="1"/>
      <c r="KMJ229" s="1"/>
      <c r="KMK229" s="1"/>
      <c r="KML229" s="1"/>
      <c r="KMM229" s="1"/>
      <c r="KMN229" s="1"/>
      <c r="KMO229" s="1"/>
      <c r="KMP229" s="1"/>
      <c r="KMQ229" s="1"/>
      <c r="KMR229" s="1"/>
      <c r="KMS229" s="1"/>
      <c r="KMT229" s="1"/>
      <c r="KMU229" s="1"/>
      <c r="KMV229" s="1"/>
      <c r="KMW229" s="1"/>
      <c r="KMX229" s="1"/>
      <c r="KMY229" s="1"/>
      <c r="KMZ229" s="1"/>
      <c r="KNA229" s="1"/>
      <c r="KNB229" s="1"/>
      <c r="KNC229" s="1"/>
      <c r="KND229" s="1"/>
      <c r="KNE229" s="1"/>
      <c r="KNF229" s="1"/>
      <c r="KNG229" s="1"/>
      <c r="KNH229" s="1"/>
      <c r="KNI229" s="1"/>
      <c r="KNJ229" s="1"/>
      <c r="KNK229" s="1"/>
      <c r="KNL229" s="1"/>
      <c r="KNM229" s="1"/>
      <c r="KNN229" s="1"/>
      <c r="KNO229" s="1"/>
      <c r="KNP229" s="1"/>
      <c r="KNQ229" s="1"/>
      <c r="KNR229" s="1"/>
      <c r="KNS229" s="1"/>
      <c r="KNT229" s="1"/>
      <c r="KNU229" s="1"/>
      <c r="KNV229" s="1"/>
      <c r="KNW229" s="1"/>
      <c r="KNX229" s="1"/>
      <c r="KNY229" s="1"/>
      <c r="KNZ229" s="1"/>
      <c r="KOA229" s="1"/>
      <c r="KOB229" s="1"/>
      <c r="KOC229" s="1"/>
      <c r="KOD229" s="1"/>
      <c r="KOE229" s="1"/>
      <c r="KOF229" s="1"/>
      <c r="KOG229" s="1"/>
      <c r="KOH229" s="1"/>
      <c r="KOI229" s="1"/>
      <c r="KOJ229" s="1"/>
      <c r="KOK229" s="1"/>
      <c r="KOL229" s="1"/>
      <c r="KOM229" s="1"/>
      <c r="KON229" s="1"/>
      <c r="KOO229" s="1"/>
      <c r="KOP229" s="1"/>
      <c r="KOQ229" s="1"/>
      <c r="KOR229" s="1"/>
      <c r="KOS229" s="1"/>
      <c r="KOT229" s="1"/>
      <c r="KOU229" s="1"/>
      <c r="KOV229" s="1"/>
      <c r="KOW229" s="1"/>
      <c r="KOX229" s="1"/>
      <c r="KOY229" s="1"/>
      <c r="KOZ229" s="1"/>
      <c r="KPA229" s="1"/>
      <c r="KPB229" s="1"/>
      <c r="KPC229" s="1"/>
      <c r="KPD229" s="1"/>
      <c r="KPE229" s="1"/>
      <c r="KPF229" s="1"/>
      <c r="KPG229" s="1"/>
      <c r="KPH229" s="1"/>
      <c r="KPI229" s="1"/>
      <c r="KPJ229" s="1"/>
      <c r="KPK229" s="1"/>
      <c r="KPL229" s="1"/>
      <c r="KPM229" s="1"/>
      <c r="KPN229" s="1"/>
      <c r="KPO229" s="1"/>
      <c r="KPP229" s="1"/>
      <c r="KPQ229" s="1"/>
      <c r="KPR229" s="1"/>
      <c r="KPS229" s="1"/>
      <c r="KPT229" s="1"/>
      <c r="KPU229" s="1"/>
      <c r="KPV229" s="1"/>
      <c r="KPW229" s="1"/>
      <c r="KPX229" s="1"/>
      <c r="KPY229" s="1"/>
      <c r="KPZ229" s="1"/>
      <c r="KQA229" s="1"/>
      <c r="KQB229" s="1"/>
      <c r="KQC229" s="1"/>
      <c r="KQD229" s="1"/>
      <c r="KQE229" s="1"/>
      <c r="KQF229" s="1"/>
      <c r="KQG229" s="1"/>
      <c r="KQH229" s="1"/>
      <c r="KQI229" s="1"/>
      <c r="KQJ229" s="1"/>
      <c r="KQK229" s="1"/>
      <c r="KQL229" s="1"/>
      <c r="KQM229" s="1"/>
      <c r="KQN229" s="1"/>
      <c r="KQO229" s="1"/>
      <c r="KQP229" s="1"/>
      <c r="KQQ229" s="1"/>
      <c r="KQR229" s="1"/>
      <c r="KQS229" s="1"/>
      <c r="KQT229" s="1"/>
      <c r="KQU229" s="1"/>
      <c r="KQV229" s="1"/>
      <c r="KQW229" s="1"/>
      <c r="KQX229" s="1"/>
      <c r="KQY229" s="1"/>
      <c r="KQZ229" s="1"/>
      <c r="KRA229" s="1"/>
      <c r="KRB229" s="1"/>
      <c r="KRC229" s="1"/>
      <c r="KRD229" s="1"/>
      <c r="KRE229" s="1"/>
      <c r="KRF229" s="1"/>
      <c r="KRG229" s="1"/>
      <c r="KRH229" s="1"/>
      <c r="KRI229" s="1"/>
      <c r="KRJ229" s="1"/>
      <c r="KRK229" s="1"/>
      <c r="KRL229" s="1"/>
      <c r="KRM229" s="1"/>
      <c r="KRN229" s="1"/>
      <c r="KRO229" s="1"/>
      <c r="KRP229" s="1"/>
      <c r="KRQ229" s="1"/>
      <c r="KRR229" s="1"/>
      <c r="KRS229" s="1"/>
      <c r="KRT229" s="1"/>
      <c r="KRU229" s="1"/>
      <c r="KRV229" s="1"/>
      <c r="KRW229" s="1"/>
      <c r="KRX229" s="1"/>
      <c r="KRY229" s="1"/>
      <c r="KRZ229" s="1"/>
      <c r="KSA229" s="1"/>
      <c r="KSB229" s="1"/>
      <c r="KSC229" s="1"/>
      <c r="KSD229" s="1"/>
      <c r="KSE229" s="1"/>
      <c r="KSF229" s="1"/>
      <c r="KSG229" s="1"/>
      <c r="KSH229" s="1"/>
      <c r="KSI229" s="1"/>
      <c r="KSJ229" s="1"/>
      <c r="KSK229" s="1"/>
      <c r="KSL229" s="1"/>
      <c r="KSM229" s="1"/>
      <c r="KSN229" s="1"/>
      <c r="KSO229" s="1"/>
      <c r="KSP229" s="1"/>
      <c r="KSQ229" s="1"/>
      <c r="KSR229" s="1"/>
      <c r="KSS229" s="1"/>
      <c r="KST229" s="1"/>
      <c r="KSU229" s="1"/>
      <c r="KSV229" s="1"/>
      <c r="KSW229" s="1"/>
      <c r="KSX229" s="1"/>
      <c r="KSY229" s="1"/>
      <c r="KSZ229" s="1"/>
      <c r="KTA229" s="1"/>
      <c r="KTB229" s="1"/>
      <c r="KTC229" s="1"/>
      <c r="KTD229" s="1"/>
      <c r="KTE229" s="1"/>
      <c r="KTF229" s="1"/>
      <c r="KTG229" s="1"/>
      <c r="KTH229" s="1"/>
      <c r="KTI229" s="1"/>
      <c r="KTJ229" s="1"/>
      <c r="KTK229" s="1"/>
      <c r="KTL229" s="1"/>
      <c r="KTM229" s="1"/>
      <c r="KTN229" s="1"/>
      <c r="KTO229" s="1"/>
      <c r="KTP229" s="1"/>
      <c r="KTQ229" s="1"/>
      <c r="KTR229" s="1"/>
      <c r="KTS229" s="1"/>
      <c r="KTT229" s="1"/>
      <c r="KTU229" s="1"/>
      <c r="KTV229" s="1"/>
      <c r="KTW229" s="1"/>
      <c r="KTX229" s="1"/>
      <c r="KTY229" s="1"/>
      <c r="KTZ229" s="1"/>
      <c r="KUA229" s="1"/>
      <c r="KUB229" s="1"/>
      <c r="KUC229" s="1"/>
      <c r="KUD229" s="1"/>
      <c r="KUE229" s="1"/>
      <c r="KUF229" s="1"/>
      <c r="KUG229" s="1"/>
      <c r="KUH229" s="1"/>
      <c r="KUI229" s="1"/>
      <c r="KUJ229" s="1"/>
      <c r="KUK229" s="1"/>
      <c r="KUL229" s="1"/>
      <c r="KUM229" s="1"/>
      <c r="KUN229" s="1"/>
      <c r="KUO229" s="1"/>
      <c r="KUP229" s="1"/>
      <c r="KUQ229" s="1"/>
      <c r="KUR229" s="1"/>
      <c r="KUS229" s="1"/>
      <c r="KUT229" s="1"/>
      <c r="KUU229" s="1"/>
      <c r="KUV229" s="1"/>
      <c r="KUW229" s="1"/>
      <c r="KUX229" s="1"/>
      <c r="KUY229" s="1"/>
      <c r="KUZ229" s="1"/>
      <c r="KVA229" s="1"/>
      <c r="KVB229" s="1"/>
      <c r="KVC229" s="1"/>
      <c r="KVD229" s="1"/>
      <c r="KVE229" s="1"/>
      <c r="KVF229" s="1"/>
      <c r="KVG229" s="1"/>
      <c r="KVH229" s="1"/>
      <c r="KVI229" s="1"/>
      <c r="KVJ229" s="1"/>
      <c r="KVK229" s="1"/>
      <c r="KVL229" s="1"/>
      <c r="KVM229" s="1"/>
      <c r="KVN229" s="1"/>
      <c r="KVO229" s="1"/>
      <c r="KVP229" s="1"/>
      <c r="KVQ229" s="1"/>
      <c r="KVR229" s="1"/>
      <c r="KVS229" s="1"/>
      <c r="KVT229" s="1"/>
      <c r="KVU229" s="1"/>
      <c r="KVV229" s="1"/>
      <c r="KVW229" s="1"/>
      <c r="KVX229" s="1"/>
      <c r="KVY229" s="1"/>
      <c r="KVZ229" s="1"/>
      <c r="KWA229" s="1"/>
      <c r="KWB229" s="1"/>
      <c r="KWC229" s="1"/>
      <c r="KWD229" s="1"/>
      <c r="KWE229" s="1"/>
      <c r="KWF229" s="1"/>
      <c r="KWG229" s="1"/>
      <c r="KWH229" s="1"/>
      <c r="KWI229" s="1"/>
      <c r="KWJ229" s="1"/>
      <c r="KWK229" s="1"/>
      <c r="KWL229" s="1"/>
      <c r="KWM229" s="1"/>
      <c r="KWN229" s="1"/>
      <c r="KWO229" s="1"/>
      <c r="KWP229" s="1"/>
      <c r="KWQ229" s="1"/>
      <c r="KWR229" s="1"/>
      <c r="KWS229" s="1"/>
      <c r="KWT229" s="1"/>
      <c r="KWU229" s="1"/>
      <c r="KWV229" s="1"/>
      <c r="KWW229" s="1"/>
      <c r="KWX229" s="1"/>
      <c r="KWY229" s="1"/>
      <c r="KWZ229" s="1"/>
      <c r="KXA229" s="1"/>
      <c r="KXB229" s="1"/>
      <c r="KXC229" s="1"/>
      <c r="KXD229" s="1"/>
      <c r="KXE229" s="1"/>
      <c r="KXF229" s="1"/>
      <c r="KXG229" s="1"/>
      <c r="KXH229" s="1"/>
      <c r="KXI229" s="1"/>
      <c r="KXJ229" s="1"/>
      <c r="KXK229" s="1"/>
      <c r="KXL229" s="1"/>
      <c r="KXM229" s="1"/>
      <c r="KXN229" s="1"/>
      <c r="KXO229" s="1"/>
      <c r="KXP229" s="1"/>
      <c r="KXQ229" s="1"/>
      <c r="KXR229" s="1"/>
      <c r="KXS229" s="1"/>
      <c r="KXT229" s="1"/>
      <c r="KXU229" s="1"/>
      <c r="KXV229" s="1"/>
      <c r="KXW229" s="1"/>
      <c r="KXX229" s="1"/>
      <c r="KXY229" s="1"/>
      <c r="KXZ229" s="1"/>
      <c r="KYA229" s="1"/>
      <c r="KYB229" s="1"/>
      <c r="KYC229" s="1"/>
      <c r="KYD229" s="1"/>
      <c r="KYE229" s="1"/>
      <c r="KYF229" s="1"/>
      <c r="KYG229" s="1"/>
      <c r="KYH229" s="1"/>
      <c r="KYI229" s="1"/>
      <c r="KYJ229" s="1"/>
      <c r="KYK229" s="1"/>
      <c r="KYL229" s="1"/>
      <c r="KYM229" s="1"/>
      <c r="KYN229" s="1"/>
      <c r="KYO229" s="1"/>
      <c r="KYP229" s="1"/>
      <c r="KYQ229" s="1"/>
      <c r="KYR229" s="1"/>
      <c r="KYS229" s="1"/>
      <c r="KYT229" s="1"/>
      <c r="KYU229" s="1"/>
      <c r="KYV229" s="1"/>
      <c r="KYW229" s="1"/>
      <c r="KYX229" s="1"/>
      <c r="KYY229" s="1"/>
      <c r="KYZ229" s="1"/>
      <c r="KZA229" s="1"/>
      <c r="KZB229" s="1"/>
      <c r="KZC229" s="1"/>
      <c r="KZD229" s="1"/>
      <c r="KZE229" s="1"/>
      <c r="KZF229" s="1"/>
      <c r="KZG229" s="1"/>
      <c r="KZH229" s="1"/>
      <c r="KZI229" s="1"/>
      <c r="KZJ229" s="1"/>
      <c r="KZK229" s="1"/>
      <c r="KZL229" s="1"/>
      <c r="KZM229" s="1"/>
      <c r="KZN229" s="1"/>
      <c r="KZO229" s="1"/>
      <c r="KZP229" s="1"/>
      <c r="KZQ229" s="1"/>
      <c r="KZR229" s="1"/>
      <c r="KZS229" s="1"/>
      <c r="KZT229" s="1"/>
      <c r="KZU229" s="1"/>
      <c r="KZV229" s="1"/>
      <c r="KZW229" s="1"/>
      <c r="KZX229" s="1"/>
      <c r="KZY229" s="1"/>
      <c r="KZZ229" s="1"/>
      <c r="LAA229" s="1"/>
      <c r="LAB229" s="1"/>
      <c r="LAC229" s="1"/>
      <c r="LAD229" s="1"/>
      <c r="LAE229" s="1"/>
      <c r="LAF229" s="1"/>
      <c r="LAG229" s="1"/>
      <c r="LAH229" s="1"/>
      <c r="LAI229" s="1"/>
      <c r="LAJ229" s="1"/>
      <c r="LAK229" s="1"/>
      <c r="LAL229" s="1"/>
      <c r="LAM229" s="1"/>
      <c r="LAN229" s="1"/>
      <c r="LAO229" s="1"/>
      <c r="LAP229" s="1"/>
      <c r="LAQ229" s="1"/>
      <c r="LAR229" s="1"/>
      <c r="LAS229" s="1"/>
      <c r="LAT229" s="1"/>
      <c r="LAU229" s="1"/>
      <c r="LAV229" s="1"/>
      <c r="LAW229" s="1"/>
      <c r="LAX229" s="1"/>
      <c r="LAY229" s="1"/>
      <c r="LAZ229" s="1"/>
      <c r="LBA229" s="1"/>
      <c r="LBB229" s="1"/>
      <c r="LBC229" s="1"/>
      <c r="LBD229" s="1"/>
      <c r="LBE229" s="1"/>
      <c r="LBF229" s="1"/>
      <c r="LBG229" s="1"/>
      <c r="LBH229" s="1"/>
      <c r="LBI229" s="1"/>
      <c r="LBJ229" s="1"/>
      <c r="LBK229" s="1"/>
      <c r="LBL229" s="1"/>
      <c r="LBM229" s="1"/>
      <c r="LBN229" s="1"/>
      <c r="LBO229" s="1"/>
      <c r="LBP229" s="1"/>
      <c r="LBQ229" s="1"/>
      <c r="LBR229" s="1"/>
      <c r="LBS229" s="1"/>
      <c r="LBT229" s="1"/>
      <c r="LBU229" s="1"/>
      <c r="LBV229" s="1"/>
      <c r="LBW229" s="1"/>
      <c r="LBX229" s="1"/>
      <c r="LBY229" s="1"/>
      <c r="LBZ229" s="1"/>
      <c r="LCA229" s="1"/>
      <c r="LCB229" s="1"/>
      <c r="LCC229" s="1"/>
      <c r="LCD229" s="1"/>
      <c r="LCE229" s="1"/>
      <c r="LCF229" s="1"/>
      <c r="LCG229" s="1"/>
      <c r="LCH229" s="1"/>
      <c r="LCI229" s="1"/>
      <c r="LCJ229" s="1"/>
      <c r="LCK229" s="1"/>
      <c r="LCL229" s="1"/>
      <c r="LCM229" s="1"/>
      <c r="LCN229" s="1"/>
      <c r="LCO229" s="1"/>
      <c r="LCP229" s="1"/>
      <c r="LCQ229" s="1"/>
      <c r="LCR229" s="1"/>
      <c r="LCS229" s="1"/>
      <c r="LCT229" s="1"/>
      <c r="LCU229" s="1"/>
      <c r="LCV229" s="1"/>
      <c r="LCW229" s="1"/>
      <c r="LCX229" s="1"/>
      <c r="LCY229" s="1"/>
      <c r="LCZ229" s="1"/>
      <c r="LDA229" s="1"/>
      <c r="LDB229" s="1"/>
      <c r="LDC229" s="1"/>
      <c r="LDD229" s="1"/>
      <c r="LDE229" s="1"/>
      <c r="LDF229" s="1"/>
      <c r="LDG229" s="1"/>
      <c r="LDH229" s="1"/>
      <c r="LDI229" s="1"/>
      <c r="LDJ229" s="1"/>
      <c r="LDK229" s="1"/>
      <c r="LDL229" s="1"/>
      <c r="LDM229" s="1"/>
      <c r="LDN229" s="1"/>
      <c r="LDO229" s="1"/>
      <c r="LDP229" s="1"/>
      <c r="LDQ229" s="1"/>
      <c r="LDR229" s="1"/>
      <c r="LDS229" s="1"/>
      <c r="LDT229" s="1"/>
      <c r="LDU229" s="1"/>
      <c r="LDV229" s="1"/>
      <c r="LDW229" s="1"/>
      <c r="LDX229" s="1"/>
      <c r="LDY229" s="1"/>
      <c r="LDZ229" s="1"/>
      <c r="LEA229" s="1"/>
      <c r="LEB229" s="1"/>
      <c r="LEC229" s="1"/>
      <c r="LED229" s="1"/>
      <c r="LEE229" s="1"/>
      <c r="LEF229" s="1"/>
      <c r="LEG229" s="1"/>
      <c r="LEH229" s="1"/>
      <c r="LEI229" s="1"/>
      <c r="LEJ229" s="1"/>
      <c r="LEK229" s="1"/>
      <c r="LEL229" s="1"/>
      <c r="LEM229" s="1"/>
      <c r="LEN229" s="1"/>
      <c r="LEO229" s="1"/>
      <c r="LEP229" s="1"/>
      <c r="LEQ229" s="1"/>
      <c r="LER229" s="1"/>
      <c r="LES229" s="1"/>
      <c r="LET229" s="1"/>
      <c r="LEU229" s="1"/>
      <c r="LEV229" s="1"/>
      <c r="LEW229" s="1"/>
      <c r="LEX229" s="1"/>
      <c r="LEY229" s="1"/>
      <c r="LEZ229" s="1"/>
      <c r="LFA229" s="1"/>
      <c r="LFB229" s="1"/>
      <c r="LFC229" s="1"/>
      <c r="LFD229" s="1"/>
      <c r="LFE229" s="1"/>
      <c r="LFF229" s="1"/>
      <c r="LFG229" s="1"/>
      <c r="LFH229" s="1"/>
      <c r="LFI229" s="1"/>
      <c r="LFJ229" s="1"/>
      <c r="LFK229" s="1"/>
      <c r="LFL229" s="1"/>
      <c r="LFM229" s="1"/>
      <c r="LFN229" s="1"/>
      <c r="LFO229" s="1"/>
      <c r="LFP229" s="1"/>
      <c r="LFQ229" s="1"/>
      <c r="LFR229" s="1"/>
      <c r="LFS229" s="1"/>
      <c r="LFT229" s="1"/>
      <c r="LFU229" s="1"/>
      <c r="LFV229" s="1"/>
      <c r="LFW229" s="1"/>
      <c r="LFX229" s="1"/>
      <c r="LFY229" s="1"/>
      <c r="LFZ229" s="1"/>
      <c r="LGA229" s="1"/>
      <c r="LGB229" s="1"/>
      <c r="LGC229" s="1"/>
      <c r="LGD229" s="1"/>
      <c r="LGE229" s="1"/>
      <c r="LGF229" s="1"/>
      <c r="LGG229" s="1"/>
      <c r="LGH229" s="1"/>
      <c r="LGI229" s="1"/>
      <c r="LGJ229" s="1"/>
      <c r="LGK229" s="1"/>
      <c r="LGL229" s="1"/>
      <c r="LGM229" s="1"/>
      <c r="LGN229" s="1"/>
      <c r="LGO229" s="1"/>
      <c r="LGP229" s="1"/>
      <c r="LGQ229" s="1"/>
      <c r="LGR229" s="1"/>
      <c r="LGS229" s="1"/>
      <c r="LGT229" s="1"/>
      <c r="LGU229" s="1"/>
      <c r="LGV229" s="1"/>
      <c r="LGW229" s="1"/>
      <c r="LGX229" s="1"/>
      <c r="LGY229" s="1"/>
      <c r="LGZ229" s="1"/>
      <c r="LHA229" s="1"/>
      <c r="LHB229" s="1"/>
      <c r="LHC229" s="1"/>
      <c r="LHD229" s="1"/>
      <c r="LHE229" s="1"/>
      <c r="LHF229" s="1"/>
      <c r="LHG229" s="1"/>
      <c r="LHH229" s="1"/>
      <c r="LHI229" s="1"/>
      <c r="LHJ229" s="1"/>
      <c r="LHK229" s="1"/>
      <c r="LHL229" s="1"/>
      <c r="LHM229" s="1"/>
      <c r="LHN229" s="1"/>
      <c r="LHO229" s="1"/>
      <c r="LHP229" s="1"/>
      <c r="LHQ229" s="1"/>
      <c r="LHR229" s="1"/>
      <c r="LHS229" s="1"/>
      <c r="LHT229" s="1"/>
      <c r="LHU229" s="1"/>
      <c r="LHV229" s="1"/>
      <c r="LHW229" s="1"/>
      <c r="LHX229" s="1"/>
      <c r="LHY229" s="1"/>
      <c r="LHZ229" s="1"/>
      <c r="LIA229" s="1"/>
      <c r="LIB229" s="1"/>
      <c r="LIC229" s="1"/>
      <c r="LID229" s="1"/>
      <c r="LIE229" s="1"/>
      <c r="LIF229" s="1"/>
      <c r="LIG229" s="1"/>
      <c r="LIH229" s="1"/>
      <c r="LII229" s="1"/>
      <c r="LIJ229" s="1"/>
      <c r="LIK229" s="1"/>
      <c r="LIL229" s="1"/>
      <c r="LIM229" s="1"/>
      <c r="LIN229" s="1"/>
      <c r="LIO229" s="1"/>
      <c r="LIP229" s="1"/>
      <c r="LIQ229" s="1"/>
      <c r="LIR229" s="1"/>
      <c r="LIS229" s="1"/>
      <c r="LIT229" s="1"/>
      <c r="LIU229" s="1"/>
      <c r="LIV229" s="1"/>
      <c r="LIW229" s="1"/>
      <c r="LIX229" s="1"/>
      <c r="LIY229" s="1"/>
      <c r="LIZ229" s="1"/>
      <c r="LJA229" s="1"/>
      <c r="LJB229" s="1"/>
      <c r="LJC229" s="1"/>
      <c r="LJD229" s="1"/>
      <c r="LJE229" s="1"/>
      <c r="LJF229" s="1"/>
      <c r="LJG229" s="1"/>
      <c r="LJH229" s="1"/>
      <c r="LJI229" s="1"/>
      <c r="LJJ229" s="1"/>
      <c r="LJK229" s="1"/>
      <c r="LJL229" s="1"/>
      <c r="LJM229" s="1"/>
      <c r="LJN229" s="1"/>
      <c r="LJO229" s="1"/>
      <c r="LJP229" s="1"/>
      <c r="LJQ229" s="1"/>
      <c r="LJR229" s="1"/>
      <c r="LJS229" s="1"/>
      <c r="LJT229" s="1"/>
      <c r="LJU229" s="1"/>
      <c r="LJV229" s="1"/>
      <c r="LJW229" s="1"/>
      <c r="LJX229" s="1"/>
      <c r="LJY229" s="1"/>
      <c r="LJZ229" s="1"/>
      <c r="LKA229" s="1"/>
      <c r="LKB229" s="1"/>
      <c r="LKC229" s="1"/>
      <c r="LKD229" s="1"/>
      <c r="LKE229" s="1"/>
      <c r="LKF229" s="1"/>
      <c r="LKG229" s="1"/>
      <c r="LKH229" s="1"/>
      <c r="LKI229" s="1"/>
      <c r="LKJ229" s="1"/>
      <c r="LKK229" s="1"/>
      <c r="LKL229" s="1"/>
      <c r="LKM229" s="1"/>
      <c r="LKN229" s="1"/>
      <c r="LKO229" s="1"/>
      <c r="LKP229" s="1"/>
      <c r="LKQ229" s="1"/>
      <c r="LKR229" s="1"/>
      <c r="LKS229" s="1"/>
      <c r="LKT229" s="1"/>
      <c r="LKU229" s="1"/>
      <c r="LKV229" s="1"/>
      <c r="LKW229" s="1"/>
      <c r="LKX229" s="1"/>
      <c r="LKY229" s="1"/>
      <c r="LKZ229" s="1"/>
      <c r="LLA229" s="1"/>
      <c r="LLB229" s="1"/>
      <c r="LLC229" s="1"/>
      <c r="LLD229" s="1"/>
      <c r="LLE229" s="1"/>
      <c r="LLF229" s="1"/>
      <c r="LLG229" s="1"/>
      <c r="LLH229" s="1"/>
      <c r="LLI229" s="1"/>
      <c r="LLJ229" s="1"/>
      <c r="LLK229" s="1"/>
      <c r="LLL229" s="1"/>
      <c r="LLM229" s="1"/>
      <c r="LLN229" s="1"/>
      <c r="LLO229" s="1"/>
      <c r="LLP229" s="1"/>
      <c r="LLQ229" s="1"/>
      <c r="LLR229" s="1"/>
      <c r="LLS229" s="1"/>
      <c r="LLT229" s="1"/>
      <c r="LLU229" s="1"/>
      <c r="LLV229" s="1"/>
      <c r="LLW229" s="1"/>
      <c r="LLX229" s="1"/>
      <c r="LLY229" s="1"/>
      <c r="LLZ229" s="1"/>
      <c r="LMA229" s="1"/>
      <c r="LMB229" s="1"/>
      <c r="LMC229" s="1"/>
      <c r="LMD229" s="1"/>
      <c r="LME229" s="1"/>
      <c r="LMF229" s="1"/>
      <c r="LMG229" s="1"/>
      <c r="LMH229" s="1"/>
      <c r="LMI229" s="1"/>
      <c r="LMJ229" s="1"/>
      <c r="LMK229" s="1"/>
      <c r="LML229" s="1"/>
      <c r="LMM229" s="1"/>
      <c r="LMN229" s="1"/>
      <c r="LMO229" s="1"/>
      <c r="LMP229" s="1"/>
      <c r="LMQ229" s="1"/>
      <c r="LMR229" s="1"/>
      <c r="LMS229" s="1"/>
      <c r="LMT229" s="1"/>
      <c r="LMU229" s="1"/>
      <c r="LMV229" s="1"/>
      <c r="LMW229" s="1"/>
      <c r="LMX229" s="1"/>
      <c r="LMY229" s="1"/>
      <c r="LMZ229" s="1"/>
      <c r="LNA229" s="1"/>
      <c r="LNB229" s="1"/>
      <c r="LNC229" s="1"/>
      <c r="LND229" s="1"/>
      <c r="LNE229" s="1"/>
      <c r="LNF229" s="1"/>
      <c r="LNG229" s="1"/>
      <c r="LNH229" s="1"/>
      <c r="LNI229" s="1"/>
      <c r="LNJ229" s="1"/>
      <c r="LNK229" s="1"/>
      <c r="LNL229" s="1"/>
      <c r="LNM229" s="1"/>
      <c r="LNN229" s="1"/>
      <c r="LNO229" s="1"/>
      <c r="LNP229" s="1"/>
      <c r="LNQ229" s="1"/>
      <c r="LNR229" s="1"/>
      <c r="LNS229" s="1"/>
      <c r="LNT229" s="1"/>
      <c r="LNU229" s="1"/>
      <c r="LNV229" s="1"/>
      <c r="LNW229" s="1"/>
      <c r="LNX229" s="1"/>
      <c r="LNY229" s="1"/>
      <c r="LNZ229" s="1"/>
      <c r="LOA229" s="1"/>
      <c r="LOB229" s="1"/>
      <c r="LOC229" s="1"/>
      <c r="LOD229" s="1"/>
      <c r="LOE229" s="1"/>
      <c r="LOF229" s="1"/>
      <c r="LOG229" s="1"/>
      <c r="LOH229" s="1"/>
      <c r="LOI229" s="1"/>
      <c r="LOJ229" s="1"/>
      <c r="LOK229" s="1"/>
      <c r="LOL229" s="1"/>
      <c r="LOM229" s="1"/>
      <c r="LON229" s="1"/>
      <c r="LOO229" s="1"/>
      <c r="LOP229" s="1"/>
      <c r="LOQ229" s="1"/>
      <c r="LOR229" s="1"/>
      <c r="LOS229" s="1"/>
      <c r="LOT229" s="1"/>
      <c r="LOU229" s="1"/>
      <c r="LOV229" s="1"/>
      <c r="LOW229" s="1"/>
      <c r="LOX229" s="1"/>
      <c r="LOY229" s="1"/>
      <c r="LOZ229" s="1"/>
      <c r="LPA229" s="1"/>
      <c r="LPB229" s="1"/>
      <c r="LPC229" s="1"/>
      <c r="LPD229" s="1"/>
      <c r="LPE229" s="1"/>
      <c r="LPF229" s="1"/>
      <c r="LPG229" s="1"/>
      <c r="LPH229" s="1"/>
      <c r="LPI229" s="1"/>
      <c r="LPJ229" s="1"/>
      <c r="LPK229" s="1"/>
      <c r="LPL229" s="1"/>
      <c r="LPM229" s="1"/>
      <c r="LPN229" s="1"/>
      <c r="LPO229" s="1"/>
      <c r="LPP229" s="1"/>
      <c r="LPQ229" s="1"/>
      <c r="LPR229" s="1"/>
      <c r="LPS229" s="1"/>
      <c r="LPT229" s="1"/>
      <c r="LPU229" s="1"/>
      <c r="LPV229" s="1"/>
      <c r="LPW229" s="1"/>
      <c r="LPX229" s="1"/>
      <c r="LPY229" s="1"/>
      <c r="LPZ229" s="1"/>
      <c r="LQA229" s="1"/>
      <c r="LQB229" s="1"/>
      <c r="LQC229" s="1"/>
      <c r="LQD229" s="1"/>
      <c r="LQE229" s="1"/>
      <c r="LQF229" s="1"/>
      <c r="LQG229" s="1"/>
      <c r="LQH229" s="1"/>
      <c r="LQI229" s="1"/>
      <c r="LQJ229" s="1"/>
      <c r="LQK229" s="1"/>
      <c r="LQL229" s="1"/>
      <c r="LQM229" s="1"/>
      <c r="LQN229" s="1"/>
      <c r="LQO229" s="1"/>
      <c r="LQP229" s="1"/>
      <c r="LQQ229" s="1"/>
      <c r="LQR229" s="1"/>
      <c r="LQS229" s="1"/>
      <c r="LQT229" s="1"/>
      <c r="LQU229" s="1"/>
      <c r="LQV229" s="1"/>
      <c r="LQW229" s="1"/>
      <c r="LQX229" s="1"/>
      <c r="LQY229" s="1"/>
      <c r="LQZ229" s="1"/>
      <c r="LRA229" s="1"/>
      <c r="LRB229" s="1"/>
      <c r="LRC229" s="1"/>
      <c r="LRD229" s="1"/>
      <c r="LRE229" s="1"/>
      <c r="LRF229" s="1"/>
      <c r="LRG229" s="1"/>
      <c r="LRH229" s="1"/>
      <c r="LRI229" s="1"/>
      <c r="LRJ229" s="1"/>
      <c r="LRK229" s="1"/>
      <c r="LRL229" s="1"/>
      <c r="LRM229" s="1"/>
      <c r="LRN229" s="1"/>
      <c r="LRO229" s="1"/>
      <c r="LRP229" s="1"/>
      <c r="LRQ229" s="1"/>
      <c r="LRR229" s="1"/>
      <c r="LRS229" s="1"/>
      <c r="LRT229" s="1"/>
      <c r="LRU229" s="1"/>
      <c r="LRV229" s="1"/>
      <c r="LRW229" s="1"/>
      <c r="LRX229" s="1"/>
      <c r="LRY229" s="1"/>
      <c r="LRZ229" s="1"/>
      <c r="LSA229" s="1"/>
      <c r="LSB229" s="1"/>
      <c r="LSC229" s="1"/>
      <c r="LSD229" s="1"/>
      <c r="LSE229" s="1"/>
      <c r="LSF229" s="1"/>
      <c r="LSG229" s="1"/>
      <c r="LSH229" s="1"/>
      <c r="LSI229" s="1"/>
      <c r="LSJ229" s="1"/>
      <c r="LSK229" s="1"/>
      <c r="LSL229" s="1"/>
      <c r="LSM229" s="1"/>
      <c r="LSN229" s="1"/>
      <c r="LSO229" s="1"/>
      <c r="LSP229" s="1"/>
      <c r="LSQ229" s="1"/>
      <c r="LSR229" s="1"/>
      <c r="LSS229" s="1"/>
      <c r="LST229" s="1"/>
      <c r="LSU229" s="1"/>
      <c r="LSV229" s="1"/>
      <c r="LSW229" s="1"/>
      <c r="LSX229" s="1"/>
      <c r="LSY229" s="1"/>
      <c r="LSZ229" s="1"/>
      <c r="LTA229" s="1"/>
      <c r="LTB229" s="1"/>
      <c r="LTC229" s="1"/>
      <c r="LTD229" s="1"/>
      <c r="LTE229" s="1"/>
      <c r="LTF229" s="1"/>
      <c r="LTG229" s="1"/>
      <c r="LTH229" s="1"/>
      <c r="LTI229" s="1"/>
      <c r="LTJ229" s="1"/>
      <c r="LTK229" s="1"/>
      <c r="LTL229" s="1"/>
      <c r="LTM229" s="1"/>
      <c r="LTN229" s="1"/>
      <c r="LTO229" s="1"/>
      <c r="LTP229" s="1"/>
      <c r="LTQ229" s="1"/>
      <c r="LTR229" s="1"/>
      <c r="LTS229" s="1"/>
      <c r="LTT229" s="1"/>
      <c r="LTU229" s="1"/>
      <c r="LTV229" s="1"/>
      <c r="LTW229" s="1"/>
      <c r="LTX229" s="1"/>
      <c r="LTY229" s="1"/>
      <c r="LTZ229" s="1"/>
      <c r="LUA229" s="1"/>
      <c r="LUB229" s="1"/>
      <c r="LUC229" s="1"/>
      <c r="LUD229" s="1"/>
      <c r="LUE229" s="1"/>
      <c r="LUF229" s="1"/>
      <c r="LUG229" s="1"/>
      <c r="LUH229" s="1"/>
      <c r="LUI229" s="1"/>
      <c r="LUJ229" s="1"/>
      <c r="LUK229" s="1"/>
      <c r="LUL229" s="1"/>
      <c r="LUM229" s="1"/>
      <c r="LUN229" s="1"/>
      <c r="LUO229" s="1"/>
      <c r="LUP229" s="1"/>
      <c r="LUQ229" s="1"/>
      <c r="LUR229" s="1"/>
      <c r="LUS229" s="1"/>
      <c r="LUT229" s="1"/>
      <c r="LUU229" s="1"/>
      <c r="LUV229" s="1"/>
      <c r="LUW229" s="1"/>
      <c r="LUX229" s="1"/>
      <c r="LUY229" s="1"/>
      <c r="LUZ229" s="1"/>
      <c r="LVA229" s="1"/>
      <c r="LVB229" s="1"/>
      <c r="LVC229" s="1"/>
      <c r="LVD229" s="1"/>
      <c r="LVE229" s="1"/>
      <c r="LVF229" s="1"/>
      <c r="LVG229" s="1"/>
      <c r="LVH229" s="1"/>
      <c r="LVI229" s="1"/>
      <c r="LVJ229" s="1"/>
      <c r="LVK229" s="1"/>
      <c r="LVL229" s="1"/>
      <c r="LVM229" s="1"/>
      <c r="LVN229" s="1"/>
      <c r="LVO229" s="1"/>
      <c r="LVP229" s="1"/>
      <c r="LVQ229" s="1"/>
      <c r="LVR229" s="1"/>
      <c r="LVS229" s="1"/>
      <c r="LVT229" s="1"/>
      <c r="LVU229" s="1"/>
      <c r="LVV229" s="1"/>
      <c r="LVW229" s="1"/>
      <c r="LVX229" s="1"/>
      <c r="LVY229" s="1"/>
      <c r="LVZ229" s="1"/>
      <c r="LWA229" s="1"/>
      <c r="LWB229" s="1"/>
      <c r="LWC229" s="1"/>
      <c r="LWD229" s="1"/>
      <c r="LWE229" s="1"/>
      <c r="LWF229" s="1"/>
      <c r="LWG229" s="1"/>
      <c r="LWH229" s="1"/>
      <c r="LWI229" s="1"/>
      <c r="LWJ229" s="1"/>
      <c r="LWK229" s="1"/>
      <c r="LWL229" s="1"/>
      <c r="LWM229" s="1"/>
      <c r="LWN229" s="1"/>
      <c r="LWO229" s="1"/>
      <c r="LWP229" s="1"/>
      <c r="LWQ229" s="1"/>
      <c r="LWR229" s="1"/>
      <c r="LWS229" s="1"/>
      <c r="LWT229" s="1"/>
      <c r="LWU229" s="1"/>
      <c r="LWV229" s="1"/>
      <c r="LWW229" s="1"/>
      <c r="LWX229" s="1"/>
      <c r="LWY229" s="1"/>
      <c r="LWZ229" s="1"/>
      <c r="LXA229" s="1"/>
      <c r="LXB229" s="1"/>
      <c r="LXC229" s="1"/>
      <c r="LXD229" s="1"/>
      <c r="LXE229" s="1"/>
      <c r="LXF229" s="1"/>
      <c r="LXG229" s="1"/>
      <c r="LXH229" s="1"/>
      <c r="LXI229" s="1"/>
      <c r="LXJ229" s="1"/>
      <c r="LXK229" s="1"/>
      <c r="LXL229" s="1"/>
      <c r="LXM229" s="1"/>
      <c r="LXN229" s="1"/>
      <c r="LXO229" s="1"/>
      <c r="LXP229" s="1"/>
      <c r="LXQ229" s="1"/>
      <c r="LXR229" s="1"/>
      <c r="LXS229" s="1"/>
      <c r="LXT229" s="1"/>
      <c r="LXU229" s="1"/>
      <c r="LXV229" s="1"/>
      <c r="LXW229" s="1"/>
      <c r="LXX229" s="1"/>
      <c r="LXY229" s="1"/>
      <c r="LXZ229" s="1"/>
      <c r="LYA229" s="1"/>
      <c r="LYB229" s="1"/>
      <c r="LYC229" s="1"/>
      <c r="LYD229" s="1"/>
      <c r="LYE229" s="1"/>
      <c r="LYF229" s="1"/>
      <c r="LYG229" s="1"/>
      <c r="LYH229" s="1"/>
      <c r="LYI229" s="1"/>
      <c r="LYJ229" s="1"/>
      <c r="LYK229" s="1"/>
      <c r="LYL229" s="1"/>
      <c r="LYM229" s="1"/>
      <c r="LYN229" s="1"/>
      <c r="LYO229" s="1"/>
      <c r="LYP229" s="1"/>
      <c r="LYQ229" s="1"/>
      <c r="LYR229" s="1"/>
      <c r="LYS229" s="1"/>
      <c r="LYT229" s="1"/>
      <c r="LYU229" s="1"/>
      <c r="LYV229" s="1"/>
      <c r="LYW229" s="1"/>
      <c r="LYX229" s="1"/>
      <c r="LYY229" s="1"/>
      <c r="LYZ229" s="1"/>
      <c r="LZA229" s="1"/>
      <c r="LZB229" s="1"/>
      <c r="LZC229" s="1"/>
      <c r="LZD229" s="1"/>
      <c r="LZE229" s="1"/>
      <c r="LZF229" s="1"/>
      <c r="LZG229" s="1"/>
      <c r="LZH229" s="1"/>
      <c r="LZI229" s="1"/>
      <c r="LZJ229" s="1"/>
      <c r="LZK229" s="1"/>
      <c r="LZL229" s="1"/>
      <c r="LZM229" s="1"/>
      <c r="LZN229" s="1"/>
      <c r="LZO229" s="1"/>
      <c r="LZP229" s="1"/>
      <c r="LZQ229" s="1"/>
      <c r="LZR229" s="1"/>
      <c r="LZS229" s="1"/>
      <c r="LZT229" s="1"/>
      <c r="LZU229" s="1"/>
      <c r="LZV229" s="1"/>
      <c r="LZW229" s="1"/>
      <c r="LZX229" s="1"/>
      <c r="LZY229" s="1"/>
      <c r="LZZ229" s="1"/>
      <c r="MAA229" s="1"/>
      <c r="MAB229" s="1"/>
      <c r="MAC229" s="1"/>
      <c r="MAD229" s="1"/>
      <c r="MAE229" s="1"/>
      <c r="MAF229" s="1"/>
      <c r="MAG229" s="1"/>
      <c r="MAH229" s="1"/>
      <c r="MAI229" s="1"/>
      <c r="MAJ229" s="1"/>
      <c r="MAK229" s="1"/>
      <c r="MAL229" s="1"/>
      <c r="MAM229" s="1"/>
      <c r="MAN229" s="1"/>
      <c r="MAO229" s="1"/>
      <c r="MAP229" s="1"/>
      <c r="MAQ229" s="1"/>
      <c r="MAR229" s="1"/>
      <c r="MAS229" s="1"/>
      <c r="MAT229" s="1"/>
      <c r="MAU229" s="1"/>
      <c r="MAV229" s="1"/>
      <c r="MAW229" s="1"/>
      <c r="MAX229" s="1"/>
      <c r="MAY229" s="1"/>
      <c r="MAZ229" s="1"/>
      <c r="MBA229" s="1"/>
      <c r="MBB229" s="1"/>
      <c r="MBC229" s="1"/>
      <c r="MBD229" s="1"/>
      <c r="MBE229" s="1"/>
      <c r="MBF229" s="1"/>
      <c r="MBG229" s="1"/>
      <c r="MBH229" s="1"/>
      <c r="MBI229" s="1"/>
      <c r="MBJ229" s="1"/>
      <c r="MBK229" s="1"/>
      <c r="MBL229" s="1"/>
      <c r="MBM229" s="1"/>
      <c r="MBN229" s="1"/>
      <c r="MBO229" s="1"/>
      <c r="MBP229" s="1"/>
      <c r="MBQ229" s="1"/>
      <c r="MBR229" s="1"/>
      <c r="MBS229" s="1"/>
      <c r="MBT229" s="1"/>
      <c r="MBU229" s="1"/>
      <c r="MBV229" s="1"/>
      <c r="MBW229" s="1"/>
      <c r="MBX229" s="1"/>
      <c r="MBY229" s="1"/>
      <c r="MBZ229" s="1"/>
      <c r="MCA229" s="1"/>
      <c r="MCB229" s="1"/>
      <c r="MCC229" s="1"/>
      <c r="MCD229" s="1"/>
      <c r="MCE229" s="1"/>
      <c r="MCF229" s="1"/>
      <c r="MCG229" s="1"/>
      <c r="MCH229" s="1"/>
      <c r="MCI229" s="1"/>
      <c r="MCJ229" s="1"/>
      <c r="MCK229" s="1"/>
      <c r="MCL229" s="1"/>
      <c r="MCM229" s="1"/>
      <c r="MCN229" s="1"/>
      <c r="MCO229" s="1"/>
      <c r="MCP229" s="1"/>
      <c r="MCQ229" s="1"/>
      <c r="MCR229" s="1"/>
      <c r="MCS229" s="1"/>
      <c r="MCT229" s="1"/>
      <c r="MCU229" s="1"/>
      <c r="MCV229" s="1"/>
      <c r="MCW229" s="1"/>
      <c r="MCX229" s="1"/>
      <c r="MCY229" s="1"/>
      <c r="MCZ229" s="1"/>
      <c r="MDA229" s="1"/>
      <c r="MDB229" s="1"/>
      <c r="MDC229" s="1"/>
      <c r="MDD229" s="1"/>
      <c r="MDE229" s="1"/>
      <c r="MDF229" s="1"/>
      <c r="MDG229" s="1"/>
      <c r="MDH229" s="1"/>
      <c r="MDI229" s="1"/>
      <c r="MDJ229" s="1"/>
      <c r="MDK229" s="1"/>
      <c r="MDL229" s="1"/>
      <c r="MDM229" s="1"/>
      <c r="MDN229" s="1"/>
      <c r="MDO229" s="1"/>
      <c r="MDP229" s="1"/>
      <c r="MDQ229" s="1"/>
      <c r="MDR229" s="1"/>
      <c r="MDS229" s="1"/>
      <c r="MDT229" s="1"/>
      <c r="MDU229" s="1"/>
      <c r="MDV229" s="1"/>
      <c r="MDW229" s="1"/>
      <c r="MDX229" s="1"/>
      <c r="MDY229" s="1"/>
      <c r="MDZ229" s="1"/>
      <c r="MEA229" s="1"/>
      <c r="MEB229" s="1"/>
      <c r="MEC229" s="1"/>
      <c r="MED229" s="1"/>
      <c r="MEE229" s="1"/>
      <c r="MEF229" s="1"/>
      <c r="MEG229" s="1"/>
      <c r="MEH229" s="1"/>
      <c r="MEI229" s="1"/>
      <c r="MEJ229" s="1"/>
      <c r="MEK229" s="1"/>
      <c r="MEL229" s="1"/>
      <c r="MEM229" s="1"/>
      <c r="MEN229" s="1"/>
      <c r="MEO229" s="1"/>
      <c r="MEP229" s="1"/>
      <c r="MEQ229" s="1"/>
      <c r="MER229" s="1"/>
      <c r="MES229" s="1"/>
      <c r="MET229" s="1"/>
      <c r="MEU229" s="1"/>
      <c r="MEV229" s="1"/>
      <c r="MEW229" s="1"/>
      <c r="MEX229" s="1"/>
      <c r="MEY229" s="1"/>
      <c r="MEZ229" s="1"/>
      <c r="MFA229" s="1"/>
      <c r="MFB229" s="1"/>
      <c r="MFC229" s="1"/>
      <c r="MFD229" s="1"/>
      <c r="MFE229" s="1"/>
      <c r="MFF229" s="1"/>
      <c r="MFG229" s="1"/>
      <c r="MFH229" s="1"/>
      <c r="MFI229" s="1"/>
      <c r="MFJ229" s="1"/>
      <c r="MFK229" s="1"/>
      <c r="MFL229" s="1"/>
      <c r="MFM229" s="1"/>
      <c r="MFN229" s="1"/>
      <c r="MFO229" s="1"/>
      <c r="MFP229" s="1"/>
      <c r="MFQ229" s="1"/>
      <c r="MFR229" s="1"/>
      <c r="MFS229" s="1"/>
      <c r="MFT229" s="1"/>
      <c r="MFU229" s="1"/>
      <c r="MFV229" s="1"/>
      <c r="MFW229" s="1"/>
      <c r="MFX229" s="1"/>
      <c r="MFY229" s="1"/>
      <c r="MFZ229" s="1"/>
      <c r="MGA229" s="1"/>
      <c r="MGB229" s="1"/>
      <c r="MGC229" s="1"/>
      <c r="MGD229" s="1"/>
      <c r="MGE229" s="1"/>
      <c r="MGF229" s="1"/>
      <c r="MGG229" s="1"/>
      <c r="MGH229" s="1"/>
      <c r="MGI229" s="1"/>
      <c r="MGJ229" s="1"/>
      <c r="MGK229" s="1"/>
      <c r="MGL229" s="1"/>
      <c r="MGM229" s="1"/>
      <c r="MGN229" s="1"/>
      <c r="MGO229" s="1"/>
      <c r="MGP229" s="1"/>
      <c r="MGQ229" s="1"/>
      <c r="MGR229" s="1"/>
      <c r="MGS229" s="1"/>
      <c r="MGT229" s="1"/>
      <c r="MGU229" s="1"/>
      <c r="MGV229" s="1"/>
      <c r="MGW229" s="1"/>
      <c r="MGX229" s="1"/>
      <c r="MGY229" s="1"/>
      <c r="MGZ229" s="1"/>
      <c r="MHA229" s="1"/>
      <c r="MHB229" s="1"/>
      <c r="MHC229" s="1"/>
      <c r="MHD229" s="1"/>
      <c r="MHE229" s="1"/>
      <c r="MHF229" s="1"/>
      <c r="MHG229" s="1"/>
      <c r="MHH229" s="1"/>
      <c r="MHI229" s="1"/>
      <c r="MHJ229" s="1"/>
      <c r="MHK229" s="1"/>
      <c r="MHL229" s="1"/>
      <c r="MHM229" s="1"/>
      <c r="MHN229" s="1"/>
      <c r="MHO229" s="1"/>
      <c r="MHP229" s="1"/>
      <c r="MHQ229" s="1"/>
      <c r="MHR229" s="1"/>
      <c r="MHS229" s="1"/>
      <c r="MHT229" s="1"/>
      <c r="MHU229" s="1"/>
      <c r="MHV229" s="1"/>
      <c r="MHW229" s="1"/>
      <c r="MHX229" s="1"/>
      <c r="MHY229" s="1"/>
      <c r="MHZ229" s="1"/>
      <c r="MIA229" s="1"/>
      <c r="MIB229" s="1"/>
      <c r="MIC229" s="1"/>
      <c r="MID229" s="1"/>
      <c r="MIE229" s="1"/>
      <c r="MIF229" s="1"/>
      <c r="MIG229" s="1"/>
      <c r="MIH229" s="1"/>
      <c r="MII229" s="1"/>
      <c r="MIJ229" s="1"/>
      <c r="MIK229" s="1"/>
      <c r="MIL229" s="1"/>
      <c r="MIM229" s="1"/>
      <c r="MIN229" s="1"/>
      <c r="MIO229" s="1"/>
      <c r="MIP229" s="1"/>
      <c r="MIQ229" s="1"/>
      <c r="MIR229" s="1"/>
      <c r="MIS229" s="1"/>
      <c r="MIT229" s="1"/>
      <c r="MIU229" s="1"/>
      <c r="MIV229" s="1"/>
      <c r="MIW229" s="1"/>
      <c r="MIX229" s="1"/>
      <c r="MIY229" s="1"/>
      <c r="MIZ229" s="1"/>
      <c r="MJA229" s="1"/>
      <c r="MJB229" s="1"/>
      <c r="MJC229" s="1"/>
      <c r="MJD229" s="1"/>
      <c r="MJE229" s="1"/>
      <c r="MJF229" s="1"/>
      <c r="MJG229" s="1"/>
      <c r="MJH229" s="1"/>
      <c r="MJI229" s="1"/>
      <c r="MJJ229" s="1"/>
      <c r="MJK229" s="1"/>
      <c r="MJL229" s="1"/>
      <c r="MJM229" s="1"/>
      <c r="MJN229" s="1"/>
      <c r="MJO229" s="1"/>
      <c r="MJP229" s="1"/>
      <c r="MJQ229" s="1"/>
      <c r="MJR229" s="1"/>
      <c r="MJS229" s="1"/>
      <c r="MJT229" s="1"/>
      <c r="MJU229" s="1"/>
      <c r="MJV229" s="1"/>
      <c r="MJW229" s="1"/>
      <c r="MJX229" s="1"/>
      <c r="MJY229" s="1"/>
      <c r="MJZ229" s="1"/>
      <c r="MKA229" s="1"/>
      <c r="MKB229" s="1"/>
      <c r="MKC229" s="1"/>
      <c r="MKD229" s="1"/>
      <c r="MKE229" s="1"/>
      <c r="MKF229" s="1"/>
      <c r="MKG229" s="1"/>
      <c r="MKH229" s="1"/>
      <c r="MKI229" s="1"/>
      <c r="MKJ229" s="1"/>
      <c r="MKK229" s="1"/>
      <c r="MKL229" s="1"/>
      <c r="MKM229" s="1"/>
      <c r="MKN229" s="1"/>
      <c r="MKO229" s="1"/>
      <c r="MKP229" s="1"/>
      <c r="MKQ229" s="1"/>
      <c r="MKR229" s="1"/>
      <c r="MKS229" s="1"/>
      <c r="MKT229" s="1"/>
      <c r="MKU229" s="1"/>
      <c r="MKV229" s="1"/>
      <c r="MKW229" s="1"/>
      <c r="MKX229" s="1"/>
      <c r="MKY229" s="1"/>
      <c r="MKZ229" s="1"/>
      <c r="MLA229" s="1"/>
      <c r="MLB229" s="1"/>
      <c r="MLC229" s="1"/>
      <c r="MLD229" s="1"/>
      <c r="MLE229" s="1"/>
      <c r="MLF229" s="1"/>
      <c r="MLG229" s="1"/>
      <c r="MLH229" s="1"/>
      <c r="MLI229" s="1"/>
      <c r="MLJ229" s="1"/>
      <c r="MLK229" s="1"/>
      <c r="MLL229" s="1"/>
      <c r="MLM229" s="1"/>
      <c r="MLN229" s="1"/>
      <c r="MLO229" s="1"/>
      <c r="MLP229" s="1"/>
      <c r="MLQ229" s="1"/>
      <c r="MLR229" s="1"/>
      <c r="MLS229" s="1"/>
      <c r="MLT229" s="1"/>
      <c r="MLU229" s="1"/>
      <c r="MLV229" s="1"/>
      <c r="MLW229" s="1"/>
      <c r="MLX229" s="1"/>
      <c r="MLY229" s="1"/>
      <c r="MLZ229" s="1"/>
      <c r="MMA229" s="1"/>
      <c r="MMB229" s="1"/>
      <c r="MMC229" s="1"/>
      <c r="MMD229" s="1"/>
      <c r="MME229" s="1"/>
      <c r="MMF229" s="1"/>
      <c r="MMG229" s="1"/>
      <c r="MMH229" s="1"/>
      <c r="MMI229" s="1"/>
      <c r="MMJ229" s="1"/>
      <c r="MMK229" s="1"/>
      <c r="MML229" s="1"/>
      <c r="MMM229" s="1"/>
      <c r="MMN229" s="1"/>
      <c r="MMO229" s="1"/>
      <c r="MMP229" s="1"/>
      <c r="MMQ229" s="1"/>
      <c r="MMR229" s="1"/>
      <c r="MMS229" s="1"/>
      <c r="MMT229" s="1"/>
      <c r="MMU229" s="1"/>
      <c r="MMV229" s="1"/>
      <c r="MMW229" s="1"/>
      <c r="MMX229" s="1"/>
      <c r="MMY229" s="1"/>
      <c r="MMZ229" s="1"/>
      <c r="MNA229" s="1"/>
      <c r="MNB229" s="1"/>
      <c r="MNC229" s="1"/>
      <c r="MND229" s="1"/>
      <c r="MNE229" s="1"/>
      <c r="MNF229" s="1"/>
      <c r="MNG229" s="1"/>
      <c r="MNH229" s="1"/>
      <c r="MNI229" s="1"/>
      <c r="MNJ229" s="1"/>
      <c r="MNK229" s="1"/>
      <c r="MNL229" s="1"/>
      <c r="MNM229" s="1"/>
      <c r="MNN229" s="1"/>
      <c r="MNO229" s="1"/>
      <c r="MNP229" s="1"/>
      <c r="MNQ229" s="1"/>
      <c r="MNR229" s="1"/>
      <c r="MNS229" s="1"/>
      <c r="MNT229" s="1"/>
      <c r="MNU229" s="1"/>
      <c r="MNV229" s="1"/>
      <c r="MNW229" s="1"/>
      <c r="MNX229" s="1"/>
      <c r="MNY229" s="1"/>
      <c r="MNZ229" s="1"/>
      <c r="MOA229" s="1"/>
      <c r="MOB229" s="1"/>
      <c r="MOC229" s="1"/>
      <c r="MOD229" s="1"/>
      <c r="MOE229" s="1"/>
      <c r="MOF229" s="1"/>
      <c r="MOG229" s="1"/>
      <c r="MOH229" s="1"/>
      <c r="MOI229" s="1"/>
      <c r="MOJ229" s="1"/>
      <c r="MOK229" s="1"/>
      <c r="MOL229" s="1"/>
      <c r="MOM229" s="1"/>
      <c r="MON229" s="1"/>
      <c r="MOO229" s="1"/>
      <c r="MOP229" s="1"/>
      <c r="MOQ229" s="1"/>
      <c r="MOR229" s="1"/>
      <c r="MOS229" s="1"/>
      <c r="MOT229" s="1"/>
      <c r="MOU229" s="1"/>
      <c r="MOV229" s="1"/>
      <c r="MOW229" s="1"/>
      <c r="MOX229" s="1"/>
      <c r="MOY229" s="1"/>
      <c r="MOZ229" s="1"/>
      <c r="MPA229" s="1"/>
      <c r="MPB229" s="1"/>
      <c r="MPC229" s="1"/>
      <c r="MPD229" s="1"/>
      <c r="MPE229" s="1"/>
      <c r="MPF229" s="1"/>
      <c r="MPG229" s="1"/>
      <c r="MPH229" s="1"/>
      <c r="MPI229" s="1"/>
      <c r="MPJ229" s="1"/>
      <c r="MPK229" s="1"/>
      <c r="MPL229" s="1"/>
      <c r="MPM229" s="1"/>
      <c r="MPN229" s="1"/>
      <c r="MPO229" s="1"/>
      <c r="MPP229" s="1"/>
      <c r="MPQ229" s="1"/>
      <c r="MPR229" s="1"/>
      <c r="MPS229" s="1"/>
      <c r="MPT229" s="1"/>
      <c r="MPU229" s="1"/>
      <c r="MPV229" s="1"/>
      <c r="MPW229" s="1"/>
      <c r="MPX229" s="1"/>
      <c r="MPY229" s="1"/>
      <c r="MPZ229" s="1"/>
      <c r="MQA229" s="1"/>
      <c r="MQB229" s="1"/>
      <c r="MQC229" s="1"/>
      <c r="MQD229" s="1"/>
      <c r="MQE229" s="1"/>
      <c r="MQF229" s="1"/>
      <c r="MQG229" s="1"/>
      <c r="MQH229" s="1"/>
      <c r="MQI229" s="1"/>
      <c r="MQJ229" s="1"/>
      <c r="MQK229" s="1"/>
      <c r="MQL229" s="1"/>
      <c r="MQM229" s="1"/>
      <c r="MQN229" s="1"/>
      <c r="MQO229" s="1"/>
      <c r="MQP229" s="1"/>
      <c r="MQQ229" s="1"/>
      <c r="MQR229" s="1"/>
      <c r="MQS229" s="1"/>
      <c r="MQT229" s="1"/>
      <c r="MQU229" s="1"/>
      <c r="MQV229" s="1"/>
      <c r="MQW229" s="1"/>
      <c r="MQX229" s="1"/>
      <c r="MQY229" s="1"/>
      <c r="MQZ229" s="1"/>
      <c r="MRA229" s="1"/>
      <c r="MRB229" s="1"/>
      <c r="MRC229" s="1"/>
      <c r="MRD229" s="1"/>
      <c r="MRE229" s="1"/>
      <c r="MRF229" s="1"/>
      <c r="MRG229" s="1"/>
      <c r="MRH229" s="1"/>
      <c r="MRI229" s="1"/>
      <c r="MRJ229" s="1"/>
      <c r="MRK229" s="1"/>
      <c r="MRL229" s="1"/>
      <c r="MRM229" s="1"/>
      <c r="MRN229" s="1"/>
      <c r="MRO229" s="1"/>
      <c r="MRP229" s="1"/>
      <c r="MRQ229" s="1"/>
      <c r="MRR229" s="1"/>
      <c r="MRS229" s="1"/>
      <c r="MRT229" s="1"/>
      <c r="MRU229" s="1"/>
      <c r="MRV229" s="1"/>
      <c r="MRW229" s="1"/>
      <c r="MRX229" s="1"/>
      <c r="MRY229" s="1"/>
      <c r="MRZ229" s="1"/>
      <c r="MSA229" s="1"/>
      <c r="MSB229" s="1"/>
      <c r="MSC229" s="1"/>
      <c r="MSD229" s="1"/>
      <c r="MSE229" s="1"/>
      <c r="MSF229" s="1"/>
      <c r="MSG229" s="1"/>
      <c r="MSH229" s="1"/>
      <c r="MSI229" s="1"/>
      <c r="MSJ229" s="1"/>
      <c r="MSK229" s="1"/>
      <c r="MSL229" s="1"/>
      <c r="MSM229" s="1"/>
      <c r="MSN229" s="1"/>
      <c r="MSO229" s="1"/>
      <c r="MSP229" s="1"/>
      <c r="MSQ229" s="1"/>
      <c r="MSR229" s="1"/>
      <c r="MSS229" s="1"/>
      <c r="MST229" s="1"/>
      <c r="MSU229" s="1"/>
      <c r="MSV229" s="1"/>
      <c r="MSW229" s="1"/>
      <c r="MSX229" s="1"/>
      <c r="MSY229" s="1"/>
      <c r="MSZ229" s="1"/>
      <c r="MTA229" s="1"/>
      <c r="MTB229" s="1"/>
      <c r="MTC229" s="1"/>
      <c r="MTD229" s="1"/>
      <c r="MTE229" s="1"/>
      <c r="MTF229" s="1"/>
      <c r="MTG229" s="1"/>
      <c r="MTH229" s="1"/>
      <c r="MTI229" s="1"/>
      <c r="MTJ229" s="1"/>
      <c r="MTK229" s="1"/>
      <c r="MTL229" s="1"/>
      <c r="MTM229" s="1"/>
      <c r="MTN229" s="1"/>
      <c r="MTO229" s="1"/>
      <c r="MTP229" s="1"/>
      <c r="MTQ229" s="1"/>
      <c r="MTR229" s="1"/>
      <c r="MTS229" s="1"/>
      <c r="MTT229" s="1"/>
      <c r="MTU229" s="1"/>
      <c r="MTV229" s="1"/>
      <c r="MTW229" s="1"/>
      <c r="MTX229" s="1"/>
      <c r="MTY229" s="1"/>
      <c r="MTZ229" s="1"/>
      <c r="MUA229" s="1"/>
      <c r="MUB229" s="1"/>
      <c r="MUC229" s="1"/>
      <c r="MUD229" s="1"/>
      <c r="MUE229" s="1"/>
      <c r="MUF229" s="1"/>
      <c r="MUG229" s="1"/>
      <c r="MUH229" s="1"/>
      <c r="MUI229" s="1"/>
      <c r="MUJ229" s="1"/>
      <c r="MUK229" s="1"/>
      <c r="MUL229" s="1"/>
      <c r="MUM229" s="1"/>
      <c r="MUN229" s="1"/>
      <c r="MUO229" s="1"/>
      <c r="MUP229" s="1"/>
      <c r="MUQ229" s="1"/>
      <c r="MUR229" s="1"/>
      <c r="MUS229" s="1"/>
      <c r="MUT229" s="1"/>
      <c r="MUU229" s="1"/>
      <c r="MUV229" s="1"/>
      <c r="MUW229" s="1"/>
      <c r="MUX229" s="1"/>
      <c r="MUY229" s="1"/>
      <c r="MUZ229" s="1"/>
      <c r="MVA229" s="1"/>
      <c r="MVB229" s="1"/>
      <c r="MVC229" s="1"/>
      <c r="MVD229" s="1"/>
      <c r="MVE229" s="1"/>
      <c r="MVF229" s="1"/>
      <c r="MVG229" s="1"/>
      <c r="MVH229" s="1"/>
      <c r="MVI229" s="1"/>
      <c r="MVJ229" s="1"/>
      <c r="MVK229" s="1"/>
      <c r="MVL229" s="1"/>
      <c r="MVM229" s="1"/>
      <c r="MVN229" s="1"/>
      <c r="MVO229" s="1"/>
      <c r="MVP229" s="1"/>
      <c r="MVQ229" s="1"/>
      <c r="MVR229" s="1"/>
      <c r="MVS229" s="1"/>
      <c r="MVT229" s="1"/>
      <c r="MVU229" s="1"/>
      <c r="MVV229" s="1"/>
      <c r="MVW229" s="1"/>
      <c r="MVX229" s="1"/>
      <c r="MVY229" s="1"/>
      <c r="MVZ229" s="1"/>
      <c r="MWA229" s="1"/>
      <c r="MWB229" s="1"/>
      <c r="MWC229" s="1"/>
      <c r="MWD229" s="1"/>
      <c r="MWE229" s="1"/>
      <c r="MWF229" s="1"/>
      <c r="MWG229" s="1"/>
      <c r="MWH229" s="1"/>
      <c r="MWI229" s="1"/>
      <c r="MWJ229" s="1"/>
      <c r="MWK229" s="1"/>
      <c r="MWL229" s="1"/>
      <c r="MWM229" s="1"/>
      <c r="MWN229" s="1"/>
      <c r="MWO229" s="1"/>
      <c r="MWP229" s="1"/>
      <c r="MWQ229" s="1"/>
      <c r="MWR229" s="1"/>
      <c r="MWS229" s="1"/>
      <c r="MWT229" s="1"/>
      <c r="MWU229" s="1"/>
      <c r="MWV229" s="1"/>
      <c r="MWW229" s="1"/>
      <c r="MWX229" s="1"/>
      <c r="MWY229" s="1"/>
      <c r="MWZ229" s="1"/>
      <c r="MXA229" s="1"/>
      <c r="MXB229" s="1"/>
      <c r="MXC229" s="1"/>
      <c r="MXD229" s="1"/>
      <c r="MXE229" s="1"/>
      <c r="MXF229" s="1"/>
      <c r="MXG229" s="1"/>
      <c r="MXH229" s="1"/>
      <c r="MXI229" s="1"/>
      <c r="MXJ229" s="1"/>
      <c r="MXK229" s="1"/>
      <c r="MXL229" s="1"/>
      <c r="MXM229" s="1"/>
      <c r="MXN229" s="1"/>
      <c r="MXO229" s="1"/>
      <c r="MXP229" s="1"/>
      <c r="MXQ229" s="1"/>
      <c r="MXR229" s="1"/>
      <c r="MXS229" s="1"/>
      <c r="MXT229" s="1"/>
      <c r="MXU229" s="1"/>
      <c r="MXV229" s="1"/>
      <c r="MXW229" s="1"/>
      <c r="MXX229" s="1"/>
      <c r="MXY229" s="1"/>
      <c r="MXZ229" s="1"/>
      <c r="MYA229" s="1"/>
      <c r="MYB229" s="1"/>
      <c r="MYC229" s="1"/>
      <c r="MYD229" s="1"/>
      <c r="MYE229" s="1"/>
      <c r="MYF229" s="1"/>
      <c r="MYG229" s="1"/>
      <c r="MYH229" s="1"/>
      <c r="MYI229" s="1"/>
      <c r="MYJ229" s="1"/>
      <c r="MYK229" s="1"/>
      <c r="MYL229" s="1"/>
      <c r="MYM229" s="1"/>
      <c r="MYN229" s="1"/>
      <c r="MYO229" s="1"/>
      <c r="MYP229" s="1"/>
      <c r="MYQ229" s="1"/>
      <c r="MYR229" s="1"/>
      <c r="MYS229" s="1"/>
      <c r="MYT229" s="1"/>
      <c r="MYU229" s="1"/>
      <c r="MYV229" s="1"/>
      <c r="MYW229" s="1"/>
      <c r="MYX229" s="1"/>
      <c r="MYY229" s="1"/>
      <c r="MYZ229" s="1"/>
      <c r="MZA229" s="1"/>
      <c r="MZB229" s="1"/>
      <c r="MZC229" s="1"/>
      <c r="MZD229" s="1"/>
      <c r="MZE229" s="1"/>
      <c r="MZF229" s="1"/>
      <c r="MZG229" s="1"/>
      <c r="MZH229" s="1"/>
      <c r="MZI229" s="1"/>
      <c r="MZJ229" s="1"/>
      <c r="MZK229" s="1"/>
      <c r="MZL229" s="1"/>
      <c r="MZM229" s="1"/>
      <c r="MZN229" s="1"/>
      <c r="MZO229" s="1"/>
      <c r="MZP229" s="1"/>
      <c r="MZQ229" s="1"/>
      <c r="MZR229" s="1"/>
      <c r="MZS229" s="1"/>
      <c r="MZT229" s="1"/>
      <c r="MZU229" s="1"/>
      <c r="MZV229" s="1"/>
      <c r="MZW229" s="1"/>
      <c r="MZX229" s="1"/>
      <c r="MZY229" s="1"/>
      <c r="MZZ229" s="1"/>
      <c r="NAA229" s="1"/>
      <c r="NAB229" s="1"/>
      <c r="NAC229" s="1"/>
      <c r="NAD229" s="1"/>
      <c r="NAE229" s="1"/>
      <c r="NAF229" s="1"/>
      <c r="NAG229" s="1"/>
      <c r="NAH229" s="1"/>
      <c r="NAI229" s="1"/>
      <c r="NAJ229" s="1"/>
      <c r="NAK229" s="1"/>
      <c r="NAL229" s="1"/>
      <c r="NAM229" s="1"/>
      <c r="NAN229" s="1"/>
      <c r="NAO229" s="1"/>
      <c r="NAP229" s="1"/>
      <c r="NAQ229" s="1"/>
      <c r="NAR229" s="1"/>
      <c r="NAS229" s="1"/>
      <c r="NAT229" s="1"/>
      <c r="NAU229" s="1"/>
      <c r="NAV229" s="1"/>
      <c r="NAW229" s="1"/>
      <c r="NAX229" s="1"/>
      <c r="NAY229" s="1"/>
      <c r="NAZ229" s="1"/>
      <c r="NBA229" s="1"/>
      <c r="NBB229" s="1"/>
      <c r="NBC229" s="1"/>
      <c r="NBD229" s="1"/>
      <c r="NBE229" s="1"/>
      <c r="NBF229" s="1"/>
      <c r="NBG229" s="1"/>
      <c r="NBH229" s="1"/>
      <c r="NBI229" s="1"/>
      <c r="NBJ229" s="1"/>
      <c r="NBK229" s="1"/>
      <c r="NBL229" s="1"/>
      <c r="NBM229" s="1"/>
      <c r="NBN229" s="1"/>
      <c r="NBO229" s="1"/>
      <c r="NBP229" s="1"/>
      <c r="NBQ229" s="1"/>
      <c r="NBR229" s="1"/>
      <c r="NBS229" s="1"/>
      <c r="NBT229" s="1"/>
      <c r="NBU229" s="1"/>
      <c r="NBV229" s="1"/>
      <c r="NBW229" s="1"/>
      <c r="NBX229" s="1"/>
      <c r="NBY229" s="1"/>
      <c r="NBZ229" s="1"/>
      <c r="NCA229" s="1"/>
      <c r="NCB229" s="1"/>
      <c r="NCC229" s="1"/>
      <c r="NCD229" s="1"/>
      <c r="NCE229" s="1"/>
      <c r="NCF229" s="1"/>
      <c r="NCG229" s="1"/>
      <c r="NCH229" s="1"/>
      <c r="NCI229" s="1"/>
      <c r="NCJ229" s="1"/>
      <c r="NCK229" s="1"/>
      <c r="NCL229" s="1"/>
      <c r="NCM229" s="1"/>
      <c r="NCN229" s="1"/>
      <c r="NCO229" s="1"/>
      <c r="NCP229" s="1"/>
      <c r="NCQ229" s="1"/>
      <c r="NCR229" s="1"/>
      <c r="NCS229" s="1"/>
      <c r="NCT229" s="1"/>
      <c r="NCU229" s="1"/>
      <c r="NCV229" s="1"/>
      <c r="NCW229" s="1"/>
      <c r="NCX229" s="1"/>
      <c r="NCY229" s="1"/>
      <c r="NCZ229" s="1"/>
      <c r="NDA229" s="1"/>
      <c r="NDB229" s="1"/>
      <c r="NDC229" s="1"/>
      <c r="NDD229" s="1"/>
      <c r="NDE229" s="1"/>
      <c r="NDF229" s="1"/>
      <c r="NDG229" s="1"/>
      <c r="NDH229" s="1"/>
      <c r="NDI229" s="1"/>
      <c r="NDJ229" s="1"/>
      <c r="NDK229" s="1"/>
      <c r="NDL229" s="1"/>
      <c r="NDM229" s="1"/>
      <c r="NDN229" s="1"/>
      <c r="NDO229" s="1"/>
      <c r="NDP229" s="1"/>
      <c r="NDQ229" s="1"/>
      <c r="NDR229" s="1"/>
      <c r="NDS229" s="1"/>
      <c r="NDT229" s="1"/>
      <c r="NDU229" s="1"/>
      <c r="NDV229" s="1"/>
      <c r="NDW229" s="1"/>
      <c r="NDX229" s="1"/>
      <c r="NDY229" s="1"/>
      <c r="NDZ229" s="1"/>
      <c r="NEA229" s="1"/>
      <c r="NEB229" s="1"/>
      <c r="NEC229" s="1"/>
      <c r="NED229" s="1"/>
      <c r="NEE229" s="1"/>
      <c r="NEF229" s="1"/>
      <c r="NEG229" s="1"/>
      <c r="NEH229" s="1"/>
      <c r="NEI229" s="1"/>
      <c r="NEJ229" s="1"/>
      <c r="NEK229" s="1"/>
      <c r="NEL229" s="1"/>
      <c r="NEM229" s="1"/>
      <c r="NEN229" s="1"/>
      <c r="NEO229" s="1"/>
      <c r="NEP229" s="1"/>
      <c r="NEQ229" s="1"/>
      <c r="NER229" s="1"/>
      <c r="NES229" s="1"/>
      <c r="NET229" s="1"/>
      <c r="NEU229" s="1"/>
      <c r="NEV229" s="1"/>
      <c r="NEW229" s="1"/>
      <c r="NEX229" s="1"/>
      <c r="NEY229" s="1"/>
      <c r="NEZ229" s="1"/>
      <c r="NFA229" s="1"/>
      <c r="NFB229" s="1"/>
      <c r="NFC229" s="1"/>
      <c r="NFD229" s="1"/>
      <c r="NFE229" s="1"/>
      <c r="NFF229" s="1"/>
      <c r="NFG229" s="1"/>
      <c r="NFH229" s="1"/>
      <c r="NFI229" s="1"/>
      <c r="NFJ229" s="1"/>
      <c r="NFK229" s="1"/>
      <c r="NFL229" s="1"/>
      <c r="NFM229" s="1"/>
      <c r="NFN229" s="1"/>
      <c r="NFO229" s="1"/>
      <c r="NFP229" s="1"/>
      <c r="NFQ229" s="1"/>
      <c r="NFR229" s="1"/>
      <c r="NFS229" s="1"/>
      <c r="NFT229" s="1"/>
      <c r="NFU229" s="1"/>
      <c r="NFV229" s="1"/>
      <c r="NFW229" s="1"/>
      <c r="NFX229" s="1"/>
      <c r="NFY229" s="1"/>
      <c r="NFZ229" s="1"/>
      <c r="NGA229" s="1"/>
      <c r="NGB229" s="1"/>
      <c r="NGC229" s="1"/>
      <c r="NGD229" s="1"/>
      <c r="NGE229" s="1"/>
      <c r="NGF229" s="1"/>
      <c r="NGG229" s="1"/>
      <c r="NGH229" s="1"/>
      <c r="NGI229" s="1"/>
      <c r="NGJ229" s="1"/>
      <c r="NGK229" s="1"/>
      <c r="NGL229" s="1"/>
      <c r="NGM229" s="1"/>
      <c r="NGN229" s="1"/>
      <c r="NGO229" s="1"/>
      <c r="NGP229" s="1"/>
      <c r="NGQ229" s="1"/>
      <c r="NGR229" s="1"/>
      <c r="NGS229" s="1"/>
      <c r="NGT229" s="1"/>
      <c r="NGU229" s="1"/>
      <c r="NGV229" s="1"/>
      <c r="NGW229" s="1"/>
      <c r="NGX229" s="1"/>
      <c r="NGY229" s="1"/>
      <c r="NGZ229" s="1"/>
      <c r="NHA229" s="1"/>
      <c r="NHB229" s="1"/>
      <c r="NHC229" s="1"/>
      <c r="NHD229" s="1"/>
      <c r="NHE229" s="1"/>
      <c r="NHF229" s="1"/>
      <c r="NHG229" s="1"/>
      <c r="NHH229" s="1"/>
      <c r="NHI229" s="1"/>
      <c r="NHJ229" s="1"/>
      <c r="NHK229" s="1"/>
      <c r="NHL229" s="1"/>
      <c r="NHM229" s="1"/>
      <c r="NHN229" s="1"/>
      <c r="NHO229" s="1"/>
      <c r="NHP229" s="1"/>
      <c r="NHQ229" s="1"/>
      <c r="NHR229" s="1"/>
      <c r="NHS229" s="1"/>
      <c r="NHT229" s="1"/>
      <c r="NHU229" s="1"/>
      <c r="NHV229" s="1"/>
      <c r="NHW229" s="1"/>
      <c r="NHX229" s="1"/>
      <c r="NHY229" s="1"/>
      <c r="NHZ229" s="1"/>
      <c r="NIA229" s="1"/>
      <c r="NIB229" s="1"/>
      <c r="NIC229" s="1"/>
      <c r="NID229" s="1"/>
      <c r="NIE229" s="1"/>
      <c r="NIF229" s="1"/>
      <c r="NIG229" s="1"/>
      <c r="NIH229" s="1"/>
      <c r="NII229" s="1"/>
      <c r="NIJ229" s="1"/>
      <c r="NIK229" s="1"/>
      <c r="NIL229" s="1"/>
      <c r="NIM229" s="1"/>
      <c r="NIN229" s="1"/>
      <c r="NIO229" s="1"/>
      <c r="NIP229" s="1"/>
      <c r="NIQ229" s="1"/>
      <c r="NIR229" s="1"/>
      <c r="NIS229" s="1"/>
      <c r="NIT229" s="1"/>
      <c r="NIU229" s="1"/>
      <c r="NIV229" s="1"/>
      <c r="NIW229" s="1"/>
      <c r="NIX229" s="1"/>
      <c r="NIY229" s="1"/>
      <c r="NIZ229" s="1"/>
      <c r="NJA229" s="1"/>
      <c r="NJB229" s="1"/>
      <c r="NJC229" s="1"/>
      <c r="NJD229" s="1"/>
      <c r="NJE229" s="1"/>
      <c r="NJF229" s="1"/>
      <c r="NJG229" s="1"/>
      <c r="NJH229" s="1"/>
      <c r="NJI229" s="1"/>
      <c r="NJJ229" s="1"/>
      <c r="NJK229" s="1"/>
      <c r="NJL229" s="1"/>
      <c r="NJM229" s="1"/>
      <c r="NJN229" s="1"/>
      <c r="NJO229" s="1"/>
      <c r="NJP229" s="1"/>
      <c r="NJQ229" s="1"/>
      <c r="NJR229" s="1"/>
      <c r="NJS229" s="1"/>
      <c r="NJT229" s="1"/>
      <c r="NJU229" s="1"/>
      <c r="NJV229" s="1"/>
      <c r="NJW229" s="1"/>
      <c r="NJX229" s="1"/>
      <c r="NJY229" s="1"/>
      <c r="NJZ229" s="1"/>
      <c r="NKA229" s="1"/>
      <c r="NKB229" s="1"/>
      <c r="NKC229" s="1"/>
      <c r="NKD229" s="1"/>
      <c r="NKE229" s="1"/>
      <c r="NKF229" s="1"/>
      <c r="NKG229" s="1"/>
      <c r="NKH229" s="1"/>
      <c r="NKI229" s="1"/>
      <c r="NKJ229" s="1"/>
      <c r="NKK229" s="1"/>
      <c r="NKL229" s="1"/>
      <c r="NKM229" s="1"/>
      <c r="NKN229" s="1"/>
      <c r="NKO229" s="1"/>
      <c r="NKP229" s="1"/>
      <c r="NKQ229" s="1"/>
      <c r="NKR229" s="1"/>
      <c r="NKS229" s="1"/>
      <c r="NKT229" s="1"/>
      <c r="NKU229" s="1"/>
      <c r="NKV229" s="1"/>
      <c r="NKW229" s="1"/>
      <c r="NKX229" s="1"/>
      <c r="NKY229" s="1"/>
      <c r="NKZ229" s="1"/>
      <c r="NLA229" s="1"/>
      <c r="NLB229" s="1"/>
      <c r="NLC229" s="1"/>
      <c r="NLD229" s="1"/>
      <c r="NLE229" s="1"/>
      <c r="NLF229" s="1"/>
      <c r="NLG229" s="1"/>
      <c r="NLH229" s="1"/>
      <c r="NLI229" s="1"/>
      <c r="NLJ229" s="1"/>
      <c r="NLK229" s="1"/>
      <c r="NLL229" s="1"/>
      <c r="NLM229" s="1"/>
      <c r="NLN229" s="1"/>
      <c r="NLO229" s="1"/>
      <c r="NLP229" s="1"/>
      <c r="NLQ229" s="1"/>
      <c r="NLR229" s="1"/>
      <c r="NLS229" s="1"/>
      <c r="NLT229" s="1"/>
      <c r="NLU229" s="1"/>
      <c r="NLV229" s="1"/>
      <c r="NLW229" s="1"/>
      <c r="NLX229" s="1"/>
      <c r="NLY229" s="1"/>
      <c r="NLZ229" s="1"/>
      <c r="NMA229" s="1"/>
      <c r="NMB229" s="1"/>
      <c r="NMC229" s="1"/>
      <c r="NMD229" s="1"/>
      <c r="NME229" s="1"/>
      <c r="NMF229" s="1"/>
      <c r="NMG229" s="1"/>
      <c r="NMH229" s="1"/>
      <c r="NMI229" s="1"/>
      <c r="NMJ229" s="1"/>
      <c r="NMK229" s="1"/>
      <c r="NML229" s="1"/>
      <c r="NMM229" s="1"/>
      <c r="NMN229" s="1"/>
      <c r="NMO229" s="1"/>
      <c r="NMP229" s="1"/>
      <c r="NMQ229" s="1"/>
      <c r="NMR229" s="1"/>
      <c r="NMS229" s="1"/>
      <c r="NMT229" s="1"/>
      <c r="NMU229" s="1"/>
      <c r="NMV229" s="1"/>
      <c r="NMW229" s="1"/>
      <c r="NMX229" s="1"/>
      <c r="NMY229" s="1"/>
      <c r="NMZ229" s="1"/>
      <c r="NNA229" s="1"/>
      <c r="NNB229" s="1"/>
      <c r="NNC229" s="1"/>
      <c r="NND229" s="1"/>
      <c r="NNE229" s="1"/>
      <c r="NNF229" s="1"/>
      <c r="NNG229" s="1"/>
      <c r="NNH229" s="1"/>
      <c r="NNI229" s="1"/>
      <c r="NNJ229" s="1"/>
      <c r="NNK229" s="1"/>
      <c r="NNL229" s="1"/>
      <c r="NNM229" s="1"/>
      <c r="NNN229" s="1"/>
      <c r="NNO229" s="1"/>
      <c r="NNP229" s="1"/>
      <c r="NNQ229" s="1"/>
      <c r="NNR229" s="1"/>
      <c r="NNS229" s="1"/>
      <c r="NNT229" s="1"/>
      <c r="NNU229" s="1"/>
      <c r="NNV229" s="1"/>
      <c r="NNW229" s="1"/>
      <c r="NNX229" s="1"/>
      <c r="NNY229" s="1"/>
      <c r="NNZ229" s="1"/>
      <c r="NOA229" s="1"/>
      <c r="NOB229" s="1"/>
      <c r="NOC229" s="1"/>
      <c r="NOD229" s="1"/>
      <c r="NOE229" s="1"/>
      <c r="NOF229" s="1"/>
      <c r="NOG229" s="1"/>
      <c r="NOH229" s="1"/>
      <c r="NOI229" s="1"/>
      <c r="NOJ229" s="1"/>
      <c r="NOK229" s="1"/>
      <c r="NOL229" s="1"/>
      <c r="NOM229" s="1"/>
      <c r="NON229" s="1"/>
      <c r="NOO229" s="1"/>
      <c r="NOP229" s="1"/>
      <c r="NOQ229" s="1"/>
      <c r="NOR229" s="1"/>
      <c r="NOS229" s="1"/>
      <c r="NOT229" s="1"/>
      <c r="NOU229" s="1"/>
      <c r="NOV229" s="1"/>
      <c r="NOW229" s="1"/>
      <c r="NOX229" s="1"/>
      <c r="NOY229" s="1"/>
      <c r="NOZ229" s="1"/>
      <c r="NPA229" s="1"/>
      <c r="NPB229" s="1"/>
      <c r="NPC229" s="1"/>
      <c r="NPD229" s="1"/>
      <c r="NPE229" s="1"/>
      <c r="NPF229" s="1"/>
      <c r="NPG229" s="1"/>
      <c r="NPH229" s="1"/>
      <c r="NPI229" s="1"/>
      <c r="NPJ229" s="1"/>
      <c r="NPK229" s="1"/>
      <c r="NPL229" s="1"/>
      <c r="NPM229" s="1"/>
      <c r="NPN229" s="1"/>
      <c r="NPO229" s="1"/>
      <c r="NPP229" s="1"/>
      <c r="NPQ229" s="1"/>
      <c r="NPR229" s="1"/>
      <c r="NPS229" s="1"/>
      <c r="NPT229" s="1"/>
      <c r="NPU229" s="1"/>
      <c r="NPV229" s="1"/>
      <c r="NPW229" s="1"/>
      <c r="NPX229" s="1"/>
      <c r="NPY229" s="1"/>
      <c r="NPZ229" s="1"/>
      <c r="NQA229" s="1"/>
      <c r="NQB229" s="1"/>
      <c r="NQC229" s="1"/>
      <c r="NQD229" s="1"/>
      <c r="NQE229" s="1"/>
      <c r="NQF229" s="1"/>
      <c r="NQG229" s="1"/>
      <c r="NQH229" s="1"/>
      <c r="NQI229" s="1"/>
      <c r="NQJ229" s="1"/>
      <c r="NQK229" s="1"/>
      <c r="NQL229" s="1"/>
      <c r="NQM229" s="1"/>
      <c r="NQN229" s="1"/>
      <c r="NQO229" s="1"/>
      <c r="NQP229" s="1"/>
      <c r="NQQ229" s="1"/>
      <c r="NQR229" s="1"/>
      <c r="NQS229" s="1"/>
      <c r="NQT229" s="1"/>
      <c r="NQU229" s="1"/>
      <c r="NQV229" s="1"/>
      <c r="NQW229" s="1"/>
      <c r="NQX229" s="1"/>
      <c r="NQY229" s="1"/>
      <c r="NQZ229" s="1"/>
      <c r="NRA229" s="1"/>
      <c r="NRB229" s="1"/>
      <c r="NRC229" s="1"/>
      <c r="NRD229" s="1"/>
      <c r="NRE229" s="1"/>
      <c r="NRF229" s="1"/>
      <c r="NRG229" s="1"/>
      <c r="NRH229" s="1"/>
      <c r="NRI229" s="1"/>
      <c r="NRJ229" s="1"/>
      <c r="NRK229" s="1"/>
      <c r="NRL229" s="1"/>
      <c r="NRM229" s="1"/>
      <c r="NRN229" s="1"/>
      <c r="NRO229" s="1"/>
      <c r="NRP229" s="1"/>
      <c r="NRQ229" s="1"/>
      <c r="NRR229" s="1"/>
      <c r="NRS229" s="1"/>
      <c r="NRT229" s="1"/>
      <c r="NRU229" s="1"/>
      <c r="NRV229" s="1"/>
      <c r="NRW229" s="1"/>
      <c r="NRX229" s="1"/>
      <c r="NRY229" s="1"/>
      <c r="NRZ229" s="1"/>
      <c r="NSA229" s="1"/>
      <c r="NSB229" s="1"/>
      <c r="NSC229" s="1"/>
      <c r="NSD229" s="1"/>
      <c r="NSE229" s="1"/>
      <c r="NSF229" s="1"/>
      <c r="NSG229" s="1"/>
      <c r="NSH229" s="1"/>
      <c r="NSI229" s="1"/>
      <c r="NSJ229" s="1"/>
      <c r="NSK229" s="1"/>
      <c r="NSL229" s="1"/>
      <c r="NSM229" s="1"/>
      <c r="NSN229" s="1"/>
      <c r="NSO229" s="1"/>
      <c r="NSP229" s="1"/>
      <c r="NSQ229" s="1"/>
      <c r="NSR229" s="1"/>
      <c r="NSS229" s="1"/>
      <c r="NST229" s="1"/>
      <c r="NSU229" s="1"/>
      <c r="NSV229" s="1"/>
      <c r="NSW229" s="1"/>
      <c r="NSX229" s="1"/>
      <c r="NSY229" s="1"/>
      <c r="NSZ229" s="1"/>
      <c r="NTA229" s="1"/>
      <c r="NTB229" s="1"/>
      <c r="NTC229" s="1"/>
      <c r="NTD229" s="1"/>
      <c r="NTE229" s="1"/>
      <c r="NTF229" s="1"/>
      <c r="NTG229" s="1"/>
      <c r="NTH229" s="1"/>
      <c r="NTI229" s="1"/>
      <c r="NTJ229" s="1"/>
      <c r="NTK229" s="1"/>
      <c r="NTL229" s="1"/>
      <c r="NTM229" s="1"/>
      <c r="NTN229" s="1"/>
      <c r="NTO229" s="1"/>
      <c r="NTP229" s="1"/>
      <c r="NTQ229" s="1"/>
      <c r="NTR229" s="1"/>
      <c r="NTS229" s="1"/>
      <c r="NTT229" s="1"/>
      <c r="NTU229" s="1"/>
      <c r="NTV229" s="1"/>
      <c r="NTW229" s="1"/>
      <c r="NTX229" s="1"/>
      <c r="NTY229" s="1"/>
      <c r="NTZ229" s="1"/>
      <c r="NUA229" s="1"/>
      <c r="NUB229" s="1"/>
      <c r="NUC229" s="1"/>
      <c r="NUD229" s="1"/>
      <c r="NUE229" s="1"/>
      <c r="NUF229" s="1"/>
      <c r="NUG229" s="1"/>
      <c r="NUH229" s="1"/>
      <c r="NUI229" s="1"/>
      <c r="NUJ229" s="1"/>
      <c r="NUK229" s="1"/>
      <c r="NUL229" s="1"/>
      <c r="NUM229" s="1"/>
      <c r="NUN229" s="1"/>
      <c r="NUO229" s="1"/>
      <c r="NUP229" s="1"/>
      <c r="NUQ229" s="1"/>
      <c r="NUR229" s="1"/>
      <c r="NUS229" s="1"/>
      <c r="NUT229" s="1"/>
      <c r="NUU229" s="1"/>
      <c r="NUV229" s="1"/>
      <c r="NUW229" s="1"/>
      <c r="NUX229" s="1"/>
      <c r="NUY229" s="1"/>
      <c r="NUZ229" s="1"/>
      <c r="NVA229" s="1"/>
      <c r="NVB229" s="1"/>
      <c r="NVC229" s="1"/>
      <c r="NVD229" s="1"/>
      <c r="NVE229" s="1"/>
      <c r="NVF229" s="1"/>
      <c r="NVG229" s="1"/>
      <c r="NVH229" s="1"/>
      <c r="NVI229" s="1"/>
      <c r="NVJ229" s="1"/>
      <c r="NVK229" s="1"/>
      <c r="NVL229" s="1"/>
      <c r="NVM229" s="1"/>
      <c r="NVN229" s="1"/>
      <c r="NVO229" s="1"/>
      <c r="NVP229" s="1"/>
      <c r="NVQ229" s="1"/>
      <c r="NVR229" s="1"/>
      <c r="NVS229" s="1"/>
      <c r="NVT229" s="1"/>
      <c r="NVU229" s="1"/>
      <c r="NVV229" s="1"/>
      <c r="NVW229" s="1"/>
      <c r="NVX229" s="1"/>
      <c r="NVY229" s="1"/>
      <c r="NVZ229" s="1"/>
      <c r="NWA229" s="1"/>
      <c r="NWB229" s="1"/>
      <c r="NWC229" s="1"/>
      <c r="NWD229" s="1"/>
      <c r="NWE229" s="1"/>
      <c r="NWF229" s="1"/>
      <c r="NWG229" s="1"/>
      <c r="NWH229" s="1"/>
      <c r="NWI229" s="1"/>
      <c r="NWJ229" s="1"/>
      <c r="NWK229" s="1"/>
      <c r="NWL229" s="1"/>
      <c r="NWM229" s="1"/>
      <c r="NWN229" s="1"/>
      <c r="NWO229" s="1"/>
      <c r="NWP229" s="1"/>
      <c r="NWQ229" s="1"/>
      <c r="NWR229" s="1"/>
      <c r="NWS229" s="1"/>
      <c r="NWT229" s="1"/>
      <c r="NWU229" s="1"/>
      <c r="NWV229" s="1"/>
      <c r="NWW229" s="1"/>
      <c r="NWX229" s="1"/>
      <c r="NWY229" s="1"/>
      <c r="NWZ229" s="1"/>
      <c r="NXA229" s="1"/>
      <c r="NXB229" s="1"/>
      <c r="NXC229" s="1"/>
      <c r="NXD229" s="1"/>
      <c r="NXE229" s="1"/>
      <c r="NXF229" s="1"/>
      <c r="NXG229" s="1"/>
      <c r="NXH229" s="1"/>
      <c r="NXI229" s="1"/>
      <c r="NXJ229" s="1"/>
      <c r="NXK229" s="1"/>
      <c r="NXL229" s="1"/>
      <c r="NXM229" s="1"/>
      <c r="NXN229" s="1"/>
      <c r="NXO229" s="1"/>
      <c r="NXP229" s="1"/>
      <c r="NXQ229" s="1"/>
      <c r="NXR229" s="1"/>
      <c r="NXS229" s="1"/>
      <c r="NXT229" s="1"/>
      <c r="NXU229" s="1"/>
      <c r="NXV229" s="1"/>
      <c r="NXW229" s="1"/>
      <c r="NXX229" s="1"/>
      <c r="NXY229" s="1"/>
      <c r="NXZ229" s="1"/>
      <c r="NYA229" s="1"/>
      <c r="NYB229" s="1"/>
      <c r="NYC229" s="1"/>
      <c r="NYD229" s="1"/>
      <c r="NYE229" s="1"/>
      <c r="NYF229" s="1"/>
      <c r="NYG229" s="1"/>
      <c r="NYH229" s="1"/>
      <c r="NYI229" s="1"/>
      <c r="NYJ229" s="1"/>
      <c r="NYK229" s="1"/>
      <c r="NYL229" s="1"/>
      <c r="NYM229" s="1"/>
      <c r="NYN229" s="1"/>
      <c r="NYO229" s="1"/>
      <c r="NYP229" s="1"/>
      <c r="NYQ229" s="1"/>
      <c r="NYR229" s="1"/>
      <c r="NYS229" s="1"/>
      <c r="NYT229" s="1"/>
      <c r="NYU229" s="1"/>
      <c r="NYV229" s="1"/>
      <c r="NYW229" s="1"/>
      <c r="NYX229" s="1"/>
      <c r="NYY229" s="1"/>
      <c r="NYZ229" s="1"/>
      <c r="NZA229" s="1"/>
      <c r="NZB229" s="1"/>
      <c r="NZC229" s="1"/>
      <c r="NZD229" s="1"/>
      <c r="NZE229" s="1"/>
      <c r="NZF229" s="1"/>
      <c r="NZG229" s="1"/>
      <c r="NZH229" s="1"/>
      <c r="NZI229" s="1"/>
      <c r="NZJ229" s="1"/>
      <c r="NZK229" s="1"/>
      <c r="NZL229" s="1"/>
      <c r="NZM229" s="1"/>
      <c r="NZN229" s="1"/>
      <c r="NZO229" s="1"/>
      <c r="NZP229" s="1"/>
      <c r="NZQ229" s="1"/>
      <c r="NZR229" s="1"/>
      <c r="NZS229" s="1"/>
      <c r="NZT229" s="1"/>
      <c r="NZU229" s="1"/>
      <c r="NZV229" s="1"/>
      <c r="NZW229" s="1"/>
      <c r="NZX229" s="1"/>
      <c r="NZY229" s="1"/>
      <c r="NZZ229" s="1"/>
      <c r="OAA229" s="1"/>
      <c r="OAB229" s="1"/>
      <c r="OAC229" s="1"/>
      <c r="OAD229" s="1"/>
      <c r="OAE229" s="1"/>
      <c r="OAF229" s="1"/>
      <c r="OAG229" s="1"/>
      <c r="OAH229" s="1"/>
      <c r="OAI229" s="1"/>
      <c r="OAJ229" s="1"/>
      <c r="OAK229" s="1"/>
      <c r="OAL229" s="1"/>
      <c r="OAM229" s="1"/>
      <c r="OAN229" s="1"/>
      <c r="OAO229" s="1"/>
      <c r="OAP229" s="1"/>
      <c r="OAQ229" s="1"/>
      <c r="OAR229" s="1"/>
      <c r="OAS229" s="1"/>
      <c r="OAT229" s="1"/>
      <c r="OAU229" s="1"/>
      <c r="OAV229" s="1"/>
      <c r="OAW229" s="1"/>
      <c r="OAX229" s="1"/>
      <c r="OAY229" s="1"/>
      <c r="OAZ229" s="1"/>
      <c r="OBA229" s="1"/>
      <c r="OBB229" s="1"/>
      <c r="OBC229" s="1"/>
      <c r="OBD229" s="1"/>
      <c r="OBE229" s="1"/>
      <c r="OBF229" s="1"/>
      <c r="OBG229" s="1"/>
      <c r="OBH229" s="1"/>
      <c r="OBI229" s="1"/>
      <c r="OBJ229" s="1"/>
      <c r="OBK229" s="1"/>
      <c r="OBL229" s="1"/>
      <c r="OBM229" s="1"/>
      <c r="OBN229" s="1"/>
      <c r="OBO229" s="1"/>
      <c r="OBP229" s="1"/>
      <c r="OBQ229" s="1"/>
      <c r="OBR229" s="1"/>
      <c r="OBS229" s="1"/>
      <c r="OBT229" s="1"/>
      <c r="OBU229" s="1"/>
      <c r="OBV229" s="1"/>
      <c r="OBW229" s="1"/>
      <c r="OBX229" s="1"/>
      <c r="OBY229" s="1"/>
      <c r="OBZ229" s="1"/>
      <c r="OCA229" s="1"/>
      <c r="OCB229" s="1"/>
      <c r="OCC229" s="1"/>
      <c r="OCD229" s="1"/>
      <c r="OCE229" s="1"/>
      <c r="OCF229" s="1"/>
      <c r="OCG229" s="1"/>
      <c r="OCH229" s="1"/>
      <c r="OCI229" s="1"/>
      <c r="OCJ229" s="1"/>
      <c r="OCK229" s="1"/>
      <c r="OCL229" s="1"/>
      <c r="OCM229" s="1"/>
      <c r="OCN229" s="1"/>
      <c r="OCO229" s="1"/>
      <c r="OCP229" s="1"/>
      <c r="OCQ229" s="1"/>
      <c r="OCR229" s="1"/>
      <c r="OCS229" s="1"/>
      <c r="OCT229" s="1"/>
      <c r="OCU229" s="1"/>
      <c r="OCV229" s="1"/>
      <c r="OCW229" s="1"/>
      <c r="OCX229" s="1"/>
      <c r="OCY229" s="1"/>
      <c r="OCZ229" s="1"/>
      <c r="ODA229" s="1"/>
      <c r="ODB229" s="1"/>
      <c r="ODC229" s="1"/>
      <c r="ODD229" s="1"/>
      <c r="ODE229" s="1"/>
      <c r="ODF229" s="1"/>
      <c r="ODG229" s="1"/>
      <c r="ODH229" s="1"/>
      <c r="ODI229" s="1"/>
      <c r="ODJ229" s="1"/>
      <c r="ODK229" s="1"/>
      <c r="ODL229" s="1"/>
      <c r="ODM229" s="1"/>
      <c r="ODN229" s="1"/>
      <c r="ODO229" s="1"/>
      <c r="ODP229" s="1"/>
      <c r="ODQ229" s="1"/>
      <c r="ODR229" s="1"/>
      <c r="ODS229" s="1"/>
      <c r="ODT229" s="1"/>
      <c r="ODU229" s="1"/>
      <c r="ODV229" s="1"/>
      <c r="ODW229" s="1"/>
      <c r="ODX229" s="1"/>
      <c r="ODY229" s="1"/>
      <c r="ODZ229" s="1"/>
      <c r="OEA229" s="1"/>
      <c r="OEB229" s="1"/>
      <c r="OEC229" s="1"/>
      <c r="OED229" s="1"/>
      <c r="OEE229" s="1"/>
      <c r="OEF229" s="1"/>
      <c r="OEG229" s="1"/>
      <c r="OEH229" s="1"/>
      <c r="OEI229" s="1"/>
      <c r="OEJ229" s="1"/>
      <c r="OEK229" s="1"/>
      <c r="OEL229" s="1"/>
      <c r="OEM229" s="1"/>
      <c r="OEN229" s="1"/>
      <c r="OEO229" s="1"/>
      <c r="OEP229" s="1"/>
      <c r="OEQ229" s="1"/>
      <c r="OER229" s="1"/>
      <c r="OES229" s="1"/>
      <c r="OET229" s="1"/>
      <c r="OEU229" s="1"/>
      <c r="OEV229" s="1"/>
      <c r="OEW229" s="1"/>
      <c r="OEX229" s="1"/>
      <c r="OEY229" s="1"/>
      <c r="OEZ229" s="1"/>
      <c r="OFA229" s="1"/>
      <c r="OFB229" s="1"/>
      <c r="OFC229" s="1"/>
      <c r="OFD229" s="1"/>
      <c r="OFE229" s="1"/>
      <c r="OFF229" s="1"/>
      <c r="OFG229" s="1"/>
      <c r="OFH229" s="1"/>
      <c r="OFI229" s="1"/>
      <c r="OFJ229" s="1"/>
      <c r="OFK229" s="1"/>
      <c r="OFL229" s="1"/>
      <c r="OFM229" s="1"/>
      <c r="OFN229" s="1"/>
      <c r="OFO229" s="1"/>
      <c r="OFP229" s="1"/>
      <c r="OFQ229" s="1"/>
      <c r="OFR229" s="1"/>
      <c r="OFS229" s="1"/>
      <c r="OFT229" s="1"/>
      <c r="OFU229" s="1"/>
      <c r="OFV229" s="1"/>
      <c r="OFW229" s="1"/>
      <c r="OFX229" s="1"/>
      <c r="OFY229" s="1"/>
      <c r="OFZ229" s="1"/>
      <c r="OGA229" s="1"/>
      <c r="OGB229" s="1"/>
      <c r="OGC229" s="1"/>
      <c r="OGD229" s="1"/>
      <c r="OGE229" s="1"/>
      <c r="OGF229" s="1"/>
      <c r="OGG229" s="1"/>
      <c r="OGH229" s="1"/>
      <c r="OGI229" s="1"/>
      <c r="OGJ229" s="1"/>
      <c r="OGK229" s="1"/>
      <c r="OGL229" s="1"/>
      <c r="OGM229" s="1"/>
      <c r="OGN229" s="1"/>
      <c r="OGO229" s="1"/>
      <c r="OGP229" s="1"/>
      <c r="OGQ229" s="1"/>
      <c r="OGR229" s="1"/>
      <c r="OGS229" s="1"/>
      <c r="OGT229" s="1"/>
      <c r="OGU229" s="1"/>
      <c r="OGV229" s="1"/>
      <c r="OGW229" s="1"/>
      <c r="OGX229" s="1"/>
      <c r="OGY229" s="1"/>
      <c r="OGZ229" s="1"/>
      <c r="OHA229" s="1"/>
      <c r="OHB229" s="1"/>
      <c r="OHC229" s="1"/>
      <c r="OHD229" s="1"/>
      <c r="OHE229" s="1"/>
      <c r="OHF229" s="1"/>
      <c r="OHG229" s="1"/>
      <c r="OHH229" s="1"/>
      <c r="OHI229" s="1"/>
      <c r="OHJ229" s="1"/>
      <c r="OHK229" s="1"/>
      <c r="OHL229" s="1"/>
      <c r="OHM229" s="1"/>
      <c r="OHN229" s="1"/>
      <c r="OHO229" s="1"/>
      <c r="OHP229" s="1"/>
      <c r="OHQ229" s="1"/>
      <c r="OHR229" s="1"/>
      <c r="OHS229" s="1"/>
      <c r="OHT229" s="1"/>
      <c r="OHU229" s="1"/>
      <c r="OHV229" s="1"/>
      <c r="OHW229" s="1"/>
      <c r="OHX229" s="1"/>
      <c r="OHY229" s="1"/>
      <c r="OHZ229" s="1"/>
      <c r="OIA229" s="1"/>
      <c r="OIB229" s="1"/>
      <c r="OIC229" s="1"/>
      <c r="OID229" s="1"/>
      <c r="OIE229" s="1"/>
      <c r="OIF229" s="1"/>
      <c r="OIG229" s="1"/>
      <c r="OIH229" s="1"/>
      <c r="OII229" s="1"/>
      <c r="OIJ229" s="1"/>
      <c r="OIK229" s="1"/>
      <c r="OIL229" s="1"/>
      <c r="OIM229" s="1"/>
      <c r="OIN229" s="1"/>
      <c r="OIO229" s="1"/>
      <c r="OIP229" s="1"/>
      <c r="OIQ229" s="1"/>
      <c r="OIR229" s="1"/>
      <c r="OIS229" s="1"/>
      <c r="OIT229" s="1"/>
      <c r="OIU229" s="1"/>
      <c r="OIV229" s="1"/>
      <c r="OIW229" s="1"/>
      <c r="OIX229" s="1"/>
      <c r="OIY229" s="1"/>
      <c r="OIZ229" s="1"/>
      <c r="OJA229" s="1"/>
      <c r="OJB229" s="1"/>
      <c r="OJC229" s="1"/>
      <c r="OJD229" s="1"/>
      <c r="OJE229" s="1"/>
      <c r="OJF229" s="1"/>
      <c r="OJG229" s="1"/>
      <c r="OJH229" s="1"/>
      <c r="OJI229" s="1"/>
      <c r="OJJ229" s="1"/>
      <c r="OJK229" s="1"/>
      <c r="OJL229" s="1"/>
      <c r="OJM229" s="1"/>
      <c r="OJN229" s="1"/>
      <c r="OJO229" s="1"/>
      <c r="OJP229" s="1"/>
      <c r="OJQ229" s="1"/>
      <c r="OJR229" s="1"/>
      <c r="OJS229" s="1"/>
      <c r="OJT229" s="1"/>
      <c r="OJU229" s="1"/>
      <c r="OJV229" s="1"/>
      <c r="OJW229" s="1"/>
      <c r="OJX229" s="1"/>
      <c r="OJY229" s="1"/>
      <c r="OJZ229" s="1"/>
      <c r="OKA229" s="1"/>
      <c r="OKB229" s="1"/>
      <c r="OKC229" s="1"/>
      <c r="OKD229" s="1"/>
      <c r="OKE229" s="1"/>
      <c r="OKF229" s="1"/>
      <c r="OKG229" s="1"/>
      <c r="OKH229" s="1"/>
      <c r="OKI229" s="1"/>
      <c r="OKJ229" s="1"/>
      <c r="OKK229" s="1"/>
      <c r="OKL229" s="1"/>
      <c r="OKM229" s="1"/>
      <c r="OKN229" s="1"/>
      <c r="OKO229" s="1"/>
      <c r="OKP229" s="1"/>
      <c r="OKQ229" s="1"/>
      <c r="OKR229" s="1"/>
      <c r="OKS229" s="1"/>
      <c r="OKT229" s="1"/>
      <c r="OKU229" s="1"/>
      <c r="OKV229" s="1"/>
      <c r="OKW229" s="1"/>
      <c r="OKX229" s="1"/>
      <c r="OKY229" s="1"/>
      <c r="OKZ229" s="1"/>
      <c r="OLA229" s="1"/>
      <c r="OLB229" s="1"/>
      <c r="OLC229" s="1"/>
      <c r="OLD229" s="1"/>
      <c r="OLE229" s="1"/>
      <c r="OLF229" s="1"/>
      <c r="OLG229" s="1"/>
      <c r="OLH229" s="1"/>
      <c r="OLI229" s="1"/>
      <c r="OLJ229" s="1"/>
      <c r="OLK229" s="1"/>
      <c r="OLL229" s="1"/>
      <c r="OLM229" s="1"/>
      <c r="OLN229" s="1"/>
      <c r="OLO229" s="1"/>
      <c r="OLP229" s="1"/>
      <c r="OLQ229" s="1"/>
      <c r="OLR229" s="1"/>
      <c r="OLS229" s="1"/>
      <c r="OLT229" s="1"/>
      <c r="OLU229" s="1"/>
      <c r="OLV229" s="1"/>
      <c r="OLW229" s="1"/>
      <c r="OLX229" s="1"/>
      <c r="OLY229" s="1"/>
      <c r="OLZ229" s="1"/>
      <c r="OMA229" s="1"/>
      <c r="OMB229" s="1"/>
      <c r="OMC229" s="1"/>
      <c r="OMD229" s="1"/>
      <c r="OME229" s="1"/>
      <c r="OMF229" s="1"/>
      <c r="OMG229" s="1"/>
      <c r="OMH229" s="1"/>
      <c r="OMI229" s="1"/>
      <c r="OMJ229" s="1"/>
      <c r="OMK229" s="1"/>
      <c r="OML229" s="1"/>
      <c r="OMM229" s="1"/>
      <c r="OMN229" s="1"/>
      <c r="OMO229" s="1"/>
      <c r="OMP229" s="1"/>
      <c r="OMQ229" s="1"/>
      <c r="OMR229" s="1"/>
      <c r="OMS229" s="1"/>
      <c r="OMT229" s="1"/>
      <c r="OMU229" s="1"/>
      <c r="OMV229" s="1"/>
      <c r="OMW229" s="1"/>
      <c r="OMX229" s="1"/>
      <c r="OMY229" s="1"/>
      <c r="OMZ229" s="1"/>
      <c r="ONA229" s="1"/>
      <c r="ONB229" s="1"/>
      <c r="ONC229" s="1"/>
      <c r="OND229" s="1"/>
      <c r="ONE229" s="1"/>
      <c r="ONF229" s="1"/>
      <c r="ONG229" s="1"/>
      <c r="ONH229" s="1"/>
      <c r="ONI229" s="1"/>
      <c r="ONJ229" s="1"/>
      <c r="ONK229" s="1"/>
      <c r="ONL229" s="1"/>
      <c r="ONM229" s="1"/>
      <c r="ONN229" s="1"/>
      <c r="ONO229" s="1"/>
      <c r="ONP229" s="1"/>
      <c r="ONQ229" s="1"/>
      <c r="ONR229" s="1"/>
      <c r="ONS229" s="1"/>
      <c r="ONT229" s="1"/>
      <c r="ONU229" s="1"/>
      <c r="ONV229" s="1"/>
      <c r="ONW229" s="1"/>
      <c r="ONX229" s="1"/>
      <c r="ONY229" s="1"/>
      <c r="ONZ229" s="1"/>
      <c r="OOA229" s="1"/>
      <c r="OOB229" s="1"/>
      <c r="OOC229" s="1"/>
      <c r="OOD229" s="1"/>
      <c r="OOE229" s="1"/>
      <c r="OOF229" s="1"/>
      <c r="OOG229" s="1"/>
      <c r="OOH229" s="1"/>
      <c r="OOI229" s="1"/>
      <c r="OOJ229" s="1"/>
      <c r="OOK229" s="1"/>
      <c r="OOL229" s="1"/>
      <c r="OOM229" s="1"/>
      <c r="OON229" s="1"/>
      <c r="OOO229" s="1"/>
      <c r="OOP229" s="1"/>
      <c r="OOQ229" s="1"/>
      <c r="OOR229" s="1"/>
      <c r="OOS229" s="1"/>
      <c r="OOT229" s="1"/>
      <c r="OOU229" s="1"/>
      <c r="OOV229" s="1"/>
      <c r="OOW229" s="1"/>
      <c r="OOX229" s="1"/>
      <c r="OOY229" s="1"/>
      <c r="OOZ229" s="1"/>
      <c r="OPA229" s="1"/>
      <c r="OPB229" s="1"/>
      <c r="OPC229" s="1"/>
      <c r="OPD229" s="1"/>
      <c r="OPE229" s="1"/>
      <c r="OPF229" s="1"/>
      <c r="OPG229" s="1"/>
      <c r="OPH229" s="1"/>
      <c r="OPI229" s="1"/>
      <c r="OPJ229" s="1"/>
      <c r="OPK229" s="1"/>
      <c r="OPL229" s="1"/>
      <c r="OPM229" s="1"/>
      <c r="OPN229" s="1"/>
      <c r="OPO229" s="1"/>
      <c r="OPP229" s="1"/>
      <c r="OPQ229" s="1"/>
      <c r="OPR229" s="1"/>
      <c r="OPS229" s="1"/>
      <c r="OPT229" s="1"/>
      <c r="OPU229" s="1"/>
      <c r="OPV229" s="1"/>
      <c r="OPW229" s="1"/>
      <c r="OPX229" s="1"/>
      <c r="OPY229" s="1"/>
      <c r="OPZ229" s="1"/>
      <c r="OQA229" s="1"/>
      <c r="OQB229" s="1"/>
      <c r="OQC229" s="1"/>
      <c r="OQD229" s="1"/>
      <c r="OQE229" s="1"/>
      <c r="OQF229" s="1"/>
      <c r="OQG229" s="1"/>
      <c r="OQH229" s="1"/>
      <c r="OQI229" s="1"/>
      <c r="OQJ229" s="1"/>
      <c r="OQK229" s="1"/>
      <c r="OQL229" s="1"/>
      <c r="OQM229" s="1"/>
      <c r="OQN229" s="1"/>
      <c r="OQO229" s="1"/>
      <c r="OQP229" s="1"/>
      <c r="OQQ229" s="1"/>
      <c r="OQR229" s="1"/>
      <c r="OQS229" s="1"/>
      <c r="OQT229" s="1"/>
      <c r="OQU229" s="1"/>
      <c r="OQV229" s="1"/>
      <c r="OQW229" s="1"/>
      <c r="OQX229" s="1"/>
      <c r="OQY229" s="1"/>
      <c r="OQZ229" s="1"/>
      <c r="ORA229" s="1"/>
      <c r="ORB229" s="1"/>
      <c r="ORC229" s="1"/>
      <c r="ORD229" s="1"/>
      <c r="ORE229" s="1"/>
      <c r="ORF229" s="1"/>
      <c r="ORG229" s="1"/>
      <c r="ORH229" s="1"/>
      <c r="ORI229" s="1"/>
      <c r="ORJ229" s="1"/>
      <c r="ORK229" s="1"/>
      <c r="ORL229" s="1"/>
      <c r="ORM229" s="1"/>
      <c r="ORN229" s="1"/>
      <c r="ORO229" s="1"/>
      <c r="ORP229" s="1"/>
      <c r="ORQ229" s="1"/>
      <c r="ORR229" s="1"/>
      <c r="ORS229" s="1"/>
      <c r="ORT229" s="1"/>
      <c r="ORU229" s="1"/>
      <c r="ORV229" s="1"/>
      <c r="ORW229" s="1"/>
      <c r="ORX229" s="1"/>
      <c r="ORY229" s="1"/>
      <c r="ORZ229" s="1"/>
      <c r="OSA229" s="1"/>
      <c r="OSB229" s="1"/>
      <c r="OSC229" s="1"/>
      <c r="OSD229" s="1"/>
      <c r="OSE229" s="1"/>
      <c r="OSF229" s="1"/>
      <c r="OSG229" s="1"/>
      <c r="OSH229" s="1"/>
      <c r="OSI229" s="1"/>
      <c r="OSJ229" s="1"/>
      <c r="OSK229" s="1"/>
      <c r="OSL229" s="1"/>
      <c r="OSM229" s="1"/>
      <c r="OSN229" s="1"/>
      <c r="OSO229" s="1"/>
      <c r="OSP229" s="1"/>
      <c r="OSQ229" s="1"/>
      <c r="OSR229" s="1"/>
      <c r="OSS229" s="1"/>
      <c r="OST229" s="1"/>
      <c r="OSU229" s="1"/>
      <c r="OSV229" s="1"/>
      <c r="OSW229" s="1"/>
      <c r="OSX229" s="1"/>
      <c r="OSY229" s="1"/>
      <c r="OSZ229" s="1"/>
      <c r="OTA229" s="1"/>
      <c r="OTB229" s="1"/>
      <c r="OTC229" s="1"/>
      <c r="OTD229" s="1"/>
      <c r="OTE229" s="1"/>
      <c r="OTF229" s="1"/>
      <c r="OTG229" s="1"/>
      <c r="OTH229" s="1"/>
      <c r="OTI229" s="1"/>
      <c r="OTJ229" s="1"/>
      <c r="OTK229" s="1"/>
      <c r="OTL229" s="1"/>
      <c r="OTM229" s="1"/>
      <c r="OTN229" s="1"/>
      <c r="OTO229" s="1"/>
      <c r="OTP229" s="1"/>
      <c r="OTQ229" s="1"/>
      <c r="OTR229" s="1"/>
      <c r="OTS229" s="1"/>
      <c r="OTT229" s="1"/>
      <c r="OTU229" s="1"/>
      <c r="OTV229" s="1"/>
      <c r="OTW229" s="1"/>
      <c r="OTX229" s="1"/>
      <c r="OTY229" s="1"/>
      <c r="OTZ229" s="1"/>
      <c r="OUA229" s="1"/>
      <c r="OUB229" s="1"/>
      <c r="OUC229" s="1"/>
      <c r="OUD229" s="1"/>
      <c r="OUE229" s="1"/>
      <c r="OUF229" s="1"/>
      <c r="OUG229" s="1"/>
      <c r="OUH229" s="1"/>
      <c r="OUI229" s="1"/>
      <c r="OUJ229" s="1"/>
      <c r="OUK229" s="1"/>
      <c r="OUL229" s="1"/>
      <c r="OUM229" s="1"/>
      <c r="OUN229" s="1"/>
      <c r="OUO229" s="1"/>
      <c r="OUP229" s="1"/>
      <c r="OUQ229" s="1"/>
      <c r="OUR229" s="1"/>
      <c r="OUS229" s="1"/>
      <c r="OUT229" s="1"/>
      <c r="OUU229" s="1"/>
      <c r="OUV229" s="1"/>
      <c r="OUW229" s="1"/>
      <c r="OUX229" s="1"/>
      <c r="OUY229" s="1"/>
      <c r="OUZ229" s="1"/>
      <c r="OVA229" s="1"/>
      <c r="OVB229" s="1"/>
      <c r="OVC229" s="1"/>
      <c r="OVD229" s="1"/>
      <c r="OVE229" s="1"/>
      <c r="OVF229" s="1"/>
      <c r="OVG229" s="1"/>
      <c r="OVH229" s="1"/>
      <c r="OVI229" s="1"/>
      <c r="OVJ229" s="1"/>
      <c r="OVK229" s="1"/>
      <c r="OVL229" s="1"/>
      <c r="OVM229" s="1"/>
      <c r="OVN229" s="1"/>
      <c r="OVO229" s="1"/>
      <c r="OVP229" s="1"/>
      <c r="OVQ229" s="1"/>
      <c r="OVR229" s="1"/>
      <c r="OVS229" s="1"/>
      <c r="OVT229" s="1"/>
      <c r="OVU229" s="1"/>
      <c r="OVV229" s="1"/>
      <c r="OVW229" s="1"/>
      <c r="OVX229" s="1"/>
      <c r="OVY229" s="1"/>
      <c r="OVZ229" s="1"/>
      <c r="OWA229" s="1"/>
      <c r="OWB229" s="1"/>
      <c r="OWC229" s="1"/>
      <c r="OWD229" s="1"/>
      <c r="OWE229" s="1"/>
      <c r="OWF229" s="1"/>
      <c r="OWG229" s="1"/>
      <c r="OWH229" s="1"/>
      <c r="OWI229" s="1"/>
      <c r="OWJ229" s="1"/>
      <c r="OWK229" s="1"/>
      <c r="OWL229" s="1"/>
      <c r="OWM229" s="1"/>
      <c r="OWN229" s="1"/>
      <c r="OWO229" s="1"/>
      <c r="OWP229" s="1"/>
      <c r="OWQ229" s="1"/>
      <c r="OWR229" s="1"/>
      <c r="OWS229" s="1"/>
      <c r="OWT229" s="1"/>
      <c r="OWU229" s="1"/>
      <c r="OWV229" s="1"/>
      <c r="OWW229" s="1"/>
      <c r="OWX229" s="1"/>
      <c r="OWY229" s="1"/>
      <c r="OWZ229" s="1"/>
      <c r="OXA229" s="1"/>
      <c r="OXB229" s="1"/>
      <c r="OXC229" s="1"/>
      <c r="OXD229" s="1"/>
      <c r="OXE229" s="1"/>
      <c r="OXF229" s="1"/>
      <c r="OXG229" s="1"/>
      <c r="OXH229" s="1"/>
      <c r="OXI229" s="1"/>
      <c r="OXJ229" s="1"/>
      <c r="OXK229" s="1"/>
      <c r="OXL229" s="1"/>
      <c r="OXM229" s="1"/>
      <c r="OXN229" s="1"/>
      <c r="OXO229" s="1"/>
      <c r="OXP229" s="1"/>
      <c r="OXQ229" s="1"/>
      <c r="OXR229" s="1"/>
      <c r="OXS229" s="1"/>
      <c r="OXT229" s="1"/>
      <c r="OXU229" s="1"/>
      <c r="OXV229" s="1"/>
      <c r="OXW229" s="1"/>
      <c r="OXX229" s="1"/>
      <c r="OXY229" s="1"/>
      <c r="OXZ229" s="1"/>
      <c r="OYA229" s="1"/>
      <c r="OYB229" s="1"/>
      <c r="OYC229" s="1"/>
      <c r="OYD229" s="1"/>
      <c r="OYE229" s="1"/>
      <c r="OYF229" s="1"/>
      <c r="OYG229" s="1"/>
      <c r="OYH229" s="1"/>
      <c r="OYI229" s="1"/>
      <c r="OYJ229" s="1"/>
      <c r="OYK229" s="1"/>
      <c r="OYL229" s="1"/>
      <c r="OYM229" s="1"/>
      <c r="OYN229" s="1"/>
      <c r="OYO229" s="1"/>
      <c r="OYP229" s="1"/>
      <c r="OYQ229" s="1"/>
      <c r="OYR229" s="1"/>
      <c r="OYS229" s="1"/>
      <c r="OYT229" s="1"/>
      <c r="OYU229" s="1"/>
      <c r="OYV229" s="1"/>
      <c r="OYW229" s="1"/>
      <c r="OYX229" s="1"/>
      <c r="OYY229" s="1"/>
      <c r="OYZ229" s="1"/>
      <c r="OZA229" s="1"/>
      <c r="OZB229" s="1"/>
      <c r="OZC229" s="1"/>
      <c r="OZD229" s="1"/>
      <c r="OZE229" s="1"/>
      <c r="OZF229" s="1"/>
      <c r="OZG229" s="1"/>
      <c r="OZH229" s="1"/>
      <c r="OZI229" s="1"/>
      <c r="OZJ229" s="1"/>
      <c r="OZK229" s="1"/>
      <c r="OZL229" s="1"/>
      <c r="OZM229" s="1"/>
      <c r="OZN229" s="1"/>
      <c r="OZO229" s="1"/>
      <c r="OZP229" s="1"/>
      <c r="OZQ229" s="1"/>
      <c r="OZR229" s="1"/>
      <c r="OZS229" s="1"/>
      <c r="OZT229" s="1"/>
      <c r="OZU229" s="1"/>
      <c r="OZV229" s="1"/>
      <c r="OZW229" s="1"/>
      <c r="OZX229" s="1"/>
      <c r="OZY229" s="1"/>
      <c r="OZZ229" s="1"/>
      <c r="PAA229" s="1"/>
      <c r="PAB229" s="1"/>
      <c r="PAC229" s="1"/>
      <c r="PAD229" s="1"/>
      <c r="PAE229" s="1"/>
      <c r="PAF229" s="1"/>
      <c r="PAG229" s="1"/>
      <c r="PAH229" s="1"/>
      <c r="PAI229" s="1"/>
      <c r="PAJ229" s="1"/>
      <c r="PAK229" s="1"/>
      <c r="PAL229" s="1"/>
      <c r="PAM229" s="1"/>
      <c r="PAN229" s="1"/>
      <c r="PAO229" s="1"/>
      <c r="PAP229" s="1"/>
      <c r="PAQ229" s="1"/>
      <c r="PAR229" s="1"/>
      <c r="PAS229" s="1"/>
      <c r="PAT229" s="1"/>
      <c r="PAU229" s="1"/>
      <c r="PAV229" s="1"/>
      <c r="PAW229" s="1"/>
      <c r="PAX229" s="1"/>
      <c r="PAY229" s="1"/>
      <c r="PAZ229" s="1"/>
      <c r="PBA229" s="1"/>
      <c r="PBB229" s="1"/>
      <c r="PBC229" s="1"/>
      <c r="PBD229" s="1"/>
      <c r="PBE229" s="1"/>
      <c r="PBF229" s="1"/>
      <c r="PBG229" s="1"/>
      <c r="PBH229" s="1"/>
      <c r="PBI229" s="1"/>
      <c r="PBJ229" s="1"/>
      <c r="PBK229" s="1"/>
      <c r="PBL229" s="1"/>
      <c r="PBM229" s="1"/>
      <c r="PBN229" s="1"/>
      <c r="PBO229" s="1"/>
      <c r="PBP229" s="1"/>
      <c r="PBQ229" s="1"/>
      <c r="PBR229" s="1"/>
      <c r="PBS229" s="1"/>
      <c r="PBT229" s="1"/>
      <c r="PBU229" s="1"/>
      <c r="PBV229" s="1"/>
      <c r="PBW229" s="1"/>
      <c r="PBX229" s="1"/>
      <c r="PBY229" s="1"/>
      <c r="PBZ229" s="1"/>
      <c r="PCA229" s="1"/>
      <c r="PCB229" s="1"/>
      <c r="PCC229" s="1"/>
      <c r="PCD229" s="1"/>
      <c r="PCE229" s="1"/>
      <c r="PCF229" s="1"/>
      <c r="PCG229" s="1"/>
      <c r="PCH229" s="1"/>
      <c r="PCI229" s="1"/>
      <c r="PCJ229" s="1"/>
      <c r="PCK229" s="1"/>
      <c r="PCL229" s="1"/>
      <c r="PCM229" s="1"/>
      <c r="PCN229" s="1"/>
      <c r="PCO229" s="1"/>
      <c r="PCP229" s="1"/>
      <c r="PCQ229" s="1"/>
      <c r="PCR229" s="1"/>
      <c r="PCS229" s="1"/>
      <c r="PCT229" s="1"/>
      <c r="PCU229" s="1"/>
      <c r="PCV229" s="1"/>
      <c r="PCW229" s="1"/>
      <c r="PCX229" s="1"/>
      <c r="PCY229" s="1"/>
      <c r="PCZ229" s="1"/>
      <c r="PDA229" s="1"/>
      <c r="PDB229" s="1"/>
      <c r="PDC229" s="1"/>
      <c r="PDD229" s="1"/>
      <c r="PDE229" s="1"/>
      <c r="PDF229" s="1"/>
      <c r="PDG229" s="1"/>
      <c r="PDH229" s="1"/>
      <c r="PDI229" s="1"/>
      <c r="PDJ229" s="1"/>
      <c r="PDK229" s="1"/>
      <c r="PDL229" s="1"/>
      <c r="PDM229" s="1"/>
      <c r="PDN229" s="1"/>
      <c r="PDO229" s="1"/>
      <c r="PDP229" s="1"/>
      <c r="PDQ229" s="1"/>
      <c r="PDR229" s="1"/>
      <c r="PDS229" s="1"/>
      <c r="PDT229" s="1"/>
      <c r="PDU229" s="1"/>
      <c r="PDV229" s="1"/>
      <c r="PDW229" s="1"/>
      <c r="PDX229" s="1"/>
      <c r="PDY229" s="1"/>
      <c r="PDZ229" s="1"/>
      <c r="PEA229" s="1"/>
      <c r="PEB229" s="1"/>
      <c r="PEC229" s="1"/>
      <c r="PED229" s="1"/>
      <c r="PEE229" s="1"/>
      <c r="PEF229" s="1"/>
      <c r="PEG229" s="1"/>
      <c r="PEH229" s="1"/>
      <c r="PEI229" s="1"/>
      <c r="PEJ229" s="1"/>
      <c r="PEK229" s="1"/>
      <c r="PEL229" s="1"/>
      <c r="PEM229" s="1"/>
      <c r="PEN229" s="1"/>
      <c r="PEO229" s="1"/>
      <c r="PEP229" s="1"/>
      <c r="PEQ229" s="1"/>
      <c r="PER229" s="1"/>
      <c r="PES229" s="1"/>
      <c r="PET229" s="1"/>
      <c r="PEU229" s="1"/>
      <c r="PEV229" s="1"/>
      <c r="PEW229" s="1"/>
      <c r="PEX229" s="1"/>
      <c r="PEY229" s="1"/>
      <c r="PEZ229" s="1"/>
      <c r="PFA229" s="1"/>
      <c r="PFB229" s="1"/>
      <c r="PFC229" s="1"/>
      <c r="PFD229" s="1"/>
      <c r="PFE229" s="1"/>
      <c r="PFF229" s="1"/>
      <c r="PFG229" s="1"/>
      <c r="PFH229" s="1"/>
      <c r="PFI229" s="1"/>
      <c r="PFJ229" s="1"/>
      <c r="PFK229" s="1"/>
      <c r="PFL229" s="1"/>
      <c r="PFM229" s="1"/>
      <c r="PFN229" s="1"/>
      <c r="PFO229" s="1"/>
      <c r="PFP229" s="1"/>
      <c r="PFQ229" s="1"/>
      <c r="PFR229" s="1"/>
      <c r="PFS229" s="1"/>
      <c r="PFT229" s="1"/>
      <c r="PFU229" s="1"/>
      <c r="PFV229" s="1"/>
      <c r="PFW229" s="1"/>
      <c r="PFX229" s="1"/>
      <c r="PFY229" s="1"/>
      <c r="PFZ229" s="1"/>
      <c r="PGA229" s="1"/>
      <c r="PGB229" s="1"/>
      <c r="PGC229" s="1"/>
      <c r="PGD229" s="1"/>
      <c r="PGE229" s="1"/>
      <c r="PGF229" s="1"/>
      <c r="PGG229" s="1"/>
      <c r="PGH229" s="1"/>
      <c r="PGI229" s="1"/>
      <c r="PGJ229" s="1"/>
      <c r="PGK229" s="1"/>
      <c r="PGL229" s="1"/>
      <c r="PGM229" s="1"/>
      <c r="PGN229" s="1"/>
      <c r="PGO229" s="1"/>
      <c r="PGP229" s="1"/>
      <c r="PGQ229" s="1"/>
      <c r="PGR229" s="1"/>
      <c r="PGS229" s="1"/>
      <c r="PGT229" s="1"/>
      <c r="PGU229" s="1"/>
      <c r="PGV229" s="1"/>
      <c r="PGW229" s="1"/>
      <c r="PGX229" s="1"/>
      <c r="PGY229" s="1"/>
      <c r="PGZ229" s="1"/>
      <c r="PHA229" s="1"/>
      <c r="PHB229" s="1"/>
      <c r="PHC229" s="1"/>
      <c r="PHD229" s="1"/>
      <c r="PHE229" s="1"/>
      <c r="PHF229" s="1"/>
      <c r="PHG229" s="1"/>
      <c r="PHH229" s="1"/>
      <c r="PHI229" s="1"/>
      <c r="PHJ229" s="1"/>
      <c r="PHK229" s="1"/>
      <c r="PHL229" s="1"/>
      <c r="PHM229" s="1"/>
      <c r="PHN229" s="1"/>
      <c r="PHO229" s="1"/>
      <c r="PHP229" s="1"/>
      <c r="PHQ229" s="1"/>
      <c r="PHR229" s="1"/>
      <c r="PHS229" s="1"/>
      <c r="PHT229" s="1"/>
      <c r="PHU229" s="1"/>
      <c r="PHV229" s="1"/>
      <c r="PHW229" s="1"/>
      <c r="PHX229" s="1"/>
      <c r="PHY229" s="1"/>
      <c r="PHZ229" s="1"/>
      <c r="PIA229" s="1"/>
      <c r="PIB229" s="1"/>
      <c r="PIC229" s="1"/>
      <c r="PID229" s="1"/>
      <c r="PIE229" s="1"/>
      <c r="PIF229" s="1"/>
      <c r="PIG229" s="1"/>
      <c r="PIH229" s="1"/>
      <c r="PII229" s="1"/>
      <c r="PIJ229" s="1"/>
      <c r="PIK229" s="1"/>
      <c r="PIL229" s="1"/>
      <c r="PIM229" s="1"/>
      <c r="PIN229" s="1"/>
      <c r="PIO229" s="1"/>
      <c r="PIP229" s="1"/>
      <c r="PIQ229" s="1"/>
      <c r="PIR229" s="1"/>
      <c r="PIS229" s="1"/>
      <c r="PIT229" s="1"/>
      <c r="PIU229" s="1"/>
      <c r="PIV229" s="1"/>
      <c r="PIW229" s="1"/>
      <c r="PIX229" s="1"/>
      <c r="PIY229" s="1"/>
      <c r="PIZ229" s="1"/>
      <c r="PJA229" s="1"/>
      <c r="PJB229" s="1"/>
      <c r="PJC229" s="1"/>
      <c r="PJD229" s="1"/>
      <c r="PJE229" s="1"/>
      <c r="PJF229" s="1"/>
      <c r="PJG229" s="1"/>
      <c r="PJH229" s="1"/>
      <c r="PJI229" s="1"/>
      <c r="PJJ229" s="1"/>
      <c r="PJK229" s="1"/>
      <c r="PJL229" s="1"/>
      <c r="PJM229" s="1"/>
      <c r="PJN229" s="1"/>
      <c r="PJO229" s="1"/>
      <c r="PJP229" s="1"/>
      <c r="PJQ229" s="1"/>
      <c r="PJR229" s="1"/>
      <c r="PJS229" s="1"/>
      <c r="PJT229" s="1"/>
      <c r="PJU229" s="1"/>
      <c r="PJV229" s="1"/>
      <c r="PJW229" s="1"/>
      <c r="PJX229" s="1"/>
      <c r="PJY229" s="1"/>
      <c r="PJZ229" s="1"/>
      <c r="PKA229" s="1"/>
      <c r="PKB229" s="1"/>
      <c r="PKC229" s="1"/>
      <c r="PKD229" s="1"/>
      <c r="PKE229" s="1"/>
      <c r="PKF229" s="1"/>
      <c r="PKG229" s="1"/>
      <c r="PKH229" s="1"/>
      <c r="PKI229" s="1"/>
      <c r="PKJ229" s="1"/>
      <c r="PKK229" s="1"/>
      <c r="PKL229" s="1"/>
      <c r="PKM229" s="1"/>
      <c r="PKN229" s="1"/>
      <c r="PKO229" s="1"/>
      <c r="PKP229" s="1"/>
      <c r="PKQ229" s="1"/>
      <c r="PKR229" s="1"/>
      <c r="PKS229" s="1"/>
      <c r="PKT229" s="1"/>
      <c r="PKU229" s="1"/>
      <c r="PKV229" s="1"/>
      <c r="PKW229" s="1"/>
      <c r="PKX229" s="1"/>
      <c r="PKY229" s="1"/>
      <c r="PKZ229" s="1"/>
      <c r="PLA229" s="1"/>
      <c r="PLB229" s="1"/>
      <c r="PLC229" s="1"/>
      <c r="PLD229" s="1"/>
      <c r="PLE229" s="1"/>
      <c r="PLF229" s="1"/>
      <c r="PLG229" s="1"/>
      <c r="PLH229" s="1"/>
      <c r="PLI229" s="1"/>
      <c r="PLJ229" s="1"/>
      <c r="PLK229" s="1"/>
      <c r="PLL229" s="1"/>
      <c r="PLM229" s="1"/>
      <c r="PLN229" s="1"/>
      <c r="PLO229" s="1"/>
      <c r="PLP229" s="1"/>
      <c r="PLQ229" s="1"/>
      <c r="PLR229" s="1"/>
      <c r="PLS229" s="1"/>
      <c r="PLT229" s="1"/>
      <c r="PLU229" s="1"/>
      <c r="PLV229" s="1"/>
      <c r="PLW229" s="1"/>
      <c r="PLX229" s="1"/>
      <c r="PLY229" s="1"/>
      <c r="PLZ229" s="1"/>
      <c r="PMA229" s="1"/>
      <c r="PMB229" s="1"/>
      <c r="PMC229" s="1"/>
      <c r="PMD229" s="1"/>
      <c r="PME229" s="1"/>
      <c r="PMF229" s="1"/>
      <c r="PMG229" s="1"/>
      <c r="PMH229" s="1"/>
      <c r="PMI229" s="1"/>
      <c r="PMJ229" s="1"/>
      <c r="PMK229" s="1"/>
      <c r="PML229" s="1"/>
      <c r="PMM229" s="1"/>
      <c r="PMN229" s="1"/>
      <c r="PMO229" s="1"/>
      <c r="PMP229" s="1"/>
      <c r="PMQ229" s="1"/>
      <c r="PMR229" s="1"/>
      <c r="PMS229" s="1"/>
      <c r="PMT229" s="1"/>
      <c r="PMU229" s="1"/>
      <c r="PMV229" s="1"/>
      <c r="PMW229" s="1"/>
      <c r="PMX229" s="1"/>
      <c r="PMY229" s="1"/>
      <c r="PMZ229" s="1"/>
      <c r="PNA229" s="1"/>
      <c r="PNB229" s="1"/>
      <c r="PNC229" s="1"/>
      <c r="PND229" s="1"/>
      <c r="PNE229" s="1"/>
      <c r="PNF229" s="1"/>
      <c r="PNG229" s="1"/>
      <c r="PNH229" s="1"/>
      <c r="PNI229" s="1"/>
      <c r="PNJ229" s="1"/>
      <c r="PNK229" s="1"/>
      <c r="PNL229" s="1"/>
      <c r="PNM229" s="1"/>
      <c r="PNN229" s="1"/>
      <c r="PNO229" s="1"/>
      <c r="PNP229" s="1"/>
      <c r="PNQ229" s="1"/>
      <c r="PNR229" s="1"/>
      <c r="PNS229" s="1"/>
      <c r="PNT229" s="1"/>
      <c r="PNU229" s="1"/>
      <c r="PNV229" s="1"/>
      <c r="PNW229" s="1"/>
      <c r="PNX229" s="1"/>
      <c r="PNY229" s="1"/>
      <c r="PNZ229" s="1"/>
      <c r="POA229" s="1"/>
      <c r="POB229" s="1"/>
      <c r="POC229" s="1"/>
      <c r="POD229" s="1"/>
      <c r="POE229" s="1"/>
      <c r="POF229" s="1"/>
      <c r="POG229" s="1"/>
      <c r="POH229" s="1"/>
      <c r="POI229" s="1"/>
      <c r="POJ229" s="1"/>
      <c r="POK229" s="1"/>
      <c r="POL229" s="1"/>
      <c r="POM229" s="1"/>
      <c r="PON229" s="1"/>
      <c r="POO229" s="1"/>
      <c r="POP229" s="1"/>
      <c r="POQ229" s="1"/>
      <c r="POR229" s="1"/>
      <c r="POS229" s="1"/>
      <c r="POT229" s="1"/>
      <c r="POU229" s="1"/>
      <c r="POV229" s="1"/>
      <c r="POW229" s="1"/>
      <c r="POX229" s="1"/>
      <c r="POY229" s="1"/>
      <c r="POZ229" s="1"/>
      <c r="PPA229" s="1"/>
      <c r="PPB229" s="1"/>
      <c r="PPC229" s="1"/>
      <c r="PPD229" s="1"/>
      <c r="PPE229" s="1"/>
      <c r="PPF229" s="1"/>
      <c r="PPG229" s="1"/>
      <c r="PPH229" s="1"/>
      <c r="PPI229" s="1"/>
      <c r="PPJ229" s="1"/>
      <c r="PPK229" s="1"/>
      <c r="PPL229" s="1"/>
      <c r="PPM229" s="1"/>
      <c r="PPN229" s="1"/>
      <c r="PPO229" s="1"/>
      <c r="PPP229" s="1"/>
      <c r="PPQ229" s="1"/>
      <c r="PPR229" s="1"/>
      <c r="PPS229" s="1"/>
      <c r="PPT229" s="1"/>
      <c r="PPU229" s="1"/>
      <c r="PPV229" s="1"/>
      <c r="PPW229" s="1"/>
      <c r="PPX229" s="1"/>
      <c r="PPY229" s="1"/>
      <c r="PPZ229" s="1"/>
      <c r="PQA229" s="1"/>
      <c r="PQB229" s="1"/>
      <c r="PQC229" s="1"/>
      <c r="PQD229" s="1"/>
      <c r="PQE229" s="1"/>
      <c r="PQF229" s="1"/>
      <c r="PQG229" s="1"/>
      <c r="PQH229" s="1"/>
      <c r="PQI229" s="1"/>
      <c r="PQJ229" s="1"/>
      <c r="PQK229" s="1"/>
      <c r="PQL229" s="1"/>
      <c r="PQM229" s="1"/>
      <c r="PQN229" s="1"/>
      <c r="PQO229" s="1"/>
      <c r="PQP229" s="1"/>
      <c r="PQQ229" s="1"/>
      <c r="PQR229" s="1"/>
      <c r="PQS229" s="1"/>
      <c r="PQT229" s="1"/>
      <c r="PQU229" s="1"/>
      <c r="PQV229" s="1"/>
      <c r="PQW229" s="1"/>
      <c r="PQX229" s="1"/>
      <c r="PQY229" s="1"/>
      <c r="PQZ229" s="1"/>
      <c r="PRA229" s="1"/>
      <c r="PRB229" s="1"/>
      <c r="PRC229" s="1"/>
      <c r="PRD229" s="1"/>
      <c r="PRE229" s="1"/>
      <c r="PRF229" s="1"/>
      <c r="PRG229" s="1"/>
      <c r="PRH229" s="1"/>
      <c r="PRI229" s="1"/>
      <c r="PRJ229" s="1"/>
      <c r="PRK229" s="1"/>
      <c r="PRL229" s="1"/>
      <c r="PRM229" s="1"/>
      <c r="PRN229" s="1"/>
      <c r="PRO229" s="1"/>
      <c r="PRP229" s="1"/>
      <c r="PRQ229" s="1"/>
      <c r="PRR229" s="1"/>
      <c r="PRS229" s="1"/>
      <c r="PRT229" s="1"/>
      <c r="PRU229" s="1"/>
      <c r="PRV229" s="1"/>
      <c r="PRW229" s="1"/>
      <c r="PRX229" s="1"/>
      <c r="PRY229" s="1"/>
      <c r="PRZ229" s="1"/>
      <c r="PSA229" s="1"/>
      <c r="PSB229" s="1"/>
      <c r="PSC229" s="1"/>
      <c r="PSD229" s="1"/>
      <c r="PSE229" s="1"/>
      <c r="PSF229" s="1"/>
      <c r="PSG229" s="1"/>
      <c r="PSH229" s="1"/>
      <c r="PSI229" s="1"/>
      <c r="PSJ229" s="1"/>
      <c r="PSK229" s="1"/>
      <c r="PSL229" s="1"/>
      <c r="PSM229" s="1"/>
      <c r="PSN229" s="1"/>
      <c r="PSO229" s="1"/>
      <c r="PSP229" s="1"/>
      <c r="PSQ229" s="1"/>
      <c r="PSR229" s="1"/>
      <c r="PSS229" s="1"/>
      <c r="PST229" s="1"/>
      <c r="PSU229" s="1"/>
      <c r="PSV229" s="1"/>
      <c r="PSW229" s="1"/>
      <c r="PSX229" s="1"/>
      <c r="PSY229" s="1"/>
      <c r="PSZ229" s="1"/>
      <c r="PTA229" s="1"/>
      <c r="PTB229" s="1"/>
      <c r="PTC229" s="1"/>
      <c r="PTD229" s="1"/>
      <c r="PTE229" s="1"/>
      <c r="PTF229" s="1"/>
      <c r="PTG229" s="1"/>
      <c r="PTH229" s="1"/>
      <c r="PTI229" s="1"/>
      <c r="PTJ229" s="1"/>
      <c r="PTK229" s="1"/>
      <c r="PTL229" s="1"/>
      <c r="PTM229" s="1"/>
      <c r="PTN229" s="1"/>
      <c r="PTO229" s="1"/>
      <c r="PTP229" s="1"/>
      <c r="PTQ229" s="1"/>
      <c r="PTR229" s="1"/>
      <c r="PTS229" s="1"/>
      <c r="PTT229" s="1"/>
      <c r="PTU229" s="1"/>
      <c r="PTV229" s="1"/>
      <c r="PTW229" s="1"/>
      <c r="PTX229" s="1"/>
      <c r="PTY229" s="1"/>
      <c r="PTZ229" s="1"/>
      <c r="PUA229" s="1"/>
      <c r="PUB229" s="1"/>
      <c r="PUC229" s="1"/>
      <c r="PUD229" s="1"/>
      <c r="PUE229" s="1"/>
      <c r="PUF229" s="1"/>
      <c r="PUG229" s="1"/>
      <c r="PUH229" s="1"/>
      <c r="PUI229" s="1"/>
      <c r="PUJ229" s="1"/>
      <c r="PUK229" s="1"/>
      <c r="PUL229" s="1"/>
      <c r="PUM229" s="1"/>
      <c r="PUN229" s="1"/>
      <c r="PUO229" s="1"/>
      <c r="PUP229" s="1"/>
      <c r="PUQ229" s="1"/>
      <c r="PUR229" s="1"/>
      <c r="PUS229" s="1"/>
      <c r="PUT229" s="1"/>
      <c r="PUU229" s="1"/>
      <c r="PUV229" s="1"/>
      <c r="PUW229" s="1"/>
      <c r="PUX229" s="1"/>
      <c r="PUY229" s="1"/>
      <c r="PUZ229" s="1"/>
      <c r="PVA229" s="1"/>
      <c r="PVB229" s="1"/>
      <c r="PVC229" s="1"/>
      <c r="PVD229" s="1"/>
      <c r="PVE229" s="1"/>
      <c r="PVF229" s="1"/>
      <c r="PVG229" s="1"/>
      <c r="PVH229" s="1"/>
      <c r="PVI229" s="1"/>
      <c r="PVJ229" s="1"/>
      <c r="PVK229" s="1"/>
      <c r="PVL229" s="1"/>
      <c r="PVM229" s="1"/>
      <c r="PVN229" s="1"/>
      <c r="PVO229" s="1"/>
      <c r="PVP229" s="1"/>
      <c r="PVQ229" s="1"/>
      <c r="PVR229" s="1"/>
      <c r="PVS229" s="1"/>
      <c r="PVT229" s="1"/>
      <c r="PVU229" s="1"/>
      <c r="PVV229" s="1"/>
      <c r="PVW229" s="1"/>
      <c r="PVX229" s="1"/>
      <c r="PVY229" s="1"/>
      <c r="PVZ229" s="1"/>
      <c r="PWA229" s="1"/>
      <c r="PWB229" s="1"/>
      <c r="PWC229" s="1"/>
      <c r="PWD229" s="1"/>
      <c r="PWE229" s="1"/>
      <c r="PWF229" s="1"/>
      <c r="PWG229" s="1"/>
      <c r="PWH229" s="1"/>
      <c r="PWI229" s="1"/>
      <c r="PWJ229" s="1"/>
      <c r="PWK229" s="1"/>
      <c r="PWL229" s="1"/>
      <c r="PWM229" s="1"/>
      <c r="PWN229" s="1"/>
      <c r="PWO229" s="1"/>
      <c r="PWP229" s="1"/>
      <c r="PWQ229" s="1"/>
      <c r="PWR229" s="1"/>
      <c r="PWS229" s="1"/>
      <c r="PWT229" s="1"/>
      <c r="PWU229" s="1"/>
      <c r="PWV229" s="1"/>
      <c r="PWW229" s="1"/>
      <c r="PWX229" s="1"/>
      <c r="PWY229" s="1"/>
      <c r="PWZ229" s="1"/>
      <c r="PXA229" s="1"/>
      <c r="PXB229" s="1"/>
      <c r="PXC229" s="1"/>
      <c r="PXD229" s="1"/>
      <c r="PXE229" s="1"/>
      <c r="PXF229" s="1"/>
      <c r="PXG229" s="1"/>
      <c r="PXH229" s="1"/>
      <c r="PXI229" s="1"/>
      <c r="PXJ229" s="1"/>
      <c r="PXK229" s="1"/>
      <c r="PXL229" s="1"/>
      <c r="PXM229" s="1"/>
      <c r="PXN229" s="1"/>
      <c r="PXO229" s="1"/>
      <c r="PXP229" s="1"/>
      <c r="PXQ229" s="1"/>
      <c r="PXR229" s="1"/>
      <c r="PXS229" s="1"/>
      <c r="PXT229" s="1"/>
      <c r="PXU229" s="1"/>
      <c r="PXV229" s="1"/>
      <c r="PXW229" s="1"/>
      <c r="PXX229" s="1"/>
      <c r="PXY229" s="1"/>
      <c r="PXZ229" s="1"/>
      <c r="PYA229" s="1"/>
      <c r="PYB229" s="1"/>
      <c r="PYC229" s="1"/>
      <c r="PYD229" s="1"/>
      <c r="PYE229" s="1"/>
      <c r="PYF229" s="1"/>
      <c r="PYG229" s="1"/>
      <c r="PYH229" s="1"/>
      <c r="PYI229" s="1"/>
      <c r="PYJ229" s="1"/>
      <c r="PYK229" s="1"/>
      <c r="PYL229" s="1"/>
      <c r="PYM229" s="1"/>
      <c r="PYN229" s="1"/>
      <c r="PYO229" s="1"/>
      <c r="PYP229" s="1"/>
      <c r="PYQ229" s="1"/>
      <c r="PYR229" s="1"/>
      <c r="PYS229" s="1"/>
      <c r="PYT229" s="1"/>
      <c r="PYU229" s="1"/>
      <c r="PYV229" s="1"/>
      <c r="PYW229" s="1"/>
      <c r="PYX229" s="1"/>
      <c r="PYY229" s="1"/>
      <c r="PYZ229" s="1"/>
      <c r="PZA229" s="1"/>
      <c r="PZB229" s="1"/>
      <c r="PZC229" s="1"/>
      <c r="PZD229" s="1"/>
      <c r="PZE229" s="1"/>
      <c r="PZF229" s="1"/>
      <c r="PZG229" s="1"/>
      <c r="PZH229" s="1"/>
      <c r="PZI229" s="1"/>
      <c r="PZJ229" s="1"/>
      <c r="PZK229" s="1"/>
      <c r="PZL229" s="1"/>
      <c r="PZM229" s="1"/>
      <c r="PZN229" s="1"/>
      <c r="PZO229" s="1"/>
      <c r="PZP229" s="1"/>
      <c r="PZQ229" s="1"/>
      <c r="PZR229" s="1"/>
      <c r="PZS229" s="1"/>
      <c r="PZT229" s="1"/>
      <c r="PZU229" s="1"/>
      <c r="PZV229" s="1"/>
      <c r="PZW229" s="1"/>
      <c r="PZX229" s="1"/>
      <c r="PZY229" s="1"/>
      <c r="PZZ229" s="1"/>
      <c r="QAA229" s="1"/>
      <c r="QAB229" s="1"/>
      <c r="QAC229" s="1"/>
      <c r="QAD229" s="1"/>
      <c r="QAE229" s="1"/>
      <c r="QAF229" s="1"/>
      <c r="QAG229" s="1"/>
      <c r="QAH229" s="1"/>
      <c r="QAI229" s="1"/>
      <c r="QAJ229" s="1"/>
      <c r="QAK229" s="1"/>
      <c r="QAL229" s="1"/>
      <c r="QAM229" s="1"/>
      <c r="QAN229" s="1"/>
      <c r="QAO229" s="1"/>
      <c r="QAP229" s="1"/>
      <c r="QAQ229" s="1"/>
      <c r="QAR229" s="1"/>
      <c r="QAS229" s="1"/>
      <c r="QAT229" s="1"/>
      <c r="QAU229" s="1"/>
      <c r="QAV229" s="1"/>
      <c r="QAW229" s="1"/>
      <c r="QAX229" s="1"/>
      <c r="QAY229" s="1"/>
      <c r="QAZ229" s="1"/>
      <c r="QBA229" s="1"/>
      <c r="QBB229" s="1"/>
      <c r="QBC229" s="1"/>
      <c r="QBD229" s="1"/>
      <c r="QBE229" s="1"/>
      <c r="QBF229" s="1"/>
      <c r="QBG229" s="1"/>
      <c r="QBH229" s="1"/>
      <c r="QBI229" s="1"/>
      <c r="QBJ229" s="1"/>
      <c r="QBK229" s="1"/>
      <c r="QBL229" s="1"/>
      <c r="QBM229" s="1"/>
      <c r="QBN229" s="1"/>
      <c r="QBO229" s="1"/>
      <c r="QBP229" s="1"/>
      <c r="QBQ229" s="1"/>
      <c r="QBR229" s="1"/>
      <c r="QBS229" s="1"/>
      <c r="QBT229" s="1"/>
      <c r="QBU229" s="1"/>
      <c r="QBV229" s="1"/>
      <c r="QBW229" s="1"/>
      <c r="QBX229" s="1"/>
      <c r="QBY229" s="1"/>
      <c r="QBZ229" s="1"/>
      <c r="QCA229" s="1"/>
      <c r="QCB229" s="1"/>
      <c r="QCC229" s="1"/>
      <c r="QCD229" s="1"/>
      <c r="QCE229" s="1"/>
      <c r="QCF229" s="1"/>
      <c r="QCG229" s="1"/>
      <c r="QCH229" s="1"/>
      <c r="QCI229" s="1"/>
      <c r="QCJ229" s="1"/>
      <c r="QCK229" s="1"/>
      <c r="QCL229" s="1"/>
      <c r="QCM229" s="1"/>
      <c r="QCN229" s="1"/>
      <c r="QCO229" s="1"/>
      <c r="QCP229" s="1"/>
      <c r="QCQ229" s="1"/>
      <c r="QCR229" s="1"/>
      <c r="QCS229" s="1"/>
      <c r="QCT229" s="1"/>
      <c r="QCU229" s="1"/>
      <c r="QCV229" s="1"/>
      <c r="QCW229" s="1"/>
      <c r="QCX229" s="1"/>
      <c r="QCY229" s="1"/>
      <c r="QCZ229" s="1"/>
      <c r="QDA229" s="1"/>
      <c r="QDB229" s="1"/>
      <c r="QDC229" s="1"/>
      <c r="QDD229" s="1"/>
      <c r="QDE229" s="1"/>
      <c r="QDF229" s="1"/>
      <c r="QDG229" s="1"/>
      <c r="QDH229" s="1"/>
      <c r="QDI229" s="1"/>
      <c r="QDJ229" s="1"/>
      <c r="QDK229" s="1"/>
      <c r="QDL229" s="1"/>
      <c r="QDM229" s="1"/>
      <c r="QDN229" s="1"/>
      <c r="QDO229" s="1"/>
      <c r="QDP229" s="1"/>
      <c r="QDQ229" s="1"/>
      <c r="QDR229" s="1"/>
      <c r="QDS229" s="1"/>
      <c r="QDT229" s="1"/>
      <c r="QDU229" s="1"/>
      <c r="QDV229" s="1"/>
      <c r="QDW229" s="1"/>
      <c r="QDX229" s="1"/>
      <c r="QDY229" s="1"/>
      <c r="QDZ229" s="1"/>
      <c r="QEA229" s="1"/>
      <c r="QEB229" s="1"/>
      <c r="QEC229" s="1"/>
      <c r="QED229" s="1"/>
      <c r="QEE229" s="1"/>
      <c r="QEF229" s="1"/>
      <c r="QEG229" s="1"/>
      <c r="QEH229" s="1"/>
      <c r="QEI229" s="1"/>
      <c r="QEJ229" s="1"/>
      <c r="QEK229" s="1"/>
      <c r="QEL229" s="1"/>
      <c r="QEM229" s="1"/>
      <c r="QEN229" s="1"/>
      <c r="QEO229" s="1"/>
      <c r="QEP229" s="1"/>
      <c r="QEQ229" s="1"/>
      <c r="QER229" s="1"/>
      <c r="QES229" s="1"/>
      <c r="QET229" s="1"/>
      <c r="QEU229" s="1"/>
      <c r="QEV229" s="1"/>
      <c r="QEW229" s="1"/>
      <c r="QEX229" s="1"/>
      <c r="QEY229" s="1"/>
      <c r="QEZ229" s="1"/>
      <c r="QFA229" s="1"/>
      <c r="QFB229" s="1"/>
      <c r="QFC229" s="1"/>
      <c r="QFD229" s="1"/>
      <c r="QFE229" s="1"/>
      <c r="QFF229" s="1"/>
      <c r="QFG229" s="1"/>
      <c r="QFH229" s="1"/>
      <c r="QFI229" s="1"/>
      <c r="QFJ229" s="1"/>
      <c r="QFK229" s="1"/>
      <c r="QFL229" s="1"/>
      <c r="QFM229" s="1"/>
      <c r="QFN229" s="1"/>
      <c r="QFO229" s="1"/>
      <c r="QFP229" s="1"/>
      <c r="QFQ229" s="1"/>
      <c r="QFR229" s="1"/>
      <c r="QFS229" s="1"/>
      <c r="QFT229" s="1"/>
      <c r="QFU229" s="1"/>
      <c r="QFV229" s="1"/>
      <c r="QFW229" s="1"/>
      <c r="QFX229" s="1"/>
      <c r="QFY229" s="1"/>
      <c r="QFZ229" s="1"/>
      <c r="QGA229" s="1"/>
      <c r="QGB229" s="1"/>
      <c r="QGC229" s="1"/>
      <c r="QGD229" s="1"/>
      <c r="QGE229" s="1"/>
      <c r="QGF229" s="1"/>
      <c r="QGG229" s="1"/>
      <c r="QGH229" s="1"/>
      <c r="QGI229" s="1"/>
      <c r="QGJ229" s="1"/>
      <c r="QGK229" s="1"/>
      <c r="QGL229" s="1"/>
      <c r="QGM229" s="1"/>
      <c r="QGN229" s="1"/>
      <c r="QGO229" s="1"/>
      <c r="QGP229" s="1"/>
      <c r="QGQ229" s="1"/>
      <c r="QGR229" s="1"/>
      <c r="QGS229" s="1"/>
      <c r="QGT229" s="1"/>
      <c r="QGU229" s="1"/>
      <c r="QGV229" s="1"/>
      <c r="QGW229" s="1"/>
      <c r="QGX229" s="1"/>
      <c r="QGY229" s="1"/>
      <c r="QGZ229" s="1"/>
      <c r="QHA229" s="1"/>
      <c r="QHB229" s="1"/>
      <c r="QHC229" s="1"/>
      <c r="QHD229" s="1"/>
      <c r="QHE229" s="1"/>
      <c r="QHF229" s="1"/>
      <c r="QHG229" s="1"/>
      <c r="QHH229" s="1"/>
      <c r="QHI229" s="1"/>
      <c r="QHJ229" s="1"/>
      <c r="QHK229" s="1"/>
      <c r="QHL229" s="1"/>
      <c r="QHM229" s="1"/>
      <c r="QHN229" s="1"/>
      <c r="QHO229" s="1"/>
      <c r="QHP229" s="1"/>
      <c r="QHQ229" s="1"/>
      <c r="QHR229" s="1"/>
      <c r="QHS229" s="1"/>
      <c r="QHT229" s="1"/>
      <c r="QHU229" s="1"/>
      <c r="QHV229" s="1"/>
      <c r="QHW229" s="1"/>
      <c r="QHX229" s="1"/>
      <c r="QHY229" s="1"/>
      <c r="QHZ229" s="1"/>
      <c r="QIA229" s="1"/>
      <c r="QIB229" s="1"/>
      <c r="QIC229" s="1"/>
      <c r="QID229" s="1"/>
      <c r="QIE229" s="1"/>
      <c r="QIF229" s="1"/>
      <c r="QIG229" s="1"/>
      <c r="QIH229" s="1"/>
      <c r="QII229" s="1"/>
      <c r="QIJ229" s="1"/>
      <c r="QIK229" s="1"/>
      <c r="QIL229" s="1"/>
      <c r="QIM229" s="1"/>
      <c r="QIN229" s="1"/>
      <c r="QIO229" s="1"/>
      <c r="QIP229" s="1"/>
      <c r="QIQ229" s="1"/>
      <c r="QIR229" s="1"/>
      <c r="QIS229" s="1"/>
      <c r="QIT229" s="1"/>
      <c r="QIU229" s="1"/>
      <c r="QIV229" s="1"/>
      <c r="QIW229" s="1"/>
      <c r="QIX229" s="1"/>
      <c r="QIY229" s="1"/>
      <c r="QIZ229" s="1"/>
      <c r="QJA229" s="1"/>
      <c r="QJB229" s="1"/>
      <c r="QJC229" s="1"/>
      <c r="QJD229" s="1"/>
      <c r="QJE229" s="1"/>
      <c r="QJF229" s="1"/>
      <c r="QJG229" s="1"/>
      <c r="QJH229" s="1"/>
      <c r="QJI229" s="1"/>
      <c r="QJJ229" s="1"/>
      <c r="QJK229" s="1"/>
      <c r="QJL229" s="1"/>
      <c r="QJM229" s="1"/>
      <c r="QJN229" s="1"/>
      <c r="QJO229" s="1"/>
      <c r="QJP229" s="1"/>
      <c r="QJQ229" s="1"/>
      <c r="QJR229" s="1"/>
      <c r="QJS229" s="1"/>
      <c r="QJT229" s="1"/>
      <c r="QJU229" s="1"/>
      <c r="QJV229" s="1"/>
      <c r="QJW229" s="1"/>
      <c r="QJX229" s="1"/>
      <c r="QJY229" s="1"/>
      <c r="QJZ229" s="1"/>
      <c r="QKA229" s="1"/>
      <c r="QKB229" s="1"/>
      <c r="QKC229" s="1"/>
      <c r="QKD229" s="1"/>
      <c r="QKE229" s="1"/>
      <c r="QKF229" s="1"/>
      <c r="QKG229" s="1"/>
      <c r="QKH229" s="1"/>
      <c r="QKI229" s="1"/>
      <c r="QKJ229" s="1"/>
      <c r="QKK229" s="1"/>
      <c r="QKL229" s="1"/>
      <c r="QKM229" s="1"/>
      <c r="QKN229" s="1"/>
      <c r="QKO229" s="1"/>
      <c r="QKP229" s="1"/>
      <c r="QKQ229" s="1"/>
      <c r="QKR229" s="1"/>
      <c r="QKS229" s="1"/>
      <c r="QKT229" s="1"/>
      <c r="QKU229" s="1"/>
      <c r="QKV229" s="1"/>
      <c r="QKW229" s="1"/>
      <c r="QKX229" s="1"/>
      <c r="QKY229" s="1"/>
      <c r="QKZ229" s="1"/>
      <c r="QLA229" s="1"/>
      <c r="QLB229" s="1"/>
      <c r="QLC229" s="1"/>
      <c r="QLD229" s="1"/>
      <c r="QLE229" s="1"/>
      <c r="QLF229" s="1"/>
      <c r="QLG229" s="1"/>
      <c r="QLH229" s="1"/>
      <c r="QLI229" s="1"/>
      <c r="QLJ229" s="1"/>
      <c r="QLK229" s="1"/>
      <c r="QLL229" s="1"/>
      <c r="QLM229" s="1"/>
      <c r="QLN229" s="1"/>
      <c r="QLO229" s="1"/>
      <c r="QLP229" s="1"/>
      <c r="QLQ229" s="1"/>
      <c r="QLR229" s="1"/>
      <c r="QLS229" s="1"/>
      <c r="QLT229" s="1"/>
      <c r="QLU229" s="1"/>
      <c r="QLV229" s="1"/>
      <c r="QLW229" s="1"/>
      <c r="QLX229" s="1"/>
      <c r="QLY229" s="1"/>
      <c r="QLZ229" s="1"/>
      <c r="QMA229" s="1"/>
      <c r="QMB229" s="1"/>
      <c r="QMC229" s="1"/>
      <c r="QMD229" s="1"/>
      <c r="QME229" s="1"/>
      <c r="QMF229" s="1"/>
      <c r="QMG229" s="1"/>
      <c r="QMH229" s="1"/>
      <c r="QMI229" s="1"/>
      <c r="QMJ229" s="1"/>
      <c r="QMK229" s="1"/>
      <c r="QML229" s="1"/>
      <c r="QMM229" s="1"/>
      <c r="QMN229" s="1"/>
      <c r="QMO229" s="1"/>
      <c r="QMP229" s="1"/>
      <c r="QMQ229" s="1"/>
      <c r="QMR229" s="1"/>
      <c r="QMS229" s="1"/>
      <c r="QMT229" s="1"/>
      <c r="QMU229" s="1"/>
      <c r="QMV229" s="1"/>
      <c r="QMW229" s="1"/>
      <c r="QMX229" s="1"/>
      <c r="QMY229" s="1"/>
      <c r="QMZ229" s="1"/>
      <c r="QNA229" s="1"/>
      <c r="QNB229" s="1"/>
      <c r="QNC229" s="1"/>
      <c r="QND229" s="1"/>
      <c r="QNE229" s="1"/>
      <c r="QNF229" s="1"/>
      <c r="QNG229" s="1"/>
      <c r="QNH229" s="1"/>
      <c r="QNI229" s="1"/>
      <c r="QNJ229" s="1"/>
      <c r="QNK229" s="1"/>
      <c r="QNL229" s="1"/>
      <c r="QNM229" s="1"/>
      <c r="QNN229" s="1"/>
      <c r="QNO229" s="1"/>
      <c r="QNP229" s="1"/>
      <c r="QNQ229" s="1"/>
      <c r="QNR229" s="1"/>
      <c r="QNS229" s="1"/>
      <c r="QNT229" s="1"/>
      <c r="QNU229" s="1"/>
      <c r="QNV229" s="1"/>
      <c r="QNW229" s="1"/>
      <c r="QNX229" s="1"/>
      <c r="QNY229" s="1"/>
      <c r="QNZ229" s="1"/>
      <c r="QOA229" s="1"/>
      <c r="QOB229" s="1"/>
      <c r="QOC229" s="1"/>
      <c r="QOD229" s="1"/>
      <c r="QOE229" s="1"/>
      <c r="QOF229" s="1"/>
      <c r="QOG229" s="1"/>
      <c r="QOH229" s="1"/>
      <c r="QOI229" s="1"/>
      <c r="QOJ229" s="1"/>
      <c r="QOK229" s="1"/>
      <c r="QOL229" s="1"/>
      <c r="QOM229" s="1"/>
      <c r="QON229" s="1"/>
      <c r="QOO229" s="1"/>
      <c r="QOP229" s="1"/>
      <c r="QOQ229" s="1"/>
      <c r="QOR229" s="1"/>
      <c r="QOS229" s="1"/>
      <c r="QOT229" s="1"/>
      <c r="QOU229" s="1"/>
      <c r="QOV229" s="1"/>
      <c r="QOW229" s="1"/>
      <c r="QOX229" s="1"/>
      <c r="QOY229" s="1"/>
      <c r="QOZ229" s="1"/>
      <c r="QPA229" s="1"/>
      <c r="QPB229" s="1"/>
      <c r="QPC229" s="1"/>
      <c r="QPD229" s="1"/>
      <c r="QPE229" s="1"/>
      <c r="QPF229" s="1"/>
      <c r="QPG229" s="1"/>
      <c r="QPH229" s="1"/>
      <c r="QPI229" s="1"/>
      <c r="QPJ229" s="1"/>
      <c r="QPK229" s="1"/>
      <c r="QPL229" s="1"/>
      <c r="QPM229" s="1"/>
      <c r="QPN229" s="1"/>
      <c r="QPO229" s="1"/>
      <c r="QPP229" s="1"/>
      <c r="QPQ229" s="1"/>
      <c r="QPR229" s="1"/>
      <c r="QPS229" s="1"/>
      <c r="QPT229" s="1"/>
      <c r="QPU229" s="1"/>
      <c r="QPV229" s="1"/>
      <c r="QPW229" s="1"/>
      <c r="QPX229" s="1"/>
      <c r="QPY229" s="1"/>
      <c r="QPZ229" s="1"/>
      <c r="QQA229" s="1"/>
      <c r="QQB229" s="1"/>
      <c r="QQC229" s="1"/>
      <c r="QQD229" s="1"/>
      <c r="QQE229" s="1"/>
      <c r="QQF229" s="1"/>
      <c r="QQG229" s="1"/>
      <c r="QQH229" s="1"/>
      <c r="QQI229" s="1"/>
      <c r="QQJ229" s="1"/>
      <c r="QQK229" s="1"/>
      <c r="QQL229" s="1"/>
      <c r="QQM229" s="1"/>
      <c r="QQN229" s="1"/>
      <c r="QQO229" s="1"/>
      <c r="QQP229" s="1"/>
      <c r="QQQ229" s="1"/>
      <c r="QQR229" s="1"/>
      <c r="QQS229" s="1"/>
      <c r="QQT229" s="1"/>
      <c r="QQU229" s="1"/>
      <c r="QQV229" s="1"/>
      <c r="QQW229" s="1"/>
      <c r="QQX229" s="1"/>
      <c r="QQY229" s="1"/>
      <c r="QQZ229" s="1"/>
      <c r="QRA229" s="1"/>
      <c r="QRB229" s="1"/>
      <c r="QRC229" s="1"/>
      <c r="QRD229" s="1"/>
      <c r="QRE229" s="1"/>
      <c r="QRF229" s="1"/>
      <c r="QRG229" s="1"/>
      <c r="QRH229" s="1"/>
      <c r="QRI229" s="1"/>
      <c r="QRJ229" s="1"/>
      <c r="QRK229" s="1"/>
      <c r="QRL229" s="1"/>
      <c r="QRM229" s="1"/>
      <c r="QRN229" s="1"/>
      <c r="QRO229" s="1"/>
      <c r="QRP229" s="1"/>
      <c r="QRQ229" s="1"/>
      <c r="QRR229" s="1"/>
      <c r="QRS229" s="1"/>
      <c r="QRT229" s="1"/>
      <c r="QRU229" s="1"/>
      <c r="QRV229" s="1"/>
      <c r="QRW229" s="1"/>
      <c r="QRX229" s="1"/>
      <c r="QRY229" s="1"/>
      <c r="QRZ229" s="1"/>
      <c r="QSA229" s="1"/>
      <c r="QSB229" s="1"/>
      <c r="QSC229" s="1"/>
      <c r="QSD229" s="1"/>
      <c r="QSE229" s="1"/>
      <c r="QSF229" s="1"/>
      <c r="QSG229" s="1"/>
      <c r="QSH229" s="1"/>
      <c r="QSI229" s="1"/>
      <c r="QSJ229" s="1"/>
      <c r="QSK229" s="1"/>
      <c r="QSL229" s="1"/>
      <c r="QSM229" s="1"/>
      <c r="QSN229" s="1"/>
      <c r="QSO229" s="1"/>
      <c r="QSP229" s="1"/>
      <c r="QSQ229" s="1"/>
      <c r="QSR229" s="1"/>
      <c r="QSS229" s="1"/>
      <c r="QST229" s="1"/>
      <c r="QSU229" s="1"/>
      <c r="QSV229" s="1"/>
      <c r="QSW229" s="1"/>
      <c r="QSX229" s="1"/>
      <c r="QSY229" s="1"/>
      <c r="QSZ229" s="1"/>
      <c r="QTA229" s="1"/>
      <c r="QTB229" s="1"/>
      <c r="QTC229" s="1"/>
      <c r="QTD229" s="1"/>
      <c r="QTE229" s="1"/>
      <c r="QTF229" s="1"/>
      <c r="QTG229" s="1"/>
      <c r="QTH229" s="1"/>
      <c r="QTI229" s="1"/>
      <c r="QTJ229" s="1"/>
      <c r="QTK229" s="1"/>
      <c r="QTL229" s="1"/>
      <c r="QTM229" s="1"/>
      <c r="QTN229" s="1"/>
      <c r="QTO229" s="1"/>
      <c r="QTP229" s="1"/>
      <c r="QTQ229" s="1"/>
      <c r="QTR229" s="1"/>
      <c r="QTS229" s="1"/>
      <c r="QTT229" s="1"/>
      <c r="QTU229" s="1"/>
      <c r="QTV229" s="1"/>
      <c r="QTW229" s="1"/>
      <c r="QTX229" s="1"/>
      <c r="QTY229" s="1"/>
      <c r="QTZ229" s="1"/>
      <c r="QUA229" s="1"/>
      <c r="QUB229" s="1"/>
      <c r="QUC229" s="1"/>
      <c r="QUD229" s="1"/>
      <c r="QUE229" s="1"/>
      <c r="QUF229" s="1"/>
      <c r="QUG229" s="1"/>
      <c r="QUH229" s="1"/>
      <c r="QUI229" s="1"/>
      <c r="QUJ229" s="1"/>
      <c r="QUK229" s="1"/>
      <c r="QUL229" s="1"/>
      <c r="QUM229" s="1"/>
      <c r="QUN229" s="1"/>
      <c r="QUO229" s="1"/>
      <c r="QUP229" s="1"/>
      <c r="QUQ229" s="1"/>
      <c r="QUR229" s="1"/>
      <c r="QUS229" s="1"/>
      <c r="QUT229" s="1"/>
      <c r="QUU229" s="1"/>
      <c r="QUV229" s="1"/>
      <c r="QUW229" s="1"/>
      <c r="QUX229" s="1"/>
      <c r="QUY229" s="1"/>
      <c r="QUZ229" s="1"/>
      <c r="QVA229" s="1"/>
      <c r="QVB229" s="1"/>
      <c r="QVC229" s="1"/>
      <c r="QVD229" s="1"/>
      <c r="QVE229" s="1"/>
      <c r="QVF229" s="1"/>
      <c r="QVG229" s="1"/>
      <c r="QVH229" s="1"/>
      <c r="QVI229" s="1"/>
      <c r="QVJ229" s="1"/>
      <c r="QVK229" s="1"/>
      <c r="QVL229" s="1"/>
      <c r="QVM229" s="1"/>
      <c r="QVN229" s="1"/>
      <c r="QVO229" s="1"/>
      <c r="QVP229" s="1"/>
      <c r="QVQ229" s="1"/>
      <c r="QVR229" s="1"/>
      <c r="QVS229" s="1"/>
      <c r="QVT229" s="1"/>
      <c r="QVU229" s="1"/>
      <c r="QVV229" s="1"/>
      <c r="QVW229" s="1"/>
      <c r="QVX229" s="1"/>
      <c r="QVY229" s="1"/>
      <c r="QVZ229" s="1"/>
      <c r="QWA229" s="1"/>
      <c r="QWB229" s="1"/>
      <c r="QWC229" s="1"/>
      <c r="QWD229" s="1"/>
      <c r="QWE229" s="1"/>
      <c r="QWF229" s="1"/>
      <c r="QWG229" s="1"/>
      <c r="QWH229" s="1"/>
      <c r="QWI229" s="1"/>
      <c r="QWJ229" s="1"/>
      <c r="QWK229" s="1"/>
      <c r="QWL229" s="1"/>
      <c r="QWM229" s="1"/>
      <c r="QWN229" s="1"/>
      <c r="QWO229" s="1"/>
      <c r="QWP229" s="1"/>
      <c r="QWQ229" s="1"/>
      <c r="QWR229" s="1"/>
      <c r="QWS229" s="1"/>
      <c r="QWT229" s="1"/>
      <c r="QWU229" s="1"/>
      <c r="QWV229" s="1"/>
      <c r="QWW229" s="1"/>
      <c r="QWX229" s="1"/>
      <c r="QWY229" s="1"/>
      <c r="QWZ229" s="1"/>
      <c r="QXA229" s="1"/>
      <c r="QXB229" s="1"/>
      <c r="QXC229" s="1"/>
      <c r="QXD229" s="1"/>
      <c r="QXE229" s="1"/>
      <c r="QXF229" s="1"/>
      <c r="QXG229" s="1"/>
      <c r="QXH229" s="1"/>
      <c r="QXI229" s="1"/>
      <c r="QXJ229" s="1"/>
      <c r="QXK229" s="1"/>
      <c r="QXL229" s="1"/>
      <c r="QXM229" s="1"/>
      <c r="QXN229" s="1"/>
      <c r="QXO229" s="1"/>
      <c r="QXP229" s="1"/>
      <c r="QXQ229" s="1"/>
      <c r="QXR229" s="1"/>
      <c r="QXS229" s="1"/>
      <c r="QXT229" s="1"/>
      <c r="QXU229" s="1"/>
      <c r="QXV229" s="1"/>
      <c r="QXW229" s="1"/>
      <c r="QXX229" s="1"/>
      <c r="QXY229" s="1"/>
      <c r="QXZ229" s="1"/>
      <c r="QYA229" s="1"/>
      <c r="QYB229" s="1"/>
      <c r="QYC229" s="1"/>
      <c r="QYD229" s="1"/>
      <c r="QYE229" s="1"/>
      <c r="QYF229" s="1"/>
      <c r="QYG229" s="1"/>
      <c r="QYH229" s="1"/>
      <c r="QYI229" s="1"/>
      <c r="QYJ229" s="1"/>
      <c r="QYK229" s="1"/>
      <c r="QYL229" s="1"/>
      <c r="QYM229" s="1"/>
      <c r="QYN229" s="1"/>
      <c r="QYO229" s="1"/>
      <c r="QYP229" s="1"/>
      <c r="QYQ229" s="1"/>
      <c r="QYR229" s="1"/>
      <c r="QYS229" s="1"/>
      <c r="QYT229" s="1"/>
      <c r="QYU229" s="1"/>
      <c r="QYV229" s="1"/>
      <c r="QYW229" s="1"/>
      <c r="QYX229" s="1"/>
      <c r="QYY229" s="1"/>
      <c r="QYZ229" s="1"/>
      <c r="QZA229" s="1"/>
      <c r="QZB229" s="1"/>
      <c r="QZC229" s="1"/>
      <c r="QZD229" s="1"/>
      <c r="QZE229" s="1"/>
      <c r="QZF229" s="1"/>
      <c r="QZG229" s="1"/>
      <c r="QZH229" s="1"/>
      <c r="QZI229" s="1"/>
      <c r="QZJ229" s="1"/>
      <c r="QZK229" s="1"/>
      <c r="QZL229" s="1"/>
      <c r="QZM229" s="1"/>
      <c r="QZN229" s="1"/>
      <c r="QZO229" s="1"/>
      <c r="QZP229" s="1"/>
      <c r="QZQ229" s="1"/>
      <c r="QZR229" s="1"/>
      <c r="QZS229" s="1"/>
      <c r="QZT229" s="1"/>
      <c r="QZU229" s="1"/>
      <c r="QZV229" s="1"/>
      <c r="QZW229" s="1"/>
      <c r="QZX229" s="1"/>
      <c r="QZY229" s="1"/>
      <c r="QZZ229" s="1"/>
      <c r="RAA229" s="1"/>
      <c r="RAB229" s="1"/>
      <c r="RAC229" s="1"/>
      <c r="RAD229" s="1"/>
      <c r="RAE229" s="1"/>
      <c r="RAF229" s="1"/>
      <c r="RAG229" s="1"/>
      <c r="RAH229" s="1"/>
      <c r="RAI229" s="1"/>
      <c r="RAJ229" s="1"/>
      <c r="RAK229" s="1"/>
      <c r="RAL229" s="1"/>
      <c r="RAM229" s="1"/>
      <c r="RAN229" s="1"/>
      <c r="RAO229" s="1"/>
      <c r="RAP229" s="1"/>
      <c r="RAQ229" s="1"/>
      <c r="RAR229" s="1"/>
      <c r="RAS229" s="1"/>
      <c r="RAT229" s="1"/>
      <c r="RAU229" s="1"/>
      <c r="RAV229" s="1"/>
      <c r="RAW229" s="1"/>
      <c r="RAX229" s="1"/>
      <c r="RAY229" s="1"/>
      <c r="RAZ229" s="1"/>
      <c r="RBA229" s="1"/>
      <c r="RBB229" s="1"/>
      <c r="RBC229" s="1"/>
      <c r="RBD229" s="1"/>
      <c r="RBE229" s="1"/>
      <c r="RBF229" s="1"/>
      <c r="RBG229" s="1"/>
      <c r="RBH229" s="1"/>
      <c r="RBI229" s="1"/>
      <c r="RBJ229" s="1"/>
      <c r="RBK229" s="1"/>
      <c r="RBL229" s="1"/>
      <c r="RBM229" s="1"/>
      <c r="RBN229" s="1"/>
      <c r="RBO229" s="1"/>
      <c r="RBP229" s="1"/>
      <c r="RBQ229" s="1"/>
      <c r="RBR229" s="1"/>
      <c r="RBS229" s="1"/>
      <c r="RBT229" s="1"/>
      <c r="RBU229" s="1"/>
      <c r="RBV229" s="1"/>
      <c r="RBW229" s="1"/>
      <c r="RBX229" s="1"/>
      <c r="RBY229" s="1"/>
      <c r="RBZ229" s="1"/>
      <c r="RCA229" s="1"/>
      <c r="RCB229" s="1"/>
      <c r="RCC229" s="1"/>
      <c r="RCD229" s="1"/>
      <c r="RCE229" s="1"/>
      <c r="RCF229" s="1"/>
      <c r="RCG229" s="1"/>
      <c r="RCH229" s="1"/>
      <c r="RCI229" s="1"/>
      <c r="RCJ229" s="1"/>
      <c r="RCK229" s="1"/>
      <c r="RCL229" s="1"/>
      <c r="RCM229" s="1"/>
      <c r="RCN229" s="1"/>
      <c r="RCO229" s="1"/>
      <c r="RCP229" s="1"/>
      <c r="RCQ229" s="1"/>
      <c r="RCR229" s="1"/>
      <c r="RCS229" s="1"/>
      <c r="RCT229" s="1"/>
      <c r="RCU229" s="1"/>
      <c r="RCV229" s="1"/>
      <c r="RCW229" s="1"/>
      <c r="RCX229" s="1"/>
      <c r="RCY229" s="1"/>
      <c r="RCZ229" s="1"/>
      <c r="RDA229" s="1"/>
      <c r="RDB229" s="1"/>
      <c r="RDC229" s="1"/>
      <c r="RDD229" s="1"/>
      <c r="RDE229" s="1"/>
      <c r="RDF229" s="1"/>
      <c r="RDG229" s="1"/>
      <c r="RDH229" s="1"/>
      <c r="RDI229" s="1"/>
      <c r="RDJ229" s="1"/>
      <c r="RDK229" s="1"/>
      <c r="RDL229" s="1"/>
      <c r="RDM229" s="1"/>
      <c r="RDN229" s="1"/>
      <c r="RDO229" s="1"/>
      <c r="RDP229" s="1"/>
      <c r="RDQ229" s="1"/>
      <c r="RDR229" s="1"/>
      <c r="RDS229" s="1"/>
      <c r="RDT229" s="1"/>
      <c r="RDU229" s="1"/>
      <c r="RDV229" s="1"/>
      <c r="RDW229" s="1"/>
      <c r="RDX229" s="1"/>
      <c r="RDY229" s="1"/>
      <c r="RDZ229" s="1"/>
      <c r="REA229" s="1"/>
      <c r="REB229" s="1"/>
      <c r="REC229" s="1"/>
      <c r="RED229" s="1"/>
      <c r="REE229" s="1"/>
      <c r="REF229" s="1"/>
      <c r="REG229" s="1"/>
      <c r="REH229" s="1"/>
      <c r="REI229" s="1"/>
      <c r="REJ229" s="1"/>
      <c r="REK229" s="1"/>
      <c r="REL229" s="1"/>
      <c r="REM229" s="1"/>
      <c r="REN229" s="1"/>
      <c r="REO229" s="1"/>
      <c r="REP229" s="1"/>
      <c r="REQ229" s="1"/>
      <c r="RER229" s="1"/>
      <c r="RES229" s="1"/>
      <c r="RET229" s="1"/>
      <c r="REU229" s="1"/>
      <c r="REV229" s="1"/>
      <c r="REW229" s="1"/>
      <c r="REX229" s="1"/>
      <c r="REY229" s="1"/>
      <c r="REZ229" s="1"/>
      <c r="RFA229" s="1"/>
      <c r="RFB229" s="1"/>
      <c r="RFC229" s="1"/>
      <c r="RFD229" s="1"/>
      <c r="RFE229" s="1"/>
      <c r="RFF229" s="1"/>
      <c r="RFG229" s="1"/>
      <c r="RFH229" s="1"/>
      <c r="RFI229" s="1"/>
      <c r="RFJ229" s="1"/>
      <c r="RFK229" s="1"/>
      <c r="RFL229" s="1"/>
      <c r="RFM229" s="1"/>
      <c r="RFN229" s="1"/>
      <c r="RFO229" s="1"/>
      <c r="RFP229" s="1"/>
      <c r="RFQ229" s="1"/>
      <c r="RFR229" s="1"/>
      <c r="RFS229" s="1"/>
      <c r="RFT229" s="1"/>
      <c r="RFU229" s="1"/>
      <c r="RFV229" s="1"/>
      <c r="RFW229" s="1"/>
      <c r="RFX229" s="1"/>
      <c r="RFY229" s="1"/>
      <c r="RFZ229" s="1"/>
      <c r="RGA229" s="1"/>
      <c r="RGB229" s="1"/>
      <c r="RGC229" s="1"/>
      <c r="RGD229" s="1"/>
      <c r="RGE229" s="1"/>
      <c r="RGF229" s="1"/>
      <c r="RGG229" s="1"/>
      <c r="RGH229" s="1"/>
      <c r="RGI229" s="1"/>
      <c r="RGJ229" s="1"/>
      <c r="RGK229" s="1"/>
      <c r="RGL229" s="1"/>
      <c r="RGM229" s="1"/>
      <c r="RGN229" s="1"/>
      <c r="RGO229" s="1"/>
      <c r="RGP229" s="1"/>
      <c r="RGQ229" s="1"/>
      <c r="RGR229" s="1"/>
      <c r="RGS229" s="1"/>
      <c r="RGT229" s="1"/>
      <c r="RGU229" s="1"/>
      <c r="RGV229" s="1"/>
      <c r="RGW229" s="1"/>
      <c r="RGX229" s="1"/>
      <c r="RGY229" s="1"/>
      <c r="RGZ229" s="1"/>
      <c r="RHA229" s="1"/>
      <c r="RHB229" s="1"/>
      <c r="RHC229" s="1"/>
      <c r="RHD229" s="1"/>
      <c r="RHE229" s="1"/>
      <c r="RHF229" s="1"/>
      <c r="RHG229" s="1"/>
      <c r="RHH229" s="1"/>
      <c r="RHI229" s="1"/>
      <c r="RHJ229" s="1"/>
      <c r="RHK229" s="1"/>
      <c r="RHL229" s="1"/>
      <c r="RHM229" s="1"/>
      <c r="RHN229" s="1"/>
      <c r="RHO229" s="1"/>
      <c r="RHP229" s="1"/>
      <c r="RHQ229" s="1"/>
      <c r="RHR229" s="1"/>
      <c r="RHS229" s="1"/>
      <c r="RHT229" s="1"/>
      <c r="RHU229" s="1"/>
      <c r="RHV229" s="1"/>
      <c r="RHW229" s="1"/>
      <c r="RHX229" s="1"/>
      <c r="RHY229" s="1"/>
      <c r="RHZ229" s="1"/>
      <c r="RIA229" s="1"/>
      <c r="RIB229" s="1"/>
      <c r="RIC229" s="1"/>
      <c r="RID229" s="1"/>
      <c r="RIE229" s="1"/>
      <c r="RIF229" s="1"/>
      <c r="RIG229" s="1"/>
      <c r="RIH229" s="1"/>
      <c r="RII229" s="1"/>
      <c r="RIJ229" s="1"/>
      <c r="RIK229" s="1"/>
      <c r="RIL229" s="1"/>
      <c r="RIM229" s="1"/>
      <c r="RIN229" s="1"/>
      <c r="RIO229" s="1"/>
      <c r="RIP229" s="1"/>
      <c r="RIQ229" s="1"/>
      <c r="RIR229" s="1"/>
      <c r="RIS229" s="1"/>
      <c r="RIT229" s="1"/>
      <c r="RIU229" s="1"/>
      <c r="RIV229" s="1"/>
      <c r="RIW229" s="1"/>
      <c r="RIX229" s="1"/>
      <c r="RIY229" s="1"/>
      <c r="RIZ229" s="1"/>
      <c r="RJA229" s="1"/>
      <c r="RJB229" s="1"/>
      <c r="RJC229" s="1"/>
      <c r="RJD229" s="1"/>
      <c r="RJE229" s="1"/>
      <c r="RJF229" s="1"/>
      <c r="RJG229" s="1"/>
      <c r="RJH229" s="1"/>
      <c r="RJI229" s="1"/>
      <c r="RJJ229" s="1"/>
      <c r="RJK229" s="1"/>
      <c r="RJL229" s="1"/>
      <c r="RJM229" s="1"/>
      <c r="RJN229" s="1"/>
      <c r="RJO229" s="1"/>
      <c r="RJP229" s="1"/>
      <c r="RJQ229" s="1"/>
      <c r="RJR229" s="1"/>
      <c r="RJS229" s="1"/>
      <c r="RJT229" s="1"/>
      <c r="RJU229" s="1"/>
      <c r="RJV229" s="1"/>
      <c r="RJW229" s="1"/>
      <c r="RJX229" s="1"/>
      <c r="RJY229" s="1"/>
      <c r="RJZ229" s="1"/>
      <c r="RKA229" s="1"/>
      <c r="RKB229" s="1"/>
      <c r="RKC229" s="1"/>
      <c r="RKD229" s="1"/>
      <c r="RKE229" s="1"/>
      <c r="RKF229" s="1"/>
      <c r="RKG229" s="1"/>
      <c r="RKH229" s="1"/>
      <c r="RKI229" s="1"/>
      <c r="RKJ229" s="1"/>
      <c r="RKK229" s="1"/>
      <c r="RKL229" s="1"/>
      <c r="RKM229" s="1"/>
      <c r="RKN229" s="1"/>
      <c r="RKO229" s="1"/>
      <c r="RKP229" s="1"/>
      <c r="RKQ229" s="1"/>
      <c r="RKR229" s="1"/>
      <c r="RKS229" s="1"/>
      <c r="RKT229" s="1"/>
      <c r="RKU229" s="1"/>
      <c r="RKV229" s="1"/>
      <c r="RKW229" s="1"/>
      <c r="RKX229" s="1"/>
      <c r="RKY229" s="1"/>
      <c r="RKZ229" s="1"/>
      <c r="RLA229" s="1"/>
      <c r="RLB229" s="1"/>
      <c r="RLC229" s="1"/>
      <c r="RLD229" s="1"/>
      <c r="RLE229" s="1"/>
      <c r="RLF229" s="1"/>
      <c r="RLG229" s="1"/>
      <c r="RLH229" s="1"/>
      <c r="RLI229" s="1"/>
      <c r="RLJ229" s="1"/>
      <c r="RLK229" s="1"/>
      <c r="RLL229" s="1"/>
      <c r="RLM229" s="1"/>
      <c r="RLN229" s="1"/>
      <c r="RLO229" s="1"/>
      <c r="RLP229" s="1"/>
      <c r="RLQ229" s="1"/>
      <c r="RLR229" s="1"/>
      <c r="RLS229" s="1"/>
      <c r="RLT229" s="1"/>
      <c r="RLU229" s="1"/>
      <c r="RLV229" s="1"/>
      <c r="RLW229" s="1"/>
      <c r="RLX229" s="1"/>
      <c r="RLY229" s="1"/>
      <c r="RLZ229" s="1"/>
      <c r="RMA229" s="1"/>
      <c r="RMB229" s="1"/>
      <c r="RMC229" s="1"/>
      <c r="RMD229" s="1"/>
      <c r="RME229" s="1"/>
      <c r="RMF229" s="1"/>
      <c r="RMG229" s="1"/>
      <c r="RMH229" s="1"/>
      <c r="RMI229" s="1"/>
      <c r="RMJ229" s="1"/>
      <c r="RMK229" s="1"/>
      <c r="RML229" s="1"/>
      <c r="RMM229" s="1"/>
      <c r="RMN229" s="1"/>
      <c r="RMO229" s="1"/>
      <c r="RMP229" s="1"/>
      <c r="RMQ229" s="1"/>
      <c r="RMR229" s="1"/>
      <c r="RMS229" s="1"/>
      <c r="RMT229" s="1"/>
      <c r="RMU229" s="1"/>
      <c r="RMV229" s="1"/>
      <c r="RMW229" s="1"/>
      <c r="RMX229" s="1"/>
      <c r="RMY229" s="1"/>
      <c r="RMZ229" s="1"/>
      <c r="RNA229" s="1"/>
      <c r="RNB229" s="1"/>
      <c r="RNC229" s="1"/>
      <c r="RND229" s="1"/>
      <c r="RNE229" s="1"/>
      <c r="RNF229" s="1"/>
      <c r="RNG229" s="1"/>
      <c r="RNH229" s="1"/>
      <c r="RNI229" s="1"/>
      <c r="RNJ229" s="1"/>
      <c r="RNK229" s="1"/>
      <c r="RNL229" s="1"/>
      <c r="RNM229" s="1"/>
      <c r="RNN229" s="1"/>
      <c r="RNO229" s="1"/>
      <c r="RNP229" s="1"/>
      <c r="RNQ229" s="1"/>
      <c r="RNR229" s="1"/>
      <c r="RNS229" s="1"/>
      <c r="RNT229" s="1"/>
      <c r="RNU229" s="1"/>
      <c r="RNV229" s="1"/>
      <c r="RNW229" s="1"/>
      <c r="RNX229" s="1"/>
      <c r="RNY229" s="1"/>
      <c r="RNZ229" s="1"/>
      <c r="ROA229" s="1"/>
      <c r="ROB229" s="1"/>
      <c r="ROC229" s="1"/>
      <c r="ROD229" s="1"/>
      <c r="ROE229" s="1"/>
      <c r="ROF229" s="1"/>
      <c r="ROG229" s="1"/>
      <c r="ROH229" s="1"/>
      <c r="ROI229" s="1"/>
      <c r="ROJ229" s="1"/>
      <c r="ROK229" s="1"/>
      <c r="ROL229" s="1"/>
      <c r="ROM229" s="1"/>
      <c r="RON229" s="1"/>
      <c r="ROO229" s="1"/>
      <c r="ROP229" s="1"/>
      <c r="ROQ229" s="1"/>
      <c r="ROR229" s="1"/>
      <c r="ROS229" s="1"/>
      <c r="ROT229" s="1"/>
      <c r="ROU229" s="1"/>
      <c r="ROV229" s="1"/>
      <c r="ROW229" s="1"/>
      <c r="ROX229" s="1"/>
      <c r="ROY229" s="1"/>
      <c r="ROZ229" s="1"/>
      <c r="RPA229" s="1"/>
      <c r="RPB229" s="1"/>
      <c r="RPC229" s="1"/>
      <c r="RPD229" s="1"/>
      <c r="RPE229" s="1"/>
      <c r="RPF229" s="1"/>
      <c r="RPG229" s="1"/>
      <c r="RPH229" s="1"/>
      <c r="RPI229" s="1"/>
      <c r="RPJ229" s="1"/>
      <c r="RPK229" s="1"/>
      <c r="RPL229" s="1"/>
      <c r="RPM229" s="1"/>
      <c r="RPN229" s="1"/>
      <c r="RPO229" s="1"/>
      <c r="RPP229" s="1"/>
      <c r="RPQ229" s="1"/>
      <c r="RPR229" s="1"/>
      <c r="RPS229" s="1"/>
      <c r="RPT229" s="1"/>
      <c r="RPU229" s="1"/>
      <c r="RPV229" s="1"/>
      <c r="RPW229" s="1"/>
      <c r="RPX229" s="1"/>
      <c r="RPY229" s="1"/>
      <c r="RPZ229" s="1"/>
      <c r="RQA229" s="1"/>
      <c r="RQB229" s="1"/>
      <c r="RQC229" s="1"/>
      <c r="RQD229" s="1"/>
      <c r="RQE229" s="1"/>
      <c r="RQF229" s="1"/>
      <c r="RQG229" s="1"/>
      <c r="RQH229" s="1"/>
      <c r="RQI229" s="1"/>
      <c r="RQJ229" s="1"/>
      <c r="RQK229" s="1"/>
      <c r="RQL229" s="1"/>
      <c r="RQM229" s="1"/>
      <c r="RQN229" s="1"/>
      <c r="RQO229" s="1"/>
      <c r="RQP229" s="1"/>
      <c r="RQQ229" s="1"/>
      <c r="RQR229" s="1"/>
      <c r="RQS229" s="1"/>
      <c r="RQT229" s="1"/>
      <c r="RQU229" s="1"/>
      <c r="RQV229" s="1"/>
      <c r="RQW229" s="1"/>
      <c r="RQX229" s="1"/>
      <c r="RQY229" s="1"/>
      <c r="RQZ229" s="1"/>
      <c r="RRA229" s="1"/>
      <c r="RRB229" s="1"/>
      <c r="RRC229" s="1"/>
      <c r="RRD229" s="1"/>
      <c r="RRE229" s="1"/>
      <c r="RRF229" s="1"/>
      <c r="RRG229" s="1"/>
      <c r="RRH229" s="1"/>
      <c r="RRI229" s="1"/>
      <c r="RRJ229" s="1"/>
      <c r="RRK229" s="1"/>
      <c r="RRL229" s="1"/>
      <c r="RRM229" s="1"/>
      <c r="RRN229" s="1"/>
      <c r="RRO229" s="1"/>
      <c r="RRP229" s="1"/>
      <c r="RRQ229" s="1"/>
      <c r="RRR229" s="1"/>
      <c r="RRS229" s="1"/>
      <c r="RRT229" s="1"/>
      <c r="RRU229" s="1"/>
      <c r="RRV229" s="1"/>
      <c r="RRW229" s="1"/>
      <c r="RRX229" s="1"/>
      <c r="RRY229" s="1"/>
      <c r="RRZ229" s="1"/>
      <c r="RSA229" s="1"/>
      <c r="RSB229" s="1"/>
      <c r="RSC229" s="1"/>
      <c r="RSD229" s="1"/>
      <c r="RSE229" s="1"/>
      <c r="RSF229" s="1"/>
      <c r="RSG229" s="1"/>
      <c r="RSH229" s="1"/>
      <c r="RSI229" s="1"/>
      <c r="RSJ229" s="1"/>
      <c r="RSK229" s="1"/>
      <c r="RSL229" s="1"/>
      <c r="RSM229" s="1"/>
      <c r="RSN229" s="1"/>
      <c r="RSO229" s="1"/>
      <c r="RSP229" s="1"/>
      <c r="RSQ229" s="1"/>
      <c r="RSR229" s="1"/>
      <c r="RSS229" s="1"/>
      <c r="RST229" s="1"/>
      <c r="RSU229" s="1"/>
      <c r="RSV229" s="1"/>
      <c r="RSW229" s="1"/>
      <c r="RSX229" s="1"/>
      <c r="RSY229" s="1"/>
      <c r="RSZ229" s="1"/>
      <c r="RTA229" s="1"/>
      <c r="RTB229" s="1"/>
      <c r="RTC229" s="1"/>
      <c r="RTD229" s="1"/>
      <c r="RTE229" s="1"/>
      <c r="RTF229" s="1"/>
      <c r="RTG229" s="1"/>
      <c r="RTH229" s="1"/>
      <c r="RTI229" s="1"/>
      <c r="RTJ229" s="1"/>
      <c r="RTK229" s="1"/>
      <c r="RTL229" s="1"/>
      <c r="RTM229" s="1"/>
      <c r="RTN229" s="1"/>
      <c r="RTO229" s="1"/>
      <c r="RTP229" s="1"/>
      <c r="RTQ229" s="1"/>
      <c r="RTR229" s="1"/>
      <c r="RTS229" s="1"/>
      <c r="RTT229" s="1"/>
      <c r="RTU229" s="1"/>
      <c r="RTV229" s="1"/>
      <c r="RTW229" s="1"/>
      <c r="RTX229" s="1"/>
      <c r="RTY229" s="1"/>
      <c r="RTZ229" s="1"/>
      <c r="RUA229" s="1"/>
      <c r="RUB229" s="1"/>
      <c r="RUC229" s="1"/>
      <c r="RUD229" s="1"/>
      <c r="RUE229" s="1"/>
      <c r="RUF229" s="1"/>
      <c r="RUG229" s="1"/>
      <c r="RUH229" s="1"/>
      <c r="RUI229" s="1"/>
      <c r="RUJ229" s="1"/>
      <c r="RUK229" s="1"/>
      <c r="RUL229" s="1"/>
      <c r="RUM229" s="1"/>
      <c r="RUN229" s="1"/>
      <c r="RUO229" s="1"/>
      <c r="RUP229" s="1"/>
      <c r="RUQ229" s="1"/>
      <c r="RUR229" s="1"/>
      <c r="RUS229" s="1"/>
      <c r="RUT229" s="1"/>
      <c r="RUU229" s="1"/>
      <c r="RUV229" s="1"/>
      <c r="RUW229" s="1"/>
      <c r="RUX229" s="1"/>
      <c r="RUY229" s="1"/>
      <c r="RUZ229" s="1"/>
      <c r="RVA229" s="1"/>
      <c r="RVB229" s="1"/>
      <c r="RVC229" s="1"/>
      <c r="RVD229" s="1"/>
      <c r="RVE229" s="1"/>
      <c r="RVF229" s="1"/>
      <c r="RVG229" s="1"/>
      <c r="RVH229" s="1"/>
      <c r="RVI229" s="1"/>
      <c r="RVJ229" s="1"/>
      <c r="RVK229" s="1"/>
      <c r="RVL229" s="1"/>
      <c r="RVM229" s="1"/>
      <c r="RVN229" s="1"/>
      <c r="RVO229" s="1"/>
      <c r="RVP229" s="1"/>
      <c r="RVQ229" s="1"/>
      <c r="RVR229" s="1"/>
      <c r="RVS229" s="1"/>
      <c r="RVT229" s="1"/>
      <c r="RVU229" s="1"/>
      <c r="RVV229" s="1"/>
      <c r="RVW229" s="1"/>
      <c r="RVX229" s="1"/>
      <c r="RVY229" s="1"/>
      <c r="RVZ229" s="1"/>
      <c r="RWA229" s="1"/>
      <c r="RWB229" s="1"/>
      <c r="RWC229" s="1"/>
      <c r="RWD229" s="1"/>
      <c r="RWE229" s="1"/>
      <c r="RWF229" s="1"/>
      <c r="RWG229" s="1"/>
      <c r="RWH229" s="1"/>
      <c r="RWI229" s="1"/>
      <c r="RWJ229" s="1"/>
      <c r="RWK229" s="1"/>
      <c r="RWL229" s="1"/>
      <c r="RWM229" s="1"/>
      <c r="RWN229" s="1"/>
      <c r="RWO229" s="1"/>
      <c r="RWP229" s="1"/>
      <c r="RWQ229" s="1"/>
      <c r="RWR229" s="1"/>
      <c r="RWS229" s="1"/>
      <c r="RWT229" s="1"/>
      <c r="RWU229" s="1"/>
      <c r="RWV229" s="1"/>
      <c r="RWW229" s="1"/>
      <c r="RWX229" s="1"/>
      <c r="RWY229" s="1"/>
      <c r="RWZ229" s="1"/>
      <c r="RXA229" s="1"/>
      <c r="RXB229" s="1"/>
      <c r="RXC229" s="1"/>
      <c r="RXD229" s="1"/>
      <c r="RXE229" s="1"/>
      <c r="RXF229" s="1"/>
      <c r="RXG229" s="1"/>
      <c r="RXH229" s="1"/>
      <c r="RXI229" s="1"/>
      <c r="RXJ229" s="1"/>
      <c r="RXK229" s="1"/>
      <c r="RXL229" s="1"/>
      <c r="RXM229" s="1"/>
      <c r="RXN229" s="1"/>
      <c r="RXO229" s="1"/>
      <c r="RXP229" s="1"/>
      <c r="RXQ229" s="1"/>
      <c r="RXR229" s="1"/>
      <c r="RXS229" s="1"/>
      <c r="RXT229" s="1"/>
      <c r="RXU229" s="1"/>
      <c r="RXV229" s="1"/>
      <c r="RXW229" s="1"/>
      <c r="RXX229" s="1"/>
      <c r="RXY229" s="1"/>
      <c r="RXZ229" s="1"/>
      <c r="RYA229" s="1"/>
      <c r="RYB229" s="1"/>
      <c r="RYC229" s="1"/>
      <c r="RYD229" s="1"/>
      <c r="RYE229" s="1"/>
      <c r="RYF229" s="1"/>
      <c r="RYG229" s="1"/>
      <c r="RYH229" s="1"/>
      <c r="RYI229" s="1"/>
      <c r="RYJ229" s="1"/>
      <c r="RYK229" s="1"/>
      <c r="RYL229" s="1"/>
      <c r="RYM229" s="1"/>
      <c r="RYN229" s="1"/>
      <c r="RYO229" s="1"/>
      <c r="RYP229" s="1"/>
      <c r="RYQ229" s="1"/>
      <c r="RYR229" s="1"/>
      <c r="RYS229" s="1"/>
      <c r="RYT229" s="1"/>
      <c r="RYU229" s="1"/>
      <c r="RYV229" s="1"/>
      <c r="RYW229" s="1"/>
      <c r="RYX229" s="1"/>
      <c r="RYY229" s="1"/>
      <c r="RYZ229" s="1"/>
      <c r="RZA229" s="1"/>
      <c r="RZB229" s="1"/>
      <c r="RZC229" s="1"/>
      <c r="RZD229" s="1"/>
      <c r="RZE229" s="1"/>
      <c r="RZF229" s="1"/>
      <c r="RZG229" s="1"/>
      <c r="RZH229" s="1"/>
      <c r="RZI229" s="1"/>
      <c r="RZJ229" s="1"/>
      <c r="RZK229" s="1"/>
      <c r="RZL229" s="1"/>
      <c r="RZM229" s="1"/>
      <c r="RZN229" s="1"/>
      <c r="RZO229" s="1"/>
      <c r="RZP229" s="1"/>
      <c r="RZQ229" s="1"/>
      <c r="RZR229" s="1"/>
      <c r="RZS229" s="1"/>
      <c r="RZT229" s="1"/>
      <c r="RZU229" s="1"/>
      <c r="RZV229" s="1"/>
      <c r="RZW229" s="1"/>
      <c r="RZX229" s="1"/>
      <c r="RZY229" s="1"/>
      <c r="RZZ229" s="1"/>
      <c r="SAA229" s="1"/>
      <c r="SAB229" s="1"/>
      <c r="SAC229" s="1"/>
      <c r="SAD229" s="1"/>
      <c r="SAE229" s="1"/>
      <c r="SAF229" s="1"/>
      <c r="SAG229" s="1"/>
      <c r="SAH229" s="1"/>
      <c r="SAI229" s="1"/>
      <c r="SAJ229" s="1"/>
      <c r="SAK229" s="1"/>
      <c r="SAL229" s="1"/>
      <c r="SAM229" s="1"/>
      <c r="SAN229" s="1"/>
      <c r="SAO229" s="1"/>
      <c r="SAP229" s="1"/>
      <c r="SAQ229" s="1"/>
      <c r="SAR229" s="1"/>
      <c r="SAS229" s="1"/>
      <c r="SAT229" s="1"/>
      <c r="SAU229" s="1"/>
      <c r="SAV229" s="1"/>
      <c r="SAW229" s="1"/>
      <c r="SAX229" s="1"/>
      <c r="SAY229" s="1"/>
      <c r="SAZ229" s="1"/>
      <c r="SBA229" s="1"/>
      <c r="SBB229" s="1"/>
      <c r="SBC229" s="1"/>
      <c r="SBD229" s="1"/>
      <c r="SBE229" s="1"/>
      <c r="SBF229" s="1"/>
      <c r="SBG229" s="1"/>
      <c r="SBH229" s="1"/>
      <c r="SBI229" s="1"/>
      <c r="SBJ229" s="1"/>
      <c r="SBK229" s="1"/>
      <c r="SBL229" s="1"/>
      <c r="SBM229" s="1"/>
      <c r="SBN229" s="1"/>
      <c r="SBO229" s="1"/>
      <c r="SBP229" s="1"/>
      <c r="SBQ229" s="1"/>
      <c r="SBR229" s="1"/>
      <c r="SBS229" s="1"/>
      <c r="SBT229" s="1"/>
      <c r="SBU229" s="1"/>
      <c r="SBV229" s="1"/>
      <c r="SBW229" s="1"/>
      <c r="SBX229" s="1"/>
      <c r="SBY229" s="1"/>
      <c r="SBZ229" s="1"/>
      <c r="SCA229" s="1"/>
      <c r="SCB229" s="1"/>
      <c r="SCC229" s="1"/>
      <c r="SCD229" s="1"/>
      <c r="SCE229" s="1"/>
      <c r="SCF229" s="1"/>
      <c r="SCG229" s="1"/>
      <c r="SCH229" s="1"/>
      <c r="SCI229" s="1"/>
      <c r="SCJ229" s="1"/>
      <c r="SCK229" s="1"/>
      <c r="SCL229" s="1"/>
      <c r="SCM229" s="1"/>
      <c r="SCN229" s="1"/>
      <c r="SCO229" s="1"/>
      <c r="SCP229" s="1"/>
      <c r="SCQ229" s="1"/>
      <c r="SCR229" s="1"/>
      <c r="SCS229" s="1"/>
      <c r="SCT229" s="1"/>
      <c r="SCU229" s="1"/>
      <c r="SCV229" s="1"/>
      <c r="SCW229" s="1"/>
      <c r="SCX229" s="1"/>
      <c r="SCY229" s="1"/>
      <c r="SCZ229" s="1"/>
      <c r="SDA229" s="1"/>
      <c r="SDB229" s="1"/>
      <c r="SDC229" s="1"/>
      <c r="SDD229" s="1"/>
      <c r="SDE229" s="1"/>
      <c r="SDF229" s="1"/>
      <c r="SDG229" s="1"/>
      <c r="SDH229" s="1"/>
      <c r="SDI229" s="1"/>
      <c r="SDJ229" s="1"/>
      <c r="SDK229" s="1"/>
      <c r="SDL229" s="1"/>
      <c r="SDM229" s="1"/>
      <c r="SDN229" s="1"/>
      <c r="SDO229" s="1"/>
      <c r="SDP229" s="1"/>
      <c r="SDQ229" s="1"/>
      <c r="SDR229" s="1"/>
      <c r="SDS229" s="1"/>
      <c r="SDT229" s="1"/>
      <c r="SDU229" s="1"/>
      <c r="SDV229" s="1"/>
      <c r="SDW229" s="1"/>
      <c r="SDX229" s="1"/>
      <c r="SDY229" s="1"/>
      <c r="SDZ229" s="1"/>
      <c r="SEA229" s="1"/>
      <c r="SEB229" s="1"/>
      <c r="SEC229" s="1"/>
      <c r="SED229" s="1"/>
      <c r="SEE229" s="1"/>
      <c r="SEF229" s="1"/>
      <c r="SEG229" s="1"/>
      <c r="SEH229" s="1"/>
      <c r="SEI229" s="1"/>
      <c r="SEJ229" s="1"/>
      <c r="SEK229" s="1"/>
      <c r="SEL229" s="1"/>
      <c r="SEM229" s="1"/>
      <c r="SEN229" s="1"/>
      <c r="SEO229" s="1"/>
      <c r="SEP229" s="1"/>
      <c r="SEQ229" s="1"/>
      <c r="SER229" s="1"/>
      <c r="SES229" s="1"/>
      <c r="SET229" s="1"/>
      <c r="SEU229" s="1"/>
      <c r="SEV229" s="1"/>
      <c r="SEW229" s="1"/>
      <c r="SEX229" s="1"/>
      <c r="SEY229" s="1"/>
      <c r="SEZ229" s="1"/>
      <c r="SFA229" s="1"/>
      <c r="SFB229" s="1"/>
      <c r="SFC229" s="1"/>
      <c r="SFD229" s="1"/>
      <c r="SFE229" s="1"/>
      <c r="SFF229" s="1"/>
      <c r="SFG229" s="1"/>
      <c r="SFH229" s="1"/>
      <c r="SFI229" s="1"/>
      <c r="SFJ229" s="1"/>
      <c r="SFK229" s="1"/>
      <c r="SFL229" s="1"/>
      <c r="SFM229" s="1"/>
      <c r="SFN229" s="1"/>
      <c r="SFO229" s="1"/>
      <c r="SFP229" s="1"/>
      <c r="SFQ229" s="1"/>
      <c r="SFR229" s="1"/>
      <c r="SFS229" s="1"/>
      <c r="SFT229" s="1"/>
      <c r="SFU229" s="1"/>
      <c r="SFV229" s="1"/>
      <c r="SFW229" s="1"/>
      <c r="SFX229" s="1"/>
      <c r="SFY229" s="1"/>
      <c r="SFZ229" s="1"/>
      <c r="SGA229" s="1"/>
      <c r="SGB229" s="1"/>
      <c r="SGC229" s="1"/>
      <c r="SGD229" s="1"/>
      <c r="SGE229" s="1"/>
      <c r="SGF229" s="1"/>
      <c r="SGG229" s="1"/>
      <c r="SGH229" s="1"/>
      <c r="SGI229" s="1"/>
      <c r="SGJ229" s="1"/>
      <c r="SGK229" s="1"/>
      <c r="SGL229" s="1"/>
      <c r="SGM229" s="1"/>
      <c r="SGN229" s="1"/>
      <c r="SGO229" s="1"/>
      <c r="SGP229" s="1"/>
      <c r="SGQ229" s="1"/>
      <c r="SGR229" s="1"/>
      <c r="SGS229" s="1"/>
      <c r="SGT229" s="1"/>
      <c r="SGU229" s="1"/>
      <c r="SGV229" s="1"/>
      <c r="SGW229" s="1"/>
      <c r="SGX229" s="1"/>
      <c r="SGY229" s="1"/>
      <c r="SGZ229" s="1"/>
      <c r="SHA229" s="1"/>
      <c r="SHB229" s="1"/>
      <c r="SHC229" s="1"/>
      <c r="SHD229" s="1"/>
      <c r="SHE229" s="1"/>
      <c r="SHF229" s="1"/>
      <c r="SHG229" s="1"/>
      <c r="SHH229" s="1"/>
      <c r="SHI229" s="1"/>
      <c r="SHJ229" s="1"/>
      <c r="SHK229" s="1"/>
      <c r="SHL229" s="1"/>
      <c r="SHM229" s="1"/>
      <c r="SHN229" s="1"/>
      <c r="SHO229" s="1"/>
      <c r="SHP229" s="1"/>
      <c r="SHQ229" s="1"/>
      <c r="SHR229" s="1"/>
      <c r="SHS229" s="1"/>
      <c r="SHT229" s="1"/>
      <c r="SHU229" s="1"/>
      <c r="SHV229" s="1"/>
      <c r="SHW229" s="1"/>
      <c r="SHX229" s="1"/>
      <c r="SHY229" s="1"/>
      <c r="SHZ229" s="1"/>
      <c r="SIA229" s="1"/>
      <c r="SIB229" s="1"/>
      <c r="SIC229" s="1"/>
      <c r="SID229" s="1"/>
      <c r="SIE229" s="1"/>
      <c r="SIF229" s="1"/>
      <c r="SIG229" s="1"/>
      <c r="SIH229" s="1"/>
      <c r="SII229" s="1"/>
      <c r="SIJ229" s="1"/>
      <c r="SIK229" s="1"/>
      <c r="SIL229" s="1"/>
      <c r="SIM229" s="1"/>
      <c r="SIN229" s="1"/>
      <c r="SIO229" s="1"/>
      <c r="SIP229" s="1"/>
      <c r="SIQ229" s="1"/>
      <c r="SIR229" s="1"/>
      <c r="SIS229" s="1"/>
      <c r="SIT229" s="1"/>
      <c r="SIU229" s="1"/>
      <c r="SIV229" s="1"/>
      <c r="SIW229" s="1"/>
      <c r="SIX229" s="1"/>
      <c r="SIY229" s="1"/>
      <c r="SIZ229" s="1"/>
      <c r="SJA229" s="1"/>
      <c r="SJB229" s="1"/>
      <c r="SJC229" s="1"/>
      <c r="SJD229" s="1"/>
      <c r="SJE229" s="1"/>
      <c r="SJF229" s="1"/>
      <c r="SJG229" s="1"/>
      <c r="SJH229" s="1"/>
      <c r="SJI229" s="1"/>
      <c r="SJJ229" s="1"/>
      <c r="SJK229" s="1"/>
      <c r="SJL229" s="1"/>
      <c r="SJM229" s="1"/>
      <c r="SJN229" s="1"/>
      <c r="SJO229" s="1"/>
      <c r="SJP229" s="1"/>
      <c r="SJQ229" s="1"/>
      <c r="SJR229" s="1"/>
      <c r="SJS229" s="1"/>
      <c r="SJT229" s="1"/>
      <c r="SJU229" s="1"/>
      <c r="SJV229" s="1"/>
      <c r="SJW229" s="1"/>
      <c r="SJX229" s="1"/>
      <c r="SJY229" s="1"/>
      <c r="SJZ229" s="1"/>
      <c r="SKA229" s="1"/>
      <c r="SKB229" s="1"/>
      <c r="SKC229" s="1"/>
      <c r="SKD229" s="1"/>
      <c r="SKE229" s="1"/>
      <c r="SKF229" s="1"/>
      <c r="SKG229" s="1"/>
      <c r="SKH229" s="1"/>
      <c r="SKI229" s="1"/>
      <c r="SKJ229" s="1"/>
      <c r="SKK229" s="1"/>
      <c r="SKL229" s="1"/>
      <c r="SKM229" s="1"/>
      <c r="SKN229" s="1"/>
      <c r="SKO229" s="1"/>
      <c r="SKP229" s="1"/>
      <c r="SKQ229" s="1"/>
      <c r="SKR229" s="1"/>
      <c r="SKS229" s="1"/>
      <c r="SKT229" s="1"/>
      <c r="SKU229" s="1"/>
      <c r="SKV229" s="1"/>
      <c r="SKW229" s="1"/>
      <c r="SKX229" s="1"/>
      <c r="SKY229" s="1"/>
      <c r="SKZ229" s="1"/>
      <c r="SLA229" s="1"/>
      <c r="SLB229" s="1"/>
      <c r="SLC229" s="1"/>
      <c r="SLD229" s="1"/>
      <c r="SLE229" s="1"/>
      <c r="SLF229" s="1"/>
      <c r="SLG229" s="1"/>
      <c r="SLH229" s="1"/>
      <c r="SLI229" s="1"/>
      <c r="SLJ229" s="1"/>
      <c r="SLK229" s="1"/>
      <c r="SLL229" s="1"/>
      <c r="SLM229" s="1"/>
      <c r="SLN229" s="1"/>
      <c r="SLO229" s="1"/>
      <c r="SLP229" s="1"/>
      <c r="SLQ229" s="1"/>
      <c r="SLR229" s="1"/>
      <c r="SLS229" s="1"/>
      <c r="SLT229" s="1"/>
      <c r="SLU229" s="1"/>
      <c r="SLV229" s="1"/>
      <c r="SLW229" s="1"/>
      <c r="SLX229" s="1"/>
      <c r="SLY229" s="1"/>
      <c r="SLZ229" s="1"/>
      <c r="SMA229" s="1"/>
      <c r="SMB229" s="1"/>
      <c r="SMC229" s="1"/>
      <c r="SMD229" s="1"/>
      <c r="SME229" s="1"/>
      <c r="SMF229" s="1"/>
      <c r="SMG229" s="1"/>
      <c r="SMH229" s="1"/>
      <c r="SMI229" s="1"/>
      <c r="SMJ229" s="1"/>
      <c r="SMK229" s="1"/>
      <c r="SML229" s="1"/>
      <c r="SMM229" s="1"/>
      <c r="SMN229" s="1"/>
      <c r="SMO229" s="1"/>
      <c r="SMP229" s="1"/>
      <c r="SMQ229" s="1"/>
      <c r="SMR229" s="1"/>
      <c r="SMS229" s="1"/>
      <c r="SMT229" s="1"/>
      <c r="SMU229" s="1"/>
      <c r="SMV229" s="1"/>
      <c r="SMW229" s="1"/>
      <c r="SMX229" s="1"/>
      <c r="SMY229" s="1"/>
      <c r="SMZ229" s="1"/>
      <c r="SNA229" s="1"/>
      <c r="SNB229" s="1"/>
      <c r="SNC229" s="1"/>
      <c r="SND229" s="1"/>
      <c r="SNE229" s="1"/>
      <c r="SNF229" s="1"/>
      <c r="SNG229" s="1"/>
      <c r="SNH229" s="1"/>
      <c r="SNI229" s="1"/>
      <c r="SNJ229" s="1"/>
      <c r="SNK229" s="1"/>
      <c r="SNL229" s="1"/>
      <c r="SNM229" s="1"/>
      <c r="SNN229" s="1"/>
      <c r="SNO229" s="1"/>
      <c r="SNP229" s="1"/>
      <c r="SNQ229" s="1"/>
      <c r="SNR229" s="1"/>
      <c r="SNS229" s="1"/>
      <c r="SNT229" s="1"/>
      <c r="SNU229" s="1"/>
      <c r="SNV229" s="1"/>
      <c r="SNW229" s="1"/>
      <c r="SNX229" s="1"/>
      <c r="SNY229" s="1"/>
      <c r="SNZ229" s="1"/>
      <c r="SOA229" s="1"/>
      <c r="SOB229" s="1"/>
      <c r="SOC229" s="1"/>
      <c r="SOD229" s="1"/>
      <c r="SOE229" s="1"/>
      <c r="SOF229" s="1"/>
      <c r="SOG229" s="1"/>
      <c r="SOH229" s="1"/>
      <c r="SOI229" s="1"/>
      <c r="SOJ229" s="1"/>
      <c r="SOK229" s="1"/>
      <c r="SOL229" s="1"/>
      <c r="SOM229" s="1"/>
      <c r="SON229" s="1"/>
      <c r="SOO229" s="1"/>
      <c r="SOP229" s="1"/>
      <c r="SOQ229" s="1"/>
      <c r="SOR229" s="1"/>
      <c r="SOS229" s="1"/>
      <c r="SOT229" s="1"/>
      <c r="SOU229" s="1"/>
      <c r="SOV229" s="1"/>
      <c r="SOW229" s="1"/>
      <c r="SOX229" s="1"/>
      <c r="SOY229" s="1"/>
      <c r="SOZ229" s="1"/>
      <c r="SPA229" s="1"/>
      <c r="SPB229" s="1"/>
      <c r="SPC229" s="1"/>
      <c r="SPD229" s="1"/>
      <c r="SPE229" s="1"/>
      <c r="SPF229" s="1"/>
      <c r="SPG229" s="1"/>
      <c r="SPH229" s="1"/>
      <c r="SPI229" s="1"/>
      <c r="SPJ229" s="1"/>
      <c r="SPK229" s="1"/>
      <c r="SPL229" s="1"/>
      <c r="SPM229" s="1"/>
      <c r="SPN229" s="1"/>
      <c r="SPO229" s="1"/>
      <c r="SPP229" s="1"/>
      <c r="SPQ229" s="1"/>
      <c r="SPR229" s="1"/>
      <c r="SPS229" s="1"/>
      <c r="SPT229" s="1"/>
      <c r="SPU229" s="1"/>
      <c r="SPV229" s="1"/>
      <c r="SPW229" s="1"/>
      <c r="SPX229" s="1"/>
      <c r="SPY229" s="1"/>
      <c r="SPZ229" s="1"/>
      <c r="SQA229" s="1"/>
      <c r="SQB229" s="1"/>
      <c r="SQC229" s="1"/>
      <c r="SQD229" s="1"/>
      <c r="SQE229" s="1"/>
      <c r="SQF229" s="1"/>
      <c r="SQG229" s="1"/>
      <c r="SQH229" s="1"/>
      <c r="SQI229" s="1"/>
      <c r="SQJ229" s="1"/>
      <c r="SQK229" s="1"/>
      <c r="SQL229" s="1"/>
      <c r="SQM229" s="1"/>
      <c r="SQN229" s="1"/>
      <c r="SQO229" s="1"/>
      <c r="SQP229" s="1"/>
      <c r="SQQ229" s="1"/>
      <c r="SQR229" s="1"/>
      <c r="SQS229" s="1"/>
      <c r="SQT229" s="1"/>
      <c r="SQU229" s="1"/>
      <c r="SQV229" s="1"/>
      <c r="SQW229" s="1"/>
      <c r="SQX229" s="1"/>
      <c r="SQY229" s="1"/>
      <c r="SQZ229" s="1"/>
      <c r="SRA229" s="1"/>
      <c r="SRB229" s="1"/>
      <c r="SRC229" s="1"/>
      <c r="SRD229" s="1"/>
      <c r="SRE229" s="1"/>
      <c r="SRF229" s="1"/>
      <c r="SRG229" s="1"/>
      <c r="SRH229" s="1"/>
      <c r="SRI229" s="1"/>
      <c r="SRJ229" s="1"/>
      <c r="SRK229" s="1"/>
      <c r="SRL229" s="1"/>
      <c r="SRM229" s="1"/>
      <c r="SRN229" s="1"/>
      <c r="SRO229" s="1"/>
      <c r="SRP229" s="1"/>
      <c r="SRQ229" s="1"/>
      <c r="SRR229" s="1"/>
      <c r="SRS229" s="1"/>
      <c r="SRT229" s="1"/>
      <c r="SRU229" s="1"/>
      <c r="SRV229" s="1"/>
      <c r="SRW229" s="1"/>
      <c r="SRX229" s="1"/>
      <c r="SRY229" s="1"/>
      <c r="SRZ229" s="1"/>
      <c r="SSA229" s="1"/>
      <c r="SSB229" s="1"/>
      <c r="SSC229" s="1"/>
      <c r="SSD229" s="1"/>
      <c r="SSE229" s="1"/>
      <c r="SSF229" s="1"/>
      <c r="SSG229" s="1"/>
      <c r="SSH229" s="1"/>
      <c r="SSI229" s="1"/>
      <c r="SSJ229" s="1"/>
      <c r="SSK229" s="1"/>
      <c r="SSL229" s="1"/>
      <c r="SSM229" s="1"/>
      <c r="SSN229" s="1"/>
      <c r="SSO229" s="1"/>
      <c r="SSP229" s="1"/>
      <c r="SSQ229" s="1"/>
      <c r="SSR229" s="1"/>
      <c r="SSS229" s="1"/>
      <c r="SST229" s="1"/>
      <c r="SSU229" s="1"/>
      <c r="SSV229" s="1"/>
      <c r="SSW229" s="1"/>
      <c r="SSX229" s="1"/>
      <c r="SSY229" s="1"/>
      <c r="SSZ229" s="1"/>
      <c r="STA229" s="1"/>
      <c r="STB229" s="1"/>
      <c r="STC229" s="1"/>
      <c r="STD229" s="1"/>
      <c r="STE229" s="1"/>
      <c r="STF229" s="1"/>
      <c r="STG229" s="1"/>
      <c r="STH229" s="1"/>
      <c r="STI229" s="1"/>
      <c r="STJ229" s="1"/>
      <c r="STK229" s="1"/>
      <c r="STL229" s="1"/>
      <c r="STM229" s="1"/>
      <c r="STN229" s="1"/>
      <c r="STO229" s="1"/>
      <c r="STP229" s="1"/>
      <c r="STQ229" s="1"/>
      <c r="STR229" s="1"/>
      <c r="STS229" s="1"/>
      <c r="STT229" s="1"/>
      <c r="STU229" s="1"/>
      <c r="STV229" s="1"/>
      <c r="STW229" s="1"/>
      <c r="STX229" s="1"/>
      <c r="STY229" s="1"/>
      <c r="STZ229" s="1"/>
      <c r="SUA229" s="1"/>
      <c r="SUB229" s="1"/>
      <c r="SUC229" s="1"/>
      <c r="SUD229" s="1"/>
      <c r="SUE229" s="1"/>
      <c r="SUF229" s="1"/>
      <c r="SUG229" s="1"/>
      <c r="SUH229" s="1"/>
      <c r="SUI229" s="1"/>
      <c r="SUJ229" s="1"/>
      <c r="SUK229" s="1"/>
      <c r="SUL229" s="1"/>
      <c r="SUM229" s="1"/>
      <c r="SUN229" s="1"/>
      <c r="SUO229" s="1"/>
      <c r="SUP229" s="1"/>
      <c r="SUQ229" s="1"/>
      <c r="SUR229" s="1"/>
      <c r="SUS229" s="1"/>
      <c r="SUT229" s="1"/>
      <c r="SUU229" s="1"/>
      <c r="SUV229" s="1"/>
      <c r="SUW229" s="1"/>
      <c r="SUX229" s="1"/>
      <c r="SUY229" s="1"/>
      <c r="SUZ229" s="1"/>
      <c r="SVA229" s="1"/>
      <c r="SVB229" s="1"/>
      <c r="SVC229" s="1"/>
      <c r="SVD229" s="1"/>
      <c r="SVE229" s="1"/>
      <c r="SVF229" s="1"/>
      <c r="SVG229" s="1"/>
      <c r="SVH229" s="1"/>
      <c r="SVI229" s="1"/>
      <c r="SVJ229" s="1"/>
      <c r="SVK229" s="1"/>
      <c r="SVL229" s="1"/>
      <c r="SVM229" s="1"/>
      <c r="SVN229" s="1"/>
      <c r="SVO229" s="1"/>
      <c r="SVP229" s="1"/>
      <c r="SVQ229" s="1"/>
      <c r="SVR229" s="1"/>
      <c r="SVS229" s="1"/>
      <c r="SVT229" s="1"/>
      <c r="SVU229" s="1"/>
      <c r="SVV229" s="1"/>
      <c r="SVW229" s="1"/>
      <c r="SVX229" s="1"/>
      <c r="SVY229" s="1"/>
      <c r="SVZ229" s="1"/>
      <c r="SWA229" s="1"/>
      <c r="SWB229" s="1"/>
      <c r="SWC229" s="1"/>
      <c r="SWD229" s="1"/>
      <c r="SWE229" s="1"/>
      <c r="SWF229" s="1"/>
      <c r="SWG229" s="1"/>
      <c r="SWH229" s="1"/>
      <c r="SWI229" s="1"/>
      <c r="SWJ229" s="1"/>
      <c r="SWK229" s="1"/>
      <c r="SWL229" s="1"/>
      <c r="SWM229" s="1"/>
      <c r="SWN229" s="1"/>
      <c r="SWO229" s="1"/>
      <c r="SWP229" s="1"/>
      <c r="SWQ229" s="1"/>
      <c r="SWR229" s="1"/>
      <c r="SWS229" s="1"/>
      <c r="SWT229" s="1"/>
      <c r="SWU229" s="1"/>
      <c r="SWV229" s="1"/>
      <c r="SWW229" s="1"/>
      <c r="SWX229" s="1"/>
      <c r="SWY229" s="1"/>
      <c r="SWZ229" s="1"/>
      <c r="SXA229" s="1"/>
      <c r="SXB229" s="1"/>
      <c r="SXC229" s="1"/>
      <c r="SXD229" s="1"/>
      <c r="SXE229" s="1"/>
      <c r="SXF229" s="1"/>
      <c r="SXG229" s="1"/>
      <c r="SXH229" s="1"/>
      <c r="SXI229" s="1"/>
      <c r="SXJ229" s="1"/>
      <c r="SXK229" s="1"/>
      <c r="SXL229" s="1"/>
      <c r="SXM229" s="1"/>
      <c r="SXN229" s="1"/>
      <c r="SXO229" s="1"/>
      <c r="SXP229" s="1"/>
      <c r="SXQ229" s="1"/>
      <c r="SXR229" s="1"/>
      <c r="SXS229" s="1"/>
      <c r="SXT229" s="1"/>
      <c r="SXU229" s="1"/>
      <c r="SXV229" s="1"/>
      <c r="SXW229" s="1"/>
      <c r="SXX229" s="1"/>
      <c r="SXY229" s="1"/>
      <c r="SXZ229" s="1"/>
      <c r="SYA229" s="1"/>
      <c r="SYB229" s="1"/>
      <c r="SYC229" s="1"/>
      <c r="SYD229" s="1"/>
      <c r="SYE229" s="1"/>
      <c r="SYF229" s="1"/>
      <c r="SYG229" s="1"/>
      <c r="SYH229" s="1"/>
      <c r="SYI229" s="1"/>
      <c r="SYJ229" s="1"/>
      <c r="SYK229" s="1"/>
      <c r="SYL229" s="1"/>
      <c r="SYM229" s="1"/>
      <c r="SYN229" s="1"/>
      <c r="SYO229" s="1"/>
      <c r="SYP229" s="1"/>
      <c r="SYQ229" s="1"/>
      <c r="SYR229" s="1"/>
      <c r="SYS229" s="1"/>
      <c r="SYT229" s="1"/>
      <c r="SYU229" s="1"/>
      <c r="SYV229" s="1"/>
      <c r="SYW229" s="1"/>
      <c r="SYX229" s="1"/>
      <c r="SYY229" s="1"/>
      <c r="SYZ229" s="1"/>
      <c r="SZA229" s="1"/>
      <c r="SZB229" s="1"/>
      <c r="SZC229" s="1"/>
      <c r="SZD229" s="1"/>
      <c r="SZE229" s="1"/>
      <c r="SZF229" s="1"/>
      <c r="SZG229" s="1"/>
      <c r="SZH229" s="1"/>
      <c r="SZI229" s="1"/>
      <c r="SZJ229" s="1"/>
      <c r="SZK229" s="1"/>
      <c r="SZL229" s="1"/>
      <c r="SZM229" s="1"/>
      <c r="SZN229" s="1"/>
      <c r="SZO229" s="1"/>
      <c r="SZP229" s="1"/>
      <c r="SZQ229" s="1"/>
      <c r="SZR229" s="1"/>
      <c r="SZS229" s="1"/>
      <c r="SZT229" s="1"/>
      <c r="SZU229" s="1"/>
      <c r="SZV229" s="1"/>
      <c r="SZW229" s="1"/>
      <c r="SZX229" s="1"/>
      <c r="SZY229" s="1"/>
      <c r="SZZ229" s="1"/>
      <c r="TAA229" s="1"/>
      <c r="TAB229" s="1"/>
      <c r="TAC229" s="1"/>
      <c r="TAD229" s="1"/>
      <c r="TAE229" s="1"/>
      <c r="TAF229" s="1"/>
      <c r="TAG229" s="1"/>
      <c r="TAH229" s="1"/>
      <c r="TAI229" s="1"/>
      <c r="TAJ229" s="1"/>
      <c r="TAK229" s="1"/>
      <c r="TAL229" s="1"/>
      <c r="TAM229" s="1"/>
      <c r="TAN229" s="1"/>
      <c r="TAO229" s="1"/>
      <c r="TAP229" s="1"/>
      <c r="TAQ229" s="1"/>
      <c r="TAR229" s="1"/>
      <c r="TAS229" s="1"/>
      <c r="TAT229" s="1"/>
      <c r="TAU229" s="1"/>
      <c r="TAV229" s="1"/>
      <c r="TAW229" s="1"/>
      <c r="TAX229" s="1"/>
      <c r="TAY229" s="1"/>
      <c r="TAZ229" s="1"/>
      <c r="TBA229" s="1"/>
      <c r="TBB229" s="1"/>
      <c r="TBC229" s="1"/>
      <c r="TBD229" s="1"/>
      <c r="TBE229" s="1"/>
      <c r="TBF229" s="1"/>
      <c r="TBG229" s="1"/>
      <c r="TBH229" s="1"/>
      <c r="TBI229" s="1"/>
      <c r="TBJ229" s="1"/>
      <c r="TBK229" s="1"/>
      <c r="TBL229" s="1"/>
      <c r="TBM229" s="1"/>
      <c r="TBN229" s="1"/>
      <c r="TBO229" s="1"/>
      <c r="TBP229" s="1"/>
      <c r="TBQ229" s="1"/>
      <c r="TBR229" s="1"/>
      <c r="TBS229" s="1"/>
      <c r="TBT229" s="1"/>
      <c r="TBU229" s="1"/>
      <c r="TBV229" s="1"/>
      <c r="TBW229" s="1"/>
      <c r="TBX229" s="1"/>
      <c r="TBY229" s="1"/>
      <c r="TBZ229" s="1"/>
      <c r="TCA229" s="1"/>
      <c r="TCB229" s="1"/>
      <c r="TCC229" s="1"/>
      <c r="TCD229" s="1"/>
      <c r="TCE229" s="1"/>
      <c r="TCF229" s="1"/>
      <c r="TCG229" s="1"/>
      <c r="TCH229" s="1"/>
      <c r="TCI229" s="1"/>
      <c r="TCJ229" s="1"/>
      <c r="TCK229" s="1"/>
      <c r="TCL229" s="1"/>
      <c r="TCM229" s="1"/>
      <c r="TCN229" s="1"/>
      <c r="TCO229" s="1"/>
      <c r="TCP229" s="1"/>
      <c r="TCQ229" s="1"/>
      <c r="TCR229" s="1"/>
      <c r="TCS229" s="1"/>
      <c r="TCT229" s="1"/>
      <c r="TCU229" s="1"/>
      <c r="TCV229" s="1"/>
      <c r="TCW229" s="1"/>
      <c r="TCX229" s="1"/>
      <c r="TCY229" s="1"/>
      <c r="TCZ229" s="1"/>
      <c r="TDA229" s="1"/>
      <c r="TDB229" s="1"/>
      <c r="TDC229" s="1"/>
      <c r="TDD229" s="1"/>
      <c r="TDE229" s="1"/>
      <c r="TDF229" s="1"/>
      <c r="TDG229" s="1"/>
      <c r="TDH229" s="1"/>
      <c r="TDI229" s="1"/>
      <c r="TDJ229" s="1"/>
      <c r="TDK229" s="1"/>
      <c r="TDL229" s="1"/>
      <c r="TDM229" s="1"/>
      <c r="TDN229" s="1"/>
      <c r="TDO229" s="1"/>
      <c r="TDP229" s="1"/>
      <c r="TDQ229" s="1"/>
      <c r="TDR229" s="1"/>
      <c r="TDS229" s="1"/>
      <c r="TDT229" s="1"/>
      <c r="TDU229" s="1"/>
      <c r="TDV229" s="1"/>
      <c r="TDW229" s="1"/>
      <c r="TDX229" s="1"/>
      <c r="TDY229" s="1"/>
      <c r="TDZ229" s="1"/>
      <c r="TEA229" s="1"/>
      <c r="TEB229" s="1"/>
      <c r="TEC229" s="1"/>
      <c r="TED229" s="1"/>
      <c r="TEE229" s="1"/>
      <c r="TEF229" s="1"/>
      <c r="TEG229" s="1"/>
      <c r="TEH229" s="1"/>
      <c r="TEI229" s="1"/>
      <c r="TEJ229" s="1"/>
      <c r="TEK229" s="1"/>
      <c r="TEL229" s="1"/>
      <c r="TEM229" s="1"/>
      <c r="TEN229" s="1"/>
      <c r="TEO229" s="1"/>
      <c r="TEP229" s="1"/>
      <c r="TEQ229" s="1"/>
      <c r="TER229" s="1"/>
      <c r="TES229" s="1"/>
      <c r="TET229" s="1"/>
      <c r="TEU229" s="1"/>
      <c r="TEV229" s="1"/>
      <c r="TEW229" s="1"/>
      <c r="TEX229" s="1"/>
      <c r="TEY229" s="1"/>
      <c r="TEZ229" s="1"/>
      <c r="TFA229" s="1"/>
      <c r="TFB229" s="1"/>
      <c r="TFC229" s="1"/>
      <c r="TFD229" s="1"/>
      <c r="TFE229" s="1"/>
      <c r="TFF229" s="1"/>
      <c r="TFG229" s="1"/>
      <c r="TFH229" s="1"/>
      <c r="TFI229" s="1"/>
      <c r="TFJ229" s="1"/>
      <c r="TFK229" s="1"/>
      <c r="TFL229" s="1"/>
      <c r="TFM229" s="1"/>
      <c r="TFN229" s="1"/>
      <c r="TFO229" s="1"/>
      <c r="TFP229" s="1"/>
      <c r="TFQ229" s="1"/>
      <c r="TFR229" s="1"/>
      <c r="TFS229" s="1"/>
      <c r="TFT229" s="1"/>
      <c r="TFU229" s="1"/>
      <c r="TFV229" s="1"/>
      <c r="TFW229" s="1"/>
      <c r="TFX229" s="1"/>
      <c r="TFY229" s="1"/>
      <c r="TFZ229" s="1"/>
      <c r="TGA229" s="1"/>
      <c r="TGB229" s="1"/>
      <c r="TGC229" s="1"/>
      <c r="TGD229" s="1"/>
      <c r="TGE229" s="1"/>
      <c r="TGF229" s="1"/>
      <c r="TGG229" s="1"/>
      <c r="TGH229" s="1"/>
      <c r="TGI229" s="1"/>
      <c r="TGJ229" s="1"/>
      <c r="TGK229" s="1"/>
      <c r="TGL229" s="1"/>
      <c r="TGM229" s="1"/>
      <c r="TGN229" s="1"/>
      <c r="TGO229" s="1"/>
      <c r="TGP229" s="1"/>
      <c r="TGQ229" s="1"/>
      <c r="TGR229" s="1"/>
      <c r="TGS229" s="1"/>
      <c r="TGT229" s="1"/>
      <c r="TGU229" s="1"/>
      <c r="TGV229" s="1"/>
      <c r="TGW229" s="1"/>
      <c r="TGX229" s="1"/>
      <c r="TGY229" s="1"/>
      <c r="TGZ229" s="1"/>
      <c r="THA229" s="1"/>
      <c r="THB229" s="1"/>
      <c r="THC229" s="1"/>
      <c r="THD229" s="1"/>
      <c r="THE229" s="1"/>
      <c r="THF229" s="1"/>
      <c r="THG229" s="1"/>
      <c r="THH229" s="1"/>
      <c r="THI229" s="1"/>
      <c r="THJ229" s="1"/>
      <c r="THK229" s="1"/>
      <c r="THL229" s="1"/>
      <c r="THM229" s="1"/>
      <c r="THN229" s="1"/>
      <c r="THO229" s="1"/>
      <c r="THP229" s="1"/>
      <c r="THQ229" s="1"/>
      <c r="THR229" s="1"/>
      <c r="THS229" s="1"/>
      <c r="THT229" s="1"/>
      <c r="THU229" s="1"/>
      <c r="THV229" s="1"/>
      <c r="THW229" s="1"/>
      <c r="THX229" s="1"/>
      <c r="THY229" s="1"/>
      <c r="THZ229" s="1"/>
      <c r="TIA229" s="1"/>
      <c r="TIB229" s="1"/>
      <c r="TIC229" s="1"/>
      <c r="TID229" s="1"/>
      <c r="TIE229" s="1"/>
      <c r="TIF229" s="1"/>
      <c r="TIG229" s="1"/>
      <c r="TIH229" s="1"/>
      <c r="TII229" s="1"/>
      <c r="TIJ229" s="1"/>
      <c r="TIK229" s="1"/>
      <c r="TIL229" s="1"/>
      <c r="TIM229" s="1"/>
      <c r="TIN229" s="1"/>
      <c r="TIO229" s="1"/>
      <c r="TIP229" s="1"/>
      <c r="TIQ229" s="1"/>
      <c r="TIR229" s="1"/>
      <c r="TIS229" s="1"/>
      <c r="TIT229" s="1"/>
      <c r="TIU229" s="1"/>
      <c r="TIV229" s="1"/>
      <c r="TIW229" s="1"/>
      <c r="TIX229" s="1"/>
      <c r="TIY229" s="1"/>
      <c r="TIZ229" s="1"/>
      <c r="TJA229" s="1"/>
      <c r="TJB229" s="1"/>
      <c r="TJC229" s="1"/>
      <c r="TJD229" s="1"/>
      <c r="TJE229" s="1"/>
      <c r="TJF229" s="1"/>
      <c r="TJG229" s="1"/>
      <c r="TJH229" s="1"/>
      <c r="TJI229" s="1"/>
      <c r="TJJ229" s="1"/>
      <c r="TJK229" s="1"/>
      <c r="TJL229" s="1"/>
      <c r="TJM229" s="1"/>
      <c r="TJN229" s="1"/>
      <c r="TJO229" s="1"/>
      <c r="TJP229" s="1"/>
      <c r="TJQ229" s="1"/>
      <c r="TJR229" s="1"/>
      <c r="TJS229" s="1"/>
      <c r="TJT229" s="1"/>
      <c r="TJU229" s="1"/>
      <c r="TJV229" s="1"/>
      <c r="TJW229" s="1"/>
      <c r="TJX229" s="1"/>
      <c r="TJY229" s="1"/>
      <c r="TJZ229" s="1"/>
      <c r="TKA229" s="1"/>
      <c r="TKB229" s="1"/>
      <c r="TKC229" s="1"/>
      <c r="TKD229" s="1"/>
      <c r="TKE229" s="1"/>
      <c r="TKF229" s="1"/>
      <c r="TKG229" s="1"/>
      <c r="TKH229" s="1"/>
      <c r="TKI229" s="1"/>
      <c r="TKJ229" s="1"/>
      <c r="TKK229" s="1"/>
      <c r="TKL229" s="1"/>
      <c r="TKM229" s="1"/>
      <c r="TKN229" s="1"/>
      <c r="TKO229" s="1"/>
      <c r="TKP229" s="1"/>
      <c r="TKQ229" s="1"/>
      <c r="TKR229" s="1"/>
      <c r="TKS229" s="1"/>
      <c r="TKT229" s="1"/>
      <c r="TKU229" s="1"/>
      <c r="TKV229" s="1"/>
      <c r="TKW229" s="1"/>
      <c r="TKX229" s="1"/>
      <c r="TKY229" s="1"/>
      <c r="TKZ229" s="1"/>
      <c r="TLA229" s="1"/>
      <c r="TLB229" s="1"/>
      <c r="TLC229" s="1"/>
      <c r="TLD229" s="1"/>
      <c r="TLE229" s="1"/>
      <c r="TLF229" s="1"/>
      <c r="TLG229" s="1"/>
      <c r="TLH229" s="1"/>
      <c r="TLI229" s="1"/>
      <c r="TLJ229" s="1"/>
      <c r="TLK229" s="1"/>
      <c r="TLL229" s="1"/>
      <c r="TLM229" s="1"/>
      <c r="TLN229" s="1"/>
      <c r="TLO229" s="1"/>
      <c r="TLP229" s="1"/>
      <c r="TLQ229" s="1"/>
      <c r="TLR229" s="1"/>
      <c r="TLS229" s="1"/>
      <c r="TLT229" s="1"/>
      <c r="TLU229" s="1"/>
      <c r="TLV229" s="1"/>
      <c r="TLW229" s="1"/>
      <c r="TLX229" s="1"/>
      <c r="TLY229" s="1"/>
      <c r="TLZ229" s="1"/>
      <c r="TMA229" s="1"/>
      <c r="TMB229" s="1"/>
      <c r="TMC229" s="1"/>
      <c r="TMD229" s="1"/>
      <c r="TME229" s="1"/>
      <c r="TMF229" s="1"/>
      <c r="TMG229" s="1"/>
      <c r="TMH229" s="1"/>
      <c r="TMI229" s="1"/>
      <c r="TMJ229" s="1"/>
      <c r="TMK229" s="1"/>
      <c r="TML229" s="1"/>
      <c r="TMM229" s="1"/>
      <c r="TMN229" s="1"/>
      <c r="TMO229" s="1"/>
      <c r="TMP229" s="1"/>
      <c r="TMQ229" s="1"/>
      <c r="TMR229" s="1"/>
      <c r="TMS229" s="1"/>
      <c r="TMT229" s="1"/>
      <c r="TMU229" s="1"/>
      <c r="TMV229" s="1"/>
      <c r="TMW229" s="1"/>
      <c r="TMX229" s="1"/>
      <c r="TMY229" s="1"/>
      <c r="TMZ229" s="1"/>
      <c r="TNA229" s="1"/>
      <c r="TNB229" s="1"/>
      <c r="TNC229" s="1"/>
      <c r="TND229" s="1"/>
      <c r="TNE229" s="1"/>
      <c r="TNF229" s="1"/>
      <c r="TNG229" s="1"/>
      <c r="TNH229" s="1"/>
      <c r="TNI229" s="1"/>
      <c r="TNJ229" s="1"/>
      <c r="TNK229" s="1"/>
      <c r="TNL229" s="1"/>
      <c r="TNM229" s="1"/>
      <c r="TNN229" s="1"/>
      <c r="TNO229" s="1"/>
      <c r="TNP229" s="1"/>
      <c r="TNQ229" s="1"/>
      <c r="TNR229" s="1"/>
      <c r="TNS229" s="1"/>
      <c r="TNT229" s="1"/>
      <c r="TNU229" s="1"/>
      <c r="TNV229" s="1"/>
      <c r="TNW229" s="1"/>
      <c r="TNX229" s="1"/>
      <c r="TNY229" s="1"/>
      <c r="TNZ229" s="1"/>
      <c r="TOA229" s="1"/>
      <c r="TOB229" s="1"/>
      <c r="TOC229" s="1"/>
      <c r="TOD229" s="1"/>
      <c r="TOE229" s="1"/>
      <c r="TOF229" s="1"/>
      <c r="TOG229" s="1"/>
      <c r="TOH229" s="1"/>
      <c r="TOI229" s="1"/>
      <c r="TOJ229" s="1"/>
      <c r="TOK229" s="1"/>
      <c r="TOL229" s="1"/>
      <c r="TOM229" s="1"/>
      <c r="TON229" s="1"/>
      <c r="TOO229" s="1"/>
      <c r="TOP229" s="1"/>
      <c r="TOQ229" s="1"/>
      <c r="TOR229" s="1"/>
      <c r="TOS229" s="1"/>
      <c r="TOT229" s="1"/>
      <c r="TOU229" s="1"/>
      <c r="TOV229" s="1"/>
      <c r="TOW229" s="1"/>
      <c r="TOX229" s="1"/>
      <c r="TOY229" s="1"/>
      <c r="TOZ229" s="1"/>
      <c r="TPA229" s="1"/>
      <c r="TPB229" s="1"/>
      <c r="TPC229" s="1"/>
      <c r="TPD229" s="1"/>
      <c r="TPE229" s="1"/>
      <c r="TPF229" s="1"/>
      <c r="TPG229" s="1"/>
      <c r="TPH229" s="1"/>
      <c r="TPI229" s="1"/>
      <c r="TPJ229" s="1"/>
      <c r="TPK229" s="1"/>
      <c r="TPL229" s="1"/>
      <c r="TPM229" s="1"/>
      <c r="TPN229" s="1"/>
      <c r="TPO229" s="1"/>
      <c r="TPP229" s="1"/>
      <c r="TPQ229" s="1"/>
      <c r="TPR229" s="1"/>
      <c r="TPS229" s="1"/>
      <c r="TPT229" s="1"/>
      <c r="TPU229" s="1"/>
      <c r="TPV229" s="1"/>
      <c r="TPW229" s="1"/>
      <c r="TPX229" s="1"/>
      <c r="TPY229" s="1"/>
      <c r="TPZ229" s="1"/>
      <c r="TQA229" s="1"/>
      <c r="TQB229" s="1"/>
      <c r="TQC229" s="1"/>
      <c r="TQD229" s="1"/>
      <c r="TQE229" s="1"/>
      <c r="TQF229" s="1"/>
      <c r="TQG229" s="1"/>
      <c r="TQH229" s="1"/>
      <c r="TQI229" s="1"/>
      <c r="TQJ229" s="1"/>
      <c r="TQK229" s="1"/>
      <c r="TQL229" s="1"/>
      <c r="TQM229" s="1"/>
      <c r="TQN229" s="1"/>
      <c r="TQO229" s="1"/>
      <c r="TQP229" s="1"/>
      <c r="TQQ229" s="1"/>
      <c r="TQR229" s="1"/>
      <c r="TQS229" s="1"/>
      <c r="TQT229" s="1"/>
      <c r="TQU229" s="1"/>
      <c r="TQV229" s="1"/>
      <c r="TQW229" s="1"/>
      <c r="TQX229" s="1"/>
      <c r="TQY229" s="1"/>
      <c r="TQZ229" s="1"/>
      <c r="TRA229" s="1"/>
      <c r="TRB229" s="1"/>
      <c r="TRC229" s="1"/>
      <c r="TRD229" s="1"/>
      <c r="TRE229" s="1"/>
      <c r="TRF229" s="1"/>
      <c r="TRG229" s="1"/>
      <c r="TRH229" s="1"/>
      <c r="TRI229" s="1"/>
      <c r="TRJ229" s="1"/>
      <c r="TRK229" s="1"/>
      <c r="TRL229" s="1"/>
      <c r="TRM229" s="1"/>
      <c r="TRN229" s="1"/>
      <c r="TRO229" s="1"/>
      <c r="TRP229" s="1"/>
      <c r="TRQ229" s="1"/>
      <c r="TRR229" s="1"/>
      <c r="TRS229" s="1"/>
      <c r="TRT229" s="1"/>
      <c r="TRU229" s="1"/>
      <c r="TRV229" s="1"/>
      <c r="TRW229" s="1"/>
      <c r="TRX229" s="1"/>
      <c r="TRY229" s="1"/>
      <c r="TRZ229" s="1"/>
      <c r="TSA229" s="1"/>
      <c r="TSB229" s="1"/>
      <c r="TSC229" s="1"/>
      <c r="TSD229" s="1"/>
      <c r="TSE229" s="1"/>
      <c r="TSF229" s="1"/>
      <c r="TSG229" s="1"/>
      <c r="TSH229" s="1"/>
      <c r="TSI229" s="1"/>
      <c r="TSJ229" s="1"/>
      <c r="TSK229" s="1"/>
      <c r="TSL229" s="1"/>
      <c r="TSM229" s="1"/>
      <c r="TSN229" s="1"/>
      <c r="TSO229" s="1"/>
      <c r="TSP229" s="1"/>
      <c r="TSQ229" s="1"/>
      <c r="TSR229" s="1"/>
      <c r="TSS229" s="1"/>
      <c r="TST229" s="1"/>
      <c r="TSU229" s="1"/>
      <c r="TSV229" s="1"/>
      <c r="TSW229" s="1"/>
      <c r="TSX229" s="1"/>
      <c r="TSY229" s="1"/>
      <c r="TSZ229" s="1"/>
      <c r="TTA229" s="1"/>
      <c r="TTB229" s="1"/>
      <c r="TTC229" s="1"/>
      <c r="TTD229" s="1"/>
      <c r="TTE229" s="1"/>
      <c r="TTF229" s="1"/>
      <c r="TTG229" s="1"/>
      <c r="TTH229" s="1"/>
      <c r="TTI229" s="1"/>
      <c r="TTJ229" s="1"/>
      <c r="TTK229" s="1"/>
      <c r="TTL229" s="1"/>
      <c r="TTM229" s="1"/>
      <c r="TTN229" s="1"/>
      <c r="TTO229" s="1"/>
      <c r="TTP229" s="1"/>
      <c r="TTQ229" s="1"/>
      <c r="TTR229" s="1"/>
      <c r="TTS229" s="1"/>
      <c r="TTT229" s="1"/>
      <c r="TTU229" s="1"/>
      <c r="TTV229" s="1"/>
      <c r="TTW229" s="1"/>
      <c r="TTX229" s="1"/>
      <c r="TTY229" s="1"/>
      <c r="TTZ229" s="1"/>
      <c r="TUA229" s="1"/>
      <c r="TUB229" s="1"/>
      <c r="TUC229" s="1"/>
      <c r="TUD229" s="1"/>
      <c r="TUE229" s="1"/>
      <c r="TUF229" s="1"/>
      <c r="TUG229" s="1"/>
      <c r="TUH229" s="1"/>
      <c r="TUI229" s="1"/>
      <c r="TUJ229" s="1"/>
      <c r="TUK229" s="1"/>
      <c r="TUL229" s="1"/>
      <c r="TUM229" s="1"/>
      <c r="TUN229" s="1"/>
      <c r="TUO229" s="1"/>
      <c r="TUP229" s="1"/>
      <c r="TUQ229" s="1"/>
      <c r="TUR229" s="1"/>
      <c r="TUS229" s="1"/>
      <c r="TUT229" s="1"/>
      <c r="TUU229" s="1"/>
      <c r="TUV229" s="1"/>
      <c r="TUW229" s="1"/>
      <c r="TUX229" s="1"/>
      <c r="TUY229" s="1"/>
      <c r="TUZ229" s="1"/>
      <c r="TVA229" s="1"/>
      <c r="TVB229" s="1"/>
      <c r="TVC229" s="1"/>
      <c r="TVD229" s="1"/>
      <c r="TVE229" s="1"/>
      <c r="TVF229" s="1"/>
      <c r="TVG229" s="1"/>
      <c r="TVH229" s="1"/>
      <c r="TVI229" s="1"/>
      <c r="TVJ229" s="1"/>
      <c r="TVK229" s="1"/>
      <c r="TVL229" s="1"/>
      <c r="TVM229" s="1"/>
      <c r="TVN229" s="1"/>
      <c r="TVO229" s="1"/>
      <c r="TVP229" s="1"/>
      <c r="TVQ229" s="1"/>
      <c r="TVR229" s="1"/>
      <c r="TVS229" s="1"/>
      <c r="TVT229" s="1"/>
      <c r="TVU229" s="1"/>
      <c r="TVV229" s="1"/>
      <c r="TVW229" s="1"/>
      <c r="TVX229" s="1"/>
      <c r="TVY229" s="1"/>
      <c r="TVZ229" s="1"/>
      <c r="TWA229" s="1"/>
      <c r="TWB229" s="1"/>
      <c r="TWC229" s="1"/>
      <c r="TWD229" s="1"/>
      <c r="TWE229" s="1"/>
      <c r="TWF229" s="1"/>
      <c r="TWG229" s="1"/>
      <c r="TWH229" s="1"/>
      <c r="TWI229" s="1"/>
      <c r="TWJ229" s="1"/>
      <c r="TWK229" s="1"/>
      <c r="TWL229" s="1"/>
      <c r="TWM229" s="1"/>
      <c r="TWN229" s="1"/>
      <c r="TWO229" s="1"/>
      <c r="TWP229" s="1"/>
      <c r="TWQ229" s="1"/>
      <c r="TWR229" s="1"/>
      <c r="TWS229" s="1"/>
      <c r="TWT229" s="1"/>
      <c r="TWU229" s="1"/>
      <c r="TWV229" s="1"/>
      <c r="TWW229" s="1"/>
      <c r="TWX229" s="1"/>
      <c r="TWY229" s="1"/>
      <c r="TWZ229" s="1"/>
      <c r="TXA229" s="1"/>
      <c r="TXB229" s="1"/>
      <c r="TXC229" s="1"/>
      <c r="TXD229" s="1"/>
      <c r="TXE229" s="1"/>
      <c r="TXF229" s="1"/>
      <c r="TXG229" s="1"/>
      <c r="TXH229" s="1"/>
      <c r="TXI229" s="1"/>
      <c r="TXJ229" s="1"/>
      <c r="TXK229" s="1"/>
      <c r="TXL229" s="1"/>
      <c r="TXM229" s="1"/>
      <c r="TXN229" s="1"/>
      <c r="TXO229" s="1"/>
      <c r="TXP229" s="1"/>
      <c r="TXQ229" s="1"/>
      <c r="TXR229" s="1"/>
      <c r="TXS229" s="1"/>
      <c r="TXT229" s="1"/>
      <c r="TXU229" s="1"/>
      <c r="TXV229" s="1"/>
      <c r="TXW229" s="1"/>
      <c r="TXX229" s="1"/>
      <c r="TXY229" s="1"/>
      <c r="TXZ229" s="1"/>
      <c r="TYA229" s="1"/>
      <c r="TYB229" s="1"/>
      <c r="TYC229" s="1"/>
      <c r="TYD229" s="1"/>
      <c r="TYE229" s="1"/>
      <c r="TYF229" s="1"/>
      <c r="TYG229" s="1"/>
      <c r="TYH229" s="1"/>
      <c r="TYI229" s="1"/>
      <c r="TYJ229" s="1"/>
      <c r="TYK229" s="1"/>
      <c r="TYL229" s="1"/>
      <c r="TYM229" s="1"/>
      <c r="TYN229" s="1"/>
      <c r="TYO229" s="1"/>
      <c r="TYP229" s="1"/>
      <c r="TYQ229" s="1"/>
      <c r="TYR229" s="1"/>
      <c r="TYS229" s="1"/>
      <c r="TYT229" s="1"/>
      <c r="TYU229" s="1"/>
      <c r="TYV229" s="1"/>
      <c r="TYW229" s="1"/>
      <c r="TYX229" s="1"/>
      <c r="TYY229" s="1"/>
      <c r="TYZ229" s="1"/>
      <c r="TZA229" s="1"/>
      <c r="TZB229" s="1"/>
      <c r="TZC229" s="1"/>
      <c r="TZD229" s="1"/>
      <c r="TZE229" s="1"/>
      <c r="TZF229" s="1"/>
      <c r="TZG229" s="1"/>
      <c r="TZH229" s="1"/>
      <c r="TZI229" s="1"/>
      <c r="TZJ229" s="1"/>
      <c r="TZK229" s="1"/>
      <c r="TZL229" s="1"/>
      <c r="TZM229" s="1"/>
      <c r="TZN229" s="1"/>
      <c r="TZO229" s="1"/>
      <c r="TZP229" s="1"/>
      <c r="TZQ229" s="1"/>
      <c r="TZR229" s="1"/>
      <c r="TZS229" s="1"/>
      <c r="TZT229" s="1"/>
      <c r="TZU229" s="1"/>
      <c r="TZV229" s="1"/>
      <c r="TZW229" s="1"/>
      <c r="TZX229" s="1"/>
      <c r="TZY229" s="1"/>
      <c r="TZZ229" s="1"/>
      <c r="UAA229" s="1"/>
      <c r="UAB229" s="1"/>
      <c r="UAC229" s="1"/>
      <c r="UAD229" s="1"/>
      <c r="UAE229" s="1"/>
      <c r="UAF229" s="1"/>
      <c r="UAG229" s="1"/>
      <c r="UAH229" s="1"/>
      <c r="UAI229" s="1"/>
      <c r="UAJ229" s="1"/>
      <c r="UAK229" s="1"/>
      <c r="UAL229" s="1"/>
      <c r="UAM229" s="1"/>
      <c r="UAN229" s="1"/>
      <c r="UAO229" s="1"/>
      <c r="UAP229" s="1"/>
      <c r="UAQ229" s="1"/>
      <c r="UAR229" s="1"/>
      <c r="UAS229" s="1"/>
      <c r="UAT229" s="1"/>
      <c r="UAU229" s="1"/>
      <c r="UAV229" s="1"/>
      <c r="UAW229" s="1"/>
      <c r="UAX229" s="1"/>
      <c r="UAY229" s="1"/>
      <c r="UAZ229" s="1"/>
      <c r="UBA229" s="1"/>
      <c r="UBB229" s="1"/>
      <c r="UBC229" s="1"/>
      <c r="UBD229" s="1"/>
      <c r="UBE229" s="1"/>
      <c r="UBF229" s="1"/>
      <c r="UBG229" s="1"/>
      <c r="UBH229" s="1"/>
      <c r="UBI229" s="1"/>
      <c r="UBJ229" s="1"/>
      <c r="UBK229" s="1"/>
      <c r="UBL229" s="1"/>
      <c r="UBM229" s="1"/>
      <c r="UBN229" s="1"/>
      <c r="UBO229" s="1"/>
      <c r="UBP229" s="1"/>
      <c r="UBQ229" s="1"/>
      <c r="UBR229" s="1"/>
      <c r="UBS229" s="1"/>
      <c r="UBT229" s="1"/>
      <c r="UBU229" s="1"/>
      <c r="UBV229" s="1"/>
      <c r="UBW229" s="1"/>
      <c r="UBX229" s="1"/>
      <c r="UBY229" s="1"/>
      <c r="UBZ229" s="1"/>
      <c r="UCA229" s="1"/>
      <c r="UCB229" s="1"/>
      <c r="UCC229" s="1"/>
      <c r="UCD229" s="1"/>
      <c r="UCE229" s="1"/>
      <c r="UCF229" s="1"/>
      <c r="UCG229" s="1"/>
      <c r="UCH229" s="1"/>
      <c r="UCI229" s="1"/>
      <c r="UCJ229" s="1"/>
      <c r="UCK229" s="1"/>
      <c r="UCL229" s="1"/>
      <c r="UCM229" s="1"/>
      <c r="UCN229" s="1"/>
      <c r="UCO229" s="1"/>
      <c r="UCP229" s="1"/>
      <c r="UCQ229" s="1"/>
      <c r="UCR229" s="1"/>
      <c r="UCS229" s="1"/>
      <c r="UCT229" s="1"/>
      <c r="UCU229" s="1"/>
      <c r="UCV229" s="1"/>
      <c r="UCW229" s="1"/>
      <c r="UCX229" s="1"/>
      <c r="UCY229" s="1"/>
      <c r="UCZ229" s="1"/>
      <c r="UDA229" s="1"/>
      <c r="UDB229" s="1"/>
      <c r="UDC229" s="1"/>
      <c r="UDD229" s="1"/>
      <c r="UDE229" s="1"/>
      <c r="UDF229" s="1"/>
      <c r="UDG229" s="1"/>
      <c r="UDH229" s="1"/>
      <c r="UDI229" s="1"/>
      <c r="UDJ229" s="1"/>
      <c r="UDK229" s="1"/>
      <c r="UDL229" s="1"/>
      <c r="UDM229" s="1"/>
      <c r="UDN229" s="1"/>
      <c r="UDO229" s="1"/>
      <c r="UDP229" s="1"/>
      <c r="UDQ229" s="1"/>
      <c r="UDR229" s="1"/>
      <c r="UDS229" s="1"/>
      <c r="UDT229" s="1"/>
      <c r="UDU229" s="1"/>
      <c r="UDV229" s="1"/>
      <c r="UDW229" s="1"/>
      <c r="UDX229" s="1"/>
      <c r="UDY229" s="1"/>
      <c r="UDZ229" s="1"/>
      <c r="UEA229" s="1"/>
      <c r="UEB229" s="1"/>
      <c r="UEC229" s="1"/>
      <c r="UED229" s="1"/>
      <c r="UEE229" s="1"/>
      <c r="UEF229" s="1"/>
      <c r="UEG229" s="1"/>
      <c r="UEH229" s="1"/>
      <c r="UEI229" s="1"/>
      <c r="UEJ229" s="1"/>
      <c r="UEK229" s="1"/>
      <c r="UEL229" s="1"/>
      <c r="UEM229" s="1"/>
      <c r="UEN229" s="1"/>
      <c r="UEO229" s="1"/>
      <c r="UEP229" s="1"/>
      <c r="UEQ229" s="1"/>
      <c r="UER229" s="1"/>
      <c r="UES229" s="1"/>
      <c r="UET229" s="1"/>
      <c r="UEU229" s="1"/>
      <c r="UEV229" s="1"/>
      <c r="UEW229" s="1"/>
      <c r="UEX229" s="1"/>
      <c r="UEY229" s="1"/>
      <c r="UEZ229" s="1"/>
      <c r="UFA229" s="1"/>
      <c r="UFB229" s="1"/>
      <c r="UFC229" s="1"/>
      <c r="UFD229" s="1"/>
      <c r="UFE229" s="1"/>
      <c r="UFF229" s="1"/>
      <c r="UFG229" s="1"/>
      <c r="UFH229" s="1"/>
      <c r="UFI229" s="1"/>
      <c r="UFJ229" s="1"/>
      <c r="UFK229" s="1"/>
      <c r="UFL229" s="1"/>
      <c r="UFM229" s="1"/>
      <c r="UFN229" s="1"/>
      <c r="UFO229" s="1"/>
      <c r="UFP229" s="1"/>
      <c r="UFQ229" s="1"/>
      <c r="UFR229" s="1"/>
      <c r="UFS229" s="1"/>
      <c r="UFT229" s="1"/>
      <c r="UFU229" s="1"/>
      <c r="UFV229" s="1"/>
      <c r="UFW229" s="1"/>
      <c r="UFX229" s="1"/>
      <c r="UFY229" s="1"/>
      <c r="UFZ229" s="1"/>
      <c r="UGA229" s="1"/>
      <c r="UGB229" s="1"/>
      <c r="UGC229" s="1"/>
      <c r="UGD229" s="1"/>
      <c r="UGE229" s="1"/>
      <c r="UGF229" s="1"/>
      <c r="UGG229" s="1"/>
      <c r="UGH229" s="1"/>
      <c r="UGI229" s="1"/>
      <c r="UGJ229" s="1"/>
      <c r="UGK229" s="1"/>
      <c r="UGL229" s="1"/>
      <c r="UGM229" s="1"/>
      <c r="UGN229" s="1"/>
      <c r="UGO229" s="1"/>
      <c r="UGP229" s="1"/>
      <c r="UGQ229" s="1"/>
      <c r="UGR229" s="1"/>
      <c r="UGS229" s="1"/>
      <c r="UGT229" s="1"/>
      <c r="UGU229" s="1"/>
      <c r="UGV229" s="1"/>
      <c r="UGW229" s="1"/>
      <c r="UGX229" s="1"/>
      <c r="UGY229" s="1"/>
      <c r="UGZ229" s="1"/>
      <c r="UHA229" s="1"/>
      <c r="UHB229" s="1"/>
      <c r="UHC229" s="1"/>
      <c r="UHD229" s="1"/>
      <c r="UHE229" s="1"/>
      <c r="UHF229" s="1"/>
      <c r="UHG229" s="1"/>
      <c r="UHH229" s="1"/>
      <c r="UHI229" s="1"/>
      <c r="UHJ229" s="1"/>
      <c r="UHK229" s="1"/>
      <c r="UHL229" s="1"/>
      <c r="UHM229" s="1"/>
      <c r="UHN229" s="1"/>
      <c r="UHO229" s="1"/>
      <c r="UHP229" s="1"/>
      <c r="UHQ229" s="1"/>
      <c r="UHR229" s="1"/>
      <c r="UHS229" s="1"/>
      <c r="UHT229" s="1"/>
      <c r="UHU229" s="1"/>
      <c r="UHV229" s="1"/>
      <c r="UHW229" s="1"/>
      <c r="UHX229" s="1"/>
      <c r="UHY229" s="1"/>
      <c r="UHZ229" s="1"/>
      <c r="UIA229" s="1"/>
      <c r="UIB229" s="1"/>
      <c r="UIC229" s="1"/>
      <c r="UID229" s="1"/>
      <c r="UIE229" s="1"/>
      <c r="UIF229" s="1"/>
      <c r="UIG229" s="1"/>
      <c r="UIH229" s="1"/>
      <c r="UII229" s="1"/>
      <c r="UIJ229" s="1"/>
      <c r="UIK229" s="1"/>
      <c r="UIL229" s="1"/>
      <c r="UIM229" s="1"/>
      <c r="UIN229" s="1"/>
      <c r="UIO229" s="1"/>
      <c r="UIP229" s="1"/>
      <c r="UIQ229" s="1"/>
      <c r="UIR229" s="1"/>
      <c r="UIS229" s="1"/>
      <c r="UIT229" s="1"/>
      <c r="UIU229" s="1"/>
      <c r="UIV229" s="1"/>
      <c r="UIW229" s="1"/>
      <c r="UIX229" s="1"/>
      <c r="UIY229" s="1"/>
      <c r="UIZ229" s="1"/>
      <c r="UJA229" s="1"/>
      <c r="UJB229" s="1"/>
      <c r="UJC229" s="1"/>
      <c r="UJD229" s="1"/>
      <c r="UJE229" s="1"/>
      <c r="UJF229" s="1"/>
      <c r="UJG229" s="1"/>
      <c r="UJH229" s="1"/>
      <c r="UJI229" s="1"/>
      <c r="UJJ229" s="1"/>
      <c r="UJK229" s="1"/>
      <c r="UJL229" s="1"/>
      <c r="UJM229" s="1"/>
      <c r="UJN229" s="1"/>
      <c r="UJO229" s="1"/>
      <c r="UJP229" s="1"/>
      <c r="UJQ229" s="1"/>
      <c r="UJR229" s="1"/>
      <c r="UJS229" s="1"/>
      <c r="UJT229" s="1"/>
      <c r="UJU229" s="1"/>
      <c r="UJV229" s="1"/>
      <c r="UJW229" s="1"/>
      <c r="UJX229" s="1"/>
      <c r="UJY229" s="1"/>
      <c r="UJZ229" s="1"/>
      <c r="UKA229" s="1"/>
      <c r="UKB229" s="1"/>
      <c r="UKC229" s="1"/>
      <c r="UKD229" s="1"/>
      <c r="UKE229" s="1"/>
      <c r="UKF229" s="1"/>
      <c r="UKG229" s="1"/>
      <c r="UKH229" s="1"/>
      <c r="UKI229" s="1"/>
      <c r="UKJ229" s="1"/>
      <c r="UKK229" s="1"/>
      <c r="UKL229" s="1"/>
      <c r="UKM229" s="1"/>
      <c r="UKN229" s="1"/>
      <c r="UKO229" s="1"/>
      <c r="UKP229" s="1"/>
      <c r="UKQ229" s="1"/>
      <c r="UKR229" s="1"/>
      <c r="UKS229" s="1"/>
      <c r="UKT229" s="1"/>
      <c r="UKU229" s="1"/>
      <c r="UKV229" s="1"/>
      <c r="UKW229" s="1"/>
      <c r="UKX229" s="1"/>
      <c r="UKY229" s="1"/>
      <c r="UKZ229" s="1"/>
      <c r="ULA229" s="1"/>
      <c r="ULB229" s="1"/>
      <c r="ULC229" s="1"/>
      <c r="ULD229" s="1"/>
      <c r="ULE229" s="1"/>
      <c r="ULF229" s="1"/>
      <c r="ULG229" s="1"/>
      <c r="ULH229" s="1"/>
      <c r="ULI229" s="1"/>
      <c r="ULJ229" s="1"/>
      <c r="ULK229" s="1"/>
      <c r="ULL229" s="1"/>
      <c r="ULM229" s="1"/>
      <c r="ULN229" s="1"/>
      <c r="ULO229" s="1"/>
      <c r="ULP229" s="1"/>
      <c r="ULQ229" s="1"/>
      <c r="ULR229" s="1"/>
      <c r="ULS229" s="1"/>
      <c r="ULT229" s="1"/>
      <c r="ULU229" s="1"/>
      <c r="ULV229" s="1"/>
      <c r="ULW229" s="1"/>
      <c r="ULX229" s="1"/>
      <c r="ULY229" s="1"/>
      <c r="ULZ229" s="1"/>
      <c r="UMA229" s="1"/>
      <c r="UMB229" s="1"/>
      <c r="UMC229" s="1"/>
      <c r="UMD229" s="1"/>
      <c r="UME229" s="1"/>
      <c r="UMF229" s="1"/>
      <c r="UMG229" s="1"/>
      <c r="UMH229" s="1"/>
      <c r="UMI229" s="1"/>
      <c r="UMJ229" s="1"/>
      <c r="UMK229" s="1"/>
      <c r="UML229" s="1"/>
      <c r="UMM229" s="1"/>
      <c r="UMN229" s="1"/>
      <c r="UMO229" s="1"/>
      <c r="UMP229" s="1"/>
      <c r="UMQ229" s="1"/>
      <c r="UMR229" s="1"/>
      <c r="UMS229" s="1"/>
      <c r="UMT229" s="1"/>
      <c r="UMU229" s="1"/>
      <c r="UMV229" s="1"/>
      <c r="UMW229" s="1"/>
      <c r="UMX229" s="1"/>
      <c r="UMY229" s="1"/>
      <c r="UMZ229" s="1"/>
      <c r="UNA229" s="1"/>
      <c r="UNB229" s="1"/>
      <c r="UNC229" s="1"/>
      <c r="UND229" s="1"/>
      <c r="UNE229" s="1"/>
      <c r="UNF229" s="1"/>
      <c r="UNG229" s="1"/>
      <c r="UNH229" s="1"/>
      <c r="UNI229" s="1"/>
      <c r="UNJ229" s="1"/>
      <c r="UNK229" s="1"/>
      <c r="UNL229" s="1"/>
      <c r="UNM229" s="1"/>
      <c r="UNN229" s="1"/>
      <c r="UNO229" s="1"/>
      <c r="UNP229" s="1"/>
      <c r="UNQ229" s="1"/>
      <c r="UNR229" s="1"/>
      <c r="UNS229" s="1"/>
      <c r="UNT229" s="1"/>
      <c r="UNU229" s="1"/>
      <c r="UNV229" s="1"/>
      <c r="UNW229" s="1"/>
      <c r="UNX229" s="1"/>
      <c r="UNY229" s="1"/>
      <c r="UNZ229" s="1"/>
      <c r="UOA229" s="1"/>
      <c r="UOB229" s="1"/>
      <c r="UOC229" s="1"/>
      <c r="UOD229" s="1"/>
      <c r="UOE229" s="1"/>
      <c r="UOF229" s="1"/>
      <c r="UOG229" s="1"/>
      <c r="UOH229" s="1"/>
      <c r="UOI229" s="1"/>
      <c r="UOJ229" s="1"/>
      <c r="UOK229" s="1"/>
      <c r="UOL229" s="1"/>
      <c r="UOM229" s="1"/>
      <c r="UON229" s="1"/>
      <c r="UOO229" s="1"/>
      <c r="UOP229" s="1"/>
      <c r="UOQ229" s="1"/>
      <c r="UOR229" s="1"/>
      <c r="UOS229" s="1"/>
      <c r="UOT229" s="1"/>
      <c r="UOU229" s="1"/>
      <c r="UOV229" s="1"/>
      <c r="UOW229" s="1"/>
      <c r="UOX229" s="1"/>
      <c r="UOY229" s="1"/>
      <c r="UOZ229" s="1"/>
      <c r="UPA229" s="1"/>
      <c r="UPB229" s="1"/>
      <c r="UPC229" s="1"/>
      <c r="UPD229" s="1"/>
      <c r="UPE229" s="1"/>
      <c r="UPF229" s="1"/>
      <c r="UPG229" s="1"/>
      <c r="UPH229" s="1"/>
      <c r="UPI229" s="1"/>
      <c r="UPJ229" s="1"/>
      <c r="UPK229" s="1"/>
      <c r="UPL229" s="1"/>
      <c r="UPM229" s="1"/>
      <c r="UPN229" s="1"/>
      <c r="UPO229" s="1"/>
      <c r="UPP229" s="1"/>
      <c r="UPQ229" s="1"/>
      <c r="UPR229" s="1"/>
      <c r="UPS229" s="1"/>
      <c r="UPT229" s="1"/>
      <c r="UPU229" s="1"/>
      <c r="UPV229" s="1"/>
      <c r="UPW229" s="1"/>
      <c r="UPX229" s="1"/>
      <c r="UPY229" s="1"/>
      <c r="UPZ229" s="1"/>
      <c r="UQA229" s="1"/>
      <c r="UQB229" s="1"/>
      <c r="UQC229" s="1"/>
      <c r="UQD229" s="1"/>
      <c r="UQE229" s="1"/>
      <c r="UQF229" s="1"/>
      <c r="UQG229" s="1"/>
      <c r="UQH229" s="1"/>
      <c r="UQI229" s="1"/>
      <c r="UQJ229" s="1"/>
      <c r="UQK229" s="1"/>
      <c r="UQL229" s="1"/>
      <c r="UQM229" s="1"/>
      <c r="UQN229" s="1"/>
      <c r="UQO229" s="1"/>
      <c r="UQP229" s="1"/>
      <c r="UQQ229" s="1"/>
      <c r="UQR229" s="1"/>
      <c r="UQS229" s="1"/>
      <c r="UQT229" s="1"/>
      <c r="UQU229" s="1"/>
      <c r="UQV229" s="1"/>
      <c r="UQW229" s="1"/>
      <c r="UQX229" s="1"/>
      <c r="UQY229" s="1"/>
      <c r="UQZ229" s="1"/>
      <c r="URA229" s="1"/>
      <c r="URB229" s="1"/>
      <c r="URC229" s="1"/>
      <c r="URD229" s="1"/>
      <c r="URE229" s="1"/>
      <c r="URF229" s="1"/>
      <c r="URG229" s="1"/>
      <c r="URH229" s="1"/>
      <c r="URI229" s="1"/>
      <c r="URJ229" s="1"/>
      <c r="URK229" s="1"/>
      <c r="URL229" s="1"/>
      <c r="URM229" s="1"/>
      <c r="URN229" s="1"/>
      <c r="URO229" s="1"/>
      <c r="URP229" s="1"/>
      <c r="URQ229" s="1"/>
      <c r="URR229" s="1"/>
      <c r="URS229" s="1"/>
      <c r="URT229" s="1"/>
      <c r="URU229" s="1"/>
      <c r="URV229" s="1"/>
      <c r="URW229" s="1"/>
      <c r="URX229" s="1"/>
      <c r="URY229" s="1"/>
      <c r="URZ229" s="1"/>
      <c r="USA229" s="1"/>
      <c r="USB229" s="1"/>
      <c r="USC229" s="1"/>
      <c r="USD229" s="1"/>
      <c r="USE229" s="1"/>
      <c r="USF229" s="1"/>
      <c r="USG229" s="1"/>
      <c r="USH229" s="1"/>
      <c r="USI229" s="1"/>
      <c r="USJ229" s="1"/>
      <c r="USK229" s="1"/>
      <c r="USL229" s="1"/>
      <c r="USM229" s="1"/>
      <c r="USN229" s="1"/>
      <c r="USO229" s="1"/>
      <c r="USP229" s="1"/>
      <c r="USQ229" s="1"/>
      <c r="USR229" s="1"/>
      <c r="USS229" s="1"/>
      <c r="UST229" s="1"/>
      <c r="USU229" s="1"/>
      <c r="USV229" s="1"/>
      <c r="USW229" s="1"/>
      <c r="USX229" s="1"/>
      <c r="USY229" s="1"/>
      <c r="USZ229" s="1"/>
      <c r="UTA229" s="1"/>
      <c r="UTB229" s="1"/>
      <c r="UTC229" s="1"/>
      <c r="UTD229" s="1"/>
      <c r="UTE229" s="1"/>
      <c r="UTF229" s="1"/>
      <c r="UTG229" s="1"/>
      <c r="UTH229" s="1"/>
      <c r="UTI229" s="1"/>
      <c r="UTJ229" s="1"/>
      <c r="UTK229" s="1"/>
      <c r="UTL229" s="1"/>
      <c r="UTM229" s="1"/>
      <c r="UTN229" s="1"/>
      <c r="UTO229" s="1"/>
      <c r="UTP229" s="1"/>
      <c r="UTQ229" s="1"/>
      <c r="UTR229" s="1"/>
      <c r="UTS229" s="1"/>
      <c r="UTT229" s="1"/>
      <c r="UTU229" s="1"/>
      <c r="UTV229" s="1"/>
      <c r="UTW229" s="1"/>
      <c r="UTX229" s="1"/>
      <c r="UTY229" s="1"/>
      <c r="UTZ229" s="1"/>
      <c r="UUA229" s="1"/>
      <c r="UUB229" s="1"/>
      <c r="UUC229" s="1"/>
      <c r="UUD229" s="1"/>
      <c r="UUE229" s="1"/>
      <c r="UUF229" s="1"/>
      <c r="UUG229" s="1"/>
      <c r="UUH229" s="1"/>
      <c r="UUI229" s="1"/>
      <c r="UUJ229" s="1"/>
      <c r="UUK229" s="1"/>
      <c r="UUL229" s="1"/>
      <c r="UUM229" s="1"/>
      <c r="UUN229" s="1"/>
      <c r="UUO229" s="1"/>
      <c r="UUP229" s="1"/>
      <c r="UUQ229" s="1"/>
      <c r="UUR229" s="1"/>
      <c r="UUS229" s="1"/>
      <c r="UUT229" s="1"/>
      <c r="UUU229" s="1"/>
      <c r="UUV229" s="1"/>
      <c r="UUW229" s="1"/>
      <c r="UUX229" s="1"/>
      <c r="UUY229" s="1"/>
      <c r="UUZ229" s="1"/>
      <c r="UVA229" s="1"/>
      <c r="UVB229" s="1"/>
      <c r="UVC229" s="1"/>
      <c r="UVD229" s="1"/>
      <c r="UVE229" s="1"/>
      <c r="UVF229" s="1"/>
      <c r="UVG229" s="1"/>
      <c r="UVH229" s="1"/>
      <c r="UVI229" s="1"/>
      <c r="UVJ229" s="1"/>
      <c r="UVK229" s="1"/>
      <c r="UVL229" s="1"/>
      <c r="UVM229" s="1"/>
      <c r="UVN229" s="1"/>
      <c r="UVO229" s="1"/>
      <c r="UVP229" s="1"/>
      <c r="UVQ229" s="1"/>
      <c r="UVR229" s="1"/>
      <c r="UVS229" s="1"/>
      <c r="UVT229" s="1"/>
      <c r="UVU229" s="1"/>
      <c r="UVV229" s="1"/>
      <c r="UVW229" s="1"/>
      <c r="UVX229" s="1"/>
      <c r="UVY229" s="1"/>
      <c r="UVZ229" s="1"/>
      <c r="UWA229" s="1"/>
      <c r="UWB229" s="1"/>
      <c r="UWC229" s="1"/>
      <c r="UWD229" s="1"/>
      <c r="UWE229" s="1"/>
      <c r="UWF229" s="1"/>
      <c r="UWG229" s="1"/>
      <c r="UWH229" s="1"/>
      <c r="UWI229" s="1"/>
      <c r="UWJ229" s="1"/>
      <c r="UWK229" s="1"/>
      <c r="UWL229" s="1"/>
      <c r="UWM229" s="1"/>
      <c r="UWN229" s="1"/>
      <c r="UWO229" s="1"/>
      <c r="UWP229" s="1"/>
      <c r="UWQ229" s="1"/>
      <c r="UWR229" s="1"/>
      <c r="UWS229" s="1"/>
      <c r="UWT229" s="1"/>
      <c r="UWU229" s="1"/>
      <c r="UWV229" s="1"/>
      <c r="UWW229" s="1"/>
      <c r="UWX229" s="1"/>
      <c r="UWY229" s="1"/>
      <c r="UWZ229" s="1"/>
      <c r="UXA229" s="1"/>
      <c r="UXB229" s="1"/>
      <c r="UXC229" s="1"/>
      <c r="UXD229" s="1"/>
      <c r="UXE229" s="1"/>
      <c r="UXF229" s="1"/>
      <c r="UXG229" s="1"/>
      <c r="UXH229" s="1"/>
      <c r="UXI229" s="1"/>
      <c r="UXJ229" s="1"/>
      <c r="UXK229" s="1"/>
      <c r="UXL229" s="1"/>
      <c r="UXM229" s="1"/>
      <c r="UXN229" s="1"/>
      <c r="UXO229" s="1"/>
      <c r="UXP229" s="1"/>
      <c r="UXQ229" s="1"/>
      <c r="UXR229" s="1"/>
      <c r="UXS229" s="1"/>
      <c r="UXT229" s="1"/>
      <c r="UXU229" s="1"/>
      <c r="UXV229" s="1"/>
      <c r="UXW229" s="1"/>
      <c r="UXX229" s="1"/>
      <c r="UXY229" s="1"/>
      <c r="UXZ229" s="1"/>
      <c r="UYA229" s="1"/>
      <c r="UYB229" s="1"/>
      <c r="UYC229" s="1"/>
      <c r="UYD229" s="1"/>
      <c r="UYE229" s="1"/>
      <c r="UYF229" s="1"/>
      <c r="UYG229" s="1"/>
      <c r="UYH229" s="1"/>
      <c r="UYI229" s="1"/>
      <c r="UYJ229" s="1"/>
      <c r="UYK229" s="1"/>
      <c r="UYL229" s="1"/>
      <c r="UYM229" s="1"/>
      <c r="UYN229" s="1"/>
      <c r="UYO229" s="1"/>
      <c r="UYP229" s="1"/>
      <c r="UYQ229" s="1"/>
      <c r="UYR229" s="1"/>
      <c r="UYS229" s="1"/>
      <c r="UYT229" s="1"/>
      <c r="UYU229" s="1"/>
      <c r="UYV229" s="1"/>
      <c r="UYW229" s="1"/>
      <c r="UYX229" s="1"/>
      <c r="UYY229" s="1"/>
      <c r="UYZ229" s="1"/>
      <c r="UZA229" s="1"/>
      <c r="UZB229" s="1"/>
      <c r="UZC229" s="1"/>
      <c r="UZD229" s="1"/>
      <c r="UZE229" s="1"/>
      <c r="UZF229" s="1"/>
      <c r="UZG229" s="1"/>
      <c r="UZH229" s="1"/>
      <c r="UZI229" s="1"/>
      <c r="UZJ229" s="1"/>
      <c r="UZK229" s="1"/>
      <c r="UZL229" s="1"/>
      <c r="UZM229" s="1"/>
      <c r="UZN229" s="1"/>
      <c r="UZO229" s="1"/>
      <c r="UZP229" s="1"/>
      <c r="UZQ229" s="1"/>
      <c r="UZR229" s="1"/>
      <c r="UZS229" s="1"/>
      <c r="UZT229" s="1"/>
      <c r="UZU229" s="1"/>
      <c r="UZV229" s="1"/>
      <c r="UZW229" s="1"/>
      <c r="UZX229" s="1"/>
      <c r="UZY229" s="1"/>
      <c r="UZZ229" s="1"/>
      <c r="VAA229" s="1"/>
      <c r="VAB229" s="1"/>
      <c r="VAC229" s="1"/>
      <c r="VAD229" s="1"/>
      <c r="VAE229" s="1"/>
      <c r="VAF229" s="1"/>
      <c r="VAG229" s="1"/>
      <c r="VAH229" s="1"/>
      <c r="VAI229" s="1"/>
      <c r="VAJ229" s="1"/>
      <c r="VAK229" s="1"/>
      <c r="VAL229" s="1"/>
      <c r="VAM229" s="1"/>
      <c r="VAN229" s="1"/>
      <c r="VAO229" s="1"/>
      <c r="VAP229" s="1"/>
      <c r="VAQ229" s="1"/>
      <c r="VAR229" s="1"/>
      <c r="VAS229" s="1"/>
      <c r="VAT229" s="1"/>
      <c r="VAU229" s="1"/>
      <c r="VAV229" s="1"/>
      <c r="VAW229" s="1"/>
      <c r="VAX229" s="1"/>
      <c r="VAY229" s="1"/>
      <c r="VAZ229" s="1"/>
      <c r="VBA229" s="1"/>
      <c r="VBB229" s="1"/>
      <c r="VBC229" s="1"/>
      <c r="VBD229" s="1"/>
      <c r="VBE229" s="1"/>
      <c r="VBF229" s="1"/>
      <c r="VBG229" s="1"/>
      <c r="VBH229" s="1"/>
      <c r="VBI229" s="1"/>
      <c r="VBJ229" s="1"/>
      <c r="VBK229" s="1"/>
      <c r="VBL229" s="1"/>
      <c r="VBM229" s="1"/>
      <c r="VBN229" s="1"/>
      <c r="VBO229" s="1"/>
      <c r="VBP229" s="1"/>
      <c r="VBQ229" s="1"/>
      <c r="VBR229" s="1"/>
      <c r="VBS229" s="1"/>
      <c r="VBT229" s="1"/>
      <c r="VBU229" s="1"/>
      <c r="VBV229" s="1"/>
      <c r="VBW229" s="1"/>
      <c r="VBX229" s="1"/>
      <c r="VBY229" s="1"/>
      <c r="VBZ229" s="1"/>
      <c r="VCA229" s="1"/>
      <c r="VCB229" s="1"/>
      <c r="VCC229" s="1"/>
      <c r="VCD229" s="1"/>
      <c r="VCE229" s="1"/>
      <c r="VCF229" s="1"/>
      <c r="VCG229" s="1"/>
      <c r="VCH229" s="1"/>
      <c r="VCI229" s="1"/>
      <c r="VCJ229" s="1"/>
      <c r="VCK229" s="1"/>
      <c r="VCL229" s="1"/>
      <c r="VCM229" s="1"/>
      <c r="VCN229" s="1"/>
      <c r="VCO229" s="1"/>
      <c r="VCP229" s="1"/>
      <c r="VCQ229" s="1"/>
      <c r="VCR229" s="1"/>
    </row>
    <row r="236" spans="1:14968" s="2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5"/>
      <c r="AK236" s="1"/>
      <c r="AL236" s="1"/>
      <c r="AM236" s="1"/>
      <c r="AO236" s="3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H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s="1"/>
      <c r="XU236" s="1"/>
      <c r="XV236" s="1"/>
      <c r="XW236" s="1"/>
      <c r="XX236" s="1"/>
      <c r="XY236" s="1"/>
      <c r="XZ236" s="1"/>
      <c r="YA236" s="1"/>
      <c r="YB236" s="1"/>
      <c r="YC236" s="1"/>
      <c r="YD236" s="1"/>
      <c r="YE236" s="1"/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/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/>
      <c r="ZP236" s="1"/>
      <c r="ZQ236" s="1"/>
      <c r="ZR236" s="1"/>
      <c r="ZS236" s="1"/>
      <c r="ZT236" s="1"/>
      <c r="ZU236" s="1"/>
      <c r="ZV236" s="1"/>
      <c r="ZW236" s="1"/>
      <c r="ZX236" s="1"/>
      <c r="ZY236" s="1"/>
      <c r="ZZ236" s="1"/>
      <c r="AAA236" s="1"/>
      <c r="AAB236" s="1"/>
      <c r="AAC236" s="1"/>
      <c r="AAD236" s="1"/>
      <c r="AAE236" s="1"/>
      <c r="AAF236" s="1"/>
      <c r="AAG236" s="1"/>
      <c r="AAH236" s="1"/>
      <c r="AAI236" s="1"/>
      <c r="AAJ236" s="1"/>
      <c r="AAK236" s="1"/>
      <c r="AAL236" s="1"/>
      <c r="AAM236" s="1"/>
      <c r="AAN236" s="1"/>
      <c r="AAO236" s="1"/>
      <c r="AAP236" s="1"/>
      <c r="AAQ236" s="1"/>
      <c r="AAR236" s="1"/>
      <c r="AAS236" s="1"/>
      <c r="AAT236" s="1"/>
      <c r="AAU236" s="1"/>
      <c r="AAV236" s="1"/>
      <c r="AAW236" s="1"/>
      <c r="AAX236" s="1"/>
      <c r="AAY236" s="1"/>
      <c r="AAZ236" s="1"/>
      <c r="ABA236" s="1"/>
      <c r="ABB236" s="1"/>
      <c r="ABC236" s="1"/>
      <c r="ABD236" s="1"/>
      <c r="ABE236" s="1"/>
      <c r="ABF236" s="1"/>
      <c r="ABG236" s="1"/>
      <c r="ABH236" s="1"/>
      <c r="ABI236" s="1"/>
      <c r="ABJ236" s="1"/>
      <c r="ABK236" s="1"/>
      <c r="ABL236" s="1"/>
      <c r="ABM236" s="1"/>
      <c r="ABN236" s="1"/>
      <c r="ABO236" s="1"/>
      <c r="ABP236" s="1"/>
      <c r="ABQ236" s="1"/>
      <c r="ABR236" s="1"/>
      <c r="ABS236" s="1"/>
      <c r="ABT236" s="1"/>
      <c r="ABU236" s="1"/>
      <c r="ABV236" s="1"/>
      <c r="ABW236" s="1"/>
      <c r="ABX236" s="1"/>
      <c r="ABY236" s="1"/>
      <c r="ABZ236" s="1"/>
      <c r="ACA236" s="1"/>
      <c r="ACB236" s="1"/>
      <c r="ACC236" s="1"/>
      <c r="ACD236" s="1"/>
      <c r="ACE236" s="1"/>
      <c r="ACF236" s="1"/>
      <c r="ACG236" s="1"/>
      <c r="ACH236" s="1"/>
      <c r="ACI236" s="1"/>
      <c r="ACJ236" s="1"/>
      <c r="ACK236" s="1"/>
      <c r="ACL236" s="1"/>
      <c r="ACM236" s="1"/>
      <c r="ACN236" s="1"/>
      <c r="ACO236" s="1"/>
      <c r="ACP236" s="1"/>
      <c r="ACQ236" s="1"/>
      <c r="ACR236" s="1"/>
      <c r="ACS236" s="1"/>
      <c r="ACT236" s="1"/>
      <c r="ACU236" s="1"/>
      <c r="ACV236" s="1"/>
      <c r="ACW236" s="1"/>
      <c r="ACX236" s="1"/>
      <c r="ACY236" s="1"/>
      <c r="ACZ236" s="1"/>
      <c r="ADA236" s="1"/>
      <c r="ADB236" s="1"/>
      <c r="ADC236" s="1"/>
      <c r="ADD236" s="1"/>
      <c r="ADE236" s="1"/>
      <c r="ADF236" s="1"/>
      <c r="ADG236" s="1"/>
      <c r="ADH236" s="1"/>
      <c r="ADI236" s="1"/>
      <c r="ADJ236" s="1"/>
      <c r="ADK236" s="1"/>
      <c r="ADL236" s="1"/>
      <c r="ADM236" s="1"/>
      <c r="ADN236" s="1"/>
      <c r="ADO236" s="1"/>
      <c r="ADP236" s="1"/>
      <c r="ADQ236" s="1"/>
      <c r="ADR236" s="1"/>
      <c r="ADS236" s="1"/>
      <c r="ADT236" s="1"/>
      <c r="ADU236" s="1"/>
      <c r="ADV236" s="1"/>
      <c r="ADW236" s="1"/>
      <c r="ADX236" s="1"/>
      <c r="ADY236" s="1"/>
      <c r="ADZ236" s="1"/>
      <c r="AEA236" s="1"/>
      <c r="AEB236" s="1"/>
      <c r="AEC236" s="1"/>
      <c r="AED236" s="1"/>
      <c r="AEE236" s="1"/>
      <c r="AEF236" s="1"/>
      <c r="AEG236" s="1"/>
      <c r="AEH236" s="1"/>
      <c r="AEI236" s="1"/>
      <c r="AEJ236" s="1"/>
      <c r="AEK236" s="1"/>
      <c r="AEL236" s="1"/>
      <c r="AEM236" s="1"/>
      <c r="AEN236" s="1"/>
      <c r="AEO236" s="1"/>
      <c r="AEP236" s="1"/>
      <c r="AEQ236" s="1"/>
      <c r="AER236" s="1"/>
      <c r="AES236" s="1"/>
      <c r="AET236" s="1"/>
      <c r="AEU236" s="1"/>
      <c r="AEV236" s="1"/>
      <c r="AEW236" s="1"/>
      <c r="AEX236" s="1"/>
      <c r="AEY236" s="1"/>
      <c r="AEZ236" s="1"/>
      <c r="AFA236" s="1"/>
      <c r="AFB236" s="1"/>
      <c r="AFC236" s="1"/>
      <c r="AFD236" s="1"/>
      <c r="AFE236" s="1"/>
      <c r="AFF236" s="1"/>
      <c r="AFG236" s="1"/>
      <c r="AFH236" s="1"/>
      <c r="AFI236" s="1"/>
      <c r="AFJ236" s="1"/>
      <c r="AFK236" s="1"/>
      <c r="AFL236" s="1"/>
      <c r="AFM236" s="1"/>
      <c r="AFN236" s="1"/>
      <c r="AFO236" s="1"/>
      <c r="AFP236" s="1"/>
      <c r="AFQ236" s="1"/>
      <c r="AFR236" s="1"/>
      <c r="AFS236" s="1"/>
      <c r="AFT236" s="1"/>
      <c r="AFU236" s="1"/>
      <c r="AFV236" s="1"/>
      <c r="AFW236" s="1"/>
      <c r="AFX236" s="1"/>
      <c r="AFY236" s="1"/>
      <c r="AFZ236" s="1"/>
      <c r="AGA236" s="1"/>
      <c r="AGB236" s="1"/>
      <c r="AGC236" s="1"/>
      <c r="AGD236" s="1"/>
      <c r="AGE236" s="1"/>
      <c r="AGF236" s="1"/>
      <c r="AGG236" s="1"/>
      <c r="AGH236" s="1"/>
      <c r="AGI236" s="1"/>
      <c r="AGJ236" s="1"/>
      <c r="AGK236" s="1"/>
      <c r="AGL236" s="1"/>
      <c r="AGM236" s="1"/>
      <c r="AGN236" s="1"/>
      <c r="AGO236" s="1"/>
      <c r="AGP236" s="1"/>
      <c r="AGQ236" s="1"/>
      <c r="AGR236" s="1"/>
      <c r="AGS236" s="1"/>
      <c r="AGT236" s="1"/>
      <c r="AGU236" s="1"/>
      <c r="AGV236" s="1"/>
      <c r="AGW236" s="1"/>
      <c r="AGX236" s="1"/>
      <c r="AGY236" s="1"/>
      <c r="AGZ236" s="1"/>
      <c r="AHA236" s="1"/>
      <c r="AHB236" s="1"/>
      <c r="AHC236" s="1"/>
      <c r="AHD236" s="1"/>
      <c r="AHE236" s="1"/>
      <c r="AHF236" s="1"/>
      <c r="AHG236" s="1"/>
      <c r="AHH236" s="1"/>
      <c r="AHI236" s="1"/>
      <c r="AHJ236" s="1"/>
      <c r="AHK236" s="1"/>
      <c r="AHL236" s="1"/>
      <c r="AHM236" s="1"/>
      <c r="AHN236" s="1"/>
      <c r="AHO236" s="1"/>
      <c r="AHP236" s="1"/>
      <c r="AHQ236" s="1"/>
      <c r="AHR236" s="1"/>
      <c r="AHS236" s="1"/>
      <c r="AHT236" s="1"/>
      <c r="AHU236" s="1"/>
      <c r="AHV236" s="1"/>
      <c r="AHW236" s="1"/>
      <c r="AHX236" s="1"/>
      <c r="AHY236" s="1"/>
      <c r="AHZ236" s="1"/>
      <c r="AIA236" s="1"/>
      <c r="AIB236" s="1"/>
      <c r="AIC236" s="1"/>
      <c r="AID236" s="1"/>
      <c r="AIE236" s="1"/>
      <c r="AIF236" s="1"/>
      <c r="AIG236" s="1"/>
      <c r="AIH236" s="1"/>
      <c r="AII236" s="1"/>
      <c r="AIJ236" s="1"/>
      <c r="AIK236" s="1"/>
      <c r="AIL236" s="1"/>
      <c r="AIM236" s="1"/>
      <c r="AIN236" s="1"/>
      <c r="AIO236" s="1"/>
      <c r="AIP236" s="1"/>
      <c r="AIQ236" s="1"/>
      <c r="AIR236" s="1"/>
      <c r="AIS236" s="1"/>
      <c r="AIT236" s="1"/>
      <c r="AIU236" s="1"/>
      <c r="AIV236" s="1"/>
      <c r="AIW236" s="1"/>
      <c r="AIX236" s="1"/>
      <c r="AIY236" s="1"/>
      <c r="AIZ236" s="1"/>
      <c r="AJA236" s="1"/>
      <c r="AJB236" s="1"/>
      <c r="AJC236" s="1"/>
      <c r="AJD236" s="1"/>
      <c r="AJE236" s="1"/>
      <c r="AJF236" s="1"/>
      <c r="AJG236" s="1"/>
      <c r="AJH236" s="1"/>
      <c r="AJI236" s="1"/>
      <c r="AJJ236" s="1"/>
      <c r="AJK236" s="1"/>
      <c r="AJL236" s="1"/>
      <c r="AJM236" s="1"/>
      <c r="AJN236" s="1"/>
      <c r="AJO236" s="1"/>
      <c r="AJP236" s="1"/>
      <c r="AJQ236" s="1"/>
      <c r="AJR236" s="1"/>
      <c r="AJS236" s="1"/>
      <c r="AJT236" s="1"/>
      <c r="AJU236" s="1"/>
      <c r="AJV236" s="1"/>
      <c r="AJW236" s="1"/>
      <c r="AJX236" s="1"/>
      <c r="AJY236" s="1"/>
      <c r="AJZ236" s="1"/>
      <c r="AKA236" s="1"/>
      <c r="AKB236" s="1"/>
      <c r="AKC236" s="1"/>
      <c r="AKD236" s="1"/>
      <c r="AKE236" s="1"/>
      <c r="AKF236" s="1"/>
      <c r="AKG236" s="1"/>
      <c r="AKH236" s="1"/>
      <c r="AKI236" s="1"/>
      <c r="AKJ236" s="1"/>
      <c r="AKK236" s="1"/>
      <c r="AKL236" s="1"/>
      <c r="AKM236" s="1"/>
      <c r="AKN236" s="1"/>
      <c r="AKO236" s="1"/>
      <c r="AKP236" s="1"/>
      <c r="AKQ236" s="1"/>
      <c r="AKR236" s="1"/>
      <c r="AKS236" s="1"/>
      <c r="AKT236" s="1"/>
      <c r="AKU236" s="1"/>
      <c r="AKV236" s="1"/>
      <c r="AKW236" s="1"/>
      <c r="AKX236" s="1"/>
      <c r="AKY236" s="1"/>
      <c r="AKZ236" s="1"/>
      <c r="ALA236" s="1"/>
      <c r="ALB236" s="1"/>
      <c r="ALC236" s="1"/>
      <c r="ALD236" s="1"/>
      <c r="ALE236" s="1"/>
      <c r="ALF236" s="1"/>
      <c r="ALG236" s="1"/>
      <c r="ALH236" s="1"/>
      <c r="ALI236" s="1"/>
      <c r="ALJ236" s="1"/>
      <c r="ALK236" s="1"/>
      <c r="ALL236" s="1"/>
      <c r="ALM236" s="1"/>
      <c r="ALN236" s="1"/>
      <c r="ALO236" s="1"/>
      <c r="ALP236" s="1"/>
      <c r="ALQ236" s="1"/>
      <c r="ALR236" s="1"/>
      <c r="ALS236" s="1"/>
      <c r="ALT236" s="1"/>
      <c r="ALU236" s="1"/>
      <c r="ALV236" s="1"/>
      <c r="ALW236" s="1"/>
      <c r="ALX236" s="1"/>
      <c r="ALY236" s="1"/>
      <c r="ALZ236" s="1"/>
      <c r="AMA236" s="1"/>
      <c r="AMB236" s="1"/>
      <c r="AMC236" s="1"/>
      <c r="AMD236" s="1"/>
      <c r="AME236" s="1"/>
      <c r="AMF236" s="1"/>
      <c r="AMG236" s="1"/>
      <c r="AMH236" s="1"/>
      <c r="AMI236" s="1"/>
      <c r="AMJ236" s="1"/>
      <c r="AMK236" s="1"/>
      <c r="AML236" s="1"/>
      <c r="AMM236" s="1"/>
      <c r="AMN236" s="1"/>
      <c r="AMO236" s="1"/>
      <c r="AMP236" s="1"/>
      <c r="AMQ236" s="1"/>
      <c r="AMR236" s="1"/>
      <c r="AMS236" s="1"/>
      <c r="AMT236" s="1"/>
      <c r="AMU236" s="1"/>
      <c r="AMV236" s="1"/>
      <c r="AMW236" s="1"/>
      <c r="AMX236" s="1"/>
      <c r="AMY236" s="1"/>
      <c r="AMZ236" s="1"/>
      <c r="ANA236" s="1"/>
      <c r="ANB236" s="1"/>
      <c r="ANC236" s="1"/>
      <c r="AND236" s="1"/>
      <c r="ANE236" s="1"/>
      <c r="ANF236" s="1"/>
      <c r="ANG236" s="1"/>
      <c r="ANH236" s="1"/>
      <c r="ANI236" s="1"/>
      <c r="ANJ236" s="1"/>
      <c r="ANK236" s="1"/>
      <c r="ANL236" s="1"/>
      <c r="ANM236" s="1"/>
      <c r="ANN236" s="1"/>
      <c r="ANO236" s="1"/>
      <c r="ANP236" s="1"/>
      <c r="ANQ236" s="1"/>
      <c r="ANR236" s="1"/>
      <c r="ANS236" s="1"/>
      <c r="ANT236" s="1"/>
      <c r="ANU236" s="1"/>
      <c r="ANV236" s="1"/>
      <c r="ANW236" s="1"/>
      <c r="ANX236" s="1"/>
      <c r="ANY236" s="1"/>
      <c r="ANZ236" s="1"/>
      <c r="AOA236" s="1"/>
      <c r="AOB236" s="1"/>
      <c r="AOC236" s="1"/>
      <c r="AOD236" s="1"/>
      <c r="AOE236" s="1"/>
      <c r="AOF236" s="1"/>
      <c r="AOG236" s="1"/>
      <c r="AOH236" s="1"/>
      <c r="AOI236" s="1"/>
      <c r="AOJ236" s="1"/>
      <c r="AOK236" s="1"/>
      <c r="AOL236" s="1"/>
      <c r="AOM236" s="1"/>
      <c r="AON236" s="1"/>
      <c r="AOO236" s="1"/>
      <c r="AOP236" s="1"/>
      <c r="AOQ236" s="1"/>
      <c r="AOR236" s="1"/>
      <c r="AOS236" s="1"/>
      <c r="AOT236" s="1"/>
      <c r="AOU236" s="1"/>
      <c r="AOV236" s="1"/>
      <c r="AOW236" s="1"/>
      <c r="AOX236" s="1"/>
      <c r="AOY236" s="1"/>
      <c r="AOZ236" s="1"/>
      <c r="APA236" s="1"/>
      <c r="APB236" s="1"/>
      <c r="APC236" s="1"/>
      <c r="APD236" s="1"/>
      <c r="APE236" s="1"/>
      <c r="APF236" s="1"/>
      <c r="APG236" s="1"/>
      <c r="APH236" s="1"/>
      <c r="API236" s="1"/>
      <c r="APJ236" s="1"/>
      <c r="APK236" s="1"/>
      <c r="APL236" s="1"/>
      <c r="APM236" s="1"/>
      <c r="APN236" s="1"/>
      <c r="APO236" s="1"/>
      <c r="APP236" s="1"/>
      <c r="APQ236" s="1"/>
      <c r="APR236" s="1"/>
      <c r="APS236" s="1"/>
      <c r="APT236" s="1"/>
      <c r="APU236" s="1"/>
      <c r="APV236" s="1"/>
      <c r="APW236" s="1"/>
      <c r="APX236" s="1"/>
      <c r="APY236" s="1"/>
      <c r="APZ236" s="1"/>
      <c r="AQA236" s="1"/>
      <c r="AQB236" s="1"/>
      <c r="AQC236" s="1"/>
      <c r="AQD236" s="1"/>
      <c r="AQE236" s="1"/>
      <c r="AQF236" s="1"/>
      <c r="AQG236" s="1"/>
      <c r="AQH236" s="1"/>
      <c r="AQI236" s="1"/>
      <c r="AQJ236" s="1"/>
      <c r="AQK236" s="1"/>
      <c r="AQL236" s="1"/>
      <c r="AQM236" s="1"/>
      <c r="AQN236" s="1"/>
      <c r="AQO236" s="1"/>
      <c r="AQP236" s="1"/>
      <c r="AQQ236" s="1"/>
      <c r="AQR236" s="1"/>
      <c r="AQS236" s="1"/>
      <c r="AQT236" s="1"/>
      <c r="AQU236" s="1"/>
      <c r="AQV236" s="1"/>
      <c r="AQW236" s="1"/>
      <c r="AQX236" s="1"/>
      <c r="AQY236" s="1"/>
      <c r="AQZ236" s="1"/>
      <c r="ARA236" s="1"/>
      <c r="ARB236" s="1"/>
      <c r="ARC236" s="1"/>
      <c r="ARD236" s="1"/>
      <c r="ARE236" s="1"/>
      <c r="ARF236" s="1"/>
      <c r="ARG236" s="1"/>
      <c r="ARH236" s="1"/>
      <c r="ARI236" s="1"/>
      <c r="ARJ236" s="1"/>
      <c r="ARK236" s="1"/>
      <c r="ARL236" s="1"/>
      <c r="ARM236" s="1"/>
      <c r="ARN236" s="1"/>
      <c r="ARO236" s="1"/>
      <c r="ARP236" s="1"/>
      <c r="ARQ236" s="1"/>
      <c r="ARR236" s="1"/>
      <c r="ARS236" s="1"/>
      <c r="ART236" s="1"/>
      <c r="ARU236" s="1"/>
      <c r="ARV236" s="1"/>
      <c r="ARW236" s="1"/>
      <c r="ARX236" s="1"/>
      <c r="ARY236" s="1"/>
      <c r="ARZ236" s="1"/>
      <c r="ASA236" s="1"/>
      <c r="ASB236" s="1"/>
      <c r="ASC236" s="1"/>
      <c r="ASD236" s="1"/>
      <c r="ASE236" s="1"/>
      <c r="ASF236" s="1"/>
      <c r="ASG236" s="1"/>
      <c r="ASH236" s="1"/>
      <c r="ASI236" s="1"/>
      <c r="ASJ236" s="1"/>
      <c r="ASK236" s="1"/>
      <c r="ASL236" s="1"/>
      <c r="ASM236" s="1"/>
      <c r="ASN236" s="1"/>
      <c r="ASO236" s="1"/>
      <c r="ASP236" s="1"/>
      <c r="ASQ236" s="1"/>
      <c r="ASR236" s="1"/>
      <c r="ASS236" s="1"/>
      <c r="AST236" s="1"/>
      <c r="ASU236" s="1"/>
      <c r="ASV236" s="1"/>
      <c r="ASW236" s="1"/>
      <c r="ASX236" s="1"/>
      <c r="ASY236" s="1"/>
      <c r="ASZ236" s="1"/>
      <c r="ATA236" s="1"/>
      <c r="ATB236" s="1"/>
      <c r="ATC236" s="1"/>
      <c r="ATD236" s="1"/>
      <c r="ATE236" s="1"/>
      <c r="ATF236" s="1"/>
      <c r="ATG236" s="1"/>
      <c r="ATH236" s="1"/>
      <c r="ATI236" s="1"/>
      <c r="ATJ236" s="1"/>
      <c r="ATK236" s="1"/>
      <c r="ATL236" s="1"/>
      <c r="ATM236" s="1"/>
      <c r="ATN236" s="1"/>
      <c r="ATO236" s="1"/>
      <c r="ATP236" s="1"/>
      <c r="ATQ236" s="1"/>
      <c r="ATR236" s="1"/>
      <c r="ATS236" s="1"/>
      <c r="ATT236" s="1"/>
      <c r="ATU236" s="1"/>
      <c r="ATV236" s="1"/>
      <c r="ATW236" s="1"/>
      <c r="ATX236" s="1"/>
      <c r="ATY236" s="1"/>
      <c r="ATZ236" s="1"/>
      <c r="AUA236" s="1"/>
      <c r="AUB236" s="1"/>
      <c r="AUC236" s="1"/>
      <c r="AUD236" s="1"/>
      <c r="AUE236" s="1"/>
      <c r="AUF236" s="1"/>
      <c r="AUG236" s="1"/>
      <c r="AUH236" s="1"/>
      <c r="AUI236" s="1"/>
      <c r="AUJ236" s="1"/>
      <c r="AUK236" s="1"/>
      <c r="AUL236" s="1"/>
      <c r="AUM236" s="1"/>
      <c r="AUN236" s="1"/>
      <c r="AUO236" s="1"/>
      <c r="AUP236" s="1"/>
      <c r="AUQ236" s="1"/>
      <c r="AUR236" s="1"/>
      <c r="AUS236" s="1"/>
      <c r="AUT236" s="1"/>
      <c r="AUU236" s="1"/>
      <c r="AUV236" s="1"/>
      <c r="AUW236" s="1"/>
      <c r="AUX236" s="1"/>
      <c r="AUY236" s="1"/>
      <c r="AUZ236" s="1"/>
      <c r="AVA236" s="1"/>
      <c r="AVB236" s="1"/>
      <c r="AVC236" s="1"/>
      <c r="AVD236" s="1"/>
      <c r="AVE236" s="1"/>
      <c r="AVF236" s="1"/>
      <c r="AVG236" s="1"/>
      <c r="AVH236" s="1"/>
      <c r="AVI236" s="1"/>
      <c r="AVJ236" s="1"/>
      <c r="AVK236" s="1"/>
      <c r="AVL236" s="1"/>
      <c r="AVM236" s="1"/>
      <c r="AVN236" s="1"/>
      <c r="AVO236" s="1"/>
      <c r="AVP236" s="1"/>
      <c r="AVQ236" s="1"/>
      <c r="AVR236" s="1"/>
      <c r="AVS236" s="1"/>
      <c r="AVT236" s="1"/>
      <c r="AVU236" s="1"/>
      <c r="AVV236" s="1"/>
      <c r="AVW236" s="1"/>
      <c r="AVX236" s="1"/>
      <c r="AVY236" s="1"/>
      <c r="AVZ236" s="1"/>
      <c r="AWA236" s="1"/>
      <c r="AWB236" s="1"/>
      <c r="AWC236" s="1"/>
      <c r="AWD236" s="1"/>
      <c r="AWE236" s="1"/>
      <c r="AWF236" s="1"/>
      <c r="AWG236" s="1"/>
      <c r="AWH236" s="1"/>
      <c r="AWI236" s="1"/>
      <c r="AWJ236" s="1"/>
      <c r="AWK236" s="1"/>
      <c r="AWL236" s="1"/>
      <c r="AWM236" s="1"/>
      <c r="AWN236" s="1"/>
      <c r="AWO236" s="1"/>
      <c r="AWP236" s="1"/>
      <c r="AWQ236" s="1"/>
      <c r="AWR236" s="1"/>
      <c r="AWS236" s="1"/>
      <c r="AWT236" s="1"/>
      <c r="AWU236" s="1"/>
      <c r="AWV236" s="1"/>
      <c r="AWW236" s="1"/>
      <c r="AWX236" s="1"/>
      <c r="AWY236" s="1"/>
      <c r="AWZ236" s="1"/>
      <c r="AXA236" s="1"/>
      <c r="AXB236" s="1"/>
      <c r="AXC236" s="1"/>
      <c r="AXD236" s="1"/>
      <c r="AXE236" s="1"/>
      <c r="AXF236" s="1"/>
      <c r="AXG236" s="1"/>
      <c r="AXH236" s="1"/>
      <c r="AXI236" s="1"/>
      <c r="AXJ236" s="1"/>
      <c r="AXK236" s="1"/>
      <c r="AXL236" s="1"/>
      <c r="AXM236" s="1"/>
      <c r="AXN236" s="1"/>
      <c r="AXO236" s="1"/>
      <c r="AXP236" s="1"/>
      <c r="AXQ236" s="1"/>
      <c r="AXR236" s="1"/>
      <c r="AXS236" s="1"/>
      <c r="AXT236" s="1"/>
      <c r="AXU236" s="1"/>
      <c r="AXV236" s="1"/>
      <c r="AXW236" s="1"/>
      <c r="AXX236" s="1"/>
      <c r="AXY236" s="1"/>
      <c r="AXZ236" s="1"/>
      <c r="AYA236" s="1"/>
      <c r="AYB236" s="1"/>
      <c r="AYC236" s="1"/>
      <c r="AYD236" s="1"/>
      <c r="AYE236" s="1"/>
      <c r="AYF236" s="1"/>
      <c r="AYG236" s="1"/>
      <c r="AYH236" s="1"/>
      <c r="AYI236" s="1"/>
      <c r="AYJ236" s="1"/>
      <c r="AYK236" s="1"/>
      <c r="AYL236" s="1"/>
      <c r="AYM236" s="1"/>
      <c r="AYN236" s="1"/>
      <c r="AYO236" s="1"/>
      <c r="AYP236" s="1"/>
      <c r="AYQ236" s="1"/>
      <c r="AYR236" s="1"/>
      <c r="AYS236" s="1"/>
      <c r="AYT236" s="1"/>
      <c r="AYU236" s="1"/>
      <c r="AYV236" s="1"/>
      <c r="AYW236" s="1"/>
      <c r="AYX236" s="1"/>
      <c r="AYY236" s="1"/>
      <c r="AYZ236" s="1"/>
      <c r="AZA236" s="1"/>
      <c r="AZB236" s="1"/>
      <c r="AZC236" s="1"/>
      <c r="AZD236" s="1"/>
      <c r="AZE236" s="1"/>
      <c r="AZF236" s="1"/>
      <c r="AZG236" s="1"/>
      <c r="AZH236" s="1"/>
      <c r="AZI236" s="1"/>
      <c r="AZJ236" s="1"/>
      <c r="AZK236" s="1"/>
      <c r="AZL236" s="1"/>
      <c r="AZM236" s="1"/>
      <c r="AZN236" s="1"/>
      <c r="AZO236" s="1"/>
      <c r="AZP236" s="1"/>
      <c r="AZQ236" s="1"/>
      <c r="AZR236" s="1"/>
      <c r="AZS236" s="1"/>
      <c r="AZT236" s="1"/>
      <c r="AZU236" s="1"/>
      <c r="AZV236" s="1"/>
      <c r="AZW236" s="1"/>
      <c r="AZX236" s="1"/>
      <c r="AZY236" s="1"/>
      <c r="AZZ236" s="1"/>
      <c r="BAA236" s="1"/>
      <c r="BAB236" s="1"/>
      <c r="BAC236" s="1"/>
      <c r="BAD236" s="1"/>
      <c r="BAE236" s="1"/>
      <c r="BAF236" s="1"/>
      <c r="BAG236" s="1"/>
      <c r="BAH236" s="1"/>
      <c r="BAI236" s="1"/>
      <c r="BAJ236" s="1"/>
      <c r="BAK236" s="1"/>
      <c r="BAL236" s="1"/>
      <c r="BAM236" s="1"/>
      <c r="BAN236" s="1"/>
      <c r="BAO236" s="1"/>
      <c r="BAP236" s="1"/>
      <c r="BAQ236" s="1"/>
      <c r="BAR236" s="1"/>
      <c r="BAS236" s="1"/>
      <c r="BAT236" s="1"/>
      <c r="BAU236" s="1"/>
      <c r="BAV236" s="1"/>
      <c r="BAW236" s="1"/>
      <c r="BAX236" s="1"/>
      <c r="BAY236" s="1"/>
      <c r="BAZ236" s="1"/>
      <c r="BBA236" s="1"/>
      <c r="BBB236" s="1"/>
      <c r="BBC236" s="1"/>
      <c r="BBD236" s="1"/>
      <c r="BBE236" s="1"/>
      <c r="BBF236" s="1"/>
      <c r="BBG236" s="1"/>
      <c r="BBH236" s="1"/>
      <c r="BBI236" s="1"/>
      <c r="BBJ236" s="1"/>
      <c r="BBK236" s="1"/>
      <c r="BBL236" s="1"/>
      <c r="BBM236" s="1"/>
      <c r="BBN236" s="1"/>
      <c r="BBO236" s="1"/>
      <c r="BBP236" s="1"/>
      <c r="BBQ236" s="1"/>
      <c r="BBR236" s="1"/>
      <c r="BBS236" s="1"/>
      <c r="BBT236" s="1"/>
      <c r="BBU236" s="1"/>
      <c r="BBV236" s="1"/>
      <c r="BBW236" s="1"/>
      <c r="BBX236" s="1"/>
      <c r="BBY236" s="1"/>
      <c r="BBZ236" s="1"/>
      <c r="BCA236" s="1"/>
      <c r="BCB236" s="1"/>
      <c r="BCC236" s="1"/>
      <c r="BCD236" s="1"/>
      <c r="BCE236" s="1"/>
      <c r="BCF236" s="1"/>
      <c r="BCG236" s="1"/>
      <c r="BCH236" s="1"/>
      <c r="BCI236" s="1"/>
      <c r="BCJ236" s="1"/>
      <c r="BCK236" s="1"/>
      <c r="BCL236" s="1"/>
      <c r="BCM236" s="1"/>
      <c r="BCN236" s="1"/>
      <c r="BCO236" s="1"/>
      <c r="BCP236" s="1"/>
      <c r="BCQ236" s="1"/>
      <c r="BCR236" s="1"/>
      <c r="BCS236" s="1"/>
      <c r="BCT236" s="1"/>
      <c r="BCU236" s="1"/>
      <c r="BCV236" s="1"/>
      <c r="BCW236" s="1"/>
      <c r="BCX236" s="1"/>
      <c r="BCY236" s="1"/>
      <c r="BCZ236" s="1"/>
      <c r="BDA236" s="1"/>
      <c r="BDB236" s="1"/>
      <c r="BDC236" s="1"/>
      <c r="BDD236" s="1"/>
      <c r="BDE236" s="1"/>
      <c r="BDF236" s="1"/>
      <c r="BDG236" s="1"/>
      <c r="BDH236" s="1"/>
      <c r="BDI236" s="1"/>
      <c r="BDJ236" s="1"/>
      <c r="BDK236" s="1"/>
      <c r="BDL236" s="1"/>
      <c r="BDM236" s="1"/>
      <c r="BDN236" s="1"/>
      <c r="BDO236" s="1"/>
      <c r="BDP236" s="1"/>
      <c r="BDQ236" s="1"/>
      <c r="BDR236" s="1"/>
      <c r="BDS236" s="1"/>
      <c r="BDT236" s="1"/>
      <c r="BDU236" s="1"/>
      <c r="BDV236" s="1"/>
      <c r="BDW236" s="1"/>
      <c r="BDX236" s="1"/>
      <c r="BDY236" s="1"/>
      <c r="BDZ236" s="1"/>
      <c r="BEA236" s="1"/>
      <c r="BEB236" s="1"/>
      <c r="BEC236" s="1"/>
      <c r="BED236" s="1"/>
      <c r="BEE236" s="1"/>
      <c r="BEF236" s="1"/>
      <c r="BEG236" s="1"/>
      <c r="BEH236" s="1"/>
      <c r="BEI236" s="1"/>
      <c r="BEJ236" s="1"/>
      <c r="BEK236" s="1"/>
      <c r="BEL236" s="1"/>
      <c r="BEM236" s="1"/>
      <c r="BEN236" s="1"/>
      <c r="BEO236" s="1"/>
      <c r="BEP236" s="1"/>
      <c r="BEQ236" s="1"/>
      <c r="BER236" s="1"/>
      <c r="BES236" s="1"/>
      <c r="BET236" s="1"/>
      <c r="BEU236" s="1"/>
      <c r="BEV236" s="1"/>
      <c r="BEW236" s="1"/>
      <c r="BEX236" s="1"/>
      <c r="BEY236" s="1"/>
      <c r="BEZ236" s="1"/>
      <c r="BFA236" s="1"/>
      <c r="BFB236" s="1"/>
      <c r="BFC236" s="1"/>
      <c r="BFD236" s="1"/>
      <c r="BFE236" s="1"/>
      <c r="BFF236" s="1"/>
      <c r="BFG236" s="1"/>
      <c r="BFH236" s="1"/>
      <c r="BFI236" s="1"/>
      <c r="BFJ236" s="1"/>
      <c r="BFK236" s="1"/>
      <c r="BFL236" s="1"/>
      <c r="BFM236" s="1"/>
      <c r="BFN236" s="1"/>
      <c r="BFO236" s="1"/>
      <c r="BFP236" s="1"/>
      <c r="BFQ236" s="1"/>
      <c r="BFR236" s="1"/>
      <c r="BFS236" s="1"/>
      <c r="BFT236" s="1"/>
      <c r="BFU236" s="1"/>
      <c r="BFV236" s="1"/>
      <c r="BFW236" s="1"/>
      <c r="BFX236" s="1"/>
      <c r="BFY236" s="1"/>
      <c r="BFZ236" s="1"/>
      <c r="BGA236" s="1"/>
      <c r="BGB236" s="1"/>
      <c r="BGC236" s="1"/>
      <c r="BGD236" s="1"/>
      <c r="BGE236" s="1"/>
      <c r="BGF236" s="1"/>
      <c r="BGG236" s="1"/>
      <c r="BGH236" s="1"/>
      <c r="BGI236" s="1"/>
      <c r="BGJ236" s="1"/>
      <c r="BGK236" s="1"/>
      <c r="BGL236" s="1"/>
      <c r="BGM236" s="1"/>
      <c r="BGN236" s="1"/>
      <c r="BGO236" s="1"/>
      <c r="BGP236" s="1"/>
      <c r="BGQ236" s="1"/>
      <c r="BGR236" s="1"/>
      <c r="BGS236" s="1"/>
      <c r="BGT236" s="1"/>
      <c r="BGU236" s="1"/>
      <c r="BGV236" s="1"/>
      <c r="BGW236" s="1"/>
      <c r="BGX236" s="1"/>
      <c r="BGY236" s="1"/>
      <c r="BGZ236" s="1"/>
      <c r="BHA236" s="1"/>
      <c r="BHB236" s="1"/>
      <c r="BHC236" s="1"/>
      <c r="BHD236" s="1"/>
      <c r="BHE236" s="1"/>
      <c r="BHF236" s="1"/>
      <c r="BHG236" s="1"/>
      <c r="BHH236" s="1"/>
      <c r="BHI236" s="1"/>
      <c r="BHJ236" s="1"/>
      <c r="BHK236" s="1"/>
      <c r="BHL236" s="1"/>
      <c r="BHM236" s="1"/>
      <c r="BHN236" s="1"/>
      <c r="BHO236" s="1"/>
      <c r="BHP236" s="1"/>
      <c r="BHQ236" s="1"/>
      <c r="BHR236" s="1"/>
      <c r="BHS236" s="1"/>
      <c r="BHT236" s="1"/>
      <c r="BHU236" s="1"/>
      <c r="BHV236" s="1"/>
      <c r="BHW236" s="1"/>
      <c r="BHX236" s="1"/>
      <c r="BHY236" s="1"/>
      <c r="BHZ236" s="1"/>
      <c r="BIA236" s="1"/>
      <c r="BIB236" s="1"/>
      <c r="BIC236" s="1"/>
      <c r="BID236" s="1"/>
      <c r="BIE236" s="1"/>
      <c r="BIF236" s="1"/>
      <c r="BIG236" s="1"/>
      <c r="BIH236" s="1"/>
      <c r="BII236" s="1"/>
      <c r="BIJ236" s="1"/>
      <c r="BIK236" s="1"/>
      <c r="BIL236" s="1"/>
      <c r="BIM236" s="1"/>
      <c r="BIN236" s="1"/>
      <c r="BIO236" s="1"/>
      <c r="BIP236" s="1"/>
      <c r="BIQ236" s="1"/>
      <c r="BIR236" s="1"/>
      <c r="BIS236" s="1"/>
      <c r="BIT236" s="1"/>
      <c r="BIU236" s="1"/>
      <c r="BIV236" s="1"/>
      <c r="BIW236" s="1"/>
      <c r="BIX236" s="1"/>
      <c r="BIY236" s="1"/>
      <c r="BIZ236" s="1"/>
      <c r="BJA236" s="1"/>
      <c r="BJB236" s="1"/>
      <c r="BJC236" s="1"/>
      <c r="BJD236" s="1"/>
      <c r="BJE236" s="1"/>
      <c r="BJF236" s="1"/>
      <c r="BJG236" s="1"/>
      <c r="BJH236" s="1"/>
      <c r="BJI236" s="1"/>
      <c r="BJJ236" s="1"/>
      <c r="BJK236" s="1"/>
      <c r="BJL236" s="1"/>
      <c r="BJM236" s="1"/>
      <c r="BJN236" s="1"/>
      <c r="BJO236" s="1"/>
      <c r="BJP236" s="1"/>
      <c r="BJQ236" s="1"/>
      <c r="BJR236" s="1"/>
      <c r="BJS236" s="1"/>
      <c r="BJT236" s="1"/>
      <c r="BJU236" s="1"/>
      <c r="BJV236" s="1"/>
      <c r="BJW236" s="1"/>
      <c r="BJX236" s="1"/>
      <c r="BJY236" s="1"/>
      <c r="BJZ236" s="1"/>
      <c r="BKA236" s="1"/>
      <c r="BKB236" s="1"/>
      <c r="BKC236" s="1"/>
      <c r="BKD236" s="1"/>
      <c r="BKE236" s="1"/>
      <c r="BKF236" s="1"/>
      <c r="BKG236" s="1"/>
      <c r="BKH236" s="1"/>
      <c r="BKI236" s="1"/>
      <c r="BKJ236" s="1"/>
      <c r="BKK236" s="1"/>
      <c r="BKL236" s="1"/>
      <c r="BKM236" s="1"/>
      <c r="BKN236" s="1"/>
      <c r="BKO236" s="1"/>
      <c r="BKP236" s="1"/>
      <c r="BKQ236" s="1"/>
      <c r="BKR236" s="1"/>
      <c r="BKS236" s="1"/>
      <c r="BKT236" s="1"/>
      <c r="BKU236" s="1"/>
      <c r="BKV236" s="1"/>
      <c r="BKW236" s="1"/>
      <c r="BKX236" s="1"/>
      <c r="BKY236" s="1"/>
      <c r="BKZ236" s="1"/>
      <c r="BLA236" s="1"/>
      <c r="BLB236" s="1"/>
      <c r="BLC236" s="1"/>
      <c r="BLD236" s="1"/>
      <c r="BLE236" s="1"/>
      <c r="BLF236" s="1"/>
      <c r="BLG236" s="1"/>
      <c r="BLH236" s="1"/>
      <c r="BLI236" s="1"/>
      <c r="BLJ236" s="1"/>
      <c r="BLK236" s="1"/>
      <c r="BLL236" s="1"/>
      <c r="BLM236" s="1"/>
      <c r="BLN236" s="1"/>
      <c r="BLO236" s="1"/>
      <c r="BLP236" s="1"/>
      <c r="BLQ236" s="1"/>
      <c r="BLR236" s="1"/>
      <c r="BLS236" s="1"/>
      <c r="BLT236" s="1"/>
      <c r="BLU236" s="1"/>
      <c r="BLV236" s="1"/>
      <c r="BLW236" s="1"/>
      <c r="BLX236" s="1"/>
      <c r="BLY236" s="1"/>
      <c r="BLZ236" s="1"/>
      <c r="BMA236" s="1"/>
      <c r="BMB236" s="1"/>
      <c r="BMC236" s="1"/>
      <c r="BMD236" s="1"/>
      <c r="BME236" s="1"/>
      <c r="BMF236" s="1"/>
      <c r="BMG236" s="1"/>
      <c r="BMH236" s="1"/>
      <c r="BMI236" s="1"/>
      <c r="BMJ236" s="1"/>
      <c r="BMK236" s="1"/>
      <c r="BML236" s="1"/>
      <c r="BMM236" s="1"/>
      <c r="BMN236" s="1"/>
      <c r="BMO236" s="1"/>
      <c r="BMP236" s="1"/>
      <c r="BMQ236" s="1"/>
      <c r="BMR236" s="1"/>
      <c r="BMS236" s="1"/>
      <c r="BMT236" s="1"/>
      <c r="BMU236" s="1"/>
      <c r="BMV236" s="1"/>
      <c r="BMW236" s="1"/>
      <c r="BMX236" s="1"/>
      <c r="BMY236" s="1"/>
      <c r="BMZ236" s="1"/>
      <c r="BNA236" s="1"/>
      <c r="BNB236" s="1"/>
      <c r="BNC236" s="1"/>
      <c r="BND236" s="1"/>
      <c r="BNE236" s="1"/>
      <c r="BNF236" s="1"/>
      <c r="BNG236" s="1"/>
      <c r="BNH236" s="1"/>
      <c r="BNI236" s="1"/>
      <c r="BNJ236" s="1"/>
      <c r="BNK236" s="1"/>
      <c r="BNL236" s="1"/>
      <c r="BNM236" s="1"/>
      <c r="BNN236" s="1"/>
      <c r="BNO236" s="1"/>
      <c r="BNP236" s="1"/>
      <c r="BNQ236" s="1"/>
      <c r="BNR236" s="1"/>
      <c r="BNS236" s="1"/>
      <c r="BNT236" s="1"/>
      <c r="BNU236" s="1"/>
      <c r="BNV236" s="1"/>
      <c r="BNW236" s="1"/>
      <c r="BNX236" s="1"/>
      <c r="BNY236" s="1"/>
      <c r="BNZ236" s="1"/>
      <c r="BOA236" s="1"/>
      <c r="BOB236" s="1"/>
      <c r="BOC236" s="1"/>
      <c r="BOD236" s="1"/>
      <c r="BOE236" s="1"/>
      <c r="BOF236" s="1"/>
      <c r="BOG236" s="1"/>
      <c r="BOH236" s="1"/>
      <c r="BOI236" s="1"/>
      <c r="BOJ236" s="1"/>
      <c r="BOK236" s="1"/>
      <c r="BOL236" s="1"/>
      <c r="BOM236" s="1"/>
      <c r="BON236" s="1"/>
      <c r="BOO236" s="1"/>
      <c r="BOP236" s="1"/>
      <c r="BOQ236" s="1"/>
      <c r="BOR236" s="1"/>
      <c r="BOS236" s="1"/>
      <c r="BOT236" s="1"/>
      <c r="BOU236" s="1"/>
      <c r="BOV236" s="1"/>
      <c r="BOW236" s="1"/>
      <c r="BOX236" s="1"/>
      <c r="BOY236" s="1"/>
      <c r="BOZ236" s="1"/>
      <c r="BPA236" s="1"/>
      <c r="BPB236" s="1"/>
      <c r="BPC236" s="1"/>
      <c r="BPD236" s="1"/>
      <c r="BPE236" s="1"/>
      <c r="BPF236" s="1"/>
      <c r="BPG236" s="1"/>
      <c r="BPH236" s="1"/>
      <c r="BPI236" s="1"/>
      <c r="BPJ236" s="1"/>
      <c r="BPK236" s="1"/>
      <c r="BPL236" s="1"/>
      <c r="BPM236" s="1"/>
      <c r="BPN236" s="1"/>
      <c r="BPO236" s="1"/>
      <c r="BPP236" s="1"/>
      <c r="BPQ236" s="1"/>
      <c r="BPR236" s="1"/>
      <c r="BPS236" s="1"/>
      <c r="BPT236" s="1"/>
      <c r="BPU236" s="1"/>
      <c r="BPV236" s="1"/>
      <c r="BPW236" s="1"/>
      <c r="BPX236" s="1"/>
      <c r="BPY236" s="1"/>
      <c r="BPZ236" s="1"/>
      <c r="BQA236" s="1"/>
      <c r="BQB236" s="1"/>
      <c r="BQC236" s="1"/>
      <c r="BQD236" s="1"/>
      <c r="BQE236" s="1"/>
      <c r="BQF236" s="1"/>
      <c r="BQG236" s="1"/>
      <c r="BQH236" s="1"/>
      <c r="BQI236" s="1"/>
      <c r="BQJ236" s="1"/>
      <c r="BQK236" s="1"/>
      <c r="BQL236" s="1"/>
      <c r="BQM236" s="1"/>
      <c r="BQN236" s="1"/>
      <c r="BQO236" s="1"/>
      <c r="BQP236" s="1"/>
      <c r="BQQ236" s="1"/>
      <c r="BQR236" s="1"/>
      <c r="BQS236" s="1"/>
      <c r="BQT236" s="1"/>
      <c r="BQU236" s="1"/>
      <c r="BQV236" s="1"/>
      <c r="BQW236" s="1"/>
      <c r="BQX236" s="1"/>
      <c r="BQY236" s="1"/>
      <c r="BQZ236" s="1"/>
      <c r="BRA236" s="1"/>
      <c r="BRB236" s="1"/>
      <c r="BRC236" s="1"/>
      <c r="BRD236" s="1"/>
      <c r="BRE236" s="1"/>
      <c r="BRF236" s="1"/>
      <c r="BRG236" s="1"/>
      <c r="BRH236" s="1"/>
      <c r="BRI236" s="1"/>
      <c r="BRJ236" s="1"/>
      <c r="BRK236" s="1"/>
      <c r="BRL236" s="1"/>
      <c r="BRM236" s="1"/>
      <c r="BRN236" s="1"/>
      <c r="BRO236" s="1"/>
      <c r="BRP236" s="1"/>
      <c r="BRQ236" s="1"/>
      <c r="BRR236" s="1"/>
      <c r="BRS236" s="1"/>
      <c r="BRT236" s="1"/>
      <c r="BRU236" s="1"/>
      <c r="BRV236" s="1"/>
      <c r="BRW236" s="1"/>
      <c r="BRX236" s="1"/>
      <c r="BRY236" s="1"/>
      <c r="BRZ236" s="1"/>
      <c r="BSA236" s="1"/>
      <c r="BSB236" s="1"/>
      <c r="BSC236" s="1"/>
      <c r="BSD236" s="1"/>
      <c r="BSE236" s="1"/>
      <c r="BSF236" s="1"/>
      <c r="BSG236" s="1"/>
      <c r="BSH236" s="1"/>
      <c r="BSI236" s="1"/>
      <c r="BSJ236" s="1"/>
      <c r="BSK236" s="1"/>
      <c r="BSL236" s="1"/>
      <c r="BSM236" s="1"/>
      <c r="BSN236" s="1"/>
      <c r="BSO236" s="1"/>
      <c r="BSP236" s="1"/>
      <c r="BSQ236" s="1"/>
      <c r="BSR236" s="1"/>
      <c r="BSS236" s="1"/>
      <c r="BST236" s="1"/>
      <c r="BSU236" s="1"/>
      <c r="BSV236" s="1"/>
      <c r="BSW236" s="1"/>
      <c r="BSX236" s="1"/>
      <c r="BSY236" s="1"/>
      <c r="BSZ236" s="1"/>
      <c r="BTA236" s="1"/>
      <c r="BTB236" s="1"/>
      <c r="BTC236" s="1"/>
      <c r="BTD236" s="1"/>
      <c r="BTE236" s="1"/>
      <c r="BTF236" s="1"/>
      <c r="BTG236" s="1"/>
      <c r="BTH236" s="1"/>
      <c r="BTI236" s="1"/>
      <c r="BTJ236" s="1"/>
      <c r="BTK236" s="1"/>
      <c r="BTL236" s="1"/>
      <c r="BTM236" s="1"/>
      <c r="BTN236" s="1"/>
      <c r="BTO236" s="1"/>
      <c r="BTP236" s="1"/>
      <c r="BTQ236" s="1"/>
      <c r="BTR236" s="1"/>
      <c r="BTS236" s="1"/>
      <c r="BTT236" s="1"/>
      <c r="BTU236" s="1"/>
      <c r="BTV236" s="1"/>
      <c r="BTW236" s="1"/>
      <c r="BTX236" s="1"/>
      <c r="BTY236" s="1"/>
      <c r="BTZ236" s="1"/>
      <c r="BUA236" s="1"/>
      <c r="BUB236" s="1"/>
      <c r="BUC236" s="1"/>
      <c r="BUD236" s="1"/>
      <c r="BUE236" s="1"/>
      <c r="BUF236" s="1"/>
      <c r="BUG236" s="1"/>
      <c r="BUH236" s="1"/>
      <c r="BUI236" s="1"/>
      <c r="BUJ236" s="1"/>
      <c r="BUK236" s="1"/>
      <c r="BUL236" s="1"/>
      <c r="BUM236" s="1"/>
      <c r="BUN236" s="1"/>
      <c r="BUO236" s="1"/>
      <c r="BUP236" s="1"/>
      <c r="BUQ236" s="1"/>
      <c r="BUR236" s="1"/>
      <c r="BUS236" s="1"/>
      <c r="BUT236" s="1"/>
      <c r="BUU236" s="1"/>
      <c r="BUV236" s="1"/>
      <c r="BUW236" s="1"/>
      <c r="BUX236" s="1"/>
      <c r="BUY236" s="1"/>
      <c r="BUZ236" s="1"/>
      <c r="BVA236" s="1"/>
      <c r="BVB236" s="1"/>
      <c r="BVC236" s="1"/>
      <c r="BVD236" s="1"/>
      <c r="BVE236" s="1"/>
      <c r="BVF236" s="1"/>
      <c r="BVG236" s="1"/>
      <c r="BVH236" s="1"/>
      <c r="BVI236" s="1"/>
      <c r="BVJ236" s="1"/>
      <c r="BVK236" s="1"/>
      <c r="BVL236" s="1"/>
      <c r="BVM236" s="1"/>
      <c r="BVN236" s="1"/>
      <c r="BVO236" s="1"/>
      <c r="BVP236" s="1"/>
      <c r="BVQ236" s="1"/>
      <c r="BVR236" s="1"/>
      <c r="BVS236" s="1"/>
      <c r="BVT236" s="1"/>
      <c r="BVU236" s="1"/>
      <c r="BVV236" s="1"/>
      <c r="BVW236" s="1"/>
      <c r="BVX236" s="1"/>
      <c r="BVY236" s="1"/>
      <c r="BVZ236" s="1"/>
      <c r="BWA236" s="1"/>
      <c r="BWB236" s="1"/>
      <c r="BWC236" s="1"/>
      <c r="BWD236" s="1"/>
      <c r="BWE236" s="1"/>
      <c r="BWF236" s="1"/>
      <c r="BWG236" s="1"/>
      <c r="BWH236" s="1"/>
      <c r="BWI236" s="1"/>
      <c r="BWJ236" s="1"/>
      <c r="BWK236" s="1"/>
      <c r="BWL236" s="1"/>
      <c r="BWM236" s="1"/>
      <c r="BWN236" s="1"/>
      <c r="BWO236" s="1"/>
      <c r="BWP236" s="1"/>
      <c r="BWQ236" s="1"/>
      <c r="BWR236" s="1"/>
      <c r="BWS236" s="1"/>
      <c r="BWT236" s="1"/>
      <c r="BWU236" s="1"/>
      <c r="BWV236" s="1"/>
      <c r="BWW236" s="1"/>
      <c r="BWX236" s="1"/>
      <c r="BWY236" s="1"/>
      <c r="BWZ236" s="1"/>
      <c r="BXA236" s="1"/>
      <c r="BXB236" s="1"/>
      <c r="BXC236" s="1"/>
      <c r="BXD236" s="1"/>
      <c r="BXE236" s="1"/>
      <c r="BXF236" s="1"/>
      <c r="BXG236" s="1"/>
      <c r="BXH236" s="1"/>
      <c r="BXI236" s="1"/>
      <c r="BXJ236" s="1"/>
      <c r="BXK236" s="1"/>
      <c r="BXL236" s="1"/>
      <c r="BXM236" s="1"/>
      <c r="BXN236" s="1"/>
      <c r="BXO236" s="1"/>
      <c r="BXP236" s="1"/>
      <c r="BXQ236" s="1"/>
      <c r="BXR236" s="1"/>
      <c r="BXS236" s="1"/>
      <c r="BXT236" s="1"/>
      <c r="BXU236" s="1"/>
      <c r="BXV236" s="1"/>
      <c r="BXW236" s="1"/>
      <c r="BXX236" s="1"/>
      <c r="BXY236" s="1"/>
      <c r="BXZ236" s="1"/>
      <c r="BYA236" s="1"/>
      <c r="BYB236" s="1"/>
      <c r="BYC236" s="1"/>
      <c r="BYD236" s="1"/>
      <c r="BYE236" s="1"/>
      <c r="BYF236" s="1"/>
      <c r="BYG236" s="1"/>
      <c r="BYH236" s="1"/>
      <c r="BYI236" s="1"/>
      <c r="BYJ236" s="1"/>
      <c r="BYK236" s="1"/>
      <c r="BYL236" s="1"/>
      <c r="BYM236" s="1"/>
      <c r="BYN236" s="1"/>
      <c r="BYO236" s="1"/>
      <c r="BYP236" s="1"/>
      <c r="BYQ236" s="1"/>
      <c r="BYR236" s="1"/>
      <c r="BYS236" s="1"/>
      <c r="BYT236" s="1"/>
      <c r="BYU236" s="1"/>
      <c r="BYV236" s="1"/>
      <c r="BYW236" s="1"/>
      <c r="BYX236" s="1"/>
      <c r="BYY236" s="1"/>
      <c r="BYZ236" s="1"/>
      <c r="BZA236" s="1"/>
      <c r="BZB236" s="1"/>
      <c r="BZC236" s="1"/>
      <c r="BZD236" s="1"/>
      <c r="BZE236" s="1"/>
      <c r="BZF236" s="1"/>
      <c r="BZG236" s="1"/>
      <c r="BZH236" s="1"/>
      <c r="BZI236" s="1"/>
      <c r="BZJ236" s="1"/>
      <c r="BZK236" s="1"/>
      <c r="BZL236" s="1"/>
      <c r="BZM236" s="1"/>
      <c r="BZN236" s="1"/>
      <c r="BZO236" s="1"/>
      <c r="BZP236" s="1"/>
      <c r="BZQ236" s="1"/>
      <c r="BZR236" s="1"/>
      <c r="BZS236" s="1"/>
      <c r="BZT236" s="1"/>
      <c r="BZU236" s="1"/>
      <c r="BZV236" s="1"/>
      <c r="BZW236" s="1"/>
      <c r="BZX236" s="1"/>
      <c r="BZY236" s="1"/>
      <c r="BZZ236" s="1"/>
      <c r="CAA236" s="1"/>
      <c r="CAB236" s="1"/>
      <c r="CAC236" s="1"/>
      <c r="CAD236" s="1"/>
      <c r="CAE236" s="1"/>
      <c r="CAF236" s="1"/>
      <c r="CAG236" s="1"/>
      <c r="CAH236" s="1"/>
      <c r="CAI236" s="1"/>
      <c r="CAJ236" s="1"/>
      <c r="CAK236" s="1"/>
      <c r="CAL236" s="1"/>
      <c r="CAM236" s="1"/>
      <c r="CAN236" s="1"/>
      <c r="CAO236" s="1"/>
      <c r="CAP236" s="1"/>
      <c r="CAQ236" s="1"/>
      <c r="CAR236" s="1"/>
      <c r="CAS236" s="1"/>
      <c r="CAT236" s="1"/>
      <c r="CAU236" s="1"/>
      <c r="CAV236" s="1"/>
      <c r="CAW236" s="1"/>
      <c r="CAX236" s="1"/>
      <c r="CAY236" s="1"/>
      <c r="CAZ236" s="1"/>
      <c r="CBA236" s="1"/>
      <c r="CBB236" s="1"/>
      <c r="CBC236" s="1"/>
      <c r="CBD236" s="1"/>
      <c r="CBE236" s="1"/>
      <c r="CBF236" s="1"/>
      <c r="CBG236" s="1"/>
      <c r="CBH236" s="1"/>
      <c r="CBI236" s="1"/>
      <c r="CBJ236" s="1"/>
      <c r="CBK236" s="1"/>
      <c r="CBL236" s="1"/>
      <c r="CBM236" s="1"/>
      <c r="CBN236" s="1"/>
      <c r="CBO236" s="1"/>
      <c r="CBP236" s="1"/>
      <c r="CBQ236" s="1"/>
      <c r="CBR236" s="1"/>
      <c r="CBS236" s="1"/>
      <c r="CBT236" s="1"/>
      <c r="CBU236" s="1"/>
      <c r="CBV236" s="1"/>
      <c r="CBW236" s="1"/>
      <c r="CBX236" s="1"/>
      <c r="CBY236" s="1"/>
      <c r="CBZ236" s="1"/>
      <c r="CCA236" s="1"/>
      <c r="CCB236" s="1"/>
      <c r="CCC236" s="1"/>
      <c r="CCD236" s="1"/>
      <c r="CCE236" s="1"/>
      <c r="CCF236" s="1"/>
      <c r="CCG236" s="1"/>
      <c r="CCH236" s="1"/>
      <c r="CCI236" s="1"/>
      <c r="CCJ236" s="1"/>
      <c r="CCK236" s="1"/>
      <c r="CCL236" s="1"/>
      <c r="CCM236" s="1"/>
      <c r="CCN236" s="1"/>
      <c r="CCO236" s="1"/>
      <c r="CCP236" s="1"/>
      <c r="CCQ236" s="1"/>
      <c r="CCR236" s="1"/>
      <c r="CCS236" s="1"/>
      <c r="CCT236" s="1"/>
      <c r="CCU236" s="1"/>
      <c r="CCV236" s="1"/>
      <c r="CCW236" s="1"/>
      <c r="CCX236" s="1"/>
      <c r="CCY236" s="1"/>
      <c r="CCZ236" s="1"/>
      <c r="CDA236" s="1"/>
      <c r="CDB236" s="1"/>
      <c r="CDC236" s="1"/>
      <c r="CDD236" s="1"/>
      <c r="CDE236" s="1"/>
      <c r="CDF236" s="1"/>
      <c r="CDG236" s="1"/>
      <c r="CDH236" s="1"/>
      <c r="CDI236" s="1"/>
      <c r="CDJ236" s="1"/>
      <c r="CDK236" s="1"/>
      <c r="CDL236" s="1"/>
      <c r="CDM236" s="1"/>
      <c r="CDN236" s="1"/>
      <c r="CDO236" s="1"/>
      <c r="CDP236" s="1"/>
      <c r="CDQ236" s="1"/>
      <c r="CDR236" s="1"/>
      <c r="CDS236" s="1"/>
      <c r="CDT236" s="1"/>
      <c r="CDU236" s="1"/>
      <c r="CDV236" s="1"/>
      <c r="CDW236" s="1"/>
      <c r="CDX236" s="1"/>
      <c r="CDY236" s="1"/>
      <c r="CDZ236" s="1"/>
      <c r="CEA236" s="1"/>
      <c r="CEB236" s="1"/>
      <c r="CEC236" s="1"/>
      <c r="CED236" s="1"/>
      <c r="CEE236" s="1"/>
      <c r="CEF236" s="1"/>
      <c r="CEG236" s="1"/>
      <c r="CEH236" s="1"/>
      <c r="CEI236" s="1"/>
      <c r="CEJ236" s="1"/>
      <c r="CEK236" s="1"/>
      <c r="CEL236" s="1"/>
      <c r="CEM236" s="1"/>
      <c r="CEN236" s="1"/>
      <c r="CEO236" s="1"/>
      <c r="CEP236" s="1"/>
      <c r="CEQ236" s="1"/>
      <c r="CER236" s="1"/>
      <c r="CES236" s="1"/>
      <c r="CET236" s="1"/>
      <c r="CEU236" s="1"/>
      <c r="CEV236" s="1"/>
      <c r="CEW236" s="1"/>
      <c r="CEX236" s="1"/>
      <c r="CEY236" s="1"/>
      <c r="CEZ236" s="1"/>
      <c r="CFA236" s="1"/>
      <c r="CFB236" s="1"/>
      <c r="CFC236" s="1"/>
      <c r="CFD236" s="1"/>
      <c r="CFE236" s="1"/>
      <c r="CFF236" s="1"/>
      <c r="CFG236" s="1"/>
      <c r="CFH236" s="1"/>
      <c r="CFI236" s="1"/>
      <c r="CFJ236" s="1"/>
      <c r="CFK236" s="1"/>
      <c r="CFL236" s="1"/>
      <c r="CFM236" s="1"/>
      <c r="CFN236" s="1"/>
      <c r="CFO236" s="1"/>
      <c r="CFP236" s="1"/>
      <c r="CFQ236" s="1"/>
      <c r="CFR236" s="1"/>
      <c r="CFS236" s="1"/>
      <c r="CFT236" s="1"/>
      <c r="CFU236" s="1"/>
      <c r="CFV236" s="1"/>
      <c r="CFW236" s="1"/>
      <c r="CFX236" s="1"/>
      <c r="CFY236" s="1"/>
      <c r="CFZ236" s="1"/>
      <c r="CGA236" s="1"/>
      <c r="CGB236" s="1"/>
      <c r="CGC236" s="1"/>
      <c r="CGD236" s="1"/>
      <c r="CGE236" s="1"/>
      <c r="CGF236" s="1"/>
      <c r="CGG236" s="1"/>
      <c r="CGH236" s="1"/>
      <c r="CGI236" s="1"/>
      <c r="CGJ236" s="1"/>
      <c r="CGK236" s="1"/>
      <c r="CGL236" s="1"/>
      <c r="CGM236" s="1"/>
      <c r="CGN236" s="1"/>
      <c r="CGO236" s="1"/>
      <c r="CGP236" s="1"/>
      <c r="CGQ236" s="1"/>
      <c r="CGR236" s="1"/>
      <c r="CGS236" s="1"/>
      <c r="CGT236" s="1"/>
      <c r="CGU236" s="1"/>
      <c r="CGV236" s="1"/>
      <c r="CGW236" s="1"/>
      <c r="CGX236" s="1"/>
      <c r="CGY236" s="1"/>
      <c r="CGZ236" s="1"/>
      <c r="CHA236" s="1"/>
      <c r="CHB236" s="1"/>
      <c r="CHC236" s="1"/>
      <c r="CHD236" s="1"/>
      <c r="CHE236" s="1"/>
      <c r="CHF236" s="1"/>
      <c r="CHG236" s="1"/>
      <c r="CHH236" s="1"/>
      <c r="CHI236" s="1"/>
      <c r="CHJ236" s="1"/>
      <c r="CHK236" s="1"/>
      <c r="CHL236" s="1"/>
      <c r="CHM236" s="1"/>
      <c r="CHN236" s="1"/>
      <c r="CHO236" s="1"/>
      <c r="CHP236" s="1"/>
      <c r="CHQ236" s="1"/>
      <c r="CHR236" s="1"/>
      <c r="CHS236" s="1"/>
      <c r="CHT236" s="1"/>
      <c r="CHU236" s="1"/>
      <c r="CHV236" s="1"/>
      <c r="CHW236" s="1"/>
      <c r="CHX236" s="1"/>
      <c r="CHY236" s="1"/>
      <c r="CHZ236" s="1"/>
      <c r="CIA236" s="1"/>
      <c r="CIB236" s="1"/>
      <c r="CIC236" s="1"/>
      <c r="CID236" s="1"/>
      <c r="CIE236" s="1"/>
      <c r="CIF236" s="1"/>
      <c r="CIG236" s="1"/>
      <c r="CIH236" s="1"/>
      <c r="CII236" s="1"/>
      <c r="CIJ236" s="1"/>
      <c r="CIK236" s="1"/>
      <c r="CIL236" s="1"/>
      <c r="CIM236" s="1"/>
      <c r="CIN236" s="1"/>
      <c r="CIO236" s="1"/>
      <c r="CIP236" s="1"/>
      <c r="CIQ236" s="1"/>
      <c r="CIR236" s="1"/>
      <c r="CIS236" s="1"/>
      <c r="CIT236" s="1"/>
      <c r="CIU236" s="1"/>
      <c r="CIV236" s="1"/>
      <c r="CIW236" s="1"/>
      <c r="CIX236" s="1"/>
      <c r="CIY236" s="1"/>
      <c r="CIZ236" s="1"/>
      <c r="CJA236" s="1"/>
      <c r="CJB236" s="1"/>
      <c r="CJC236" s="1"/>
      <c r="CJD236" s="1"/>
      <c r="CJE236" s="1"/>
      <c r="CJF236" s="1"/>
      <c r="CJG236" s="1"/>
      <c r="CJH236" s="1"/>
      <c r="CJI236" s="1"/>
      <c r="CJJ236" s="1"/>
      <c r="CJK236" s="1"/>
      <c r="CJL236" s="1"/>
      <c r="CJM236" s="1"/>
      <c r="CJN236" s="1"/>
      <c r="CJO236" s="1"/>
      <c r="CJP236" s="1"/>
      <c r="CJQ236" s="1"/>
      <c r="CJR236" s="1"/>
      <c r="CJS236" s="1"/>
      <c r="CJT236" s="1"/>
      <c r="CJU236" s="1"/>
      <c r="CJV236" s="1"/>
      <c r="CJW236" s="1"/>
      <c r="CJX236" s="1"/>
      <c r="CJY236" s="1"/>
      <c r="CJZ236" s="1"/>
      <c r="CKA236" s="1"/>
      <c r="CKB236" s="1"/>
      <c r="CKC236" s="1"/>
      <c r="CKD236" s="1"/>
      <c r="CKE236" s="1"/>
      <c r="CKF236" s="1"/>
      <c r="CKG236" s="1"/>
      <c r="CKH236" s="1"/>
      <c r="CKI236" s="1"/>
      <c r="CKJ236" s="1"/>
      <c r="CKK236" s="1"/>
      <c r="CKL236" s="1"/>
      <c r="CKM236" s="1"/>
      <c r="CKN236" s="1"/>
      <c r="CKO236" s="1"/>
      <c r="CKP236" s="1"/>
      <c r="CKQ236" s="1"/>
      <c r="CKR236" s="1"/>
      <c r="CKS236" s="1"/>
      <c r="CKT236" s="1"/>
      <c r="CKU236" s="1"/>
      <c r="CKV236" s="1"/>
      <c r="CKW236" s="1"/>
      <c r="CKX236" s="1"/>
      <c r="CKY236" s="1"/>
      <c r="CKZ236" s="1"/>
      <c r="CLA236" s="1"/>
      <c r="CLB236" s="1"/>
      <c r="CLC236" s="1"/>
      <c r="CLD236" s="1"/>
      <c r="CLE236" s="1"/>
      <c r="CLF236" s="1"/>
      <c r="CLG236" s="1"/>
      <c r="CLH236" s="1"/>
      <c r="CLI236" s="1"/>
      <c r="CLJ236" s="1"/>
      <c r="CLK236" s="1"/>
      <c r="CLL236" s="1"/>
      <c r="CLM236" s="1"/>
      <c r="CLN236" s="1"/>
      <c r="CLO236" s="1"/>
      <c r="CLP236" s="1"/>
      <c r="CLQ236" s="1"/>
      <c r="CLR236" s="1"/>
      <c r="CLS236" s="1"/>
      <c r="CLT236" s="1"/>
      <c r="CLU236" s="1"/>
      <c r="CLV236" s="1"/>
      <c r="CLW236" s="1"/>
      <c r="CLX236" s="1"/>
      <c r="CLY236" s="1"/>
      <c r="CLZ236" s="1"/>
      <c r="CMA236" s="1"/>
      <c r="CMB236" s="1"/>
      <c r="CMC236" s="1"/>
      <c r="CMD236" s="1"/>
      <c r="CME236" s="1"/>
      <c r="CMF236" s="1"/>
      <c r="CMG236" s="1"/>
      <c r="CMH236" s="1"/>
      <c r="CMI236" s="1"/>
      <c r="CMJ236" s="1"/>
      <c r="CMK236" s="1"/>
      <c r="CML236" s="1"/>
      <c r="CMM236" s="1"/>
      <c r="CMN236" s="1"/>
      <c r="CMO236" s="1"/>
      <c r="CMP236" s="1"/>
      <c r="CMQ236" s="1"/>
      <c r="CMR236" s="1"/>
      <c r="CMS236" s="1"/>
      <c r="CMT236" s="1"/>
      <c r="CMU236" s="1"/>
      <c r="CMV236" s="1"/>
      <c r="CMW236" s="1"/>
      <c r="CMX236" s="1"/>
      <c r="CMY236" s="1"/>
      <c r="CMZ236" s="1"/>
      <c r="CNA236" s="1"/>
      <c r="CNB236" s="1"/>
      <c r="CNC236" s="1"/>
      <c r="CND236" s="1"/>
      <c r="CNE236" s="1"/>
      <c r="CNF236" s="1"/>
      <c r="CNG236" s="1"/>
      <c r="CNH236" s="1"/>
      <c r="CNI236" s="1"/>
      <c r="CNJ236" s="1"/>
      <c r="CNK236" s="1"/>
      <c r="CNL236" s="1"/>
      <c r="CNM236" s="1"/>
      <c r="CNN236" s="1"/>
      <c r="CNO236" s="1"/>
      <c r="CNP236" s="1"/>
      <c r="CNQ236" s="1"/>
      <c r="CNR236" s="1"/>
      <c r="CNS236" s="1"/>
      <c r="CNT236" s="1"/>
      <c r="CNU236" s="1"/>
      <c r="CNV236" s="1"/>
      <c r="CNW236" s="1"/>
      <c r="CNX236" s="1"/>
      <c r="CNY236" s="1"/>
      <c r="CNZ236" s="1"/>
      <c r="COA236" s="1"/>
      <c r="COB236" s="1"/>
      <c r="COC236" s="1"/>
      <c r="COD236" s="1"/>
      <c r="COE236" s="1"/>
      <c r="COF236" s="1"/>
      <c r="COG236" s="1"/>
      <c r="COH236" s="1"/>
      <c r="COI236" s="1"/>
      <c r="COJ236" s="1"/>
      <c r="COK236" s="1"/>
      <c r="COL236" s="1"/>
      <c r="COM236" s="1"/>
      <c r="CON236" s="1"/>
      <c r="COO236" s="1"/>
      <c r="COP236" s="1"/>
      <c r="COQ236" s="1"/>
      <c r="COR236" s="1"/>
      <c r="COS236" s="1"/>
      <c r="COT236" s="1"/>
      <c r="COU236" s="1"/>
      <c r="COV236" s="1"/>
      <c r="COW236" s="1"/>
      <c r="COX236" s="1"/>
      <c r="COY236" s="1"/>
      <c r="COZ236" s="1"/>
      <c r="CPA236" s="1"/>
      <c r="CPB236" s="1"/>
      <c r="CPC236" s="1"/>
      <c r="CPD236" s="1"/>
      <c r="CPE236" s="1"/>
      <c r="CPF236" s="1"/>
      <c r="CPG236" s="1"/>
      <c r="CPH236" s="1"/>
      <c r="CPI236" s="1"/>
      <c r="CPJ236" s="1"/>
      <c r="CPK236" s="1"/>
      <c r="CPL236" s="1"/>
      <c r="CPM236" s="1"/>
      <c r="CPN236" s="1"/>
      <c r="CPO236" s="1"/>
      <c r="CPP236" s="1"/>
      <c r="CPQ236" s="1"/>
      <c r="CPR236" s="1"/>
      <c r="CPS236" s="1"/>
      <c r="CPT236" s="1"/>
      <c r="CPU236" s="1"/>
      <c r="CPV236" s="1"/>
      <c r="CPW236" s="1"/>
      <c r="CPX236" s="1"/>
      <c r="CPY236" s="1"/>
      <c r="CPZ236" s="1"/>
      <c r="CQA236" s="1"/>
      <c r="CQB236" s="1"/>
      <c r="CQC236" s="1"/>
      <c r="CQD236" s="1"/>
      <c r="CQE236" s="1"/>
      <c r="CQF236" s="1"/>
      <c r="CQG236" s="1"/>
      <c r="CQH236" s="1"/>
      <c r="CQI236" s="1"/>
      <c r="CQJ236" s="1"/>
      <c r="CQK236" s="1"/>
      <c r="CQL236" s="1"/>
      <c r="CQM236" s="1"/>
      <c r="CQN236" s="1"/>
      <c r="CQO236" s="1"/>
      <c r="CQP236" s="1"/>
      <c r="CQQ236" s="1"/>
      <c r="CQR236" s="1"/>
      <c r="CQS236" s="1"/>
      <c r="CQT236" s="1"/>
      <c r="CQU236" s="1"/>
      <c r="CQV236" s="1"/>
      <c r="CQW236" s="1"/>
      <c r="CQX236" s="1"/>
      <c r="CQY236" s="1"/>
      <c r="CQZ236" s="1"/>
      <c r="CRA236" s="1"/>
      <c r="CRB236" s="1"/>
      <c r="CRC236" s="1"/>
      <c r="CRD236" s="1"/>
      <c r="CRE236" s="1"/>
      <c r="CRF236" s="1"/>
      <c r="CRG236" s="1"/>
      <c r="CRH236" s="1"/>
      <c r="CRI236" s="1"/>
      <c r="CRJ236" s="1"/>
      <c r="CRK236" s="1"/>
      <c r="CRL236" s="1"/>
      <c r="CRM236" s="1"/>
      <c r="CRN236" s="1"/>
      <c r="CRO236" s="1"/>
      <c r="CRP236" s="1"/>
      <c r="CRQ236" s="1"/>
      <c r="CRR236" s="1"/>
      <c r="CRS236" s="1"/>
      <c r="CRT236" s="1"/>
      <c r="CRU236" s="1"/>
      <c r="CRV236" s="1"/>
      <c r="CRW236" s="1"/>
      <c r="CRX236" s="1"/>
      <c r="CRY236" s="1"/>
      <c r="CRZ236" s="1"/>
      <c r="CSA236" s="1"/>
      <c r="CSB236" s="1"/>
      <c r="CSC236" s="1"/>
      <c r="CSD236" s="1"/>
      <c r="CSE236" s="1"/>
      <c r="CSF236" s="1"/>
      <c r="CSG236" s="1"/>
      <c r="CSH236" s="1"/>
      <c r="CSI236" s="1"/>
      <c r="CSJ236" s="1"/>
      <c r="CSK236" s="1"/>
      <c r="CSL236" s="1"/>
      <c r="CSM236" s="1"/>
      <c r="CSN236" s="1"/>
      <c r="CSO236" s="1"/>
      <c r="CSP236" s="1"/>
      <c r="CSQ236" s="1"/>
      <c r="CSR236" s="1"/>
      <c r="CSS236" s="1"/>
      <c r="CST236" s="1"/>
      <c r="CSU236" s="1"/>
      <c r="CSV236" s="1"/>
      <c r="CSW236" s="1"/>
      <c r="CSX236" s="1"/>
      <c r="CSY236" s="1"/>
      <c r="CSZ236" s="1"/>
      <c r="CTA236" s="1"/>
      <c r="CTB236" s="1"/>
      <c r="CTC236" s="1"/>
      <c r="CTD236" s="1"/>
      <c r="CTE236" s="1"/>
      <c r="CTF236" s="1"/>
      <c r="CTG236" s="1"/>
      <c r="CTH236" s="1"/>
      <c r="CTI236" s="1"/>
      <c r="CTJ236" s="1"/>
      <c r="CTK236" s="1"/>
      <c r="CTL236" s="1"/>
      <c r="CTM236" s="1"/>
      <c r="CTN236" s="1"/>
      <c r="CTO236" s="1"/>
      <c r="CTP236" s="1"/>
      <c r="CTQ236" s="1"/>
      <c r="CTR236" s="1"/>
      <c r="CTS236" s="1"/>
      <c r="CTT236" s="1"/>
      <c r="CTU236" s="1"/>
      <c r="CTV236" s="1"/>
      <c r="CTW236" s="1"/>
      <c r="CTX236" s="1"/>
      <c r="CTY236" s="1"/>
      <c r="CTZ236" s="1"/>
      <c r="CUA236" s="1"/>
      <c r="CUB236" s="1"/>
      <c r="CUC236" s="1"/>
      <c r="CUD236" s="1"/>
      <c r="CUE236" s="1"/>
      <c r="CUF236" s="1"/>
      <c r="CUG236" s="1"/>
      <c r="CUH236" s="1"/>
      <c r="CUI236" s="1"/>
      <c r="CUJ236" s="1"/>
      <c r="CUK236" s="1"/>
      <c r="CUL236" s="1"/>
      <c r="CUM236" s="1"/>
      <c r="CUN236" s="1"/>
      <c r="CUO236" s="1"/>
      <c r="CUP236" s="1"/>
      <c r="CUQ236" s="1"/>
      <c r="CUR236" s="1"/>
      <c r="CUS236" s="1"/>
      <c r="CUT236" s="1"/>
      <c r="CUU236" s="1"/>
      <c r="CUV236" s="1"/>
      <c r="CUW236" s="1"/>
      <c r="CUX236" s="1"/>
      <c r="CUY236" s="1"/>
      <c r="CUZ236" s="1"/>
      <c r="CVA236" s="1"/>
      <c r="CVB236" s="1"/>
      <c r="CVC236" s="1"/>
      <c r="CVD236" s="1"/>
      <c r="CVE236" s="1"/>
      <c r="CVF236" s="1"/>
      <c r="CVG236" s="1"/>
      <c r="CVH236" s="1"/>
      <c r="CVI236" s="1"/>
      <c r="CVJ236" s="1"/>
      <c r="CVK236" s="1"/>
      <c r="CVL236" s="1"/>
      <c r="CVM236" s="1"/>
      <c r="CVN236" s="1"/>
      <c r="CVO236" s="1"/>
      <c r="CVP236" s="1"/>
      <c r="CVQ236" s="1"/>
      <c r="CVR236" s="1"/>
      <c r="CVS236" s="1"/>
      <c r="CVT236" s="1"/>
      <c r="CVU236" s="1"/>
      <c r="CVV236" s="1"/>
      <c r="CVW236" s="1"/>
      <c r="CVX236" s="1"/>
      <c r="CVY236" s="1"/>
      <c r="CVZ236" s="1"/>
      <c r="CWA236" s="1"/>
      <c r="CWB236" s="1"/>
      <c r="CWC236" s="1"/>
      <c r="CWD236" s="1"/>
      <c r="CWE236" s="1"/>
      <c r="CWF236" s="1"/>
      <c r="CWG236" s="1"/>
      <c r="CWH236" s="1"/>
      <c r="CWI236" s="1"/>
      <c r="CWJ236" s="1"/>
      <c r="CWK236" s="1"/>
      <c r="CWL236" s="1"/>
      <c r="CWM236" s="1"/>
      <c r="CWN236" s="1"/>
      <c r="CWO236" s="1"/>
      <c r="CWP236" s="1"/>
      <c r="CWQ236" s="1"/>
      <c r="CWR236" s="1"/>
      <c r="CWS236" s="1"/>
      <c r="CWT236" s="1"/>
      <c r="CWU236" s="1"/>
      <c r="CWV236" s="1"/>
      <c r="CWW236" s="1"/>
      <c r="CWX236" s="1"/>
      <c r="CWY236" s="1"/>
      <c r="CWZ236" s="1"/>
      <c r="CXA236" s="1"/>
      <c r="CXB236" s="1"/>
      <c r="CXC236" s="1"/>
      <c r="CXD236" s="1"/>
      <c r="CXE236" s="1"/>
      <c r="CXF236" s="1"/>
      <c r="CXG236" s="1"/>
      <c r="CXH236" s="1"/>
      <c r="CXI236" s="1"/>
      <c r="CXJ236" s="1"/>
      <c r="CXK236" s="1"/>
      <c r="CXL236" s="1"/>
      <c r="CXM236" s="1"/>
      <c r="CXN236" s="1"/>
      <c r="CXO236" s="1"/>
      <c r="CXP236" s="1"/>
      <c r="CXQ236" s="1"/>
      <c r="CXR236" s="1"/>
      <c r="CXS236" s="1"/>
      <c r="CXT236" s="1"/>
      <c r="CXU236" s="1"/>
      <c r="CXV236" s="1"/>
      <c r="CXW236" s="1"/>
      <c r="CXX236" s="1"/>
      <c r="CXY236" s="1"/>
      <c r="CXZ236" s="1"/>
      <c r="CYA236" s="1"/>
      <c r="CYB236" s="1"/>
      <c r="CYC236" s="1"/>
      <c r="CYD236" s="1"/>
      <c r="CYE236" s="1"/>
      <c r="CYF236" s="1"/>
      <c r="CYG236" s="1"/>
      <c r="CYH236" s="1"/>
      <c r="CYI236" s="1"/>
      <c r="CYJ236" s="1"/>
      <c r="CYK236" s="1"/>
      <c r="CYL236" s="1"/>
      <c r="CYM236" s="1"/>
      <c r="CYN236" s="1"/>
      <c r="CYO236" s="1"/>
      <c r="CYP236" s="1"/>
      <c r="CYQ236" s="1"/>
      <c r="CYR236" s="1"/>
      <c r="CYS236" s="1"/>
      <c r="CYT236" s="1"/>
      <c r="CYU236" s="1"/>
      <c r="CYV236" s="1"/>
      <c r="CYW236" s="1"/>
      <c r="CYX236" s="1"/>
      <c r="CYY236" s="1"/>
      <c r="CYZ236" s="1"/>
      <c r="CZA236" s="1"/>
      <c r="CZB236" s="1"/>
      <c r="CZC236" s="1"/>
      <c r="CZD236" s="1"/>
      <c r="CZE236" s="1"/>
      <c r="CZF236" s="1"/>
      <c r="CZG236" s="1"/>
      <c r="CZH236" s="1"/>
      <c r="CZI236" s="1"/>
      <c r="CZJ236" s="1"/>
      <c r="CZK236" s="1"/>
      <c r="CZL236" s="1"/>
      <c r="CZM236" s="1"/>
      <c r="CZN236" s="1"/>
      <c r="CZO236" s="1"/>
      <c r="CZP236" s="1"/>
      <c r="CZQ236" s="1"/>
      <c r="CZR236" s="1"/>
      <c r="CZS236" s="1"/>
      <c r="CZT236" s="1"/>
      <c r="CZU236" s="1"/>
      <c r="CZV236" s="1"/>
      <c r="CZW236" s="1"/>
      <c r="CZX236" s="1"/>
      <c r="CZY236" s="1"/>
      <c r="CZZ236" s="1"/>
      <c r="DAA236" s="1"/>
      <c r="DAB236" s="1"/>
      <c r="DAC236" s="1"/>
      <c r="DAD236" s="1"/>
      <c r="DAE236" s="1"/>
      <c r="DAF236" s="1"/>
      <c r="DAG236" s="1"/>
      <c r="DAH236" s="1"/>
      <c r="DAI236" s="1"/>
      <c r="DAJ236" s="1"/>
      <c r="DAK236" s="1"/>
      <c r="DAL236" s="1"/>
      <c r="DAM236" s="1"/>
      <c r="DAN236" s="1"/>
      <c r="DAO236" s="1"/>
      <c r="DAP236" s="1"/>
      <c r="DAQ236" s="1"/>
      <c r="DAR236" s="1"/>
      <c r="DAS236" s="1"/>
      <c r="DAT236" s="1"/>
      <c r="DAU236" s="1"/>
      <c r="DAV236" s="1"/>
      <c r="DAW236" s="1"/>
      <c r="DAX236" s="1"/>
      <c r="DAY236" s="1"/>
      <c r="DAZ236" s="1"/>
      <c r="DBA236" s="1"/>
      <c r="DBB236" s="1"/>
      <c r="DBC236" s="1"/>
      <c r="DBD236" s="1"/>
      <c r="DBE236" s="1"/>
      <c r="DBF236" s="1"/>
      <c r="DBG236" s="1"/>
      <c r="DBH236" s="1"/>
      <c r="DBI236" s="1"/>
      <c r="DBJ236" s="1"/>
      <c r="DBK236" s="1"/>
      <c r="DBL236" s="1"/>
      <c r="DBM236" s="1"/>
      <c r="DBN236" s="1"/>
      <c r="DBO236" s="1"/>
      <c r="DBP236" s="1"/>
      <c r="DBQ236" s="1"/>
      <c r="DBR236" s="1"/>
      <c r="DBS236" s="1"/>
      <c r="DBT236" s="1"/>
      <c r="DBU236" s="1"/>
      <c r="DBV236" s="1"/>
      <c r="DBW236" s="1"/>
      <c r="DBX236" s="1"/>
      <c r="DBY236" s="1"/>
      <c r="DBZ236" s="1"/>
      <c r="DCA236" s="1"/>
      <c r="DCB236" s="1"/>
      <c r="DCC236" s="1"/>
      <c r="DCD236" s="1"/>
      <c r="DCE236" s="1"/>
      <c r="DCF236" s="1"/>
      <c r="DCG236" s="1"/>
      <c r="DCH236" s="1"/>
      <c r="DCI236" s="1"/>
      <c r="DCJ236" s="1"/>
      <c r="DCK236" s="1"/>
      <c r="DCL236" s="1"/>
      <c r="DCM236" s="1"/>
      <c r="DCN236" s="1"/>
      <c r="DCO236" s="1"/>
      <c r="DCP236" s="1"/>
      <c r="DCQ236" s="1"/>
      <c r="DCR236" s="1"/>
      <c r="DCS236" s="1"/>
      <c r="DCT236" s="1"/>
      <c r="DCU236" s="1"/>
      <c r="DCV236" s="1"/>
      <c r="DCW236" s="1"/>
      <c r="DCX236" s="1"/>
      <c r="DCY236" s="1"/>
      <c r="DCZ236" s="1"/>
      <c r="DDA236" s="1"/>
      <c r="DDB236" s="1"/>
      <c r="DDC236" s="1"/>
      <c r="DDD236" s="1"/>
      <c r="DDE236" s="1"/>
      <c r="DDF236" s="1"/>
      <c r="DDG236" s="1"/>
      <c r="DDH236" s="1"/>
      <c r="DDI236" s="1"/>
      <c r="DDJ236" s="1"/>
      <c r="DDK236" s="1"/>
      <c r="DDL236" s="1"/>
      <c r="DDM236" s="1"/>
      <c r="DDN236" s="1"/>
      <c r="DDO236" s="1"/>
      <c r="DDP236" s="1"/>
      <c r="DDQ236" s="1"/>
      <c r="DDR236" s="1"/>
      <c r="DDS236" s="1"/>
      <c r="DDT236" s="1"/>
      <c r="DDU236" s="1"/>
      <c r="DDV236" s="1"/>
      <c r="DDW236" s="1"/>
      <c r="DDX236" s="1"/>
      <c r="DDY236" s="1"/>
      <c r="DDZ236" s="1"/>
      <c r="DEA236" s="1"/>
      <c r="DEB236" s="1"/>
      <c r="DEC236" s="1"/>
      <c r="DED236" s="1"/>
      <c r="DEE236" s="1"/>
      <c r="DEF236" s="1"/>
      <c r="DEG236" s="1"/>
      <c r="DEH236" s="1"/>
      <c r="DEI236" s="1"/>
      <c r="DEJ236" s="1"/>
      <c r="DEK236" s="1"/>
      <c r="DEL236" s="1"/>
      <c r="DEM236" s="1"/>
      <c r="DEN236" s="1"/>
      <c r="DEO236" s="1"/>
      <c r="DEP236" s="1"/>
      <c r="DEQ236" s="1"/>
      <c r="DER236" s="1"/>
      <c r="DES236" s="1"/>
      <c r="DET236" s="1"/>
      <c r="DEU236" s="1"/>
      <c r="DEV236" s="1"/>
      <c r="DEW236" s="1"/>
      <c r="DEX236" s="1"/>
      <c r="DEY236" s="1"/>
      <c r="DEZ236" s="1"/>
      <c r="DFA236" s="1"/>
      <c r="DFB236" s="1"/>
      <c r="DFC236" s="1"/>
      <c r="DFD236" s="1"/>
      <c r="DFE236" s="1"/>
      <c r="DFF236" s="1"/>
      <c r="DFG236" s="1"/>
      <c r="DFH236" s="1"/>
      <c r="DFI236" s="1"/>
      <c r="DFJ236" s="1"/>
      <c r="DFK236" s="1"/>
      <c r="DFL236" s="1"/>
      <c r="DFM236" s="1"/>
      <c r="DFN236" s="1"/>
      <c r="DFO236" s="1"/>
      <c r="DFP236" s="1"/>
      <c r="DFQ236" s="1"/>
      <c r="DFR236" s="1"/>
      <c r="DFS236" s="1"/>
      <c r="DFT236" s="1"/>
      <c r="DFU236" s="1"/>
      <c r="DFV236" s="1"/>
      <c r="DFW236" s="1"/>
      <c r="DFX236" s="1"/>
      <c r="DFY236" s="1"/>
      <c r="DFZ236" s="1"/>
      <c r="DGA236" s="1"/>
      <c r="DGB236" s="1"/>
      <c r="DGC236" s="1"/>
      <c r="DGD236" s="1"/>
      <c r="DGE236" s="1"/>
      <c r="DGF236" s="1"/>
      <c r="DGG236" s="1"/>
      <c r="DGH236" s="1"/>
      <c r="DGI236" s="1"/>
      <c r="DGJ236" s="1"/>
      <c r="DGK236" s="1"/>
      <c r="DGL236" s="1"/>
      <c r="DGM236" s="1"/>
      <c r="DGN236" s="1"/>
      <c r="DGO236" s="1"/>
      <c r="DGP236" s="1"/>
      <c r="DGQ236" s="1"/>
      <c r="DGR236" s="1"/>
      <c r="DGS236" s="1"/>
      <c r="DGT236" s="1"/>
      <c r="DGU236" s="1"/>
      <c r="DGV236" s="1"/>
      <c r="DGW236" s="1"/>
      <c r="DGX236" s="1"/>
      <c r="DGY236" s="1"/>
      <c r="DGZ236" s="1"/>
      <c r="DHA236" s="1"/>
      <c r="DHB236" s="1"/>
      <c r="DHC236" s="1"/>
      <c r="DHD236" s="1"/>
      <c r="DHE236" s="1"/>
      <c r="DHF236" s="1"/>
      <c r="DHG236" s="1"/>
      <c r="DHH236" s="1"/>
      <c r="DHI236" s="1"/>
      <c r="DHJ236" s="1"/>
      <c r="DHK236" s="1"/>
      <c r="DHL236" s="1"/>
      <c r="DHM236" s="1"/>
      <c r="DHN236" s="1"/>
      <c r="DHO236" s="1"/>
      <c r="DHP236" s="1"/>
      <c r="DHQ236" s="1"/>
      <c r="DHR236" s="1"/>
      <c r="DHS236" s="1"/>
      <c r="DHT236" s="1"/>
      <c r="DHU236" s="1"/>
      <c r="DHV236" s="1"/>
      <c r="DHW236" s="1"/>
      <c r="DHX236" s="1"/>
      <c r="DHY236" s="1"/>
      <c r="DHZ236" s="1"/>
      <c r="DIA236" s="1"/>
      <c r="DIB236" s="1"/>
      <c r="DIC236" s="1"/>
      <c r="DID236" s="1"/>
      <c r="DIE236" s="1"/>
      <c r="DIF236" s="1"/>
      <c r="DIG236" s="1"/>
      <c r="DIH236" s="1"/>
      <c r="DII236" s="1"/>
      <c r="DIJ236" s="1"/>
      <c r="DIK236" s="1"/>
      <c r="DIL236" s="1"/>
      <c r="DIM236" s="1"/>
      <c r="DIN236" s="1"/>
      <c r="DIO236" s="1"/>
      <c r="DIP236" s="1"/>
      <c r="DIQ236" s="1"/>
      <c r="DIR236" s="1"/>
      <c r="DIS236" s="1"/>
      <c r="DIT236" s="1"/>
      <c r="DIU236" s="1"/>
      <c r="DIV236" s="1"/>
      <c r="DIW236" s="1"/>
      <c r="DIX236" s="1"/>
      <c r="DIY236" s="1"/>
      <c r="DIZ236" s="1"/>
      <c r="DJA236" s="1"/>
      <c r="DJB236" s="1"/>
      <c r="DJC236" s="1"/>
      <c r="DJD236" s="1"/>
      <c r="DJE236" s="1"/>
      <c r="DJF236" s="1"/>
      <c r="DJG236" s="1"/>
      <c r="DJH236" s="1"/>
      <c r="DJI236" s="1"/>
      <c r="DJJ236" s="1"/>
      <c r="DJK236" s="1"/>
      <c r="DJL236" s="1"/>
      <c r="DJM236" s="1"/>
      <c r="DJN236" s="1"/>
      <c r="DJO236" s="1"/>
      <c r="DJP236" s="1"/>
      <c r="DJQ236" s="1"/>
      <c r="DJR236" s="1"/>
      <c r="DJS236" s="1"/>
      <c r="DJT236" s="1"/>
      <c r="DJU236" s="1"/>
      <c r="DJV236" s="1"/>
      <c r="DJW236" s="1"/>
      <c r="DJX236" s="1"/>
      <c r="DJY236" s="1"/>
      <c r="DJZ236" s="1"/>
      <c r="DKA236" s="1"/>
      <c r="DKB236" s="1"/>
      <c r="DKC236" s="1"/>
      <c r="DKD236" s="1"/>
      <c r="DKE236" s="1"/>
      <c r="DKF236" s="1"/>
      <c r="DKG236" s="1"/>
      <c r="DKH236" s="1"/>
      <c r="DKI236" s="1"/>
      <c r="DKJ236" s="1"/>
      <c r="DKK236" s="1"/>
      <c r="DKL236" s="1"/>
      <c r="DKM236" s="1"/>
      <c r="DKN236" s="1"/>
      <c r="DKO236" s="1"/>
      <c r="DKP236" s="1"/>
      <c r="DKQ236" s="1"/>
      <c r="DKR236" s="1"/>
      <c r="DKS236" s="1"/>
      <c r="DKT236" s="1"/>
      <c r="DKU236" s="1"/>
      <c r="DKV236" s="1"/>
      <c r="DKW236" s="1"/>
      <c r="DKX236" s="1"/>
      <c r="DKY236" s="1"/>
      <c r="DKZ236" s="1"/>
      <c r="DLA236" s="1"/>
      <c r="DLB236" s="1"/>
      <c r="DLC236" s="1"/>
      <c r="DLD236" s="1"/>
      <c r="DLE236" s="1"/>
      <c r="DLF236" s="1"/>
      <c r="DLG236" s="1"/>
      <c r="DLH236" s="1"/>
      <c r="DLI236" s="1"/>
      <c r="DLJ236" s="1"/>
      <c r="DLK236" s="1"/>
      <c r="DLL236" s="1"/>
      <c r="DLM236" s="1"/>
      <c r="DLN236" s="1"/>
      <c r="DLO236" s="1"/>
      <c r="DLP236" s="1"/>
      <c r="DLQ236" s="1"/>
      <c r="DLR236" s="1"/>
      <c r="DLS236" s="1"/>
      <c r="DLT236" s="1"/>
      <c r="DLU236" s="1"/>
      <c r="DLV236" s="1"/>
      <c r="DLW236" s="1"/>
      <c r="DLX236" s="1"/>
      <c r="DLY236" s="1"/>
      <c r="DLZ236" s="1"/>
      <c r="DMA236" s="1"/>
      <c r="DMB236" s="1"/>
      <c r="DMC236" s="1"/>
      <c r="DMD236" s="1"/>
      <c r="DME236" s="1"/>
      <c r="DMF236" s="1"/>
      <c r="DMG236" s="1"/>
      <c r="DMH236" s="1"/>
      <c r="DMI236" s="1"/>
      <c r="DMJ236" s="1"/>
      <c r="DMK236" s="1"/>
      <c r="DML236" s="1"/>
      <c r="DMM236" s="1"/>
      <c r="DMN236" s="1"/>
      <c r="DMO236" s="1"/>
      <c r="DMP236" s="1"/>
      <c r="DMQ236" s="1"/>
      <c r="DMR236" s="1"/>
      <c r="DMS236" s="1"/>
      <c r="DMT236" s="1"/>
      <c r="DMU236" s="1"/>
      <c r="DMV236" s="1"/>
      <c r="DMW236" s="1"/>
      <c r="DMX236" s="1"/>
      <c r="DMY236" s="1"/>
      <c r="DMZ236" s="1"/>
      <c r="DNA236" s="1"/>
      <c r="DNB236" s="1"/>
      <c r="DNC236" s="1"/>
      <c r="DND236" s="1"/>
      <c r="DNE236" s="1"/>
      <c r="DNF236" s="1"/>
      <c r="DNG236" s="1"/>
      <c r="DNH236" s="1"/>
      <c r="DNI236" s="1"/>
      <c r="DNJ236" s="1"/>
      <c r="DNK236" s="1"/>
      <c r="DNL236" s="1"/>
      <c r="DNM236" s="1"/>
      <c r="DNN236" s="1"/>
      <c r="DNO236" s="1"/>
      <c r="DNP236" s="1"/>
      <c r="DNQ236" s="1"/>
      <c r="DNR236" s="1"/>
      <c r="DNS236" s="1"/>
      <c r="DNT236" s="1"/>
      <c r="DNU236" s="1"/>
      <c r="DNV236" s="1"/>
      <c r="DNW236" s="1"/>
      <c r="DNX236" s="1"/>
      <c r="DNY236" s="1"/>
      <c r="DNZ236" s="1"/>
      <c r="DOA236" s="1"/>
      <c r="DOB236" s="1"/>
      <c r="DOC236" s="1"/>
      <c r="DOD236" s="1"/>
      <c r="DOE236" s="1"/>
      <c r="DOF236" s="1"/>
      <c r="DOG236" s="1"/>
      <c r="DOH236" s="1"/>
      <c r="DOI236" s="1"/>
      <c r="DOJ236" s="1"/>
      <c r="DOK236" s="1"/>
      <c r="DOL236" s="1"/>
      <c r="DOM236" s="1"/>
      <c r="DON236" s="1"/>
      <c r="DOO236" s="1"/>
      <c r="DOP236" s="1"/>
      <c r="DOQ236" s="1"/>
      <c r="DOR236" s="1"/>
      <c r="DOS236" s="1"/>
      <c r="DOT236" s="1"/>
      <c r="DOU236" s="1"/>
      <c r="DOV236" s="1"/>
      <c r="DOW236" s="1"/>
      <c r="DOX236" s="1"/>
      <c r="DOY236" s="1"/>
      <c r="DOZ236" s="1"/>
      <c r="DPA236" s="1"/>
      <c r="DPB236" s="1"/>
      <c r="DPC236" s="1"/>
      <c r="DPD236" s="1"/>
      <c r="DPE236" s="1"/>
      <c r="DPF236" s="1"/>
      <c r="DPG236" s="1"/>
      <c r="DPH236" s="1"/>
      <c r="DPI236" s="1"/>
      <c r="DPJ236" s="1"/>
      <c r="DPK236" s="1"/>
      <c r="DPL236" s="1"/>
      <c r="DPM236" s="1"/>
      <c r="DPN236" s="1"/>
      <c r="DPO236" s="1"/>
      <c r="DPP236" s="1"/>
      <c r="DPQ236" s="1"/>
      <c r="DPR236" s="1"/>
      <c r="DPS236" s="1"/>
      <c r="DPT236" s="1"/>
      <c r="DPU236" s="1"/>
      <c r="DPV236" s="1"/>
      <c r="DPW236" s="1"/>
      <c r="DPX236" s="1"/>
      <c r="DPY236" s="1"/>
      <c r="DPZ236" s="1"/>
      <c r="DQA236" s="1"/>
      <c r="DQB236" s="1"/>
      <c r="DQC236" s="1"/>
      <c r="DQD236" s="1"/>
      <c r="DQE236" s="1"/>
      <c r="DQF236" s="1"/>
      <c r="DQG236" s="1"/>
      <c r="DQH236" s="1"/>
      <c r="DQI236" s="1"/>
      <c r="DQJ236" s="1"/>
      <c r="DQK236" s="1"/>
      <c r="DQL236" s="1"/>
      <c r="DQM236" s="1"/>
      <c r="DQN236" s="1"/>
      <c r="DQO236" s="1"/>
      <c r="DQP236" s="1"/>
      <c r="DQQ236" s="1"/>
      <c r="DQR236" s="1"/>
      <c r="DQS236" s="1"/>
      <c r="DQT236" s="1"/>
      <c r="DQU236" s="1"/>
      <c r="DQV236" s="1"/>
      <c r="DQW236" s="1"/>
      <c r="DQX236" s="1"/>
      <c r="DQY236" s="1"/>
      <c r="DQZ236" s="1"/>
      <c r="DRA236" s="1"/>
      <c r="DRB236" s="1"/>
      <c r="DRC236" s="1"/>
      <c r="DRD236" s="1"/>
      <c r="DRE236" s="1"/>
      <c r="DRF236" s="1"/>
      <c r="DRG236" s="1"/>
      <c r="DRH236" s="1"/>
      <c r="DRI236" s="1"/>
      <c r="DRJ236" s="1"/>
      <c r="DRK236" s="1"/>
      <c r="DRL236" s="1"/>
      <c r="DRM236" s="1"/>
      <c r="DRN236" s="1"/>
      <c r="DRO236" s="1"/>
      <c r="DRP236" s="1"/>
      <c r="DRQ236" s="1"/>
      <c r="DRR236" s="1"/>
      <c r="DRS236" s="1"/>
      <c r="DRT236" s="1"/>
      <c r="DRU236" s="1"/>
      <c r="DRV236" s="1"/>
      <c r="DRW236" s="1"/>
      <c r="DRX236" s="1"/>
      <c r="DRY236" s="1"/>
      <c r="DRZ236" s="1"/>
      <c r="DSA236" s="1"/>
      <c r="DSB236" s="1"/>
      <c r="DSC236" s="1"/>
      <c r="DSD236" s="1"/>
      <c r="DSE236" s="1"/>
      <c r="DSF236" s="1"/>
      <c r="DSG236" s="1"/>
      <c r="DSH236" s="1"/>
      <c r="DSI236" s="1"/>
      <c r="DSJ236" s="1"/>
      <c r="DSK236" s="1"/>
      <c r="DSL236" s="1"/>
      <c r="DSM236" s="1"/>
      <c r="DSN236" s="1"/>
      <c r="DSO236" s="1"/>
      <c r="DSP236" s="1"/>
      <c r="DSQ236" s="1"/>
      <c r="DSR236" s="1"/>
      <c r="DSS236" s="1"/>
      <c r="DST236" s="1"/>
      <c r="DSU236" s="1"/>
      <c r="DSV236" s="1"/>
      <c r="DSW236" s="1"/>
      <c r="DSX236" s="1"/>
      <c r="DSY236" s="1"/>
      <c r="DSZ236" s="1"/>
      <c r="DTA236" s="1"/>
      <c r="DTB236" s="1"/>
      <c r="DTC236" s="1"/>
      <c r="DTD236" s="1"/>
      <c r="DTE236" s="1"/>
      <c r="DTF236" s="1"/>
      <c r="DTG236" s="1"/>
      <c r="DTH236" s="1"/>
      <c r="DTI236" s="1"/>
      <c r="DTJ236" s="1"/>
      <c r="DTK236" s="1"/>
      <c r="DTL236" s="1"/>
      <c r="DTM236" s="1"/>
      <c r="DTN236" s="1"/>
      <c r="DTO236" s="1"/>
      <c r="DTP236" s="1"/>
      <c r="DTQ236" s="1"/>
      <c r="DTR236" s="1"/>
      <c r="DTS236" s="1"/>
      <c r="DTT236" s="1"/>
      <c r="DTU236" s="1"/>
      <c r="DTV236" s="1"/>
      <c r="DTW236" s="1"/>
      <c r="DTX236" s="1"/>
      <c r="DTY236" s="1"/>
      <c r="DTZ236" s="1"/>
      <c r="DUA236" s="1"/>
      <c r="DUB236" s="1"/>
      <c r="DUC236" s="1"/>
      <c r="DUD236" s="1"/>
      <c r="DUE236" s="1"/>
      <c r="DUF236" s="1"/>
      <c r="DUG236" s="1"/>
      <c r="DUH236" s="1"/>
      <c r="DUI236" s="1"/>
      <c r="DUJ236" s="1"/>
      <c r="DUK236" s="1"/>
      <c r="DUL236" s="1"/>
      <c r="DUM236" s="1"/>
      <c r="DUN236" s="1"/>
      <c r="DUO236" s="1"/>
      <c r="DUP236" s="1"/>
      <c r="DUQ236" s="1"/>
      <c r="DUR236" s="1"/>
      <c r="DUS236" s="1"/>
      <c r="DUT236" s="1"/>
      <c r="DUU236" s="1"/>
      <c r="DUV236" s="1"/>
      <c r="DUW236" s="1"/>
      <c r="DUX236" s="1"/>
      <c r="DUY236" s="1"/>
      <c r="DUZ236" s="1"/>
      <c r="DVA236" s="1"/>
      <c r="DVB236" s="1"/>
      <c r="DVC236" s="1"/>
      <c r="DVD236" s="1"/>
      <c r="DVE236" s="1"/>
      <c r="DVF236" s="1"/>
      <c r="DVG236" s="1"/>
      <c r="DVH236" s="1"/>
      <c r="DVI236" s="1"/>
      <c r="DVJ236" s="1"/>
      <c r="DVK236" s="1"/>
      <c r="DVL236" s="1"/>
      <c r="DVM236" s="1"/>
      <c r="DVN236" s="1"/>
      <c r="DVO236" s="1"/>
      <c r="DVP236" s="1"/>
      <c r="DVQ236" s="1"/>
      <c r="DVR236" s="1"/>
      <c r="DVS236" s="1"/>
      <c r="DVT236" s="1"/>
      <c r="DVU236" s="1"/>
      <c r="DVV236" s="1"/>
      <c r="DVW236" s="1"/>
      <c r="DVX236" s="1"/>
      <c r="DVY236" s="1"/>
      <c r="DVZ236" s="1"/>
      <c r="DWA236" s="1"/>
      <c r="DWB236" s="1"/>
      <c r="DWC236" s="1"/>
      <c r="DWD236" s="1"/>
      <c r="DWE236" s="1"/>
      <c r="DWF236" s="1"/>
      <c r="DWG236" s="1"/>
      <c r="DWH236" s="1"/>
      <c r="DWI236" s="1"/>
      <c r="DWJ236" s="1"/>
      <c r="DWK236" s="1"/>
      <c r="DWL236" s="1"/>
      <c r="DWM236" s="1"/>
      <c r="DWN236" s="1"/>
      <c r="DWO236" s="1"/>
      <c r="DWP236" s="1"/>
      <c r="DWQ236" s="1"/>
      <c r="DWR236" s="1"/>
      <c r="DWS236" s="1"/>
      <c r="DWT236" s="1"/>
      <c r="DWU236" s="1"/>
      <c r="DWV236" s="1"/>
      <c r="DWW236" s="1"/>
      <c r="DWX236" s="1"/>
      <c r="DWY236" s="1"/>
      <c r="DWZ236" s="1"/>
      <c r="DXA236" s="1"/>
      <c r="DXB236" s="1"/>
      <c r="DXC236" s="1"/>
      <c r="DXD236" s="1"/>
      <c r="DXE236" s="1"/>
      <c r="DXF236" s="1"/>
      <c r="DXG236" s="1"/>
      <c r="DXH236" s="1"/>
      <c r="DXI236" s="1"/>
      <c r="DXJ236" s="1"/>
      <c r="DXK236" s="1"/>
      <c r="DXL236" s="1"/>
      <c r="DXM236" s="1"/>
      <c r="DXN236" s="1"/>
      <c r="DXO236" s="1"/>
      <c r="DXP236" s="1"/>
      <c r="DXQ236" s="1"/>
      <c r="DXR236" s="1"/>
      <c r="DXS236" s="1"/>
      <c r="DXT236" s="1"/>
      <c r="DXU236" s="1"/>
      <c r="DXV236" s="1"/>
      <c r="DXW236" s="1"/>
      <c r="DXX236" s="1"/>
      <c r="DXY236" s="1"/>
      <c r="DXZ236" s="1"/>
      <c r="DYA236" s="1"/>
      <c r="DYB236" s="1"/>
      <c r="DYC236" s="1"/>
      <c r="DYD236" s="1"/>
      <c r="DYE236" s="1"/>
      <c r="DYF236" s="1"/>
      <c r="DYG236" s="1"/>
      <c r="DYH236" s="1"/>
      <c r="DYI236" s="1"/>
      <c r="DYJ236" s="1"/>
      <c r="DYK236" s="1"/>
      <c r="DYL236" s="1"/>
      <c r="DYM236" s="1"/>
      <c r="DYN236" s="1"/>
      <c r="DYO236" s="1"/>
      <c r="DYP236" s="1"/>
      <c r="DYQ236" s="1"/>
      <c r="DYR236" s="1"/>
      <c r="DYS236" s="1"/>
      <c r="DYT236" s="1"/>
      <c r="DYU236" s="1"/>
      <c r="DYV236" s="1"/>
      <c r="DYW236" s="1"/>
      <c r="DYX236" s="1"/>
      <c r="DYY236" s="1"/>
      <c r="DYZ236" s="1"/>
      <c r="DZA236" s="1"/>
      <c r="DZB236" s="1"/>
      <c r="DZC236" s="1"/>
      <c r="DZD236" s="1"/>
      <c r="DZE236" s="1"/>
      <c r="DZF236" s="1"/>
      <c r="DZG236" s="1"/>
      <c r="DZH236" s="1"/>
      <c r="DZI236" s="1"/>
      <c r="DZJ236" s="1"/>
      <c r="DZK236" s="1"/>
      <c r="DZL236" s="1"/>
      <c r="DZM236" s="1"/>
      <c r="DZN236" s="1"/>
      <c r="DZO236" s="1"/>
      <c r="DZP236" s="1"/>
      <c r="DZQ236" s="1"/>
      <c r="DZR236" s="1"/>
      <c r="DZS236" s="1"/>
      <c r="DZT236" s="1"/>
      <c r="DZU236" s="1"/>
      <c r="DZV236" s="1"/>
      <c r="DZW236" s="1"/>
      <c r="DZX236" s="1"/>
      <c r="DZY236" s="1"/>
      <c r="DZZ236" s="1"/>
      <c r="EAA236" s="1"/>
      <c r="EAB236" s="1"/>
      <c r="EAC236" s="1"/>
      <c r="EAD236" s="1"/>
      <c r="EAE236" s="1"/>
      <c r="EAF236" s="1"/>
      <c r="EAG236" s="1"/>
      <c r="EAH236" s="1"/>
      <c r="EAI236" s="1"/>
      <c r="EAJ236" s="1"/>
      <c r="EAK236" s="1"/>
      <c r="EAL236" s="1"/>
      <c r="EAM236" s="1"/>
      <c r="EAN236" s="1"/>
      <c r="EAO236" s="1"/>
      <c r="EAP236" s="1"/>
      <c r="EAQ236" s="1"/>
      <c r="EAR236" s="1"/>
      <c r="EAS236" s="1"/>
      <c r="EAT236" s="1"/>
      <c r="EAU236" s="1"/>
      <c r="EAV236" s="1"/>
      <c r="EAW236" s="1"/>
      <c r="EAX236" s="1"/>
      <c r="EAY236" s="1"/>
      <c r="EAZ236" s="1"/>
      <c r="EBA236" s="1"/>
      <c r="EBB236" s="1"/>
      <c r="EBC236" s="1"/>
      <c r="EBD236" s="1"/>
      <c r="EBE236" s="1"/>
      <c r="EBF236" s="1"/>
      <c r="EBG236" s="1"/>
      <c r="EBH236" s="1"/>
      <c r="EBI236" s="1"/>
      <c r="EBJ236" s="1"/>
      <c r="EBK236" s="1"/>
      <c r="EBL236" s="1"/>
      <c r="EBM236" s="1"/>
      <c r="EBN236" s="1"/>
      <c r="EBO236" s="1"/>
      <c r="EBP236" s="1"/>
      <c r="EBQ236" s="1"/>
      <c r="EBR236" s="1"/>
      <c r="EBS236" s="1"/>
      <c r="EBT236" s="1"/>
      <c r="EBU236" s="1"/>
      <c r="EBV236" s="1"/>
      <c r="EBW236" s="1"/>
      <c r="EBX236" s="1"/>
      <c r="EBY236" s="1"/>
      <c r="EBZ236" s="1"/>
      <c r="ECA236" s="1"/>
      <c r="ECB236" s="1"/>
      <c r="ECC236" s="1"/>
      <c r="ECD236" s="1"/>
      <c r="ECE236" s="1"/>
      <c r="ECF236" s="1"/>
      <c r="ECG236" s="1"/>
      <c r="ECH236" s="1"/>
      <c r="ECI236" s="1"/>
      <c r="ECJ236" s="1"/>
      <c r="ECK236" s="1"/>
      <c r="ECL236" s="1"/>
      <c r="ECM236" s="1"/>
      <c r="ECN236" s="1"/>
      <c r="ECO236" s="1"/>
      <c r="ECP236" s="1"/>
      <c r="ECQ236" s="1"/>
      <c r="ECR236" s="1"/>
      <c r="ECS236" s="1"/>
      <c r="ECT236" s="1"/>
      <c r="ECU236" s="1"/>
      <c r="ECV236" s="1"/>
      <c r="ECW236" s="1"/>
      <c r="ECX236" s="1"/>
      <c r="ECY236" s="1"/>
      <c r="ECZ236" s="1"/>
      <c r="EDA236" s="1"/>
      <c r="EDB236" s="1"/>
      <c r="EDC236" s="1"/>
      <c r="EDD236" s="1"/>
      <c r="EDE236" s="1"/>
      <c r="EDF236" s="1"/>
      <c r="EDG236" s="1"/>
      <c r="EDH236" s="1"/>
      <c r="EDI236" s="1"/>
      <c r="EDJ236" s="1"/>
      <c r="EDK236" s="1"/>
      <c r="EDL236" s="1"/>
      <c r="EDM236" s="1"/>
      <c r="EDN236" s="1"/>
      <c r="EDO236" s="1"/>
      <c r="EDP236" s="1"/>
      <c r="EDQ236" s="1"/>
      <c r="EDR236" s="1"/>
      <c r="EDS236" s="1"/>
      <c r="EDT236" s="1"/>
      <c r="EDU236" s="1"/>
      <c r="EDV236" s="1"/>
      <c r="EDW236" s="1"/>
      <c r="EDX236" s="1"/>
      <c r="EDY236" s="1"/>
      <c r="EDZ236" s="1"/>
      <c r="EEA236" s="1"/>
      <c r="EEB236" s="1"/>
      <c r="EEC236" s="1"/>
      <c r="EED236" s="1"/>
      <c r="EEE236" s="1"/>
      <c r="EEF236" s="1"/>
      <c r="EEG236" s="1"/>
      <c r="EEH236" s="1"/>
      <c r="EEI236" s="1"/>
      <c r="EEJ236" s="1"/>
      <c r="EEK236" s="1"/>
      <c r="EEL236" s="1"/>
      <c r="EEM236" s="1"/>
      <c r="EEN236" s="1"/>
      <c r="EEO236" s="1"/>
      <c r="EEP236" s="1"/>
      <c r="EEQ236" s="1"/>
      <c r="EER236" s="1"/>
      <c r="EES236" s="1"/>
      <c r="EET236" s="1"/>
      <c r="EEU236" s="1"/>
      <c r="EEV236" s="1"/>
      <c r="EEW236" s="1"/>
      <c r="EEX236" s="1"/>
      <c r="EEY236" s="1"/>
      <c r="EEZ236" s="1"/>
      <c r="EFA236" s="1"/>
      <c r="EFB236" s="1"/>
      <c r="EFC236" s="1"/>
      <c r="EFD236" s="1"/>
      <c r="EFE236" s="1"/>
      <c r="EFF236" s="1"/>
      <c r="EFG236" s="1"/>
      <c r="EFH236" s="1"/>
      <c r="EFI236" s="1"/>
      <c r="EFJ236" s="1"/>
      <c r="EFK236" s="1"/>
      <c r="EFL236" s="1"/>
      <c r="EFM236" s="1"/>
      <c r="EFN236" s="1"/>
      <c r="EFO236" s="1"/>
      <c r="EFP236" s="1"/>
      <c r="EFQ236" s="1"/>
      <c r="EFR236" s="1"/>
      <c r="EFS236" s="1"/>
      <c r="EFT236" s="1"/>
      <c r="EFU236" s="1"/>
      <c r="EFV236" s="1"/>
      <c r="EFW236" s="1"/>
      <c r="EFX236" s="1"/>
      <c r="EFY236" s="1"/>
      <c r="EFZ236" s="1"/>
      <c r="EGA236" s="1"/>
      <c r="EGB236" s="1"/>
      <c r="EGC236" s="1"/>
      <c r="EGD236" s="1"/>
      <c r="EGE236" s="1"/>
      <c r="EGF236" s="1"/>
      <c r="EGG236" s="1"/>
      <c r="EGH236" s="1"/>
      <c r="EGI236" s="1"/>
      <c r="EGJ236" s="1"/>
      <c r="EGK236" s="1"/>
      <c r="EGL236" s="1"/>
      <c r="EGM236" s="1"/>
      <c r="EGN236" s="1"/>
      <c r="EGO236" s="1"/>
      <c r="EGP236" s="1"/>
      <c r="EGQ236" s="1"/>
      <c r="EGR236" s="1"/>
      <c r="EGS236" s="1"/>
      <c r="EGT236" s="1"/>
      <c r="EGU236" s="1"/>
      <c r="EGV236" s="1"/>
      <c r="EGW236" s="1"/>
      <c r="EGX236" s="1"/>
      <c r="EGY236" s="1"/>
      <c r="EGZ236" s="1"/>
      <c r="EHA236" s="1"/>
      <c r="EHB236" s="1"/>
      <c r="EHC236" s="1"/>
      <c r="EHD236" s="1"/>
      <c r="EHE236" s="1"/>
      <c r="EHF236" s="1"/>
      <c r="EHG236" s="1"/>
      <c r="EHH236" s="1"/>
      <c r="EHI236" s="1"/>
      <c r="EHJ236" s="1"/>
      <c r="EHK236" s="1"/>
      <c r="EHL236" s="1"/>
      <c r="EHM236" s="1"/>
      <c r="EHN236" s="1"/>
      <c r="EHO236" s="1"/>
      <c r="EHP236" s="1"/>
      <c r="EHQ236" s="1"/>
      <c r="EHR236" s="1"/>
      <c r="EHS236" s="1"/>
      <c r="EHT236" s="1"/>
      <c r="EHU236" s="1"/>
      <c r="EHV236" s="1"/>
      <c r="EHW236" s="1"/>
      <c r="EHX236" s="1"/>
      <c r="EHY236" s="1"/>
      <c r="EHZ236" s="1"/>
      <c r="EIA236" s="1"/>
      <c r="EIB236" s="1"/>
      <c r="EIC236" s="1"/>
      <c r="EID236" s="1"/>
      <c r="EIE236" s="1"/>
      <c r="EIF236" s="1"/>
      <c r="EIG236" s="1"/>
      <c r="EIH236" s="1"/>
      <c r="EII236" s="1"/>
      <c r="EIJ236" s="1"/>
      <c r="EIK236" s="1"/>
      <c r="EIL236" s="1"/>
      <c r="EIM236" s="1"/>
      <c r="EIN236" s="1"/>
      <c r="EIO236" s="1"/>
      <c r="EIP236" s="1"/>
      <c r="EIQ236" s="1"/>
      <c r="EIR236" s="1"/>
      <c r="EIS236" s="1"/>
      <c r="EIT236" s="1"/>
      <c r="EIU236" s="1"/>
      <c r="EIV236" s="1"/>
      <c r="EIW236" s="1"/>
      <c r="EIX236" s="1"/>
      <c r="EIY236" s="1"/>
      <c r="EIZ236" s="1"/>
      <c r="EJA236" s="1"/>
      <c r="EJB236" s="1"/>
      <c r="EJC236" s="1"/>
      <c r="EJD236" s="1"/>
      <c r="EJE236" s="1"/>
      <c r="EJF236" s="1"/>
      <c r="EJG236" s="1"/>
      <c r="EJH236" s="1"/>
      <c r="EJI236" s="1"/>
      <c r="EJJ236" s="1"/>
      <c r="EJK236" s="1"/>
      <c r="EJL236" s="1"/>
      <c r="EJM236" s="1"/>
      <c r="EJN236" s="1"/>
      <c r="EJO236" s="1"/>
      <c r="EJP236" s="1"/>
      <c r="EJQ236" s="1"/>
      <c r="EJR236" s="1"/>
      <c r="EJS236" s="1"/>
      <c r="EJT236" s="1"/>
      <c r="EJU236" s="1"/>
      <c r="EJV236" s="1"/>
      <c r="EJW236" s="1"/>
      <c r="EJX236" s="1"/>
      <c r="EJY236" s="1"/>
      <c r="EJZ236" s="1"/>
      <c r="EKA236" s="1"/>
      <c r="EKB236" s="1"/>
      <c r="EKC236" s="1"/>
      <c r="EKD236" s="1"/>
      <c r="EKE236" s="1"/>
      <c r="EKF236" s="1"/>
      <c r="EKG236" s="1"/>
      <c r="EKH236" s="1"/>
      <c r="EKI236" s="1"/>
      <c r="EKJ236" s="1"/>
      <c r="EKK236" s="1"/>
      <c r="EKL236" s="1"/>
      <c r="EKM236" s="1"/>
      <c r="EKN236" s="1"/>
      <c r="EKO236" s="1"/>
      <c r="EKP236" s="1"/>
      <c r="EKQ236" s="1"/>
      <c r="EKR236" s="1"/>
      <c r="EKS236" s="1"/>
      <c r="EKT236" s="1"/>
      <c r="EKU236" s="1"/>
      <c r="EKV236" s="1"/>
      <c r="EKW236" s="1"/>
      <c r="EKX236" s="1"/>
      <c r="EKY236" s="1"/>
      <c r="EKZ236" s="1"/>
      <c r="ELA236" s="1"/>
      <c r="ELB236" s="1"/>
      <c r="ELC236" s="1"/>
      <c r="ELD236" s="1"/>
      <c r="ELE236" s="1"/>
      <c r="ELF236" s="1"/>
      <c r="ELG236" s="1"/>
      <c r="ELH236" s="1"/>
      <c r="ELI236" s="1"/>
      <c r="ELJ236" s="1"/>
      <c r="ELK236" s="1"/>
      <c r="ELL236" s="1"/>
      <c r="ELM236" s="1"/>
      <c r="ELN236" s="1"/>
      <c r="ELO236" s="1"/>
      <c r="ELP236" s="1"/>
      <c r="ELQ236" s="1"/>
      <c r="ELR236" s="1"/>
      <c r="ELS236" s="1"/>
      <c r="ELT236" s="1"/>
      <c r="ELU236" s="1"/>
      <c r="ELV236" s="1"/>
      <c r="ELW236" s="1"/>
      <c r="ELX236" s="1"/>
      <c r="ELY236" s="1"/>
      <c r="ELZ236" s="1"/>
      <c r="EMA236" s="1"/>
      <c r="EMB236" s="1"/>
      <c r="EMC236" s="1"/>
      <c r="EMD236" s="1"/>
      <c r="EME236" s="1"/>
      <c r="EMF236" s="1"/>
      <c r="EMG236" s="1"/>
      <c r="EMH236" s="1"/>
      <c r="EMI236" s="1"/>
      <c r="EMJ236" s="1"/>
      <c r="EMK236" s="1"/>
      <c r="EML236" s="1"/>
      <c r="EMM236" s="1"/>
      <c r="EMN236" s="1"/>
      <c r="EMO236" s="1"/>
      <c r="EMP236" s="1"/>
      <c r="EMQ236" s="1"/>
      <c r="EMR236" s="1"/>
      <c r="EMS236" s="1"/>
      <c r="EMT236" s="1"/>
      <c r="EMU236" s="1"/>
      <c r="EMV236" s="1"/>
      <c r="EMW236" s="1"/>
      <c r="EMX236" s="1"/>
      <c r="EMY236" s="1"/>
      <c r="EMZ236" s="1"/>
      <c r="ENA236" s="1"/>
      <c r="ENB236" s="1"/>
      <c r="ENC236" s="1"/>
      <c r="END236" s="1"/>
      <c r="ENE236" s="1"/>
      <c r="ENF236" s="1"/>
      <c r="ENG236" s="1"/>
      <c r="ENH236" s="1"/>
      <c r="ENI236" s="1"/>
      <c r="ENJ236" s="1"/>
      <c r="ENK236" s="1"/>
      <c r="ENL236" s="1"/>
      <c r="ENM236" s="1"/>
      <c r="ENN236" s="1"/>
      <c r="ENO236" s="1"/>
      <c r="ENP236" s="1"/>
      <c r="ENQ236" s="1"/>
      <c r="ENR236" s="1"/>
      <c r="ENS236" s="1"/>
      <c r="ENT236" s="1"/>
      <c r="ENU236" s="1"/>
      <c r="ENV236" s="1"/>
      <c r="ENW236" s="1"/>
      <c r="ENX236" s="1"/>
      <c r="ENY236" s="1"/>
      <c r="ENZ236" s="1"/>
      <c r="EOA236" s="1"/>
      <c r="EOB236" s="1"/>
      <c r="EOC236" s="1"/>
      <c r="EOD236" s="1"/>
      <c r="EOE236" s="1"/>
      <c r="EOF236" s="1"/>
      <c r="EOG236" s="1"/>
      <c r="EOH236" s="1"/>
      <c r="EOI236" s="1"/>
      <c r="EOJ236" s="1"/>
      <c r="EOK236" s="1"/>
      <c r="EOL236" s="1"/>
      <c r="EOM236" s="1"/>
      <c r="EON236" s="1"/>
      <c r="EOO236" s="1"/>
      <c r="EOP236" s="1"/>
      <c r="EOQ236" s="1"/>
      <c r="EOR236" s="1"/>
      <c r="EOS236" s="1"/>
      <c r="EOT236" s="1"/>
      <c r="EOU236" s="1"/>
      <c r="EOV236" s="1"/>
      <c r="EOW236" s="1"/>
      <c r="EOX236" s="1"/>
      <c r="EOY236" s="1"/>
      <c r="EOZ236" s="1"/>
      <c r="EPA236" s="1"/>
      <c r="EPB236" s="1"/>
      <c r="EPC236" s="1"/>
      <c r="EPD236" s="1"/>
      <c r="EPE236" s="1"/>
      <c r="EPF236" s="1"/>
      <c r="EPG236" s="1"/>
      <c r="EPH236" s="1"/>
      <c r="EPI236" s="1"/>
      <c r="EPJ236" s="1"/>
      <c r="EPK236" s="1"/>
      <c r="EPL236" s="1"/>
      <c r="EPM236" s="1"/>
      <c r="EPN236" s="1"/>
      <c r="EPO236" s="1"/>
      <c r="EPP236" s="1"/>
      <c r="EPQ236" s="1"/>
      <c r="EPR236" s="1"/>
      <c r="EPS236" s="1"/>
      <c r="EPT236" s="1"/>
      <c r="EPU236" s="1"/>
      <c r="EPV236" s="1"/>
      <c r="EPW236" s="1"/>
      <c r="EPX236" s="1"/>
      <c r="EPY236" s="1"/>
      <c r="EPZ236" s="1"/>
      <c r="EQA236" s="1"/>
      <c r="EQB236" s="1"/>
      <c r="EQC236" s="1"/>
      <c r="EQD236" s="1"/>
      <c r="EQE236" s="1"/>
      <c r="EQF236" s="1"/>
      <c r="EQG236" s="1"/>
      <c r="EQH236" s="1"/>
      <c r="EQI236" s="1"/>
      <c r="EQJ236" s="1"/>
      <c r="EQK236" s="1"/>
      <c r="EQL236" s="1"/>
      <c r="EQM236" s="1"/>
      <c r="EQN236" s="1"/>
      <c r="EQO236" s="1"/>
      <c r="EQP236" s="1"/>
      <c r="EQQ236" s="1"/>
      <c r="EQR236" s="1"/>
      <c r="EQS236" s="1"/>
      <c r="EQT236" s="1"/>
      <c r="EQU236" s="1"/>
      <c r="EQV236" s="1"/>
      <c r="EQW236" s="1"/>
      <c r="EQX236" s="1"/>
      <c r="EQY236" s="1"/>
      <c r="EQZ236" s="1"/>
      <c r="ERA236" s="1"/>
      <c r="ERB236" s="1"/>
      <c r="ERC236" s="1"/>
      <c r="ERD236" s="1"/>
      <c r="ERE236" s="1"/>
      <c r="ERF236" s="1"/>
      <c r="ERG236" s="1"/>
      <c r="ERH236" s="1"/>
      <c r="ERI236" s="1"/>
      <c r="ERJ236" s="1"/>
      <c r="ERK236" s="1"/>
      <c r="ERL236" s="1"/>
      <c r="ERM236" s="1"/>
      <c r="ERN236" s="1"/>
      <c r="ERO236" s="1"/>
      <c r="ERP236" s="1"/>
      <c r="ERQ236" s="1"/>
      <c r="ERR236" s="1"/>
      <c r="ERS236" s="1"/>
      <c r="ERT236" s="1"/>
      <c r="ERU236" s="1"/>
      <c r="ERV236" s="1"/>
      <c r="ERW236" s="1"/>
      <c r="ERX236" s="1"/>
      <c r="ERY236" s="1"/>
      <c r="ERZ236" s="1"/>
      <c r="ESA236" s="1"/>
      <c r="ESB236" s="1"/>
      <c r="ESC236" s="1"/>
      <c r="ESD236" s="1"/>
      <c r="ESE236" s="1"/>
      <c r="ESF236" s="1"/>
      <c r="ESG236" s="1"/>
      <c r="ESH236" s="1"/>
      <c r="ESI236" s="1"/>
      <c r="ESJ236" s="1"/>
      <c r="ESK236" s="1"/>
      <c r="ESL236" s="1"/>
      <c r="ESM236" s="1"/>
      <c r="ESN236" s="1"/>
      <c r="ESO236" s="1"/>
      <c r="ESP236" s="1"/>
      <c r="ESQ236" s="1"/>
      <c r="ESR236" s="1"/>
      <c r="ESS236" s="1"/>
      <c r="EST236" s="1"/>
      <c r="ESU236" s="1"/>
      <c r="ESV236" s="1"/>
      <c r="ESW236" s="1"/>
      <c r="ESX236" s="1"/>
      <c r="ESY236" s="1"/>
      <c r="ESZ236" s="1"/>
      <c r="ETA236" s="1"/>
      <c r="ETB236" s="1"/>
      <c r="ETC236" s="1"/>
      <c r="ETD236" s="1"/>
      <c r="ETE236" s="1"/>
      <c r="ETF236" s="1"/>
      <c r="ETG236" s="1"/>
      <c r="ETH236" s="1"/>
      <c r="ETI236" s="1"/>
      <c r="ETJ236" s="1"/>
      <c r="ETK236" s="1"/>
      <c r="ETL236" s="1"/>
      <c r="ETM236" s="1"/>
      <c r="ETN236" s="1"/>
      <c r="ETO236" s="1"/>
      <c r="ETP236" s="1"/>
      <c r="ETQ236" s="1"/>
      <c r="ETR236" s="1"/>
      <c r="ETS236" s="1"/>
      <c r="ETT236" s="1"/>
      <c r="ETU236" s="1"/>
      <c r="ETV236" s="1"/>
      <c r="ETW236" s="1"/>
      <c r="ETX236" s="1"/>
      <c r="ETY236" s="1"/>
      <c r="ETZ236" s="1"/>
      <c r="EUA236" s="1"/>
      <c r="EUB236" s="1"/>
      <c r="EUC236" s="1"/>
      <c r="EUD236" s="1"/>
      <c r="EUE236" s="1"/>
      <c r="EUF236" s="1"/>
      <c r="EUG236" s="1"/>
      <c r="EUH236" s="1"/>
      <c r="EUI236" s="1"/>
      <c r="EUJ236" s="1"/>
      <c r="EUK236" s="1"/>
      <c r="EUL236" s="1"/>
      <c r="EUM236" s="1"/>
      <c r="EUN236" s="1"/>
      <c r="EUO236" s="1"/>
      <c r="EUP236" s="1"/>
      <c r="EUQ236" s="1"/>
      <c r="EUR236" s="1"/>
      <c r="EUS236" s="1"/>
      <c r="EUT236" s="1"/>
      <c r="EUU236" s="1"/>
      <c r="EUV236" s="1"/>
      <c r="EUW236" s="1"/>
      <c r="EUX236" s="1"/>
      <c r="EUY236" s="1"/>
      <c r="EUZ236" s="1"/>
      <c r="EVA236" s="1"/>
      <c r="EVB236" s="1"/>
      <c r="EVC236" s="1"/>
      <c r="EVD236" s="1"/>
      <c r="EVE236" s="1"/>
      <c r="EVF236" s="1"/>
      <c r="EVG236" s="1"/>
      <c r="EVH236" s="1"/>
      <c r="EVI236" s="1"/>
      <c r="EVJ236" s="1"/>
      <c r="EVK236" s="1"/>
      <c r="EVL236" s="1"/>
      <c r="EVM236" s="1"/>
      <c r="EVN236" s="1"/>
      <c r="EVO236" s="1"/>
      <c r="EVP236" s="1"/>
      <c r="EVQ236" s="1"/>
      <c r="EVR236" s="1"/>
      <c r="EVS236" s="1"/>
      <c r="EVT236" s="1"/>
      <c r="EVU236" s="1"/>
      <c r="EVV236" s="1"/>
      <c r="EVW236" s="1"/>
      <c r="EVX236" s="1"/>
      <c r="EVY236" s="1"/>
      <c r="EVZ236" s="1"/>
      <c r="EWA236" s="1"/>
      <c r="EWB236" s="1"/>
      <c r="EWC236" s="1"/>
      <c r="EWD236" s="1"/>
      <c r="EWE236" s="1"/>
      <c r="EWF236" s="1"/>
      <c r="EWG236" s="1"/>
      <c r="EWH236" s="1"/>
      <c r="EWI236" s="1"/>
      <c r="EWJ236" s="1"/>
      <c r="EWK236" s="1"/>
      <c r="EWL236" s="1"/>
      <c r="EWM236" s="1"/>
      <c r="EWN236" s="1"/>
      <c r="EWO236" s="1"/>
      <c r="EWP236" s="1"/>
      <c r="EWQ236" s="1"/>
      <c r="EWR236" s="1"/>
      <c r="EWS236" s="1"/>
      <c r="EWT236" s="1"/>
      <c r="EWU236" s="1"/>
      <c r="EWV236" s="1"/>
      <c r="EWW236" s="1"/>
      <c r="EWX236" s="1"/>
      <c r="EWY236" s="1"/>
      <c r="EWZ236" s="1"/>
      <c r="EXA236" s="1"/>
      <c r="EXB236" s="1"/>
      <c r="EXC236" s="1"/>
      <c r="EXD236" s="1"/>
      <c r="EXE236" s="1"/>
      <c r="EXF236" s="1"/>
      <c r="EXG236" s="1"/>
      <c r="EXH236" s="1"/>
      <c r="EXI236" s="1"/>
      <c r="EXJ236" s="1"/>
      <c r="EXK236" s="1"/>
      <c r="EXL236" s="1"/>
      <c r="EXM236" s="1"/>
      <c r="EXN236" s="1"/>
      <c r="EXO236" s="1"/>
      <c r="EXP236" s="1"/>
      <c r="EXQ236" s="1"/>
      <c r="EXR236" s="1"/>
      <c r="EXS236" s="1"/>
      <c r="EXT236" s="1"/>
      <c r="EXU236" s="1"/>
      <c r="EXV236" s="1"/>
      <c r="EXW236" s="1"/>
      <c r="EXX236" s="1"/>
      <c r="EXY236" s="1"/>
      <c r="EXZ236" s="1"/>
      <c r="EYA236" s="1"/>
      <c r="EYB236" s="1"/>
      <c r="EYC236" s="1"/>
      <c r="EYD236" s="1"/>
      <c r="EYE236" s="1"/>
      <c r="EYF236" s="1"/>
      <c r="EYG236" s="1"/>
      <c r="EYH236" s="1"/>
      <c r="EYI236" s="1"/>
      <c r="EYJ236" s="1"/>
      <c r="EYK236" s="1"/>
      <c r="EYL236" s="1"/>
      <c r="EYM236" s="1"/>
      <c r="EYN236" s="1"/>
      <c r="EYO236" s="1"/>
      <c r="EYP236" s="1"/>
      <c r="EYQ236" s="1"/>
      <c r="EYR236" s="1"/>
      <c r="EYS236" s="1"/>
      <c r="EYT236" s="1"/>
      <c r="EYU236" s="1"/>
      <c r="EYV236" s="1"/>
      <c r="EYW236" s="1"/>
      <c r="EYX236" s="1"/>
      <c r="EYY236" s="1"/>
      <c r="EYZ236" s="1"/>
      <c r="EZA236" s="1"/>
      <c r="EZB236" s="1"/>
      <c r="EZC236" s="1"/>
      <c r="EZD236" s="1"/>
      <c r="EZE236" s="1"/>
      <c r="EZF236" s="1"/>
      <c r="EZG236" s="1"/>
      <c r="EZH236" s="1"/>
      <c r="EZI236" s="1"/>
      <c r="EZJ236" s="1"/>
      <c r="EZK236" s="1"/>
      <c r="EZL236" s="1"/>
      <c r="EZM236" s="1"/>
      <c r="EZN236" s="1"/>
      <c r="EZO236" s="1"/>
      <c r="EZP236" s="1"/>
      <c r="EZQ236" s="1"/>
      <c r="EZR236" s="1"/>
      <c r="EZS236" s="1"/>
      <c r="EZT236" s="1"/>
      <c r="EZU236" s="1"/>
      <c r="EZV236" s="1"/>
      <c r="EZW236" s="1"/>
      <c r="EZX236" s="1"/>
      <c r="EZY236" s="1"/>
      <c r="EZZ236" s="1"/>
      <c r="FAA236" s="1"/>
      <c r="FAB236" s="1"/>
      <c r="FAC236" s="1"/>
      <c r="FAD236" s="1"/>
      <c r="FAE236" s="1"/>
      <c r="FAF236" s="1"/>
      <c r="FAG236" s="1"/>
      <c r="FAH236" s="1"/>
      <c r="FAI236" s="1"/>
      <c r="FAJ236" s="1"/>
      <c r="FAK236" s="1"/>
      <c r="FAL236" s="1"/>
      <c r="FAM236" s="1"/>
      <c r="FAN236" s="1"/>
      <c r="FAO236" s="1"/>
      <c r="FAP236" s="1"/>
      <c r="FAQ236" s="1"/>
      <c r="FAR236" s="1"/>
      <c r="FAS236" s="1"/>
      <c r="FAT236" s="1"/>
      <c r="FAU236" s="1"/>
      <c r="FAV236" s="1"/>
      <c r="FAW236" s="1"/>
      <c r="FAX236" s="1"/>
      <c r="FAY236" s="1"/>
      <c r="FAZ236" s="1"/>
      <c r="FBA236" s="1"/>
      <c r="FBB236" s="1"/>
      <c r="FBC236" s="1"/>
      <c r="FBD236" s="1"/>
      <c r="FBE236" s="1"/>
      <c r="FBF236" s="1"/>
      <c r="FBG236" s="1"/>
      <c r="FBH236" s="1"/>
      <c r="FBI236" s="1"/>
      <c r="FBJ236" s="1"/>
      <c r="FBK236" s="1"/>
      <c r="FBL236" s="1"/>
      <c r="FBM236" s="1"/>
      <c r="FBN236" s="1"/>
      <c r="FBO236" s="1"/>
      <c r="FBP236" s="1"/>
      <c r="FBQ236" s="1"/>
      <c r="FBR236" s="1"/>
      <c r="FBS236" s="1"/>
      <c r="FBT236" s="1"/>
      <c r="FBU236" s="1"/>
      <c r="FBV236" s="1"/>
      <c r="FBW236" s="1"/>
      <c r="FBX236" s="1"/>
      <c r="FBY236" s="1"/>
      <c r="FBZ236" s="1"/>
      <c r="FCA236" s="1"/>
      <c r="FCB236" s="1"/>
      <c r="FCC236" s="1"/>
      <c r="FCD236" s="1"/>
      <c r="FCE236" s="1"/>
      <c r="FCF236" s="1"/>
      <c r="FCG236" s="1"/>
      <c r="FCH236" s="1"/>
      <c r="FCI236" s="1"/>
      <c r="FCJ236" s="1"/>
      <c r="FCK236" s="1"/>
      <c r="FCL236" s="1"/>
      <c r="FCM236" s="1"/>
      <c r="FCN236" s="1"/>
      <c r="FCO236" s="1"/>
      <c r="FCP236" s="1"/>
      <c r="FCQ236" s="1"/>
      <c r="FCR236" s="1"/>
      <c r="FCS236" s="1"/>
      <c r="FCT236" s="1"/>
      <c r="FCU236" s="1"/>
      <c r="FCV236" s="1"/>
      <c r="FCW236" s="1"/>
      <c r="FCX236" s="1"/>
      <c r="FCY236" s="1"/>
      <c r="FCZ236" s="1"/>
      <c r="FDA236" s="1"/>
      <c r="FDB236" s="1"/>
      <c r="FDC236" s="1"/>
      <c r="FDD236" s="1"/>
      <c r="FDE236" s="1"/>
      <c r="FDF236" s="1"/>
      <c r="FDG236" s="1"/>
      <c r="FDH236" s="1"/>
      <c r="FDI236" s="1"/>
      <c r="FDJ236" s="1"/>
      <c r="FDK236" s="1"/>
      <c r="FDL236" s="1"/>
      <c r="FDM236" s="1"/>
      <c r="FDN236" s="1"/>
      <c r="FDO236" s="1"/>
      <c r="FDP236" s="1"/>
      <c r="FDQ236" s="1"/>
      <c r="FDR236" s="1"/>
      <c r="FDS236" s="1"/>
      <c r="FDT236" s="1"/>
      <c r="FDU236" s="1"/>
      <c r="FDV236" s="1"/>
      <c r="FDW236" s="1"/>
      <c r="FDX236" s="1"/>
      <c r="FDY236" s="1"/>
      <c r="FDZ236" s="1"/>
      <c r="FEA236" s="1"/>
      <c r="FEB236" s="1"/>
      <c r="FEC236" s="1"/>
      <c r="FED236" s="1"/>
      <c r="FEE236" s="1"/>
      <c r="FEF236" s="1"/>
      <c r="FEG236" s="1"/>
      <c r="FEH236" s="1"/>
      <c r="FEI236" s="1"/>
      <c r="FEJ236" s="1"/>
      <c r="FEK236" s="1"/>
      <c r="FEL236" s="1"/>
      <c r="FEM236" s="1"/>
      <c r="FEN236" s="1"/>
      <c r="FEO236" s="1"/>
      <c r="FEP236" s="1"/>
      <c r="FEQ236" s="1"/>
      <c r="FER236" s="1"/>
      <c r="FES236" s="1"/>
      <c r="FET236" s="1"/>
      <c r="FEU236" s="1"/>
      <c r="FEV236" s="1"/>
      <c r="FEW236" s="1"/>
      <c r="FEX236" s="1"/>
      <c r="FEY236" s="1"/>
      <c r="FEZ236" s="1"/>
      <c r="FFA236" s="1"/>
      <c r="FFB236" s="1"/>
      <c r="FFC236" s="1"/>
      <c r="FFD236" s="1"/>
      <c r="FFE236" s="1"/>
      <c r="FFF236" s="1"/>
      <c r="FFG236" s="1"/>
      <c r="FFH236" s="1"/>
      <c r="FFI236" s="1"/>
      <c r="FFJ236" s="1"/>
      <c r="FFK236" s="1"/>
      <c r="FFL236" s="1"/>
      <c r="FFM236" s="1"/>
      <c r="FFN236" s="1"/>
      <c r="FFO236" s="1"/>
      <c r="FFP236" s="1"/>
      <c r="FFQ236" s="1"/>
      <c r="FFR236" s="1"/>
      <c r="FFS236" s="1"/>
      <c r="FFT236" s="1"/>
      <c r="FFU236" s="1"/>
      <c r="FFV236" s="1"/>
      <c r="FFW236" s="1"/>
      <c r="FFX236" s="1"/>
      <c r="FFY236" s="1"/>
      <c r="FFZ236" s="1"/>
      <c r="FGA236" s="1"/>
      <c r="FGB236" s="1"/>
      <c r="FGC236" s="1"/>
      <c r="FGD236" s="1"/>
      <c r="FGE236" s="1"/>
      <c r="FGF236" s="1"/>
      <c r="FGG236" s="1"/>
      <c r="FGH236" s="1"/>
      <c r="FGI236" s="1"/>
      <c r="FGJ236" s="1"/>
      <c r="FGK236" s="1"/>
      <c r="FGL236" s="1"/>
      <c r="FGM236" s="1"/>
      <c r="FGN236" s="1"/>
      <c r="FGO236" s="1"/>
      <c r="FGP236" s="1"/>
      <c r="FGQ236" s="1"/>
      <c r="FGR236" s="1"/>
      <c r="FGS236" s="1"/>
      <c r="FGT236" s="1"/>
      <c r="FGU236" s="1"/>
      <c r="FGV236" s="1"/>
      <c r="FGW236" s="1"/>
      <c r="FGX236" s="1"/>
      <c r="FGY236" s="1"/>
      <c r="FGZ236" s="1"/>
      <c r="FHA236" s="1"/>
      <c r="FHB236" s="1"/>
      <c r="FHC236" s="1"/>
      <c r="FHD236" s="1"/>
      <c r="FHE236" s="1"/>
      <c r="FHF236" s="1"/>
      <c r="FHG236" s="1"/>
      <c r="FHH236" s="1"/>
      <c r="FHI236" s="1"/>
      <c r="FHJ236" s="1"/>
      <c r="FHK236" s="1"/>
      <c r="FHL236" s="1"/>
      <c r="FHM236" s="1"/>
      <c r="FHN236" s="1"/>
      <c r="FHO236" s="1"/>
      <c r="FHP236" s="1"/>
      <c r="FHQ236" s="1"/>
      <c r="FHR236" s="1"/>
      <c r="FHS236" s="1"/>
      <c r="FHT236" s="1"/>
      <c r="FHU236" s="1"/>
      <c r="FHV236" s="1"/>
      <c r="FHW236" s="1"/>
      <c r="FHX236" s="1"/>
      <c r="FHY236" s="1"/>
      <c r="FHZ236" s="1"/>
      <c r="FIA236" s="1"/>
      <c r="FIB236" s="1"/>
      <c r="FIC236" s="1"/>
      <c r="FID236" s="1"/>
      <c r="FIE236" s="1"/>
      <c r="FIF236" s="1"/>
      <c r="FIG236" s="1"/>
      <c r="FIH236" s="1"/>
      <c r="FII236" s="1"/>
      <c r="FIJ236" s="1"/>
      <c r="FIK236" s="1"/>
      <c r="FIL236" s="1"/>
      <c r="FIM236" s="1"/>
      <c r="FIN236" s="1"/>
      <c r="FIO236" s="1"/>
      <c r="FIP236" s="1"/>
      <c r="FIQ236" s="1"/>
      <c r="FIR236" s="1"/>
      <c r="FIS236" s="1"/>
      <c r="FIT236" s="1"/>
      <c r="FIU236" s="1"/>
      <c r="FIV236" s="1"/>
      <c r="FIW236" s="1"/>
      <c r="FIX236" s="1"/>
      <c r="FIY236" s="1"/>
      <c r="FIZ236" s="1"/>
      <c r="FJA236" s="1"/>
      <c r="FJB236" s="1"/>
      <c r="FJC236" s="1"/>
      <c r="FJD236" s="1"/>
      <c r="FJE236" s="1"/>
      <c r="FJF236" s="1"/>
      <c r="FJG236" s="1"/>
      <c r="FJH236" s="1"/>
      <c r="FJI236" s="1"/>
      <c r="FJJ236" s="1"/>
      <c r="FJK236" s="1"/>
      <c r="FJL236" s="1"/>
      <c r="FJM236" s="1"/>
      <c r="FJN236" s="1"/>
      <c r="FJO236" s="1"/>
      <c r="FJP236" s="1"/>
      <c r="FJQ236" s="1"/>
      <c r="FJR236" s="1"/>
      <c r="FJS236" s="1"/>
      <c r="FJT236" s="1"/>
      <c r="FJU236" s="1"/>
      <c r="FJV236" s="1"/>
      <c r="FJW236" s="1"/>
      <c r="FJX236" s="1"/>
      <c r="FJY236" s="1"/>
      <c r="FJZ236" s="1"/>
      <c r="FKA236" s="1"/>
      <c r="FKB236" s="1"/>
      <c r="FKC236" s="1"/>
      <c r="FKD236" s="1"/>
      <c r="FKE236" s="1"/>
      <c r="FKF236" s="1"/>
      <c r="FKG236" s="1"/>
      <c r="FKH236" s="1"/>
      <c r="FKI236" s="1"/>
      <c r="FKJ236" s="1"/>
      <c r="FKK236" s="1"/>
      <c r="FKL236" s="1"/>
      <c r="FKM236" s="1"/>
      <c r="FKN236" s="1"/>
      <c r="FKO236" s="1"/>
      <c r="FKP236" s="1"/>
      <c r="FKQ236" s="1"/>
      <c r="FKR236" s="1"/>
      <c r="FKS236" s="1"/>
      <c r="FKT236" s="1"/>
      <c r="FKU236" s="1"/>
      <c r="FKV236" s="1"/>
      <c r="FKW236" s="1"/>
      <c r="FKX236" s="1"/>
      <c r="FKY236" s="1"/>
      <c r="FKZ236" s="1"/>
      <c r="FLA236" s="1"/>
      <c r="FLB236" s="1"/>
      <c r="FLC236" s="1"/>
      <c r="FLD236" s="1"/>
      <c r="FLE236" s="1"/>
      <c r="FLF236" s="1"/>
      <c r="FLG236" s="1"/>
      <c r="FLH236" s="1"/>
      <c r="FLI236" s="1"/>
      <c r="FLJ236" s="1"/>
      <c r="FLK236" s="1"/>
      <c r="FLL236" s="1"/>
      <c r="FLM236" s="1"/>
      <c r="FLN236" s="1"/>
      <c r="FLO236" s="1"/>
      <c r="FLP236" s="1"/>
      <c r="FLQ236" s="1"/>
      <c r="FLR236" s="1"/>
      <c r="FLS236" s="1"/>
      <c r="FLT236" s="1"/>
      <c r="FLU236" s="1"/>
      <c r="FLV236" s="1"/>
      <c r="FLW236" s="1"/>
      <c r="FLX236" s="1"/>
      <c r="FLY236" s="1"/>
      <c r="FLZ236" s="1"/>
      <c r="FMA236" s="1"/>
      <c r="FMB236" s="1"/>
      <c r="FMC236" s="1"/>
      <c r="FMD236" s="1"/>
      <c r="FME236" s="1"/>
      <c r="FMF236" s="1"/>
      <c r="FMG236" s="1"/>
      <c r="FMH236" s="1"/>
      <c r="FMI236" s="1"/>
      <c r="FMJ236" s="1"/>
      <c r="FMK236" s="1"/>
      <c r="FML236" s="1"/>
      <c r="FMM236" s="1"/>
      <c r="FMN236" s="1"/>
      <c r="FMO236" s="1"/>
      <c r="FMP236" s="1"/>
      <c r="FMQ236" s="1"/>
      <c r="FMR236" s="1"/>
      <c r="FMS236" s="1"/>
      <c r="FMT236" s="1"/>
      <c r="FMU236" s="1"/>
      <c r="FMV236" s="1"/>
      <c r="FMW236" s="1"/>
      <c r="FMX236" s="1"/>
      <c r="FMY236" s="1"/>
      <c r="FMZ236" s="1"/>
      <c r="FNA236" s="1"/>
      <c r="FNB236" s="1"/>
      <c r="FNC236" s="1"/>
      <c r="FND236" s="1"/>
      <c r="FNE236" s="1"/>
      <c r="FNF236" s="1"/>
      <c r="FNG236" s="1"/>
      <c r="FNH236" s="1"/>
      <c r="FNI236" s="1"/>
      <c r="FNJ236" s="1"/>
      <c r="FNK236" s="1"/>
      <c r="FNL236" s="1"/>
      <c r="FNM236" s="1"/>
      <c r="FNN236" s="1"/>
      <c r="FNO236" s="1"/>
      <c r="FNP236" s="1"/>
      <c r="FNQ236" s="1"/>
      <c r="FNR236" s="1"/>
      <c r="FNS236" s="1"/>
      <c r="FNT236" s="1"/>
      <c r="FNU236" s="1"/>
      <c r="FNV236" s="1"/>
      <c r="FNW236" s="1"/>
      <c r="FNX236" s="1"/>
      <c r="FNY236" s="1"/>
      <c r="FNZ236" s="1"/>
      <c r="FOA236" s="1"/>
      <c r="FOB236" s="1"/>
      <c r="FOC236" s="1"/>
      <c r="FOD236" s="1"/>
      <c r="FOE236" s="1"/>
      <c r="FOF236" s="1"/>
      <c r="FOG236" s="1"/>
      <c r="FOH236" s="1"/>
      <c r="FOI236" s="1"/>
      <c r="FOJ236" s="1"/>
      <c r="FOK236" s="1"/>
      <c r="FOL236" s="1"/>
      <c r="FOM236" s="1"/>
      <c r="FON236" s="1"/>
      <c r="FOO236" s="1"/>
      <c r="FOP236" s="1"/>
      <c r="FOQ236" s="1"/>
      <c r="FOR236" s="1"/>
      <c r="FOS236" s="1"/>
      <c r="FOT236" s="1"/>
      <c r="FOU236" s="1"/>
      <c r="FOV236" s="1"/>
      <c r="FOW236" s="1"/>
      <c r="FOX236" s="1"/>
      <c r="FOY236" s="1"/>
      <c r="FOZ236" s="1"/>
      <c r="FPA236" s="1"/>
      <c r="FPB236" s="1"/>
      <c r="FPC236" s="1"/>
      <c r="FPD236" s="1"/>
      <c r="FPE236" s="1"/>
      <c r="FPF236" s="1"/>
      <c r="FPG236" s="1"/>
      <c r="FPH236" s="1"/>
      <c r="FPI236" s="1"/>
      <c r="FPJ236" s="1"/>
      <c r="FPK236" s="1"/>
      <c r="FPL236" s="1"/>
      <c r="FPM236" s="1"/>
      <c r="FPN236" s="1"/>
      <c r="FPO236" s="1"/>
      <c r="FPP236" s="1"/>
      <c r="FPQ236" s="1"/>
      <c r="FPR236" s="1"/>
      <c r="FPS236" s="1"/>
      <c r="FPT236" s="1"/>
      <c r="FPU236" s="1"/>
      <c r="FPV236" s="1"/>
      <c r="FPW236" s="1"/>
      <c r="FPX236" s="1"/>
      <c r="FPY236" s="1"/>
      <c r="FPZ236" s="1"/>
      <c r="FQA236" s="1"/>
      <c r="FQB236" s="1"/>
      <c r="FQC236" s="1"/>
      <c r="FQD236" s="1"/>
      <c r="FQE236" s="1"/>
      <c r="FQF236" s="1"/>
      <c r="FQG236" s="1"/>
      <c r="FQH236" s="1"/>
      <c r="FQI236" s="1"/>
      <c r="FQJ236" s="1"/>
      <c r="FQK236" s="1"/>
      <c r="FQL236" s="1"/>
      <c r="FQM236" s="1"/>
      <c r="FQN236" s="1"/>
      <c r="FQO236" s="1"/>
      <c r="FQP236" s="1"/>
      <c r="FQQ236" s="1"/>
      <c r="FQR236" s="1"/>
      <c r="FQS236" s="1"/>
      <c r="FQT236" s="1"/>
      <c r="FQU236" s="1"/>
      <c r="FQV236" s="1"/>
      <c r="FQW236" s="1"/>
      <c r="FQX236" s="1"/>
      <c r="FQY236" s="1"/>
      <c r="FQZ236" s="1"/>
      <c r="FRA236" s="1"/>
      <c r="FRB236" s="1"/>
      <c r="FRC236" s="1"/>
      <c r="FRD236" s="1"/>
      <c r="FRE236" s="1"/>
      <c r="FRF236" s="1"/>
      <c r="FRG236" s="1"/>
      <c r="FRH236" s="1"/>
      <c r="FRI236" s="1"/>
      <c r="FRJ236" s="1"/>
      <c r="FRK236" s="1"/>
      <c r="FRL236" s="1"/>
      <c r="FRM236" s="1"/>
      <c r="FRN236" s="1"/>
      <c r="FRO236" s="1"/>
      <c r="FRP236" s="1"/>
      <c r="FRQ236" s="1"/>
      <c r="FRR236" s="1"/>
      <c r="FRS236" s="1"/>
      <c r="FRT236" s="1"/>
      <c r="FRU236" s="1"/>
      <c r="FRV236" s="1"/>
      <c r="FRW236" s="1"/>
      <c r="FRX236" s="1"/>
      <c r="FRY236" s="1"/>
      <c r="FRZ236" s="1"/>
      <c r="FSA236" s="1"/>
      <c r="FSB236" s="1"/>
      <c r="FSC236" s="1"/>
      <c r="FSD236" s="1"/>
      <c r="FSE236" s="1"/>
      <c r="FSF236" s="1"/>
      <c r="FSG236" s="1"/>
      <c r="FSH236" s="1"/>
      <c r="FSI236" s="1"/>
      <c r="FSJ236" s="1"/>
      <c r="FSK236" s="1"/>
      <c r="FSL236" s="1"/>
      <c r="FSM236" s="1"/>
      <c r="FSN236" s="1"/>
      <c r="FSO236" s="1"/>
      <c r="FSP236" s="1"/>
      <c r="FSQ236" s="1"/>
      <c r="FSR236" s="1"/>
      <c r="FSS236" s="1"/>
      <c r="FST236" s="1"/>
      <c r="FSU236" s="1"/>
      <c r="FSV236" s="1"/>
      <c r="FSW236" s="1"/>
      <c r="FSX236" s="1"/>
      <c r="FSY236" s="1"/>
      <c r="FSZ236" s="1"/>
      <c r="FTA236" s="1"/>
      <c r="FTB236" s="1"/>
      <c r="FTC236" s="1"/>
      <c r="FTD236" s="1"/>
      <c r="FTE236" s="1"/>
      <c r="FTF236" s="1"/>
      <c r="FTG236" s="1"/>
      <c r="FTH236" s="1"/>
      <c r="FTI236" s="1"/>
      <c r="FTJ236" s="1"/>
      <c r="FTK236" s="1"/>
      <c r="FTL236" s="1"/>
      <c r="FTM236" s="1"/>
      <c r="FTN236" s="1"/>
      <c r="FTO236" s="1"/>
      <c r="FTP236" s="1"/>
      <c r="FTQ236" s="1"/>
      <c r="FTR236" s="1"/>
      <c r="FTS236" s="1"/>
      <c r="FTT236" s="1"/>
      <c r="FTU236" s="1"/>
      <c r="FTV236" s="1"/>
      <c r="FTW236" s="1"/>
      <c r="FTX236" s="1"/>
      <c r="FTY236" s="1"/>
      <c r="FTZ236" s="1"/>
      <c r="FUA236" s="1"/>
      <c r="FUB236" s="1"/>
      <c r="FUC236" s="1"/>
      <c r="FUD236" s="1"/>
      <c r="FUE236" s="1"/>
      <c r="FUF236" s="1"/>
      <c r="FUG236" s="1"/>
      <c r="FUH236" s="1"/>
      <c r="FUI236" s="1"/>
      <c r="FUJ236" s="1"/>
      <c r="FUK236" s="1"/>
      <c r="FUL236" s="1"/>
      <c r="FUM236" s="1"/>
      <c r="FUN236" s="1"/>
      <c r="FUO236" s="1"/>
      <c r="FUP236" s="1"/>
      <c r="FUQ236" s="1"/>
      <c r="FUR236" s="1"/>
      <c r="FUS236" s="1"/>
      <c r="FUT236" s="1"/>
      <c r="FUU236" s="1"/>
      <c r="FUV236" s="1"/>
      <c r="FUW236" s="1"/>
      <c r="FUX236" s="1"/>
      <c r="FUY236" s="1"/>
      <c r="FUZ236" s="1"/>
      <c r="FVA236" s="1"/>
      <c r="FVB236" s="1"/>
      <c r="FVC236" s="1"/>
      <c r="FVD236" s="1"/>
      <c r="FVE236" s="1"/>
      <c r="FVF236" s="1"/>
      <c r="FVG236" s="1"/>
      <c r="FVH236" s="1"/>
      <c r="FVI236" s="1"/>
      <c r="FVJ236" s="1"/>
      <c r="FVK236" s="1"/>
      <c r="FVL236" s="1"/>
      <c r="FVM236" s="1"/>
      <c r="FVN236" s="1"/>
      <c r="FVO236" s="1"/>
      <c r="FVP236" s="1"/>
      <c r="FVQ236" s="1"/>
      <c r="FVR236" s="1"/>
      <c r="FVS236" s="1"/>
      <c r="FVT236" s="1"/>
      <c r="FVU236" s="1"/>
      <c r="FVV236" s="1"/>
      <c r="FVW236" s="1"/>
      <c r="FVX236" s="1"/>
      <c r="FVY236" s="1"/>
      <c r="FVZ236" s="1"/>
      <c r="FWA236" s="1"/>
      <c r="FWB236" s="1"/>
      <c r="FWC236" s="1"/>
      <c r="FWD236" s="1"/>
      <c r="FWE236" s="1"/>
      <c r="FWF236" s="1"/>
      <c r="FWG236" s="1"/>
      <c r="FWH236" s="1"/>
      <c r="FWI236" s="1"/>
      <c r="FWJ236" s="1"/>
      <c r="FWK236" s="1"/>
      <c r="FWL236" s="1"/>
      <c r="FWM236" s="1"/>
      <c r="FWN236" s="1"/>
      <c r="FWO236" s="1"/>
      <c r="FWP236" s="1"/>
      <c r="FWQ236" s="1"/>
      <c r="FWR236" s="1"/>
      <c r="FWS236" s="1"/>
      <c r="FWT236" s="1"/>
      <c r="FWU236" s="1"/>
      <c r="FWV236" s="1"/>
      <c r="FWW236" s="1"/>
      <c r="FWX236" s="1"/>
      <c r="FWY236" s="1"/>
      <c r="FWZ236" s="1"/>
      <c r="FXA236" s="1"/>
      <c r="FXB236" s="1"/>
      <c r="FXC236" s="1"/>
      <c r="FXD236" s="1"/>
      <c r="FXE236" s="1"/>
      <c r="FXF236" s="1"/>
      <c r="FXG236" s="1"/>
      <c r="FXH236" s="1"/>
      <c r="FXI236" s="1"/>
      <c r="FXJ236" s="1"/>
      <c r="FXK236" s="1"/>
      <c r="FXL236" s="1"/>
      <c r="FXM236" s="1"/>
      <c r="FXN236" s="1"/>
      <c r="FXO236" s="1"/>
      <c r="FXP236" s="1"/>
      <c r="FXQ236" s="1"/>
      <c r="FXR236" s="1"/>
      <c r="FXS236" s="1"/>
      <c r="FXT236" s="1"/>
      <c r="FXU236" s="1"/>
      <c r="FXV236" s="1"/>
      <c r="FXW236" s="1"/>
      <c r="FXX236" s="1"/>
      <c r="FXY236" s="1"/>
      <c r="FXZ236" s="1"/>
      <c r="FYA236" s="1"/>
      <c r="FYB236" s="1"/>
      <c r="FYC236" s="1"/>
      <c r="FYD236" s="1"/>
      <c r="FYE236" s="1"/>
      <c r="FYF236" s="1"/>
      <c r="FYG236" s="1"/>
      <c r="FYH236" s="1"/>
      <c r="FYI236" s="1"/>
      <c r="FYJ236" s="1"/>
      <c r="FYK236" s="1"/>
      <c r="FYL236" s="1"/>
      <c r="FYM236" s="1"/>
      <c r="FYN236" s="1"/>
      <c r="FYO236" s="1"/>
      <c r="FYP236" s="1"/>
      <c r="FYQ236" s="1"/>
      <c r="FYR236" s="1"/>
      <c r="FYS236" s="1"/>
      <c r="FYT236" s="1"/>
      <c r="FYU236" s="1"/>
      <c r="FYV236" s="1"/>
      <c r="FYW236" s="1"/>
      <c r="FYX236" s="1"/>
      <c r="FYY236" s="1"/>
      <c r="FYZ236" s="1"/>
      <c r="FZA236" s="1"/>
      <c r="FZB236" s="1"/>
      <c r="FZC236" s="1"/>
      <c r="FZD236" s="1"/>
      <c r="FZE236" s="1"/>
      <c r="FZF236" s="1"/>
      <c r="FZG236" s="1"/>
      <c r="FZH236" s="1"/>
      <c r="FZI236" s="1"/>
      <c r="FZJ236" s="1"/>
      <c r="FZK236" s="1"/>
      <c r="FZL236" s="1"/>
      <c r="FZM236" s="1"/>
      <c r="FZN236" s="1"/>
      <c r="FZO236" s="1"/>
      <c r="FZP236" s="1"/>
      <c r="FZQ236" s="1"/>
      <c r="FZR236" s="1"/>
      <c r="FZS236" s="1"/>
      <c r="FZT236" s="1"/>
      <c r="FZU236" s="1"/>
      <c r="FZV236" s="1"/>
      <c r="FZW236" s="1"/>
      <c r="FZX236" s="1"/>
      <c r="FZY236" s="1"/>
      <c r="FZZ236" s="1"/>
      <c r="GAA236" s="1"/>
      <c r="GAB236" s="1"/>
      <c r="GAC236" s="1"/>
      <c r="GAD236" s="1"/>
      <c r="GAE236" s="1"/>
      <c r="GAF236" s="1"/>
      <c r="GAG236" s="1"/>
      <c r="GAH236" s="1"/>
      <c r="GAI236" s="1"/>
      <c r="GAJ236" s="1"/>
      <c r="GAK236" s="1"/>
      <c r="GAL236" s="1"/>
      <c r="GAM236" s="1"/>
      <c r="GAN236" s="1"/>
      <c r="GAO236" s="1"/>
      <c r="GAP236" s="1"/>
      <c r="GAQ236" s="1"/>
      <c r="GAR236" s="1"/>
      <c r="GAS236" s="1"/>
      <c r="GAT236" s="1"/>
      <c r="GAU236" s="1"/>
      <c r="GAV236" s="1"/>
      <c r="GAW236" s="1"/>
      <c r="GAX236" s="1"/>
      <c r="GAY236" s="1"/>
      <c r="GAZ236" s="1"/>
      <c r="GBA236" s="1"/>
      <c r="GBB236" s="1"/>
      <c r="GBC236" s="1"/>
      <c r="GBD236" s="1"/>
      <c r="GBE236" s="1"/>
      <c r="GBF236" s="1"/>
      <c r="GBG236" s="1"/>
      <c r="GBH236" s="1"/>
      <c r="GBI236" s="1"/>
      <c r="GBJ236" s="1"/>
      <c r="GBK236" s="1"/>
      <c r="GBL236" s="1"/>
      <c r="GBM236" s="1"/>
      <c r="GBN236" s="1"/>
      <c r="GBO236" s="1"/>
      <c r="GBP236" s="1"/>
      <c r="GBQ236" s="1"/>
      <c r="GBR236" s="1"/>
      <c r="GBS236" s="1"/>
      <c r="GBT236" s="1"/>
      <c r="GBU236" s="1"/>
      <c r="GBV236" s="1"/>
      <c r="GBW236" s="1"/>
      <c r="GBX236" s="1"/>
      <c r="GBY236" s="1"/>
      <c r="GBZ236" s="1"/>
      <c r="GCA236" s="1"/>
      <c r="GCB236" s="1"/>
      <c r="GCC236" s="1"/>
      <c r="GCD236" s="1"/>
      <c r="GCE236" s="1"/>
      <c r="GCF236" s="1"/>
      <c r="GCG236" s="1"/>
      <c r="GCH236" s="1"/>
      <c r="GCI236" s="1"/>
      <c r="GCJ236" s="1"/>
      <c r="GCK236" s="1"/>
      <c r="GCL236" s="1"/>
      <c r="GCM236" s="1"/>
      <c r="GCN236" s="1"/>
      <c r="GCO236" s="1"/>
      <c r="GCP236" s="1"/>
      <c r="GCQ236" s="1"/>
      <c r="GCR236" s="1"/>
      <c r="GCS236" s="1"/>
      <c r="GCT236" s="1"/>
      <c r="GCU236" s="1"/>
      <c r="GCV236" s="1"/>
      <c r="GCW236" s="1"/>
      <c r="GCX236" s="1"/>
      <c r="GCY236" s="1"/>
      <c r="GCZ236" s="1"/>
      <c r="GDA236" s="1"/>
      <c r="GDB236" s="1"/>
      <c r="GDC236" s="1"/>
      <c r="GDD236" s="1"/>
      <c r="GDE236" s="1"/>
      <c r="GDF236" s="1"/>
      <c r="GDG236" s="1"/>
      <c r="GDH236" s="1"/>
      <c r="GDI236" s="1"/>
      <c r="GDJ236" s="1"/>
      <c r="GDK236" s="1"/>
      <c r="GDL236" s="1"/>
      <c r="GDM236" s="1"/>
      <c r="GDN236" s="1"/>
      <c r="GDO236" s="1"/>
      <c r="GDP236" s="1"/>
      <c r="GDQ236" s="1"/>
      <c r="GDR236" s="1"/>
      <c r="GDS236" s="1"/>
      <c r="GDT236" s="1"/>
      <c r="GDU236" s="1"/>
      <c r="GDV236" s="1"/>
      <c r="GDW236" s="1"/>
      <c r="GDX236" s="1"/>
      <c r="GDY236" s="1"/>
      <c r="GDZ236" s="1"/>
      <c r="GEA236" s="1"/>
      <c r="GEB236" s="1"/>
      <c r="GEC236" s="1"/>
      <c r="GED236" s="1"/>
      <c r="GEE236" s="1"/>
      <c r="GEF236" s="1"/>
      <c r="GEG236" s="1"/>
      <c r="GEH236" s="1"/>
      <c r="GEI236" s="1"/>
      <c r="GEJ236" s="1"/>
      <c r="GEK236" s="1"/>
      <c r="GEL236" s="1"/>
      <c r="GEM236" s="1"/>
      <c r="GEN236" s="1"/>
      <c r="GEO236" s="1"/>
      <c r="GEP236" s="1"/>
      <c r="GEQ236" s="1"/>
      <c r="GER236" s="1"/>
      <c r="GES236" s="1"/>
      <c r="GET236" s="1"/>
      <c r="GEU236" s="1"/>
      <c r="GEV236" s="1"/>
      <c r="GEW236" s="1"/>
      <c r="GEX236" s="1"/>
      <c r="GEY236" s="1"/>
      <c r="GEZ236" s="1"/>
      <c r="GFA236" s="1"/>
      <c r="GFB236" s="1"/>
      <c r="GFC236" s="1"/>
      <c r="GFD236" s="1"/>
      <c r="GFE236" s="1"/>
      <c r="GFF236" s="1"/>
      <c r="GFG236" s="1"/>
      <c r="GFH236" s="1"/>
      <c r="GFI236" s="1"/>
      <c r="GFJ236" s="1"/>
      <c r="GFK236" s="1"/>
      <c r="GFL236" s="1"/>
      <c r="GFM236" s="1"/>
      <c r="GFN236" s="1"/>
      <c r="GFO236" s="1"/>
      <c r="GFP236" s="1"/>
      <c r="GFQ236" s="1"/>
      <c r="GFR236" s="1"/>
      <c r="GFS236" s="1"/>
      <c r="GFT236" s="1"/>
      <c r="GFU236" s="1"/>
      <c r="GFV236" s="1"/>
      <c r="GFW236" s="1"/>
      <c r="GFX236" s="1"/>
      <c r="GFY236" s="1"/>
      <c r="GFZ236" s="1"/>
      <c r="GGA236" s="1"/>
      <c r="GGB236" s="1"/>
      <c r="GGC236" s="1"/>
      <c r="GGD236" s="1"/>
      <c r="GGE236" s="1"/>
      <c r="GGF236" s="1"/>
      <c r="GGG236" s="1"/>
      <c r="GGH236" s="1"/>
      <c r="GGI236" s="1"/>
      <c r="GGJ236" s="1"/>
      <c r="GGK236" s="1"/>
      <c r="GGL236" s="1"/>
      <c r="GGM236" s="1"/>
      <c r="GGN236" s="1"/>
      <c r="GGO236" s="1"/>
      <c r="GGP236" s="1"/>
      <c r="GGQ236" s="1"/>
      <c r="GGR236" s="1"/>
      <c r="GGS236" s="1"/>
      <c r="GGT236" s="1"/>
      <c r="GGU236" s="1"/>
      <c r="GGV236" s="1"/>
      <c r="GGW236" s="1"/>
      <c r="GGX236" s="1"/>
      <c r="GGY236" s="1"/>
      <c r="GGZ236" s="1"/>
      <c r="GHA236" s="1"/>
      <c r="GHB236" s="1"/>
      <c r="GHC236" s="1"/>
      <c r="GHD236" s="1"/>
      <c r="GHE236" s="1"/>
      <c r="GHF236" s="1"/>
      <c r="GHG236" s="1"/>
      <c r="GHH236" s="1"/>
      <c r="GHI236" s="1"/>
      <c r="GHJ236" s="1"/>
      <c r="GHK236" s="1"/>
      <c r="GHL236" s="1"/>
      <c r="GHM236" s="1"/>
      <c r="GHN236" s="1"/>
      <c r="GHO236" s="1"/>
      <c r="GHP236" s="1"/>
      <c r="GHQ236" s="1"/>
      <c r="GHR236" s="1"/>
      <c r="GHS236" s="1"/>
      <c r="GHT236" s="1"/>
      <c r="GHU236" s="1"/>
      <c r="GHV236" s="1"/>
      <c r="GHW236" s="1"/>
      <c r="GHX236" s="1"/>
      <c r="GHY236" s="1"/>
      <c r="GHZ236" s="1"/>
      <c r="GIA236" s="1"/>
      <c r="GIB236" s="1"/>
      <c r="GIC236" s="1"/>
      <c r="GID236" s="1"/>
      <c r="GIE236" s="1"/>
      <c r="GIF236" s="1"/>
      <c r="GIG236" s="1"/>
      <c r="GIH236" s="1"/>
      <c r="GII236" s="1"/>
      <c r="GIJ236" s="1"/>
      <c r="GIK236" s="1"/>
      <c r="GIL236" s="1"/>
      <c r="GIM236" s="1"/>
      <c r="GIN236" s="1"/>
      <c r="GIO236" s="1"/>
      <c r="GIP236" s="1"/>
      <c r="GIQ236" s="1"/>
      <c r="GIR236" s="1"/>
      <c r="GIS236" s="1"/>
      <c r="GIT236" s="1"/>
      <c r="GIU236" s="1"/>
      <c r="GIV236" s="1"/>
      <c r="GIW236" s="1"/>
      <c r="GIX236" s="1"/>
      <c r="GIY236" s="1"/>
      <c r="GIZ236" s="1"/>
      <c r="GJA236" s="1"/>
      <c r="GJB236" s="1"/>
      <c r="GJC236" s="1"/>
      <c r="GJD236" s="1"/>
      <c r="GJE236" s="1"/>
      <c r="GJF236" s="1"/>
      <c r="GJG236" s="1"/>
      <c r="GJH236" s="1"/>
      <c r="GJI236" s="1"/>
      <c r="GJJ236" s="1"/>
      <c r="GJK236" s="1"/>
      <c r="GJL236" s="1"/>
      <c r="GJM236" s="1"/>
      <c r="GJN236" s="1"/>
      <c r="GJO236" s="1"/>
      <c r="GJP236" s="1"/>
      <c r="GJQ236" s="1"/>
      <c r="GJR236" s="1"/>
      <c r="GJS236" s="1"/>
      <c r="GJT236" s="1"/>
      <c r="GJU236" s="1"/>
      <c r="GJV236" s="1"/>
      <c r="GJW236" s="1"/>
      <c r="GJX236" s="1"/>
      <c r="GJY236" s="1"/>
      <c r="GJZ236" s="1"/>
      <c r="GKA236" s="1"/>
      <c r="GKB236" s="1"/>
      <c r="GKC236" s="1"/>
      <c r="GKD236" s="1"/>
      <c r="GKE236" s="1"/>
      <c r="GKF236" s="1"/>
      <c r="GKG236" s="1"/>
      <c r="GKH236" s="1"/>
      <c r="GKI236" s="1"/>
      <c r="GKJ236" s="1"/>
      <c r="GKK236" s="1"/>
      <c r="GKL236" s="1"/>
      <c r="GKM236" s="1"/>
      <c r="GKN236" s="1"/>
      <c r="GKO236" s="1"/>
      <c r="GKP236" s="1"/>
      <c r="GKQ236" s="1"/>
      <c r="GKR236" s="1"/>
      <c r="GKS236" s="1"/>
      <c r="GKT236" s="1"/>
      <c r="GKU236" s="1"/>
      <c r="GKV236" s="1"/>
      <c r="GKW236" s="1"/>
      <c r="GKX236" s="1"/>
      <c r="GKY236" s="1"/>
      <c r="GKZ236" s="1"/>
      <c r="GLA236" s="1"/>
      <c r="GLB236" s="1"/>
      <c r="GLC236" s="1"/>
      <c r="GLD236" s="1"/>
      <c r="GLE236" s="1"/>
      <c r="GLF236" s="1"/>
      <c r="GLG236" s="1"/>
      <c r="GLH236" s="1"/>
      <c r="GLI236" s="1"/>
      <c r="GLJ236" s="1"/>
      <c r="GLK236" s="1"/>
      <c r="GLL236" s="1"/>
      <c r="GLM236" s="1"/>
      <c r="GLN236" s="1"/>
      <c r="GLO236" s="1"/>
      <c r="GLP236" s="1"/>
      <c r="GLQ236" s="1"/>
      <c r="GLR236" s="1"/>
      <c r="GLS236" s="1"/>
      <c r="GLT236" s="1"/>
      <c r="GLU236" s="1"/>
      <c r="GLV236" s="1"/>
      <c r="GLW236" s="1"/>
      <c r="GLX236" s="1"/>
      <c r="GLY236" s="1"/>
      <c r="GLZ236" s="1"/>
      <c r="GMA236" s="1"/>
      <c r="GMB236" s="1"/>
      <c r="GMC236" s="1"/>
      <c r="GMD236" s="1"/>
      <c r="GME236" s="1"/>
      <c r="GMF236" s="1"/>
      <c r="GMG236" s="1"/>
      <c r="GMH236" s="1"/>
      <c r="GMI236" s="1"/>
      <c r="GMJ236" s="1"/>
      <c r="GMK236" s="1"/>
      <c r="GML236" s="1"/>
      <c r="GMM236" s="1"/>
      <c r="GMN236" s="1"/>
      <c r="GMO236" s="1"/>
      <c r="GMP236" s="1"/>
      <c r="GMQ236" s="1"/>
      <c r="GMR236" s="1"/>
      <c r="GMS236" s="1"/>
      <c r="GMT236" s="1"/>
      <c r="GMU236" s="1"/>
      <c r="GMV236" s="1"/>
      <c r="GMW236" s="1"/>
      <c r="GMX236" s="1"/>
      <c r="GMY236" s="1"/>
      <c r="GMZ236" s="1"/>
      <c r="GNA236" s="1"/>
      <c r="GNB236" s="1"/>
      <c r="GNC236" s="1"/>
      <c r="GND236" s="1"/>
      <c r="GNE236" s="1"/>
      <c r="GNF236" s="1"/>
      <c r="GNG236" s="1"/>
      <c r="GNH236" s="1"/>
      <c r="GNI236" s="1"/>
      <c r="GNJ236" s="1"/>
      <c r="GNK236" s="1"/>
      <c r="GNL236" s="1"/>
      <c r="GNM236" s="1"/>
      <c r="GNN236" s="1"/>
      <c r="GNO236" s="1"/>
      <c r="GNP236" s="1"/>
      <c r="GNQ236" s="1"/>
      <c r="GNR236" s="1"/>
      <c r="GNS236" s="1"/>
      <c r="GNT236" s="1"/>
      <c r="GNU236" s="1"/>
      <c r="GNV236" s="1"/>
      <c r="GNW236" s="1"/>
      <c r="GNX236" s="1"/>
      <c r="GNY236" s="1"/>
      <c r="GNZ236" s="1"/>
      <c r="GOA236" s="1"/>
      <c r="GOB236" s="1"/>
      <c r="GOC236" s="1"/>
      <c r="GOD236" s="1"/>
      <c r="GOE236" s="1"/>
      <c r="GOF236" s="1"/>
      <c r="GOG236" s="1"/>
      <c r="GOH236" s="1"/>
      <c r="GOI236" s="1"/>
      <c r="GOJ236" s="1"/>
      <c r="GOK236" s="1"/>
      <c r="GOL236" s="1"/>
      <c r="GOM236" s="1"/>
      <c r="GON236" s="1"/>
      <c r="GOO236" s="1"/>
      <c r="GOP236" s="1"/>
      <c r="GOQ236" s="1"/>
      <c r="GOR236" s="1"/>
      <c r="GOS236" s="1"/>
      <c r="GOT236" s="1"/>
      <c r="GOU236" s="1"/>
      <c r="GOV236" s="1"/>
      <c r="GOW236" s="1"/>
      <c r="GOX236" s="1"/>
      <c r="GOY236" s="1"/>
      <c r="GOZ236" s="1"/>
      <c r="GPA236" s="1"/>
      <c r="GPB236" s="1"/>
      <c r="GPC236" s="1"/>
      <c r="GPD236" s="1"/>
      <c r="GPE236" s="1"/>
      <c r="GPF236" s="1"/>
      <c r="GPG236" s="1"/>
      <c r="GPH236" s="1"/>
      <c r="GPI236" s="1"/>
      <c r="GPJ236" s="1"/>
      <c r="GPK236" s="1"/>
      <c r="GPL236" s="1"/>
      <c r="GPM236" s="1"/>
      <c r="GPN236" s="1"/>
      <c r="GPO236" s="1"/>
      <c r="GPP236" s="1"/>
      <c r="GPQ236" s="1"/>
      <c r="GPR236" s="1"/>
      <c r="GPS236" s="1"/>
      <c r="GPT236" s="1"/>
      <c r="GPU236" s="1"/>
      <c r="GPV236" s="1"/>
      <c r="GPW236" s="1"/>
      <c r="GPX236" s="1"/>
      <c r="GPY236" s="1"/>
      <c r="GPZ236" s="1"/>
      <c r="GQA236" s="1"/>
      <c r="GQB236" s="1"/>
      <c r="GQC236" s="1"/>
      <c r="GQD236" s="1"/>
      <c r="GQE236" s="1"/>
      <c r="GQF236" s="1"/>
      <c r="GQG236" s="1"/>
      <c r="GQH236" s="1"/>
      <c r="GQI236" s="1"/>
      <c r="GQJ236" s="1"/>
      <c r="GQK236" s="1"/>
      <c r="GQL236" s="1"/>
      <c r="GQM236" s="1"/>
      <c r="GQN236" s="1"/>
      <c r="GQO236" s="1"/>
      <c r="GQP236" s="1"/>
      <c r="GQQ236" s="1"/>
      <c r="GQR236" s="1"/>
      <c r="GQS236" s="1"/>
      <c r="GQT236" s="1"/>
      <c r="GQU236" s="1"/>
      <c r="GQV236" s="1"/>
      <c r="GQW236" s="1"/>
      <c r="GQX236" s="1"/>
      <c r="GQY236" s="1"/>
      <c r="GQZ236" s="1"/>
      <c r="GRA236" s="1"/>
      <c r="GRB236" s="1"/>
      <c r="GRC236" s="1"/>
      <c r="GRD236" s="1"/>
      <c r="GRE236" s="1"/>
      <c r="GRF236" s="1"/>
      <c r="GRG236" s="1"/>
      <c r="GRH236" s="1"/>
      <c r="GRI236" s="1"/>
      <c r="GRJ236" s="1"/>
      <c r="GRK236" s="1"/>
      <c r="GRL236" s="1"/>
      <c r="GRM236" s="1"/>
      <c r="GRN236" s="1"/>
      <c r="GRO236" s="1"/>
      <c r="GRP236" s="1"/>
      <c r="GRQ236" s="1"/>
      <c r="GRR236" s="1"/>
      <c r="GRS236" s="1"/>
      <c r="GRT236" s="1"/>
      <c r="GRU236" s="1"/>
      <c r="GRV236" s="1"/>
      <c r="GRW236" s="1"/>
      <c r="GRX236" s="1"/>
      <c r="GRY236" s="1"/>
      <c r="GRZ236" s="1"/>
      <c r="GSA236" s="1"/>
      <c r="GSB236" s="1"/>
      <c r="GSC236" s="1"/>
      <c r="GSD236" s="1"/>
      <c r="GSE236" s="1"/>
      <c r="GSF236" s="1"/>
      <c r="GSG236" s="1"/>
      <c r="GSH236" s="1"/>
      <c r="GSI236" s="1"/>
      <c r="GSJ236" s="1"/>
      <c r="GSK236" s="1"/>
      <c r="GSL236" s="1"/>
      <c r="GSM236" s="1"/>
      <c r="GSN236" s="1"/>
      <c r="GSO236" s="1"/>
      <c r="GSP236" s="1"/>
      <c r="GSQ236" s="1"/>
      <c r="GSR236" s="1"/>
      <c r="GSS236" s="1"/>
      <c r="GST236" s="1"/>
      <c r="GSU236" s="1"/>
      <c r="GSV236" s="1"/>
      <c r="GSW236" s="1"/>
      <c r="GSX236" s="1"/>
      <c r="GSY236" s="1"/>
      <c r="GSZ236" s="1"/>
      <c r="GTA236" s="1"/>
      <c r="GTB236" s="1"/>
      <c r="GTC236" s="1"/>
      <c r="GTD236" s="1"/>
      <c r="GTE236" s="1"/>
      <c r="GTF236" s="1"/>
      <c r="GTG236" s="1"/>
      <c r="GTH236" s="1"/>
      <c r="GTI236" s="1"/>
      <c r="GTJ236" s="1"/>
      <c r="GTK236" s="1"/>
      <c r="GTL236" s="1"/>
      <c r="GTM236" s="1"/>
      <c r="GTN236" s="1"/>
      <c r="GTO236" s="1"/>
      <c r="GTP236" s="1"/>
      <c r="GTQ236" s="1"/>
      <c r="GTR236" s="1"/>
      <c r="GTS236" s="1"/>
      <c r="GTT236" s="1"/>
      <c r="GTU236" s="1"/>
      <c r="GTV236" s="1"/>
      <c r="GTW236" s="1"/>
      <c r="GTX236" s="1"/>
      <c r="GTY236" s="1"/>
      <c r="GTZ236" s="1"/>
      <c r="GUA236" s="1"/>
      <c r="GUB236" s="1"/>
      <c r="GUC236" s="1"/>
      <c r="GUD236" s="1"/>
      <c r="GUE236" s="1"/>
      <c r="GUF236" s="1"/>
      <c r="GUG236" s="1"/>
      <c r="GUH236" s="1"/>
      <c r="GUI236" s="1"/>
      <c r="GUJ236" s="1"/>
      <c r="GUK236" s="1"/>
      <c r="GUL236" s="1"/>
      <c r="GUM236" s="1"/>
      <c r="GUN236" s="1"/>
      <c r="GUO236" s="1"/>
      <c r="GUP236" s="1"/>
      <c r="GUQ236" s="1"/>
      <c r="GUR236" s="1"/>
      <c r="GUS236" s="1"/>
      <c r="GUT236" s="1"/>
      <c r="GUU236" s="1"/>
      <c r="GUV236" s="1"/>
      <c r="GUW236" s="1"/>
      <c r="GUX236" s="1"/>
      <c r="GUY236" s="1"/>
      <c r="GUZ236" s="1"/>
      <c r="GVA236" s="1"/>
      <c r="GVB236" s="1"/>
      <c r="GVC236" s="1"/>
      <c r="GVD236" s="1"/>
      <c r="GVE236" s="1"/>
      <c r="GVF236" s="1"/>
      <c r="GVG236" s="1"/>
      <c r="GVH236" s="1"/>
      <c r="GVI236" s="1"/>
      <c r="GVJ236" s="1"/>
      <c r="GVK236" s="1"/>
      <c r="GVL236" s="1"/>
      <c r="GVM236" s="1"/>
      <c r="GVN236" s="1"/>
      <c r="GVO236" s="1"/>
      <c r="GVP236" s="1"/>
      <c r="GVQ236" s="1"/>
      <c r="GVR236" s="1"/>
      <c r="GVS236" s="1"/>
      <c r="GVT236" s="1"/>
      <c r="GVU236" s="1"/>
      <c r="GVV236" s="1"/>
      <c r="GVW236" s="1"/>
      <c r="GVX236" s="1"/>
      <c r="GVY236" s="1"/>
      <c r="GVZ236" s="1"/>
      <c r="GWA236" s="1"/>
      <c r="GWB236" s="1"/>
      <c r="GWC236" s="1"/>
      <c r="GWD236" s="1"/>
      <c r="GWE236" s="1"/>
      <c r="GWF236" s="1"/>
      <c r="GWG236" s="1"/>
      <c r="GWH236" s="1"/>
      <c r="GWI236" s="1"/>
      <c r="GWJ236" s="1"/>
      <c r="GWK236" s="1"/>
      <c r="GWL236" s="1"/>
      <c r="GWM236" s="1"/>
      <c r="GWN236" s="1"/>
      <c r="GWO236" s="1"/>
      <c r="GWP236" s="1"/>
      <c r="GWQ236" s="1"/>
      <c r="GWR236" s="1"/>
      <c r="GWS236" s="1"/>
      <c r="GWT236" s="1"/>
      <c r="GWU236" s="1"/>
      <c r="GWV236" s="1"/>
      <c r="GWW236" s="1"/>
      <c r="GWX236" s="1"/>
      <c r="GWY236" s="1"/>
      <c r="GWZ236" s="1"/>
      <c r="GXA236" s="1"/>
      <c r="GXB236" s="1"/>
      <c r="GXC236" s="1"/>
      <c r="GXD236" s="1"/>
      <c r="GXE236" s="1"/>
      <c r="GXF236" s="1"/>
      <c r="GXG236" s="1"/>
      <c r="GXH236" s="1"/>
      <c r="GXI236" s="1"/>
      <c r="GXJ236" s="1"/>
      <c r="GXK236" s="1"/>
      <c r="GXL236" s="1"/>
      <c r="GXM236" s="1"/>
      <c r="GXN236" s="1"/>
      <c r="GXO236" s="1"/>
      <c r="GXP236" s="1"/>
      <c r="GXQ236" s="1"/>
      <c r="GXR236" s="1"/>
      <c r="GXS236" s="1"/>
      <c r="GXT236" s="1"/>
      <c r="GXU236" s="1"/>
      <c r="GXV236" s="1"/>
      <c r="GXW236" s="1"/>
      <c r="GXX236" s="1"/>
      <c r="GXY236" s="1"/>
      <c r="GXZ236" s="1"/>
      <c r="GYA236" s="1"/>
      <c r="GYB236" s="1"/>
      <c r="GYC236" s="1"/>
      <c r="GYD236" s="1"/>
      <c r="GYE236" s="1"/>
      <c r="GYF236" s="1"/>
      <c r="GYG236" s="1"/>
      <c r="GYH236" s="1"/>
      <c r="GYI236" s="1"/>
      <c r="GYJ236" s="1"/>
      <c r="GYK236" s="1"/>
      <c r="GYL236" s="1"/>
      <c r="GYM236" s="1"/>
      <c r="GYN236" s="1"/>
      <c r="GYO236" s="1"/>
      <c r="GYP236" s="1"/>
      <c r="GYQ236" s="1"/>
      <c r="GYR236" s="1"/>
      <c r="GYS236" s="1"/>
      <c r="GYT236" s="1"/>
      <c r="GYU236" s="1"/>
      <c r="GYV236" s="1"/>
      <c r="GYW236" s="1"/>
      <c r="GYX236" s="1"/>
      <c r="GYY236" s="1"/>
      <c r="GYZ236" s="1"/>
      <c r="GZA236" s="1"/>
      <c r="GZB236" s="1"/>
      <c r="GZC236" s="1"/>
      <c r="GZD236" s="1"/>
      <c r="GZE236" s="1"/>
      <c r="GZF236" s="1"/>
      <c r="GZG236" s="1"/>
      <c r="GZH236" s="1"/>
      <c r="GZI236" s="1"/>
      <c r="GZJ236" s="1"/>
      <c r="GZK236" s="1"/>
      <c r="GZL236" s="1"/>
      <c r="GZM236" s="1"/>
      <c r="GZN236" s="1"/>
      <c r="GZO236" s="1"/>
      <c r="GZP236" s="1"/>
      <c r="GZQ236" s="1"/>
      <c r="GZR236" s="1"/>
      <c r="GZS236" s="1"/>
      <c r="GZT236" s="1"/>
      <c r="GZU236" s="1"/>
      <c r="GZV236" s="1"/>
      <c r="GZW236" s="1"/>
      <c r="GZX236" s="1"/>
      <c r="GZY236" s="1"/>
      <c r="GZZ236" s="1"/>
      <c r="HAA236" s="1"/>
      <c r="HAB236" s="1"/>
      <c r="HAC236" s="1"/>
      <c r="HAD236" s="1"/>
      <c r="HAE236" s="1"/>
      <c r="HAF236" s="1"/>
      <c r="HAG236" s="1"/>
      <c r="HAH236" s="1"/>
      <c r="HAI236" s="1"/>
      <c r="HAJ236" s="1"/>
      <c r="HAK236" s="1"/>
      <c r="HAL236" s="1"/>
      <c r="HAM236" s="1"/>
      <c r="HAN236" s="1"/>
      <c r="HAO236" s="1"/>
      <c r="HAP236" s="1"/>
      <c r="HAQ236" s="1"/>
      <c r="HAR236" s="1"/>
      <c r="HAS236" s="1"/>
      <c r="HAT236" s="1"/>
      <c r="HAU236" s="1"/>
      <c r="HAV236" s="1"/>
      <c r="HAW236" s="1"/>
      <c r="HAX236" s="1"/>
      <c r="HAY236" s="1"/>
      <c r="HAZ236" s="1"/>
      <c r="HBA236" s="1"/>
      <c r="HBB236" s="1"/>
      <c r="HBC236" s="1"/>
      <c r="HBD236" s="1"/>
      <c r="HBE236" s="1"/>
      <c r="HBF236" s="1"/>
      <c r="HBG236" s="1"/>
      <c r="HBH236" s="1"/>
      <c r="HBI236" s="1"/>
      <c r="HBJ236" s="1"/>
      <c r="HBK236" s="1"/>
      <c r="HBL236" s="1"/>
      <c r="HBM236" s="1"/>
      <c r="HBN236" s="1"/>
      <c r="HBO236" s="1"/>
      <c r="HBP236" s="1"/>
      <c r="HBQ236" s="1"/>
      <c r="HBR236" s="1"/>
      <c r="HBS236" s="1"/>
      <c r="HBT236" s="1"/>
      <c r="HBU236" s="1"/>
      <c r="HBV236" s="1"/>
      <c r="HBW236" s="1"/>
      <c r="HBX236" s="1"/>
      <c r="HBY236" s="1"/>
      <c r="HBZ236" s="1"/>
      <c r="HCA236" s="1"/>
      <c r="HCB236" s="1"/>
      <c r="HCC236" s="1"/>
      <c r="HCD236" s="1"/>
      <c r="HCE236" s="1"/>
      <c r="HCF236" s="1"/>
      <c r="HCG236" s="1"/>
      <c r="HCH236" s="1"/>
      <c r="HCI236" s="1"/>
      <c r="HCJ236" s="1"/>
      <c r="HCK236" s="1"/>
      <c r="HCL236" s="1"/>
      <c r="HCM236" s="1"/>
      <c r="HCN236" s="1"/>
      <c r="HCO236" s="1"/>
      <c r="HCP236" s="1"/>
      <c r="HCQ236" s="1"/>
      <c r="HCR236" s="1"/>
      <c r="HCS236" s="1"/>
      <c r="HCT236" s="1"/>
      <c r="HCU236" s="1"/>
      <c r="HCV236" s="1"/>
      <c r="HCW236" s="1"/>
      <c r="HCX236" s="1"/>
      <c r="HCY236" s="1"/>
      <c r="HCZ236" s="1"/>
      <c r="HDA236" s="1"/>
      <c r="HDB236" s="1"/>
      <c r="HDC236" s="1"/>
      <c r="HDD236" s="1"/>
      <c r="HDE236" s="1"/>
      <c r="HDF236" s="1"/>
      <c r="HDG236" s="1"/>
      <c r="HDH236" s="1"/>
      <c r="HDI236" s="1"/>
      <c r="HDJ236" s="1"/>
      <c r="HDK236" s="1"/>
      <c r="HDL236" s="1"/>
      <c r="HDM236" s="1"/>
      <c r="HDN236" s="1"/>
      <c r="HDO236" s="1"/>
      <c r="HDP236" s="1"/>
      <c r="HDQ236" s="1"/>
      <c r="HDR236" s="1"/>
      <c r="HDS236" s="1"/>
      <c r="HDT236" s="1"/>
      <c r="HDU236" s="1"/>
      <c r="HDV236" s="1"/>
      <c r="HDW236" s="1"/>
      <c r="HDX236" s="1"/>
      <c r="HDY236" s="1"/>
      <c r="HDZ236" s="1"/>
      <c r="HEA236" s="1"/>
      <c r="HEB236" s="1"/>
      <c r="HEC236" s="1"/>
      <c r="HED236" s="1"/>
      <c r="HEE236" s="1"/>
      <c r="HEF236" s="1"/>
      <c r="HEG236" s="1"/>
      <c r="HEH236" s="1"/>
      <c r="HEI236" s="1"/>
      <c r="HEJ236" s="1"/>
      <c r="HEK236" s="1"/>
      <c r="HEL236" s="1"/>
      <c r="HEM236" s="1"/>
      <c r="HEN236" s="1"/>
      <c r="HEO236" s="1"/>
      <c r="HEP236" s="1"/>
      <c r="HEQ236" s="1"/>
      <c r="HER236" s="1"/>
      <c r="HES236" s="1"/>
      <c r="HET236" s="1"/>
      <c r="HEU236" s="1"/>
      <c r="HEV236" s="1"/>
      <c r="HEW236" s="1"/>
      <c r="HEX236" s="1"/>
      <c r="HEY236" s="1"/>
      <c r="HEZ236" s="1"/>
      <c r="HFA236" s="1"/>
      <c r="HFB236" s="1"/>
      <c r="HFC236" s="1"/>
      <c r="HFD236" s="1"/>
      <c r="HFE236" s="1"/>
      <c r="HFF236" s="1"/>
      <c r="HFG236" s="1"/>
      <c r="HFH236" s="1"/>
      <c r="HFI236" s="1"/>
      <c r="HFJ236" s="1"/>
      <c r="HFK236" s="1"/>
      <c r="HFL236" s="1"/>
      <c r="HFM236" s="1"/>
      <c r="HFN236" s="1"/>
      <c r="HFO236" s="1"/>
      <c r="HFP236" s="1"/>
      <c r="HFQ236" s="1"/>
      <c r="HFR236" s="1"/>
      <c r="HFS236" s="1"/>
      <c r="HFT236" s="1"/>
      <c r="HFU236" s="1"/>
      <c r="HFV236" s="1"/>
      <c r="HFW236" s="1"/>
      <c r="HFX236" s="1"/>
      <c r="HFY236" s="1"/>
      <c r="HFZ236" s="1"/>
      <c r="HGA236" s="1"/>
      <c r="HGB236" s="1"/>
      <c r="HGC236" s="1"/>
      <c r="HGD236" s="1"/>
      <c r="HGE236" s="1"/>
      <c r="HGF236" s="1"/>
      <c r="HGG236" s="1"/>
      <c r="HGH236" s="1"/>
      <c r="HGI236" s="1"/>
      <c r="HGJ236" s="1"/>
      <c r="HGK236" s="1"/>
      <c r="HGL236" s="1"/>
      <c r="HGM236" s="1"/>
      <c r="HGN236" s="1"/>
      <c r="HGO236" s="1"/>
      <c r="HGP236" s="1"/>
      <c r="HGQ236" s="1"/>
      <c r="HGR236" s="1"/>
      <c r="HGS236" s="1"/>
      <c r="HGT236" s="1"/>
      <c r="HGU236" s="1"/>
      <c r="HGV236" s="1"/>
      <c r="HGW236" s="1"/>
      <c r="HGX236" s="1"/>
      <c r="HGY236" s="1"/>
      <c r="HGZ236" s="1"/>
      <c r="HHA236" s="1"/>
      <c r="HHB236" s="1"/>
      <c r="HHC236" s="1"/>
      <c r="HHD236" s="1"/>
      <c r="HHE236" s="1"/>
      <c r="HHF236" s="1"/>
      <c r="HHG236" s="1"/>
      <c r="HHH236" s="1"/>
      <c r="HHI236" s="1"/>
      <c r="HHJ236" s="1"/>
      <c r="HHK236" s="1"/>
      <c r="HHL236" s="1"/>
      <c r="HHM236" s="1"/>
      <c r="HHN236" s="1"/>
      <c r="HHO236" s="1"/>
      <c r="HHP236" s="1"/>
      <c r="HHQ236" s="1"/>
      <c r="HHR236" s="1"/>
      <c r="HHS236" s="1"/>
      <c r="HHT236" s="1"/>
      <c r="HHU236" s="1"/>
      <c r="HHV236" s="1"/>
      <c r="HHW236" s="1"/>
      <c r="HHX236" s="1"/>
      <c r="HHY236" s="1"/>
      <c r="HHZ236" s="1"/>
      <c r="HIA236" s="1"/>
      <c r="HIB236" s="1"/>
      <c r="HIC236" s="1"/>
      <c r="HID236" s="1"/>
      <c r="HIE236" s="1"/>
      <c r="HIF236" s="1"/>
      <c r="HIG236" s="1"/>
      <c r="HIH236" s="1"/>
      <c r="HII236" s="1"/>
      <c r="HIJ236" s="1"/>
      <c r="HIK236" s="1"/>
      <c r="HIL236" s="1"/>
      <c r="HIM236" s="1"/>
      <c r="HIN236" s="1"/>
      <c r="HIO236" s="1"/>
      <c r="HIP236" s="1"/>
      <c r="HIQ236" s="1"/>
      <c r="HIR236" s="1"/>
      <c r="HIS236" s="1"/>
      <c r="HIT236" s="1"/>
      <c r="HIU236" s="1"/>
      <c r="HIV236" s="1"/>
      <c r="HIW236" s="1"/>
      <c r="HIX236" s="1"/>
      <c r="HIY236" s="1"/>
      <c r="HIZ236" s="1"/>
      <c r="HJA236" s="1"/>
      <c r="HJB236" s="1"/>
      <c r="HJC236" s="1"/>
      <c r="HJD236" s="1"/>
      <c r="HJE236" s="1"/>
      <c r="HJF236" s="1"/>
      <c r="HJG236" s="1"/>
      <c r="HJH236" s="1"/>
      <c r="HJI236" s="1"/>
      <c r="HJJ236" s="1"/>
      <c r="HJK236" s="1"/>
      <c r="HJL236" s="1"/>
      <c r="HJM236" s="1"/>
      <c r="HJN236" s="1"/>
      <c r="HJO236" s="1"/>
      <c r="HJP236" s="1"/>
      <c r="HJQ236" s="1"/>
      <c r="HJR236" s="1"/>
      <c r="HJS236" s="1"/>
      <c r="HJT236" s="1"/>
      <c r="HJU236" s="1"/>
      <c r="HJV236" s="1"/>
      <c r="HJW236" s="1"/>
      <c r="HJX236" s="1"/>
      <c r="HJY236" s="1"/>
      <c r="HJZ236" s="1"/>
      <c r="HKA236" s="1"/>
      <c r="HKB236" s="1"/>
      <c r="HKC236" s="1"/>
      <c r="HKD236" s="1"/>
      <c r="HKE236" s="1"/>
      <c r="HKF236" s="1"/>
      <c r="HKG236" s="1"/>
      <c r="HKH236" s="1"/>
      <c r="HKI236" s="1"/>
      <c r="HKJ236" s="1"/>
      <c r="HKK236" s="1"/>
      <c r="HKL236" s="1"/>
      <c r="HKM236" s="1"/>
      <c r="HKN236" s="1"/>
      <c r="HKO236" s="1"/>
      <c r="HKP236" s="1"/>
      <c r="HKQ236" s="1"/>
      <c r="HKR236" s="1"/>
      <c r="HKS236" s="1"/>
      <c r="HKT236" s="1"/>
      <c r="HKU236" s="1"/>
      <c r="HKV236" s="1"/>
      <c r="HKW236" s="1"/>
      <c r="HKX236" s="1"/>
      <c r="HKY236" s="1"/>
      <c r="HKZ236" s="1"/>
      <c r="HLA236" s="1"/>
      <c r="HLB236" s="1"/>
      <c r="HLC236" s="1"/>
      <c r="HLD236" s="1"/>
      <c r="HLE236" s="1"/>
      <c r="HLF236" s="1"/>
      <c r="HLG236" s="1"/>
      <c r="HLH236" s="1"/>
      <c r="HLI236" s="1"/>
      <c r="HLJ236" s="1"/>
      <c r="HLK236" s="1"/>
      <c r="HLL236" s="1"/>
      <c r="HLM236" s="1"/>
      <c r="HLN236" s="1"/>
      <c r="HLO236" s="1"/>
      <c r="HLP236" s="1"/>
      <c r="HLQ236" s="1"/>
      <c r="HLR236" s="1"/>
      <c r="HLS236" s="1"/>
      <c r="HLT236" s="1"/>
      <c r="HLU236" s="1"/>
      <c r="HLV236" s="1"/>
      <c r="HLW236" s="1"/>
      <c r="HLX236" s="1"/>
      <c r="HLY236" s="1"/>
      <c r="HLZ236" s="1"/>
      <c r="HMA236" s="1"/>
      <c r="HMB236" s="1"/>
      <c r="HMC236" s="1"/>
      <c r="HMD236" s="1"/>
      <c r="HME236" s="1"/>
      <c r="HMF236" s="1"/>
      <c r="HMG236" s="1"/>
      <c r="HMH236" s="1"/>
      <c r="HMI236" s="1"/>
      <c r="HMJ236" s="1"/>
      <c r="HMK236" s="1"/>
      <c r="HML236" s="1"/>
      <c r="HMM236" s="1"/>
      <c r="HMN236" s="1"/>
      <c r="HMO236" s="1"/>
      <c r="HMP236" s="1"/>
      <c r="HMQ236" s="1"/>
      <c r="HMR236" s="1"/>
      <c r="HMS236" s="1"/>
      <c r="HMT236" s="1"/>
      <c r="HMU236" s="1"/>
      <c r="HMV236" s="1"/>
      <c r="HMW236" s="1"/>
      <c r="HMX236" s="1"/>
      <c r="HMY236" s="1"/>
      <c r="HMZ236" s="1"/>
      <c r="HNA236" s="1"/>
      <c r="HNB236" s="1"/>
      <c r="HNC236" s="1"/>
      <c r="HND236" s="1"/>
      <c r="HNE236" s="1"/>
      <c r="HNF236" s="1"/>
      <c r="HNG236" s="1"/>
      <c r="HNH236" s="1"/>
      <c r="HNI236" s="1"/>
      <c r="HNJ236" s="1"/>
      <c r="HNK236" s="1"/>
      <c r="HNL236" s="1"/>
      <c r="HNM236" s="1"/>
      <c r="HNN236" s="1"/>
      <c r="HNO236" s="1"/>
      <c r="HNP236" s="1"/>
      <c r="HNQ236" s="1"/>
      <c r="HNR236" s="1"/>
      <c r="HNS236" s="1"/>
      <c r="HNT236" s="1"/>
      <c r="HNU236" s="1"/>
      <c r="HNV236" s="1"/>
      <c r="HNW236" s="1"/>
      <c r="HNX236" s="1"/>
      <c r="HNY236" s="1"/>
      <c r="HNZ236" s="1"/>
      <c r="HOA236" s="1"/>
      <c r="HOB236" s="1"/>
      <c r="HOC236" s="1"/>
      <c r="HOD236" s="1"/>
      <c r="HOE236" s="1"/>
      <c r="HOF236" s="1"/>
      <c r="HOG236" s="1"/>
      <c r="HOH236" s="1"/>
      <c r="HOI236" s="1"/>
      <c r="HOJ236" s="1"/>
      <c r="HOK236" s="1"/>
      <c r="HOL236" s="1"/>
      <c r="HOM236" s="1"/>
      <c r="HON236" s="1"/>
      <c r="HOO236" s="1"/>
      <c r="HOP236" s="1"/>
      <c r="HOQ236" s="1"/>
      <c r="HOR236" s="1"/>
      <c r="HOS236" s="1"/>
      <c r="HOT236" s="1"/>
      <c r="HOU236" s="1"/>
      <c r="HOV236" s="1"/>
      <c r="HOW236" s="1"/>
      <c r="HOX236" s="1"/>
      <c r="HOY236" s="1"/>
      <c r="HOZ236" s="1"/>
      <c r="HPA236" s="1"/>
      <c r="HPB236" s="1"/>
      <c r="HPC236" s="1"/>
      <c r="HPD236" s="1"/>
      <c r="HPE236" s="1"/>
      <c r="HPF236" s="1"/>
      <c r="HPG236" s="1"/>
      <c r="HPH236" s="1"/>
      <c r="HPI236" s="1"/>
      <c r="HPJ236" s="1"/>
      <c r="HPK236" s="1"/>
      <c r="HPL236" s="1"/>
      <c r="HPM236" s="1"/>
      <c r="HPN236" s="1"/>
      <c r="HPO236" s="1"/>
      <c r="HPP236" s="1"/>
      <c r="HPQ236" s="1"/>
      <c r="HPR236" s="1"/>
      <c r="HPS236" s="1"/>
      <c r="HPT236" s="1"/>
      <c r="HPU236" s="1"/>
      <c r="HPV236" s="1"/>
      <c r="HPW236" s="1"/>
      <c r="HPX236" s="1"/>
      <c r="HPY236" s="1"/>
      <c r="HPZ236" s="1"/>
      <c r="HQA236" s="1"/>
      <c r="HQB236" s="1"/>
      <c r="HQC236" s="1"/>
      <c r="HQD236" s="1"/>
      <c r="HQE236" s="1"/>
      <c r="HQF236" s="1"/>
      <c r="HQG236" s="1"/>
      <c r="HQH236" s="1"/>
      <c r="HQI236" s="1"/>
      <c r="HQJ236" s="1"/>
      <c r="HQK236" s="1"/>
      <c r="HQL236" s="1"/>
      <c r="HQM236" s="1"/>
      <c r="HQN236" s="1"/>
      <c r="HQO236" s="1"/>
      <c r="HQP236" s="1"/>
      <c r="HQQ236" s="1"/>
      <c r="HQR236" s="1"/>
      <c r="HQS236" s="1"/>
      <c r="HQT236" s="1"/>
      <c r="HQU236" s="1"/>
      <c r="HQV236" s="1"/>
      <c r="HQW236" s="1"/>
      <c r="HQX236" s="1"/>
      <c r="HQY236" s="1"/>
      <c r="HQZ236" s="1"/>
      <c r="HRA236" s="1"/>
      <c r="HRB236" s="1"/>
      <c r="HRC236" s="1"/>
      <c r="HRD236" s="1"/>
      <c r="HRE236" s="1"/>
      <c r="HRF236" s="1"/>
      <c r="HRG236" s="1"/>
      <c r="HRH236" s="1"/>
      <c r="HRI236" s="1"/>
      <c r="HRJ236" s="1"/>
      <c r="HRK236" s="1"/>
      <c r="HRL236" s="1"/>
      <c r="HRM236" s="1"/>
      <c r="HRN236" s="1"/>
      <c r="HRO236" s="1"/>
      <c r="HRP236" s="1"/>
      <c r="HRQ236" s="1"/>
      <c r="HRR236" s="1"/>
      <c r="HRS236" s="1"/>
      <c r="HRT236" s="1"/>
      <c r="HRU236" s="1"/>
      <c r="HRV236" s="1"/>
      <c r="HRW236" s="1"/>
      <c r="HRX236" s="1"/>
      <c r="HRY236" s="1"/>
      <c r="HRZ236" s="1"/>
      <c r="HSA236" s="1"/>
      <c r="HSB236" s="1"/>
      <c r="HSC236" s="1"/>
      <c r="HSD236" s="1"/>
      <c r="HSE236" s="1"/>
      <c r="HSF236" s="1"/>
      <c r="HSG236" s="1"/>
      <c r="HSH236" s="1"/>
      <c r="HSI236" s="1"/>
      <c r="HSJ236" s="1"/>
      <c r="HSK236" s="1"/>
      <c r="HSL236" s="1"/>
      <c r="HSM236" s="1"/>
      <c r="HSN236" s="1"/>
      <c r="HSO236" s="1"/>
      <c r="HSP236" s="1"/>
      <c r="HSQ236" s="1"/>
      <c r="HSR236" s="1"/>
      <c r="HSS236" s="1"/>
      <c r="HST236" s="1"/>
      <c r="HSU236" s="1"/>
      <c r="HSV236" s="1"/>
      <c r="HSW236" s="1"/>
      <c r="HSX236" s="1"/>
      <c r="HSY236" s="1"/>
      <c r="HSZ236" s="1"/>
      <c r="HTA236" s="1"/>
      <c r="HTB236" s="1"/>
      <c r="HTC236" s="1"/>
      <c r="HTD236" s="1"/>
      <c r="HTE236" s="1"/>
      <c r="HTF236" s="1"/>
      <c r="HTG236" s="1"/>
      <c r="HTH236" s="1"/>
      <c r="HTI236" s="1"/>
      <c r="HTJ236" s="1"/>
      <c r="HTK236" s="1"/>
      <c r="HTL236" s="1"/>
      <c r="HTM236" s="1"/>
      <c r="HTN236" s="1"/>
      <c r="HTO236" s="1"/>
      <c r="HTP236" s="1"/>
      <c r="HTQ236" s="1"/>
      <c r="HTR236" s="1"/>
      <c r="HTS236" s="1"/>
      <c r="HTT236" s="1"/>
      <c r="HTU236" s="1"/>
      <c r="HTV236" s="1"/>
      <c r="HTW236" s="1"/>
      <c r="HTX236" s="1"/>
      <c r="HTY236" s="1"/>
      <c r="HTZ236" s="1"/>
      <c r="HUA236" s="1"/>
      <c r="HUB236" s="1"/>
      <c r="HUC236" s="1"/>
      <c r="HUD236" s="1"/>
      <c r="HUE236" s="1"/>
      <c r="HUF236" s="1"/>
      <c r="HUG236" s="1"/>
      <c r="HUH236" s="1"/>
      <c r="HUI236" s="1"/>
      <c r="HUJ236" s="1"/>
      <c r="HUK236" s="1"/>
      <c r="HUL236" s="1"/>
      <c r="HUM236" s="1"/>
      <c r="HUN236" s="1"/>
      <c r="HUO236" s="1"/>
      <c r="HUP236" s="1"/>
      <c r="HUQ236" s="1"/>
      <c r="HUR236" s="1"/>
      <c r="HUS236" s="1"/>
      <c r="HUT236" s="1"/>
      <c r="HUU236" s="1"/>
      <c r="HUV236" s="1"/>
      <c r="HUW236" s="1"/>
      <c r="HUX236" s="1"/>
      <c r="HUY236" s="1"/>
      <c r="HUZ236" s="1"/>
      <c r="HVA236" s="1"/>
      <c r="HVB236" s="1"/>
      <c r="HVC236" s="1"/>
      <c r="HVD236" s="1"/>
      <c r="HVE236" s="1"/>
      <c r="HVF236" s="1"/>
      <c r="HVG236" s="1"/>
      <c r="HVH236" s="1"/>
      <c r="HVI236" s="1"/>
      <c r="HVJ236" s="1"/>
      <c r="HVK236" s="1"/>
      <c r="HVL236" s="1"/>
      <c r="HVM236" s="1"/>
      <c r="HVN236" s="1"/>
      <c r="HVO236" s="1"/>
      <c r="HVP236" s="1"/>
      <c r="HVQ236" s="1"/>
      <c r="HVR236" s="1"/>
      <c r="HVS236" s="1"/>
      <c r="HVT236" s="1"/>
      <c r="HVU236" s="1"/>
      <c r="HVV236" s="1"/>
      <c r="HVW236" s="1"/>
      <c r="HVX236" s="1"/>
      <c r="HVY236" s="1"/>
      <c r="HVZ236" s="1"/>
      <c r="HWA236" s="1"/>
      <c r="HWB236" s="1"/>
      <c r="HWC236" s="1"/>
      <c r="HWD236" s="1"/>
      <c r="HWE236" s="1"/>
      <c r="HWF236" s="1"/>
      <c r="HWG236" s="1"/>
      <c r="HWH236" s="1"/>
      <c r="HWI236" s="1"/>
      <c r="HWJ236" s="1"/>
      <c r="HWK236" s="1"/>
      <c r="HWL236" s="1"/>
      <c r="HWM236" s="1"/>
      <c r="HWN236" s="1"/>
      <c r="HWO236" s="1"/>
      <c r="HWP236" s="1"/>
      <c r="HWQ236" s="1"/>
      <c r="HWR236" s="1"/>
      <c r="HWS236" s="1"/>
      <c r="HWT236" s="1"/>
      <c r="HWU236" s="1"/>
      <c r="HWV236" s="1"/>
      <c r="HWW236" s="1"/>
      <c r="HWX236" s="1"/>
      <c r="HWY236" s="1"/>
      <c r="HWZ236" s="1"/>
      <c r="HXA236" s="1"/>
      <c r="HXB236" s="1"/>
      <c r="HXC236" s="1"/>
      <c r="HXD236" s="1"/>
      <c r="HXE236" s="1"/>
      <c r="HXF236" s="1"/>
      <c r="HXG236" s="1"/>
      <c r="HXH236" s="1"/>
      <c r="HXI236" s="1"/>
      <c r="HXJ236" s="1"/>
      <c r="HXK236" s="1"/>
      <c r="HXL236" s="1"/>
      <c r="HXM236" s="1"/>
      <c r="HXN236" s="1"/>
      <c r="HXO236" s="1"/>
      <c r="HXP236" s="1"/>
      <c r="HXQ236" s="1"/>
      <c r="HXR236" s="1"/>
      <c r="HXS236" s="1"/>
      <c r="HXT236" s="1"/>
      <c r="HXU236" s="1"/>
      <c r="HXV236" s="1"/>
      <c r="HXW236" s="1"/>
      <c r="HXX236" s="1"/>
      <c r="HXY236" s="1"/>
      <c r="HXZ236" s="1"/>
      <c r="HYA236" s="1"/>
      <c r="HYB236" s="1"/>
      <c r="HYC236" s="1"/>
      <c r="HYD236" s="1"/>
      <c r="HYE236" s="1"/>
      <c r="HYF236" s="1"/>
      <c r="HYG236" s="1"/>
      <c r="HYH236" s="1"/>
      <c r="HYI236" s="1"/>
      <c r="HYJ236" s="1"/>
      <c r="HYK236" s="1"/>
      <c r="HYL236" s="1"/>
      <c r="HYM236" s="1"/>
      <c r="HYN236" s="1"/>
      <c r="HYO236" s="1"/>
      <c r="HYP236" s="1"/>
      <c r="HYQ236" s="1"/>
      <c r="HYR236" s="1"/>
      <c r="HYS236" s="1"/>
      <c r="HYT236" s="1"/>
      <c r="HYU236" s="1"/>
      <c r="HYV236" s="1"/>
      <c r="HYW236" s="1"/>
      <c r="HYX236" s="1"/>
      <c r="HYY236" s="1"/>
      <c r="HYZ236" s="1"/>
      <c r="HZA236" s="1"/>
      <c r="HZB236" s="1"/>
      <c r="HZC236" s="1"/>
      <c r="HZD236" s="1"/>
      <c r="HZE236" s="1"/>
      <c r="HZF236" s="1"/>
      <c r="HZG236" s="1"/>
      <c r="HZH236" s="1"/>
      <c r="HZI236" s="1"/>
      <c r="HZJ236" s="1"/>
      <c r="HZK236" s="1"/>
      <c r="HZL236" s="1"/>
      <c r="HZM236" s="1"/>
      <c r="HZN236" s="1"/>
      <c r="HZO236" s="1"/>
      <c r="HZP236" s="1"/>
      <c r="HZQ236" s="1"/>
      <c r="HZR236" s="1"/>
      <c r="HZS236" s="1"/>
      <c r="HZT236" s="1"/>
      <c r="HZU236" s="1"/>
      <c r="HZV236" s="1"/>
      <c r="HZW236" s="1"/>
      <c r="HZX236" s="1"/>
      <c r="HZY236" s="1"/>
      <c r="HZZ236" s="1"/>
      <c r="IAA236" s="1"/>
      <c r="IAB236" s="1"/>
      <c r="IAC236" s="1"/>
      <c r="IAD236" s="1"/>
      <c r="IAE236" s="1"/>
      <c r="IAF236" s="1"/>
      <c r="IAG236" s="1"/>
      <c r="IAH236" s="1"/>
      <c r="IAI236" s="1"/>
      <c r="IAJ236" s="1"/>
      <c r="IAK236" s="1"/>
      <c r="IAL236" s="1"/>
      <c r="IAM236" s="1"/>
      <c r="IAN236" s="1"/>
      <c r="IAO236" s="1"/>
      <c r="IAP236" s="1"/>
      <c r="IAQ236" s="1"/>
      <c r="IAR236" s="1"/>
      <c r="IAS236" s="1"/>
      <c r="IAT236" s="1"/>
      <c r="IAU236" s="1"/>
      <c r="IAV236" s="1"/>
      <c r="IAW236" s="1"/>
      <c r="IAX236" s="1"/>
      <c r="IAY236" s="1"/>
      <c r="IAZ236" s="1"/>
      <c r="IBA236" s="1"/>
      <c r="IBB236" s="1"/>
      <c r="IBC236" s="1"/>
      <c r="IBD236" s="1"/>
      <c r="IBE236" s="1"/>
      <c r="IBF236" s="1"/>
      <c r="IBG236" s="1"/>
      <c r="IBH236" s="1"/>
      <c r="IBI236" s="1"/>
      <c r="IBJ236" s="1"/>
      <c r="IBK236" s="1"/>
      <c r="IBL236" s="1"/>
      <c r="IBM236" s="1"/>
      <c r="IBN236" s="1"/>
      <c r="IBO236" s="1"/>
      <c r="IBP236" s="1"/>
      <c r="IBQ236" s="1"/>
      <c r="IBR236" s="1"/>
      <c r="IBS236" s="1"/>
      <c r="IBT236" s="1"/>
      <c r="IBU236" s="1"/>
      <c r="IBV236" s="1"/>
      <c r="IBW236" s="1"/>
      <c r="IBX236" s="1"/>
      <c r="IBY236" s="1"/>
      <c r="IBZ236" s="1"/>
      <c r="ICA236" s="1"/>
      <c r="ICB236" s="1"/>
      <c r="ICC236" s="1"/>
      <c r="ICD236" s="1"/>
      <c r="ICE236" s="1"/>
      <c r="ICF236" s="1"/>
      <c r="ICG236" s="1"/>
      <c r="ICH236" s="1"/>
      <c r="ICI236" s="1"/>
      <c r="ICJ236" s="1"/>
      <c r="ICK236" s="1"/>
      <c r="ICL236" s="1"/>
      <c r="ICM236" s="1"/>
      <c r="ICN236" s="1"/>
      <c r="ICO236" s="1"/>
      <c r="ICP236" s="1"/>
      <c r="ICQ236" s="1"/>
      <c r="ICR236" s="1"/>
      <c r="ICS236" s="1"/>
      <c r="ICT236" s="1"/>
      <c r="ICU236" s="1"/>
      <c r="ICV236" s="1"/>
      <c r="ICW236" s="1"/>
      <c r="ICX236" s="1"/>
      <c r="ICY236" s="1"/>
      <c r="ICZ236" s="1"/>
      <c r="IDA236" s="1"/>
      <c r="IDB236" s="1"/>
      <c r="IDC236" s="1"/>
      <c r="IDD236" s="1"/>
      <c r="IDE236" s="1"/>
      <c r="IDF236" s="1"/>
      <c r="IDG236" s="1"/>
      <c r="IDH236" s="1"/>
      <c r="IDI236" s="1"/>
      <c r="IDJ236" s="1"/>
      <c r="IDK236" s="1"/>
      <c r="IDL236" s="1"/>
      <c r="IDM236" s="1"/>
      <c r="IDN236" s="1"/>
      <c r="IDO236" s="1"/>
      <c r="IDP236" s="1"/>
      <c r="IDQ236" s="1"/>
      <c r="IDR236" s="1"/>
      <c r="IDS236" s="1"/>
      <c r="IDT236" s="1"/>
      <c r="IDU236" s="1"/>
      <c r="IDV236" s="1"/>
      <c r="IDW236" s="1"/>
      <c r="IDX236" s="1"/>
      <c r="IDY236" s="1"/>
      <c r="IDZ236" s="1"/>
      <c r="IEA236" s="1"/>
      <c r="IEB236" s="1"/>
      <c r="IEC236" s="1"/>
      <c r="IED236" s="1"/>
      <c r="IEE236" s="1"/>
      <c r="IEF236" s="1"/>
      <c r="IEG236" s="1"/>
      <c r="IEH236" s="1"/>
      <c r="IEI236" s="1"/>
      <c r="IEJ236" s="1"/>
      <c r="IEK236" s="1"/>
      <c r="IEL236" s="1"/>
      <c r="IEM236" s="1"/>
      <c r="IEN236" s="1"/>
      <c r="IEO236" s="1"/>
      <c r="IEP236" s="1"/>
      <c r="IEQ236" s="1"/>
      <c r="IER236" s="1"/>
      <c r="IES236" s="1"/>
      <c r="IET236" s="1"/>
      <c r="IEU236" s="1"/>
      <c r="IEV236" s="1"/>
      <c r="IEW236" s="1"/>
      <c r="IEX236" s="1"/>
      <c r="IEY236" s="1"/>
      <c r="IEZ236" s="1"/>
      <c r="IFA236" s="1"/>
      <c r="IFB236" s="1"/>
      <c r="IFC236" s="1"/>
      <c r="IFD236" s="1"/>
      <c r="IFE236" s="1"/>
      <c r="IFF236" s="1"/>
      <c r="IFG236" s="1"/>
      <c r="IFH236" s="1"/>
      <c r="IFI236" s="1"/>
      <c r="IFJ236" s="1"/>
      <c r="IFK236" s="1"/>
      <c r="IFL236" s="1"/>
      <c r="IFM236" s="1"/>
      <c r="IFN236" s="1"/>
      <c r="IFO236" s="1"/>
      <c r="IFP236" s="1"/>
      <c r="IFQ236" s="1"/>
      <c r="IFR236" s="1"/>
      <c r="IFS236" s="1"/>
      <c r="IFT236" s="1"/>
      <c r="IFU236" s="1"/>
      <c r="IFV236" s="1"/>
      <c r="IFW236" s="1"/>
      <c r="IFX236" s="1"/>
      <c r="IFY236" s="1"/>
      <c r="IFZ236" s="1"/>
      <c r="IGA236" s="1"/>
      <c r="IGB236" s="1"/>
      <c r="IGC236" s="1"/>
      <c r="IGD236" s="1"/>
      <c r="IGE236" s="1"/>
      <c r="IGF236" s="1"/>
      <c r="IGG236" s="1"/>
      <c r="IGH236" s="1"/>
      <c r="IGI236" s="1"/>
      <c r="IGJ236" s="1"/>
      <c r="IGK236" s="1"/>
      <c r="IGL236" s="1"/>
      <c r="IGM236" s="1"/>
      <c r="IGN236" s="1"/>
      <c r="IGO236" s="1"/>
      <c r="IGP236" s="1"/>
      <c r="IGQ236" s="1"/>
      <c r="IGR236" s="1"/>
      <c r="IGS236" s="1"/>
      <c r="IGT236" s="1"/>
      <c r="IGU236" s="1"/>
      <c r="IGV236" s="1"/>
      <c r="IGW236" s="1"/>
      <c r="IGX236" s="1"/>
      <c r="IGY236" s="1"/>
      <c r="IGZ236" s="1"/>
      <c r="IHA236" s="1"/>
      <c r="IHB236" s="1"/>
      <c r="IHC236" s="1"/>
      <c r="IHD236" s="1"/>
      <c r="IHE236" s="1"/>
      <c r="IHF236" s="1"/>
      <c r="IHG236" s="1"/>
      <c r="IHH236" s="1"/>
      <c r="IHI236" s="1"/>
      <c r="IHJ236" s="1"/>
      <c r="IHK236" s="1"/>
      <c r="IHL236" s="1"/>
      <c r="IHM236" s="1"/>
      <c r="IHN236" s="1"/>
      <c r="IHO236" s="1"/>
      <c r="IHP236" s="1"/>
      <c r="IHQ236" s="1"/>
      <c r="IHR236" s="1"/>
      <c r="IHS236" s="1"/>
      <c r="IHT236" s="1"/>
      <c r="IHU236" s="1"/>
      <c r="IHV236" s="1"/>
      <c r="IHW236" s="1"/>
      <c r="IHX236" s="1"/>
      <c r="IHY236" s="1"/>
      <c r="IHZ236" s="1"/>
      <c r="IIA236" s="1"/>
      <c r="IIB236" s="1"/>
      <c r="IIC236" s="1"/>
      <c r="IID236" s="1"/>
      <c r="IIE236" s="1"/>
      <c r="IIF236" s="1"/>
      <c r="IIG236" s="1"/>
      <c r="IIH236" s="1"/>
      <c r="III236" s="1"/>
      <c r="IIJ236" s="1"/>
      <c r="IIK236" s="1"/>
      <c r="IIL236" s="1"/>
      <c r="IIM236" s="1"/>
      <c r="IIN236" s="1"/>
      <c r="IIO236" s="1"/>
      <c r="IIP236" s="1"/>
      <c r="IIQ236" s="1"/>
      <c r="IIR236" s="1"/>
      <c r="IIS236" s="1"/>
      <c r="IIT236" s="1"/>
      <c r="IIU236" s="1"/>
      <c r="IIV236" s="1"/>
      <c r="IIW236" s="1"/>
      <c r="IIX236" s="1"/>
      <c r="IIY236" s="1"/>
      <c r="IIZ236" s="1"/>
      <c r="IJA236" s="1"/>
      <c r="IJB236" s="1"/>
      <c r="IJC236" s="1"/>
      <c r="IJD236" s="1"/>
      <c r="IJE236" s="1"/>
      <c r="IJF236" s="1"/>
      <c r="IJG236" s="1"/>
      <c r="IJH236" s="1"/>
      <c r="IJI236" s="1"/>
      <c r="IJJ236" s="1"/>
      <c r="IJK236" s="1"/>
      <c r="IJL236" s="1"/>
      <c r="IJM236" s="1"/>
      <c r="IJN236" s="1"/>
      <c r="IJO236" s="1"/>
      <c r="IJP236" s="1"/>
      <c r="IJQ236" s="1"/>
      <c r="IJR236" s="1"/>
      <c r="IJS236" s="1"/>
      <c r="IJT236" s="1"/>
      <c r="IJU236" s="1"/>
      <c r="IJV236" s="1"/>
      <c r="IJW236" s="1"/>
      <c r="IJX236" s="1"/>
      <c r="IJY236" s="1"/>
      <c r="IJZ236" s="1"/>
      <c r="IKA236" s="1"/>
      <c r="IKB236" s="1"/>
      <c r="IKC236" s="1"/>
      <c r="IKD236" s="1"/>
      <c r="IKE236" s="1"/>
      <c r="IKF236" s="1"/>
      <c r="IKG236" s="1"/>
      <c r="IKH236" s="1"/>
      <c r="IKI236" s="1"/>
      <c r="IKJ236" s="1"/>
      <c r="IKK236" s="1"/>
      <c r="IKL236" s="1"/>
      <c r="IKM236" s="1"/>
      <c r="IKN236" s="1"/>
      <c r="IKO236" s="1"/>
      <c r="IKP236" s="1"/>
      <c r="IKQ236" s="1"/>
      <c r="IKR236" s="1"/>
      <c r="IKS236" s="1"/>
      <c r="IKT236" s="1"/>
      <c r="IKU236" s="1"/>
      <c r="IKV236" s="1"/>
      <c r="IKW236" s="1"/>
      <c r="IKX236" s="1"/>
      <c r="IKY236" s="1"/>
      <c r="IKZ236" s="1"/>
      <c r="ILA236" s="1"/>
      <c r="ILB236" s="1"/>
      <c r="ILC236" s="1"/>
      <c r="ILD236" s="1"/>
      <c r="ILE236" s="1"/>
      <c r="ILF236" s="1"/>
      <c r="ILG236" s="1"/>
      <c r="ILH236" s="1"/>
      <c r="ILI236" s="1"/>
      <c r="ILJ236" s="1"/>
      <c r="ILK236" s="1"/>
      <c r="ILL236" s="1"/>
      <c r="ILM236" s="1"/>
      <c r="ILN236" s="1"/>
      <c r="ILO236" s="1"/>
      <c r="ILP236" s="1"/>
      <c r="ILQ236" s="1"/>
      <c r="ILR236" s="1"/>
      <c r="ILS236" s="1"/>
      <c r="ILT236" s="1"/>
      <c r="ILU236" s="1"/>
      <c r="ILV236" s="1"/>
      <c r="ILW236" s="1"/>
      <c r="ILX236" s="1"/>
      <c r="ILY236" s="1"/>
      <c r="ILZ236" s="1"/>
      <c r="IMA236" s="1"/>
      <c r="IMB236" s="1"/>
      <c r="IMC236" s="1"/>
      <c r="IMD236" s="1"/>
      <c r="IME236" s="1"/>
      <c r="IMF236" s="1"/>
      <c r="IMG236" s="1"/>
      <c r="IMH236" s="1"/>
      <c r="IMI236" s="1"/>
      <c r="IMJ236" s="1"/>
      <c r="IMK236" s="1"/>
      <c r="IML236" s="1"/>
      <c r="IMM236" s="1"/>
      <c r="IMN236" s="1"/>
      <c r="IMO236" s="1"/>
      <c r="IMP236" s="1"/>
      <c r="IMQ236" s="1"/>
      <c r="IMR236" s="1"/>
      <c r="IMS236" s="1"/>
      <c r="IMT236" s="1"/>
      <c r="IMU236" s="1"/>
      <c r="IMV236" s="1"/>
      <c r="IMW236" s="1"/>
      <c r="IMX236" s="1"/>
      <c r="IMY236" s="1"/>
      <c r="IMZ236" s="1"/>
      <c r="INA236" s="1"/>
      <c r="INB236" s="1"/>
      <c r="INC236" s="1"/>
      <c r="IND236" s="1"/>
      <c r="INE236" s="1"/>
      <c r="INF236" s="1"/>
      <c r="ING236" s="1"/>
      <c r="INH236" s="1"/>
      <c r="INI236" s="1"/>
      <c r="INJ236" s="1"/>
      <c r="INK236" s="1"/>
      <c r="INL236" s="1"/>
      <c r="INM236" s="1"/>
      <c r="INN236" s="1"/>
      <c r="INO236" s="1"/>
      <c r="INP236" s="1"/>
      <c r="INQ236" s="1"/>
      <c r="INR236" s="1"/>
      <c r="INS236" s="1"/>
      <c r="INT236" s="1"/>
      <c r="INU236" s="1"/>
      <c r="INV236" s="1"/>
      <c r="INW236" s="1"/>
      <c r="INX236" s="1"/>
      <c r="INY236" s="1"/>
      <c r="INZ236" s="1"/>
      <c r="IOA236" s="1"/>
      <c r="IOB236" s="1"/>
      <c r="IOC236" s="1"/>
      <c r="IOD236" s="1"/>
      <c r="IOE236" s="1"/>
      <c r="IOF236" s="1"/>
      <c r="IOG236" s="1"/>
      <c r="IOH236" s="1"/>
      <c r="IOI236" s="1"/>
      <c r="IOJ236" s="1"/>
      <c r="IOK236" s="1"/>
      <c r="IOL236" s="1"/>
      <c r="IOM236" s="1"/>
      <c r="ION236" s="1"/>
      <c r="IOO236" s="1"/>
      <c r="IOP236" s="1"/>
      <c r="IOQ236" s="1"/>
      <c r="IOR236" s="1"/>
      <c r="IOS236" s="1"/>
      <c r="IOT236" s="1"/>
      <c r="IOU236" s="1"/>
      <c r="IOV236" s="1"/>
      <c r="IOW236" s="1"/>
      <c r="IOX236" s="1"/>
      <c r="IOY236" s="1"/>
      <c r="IOZ236" s="1"/>
      <c r="IPA236" s="1"/>
      <c r="IPB236" s="1"/>
      <c r="IPC236" s="1"/>
      <c r="IPD236" s="1"/>
      <c r="IPE236" s="1"/>
      <c r="IPF236" s="1"/>
      <c r="IPG236" s="1"/>
      <c r="IPH236" s="1"/>
      <c r="IPI236" s="1"/>
      <c r="IPJ236" s="1"/>
      <c r="IPK236" s="1"/>
      <c r="IPL236" s="1"/>
      <c r="IPM236" s="1"/>
      <c r="IPN236" s="1"/>
      <c r="IPO236" s="1"/>
      <c r="IPP236" s="1"/>
      <c r="IPQ236" s="1"/>
      <c r="IPR236" s="1"/>
      <c r="IPS236" s="1"/>
      <c r="IPT236" s="1"/>
      <c r="IPU236" s="1"/>
      <c r="IPV236" s="1"/>
      <c r="IPW236" s="1"/>
      <c r="IPX236" s="1"/>
      <c r="IPY236" s="1"/>
      <c r="IPZ236" s="1"/>
      <c r="IQA236" s="1"/>
      <c r="IQB236" s="1"/>
      <c r="IQC236" s="1"/>
      <c r="IQD236" s="1"/>
      <c r="IQE236" s="1"/>
      <c r="IQF236" s="1"/>
      <c r="IQG236" s="1"/>
      <c r="IQH236" s="1"/>
      <c r="IQI236" s="1"/>
      <c r="IQJ236" s="1"/>
      <c r="IQK236" s="1"/>
      <c r="IQL236" s="1"/>
      <c r="IQM236" s="1"/>
      <c r="IQN236" s="1"/>
      <c r="IQO236" s="1"/>
      <c r="IQP236" s="1"/>
      <c r="IQQ236" s="1"/>
      <c r="IQR236" s="1"/>
      <c r="IQS236" s="1"/>
      <c r="IQT236" s="1"/>
      <c r="IQU236" s="1"/>
      <c r="IQV236" s="1"/>
      <c r="IQW236" s="1"/>
      <c r="IQX236" s="1"/>
      <c r="IQY236" s="1"/>
      <c r="IQZ236" s="1"/>
      <c r="IRA236" s="1"/>
      <c r="IRB236" s="1"/>
      <c r="IRC236" s="1"/>
      <c r="IRD236" s="1"/>
      <c r="IRE236" s="1"/>
      <c r="IRF236" s="1"/>
      <c r="IRG236" s="1"/>
      <c r="IRH236" s="1"/>
      <c r="IRI236" s="1"/>
      <c r="IRJ236" s="1"/>
      <c r="IRK236" s="1"/>
      <c r="IRL236" s="1"/>
      <c r="IRM236" s="1"/>
      <c r="IRN236" s="1"/>
      <c r="IRO236" s="1"/>
      <c r="IRP236" s="1"/>
      <c r="IRQ236" s="1"/>
      <c r="IRR236" s="1"/>
      <c r="IRS236" s="1"/>
      <c r="IRT236" s="1"/>
      <c r="IRU236" s="1"/>
      <c r="IRV236" s="1"/>
      <c r="IRW236" s="1"/>
      <c r="IRX236" s="1"/>
      <c r="IRY236" s="1"/>
      <c r="IRZ236" s="1"/>
      <c r="ISA236" s="1"/>
      <c r="ISB236" s="1"/>
      <c r="ISC236" s="1"/>
      <c r="ISD236" s="1"/>
      <c r="ISE236" s="1"/>
      <c r="ISF236" s="1"/>
      <c r="ISG236" s="1"/>
      <c r="ISH236" s="1"/>
      <c r="ISI236" s="1"/>
      <c r="ISJ236" s="1"/>
      <c r="ISK236" s="1"/>
      <c r="ISL236" s="1"/>
      <c r="ISM236" s="1"/>
      <c r="ISN236" s="1"/>
      <c r="ISO236" s="1"/>
      <c r="ISP236" s="1"/>
      <c r="ISQ236" s="1"/>
      <c r="ISR236" s="1"/>
      <c r="ISS236" s="1"/>
      <c r="IST236" s="1"/>
      <c r="ISU236" s="1"/>
      <c r="ISV236" s="1"/>
      <c r="ISW236" s="1"/>
      <c r="ISX236" s="1"/>
      <c r="ISY236" s="1"/>
      <c r="ISZ236" s="1"/>
      <c r="ITA236" s="1"/>
      <c r="ITB236" s="1"/>
      <c r="ITC236" s="1"/>
      <c r="ITD236" s="1"/>
      <c r="ITE236" s="1"/>
      <c r="ITF236" s="1"/>
      <c r="ITG236" s="1"/>
      <c r="ITH236" s="1"/>
      <c r="ITI236" s="1"/>
      <c r="ITJ236" s="1"/>
      <c r="ITK236" s="1"/>
      <c r="ITL236" s="1"/>
      <c r="ITM236" s="1"/>
      <c r="ITN236" s="1"/>
      <c r="ITO236" s="1"/>
      <c r="ITP236" s="1"/>
      <c r="ITQ236" s="1"/>
      <c r="ITR236" s="1"/>
      <c r="ITS236" s="1"/>
      <c r="ITT236" s="1"/>
      <c r="ITU236" s="1"/>
      <c r="ITV236" s="1"/>
      <c r="ITW236" s="1"/>
      <c r="ITX236" s="1"/>
      <c r="ITY236" s="1"/>
      <c r="ITZ236" s="1"/>
      <c r="IUA236" s="1"/>
      <c r="IUB236" s="1"/>
      <c r="IUC236" s="1"/>
      <c r="IUD236" s="1"/>
      <c r="IUE236" s="1"/>
      <c r="IUF236" s="1"/>
      <c r="IUG236" s="1"/>
      <c r="IUH236" s="1"/>
      <c r="IUI236" s="1"/>
      <c r="IUJ236" s="1"/>
      <c r="IUK236" s="1"/>
      <c r="IUL236" s="1"/>
      <c r="IUM236" s="1"/>
      <c r="IUN236" s="1"/>
      <c r="IUO236" s="1"/>
      <c r="IUP236" s="1"/>
      <c r="IUQ236" s="1"/>
      <c r="IUR236" s="1"/>
      <c r="IUS236" s="1"/>
      <c r="IUT236" s="1"/>
      <c r="IUU236" s="1"/>
      <c r="IUV236" s="1"/>
      <c r="IUW236" s="1"/>
      <c r="IUX236" s="1"/>
      <c r="IUY236" s="1"/>
      <c r="IUZ236" s="1"/>
      <c r="IVA236" s="1"/>
      <c r="IVB236" s="1"/>
      <c r="IVC236" s="1"/>
      <c r="IVD236" s="1"/>
      <c r="IVE236" s="1"/>
      <c r="IVF236" s="1"/>
      <c r="IVG236" s="1"/>
      <c r="IVH236" s="1"/>
      <c r="IVI236" s="1"/>
      <c r="IVJ236" s="1"/>
      <c r="IVK236" s="1"/>
      <c r="IVL236" s="1"/>
      <c r="IVM236" s="1"/>
      <c r="IVN236" s="1"/>
      <c r="IVO236" s="1"/>
      <c r="IVP236" s="1"/>
      <c r="IVQ236" s="1"/>
      <c r="IVR236" s="1"/>
      <c r="IVS236" s="1"/>
      <c r="IVT236" s="1"/>
      <c r="IVU236" s="1"/>
      <c r="IVV236" s="1"/>
      <c r="IVW236" s="1"/>
      <c r="IVX236" s="1"/>
      <c r="IVY236" s="1"/>
      <c r="IVZ236" s="1"/>
      <c r="IWA236" s="1"/>
      <c r="IWB236" s="1"/>
      <c r="IWC236" s="1"/>
      <c r="IWD236" s="1"/>
      <c r="IWE236" s="1"/>
      <c r="IWF236" s="1"/>
      <c r="IWG236" s="1"/>
      <c r="IWH236" s="1"/>
      <c r="IWI236" s="1"/>
      <c r="IWJ236" s="1"/>
      <c r="IWK236" s="1"/>
      <c r="IWL236" s="1"/>
      <c r="IWM236" s="1"/>
      <c r="IWN236" s="1"/>
      <c r="IWO236" s="1"/>
      <c r="IWP236" s="1"/>
      <c r="IWQ236" s="1"/>
      <c r="IWR236" s="1"/>
      <c r="IWS236" s="1"/>
      <c r="IWT236" s="1"/>
      <c r="IWU236" s="1"/>
      <c r="IWV236" s="1"/>
      <c r="IWW236" s="1"/>
      <c r="IWX236" s="1"/>
      <c r="IWY236" s="1"/>
      <c r="IWZ236" s="1"/>
      <c r="IXA236" s="1"/>
      <c r="IXB236" s="1"/>
      <c r="IXC236" s="1"/>
      <c r="IXD236" s="1"/>
      <c r="IXE236" s="1"/>
      <c r="IXF236" s="1"/>
      <c r="IXG236" s="1"/>
      <c r="IXH236" s="1"/>
      <c r="IXI236" s="1"/>
      <c r="IXJ236" s="1"/>
      <c r="IXK236" s="1"/>
      <c r="IXL236" s="1"/>
      <c r="IXM236" s="1"/>
      <c r="IXN236" s="1"/>
      <c r="IXO236" s="1"/>
      <c r="IXP236" s="1"/>
      <c r="IXQ236" s="1"/>
      <c r="IXR236" s="1"/>
      <c r="IXS236" s="1"/>
      <c r="IXT236" s="1"/>
      <c r="IXU236" s="1"/>
      <c r="IXV236" s="1"/>
      <c r="IXW236" s="1"/>
      <c r="IXX236" s="1"/>
      <c r="IXY236" s="1"/>
      <c r="IXZ236" s="1"/>
      <c r="IYA236" s="1"/>
      <c r="IYB236" s="1"/>
      <c r="IYC236" s="1"/>
      <c r="IYD236" s="1"/>
      <c r="IYE236" s="1"/>
      <c r="IYF236" s="1"/>
      <c r="IYG236" s="1"/>
      <c r="IYH236" s="1"/>
      <c r="IYI236" s="1"/>
      <c r="IYJ236" s="1"/>
      <c r="IYK236" s="1"/>
      <c r="IYL236" s="1"/>
      <c r="IYM236" s="1"/>
      <c r="IYN236" s="1"/>
      <c r="IYO236" s="1"/>
      <c r="IYP236" s="1"/>
      <c r="IYQ236" s="1"/>
      <c r="IYR236" s="1"/>
      <c r="IYS236" s="1"/>
      <c r="IYT236" s="1"/>
      <c r="IYU236" s="1"/>
      <c r="IYV236" s="1"/>
      <c r="IYW236" s="1"/>
      <c r="IYX236" s="1"/>
      <c r="IYY236" s="1"/>
      <c r="IYZ236" s="1"/>
      <c r="IZA236" s="1"/>
      <c r="IZB236" s="1"/>
      <c r="IZC236" s="1"/>
      <c r="IZD236" s="1"/>
      <c r="IZE236" s="1"/>
      <c r="IZF236" s="1"/>
      <c r="IZG236" s="1"/>
      <c r="IZH236" s="1"/>
      <c r="IZI236" s="1"/>
      <c r="IZJ236" s="1"/>
      <c r="IZK236" s="1"/>
      <c r="IZL236" s="1"/>
      <c r="IZM236" s="1"/>
      <c r="IZN236" s="1"/>
      <c r="IZO236" s="1"/>
      <c r="IZP236" s="1"/>
      <c r="IZQ236" s="1"/>
      <c r="IZR236" s="1"/>
      <c r="IZS236" s="1"/>
      <c r="IZT236" s="1"/>
      <c r="IZU236" s="1"/>
      <c r="IZV236" s="1"/>
      <c r="IZW236" s="1"/>
      <c r="IZX236" s="1"/>
      <c r="IZY236" s="1"/>
      <c r="IZZ236" s="1"/>
      <c r="JAA236" s="1"/>
      <c r="JAB236" s="1"/>
      <c r="JAC236" s="1"/>
      <c r="JAD236" s="1"/>
      <c r="JAE236" s="1"/>
      <c r="JAF236" s="1"/>
      <c r="JAG236" s="1"/>
      <c r="JAH236" s="1"/>
      <c r="JAI236" s="1"/>
      <c r="JAJ236" s="1"/>
      <c r="JAK236" s="1"/>
      <c r="JAL236" s="1"/>
      <c r="JAM236" s="1"/>
      <c r="JAN236" s="1"/>
      <c r="JAO236" s="1"/>
      <c r="JAP236" s="1"/>
      <c r="JAQ236" s="1"/>
      <c r="JAR236" s="1"/>
      <c r="JAS236" s="1"/>
      <c r="JAT236" s="1"/>
      <c r="JAU236" s="1"/>
      <c r="JAV236" s="1"/>
      <c r="JAW236" s="1"/>
      <c r="JAX236" s="1"/>
      <c r="JAY236" s="1"/>
      <c r="JAZ236" s="1"/>
      <c r="JBA236" s="1"/>
      <c r="JBB236" s="1"/>
      <c r="JBC236" s="1"/>
      <c r="JBD236" s="1"/>
      <c r="JBE236" s="1"/>
      <c r="JBF236" s="1"/>
      <c r="JBG236" s="1"/>
      <c r="JBH236" s="1"/>
      <c r="JBI236" s="1"/>
      <c r="JBJ236" s="1"/>
      <c r="JBK236" s="1"/>
      <c r="JBL236" s="1"/>
      <c r="JBM236" s="1"/>
      <c r="JBN236" s="1"/>
      <c r="JBO236" s="1"/>
      <c r="JBP236" s="1"/>
      <c r="JBQ236" s="1"/>
      <c r="JBR236" s="1"/>
      <c r="JBS236" s="1"/>
      <c r="JBT236" s="1"/>
      <c r="JBU236" s="1"/>
      <c r="JBV236" s="1"/>
      <c r="JBW236" s="1"/>
      <c r="JBX236" s="1"/>
      <c r="JBY236" s="1"/>
      <c r="JBZ236" s="1"/>
      <c r="JCA236" s="1"/>
      <c r="JCB236" s="1"/>
      <c r="JCC236" s="1"/>
      <c r="JCD236" s="1"/>
      <c r="JCE236" s="1"/>
      <c r="JCF236" s="1"/>
      <c r="JCG236" s="1"/>
      <c r="JCH236" s="1"/>
      <c r="JCI236" s="1"/>
      <c r="JCJ236" s="1"/>
      <c r="JCK236" s="1"/>
      <c r="JCL236" s="1"/>
      <c r="JCM236" s="1"/>
      <c r="JCN236" s="1"/>
      <c r="JCO236" s="1"/>
      <c r="JCP236" s="1"/>
      <c r="JCQ236" s="1"/>
      <c r="JCR236" s="1"/>
      <c r="JCS236" s="1"/>
      <c r="JCT236" s="1"/>
      <c r="JCU236" s="1"/>
      <c r="JCV236" s="1"/>
      <c r="JCW236" s="1"/>
      <c r="JCX236" s="1"/>
      <c r="JCY236" s="1"/>
      <c r="JCZ236" s="1"/>
      <c r="JDA236" s="1"/>
      <c r="JDB236" s="1"/>
      <c r="JDC236" s="1"/>
      <c r="JDD236" s="1"/>
      <c r="JDE236" s="1"/>
      <c r="JDF236" s="1"/>
      <c r="JDG236" s="1"/>
      <c r="JDH236" s="1"/>
      <c r="JDI236" s="1"/>
      <c r="JDJ236" s="1"/>
      <c r="JDK236" s="1"/>
      <c r="JDL236" s="1"/>
      <c r="JDM236" s="1"/>
      <c r="JDN236" s="1"/>
      <c r="JDO236" s="1"/>
      <c r="JDP236" s="1"/>
      <c r="JDQ236" s="1"/>
      <c r="JDR236" s="1"/>
      <c r="JDS236" s="1"/>
      <c r="JDT236" s="1"/>
      <c r="JDU236" s="1"/>
      <c r="JDV236" s="1"/>
      <c r="JDW236" s="1"/>
      <c r="JDX236" s="1"/>
      <c r="JDY236" s="1"/>
      <c r="JDZ236" s="1"/>
      <c r="JEA236" s="1"/>
      <c r="JEB236" s="1"/>
      <c r="JEC236" s="1"/>
      <c r="JED236" s="1"/>
      <c r="JEE236" s="1"/>
      <c r="JEF236" s="1"/>
      <c r="JEG236" s="1"/>
      <c r="JEH236" s="1"/>
      <c r="JEI236" s="1"/>
      <c r="JEJ236" s="1"/>
      <c r="JEK236" s="1"/>
      <c r="JEL236" s="1"/>
      <c r="JEM236" s="1"/>
      <c r="JEN236" s="1"/>
      <c r="JEO236" s="1"/>
      <c r="JEP236" s="1"/>
      <c r="JEQ236" s="1"/>
      <c r="JER236" s="1"/>
      <c r="JES236" s="1"/>
      <c r="JET236" s="1"/>
      <c r="JEU236" s="1"/>
      <c r="JEV236" s="1"/>
      <c r="JEW236" s="1"/>
      <c r="JEX236" s="1"/>
      <c r="JEY236" s="1"/>
      <c r="JEZ236" s="1"/>
      <c r="JFA236" s="1"/>
      <c r="JFB236" s="1"/>
      <c r="JFC236" s="1"/>
      <c r="JFD236" s="1"/>
      <c r="JFE236" s="1"/>
      <c r="JFF236" s="1"/>
      <c r="JFG236" s="1"/>
      <c r="JFH236" s="1"/>
      <c r="JFI236" s="1"/>
      <c r="JFJ236" s="1"/>
      <c r="JFK236" s="1"/>
      <c r="JFL236" s="1"/>
      <c r="JFM236" s="1"/>
      <c r="JFN236" s="1"/>
      <c r="JFO236" s="1"/>
      <c r="JFP236" s="1"/>
      <c r="JFQ236" s="1"/>
      <c r="JFR236" s="1"/>
      <c r="JFS236" s="1"/>
      <c r="JFT236" s="1"/>
      <c r="JFU236" s="1"/>
      <c r="JFV236" s="1"/>
      <c r="JFW236" s="1"/>
      <c r="JFX236" s="1"/>
      <c r="JFY236" s="1"/>
      <c r="JFZ236" s="1"/>
      <c r="JGA236" s="1"/>
      <c r="JGB236" s="1"/>
      <c r="JGC236" s="1"/>
      <c r="JGD236" s="1"/>
      <c r="JGE236" s="1"/>
      <c r="JGF236" s="1"/>
      <c r="JGG236" s="1"/>
      <c r="JGH236" s="1"/>
      <c r="JGI236" s="1"/>
      <c r="JGJ236" s="1"/>
      <c r="JGK236" s="1"/>
      <c r="JGL236" s="1"/>
      <c r="JGM236" s="1"/>
      <c r="JGN236" s="1"/>
      <c r="JGO236" s="1"/>
      <c r="JGP236" s="1"/>
      <c r="JGQ236" s="1"/>
      <c r="JGR236" s="1"/>
      <c r="JGS236" s="1"/>
      <c r="JGT236" s="1"/>
      <c r="JGU236" s="1"/>
      <c r="JGV236" s="1"/>
      <c r="JGW236" s="1"/>
      <c r="JGX236" s="1"/>
      <c r="JGY236" s="1"/>
      <c r="JGZ236" s="1"/>
      <c r="JHA236" s="1"/>
      <c r="JHB236" s="1"/>
      <c r="JHC236" s="1"/>
      <c r="JHD236" s="1"/>
      <c r="JHE236" s="1"/>
      <c r="JHF236" s="1"/>
      <c r="JHG236" s="1"/>
      <c r="JHH236" s="1"/>
      <c r="JHI236" s="1"/>
      <c r="JHJ236" s="1"/>
      <c r="JHK236" s="1"/>
      <c r="JHL236" s="1"/>
      <c r="JHM236" s="1"/>
      <c r="JHN236" s="1"/>
      <c r="JHO236" s="1"/>
      <c r="JHP236" s="1"/>
      <c r="JHQ236" s="1"/>
      <c r="JHR236" s="1"/>
      <c r="JHS236" s="1"/>
      <c r="JHT236" s="1"/>
      <c r="JHU236" s="1"/>
      <c r="JHV236" s="1"/>
      <c r="JHW236" s="1"/>
      <c r="JHX236" s="1"/>
      <c r="JHY236" s="1"/>
      <c r="JHZ236" s="1"/>
      <c r="JIA236" s="1"/>
      <c r="JIB236" s="1"/>
      <c r="JIC236" s="1"/>
      <c r="JID236" s="1"/>
      <c r="JIE236" s="1"/>
      <c r="JIF236" s="1"/>
      <c r="JIG236" s="1"/>
      <c r="JIH236" s="1"/>
      <c r="JII236" s="1"/>
      <c r="JIJ236" s="1"/>
      <c r="JIK236" s="1"/>
      <c r="JIL236" s="1"/>
      <c r="JIM236" s="1"/>
      <c r="JIN236" s="1"/>
      <c r="JIO236" s="1"/>
      <c r="JIP236" s="1"/>
      <c r="JIQ236" s="1"/>
      <c r="JIR236" s="1"/>
      <c r="JIS236" s="1"/>
      <c r="JIT236" s="1"/>
      <c r="JIU236" s="1"/>
      <c r="JIV236" s="1"/>
      <c r="JIW236" s="1"/>
      <c r="JIX236" s="1"/>
      <c r="JIY236" s="1"/>
      <c r="JIZ236" s="1"/>
      <c r="JJA236" s="1"/>
      <c r="JJB236" s="1"/>
      <c r="JJC236" s="1"/>
      <c r="JJD236" s="1"/>
      <c r="JJE236" s="1"/>
      <c r="JJF236" s="1"/>
      <c r="JJG236" s="1"/>
      <c r="JJH236" s="1"/>
      <c r="JJI236" s="1"/>
      <c r="JJJ236" s="1"/>
      <c r="JJK236" s="1"/>
      <c r="JJL236" s="1"/>
      <c r="JJM236" s="1"/>
      <c r="JJN236" s="1"/>
      <c r="JJO236" s="1"/>
      <c r="JJP236" s="1"/>
      <c r="JJQ236" s="1"/>
      <c r="JJR236" s="1"/>
      <c r="JJS236" s="1"/>
      <c r="JJT236" s="1"/>
      <c r="JJU236" s="1"/>
      <c r="JJV236" s="1"/>
      <c r="JJW236" s="1"/>
      <c r="JJX236" s="1"/>
      <c r="JJY236" s="1"/>
      <c r="JJZ236" s="1"/>
      <c r="JKA236" s="1"/>
      <c r="JKB236" s="1"/>
      <c r="JKC236" s="1"/>
      <c r="JKD236" s="1"/>
      <c r="JKE236" s="1"/>
      <c r="JKF236" s="1"/>
      <c r="JKG236" s="1"/>
      <c r="JKH236" s="1"/>
      <c r="JKI236" s="1"/>
      <c r="JKJ236" s="1"/>
      <c r="JKK236" s="1"/>
      <c r="JKL236" s="1"/>
      <c r="JKM236" s="1"/>
      <c r="JKN236" s="1"/>
      <c r="JKO236" s="1"/>
      <c r="JKP236" s="1"/>
      <c r="JKQ236" s="1"/>
      <c r="JKR236" s="1"/>
      <c r="JKS236" s="1"/>
      <c r="JKT236" s="1"/>
      <c r="JKU236" s="1"/>
      <c r="JKV236" s="1"/>
      <c r="JKW236" s="1"/>
      <c r="JKX236" s="1"/>
      <c r="JKY236" s="1"/>
      <c r="JKZ236" s="1"/>
      <c r="JLA236" s="1"/>
      <c r="JLB236" s="1"/>
      <c r="JLC236" s="1"/>
      <c r="JLD236" s="1"/>
      <c r="JLE236" s="1"/>
      <c r="JLF236" s="1"/>
      <c r="JLG236" s="1"/>
      <c r="JLH236" s="1"/>
      <c r="JLI236" s="1"/>
      <c r="JLJ236" s="1"/>
      <c r="JLK236" s="1"/>
      <c r="JLL236" s="1"/>
      <c r="JLM236" s="1"/>
      <c r="JLN236" s="1"/>
      <c r="JLO236" s="1"/>
      <c r="JLP236" s="1"/>
      <c r="JLQ236" s="1"/>
      <c r="JLR236" s="1"/>
      <c r="JLS236" s="1"/>
      <c r="JLT236" s="1"/>
      <c r="JLU236" s="1"/>
      <c r="JLV236" s="1"/>
      <c r="JLW236" s="1"/>
      <c r="JLX236" s="1"/>
      <c r="JLY236" s="1"/>
      <c r="JLZ236" s="1"/>
      <c r="JMA236" s="1"/>
      <c r="JMB236" s="1"/>
      <c r="JMC236" s="1"/>
      <c r="JMD236" s="1"/>
      <c r="JME236" s="1"/>
      <c r="JMF236" s="1"/>
      <c r="JMG236" s="1"/>
      <c r="JMH236" s="1"/>
      <c r="JMI236" s="1"/>
      <c r="JMJ236" s="1"/>
      <c r="JMK236" s="1"/>
      <c r="JML236" s="1"/>
      <c r="JMM236" s="1"/>
      <c r="JMN236" s="1"/>
      <c r="JMO236" s="1"/>
      <c r="JMP236" s="1"/>
      <c r="JMQ236" s="1"/>
      <c r="JMR236" s="1"/>
      <c r="JMS236" s="1"/>
      <c r="JMT236" s="1"/>
      <c r="JMU236" s="1"/>
      <c r="JMV236" s="1"/>
      <c r="JMW236" s="1"/>
      <c r="JMX236" s="1"/>
      <c r="JMY236" s="1"/>
      <c r="JMZ236" s="1"/>
      <c r="JNA236" s="1"/>
      <c r="JNB236" s="1"/>
      <c r="JNC236" s="1"/>
      <c r="JND236" s="1"/>
      <c r="JNE236" s="1"/>
      <c r="JNF236" s="1"/>
      <c r="JNG236" s="1"/>
      <c r="JNH236" s="1"/>
      <c r="JNI236" s="1"/>
      <c r="JNJ236" s="1"/>
      <c r="JNK236" s="1"/>
      <c r="JNL236" s="1"/>
      <c r="JNM236" s="1"/>
      <c r="JNN236" s="1"/>
      <c r="JNO236" s="1"/>
      <c r="JNP236" s="1"/>
      <c r="JNQ236" s="1"/>
      <c r="JNR236" s="1"/>
      <c r="JNS236" s="1"/>
      <c r="JNT236" s="1"/>
      <c r="JNU236" s="1"/>
      <c r="JNV236" s="1"/>
      <c r="JNW236" s="1"/>
      <c r="JNX236" s="1"/>
      <c r="JNY236" s="1"/>
      <c r="JNZ236" s="1"/>
      <c r="JOA236" s="1"/>
      <c r="JOB236" s="1"/>
      <c r="JOC236" s="1"/>
      <c r="JOD236" s="1"/>
      <c r="JOE236" s="1"/>
      <c r="JOF236" s="1"/>
      <c r="JOG236" s="1"/>
      <c r="JOH236" s="1"/>
      <c r="JOI236" s="1"/>
      <c r="JOJ236" s="1"/>
      <c r="JOK236" s="1"/>
      <c r="JOL236" s="1"/>
      <c r="JOM236" s="1"/>
      <c r="JON236" s="1"/>
      <c r="JOO236" s="1"/>
      <c r="JOP236" s="1"/>
      <c r="JOQ236" s="1"/>
      <c r="JOR236" s="1"/>
      <c r="JOS236" s="1"/>
      <c r="JOT236" s="1"/>
      <c r="JOU236" s="1"/>
      <c r="JOV236" s="1"/>
      <c r="JOW236" s="1"/>
      <c r="JOX236" s="1"/>
      <c r="JOY236" s="1"/>
      <c r="JOZ236" s="1"/>
      <c r="JPA236" s="1"/>
      <c r="JPB236" s="1"/>
      <c r="JPC236" s="1"/>
      <c r="JPD236" s="1"/>
      <c r="JPE236" s="1"/>
      <c r="JPF236" s="1"/>
      <c r="JPG236" s="1"/>
      <c r="JPH236" s="1"/>
      <c r="JPI236" s="1"/>
      <c r="JPJ236" s="1"/>
      <c r="JPK236" s="1"/>
      <c r="JPL236" s="1"/>
      <c r="JPM236" s="1"/>
      <c r="JPN236" s="1"/>
      <c r="JPO236" s="1"/>
      <c r="JPP236" s="1"/>
      <c r="JPQ236" s="1"/>
      <c r="JPR236" s="1"/>
      <c r="JPS236" s="1"/>
      <c r="JPT236" s="1"/>
      <c r="JPU236" s="1"/>
      <c r="JPV236" s="1"/>
      <c r="JPW236" s="1"/>
      <c r="JPX236" s="1"/>
      <c r="JPY236" s="1"/>
      <c r="JPZ236" s="1"/>
      <c r="JQA236" s="1"/>
      <c r="JQB236" s="1"/>
      <c r="JQC236" s="1"/>
      <c r="JQD236" s="1"/>
      <c r="JQE236" s="1"/>
      <c r="JQF236" s="1"/>
      <c r="JQG236" s="1"/>
      <c r="JQH236" s="1"/>
      <c r="JQI236" s="1"/>
      <c r="JQJ236" s="1"/>
      <c r="JQK236" s="1"/>
      <c r="JQL236" s="1"/>
      <c r="JQM236" s="1"/>
      <c r="JQN236" s="1"/>
      <c r="JQO236" s="1"/>
      <c r="JQP236" s="1"/>
      <c r="JQQ236" s="1"/>
      <c r="JQR236" s="1"/>
      <c r="JQS236" s="1"/>
      <c r="JQT236" s="1"/>
      <c r="JQU236" s="1"/>
      <c r="JQV236" s="1"/>
      <c r="JQW236" s="1"/>
      <c r="JQX236" s="1"/>
      <c r="JQY236" s="1"/>
      <c r="JQZ236" s="1"/>
      <c r="JRA236" s="1"/>
      <c r="JRB236" s="1"/>
      <c r="JRC236" s="1"/>
      <c r="JRD236" s="1"/>
      <c r="JRE236" s="1"/>
      <c r="JRF236" s="1"/>
      <c r="JRG236" s="1"/>
      <c r="JRH236" s="1"/>
      <c r="JRI236" s="1"/>
      <c r="JRJ236" s="1"/>
      <c r="JRK236" s="1"/>
      <c r="JRL236" s="1"/>
      <c r="JRM236" s="1"/>
      <c r="JRN236" s="1"/>
      <c r="JRO236" s="1"/>
      <c r="JRP236" s="1"/>
      <c r="JRQ236" s="1"/>
      <c r="JRR236" s="1"/>
      <c r="JRS236" s="1"/>
      <c r="JRT236" s="1"/>
      <c r="JRU236" s="1"/>
      <c r="JRV236" s="1"/>
      <c r="JRW236" s="1"/>
      <c r="JRX236" s="1"/>
      <c r="JRY236" s="1"/>
      <c r="JRZ236" s="1"/>
      <c r="JSA236" s="1"/>
      <c r="JSB236" s="1"/>
      <c r="JSC236" s="1"/>
      <c r="JSD236" s="1"/>
      <c r="JSE236" s="1"/>
      <c r="JSF236" s="1"/>
      <c r="JSG236" s="1"/>
      <c r="JSH236" s="1"/>
      <c r="JSI236" s="1"/>
      <c r="JSJ236" s="1"/>
      <c r="JSK236" s="1"/>
      <c r="JSL236" s="1"/>
      <c r="JSM236" s="1"/>
      <c r="JSN236" s="1"/>
      <c r="JSO236" s="1"/>
      <c r="JSP236" s="1"/>
      <c r="JSQ236" s="1"/>
      <c r="JSR236" s="1"/>
      <c r="JSS236" s="1"/>
      <c r="JST236" s="1"/>
      <c r="JSU236" s="1"/>
      <c r="JSV236" s="1"/>
      <c r="JSW236" s="1"/>
      <c r="JSX236" s="1"/>
      <c r="JSY236" s="1"/>
      <c r="JSZ236" s="1"/>
      <c r="JTA236" s="1"/>
      <c r="JTB236" s="1"/>
      <c r="JTC236" s="1"/>
      <c r="JTD236" s="1"/>
      <c r="JTE236" s="1"/>
      <c r="JTF236" s="1"/>
      <c r="JTG236" s="1"/>
      <c r="JTH236" s="1"/>
      <c r="JTI236" s="1"/>
      <c r="JTJ236" s="1"/>
      <c r="JTK236" s="1"/>
      <c r="JTL236" s="1"/>
      <c r="JTM236" s="1"/>
      <c r="JTN236" s="1"/>
      <c r="JTO236" s="1"/>
      <c r="JTP236" s="1"/>
      <c r="JTQ236" s="1"/>
      <c r="JTR236" s="1"/>
      <c r="JTS236" s="1"/>
      <c r="JTT236" s="1"/>
      <c r="JTU236" s="1"/>
      <c r="JTV236" s="1"/>
      <c r="JTW236" s="1"/>
      <c r="JTX236" s="1"/>
      <c r="JTY236" s="1"/>
      <c r="JTZ236" s="1"/>
      <c r="JUA236" s="1"/>
      <c r="JUB236" s="1"/>
      <c r="JUC236" s="1"/>
      <c r="JUD236" s="1"/>
      <c r="JUE236" s="1"/>
      <c r="JUF236" s="1"/>
      <c r="JUG236" s="1"/>
      <c r="JUH236" s="1"/>
      <c r="JUI236" s="1"/>
      <c r="JUJ236" s="1"/>
      <c r="JUK236" s="1"/>
      <c r="JUL236" s="1"/>
      <c r="JUM236" s="1"/>
      <c r="JUN236" s="1"/>
      <c r="JUO236" s="1"/>
      <c r="JUP236" s="1"/>
      <c r="JUQ236" s="1"/>
      <c r="JUR236" s="1"/>
      <c r="JUS236" s="1"/>
      <c r="JUT236" s="1"/>
      <c r="JUU236" s="1"/>
      <c r="JUV236" s="1"/>
      <c r="JUW236" s="1"/>
      <c r="JUX236" s="1"/>
      <c r="JUY236" s="1"/>
      <c r="JUZ236" s="1"/>
      <c r="JVA236" s="1"/>
      <c r="JVB236" s="1"/>
      <c r="JVC236" s="1"/>
      <c r="JVD236" s="1"/>
      <c r="JVE236" s="1"/>
      <c r="JVF236" s="1"/>
      <c r="JVG236" s="1"/>
      <c r="JVH236" s="1"/>
      <c r="JVI236" s="1"/>
      <c r="JVJ236" s="1"/>
      <c r="JVK236" s="1"/>
      <c r="JVL236" s="1"/>
      <c r="JVM236" s="1"/>
      <c r="JVN236" s="1"/>
      <c r="JVO236" s="1"/>
      <c r="JVP236" s="1"/>
      <c r="JVQ236" s="1"/>
      <c r="JVR236" s="1"/>
      <c r="JVS236" s="1"/>
      <c r="JVT236" s="1"/>
      <c r="JVU236" s="1"/>
      <c r="JVV236" s="1"/>
      <c r="JVW236" s="1"/>
      <c r="JVX236" s="1"/>
      <c r="JVY236" s="1"/>
      <c r="JVZ236" s="1"/>
      <c r="JWA236" s="1"/>
      <c r="JWB236" s="1"/>
      <c r="JWC236" s="1"/>
      <c r="JWD236" s="1"/>
      <c r="JWE236" s="1"/>
      <c r="JWF236" s="1"/>
      <c r="JWG236" s="1"/>
      <c r="JWH236" s="1"/>
      <c r="JWI236" s="1"/>
      <c r="JWJ236" s="1"/>
      <c r="JWK236" s="1"/>
      <c r="JWL236" s="1"/>
      <c r="JWM236" s="1"/>
      <c r="JWN236" s="1"/>
      <c r="JWO236" s="1"/>
      <c r="JWP236" s="1"/>
      <c r="JWQ236" s="1"/>
      <c r="JWR236" s="1"/>
      <c r="JWS236" s="1"/>
      <c r="JWT236" s="1"/>
      <c r="JWU236" s="1"/>
      <c r="JWV236" s="1"/>
      <c r="JWW236" s="1"/>
      <c r="JWX236" s="1"/>
      <c r="JWY236" s="1"/>
      <c r="JWZ236" s="1"/>
      <c r="JXA236" s="1"/>
      <c r="JXB236" s="1"/>
      <c r="JXC236" s="1"/>
      <c r="JXD236" s="1"/>
      <c r="JXE236" s="1"/>
      <c r="JXF236" s="1"/>
      <c r="JXG236" s="1"/>
      <c r="JXH236" s="1"/>
      <c r="JXI236" s="1"/>
      <c r="JXJ236" s="1"/>
      <c r="JXK236" s="1"/>
      <c r="JXL236" s="1"/>
      <c r="JXM236" s="1"/>
      <c r="JXN236" s="1"/>
      <c r="JXO236" s="1"/>
      <c r="JXP236" s="1"/>
      <c r="JXQ236" s="1"/>
      <c r="JXR236" s="1"/>
      <c r="JXS236" s="1"/>
      <c r="JXT236" s="1"/>
      <c r="JXU236" s="1"/>
      <c r="JXV236" s="1"/>
      <c r="JXW236" s="1"/>
      <c r="JXX236" s="1"/>
      <c r="JXY236" s="1"/>
      <c r="JXZ236" s="1"/>
      <c r="JYA236" s="1"/>
      <c r="JYB236" s="1"/>
      <c r="JYC236" s="1"/>
      <c r="JYD236" s="1"/>
      <c r="JYE236" s="1"/>
      <c r="JYF236" s="1"/>
      <c r="JYG236" s="1"/>
      <c r="JYH236" s="1"/>
      <c r="JYI236" s="1"/>
      <c r="JYJ236" s="1"/>
      <c r="JYK236" s="1"/>
      <c r="JYL236" s="1"/>
      <c r="JYM236" s="1"/>
      <c r="JYN236" s="1"/>
      <c r="JYO236" s="1"/>
      <c r="JYP236" s="1"/>
      <c r="JYQ236" s="1"/>
      <c r="JYR236" s="1"/>
      <c r="JYS236" s="1"/>
      <c r="JYT236" s="1"/>
      <c r="JYU236" s="1"/>
      <c r="JYV236" s="1"/>
      <c r="JYW236" s="1"/>
      <c r="JYX236" s="1"/>
      <c r="JYY236" s="1"/>
      <c r="JYZ236" s="1"/>
      <c r="JZA236" s="1"/>
      <c r="JZB236" s="1"/>
      <c r="JZC236" s="1"/>
      <c r="JZD236" s="1"/>
      <c r="JZE236" s="1"/>
      <c r="JZF236" s="1"/>
      <c r="JZG236" s="1"/>
      <c r="JZH236" s="1"/>
      <c r="JZI236" s="1"/>
      <c r="JZJ236" s="1"/>
      <c r="JZK236" s="1"/>
      <c r="JZL236" s="1"/>
      <c r="JZM236" s="1"/>
      <c r="JZN236" s="1"/>
      <c r="JZO236" s="1"/>
      <c r="JZP236" s="1"/>
      <c r="JZQ236" s="1"/>
      <c r="JZR236" s="1"/>
      <c r="JZS236" s="1"/>
      <c r="JZT236" s="1"/>
      <c r="JZU236" s="1"/>
      <c r="JZV236" s="1"/>
      <c r="JZW236" s="1"/>
      <c r="JZX236" s="1"/>
      <c r="JZY236" s="1"/>
      <c r="JZZ236" s="1"/>
      <c r="KAA236" s="1"/>
      <c r="KAB236" s="1"/>
      <c r="KAC236" s="1"/>
      <c r="KAD236" s="1"/>
      <c r="KAE236" s="1"/>
      <c r="KAF236" s="1"/>
      <c r="KAG236" s="1"/>
      <c r="KAH236" s="1"/>
      <c r="KAI236" s="1"/>
      <c r="KAJ236" s="1"/>
      <c r="KAK236" s="1"/>
      <c r="KAL236" s="1"/>
      <c r="KAM236" s="1"/>
      <c r="KAN236" s="1"/>
      <c r="KAO236" s="1"/>
      <c r="KAP236" s="1"/>
      <c r="KAQ236" s="1"/>
      <c r="KAR236" s="1"/>
      <c r="KAS236" s="1"/>
      <c r="KAT236" s="1"/>
      <c r="KAU236" s="1"/>
      <c r="KAV236" s="1"/>
      <c r="KAW236" s="1"/>
      <c r="KAX236" s="1"/>
      <c r="KAY236" s="1"/>
      <c r="KAZ236" s="1"/>
      <c r="KBA236" s="1"/>
      <c r="KBB236" s="1"/>
      <c r="KBC236" s="1"/>
      <c r="KBD236" s="1"/>
      <c r="KBE236" s="1"/>
      <c r="KBF236" s="1"/>
      <c r="KBG236" s="1"/>
      <c r="KBH236" s="1"/>
      <c r="KBI236" s="1"/>
      <c r="KBJ236" s="1"/>
      <c r="KBK236" s="1"/>
      <c r="KBL236" s="1"/>
      <c r="KBM236" s="1"/>
      <c r="KBN236" s="1"/>
      <c r="KBO236" s="1"/>
      <c r="KBP236" s="1"/>
      <c r="KBQ236" s="1"/>
      <c r="KBR236" s="1"/>
      <c r="KBS236" s="1"/>
      <c r="KBT236" s="1"/>
      <c r="KBU236" s="1"/>
      <c r="KBV236" s="1"/>
      <c r="KBW236" s="1"/>
      <c r="KBX236" s="1"/>
      <c r="KBY236" s="1"/>
      <c r="KBZ236" s="1"/>
      <c r="KCA236" s="1"/>
      <c r="KCB236" s="1"/>
      <c r="KCC236" s="1"/>
      <c r="KCD236" s="1"/>
      <c r="KCE236" s="1"/>
      <c r="KCF236" s="1"/>
      <c r="KCG236" s="1"/>
      <c r="KCH236" s="1"/>
      <c r="KCI236" s="1"/>
      <c r="KCJ236" s="1"/>
      <c r="KCK236" s="1"/>
      <c r="KCL236" s="1"/>
      <c r="KCM236" s="1"/>
      <c r="KCN236" s="1"/>
      <c r="KCO236" s="1"/>
      <c r="KCP236" s="1"/>
      <c r="KCQ236" s="1"/>
      <c r="KCR236" s="1"/>
      <c r="KCS236" s="1"/>
      <c r="KCT236" s="1"/>
      <c r="KCU236" s="1"/>
      <c r="KCV236" s="1"/>
      <c r="KCW236" s="1"/>
      <c r="KCX236" s="1"/>
      <c r="KCY236" s="1"/>
      <c r="KCZ236" s="1"/>
      <c r="KDA236" s="1"/>
      <c r="KDB236" s="1"/>
      <c r="KDC236" s="1"/>
      <c r="KDD236" s="1"/>
      <c r="KDE236" s="1"/>
      <c r="KDF236" s="1"/>
      <c r="KDG236" s="1"/>
      <c r="KDH236" s="1"/>
      <c r="KDI236" s="1"/>
      <c r="KDJ236" s="1"/>
      <c r="KDK236" s="1"/>
      <c r="KDL236" s="1"/>
      <c r="KDM236" s="1"/>
      <c r="KDN236" s="1"/>
      <c r="KDO236" s="1"/>
      <c r="KDP236" s="1"/>
      <c r="KDQ236" s="1"/>
      <c r="KDR236" s="1"/>
      <c r="KDS236" s="1"/>
      <c r="KDT236" s="1"/>
      <c r="KDU236" s="1"/>
      <c r="KDV236" s="1"/>
      <c r="KDW236" s="1"/>
      <c r="KDX236" s="1"/>
      <c r="KDY236" s="1"/>
      <c r="KDZ236" s="1"/>
      <c r="KEA236" s="1"/>
      <c r="KEB236" s="1"/>
      <c r="KEC236" s="1"/>
      <c r="KED236" s="1"/>
      <c r="KEE236" s="1"/>
      <c r="KEF236" s="1"/>
      <c r="KEG236" s="1"/>
      <c r="KEH236" s="1"/>
      <c r="KEI236" s="1"/>
      <c r="KEJ236" s="1"/>
      <c r="KEK236" s="1"/>
      <c r="KEL236" s="1"/>
      <c r="KEM236" s="1"/>
      <c r="KEN236" s="1"/>
      <c r="KEO236" s="1"/>
      <c r="KEP236" s="1"/>
      <c r="KEQ236" s="1"/>
      <c r="KER236" s="1"/>
      <c r="KES236" s="1"/>
      <c r="KET236" s="1"/>
      <c r="KEU236" s="1"/>
      <c r="KEV236" s="1"/>
      <c r="KEW236" s="1"/>
      <c r="KEX236" s="1"/>
      <c r="KEY236" s="1"/>
      <c r="KEZ236" s="1"/>
      <c r="KFA236" s="1"/>
      <c r="KFB236" s="1"/>
      <c r="KFC236" s="1"/>
      <c r="KFD236" s="1"/>
      <c r="KFE236" s="1"/>
      <c r="KFF236" s="1"/>
      <c r="KFG236" s="1"/>
      <c r="KFH236" s="1"/>
      <c r="KFI236" s="1"/>
      <c r="KFJ236" s="1"/>
      <c r="KFK236" s="1"/>
      <c r="KFL236" s="1"/>
      <c r="KFM236" s="1"/>
      <c r="KFN236" s="1"/>
      <c r="KFO236" s="1"/>
      <c r="KFP236" s="1"/>
      <c r="KFQ236" s="1"/>
      <c r="KFR236" s="1"/>
      <c r="KFS236" s="1"/>
      <c r="KFT236" s="1"/>
      <c r="KFU236" s="1"/>
      <c r="KFV236" s="1"/>
      <c r="KFW236" s="1"/>
      <c r="KFX236" s="1"/>
      <c r="KFY236" s="1"/>
      <c r="KFZ236" s="1"/>
      <c r="KGA236" s="1"/>
      <c r="KGB236" s="1"/>
      <c r="KGC236" s="1"/>
      <c r="KGD236" s="1"/>
      <c r="KGE236" s="1"/>
      <c r="KGF236" s="1"/>
      <c r="KGG236" s="1"/>
      <c r="KGH236" s="1"/>
      <c r="KGI236" s="1"/>
      <c r="KGJ236" s="1"/>
      <c r="KGK236" s="1"/>
      <c r="KGL236" s="1"/>
      <c r="KGM236" s="1"/>
      <c r="KGN236" s="1"/>
      <c r="KGO236" s="1"/>
      <c r="KGP236" s="1"/>
      <c r="KGQ236" s="1"/>
      <c r="KGR236" s="1"/>
      <c r="KGS236" s="1"/>
      <c r="KGT236" s="1"/>
      <c r="KGU236" s="1"/>
      <c r="KGV236" s="1"/>
      <c r="KGW236" s="1"/>
      <c r="KGX236" s="1"/>
      <c r="KGY236" s="1"/>
      <c r="KGZ236" s="1"/>
      <c r="KHA236" s="1"/>
      <c r="KHB236" s="1"/>
      <c r="KHC236" s="1"/>
      <c r="KHD236" s="1"/>
      <c r="KHE236" s="1"/>
      <c r="KHF236" s="1"/>
      <c r="KHG236" s="1"/>
      <c r="KHH236" s="1"/>
      <c r="KHI236" s="1"/>
      <c r="KHJ236" s="1"/>
      <c r="KHK236" s="1"/>
      <c r="KHL236" s="1"/>
      <c r="KHM236" s="1"/>
      <c r="KHN236" s="1"/>
      <c r="KHO236" s="1"/>
      <c r="KHP236" s="1"/>
      <c r="KHQ236" s="1"/>
      <c r="KHR236" s="1"/>
      <c r="KHS236" s="1"/>
      <c r="KHT236" s="1"/>
      <c r="KHU236" s="1"/>
      <c r="KHV236" s="1"/>
      <c r="KHW236" s="1"/>
      <c r="KHX236" s="1"/>
      <c r="KHY236" s="1"/>
      <c r="KHZ236" s="1"/>
      <c r="KIA236" s="1"/>
      <c r="KIB236" s="1"/>
      <c r="KIC236" s="1"/>
      <c r="KID236" s="1"/>
      <c r="KIE236" s="1"/>
      <c r="KIF236" s="1"/>
      <c r="KIG236" s="1"/>
      <c r="KIH236" s="1"/>
      <c r="KII236" s="1"/>
      <c r="KIJ236" s="1"/>
      <c r="KIK236" s="1"/>
      <c r="KIL236" s="1"/>
      <c r="KIM236" s="1"/>
      <c r="KIN236" s="1"/>
      <c r="KIO236" s="1"/>
      <c r="KIP236" s="1"/>
      <c r="KIQ236" s="1"/>
      <c r="KIR236" s="1"/>
      <c r="KIS236" s="1"/>
      <c r="KIT236" s="1"/>
      <c r="KIU236" s="1"/>
      <c r="KIV236" s="1"/>
      <c r="KIW236" s="1"/>
      <c r="KIX236" s="1"/>
      <c r="KIY236" s="1"/>
      <c r="KIZ236" s="1"/>
      <c r="KJA236" s="1"/>
      <c r="KJB236" s="1"/>
      <c r="KJC236" s="1"/>
      <c r="KJD236" s="1"/>
      <c r="KJE236" s="1"/>
      <c r="KJF236" s="1"/>
      <c r="KJG236" s="1"/>
      <c r="KJH236" s="1"/>
      <c r="KJI236" s="1"/>
      <c r="KJJ236" s="1"/>
      <c r="KJK236" s="1"/>
      <c r="KJL236" s="1"/>
      <c r="KJM236" s="1"/>
      <c r="KJN236" s="1"/>
      <c r="KJO236" s="1"/>
      <c r="KJP236" s="1"/>
      <c r="KJQ236" s="1"/>
      <c r="KJR236" s="1"/>
      <c r="KJS236" s="1"/>
      <c r="KJT236" s="1"/>
      <c r="KJU236" s="1"/>
      <c r="KJV236" s="1"/>
      <c r="KJW236" s="1"/>
      <c r="KJX236" s="1"/>
      <c r="KJY236" s="1"/>
      <c r="KJZ236" s="1"/>
      <c r="KKA236" s="1"/>
      <c r="KKB236" s="1"/>
      <c r="KKC236" s="1"/>
      <c r="KKD236" s="1"/>
      <c r="KKE236" s="1"/>
      <c r="KKF236" s="1"/>
      <c r="KKG236" s="1"/>
      <c r="KKH236" s="1"/>
      <c r="KKI236" s="1"/>
      <c r="KKJ236" s="1"/>
      <c r="KKK236" s="1"/>
      <c r="KKL236" s="1"/>
      <c r="KKM236" s="1"/>
      <c r="KKN236" s="1"/>
      <c r="KKO236" s="1"/>
      <c r="KKP236" s="1"/>
      <c r="KKQ236" s="1"/>
      <c r="KKR236" s="1"/>
      <c r="KKS236" s="1"/>
      <c r="KKT236" s="1"/>
      <c r="KKU236" s="1"/>
      <c r="KKV236" s="1"/>
      <c r="KKW236" s="1"/>
      <c r="KKX236" s="1"/>
      <c r="KKY236" s="1"/>
      <c r="KKZ236" s="1"/>
      <c r="KLA236" s="1"/>
      <c r="KLB236" s="1"/>
      <c r="KLC236" s="1"/>
      <c r="KLD236" s="1"/>
      <c r="KLE236" s="1"/>
      <c r="KLF236" s="1"/>
      <c r="KLG236" s="1"/>
      <c r="KLH236" s="1"/>
      <c r="KLI236" s="1"/>
      <c r="KLJ236" s="1"/>
      <c r="KLK236" s="1"/>
      <c r="KLL236" s="1"/>
      <c r="KLM236" s="1"/>
      <c r="KLN236" s="1"/>
      <c r="KLO236" s="1"/>
      <c r="KLP236" s="1"/>
      <c r="KLQ236" s="1"/>
      <c r="KLR236" s="1"/>
      <c r="KLS236" s="1"/>
      <c r="KLT236" s="1"/>
      <c r="KLU236" s="1"/>
      <c r="KLV236" s="1"/>
      <c r="KLW236" s="1"/>
      <c r="KLX236" s="1"/>
      <c r="KLY236" s="1"/>
      <c r="KLZ236" s="1"/>
      <c r="KMA236" s="1"/>
      <c r="KMB236" s="1"/>
      <c r="KMC236" s="1"/>
      <c r="KMD236" s="1"/>
      <c r="KME236" s="1"/>
      <c r="KMF236" s="1"/>
      <c r="KMG236" s="1"/>
      <c r="KMH236" s="1"/>
      <c r="KMI236" s="1"/>
      <c r="KMJ236" s="1"/>
      <c r="KMK236" s="1"/>
      <c r="KML236" s="1"/>
      <c r="KMM236" s="1"/>
      <c r="KMN236" s="1"/>
      <c r="KMO236" s="1"/>
      <c r="KMP236" s="1"/>
      <c r="KMQ236" s="1"/>
      <c r="KMR236" s="1"/>
      <c r="KMS236" s="1"/>
      <c r="KMT236" s="1"/>
      <c r="KMU236" s="1"/>
      <c r="KMV236" s="1"/>
      <c r="KMW236" s="1"/>
      <c r="KMX236" s="1"/>
      <c r="KMY236" s="1"/>
      <c r="KMZ236" s="1"/>
      <c r="KNA236" s="1"/>
      <c r="KNB236" s="1"/>
      <c r="KNC236" s="1"/>
      <c r="KND236" s="1"/>
      <c r="KNE236" s="1"/>
      <c r="KNF236" s="1"/>
      <c r="KNG236" s="1"/>
      <c r="KNH236" s="1"/>
      <c r="KNI236" s="1"/>
      <c r="KNJ236" s="1"/>
      <c r="KNK236" s="1"/>
      <c r="KNL236" s="1"/>
      <c r="KNM236" s="1"/>
      <c r="KNN236" s="1"/>
      <c r="KNO236" s="1"/>
      <c r="KNP236" s="1"/>
      <c r="KNQ236" s="1"/>
      <c r="KNR236" s="1"/>
      <c r="KNS236" s="1"/>
      <c r="KNT236" s="1"/>
      <c r="KNU236" s="1"/>
      <c r="KNV236" s="1"/>
      <c r="KNW236" s="1"/>
      <c r="KNX236" s="1"/>
      <c r="KNY236" s="1"/>
      <c r="KNZ236" s="1"/>
      <c r="KOA236" s="1"/>
      <c r="KOB236" s="1"/>
      <c r="KOC236" s="1"/>
      <c r="KOD236" s="1"/>
      <c r="KOE236" s="1"/>
      <c r="KOF236" s="1"/>
      <c r="KOG236" s="1"/>
      <c r="KOH236" s="1"/>
      <c r="KOI236" s="1"/>
      <c r="KOJ236" s="1"/>
      <c r="KOK236" s="1"/>
      <c r="KOL236" s="1"/>
      <c r="KOM236" s="1"/>
      <c r="KON236" s="1"/>
      <c r="KOO236" s="1"/>
      <c r="KOP236" s="1"/>
      <c r="KOQ236" s="1"/>
      <c r="KOR236" s="1"/>
      <c r="KOS236" s="1"/>
      <c r="KOT236" s="1"/>
      <c r="KOU236" s="1"/>
      <c r="KOV236" s="1"/>
      <c r="KOW236" s="1"/>
      <c r="KOX236" s="1"/>
      <c r="KOY236" s="1"/>
      <c r="KOZ236" s="1"/>
      <c r="KPA236" s="1"/>
      <c r="KPB236" s="1"/>
      <c r="KPC236" s="1"/>
      <c r="KPD236" s="1"/>
      <c r="KPE236" s="1"/>
      <c r="KPF236" s="1"/>
      <c r="KPG236" s="1"/>
      <c r="KPH236" s="1"/>
      <c r="KPI236" s="1"/>
      <c r="KPJ236" s="1"/>
      <c r="KPK236" s="1"/>
      <c r="KPL236" s="1"/>
      <c r="KPM236" s="1"/>
      <c r="KPN236" s="1"/>
      <c r="KPO236" s="1"/>
      <c r="KPP236" s="1"/>
      <c r="KPQ236" s="1"/>
      <c r="KPR236" s="1"/>
      <c r="KPS236" s="1"/>
      <c r="KPT236" s="1"/>
      <c r="KPU236" s="1"/>
      <c r="KPV236" s="1"/>
      <c r="KPW236" s="1"/>
      <c r="KPX236" s="1"/>
      <c r="KPY236" s="1"/>
      <c r="KPZ236" s="1"/>
      <c r="KQA236" s="1"/>
      <c r="KQB236" s="1"/>
      <c r="KQC236" s="1"/>
      <c r="KQD236" s="1"/>
      <c r="KQE236" s="1"/>
      <c r="KQF236" s="1"/>
      <c r="KQG236" s="1"/>
      <c r="KQH236" s="1"/>
      <c r="KQI236" s="1"/>
      <c r="KQJ236" s="1"/>
      <c r="KQK236" s="1"/>
      <c r="KQL236" s="1"/>
      <c r="KQM236" s="1"/>
      <c r="KQN236" s="1"/>
      <c r="KQO236" s="1"/>
      <c r="KQP236" s="1"/>
      <c r="KQQ236" s="1"/>
      <c r="KQR236" s="1"/>
      <c r="KQS236" s="1"/>
      <c r="KQT236" s="1"/>
      <c r="KQU236" s="1"/>
      <c r="KQV236" s="1"/>
      <c r="KQW236" s="1"/>
      <c r="KQX236" s="1"/>
      <c r="KQY236" s="1"/>
      <c r="KQZ236" s="1"/>
      <c r="KRA236" s="1"/>
      <c r="KRB236" s="1"/>
      <c r="KRC236" s="1"/>
      <c r="KRD236" s="1"/>
      <c r="KRE236" s="1"/>
      <c r="KRF236" s="1"/>
      <c r="KRG236" s="1"/>
      <c r="KRH236" s="1"/>
      <c r="KRI236" s="1"/>
      <c r="KRJ236" s="1"/>
      <c r="KRK236" s="1"/>
      <c r="KRL236" s="1"/>
      <c r="KRM236" s="1"/>
      <c r="KRN236" s="1"/>
      <c r="KRO236" s="1"/>
      <c r="KRP236" s="1"/>
      <c r="KRQ236" s="1"/>
      <c r="KRR236" s="1"/>
      <c r="KRS236" s="1"/>
      <c r="KRT236" s="1"/>
      <c r="KRU236" s="1"/>
      <c r="KRV236" s="1"/>
      <c r="KRW236" s="1"/>
      <c r="KRX236" s="1"/>
      <c r="KRY236" s="1"/>
      <c r="KRZ236" s="1"/>
      <c r="KSA236" s="1"/>
      <c r="KSB236" s="1"/>
      <c r="KSC236" s="1"/>
      <c r="KSD236" s="1"/>
      <c r="KSE236" s="1"/>
      <c r="KSF236" s="1"/>
      <c r="KSG236" s="1"/>
      <c r="KSH236" s="1"/>
      <c r="KSI236" s="1"/>
      <c r="KSJ236" s="1"/>
      <c r="KSK236" s="1"/>
      <c r="KSL236" s="1"/>
      <c r="KSM236" s="1"/>
      <c r="KSN236" s="1"/>
      <c r="KSO236" s="1"/>
      <c r="KSP236" s="1"/>
      <c r="KSQ236" s="1"/>
      <c r="KSR236" s="1"/>
      <c r="KSS236" s="1"/>
      <c r="KST236" s="1"/>
      <c r="KSU236" s="1"/>
      <c r="KSV236" s="1"/>
      <c r="KSW236" s="1"/>
      <c r="KSX236" s="1"/>
      <c r="KSY236" s="1"/>
      <c r="KSZ236" s="1"/>
      <c r="KTA236" s="1"/>
      <c r="KTB236" s="1"/>
      <c r="KTC236" s="1"/>
      <c r="KTD236" s="1"/>
      <c r="KTE236" s="1"/>
      <c r="KTF236" s="1"/>
      <c r="KTG236" s="1"/>
      <c r="KTH236" s="1"/>
      <c r="KTI236" s="1"/>
      <c r="KTJ236" s="1"/>
      <c r="KTK236" s="1"/>
      <c r="KTL236" s="1"/>
      <c r="KTM236" s="1"/>
      <c r="KTN236" s="1"/>
      <c r="KTO236" s="1"/>
      <c r="KTP236" s="1"/>
      <c r="KTQ236" s="1"/>
      <c r="KTR236" s="1"/>
      <c r="KTS236" s="1"/>
      <c r="KTT236" s="1"/>
      <c r="KTU236" s="1"/>
      <c r="KTV236" s="1"/>
      <c r="KTW236" s="1"/>
      <c r="KTX236" s="1"/>
      <c r="KTY236" s="1"/>
      <c r="KTZ236" s="1"/>
      <c r="KUA236" s="1"/>
      <c r="KUB236" s="1"/>
      <c r="KUC236" s="1"/>
      <c r="KUD236" s="1"/>
      <c r="KUE236" s="1"/>
      <c r="KUF236" s="1"/>
      <c r="KUG236" s="1"/>
      <c r="KUH236" s="1"/>
      <c r="KUI236" s="1"/>
      <c r="KUJ236" s="1"/>
      <c r="KUK236" s="1"/>
      <c r="KUL236" s="1"/>
      <c r="KUM236" s="1"/>
      <c r="KUN236" s="1"/>
      <c r="KUO236" s="1"/>
      <c r="KUP236" s="1"/>
      <c r="KUQ236" s="1"/>
      <c r="KUR236" s="1"/>
      <c r="KUS236" s="1"/>
      <c r="KUT236" s="1"/>
      <c r="KUU236" s="1"/>
      <c r="KUV236" s="1"/>
      <c r="KUW236" s="1"/>
      <c r="KUX236" s="1"/>
      <c r="KUY236" s="1"/>
      <c r="KUZ236" s="1"/>
      <c r="KVA236" s="1"/>
      <c r="KVB236" s="1"/>
      <c r="KVC236" s="1"/>
      <c r="KVD236" s="1"/>
      <c r="KVE236" s="1"/>
      <c r="KVF236" s="1"/>
      <c r="KVG236" s="1"/>
      <c r="KVH236" s="1"/>
      <c r="KVI236" s="1"/>
      <c r="KVJ236" s="1"/>
      <c r="KVK236" s="1"/>
      <c r="KVL236" s="1"/>
      <c r="KVM236" s="1"/>
      <c r="KVN236" s="1"/>
      <c r="KVO236" s="1"/>
      <c r="KVP236" s="1"/>
      <c r="KVQ236" s="1"/>
      <c r="KVR236" s="1"/>
      <c r="KVS236" s="1"/>
      <c r="KVT236" s="1"/>
      <c r="KVU236" s="1"/>
      <c r="KVV236" s="1"/>
      <c r="KVW236" s="1"/>
      <c r="KVX236" s="1"/>
      <c r="KVY236" s="1"/>
      <c r="KVZ236" s="1"/>
      <c r="KWA236" s="1"/>
      <c r="KWB236" s="1"/>
      <c r="KWC236" s="1"/>
      <c r="KWD236" s="1"/>
      <c r="KWE236" s="1"/>
      <c r="KWF236" s="1"/>
      <c r="KWG236" s="1"/>
      <c r="KWH236" s="1"/>
      <c r="KWI236" s="1"/>
      <c r="KWJ236" s="1"/>
      <c r="KWK236" s="1"/>
      <c r="KWL236" s="1"/>
      <c r="KWM236" s="1"/>
      <c r="KWN236" s="1"/>
      <c r="KWO236" s="1"/>
      <c r="KWP236" s="1"/>
      <c r="KWQ236" s="1"/>
      <c r="KWR236" s="1"/>
      <c r="KWS236" s="1"/>
      <c r="KWT236" s="1"/>
      <c r="KWU236" s="1"/>
      <c r="KWV236" s="1"/>
      <c r="KWW236" s="1"/>
      <c r="KWX236" s="1"/>
      <c r="KWY236" s="1"/>
      <c r="KWZ236" s="1"/>
      <c r="KXA236" s="1"/>
      <c r="KXB236" s="1"/>
      <c r="KXC236" s="1"/>
      <c r="KXD236" s="1"/>
      <c r="KXE236" s="1"/>
      <c r="KXF236" s="1"/>
      <c r="KXG236" s="1"/>
      <c r="KXH236" s="1"/>
      <c r="KXI236" s="1"/>
      <c r="KXJ236" s="1"/>
      <c r="KXK236" s="1"/>
      <c r="KXL236" s="1"/>
      <c r="KXM236" s="1"/>
      <c r="KXN236" s="1"/>
      <c r="KXO236" s="1"/>
      <c r="KXP236" s="1"/>
      <c r="KXQ236" s="1"/>
      <c r="KXR236" s="1"/>
      <c r="KXS236" s="1"/>
      <c r="KXT236" s="1"/>
      <c r="KXU236" s="1"/>
      <c r="KXV236" s="1"/>
      <c r="KXW236" s="1"/>
      <c r="KXX236" s="1"/>
      <c r="KXY236" s="1"/>
      <c r="KXZ236" s="1"/>
      <c r="KYA236" s="1"/>
      <c r="KYB236" s="1"/>
      <c r="KYC236" s="1"/>
      <c r="KYD236" s="1"/>
      <c r="KYE236" s="1"/>
      <c r="KYF236" s="1"/>
      <c r="KYG236" s="1"/>
      <c r="KYH236" s="1"/>
      <c r="KYI236" s="1"/>
      <c r="KYJ236" s="1"/>
      <c r="KYK236" s="1"/>
      <c r="KYL236" s="1"/>
      <c r="KYM236" s="1"/>
      <c r="KYN236" s="1"/>
      <c r="KYO236" s="1"/>
      <c r="KYP236" s="1"/>
      <c r="KYQ236" s="1"/>
      <c r="KYR236" s="1"/>
      <c r="KYS236" s="1"/>
      <c r="KYT236" s="1"/>
      <c r="KYU236" s="1"/>
      <c r="KYV236" s="1"/>
      <c r="KYW236" s="1"/>
      <c r="KYX236" s="1"/>
      <c r="KYY236" s="1"/>
      <c r="KYZ236" s="1"/>
      <c r="KZA236" s="1"/>
      <c r="KZB236" s="1"/>
      <c r="KZC236" s="1"/>
      <c r="KZD236" s="1"/>
      <c r="KZE236" s="1"/>
      <c r="KZF236" s="1"/>
      <c r="KZG236" s="1"/>
      <c r="KZH236" s="1"/>
      <c r="KZI236" s="1"/>
      <c r="KZJ236" s="1"/>
      <c r="KZK236" s="1"/>
      <c r="KZL236" s="1"/>
      <c r="KZM236" s="1"/>
      <c r="KZN236" s="1"/>
      <c r="KZO236" s="1"/>
      <c r="KZP236" s="1"/>
      <c r="KZQ236" s="1"/>
      <c r="KZR236" s="1"/>
      <c r="KZS236" s="1"/>
      <c r="KZT236" s="1"/>
      <c r="KZU236" s="1"/>
      <c r="KZV236" s="1"/>
      <c r="KZW236" s="1"/>
      <c r="KZX236" s="1"/>
      <c r="KZY236" s="1"/>
      <c r="KZZ236" s="1"/>
      <c r="LAA236" s="1"/>
      <c r="LAB236" s="1"/>
      <c r="LAC236" s="1"/>
      <c r="LAD236" s="1"/>
      <c r="LAE236" s="1"/>
      <c r="LAF236" s="1"/>
      <c r="LAG236" s="1"/>
      <c r="LAH236" s="1"/>
      <c r="LAI236" s="1"/>
      <c r="LAJ236" s="1"/>
      <c r="LAK236" s="1"/>
      <c r="LAL236" s="1"/>
      <c r="LAM236" s="1"/>
      <c r="LAN236" s="1"/>
      <c r="LAO236" s="1"/>
      <c r="LAP236" s="1"/>
      <c r="LAQ236" s="1"/>
      <c r="LAR236" s="1"/>
      <c r="LAS236" s="1"/>
      <c r="LAT236" s="1"/>
      <c r="LAU236" s="1"/>
      <c r="LAV236" s="1"/>
      <c r="LAW236" s="1"/>
      <c r="LAX236" s="1"/>
      <c r="LAY236" s="1"/>
      <c r="LAZ236" s="1"/>
      <c r="LBA236" s="1"/>
      <c r="LBB236" s="1"/>
      <c r="LBC236" s="1"/>
      <c r="LBD236" s="1"/>
      <c r="LBE236" s="1"/>
      <c r="LBF236" s="1"/>
      <c r="LBG236" s="1"/>
      <c r="LBH236" s="1"/>
      <c r="LBI236" s="1"/>
      <c r="LBJ236" s="1"/>
      <c r="LBK236" s="1"/>
      <c r="LBL236" s="1"/>
      <c r="LBM236" s="1"/>
      <c r="LBN236" s="1"/>
      <c r="LBO236" s="1"/>
      <c r="LBP236" s="1"/>
      <c r="LBQ236" s="1"/>
      <c r="LBR236" s="1"/>
      <c r="LBS236" s="1"/>
      <c r="LBT236" s="1"/>
      <c r="LBU236" s="1"/>
      <c r="LBV236" s="1"/>
      <c r="LBW236" s="1"/>
      <c r="LBX236" s="1"/>
      <c r="LBY236" s="1"/>
      <c r="LBZ236" s="1"/>
      <c r="LCA236" s="1"/>
      <c r="LCB236" s="1"/>
      <c r="LCC236" s="1"/>
      <c r="LCD236" s="1"/>
      <c r="LCE236" s="1"/>
      <c r="LCF236" s="1"/>
      <c r="LCG236" s="1"/>
      <c r="LCH236" s="1"/>
      <c r="LCI236" s="1"/>
      <c r="LCJ236" s="1"/>
      <c r="LCK236" s="1"/>
      <c r="LCL236" s="1"/>
      <c r="LCM236" s="1"/>
      <c r="LCN236" s="1"/>
      <c r="LCO236" s="1"/>
      <c r="LCP236" s="1"/>
      <c r="LCQ236" s="1"/>
      <c r="LCR236" s="1"/>
      <c r="LCS236" s="1"/>
      <c r="LCT236" s="1"/>
      <c r="LCU236" s="1"/>
      <c r="LCV236" s="1"/>
      <c r="LCW236" s="1"/>
      <c r="LCX236" s="1"/>
      <c r="LCY236" s="1"/>
      <c r="LCZ236" s="1"/>
      <c r="LDA236" s="1"/>
      <c r="LDB236" s="1"/>
      <c r="LDC236" s="1"/>
      <c r="LDD236" s="1"/>
      <c r="LDE236" s="1"/>
      <c r="LDF236" s="1"/>
      <c r="LDG236" s="1"/>
      <c r="LDH236" s="1"/>
      <c r="LDI236" s="1"/>
      <c r="LDJ236" s="1"/>
      <c r="LDK236" s="1"/>
      <c r="LDL236" s="1"/>
      <c r="LDM236" s="1"/>
      <c r="LDN236" s="1"/>
      <c r="LDO236" s="1"/>
      <c r="LDP236" s="1"/>
      <c r="LDQ236" s="1"/>
      <c r="LDR236" s="1"/>
      <c r="LDS236" s="1"/>
      <c r="LDT236" s="1"/>
      <c r="LDU236" s="1"/>
      <c r="LDV236" s="1"/>
      <c r="LDW236" s="1"/>
      <c r="LDX236" s="1"/>
      <c r="LDY236" s="1"/>
      <c r="LDZ236" s="1"/>
      <c r="LEA236" s="1"/>
      <c r="LEB236" s="1"/>
      <c r="LEC236" s="1"/>
      <c r="LED236" s="1"/>
      <c r="LEE236" s="1"/>
      <c r="LEF236" s="1"/>
      <c r="LEG236" s="1"/>
      <c r="LEH236" s="1"/>
      <c r="LEI236" s="1"/>
      <c r="LEJ236" s="1"/>
      <c r="LEK236" s="1"/>
      <c r="LEL236" s="1"/>
      <c r="LEM236" s="1"/>
      <c r="LEN236" s="1"/>
      <c r="LEO236" s="1"/>
      <c r="LEP236" s="1"/>
      <c r="LEQ236" s="1"/>
      <c r="LER236" s="1"/>
      <c r="LES236" s="1"/>
      <c r="LET236" s="1"/>
      <c r="LEU236" s="1"/>
      <c r="LEV236" s="1"/>
      <c r="LEW236" s="1"/>
      <c r="LEX236" s="1"/>
      <c r="LEY236" s="1"/>
      <c r="LEZ236" s="1"/>
      <c r="LFA236" s="1"/>
      <c r="LFB236" s="1"/>
      <c r="LFC236" s="1"/>
      <c r="LFD236" s="1"/>
      <c r="LFE236" s="1"/>
      <c r="LFF236" s="1"/>
      <c r="LFG236" s="1"/>
      <c r="LFH236" s="1"/>
      <c r="LFI236" s="1"/>
      <c r="LFJ236" s="1"/>
      <c r="LFK236" s="1"/>
      <c r="LFL236" s="1"/>
      <c r="LFM236" s="1"/>
      <c r="LFN236" s="1"/>
      <c r="LFO236" s="1"/>
      <c r="LFP236" s="1"/>
      <c r="LFQ236" s="1"/>
      <c r="LFR236" s="1"/>
      <c r="LFS236" s="1"/>
      <c r="LFT236" s="1"/>
      <c r="LFU236" s="1"/>
      <c r="LFV236" s="1"/>
      <c r="LFW236" s="1"/>
      <c r="LFX236" s="1"/>
      <c r="LFY236" s="1"/>
      <c r="LFZ236" s="1"/>
      <c r="LGA236" s="1"/>
      <c r="LGB236" s="1"/>
      <c r="LGC236" s="1"/>
      <c r="LGD236" s="1"/>
      <c r="LGE236" s="1"/>
      <c r="LGF236" s="1"/>
      <c r="LGG236" s="1"/>
      <c r="LGH236" s="1"/>
      <c r="LGI236" s="1"/>
      <c r="LGJ236" s="1"/>
      <c r="LGK236" s="1"/>
      <c r="LGL236" s="1"/>
      <c r="LGM236" s="1"/>
      <c r="LGN236" s="1"/>
      <c r="LGO236" s="1"/>
      <c r="LGP236" s="1"/>
      <c r="LGQ236" s="1"/>
      <c r="LGR236" s="1"/>
      <c r="LGS236" s="1"/>
      <c r="LGT236" s="1"/>
      <c r="LGU236" s="1"/>
      <c r="LGV236" s="1"/>
      <c r="LGW236" s="1"/>
      <c r="LGX236" s="1"/>
      <c r="LGY236" s="1"/>
      <c r="LGZ236" s="1"/>
      <c r="LHA236" s="1"/>
      <c r="LHB236" s="1"/>
      <c r="LHC236" s="1"/>
      <c r="LHD236" s="1"/>
      <c r="LHE236" s="1"/>
      <c r="LHF236" s="1"/>
      <c r="LHG236" s="1"/>
      <c r="LHH236" s="1"/>
      <c r="LHI236" s="1"/>
      <c r="LHJ236" s="1"/>
      <c r="LHK236" s="1"/>
      <c r="LHL236" s="1"/>
      <c r="LHM236" s="1"/>
      <c r="LHN236" s="1"/>
      <c r="LHO236" s="1"/>
      <c r="LHP236" s="1"/>
      <c r="LHQ236" s="1"/>
      <c r="LHR236" s="1"/>
      <c r="LHS236" s="1"/>
      <c r="LHT236" s="1"/>
      <c r="LHU236" s="1"/>
      <c r="LHV236" s="1"/>
      <c r="LHW236" s="1"/>
      <c r="LHX236" s="1"/>
      <c r="LHY236" s="1"/>
      <c r="LHZ236" s="1"/>
      <c r="LIA236" s="1"/>
      <c r="LIB236" s="1"/>
      <c r="LIC236" s="1"/>
      <c r="LID236" s="1"/>
      <c r="LIE236" s="1"/>
      <c r="LIF236" s="1"/>
      <c r="LIG236" s="1"/>
      <c r="LIH236" s="1"/>
      <c r="LII236" s="1"/>
      <c r="LIJ236" s="1"/>
      <c r="LIK236" s="1"/>
      <c r="LIL236" s="1"/>
      <c r="LIM236" s="1"/>
      <c r="LIN236" s="1"/>
      <c r="LIO236" s="1"/>
      <c r="LIP236" s="1"/>
      <c r="LIQ236" s="1"/>
      <c r="LIR236" s="1"/>
      <c r="LIS236" s="1"/>
      <c r="LIT236" s="1"/>
      <c r="LIU236" s="1"/>
      <c r="LIV236" s="1"/>
      <c r="LIW236" s="1"/>
      <c r="LIX236" s="1"/>
      <c r="LIY236" s="1"/>
      <c r="LIZ236" s="1"/>
      <c r="LJA236" s="1"/>
      <c r="LJB236" s="1"/>
      <c r="LJC236" s="1"/>
      <c r="LJD236" s="1"/>
      <c r="LJE236" s="1"/>
      <c r="LJF236" s="1"/>
      <c r="LJG236" s="1"/>
      <c r="LJH236" s="1"/>
      <c r="LJI236" s="1"/>
      <c r="LJJ236" s="1"/>
      <c r="LJK236" s="1"/>
      <c r="LJL236" s="1"/>
      <c r="LJM236" s="1"/>
      <c r="LJN236" s="1"/>
      <c r="LJO236" s="1"/>
      <c r="LJP236" s="1"/>
      <c r="LJQ236" s="1"/>
      <c r="LJR236" s="1"/>
      <c r="LJS236" s="1"/>
      <c r="LJT236" s="1"/>
      <c r="LJU236" s="1"/>
      <c r="LJV236" s="1"/>
      <c r="LJW236" s="1"/>
      <c r="LJX236" s="1"/>
      <c r="LJY236" s="1"/>
      <c r="LJZ236" s="1"/>
      <c r="LKA236" s="1"/>
      <c r="LKB236" s="1"/>
      <c r="LKC236" s="1"/>
      <c r="LKD236" s="1"/>
      <c r="LKE236" s="1"/>
      <c r="LKF236" s="1"/>
      <c r="LKG236" s="1"/>
      <c r="LKH236" s="1"/>
      <c r="LKI236" s="1"/>
      <c r="LKJ236" s="1"/>
      <c r="LKK236" s="1"/>
      <c r="LKL236" s="1"/>
      <c r="LKM236" s="1"/>
      <c r="LKN236" s="1"/>
      <c r="LKO236" s="1"/>
      <c r="LKP236" s="1"/>
      <c r="LKQ236" s="1"/>
      <c r="LKR236" s="1"/>
      <c r="LKS236" s="1"/>
      <c r="LKT236" s="1"/>
      <c r="LKU236" s="1"/>
      <c r="LKV236" s="1"/>
      <c r="LKW236" s="1"/>
      <c r="LKX236" s="1"/>
      <c r="LKY236" s="1"/>
      <c r="LKZ236" s="1"/>
      <c r="LLA236" s="1"/>
      <c r="LLB236" s="1"/>
      <c r="LLC236" s="1"/>
      <c r="LLD236" s="1"/>
      <c r="LLE236" s="1"/>
      <c r="LLF236" s="1"/>
      <c r="LLG236" s="1"/>
      <c r="LLH236" s="1"/>
      <c r="LLI236" s="1"/>
      <c r="LLJ236" s="1"/>
      <c r="LLK236" s="1"/>
      <c r="LLL236" s="1"/>
      <c r="LLM236" s="1"/>
      <c r="LLN236" s="1"/>
      <c r="LLO236" s="1"/>
      <c r="LLP236" s="1"/>
      <c r="LLQ236" s="1"/>
      <c r="LLR236" s="1"/>
      <c r="LLS236" s="1"/>
      <c r="LLT236" s="1"/>
      <c r="LLU236" s="1"/>
      <c r="LLV236" s="1"/>
      <c r="LLW236" s="1"/>
      <c r="LLX236" s="1"/>
      <c r="LLY236" s="1"/>
      <c r="LLZ236" s="1"/>
      <c r="LMA236" s="1"/>
      <c r="LMB236" s="1"/>
      <c r="LMC236" s="1"/>
      <c r="LMD236" s="1"/>
      <c r="LME236" s="1"/>
      <c r="LMF236" s="1"/>
      <c r="LMG236" s="1"/>
      <c r="LMH236" s="1"/>
      <c r="LMI236" s="1"/>
      <c r="LMJ236" s="1"/>
      <c r="LMK236" s="1"/>
      <c r="LML236" s="1"/>
      <c r="LMM236" s="1"/>
      <c r="LMN236" s="1"/>
      <c r="LMO236" s="1"/>
      <c r="LMP236" s="1"/>
      <c r="LMQ236" s="1"/>
      <c r="LMR236" s="1"/>
      <c r="LMS236" s="1"/>
      <c r="LMT236" s="1"/>
      <c r="LMU236" s="1"/>
      <c r="LMV236" s="1"/>
      <c r="LMW236" s="1"/>
      <c r="LMX236" s="1"/>
      <c r="LMY236" s="1"/>
      <c r="LMZ236" s="1"/>
      <c r="LNA236" s="1"/>
      <c r="LNB236" s="1"/>
      <c r="LNC236" s="1"/>
      <c r="LND236" s="1"/>
      <c r="LNE236" s="1"/>
      <c r="LNF236" s="1"/>
      <c r="LNG236" s="1"/>
      <c r="LNH236" s="1"/>
      <c r="LNI236" s="1"/>
      <c r="LNJ236" s="1"/>
      <c r="LNK236" s="1"/>
      <c r="LNL236" s="1"/>
      <c r="LNM236" s="1"/>
      <c r="LNN236" s="1"/>
      <c r="LNO236" s="1"/>
      <c r="LNP236" s="1"/>
      <c r="LNQ236" s="1"/>
      <c r="LNR236" s="1"/>
      <c r="LNS236" s="1"/>
      <c r="LNT236" s="1"/>
      <c r="LNU236" s="1"/>
      <c r="LNV236" s="1"/>
      <c r="LNW236" s="1"/>
      <c r="LNX236" s="1"/>
      <c r="LNY236" s="1"/>
      <c r="LNZ236" s="1"/>
      <c r="LOA236" s="1"/>
      <c r="LOB236" s="1"/>
      <c r="LOC236" s="1"/>
      <c r="LOD236" s="1"/>
      <c r="LOE236" s="1"/>
      <c r="LOF236" s="1"/>
      <c r="LOG236" s="1"/>
      <c r="LOH236" s="1"/>
      <c r="LOI236" s="1"/>
      <c r="LOJ236" s="1"/>
      <c r="LOK236" s="1"/>
      <c r="LOL236" s="1"/>
      <c r="LOM236" s="1"/>
      <c r="LON236" s="1"/>
      <c r="LOO236" s="1"/>
      <c r="LOP236" s="1"/>
      <c r="LOQ236" s="1"/>
      <c r="LOR236" s="1"/>
      <c r="LOS236" s="1"/>
      <c r="LOT236" s="1"/>
      <c r="LOU236" s="1"/>
      <c r="LOV236" s="1"/>
      <c r="LOW236" s="1"/>
      <c r="LOX236" s="1"/>
      <c r="LOY236" s="1"/>
      <c r="LOZ236" s="1"/>
      <c r="LPA236" s="1"/>
      <c r="LPB236" s="1"/>
      <c r="LPC236" s="1"/>
      <c r="LPD236" s="1"/>
      <c r="LPE236" s="1"/>
      <c r="LPF236" s="1"/>
      <c r="LPG236" s="1"/>
      <c r="LPH236" s="1"/>
      <c r="LPI236" s="1"/>
      <c r="LPJ236" s="1"/>
      <c r="LPK236" s="1"/>
      <c r="LPL236" s="1"/>
      <c r="LPM236" s="1"/>
      <c r="LPN236" s="1"/>
      <c r="LPO236" s="1"/>
      <c r="LPP236" s="1"/>
      <c r="LPQ236" s="1"/>
      <c r="LPR236" s="1"/>
      <c r="LPS236" s="1"/>
      <c r="LPT236" s="1"/>
      <c r="LPU236" s="1"/>
      <c r="LPV236" s="1"/>
      <c r="LPW236" s="1"/>
      <c r="LPX236" s="1"/>
      <c r="LPY236" s="1"/>
      <c r="LPZ236" s="1"/>
      <c r="LQA236" s="1"/>
      <c r="LQB236" s="1"/>
      <c r="LQC236" s="1"/>
      <c r="LQD236" s="1"/>
      <c r="LQE236" s="1"/>
      <c r="LQF236" s="1"/>
      <c r="LQG236" s="1"/>
      <c r="LQH236" s="1"/>
      <c r="LQI236" s="1"/>
      <c r="LQJ236" s="1"/>
      <c r="LQK236" s="1"/>
      <c r="LQL236" s="1"/>
      <c r="LQM236" s="1"/>
      <c r="LQN236" s="1"/>
      <c r="LQO236" s="1"/>
      <c r="LQP236" s="1"/>
      <c r="LQQ236" s="1"/>
      <c r="LQR236" s="1"/>
      <c r="LQS236" s="1"/>
      <c r="LQT236" s="1"/>
      <c r="LQU236" s="1"/>
      <c r="LQV236" s="1"/>
      <c r="LQW236" s="1"/>
      <c r="LQX236" s="1"/>
      <c r="LQY236" s="1"/>
      <c r="LQZ236" s="1"/>
      <c r="LRA236" s="1"/>
      <c r="LRB236" s="1"/>
      <c r="LRC236" s="1"/>
      <c r="LRD236" s="1"/>
      <c r="LRE236" s="1"/>
      <c r="LRF236" s="1"/>
      <c r="LRG236" s="1"/>
      <c r="LRH236" s="1"/>
      <c r="LRI236" s="1"/>
      <c r="LRJ236" s="1"/>
      <c r="LRK236" s="1"/>
      <c r="LRL236" s="1"/>
      <c r="LRM236" s="1"/>
      <c r="LRN236" s="1"/>
      <c r="LRO236" s="1"/>
      <c r="LRP236" s="1"/>
      <c r="LRQ236" s="1"/>
      <c r="LRR236" s="1"/>
      <c r="LRS236" s="1"/>
      <c r="LRT236" s="1"/>
      <c r="LRU236" s="1"/>
      <c r="LRV236" s="1"/>
      <c r="LRW236" s="1"/>
      <c r="LRX236" s="1"/>
      <c r="LRY236" s="1"/>
      <c r="LRZ236" s="1"/>
      <c r="LSA236" s="1"/>
      <c r="LSB236" s="1"/>
      <c r="LSC236" s="1"/>
      <c r="LSD236" s="1"/>
      <c r="LSE236" s="1"/>
      <c r="LSF236" s="1"/>
      <c r="LSG236" s="1"/>
      <c r="LSH236" s="1"/>
      <c r="LSI236" s="1"/>
      <c r="LSJ236" s="1"/>
      <c r="LSK236" s="1"/>
      <c r="LSL236" s="1"/>
      <c r="LSM236" s="1"/>
      <c r="LSN236" s="1"/>
      <c r="LSO236" s="1"/>
      <c r="LSP236" s="1"/>
      <c r="LSQ236" s="1"/>
      <c r="LSR236" s="1"/>
      <c r="LSS236" s="1"/>
      <c r="LST236" s="1"/>
      <c r="LSU236" s="1"/>
      <c r="LSV236" s="1"/>
      <c r="LSW236" s="1"/>
      <c r="LSX236" s="1"/>
      <c r="LSY236" s="1"/>
      <c r="LSZ236" s="1"/>
      <c r="LTA236" s="1"/>
      <c r="LTB236" s="1"/>
      <c r="LTC236" s="1"/>
      <c r="LTD236" s="1"/>
      <c r="LTE236" s="1"/>
      <c r="LTF236" s="1"/>
      <c r="LTG236" s="1"/>
      <c r="LTH236" s="1"/>
      <c r="LTI236" s="1"/>
      <c r="LTJ236" s="1"/>
      <c r="LTK236" s="1"/>
      <c r="LTL236" s="1"/>
      <c r="LTM236" s="1"/>
      <c r="LTN236" s="1"/>
      <c r="LTO236" s="1"/>
      <c r="LTP236" s="1"/>
      <c r="LTQ236" s="1"/>
      <c r="LTR236" s="1"/>
      <c r="LTS236" s="1"/>
      <c r="LTT236" s="1"/>
      <c r="LTU236" s="1"/>
      <c r="LTV236" s="1"/>
      <c r="LTW236" s="1"/>
      <c r="LTX236" s="1"/>
      <c r="LTY236" s="1"/>
      <c r="LTZ236" s="1"/>
      <c r="LUA236" s="1"/>
      <c r="LUB236" s="1"/>
      <c r="LUC236" s="1"/>
      <c r="LUD236" s="1"/>
      <c r="LUE236" s="1"/>
      <c r="LUF236" s="1"/>
      <c r="LUG236" s="1"/>
      <c r="LUH236" s="1"/>
      <c r="LUI236" s="1"/>
      <c r="LUJ236" s="1"/>
      <c r="LUK236" s="1"/>
      <c r="LUL236" s="1"/>
      <c r="LUM236" s="1"/>
      <c r="LUN236" s="1"/>
      <c r="LUO236" s="1"/>
      <c r="LUP236" s="1"/>
      <c r="LUQ236" s="1"/>
      <c r="LUR236" s="1"/>
      <c r="LUS236" s="1"/>
      <c r="LUT236" s="1"/>
      <c r="LUU236" s="1"/>
      <c r="LUV236" s="1"/>
      <c r="LUW236" s="1"/>
      <c r="LUX236" s="1"/>
      <c r="LUY236" s="1"/>
      <c r="LUZ236" s="1"/>
      <c r="LVA236" s="1"/>
      <c r="LVB236" s="1"/>
      <c r="LVC236" s="1"/>
      <c r="LVD236" s="1"/>
      <c r="LVE236" s="1"/>
      <c r="LVF236" s="1"/>
      <c r="LVG236" s="1"/>
      <c r="LVH236" s="1"/>
      <c r="LVI236" s="1"/>
      <c r="LVJ236" s="1"/>
      <c r="LVK236" s="1"/>
      <c r="LVL236" s="1"/>
      <c r="LVM236" s="1"/>
      <c r="LVN236" s="1"/>
      <c r="LVO236" s="1"/>
      <c r="LVP236" s="1"/>
      <c r="LVQ236" s="1"/>
      <c r="LVR236" s="1"/>
      <c r="LVS236" s="1"/>
      <c r="LVT236" s="1"/>
      <c r="LVU236" s="1"/>
      <c r="LVV236" s="1"/>
      <c r="LVW236" s="1"/>
      <c r="LVX236" s="1"/>
      <c r="LVY236" s="1"/>
      <c r="LVZ236" s="1"/>
      <c r="LWA236" s="1"/>
      <c r="LWB236" s="1"/>
      <c r="LWC236" s="1"/>
      <c r="LWD236" s="1"/>
      <c r="LWE236" s="1"/>
      <c r="LWF236" s="1"/>
      <c r="LWG236" s="1"/>
      <c r="LWH236" s="1"/>
      <c r="LWI236" s="1"/>
      <c r="LWJ236" s="1"/>
      <c r="LWK236" s="1"/>
      <c r="LWL236" s="1"/>
      <c r="LWM236" s="1"/>
      <c r="LWN236" s="1"/>
      <c r="LWO236" s="1"/>
      <c r="LWP236" s="1"/>
      <c r="LWQ236" s="1"/>
      <c r="LWR236" s="1"/>
      <c r="LWS236" s="1"/>
      <c r="LWT236" s="1"/>
      <c r="LWU236" s="1"/>
      <c r="LWV236" s="1"/>
      <c r="LWW236" s="1"/>
      <c r="LWX236" s="1"/>
      <c r="LWY236" s="1"/>
      <c r="LWZ236" s="1"/>
      <c r="LXA236" s="1"/>
      <c r="LXB236" s="1"/>
      <c r="LXC236" s="1"/>
      <c r="LXD236" s="1"/>
      <c r="LXE236" s="1"/>
      <c r="LXF236" s="1"/>
      <c r="LXG236" s="1"/>
      <c r="LXH236" s="1"/>
      <c r="LXI236" s="1"/>
      <c r="LXJ236" s="1"/>
      <c r="LXK236" s="1"/>
      <c r="LXL236" s="1"/>
      <c r="LXM236" s="1"/>
      <c r="LXN236" s="1"/>
      <c r="LXO236" s="1"/>
      <c r="LXP236" s="1"/>
      <c r="LXQ236" s="1"/>
      <c r="LXR236" s="1"/>
      <c r="LXS236" s="1"/>
      <c r="LXT236" s="1"/>
      <c r="LXU236" s="1"/>
      <c r="LXV236" s="1"/>
      <c r="LXW236" s="1"/>
      <c r="LXX236" s="1"/>
      <c r="LXY236" s="1"/>
      <c r="LXZ236" s="1"/>
      <c r="LYA236" s="1"/>
      <c r="LYB236" s="1"/>
      <c r="LYC236" s="1"/>
      <c r="LYD236" s="1"/>
      <c r="LYE236" s="1"/>
      <c r="LYF236" s="1"/>
      <c r="LYG236" s="1"/>
      <c r="LYH236" s="1"/>
      <c r="LYI236" s="1"/>
      <c r="LYJ236" s="1"/>
      <c r="LYK236" s="1"/>
      <c r="LYL236" s="1"/>
      <c r="LYM236" s="1"/>
      <c r="LYN236" s="1"/>
      <c r="LYO236" s="1"/>
      <c r="LYP236" s="1"/>
      <c r="LYQ236" s="1"/>
      <c r="LYR236" s="1"/>
      <c r="LYS236" s="1"/>
      <c r="LYT236" s="1"/>
      <c r="LYU236" s="1"/>
      <c r="LYV236" s="1"/>
      <c r="LYW236" s="1"/>
      <c r="LYX236" s="1"/>
      <c r="LYY236" s="1"/>
      <c r="LYZ236" s="1"/>
      <c r="LZA236" s="1"/>
      <c r="LZB236" s="1"/>
      <c r="LZC236" s="1"/>
      <c r="LZD236" s="1"/>
      <c r="LZE236" s="1"/>
      <c r="LZF236" s="1"/>
      <c r="LZG236" s="1"/>
      <c r="LZH236" s="1"/>
      <c r="LZI236" s="1"/>
      <c r="LZJ236" s="1"/>
      <c r="LZK236" s="1"/>
      <c r="LZL236" s="1"/>
      <c r="LZM236" s="1"/>
      <c r="LZN236" s="1"/>
      <c r="LZO236" s="1"/>
      <c r="LZP236" s="1"/>
      <c r="LZQ236" s="1"/>
      <c r="LZR236" s="1"/>
      <c r="LZS236" s="1"/>
      <c r="LZT236" s="1"/>
      <c r="LZU236" s="1"/>
      <c r="LZV236" s="1"/>
      <c r="LZW236" s="1"/>
      <c r="LZX236" s="1"/>
      <c r="LZY236" s="1"/>
      <c r="LZZ236" s="1"/>
      <c r="MAA236" s="1"/>
      <c r="MAB236" s="1"/>
      <c r="MAC236" s="1"/>
      <c r="MAD236" s="1"/>
      <c r="MAE236" s="1"/>
      <c r="MAF236" s="1"/>
      <c r="MAG236" s="1"/>
      <c r="MAH236" s="1"/>
      <c r="MAI236" s="1"/>
      <c r="MAJ236" s="1"/>
      <c r="MAK236" s="1"/>
      <c r="MAL236" s="1"/>
      <c r="MAM236" s="1"/>
      <c r="MAN236" s="1"/>
      <c r="MAO236" s="1"/>
      <c r="MAP236" s="1"/>
      <c r="MAQ236" s="1"/>
      <c r="MAR236" s="1"/>
      <c r="MAS236" s="1"/>
      <c r="MAT236" s="1"/>
      <c r="MAU236" s="1"/>
      <c r="MAV236" s="1"/>
      <c r="MAW236" s="1"/>
      <c r="MAX236" s="1"/>
      <c r="MAY236" s="1"/>
      <c r="MAZ236" s="1"/>
      <c r="MBA236" s="1"/>
      <c r="MBB236" s="1"/>
      <c r="MBC236" s="1"/>
      <c r="MBD236" s="1"/>
      <c r="MBE236" s="1"/>
      <c r="MBF236" s="1"/>
      <c r="MBG236" s="1"/>
      <c r="MBH236" s="1"/>
      <c r="MBI236" s="1"/>
      <c r="MBJ236" s="1"/>
      <c r="MBK236" s="1"/>
      <c r="MBL236" s="1"/>
      <c r="MBM236" s="1"/>
      <c r="MBN236" s="1"/>
      <c r="MBO236" s="1"/>
      <c r="MBP236" s="1"/>
      <c r="MBQ236" s="1"/>
      <c r="MBR236" s="1"/>
      <c r="MBS236" s="1"/>
      <c r="MBT236" s="1"/>
      <c r="MBU236" s="1"/>
      <c r="MBV236" s="1"/>
      <c r="MBW236" s="1"/>
      <c r="MBX236" s="1"/>
      <c r="MBY236" s="1"/>
      <c r="MBZ236" s="1"/>
      <c r="MCA236" s="1"/>
      <c r="MCB236" s="1"/>
      <c r="MCC236" s="1"/>
      <c r="MCD236" s="1"/>
      <c r="MCE236" s="1"/>
      <c r="MCF236" s="1"/>
      <c r="MCG236" s="1"/>
      <c r="MCH236" s="1"/>
      <c r="MCI236" s="1"/>
      <c r="MCJ236" s="1"/>
      <c r="MCK236" s="1"/>
      <c r="MCL236" s="1"/>
      <c r="MCM236" s="1"/>
      <c r="MCN236" s="1"/>
      <c r="MCO236" s="1"/>
      <c r="MCP236" s="1"/>
      <c r="MCQ236" s="1"/>
      <c r="MCR236" s="1"/>
      <c r="MCS236" s="1"/>
      <c r="MCT236" s="1"/>
      <c r="MCU236" s="1"/>
      <c r="MCV236" s="1"/>
      <c r="MCW236" s="1"/>
      <c r="MCX236" s="1"/>
      <c r="MCY236" s="1"/>
      <c r="MCZ236" s="1"/>
      <c r="MDA236" s="1"/>
      <c r="MDB236" s="1"/>
      <c r="MDC236" s="1"/>
      <c r="MDD236" s="1"/>
      <c r="MDE236" s="1"/>
      <c r="MDF236" s="1"/>
      <c r="MDG236" s="1"/>
      <c r="MDH236" s="1"/>
      <c r="MDI236" s="1"/>
      <c r="MDJ236" s="1"/>
      <c r="MDK236" s="1"/>
      <c r="MDL236" s="1"/>
      <c r="MDM236" s="1"/>
      <c r="MDN236" s="1"/>
      <c r="MDO236" s="1"/>
      <c r="MDP236" s="1"/>
      <c r="MDQ236" s="1"/>
      <c r="MDR236" s="1"/>
      <c r="MDS236" s="1"/>
      <c r="MDT236" s="1"/>
      <c r="MDU236" s="1"/>
      <c r="MDV236" s="1"/>
      <c r="MDW236" s="1"/>
      <c r="MDX236" s="1"/>
      <c r="MDY236" s="1"/>
      <c r="MDZ236" s="1"/>
      <c r="MEA236" s="1"/>
      <c r="MEB236" s="1"/>
      <c r="MEC236" s="1"/>
      <c r="MED236" s="1"/>
      <c r="MEE236" s="1"/>
      <c r="MEF236" s="1"/>
      <c r="MEG236" s="1"/>
      <c r="MEH236" s="1"/>
      <c r="MEI236" s="1"/>
      <c r="MEJ236" s="1"/>
      <c r="MEK236" s="1"/>
      <c r="MEL236" s="1"/>
      <c r="MEM236" s="1"/>
      <c r="MEN236" s="1"/>
      <c r="MEO236" s="1"/>
      <c r="MEP236" s="1"/>
      <c r="MEQ236" s="1"/>
      <c r="MER236" s="1"/>
      <c r="MES236" s="1"/>
      <c r="MET236" s="1"/>
      <c r="MEU236" s="1"/>
      <c r="MEV236" s="1"/>
      <c r="MEW236" s="1"/>
      <c r="MEX236" s="1"/>
      <c r="MEY236" s="1"/>
      <c r="MEZ236" s="1"/>
      <c r="MFA236" s="1"/>
      <c r="MFB236" s="1"/>
      <c r="MFC236" s="1"/>
      <c r="MFD236" s="1"/>
      <c r="MFE236" s="1"/>
      <c r="MFF236" s="1"/>
      <c r="MFG236" s="1"/>
      <c r="MFH236" s="1"/>
      <c r="MFI236" s="1"/>
      <c r="MFJ236" s="1"/>
      <c r="MFK236" s="1"/>
      <c r="MFL236" s="1"/>
      <c r="MFM236" s="1"/>
      <c r="MFN236" s="1"/>
      <c r="MFO236" s="1"/>
      <c r="MFP236" s="1"/>
      <c r="MFQ236" s="1"/>
      <c r="MFR236" s="1"/>
      <c r="MFS236" s="1"/>
      <c r="MFT236" s="1"/>
      <c r="MFU236" s="1"/>
      <c r="MFV236" s="1"/>
      <c r="MFW236" s="1"/>
      <c r="MFX236" s="1"/>
      <c r="MFY236" s="1"/>
      <c r="MFZ236" s="1"/>
      <c r="MGA236" s="1"/>
      <c r="MGB236" s="1"/>
      <c r="MGC236" s="1"/>
      <c r="MGD236" s="1"/>
      <c r="MGE236" s="1"/>
      <c r="MGF236" s="1"/>
      <c r="MGG236" s="1"/>
      <c r="MGH236" s="1"/>
      <c r="MGI236" s="1"/>
      <c r="MGJ236" s="1"/>
      <c r="MGK236" s="1"/>
      <c r="MGL236" s="1"/>
      <c r="MGM236" s="1"/>
      <c r="MGN236" s="1"/>
      <c r="MGO236" s="1"/>
      <c r="MGP236" s="1"/>
      <c r="MGQ236" s="1"/>
      <c r="MGR236" s="1"/>
      <c r="MGS236" s="1"/>
      <c r="MGT236" s="1"/>
      <c r="MGU236" s="1"/>
      <c r="MGV236" s="1"/>
      <c r="MGW236" s="1"/>
      <c r="MGX236" s="1"/>
      <c r="MGY236" s="1"/>
      <c r="MGZ236" s="1"/>
      <c r="MHA236" s="1"/>
      <c r="MHB236" s="1"/>
      <c r="MHC236" s="1"/>
      <c r="MHD236" s="1"/>
      <c r="MHE236" s="1"/>
      <c r="MHF236" s="1"/>
      <c r="MHG236" s="1"/>
      <c r="MHH236" s="1"/>
      <c r="MHI236" s="1"/>
      <c r="MHJ236" s="1"/>
      <c r="MHK236" s="1"/>
      <c r="MHL236" s="1"/>
      <c r="MHM236" s="1"/>
      <c r="MHN236" s="1"/>
      <c r="MHO236" s="1"/>
      <c r="MHP236" s="1"/>
      <c r="MHQ236" s="1"/>
      <c r="MHR236" s="1"/>
      <c r="MHS236" s="1"/>
      <c r="MHT236" s="1"/>
      <c r="MHU236" s="1"/>
      <c r="MHV236" s="1"/>
      <c r="MHW236" s="1"/>
      <c r="MHX236" s="1"/>
      <c r="MHY236" s="1"/>
      <c r="MHZ236" s="1"/>
      <c r="MIA236" s="1"/>
      <c r="MIB236" s="1"/>
      <c r="MIC236" s="1"/>
      <c r="MID236" s="1"/>
      <c r="MIE236" s="1"/>
      <c r="MIF236" s="1"/>
      <c r="MIG236" s="1"/>
      <c r="MIH236" s="1"/>
      <c r="MII236" s="1"/>
      <c r="MIJ236" s="1"/>
      <c r="MIK236" s="1"/>
      <c r="MIL236" s="1"/>
      <c r="MIM236" s="1"/>
      <c r="MIN236" s="1"/>
      <c r="MIO236" s="1"/>
      <c r="MIP236" s="1"/>
      <c r="MIQ236" s="1"/>
      <c r="MIR236" s="1"/>
      <c r="MIS236" s="1"/>
      <c r="MIT236" s="1"/>
      <c r="MIU236" s="1"/>
      <c r="MIV236" s="1"/>
      <c r="MIW236" s="1"/>
      <c r="MIX236" s="1"/>
      <c r="MIY236" s="1"/>
      <c r="MIZ236" s="1"/>
      <c r="MJA236" s="1"/>
      <c r="MJB236" s="1"/>
      <c r="MJC236" s="1"/>
      <c r="MJD236" s="1"/>
      <c r="MJE236" s="1"/>
      <c r="MJF236" s="1"/>
      <c r="MJG236" s="1"/>
      <c r="MJH236" s="1"/>
      <c r="MJI236" s="1"/>
      <c r="MJJ236" s="1"/>
      <c r="MJK236" s="1"/>
      <c r="MJL236" s="1"/>
      <c r="MJM236" s="1"/>
      <c r="MJN236" s="1"/>
      <c r="MJO236" s="1"/>
      <c r="MJP236" s="1"/>
      <c r="MJQ236" s="1"/>
      <c r="MJR236" s="1"/>
      <c r="MJS236" s="1"/>
      <c r="MJT236" s="1"/>
      <c r="MJU236" s="1"/>
      <c r="MJV236" s="1"/>
      <c r="MJW236" s="1"/>
      <c r="MJX236" s="1"/>
      <c r="MJY236" s="1"/>
      <c r="MJZ236" s="1"/>
      <c r="MKA236" s="1"/>
      <c r="MKB236" s="1"/>
      <c r="MKC236" s="1"/>
      <c r="MKD236" s="1"/>
      <c r="MKE236" s="1"/>
      <c r="MKF236" s="1"/>
      <c r="MKG236" s="1"/>
      <c r="MKH236" s="1"/>
      <c r="MKI236" s="1"/>
      <c r="MKJ236" s="1"/>
      <c r="MKK236" s="1"/>
      <c r="MKL236" s="1"/>
      <c r="MKM236" s="1"/>
      <c r="MKN236" s="1"/>
      <c r="MKO236" s="1"/>
      <c r="MKP236" s="1"/>
      <c r="MKQ236" s="1"/>
      <c r="MKR236" s="1"/>
      <c r="MKS236" s="1"/>
      <c r="MKT236" s="1"/>
      <c r="MKU236" s="1"/>
      <c r="MKV236" s="1"/>
      <c r="MKW236" s="1"/>
      <c r="MKX236" s="1"/>
      <c r="MKY236" s="1"/>
      <c r="MKZ236" s="1"/>
      <c r="MLA236" s="1"/>
      <c r="MLB236" s="1"/>
      <c r="MLC236" s="1"/>
      <c r="MLD236" s="1"/>
      <c r="MLE236" s="1"/>
      <c r="MLF236" s="1"/>
      <c r="MLG236" s="1"/>
      <c r="MLH236" s="1"/>
      <c r="MLI236" s="1"/>
      <c r="MLJ236" s="1"/>
      <c r="MLK236" s="1"/>
      <c r="MLL236" s="1"/>
      <c r="MLM236" s="1"/>
      <c r="MLN236" s="1"/>
      <c r="MLO236" s="1"/>
      <c r="MLP236" s="1"/>
      <c r="MLQ236" s="1"/>
      <c r="MLR236" s="1"/>
      <c r="MLS236" s="1"/>
      <c r="MLT236" s="1"/>
      <c r="MLU236" s="1"/>
      <c r="MLV236" s="1"/>
      <c r="MLW236" s="1"/>
      <c r="MLX236" s="1"/>
      <c r="MLY236" s="1"/>
      <c r="MLZ236" s="1"/>
      <c r="MMA236" s="1"/>
      <c r="MMB236" s="1"/>
      <c r="MMC236" s="1"/>
      <c r="MMD236" s="1"/>
      <c r="MME236" s="1"/>
      <c r="MMF236" s="1"/>
      <c r="MMG236" s="1"/>
      <c r="MMH236" s="1"/>
      <c r="MMI236" s="1"/>
      <c r="MMJ236" s="1"/>
      <c r="MMK236" s="1"/>
      <c r="MML236" s="1"/>
      <c r="MMM236" s="1"/>
      <c r="MMN236" s="1"/>
      <c r="MMO236" s="1"/>
      <c r="MMP236" s="1"/>
      <c r="MMQ236" s="1"/>
      <c r="MMR236" s="1"/>
      <c r="MMS236" s="1"/>
      <c r="MMT236" s="1"/>
      <c r="MMU236" s="1"/>
      <c r="MMV236" s="1"/>
      <c r="MMW236" s="1"/>
      <c r="MMX236" s="1"/>
      <c r="MMY236" s="1"/>
      <c r="MMZ236" s="1"/>
      <c r="MNA236" s="1"/>
      <c r="MNB236" s="1"/>
      <c r="MNC236" s="1"/>
      <c r="MND236" s="1"/>
      <c r="MNE236" s="1"/>
      <c r="MNF236" s="1"/>
      <c r="MNG236" s="1"/>
      <c r="MNH236" s="1"/>
      <c r="MNI236" s="1"/>
      <c r="MNJ236" s="1"/>
      <c r="MNK236" s="1"/>
      <c r="MNL236" s="1"/>
      <c r="MNM236" s="1"/>
      <c r="MNN236" s="1"/>
      <c r="MNO236" s="1"/>
      <c r="MNP236" s="1"/>
      <c r="MNQ236" s="1"/>
      <c r="MNR236" s="1"/>
      <c r="MNS236" s="1"/>
      <c r="MNT236" s="1"/>
      <c r="MNU236" s="1"/>
      <c r="MNV236" s="1"/>
      <c r="MNW236" s="1"/>
      <c r="MNX236" s="1"/>
      <c r="MNY236" s="1"/>
      <c r="MNZ236" s="1"/>
      <c r="MOA236" s="1"/>
      <c r="MOB236" s="1"/>
      <c r="MOC236" s="1"/>
      <c r="MOD236" s="1"/>
      <c r="MOE236" s="1"/>
      <c r="MOF236" s="1"/>
      <c r="MOG236" s="1"/>
      <c r="MOH236" s="1"/>
      <c r="MOI236" s="1"/>
      <c r="MOJ236" s="1"/>
      <c r="MOK236" s="1"/>
      <c r="MOL236" s="1"/>
      <c r="MOM236" s="1"/>
      <c r="MON236" s="1"/>
      <c r="MOO236" s="1"/>
      <c r="MOP236" s="1"/>
      <c r="MOQ236" s="1"/>
      <c r="MOR236" s="1"/>
      <c r="MOS236" s="1"/>
      <c r="MOT236" s="1"/>
      <c r="MOU236" s="1"/>
      <c r="MOV236" s="1"/>
      <c r="MOW236" s="1"/>
      <c r="MOX236" s="1"/>
      <c r="MOY236" s="1"/>
      <c r="MOZ236" s="1"/>
      <c r="MPA236" s="1"/>
      <c r="MPB236" s="1"/>
      <c r="MPC236" s="1"/>
      <c r="MPD236" s="1"/>
      <c r="MPE236" s="1"/>
      <c r="MPF236" s="1"/>
      <c r="MPG236" s="1"/>
      <c r="MPH236" s="1"/>
      <c r="MPI236" s="1"/>
      <c r="MPJ236" s="1"/>
      <c r="MPK236" s="1"/>
      <c r="MPL236" s="1"/>
      <c r="MPM236" s="1"/>
      <c r="MPN236" s="1"/>
      <c r="MPO236" s="1"/>
      <c r="MPP236" s="1"/>
      <c r="MPQ236" s="1"/>
      <c r="MPR236" s="1"/>
      <c r="MPS236" s="1"/>
      <c r="MPT236" s="1"/>
      <c r="MPU236" s="1"/>
      <c r="MPV236" s="1"/>
      <c r="MPW236" s="1"/>
      <c r="MPX236" s="1"/>
      <c r="MPY236" s="1"/>
      <c r="MPZ236" s="1"/>
      <c r="MQA236" s="1"/>
      <c r="MQB236" s="1"/>
      <c r="MQC236" s="1"/>
      <c r="MQD236" s="1"/>
      <c r="MQE236" s="1"/>
      <c r="MQF236" s="1"/>
      <c r="MQG236" s="1"/>
      <c r="MQH236" s="1"/>
      <c r="MQI236" s="1"/>
      <c r="MQJ236" s="1"/>
      <c r="MQK236" s="1"/>
      <c r="MQL236" s="1"/>
      <c r="MQM236" s="1"/>
      <c r="MQN236" s="1"/>
      <c r="MQO236" s="1"/>
      <c r="MQP236" s="1"/>
      <c r="MQQ236" s="1"/>
      <c r="MQR236" s="1"/>
      <c r="MQS236" s="1"/>
      <c r="MQT236" s="1"/>
      <c r="MQU236" s="1"/>
      <c r="MQV236" s="1"/>
      <c r="MQW236" s="1"/>
      <c r="MQX236" s="1"/>
      <c r="MQY236" s="1"/>
      <c r="MQZ236" s="1"/>
      <c r="MRA236" s="1"/>
      <c r="MRB236" s="1"/>
      <c r="MRC236" s="1"/>
      <c r="MRD236" s="1"/>
      <c r="MRE236" s="1"/>
      <c r="MRF236" s="1"/>
      <c r="MRG236" s="1"/>
      <c r="MRH236" s="1"/>
      <c r="MRI236" s="1"/>
      <c r="MRJ236" s="1"/>
      <c r="MRK236" s="1"/>
      <c r="MRL236" s="1"/>
      <c r="MRM236" s="1"/>
      <c r="MRN236" s="1"/>
      <c r="MRO236" s="1"/>
      <c r="MRP236" s="1"/>
      <c r="MRQ236" s="1"/>
      <c r="MRR236" s="1"/>
      <c r="MRS236" s="1"/>
      <c r="MRT236" s="1"/>
      <c r="MRU236" s="1"/>
      <c r="MRV236" s="1"/>
      <c r="MRW236" s="1"/>
      <c r="MRX236" s="1"/>
      <c r="MRY236" s="1"/>
      <c r="MRZ236" s="1"/>
      <c r="MSA236" s="1"/>
      <c r="MSB236" s="1"/>
      <c r="MSC236" s="1"/>
      <c r="MSD236" s="1"/>
      <c r="MSE236" s="1"/>
      <c r="MSF236" s="1"/>
      <c r="MSG236" s="1"/>
      <c r="MSH236" s="1"/>
      <c r="MSI236" s="1"/>
      <c r="MSJ236" s="1"/>
      <c r="MSK236" s="1"/>
      <c r="MSL236" s="1"/>
      <c r="MSM236" s="1"/>
      <c r="MSN236" s="1"/>
      <c r="MSO236" s="1"/>
      <c r="MSP236" s="1"/>
      <c r="MSQ236" s="1"/>
      <c r="MSR236" s="1"/>
      <c r="MSS236" s="1"/>
      <c r="MST236" s="1"/>
      <c r="MSU236" s="1"/>
      <c r="MSV236" s="1"/>
      <c r="MSW236" s="1"/>
      <c r="MSX236" s="1"/>
      <c r="MSY236" s="1"/>
      <c r="MSZ236" s="1"/>
      <c r="MTA236" s="1"/>
      <c r="MTB236" s="1"/>
      <c r="MTC236" s="1"/>
      <c r="MTD236" s="1"/>
      <c r="MTE236" s="1"/>
      <c r="MTF236" s="1"/>
      <c r="MTG236" s="1"/>
      <c r="MTH236" s="1"/>
      <c r="MTI236" s="1"/>
      <c r="MTJ236" s="1"/>
      <c r="MTK236" s="1"/>
      <c r="MTL236" s="1"/>
      <c r="MTM236" s="1"/>
      <c r="MTN236" s="1"/>
      <c r="MTO236" s="1"/>
      <c r="MTP236" s="1"/>
      <c r="MTQ236" s="1"/>
      <c r="MTR236" s="1"/>
      <c r="MTS236" s="1"/>
      <c r="MTT236" s="1"/>
      <c r="MTU236" s="1"/>
      <c r="MTV236" s="1"/>
      <c r="MTW236" s="1"/>
      <c r="MTX236" s="1"/>
      <c r="MTY236" s="1"/>
      <c r="MTZ236" s="1"/>
      <c r="MUA236" s="1"/>
      <c r="MUB236" s="1"/>
      <c r="MUC236" s="1"/>
      <c r="MUD236" s="1"/>
      <c r="MUE236" s="1"/>
      <c r="MUF236" s="1"/>
      <c r="MUG236" s="1"/>
      <c r="MUH236" s="1"/>
      <c r="MUI236" s="1"/>
      <c r="MUJ236" s="1"/>
      <c r="MUK236" s="1"/>
      <c r="MUL236" s="1"/>
      <c r="MUM236" s="1"/>
      <c r="MUN236" s="1"/>
      <c r="MUO236" s="1"/>
      <c r="MUP236" s="1"/>
      <c r="MUQ236" s="1"/>
      <c r="MUR236" s="1"/>
      <c r="MUS236" s="1"/>
      <c r="MUT236" s="1"/>
      <c r="MUU236" s="1"/>
      <c r="MUV236" s="1"/>
      <c r="MUW236" s="1"/>
      <c r="MUX236" s="1"/>
      <c r="MUY236" s="1"/>
      <c r="MUZ236" s="1"/>
      <c r="MVA236" s="1"/>
      <c r="MVB236" s="1"/>
      <c r="MVC236" s="1"/>
      <c r="MVD236" s="1"/>
      <c r="MVE236" s="1"/>
      <c r="MVF236" s="1"/>
      <c r="MVG236" s="1"/>
      <c r="MVH236" s="1"/>
      <c r="MVI236" s="1"/>
      <c r="MVJ236" s="1"/>
      <c r="MVK236" s="1"/>
      <c r="MVL236" s="1"/>
      <c r="MVM236" s="1"/>
      <c r="MVN236" s="1"/>
      <c r="MVO236" s="1"/>
      <c r="MVP236" s="1"/>
      <c r="MVQ236" s="1"/>
      <c r="MVR236" s="1"/>
      <c r="MVS236" s="1"/>
      <c r="MVT236" s="1"/>
      <c r="MVU236" s="1"/>
      <c r="MVV236" s="1"/>
      <c r="MVW236" s="1"/>
      <c r="MVX236" s="1"/>
      <c r="MVY236" s="1"/>
      <c r="MVZ236" s="1"/>
      <c r="MWA236" s="1"/>
      <c r="MWB236" s="1"/>
      <c r="MWC236" s="1"/>
      <c r="MWD236" s="1"/>
      <c r="MWE236" s="1"/>
      <c r="MWF236" s="1"/>
      <c r="MWG236" s="1"/>
      <c r="MWH236" s="1"/>
      <c r="MWI236" s="1"/>
      <c r="MWJ236" s="1"/>
      <c r="MWK236" s="1"/>
      <c r="MWL236" s="1"/>
      <c r="MWM236" s="1"/>
      <c r="MWN236" s="1"/>
      <c r="MWO236" s="1"/>
      <c r="MWP236" s="1"/>
      <c r="MWQ236" s="1"/>
      <c r="MWR236" s="1"/>
      <c r="MWS236" s="1"/>
      <c r="MWT236" s="1"/>
      <c r="MWU236" s="1"/>
      <c r="MWV236" s="1"/>
      <c r="MWW236" s="1"/>
      <c r="MWX236" s="1"/>
      <c r="MWY236" s="1"/>
      <c r="MWZ236" s="1"/>
      <c r="MXA236" s="1"/>
      <c r="MXB236" s="1"/>
      <c r="MXC236" s="1"/>
      <c r="MXD236" s="1"/>
      <c r="MXE236" s="1"/>
      <c r="MXF236" s="1"/>
      <c r="MXG236" s="1"/>
      <c r="MXH236" s="1"/>
      <c r="MXI236" s="1"/>
      <c r="MXJ236" s="1"/>
      <c r="MXK236" s="1"/>
      <c r="MXL236" s="1"/>
      <c r="MXM236" s="1"/>
      <c r="MXN236" s="1"/>
      <c r="MXO236" s="1"/>
      <c r="MXP236" s="1"/>
      <c r="MXQ236" s="1"/>
      <c r="MXR236" s="1"/>
      <c r="MXS236" s="1"/>
      <c r="MXT236" s="1"/>
      <c r="MXU236" s="1"/>
      <c r="MXV236" s="1"/>
      <c r="MXW236" s="1"/>
      <c r="MXX236" s="1"/>
      <c r="MXY236" s="1"/>
      <c r="MXZ236" s="1"/>
      <c r="MYA236" s="1"/>
      <c r="MYB236" s="1"/>
      <c r="MYC236" s="1"/>
      <c r="MYD236" s="1"/>
      <c r="MYE236" s="1"/>
      <c r="MYF236" s="1"/>
      <c r="MYG236" s="1"/>
      <c r="MYH236" s="1"/>
      <c r="MYI236" s="1"/>
      <c r="MYJ236" s="1"/>
      <c r="MYK236" s="1"/>
      <c r="MYL236" s="1"/>
      <c r="MYM236" s="1"/>
      <c r="MYN236" s="1"/>
      <c r="MYO236" s="1"/>
      <c r="MYP236" s="1"/>
      <c r="MYQ236" s="1"/>
      <c r="MYR236" s="1"/>
      <c r="MYS236" s="1"/>
      <c r="MYT236" s="1"/>
      <c r="MYU236" s="1"/>
      <c r="MYV236" s="1"/>
      <c r="MYW236" s="1"/>
      <c r="MYX236" s="1"/>
      <c r="MYY236" s="1"/>
      <c r="MYZ236" s="1"/>
      <c r="MZA236" s="1"/>
      <c r="MZB236" s="1"/>
      <c r="MZC236" s="1"/>
      <c r="MZD236" s="1"/>
      <c r="MZE236" s="1"/>
      <c r="MZF236" s="1"/>
      <c r="MZG236" s="1"/>
      <c r="MZH236" s="1"/>
      <c r="MZI236" s="1"/>
      <c r="MZJ236" s="1"/>
      <c r="MZK236" s="1"/>
      <c r="MZL236" s="1"/>
      <c r="MZM236" s="1"/>
      <c r="MZN236" s="1"/>
      <c r="MZO236" s="1"/>
      <c r="MZP236" s="1"/>
      <c r="MZQ236" s="1"/>
      <c r="MZR236" s="1"/>
      <c r="MZS236" s="1"/>
      <c r="MZT236" s="1"/>
      <c r="MZU236" s="1"/>
      <c r="MZV236" s="1"/>
      <c r="MZW236" s="1"/>
      <c r="MZX236" s="1"/>
      <c r="MZY236" s="1"/>
      <c r="MZZ236" s="1"/>
      <c r="NAA236" s="1"/>
      <c r="NAB236" s="1"/>
      <c r="NAC236" s="1"/>
      <c r="NAD236" s="1"/>
      <c r="NAE236" s="1"/>
      <c r="NAF236" s="1"/>
      <c r="NAG236" s="1"/>
      <c r="NAH236" s="1"/>
      <c r="NAI236" s="1"/>
      <c r="NAJ236" s="1"/>
      <c r="NAK236" s="1"/>
      <c r="NAL236" s="1"/>
      <c r="NAM236" s="1"/>
      <c r="NAN236" s="1"/>
      <c r="NAO236" s="1"/>
      <c r="NAP236" s="1"/>
      <c r="NAQ236" s="1"/>
      <c r="NAR236" s="1"/>
      <c r="NAS236" s="1"/>
      <c r="NAT236" s="1"/>
      <c r="NAU236" s="1"/>
      <c r="NAV236" s="1"/>
      <c r="NAW236" s="1"/>
      <c r="NAX236" s="1"/>
      <c r="NAY236" s="1"/>
      <c r="NAZ236" s="1"/>
      <c r="NBA236" s="1"/>
      <c r="NBB236" s="1"/>
      <c r="NBC236" s="1"/>
      <c r="NBD236" s="1"/>
      <c r="NBE236" s="1"/>
      <c r="NBF236" s="1"/>
      <c r="NBG236" s="1"/>
      <c r="NBH236" s="1"/>
      <c r="NBI236" s="1"/>
      <c r="NBJ236" s="1"/>
      <c r="NBK236" s="1"/>
      <c r="NBL236" s="1"/>
      <c r="NBM236" s="1"/>
      <c r="NBN236" s="1"/>
      <c r="NBO236" s="1"/>
      <c r="NBP236" s="1"/>
      <c r="NBQ236" s="1"/>
      <c r="NBR236" s="1"/>
      <c r="NBS236" s="1"/>
      <c r="NBT236" s="1"/>
      <c r="NBU236" s="1"/>
      <c r="NBV236" s="1"/>
      <c r="NBW236" s="1"/>
      <c r="NBX236" s="1"/>
      <c r="NBY236" s="1"/>
      <c r="NBZ236" s="1"/>
      <c r="NCA236" s="1"/>
      <c r="NCB236" s="1"/>
      <c r="NCC236" s="1"/>
      <c r="NCD236" s="1"/>
      <c r="NCE236" s="1"/>
      <c r="NCF236" s="1"/>
      <c r="NCG236" s="1"/>
      <c r="NCH236" s="1"/>
      <c r="NCI236" s="1"/>
      <c r="NCJ236" s="1"/>
      <c r="NCK236" s="1"/>
      <c r="NCL236" s="1"/>
      <c r="NCM236" s="1"/>
      <c r="NCN236" s="1"/>
      <c r="NCO236" s="1"/>
      <c r="NCP236" s="1"/>
      <c r="NCQ236" s="1"/>
      <c r="NCR236" s="1"/>
      <c r="NCS236" s="1"/>
      <c r="NCT236" s="1"/>
      <c r="NCU236" s="1"/>
      <c r="NCV236" s="1"/>
      <c r="NCW236" s="1"/>
      <c r="NCX236" s="1"/>
      <c r="NCY236" s="1"/>
      <c r="NCZ236" s="1"/>
      <c r="NDA236" s="1"/>
      <c r="NDB236" s="1"/>
      <c r="NDC236" s="1"/>
      <c r="NDD236" s="1"/>
      <c r="NDE236" s="1"/>
      <c r="NDF236" s="1"/>
      <c r="NDG236" s="1"/>
      <c r="NDH236" s="1"/>
      <c r="NDI236" s="1"/>
      <c r="NDJ236" s="1"/>
      <c r="NDK236" s="1"/>
      <c r="NDL236" s="1"/>
      <c r="NDM236" s="1"/>
      <c r="NDN236" s="1"/>
      <c r="NDO236" s="1"/>
      <c r="NDP236" s="1"/>
      <c r="NDQ236" s="1"/>
      <c r="NDR236" s="1"/>
      <c r="NDS236" s="1"/>
      <c r="NDT236" s="1"/>
      <c r="NDU236" s="1"/>
      <c r="NDV236" s="1"/>
      <c r="NDW236" s="1"/>
      <c r="NDX236" s="1"/>
      <c r="NDY236" s="1"/>
      <c r="NDZ236" s="1"/>
      <c r="NEA236" s="1"/>
      <c r="NEB236" s="1"/>
      <c r="NEC236" s="1"/>
      <c r="NED236" s="1"/>
      <c r="NEE236" s="1"/>
      <c r="NEF236" s="1"/>
      <c r="NEG236" s="1"/>
      <c r="NEH236" s="1"/>
      <c r="NEI236" s="1"/>
      <c r="NEJ236" s="1"/>
      <c r="NEK236" s="1"/>
      <c r="NEL236" s="1"/>
      <c r="NEM236" s="1"/>
      <c r="NEN236" s="1"/>
      <c r="NEO236" s="1"/>
      <c r="NEP236" s="1"/>
      <c r="NEQ236" s="1"/>
      <c r="NER236" s="1"/>
      <c r="NES236" s="1"/>
      <c r="NET236" s="1"/>
      <c r="NEU236" s="1"/>
      <c r="NEV236" s="1"/>
      <c r="NEW236" s="1"/>
      <c r="NEX236" s="1"/>
      <c r="NEY236" s="1"/>
      <c r="NEZ236" s="1"/>
      <c r="NFA236" s="1"/>
      <c r="NFB236" s="1"/>
      <c r="NFC236" s="1"/>
      <c r="NFD236" s="1"/>
      <c r="NFE236" s="1"/>
      <c r="NFF236" s="1"/>
      <c r="NFG236" s="1"/>
      <c r="NFH236" s="1"/>
      <c r="NFI236" s="1"/>
      <c r="NFJ236" s="1"/>
      <c r="NFK236" s="1"/>
      <c r="NFL236" s="1"/>
      <c r="NFM236" s="1"/>
      <c r="NFN236" s="1"/>
      <c r="NFO236" s="1"/>
      <c r="NFP236" s="1"/>
      <c r="NFQ236" s="1"/>
      <c r="NFR236" s="1"/>
      <c r="NFS236" s="1"/>
      <c r="NFT236" s="1"/>
      <c r="NFU236" s="1"/>
      <c r="NFV236" s="1"/>
      <c r="NFW236" s="1"/>
      <c r="NFX236" s="1"/>
      <c r="NFY236" s="1"/>
      <c r="NFZ236" s="1"/>
      <c r="NGA236" s="1"/>
      <c r="NGB236" s="1"/>
      <c r="NGC236" s="1"/>
      <c r="NGD236" s="1"/>
      <c r="NGE236" s="1"/>
      <c r="NGF236" s="1"/>
      <c r="NGG236" s="1"/>
      <c r="NGH236" s="1"/>
      <c r="NGI236" s="1"/>
      <c r="NGJ236" s="1"/>
      <c r="NGK236" s="1"/>
      <c r="NGL236" s="1"/>
      <c r="NGM236" s="1"/>
      <c r="NGN236" s="1"/>
      <c r="NGO236" s="1"/>
      <c r="NGP236" s="1"/>
      <c r="NGQ236" s="1"/>
      <c r="NGR236" s="1"/>
      <c r="NGS236" s="1"/>
      <c r="NGT236" s="1"/>
      <c r="NGU236" s="1"/>
      <c r="NGV236" s="1"/>
      <c r="NGW236" s="1"/>
      <c r="NGX236" s="1"/>
      <c r="NGY236" s="1"/>
      <c r="NGZ236" s="1"/>
      <c r="NHA236" s="1"/>
      <c r="NHB236" s="1"/>
      <c r="NHC236" s="1"/>
      <c r="NHD236" s="1"/>
      <c r="NHE236" s="1"/>
      <c r="NHF236" s="1"/>
      <c r="NHG236" s="1"/>
      <c r="NHH236" s="1"/>
      <c r="NHI236" s="1"/>
      <c r="NHJ236" s="1"/>
      <c r="NHK236" s="1"/>
      <c r="NHL236" s="1"/>
      <c r="NHM236" s="1"/>
      <c r="NHN236" s="1"/>
      <c r="NHO236" s="1"/>
      <c r="NHP236" s="1"/>
      <c r="NHQ236" s="1"/>
      <c r="NHR236" s="1"/>
      <c r="NHS236" s="1"/>
      <c r="NHT236" s="1"/>
      <c r="NHU236" s="1"/>
      <c r="NHV236" s="1"/>
      <c r="NHW236" s="1"/>
      <c r="NHX236" s="1"/>
      <c r="NHY236" s="1"/>
      <c r="NHZ236" s="1"/>
      <c r="NIA236" s="1"/>
      <c r="NIB236" s="1"/>
      <c r="NIC236" s="1"/>
      <c r="NID236" s="1"/>
      <c r="NIE236" s="1"/>
      <c r="NIF236" s="1"/>
      <c r="NIG236" s="1"/>
      <c r="NIH236" s="1"/>
      <c r="NII236" s="1"/>
      <c r="NIJ236" s="1"/>
      <c r="NIK236" s="1"/>
      <c r="NIL236" s="1"/>
      <c r="NIM236" s="1"/>
      <c r="NIN236" s="1"/>
      <c r="NIO236" s="1"/>
      <c r="NIP236" s="1"/>
      <c r="NIQ236" s="1"/>
      <c r="NIR236" s="1"/>
      <c r="NIS236" s="1"/>
      <c r="NIT236" s="1"/>
      <c r="NIU236" s="1"/>
      <c r="NIV236" s="1"/>
      <c r="NIW236" s="1"/>
      <c r="NIX236" s="1"/>
      <c r="NIY236" s="1"/>
      <c r="NIZ236" s="1"/>
      <c r="NJA236" s="1"/>
      <c r="NJB236" s="1"/>
      <c r="NJC236" s="1"/>
      <c r="NJD236" s="1"/>
      <c r="NJE236" s="1"/>
      <c r="NJF236" s="1"/>
      <c r="NJG236" s="1"/>
      <c r="NJH236" s="1"/>
      <c r="NJI236" s="1"/>
      <c r="NJJ236" s="1"/>
      <c r="NJK236" s="1"/>
      <c r="NJL236" s="1"/>
      <c r="NJM236" s="1"/>
      <c r="NJN236" s="1"/>
      <c r="NJO236" s="1"/>
      <c r="NJP236" s="1"/>
      <c r="NJQ236" s="1"/>
      <c r="NJR236" s="1"/>
      <c r="NJS236" s="1"/>
      <c r="NJT236" s="1"/>
      <c r="NJU236" s="1"/>
      <c r="NJV236" s="1"/>
      <c r="NJW236" s="1"/>
      <c r="NJX236" s="1"/>
      <c r="NJY236" s="1"/>
      <c r="NJZ236" s="1"/>
      <c r="NKA236" s="1"/>
      <c r="NKB236" s="1"/>
      <c r="NKC236" s="1"/>
      <c r="NKD236" s="1"/>
      <c r="NKE236" s="1"/>
      <c r="NKF236" s="1"/>
      <c r="NKG236" s="1"/>
      <c r="NKH236" s="1"/>
      <c r="NKI236" s="1"/>
      <c r="NKJ236" s="1"/>
      <c r="NKK236" s="1"/>
      <c r="NKL236" s="1"/>
      <c r="NKM236" s="1"/>
      <c r="NKN236" s="1"/>
      <c r="NKO236" s="1"/>
      <c r="NKP236" s="1"/>
      <c r="NKQ236" s="1"/>
      <c r="NKR236" s="1"/>
      <c r="NKS236" s="1"/>
      <c r="NKT236" s="1"/>
      <c r="NKU236" s="1"/>
      <c r="NKV236" s="1"/>
      <c r="NKW236" s="1"/>
      <c r="NKX236" s="1"/>
      <c r="NKY236" s="1"/>
      <c r="NKZ236" s="1"/>
      <c r="NLA236" s="1"/>
      <c r="NLB236" s="1"/>
      <c r="NLC236" s="1"/>
      <c r="NLD236" s="1"/>
      <c r="NLE236" s="1"/>
      <c r="NLF236" s="1"/>
      <c r="NLG236" s="1"/>
      <c r="NLH236" s="1"/>
      <c r="NLI236" s="1"/>
      <c r="NLJ236" s="1"/>
      <c r="NLK236" s="1"/>
      <c r="NLL236" s="1"/>
      <c r="NLM236" s="1"/>
      <c r="NLN236" s="1"/>
      <c r="NLO236" s="1"/>
      <c r="NLP236" s="1"/>
      <c r="NLQ236" s="1"/>
      <c r="NLR236" s="1"/>
      <c r="NLS236" s="1"/>
      <c r="NLT236" s="1"/>
      <c r="NLU236" s="1"/>
      <c r="NLV236" s="1"/>
      <c r="NLW236" s="1"/>
      <c r="NLX236" s="1"/>
      <c r="NLY236" s="1"/>
      <c r="NLZ236" s="1"/>
      <c r="NMA236" s="1"/>
      <c r="NMB236" s="1"/>
      <c r="NMC236" s="1"/>
      <c r="NMD236" s="1"/>
      <c r="NME236" s="1"/>
      <c r="NMF236" s="1"/>
      <c r="NMG236" s="1"/>
      <c r="NMH236" s="1"/>
      <c r="NMI236" s="1"/>
      <c r="NMJ236" s="1"/>
      <c r="NMK236" s="1"/>
      <c r="NML236" s="1"/>
      <c r="NMM236" s="1"/>
      <c r="NMN236" s="1"/>
      <c r="NMO236" s="1"/>
      <c r="NMP236" s="1"/>
      <c r="NMQ236" s="1"/>
      <c r="NMR236" s="1"/>
      <c r="NMS236" s="1"/>
      <c r="NMT236" s="1"/>
      <c r="NMU236" s="1"/>
      <c r="NMV236" s="1"/>
      <c r="NMW236" s="1"/>
      <c r="NMX236" s="1"/>
      <c r="NMY236" s="1"/>
      <c r="NMZ236" s="1"/>
      <c r="NNA236" s="1"/>
      <c r="NNB236" s="1"/>
      <c r="NNC236" s="1"/>
      <c r="NND236" s="1"/>
      <c r="NNE236" s="1"/>
      <c r="NNF236" s="1"/>
      <c r="NNG236" s="1"/>
      <c r="NNH236" s="1"/>
      <c r="NNI236" s="1"/>
      <c r="NNJ236" s="1"/>
      <c r="NNK236" s="1"/>
      <c r="NNL236" s="1"/>
      <c r="NNM236" s="1"/>
      <c r="NNN236" s="1"/>
      <c r="NNO236" s="1"/>
      <c r="NNP236" s="1"/>
      <c r="NNQ236" s="1"/>
      <c r="NNR236" s="1"/>
      <c r="NNS236" s="1"/>
      <c r="NNT236" s="1"/>
      <c r="NNU236" s="1"/>
      <c r="NNV236" s="1"/>
      <c r="NNW236" s="1"/>
      <c r="NNX236" s="1"/>
      <c r="NNY236" s="1"/>
      <c r="NNZ236" s="1"/>
      <c r="NOA236" s="1"/>
      <c r="NOB236" s="1"/>
      <c r="NOC236" s="1"/>
      <c r="NOD236" s="1"/>
      <c r="NOE236" s="1"/>
      <c r="NOF236" s="1"/>
      <c r="NOG236" s="1"/>
      <c r="NOH236" s="1"/>
      <c r="NOI236" s="1"/>
      <c r="NOJ236" s="1"/>
      <c r="NOK236" s="1"/>
      <c r="NOL236" s="1"/>
      <c r="NOM236" s="1"/>
      <c r="NON236" s="1"/>
      <c r="NOO236" s="1"/>
      <c r="NOP236" s="1"/>
      <c r="NOQ236" s="1"/>
      <c r="NOR236" s="1"/>
      <c r="NOS236" s="1"/>
      <c r="NOT236" s="1"/>
      <c r="NOU236" s="1"/>
      <c r="NOV236" s="1"/>
      <c r="NOW236" s="1"/>
      <c r="NOX236" s="1"/>
      <c r="NOY236" s="1"/>
      <c r="NOZ236" s="1"/>
      <c r="NPA236" s="1"/>
      <c r="NPB236" s="1"/>
      <c r="NPC236" s="1"/>
      <c r="NPD236" s="1"/>
      <c r="NPE236" s="1"/>
      <c r="NPF236" s="1"/>
      <c r="NPG236" s="1"/>
      <c r="NPH236" s="1"/>
      <c r="NPI236" s="1"/>
      <c r="NPJ236" s="1"/>
      <c r="NPK236" s="1"/>
      <c r="NPL236" s="1"/>
      <c r="NPM236" s="1"/>
      <c r="NPN236" s="1"/>
      <c r="NPO236" s="1"/>
      <c r="NPP236" s="1"/>
      <c r="NPQ236" s="1"/>
      <c r="NPR236" s="1"/>
      <c r="NPS236" s="1"/>
      <c r="NPT236" s="1"/>
      <c r="NPU236" s="1"/>
      <c r="NPV236" s="1"/>
      <c r="NPW236" s="1"/>
      <c r="NPX236" s="1"/>
      <c r="NPY236" s="1"/>
      <c r="NPZ236" s="1"/>
      <c r="NQA236" s="1"/>
      <c r="NQB236" s="1"/>
      <c r="NQC236" s="1"/>
      <c r="NQD236" s="1"/>
      <c r="NQE236" s="1"/>
      <c r="NQF236" s="1"/>
      <c r="NQG236" s="1"/>
      <c r="NQH236" s="1"/>
      <c r="NQI236" s="1"/>
      <c r="NQJ236" s="1"/>
      <c r="NQK236" s="1"/>
      <c r="NQL236" s="1"/>
      <c r="NQM236" s="1"/>
      <c r="NQN236" s="1"/>
      <c r="NQO236" s="1"/>
      <c r="NQP236" s="1"/>
      <c r="NQQ236" s="1"/>
      <c r="NQR236" s="1"/>
      <c r="NQS236" s="1"/>
      <c r="NQT236" s="1"/>
      <c r="NQU236" s="1"/>
      <c r="NQV236" s="1"/>
      <c r="NQW236" s="1"/>
      <c r="NQX236" s="1"/>
      <c r="NQY236" s="1"/>
      <c r="NQZ236" s="1"/>
      <c r="NRA236" s="1"/>
      <c r="NRB236" s="1"/>
      <c r="NRC236" s="1"/>
      <c r="NRD236" s="1"/>
      <c r="NRE236" s="1"/>
      <c r="NRF236" s="1"/>
      <c r="NRG236" s="1"/>
      <c r="NRH236" s="1"/>
      <c r="NRI236" s="1"/>
      <c r="NRJ236" s="1"/>
      <c r="NRK236" s="1"/>
      <c r="NRL236" s="1"/>
      <c r="NRM236" s="1"/>
      <c r="NRN236" s="1"/>
      <c r="NRO236" s="1"/>
      <c r="NRP236" s="1"/>
      <c r="NRQ236" s="1"/>
      <c r="NRR236" s="1"/>
      <c r="NRS236" s="1"/>
      <c r="NRT236" s="1"/>
      <c r="NRU236" s="1"/>
      <c r="NRV236" s="1"/>
      <c r="NRW236" s="1"/>
      <c r="NRX236" s="1"/>
      <c r="NRY236" s="1"/>
      <c r="NRZ236" s="1"/>
      <c r="NSA236" s="1"/>
      <c r="NSB236" s="1"/>
      <c r="NSC236" s="1"/>
      <c r="NSD236" s="1"/>
      <c r="NSE236" s="1"/>
      <c r="NSF236" s="1"/>
      <c r="NSG236" s="1"/>
      <c r="NSH236" s="1"/>
      <c r="NSI236" s="1"/>
      <c r="NSJ236" s="1"/>
      <c r="NSK236" s="1"/>
      <c r="NSL236" s="1"/>
      <c r="NSM236" s="1"/>
      <c r="NSN236" s="1"/>
      <c r="NSO236" s="1"/>
      <c r="NSP236" s="1"/>
      <c r="NSQ236" s="1"/>
      <c r="NSR236" s="1"/>
      <c r="NSS236" s="1"/>
      <c r="NST236" s="1"/>
      <c r="NSU236" s="1"/>
      <c r="NSV236" s="1"/>
      <c r="NSW236" s="1"/>
      <c r="NSX236" s="1"/>
      <c r="NSY236" s="1"/>
      <c r="NSZ236" s="1"/>
      <c r="NTA236" s="1"/>
      <c r="NTB236" s="1"/>
      <c r="NTC236" s="1"/>
      <c r="NTD236" s="1"/>
      <c r="NTE236" s="1"/>
      <c r="NTF236" s="1"/>
      <c r="NTG236" s="1"/>
      <c r="NTH236" s="1"/>
      <c r="NTI236" s="1"/>
      <c r="NTJ236" s="1"/>
      <c r="NTK236" s="1"/>
      <c r="NTL236" s="1"/>
      <c r="NTM236" s="1"/>
      <c r="NTN236" s="1"/>
      <c r="NTO236" s="1"/>
      <c r="NTP236" s="1"/>
      <c r="NTQ236" s="1"/>
      <c r="NTR236" s="1"/>
      <c r="NTS236" s="1"/>
      <c r="NTT236" s="1"/>
      <c r="NTU236" s="1"/>
      <c r="NTV236" s="1"/>
      <c r="NTW236" s="1"/>
      <c r="NTX236" s="1"/>
      <c r="NTY236" s="1"/>
      <c r="NTZ236" s="1"/>
      <c r="NUA236" s="1"/>
      <c r="NUB236" s="1"/>
      <c r="NUC236" s="1"/>
      <c r="NUD236" s="1"/>
      <c r="NUE236" s="1"/>
      <c r="NUF236" s="1"/>
      <c r="NUG236" s="1"/>
      <c r="NUH236" s="1"/>
      <c r="NUI236" s="1"/>
      <c r="NUJ236" s="1"/>
      <c r="NUK236" s="1"/>
      <c r="NUL236" s="1"/>
      <c r="NUM236" s="1"/>
      <c r="NUN236" s="1"/>
      <c r="NUO236" s="1"/>
      <c r="NUP236" s="1"/>
      <c r="NUQ236" s="1"/>
      <c r="NUR236" s="1"/>
      <c r="NUS236" s="1"/>
      <c r="NUT236" s="1"/>
      <c r="NUU236" s="1"/>
      <c r="NUV236" s="1"/>
      <c r="NUW236" s="1"/>
      <c r="NUX236" s="1"/>
      <c r="NUY236" s="1"/>
      <c r="NUZ236" s="1"/>
      <c r="NVA236" s="1"/>
      <c r="NVB236" s="1"/>
      <c r="NVC236" s="1"/>
      <c r="NVD236" s="1"/>
      <c r="NVE236" s="1"/>
      <c r="NVF236" s="1"/>
      <c r="NVG236" s="1"/>
      <c r="NVH236" s="1"/>
      <c r="NVI236" s="1"/>
      <c r="NVJ236" s="1"/>
      <c r="NVK236" s="1"/>
      <c r="NVL236" s="1"/>
      <c r="NVM236" s="1"/>
      <c r="NVN236" s="1"/>
      <c r="NVO236" s="1"/>
      <c r="NVP236" s="1"/>
      <c r="NVQ236" s="1"/>
      <c r="NVR236" s="1"/>
      <c r="NVS236" s="1"/>
      <c r="NVT236" s="1"/>
      <c r="NVU236" s="1"/>
      <c r="NVV236" s="1"/>
      <c r="NVW236" s="1"/>
      <c r="NVX236" s="1"/>
      <c r="NVY236" s="1"/>
      <c r="NVZ236" s="1"/>
      <c r="NWA236" s="1"/>
      <c r="NWB236" s="1"/>
      <c r="NWC236" s="1"/>
      <c r="NWD236" s="1"/>
      <c r="NWE236" s="1"/>
      <c r="NWF236" s="1"/>
      <c r="NWG236" s="1"/>
      <c r="NWH236" s="1"/>
      <c r="NWI236" s="1"/>
      <c r="NWJ236" s="1"/>
      <c r="NWK236" s="1"/>
      <c r="NWL236" s="1"/>
      <c r="NWM236" s="1"/>
      <c r="NWN236" s="1"/>
      <c r="NWO236" s="1"/>
      <c r="NWP236" s="1"/>
      <c r="NWQ236" s="1"/>
      <c r="NWR236" s="1"/>
      <c r="NWS236" s="1"/>
      <c r="NWT236" s="1"/>
      <c r="NWU236" s="1"/>
      <c r="NWV236" s="1"/>
      <c r="NWW236" s="1"/>
      <c r="NWX236" s="1"/>
      <c r="NWY236" s="1"/>
      <c r="NWZ236" s="1"/>
      <c r="NXA236" s="1"/>
      <c r="NXB236" s="1"/>
      <c r="NXC236" s="1"/>
      <c r="NXD236" s="1"/>
      <c r="NXE236" s="1"/>
      <c r="NXF236" s="1"/>
      <c r="NXG236" s="1"/>
      <c r="NXH236" s="1"/>
      <c r="NXI236" s="1"/>
      <c r="NXJ236" s="1"/>
      <c r="NXK236" s="1"/>
      <c r="NXL236" s="1"/>
      <c r="NXM236" s="1"/>
      <c r="NXN236" s="1"/>
      <c r="NXO236" s="1"/>
      <c r="NXP236" s="1"/>
      <c r="NXQ236" s="1"/>
      <c r="NXR236" s="1"/>
      <c r="NXS236" s="1"/>
      <c r="NXT236" s="1"/>
      <c r="NXU236" s="1"/>
      <c r="NXV236" s="1"/>
      <c r="NXW236" s="1"/>
      <c r="NXX236" s="1"/>
      <c r="NXY236" s="1"/>
      <c r="NXZ236" s="1"/>
      <c r="NYA236" s="1"/>
      <c r="NYB236" s="1"/>
      <c r="NYC236" s="1"/>
      <c r="NYD236" s="1"/>
      <c r="NYE236" s="1"/>
      <c r="NYF236" s="1"/>
      <c r="NYG236" s="1"/>
      <c r="NYH236" s="1"/>
      <c r="NYI236" s="1"/>
      <c r="NYJ236" s="1"/>
      <c r="NYK236" s="1"/>
      <c r="NYL236" s="1"/>
      <c r="NYM236" s="1"/>
      <c r="NYN236" s="1"/>
      <c r="NYO236" s="1"/>
      <c r="NYP236" s="1"/>
      <c r="NYQ236" s="1"/>
      <c r="NYR236" s="1"/>
      <c r="NYS236" s="1"/>
      <c r="NYT236" s="1"/>
      <c r="NYU236" s="1"/>
      <c r="NYV236" s="1"/>
      <c r="NYW236" s="1"/>
      <c r="NYX236" s="1"/>
      <c r="NYY236" s="1"/>
      <c r="NYZ236" s="1"/>
      <c r="NZA236" s="1"/>
      <c r="NZB236" s="1"/>
      <c r="NZC236" s="1"/>
      <c r="NZD236" s="1"/>
      <c r="NZE236" s="1"/>
      <c r="NZF236" s="1"/>
      <c r="NZG236" s="1"/>
      <c r="NZH236" s="1"/>
      <c r="NZI236" s="1"/>
      <c r="NZJ236" s="1"/>
      <c r="NZK236" s="1"/>
      <c r="NZL236" s="1"/>
      <c r="NZM236" s="1"/>
      <c r="NZN236" s="1"/>
      <c r="NZO236" s="1"/>
      <c r="NZP236" s="1"/>
      <c r="NZQ236" s="1"/>
      <c r="NZR236" s="1"/>
      <c r="NZS236" s="1"/>
      <c r="NZT236" s="1"/>
      <c r="NZU236" s="1"/>
      <c r="NZV236" s="1"/>
      <c r="NZW236" s="1"/>
      <c r="NZX236" s="1"/>
      <c r="NZY236" s="1"/>
      <c r="NZZ236" s="1"/>
      <c r="OAA236" s="1"/>
      <c r="OAB236" s="1"/>
      <c r="OAC236" s="1"/>
      <c r="OAD236" s="1"/>
      <c r="OAE236" s="1"/>
      <c r="OAF236" s="1"/>
      <c r="OAG236" s="1"/>
      <c r="OAH236" s="1"/>
      <c r="OAI236" s="1"/>
      <c r="OAJ236" s="1"/>
      <c r="OAK236" s="1"/>
      <c r="OAL236" s="1"/>
      <c r="OAM236" s="1"/>
      <c r="OAN236" s="1"/>
      <c r="OAO236" s="1"/>
      <c r="OAP236" s="1"/>
      <c r="OAQ236" s="1"/>
      <c r="OAR236" s="1"/>
      <c r="OAS236" s="1"/>
      <c r="OAT236" s="1"/>
      <c r="OAU236" s="1"/>
      <c r="OAV236" s="1"/>
      <c r="OAW236" s="1"/>
      <c r="OAX236" s="1"/>
      <c r="OAY236" s="1"/>
      <c r="OAZ236" s="1"/>
      <c r="OBA236" s="1"/>
      <c r="OBB236" s="1"/>
      <c r="OBC236" s="1"/>
      <c r="OBD236" s="1"/>
      <c r="OBE236" s="1"/>
      <c r="OBF236" s="1"/>
      <c r="OBG236" s="1"/>
      <c r="OBH236" s="1"/>
      <c r="OBI236" s="1"/>
      <c r="OBJ236" s="1"/>
      <c r="OBK236" s="1"/>
      <c r="OBL236" s="1"/>
      <c r="OBM236" s="1"/>
      <c r="OBN236" s="1"/>
      <c r="OBO236" s="1"/>
      <c r="OBP236" s="1"/>
      <c r="OBQ236" s="1"/>
      <c r="OBR236" s="1"/>
      <c r="OBS236" s="1"/>
      <c r="OBT236" s="1"/>
      <c r="OBU236" s="1"/>
      <c r="OBV236" s="1"/>
      <c r="OBW236" s="1"/>
      <c r="OBX236" s="1"/>
      <c r="OBY236" s="1"/>
      <c r="OBZ236" s="1"/>
      <c r="OCA236" s="1"/>
      <c r="OCB236" s="1"/>
      <c r="OCC236" s="1"/>
      <c r="OCD236" s="1"/>
      <c r="OCE236" s="1"/>
      <c r="OCF236" s="1"/>
      <c r="OCG236" s="1"/>
      <c r="OCH236" s="1"/>
      <c r="OCI236" s="1"/>
      <c r="OCJ236" s="1"/>
      <c r="OCK236" s="1"/>
      <c r="OCL236" s="1"/>
      <c r="OCM236" s="1"/>
      <c r="OCN236" s="1"/>
      <c r="OCO236" s="1"/>
      <c r="OCP236" s="1"/>
      <c r="OCQ236" s="1"/>
      <c r="OCR236" s="1"/>
      <c r="OCS236" s="1"/>
      <c r="OCT236" s="1"/>
      <c r="OCU236" s="1"/>
      <c r="OCV236" s="1"/>
      <c r="OCW236" s="1"/>
      <c r="OCX236" s="1"/>
      <c r="OCY236" s="1"/>
      <c r="OCZ236" s="1"/>
      <c r="ODA236" s="1"/>
      <c r="ODB236" s="1"/>
      <c r="ODC236" s="1"/>
      <c r="ODD236" s="1"/>
      <c r="ODE236" s="1"/>
      <c r="ODF236" s="1"/>
      <c r="ODG236" s="1"/>
      <c r="ODH236" s="1"/>
      <c r="ODI236" s="1"/>
      <c r="ODJ236" s="1"/>
      <c r="ODK236" s="1"/>
      <c r="ODL236" s="1"/>
      <c r="ODM236" s="1"/>
      <c r="ODN236" s="1"/>
      <c r="ODO236" s="1"/>
      <c r="ODP236" s="1"/>
      <c r="ODQ236" s="1"/>
      <c r="ODR236" s="1"/>
      <c r="ODS236" s="1"/>
      <c r="ODT236" s="1"/>
      <c r="ODU236" s="1"/>
      <c r="ODV236" s="1"/>
      <c r="ODW236" s="1"/>
      <c r="ODX236" s="1"/>
      <c r="ODY236" s="1"/>
      <c r="ODZ236" s="1"/>
      <c r="OEA236" s="1"/>
      <c r="OEB236" s="1"/>
      <c r="OEC236" s="1"/>
      <c r="OED236" s="1"/>
      <c r="OEE236" s="1"/>
      <c r="OEF236" s="1"/>
      <c r="OEG236" s="1"/>
      <c r="OEH236" s="1"/>
      <c r="OEI236" s="1"/>
      <c r="OEJ236" s="1"/>
      <c r="OEK236" s="1"/>
      <c r="OEL236" s="1"/>
      <c r="OEM236" s="1"/>
      <c r="OEN236" s="1"/>
      <c r="OEO236" s="1"/>
      <c r="OEP236" s="1"/>
      <c r="OEQ236" s="1"/>
      <c r="OER236" s="1"/>
      <c r="OES236" s="1"/>
      <c r="OET236" s="1"/>
      <c r="OEU236" s="1"/>
      <c r="OEV236" s="1"/>
      <c r="OEW236" s="1"/>
      <c r="OEX236" s="1"/>
      <c r="OEY236" s="1"/>
      <c r="OEZ236" s="1"/>
      <c r="OFA236" s="1"/>
      <c r="OFB236" s="1"/>
      <c r="OFC236" s="1"/>
      <c r="OFD236" s="1"/>
      <c r="OFE236" s="1"/>
      <c r="OFF236" s="1"/>
      <c r="OFG236" s="1"/>
      <c r="OFH236" s="1"/>
      <c r="OFI236" s="1"/>
      <c r="OFJ236" s="1"/>
      <c r="OFK236" s="1"/>
      <c r="OFL236" s="1"/>
      <c r="OFM236" s="1"/>
      <c r="OFN236" s="1"/>
      <c r="OFO236" s="1"/>
      <c r="OFP236" s="1"/>
      <c r="OFQ236" s="1"/>
      <c r="OFR236" s="1"/>
      <c r="OFS236" s="1"/>
      <c r="OFT236" s="1"/>
      <c r="OFU236" s="1"/>
      <c r="OFV236" s="1"/>
      <c r="OFW236" s="1"/>
      <c r="OFX236" s="1"/>
      <c r="OFY236" s="1"/>
      <c r="OFZ236" s="1"/>
      <c r="OGA236" s="1"/>
      <c r="OGB236" s="1"/>
      <c r="OGC236" s="1"/>
      <c r="OGD236" s="1"/>
      <c r="OGE236" s="1"/>
      <c r="OGF236" s="1"/>
      <c r="OGG236" s="1"/>
      <c r="OGH236" s="1"/>
      <c r="OGI236" s="1"/>
      <c r="OGJ236" s="1"/>
      <c r="OGK236" s="1"/>
      <c r="OGL236" s="1"/>
      <c r="OGM236" s="1"/>
      <c r="OGN236" s="1"/>
      <c r="OGO236" s="1"/>
      <c r="OGP236" s="1"/>
      <c r="OGQ236" s="1"/>
      <c r="OGR236" s="1"/>
      <c r="OGS236" s="1"/>
      <c r="OGT236" s="1"/>
      <c r="OGU236" s="1"/>
      <c r="OGV236" s="1"/>
      <c r="OGW236" s="1"/>
      <c r="OGX236" s="1"/>
      <c r="OGY236" s="1"/>
      <c r="OGZ236" s="1"/>
      <c r="OHA236" s="1"/>
      <c r="OHB236" s="1"/>
      <c r="OHC236" s="1"/>
      <c r="OHD236" s="1"/>
      <c r="OHE236" s="1"/>
      <c r="OHF236" s="1"/>
      <c r="OHG236" s="1"/>
      <c r="OHH236" s="1"/>
      <c r="OHI236" s="1"/>
      <c r="OHJ236" s="1"/>
      <c r="OHK236" s="1"/>
      <c r="OHL236" s="1"/>
      <c r="OHM236" s="1"/>
      <c r="OHN236" s="1"/>
      <c r="OHO236" s="1"/>
      <c r="OHP236" s="1"/>
      <c r="OHQ236" s="1"/>
      <c r="OHR236" s="1"/>
      <c r="OHS236" s="1"/>
      <c r="OHT236" s="1"/>
      <c r="OHU236" s="1"/>
      <c r="OHV236" s="1"/>
      <c r="OHW236" s="1"/>
      <c r="OHX236" s="1"/>
      <c r="OHY236" s="1"/>
      <c r="OHZ236" s="1"/>
      <c r="OIA236" s="1"/>
      <c r="OIB236" s="1"/>
      <c r="OIC236" s="1"/>
      <c r="OID236" s="1"/>
      <c r="OIE236" s="1"/>
      <c r="OIF236" s="1"/>
      <c r="OIG236" s="1"/>
      <c r="OIH236" s="1"/>
      <c r="OII236" s="1"/>
      <c r="OIJ236" s="1"/>
      <c r="OIK236" s="1"/>
      <c r="OIL236" s="1"/>
      <c r="OIM236" s="1"/>
      <c r="OIN236" s="1"/>
      <c r="OIO236" s="1"/>
      <c r="OIP236" s="1"/>
      <c r="OIQ236" s="1"/>
      <c r="OIR236" s="1"/>
      <c r="OIS236" s="1"/>
      <c r="OIT236" s="1"/>
      <c r="OIU236" s="1"/>
      <c r="OIV236" s="1"/>
      <c r="OIW236" s="1"/>
      <c r="OIX236" s="1"/>
      <c r="OIY236" s="1"/>
      <c r="OIZ236" s="1"/>
      <c r="OJA236" s="1"/>
      <c r="OJB236" s="1"/>
      <c r="OJC236" s="1"/>
      <c r="OJD236" s="1"/>
      <c r="OJE236" s="1"/>
      <c r="OJF236" s="1"/>
      <c r="OJG236" s="1"/>
      <c r="OJH236" s="1"/>
      <c r="OJI236" s="1"/>
      <c r="OJJ236" s="1"/>
      <c r="OJK236" s="1"/>
      <c r="OJL236" s="1"/>
      <c r="OJM236" s="1"/>
      <c r="OJN236" s="1"/>
      <c r="OJO236" s="1"/>
      <c r="OJP236" s="1"/>
      <c r="OJQ236" s="1"/>
      <c r="OJR236" s="1"/>
      <c r="OJS236" s="1"/>
      <c r="OJT236" s="1"/>
      <c r="OJU236" s="1"/>
      <c r="OJV236" s="1"/>
      <c r="OJW236" s="1"/>
      <c r="OJX236" s="1"/>
      <c r="OJY236" s="1"/>
      <c r="OJZ236" s="1"/>
      <c r="OKA236" s="1"/>
      <c r="OKB236" s="1"/>
      <c r="OKC236" s="1"/>
      <c r="OKD236" s="1"/>
      <c r="OKE236" s="1"/>
      <c r="OKF236" s="1"/>
      <c r="OKG236" s="1"/>
      <c r="OKH236" s="1"/>
      <c r="OKI236" s="1"/>
      <c r="OKJ236" s="1"/>
      <c r="OKK236" s="1"/>
      <c r="OKL236" s="1"/>
      <c r="OKM236" s="1"/>
      <c r="OKN236" s="1"/>
      <c r="OKO236" s="1"/>
      <c r="OKP236" s="1"/>
      <c r="OKQ236" s="1"/>
      <c r="OKR236" s="1"/>
      <c r="OKS236" s="1"/>
      <c r="OKT236" s="1"/>
      <c r="OKU236" s="1"/>
      <c r="OKV236" s="1"/>
      <c r="OKW236" s="1"/>
      <c r="OKX236" s="1"/>
      <c r="OKY236" s="1"/>
      <c r="OKZ236" s="1"/>
      <c r="OLA236" s="1"/>
      <c r="OLB236" s="1"/>
      <c r="OLC236" s="1"/>
      <c r="OLD236" s="1"/>
      <c r="OLE236" s="1"/>
      <c r="OLF236" s="1"/>
      <c r="OLG236" s="1"/>
      <c r="OLH236" s="1"/>
      <c r="OLI236" s="1"/>
      <c r="OLJ236" s="1"/>
      <c r="OLK236" s="1"/>
      <c r="OLL236" s="1"/>
      <c r="OLM236" s="1"/>
      <c r="OLN236" s="1"/>
      <c r="OLO236" s="1"/>
      <c r="OLP236" s="1"/>
      <c r="OLQ236" s="1"/>
      <c r="OLR236" s="1"/>
      <c r="OLS236" s="1"/>
      <c r="OLT236" s="1"/>
      <c r="OLU236" s="1"/>
      <c r="OLV236" s="1"/>
      <c r="OLW236" s="1"/>
      <c r="OLX236" s="1"/>
      <c r="OLY236" s="1"/>
      <c r="OLZ236" s="1"/>
      <c r="OMA236" s="1"/>
      <c r="OMB236" s="1"/>
      <c r="OMC236" s="1"/>
      <c r="OMD236" s="1"/>
      <c r="OME236" s="1"/>
      <c r="OMF236" s="1"/>
      <c r="OMG236" s="1"/>
      <c r="OMH236" s="1"/>
      <c r="OMI236" s="1"/>
      <c r="OMJ236" s="1"/>
      <c r="OMK236" s="1"/>
      <c r="OML236" s="1"/>
      <c r="OMM236" s="1"/>
      <c r="OMN236" s="1"/>
      <c r="OMO236" s="1"/>
      <c r="OMP236" s="1"/>
      <c r="OMQ236" s="1"/>
      <c r="OMR236" s="1"/>
      <c r="OMS236" s="1"/>
      <c r="OMT236" s="1"/>
      <c r="OMU236" s="1"/>
      <c r="OMV236" s="1"/>
      <c r="OMW236" s="1"/>
      <c r="OMX236" s="1"/>
      <c r="OMY236" s="1"/>
      <c r="OMZ236" s="1"/>
      <c r="ONA236" s="1"/>
      <c r="ONB236" s="1"/>
      <c r="ONC236" s="1"/>
      <c r="OND236" s="1"/>
      <c r="ONE236" s="1"/>
      <c r="ONF236" s="1"/>
      <c r="ONG236" s="1"/>
      <c r="ONH236" s="1"/>
      <c r="ONI236" s="1"/>
      <c r="ONJ236" s="1"/>
      <c r="ONK236" s="1"/>
      <c r="ONL236" s="1"/>
      <c r="ONM236" s="1"/>
      <c r="ONN236" s="1"/>
      <c r="ONO236" s="1"/>
      <c r="ONP236" s="1"/>
      <c r="ONQ236" s="1"/>
      <c r="ONR236" s="1"/>
      <c r="ONS236" s="1"/>
      <c r="ONT236" s="1"/>
      <c r="ONU236" s="1"/>
      <c r="ONV236" s="1"/>
      <c r="ONW236" s="1"/>
      <c r="ONX236" s="1"/>
      <c r="ONY236" s="1"/>
      <c r="ONZ236" s="1"/>
      <c r="OOA236" s="1"/>
      <c r="OOB236" s="1"/>
      <c r="OOC236" s="1"/>
      <c r="OOD236" s="1"/>
      <c r="OOE236" s="1"/>
      <c r="OOF236" s="1"/>
      <c r="OOG236" s="1"/>
      <c r="OOH236" s="1"/>
      <c r="OOI236" s="1"/>
      <c r="OOJ236" s="1"/>
      <c r="OOK236" s="1"/>
      <c r="OOL236" s="1"/>
      <c r="OOM236" s="1"/>
      <c r="OON236" s="1"/>
      <c r="OOO236" s="1"/>
      <c r="OOP236" s="1"/>
      <c r="OOQ236" s="1"/>
      <c r="OOR236" s="1"/>
      <c r="OOS236" s="1"/>
      <c r="OOT236" s="1"/>
      <c r="OOU236" s="1"/>
      <c r="OOV236" s="1"/>
      <c r="OOW236" s="1"/>
      <c r="OOX236" s="1"/>
      <c r="OOY236" s="1"/>
      <c r="OOZ236" s="1"/>
      <c r="OPA236" s="1"/>
      <c r="OPB236" s="1"/>
      <c r="OPC236" s="1"/>
      <c r="OPD236" s="1"/>
      <c r="OPE236" s="1"/>
      <c r="OPF236" s="1"/>
      <c r="OPG236" s="1"/>
      <c r="OPH236" s="1"/>
      <c r="OPI236" s="1"/>
      <c r="OPJ236" s="1"/>
      <c r="OPK236" s="1"/>
      <c r="OPL236" s="1"/>
      <c r="OPM236" s="1"/>
      <c r="OPN236" s="1"/>
      <c r="OPO236" s="1"/>
      <c r="OPP236" s="1"/>
      <c r="OPQ236" s="1"/>
      <c r="OPR236" s="1"/>
      <c r="OPS236" s="1"/>
      <c r="OPT236" s="1"/>
      <c r="OPU236" s="1"/>
      <c r="OPV236" s="1"/>
      <c r="OPW236" s="1"/>
      <c r="OPX236" s="1"/>
      <c r="OPY236" s="1"/>
      <c r="OPZ236" s="1"/>
      <c r="OQA236" s="1"/>
      <c r="OQB236" s="1"/>
      <c r="OQC236" s="1"/>
      <c r="OQD236" s="1"/>
      <c r="OQE236" s="1"/>
      <c r="OQF236" s="1"/>
      <c r="OQG236" s="1"/>
      <c r="OQH236" s="1"/>
      <c r="OQI236" s="1"/>
      <c r="OQJ236" s="1"/>
      <c r="OQK236" s="1"/>
      <c r="OQL236" s="1"/>
      <c r="OQM236" s="1"/>
      <c r="OQN236" s="1"/>
      <c r="OQO236" s="1"/>
      <c r="OQP236" s="1"/>
      <c r="OQQ236" s="1"/>
      <c r="OQR236" s="1"/>
      <c r="OQS236" s="1"/>
      <c r="OQT236" s="1"/>
      <c r="OQU236" s="1"/>
      <c r="OQV236" s="1"/>
      <c r="OQW236" s="1"/>
      <c r="OQX236" s="1"/>
      <c r="OQY236" s="1"/>
      <c r="OQZ236" s="1"/>
      <c r="ORA236" s="1"/>
      <c r="ORB236" s="1"/>
      <c r="ORC236" s="1"/>
      <c r="ORD236" s="1"/>
      <c r="ORE236" s="1"/>
      <c r="ORF236" s="1"/>
      <c r="ORG236" s="1"/>
      <c r="ORH236" s="1"/>
      <c r="ORI236" s="1"/>
      <c r="ORJ236" s="1"/>
      <c r="ORK236" s="1"/>
      <c r="ORL236" s="1"/>
      <c r="ORM236" s="1"/>
      <c r="ORN236" s="1"/>
      <c r="ORO236" s="1"/>
      <c r="ORP236" s="1"/>
      <c r="ORQ236" s="1"/>
      <c r="ORR236" s="1"/>
      <c r="ORS236" s="1"/>
      <c r="ORT236" s="1"/>
      <c r="ORU236" s="1"/>
      <c r="ORV236" s="1"/>
      <c r="ORW236" s="1"/>
      <c r="ORX236" s="1"/>
      <c r="ORY236" s="1"/>
      <c r="ORZ236" s="1"/>
      <c r="OSA236" s="1"/>
      <c r="OSB236" s="1"/>
      <c r="OSC236" s="1"/>
      <c r="OSD236" s="1"/>
      <c r="OSE236" s="1"/>
      <c r="OSF236" s="1"/>
      <c r="OSG236" s="1"/>
      <c r="OSH236" s="1"/>
      <c r="OSI236" s="1"/>
      <c r="OSJ236" s="1"/>
      <c r="OSK236" s="1"/>
      <c r="OSL236" s="1"/>
      <c r="OSM236" s="1"/>
      <c r="OSN236" s="1"/>
      <c r="OSO236" s="1"/>
      <c r="OSP236" s="1"/>
      <c r="OSQ236" s="1"/>
      <c r="OSR236" s="1"/>
      <c r="OSS236" s="1"/>
      <c r="OST236" s="1"/>
      <c r="OSU236" s="1"/>
      <c r="OSV236" s="1"/>
      <c r="OSW236" s="1"/>
      <c r="OSX236" s="1"/>
      <c r="OSY236" s="1"/>
      <c r="OSZ236" s="1"/>
      <c r="OTA236" s="1"/>
      <c r="OTB236" s="1"/>
      <c r="OTC236" s="1"/>
      <c r="OTD236" s="1"/>
      <c r="OTE236" s="1"/>
      <c r="OTF236" s="1"/>
      <c r="OTG236" s="1"/>
      <c r="OTH236" s="1"/>
      <c r="OTI236" s="1"/>
      <c r="OTJ236" s="1"/>
      <c r="OTK236" s="1"/>
      <c r="OTL236" s="1"/>
      <c r="OTM236" s="1"/>
      <c r="OTN236" s="1"/>
      <c r="OTO236" s="1"/>
      <c r="OTP236" s="1"/>
      <c r="OTQ236" s="1"/>
      <c r="OTR236" s="1"/>
      <c r="OTS236" s="1"/>
      <c r="OTT236" s="1"/>
      <c r="OTU236" s="1"/>
      <c r="OTV236" s="1"/>
      <c r="OTW236" s="1"/>
      <c r="OTX236" s="1"/>
      <c r="OTY236" s="1"/>
      <c r="OTZ236" s="1"/>
      <c r="OUA236" s="1"/>
      <c r="OUB236" s="1"/>
      <c r="OUC236" s="1"/>
      <c r="OUD236" s="1"/>
      <c r="OUE236" s="1"/>
      <c r="OUF236" s="1"/>
      <c r="OUG236" s="1"/>
      <c r="OUH236" s="1"/>
      <c r="OUI236" s="1"/>
      <c r="OUJ236" s="1"/>
      <c r="OUK236" s="1"/>
      <c r="OUL236" s="1"/>
      <c r="OUM236" s="1"/>
      <c r="OUN236" s="1"/>
      <c r="OUO236" s="1"/>
      <c r="OUP236" s="1"/>
      <c r="OUQ236" s="1"/>
      <c r="OUR236" s="1"/>
      <c r="OUS236" s="1"/>
      <c r="OUT236" s="1"/>
      <c r="OUU236" s="1"/>
      <c r="OUV236" s="1"/>
      <c r="OUW236" s="1"/>
      <c r="OUX236" s="1"/>
      <c r="OUY236" s="1"/>
      <c r="OUZ236" s="1"/>
      <c r="OVA236" s="1"/>
      <c r="OVB236" s="1"/>
      <c r="OVC236" s="1"/>
      <c r="OVD236" s="1"/>
      <c r="OVE236" s="1"/>
      <c r="OVF236" s="1"/>
      <c r="OVG236" s="1"/>
      <c r="OVH236" s="1"/>
      <c r="OVI236" s="1"/>
      <c r="OVJ236" s="1"/>
      <c r="OVK236" s="1"/>
      <c r="OVL236" s="1"/>
      <c r="OVM236" s="1"/>
      <c r="OVN236" s="1"/>
      <c r="OVO236" s="1"/>
      <c r="OVP236" s="1"/>
      <c r="OVQ236" s="1"/>
      <c r="OVR236" s="1"/>
      <c r="OVS236" s="1"/>
      <c r="OVT236" s="1"/>
      <c r="OVU236" s="1"/>
      <c r="OVV236" s="1"/>
      <c r="OVW236" s="1"/>
      <c r="OVX236" s="1"/>
      <c r="OVY236" s="1"/>
      <c r="OVZ236" s="1"/>
      <c r="OWA236" s="1"/>
      <c r="OWB236" s="1"/>
      <c r="OWC236" s="1"/>
      <c r="OWD236" s="1"/>
      <c r="OWE236" s="1"/>
      <c r="OWF236" s="1"/>
      <c r="OWG236" s="1"/>
      <c r="OWH236" s="1"/>
      <c r="OWI236" s="1"/>
      <c r="OWJ236" s="1"/>
      <c r="OWK236" s="1"/>
      <c r="OWL236" s="1"/>
      <c r="OWM236" s="1"/>
      <c r="OWN236" s="1"/>
      <c r="OWO236" s="1"/>
      <c r="OWP236" s="1"/>
      <c r="OWQ236" s="1"/>
      <c r="OWR236" s="1"/>
      <c r="OWS236" s="1"/>
      <c r="OWT236" s="1"/>
      <c r="OWU236" s="1"/>
      <c r="OWV236" s="1"/>
      <c r="OWW236" s="1"/>
      <c r="OWX236" s="1"/>
      <c r="OWY236" s="1"/>
      <c r="OWZ236" s="1"/>
      <c r="OXA236" s="1"/>
      <c r="OXB236" s="1"/>
      <c r="OXC236" s="1"/>
      <c r="OXD236" s="1"/>
      <c r="OXE236" s="1"/>
      <c r="OXF236" s="1"/>
      <c r="OXG236" s="1"/>
      <c r="OXH236" s="1"/>
      <c r="OXI236" s="1"/>
      <c r="OXJ236" s="1"/>
      <c r="OXK236" s="1"/>
      <c r="OXL236" s="1"/>
      <c r="OXM236" s="1"/>
      <c r="OXN236" s="1"/>
      <c r="OXO236" s="1"/>
      <c r="OXP236" s="1"/>
      <c r="OXQ236" s="1"/>
      <c r="OXR236" s="1"/>
      <c r="OXS236" s="1"/>
      <c r="OXT236" s="1"/>
      <c r="OXU236" s="1"/>
      <c r="OXV236" s="1"/>
      <c r="OXW236" s="1"/>
      <c r="OXX236" s="1"/>
      <c r="OXY236" s="1"/>
      <c r="OXZ236" s="1"/>
      <c r="OYA236" s="1"/>
      <c r="OYB236" s="1"/>
      <c r="OYC236" s="1"/>
      <c r="OYD236" s="1"/>
      <c r="OYE236" s="1"/>
      <c r="OYF236" s="1"/>
      <c r="OYG236" s="1"/>
      <c r="OYH236" s="1"/>
      <c r="OYI236" s="1"/>
      <c r="OYJ236" s="1"/>
      <c r="OYK236" s="1"/>
      <c r="OYL236" s="1"/>
      <c r="OYM236" s="1"/>
      <c r="OYN236" s="1"/>
      <c r="OYO236" s="1"/>
      <c r="OYP236" s="1"/>
      <c r="OYQ236" s="1"/>
      <c r="OYR236" s="1"/>
      <c r="OYS236" s="1"/>
      <c r="OYT236" s="1"/>
      <c r="OYU236" s="1"/>
      <c r="OYV236" s="1"/>
      <c r="OYW236" s="1"/>
      <c r="OYX236" s="1"/>
      <c r="OYY236" s="1"/>
      <c r="OYZ236" s="1"/>
      <c r="OZA236" s="1"/>
      <c r="OZB236" s="1"/>
      <c r="OZC236" s="1"/>
      <c r="OZD236" s="1"/>
      <c r="OZE236" s="1"/>
      <c r="OZF236" s="1"/>
      <c r="OZG236" s="1"/>
      <c r="OZH236" s="1"/>
      <c r="OZI236" s="1"/>
      <c r="OZJ236" s="1"/>
      <c r="OZK236" s="1"/>
      <c r="OZL236" s="1"/>
      <c r="OZM236" s="1"/>
      <c r="OZN236" s="1"/>
      <c r="OZO236" s="1"/>
      <c r="OZP236" s="1"/>
      <c r="OZQ236" s="1"/>
      <c r="OZR236" s="1"/>
      <c r="OZS236" s="1"/>
      <c r="OZT236" s="1"/>
      <c r="OZU236" s="1"/>
      <c r="OZV236" s="1"/>
      <c r="OZW236" s="1"/>
      <c r="OZX236" s="1"/>
      <c r="OZY236" s="1"/>
      <c r="OZZ236" s="1"/>
      <c r="PAA236" s="1"/>
      <c r="PAB236" s="1"/>
      <c r="PAC236" s="1"/>
      <c r="PAD236" s="1"/>
      <c r="PAE236" s="1"/>
      <c r="PAF236" s="1"/>
      <c r="PAG236" s="1"/>
      <c r="PAH236" s="1"/>
      <c r="PAI236" s="1"/>
      <c r="PAJ236" s="1"/>
      <c r="PAK236" s="1"/>
      <c r="PAL236" s="1"/>
      <c r="PAM236" s="1"/>
      <c r="PAN236" s="1"/>
      <c r="PAO236" s="1"/>
      <c r="PAP236" s="1"/>
      <c r="PAQ236" s="1"/>
      <c r="PAR236" s="1"/>
      <c r="PAS236" s="1"/>
      <c r="PAT236" s="1"/>
      <c r="PAU236" s="1"/>
      <c r="PAV236" s="1"/>
      <c r="PAW236" s="1"/>
      <c r="PAX236" s="1"/>
      <c r="PAY236" s="1"/>
      <c r="PAZ236" s="1"/>
      <c r="PBA236" s="1"/>
      <c r="PBB236" s="1"/>
      <c r="PBC236" s="1"/>
      <c r="PBD236" s="1"/>
      <c r="PBE236" s="1"/>
      <c r="PBF236" s="1"/>
      <c r="PBG236" s="1"/>
      <c r="PBH236" s="1"/>
      <c r="PBI236" s="1"/>
      <c r="PBJ236" s="1"/>
      <c r="PBK236" s="1"/>
      <c r="PBL236" s="1"/>
      <c r="PBM236" s="1"/>
      <c r="PBN236" s="1"/>
      <c r="PBO236" s="1"/>
      <c r="PBP236" s="1"/>
      <c r="PBQ236" s="1"/>
      <c r="PBR236" s="1"/>
      <c r="PBS236" s="1"/>
      <c r="PBT236" s="1"/>
      <c r="PBU236" s="1"/>
      <c r="PBV236" s="1"/>
      <c r="PBW236" s="1"/>
      <c r="PBX236" s="1"/>
      <c r="PBY236" s="1"/>
      <c r="PBZ236" s="1"/>
      <c r="PCA236" s="1"/>
      <c r="PCB236" s="1"/>
      <c r="PCC236" s="1"/>
      <c r="PCD236" s="1"/>
      <c r="PCE236" s="1"/>
      <c r="PCF236" s="1"/>
      <c r="PCG236" s="1"/>
      <c r="PCH236" s="1"/>
      <c r="PCI236" s="1"/>
      <c r="PCJ236" s="1"/>
      <c r="PCK236" s="1"/>
      <c r="PCL236" s="1"/>
      <c r="PCM236" s="1"/>
      <c r="PCN236" s="1"/>
      <c r="PCO236" s="1"/>
      <c r="PCP236" s="1"/>
      <c r="PCQ236" s="1"/>
      <c r="PCR236" s="1"/>
      <c r="PCS236" s="1"/>
      <c r="PCT236" s="1"/>
      <c r="PCU236" s="1"/>
      <c r="PCV236" s="1"/>
      <c r="PCW236" s="1"/>
      <c r="PCX236" s="1"/>
      <c r="PCY236" s="1"/>
      <c r="PCZ236" s="1"/>
      <c r="PDA236" s="1"/>
      <c r="PDB236" s="1"/>
      <c r="PDC236" s="1"/>
      <c r="PDD236" s="1"/>
      <c r="PDE236" s="1"/>
      <c r="PDF236" s="1"/>
      <c r="PDG236" s="1"/>
      <c r="PDH236" s="1"/>
      <c r="PDI236" s="1"/>
      <c r="PDJ236" s="1"/>
      <c r="PDK236" s="1"/>
      <c r="PDL236" s="1"/>
      <c r="PDM236" s="1"/>
      <c r="PDN236" s="1"/>
      <c r="PDO236" s="1"/>
      <c r="PDP236" s="1"/>
      <c r="PDQ236" s="1"/>
      <c r="PDR236" s="1"/>
      <c r="PDS236" s="1"/>
      <c r="PDT236" s="1"/>
      <c r="PDU236" s="1"/>
      <c r="PDV236" s="1"/>
      <c r="PDW236" s="1"/>
      <c r="PDX236" s="1"/>
      <c r="PDY236" s="1"/>
      <c r="PDZ236" s="1"/>
      <c r="PEA236" s="1"/>
      <c r="PEB236" s="1"/>
      <c r="PEC236" s="1"/>
      <c r="PED236" s="1"/>
      <c r="PEE236" s="1"/>
      <c r="PEF236" s="1"/>
      <c r="PEG236" s="1"/>
      <c r="PEH236" s="1"/>
      <c r="PEI236" s="1"/>
      <c r="PEJ236" s="1"/>
      <c r="PEK236" s="1"/>
      <c r="PEL236" s="1"/>
      <c r="PEM236" s="1"/>
      <c r="PEN236" s="1"/>
      <c r="PEO236" s="1"/>
      <c r="PEP236" s="1"/>
      <c r="PEQ236" s="1"/>
      <c r="PER236" s="1"/>
      <c r="PES236" s="1"/>
      <c r="PET236" s="1"/>
      <c r="PEU236" s="1"/>
      <c r="PEV236" s="1"/>
      <c r="PEW236" s="1"/>
      <c r="PEX236" s="1"/>
      <c r="PEY236" s="1"/>
      <c r="PEZ236" s="1"/>
      <c r="PFA236" s="1"/>
      <c r="PFB236" s="1"/>
      <c r="PFC236" s="1"/>
      <c r="PFD236" s="1"/>
      <c r="PFE236" s="1"/>
      <c r="PFF236" s="1"/>
      <c r="PFG236" s="1"/>
      <c r="PFH236" s="1"/>
      <c r="PFI236" s="1"/>
      <c r="PFJ236" s="1"/>
      <c r="PFK236" s="1"/>
      <c r="PFL236" s="1"/>
      <c r="PFM236" s="1"/>
      <c r="PFN236" s="1"/>
      <c r="PFO236" s="1"/>
      <c r="PFP236" s="1"/>
      <c r="PFQ236" s="1"/>
      <c r="PFR236" s="1"/>
      <c r="PFS236" s="1"/>
      <c r="PFT236" s="1"/>
      <c r="PFU236" s="1"/>
      <c r="PFV236" s="1"/>
      <c r="PFW236" s="1"/>
      <c r="PFX236" s="1"/>
      <c r="PFY236" s="1"/>
      <c r="PFZ236" s="1"/>
      <c r="PGA236" s="1"/>
      <c r="PGB236" s="1"/>
      <c r="PGC236" s="1"/>
      <c r="PGD236" s="1"/>
      <c r="PGE236" s="1"/>
      <c r="PGF236" s="1"/>
      <c r="PGG236" s="1"/>
      <c r="PGH236" s="1"/>
      <c r="PGI236" s="1"/>
      <c r="PGJ236" s="1"/>
      <c r="PGK236" s="1"/>
      <c r="PGL236" s="1"/>
      <c r="PGM236" s="1"/>
      <c r="PGN236" s="1"/>
      <c r="PGO236" s="1"/>
      <c r="PGP236" s="1"/>
      <c r="PGQ236" s="1"/>
      <c r="PGR236" s="1"/>
      <c r="PGS236" s="1"/>
      <c r="PGT236" s="1"/>
      <c r="PGU236" s="1"/>
      <c r="PGV236" s="1"/>
      <c r="PGW236" s="1"/>
      <c r="PGX236" s="1"/>
      <c r="PGY236" s="1"/>
      <c r="PGZ236" s="1"/>
      <c r="PHA236" s="1"/>
      <c r="PHB236" s="1"/>
      <c r="PHC236" s="1"/>
      <c r="PHD236" s="1"/>
      <c r="PHE236" s="1"/>
      <c r="PHF236" s="1"/>
      <c r="PHG236" s="1"/>
      <c r="PHH236" s="1"/>
      <c r="PHI236" s="1"/>
      <c r="PHJ236" s="1"/>
      <c r="PHK236" s="1"/>
      <c r="PHL236" s="1"/>
      <c r="PHM236" s="1"/>
      <c r="PHN236" s="1"/>
      <c r="PHO236" s="1"/>
      <c r="PHP236" s="1"/>
      <c r="PHQ236" s="1"/>
      <c r="PHR236" s="1"/>
      <c r="PHS236" s="1"/>
      <c r="PHT236" s="1"/>
      <c r="PHU236" s="1"/>
      <c r="PHV236" s="1"/>
      <c r="PHW236" s="1"/>
      <c r="PHX236" s="1"/>
      <c r="PHY236" s="1"/>
      <c r="PHZ236" s="1"/>
      <c r="PIA236" s="1"/>
      <c r="PIB236" s="1"/>
      <c r="PIC236" s="1"/>
      <c r="PID236" s="1"/>
      <c r="PIE236" s="1"/>
      <c r="PIF236" s="1"/>
      <c r="PIG236" s="1"/>
      <c r="PIH236" s="1"/>
      <c r="PII236" s="1"/>
      <c r="PIJ236" s="1"/>
      <c r="PIK236" s="1"/>
      <c r="PIL236" s="1"/>
      <c r="PIM236" s="1"/>
      <c r="PIN236" s="1"/>
      <c r="PIO236" s="1"/>
      <c r="PIP236" s="1"/>
      <c r="PIQ236" s="1"/>
      <c r="PIR236" s="1"/>
      <c r="PIS236" s="1"/>
      <c r="PIT236" s="1"/>
      <c r="PIU236" s="1"/>
      <c r="PIV236" s="1"/>
      <c r="PIW236" s="1"/>
      <c r="PIX236" s="1"/>
      <c r="PIY236" s="1"/>
      <c r="PIZ236" s="1"/>
      <c r="PJA236" s="1"/>
      <c r="PJB236" s="1"/>
      <c r="PJC236" s="1"/>
      <c r="PJD236" s="1"/>
      <c r="PJE236" s="1"/>
      <c r="PJF236" s="1"/>
      <c r="PJG236" s="1"/>
      <c r="PJH236" s="1"/>
      <c r="PJI236" s="1"/>
      <c r="PJJ236" s="1"/>
      <c r="PJK236" s="1"/>
      <c r="PJL236" s="1"/>
      <c r="PJM236" s="1"/>
      <c r="PJN236" s="1"/>
      <c r="PJO236" s="1"/>
      <c r="PJP236" s="1"/>
      <c r="PJQ236" s="1"/>
      <c r="PJR236" s="1"/>
      <c r="PJS236" s="1"/>
      <c r="PJT236" s="1"/>
      <c r="PJU236" s="1"/>
      <c r="PJV236" s="1"/>
      <c r="PJW236" s="1"/>
      <c r="PJX236" s="1"/>
      <c r="PJY236" s="1"/>
      <c r="PJZ236" s="1"/>
      <c r="PKA236" s="1"/>
      <c r="PKB236" s="1"/>
      <c r="PKC236" s="1"/>
      <c r="PKD236" s="1"/>
      <c r="PKE236" s="1"/>
      <c r="PKF236" s="1"/>
      <c r="PKG236" s="1"/>
      <c r="PKH236" s="1"/>
      <c r="PKI236" s="1"/>
      <c r="PKJ236" s="1"/>
      <c r="PKK236" s="1"/>
      <c r="PKL236" s="1"/>
      <c r="PKM236" s="1"/>
      <c r="PKN236" s="1"/>
      <c r="PKO236" s="1"/>
      <c r="PKP236" s="1"/>
      <c r="PKQ236" s="1"/>
      <c r="PKR236" s="1"/>
      <c r="PKS236" s="1"/>
      <c r="PKT236" s="1"/>
      <c r="PKU236" s="1"/>
      <c r="PKV236" s="1"/>
      <c r="PKW236" s="1"/>
      <c r="PKX236" s="1"/>
      <c r="PKY236" s="1"/>
      <c r="PKZ236" s="1"/>
      <c r="PLA236" s="1"/>
      <c r="PLB236" s="1"/>
      <c r="PLC236" s="1"/>
      <c r="PLD236" s="1"/>
      <c r="PLE236" s="1"/>
      <c r="PLF236" s="1"/>
      <c r="PLG236" s="1"/>
      <c r="PLH236" s="1"/>
      <c r="PLI236" s="1"/>
      <c r="PLJ236" s="1"/>
      <c r="PLK236" s="1"/>
      <c r="PLL236" s="1"/>
      <c r="PLM236" s="1"/>
      <c r="PLN236" s="1"/>
      <c r="PLO236" s="1"/>
      <c r="PLP236" s="1"/>
      <c r="PLQ236" s="1"/>
      <c r="PLR236" s="1"/>
      <c r="PLS236" s="1"/>
      <c r="PLT236" s="1"/>
      <c r="PLU236" s="1"/>
      <c r="PLV236" s="1"/>
      <c r="PLW236" s="1"/>
      <c r="PLX236" s="1"/>
      <c r="PLY236" s="1"/>
      <c r="PLZ236" s="1"/>
      <c r="PMA236" s="1"/>
      <c r="PMB236" s="1"/>
      <c r="PMC236" s="1"/>
      <c r="PMD236" s="1"/>
      <c r="PME236" s="1"/>
      <c r="PMF236" s="1"/>
      <c r="PMG236" s="1"/>
      <c r="PMH236" s="1"/>
      <c r="PMI236" s="1"/>
      <c r="PMJ236" s="1"/>
      <c r="PMK236" s="1"/>
      <c r="PML236" s="1"/>
      <c r="PMM236" s="1"/>
      <c r="PMN236" s="1"/>
      <c r="PMO236" s="1"/>
      <c r="PMP236" s="1"/>
      <c r="PMQ236" s="1"/>
      <c r="PMR236" s="1"/>
      <c r="PMS236" s="1"/>
      <c r="PMT236" s="1"/>
      <c r="PMU236" s="1"/>
      <c r="PMV236" s="1"/>
      <c r="PMW236" s="1"/>
      <c r="PMX236" s="1"/>
      <c r="PMY236" s="1"/>
      <c r="PMZ236" s="1"/>
      <c r="PNA236" s="1"/>
      <c r="PNB236" s="1"/>
      <c r="PNC236" s="1"/>
      <c r="PND236" s="1"/>
      <c r="PNE236" s="1"/>
      <c r="PNF236" s="1"/>
      <c r="PNG236" s="1"/>
      <c r="PNH236" s="1"/>
      <c r="PNI236" s="1"/>
      <c r="PNJ236" s="1"/>
      <c r="PNK236" s="1"/>
      <c r="PNL236" s="1"/>
      <c r="PNM236" s="1"/>
      <c r="PNN236" s="1"/>
      <c r="PNO236" s="1"/>
      <c r="PNP236" s="1"/>
      <c r="PNQ236" s="1"/>
      <c r="PNR236" s="1"/>
      <c r="PNS236" s="1"/>
      <c r="PNT236" s="1"/>
      <c r="PNU236" s="1"/>
      <c r="PNV236" s="1"/>
      <c r="PNW236" s="1"/>
      <c r="PNX236" s="1"/>
      <c r="PNY236" s="1"/>
      <c r="PNZ236" s="1"/>
      <c r="POA236" s="1"/>
      <c r="POB236" s="1"/>
      <c r="POC236" s="1"/>
      <c r="POD236" s="1"/>
      <c r="POE236" s="1"/>
      <c r="POF236" s="1"/>
      <c r="POG236" s="1"/>
      <c r="POH236" s="1"/>
      <c r="POI236" s="1"/>
      <c r="POJ236" s="1"/>
      <c r="POK236" s="1"/>
      <c r="POL236" s="1"/>
      <c r="POM236" s="1"/>
      <c r="PON236" s="1"/>
      <c r="POO236" s="1"/>
      <c r="POP236" s="1"/>
      <c r="POQ236" s="1"/>
      <c r="POR236" s="1"/>
      <c r="POS236" s="1"/>
      <c r="POT236" s="1"/>
      <c r="POU236" s="1"/>
      <c r="POV236" s="1"/>
      <c r="POW236" s="1"/>
      <c r="POX236" s="1"/>
      <c r="POY236" s="1"/>
      <c r="POZ236" s="1"/>
      <c r="PPA236" s="1"/>
      <c r="PPB236" s="1"/>
      <c r="PPC236" s="1"/>
      <c r="PPD236" s="1"/>
      <c r="PPE236" s="1"/>
      <c r="PPF236" s="1"/>
      <c r="PPG236" s="1"/>
      <c r="PPH236" s="1"/>
      <c r="PPI236" s="1"/>
      <c r="PPJ236" s="1"/>
      <c r="PPK236" s="1"/>
      <c r="PPL236" s="1"/>
      <c r="PPM236" s="1"/>
      <c r="PPN236" s="1"/>
      <c r="PPO236" s="1"/>
      <c r="PPP236" s="1"/>
      <c r="PPQ236" s="1"/>
      <c r="PPR236" s="1"/>
      <c r="PPS236" s="1"/>
      <c r="PPT236" s="1"/>
      <c r="PPU236" s="1"/>
      <c r="PPV236" s="1"/>
      <c r="PPW236" s="1"/>
      <c r="PPX236" s="1"/>
      <c r="PPY236" s="1"/>
      <c r="PPZ236" s="1"/>
      <c r="PQA236" s="1"/>
      <c r="PQB236" s="1"/>
      <c r="PQC236" s="1"/>
      <c r="PQD236" s="1"/>
      <c r="PQE236" s="1"/>
      <c r="PQF236" s="1"/>
      <c r="PQG236" s="1"/>
      <c r="PQH236" s="1"/>
      <c r="PQI236" s="1"/>
      <c r="PQJ236" s="1"/>
      <c r="PQK236" s="1"/>
      <c r="PQL236" s="1"/>
      <c r="PQM236" s="1"/>
      <c r="PQN236" s="1"/>
      <c r="PQO236" s="1"/>
      <c r="PQP236" s="1"/>
      <c r="PQQ236" s="1"/>
      <c r="PQR236" s="1"/>
      <c r="PQS236" s="1"/>
      <c r="PQT236" s="1"/>
      <c r="PQU236" s="1"/>
      <c r="PQV236" s="1"/>
      <c r="PQW236" s="1"/>
      <c r="PQX236" s="1"/>
      <c r="PQY236" s="1"/>
      <c r="PQZ236" s="1"/>
      <c r="PRA236" s="1"/>
      <c r="PRB236" s="1"/>
      <c r="PRC236" s="1"/>
      <c r="PRD236" s="1"/>
      <c r="PRE236" s="1"/>
      <c r="PRF236" s="1"/>
      <c r="PRG236" s="1"/>
      <c r="PRH236" s="1"/>
      <c r="PRI236" s="1"/>
      <c r="PRJ236" s="1"/>
      <c r="PRK236" s="1"/>
      <c r="PRL236" s="1"/>
      <c r="PRM236" s="1"/>
      <c r="PRN236" s="1"/>
      <c r="PRO236" s="1"/>
      <c r="PRP236" s="1"/>
      <c r="PRQ236" s="1"/>
      <c r="PRR236" s="1"/>
      <c r="PRS236" s="1"/>
      <c r="PRT236" s="1"/>
      <c r="PRU236" s="1"/>
      <c r="PRV236" s="1"/>
      <c r="PRW236" s="1"/>
      <c r="PRX236" s="1"/>
      <c r="PRY236" s="1"/>
      <c r="PRZ236" s="1"/>
      <c r="PSA236" s="1"/>
      <c r="PSB236" s="1"/>
      <c r="PSC236" s="1"/>
      <c r="PSD236" s="1"/>
      <c r="PSE236" s="1"/>
      <c r="PSF236" s="1"/>
      <c r="PSG236" s="1"/>
      <c r="PSH236" s="1"/>
      <c r="PSI236" s="1"/>
      <c r="PSJ236" s="1"/>
      <c r="PSK236" s="1"/>
      <c r="PSL236" s="1"/>
      <c r="PSM236" s="1"/>
      <c r="PSN236" s="1"/>
      <c r="PSO236" s="1"/>
      <c r="PSP236" s="1"/>
      <c r="PSQ236" s="1"/>
      <c r="PSR236" s="1"/>
      <c r="PSS236" s="1"/>
      <c r="PST236" s="1"/>
      <c r="PSU236" s="1"/>
      <c r="PSV236" s="1"/>
      <c r="PSW236" s="1"/>
      <c r="PSX236" s="1"/>
      <c r="PSY236" s="1"/>
      <c r="PSZ236" s="1"/>
      <c r="PTA236" s="1"/>
      <c r="PTB236" s="1"/>
      <c r="PTC236" s="1"/>
      <c r="PTD236" s="1"/>
      <c r="PTE236" s="1"/>
      <c r="PTF236" s="1"/>
      <c r="PTG236" s="1"/>
      <c r="PTH236" s="1"/>
      <c r="PTI236" s="1"/>
      <c r="PTJ236" s="1"/>
      <c r="PTK236" s="1"/>
      <c r="PTL236" s="1"/>
      <c r="PTM236" s="1"/>
      <c r="PTN236" s="1"/>
      <c r="PTO236" s="1"/>
      <c r="PTP236" s="1"/>
      <c r="PTQ236" s="1"/>
      <c r="PTR236" s="1"/>
      <c r="PTS236" s="1"/>
      <c r="PTT236" s="1"/>
      <c r="PTU236" s="1"/>
      <c r="PTV236" s="1"/>
      <c r="PTW236" s="1"/>
      <c r="PTX236" s="1"/>
      <c r="PTY236" s="1"/>
      <c r="PTZ236" s="1"/>
      <c r="PUA236" s="1"/>
      <c r="PUB236" s="1"/>
      <c r="PUC236" s="1"/>
      <c r="PUD236" s="1"/>
      <c r="PUE236" s="1"/>
      <c r="PUF236" s="1"/>
      <c r="PUG236" s="1"/>
      <c r="PUH236" s="1"/>
      <c r="PUI236" s="1"/>
      <c r="PUJ236" s="1"/>
      <c r="PUK236" s="1"/>
      <c r="PUL236" s="1"/>
      <c r="PUM236" s="1"/>
      <c r="PUN236" s="1"/>
      <c r="PUO236" s="1"/>
      <c r="PUP236" s="1"/>
      <c r="PUQ236" s="1"/>
      <c r="PUR236" s="1"/>
      <c r="PUS236" s="1"/>
      <c r="PUT236" s="1"/>
      <c r="PUU236" s="1"/>
      <c r="PUV236" s="1"/>
      <c r="PUW236" s="1"/>
      <c r="PUX236" s="1"/>
      <c r="PUY236" s="1"/>
      <c r="PUZ236" s="1"/>
      <c r="PVA236" s="1"/>
      <c r="PVB236" s="1"/>
      <c r="PVC236" s="1"/>
      <c r="PVD236" s="1"/>
      <c r="PVE236" s="1"/>
      <c r="PVF236" s="1"/>
      <c r="PVG236" s="1"/>
      <c r="PVH236" s="1"/>
      <c r="PVI236" s="1"/>
      <c r="PVJ236" s="1"/>
      <c r="PVK236" s="1"/>
      <c r="PVL236" s="1"/>
      <c r="PVM236" s="1"/>
      <c r="PVN236" s="1"/>
      <c r="PVO236" s="1"/>
      <c r="PVP236" s="1"/>
      <c r="PVQ236" s="1"/>
      <c r="PVR236" s="1"/>
      <c r="PVS236" s="1"/>
      <c r="PVT236" s="1"/>
      <c r="PVU236" s="1"/>
      <c r="PVV236" s="1"/>
      <c r="PVW236" s="1"/>
      <c r="PVX236" s="1"/>
      <c r="PVY236" s="1"/>
      <c r="PVZ236" s="1"/>
      <c r="PWA236" s="1"/>
      <c r="PWB236" s="1"/>
      <c r="PWC236" s="1"/>
      <c r="PWD236" s="1"/>
      <c r="PWE236" s="1"/>
      <c r="PWF236" s="1"/>
      <c r="PWG236" s="1"/>
      <c r="PWH236" s="1"/>
      <c r="PWI236" s="1"/>
      <c r="PWJ236" s="1"/>
      <c r="PWK236" s="1"/>
      <c r="PWL236" s="1"/>
      <c r="PWM236" s="1"/>
      <c r="PWN236" s="1"/>
      <c r="PWO236" s="1"/>
      <c r="PWP236" s="1"/>
      <c r="PWQ236" s="1"/>
      <c r="PWR236" s="1"/>
      <c r="PWS236" s="1"/>
      <c r="PWT236" s="1"/>
      <c r="PWU236" s="1"/>
      <c r="PWV236" s="1"/>
      <c r="PWW236" s="1"/>
      <c r="PWX236" s="1"/>
      <c r="PWY236" s="1"/>
      <c r="PWZ236" s="1"/>
      <c r="PXA236" s="1"/>
      <c r="PXB236" s="1"/>
      <c r="PXC236" s="1"/>
      <c r="PXD236" s="1"/>
      <c r="PXE236" s="1"/>
      <c r="PXF236" s="1"/>
      <c r="PXG236" s="1"/>
      <c r="PXH236" s="1"/>
      <c r="PXI236" s="1"/>
      <c r="PXJ236" s="1"/>
      <c r="PXK236" s="1"/>
      <c r="PXL236" s="1"/>
      <c r="PXM236" s="1"/>
      <c r="PXN236" s="1"/>
      <c r="PXO236" s="1"/>
      <c r="PXP236" s="1"/>
      <c r="PXQ236" s="1"/>
      <c r="PXR236" s="1"/>
      <c r="PXS236" s="1"/>
      <c r="PXT236" s="1"/>
      <c r="PXU236" s="1"/>
      <c r="PXV236" s="1"/>
      <c r="PXW236" s="1"/>
      <c r="PXX236" s="1"/>
      <c r="PXY236" s="1"/>
      <c r="PXZ236" s="1"/>
      <c r="PYA236" s="1"/>
      <c r="PYB236" s="1"/>
      <c r="PYC236" s="1"/>
      <c r="PYD236" s="1"/>
      <c r="PYE236" s="1"/>
      <c r="PYF236" s="1"/>
      <c r="PYG236" s="1"/>
      <c r="PYH236" s="1"/>
      <c r="PYI236" s="1"/>
      <c r="PYJ236" s="1"/>
      <c r="PYK236" s="1"/>
      <c r="PYL236" s="1"/>
      <c r="PYM236" s="1"/>
      <c r="PYN236" s="1"/>
      <c r="PYO236" s="1"/>
      <c r="PYP236" s="1"/>
      <c r="PYQ236" s="1"/>
      <c r="PYR236" s="1"/>
      <c r="PYS236" s="1"/>
      <c r="PYT236" s="1"/>
      <c r="PYU236" s="1"/>
      <c r="PYV236" s="1"/>
      <c r="PYW236" s="1"/>
      <c r="PYX236" s="1"/>
      <c r="PYY236" s="1"/>
      <c r="PYZ236" s="1"/>
      <c r="PZA236" s="1"/>
      <c r="PZB236" s="1"/>
      <c r="PZC236" s="1"/>
      <c r="PZD236" s="1"/>
      <c r="PZE236" s="1"/>
      <c r="PZF236" s="1"/>
      <c r="PZG236" s="1"/>
      <c r="PZH236" s="1"/>
      <c r="PZI236" s="1"/>
      <c r="PZJ236" s="1"/>
      <c r="PZK236" s="1"/>
      <c r="PZL236" s="1"/>
      <c r="PZM236" s="1"/>
      <c r="PZN236" s="1"/>
      <c r="PZO236" s="1"/>
      <c r="PZP236" s="1"/>
      <c r="PZQ236" s="1"/>
      <c r="PZR236" s="1"/>
      <c r="PZS236" s="1"/>
      <c r="PZT236" s="1"/>
      <c r="PZU236" s="1"/>
      <c r="PZV236" s="1"/>
      <c r="PZW236" s="1"/>
      <c r="PZX236" s="1"/>
      <c r="PZY236" s="1"/>
      <c r="PZZ236" s="1"/>
      <c r="QAA236" s="1"/>
      <c r="QAB236" s="1"/>
      <c r="QAC236" s="1"/>
      <c r="QAD236" s="1"/>
      <c r="QAE236" s="1"/>
      <c r="QAF236" s="1"/>
      <c r="QAG236" s="1"/>
      <c r="QAH236" s="1"/>
      <c r="QAI236" s="1"/>
      <c r="QAJ236" s="1"/>
      <c r="QAK236" s="1"/>
      <c r="QAL236" s="1"/>
      <c r="QAM236" s="1"/>
      <c r="QAN236" s="1"/>
      <c r="QAO236" s="1"/>
      <c r="QAP236" s="1"/>
      <c r="QAQ236" s="1"/>
      <c r="QAR236" s="1"/>
      <c r="QAS236" s="1"/>
      <c r="QAT236" s="1"/>
      <c r="QAU236" s="1"/>
      <c r="QAV236" s="1"/>
      <c r="QAW236" s="1"/>
      <c r="QAX236" s="1"/>
      <c r="QAY236" s="1"/>
      <c r="QAZ236" s="1"/>
      <c r="QBA236" s="1"/>
      <c r="QBB236" s="1"/>
      <c r="QBC236" s="1"/>
      <c r="QBD236" s="1"/>
      <c r="QBE236" s="1"/>
      <c r="QBF236" s="1"/>
      <c r="QBG236" s="1"/>
      <c r="QBH236" s="1"/>
      <c r="QBI236" s="1"/>
      <c r="QBJ236" s="1"/>
      <c r="QBK236" s="1"/>
      <c r="QBL236" s="1"/>
      <c r="QBM236" s="1"/>
      <c r="QBN236" s="1"/>
      <c r="QBO236" s="1"/>
      <c r="QBP236" s="1"/>
      <c r="QBQ236" s="1"/>
      <c r="QBR236" s="1"/>
      <c r="QBS236" s="1"/>
      <c r="QBT236" s="1"/>
      <c r="QBU236" s="1"/>
      <c r="QBV236" s="1"/>
      <c r="QBW236" s="1"/>
      <c r="QBX236" s="1"/>
      <c r="QBY236" s="1"/>
      <c r="QBZ236" s="1"/>
      <c r="QCA236" s="1"/>
      <c r="QCB236" s="1"/>
      <c r="QCC236" s="1"/>
      <c r="QCD236" s="1"/>
      <c r="QCE236" s="1"/>
      <c r="QCF236" s="1"/>
      <c r="QCG236" s="1"/>
      <c r="QCH236" s="1"/>
      <c r="QCI236" s="1"/>
      <c r="QCJ236" s="1"/>
      <c r="QCK236" s="1"/>
      <c r="QCL236" s="1"/>
      <c r="QCM236" s="1"/>
      <c r="QCN236" s="1"/>
      <c r="QCO236" s="1"/>
      <c r="QCP236" s="1"/>
      <c r="QCQ236" s="1"/>
      <c r="QCR236" s="1"/>
      <c r="QCS236" s="1"/>
      <c r="QCT236" s="1"/>
      <c r="QCU236" s="1"/>
      <c r="QCV236" s="1"/>
      <c r="QCW236" s="1"/>
      <c r="QCX236" s="1"/>
      <c r="QCY236" s="1"/>
      <c r="QCZ236" s="1"/>
      <c r="QDA236" s="1"/>
      <c r="QDB236" s="1"/>
      <c r="QDC236" s="1"/>
      <c r="QDD236" s="1"/>
      <c r="QDE236" s="1"/>
      <c r="QDF236" s="1"/>
      <c r="QDG236" s="1"/>
      <c r="QDH236" s="1"/>
      <c r="QDI236" s="1"/>
      <c r="QDJ236" s="1"/>
      <c r="QDK236" s="1"/>
      <c r="QDL236" s="1"/>
      <c r="QDM236" s="1"/>
      <c r="QDN236" s="1"/>
      <c r="QDO236" s="1"/>
      <c r="QDP236" s="1"/>
      <c r="QDQ236" s="1"/>
      <c r="QDR236" s="1"/>
      <c r="QDS236" s="1"/>
      <c r="QDT236" s="1"/>
      <c r="QDU236" s="1"/>
      <c r="QDV236" s="1"/>
      <c r="QDW236" s="1"/>
      <c r="QDX236" s="1"/>
      <c r="QDY236" s="1"/>
      <c r="QDZ236" s="1"/>
      <c r="QEA236" s="1"/>
      <c r="QEB236" s="1"/>
      <c r="QEC236" s="1"/>
      <c r="QED236" s="1"/>
      <c r="QEE236" s="1"/>
      <c r="QEF236" s="1"/>
      <c r="QEG236" s="1"/>
      <c r="QEH236" s="1"/>
      <c r="QEI236" s="1"/>
      <c r="QEJ236" s="1"/>
      <c r="QEK236" s="1"/>
      <c r="QEL236" s="1"/>
      <c r="QEM236" s="1"/>
      <c r="QEN236" s="1"/>
      <c r="QEO236" s="1"/>
      <c r="QEP236" s="1"/>
      <c r="QEQ236" s="1"/>
      <c r="QER236" s="1"/>
      <c r="QES236" s="1"/>
      <c r="QET236" s="1"/>
      <c r="QEU236" s="1"/>
      <c r="QEV236" s="1"/>
      <c r="QEW236" s="1"/>
      <c r="QEX236" s="1"/>
      <c r="QEY236" s="1"/>
      <c r="QEZ236" s="1"/>
      <c r="QFA236" s="1"/>
      <c r="QFB236" s="1"/>
      <c r="QFC236" s="1"/>
      <c r="QFD236" s="1"/>
      <c r="QFE236" s="1"/>
      <c r="QFF236" s="1"/>
      <c r="QFG236" s="1"/>
      <c r="QFH236" s="1"/>
      <c r="QFI236" s="1"/>
      <c r="QFJ236" s="1"/>
      <c r="QFK236" s="1"/>
      <c r="QFL236" s="1"/>
      <c r="QFM236" s="1"/>
      <c r="QFN236" s="1"/>
      <c r="QFO236" s="1"/>
      <c r="QFP236" s="1"/>
      <c r="QFQ236" s="1"/>
      <c r="QFR236" s="1"/>
      <c r="QFS236" s="1"/>
      <c r="QFT236" s="1"/>
      <c r="QFU236" s="1"/>
      <c r="QFV236" s="1"/>
      <c r="QFW236" s="1"/>
      <c r="QFX236" s="1"/>
      <c r="QFY236" s="1"/>
      <c r="QFZ236" s="1"/>
      <c r="QGA236" s="1"/>
      <c r="QGB236" s="1"/>
      <c r="QGC236" s="1"/>
      <c r="QGD236" s="1"/>
      <c r="QGE236" s="1"/>
      <c r="QGF236" s="1"/>
      <c r="QGG236" s="1"/>
      <c r="QGH236" s="1"/>
      <c r="QGI236" s="1"/>
      <c r="QGJ236" s="1"/>
      <c r="QGK236" s="1"/>
      <c r="QGL236" s="1"/>
      <c r="QGM236" s="1"/>
      <c r="QGN236" s="1"/>
      <c r="QGO236" s="1"/>
      <c r="QGP236" s="1"/>
      <c r="QGQ236" s="1"/>
      <c r="QGR236" s="1"/>
      <c r="QGS236" s="1"/>
      <c r="QGT236" s="1"/>
      <c r="QGU236" s="1"/>
      <c r="QGV236" s="1"/>
      <c r="QGW236" s="1"/>
      <c r="QGX236" s="1"/>
      <c r="QGY236" s="1"/>
      <c r="QGZ236" s="1"/>
      <c r="QHA236" s="1"/>
      <c r="QHB236" s="1"/>
      <c r="QHC236" s="1"/>
      <c r="QHD236" s="1"/>
      <c r="QHE236" s="1"/>
      <c r="QHF236" s="1"/>
      <c r="QHG236" s="1"/>
      <c r="QHH236" s="1"/>
      <c r="QHI236" s="1"/>
      <c r="QHJ236" s="1"/>
      <c r="QHK236" s="1"/>
      <c r="QHL236" s="1"/>
      <c r="QHM236" s="1"/>
      <c r="QHN236" s="1"/>
      <c r="QHO236" s="1"/>
      <c r="QHP236" s="1"/>
      <c r="QHQ236" s="1"/>
      <c r="QHR236" s="1"/>
      <c r="QHS236" s="1"/>
      <c r="QHT236" s="1"/>
      <c r="QHU236" s="1"/>
      <c r="QHV236" s="1"/>
      <c r="QHW236" s="1"/>
      <c r="QHX236" s="1"/>
      <c r="QHY236" s="1"/>
      <c r="QHZ236" s="1"/>
      <c r="QIA236" s="1"/>
      <c r="QIB236" s="1"/>
      <c r="QIC236" s="1"/>
      <c r="QID236" s="1"/>
      <c r="QIE236" s="1"/>
      <c r="QIF236" s="1"/>
      <c r="QIG236" s="1"/>
      <c r="QIH236" s="1"/>
      <c r="QII236" s="1"/>
      <c r="QIJ236" s="1"/>
      <c r="QIK236" s="1"/>
      <c r="QIL236" s="1"/>
      <c r="QIM236" s="1"/>
      <c r="QIN236" s="1"/>
      <c r="QIO236" s="1"/>
      <c r="QIP236" s="1"/>
      <c r="QIQ236" s="1"/>
      <c r="QIR236" s="1"/>
      <c r="QIS236" s="1"/>
      <c r="QIT236" s="1"/>
      <c r="QIU236" s="1"/>
      <c r="QIV236" s="1"/>
      <c r="QIW236" s="1"/>
      <c r="QIX236" s="1"/>
      <c r="QIY236" s="1"/>
      <c r="QIZ236" s="1"/>
      <c r="QJA236" s="1"/>
      <c r="QJB236" s="1"/>
      <c r="QJC236" s="1"/>
      <c r="QJD236" s="1"/>
      <c r="QJE236" s="1"/>
      <c r="QJF236" s="1"/>
      <c r="QJG236" s="1"/>
      <c r="QJH236" s="1"/>
      <c r="QJI236" s="1"/>
      <c r="QJJ236" s="1"/>
      <c r="QJK236" s="1"/>
      <c r="QJL236" s="1"/>
      <c r="QJM236" s="1"/>
      <c r="QJN236" s="1"/>
      <c r="QJO236" s="1"/>
      <c r="QJP236" s="1"/>
      <c r="QJQ236" s="1"/>
      <c r="QJR236" s="1"/>
      <c r="QJS236" s="1"/>
      <c r="QJT236" s="1"/>
      <c r="QJU236" s="1"/>
      <c r="QJV236" s="1"/>
      <c r="QJW236" s="1"/>
      <c r="QJX236" s="1"/>
      <c r="QJY236" s="1"/>
      <c r="QJZ236" s="1"/>
      <c r="QKA236" s="1"/>
      <c r="QKB236" s="1"/>
      <c r="QKC236" s="1"/>
      <c r="QKD236" s="1"/>
      <c r="QKE236" s="1"/>
      <c r="QKF236" s="1"/>
      <c r="QKG236" s="1"/>
      <c r="QKH236" s="1"/>
      <c r="QKI236" s="1"/>
      <c r="QKJ236" s="1"/>
      <c r="QKK236" s="1"/>
      <c r="QKL236" s="1"/>
      <c r="QKM236" s="1"/>
      <c r="QKN236" s="1"/>
      <c r="QKO236" s="1"/>
      <c r="QKP236" s="1"/>
      <c r="QKQ236" s="1"/>
      <c r="QKR236" s="1"/>
      <c r="QKS236" s="1"/>
      <c r="QKT236" s="1"/>
      <c r="QKU236" s="1"/>
      <c r="QKV236" s="1"/>
      <c r="QKW236" s="1"/>
      <c r="QKX236" s="1"/>
      <c r="QKY236" s="1"/>
      <c r="QKZ236" s="1"/>
      <c r="QLA236" s="1"/>
      <c r="QLB236" s="1"/>
      <c r="QLC236" s="1"/>
      <c r="QLD236" s="1"/>
      <c r="QLE236" s="1"/>
      <c r="QLF236" s="1"/>
      <c r="QLG236" s="1"/>
      <c r="QLH236" s="1"/>
      <c r="QLI236" s="1"/>
      <c r="QLJ236" s="1"/>
      <c r="QLK236" s="1"/>
      <c r="QLL236" s="1"/>
      <c r="QLM236" s="1"/>
      <c r="QLN236" s="1"/>
      <c r="QLO236" s="1"/>
      <c r="QLP236" s="1"/>
      <c r="QLQ236" s="1"/>
      <c r="QLR236" s="1"/>
      <c r="QLS236" s="1"/>
      <c r="QLT236" s="1"/>
      <c r="QLU236" s="1"/>
      <c r="QLV236" s="1"/>
      <c r="QLW236" s="1"/>
      <c r="QLX236" s="1"/>
      <c r="QLY236" s="1"/>
      <c r="QLZ236" s="1"/>
      <c r="QMA236" s="1"/>
      <c r="QMB236" s="1"/>
      <c r="QMC236" s="1"/>
      <c r="QMD236" s="1"/>
      <c r="QME236" s="1"/>
      <c r="QMF236" s="1"/>
      <c r="QMG236" s="1"/>
      <c r="QMH236" s="1"/>
      <c r="QMI236" s="1"/>
      <c r="QMJ236" s="1"/>
      <c r="QMK236" s="1"/>
      <c r="QML236" s="1"/>
      <c r="QMM236" s="1"/>
      <c r="QMN236" s="1"/>
      <c r="QMO236" s="1"/>
      <c r="QMP236" s="1"/>
      <c r="QMQ236" s="1"/>
      <c r="QMR236" s="1"/>
      <c r="QMS236" s="1"/>
      <c r="QMT236" s="1"/>
      <c r="QMU236" s="1"/>
      <c r="QMV236" s="1"/>
      <c r="QMW236" s="1"/>
      <c r="QMX236" s="1"/>
      <c r="QMY236" s="1"/>
      <c r="QMZ236" s="1"/>
      <c r="QNA236" s="1"/>
      <c r="QNB236" s="1"/>
      <c r="QNC236" s="1"/>
      <c r="QND236" s="1"/>
      <c r="QNE236" s="1"/>
      <c r="QNF236" s="1"/>
      <c r="QNG236" s="1"/>
      <c r="QNH236" s="1"/>
      <c r="QNI236" s="1"/>
      <c r="QNJ236" s="1"/>
      <c r="QNK236" s="1"/>
      <c r="QNL236" s="1"/>
      <c r="QNM236" s="1"/>
      <c r="QNN236" s="1"/>
      <c r="QNO236" s="1"/>
      <c r="QNP236" s="1"/>
      <c r="QNQ236" s="1"/>
      <c r="QNR236" s="1"/>
      <c r="QNS236" s="1"/>
      <c r="QNT236" s="1"/>
      <c r="QNU236" s="1"/>
      <c r="QNV236" s="1"/>
      <c r="QNW236" s="1"/>
      <c r="QNX236" s="1"/>
      <c r="QNY236" s="1"/>
      <c r="QNZ236" s="1"/>
      <c r="QOA236" s="1"/>
      <c r="QOB236" s="1"/>
      <c r="QOC236" s="1"/>
      <c r="QOD236" s="1"/>
      <c r="QOE236" s="1"/>
      <c r="QOF236" s="1"/>
      <c r="QOG236" s="1"/>
      <c r="QOH236" s="1"/>
      <c r="QOI236" s="1"/>
      <c r="QOJ236" s="1"/>
      <c r="QOK236" s="1"/>
      <c r="QOL236" s="1"/>
      <c r="QOM236" s="1"/>
      <c r="QON236" s="1"/>
      <c r="QOO236" s="1"/>
      <c r="QOP236" s="1"/>
      <c r="QOQ236" s="1"/>
      <c r="QOR236" s="1"/>
      <c r="QOS236" s="1"/>
      <c r="QOT236" s="1"/>
      <c r="QOU236" s="1"/>
      <c r="QOV236" s="1"/>
      <c r="QOW236" s="1"/>
      <c r="QOX236" s="1"/>
      <c r="QOY236" s="1"/>
      <c r="QOZ236" s="1"/>
      <c r="QPA236" s="1"/>
      <c r="QPB236" s="1"/>
      <c r="QPC236" s="1"/>
      <c r="QPD236" s="1"/>
      <c r="QPE236" s="1"/>
      <c r="QPF236" s="1"/>
      <c r="QPG236" s="1"/>
      <c r="QPH236" s="1"/>
      <c r="QPI236" s="1"/>
      <c r="QPJ236" s="1"/>
      <c r="QPK236" s="1"/>
      <c r="QPL236" s="1"/>
      <c r="QPM236" s="1"/>
      <c r="QPN236" s="1"/>
      <c r="QPO236" s="1"/>
      <c r="QPP236" s="1"/>
      <c r="QPQ236" s="1"/>
      <c r="QPR236" s="1"/>
      <c r="QPS236" s="1"/>
      <c r="QPT236" s="1"/>
      <c r="QPU236" s="1"/>
      <c r="QPV236" s="1"/>
      <c r="QPW236" s="1"/>
      <c r="QPX236" s="1"/>
      <c r="QPY236" s="1"/>
      <c r="QPZ236" s="1"/>
      <c r="QQA236" s="1"/>
      <c r="QQB236" s="1"/>
      <c r="QQC236" s="1"/>
      <c r="QQD236" s="1"/>
      <c r="QQE236" s="1"/>
      <c r="QQF236" s="1"/>
      <c r="QQG236" s="1"/>
      <c r="QQH236" s="1"/>
      <c r="QQI236" s="1"/>
      <c r="QQJ236" s="1"/>
      <c r="QQK236" s="1"/>
      <c r="QQL236" s="1"/>
      <c r="QQM236" s="1"/>
      <c r="QQN236" s="1"/>
      <c r="QQO236" s="1"/>
      <c r="QQP236" s="1"/>
      <c r="QQQ236" s="1"/>
      <c r="QQR236" s="1"/>
      <c r="QQS236" s="1"/>
      <c r="QQT236" s="1"/>
      <c r="QQU236" s="1"/>
      <c r="QQV236" s="1"/>
      <c r="QQW236" s="1"/>
      <c r="QQX236" s="1"/>
      <c r="QQY236" s="1"/>
      <c r="QQZ236" s="1"/>
      <c r="QRA236" s="1"/>
      <c r="QRB236" s="1"/>
      <c r="QRC236" s="1"/>
      <c r="QRD236" s="1"/>
      <c r="QRE236" s="1"/>
      <c r="QRF236" s="1"/>
      <c r="QRG236" s="1"/>
      <c r="QRH236" s="1"/>
      <c r="QRI236" s="1"/>
      <c r="QRJ236" s="1"/>
      <c r="QRK236" s="1"/>
      <c r="QRL236" s="1"/>
      <c r="QRM236" s="1"/>
      <c r="QRN236" s="1"/>
      <c r="QRO236" s="1"/>
      <c r="QRP236" s="1"/>
      <c r="QRQ236" s="1"/>
      <c r="QRR236" s="1"/>
      <c r="QRS236" s="1"/>
      <c r="QRT236" s="1"/>
      <c r="QRU236" s="1"/>
      <c r="QRV236" s="1"/>
      <c r="QRW236" s="1"/>
      <c r="QRX236" s="1"/>
      <c r="QRY236" s="1"/>
      <c r="QRZ236" s="1"/>
      <c r="QSA236" s="1"/>
      <c r="QSB236" s="1"/>
      <c r="QSC236" s="1"/>
      <c r="QSD236" s="1"/>
      <c r="QSE236" s="1"/>
      <c r="QSF236" s="1"/>
      <c r="QSG236" s="1"/>
      <c r="QSH236" s="1"/>
      <c r="QSI236" s="1"/>
      <c r="QSJ236" s="1"/>
      <c r="QSK236" s="1"/>
      <c r="QSL236" s="1"/>
      <c r="QSM236" s="1"/>
      <c r="QSN236" s="1"/>
      <c r="QSO236" s="1"/>
      <c r="QSP236" s="1"/>
      <c r="QSQ236" s="1"/>
      <c r="QSR236" s="1"/>
      <c r="QSS236" s="1"/>
      <c r="QST236" s="1"/>
      <c r="QSU236" s="1"/>
      <c r="QSV236" s="1"/>
      <c r="QSW236" s="1"/>
      <c r="QSX236" s="1"/>
      <c r="QSY236" s="1"/>
      <c r="QSZ236" s="1"/>
      <c r="QTA236" s="1"/>
      <c r="QTB236" s="1"/>
      <c r="QTC236" s="1"/>
      <c r="QTD236" s="1"/>
      <c r="QTE236" s="1"/>
      <c r="QTF236" s="1"/>
      <c r="QTG236" s="1"/>
      <c r="QTH236" s="1"/>
      <c r="QTI236" s="1"/>
      <c r="QTJ236" s="1"/>
      <c r="QTK236" s="1"/>
      <c r="QTL236" s="1"/>
      <c r="QTM236" s="1"/>
      <c r="QTN236" s="1"/>
      <c r="QTO236" s="1"/>
      <c r="QTP236" s="1"/>
      <c r="QTQ236" s="1"/>
      <c r="QTR236" s="1"/>
      <c r="QTS236" s="1"/>
      <c r="QTT236" s="1"/>
      <c r="QTU236" s="1"/>
      <c r="QTV236" s="1"/>
      <c r="QTW236" s="1"/>
      <c r="QTX236" s="1"/>
      <c r="QTY236" s="1"/>
      <c r="QTZ236" s="1"/>
      <c r="QUA236" s="1"/>
      <c r="QUB236" s="1"/>
      <c r="QUC236" s="1"/>
      <c r="QUD236" s="1"/>
      <c r="QUE236" s="1"/>
      <c r="QUF236" s="1"/>
      <c r="QUG236" s="1"/>
      <c r="QUH236" s="1"/>
      <c r="QUI236" s="1"/>
      <c r="QUJ236" s="1"/>
      <c r="QUK236" s="1"/>
      <c r="QUL236" s="1"/>
      <c r="QUM236" s="1"/>
      <c r="QUN236" s="1"/>
      <c r="QUO236" s="1"/>
      <c r="QUP236" s="1"/>
      <c r="QUQ236" s="1"/>
      <c r="QUR236" s="1"/>
      <c r="QUS236" s="1"/>
      <c r="QUT236" s="1"/>
      <c r="QUU236" s="1"/>
      <c r="QUV236" s="1"/>
      <c r="QUW236" s="1"/>
      <c r="QUX236" s="1"/>
      <c r="QUY236" s="1"/>
      <c r="QUZ236" s="1"/>
      <c r="QVA236" s="1"/>
      <c r="QVB236" s="1"/>
      <c r="QVC236" s="1"/>
      <c r="QVD236" s="1"/>
      <c r="QVE236" s="1"/>
      <c r="QVF236" s="1"/>
      <c r="QVG236" s="1"/>
      <c r="QVH236" s="1"/>
      <c r="QVI236" s="1"/>
      <c r="QVJ236" s="1"/>
      <c r="QVK236" s="1"/>
      <c r="QVL236" s="1"/>
      <c r="QVM236" s="1"/>
      <c r="QVN236" s="1"/>
      <c r="QVO236" s="1"/>
      <c r="QVP236" s="1"/>
      <c r="QVQ236" s="1"/>
      <c r="QVR236" s="1"/>
      <c r="QVS236" s="1"/>
      <c r="QVT236" s="1"/>
      <c r="QVU236" s="1"/>
      <c r="QVV236" s="1"/>
      <c r="QVW236" s="1"/>
      <c r="QVX236" s="1"/>
      <c r="QVY236" s="1"/>
      <c r="QVZ236" s="1"/>
      <c r="QWA236" s="1"/>
      <c r="QWB236" s="1"/>
      <c r="QWC236" s="1"/>
      <c r="QWD236" s="1"/>
      <c r="QWE236" s="1"/>
      <c r="QWF236" s="1"/>
      <c r="QWG236" s="1"/>
      <c r="QWH236" s="1"/>
      <c r="QWI236" s="1"/>
      <c r="QWJ236" s="1"/>
      <c r="QWK236" s="1"/>
      <c r="QWL236" s="1"/>
      <c r="QWM236" s="1"/>
      <c r="QWN236" s="1"/>
      <c r="QWO236" s="1"/>
      <c r="QWP236" s="1"/>
      <c r="QWQ236" s="1"/>
      <c r="QWR236" s="1"/>
      <c r="QWS236" s="1"/>
      <c r="QWT236" s="1"/>
      <c r="QWU236" s="1"/>
      <c r="QWV236" s="1"/>
      <c r="QWW236" s="1"/>
      <c r="QWX236" s="1"/>
      <c r="QWY236" s="1"/>
      <c r="QWZ236" s="1"/>
      <c r="QXA236" s="1"/>
      <c r="QXB236" s="1"/>
      <c r="QXC236" s="1"/>
      <c r="QXD236" s="1"/>
      <c r="QXE236" s="1"/>
      <c r="QXF236" s="1"/>
      <c r="QXG236" s="1"/>
      <c r="QXH236" s="1"/>
      <c r="QXI236" s="1"/>
      <c r="QXJ236" s="1"/>
      <c r="QXK236" s="1"/>
      <c r="QXL236" s="1"/>
      <c r="QXM236" s="1"/>
      <c r="QXN236" s="1"/>
      <c r="QXO236" s="1"/>
      <c r="QXP236" s="1"/>
      <c r="QXQ236" s="1"/>
      <c r="QXR236" s="1"/>
      <c r="QXS236" s="1"/>
      <c r="QXT236" s="1"/>
      <c r="QXU236" s="1"/>
      <c r="QXV236" s="1"/>
      <c r="QXW236" s="1"/>
      <c r="QXX236" s="1"/>
      <c r="QXY236" s="1"/>
      <c r="QXZ236" s="1"/>
      <c r="QYA236" s="1"/>
      <c r="QYB236" s="1"/>
      <c r="QYC236" s="1"/>
      <c r="QYD236" s="1"/>
      <c r="QYE236" s="1"/>
      <c r="QYF236" s="1"/>
      <c r="QYG236" s="1"/>
      <c r="QYH236" s="1"/>
      <c r="QYI236" s="1"/>
      <c r="QYJ236" s="1"/>
      <c r="QYK236" s="1"/>
      <c r="QYL236" s="1"/>
      <c r="QYM236" s="1"/>
      <c r="QYN236" s="1"/>
      <c r="QYO236" s="1"/>
      <c r="QYP236" s="1"/>
      <c r="QYQ236" s="1"/>
      <c r="QYR236" s="1"/>
      <c r="QYS236" s="1"/>
      <c r="QYT236" s="1"/>
      <c r="QYU236" s="1"/>
      <c r="QYV236" s="1"/>
      <c r="QYW236" s="1"/>
      <c r="QYX236" s="1"/>
      <c r="QYY236" s="1"/>
      <c r="QYZ236" s="1"/>
      <c r="QZA236" s="1"/>
      <c r="QZB236" s="1"/>
      <c r="QZC236" s="1"/>
      <c r="QZD236" s="1"/>
      <c r="QZE236" s="1"/>
      <c r="QZF236" s="1"/>
      <c r="QZG236" s="1"/>
      <c r="QZH236" s="1"/>
      <c r="QZI236" s="1"/>
      <c r="QZJ236" s="1"/>
      <c r="QZK236" s="1"/>
      <c r="QZL236" s="1"/>
      <c r="QZM236" s="1"/>
      <c r="QZN236" s="1"/>
      <c r="QZO236" s="1"/>
      <c r="QZP236" s="1"/>
      <c r="QZQ236" s="1"/>
      <c r="QZR236" s="1"/>
      <c r="QZS236" s="1"/>
      <c r="QZT236" s="1"/>
      <c r="QZU236" s="1"/>
      <c r="QZV236" s="1"/>
      <c r="QZW236" s="1"/>
      <c r="QZX236" s="1"/>
      <c r="QZY236" s="1"/>
      <c r="QZZ236" s="1"/>
      <c r="RAA236" s="1"/>
      <c r="RAB236" s="1"/>
      <c r="RAC236" s="1"/>
      <c r="RAD236" s="1"/>
      <c r="RAE236" s="1"/>
      <c r="RAF236" s="1"/>
      <c r="RAG236" s="1"/>
      <c r="RAH236" s="1"/>
      <c r="RAI236" s="1"/>
      <c r="RAJ236" s="1"/>
      <c r="RAK236" s="1"/>
      <c r="RAL236" s="1"/>
      <c r="RAM236" s="1"/>
      <c r="RAN236" s="1"/>
      <c r="RAO236" s="1"/>
      <c r="RAP236" s="1"/>
      <c r="RAQ236" s="1"/>
      <c r="RAR236" s="1"/>
      <c r="RAS236" s="1"/>
      <c r="RAT236" s="1"/>
      <c r="RAU236" s="1"/>
      <c r="RAV236" s="1"/>
      <c r="RAW236" s="1"/>
      <c r="RAX236" s="1"/>
      <c r="RAY236" s="1"/>
      <c r="RAZ236" s="1"/>
      <c r="RBA236" s="1"/>
      <c r="RBB236" s="1"/>
      <c r="RBC236" s="1"/>
      <c r="RBD236" s="1"/>
      <c r="RBE236" s="1"/>
      <c r="RBF236" s="1"/>
      <c r="RBG236" s="1"/>
      <c r="RBH236" s="1"/>
      <c r="RBI236" s="1"/>
      <c r="RBJ236" s="1"/>
      <c r="RBK236" s="1"/>
      <c r="RBL236" s="1"/>
      <c r="RBM236" s="1"/>
      <c r="RBN236" s="1"/>
      <c r="RBO236" s="1"/>
      <c r="RBP236" s="1"/>
      <c r="RBQ236" s="1"/>
      <c r="RBR236" s="1"/>
      <c r="RBS236" s="1"/>
      <c r="RBT236" s="1"/>
      <c r="RBU236" s="1"/>
      <c r="RBV236" s="1"/>
      <c r="RBW236" s="1"/>
      <c r="RBX236" s="1"/>
      <c r="RBY236" s="1"/>
      <c r="RBZ236" s="1"/>
      <c r="RCA236" s="1"/>
      <c r="RCB236" s="1"/>
      <c r="RCC236" s="1"/>
      <c r="RCD236" s="1"/>
      <c r="RCE236" s="1"/>
      <c r="RCF236" s="1"/>
      <c r="RCG236" s="1"/>
      <c r="RCH236" s="1"/>
      <c r="RCI236" s="1"/>
      <c r="RCJ236" s="1"/>
      <c r="RCK236" s="1"/>
      <c r="RCL236" s="1"/>
      <c r="RCM236" s="1"/>
      <c r="RCN236" s="1"/>
      <c r="RCO236" s="1"/>
      <c r="RCP236" s="1"/>
      <c r="RCQ236" s="1"/>
      <c r="RCR236" s="1"/>
      <c r="RCS236" s="1"/>
      <c r="RCT236" s="1"/>
      <c r="RCU236" s="1"/>
      <c r="RCV236" s="1"/>
      <c r="RCW236" s="1"/>
      <c r="RCX236" s="1"/>
      <c r="RCY236" s="1"/>
      <c r="RCZ236" s="1"/>
      <c r="RDA236" s="1"/>
      <c r="RDB236" s="1"/>
      <c r="RDC236" s="1"/>
      <c r="RDD236" s="1"/>
      <c r="RDE236" s="1"/>
      <c r="RDF236" s="1"/>
      <c r="RDG236" s="1"/>
      <c r="RDH236" s="1"/>
      <c r="RDI236" s="1"/>
      <c r="RDJ236" s="1"/>
      <c r="RDK236" s="1"/>
      <c r="RDL236" s="1"/>
      <c r="RDM236" s="1"/>
      <c r="RDN236" s="1"/>
      <c r="RDO236" s="1"/>
      <c r="RDP236" s="1"/>
      <c r="RDQ236" s="1"/>
      <c r="RDR236" s="1"/>
      <c r="RDS236" s="1"/>
      <c r="RDT236" s="1"/>
      <c r="RDU236" s="1"/>
      <c r="RDV236" s="1"/>
      <c r="RDW236" s="1"/>
      <c r="RDX236" s="1"/>
      <c r="RDY236" s="1"/>
      <c r="RDZ236" s="1"/>
      <c r="REA236" s="1"/>
      <c r="REB236" s="1"/>
      <c r="REC236" s="1"/>
      <c r="RED236" s="1"/>
      <c r="REE236" s="1"/>
      <c r="REF236" s="1"/>
      <c r="REG236" s="1"/>
      <c r="REH236" s="1"/>
      <c r="REI236" s="1"/>
      <c r="REJ236" s="1"/>
      <c r="REK236" s="1"/>
      <c r="REL236" s="1"/>
      <c r="REM236" s="1"/>
      <c r="REN236" s="1"/>
      <c r="REO236" s="1"/>
      <c r="REP236" s="1"/>
      <c r="REQ236" s="1"/>
      <c r="RER236" s="1"/>
      <c r="RES236" s="1"/>
      <c r="RET236" s="1"/>
      <c r="REU236" s="1"/>
      <c r="REV236" s="1"/>
      <c r="REW236" s="1"/>
      <c r="REX236" s="1"/>
      <c r="REY236" s="1"/>
      <c r="REZ236" s="1"/>
      <c r="RFA236" s="1"/>
      <c r="RFB236" s="1"/>
      <c r="RFC236" s="1"/>
      <c r="RFD236" s="1"/>
      <c r="RFE236" s="1"/>
      <c r="RFF236" s="1"/>
      <c r="RFG236" s="1"/>
      <c r="RFH236" s="1"/>
      <c r="RFI236" s="1"/>
      <c r="RFJ236" s="1"/>
      <c r="RFK236" s="1"/>
      <c r="RFL236" s="1"/>
      <c r="RFM236" s="1"/>
      <c r="RFN236" s="1"/>
      <c r="RFO236" s="1"/>
      <c r="RFP236" s="1"/>
      <c r="RFQ236" s="1"/>
      <c r="RFR236" s="1"/>
      <c r="RFS236" s="1"/>
      <c r="RFT236" s="1"/>
      <c r="RFU236" s="1"/>
      <c r="RFV236" s="1"/>
      <c r="RFW236" s="1"/>
      <c r="RFX236" s="1"/>
      <c r="RFY236" s="1"/>
      <c r="RFZ236" s="1"/>
      <c r="RGA236" s="1"/>
      <c r="RGB236" s="1"/>
      <c r="RGC236" s="1"/>
      <c r="RGD236" s="1"/>
      <c r="RGE236" s="1"/>
      <c r="RGF236" s="1"/>
      <c r="RGG236" s="1"/>
      <c r="RGH236" s="1"/>
      <c r="RGI236" s="1"/>
      <c r="RGJ236" s="1"/>
      <c r="RGK236" s="1"/>
      <c r="RGL236" s="1"/>
      <c r="RGM236" s="1"/>
      <c r="RGN236" s="1"/>
      <c r="RGO236" s="1"/>
      <c r="RGP236" s="1"/>
      <c r="RGQ236" s="1"/>
      <c r="RGR236" s="1"/>
      <c r="RGS236" s="1"/>
      <c r="RGT236" s="1"/>
      <c r="RGU236" s="1"/>
      <c r="RGV236" s="1"/>
      <c r="RGW236" s="1"/>
      <c r="RGX236" s="1"/>
      <c r="RGY236" s="1"/>
      <c r="RGZ236" s="1"/>
      <c r="RHA236" s="1"/>
      <c r="RHB236" s="1"/>
      <c r="RHC236" s="1"/>
      <c r="RHD236" s="1"/>
      <c r="RHE236" s="1"/>
      <c r="RHF236" s="1"/>
      <c r="RHG236" s="1"/>
      <c r="RHH236" s="1"/>
      <c r="RHI236" s="1"/>
      <c r="RHJ236" s="1"/>
      <c r="RHK236" s="1"/>
      <c r="RHL236" s="1"/>
      <c r="RHM236" s="1"/>
      <c r="RHN236" s="1"/>
      <c r="RHO236" s="1"/>
      <c r="RHP236" s="1"/>
      <c r="RHQ236" s="1"/>
      <c r="RHR236" s="1"/>
      <c r="RHS236" s="1"/>
      <c r="RHT236" s="1"/>
      <c r="RHU236" s="1"/>
      <c r="RHV236" s="1"/>
      <c r="RHW236" s="1"/>
      <c r="RHX236" s="1"/>
      <c r="RHY236" s="1"/>
      <c r="RHZ236" s="1"/>
      <c r="RIA236" s="1"/>
      <c r="RIB236" s="1"/>
      <c r="RIC236" s="1"/>
      <c r="RID236" s="1"/>
      <c r="RIE236" s="1"/>
      <c r="RIF236" s="1"/>
      <c r="RIG236" s="1"/>
      <c r="RIH236" s="1"/>
      <c r="RII236" s="1"/>
      <c r="RIJ236" s="1"/>
      <c r="RIK236" s="1"/>
      <c r="RIL236" s="1"/>
      <c r="RIM236" s="1"/>
      <c r="RIN236" s="1"/>
      <c r="RIO236" s="1"/>
      <c r="RIP236" s="1"/>
      <c r="RIQ236" s="1"/>
      <c r="RIR236" s="1"/>
      <c r="RIS236" s="1"/>
      <c r="RIT236" s="1"/>
      <c r="RIU236" s="1"/>
      <c r="RIV236" s="1"/>
      <c r="RIW236" s="1"/>
      <c r="RIX236" s="1"/>
      <c r="RIY236" s="1"/>
      <c r="RIZ236" s="1"/>
      <c r="RJA236" s="1"/>
      <c r="RJB236" s="1"/>
      <c r="RJC236" s="1"/>
      <c r="RJD236" s="1"/>
      <c r="RJE236" s="1"/>
      <c r="RJF236" s="1"/>
      <c r="RJG236" s="1"/>
      <c r="RJH236" s="1"/>
      <c r="RJI236" s="1"/>
      <c r="RJJ236" s="1"/>
      <c r="RJK236" s="1"/>
      <c r="RJL236" s="1"/>
      <c r="RJM236" s="1"/>
      <c r="RJN236" s="1"/>
      <c r="RJO236" s="1"/>
      <c r="RJP236" s="1"/>
      <c r="RJQ236" s="1"/>
      <c r="RJR236" s="1"/>
      <c r="RJS236" s="1"/>
      <c r="RJT236" s="1"/>
      <c r="RJU236" s="1"/>
      <c r="RJV236" s="1"/>
      <c r="RJW236" s="1"/>
      <c r="RJX236" s="1"/>
      <c r="RJY236" s="1"/>
      <c r="RJZ236" s="1"/>
      <c r="RKA236" s="1"/>
      <c r="RKB236" s="1"/>
      <c r="RKC236" s="1"/>
      <c r="RKD236" s="1"/>
      <c r="RKE236" s="1"/>
      <c r="RKF236" s="1"/>
      <c r="RKG236" s="1"/>
      <c r="RKH236" s="1"/>
      <c r="RKI236" s="1"/>
      <c r="RKJ236" s="1"/>
      <c r="RKK236" s="1"/>
      <c r="RKL236" s="1"/>
      <c r="RKM236" s="1"/>
      <c r="RKN236" s="1"/>
      <c r="RKO236" s="1"/>
      <c r="RKP236" s="1"/>
      <c r="RKQ236" s="1"/>
      <c r="RKR236" s="1"/>
      <c r="RKS236" s="1"/>
      <c r="RKT236" s="1"/>
      <c r="RKU236" s="1"/>
      <c r="RKV236" s="1"/>
      <c r="RKW236" s="1"/>
      <c r="RKX236" s="1"/>
      <c r="RKY236" s="1"/>
      <c r="RKZ236" s="1"/>
      <c r="RLA236" s="1"/>
      <c r="RLB236" s="1"/>
      <c r="RLC236" s="1"/>
      <c r="RLD236" s="1"/>
      <c r="RLE236" s="1"/>
      <c r="RLF236" s="1"/>
      <c r="RLG236" s="1"/>
      <c r="RLH236" s="1"/>
      <c r="RLI236" s="1"/>
      <c r="RLJ236" s="1"/>
      <c r="RLK236" s="1"/>
      <c r="RLL236" s="1"/>
      <c r="RLM236" s="1"/>
      <c r="RLN236" s="1"/>
      <c r="RLO236" s="1"/>
      <c r="RLP236" s="1"/>
      <c r="RLQ236" s="1"/>
      <c r="RLR236" s="1"/>
      <c r="RLS236" s="1"/>
      <c r="RLT236" s="1"/>
      <c r="RLU236" s="1"/>
      <c r="RLV236" s="1"/>
      <c r="RLW236" s="1"/>
      <c r="RLX236" s="1"/>
      <c r="RLY236" s="1"/>
      <c r="RLZ236" s="1"/>
      <c r="RMA236" s="1"/>
      <c r="RMB236" s="1"/>
      <c r="RMC236" s="1"/>
      <c r="RMD236" s="1"/>
      <c r="RME236" s="1"/>
      <c r="RMF236" s="1"/>
      <c r="RMG236" s="1"/>
      <c r="RMH236" s="1"/>
      <c r="RMI236" s="1"/>
      <c r="RMJ236" s="1"/>
      <c r="RMK236" s="1"/>
      <c r="RML236" s="1"/>
      <c r="RMM236" s="1"/>
      <c r="RMN236" s="1"/>
      <c r="RMO236" s="1"/>
      <c r="RMP236" s="1"/>
      <c r="RMQ236" s="1"/>
      <c r="RMR236" s="1"/>
      <c r="RMS236" s="1"/>
      <c r="RMT236" s="1"/>
      <c r="RMU236" s="1"/>
      <c r="RMV236" s="1"/>
      <c r="RMW236" s="1"/>
      <c r="RMX236" s="1"/>
      <c r="RMY236" s="1"/>
      <c r="RMZ236" s="1"/>
      <c r="RNA236" s="1"/>
      <c r="RNB236" s="1"/>
      <c r="RNC236" s="1"/>
      <c r="RND236" s="1"/>
      <c r="RNE236" s="1"/>
      <c r="RNF236" s="1"/>
      <c r="RNG236" s="1"/>
      <c r="RNH236" s="1"/>
      <c r="RNI236" s="1"/>
      <c r="RNJ236" s="1"/>
      <c r="RNK236" s="1"/>
      <c r="RNL236" s="1"/>
      <c r="RNM236" s="1"/>
      <c r="RNN236" s="1"/>
      <c r="RNO236" s="1"/>
      <c r="RNP236" s="1"/>
      <c r="RNQ236" s="1"/>
      <c r="RNR236" s="1"/>
      <c r="RNS236" s="1"/>
      <c r="RNT236" s="1"/>
      <c r="RNU236" s="1"/>
      <c r="RNV236" s="1"/>
      <c r="RNW236" s="1"/>
      <c r="RNX236" s="1"/>
      <c r="RNY236" s="1"/>
      <c r="RNZ236" s="1"/>
      <c r="ROA236" s="1"/>
      <c r="ROB236" s="1"/>
      <c r="ROC236" s="1"/>
      <c r="ROD236" s="1"/>
      <c r="ROE236" s="1"/>
      <c r="ROF236" s="1"/>
      <c r="ROG236" s="1"/>
      <c r="ROH236" s="1"/>
      <c r="ROI236" s="1"/>
      <c r="ROJ236" s="1"/>
      <c r="ROK236" s="1"/>
      <c r="ROL236" s="1"/>
      <c r="ROM236" s="1"/>
      <c r="RON236" s="1"/>
      <c r="ROO236" s="1"/>
      <c r="ROP236" s="1"/>
      <c r="ROQ236" s="1"/>
      <c r="ROR236" s="1"/>
      <c r="ROS236" s="1"/>
      <c r="ROT236" s="1"/>
      <c r="ROU236" s="1"/>
      <c r="ROV236" s="1"/>
      <c r="ROW236" s="1"/>
      <c r="ROX236" s="1"/>
      <c r="ROY236" s="1"/>
      <c r="ROZ236" s="1"/>
      <c r="RPA236" s="1"/>
      <c r="RPB236" s="1"/>
      <c r="RPC236" s="1"/>
      <c r="RPD236" s="1"/>
      <c r="RPE236" s="1"/>
      <c r="RPF236" s="1"/>
      <c r="RPG236" s="1"/>
      <c r="RPH236" s="1"/>
      <c r="RPI236" s="1"/>
      <c r="RPJ236" s="1"/>
      <c r="RPK236" s="1"/>
      <c r="RPL236" s="1"/>
      <c r="RPM236" s="1"/>
      <c r="RPN236" s="1"/>
      <c r="RPO236" s="1"/>
      <c r="RPP236" s="1"/>
      <c r="RPQ236" s="1"/>
      <c r="RPR236" s="1"/>
      <c r="RPS236" s="1"/>
      <c r="RPT236" s="1"/>
      <c r="RPU236" s="1"/>
      <c r="RPV236" s="1"/>
      <c r="RPW236" s="1"/>
      <c r="RPX236" s="1"/>
      <c r="RPY236" s="1"/>
      <c r="RPZ236" s="1"/>
      <c r="RQA236" s="1"/>
      <c r="RQB236" s="1"/>
      <c r="RQC236" s="1"/>
      <c r="RQD236" s="1"/>
      <c r="RQE236" s="1"/>
      <c r="RQF236" s="1"/>
      <c r="RQG236" s="1"/>
      <c r="RQH236" s="1"/>
      <c r="RQI236" s="1"/>
      <c r="RQJ236" s="1"/>
      <c r="RQK236" s="1"/>
      <c r="RQL236" s="1"/>
      <c r="RQM236" s="1"/>
      <c r="RQN236" s="1"/>
      <c r="RQO236" s="1"/>
      <c r="RQP236" s="1"/>
      <c r="RQQ236" s="1"/>
      <c r="RQR236" s="1"/>
      <c r="RQS236" s="1"/>
      <c r="RQT236" s="1"/>
      <c r="RQU236" s="1"/>
      <c r="RQV236" s="1"/>
      <c r="RQW236" s="1"/>
      <c r="RQX236" s="1"/>
      <c r="RQY236" s="1"/>
      <c r="RQZ236" s="1"/>
      <c r="RRA236" s="1"/>
      <c r="RRB236" s="1"/>
      <c r="RRC236" s="1"/>
      <c r="RRD236" s="1"/>
      <c r="RRE236" s="1"/>
      <c r="RRF236" s="1"/>
      <c r="RRG236" s="1"/>
      <c r="RRH236" s="1"/>
      <c r="RRI236" s="1"/>
      <c r="RRJ236" s="1"/>
      <c r="RRK236" s="1"/>
      <c r="RRL236" s="1"/>
      <c r="RRM236" s="1"/>
      <c r="RRN236" s="1"/>
      <c r="RRO236" s="1"/>
      <c r="RRP236" s="1"/>
      <c r="RRQ236" s="1"/>
      <c r="RRR236" s="1"/>
      <c r="RRS236" s="1"/>
      <c r="RRT236" s="1"/>
      <c r="RRU236" s="1"/>
      <c r="RRV236" s="1"/>
      <c r="RRW236" s="1"/>
      <c r="RRX236" s="1"/>
      <c r="RRY236" s="1"/>
      <c r="RRZ236" s="1"/>
      <c r="RSA236" s="1"/>
      <c r="RSB236" s="1"/>
      <c r="RSC236" s="1"/>
      <c r="RSD236" s="1"/>
      <c r="RSE236" s="1"/>
      <c r="RSF236" s="1"/>
      <c r="RSG236" s="1"/>
      <c r="RSH236" s="1"/>
      <c r="RSI236" s="1"/>
      <c r="RSJ236" s="1"/>
      <c r="RSK236" s="1"/>
      <c r="RSL236" s="1"/>
      <c r="RSM236" s="1"/>
      <c r="RSN236" s="1"/>
      <c r="RSO236" s="1"/>
      <c r="RSP236" s="1"/>
      <c r="RSQ236" s="1"/>
      <c r="RSR236" s="1"/>
      <c r="RSS236" s="1"/>
      <c r="RST236" s="1"/>
      <c r="RSU236" s="1"/>
      <c r="RSV236" s="1"/>
      <c r="RSW236" s="1"/>
      <c r="RSX236" s="1"/>
      <c r="RSY236" s="1"/>
      <c r="RSZ236" s="1"/>
      <c r="RTA236" s="1"/>
      <c r="RTB236" s="1"/>
      <c r="RTC236" s="1"/>
      <c r="RTD236" s="1"/>
      <c r="RTE236" s="1"/>
      <c r="RTF236" s="1"/>
      <c r="RTG236" s="1"/>
      <c r="RTH236" s="1"/>
      <c r="RTI236" s="1"/>
      <c r="RTJ236" s="1"/>
      <c r="RTK236" s="1"/>
      <c r="RTL236" s="1"/>
      <c r="RTM236" s="1"/>
      <c r="RTN236" s="1"/>
      <c r="RTO236" s="1"/>
      <c r="RTP236" s="1"/>
      <c r="RTQ236" s="1"/>
      <c r="RTR236" s="1"/>
      <c r="RTS236" s="1"/>
      <c r="RTT236" s="1"/>
      <c r="RTU236" s="1"/>
      <c r="RTV236" s="1"/>
      <c r="RTW236" s="1"/>
      <c r="RTX236" s="1"/>
      <c r="RTY236" s="1"/>
      <c r="RTZ236" s="1"/>
      <c r="RUA236" s="1"/>
      <c r="RUB236" s="1"/>
      <c r="RUC236" s="1"/>
      <c r="RUD236" s="1"/>
      <c r="RUE236" s="1"/>
      <c r="RUF236" s="1"/>
      <c r="RUG236" s="1"/>
      <c r="RUH236" s="1"/>
      <c r="RUI236" s="1"/>
      <c r="RUJ236" s="1"/>
      <c r="RUK236" s="1"/>
      <c r="RUL236" s="1"/>
      <c r="RUM236" s="1"/>
      <c r="RUN236" s="1"/>
      <c r="RUO236" s="1"/>
      <c r="RUP236" s="1"/>
      <c r="RUQ236" s="1"/>
      <c r="RUR236" s="1"/>
      <c r="RUS236" s="1"/>
      <c r="RUT236" s="1"/>
      <c r="RUU236" s="1"/>
      <c r="RUV236" s="1"/>
      <c r="RUW236" s="1"/>
      <c r="RUX236" s="1"/>
      <c r="RUY236" s="1"/>
      <c r="RUZ236" s="1"/>
      <c r="RVA236" s="1"/>
      <c r="RVB236" s="1"/>
      <c r="RVC236" s="1"/>
      <c r="RVD236" s="1"/>
      <c r="RVE236" s="1"/>
      <c r="RVF236" s="1"/>
      <c r="RVG236" s="1"/>
      <c r="RVH236" s="1"/>
      <c r="RVI236" s="1"/>
      <c r="RVJ236" s="1"/>
      <c r="RVK236" s="1"/>
      <c r="RVL236" s="1"/>
      <c r="RVM236" s="1"/>
      <c r="RVN236" s="1"/>
      <c r="RVO236" s="1"/>
      <c r="RVP236" s="1"/>
      <c r="RVQ236" s="1"/>
      <c r="RVR236" s="1"/>
      <c r="RVS236" s="1"/>
      <c r="RVT236" s="1"/>
      <c r="RVU236" s="1"/>
      <c r="RVV236" s="1"/>
      <c r="RVW236" s="1"/>
      <c r="RVX236" s="1"/>
      <c r="RVY236" s="1"/>
      <c r="RVZ236" s="1"/>
      <c r="RWA236" s="1"/>
      <c r="RWB236" s="1"/>
      <c r="RWC236" s="1"/>
      <c r="RWD236" s="1"/>
      <c r="RWE236" s="1"/>
      <c r="RWF236" s="1"/>
      <c r="RWG236" s="1"/>
      <c r="RWH236" s="1"/>
      <c r="RWI236" s="1"/>
      <c r="RWJ236" s="1"/>
      <c r="RWK236" s="1"/>
      <c r="RWL236" s="1"/>
      <c r="RWM236" s="1"/>
      <c r="RWN236" s="1"/>
      <c r="RWO236" s="1"/>
      <c r="RWP236" s="1"/>
      <c r="RWQ236" s="1"/>
      <c r="RWR236" s="1"/>
      <c r="RWS236" s="1"/>
      <c r="RWT236" s="1"/>
      <c r="RWU236" s="1"/>
      <c r="RWV236" s="1"/>
      <c r="RWW236" s="1"/>
      <c r="RWX236" s="1"/>
      <c r="RWY236" s="1"/>
      <c r="RWZ236" s="1"/>
      <c r="RXA236" s="1"/>
      <c r="RXB236" s="1"/>
      <c r="RXC236" s="1"/>
      <c r="RXD236" s="1"/>
      <c r="RXE236" s="1"/>
      <c r="RXF236" s="1"/>
      <c r="RXG236" s="1"/>
      <c r="RXH236" s="1"/>
      <c r="RXI236" s="1"/>
      <c r="RXJ236" s="1"/>
      <c r="RXK236" s="1"/>
      <c r="RXL236" s="1"/>
      <c r="RXM236" s="1"/>
      <c r="RXN236" s="1"/>
      <c r="RXO236" s="1"/>
      <c r="RXP236" s="1"/>
      <c r="RXQ236" s="1"/>
      <c r="RXR236" s="1"/>
      <c r="RXS236" s="1"/>
      <c r="RXT236" s="1"/>
      <c r="RXU236" s="1"/>
      <c r="RXV236" s="1"/>
      <c r="RXW236" s="1"/>
      <c r="RXX236" s="1"/>
      <c r="RXY236" s="1"/>
      <c r="RXZ236" s="1"/>
      <c r="RYA236" s="1"/>
      <c r="RYB236" s="1"/>
      <c r="RYC236" s="1"/>
      <c r="RYD236" s="1"/>
      <c r="RYE236" s="1"/>
      <c r="RYF236" s="1"/>
      <c r="RYG236" s="1"/>
      <c r="RYH236" s="1"/>
      <c r="RYI236" s="1"/>
      <c r="RYJ236" s="1"/>
      <c r="RYK236" s="1"/>
      <c r="RYL236" s="1"/>
      <c r="RYM236" s="1"/>
      <c r="RYN236" s="1"/>
      <c r="RYO236" s="1"/>
      <c r="RYP236" s="1"/>
      <c r="RYQ236" s="1"/>
      <c r="RYR236" s="1"/>
      <c r="RYS236" s="1"/>
      <c r="RYT236" s="1"/>
      <c r="RYU236" s="1"/>
      <c r="RYV236" s="1"/>
      <c r="RYW236" s="1"/>
      <c r="RYX236" s="1"/>
      <c r="RYY236" s="1"/>
      <c r="RYZ236" s="1"/>
      <c r="RZA236" s="1"/>
      <c r="RZB236" s="1"/>
      <c r="RZC236" s="1"/>
      <c r="RZD236" s="1"/>
      <c r="RZE236" s="1"/>
      <c r="RZF236" s="1"/>
      <c r="RZG236" s="1"/>
      <c r="RZH236" s="1"/>
      <c r="RZI236" s="1"/>
      <c r="RZJ236" s="1"/>
      <c r="RZK236" s="1"/>
      <c r="RZL236" s="1"/>
      <c r="RZM236" s="1"/>
      <c r="RZN236" s="1"/>
      <c r="RZO236" s="1"/>
      <c r="RZP236" s="1"/>
      <c r="RZQ236" s="1"/>
      <c r="RZR236" s="1"/>
      <c r="RZS236" s="1"/>
      <c r="RZT236" s="1"/>
      <c r="RZU236" s="1"/>
      <c r="RZV236" s="1"/>
      <c r="RZW236" s="1"/>
      <c r="RZX236" s="1"/>
      <c r="RZY236" s="1"/>
      <c r="RZZ236" s="1"/>
      <c r="SAA236" s="1"/>
      <c r="SAB236" s="1"/>
      <c r="SAC236" s="1"/>
      <c r="SAD236" s="1"/>
      <c r="SAE236" s="1"/>
      <c r="SAF236" s="1"/>
      <c r="SAG236" s="1"/>
      <c r="SAH236" s="1"/>
      <c r="SAI236" s="1"/>
      <c r="SAJ236" s="1"/>
      <c r="SAK236" s="1"/>
      <c r="SAL236" s="1"/>
      <c r="SAM236" s="1"/>
      <c r="SAN236" s="1"/>
      <c r="SAO236" s="1"/>
      <c r="SAP236" s="1"/>
      <c r="SAQ236" s="1"/>
      <c r="SAR236" s="1"/>
      <c r="SAS236" s="1"/>
      <c r="SAT236" s="1"/>
      <c r="SAU236" s="1"/>
      <c r="SAV236" s="1"/>
      <c r="SAW236" s="1"/>
      <c r="SAX236" s="1"/>
      <c r="SAY236" s="1"/>
      <c r="SAZ236" s="1"/>
      <c r="SBA236" s="1"/>
      <c r="SBB236" s="1"/>
      <c r="SBC236" s="1"/>
      <c r="SBD236" s="1"/>
      <c r="SBE236" s="1"/>
      <c r="SBF236" s="1"/>
      <c r="SBG236" s="1"/>
      <c r="SBH236" s="1"/>
      <c r="SBI236" s="1"/>
      <c r="SBJ236" s="1"/>
      <c r="SBK236" s="1"/>
      <c r="SBL236" s="1"/>
      <c r="SBM236" s="1"/>
      <c r="SBN236" s="1"/>
      <c r="SBO236" s="1"/>
      <c r="SBP236" s="1"/>
      <c r="SBQ236" s="1"/>
      <c r="SBR236" s="1"/>
      <c r="SBS236" s="1"/>
      <c r="SBT236" s="1"/>
      <c r="SBU236" s="1"/>
      <c r="SBV236" s="1"/>
      <c r="SBW236" s="1"/>
      <c r="SBX236" s="1"/>
      <c r="SBY236" s="1"/>
      <c r="SBZ236" s="1"/>
      <c r="SCA236" s="1"/>
      <c r="SCB236" s="1"/>
      <c r="SCC236" s="1"/>
      <c r="SCD236" s="1"/>
      <c r="SCE236" s="1"/>
      <c r="SCF236" s="1"/>
      <c r="SCG236" s="1"/>
      <c r="SCH236" s="1"/>
      <c r="SCI236" s="1"/>
      <c r="SCJ236" s="1"/>
      <c r="SCK236" s="1"/>
      <c r="SCL236" s="1"/>
      <c r="SCM236" s="1"/>
      <c r="SCN236" s="1"/>
      <c r="SCO236" s="1"/>
      <c r="SCP236" s="1"/>
      <c r="SCQ236" s="1"/>
      <c r="SCR236" s="1"/>
      <c r="SCS236" s="1"/>
      <c r="SCT236" s="1"/>
      <c r="SCU236" s="1"/>
      <c r="SCV236" s="1"/>
      <c r="SCW236" s="1"/>
      <c r="SCX236" s="1"/>
      <c r="SCY236" s="1"/>
      <c r="SCZ236" s="1"/>
      <c r="SDA236" s="1"/>
      <c r="SDB236" s="1"/>
      <c r="SDC236" s="1"/>
      <c r="SDD236" s="1"/>
      <c r="SDE236" s="1"/>
      <c r="SDF236" s="1"/>
      <c r="SDG236" s="1"/>
      <c r="SDH236" s="1"/>
      <c r="SDI236" s="1"/>
      <c r="SDJ236" s="1"/>
      <c r="SDK236" s="1"/>
      <c r="SDL236" s="1"/>
      <c r="SDM236" s="1"/>
      <c r="SDN236" s="1"/>
      <c r="SDO236" s="1"/>
      <c r="SDP236" s="1"/>
      <c r="SDQ236" s="1"/>
      <c r="SDR236" s="1"/>
      <c r="SDS236" s="1"/>
      <c r="SDT236" s="1"/>
      <c r="SDU236" s="1"/>
      <c r="SDV236" s="1"/>
      <c r="SDW236" s="1"/>
      <c r="SDX236" s="1"/>
      <c r="SDY236" s="1"/>
      <c r="SDZ236" s="1"/>
      <c r="SEA236" s="1"/>
      <c r="SEB236" s="1"/>
      <c r="SEC236" s="1"/>
      <c r="SED236" s="1"/>
      <c r="SEE236" s="1"/>
      <c r="SEF236" s="1"/>
      <c r="SEG236" s="1"/>
      <c r="SEH236" s="1"/>
      <c r="SEI236" s="1"/>
      <c r="SEJ236" s="1"/>
      <c r="SEK236" s="1"/>
      <c r="SEL236" s="1"/>
      <c r="SEM236" s="1"/>
      <c r="SEN236" s="1"/>
      <c r="SEO236" s="1"/>
      <c r="SEP236" s="1"/>
      <c r="SEQ236" s="1"/>
      <c r="SER236" s="1"/>
      <c r="SES236" s="1"/>
      <c r="SET236" s="1"/>
      <c r="SEU236" s="1"/>
      <c r="SEV236" s="1"/>
      <c r="SEW236" s="1"/>
      <c r="SEX236" s="1"/>
      <c r="SEY236" s="1"/>
      <c r="SEZ236" s="1"/>
      <c r="SFA236" s="1"/>
      <c r="SFB236" s="1"/>
      <c r="SFC236" s="1"/>
      <c r="SFD236" s="1"/>
      <c r="SFE236" s="1"/>
      <c r="SFF236" s="1"/>
      <c r="SFG236" s="1"/>
      <c r="SFH236" s="1"/>
      <c r="SFI236" s="1"/>
      <c r="SFJ236" s="1"/>
      <c r="SFK236" s="1"/>
      <c r="SFL236" s="1"/>
      <c r="SFM236" s="1"/>
      <c r="SFN236" s="1"/>
      <c r="SFO236" s="1"/>
      <c r="SFP236" s="1"/>
      <c r="SFQ236" s="1"/>
      <c r="SFR236" s="1"/>
      <c r="SFS236" s="1"/>
      <c r="SFT236" s="1"/>
      <c r="SFU236" s="1"/>
      <c r="SFV236" s="1"/>
      <c r="SFW236" s="1"/>
      <c r="SFX236" s="1"/>
      <c r="SFY236" s="1"/>
      <c r="SFZ236" s="1"/>
      <c r="SGA236" s="1"/>
      <c r="SGB236" s="1"/>
      <c r="SGC236" s="1"/>
      <c r="SGD236" s="1"/>
      <c r="SGE236" s="1"/>
      <c r="SGF236" s="1"/>
      <c r="SGG236" s="1"/>
      <c r="SGH236" s="1"/>
      <c r="SGI236" s="1"/>
      <c r="SGJ236" s="1"/>
      <c r="SGK236" s="1"/>
      <c r="SGL236" s="1"/>
      <c r="SGM236" s="1"/>
      <c r="SGN236" s="1"/>
      <c r="SGO236" s="1"/>
      <c r="SGP236" s="1"/>
      <c r="SGQ236" s="1"/>
      <c r="SGR236" s="1"/>
      <c r="SGS236" s="1"/>
      <c r="SGT236" s="1"/>
      <c r="SGU236" s="1"/>
      <c r="SGV236" s="1"/>
      <c r="SGW236" s="1"/>
      <c r="SGX236" s="1"/>
      <c r="SGY236" s="1"/>
      <c r="SGZ236" s="1"/>
      <c r="SHA236" s="1"/>
      <c r="SHB236" s="1"/>
      <c r="SHC236" s="1"/>
      <c r="SHD236" s="1"/>
      <c r="SHE236" s="1"/>
      <c r="SHF236" s="1"/>
      <c r="SHG236" s="1"/>
      <c r="SHH236" s="1"/>
      <c r="SHI236" s="1"/>
      <c r="SHJ236" s="1"/>
      <c r="SHK236" s="1"/>
      <c r="SHL236" s="1"/>
      <c r="SHM236" s="1"/>
      <c r="SHN236" s="1"/>
      <c r="SHO236" s="1"/>
      <c r="SHP236" s="1"/>
      <c r="SHQ236" s="1"/>
      <c r="SHR236" s="1"/>
      <c r="SHS236" s="1"/>
      <c r="SHT236" s="1"/>
      <c r="SHU236" s="1"/>
      <c r="SHV236" s="1"/>
      <c r="SHW236" s="1"/>
      <c r="SHX236" s="1"/>
      <c r="SHY236" s="1"/>
      <c r="SHZ236" s="1"/>
      <c r="SIA236" s="1"/>
      <c r="SIB236" s="1"/>
      <c r="SIC236" s="1"/>
      <c r="SID236" s="1"/>
      <c r="SIE236" s="1"/>
      <c r="SIF236" s="1"/>
      <c r="SIG236" s="1"/>
      <c r="SIH236" s="1"/>
      <c r="SII236" s="1"/>
      <c r="SIJ236" s="1"/>
      <c r="SIK236" s="1"/>
      <c r="SIL236" s="1"/>
      <c r="SIM236" s="1"/>
      <c r="SIN236" s="1"/>
      <c r="SIO236" s="1"/>
      <c r="SIP236" s="1"/>
      <c r="SIQ236" s="1"/>
      <c r="SIR236" s="1"/>
      <c r="SIS236" s="1"/>
      <c r="SIT236" s="1"/>
      <c r="SIU236" s="1"/>
      <c r="SIV236" s="1"/>
      <c r="SIW236" s="1"/>
      <c r="SIX236" s="1"/>
      <c r="SIY236" s="1"/>
      <c r="SIZ236" s="1"/>
      <c r="SJA236" s="1"/>
      <c r="SJB236" s="1"/>
      <c r="SJC236" s="1"/>
      <c r="SJD236" s="1"/>
      <c r="SJE236" s="1"/>
      <c r="SJF236" s="1"/>
      <c r="SJG236" s="1"/>
      <c r="SJH236" s="1"/>
      <c r="SJI236" s="1"/>
      <c r="SJJ236" s="1"/>
      <c r="SJK236" s="1"/>
      <c r="SJL236" s="1"/>
      <c r="SJM236" s="1"/>
      <c r="SJN236" s="1"/>
      <c r="SJO236" s="1"/>
      <c r="SJP236" s="1"/>
      <c r="SJQ236" s="1"/>
      <c r="SJR236" s="1"/>
      <c r="SJS236" s="1"/>
      <c r="SJT236" s="1"/>
      <c r="SJU236" s="1"/>
      <c r="SJV236" s="1"/>
      <c r="SJW236" s="1"/>
      <c r="SJX236" s="1"/>
      <c r="SJY236" s="1"/>
      <c r="SJZ236" s="1"/>
      <c r="SKA236" s="1"/>
      <c r="SKB236" s="1"/>
      <c r="SKC236" s="1"/>
      <c r="SKD236" s="1"/>
      <c r="SKE236" s="1"/>
      <c r="SKF236" s="1"/>
      <c r="SKG236" s="1"/>
      <c r="SKH236" s="1"/>
      <c r="SKI236" s="1"/>
      <c r="SKJ236" s="1"/>
      <c r="SKK236" s="1"/>
      <c r="SKL236" s="1"/>
      <c r="SKM236" s="1"/>
      <c r="SKN236" s="1"/>
      <c r="SKO236" s="1"/>
      <c r="SKP236" s="1"/>
      <c r="SKQ236" s="1"/>
      <c r="SKR236" s="1"/>
      <c r="SKS236" s="1"/>
      <c r="SKT236" s="1"/>
      <c r="SKU236" s="1"/>
      <c r="SKV236" s="1"/>
      <c r="SKW236" s="1"/>
      <c r="SKX236" s="1"/>
      <c r="SKY236" s="1"/>
      <c r="SKZ236" s="1"/>
      <c r="SLA236" s="1"/>
      <c r="SLB236" s="1"/>
      <c r="SLC236" s="1"/>
      <c r="SLD236" s="1"/>
      <c r="SLE236" s="1"/>
      <c r="SLF236" s="1"/>
      <c r="SLG236" s="1"/>
      <c r="SLH236" s="1"/>
      <c r="SLI236" s="1"/>
      <c r="SLJ236" s="1"/>
      <c r="SLK236" s="1"/>
      <c r="SLL236" s="1"/>
      <c r="SLM236" s="1"/>
      <c r="SLN236" s="1"/>
      <c r="SLO236" s="1"/>
      <c r="SLP236" s="1"/>
      <c r="SLQ236" s="1"/>
      <c r="SLR236" s="1"/>
      <c r="SLS236" s="1"/>
      <c r="SLT236" s="1"/>
      <c r="SLU236" s="1"/>
      <c r="SLV236" s="1"/>
      <c r="SLW236" s="1"/>
      <c r="SLX236" s="1"/>
      <c r="SLY236" s="1"/>
      <c r="SLZ236" s="1"/>
      <c r="SMA236" s="1"/>
      <c r="SMB236" s="1"/>
      <c r="SMC236" s="1"/>
      <c r="SMD236" s="1"/>
      <c r="SME236" s="1"/>
      <c r="SMF236" s="1"/>
      <c r="SMG236" s="1"/>
      <c r="SMH236" s="1"/>
      <c r="SMI236" s="1"/>
      <c r="SMJ236" s="1"/>
      <c r="SMK236" s="1"/>
      <c r="SML236" s="1"/>
      <c r="SMM236" s="1"/>
      <c r="SMN236" s="1"/>
      <c r="SMO236" s="1"/>
      <c r="SMP236" s="1"/>
      <c r="SMQ236" s="1"/>
      <c r="SMR236" s="1"/>
      <c r="SMS236" s="1"/>
      <c r="SMT236" s="1"/>
      <c r="SMU236" s="1"/>
      <c r="SMV236" s="1"/>
      <c r="SMW236" s="1"/>
      <c r="SMX236" s="1"/>
      <c r="SMY236" s="1"/>
      <c r="SMZ236" s="1"/>
      <c r="SNA236" s="1"/>
      <c r="SNB236" s="1"/>
      <c r="SNC236" s="1"/>
      <c r="SND236" s="1"/>
      <c r="SNE236" s="1"/>
      <c r="SNF236" s="1"/>
      <c r="SNG236" s="1"/>
      <c r="SNH236" s="1"/>
      <c r="SNI236" s="1"/>
      <c r="SNJ236" s="1"/>
      <c r="SNK236" s="1"/>
      <c r="SNL236" s="1"/>
      <c r="SNM236" s="1"/>
      <c r="SNN236" s="1"/>
      <c r="SNO236" s="1"/>
      <c r="SNP236" s="1"/>
      <c r="SNQ236" s="1"/>
      <c r="SNR236" s="1"/>
      <c r="SNS236" s="1"/>
      <c r="SNT236" s="1"/>
      <c r="SNU236" s="1"/>
      <c r="SNV236" s="1"/>
      <c r="SNW236" s="1"/>
      <c r="SNX236" s="1"/>
      <c r="SNY236" s="1"/>
      <c r="SNZ236" s="1"/>
      <c r="SOA236" s="1"/>
      <c r="SOB236" s="1"/>
      <c r="SOC236" s="1"/>
      <c r="SOD236" s="1"/>
      <c r="SOE236" s="1"/>
      <c r="SOF236" s="1"/>
      <c r="SOG236" s="1"/>
      <c r="SOH236" s="1"/>
      <c r="SOI236" s="1"/>
      <c r="SOJ236" s="1"/>
      <c r="SOK236" s="1"/>
      <c r="SOL236" s="1"/>
      <c r="SOM236" s="1"/>
      <c r="SON236" s="1"/>
      <c r="SOO236" s="1"/>
      <c r="SOP236" s="1"/>
      <c r="SOQ236" s="1"/>
      <c r="SOR236" s="1"/>
      <c r="SOS236" s="1"/>
      <c r="SOT236" s="1"/>
      <c r="SOU236" s="1"/>
      <c r="SOV236" s="1"/>
      <c r="SOW236" s="1"/>
      <c r="SOX236" s="1"/>
      <c r="SOY236" s="1"/>
      <c r="SOZ236" s="1"/>
      <c r="SPA236" s="1"/>
      <c r="SPB236" s="1"/>
      <c r="SPC236" s="1"/>
      <c r="SPD236" s="1"/>
      <c r="SPE236" s="1"/>
      <c r="SPF236" s="1"/>
      <c r="SPG236" s="1"/>
      <c r="SPH236" s="1"/>
      <c r="SPI236" s="1"/>
      <c r="SPJ236" s="1"/>
      <c r="SPK236" s="1"/>
      <c r="SPL236" s="1"/>
      <c r="SPM236" s="1"/>
      <c r="SPN236" s="1"/>
      <c r="SPO236" s="1"/>
      <c r="SPP236" s="1"/>
      <c r="SPQ236" s="1"/>
      <c r="SPR236" s="1"/>
      <c r="SPS236" s="1"/>
      <c r="SPT236" s="1"/>
      <c r="SPU236" s="1"/>
      <c r="SPV236" s="1"/>
      <c r="SPW236" s="1"/>
      <c r="SPX236" s="1"/>
      <c r="SPY236" s="1"/>
      <c r="SPZ236" s="1"/>
      <c r="SQA236" s="1"/>
      <c r="SQB236" s="1"/>
      <c r="SQC236" s="1"/>
      <c r="SQD236" s="1"/>
      <c r="SQE236" s="1"/>
      <c r="SQF236" s="1"/>
      <c r="SQG236" s="1"/>
      <c r="SQH236" s="1"/>
      <c r="SQI236" s="1"/>
      <c r="SQJ236" s="1"/>
      <c r="SQK236" s="1"/>
      <c r="SQL236" s="1"/>
      <c r="SQM236" s="1"/>
      <c r="SQN236" s="1"/>
      <c r="SQO236" s="1"/>
      <c r="SQP236" s="1"/>
      <c r="SQQ236" s="1"/>
      <c r="SQR236" s="1"/>
      <c r="SQS236" s="1"/>
      <c r="SQT236" s="1"/>
      <c r="SQU236" s="1"/>
      <c r="SQV236" s="1"/>
      <c r="SQW236" s="1"/>
      <c r="SQX236" s="1"/>
      <c r="SQY236" s="1"/>
      <c r="SQZ236" s="1"/>
      <c r="SRA236" s="1"/>
      <c r="SRB236" s="1"/>
      <c r="SRC236" s="1"/>
      <c r="SRD236" s="1"/>
      <c r="SRE236" s="1"/>
      <c r="SRF236" s="1"/>
      <c r="SRG236" s="1"/>
      <c r="SRH236" s="1"/>
      <c r="SRI236" s="1"/>
      <c r="SRJ236" s="1"/>
      <c r="SRK236" s="1"/>
      <c r="SRL236" s="1"/>
      <c r="SRM236" s="1"/>
      <c r="SRN236" s="1"/>
      <c r="SRO236" s="1"/>
      <c r="SRP236" s="1"/>
      <c r="SRQ236" s="1"/>
      <c r="SRR236" s="1"/>
      <c r="SRS236" s="1"/>
      <c r="SRT236" s="1"/>
      <c r="SRU236" s="1"/>
      <c r="SRV236" s="1"/>
      <c r="SRW236" s="1"/>
      <c r="SRX236" s="1"/>
      <c r="SRY236" s="1"/>
      <c r="SRZ236" s="1"/>
      <c r="SSA236" s="1"/>
      <c r="SSB236" s="1"/>
      <c r="SSC236" s="1"/>
      <c r="SSD236" s="1"/>
      <c r="SSE236" s="1"/>
      <c r="SSF236" s="1"/>
      <c r="SSG236" s="1"/>
      <c r="SSH236" s="1"/>
      <c r="SSI236" s="1"/>
      <c r="SSJ236" s="1"/>
      <c r="SSK236" s="1"/>
      <c r="SSL236" s="1"/>
      <c r="SSM236" s="1"/>
      <c r="SSN236" s="1"/>
      <c r="SSO236" s="1"/>
      <c r="SSP236" s="1"/>
      <c r="SSQ236" s="1"/>
      <c r="SSR236" s="1"/>
      <c r="SSS236" s="1"/>
      <c r="SST236" s="1"/>
      <c r="SSU236" s="1"/>
      <c r="SSV236" s="1"/>
      <c r="SSW236" s="1"/>
      <c r="SSX236" s="1"/>
      <c r="SSY236" s="1"/>
      <c r="SSZ236" s="1"/>
      <c r="STA236" s="1"/>
      <c r="STB236" s="1"/>
      <c r="STC236" s="1"/>
      <c r="STD236" s="1"/>
      <c r="STE236" s="1"/>
      <c r="STF236" s="1"/>
      <c r="STG236" s="1"/>
      <c r="STH236" s="1"/>
      <c r="STI236" s="1"/>
      <c r="STJ236" s="1"/>
      <c r="STK236" s="1"/>
      <c r="STL236" s="1"/>
      <c r="STM236" s="1"/>
      <c r="STN236" s="1"/>
      <c r="STO236" s="1"/>
      <c r="STP236" s="1"/>
      <c r="STQ236" s="1"/>
      <c r="STR236" s="1"/>
      <c r="STS236" s="1"/>
      <c r="STT236" s="1"/>
      <c r="STU236" s="1"/>
      <c r="STV236" s="1"/>
      <c r="STW236" s="1"/>
      <c r="STX236" s="1"/>
      <c r="STY236" s="1"/>
      <c r="STZ236" s="1"/>
      <c r="SUA236" s="1"/>
      <c r="SUB236" s="1"/>
      <c r="SUC236" s="1"/>
      <c r="SUD236" s="1"/>
      <c r="SUE236" s="1"/>
      <c r="SUF236" s="1"/>
      <c r="SUG236" s="1"/>
      <c r="SUH236" s="1"/>
      <c r="SUI236" s="1"/>
      <c r="SUJ236" s="1"/>
      <c r="SUK236" s="1"/>
      <c r="SUL236" s="1"/>
      <c r="SUM236" s="1"/>
      <c r="SUN236" s="1"/>
      <c r="SUO236" s="1"/>
      <c r="SUP236" s="1"/>
      <c r="SUQ236" s="1"/>
      <c r="SUR236" s="1"/>
      <c r="SUS236" s="1"/>
      <c r="SUT236" s="1"/>
      <c r="SUU236" s="1"/>
      <c r="SUV236" s="1"/>
      <c r="SUW236" s="1"/>
      <c r="SUX236" s="1"/>
      <c r="SUY236" s="1"/>
      <c r="SUZ236" s="1"/>
      <c r="SVA236" s="1"/>
      <c r="SVB236" s="1"/>
      <c r="SVC236" s="1"/>
      <c r="SVD236" s="1"/>
      <c r="SVE236" s="1"/>
      <c r="SVF236" s="1"/>
      <c r="SVG236" s="1"/>
      <c r="SVH236" s="1"/>
      <c r="SVI236" s="1"/>
      <c r="SVJ236" s="1"/>
      <c r="SVK236" s="1"/>
      <c r="SVL236" s="1"/>
      <c r="SVM236" s="1"/>
      <c r="SVN236" s="1"/>
      <c r="SVO236" s="1"/>
      <c r="SVP236" s="1"/>
      <c r="SVQ236" s="1"/>
      <c r="SVR236" s="1"/>
      <c r="SVS236" s="1"/>
      <c r="SVT236" s="1"/>
      <c r="SVU236" s="1"/>
      <c r="SVV236" s="1"/>
      <c r="SVW236" s="1"/>
      <c r="SVX236" s="1"/>
      <c r="SVY236" s="1"/>
      <c r="SVZ236" s="1"/>
      <c r="SWA236" s="1"/>
      <c r="SWB236" s="1"/>
      <c r="SWC236" s="1"/>
      <c r="SWD236" s="1"/>
      <c r="SWE236" s="1"/>
      <c r="SWF236" s="1"/>
      <c r="SWG236" s="1"/>
      <c r="SWH236" s="1"/>
      <c r="SWI236" s="1"/>
      <c r="SWJ236" s="1"/>
      <c r="SWK236" s="1"/>
      <c r="SWL236" s="1"/>
      <c r="SWM236" s="1"/>
      <c r="SWN236" s="1"/>
      <c r="SWO236" s="1"/>
      <c r="SWP236" s="1"/>
      <c r="SWQ236" s="1"/>
      <c r="SWR236" s="1"/>
      <c r="SWS236" s="1"/>
      <c r="SWT236" s="1"/>
      <c r="SWU236" s="1"/>
      <c r="SWV236" s="1"/>
      <c r="SWW236" s="1"/>
      <c r="SWX236" s="1"/>
      <c r="SWY236" s="1"/>
      <c r="SWZ236" s="1"/>
      <c r="SXA236" s="1"/>
      <c r="SXB236" s="1"/>
      <c r="SXC236" s="1"/>
      <c r="SXD236" s="1"/>
      <c r="SXE236" s="1"/>
      <c r="SXF236" s="1"/>
      <c r="SXG236" s="1"/>
      <c r="SXH236" s="1"/>
      <c r="SXI236" s="1"/>
      <c r="SXJ236" s="1"/>
      <c r="SXK236" s="1"/>
      <c r="SXL236" s="1"/>
      <c r="SXM236" s="1"/>
      <c r="SXN236" s="1"/>
      <c r="SXO236" s="1"/>
      <c r="SXP236" s="1"/>
      <c r="SXQ236" s="1"/>
      <c r="SXR236" s="1"/>
      <c r="SXS236" s="1"/>
      <c r="SXT236" s="1"/>
      <c r="SXU236" s="1"/>
      <c r="SXV236" s="1"/>
      <c r="SXW236" s="1"/>
      <c r="SXX236" s="1"/>
      <c r="SXY236" s="1"/>
      <c r="SXZ236" s="1"/>
      <c r="SYA236" s="1"/>
      <c r="SYB236" s="1"/>
      <c r="SYC236" s="1"/>
      <c r="SYD236" s="1"/>
      <c r="SYE236" s="1"/>
      <c r="SYF236" s="1"/>
      <c r="SYG236" s="1"/>
      <c r="SYH236" s="1"/>
      <c r="SYI236" s="1"/>
      <c r="SYJ236" s="1"/>
      <c r="SYK236" s="1"/>
      <c r="SYL236" s="1"/>
      <c r="SYM236" s="1"/>
      <c r="SYN236" s="1"/>
      <c r="SYO236" s="1"/>
      <c r="SYP236" s="1"/>
      <c r="SYQ236" s="1"/>
      <c r="SYR236" s="1"/>
      <c r="SYS236" s="1"/>
      <c r="SYT236" s="1"/>
      <c r="SYU236" s="1"/>
      <c r="SYV236" s="1"/>
      <c r="SYW236" s="1"/>
      <c r="SYX236" s="1"/>
      <c r="SYY236" s="1"/>
      <c r="SYZ236" s="1"/>
      <c r="SZA236" s="1"/>
      <c r="SZB236" s="1"/>
      <c r="SZC236" s="1"/>
      <c r="SZD236" s="1"/>
      <c r="SZE236" s="1"/>
      <c r="SZF236" s="1"/>
      <c r="SZG236" s="1"/>
      <c r="SZH236" s="1"/>
      <c r="SZI236" s="1"/>
      <c r="SZJ236" s="1"/>
      <c r="SZK236" s="1"/>
      <c r="SZL236" s="1"/>
      <c r="SZM236" s="1"/>
      <c r="SZN236" s="1"/>
      <c r="SZO236" s="1"/>
      <c r="SZP236" s="1"/>
      <c r="SZQ236" s="1"/>
      <c r="SZR236" s="1"/>
      <c r="SZS236" s="1"/>
      <c r="SZT236" s="1"/>
      <c r="SZU236" s="1"/>
      <c r="SZV236" s="1"/>
      <c r="SZW236" s="1"/>
      <c r="SZX236" s="1"/>
      <c r="SZY236" s="1"/>
      <c r="SZZ236" s="1"/>
      <c r="TAA236" s="1"/>
      <c r="TAB236" s="1"/>
      <c r="TAC236" s="1"/>
      <c r="TAD236" s="1"/>
      <c r="TAE236" s="1"/>
      <c r="TAF236" s="1"/>
      <c r="TAG236" s="1"/>
      <c r="TAH236" s="1"/>
      <c r="TAI236" s="1"/>
      <c r="TAJ236" s="1"/>
      <c r="TAK236" s="1"/>
      <c r="TAL236" s="1"/>
      <c r="TAM236" s="1"/>
      <c r="TAN236" s="1"/>
      <c r="TAO236" s="1"/>
      <c r="TAP236" s="1"/>
      <c r="TAQ236" s="1"/>
      <c r="TAR236" s="1"/>
      <c r="TAS236" s="1"/>
      <c r="TAT236" s="1"/>
      <c r="TAU236" s="1"/>
      <c r="TAV236" s="1"/>
      <c r="TAW236" s="1"/>
      <c r="TAX236" s="1"/>
      <c r="TAY236" s="1"/>
      <c r="TAZ236" s="1"/>
      <c r="TBA236" s="1"/>
      <c r="TBB236" s="1"/>
      <c r="TBC236" s="1"/>
      <c r="TBD236" s="1"/>
      <c r="TBE236" s="1"/>
      <c r="TBF236" s="1"/>
      <c r="TBG236" s="1"/>
      <c r="TBH236" s="1"/>
      <c r="TBI236" s="1"/>
      <c r="TBJ236" s="1"/>
      <c r="TBK236" s="1"/>
      <c r="TBL236" s="1"/>
      <c r="TBM236" s="1"/>
      <c r="TBN236" s="1"/>
      <c r="TBO236" s="1"/>
      <c r="TBP236" s="1"/>
      <c r="TBQ236" s="1"/>
      <c r="TBR236" s="1"/>
      <c r="TBS236" s="1"/>
      <c r="TBT236" s="1"/>
      <c r="TBU236" s="1"/>
      <c r="TBV236" s="1"/>
      <c r="TBW236" s="1"/>
      <c r="TBX236" s="1"/>
      <c r="TBY236" s="1"/>
      <c r="TBZ236" s="1"/>
      <c r="TCA236" s="1"/>
      <c r="TCB236" s="1"/>
      <c r="TCC236" s="1"/>
      <c r="TCD236" s="1"/>
      <c r="TCE236" s="1"/>
      <c r="TCF236" s="1"/>
      <c r="TCG236" s="1"/>
      <c r="TCH236" s="1"/>
      <c r="TCI236" s="1"/>
      <c r="TCJ236" s="1"/>
      <c r="TCK236" s="1"/>
      <c r="TCL236" s="1"/>
      <c r="TCM236" s="1"/>
      <c r="TCN236" s="1"/>
      <c r="TCO236" s="1"/>
      <c r="TCP236" s="1"/>
      <c r="TCQ236" s="1"/>
      <c r="TCR236" s="1"/>
      <c r="TCS236" s="1"/>
      <c r="TCT236" s="1"/>
      <c r="TCU236" s="1"/>
      <c r="TCV236" s="1"/>
      <c r="TCW236" s="1"/>
      <c r="TCX236" s="1"/>
      <c r="TCY236" s="1"/>
      <c r="TCZ236" s="1"/>
      <c r="TDA236" s="1"/>
      <c r="TDB236" s="1"/>
      <c r="TDC236" s="1"/>
      <c r="TDD236" s="1"/>
      <c r="TDE236" s="1"/>
      <c r="TDF236" s="1"/>
      <c r="TDG236" s="1"/>
      <c r="TDH236" s="1"/>
      <c r="TDI236" s="1"/>
      <c r="TDJ236" s="1"/>
      <c r="TDK236" s="1"/>
      <c r="TDL236" s="1"/>
      <c r="TDM236" s="1"/>
      <c r="TDN236" s="1"/>
      <c r="TDO236" s="1"/>
      <c r="TDP236" s="1"/>
      <c r="TDQ236" s="1"/>
      <c r="TDR236" s="1"/>
      <c r="TDS236" s="1"/>
      <c r="TDT236" s="1"/>
      <c r="TDU236" s="1"/>
      <c r="TDV236" s="1"/>
      <c r="TDW236" s="1"/>
      <c r="TDX236" s="1"/>
      <c r="TDY236" s="1"/>
      <c r="TDZ236" s="1"/>
      <c r="TEA236" s="1"/>
      <c r="TEB236" s="1"/>
      <c r="TEC236" s="1"/>
      <c r="TED236" s="1"/>
      <c r="TEE236" s="1"/>
      <c r="TEF236" s="1"/>
      <c r="TEG236" s="1"/>
      <c r="TEH236" s="1"/>
      <c r="TEI236" s="1"/>
      <c r="TEJ236" s="1"/>
      <c r="TEK236" s="1"/>
      <c r="TEL236" s="1"/>
      <c r="TEM236" s="1"/>
      <c r="TEN236" s="1"/>
      <c r="TEO236" s="1"/>
      <c r="TEP236" s="1"/>
      <c r="TEQ236" s="1"/>
      <c r="TER236" s="1"/>
      <c r="TES236" s="1"/>
      <c r="TET236" s="1"/>
      <c r="TEU236" s="1"/>
      <c r="TEV236" s="1"/>
      <c r="TEW236" s="1"/>
      <c r="TEX236" s="1"/>
      <c r="TEY236" s="1"/>
      <c r="TEZ236" s="1"/>
      <c r="TFA236" s="1"/>
      <c r="TFB236" s="1"/>
      <c r="TFC236" s="1"/>
      <c r="TFD236" s="1"/>
      <c r="TFE236" s="1"/>
      <c r="TFF236" s="1"/>
      <c r="TFG236" s="1"/>
      <c r="TFH236" s="1"/>
      <c r="TFI236" s="1"/>
      <c r="TFJ236" s="1"/>
      <c r="TFK236" s="1"/>
      <c r="TFL236" s="1"/>
      <c r="TFM236" s="1"/>
      <c r="TFN236" s="1"/>
      <c r="TFO236" s="1"/>
      <c r="TFP236" s="1"/>
      <c r="TFQ236" s="1"/>
      <c r="TFR236" s="1"/>
      <c r="TFS236" s="1"/>
      <c r="TFT236" s="1"/>
      <c r="TFU236" s="1"/>
      <c r="TFV236" s="1"/>
      <c r="TFW236" s="1"/>
      <c r="TFX236" s="1"/>
      <c r="TFY236" s="1"/>
      <c r="TFZ236" s="1"/>
      <c r="TGA236" s="1"/>
      <c r="TGB236" s="1"/>
      <c r="TGC236" s="1"/>
      <c r="TGD236" s="1"/>
      <c r="TGE236" s="1"/>
      <c r="TGF236" s="1"/>
      <c r="TGG236" s="1"/>
      <c r="TGH236" s="1"/>
      <c r="TGI236" s="1"/>
      <c r="TGJ236" s="1"/>
      <c r="TGK236" s="1"/>
      <c r="TGL236" s="1"/>
      <c r="TGM236" s="1"/>
      <c r="TGN236" s="1"/>
      <c r="TGO236" s="1"/>
      <c r="TGP236" s="1"/>
      <c r="TGQ236" s="1"/>
      <c r="TGR236" s="1"/>
      <c r="TGS236" s="1"/>
      <c r="TGT236" s="1"/>
      <c r="TGU236" s="1"/>
      <c r="TGV236" s="1"/>
      <c r="TGW236" s="1"/>
      <c r="TGX236" s="1"/>
      <c r="TGY236" s="1"/>
      <c r="TGZ236" s="1"/>
      <c r="THA236" s="1"/>
      <c r="THB236" s="1"/>
      <c r="THC236" s="1"/>
      <c r="THD236" s="1"/>
      <c r="THE236" s="1"/>
      <c r="THF236" s="1"/>
      <c r="THG236" s="1"/>
      <c r="THH236" s="1"/>
      <c r="THI236" s="1"/>
      <c r="THJ236" s="1"/>
      <c r="THK236" s="1"/>
      <c r="THL236" s="1"/>
      <c r="THM236" s="1"/>
      <c r="THN236" s="1"/>
      <c r="THO236" s="1"/>
      <c r="THP236" s="1"/>
      <c r="THQ236" s="1"/>
      <c r="THR236" s="1"/>
      <c r="THS236" s="1"/>
      <c r="THT236" s="1"/>
      <c r="THU236" s="1"/>
      <c r="THV236" s="1"/>
      <c r="THW236" s="1"/>
      <c r="THX236" s="1"/>
      <c r="THY236" s="1"/>
      <c r="THZ236" s="1"/>
      <c r="TIA236" s="1"/>
      <c r="TIB236" s="1"/>
      <c r="TIC236" s="1"/>
      <c r="TID236" s="1"/>
      <c r="TIE236" s="1"/>
      <c r="TIF236" s="1"/>
      <c r="TIG236" s="1"/>
      <c r="TIH236" s="1"/>
      <c r="TII236" s="1"/>
      <c r="TIJ236" s="1"/>
      <c r="TIK236" s="1"/>
      <c r="TIL236" s="1"/>
      <c r="TIM236" s="1"/>
      <c r="TIN236" s="1"/>
      <c r="TIO236" s="1"/>
      <c r="TIP236" s="1"/>
      <c r="TIQ236" s="1"/>
      <c r="TIR236" s="1"/>
      <c r="TIS236" s="1"/>
      <c r="TIT236" s="1"/>
      <c r="TIU236" s="1"/>
      <c r="TIV236" s="1"/>
      <c r="TIW236" s="1"/>
      <c r="TIX236" s="1"/>
      <c r="TIY236" s="1"/>
      <c r="TIZ236" s="1"/>
      <c r="TJA236" s="1"/>
      <c r="TJB236" s="1"/>
      <c r="TJC236" s="1"/>
      <c r="TJD236" s="1"/>
      <c r="TJE236" s="1"/>
      <c r="TJF236" s="1"/>
      <c r="TJG236" s="1"/>
      <c r="TJH236" s="1"/>
      <c r="TJI236" s="1"/>
      <c r="TJJ236" s="1"/>
      <c r="TJK236" s="1"/>
      <c r="TJL236" s="1"/>
      <c r="TJM236" s="1"/>
      <c r="TJN236" s="1"/>
      <c r="TJO236" s="1"/>
      <c r="TJP236" s="1"/>
      <c r="TJQ236" s="1"/>
      <c r="TJR236" s="1"/>
      <c r="TJS236" s="1"/>
      <c r="TJT236" s="1"/>
      <c r="TJU236" s="1"/>
      <c r="TJV236" s="1"/>
      <c r="TJW236" s="1"/>
      <c r="TJX236" s="1"/>
      <c r="TJY236" s="1"/>
      <c r="TJZ236" s="1"/>
      <c r="TKA236" s="1"/>
      <c r="TKB236" s="1"/>
      <c r="TKC236" s="1"/>
      <c r="TKD236" s="1"/>
      <c r="TKE236" s="1"/>
      <c r="TKF236" s="1"/>
      <c r="TKG236" s="1"/>
      <c r="TKH236" s="1"/>
      <c r="TKI236" s="1"/>
      <c r="TKJ236" s="1"/>
      <c r="TKK236" s="1"/>
      <c r="TKL236" s="1"/>
      <c r="TKM236" s="1"/>
      <c r="TKN236" s="1"/>
      <c r="TKO236" s="1"/>
      <c r="TKP236" s="1"/>
      <c r="TKQ236" s="1"/>
      <c r="TKR236" s="1"/>
      <c r="TKS236" s="1"/>
      <c r="TKT236" s="1"/>
      <c r="TKU236" s="1"/>
      <c r="TKV236" s="1"/>
      <c r="TKW236" s="1"/>
      <c r="TKX236" s="1"/>
      <c r="TKY236" s="1"/>
      <c r="TKZ236" s="1"/>
      <c r="TLA236" s="1"/>
      <c r="TLB236" s="1"/>
      <c r="TLC236" s="1"/>
      <c r="TLD236" s="1"/>
      <c r="TLE236" s="1"/>
      <c r="TLF236" s="1"/>
      <c r="TLG236" s="1"/>
      <c r="TLH236" s="1"/>
      <c r="TLI236" s="1"/>
      <c r="TLJ236" s="1"/>
      <c r="TLK236" s="1"/>
      <c r="TLL236" s="1"/>
      <c r="TLM236" s="1"/>
      <c r="TLN236" s="1"/>
      <c r="TLO236" s="1"/>
      <c r="TLP236" s="1"/>
      <c r="TLQ236" s="1"/>
      <c r="TLR236" s="1"/>
      <c r="TLS236" s="1"/>
      <c r="TLT236" s="1"/>
      <c r="TLU236" s="1"/>
      <c r="TLV236" s="1"/>
      <c r="TLW236" s="1"/>
      <c r="TLX236" s="1"/>
      <c r="TLY236" s="1"/>
      <c r="TLZ236" s="1"/>
      <c r="TMA236" s="1"/>
      <c r="TMB236" s="1"/>
      <c r="TMC236" s="1"/>
      <c r="TMD236" s="1"/>
      <c r="TME236" s="1"/>
      <c r="TMF236" s="1"/>
      <c r="TMG236" s="1"/>
      <c r="TMH236" s="1"/>
      <c r="TMI236" s="1"/>
      <c r="TMJ236" s="1"/>
      <c r="TMK236" s="1"/>
      <c r="TML236" s="1"/>
      <c r="TMM236" s="1"/>
      <c r="TMN236" s="1"/>
      <c r="TMO236" s="1"/>
      <c r="TMP236" s="1"/>
      <c r="TMQ236" s="1"/>
      <c r="TMR236" s="1"/>
      <c r="TMS236" s="1"/>
      <c r="TMT236" s="1"/>
      <c r="TMU236" s="1"/>
      <c r="TMV236" s="1"/>
      <c r="TMW236" s="1"/>
      <c r="TMX236" s="1"/>
      <c r="TMY236" s="1"/>
      <c r="TMZ236" s="1"/>
      <c r="TNA236" s="1"/>
      <c r="TNB236" s="1"/>
      <c r="TNC236" s="1"/>
      <c r="TND236" s="1"/>
      <c r="TNE236" s="1"/>
      <c r="TNF236" s="1"/>
      <c r="TNG236" s="1"/>
      <c r="TNH236" s="1"/>
      <c r="TNI236" s="1"/>
      <c r="TNJ236" s="1"/>
      <c r="TNK236" s="1"/>
      <c r="TNL236" s="1"/>
      <c r="TNM236" s="1"/>
      <c r="TNN236" s="1"/>
      <c r="TNO236" s="1"/>
      <c r="TNP236" s="1"/>
      <c r="TNQ236" s="1"/>
      <c r="TNR236" s="1"/>
      <c r="TNS236" s="1"/>
      <c r="TNT236" s="1"/>
      <c r="TNU236" s="1"/>
      <c r="TNV236" s="1"/>
      <c r="TNW236" s="1"/>
      <c r="TNX236" s="1"/>
      <c r="TNY236" s="1"/>
      <c r="TNZ236" s="1"/>
      <c r="TOA236" s="1"/>
      <c r="TOB236" s="1"/>
      <c r="TOC236" s="1"/>
      <c r="TOD236" s="1"/>
      <c r="TOE236" s="1"/>
      <c r="TOF236" s="1"/>
      <c r="TOG236" s="1"/>
      <c r="TOH236" s="1"/>
      <c r="TOI236" s="1"/>
      <c r="TOJ236" s="1"/>
      <c r="TOK236" s="1"/>
      <c r="TOL236" s="1"/>
      <c r="TOM236" s="1"/>
      <c r="TON236" s="1"/>
      <c r="TOO236" s="1"/>
      <c r="TOP236" s="1"/>
      <c r="TOQ236" s="1"/>
      <c r="TOR236" s="1"/>
      <c r="TOS236" s="1"/>
      <c r="TOT236" s="1"/>
      <c r="TOU236" s="1"/>
      <c r="TOV236" s="1"/>
      <c r="TOW236" s="1"/>
      <c r="TOX236" s="1"/>
      <c r="TOY236" s="1"/>
      <c r="TOZ236" s="1"/>
      <c r="TPA236" s="1"/>
      <c r="TPB236" s="1"/>
      <c r="TPC236" s="1"/>
      <c r="TPD236" s="1"/>
      <c r="TPE236" s="1"/>
      <c r="TPF236" s="1"/>
      <c r="TPG236" s="1"/>
      <c r="TPH236" s="1"/>
      <c r="TPI236" s="1"/>
      <c r="TPJ236" s="1"/>
      <c r="TPK236" s="1"/>
      <c r="TPL236" s="1"/>
      <c r="TPM236" s="1"/>
      <c r="TPN236" s="1"/>
      <c r="TPO236" s="1"/>
      <c r="TPP236" s="1"/>
      <c r="TPQ236" s="1"/>
      <c r="TPR236" s="1"/>
      <c r="TPS236" s="1"/>
      <c r="TPT236" s="1"/>
      <c r="TPU236" s="1"/>
      <c r="TPV236" s="1"/>
      <c r="TPW236" s="1"/>
      <c r="TPX236" s="1"/>
      <c r="TPY236" s="1"/>
      <c r="TPZ236" s="1"/>
      <c r="TQA236" s="1"/>
      <c r="TQB236" s="1"/>
      <c r="TQC236" s="1"/>
      <c r="TQD236" s="1"/>
      <c r="TQE236" s="1"/>
      <c r="TQF236" s="1"/>
      <c r="TQG236" s="1"/>
      <c r="TQH236" s="1"/>
      <c r="TQI236" s="1"/>
      <c r="TQJ236" s="1"/>
      <c r="TQK236" s="1"/>
      <c r="TQL236" s="1"/>
      <c r="TQM236" s="1"/>
      <c r="TQN236" s="1"/>
      <c r="TQO236" s="1"/>
      <c r="TQP236" s="1"/>
      <c r="TQQ236" s="1"/>
      <c r="TQR236" s="1"/>
      <c r="TQS236" s="1"/>
      <c r="TQT236" s="1"/>
      <c r="TQU236" s="1"/>
      <c r="TQV236" s="1"/>
      <c r="TQW236" s="1"/>
      <c r="TQX236" s="1"/>
      <c r="TQY236" s="1"/>
      <c r="TQZ236" s="1"/>
      <c r="TRA236" s="1"/>
      <c r="TRB236" s="1"/>
      <c r="TRC236" s="1"/>
      <c r="TRD236" s="1"/>
      <c r="TRE236" s="1"/>
      <c r="TRF236" s="1"/>
      <c r="TRG236" s="1"/>
      <c r="TRH236" s="1"/>
      <c r="TRI236" s="1"/>
      <c r="TRJ236" s="1"/>
      <c r="TRK236" s="1"/>
      <c r="TRL236" s="1"/>
      <c r="TRM236" s="1"/>
      <c r="TRN236" s="1"/>
      <c r="TRO236" s="1"/>
      <c r="TRP236" s="1"/>
      <c r="TRQ236" s="1"/>
      <c r="TRR236" s="1"/>
      <c r="TRS236" s="1"/>
      <c r="TRT236" s="1"/>
      <c r="TRU236" s="1"/>
      <c r="TRV236" s="1"/>
      <c r="TRW236" s="1"/>
      <c r="TRX236" s="1"/>
      <c r="TRY236" s="1"/>
      <c r="TRZ236" s="1"/>
      <c r="TSA236" s="1"/>
      <c r="TSB236" s="1"/>
      <c r="TSC236" s="1"/>
      <c r="TSD236" s="1"/>
      <c r="TSE236" s="1"/>
      <c r="TSF236" s="1"/>
      <c r="TSG236" s="1"/>
      <c r="TSH236" s="1"/>
      <c r="TSI236" s="1"/>
      <c r="TSJ236" s="1"/>
      <c r="TSK236" s="1"/>
      <c r="TSL236" s="1"/>
      <c r="TSM236" s="1"/>
      <c r="TSN236" s="1"/>
      <c r="TSO236" s="1"/>
      <c r="TSP236" s="1"/>
      <c r="TSQ236" s="1"/>
      <c r="TSR236" s="1"/>
      <c r="TSS236" s="1"/>
      <c r="TST236" s="1"/>
      <c r="TSU236" s="1"/>
      <c r="TSV236" s="1"/>
      <c r="TSW236" s="1"/>
      <c r="TSX236" s="1"/>
      <c r="TSY236" s="1"/>
      <c r="TSZ236" s="1"/>
      <c r="TTA236" s="1"/>
      <c r="TTB236" s="1"/>
      <c r="TTC236" s="1"/>
      <c r="TTD236" s="1"/>
      <c r="TTE236" s="1"/>
      <c r="TTF236" s="1"/>
      <c r="TTG236" s="1"/>
      <c r="TTH236" s="1"/>
      <c r="TTI236" s="1"/>
      <c r="TTJ236" s="1"/>
      <c r="TTK236" s="1"/>
      <c r="TTL236" s="1"/>
      <c r="TTM236" s="1"/>
      <c r="TTN236" s="1"/>
      <c r="TTO236" s="1"/>
      <c r="TTP236" s="1"/>
      <c r="TTQ236" s="1"/>
      <c r="TTR236" s="1"/>
      <c r="TTS236" s="1"/>
      <c r="TTT236" s="1"/>
      <c r="TTU236" s="1"/>
      <c r="TTV236" s="1"/>
      <c r="TTW236" s="1"/>
      <c r="TTX236" s="1"/>
      <c r="TTY236" s="1"/>
      <c r="TTZ236" s="1"/>
      <c r="TUA236" s="1"/>
      <c r="TUB236" s="1"/>
      <c r="TUC236" s="1"/>
      <c r="TUD236" s="1"/>
      <c r="TUE236" s="1"/>
      <c r="TUF236" s="1"/>
      <c r="TUG236" s="1"/>
      <c r="TUH236" s="1"/>
      <c r="TUI236" s="1"/>
      <c r="TUJ236" s="1"/>
      <c r="TUK236" s="1"/>
      <c r="TUL236" s="1"/>
      <c r="TUM236" s="1"/>
      <c r="TUN236" s="1"/>
      <c r="TUO236" s="1"/>
      <c r="TUP236" s="1"/>
      <c r="TUQ236" s="1"/>
      <c r="TUR236" s="1"/>
      <c r="TUS236" s="1"/>
      <c r="TUT236" s="1"/>
      <c r="TUU236" s="1"/>
      <c r="TUV236" s="1"/>
      <c r="TUW236" s="1"/>
      <c r="TUX236" s="1"/>
      <c r="TUY236" s="1"/>
      <c r="TUZ236" s="1"/>
      <c r="TVA236" s="1"/>
      <c r="TVB236" s="1"/>
      <c r="TVC236" s="1"/>
      <c r="TVD236" s="1"/>
      <c r="TVE236" s="1"/>
      <c r="TVF236" s="1"/>
      <c r="TVG236" s="1"/>
      <c r="TVH236" s="1"/>
      <c r="TVI236" s="1"/>
      <c r="TVJ236" s="1"/>
      <c r="TVK236" s="1"/>
      <c r="TVL236" s="1"/>
      <c r="TVM236" s="1"/>
      <c r="TVN236" s="1"/>
      <c r="TVO236" s="1"/>
      <c r="TVP236" s="1"/>
      <c r="TVQ236" s="1"/>
      <c r="TVR236" s="1"/>
      <c r="TVS236" s="1"/>
      <c r="TVT236" s="1"/>
      <c r="TVU236" s="1"/>
      <c r="TVV236" s="1"/>
      <c r="TVW236" s="1"/>
      <c r="TVX236" s="1"/>
      <c r="TVY236" s="1"/>
      <c r="TVZ236" s="1"/>
      <c r="TWA236" s="1"/>
      <c r="TWB236" s="1"/>
      <c r="TWC236" s="1"/>
      <c r="TWD236" s="1"/>
      <c r="TWE236" s="1"/>
      <c r="TWF236" s="1"/>
      <c r="TWG236" s="1"/>
      <c r="TWH236" s="1"/>
      <c r="TWI236" s="1"/>
      <c r="TWJ236" s="1"/>
      <c r="TWK236" s="1"/>
      <c r="TWL236" s="1"/>
      <c r="TWM236" s="1"/>
      <c r="TWN236" s="1"/>
      <c r="TWO236" s="1"/>
      <c r="TWP236" s="1"/>
      <c r="TWQ236" s="1"/>
      <c r="TWR236" s="1"/>
      <c r="TWS236" s="1"/>
      <c r="TWT236" s="1"/>
      <c r="TWU236" s="1"/>
      <c r="TWV236" s="1"/>
      <c r="TWW236" s="1"/>
      <c r="TWX236" s="1"/>
      <c r="TWY236" s="1"/>
      <c r="TWZ236" s="1"/>
      <c r="TXA236" s="1"/>
      <c r="TXB236" s="1"/>
      <c r="TXC236" s="1"/>
      <c r="TXD236" s="1"/>
      <c r="TXE236" s="1"/>
      <c r="TXF236" s="1"/>
      <c r="TXG236" s="1"/>
      <c r="TXH236" s="1"/>
      <c r="TXI236" s="1"/>
      <c r="TXJ236" s="1"/>
      <c r="TXK236" s="1"/>
      <c r="TXL236" s="1"/>
      <c r="TXM236" s="1"/>
      <c r="TXN236" s="1"/>
      <c r="TXO236" s="1"/>
      <c r="TXP236" s="1"/>
      <c r="TXQ236" s="1"/>
      <c r="TXR236" s="1"/>
      <c r="TXS236" s="1"/>
      <c r="TXT236" s="1"/>
      <c r="TXU236" s="1"/>
      <c r="TXV236" s="1"/>
      <c r="TXW236" s="1"/>
      <c r="TXX236" s="1"/>
      <c r="TXY236" s="1"/>
      <c r="TXZ236" s="1"/>
      <c r="TYA236" s="1"/>
      <c r="TYB236" s="1"/>
      <c r="TYC236" s="1"/>
      <c r="TYD236" s="1"/>
      <c r="TYE236" s="1"/>
      <c r="TYF236" s="1"/>
      <c r="TYG236" s="1"/>
      <c r="TYH236" s="1"/>
      <c r="TYI236" s="1"/>
      <c r="TYJ236" s="1"/>
      <c r="TYK236" s="1"/>
      <c r="TYL236" s="1"/>
      <c r="TYM236" s="1"/>
      <c r="TYN236" s="1"/>
      <c r="TYO236" s="1"/>
      <c r="TYP236" s="1"/>
      <c r="TYQ236" s="1"/>
      <c r="TYR236" s="1"/>
      <c r="TYS236" s="1"/>
      <c r="TYT236" s="1"/>
      <c r="TYU236" s="1"/>
      <c r="TYV236" s="1"/>
      <c r="TYW236" s="1"/>
      <c r="TYX236" s="1"/>
      <c r="TYY236" s="1"/>
      <c r="TYZ236" s="1"/>
      <c r="TZA236" s="1"/>
      <c r="TZB236" s="1"/>
      <c r="TZC236" s="1"/>
      <c r="TZD236" s="1"/>
      <c r="TZE236" s="1"/>
      <c r="TZF236" s="1"/>
      <c r="TZG236" s="1"/>
      <c r="TZH236" s="1"/>
      <c r="TZI236" s="1"/>
      <c r="TZJ236" s="1"/>
      <c r="TZK236" s="1"/>
      <c r="TZL236" s="1"/>
      <c r="TZM236" s="1"/>
      <c r="TZN236" s="1"/>
      <c r="TZO236" s="1"/>
      <c r="TZP236" s="1"/>
      <c r="TZQ236" s="1"/>
      <c r="TZR236" s="1"/>
      <c r="TZS236" s="1"/>
      <c r="TZT236" s="1"/>
      <c r="TZU236" s="1"/>
      <c r="TZV236" s="1"/>
      <c r="TZW236" s="1"/>
      <c r="TZX236" s="1"/>
      <c r="TZY236" s="1"/>
      <c r="TZZ236" s="1"/>
      <c r="UAA236" s="1"/>
      <c r="UAB236" s="1"/>
      <c r="UAC236" s="1"/>
      <c r="UAD236" s="1"/>
      <c r="UAE236" s="1"/>
      <c r="UAF236" s="1"/>
      <c r="UAG236" s="1"/>
      <c r="UAH236" s="1"/>
      <c r="UAI236" s="1"/>
      <c r="UAJ236" s="1"/>
      <c r="UAK236" s="1"/>
      <c r="UAL236" s="1"/>
      <c r="UAM236" s="1"/>
      <c r="UAN236" s="1"/>
      <c r="UAO236" s="1"/>
      <c r="UAP236" s="1"/>
      <c r="UAQ236" s="1"/>
      <c r="UAR236" s="1"/>
      <c r="UAS236" s="1"/>
      <c r="UAT236" s="1"/>
      <c r="UAU236" s="1"/>
      <c r="UAV236" s="1"/>
      <c r="UAW236" s="1"/>
      <c r="UAX236" s="1"/>
      <c r="UAY236" s="1"/>
      <c r="UAZ236" s="1"/>
      <c r="UBA236" s="1"/>
      <c r="UBB236" s="1"/>
      <c r="UBC236" s="1"/>
      <c r="UBD236" s="1"/>
      <c r="UBE236" s="1"/>
      <c r="UBF236" s="1"/>
      <c r="UBG236" s="1"/>
      <c r="UBH236" s="1"/>
      <c r="UBI236" s="1"/>
      <c r="UBJ236" s="1"/>
      <c r="UBK236" s="1"/>
      <c r="UBL236" s="1"/>
      <c r="UBM236" s="1"/>
      <c r="UBN236" s="1"/>
      <c r="UBO236" s="1"/>
      <c r="UBP236" s="1"/>
      <c r="UBQ236" s="1"/>
      <c r="UBR236" s="1"/>
      <c r="UBS236" s="1"/>
      <c r="UBT236" s="1"/>
      <c r="UBU236" s="1"/>
      <c r="UBV236" s="1"/>
      <c r="UBW236" s="1"/>
      <c r="UBX236" s="1"/>
      <c r="UBY236" s="1"/>
      <c r="UBZ236" s="1"/>
      <c r="UCA236" s="1"/>
      <c r="UCB236" s="1"/>
      <c r="UCC236" s="1"/>
      <c r="UCD236" s="1"/>
      <c r="UCE236" s="1"/>
      <c r="UCF236" s="1"/>
      <c r="UCG236" s="1"/>
      <c r="UCH236" s="1"/>
      <c r="UCI236" s="1"/>
      <c r="UCJ236" s="1"/>
      <c r="UCK236" s="1"/>
      <c r="UCL236" s="1"/>
      <c r="UCM236" s="1"/>
      <c r="UCN236" s="1"/>
      <c r="UCO236" s="1"/>
      <c r="UCP236" s="1"/>
      <c r="UCQ236" s="1"/>
      <c r="UCR236" s="1"/>
      <c r="UCS236" s="1"/>
      <c r="UCT236" s="1"/>
      <c r="UCU236" s="1"/>
      <c r="UCV236" s="1"/>
      <c r="UCW236" s="1"/>
      <c r="UCX236" s="1"/>
      <c r="UCY236" s="1"/>
      <c r="UCZ236" s="1"/>
      <c r="UDA236" s="1"/>
      <c r="UDB236" s="1"/>
      <c r="UDC236" s="1"/>
      <c r="UDD236" s="1"/>
      <c r="UDE236" s="1"/>
      <c r="UDF236" s="1"/>
      <c r="UDG236" s="1"/>
      <c r="UDH236" s="1"/>
      <c r="UDI236" s="1"/>
      <c r="UDJ236" s="1"/>
      <c r="UDK236" s="1"/>
      <c r="UDL236" s="1"/>
      <c r="UDM236" s="1"/>
      <c r="UDN236" s="1"/>
      <c r="UDO236" s="1"/>
      <c r="UDP236" s="1"/>
      <c r="UDQ236" s="1"/>
      <c r="UDR236" s="1"/>
      <c r="UDS236" s="1"/>
      <c r="UDT236" s="1"/>
      <c r="UDU236" s="1"/>
      <c r="UDV236" s="1"/>
      <c r="UDW236" s="1"/>
      <c r="UDX236" s="1"/>
      <c r="UDY236" s="1"/>
      <c r="UDZ236" s="1"/>
      <c r="UEA236" s="1"/>
      <c r="UEB236" s="1"/>
      <c r="UEC236" s="1"/>
      <c r="UED236" s="1"/>
      <c r="UEE236" s="1"/>
      <c r="UEF236" s="1"/>
      <c r="UEG236" s="1"/>
      <c r="UEH236" s="1"/>
      <c r="UEI236" s="1"/>
      <c r="UEJ236" s="1"/>
      <c r="UEK236" s="1"/>
      <c r="UEL236" s="1"/>
      <c r="UEM236" s="1"/>
      <c r="UEN236" s="1"/>
      <c r="UEO236" s="1"/>
      <c r="UEP236" s="1"/>
      <c r="UEQ236" s="1"/>
      <c r="UER236" s="1"/>
      <c r="UES236" s="1"/>
      <c r="UET236" s="1"/>
      <c r="UEU236" s="1"/>
      <c r="UEV236" s="1"/>
      <c r="UEW236" s="1"/>
      <c r="UEX236" s="1"/>
      <c r="UEY236" s="1"/>
      <c r="UEZ236" s="1"/>
      <c r="UFA236" s="1"/>
      <c r="UFB236" s="1"/>
      <c r="UFC236" s="1"/>
      <c r="UFD236" s="1"/>
      <c r="UFE236" s="1"/>
      <c r="UFF236" s="1"/>
      <c r="UFG236" s="1"/>
      <c r="UFH236" s="1"/>
      <c r="UFI236" s="1"/>
      <c r="UFJ236" s="1"/>
      <c r="UFK236" s="1"/>
      <c r="UFL236" s="1"/>
      <c r="UFM236" s="1"/>
      <c r="UFN236" s="1"/>
      <c r="UFO236" s="1"/>
      <c r="UFP236" s="1"/>
      <c r="UFQ236" s="1"/>
      <c r="UFR236" s="1"/>
      <c r="UFS236" s="1"/>
      <c r="UFT236" s="1"/>
      <c r="UFU236" s="1"/>
      <c r="UFV236" s="1"/>
      <c r="UFW236" s="1"/>
      <c r="UFX236" s="1"/>
      <c r="UFY236" s="1"/>
      <c r="UFZ236" s="1"/>
      <c r="UGA236" s="1"/>
      <c r="UGB236" s="1"/>
      <c r="UGC236" s="1"/>
      <c r="UGD236" s="1"/>
      <c r="UGE236" s="1"/>
      <c r="UGF236" s="1"/>
      <c r="UGG236" s="1"/>
      <c r="UGH236" s="1"/>
      <c r="UGI236" s="1"/>
      <c r="UGJ236" s="1"/>
      <c r="UGK236" s="1"/>
      <c r="UGL236" s="1"/>
      <c r="UGM236" s="1"/>
      <c r="UGN236" s="1"/>
      <c r="UGO236" s="1"/>
      <c r="UGP236" s="1"/>
      <c r="UGQ236" s="1"/>
      <c r="UGR236" s="1"/>
      <c r="UGS236" s="1"/>
      <c r="UGT236" s="1"/>
      <c r="UGU236" s="1"/>
      <c r="UGV236" s="1"/>
      <c r="UGW236" s="1"/>
      <c r="UGX236" s="1"/>
      <c r="UGY236" s="1"/>
      <c r="UGZ236" s="1"/>
      <c r="UHA236" s="1"/>
      <c r="UHB236" s="1"/>
      <c r="UHC236" s="1"/>
      <c r="UHD236" s="1"/>
      <c r="UHE236" s="1"/>
      <c r="UHF236" s="1"/>
      <c r="UHG236" s="1"/>
      <c r="UHH236" s="1"/>
      <c r="UHI236" s="1"/>
      <c r="UHJ236" s="1"/>
      <c r="UHK236" s="1"/>
      <c r="UHL236" s="1"/>
      <c r="UHM236" s="1"/>
      <c r="UHN236" s="1"/>
      <c r="UHO236" s="1"/>
      <c r="UHP236" s="1"/>
      <c r="UHQ236" s="1"/>
      <c r="UHR236" s="1"/>
      <c r="UHS236" s="1"/>
      <c r="UHT236" s="1"/>
      <c r="UHU236" s="1"/>
      <c r="UHV236" s="1"/>
      <c r="UHW236" s="1"/>
      <c r="UHX236" s="1"/>
      <c r="UHY236" s="1"/>
      <c r="UHZ236" s="1"/>
      <c r="UIA236" s="1"/>
      <c r="UIB236" s="1"/>
      <c r="UIC236" s="1"/>
      <c r="UID236" s="1"/>
      <c r="UIE236" s="1"/>
      <c r="UIF236" s="1"/>
      <c r="UIG236" s="1"/>
      <c r="UIH236" s="1"/>
      <c r="UII236" s="1"/>
      <c r="UIJ236" s="1"/>
      <c r="UIK236" s="1"/>
      <c r="UIL236" s="1"/>
      <c r="UIM236" s="1"/>
      <c r="UIN236" s="1"/>
      <c r="UIO236" s="1"/>
      <c r="UIP236" s="1"/>
      <c r="UIQ236" s="1"/>
      <c r="UIR236" s="1"/>
      <c r="UIS236" s="1"/>
      <c r="UIT236" s="1"/>
      <c r="UIU236" s="1"/>
      <c r="UIV236" s="1"/>
      <c r="UIW236" s="1"/>
      <c r="UIX236" s="1"/>
      <c r="UIY236" s="1"/>
      <c r="UIZ236" s="1"/>
      <c r="UJA236" s="1"/>
      <c r="UJB236" s="1"/>
      <c r="UJC236" s="1"/>
      <c r="UJD236" s="1"/>
      <c r="UJE236" s="1"/>
      <c r="UJF236" s="1"/>
      <c r="UJG236" s="1"/>
      <c r="UJH236" s="1"/>
      <c r="UJI236" s="1"/>
      <c r="UJJ236" s="1"/>
      <c r="UJK236" s="1"/>
      <c r="UJL236" s="1"/>
      <c r="UJM236" s="1"/>
      <c r="UJN236" s="1"/>
      <c r="UJO236" s="1"/>
      <c r="UJP236" s="1"/>
      <c r="UJQ236" s="1"/>
      <c r="UJR236" s="1"/>
      <c r="UJS236" s="1"/>
      <c r="UJT236" s="1"/>
      <c r="UJU236" s="1"/>
      <c r="UJV236" s="1"/>
      <c r="UJW236" s="1"/>
      <c r="UJX236" s="1"/>
      <c r="UJY236" s="1"/>
      <c r="UJZ236" s="1"/>
      <c r="UKA236" s="1"/>
      <c r="UKB236" s="1"/>
      <c r="UKC236" s="1"/>
      <c r="UKD236" s="1"/>
      <c r="UKE236" s="1"/>
      <c r="UKF236" s="1"/>
      <c r="UKG236" s="1"/>
      <c r="UKH236" s="1"/>
      <c r="UKI236" s="1"/>
      <c r="UKJ236" s="1"/>
      <c r="UKK236" s="1"/>
      <c r="UKL236" s="1"/>
      <c r="UKM236" s="1"/>
      <c r="UKN236" s="1"/>
      <c r="UKO236" s="1"/>
      <c r="UKP236" s="1"/>
      <c r="UKQ236" s="1"/>
      <c r="UKR236" s="1"/>
      <c r="UKS236" s="1"/>
      <c r="UKT236" s="1"/>
      <c r="UKU236" s="1"/>
      <c r="UKV236" s="1"/>
      <c r="UKW236" s="1"/>
      <c r="UKX236" s="1"/>
      <c r="UKY236" s="1"/>
      <c r="UKZ236" s="1"/>
      <c r="ULA236" s="1"/>
      <c r="ULB236" s="1"/>
      <c r="ULC236" s="1"/>
      <c r="ULD236" s="1"/>
      <c r="ULE236" s="1"/>
      <c r="ULF236" s="1"/>
      <c r="ULG236" s="1"/>
      <c r="ULH236" s="1"/>
      <c r="ULI236" s="1"/>
      <c r="ULJ236" s="1"/>
      <c r="ULK236" s="1"/>
      <c r="ULL236" s="1"/>
      <c r="ULM236" s="1"/>
      <c r="ULN236" s="1"/>
      <c r="ULO236" s="1"/>
      <c r="ULP236" s="1"/>
      <c r="ULQ236" s="1"/>
      <c r="ULR236" s="1"/>
      <c r="ULS236" s="1"/>
      <c r="ULT236" s="1"/>
      <c r="ULU236" s="1"/>
      <c r="ULV236" s="1"/>
      <c r="ULW236" s="1"/>
      <c r="ULX236" s="1"/>
      <c r="ULY236" s="1"/>
      <c r="ULZ236" s="1"/>
      <c r="UMA236" s="1"/>
      <c r="UMB236" s="1"/>
      <c r="UMC236" s="1"/>
      <c r="UMD236" s="1"/>
      <c r="UME236" s="1"/>
      <c r="UMF236" s="1"/>
      <c r="UMG236" s="1"/>
      <c r="UMH236" s="1"/>
      <c r="UMI236" s="1"/>
      <c r="UMJ236" s="1"/>
      <c r="UMK236" s="1"/>
      <c r="UML236" s="1"/>
      <c r="UMM236" s="1"/>
      <c r="UMN236" s="1"/>
      <c r="UMO236" s="1"/>
      <c r="UMP236" s="1"/>
      <c r="UMQ236" s="1"/>
      <c r="UMR236" s="1"/>
      <c r="UMS236" s="1"/>
      <c r="UMT236" s="1"/>
      <c r="UMU236" s="1"/>
      <c r="UMV236" s="1"/>
      <c r="UMW236" s="1"/>
      <c r="UMX236" s="1"/>
      <c r="UMY236" s="1"/>
      <c r="UMZ236" s="1"/>
      <c r="UNA236" s="1"/>
      <c r="UNB236" s="1"/>
      <c r="UNC236" s="1"/>
      <c r="UND236" s="1"/>
      <c r="UNE236" s="1"/>
      <c r="UNF236" s="1"/>
      <c r="UNG236" s="1"/>
      <c r="UNH236" s="1"/>
      <c r="UNI236" s="1"/>
      <c r="UNJ236" s="1"/>
      <c r="UNK236" s="1"/>
      <c r="UNL236" s="1"/>
      <c r="UNM236" s="1"/>
      <c r="UNN236" s="1"/>
      <c r="UNO236" s="1"/>
      <c r="UNP236" s="1"/>
      <c r="UNQ236" s="1"/>
      <c r="UNR236" s="1"/>
      <c r="UNS236" s="1"/>
      <c r="UNT236" s="1"/>
      <c r="UNU236" s="1"/>
      <c r="UNV236" s="1"/>
      <c r="UNW236" s="1"/>
      <c r="UNX236" s="1"/>
      <c r="UNY236" s="1"/>
      <c r="UNZ236" s="1"/>
      <c r="UOA236" s="1"/>
      <c r="UOB236" s="1"/>
      <c r="UOC236" s="1"/>
      <c r="UOD236" s="1"/>
      <c r="UOE236" s="1"/>
      <c r="UOF236" s="1"/>
      <c r="UOG236" s="1"/>
      <c r="UOH236" s="1"/>
      <c r="UOI236" s="1"/>
      <c r="UOJ236" s="1"/>
      <c r="UOK236" s="1"/>
      <c r="UOL236" s="1"/>
      <c r="UOM236" s="1"/>
      <c r="UON236" s="1"/>
      <c r="UOO236" s="1"/>
      <c r="UOP236" s="1"/>
      <c r="UOQ236" s="1"/>
      <c r="UOR236" s="1"/>
      <c r="UOS236" s="1"/>
      <c r="UOT236" s="1"/>
      <c r="UOU236" s="1"/>
      <c r="UOV236" s="1"/>
      <c r="UOW236" s="1"/>
      <c r="UOX236" s="1"/>
      <c r="UOY236" s="1"/>
      <c r="UOZ236" s="1"/>
      <c r="UPA236" s="1"/>
      <c r="UPB236" s="1"/>
      <c r="UPC236" s="1"/>
      <c r="UPD236" s="1"/>
      <c r="UPE236" s="1"/>
      <c r="UPF236" s="1"/>
      <c r="UPG236" s="1"/>
      <c r="UPH236" s="1"/>
      <c r="UPI236" s="1"/>
      <c r="UPJ236" s="1"/>
      <c r="UPK236" s="1"/>
      <c r="UPL236" s="1"/>
      <c r="UPM236" s="1"/>
      <c r="UPN236" s="1"/>
      <c r="UPO236" s="1"/>
      <c r="UPP236" s="1"/>
      <c r="UPQ236" s="1"/>
      <c r="UPR236" s="1"/>
      <c r="UPS236" s="1"/>
      <c r="UPT236" s="1"/>
      <c r="UPU236" s="1"/>
      <c r="UPV236" s="1"/>
      <c r="UPW236" s="1"/>
      <c r="UPX236" s="1"/>
      <c r="UPY236" s="1"/>
      <c r="UPZ236" s="1"/>
      <c r="UQA236" s="1"/>
      <c r="UQB236" s="1"/>
      <c r="UQC236" s="1"/>
      <c r="UQD236" s="1"/>
      <c r="UQE236" s="1"/>
      <c r="UQF236" s="1"/>
      <c r="UQG236" s="1"/>
      <c r="UQH236" s="1"/>
      <c r="UQI236" s="1"/>
      <c r="UQJ236" s="1"/>
      <c r="UQK236" s="1"/>
      <c r="UQL236" s="1"/>
      <c r="UQM236" s="1"/>
      <c r="UQN236" s="1"/>
      <c r="UQO236" s="1"/>
      <c r="UQP236" s="1"/>
      <c r="UQQ236" s="1"/>
      <c r="UQR236" s="1"/>
      <c r="UQS236" s="1"/>
      <c r="UQT236" s="1"/>
      <c r="UQU236" s="1"/>
      <c r="UQV236" s="1"/>
      <c r="UQW236" s="1"/>
      <c r="UQX236" s="1"/>
      <c r="UQY236" s="1"/>
      <c r="UQZ236" s="1"/>
      <c r="URA236" s="1"/>
      <c r="URB236" s="1"/>
      <c r="URC236" s="1"/>
      <c r="URD236" s="1"/>
      <c r="URE236" s="1"/>
      <c r="URF236" s="1"/>
      <c r="URG236" s="1"/>
      <c r="URH236" s="1"/>
      <c r="URI236" s="1"/>
      <c r="URJ236" s="1"/>
      <c r="URK236" s="1"/>
      <c r="URL236" s="1"/>
      <c r="URM236" s="1"/>
      <c r="URN236" s="1"/>
      <c r="URO236" s="1"/>
      <c r="URP236" s="1"/>
      <c r="URQ236" s="1"/>
      <c r="URR236" s="1"/>
      <c r="URS236" s="1"/>
      <c r="URT236" s="1"/>
      <c r="URU236" s="1"/>
      <c r="URV236" s="1"/>
      <c r="URW236" s="1"/>
      <c r="URX236" s="1"/>
      <c r="URY236" s="1"/>
      <c r="URZ236" s="1"/>
      <c r="USA236" s="1"/>
      <c r="USB236" s="1"/>
      <c r="USC236" s="1"/>
      <c r="USD236" s="1"/>
      <c r="USE236" s="1"/>
      <c r="USF236" s="1"/>
      <c r="USG236" s="1"/>
      <c r="USH236" s="1"/>
      <c r="USI236" s="1"/>
      <c r="USJ236" s="1"/>
      <c r="USK236" s="1"/>
      <c r="USL236" s="1"/>
      <c r="USM236" s="1"/>
      <c r="USN236" s="1"/>
      <c r="USO236" s="1"/>
      <c r="USP236" s="1"/>
      <c r="USQ236" s="1"/>
      <c r="USR236" s="1"/>
      <c r="USS236" s="1"/>
      <c r="UST236" s="1"/>
      <c r="USU236" s="1"/>
      <c r="USV236" s="1"/>
      <c r="USW236" s="1"/>
      <c r="USX236" s="1"/>
      <c r="USY236" s="1"/>
      <c r="USZ236" s="1"/>
      <c r="UTA236" s="1"/>
      <c r="UTB236" s="1"/>
      <c r="UTC236" s="1"/>
      <c r="UTD236" s="1"/>
      <c r="UTE236" s="1"/>
      <c r="UTF236" s="1"/>
      <c r="UTG236" s="1"/>
      <c r="UTH236" s="1"/>
      <c r="UTI236" s="1"/>
      <c r="UTJ236" s="1"/>
      <c r="UTK236" s="1"/>
      <c r="UTL236" s="1"/>
      <c r="UTM236" s="1"/>
      <c r="UTN236" s="1"/>
      <c r="UTO236" s="1"/>
      <c r="UTP236" s="1"/>
      <c r="UTQ236" s="1"/>
      <c r="UTR236" s="1"/>
      <c r="UTS236" s="1"/>
      <c r="UTT236" s="1"/>
      <c r="UTU236" s="1"/>
      <c r="UTV236" s="1"/>
      <c r="UTW236" s="1"/>
      <c r="UTX236" s="1"/>
      <c r="UTY236" s="1"/>
      <c r="UTZ236" s="1"/>
      <c r="UUA236" s="1"/>
      <c r="UUB236" s="1"/>
      <c r="UUC236" s="1"/>
      <c r="UUD236" s="1"/>
      <c r="UUE236" s="1"/>
      <c r="UUF236" s="1"/>
      <c r="UUG236" s="1"/>
      <c r="UUH236" s="1"/>
      <c r="UUI236" s="1"/>
      <c r="UUJ236" s="1"/>
      <c r="UUK236" s="1"/>
      <c r="UUL236" s="1"/>
      <c r="UUM236" s="1"/>
      <c r="UUN236" s="1"/>
      <c r="UUO236" s="1"/>
      <c r="UUP236" s="1"/>
      <c r="UUQ236" s="1"/>
      <c r="UUR236" s="1"/>
      <c r="UUS236" s="1"/>
      <c r="UUT236" s="1"/>
      <c r="UUU236" s="1"/>
      <c r="UUV236" s="1"/>
      <c r="UUW236" s="1"/>
      <c r="UUX236" s="1"/>
      <c r="UUY236" s="1"/>
      <c r="UUZ236" s="1"/>
      <c r="UVA236" s="1"/>
      <c r="UVB236" s="1"/>
      <c r="UVC236" s="1"/>
      <c r="UVD236" s="1"/>
      <c r="UVE236" s="1"/>
      <c r="UVF236" s="1"/>
      <c r="UVG236" s="1"/>
      <c r="UVH236" s="1"/>
      <c r="UVI236" s="1"/>
      <c r="UVJ236" s="1"/>
      <c r="UVK236" s="1"/>
      <c r="UVL236" s="1"/>
      <c r="UVM236" s="1"/>
      <c r="UVN236" s="1"/>
      <c r="UVO236" s="1"/>
      <c r="UVP236" s="1"/>
      <c r="UVQ236" s="1"/>
      <c r="UVR236" s="1"/>
      <c r="UVS236" s="1"/>
      <c r="UVT236" s="1"/>
      <c r="UVU236" s="1"/>
      <c r="UVV236" s="1"/>
      <c r="UVW236" s="1"/>
      <c r="UVX236" s="1"/>
      <c r="UVY236" s="1"/>
      <c r="UVZ236" s="1"/>
      <c r="UWA236" s="1"/>
      <c r="UWB236" s="1"/>
      <c r="UWC236" s="1"/>
      <c r="UWD236" s="1"/>
      <c r="UWE236" s="1"/>
      <c r="UWF236" s="1"/>
      <c r="UWG236" s="1"/>
      <c r="UWH236" s="1"/>
      <c r="UWI236" s="1"/>
      <c r="UWJ236" s="1"/>
      <c r="UWK236" s="1"/>
      <c r="UWL236" s="1"/>
      <c r="UWM236" s="1"/>
      <c r="UWN236" s="1"/>
      <c r="UWO236" s="1"/>
      <c r="UWP236" s="1"/>
      <c r="UWQ236" s="1"/>
      <c r="UWR236" s="1"/>
      <c r="UWS236" s="1"/>
      <c r="UWT236" s="1"/>
      <c r="UWU236" s="1"/>
      <c r="UWV236" s="1"/>
      <c r="UWW236" s="1"/>
      <c r="UWX236" s="1"/>
      <c r="UWY236" s="1"/>
      <c r="UWZ236" s="1"/>
      <c r="UXA236" s="1"/>
      <c r="UXB236" s="1"/>
      <c r="UXC236" s="1"/>
      <c r="UXD236" s="1"/>
      <c r="UXE236" s="1"/>
      <c r="UXF236" s="1"/>
      <c r="UXG236" s="1"/>
      <c r="UXH236" s="1"/>
      <c r="UXI236" s="1"/>
      <c r="UXJ236" s="1"/>
      <c r="UXK236" s="1"/>
      <c r="UXL236" s="1"/>
      <c r="UXM236" s="1"/>
      <c r="UXN236" s="1"/>
      <c r="UXO236" s="1"/>
      <c r="UXP236" s="1"/>
      <c r="UXQ236" s="1"/>
      <c r="UXR236" s="1"/>
      <c r="UXS236" s="1"/>
      <c r="UXT236" s="1"/>
      <c r="UXU236" s="1"/>
      <c r="UXV236" s="1"/>
      <c r="UXW236" s="1"/>
      <c r="UXX236" s="1"/>
      <c r="UXY236" s="1"/>
      <c r="UXZ236" s="1"/>
      <c r="UYA236" s="1"/>
      <c r="UYB236" s="1"/>
      <c r="UYC236" s="1"/>
      <c r="UYD236" s="1"/>
      <c r="UYE236" s="1"/>
      <c r="UYF236" s="1"/>
      <c r="UYG236" s="1"/>
      <c r="UYH236" s="1"/>
      <c r="UYI236" s="1"/>
      <c r="UYJ236" s="1"/>
      <c r="UYK236" s="1"/>
      <c r="UYL236" s="1"/>
      <c r="UYM236" s="1"/>
      <c r="UYN236" s="1"/>
      <c r="UYO236" s="1"/>
      <c r="UYP236" s="1"/>
      <c r="UYQ236" s="1"/>
      <c r="UYR236" s="1"/>
      <c r="UYS236" s="1"/>
      <c r="UYT236" s="1"/>
      <c r="UYU236" s="1"/>
      <c r="UYV236" s="1"/>
      <c r="UYW236" s="1"/>
      <c r="UYX236" s="1"/>
      <c r="UYY236" s="1"/>
      <c r="UYZ236" s="1"/>
      <c r="UZA236" s="1"/>
      <c r="UZB236" s="1"/>
      <c r="UZC236" s="1"/>
      <c r="UZD236" s="1"/>
      <c r="UZE236" s="1"/>
      <c r="UZF236" s="1"/>
      <c r="UZG236" s="1"/>
      <c r="UZH236" s="1"/>
      <c r="UZI236" s="1"/>
      <c r="UZJ236" s="1"/>
      <c r="UZK236" s="1"/>
      <c r="UZL236" s="1"/>
      <c r="UZM236" s="1"/>
      <c r="UZN236" s="1"/>
      <c r="UZO236" s="1"/>
      <c r="UZP236" s="1"/>
      <c r="UZQ236" s="1"/>
      <c r="UZR236" s="1"/>
      <c r="UZS236" s="1"/>
      <c r="UZT236" s="1"/>
      <c r="UZU236" s="1"/>
      <c r="UZV236" s="1"/>
      <c r="UZW236" s="1"/>
      <c r="UZX236" s="1"/>
      <c r="UZY236" s="1"/>
      <c r="UZZ236" s="1"/>
      <c r="VAA236" s="1"/>
      <c r="VAB236" s="1"/>
      <c r="VAC236" s="1"/>
      <c r="VAD236" s="1"/>
      <c r="VAE236" s="1"/>
      <c r="VAF236" s="1"/>
      <c r="VAG236" s="1"/>
      <c r="VAH236" s="1"/>
      <c r="VAI236" s="1"/>
      <c r="VAJ236" s="1"/>
      <c r="VAK236" s="1"/>
      <c r="VAL236" s="1"/>
      <c r="VAM236" s="1"/>
      <c r="VAN236" s="1"/>
      <c r="VAO236" s="1"/>
      <c r="VAP236" s="1"/>
      <c r="VAQ236" s="1"/>
      <c r="VAR236" s="1"/>
      <c r="VAS236" s="1"/>
      <c r="VAT236" s="1"/>
      <c r="VAU236" s="1"/>
      <c r="VAV236" s="1"/>
      <c r="VAW236" s="1"/>
      <c r="VAX236" s="1"/>
      <c r="VAY236" s="1"/>
      <c r="VAZ236" s="1"/>
      <c r="VBA236" s="1"/>
      <c r="VBB236" s="1"/>
      <c r="VBC236" s="1"/>
      <c r="VBD236" s="1"/>
      <c r="VBE236" s="1"/>
      <c r="VBF236" s="1"/>
      <c r="VBG236" s="1"/>
      <c r="VBH236" s="1"/>
      <c r="VBI236" s="1"/>
      <c r="VBJ236" s="1"/>
      <c r="VBK236" s="1"/>
      <c r="VBL236" s="1"/>
      <c r="VBM236" s="1"/>
      <c r="VBN236" s="1"/>
      <c r="VBO236" s="1"/>
      <c r="VBP236" s="1"/>
      <c r="VBQ236" s="1"/>
      <c r="VBR236" s="1"/>
      <c r="VBS236" s="1"/>
      <c r="VBT236" s="1"/>
      <c r="VBU236" s="1"/>
      <c r="VBV236" s="1"/>
      <c r="VBW236" s="1"/>
      <c r="VBX236" s="1"/>
      <c r="VBY236" s="1"/>
      <c r="VBZ236" s="1"/>
      <c r="VCA236" s="1"/>
      <c r="VCB236" s="1"/>
      <c r="VCC236" s="1"/>
      <c r="VCD236" s="1"/>
      <c r="VCE236" s="1"/>
      <c r="VCF236" s="1"/>
      <c r="VCG236" s="1"/>
      <c r="VCH236" s="1"/>
      <c r="VCI236" s="1"/>
      <c r="VCJ236" s="1"/>
      <c r="VCK236" s="1"/>
      <c r="VCL236" s="1"/>
      <c r="VCM236" s="1"/>
      <c r="VCN236" s="1"/>
      <c r="VCO236" s="1"/>
      <c r="VCP236" s="1"/>
      <c r="VCQ236" s="1"/>
      <c r="VCR236" s="1"/>
    </row>
    <row r="237" spans="1:14968" s="2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5"/>
      <c r="AK237" s="1"/>
      <c r="AL237" s="1"/>
      <c r="AM237" s="1"/>
      <c r="AO237" s="3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s="1"/>
      <c r="ADM237" s="1"/>
      <c r="ADN237" s="1"/>
      <c r="ADO237" s="1"/>
      <c r="ADP237" s="1"/>
      <c r="ADQ237" s="1"/>
      <c r="ADR237" s="1"/>
      <c r="ADS237" s="1"/>
      <c r="ADT237" s="1"/>
      <c r="ADU237" s="1"/>
      <c r="ADV237" s="1"/>
      <c r="ADW237" s="1"/>
      <c r="ADX237" s="1"/>
      <c r="ADY237" s="1"/>
      <c r="ADZ237" s="1"/>
      <c r="AEA237" s="1"/>
      <c r="AEB237" s="1"/>
      <c r="AEC237" s="1"/>
      <c r="AED237" s="1"/>
      <c r="AEE237" s="1"/>
      <c r="AEF237" s="1"/>
      <c r="AEG237" s="1"/>
      <c r="AEH237" s="1"/>
      <c r="AEI237" s="1"/>
      <c r="AEJ237" s="1"/>
      <c r="AEK237" s="1"/>
      <c r="AEL237" s="1"/>
      <c r="AEM237" s="1"/>
      <c r="AEN237" s="1"/>
      <c r="AEO237" s="1"/>
      <c r="AEP237" s="1"/>
      <c r="AEQ237" s="1"/>
      <c r="AER237" s="1"/>
      <c r="AES237" s="1"/>
      <c r="AET237" s="1"/>
      <c r="AEU237" s="1"/>
      <c r="AEV237" s="1"/>
      <c r="AEW237" s="1"/>
      <c r="AEX237" s="1"/>
      <c r="AEY237" s="1"/>
      <c r="AEZ237" s="1"/>
      <c r="AFA237" s="1"/>
      <c r="AFB237" s="1"/>
      <c r="AFC237" s="1"/>
      <c r="AFD237" s="1"/>
      <c r="AFE237" s="1"/>
      <c r="AFF237" s="1"/>
      <c r="AFG237" s="1"/>
      <c r="AFH237" s="1"/>
      <c r="AFI237" s="1"/>
      <c r="AFJ237" s="1"/>
      <c r="AFK237" s="1"/>
      <c r="AFL237" s="1"/>
      <c r="AFM237" s="1"/>
      <c r="AFN237" s="1"/>
      <c r="AFO237" s="1"/>
      <c r="AFP237" s="1"/>
      <c r="AFQ237" s="1"/>
      <c r="AFR237" s="1"/>
      <c r="AFS237" s="1"/>
      <c r="AFT237" s="1"/>
      <c r="AFU237" s="1"/>
      <c r="AFV237" s="1"/>
      <c r="AFW237" s="1"/>
      <c r="AFX237" s="1"/>
      <c r="AFY237" s="1"/>
      <c r="AFZ237" s="1"/>
      <c r="AGA237" s="1"/>
      <c r="AGB237" s="1"/>
      <c r="AGC237" s="1"/>
      <c r="AGD237" s="1"/>
      <c r="AGE237" s="1"/>
      <c r="AGF237" s="1"/>
      <c r="AGG237" s="1"/>
      <c r="AGH237" s="1"/>
      <c r="AGI237" s="1"/>
      <c r="AGJ237" s="1"/>
      <c r="AGK237" s="1"/>
      <c r="AGL237" s="1"/>
      <c r="AGM237" s="1"/>
      <c r="AGN237" s="1"/>
      <c r="AGO237" s="1"/>
      <c r="AGP237" s="1"/>
      <c r="AGQ237" s="1"/>
      <c r="AGR237" s="1"/>
      <c r="AGS237" s="1"/>
      <c r="AGT237" s="1"/>
      <c r="AGU237" s="1"/>
      <c r="AGV237" s="1"/>
      <c r="AGW237" s="1"/>
      <c r="AGX237" s="1"/>
      <c r="AGY237" s="1"/>
      <c r="AGZ237" s="1"/>
      <c r="AHA237" s="1"/>
      <c r="AHB237" s="1"/>
      <c r="AHC237" s="1"/>
      <c r="AHD237" s="1"/>
      <c r="AHE237" s="1"/>
      <c r="AHF237" s="1"/>
      <c r="AHG237" s="1"/>
      <c r="AHH237" s="1"/>
      <c r="AHI237" s="1"/>
      <c r="AHJ237" s="1"/>
      <c r="AHK237" s="1"/>
      <c r="AHL237" s="1"/>
      <c r="AHM237" s="1"/>
      <c r="AHN237" s="1"/>
      <c r="AHO237" s="1"/>
      <c r="AHP237" s="1"/>
      <c r="AHQ237" s="1"/>
      <c r="AHR237" s="1"/>
      <c r="AHS237" s="1"/>
      <c r="AHT237" s="1"/>
      <c r="AHU237" s="1"/>
      <c r="AHV237" s="1"/>
      <c r="AHW237" s="1"/>
      <c r="AHX237" s="1"/>
      <c r="AHY237" s="1"/>
      <c r="AHZ237" s="1"/>
      <c r="AIA237" s="1"/>
      <c r="AIB237" s="1"/>
      <c r="AIC237" s="1"/>
      <c r="AID237" s="1"/>
      <c r="AIE237" s="1"/>
      <c r="AIF237" s="1"/>
      <c r="AIG237" s="1"/>
      <c r="AIH237" s="1"/>
      <c r="AII237" s="1"/>
      <c r="AIJ237" s="1"/>
      <c r="AIK237" s="1"/>
      <c r="AIL237" s="1"/>
      <c r="AIM237" s="1"/>
      <c r="AIN237" s="1"/>
      <c r="AIO237" s="1"/>
      <c r="AIP237" s="1"/>
      <c r="AIQ237" s="1"/>
      <c r="AIR237" s="1"/>
      <c r="AIS237" s="1"/>
      <c r="AIT237" s="1"/>
      <c r="AIU237" s="1"/>
      <c r="AIV237" s="1"/>
      <c r="AIW237" s="1"/>
      <c r="AIX237" s="1"/>
      <c r="AIY237" s="1"/>
      <c r="AIZ237" s="1"/>
      <c r="AJA237" s="1"/>
      <c r="AJB237" s="1"/>
      <c r="AJC237" s="1"/>
      <c r="AJD237" s="1"/>
      <c r="AJE237" s="1"/>
      <c r="AJF237" s="1"/>
      <c r="AJG237" s="1"/>
      <c r="AJH237" s="1"/>
      <c r="AJI237" s="1"/>
      <c r="AJJ237" s="1"/>
      <c r="AJK237" s="1"/>
      <c r="AJL237" s="1"/>
      <c r="AJM237" s="1"/>
      <c r="AJN237" s="1"/>
      <c r="AJO237" s="1"/>
      <c r="AJP237" s="1"/>
      <c r="AJQ237" s="1"/>
      <c r="AJR237" s="1"/>
      <c r="AJS237" s="1"/>
      <c r="AJT237" s="1"/>
      <c r="AJU237" s="1"/>
      <c r="AJV237" s="1"/>
      <c r="AJW237" s="1"/>
      <c r="AJX237" s="1"/>
      <c r="AJY237" s="1"/>
      <c r="AJZ237" s="1"/>
      <c r="AKA237" s="1"/>
      <c r="AKB237" s="1"/>
      <c r="AKC237" s="1"/>
      <c r="AKD237" s="1"/>
      <c r="AKE237" s="1"/>
      <c r="AKF237" s="1"/>
      <c r="AKG237" s="1"/>
      <c r="AKH237" s="1"/>
      <c r="AKI237" s="1"/>
      <c r="AKJ237" s="1"/>
      <c r="AKK237" s="1"/>
      <c r="AKL237" s="1"/>
      <c r="AKM237" s="1"/>
      <c r="AKN237" s="1"/>
      <c r="AKO237" s="1"/>
      <c r="AKP237" s="1"/>
      <c r="AKQ237" s="1"/>
      <c r="AKR237" s="1"/>
      <c r="AKS237" s="1"/>
      <c r="AKT237" s="1"/>
      <c r="AKU237" s="1"/>
      <c r="AKV237" s="1"/>
      <c r="AKW237" s="1"/>
      <c r="AKX237" s="1"/>
      <c r="AKY237" s="1"/>
      <c r="AKZ237" s="1"/>
      <c r="ALA237" s="1"/>
      <c r="ALB237" s="1"/>
      <c r="ALC237" s="1"/>
      <c r="ALD237" s="1"/>
      <c r="ALE237" s="1"/>
      <c r="ALF237" s="1"/>
      <c r="ALG237" s="1"/>
      <c r="ALH237" s="1"/>
      <c r="ALI237" s="1"/>
      <c r="ALJ237" s="1"/>
      <c r="ALK237" s="1"/>
      <c r="ALL237" s="1"/>
      <c r="ALM237" s="1"/>
      <c r="ALN237" s="1"/>
      <c r="ALO237" s="1"/>
      <c r="ALP237" s="1"/>
      <c r="ALQ237" s="1"/>
      <c r="ALR237" s="1"/>
      <c r="ALS237" s="1"/>
      <c r="ALT237" s="1"/>
      <c r="ALU237" s="1"/>
      <c r="ALV237" s="1"/>
      <c r="ALW237" s="1"/>
      <c r="ALX237" s="1"/>
      <c r="ALY237" s="1"/>
      <c r="ALZ237" s="1"/>
      <c r="AMA237" s="1"/>
      <c r="AMB237" s="1"/>
      <c r="AMC237" s="1"/>
      <c r="AMD237" s="1"/>
      <c r="AME237" s="1"/>
      <c r="AMF237" s="1"/>
      <c r="AMG237" s="1"/>
      <c r="AMH237" s="1"/>
      <c r="AMI237" s="1"/>
      <c r="AMJ237" s="1"/>
      <c r="AMK237" s="1"/>
      <c r="AML237" s="1"/>
      <c r="AMM237" s="1"/>
      <c r="AMN237" s="1"/>
      <c r="AMO237" s="1"/>
      <c r="AMP237" s="1"/>
      <c r="AMQ237" s="1"/>
      <c r="AMR237" s="1"/>
      <c r="AMS237" s="1"/>
      <c r="AMT237" s="1"/>
      <c r="AMU237" s="1"/>
      <c r="AMV237" s="1"/>
      <c r="AMW237" s="1"/>
      <c r="AMX237" s="1"/>
      <c r="AMY237" s="1"/>
      <c r="AMZ237" s="1"/>
      <c r="ANA237" s="1"/>
      <c r="ANB237" s="1"/>
      <c r="ANC237" s="1"/>
      <c r="AND237" s="1"/>
      <c r="ANE237" s="1"/>
      <c r="ANF237" s="1"/>
      <c r="ANG237" s="1"/>
      <c r="ANH237" s="1"/>
      <c r="ANI237" s="1"/>
      <c r="ANJ237" s="1"/>
      <c r="ANK237" s="1"/>
      <c r="ANL237" s="1"/>
      <c r="ANM237" s="1"/>
      <c r="ANN237" s="1"/>
      <c r="ANO237" s="1"/>
      <c r="ANP237" s="1"/>
      <c r="ANQ237" s="1"/>
      <c r="ANR237" s="1"/>
      <c r="ANS237" s="1"/>
      <c r="ANT237" s="1"/>
      <c r="ANU237" s="1"/>
      <c r="ANV237" s="1"/>
      <c r="ANW237" s="1"/>
      <c r="ANX237" s="1"/>
      <c r="ANY237" s="1"/>
      <c r="ANZ237" s="1"/>
      <c r="AOA237" s="1"/>
      <c r="AOB237" s="1"/>
      <c r="AOC237" s="1"/>
      <c r="AOD237" s="1"/>
      <c r="AOE237" s="1"/>
      <c r="AOF237" s="1"/>
      <c r="AOG237" s="1"/>
      <c r="AOH237" s="1"/>
      <c r="AOI237" s="1"/>
      <c r="AOJ237" s="1"/>
      <c r="AOK237" s="1"/>
      <c r="AOL237" s="1"/>
      <c r="AOM237" s="1"/>
      <c r="AON237" s="1"/>
      <c r="AOO237" s="1"/>
      <c r="AOP237" s="1"/>
      <c r="AOQ237" s="1"/>
      <c r="AOR237" s="1"/>
      <c r="AOS237" s="1"/>
      <c r="AOT237" s="1"/>
      <c r="AOU237" s="1"/>
      <c r="AOV237" s="1"/>
      <c r="AOW237" s="1"/>
      <c r="AOX237" s="1"/>
      <c r="AOY237" s="1"/>
      <c r="AOZ237" s="1"/>
      <c r="APA237" s="1"/>
      <c r="APB237" s="1"/>
      <c r="APC237" s="1"/>
      <c r="APD237" s="1"/>
      <c r="APE237" s="1"/>
      <c r="APF237" s="1"/>
      <c r="APG237" s="1"/>
      <c r="APH237" s="1"/>
      <c r="API237" s="1"/>
      <c r="APJ237" s="1"/>
      <c r="APK237" s="1"/>
      <c r="APL237" s="1"/>
      <c r="APM237" s="1"/>
      <c r="APN237" s="1"/>
      <c r="APO237" s="1"/>
      <c r="APP237" s="1"/>
      <c r="APQ237" s="1"/>
      <c r="APR237" s="1"/>
      <c r="APS237" s="1"/>
      <c r="APT237" s="1"/>
      <c r="APU237" s="1"/>
      <c r="APV237" s="1"/>
      <c r="APW237" s="1"/>
      <c r="APX237" s="1"/>
      <c r="APY237" s="1"/>
      <c r="APZ237" s="1"/>
      <c r="AQA237" s="1"/>
      <c r="AQB237" s="1"/>
      <c r="AQC237" s="1"/>
      <c r="AQD237" s="1"/>
      <c r="AQE237" s="1"/>
      <c r="AQF237" s="1"/>
      <c r="AQG237" s="1"/>
      <c r="AQH237" s="1"/>
      <c r="AQI237" s="1"/>
      <c r="AQJ237" s="1"/>
      <c r="AQK237" s="1"/>
      <c r="AQL237" s="1"/>
      <c r="AQM237" s="1"/>
      <c r="AQN237" s="1"/>
      <c r="AQO237" s="1"/>
      <c r="AQP237" s="1"/>
      <c r="AQQ237" s="1"/>
      <c r="AQR237" s="1"/>
      <c r="AQS237" s="1"/>
      <c r="AQT237" s="1"/>
      <c r="AQU237" s="1"/>
      <c r="AQV237" s="1"/>
      <c r="AQW237" s="1"/>
      <c r="AQX237" s="1"/>
      <c r="AQY237" s="1"/>
      <c r="AQZ237" s="1"/>
      <c r="ARA237" s="1"/>
      <c r="ARB237" s="1"/>
      <c r="ARC237" s="1"/>
      <c r="ARD237" s="1"/>
      <c r="ARE237" s="1"/>
      <c r="ARF237" s="1"/>
      <c r="ARG237" s="1"/>
      <c r="ARH237" s="1"/>
      <c r="ARI237" s="1"/>
      <c r="ARJ237" s="1"/>
      <c r="ARK237" s="1"/>
      <c r="ARL237" s="1"/>
      <c r="ARM237" s="1"/>
      <c r="ARN237" s="1"/>
      <c r="ARO237" s="1"/>
      <c r="ARP237" s="1"/>
      <c r="ARQ237" s="1"/>
      <c r="ARR237" s="1"/>
      <c r="ARS237" s="1"/>
      <c r="ART237" s="1"/>
      <c r="ARU237" s="1"/>
      <c r="ARV237" s="1"/>
      <c r="ARW237" s="1"/>
      <c r="ARX237" s="1"/>
      <c r="ARY237" s="1"/>
      <c r="ARZ237" s="1"/>
      <c r="ASA237" s="1"/>
      <c r="ASB237" s="1"/>
      <c r="ASC237" s="1"/>
      <c r="ASD237" s="1"/>
      <c r="ASE237" s="1"/>
      <c r="ASF237" s="1"/>
      <c r="ASG237" s="1"/>
      <c r="ASH237" s="1"/>
      <c r="ASI237" s="1"/>
      <c r="ASJ237" s="1"/>
      <c r="ASK237" s="1"/>
      <c r="ASL237" s="1"/>
      <c r="ASM237" s="1"/>
      <c r="ASN237" s="1"/>
      <c r="ASO237" s="1"/>
      <c r="ASP237" s="1"/>
      <c r="ASQ237" s="1"/>
      <c r="ASR237" s="1"/>
      <c r="ASS237" s="1"/>
      <c r="AST237" s="1"/>
      <c r="ASU237" s="1"/>
      <c r="ASV237" s="1"/>
      <c r="ASW237" s="1"/>
      <c r="ASX237" s="1"/>
      <c r="ASY237" s="1"/>
      <c r="ASZ237" s="1"/>
      <c r="ATA237" s="1"/>
      <c r="ATB237" s="1"/>
      <c r="ATC237" s="1"/>
      <c r="ATD237" s="1"/>
      <c r="ATE237" s="1"/>
      <c r="ATF237" s="1"/>
      <c r="ATG237" s="1"/>
      <c r="ATH237" s="1"/>
      <c r="ATI237" s="1"/>
      <c r="ATJ237" s="1"/>
      <c r="ATK237" s="1"/>
      <c r="ATL237" s="1"/>
      <c r="ATM237" s="1"/>
      <c r="ATN237" s="1"/>
      <c r="ATO237" s="1"/>
      <c r="ATP237" s="1"/>
      <c r="ATQ237" s="1"/>
      <c r="ATR237" s="1"/>
      <c r="ATS237" s="1"/>
      <c r="ATT237" s="1"/>
      <c r="ATU237" s="1"/>
      <c r="ATV237" s="1"/>
      <c r="ATW237" s="1"/>
      <c r="ATX237" s="1"/>
      <c r="ATY237" s="1"/>
      <c r="ATZ237" s="1"/>
      <c r="AUA237" s="1"/>
      <c r="AUB237" s="1"/>
      <c r="AUC237" s="1"/>
      <c r="AUD237" s="1"/>
      <c r="AUE237" s="1"/>
      <c r="AUF237" s="1"/>
      <c r="AUG237" s="1"/>
      <c r="AUH237" s="1"/>
      <c r="AUI237" s="1"/>
      <c r="AUJ237" s="1"/>
      <c r="AUK237" s="1"/>
      <c r="AUL237" s="1"/>
      <c r="AUM237" s="1"/>
      <c r="AUN237" s="1"/>
      <c r="AUO237" s="1"/>
      <c r="AUP237" s="1"/>
      <c r="AUQ237" s="1"/>
      <c r="AUR237" s="1"/>
      <c r="AUS237" s="1"/>
      <c r="AUT237" s="1"/>
      <c r="AUU237" s="1"/>
      <c r="AUV237" s="1"/>
      <c r="AUW237" s="1"/>
      <c r="AUX237" s="1"/>
      <c r="AUY237" s="1"/>
      <c r="AUZ237" s="1"/>
      <c r="AVA237" s="1"/>
      <c r="AVB237" s="1"/>
      <c r="AVC237" s="1"/>
      <c r="AVD237" s="1"/>
      <c r="AVE237" s="1"/>
      <c r="AVF237" s="1"/>
      <c r="AVG237" s="1"/>
      <c r="AVH237" s="1"/>
      <c r="AVI237" s="1"/>
      <c r="AVJ237" s="1"/>
      <c r="AVK237" s="1"/>
      <c r="AVL237" s="1"/>
      <c r="AVM237" s="1"/>
      <c r="AVN237" s="1"/>
      <c r="AVO237" s="1"/>
      <c r="AVP237" s="1"/>
      <c r="AVQ237" s="1"/>
      <c r="AVR237" s="1"/>
      <c r="AVS237" s="1"/>
      <c r="AVT237" s="1"/>
      <c r="AVU237" s="1"/>
      <c r="AVV237" s="1"/>
      <c r="AVW237" s="1"/>
      <c r="AVX237" s="1"/>
      <c r="AVY237" s="1"/>
      <c r="AVZ237" s="1"/>
      <c r="AWA237" s="1"/>
      <c r="AWB237" s="1"/>
      <c r="AWC237" s="1"/>
      <c r="AWD237" s="1"/>
      <c r="AWE237" s="1"/>
      <c r="AWF237" s="1"/>
      <c r="AWG237" s="1"/>
      <c r="AWH237" s="1"/>
      <c r="AWI237" s="1"/>
      <c r="AWJ237" s="1"/>
      <c r="AWK237" s="1"/>
      <c r="AWL237" s="1"/>
      <c r="AWM237" s="1"/>
      <c r="AWN237" s="1"/>
      <c r="AWO237" s="1"/>
      <c r="AWP237" s="1"/>
      <c r="AWQ237" s="1"/>
      <c r="AWR237" s="1"/>
      <c r="AWS237" s="1"/>
      <c r="AWT237" s="1"/>
      <c r="AWU237" s="1"/>
      <c r="AWV237" s="1"/>
      <c r="AWW237" s="1"/>
      <c r="AWX237" s="1"/>
      <c r="AWY237" s="1"/>
      <c r="AWZ237" s="1"/>
      <c r="AXA237" s="1"/>
      <c r="AXB237" s="1"/>
      <c r="AXC237" s="1"/>
      <c r="AXD237" s="1"/>
      <c r="AXE237" s="1"/>
      <c r="AXF237" s="1"/>
      <c r="AXG237" s="1"/>
      <c r="AXH237" s="1"/>
      <c r="AXI237" s="1"/>
      <c r="AXJ237" s="1"/>
      <c r="AXK237" s="1"/>
      <c r="AXL237" s="1"/>
      <c r="AXM237" s="1"/>
      <c r="AXN237" s="1"/>
      <c r="AXO237" s="1"/>
      <c r="AXP237" s="1"/>
      <c r="AXQ237" s="1"/>
      <c r="AXR237" s="1"/>
      <c r="AXS237" s="1"/>
      <c r="AXT237" s="1"/>
      <c r="AXU237" s="1"/>
      <c r="AXV237" s="1"/>
      <c r="AXW237" s="1"/>
      <c r="AXX237" s="1"/>
      <c r="AXY237" s="1"/>
      <c r="AXZ237" s="1"/>
      <c r="AYA237" s="1"/>
      <c r="AYB237" s="1"/>
      <c r="AYC237" s="1"/>
      <c r="AYD237" s="1"/>
      <c r="AYE237" s="1"/>
      <c r="AYF237" s="1"/>
      <c r="AYG237" s="1"/>
      <c r="AYH237" s="1"/>
      <c r="AYI237" s="1"/>
      <c r="AYJ237" s="1"/>
      <c r="AYK237" s="1"/>
      <c r="AYL237" s="1"/>
      <c r="AYM237" s="1"/>
      <c r="AYN237" s="1"/>
      <c r="AYO237" s="1"/>
      <c r="AYP237" s="1"/>
      <c r="AYQ237" s="1"/>
      <c r="AYR237" s="1"/>
      <c r="AYS237" s="1"/>
      <c r="AYT237" s="1"/>
      <c r="AYU237" s="1"/>
      <c r="AYV237" s="1"/>
      <c r="AYW237" s="1"/>
      <c r="AYX237" s="1"/>
      <c r="AYY237" s="1"/>
      <c r="AYZ237" s="1"/>
      <c r="AZA237" s="1"/>
      <c r="AZB237" s="1"/>
      <c r="AZC237" s="1"/>
      <c r="AZD237" s="1"/>
      <c r="AZE237" s="1"/>
      <c r="AZF237" s="1"/>
      <c r="AZG237" s="1"/>
      <c r="AZH237" s="1"/>
      <c r="AZI237" s="1"/>
      <c r="AZJ237" s="1"/>
      <c r="AZK237" s="1"/>
      <c r="AZL237" s="1"/>
      <c r="AZM237" s="1"/>
      <c r="AZN237" s="1"/>
      <c r="AZO237" s="1"/>
      <c r="AZP237" s="1"/>
      <c r="AZQ237" s="1"/>
      <c r="AZR237" s="1"/>
      <c r="AZS237" s="1"/>
      <c r="AZT237" s="1"/>
      <c r="AZU237" s="1"/>
      <c r="AZV237" s="1"/>
      <c r="AZW237" s="1"/>
      <c r="AZX237" s="1"/>
      <c r="AZY237" s="1"/>
      <c r="AZZ237" s="1"/>
      <c r="BAA237" s="1"/>
      <c r="BAB237" s="1"/>
      <c r="BAC237" s="1"/>
      <c r="BAD237" s="1"/>
      <c r="BAE237" s="1"/>
      <c r="BAF237" s="1"/>
      <c r="BAG237" s="1"/>
      <c r="BAH237" s="1"/>
      <c r="BAI237" s="1"/>
      <c r="BAJ237" s="1"/>
      <c r="BAK237" s="1"/>
      <c r="BAL237" s="1"/>
      <c r="BAM237" s="1"/>
      <c r="BAN237" s="1"/>
      <c r="BAO237" s="1"/>
      <c r="BAP237" s="1"/>
      <c r="BAQ237" s="1"/>
      <c r="BAR237" s="1"/>
      <c r="BAS237" s="1"/>
      <c r="BAT237" s="1"/>
      <c r="BAU237" s="1"/>
      <c r="BAV237" s="1"/>
      <c r="BAW237" s="1"/>
      <c r="BAX237" s="1"/>
      <c r="BAY237" s="1"/>
      <c r="BAZ237" s="1"/>
      <c r="BBA237" s="1"/>
      <c r="BBB237" s="1"/>
      <c r="BBC237" s="1"/>
      <c r="BBD237" s="1"/>
      <c r="BBE237" s="1"/>
      <c r="BBF237" s="1"/>
      <c r="BBG237" s="1"/>
      <c r="BBH237" s="1"/>
      <c r="BBI237" s="1"/>
      <c r="BBJ237" s="1"/>
      <c r="BBK237" s="1"/>
      <c r="BBL237" s="1"/>
      <c r="BBM237" s="1"/>
      <c r="BBN237" s="1"/>
      <c r="BBO237" s="1"/>
      <c r="BBP237" s="1"/>
      <c r="BBQ237" s="1"/>
      <c r="BBR237" s="1"/>
      <c r="BBS237" s="1"/>
      <c r="BBT237" s="1"/>
      <c r="BBU237" s="1"/>
      <c r="BBV237" s="1"/>
      <c r="BBW237" s="1"/>
      <c r="BBX237" s="1"/>
      <c r="BBY237" s="1"/>
      <c r="BBZ237" s="1"/>
      <c r="BCA237" s="1"/>
      <c r="BCB237" s="1"/>
      <c r="BCC237" s="1"/>
      <c r="BCD237" s="1"/>
      <c r="BCE237" s="1"/>
      <c r="BCF237" s="1"/>
      <c r="BCG237" s="1"/>
      <c r="BCH237" s="1"/>
      <c r="BCI237" s="1"/>
      <c r="BCJ237" s="1"/>
      <c r="BCK237" s="1"/>
      <c r="BCL237" s="1"/>
      <c r="BCM237" s="1"/>
      <c r="BCN237" s="1"/>
      <c r="BCO237" s="1"/>
      <c r="BCP237" s="1"/>
      <c r="BCQ237" s="1"/>
      <c r="BCR237" s="1"/>
      <c r="BCS237" s="1"/>
      <c r="BCT237" s="1"/>
      <c r="BCU237" s="1"/>
      <c r="BCV237" s="1"/>
      <c r="BCW237" s="1"/>
      <c r="BCX237" s="1"/>
      <c r="BCY237" s="1"/>
      <c r="BCZ237" s="1"/>
      <c r="BDA237" s="1"/>
      <c r="BDB237" s="1"/>
      <c r="BDC237" s="1"/>
      <c r="BDD237" s="1"/>
      <c r="BDE237" s="1"/>
      <c r="BDF237" s="1"/>
      <c r="BDG237" s="1"/>
      <c r="BDH237" s="1"/>
      <c r="BDI237" s="1"/>
      <c r="BDJ237" s="1"/>
      <c r="BDK237" s="1"/>
      <c r="BDL237" s="1"/>
      <c r="BDM237" s="1"/>
      <c r="BDN237" s="1"/>
      <c r="BDO237" s="1"/>
      <c r="BDP237" s="1"/>
      <c r="BDQ237" s="1"/>
      <c r="BDR237" s="1"/>
      <c r="BDS237" s="1"/>
      <c r="BDT237" s="1"/>
      <c r="BDU237" s="1"/>
      <c r="BDV237" s="1"/>
      <c r="BDW237" s="1"/>
      <c r="BDX237" s="1"/>
      <c r="BDY237" s="1"/>
      <c r="BDZ237" s="1"/>
      <c r="BEA237" s="1"/>
      <c r="BEB237" s="1"/>
      <c r="BEC237" s="1"/>
      <c r="BED237" s="1"/>
      <c r="BEE237" s="1"/>
      <c r="BEF237" s="1"/>
      <c r="BEG237" s="1"/>
      <c r="BEH237" s="1"/>
      <c r="BEI237" s="1"/>
      <c r="BEJ237" s="1"/>
      <c r="BEK237" s="1"/>
      <c r="BEL237" s="1"/>
      <c r="BEM237" s="1"/>
      <c r="BEN237" s="1"/>
      <c r="BEO237" s="1"/>
      <c r="BEP237" s="1"/>
      <c r="BEQ237" s="1"/>
      <c r="BER237" s="1"/>
      <c r="BES237" s="1"/>
      <c r="BET237" s="1"/>
      <c r="BEU237" s="1"/>
      <c r="BEV237" s="1"/>
      <c r="BEW237" s="1"/>
      <c r="BEX237" s="1"/>
      <c r="BEY237" s="1"/>
      <c r="BEZ237" s="1"/>
      <c r="BFA237" s="1"/>
      <c r="BFB237" s="1"/>
      <c r="BFC237" s="1"/>
      <c r="BFD237" s="1"/>
      <c r="BFE237" s="1"/>
      <c r="BFF237" s="1"/>
      <c r="BFG237" s="1"/>
      <c r="BFH237" s="1"/>
      <c r="BFI237" s="1"/>
      <c r="BFJ237" s="1"/>
      <c r="BFK237" s="1"/>
      <c r="BFL237" s="1"/>
      <c r="BFM237" s="1"/>
      <c r="BFN237" s="1"/>
      <c r="BFO237" s="1"/>
      <c r="BFP237" s="1"/>
      <c r="BFQ237" s="1"/>
      <c r="BFR237" s="1"/>
      <c r="BFS237" s="1"/>
      <c r="BFT237" s="1"/>
      <c r="BFU237" s="1"/>
      <c r="BFV237" s="1"/>
      <c r="BFW237" s="1"/>
      <c r="BFX237" s="1"/>
      <c r="BFY237" s="1"/>
      <c r="BFZ237" s="1"/>
      <c r="BGA237" s="1"/>
      <c r="BGB237" s="1"/>
      <c r="BGC237" s="1"/>
      <c r="BGD237" s="1"/>
      <c r="BGE237" s="1"/>
      <c r="BGF237" s="1"/>
      <c r="BGG237" s="1"/>
      <c r="BGH237" s="1"/>
      <c r="BGI237" s="1"/>
      <c r="BGJ237" s="1"/>
      <c r="BGK237" s="1"/>
      <c r="BGL237" s="1"/>
      <c r="BGM237" s="1"/>
      <c r="BGN237" s="1"/>
      <c r="BGO237" s="1"/>
      <c r="BGP237" s="1"/>
      <c r="BGQ237" s="1"/>
      <c r="BGR237" s="1"/>
      <c r="BGS237" s="1"/>
      <c r="BGT237" s="1"/>
      <c r="BGU237" s="1"/>
      <c r="BGV237" s="1"/>
      <c r="BGW237" s="1"/>
      <c r="BGX237" s="1"/>
      <c r="BGY237" s="1"/>
      <c r="BGZ237" s="1"/>
      <c r="BHA237" s="1"/>
      <c r="BHB237" s="1"/>
      <c r="BHC237" s="1"/>
      <c r="BHD237" s="1"/>
      <c r="BHE237" s="1"/>
      <c r="BHF237" s="1"/>
      <c r="BHG237" s="1"/>
      <c r="BHH237" s="1"/>
      <c r="BHI237" s="1"/>
      <c r="BHJ237" s="1"/>
      <c r="BHK237" s="1"/>
      <c r="BHL237" s="1"/>
      <c r="BHM237" s="1"/>
      <c r="BHN237" s="1"/>
      <c r="BHO237" s="1"/>
      <c r="BHP237" s="1"/>
      <c r="BHQ237" s="1"/>
      <c r="BHR237" s="1"/>
      <c r="BHS237" s="1"/>
      <c r="BHT237" s="1"/>
      <c r="BHU237" s="1"/>
      <c r="BHV237" s="1"/>
      <c r="BHW237" s="1"/>
      <c r="BHX237" s="1"/>
      <c r="BHY237" s="1"/>
      <c r="BHZ237" s="1"/>
      <c r="BIA237" s="1"/>
      <c r="BIB237" s="1"/>
      <c r="BIC237" s="1"/>
      <c r="BID237" s="1"/>
      <c r="BIE237" s="1"/>
      <c r="BIF237" s="1"/>
      <c r="BIG237" s="1"/>
      <c r="BIH237" s="1"/>
      <c r="BII237" s="1"/>
      <c r="BIJ237" s="1"/>
      <c r="BIK237" s="1"/>
      <c r="BIL237" s="1"/>
      <c r="BIM237" s="1"/>
      <c r="BIN237" s="1"/>
      <c r="BIO237" s="1"/>
      <c r="BIP237" s="1"/>
      <c r="BIQ237" s="1"/>
      <c r="BIR237" s="1"/>
      <c r="BIS237" s="1"/>
      <c r="BIT237" s="1"/>
      <c r="BIU237" s="1"/>
      <c r="BIV237" s="1"/>
      <c r="BIW237" s="1"/>
      <c r="BIX237" s="1"/>
      <c r="BIY237" s="1"/>
      <c r="BIZ237" s="1"/>
      <c r="BJA237" s="1"/>
      <c r="BJB237" s="1"/>
      <c r="BJC237" s="1"/>
      <c r="BJD237" s="1"/>
      <c r="BJE237" s="1"/>
      <c r="BJF237" s="1"/>
      <c r="BJG237" s="1"/>
      <c r="BJH237" s="1"/>
      <c r="BJI237" s="1"/>
      <c r="BJJ237" s="1"/>
      <c r="BJK237" s="1"/>
      <c r="BJL237" s="1"/>
      <c r="BJM237" s="1"/>
      <c r="BJN237" s="1"/>
      <c r="BJO237" s="1"/>
      <c r="BJP237" s="1"/>
      <c r="BJQ237" s="1"/>
      <c r="BJR237" s="1"/>
      <c r="BJS237" s="1"/>
      <c r="BJT237" s="1"/>
      <c r="BJU237" s="1"/>
      <c r="BJV237" s="1"/>
      <c r="BJW237" s="1"/>
      <c r="BJX237" s="1"/>
      <c r="BJY237" s="1"/>
      <c r="BJZ237" s="1"/>
      <c r="BKA237" s="1"/>
      <c r="BKB237" s="1"/>
      <c r="BKC237" s="1"/>
      <c r="BKD237" s="1"/>
      <c r="BKE237" s="1"/>
      <c r="BKF237" s="1"/>
      <c r="BKG237" s="1"/>
      <c r="BKH237" s="1"/>
      <c r="BKI237" s="1"/>
      <c r="BKJ237" s="1"/>
      <c r="BKK237" s="1"/>
      <c r="BKL237" s="1"/>
      <c r="BKM237" s="1"/>
      <c r="BKN237" s="1"/>
      <c r="BKO237" s="1"/>
      <c r="BKP237" s="1"/>
      <c r="BKQ237" s="1"/>
      <c r="BKR237" s="1"/>
      <c r="BKS237" s="1"/>
      <c r="BKT237" s="1"/>
      <c r="BKU237" s="1"/>
      <c r="BKV237" s="1"/>
      <c r="BKW237" s="1"/>
      <c r="BKX237" s="1"/>
      <c r="BKY237" s="1"/>
      <c r="BKZ237" s="1"/>
      <c r="BLA237" s="1"/>
      <c r="BLB237" s="1"/>
      <c r="BLC237" s="1"/>
      <c r="BLD237" s="1"/>
      <c r="BLE237" s="1"/>
      <c r="BLF237" s="1"/>
      <c r="BLG237" s="1"/>
      <c r="BLH237" s="1"/>
      <c r="BLI237" s="1"/>
      <c r="BLJ237" s="1"/>
      <c r="BLK237" s="1"/>
      <c r="BLL237" s="1"/>
      <c r="BLM237" s="1"/>
      <c r="BLN237" s="1"/>
      <c r="BLO237" s="1"/>
      <c r="BLP237" s="1"/>
      <c r="BLQ237" s="1"/>
      <c r="BLR237" s="1"/>
      <c r="BLS237" s="1"/>
      <c r="BLT237" s="1"/>
      <c r="BLU237" s="1"/>
      <c r="BLV237" s="1"/>
      <c r="BLW237" s="1"/>
      <c r="BLX237" s="1"/>
      <c r="BLY237" s="1"/>
      <c r="BLZ237" s="1"/>
      <c r="BMA237" s="1"/>
      <c r="BMB237" s="1"/>
      <c r="BMC237" s="1"/>
      <c r="BMD237" s="1"/>
      <c r="BME237" s="1"/>
      <c r="BMF237" s="1"/>
      <c r="BMG237" s="1"/>
      <c r="BMH237" s="1"/>
      <c r="BMI237" s="1"/>
      <c r="BMJ237" s="1"/>
      <c r="BMK237" s="1"/>
      <c r="BML237" s="1"/>
      <c r="BMM237" s="1"/>
      <c r="BMN237" s="1"/>
      <c r="BMO237" s="1"/>
      <c r="BMP237" s="1"/>
      <c r="BMQ237" s="1"/>
      <c r="BMR237" s="1"/>
      <c r="BMS237" s="1"/>
      <c r="BMT237" s="1"/>
      <c r="BMU237" s="1"/>
      <c r="BMV237" s="1"/>
      <c r="BMW237" s="1"/>
      <c r="BMX237" s="1"/>
      <c r="BMY237" s="1"/>
      <c r="BMZ237" s="1"/>
      <c r="BNA237" s="1"/>
      <c r="BNB237" s="1"/>
      <c r="BNC237" s="1"/>
      <c r="BND237" s="1"/>
      <c r="BNE237" s="1"/>
      <c r="BNF237" s="1"/>
      <c r="BNG237" s="1"/>
      <c r="BNH237" s="1"/>
      <c r="BNI237" s="1"/>
      <c r="BNJ237" s="1"/>
      <c r="BNK237" s="1"/>
      <c r="BNL237" s="1"/>
      <c r="BNM237" s="1"/>
      <c r="BNN237" s="1"/>
      <c r="BNO237" s="1"/>
      <c r="BNP237" s="1"/>
      <c r="BNQ237" s="1"/>
      <c r="BNR237" s="1"/>
      <c r="BNS237" s="1"/>
      <c r="BNT237" s="1"/>
      <c r="BNU237" s="1"/>
      <c r="BNV237" s="1"/>
      <c r="BNW237" s="1"/>
      <c r="BNX237" s="1"/>
      <c r="BNY237" s="1"/>
      <c r="BNZ237" s="1"/>
      <c r="BOA237" s="1"/>
      <c r="BOB237" s="1"/>
      <c r="BOC237" s="1"/>
      <c r="BOD237" s="1"/>
      <c r="BOE237" s="1"/>
      <c r="BOF237" s="1"/>
      <c r="BOG237" s="1"/>
      <c r="BOH237" s="1"/>
      <c r="BOI237" s="1"/>
      <c r="BOJ237" s="1"/>
      <c r="BOK237" s="1"/>
      <c r="BOL237" s="1"/>
      <c r="BOM237" s="1"/>
      <c r="BON237" s="1"/>
      <c r="BOO237" s="1"/>
      <c r="BOP237" s="1"/>
      <c r="BOQ237" s="1"/>
      <c r="BOR237" s="1"/>
      <c r="BOS237" s="1"/>
      <c r="BOT237" s="1"/>
      <c r="BOU237" s="1"/>
      <c r="BOV237" s="1"/>
      <c r="BOW237" s="1"/>
      <c r="BOX237" s="1"/>
      <c r="BOY237" s="1"/>
      <c r="BOZ237" s="1"/>
      <c r="BPA237" s="1"/>
      <c r="BPB237" s="1"/>
      <c r="BPC237" s="1"/>
      <c r="BPD237" s="1"/>
      <c r="BPE237" s="1"/>
      <c r="BPF237" s="1"/>
      <c r="BPG237" s="1"/>
      <c r="BPH237" s="1"/>
      <c r="BPI237" s="1"/>
      <c r="BPJ237" s="1"/>
      <c r="BPK237" s="1"/>
      <c r="BPL237" s="1"/>
      <c r="BPM237" s="1"/>
      <c r="BPN237" s="1"/>
      <c r="BPO237" s="1"/>
      <c r="BPP237" s="1"/>
      <c r="BPQ237" s="1"/>
      <c r="BPR237" s="1"/>
      <c r="BPS237" s="1"/>
      <c r="BPT237" s="1"/>
      <c r="BPU237" s="1"/>
      <c r="BPV237" s="1"/>
      <c r="BPW237" s="1"/>
      <c r="BPX237" s="1"/>
      <c r="BPY237" s="1"/>
      <c r="BPZ237" s="1"/>
      <c r="BQA237" s="1"/>
      <c r="BQB237" s="1"/>
      <c r="BQC237" s="1"/>
      <c r="BQD237" s="1"/>
      <c r="BQE237" s="1"/>
      <c r="BQF237" s="1"/>
      <c r="BQG237" s="1"/>
      <c r="BQH237" s="1"/>
      <c r="BQI237" s="1"/>
      <c r="BQJ237" s="1"/>
      <c r="BQK237" s="1"/>
      <c r="BQL237" s="1"/>
      <c r="BQM237" s="1"/>
      <c r="BQN237" s="1"/>
      <c r="BQO237" s="1"/>
      <c r="BQP237" s="1"/>
      <c r="BQQ237" s="1"/>
      <c r="BQR237" s="1"/>
      <c r="BQS237" s="1"/>
      <c r="BQT237" s="1"/>
      <c r="BQU237" s="1"/>
      <c r="BQV237" s="1"/>
      <c r="BQW237" s="1"/>
      <c r="BQX237" s="1"/>
      <c r="BQY237" s="1"/>
      <c r="BQZ237" s="1"/>
      <c r="BRA237" s="1"/>
      <c r="BRB237" s="1"/>
      <c r="BRC237" s="1"/>
      <c r="BRD237" s="1"/>
      <c r="BRE237" s="1"/>
      <c r="BRF237" s="1"/>
      <c r="BRG237" s="1"/>
      <c r="BRH237" s="1"/>
      <c r="BRI237" s="1"/>
      <c r="BRJ237" s="1"/>
      <c r="BRK237" s="1"/>
      <c r="BRL237" s="1"/>
      <c r="BRM237" s="1"/>
      <c r="BRN237" s="1"/>
      <c r="BRO237" s="1"/>
      <c r="BRP237" s="1"/>
      <c r="BRQ237" s="1"/>
      <c r="BRR237" s="1"/>
      <c r="BRS237" s="1"/>
      <c r="BRT237" s="1"/>
      <c r="BRU237" s="1"/>
      <c r="BRV237" s="1"/>
      <c r="BRW237" s="1"/>
      <c r="BRX237" s="1"/>
      <c r="BRY237" s="1"/>
      <c r="BRZ237" s="1"/>
      <c r="BSA237" s="1"/>
      <c r="BSB237" s="1"/>
      <c r="BSC237" s="1"/>
      <c r="BSD237" s="1"/>
      <c r="BSE237" s="1"/>
      <c r="BSF237" s="1"/>
      <c r="BSG237" s="1"/>
      <c r="BSH237" s="1"/>
      <c r="BSI237" s="1"/>
      <c r="BSJ237" s="1"/>
      <c r="BSK237" s="1"/>
      <c r="BSL237" s="1"/>
      <c r="BSM237" s="1"/>
      <c r="BSN237" s="1"/>
      <c r="BSO237" s="1"/>
      <c r="BSP237" s="1"/>
      <c r="BSQ237" s="1"/>
      <c r="BSR237" s="1"/>
      <c r="BSS237" s="1"/>
      <c r="BST237" s="1"/>
      <c r="BSU237" s="1"/>
      <c r="BSV237" s="1"/>
      <c r="BSW237" s="1"/>
      <c r="BSX237" s="1"/>
      <c r="BSY237" s="1"/>
      <c r="BSZ237" s="1"/>
      <c r="BTA237" s="1"/>
      <c r="BTB237" s="1"/>
      <c r="BTC237" s="1"/>
      <c r="BTD237" s="1"/>
      <c r="BTE237" s="1"/>
      <c r="BTF237" s="1"/>
      <c r="BTG237" s="1"/>
      <c r="BTH237" s="1"/>
      <c r="BTI237" s="1"/>
      <c r="BTJ237" s="1"/>
      <c r="BTK237" s="1"/>
      <c r="BTL237" s="1"/>
      <c r="BTM237" s="1"/>
      <c r="BTN237" s="1"/>
      <c r="BTO237" s="1"/>
      <c r="BTP237" s="1"/>
      <c r="BTQ237" s="1"/>
      <c r="BTR237" s="1"/>
      <c r="BTS237" s="1"/>
      <c r="BTT237" s="1"/>
      <c r="BTU237" s="1"/>
      <c r="BTV237" s="1"/>
      <c r="BTW237" s="1"/>
      <c r="BTX237" s="1"/>
      <c r="BTY237" s="1"/>
      <c r="BTZ237" s="1"/>
      <c r="BUA237" s="1"/>
      <c r="BUB237" s="1"/>
      <c r="BUC237" s="1"/>
      <c r="BUD237" s="1"/>
      <c r="BUE237" s="1"/>
      <c r="BUF237" s="1"/>
      <c r="BUG237" s="1"/>
      <c r="BUH237" s="1"/>
      <c r="BUI237" s="1"/>
      <c r="BUJ237" s="1"/>
      <c r="BUK237" s="1"/>
      <c r="BUL237" s="1"/>
      <c r="BUM237" s="1"/>
      <c r="BUN237" s="1"/>
      <c r="BUO237" s="1"/>
      <c r="BUP237" s="1"/>
      <c r="BUQ237" s="1"/>
      <c r="BUR237" s="1"/>
      <c r="BUS237" s="1"/>
      <c r="BUT237" s="1"/>
      <c r="BUU237" s="1"/>
      <c r="BUV237" s="1"/>
      <c r="BUW237" s="1"/>
      <c r="BUX237" s="1"/>
      <c r="BUY237" s="1"/>
      <c r="BUZ237" s="1"/>
      <c r="BVA237" s="1"/>
      <c r="BVB237" s="1"/>
      <c r="BVC237" s="1"/>
      <c r="BVD237" s="1"/>
      <c r="BVE237" s="1"/>
      <c r="BVF237" s="1"/>
      <c r="BVG237" s="1"/>
      <c r="BVH237" s="1"/>
      <c r="BVI237" s="1"/>
      <c r="BVJ237" s="1"/>
      <c r="BVK237" s="1"/>
      <c r="BVL237" s="1"/>
      <c r="BVM237" s="1"/>
      <c r="BVN237" s="1"/>
      <c r="BVO237" s="1"/>
      <c r="BVP237" s="1"/>
      <c r="BVQ237" s="1"/>
      <c r="BVR237" s="1"/>
      <c r="BVS237" s="1"/>
      <c r="BVT237" s="1"/>
      <c r="BVU237" s="1"/>
      <c r="BVV237" s="1"/>
      <c r="BVW237" s="1"/>
      <c r="BVX237" s="1"/>
      <c r="BVY237" s="1"/>
      <c r="BVZ237" s="1"/>
      <c r="BWA237" s="1"/>
      <c r="BWB237" s="1"/>
      <c r="BWC237" s="1"/>
      <c r="BWD237" s="1"/>
      <c r="BWE237" s="1"/>
      <c r="BWF237" s="1"/>
      <c r="BWG237" s="1"/>
      <c r="BWH237" s="1"/>
      <c r="BWI237" s="1"/>
      <c r="BWJ237" s="1"/>
      <c r="BWK237" s="1"/>
      <c r="BWL237" s="1"/>
      <c r="BWM237" s="1"/>
      <c r="BWN237" s="1"/>
      <c r="BWO237" s="1"/>
      <c r="BWP237" s="1"/>
      <c r="BWQ237" s="1"/>
      <c r="BWR237" s="1"/>
      <c r="BWS237" s="1"/>
      <c r="BWT237" s="1"/>
      <c r="BWU237" s="1"/>
      <c r="BWV237" s="1"/>
      <c r="BWW237" s="1"/>
      <c r="BWX237" s="1"/>
      <c r="BWY237" s="1"/>
      <c r="BWZ237" s="1"/>
      <c r="BXA237" s="1"/>
      <c r="BXB237" s="1"/>
      <c r="BXC237" s="1"/>
      <c r="BXD237" s="1"/>
      <c r="BXE237" s="1"/>
      <c r="BXF237" s="1"/>
      <c r="BXG237" s="1"/>
      <c r="BXH237" s="1"/>
      <c r="BXI237" s="1"/>
      <c r="BXJ237" s="1"/>
      <c r="BXK237" s="1"/>
      <c r="BXL237" s="1"/>
      <c r="BXM237" s="1"/>
      <c r="BXN237" s="1"/>
      <c r="BXO237" s="1"/>
      <c r="BXP237" s="1"/>
      <c r="BXQ237" s="1"/>
      <c r="BXR237" s="1"/>
      <c r="BXS237" s="1"/>
      <c r="BXT237" s="1"/>
      <c r="BXU237" s="1"/>
      <c r="BXV237" s="1"/>
      <c r="BXW237" s="1"/>
      <c r="BXX237" s="1"/>
      <c r="BXY237" s="1"/>
      <c r="BXZ237" s="1"/>
      <c r="BYA237" s="1"/>
      <c r="BYB237" s="1"/>
      <c r="BYC237" s="1"/>
      <c r="BYD237" s="1"/>
      <c r="BYE237" s="1"/>
      <c r="BYF237" s="1"/>
      <c r="BYG237" s="1"/>
      <c r="BYH237" s="1"/>
      <c r="BYI237" s="1"/>
      <c r="BYJ237" s="1"/>
      <c r="BYK237" s="1"/>
      <c r="BYL237" s="1"/>
      <c r="BYM237" s="1"/>
      <c r="BYN237" s="1"/>
      <c r="BYO237" s="1"/>
      <c r="BYP237" s="1"/>
      <c r="BYQ237" s="1"/>
      <c r="BYR237" s="1"/>
      <c r="BYS237" s="1"/>
      <c r="BYT237" s="1"/>
      <c r="BYU237" s="1"/>
      <c r="BYV237" s="1"/>
      <c r="BYW237" s="1"/>
      <c r="BYX237" s="1"/>
      <c r="BYY237" s="1"/>
      <c r="BYZ237" s="1"/>
      <c r="BZA237" s="1"/>
      <c r="BZB237" s="1"/>
      <c r="BZC237" s="1"/>
      <c r="BZD237" s="1"/>
      <c r="BZE237" s="1"/>
      <c r="BZF237" s="1"/>
      <c r="BZG237" s="1"/>
      <c r="BZH237" s="1"/>
      <c r="BZI237" s="1"/>
      <c r="BZJ237" s="1"/>
      <c r="BZK237" s="1"/>
      <c r="BZL237" s="1"/>
      <c r="BZM237" s="1"/>
      <c r="BZN237" s="1"/>
      <c r="BZO237" s="1"/>
      <c r="BZP237" s="1"/>
      <c r="BZQ237" s="1"/>
      <c r="BZR237" s="1"/>
      <c r="BZS237" s="1"/>
      <c r="BZT237" s="1"/>
      <c r="BZU237" s="1"/>
      <c r="BZV237" s="1"/>
      <c r="BZW237" s="1"/>
      <c r="BZX237" s="1"/>
      <c r="BZY237" s="1"/>
      <c r="BZZ237" s="1"/>
      <c r="CAA237" s="1"/>
      <c r="CAB237" s="1"/>
      <c r="CAC237" s="1"/>
      <c r="CAD237" s="1"/>
      <c r="CAE237" s="1"/>
      <c r="CAF237" s="1"/>
      <c r="CAG237" s="1"/>
      <c r="CAH237" s="1"/>
      <c r="CAI237" s="1"/>
      <c r="CAJ237" s="1"/>
      <c r="CAK237" s="1"/>
      <c r="CAL237" s="1"/>
      <c r="CAM237" s="1"/>
      <c r="CAN237" s="1"/>
      <c r="CAO237" s="1"/>
      <c r="CAP237" s="1"/>
      <c r="CAQ237" s="1"/>
      <c r="CAR237" s="1"/>
      <c r="CAS237" s="1"/>
      <c r="CAT237" s="1"/>
      <c r="CAU237" s="1"/>
      <c r="CAV237" s="1"/>
      <c r="CAW237" s="1"/>
      <c r="CAX237" s="1"/>
      <c r="CAY237" s="1"/>
      <c r="CAZ237" s="1"/>
      <c r="CBA237" s="1"/>
      <c r="CBB237" s="1"/>
      <c r="CBC237" s="1"/>
      <c r="CBD237" s="1"/>
      <c r="CBE237" s="1"/>
      <c r="CBF237" s="1"/>
      <c r="CBG237" s="1"/>
      <c r="CBH237" s="1"/>
      <c r="CBI237" s="1"/>
      <c r="CBJ237" s="1"/>
      <c r="CBK237" s="1"/>
      <c r="CBL237" s="1"/>
      <c r="CBM237" s="1"/>
      <c r="CBN237" s="1"/>
      <c r="CBO237" s="1"/>
      <c r="CBP237" s="1"/>
      <c r="CBQ237" s="1"/>
      <c r="CBR237" s="1"/>
      <c r="CBS237" s="1"/>
      <c r="CBT237" s="1"/>
      <c r="CBU237" s="1"/>
      <c r="CBV237" s="1"/>
      <c r="CBW237" s="1"/>
      <c r="CBX237" s="1"/>
      <c r="CBY237" s="1"/>
      <c r="CBZ237" s="1"/>
      <c r="CCA237" s="1"/>
      <c r="CCB237" s="1"/>
      <c r="CCC237" s="1"/>
      <c r="CCD237" s="1"/>
      <c r="CCE237" s="1"/>
      <c r="CCF237" s="1"/>
      <c r="CCG237" s="1"/>
      <c r="CCH237" s="1"/>
      <c r="CCI237" s="1"/>
      <c r="CCJ237" s="1"/>
      <c r="CCK237" s="1"/>
      <c r="CCL237" s="1"/>
      <c r="CCM237" s="1"/>
      <c r="CCN237" s="1"/>
      <c r="CCO237" s="1"/>
      <c r="CCP237" s="1"/>
      <c r="CCQ237" s="1"/>
      <c r="CCR237" s="1"/>
      <c r="CCS237" s="1"/>
      <c r="CCT237" s="1"/>
      <c r="CCU237" s="1"/>
      <c r="CCV237" s="1"/>
      <c r="CCW237" s="1"/>
      <c r="CCX237" s="1"/>
      <c r="CCY237" s="1"/>
      <c r="CCZ237" s="1"/>
      <c r="CDA237" s="1"/>
      <c r="CDB237" s="1"/>
      <c r="CDC237" s="1"/>
      <c r="CDD237" s="1"/>
      <c r="CDE237" s="1"/>
      <c r="CDF237" s="1"/>
      <c r="CDG237" s="1"/>
      <c r="CDH237" s="1"/>
      <c r="CDI237" s="1"/>
      <c r="CDJ237" s="1"/>
      <c r="CDK237" s="1"/>
      <c r="CDL237" s="1"/>
      <c r="CDM237" s="1"/>
      <c r="CDN237" s="1"/>
      <c r="CDO237" s="1"/>
      <c r="CDP237" s="1"/>
      <c r="CDQ237" s="1"/>
      <c r="CDR237" s="1"/>
      <c r="CDS237" s="1"/>
      <c r="CDT237" s="1"/>
      <c r="CDU237" s="1"/>
      <c r="CDV237" s="1"/>
      <c r="CDW237" s="1"/>
      <c r="CDX237" s="1"/>
      <c r="CDY237" s="1"/>
      <c r="CDZ237" s="1"/>
      <c r="CEA237" s="1"/>
      <c r="CEB237" s="1"/>
      <c r="CEC237" s="1"/>
      <c r="CED237" s="1"/>
      <c r="CEE237" s="1"/>
      <c r="CEF237" s="1"/>
      <c r="CEG237" s="1"/>
      <c r="CEH237" s="1"/>
      <c r="CEI237" s="1"/>
      <c r="CEJ237" s="1"/>
      <c r="CEK237" s="1"/>
      <c r="CEL237" s="1"/>
      <c r="CEM237" s="1"/>
      <c r="CEN237" s="1"/>
      <c r="CEO237" s="1"/>
      <c r="CEP237" s="1"/>
      <c r="CEQ237" s="1"/>
      <c r="CER237" s="1"/>
      <c r="CES237" s="1"/>
      <c r="CET237" s="1"/>
      <c r="CEU237" s="1"/>
      <c r="CEV237" s="1"/>
      <c r="CEW237" s="1"/>
      <c r="CEX237" s="1"/>
      <c r="CEY237" s="1"/>
      <c r="CEZ237" s="1"/>
      <c r="CFA237" s="1"/>
      <c r="CFB237" s="1"/>
      <c r="CFC237" s="1"/>
      <c r="CFD237" s="1"/>
      <c r="CFE237" s="1"/>
      <c r="CFF237" s="1"/>
      <c r="CFG237" s="1"/>
      <c r="CFH237" s="1"/>
      <c r="CFI237" s="1"/>
      <c r="CFJ237" s="1"/>
      <c r="CFK237" s="1"/>
      <c r="CFL237" s="1"/>
      <c r="CFM237" s="1"/>
      <c r="CFN237" s="1"/>
      <c r="CFO237" s="1"/>
      <c r="CFP237" s="1"/>
      <c r="CFQ237" s="1"/>
      <c r="CFR237" s="1"/>
      <c r="CFS237" s="1"/>
      <c r="CFT237" s="1"/>
      <c r="CFU237" s="1"/>
      <c r="CFV237" s="1"/>
      <c r="CFW237" s="1"/>
      <c r="CFX237" s="1"/>
      <c r="CFY237" s="1"/>
      <c r="CFZ237" s="1"/>
      <c r="CGA237" s="1"/>
      <c r="CGB237" s="1"/>
      <c r="CGC237" s="1"/>
      <c r="CGD237" s="1"/>
      <c r="CGE237" s="1"/>
      <c r="CGF237" s="1"/>
      <c r="CGG237" s="1"/>
      <c r="CGH237" s="1"/>
      <c r="CGI237" s="1"/>
      <c r="CGJ237" s="1"/>
      <c r="CGK237" s="1"/>
      <c r="CGL237" s="1"/>
      <c r="CGM237" s="1"/>
      <c r="CGN237" s="1"/>
      <c r="CGO237" s="1"/>
      <c r="CGP237" s="1"/>
      <c r="CGQ237" s="1"/>
      <c r="CGR237" s="1"/>
      <c r="CGS237" s="1"/>
      <c r="CGT237" s="1"/>
      <c r="CGU237" s="1"/>
      <c r="CGV237" s="1"/>
      <c r="CGW237" s="1"/>
      <c r="CGX237" s="1"/>
      <c r="CGY237" s="1"/>
      <c r="CGZ237" s="1"/>
      <c r="CHA237" s="1"/>
      <c r="CHB237" s="1"/>
      <c r="CHC237" s="1"/>
      <c r="CHD237" s="1"/>
      <c r="CHE237" s="1"/>
      <c r="CHF237" s="1"/>
      <c r="CHG237" s="1"/>
      <c r="CHH237" s="1"/>
      <c r="CHI237" s="1"/>
      <c r="CHJ237" s="1"/>
      <c r="CHK237" s="1"/>
      <c r="CHL237" s="1"/>
      <c r="CHM237" s="1"/>
      <c r="CHN237" s="1"/>
      <c r="CHO237" s="1"/>
      <c r="CHP237" s="1"/>
      <c r="CHQ237" s="1"/>
      <c r="CHR237" s="1"/>
      <c r="CHS237" s="1"/>
      <c r="CHT237" s="1"/>
      <c r="CHU237" s="1"/>
      <c r="CHV237" s="1"/>
      <c r="CHW237" s="1"/>
      <c r="CHX237" s="1"/>
      <c r="CHY237" s="1"/>
      <c r="CHZ237" s="1"/>
      <c r="CIA237" s="1"/>
      <c r="CIB237" s="1"/>
      <c r="CIC237" s="1"/>
      <c r="CID237" s="1"/>
      <c r="CIE237" s="1"/>
      <c r="CIF237" s="1"/>
      <c r="CIG237" s="1"/>
      <c r="CIH237" s="1"/>
      <c r="CII237" s="1"/>
      <c r="CIJ237" s="1"/>
      <c r="CIK237" s="1"/>
      <c r="CIL237" s="1"/>
      <c r="CIM237" s="1"/>
      <c r="CIN237" s="1"/>
      <c r="CIO237" s="1"/>
      <c r="CIP237" s="1"/>
      <c r="CIQ237" s="1"/>
      <c r="CIR237" s="1"/>
      <c r="CIS237" s="1"/>
      <c r="CIT237" s="1"/>
      <c r="CIU237" s="1"/>
      <c r="CIV237" s="1"/>
      <c r="CIW237" s="1"/>
      <c r="CIX237" s="1"/>
      <c r="CIY237" s="1"/>
      <c r="CIZ237" s="1"/>
      <c r="CJA237" s="1"/>
      <c r="CJB237" s="1"/>
      <c r="CJC237" s="1"/>
      <c r="CJD237" s="1"/>
      <c r="CJE237" s="1"/>
      <c r="CJF237" s="1"/>
      <c r="CJG237" s="1"/>
      <c r="CJH237" s="1"/>
      <c r="CJI237" s="1"/>
      <c r="CJJ237" s="1"/>
      <c r="CJK237" s="1"/>
      <c r="CJL237" s="1"/>
      <c r="CJM237" s="1"/>
      <c r="CJN237" s="1"/>
      <c r="CJO237" s="1"/>
      <c r="CJP237" s="1"/>
      <c r="CJQ237" s="1"/>
      <c r="CJR237" s="1"/>
      <c r="CJS237" s="1"/>
      <c r="CJT237" s="1"/>
      <c r="CJU237" s="1"/>
      <c r="CJV237" s="1"/>
      <c r="CJW237" s="1"/>
      <c r="CJX237" s="1"/>
      <c r="CJY237" s="1"/>
      <c r="CJZ237" s="1"/>
      <c r="CKA237" s="1"/>
      <c r="CKB237" s="1"/>
      <c r="CKC237" s="1"/>
      <c r="CKD237" s="1"/>
      <c r="CKE237" s="1"/>
      <c r="CKF237" s="1"/>
      <c r="CKG237" s="1"/>
      <c r="CKH237" s="1"/>
      <c r="CKI237" s="1"/>
      <c r="CKJ237" s="1"/>
      <c r="CKK237" s="1"/>
      <c r="CKL237" s="1"/>
      <c r="CKM237" s="1"/>
      <c r="CKN237" s="1"/>
      <c r="CKO237" s="1"/>
      <c r="CKP237" s="1"/>
      <c r="CKQ237" s="1"/>
      <c r="CKR237" s="1"/>
      <c r="CKS237" s="1"/>
      <c r="CKT237" s="1"/>
      <c r="CKU237" s="1"/>
      <c r="CKV237" s="1"/>
      <c r="CKW237" s="1"/>
      <c r="CKX237" s="1"/>
      <c r="CKY237" s="1"/>
      <c r="CKZ237" s="1"/>
      <c r="CLA237" s="1"/>
      <c r="CLB237" s="1"/>
      <c r="CLC237" s="1"/>
      <c r="CLD237" s="1"/>
      <c r="CLE237" s="1"/>
      <c r="CLF237" s="1"/>
      <c r="CLG237" s="1"/>
      <c r="CLH237" s="1"/>
      <c r="CLI237" s="1"/>
      <c r="CLJ237" s="1"/>
      <c r="CLK237" s="1"/>
      <c r="CLL237" s="1"/>
      <c r="CLM237" s="1"/>
      <c r="CLN237" s="1"/>
      <c r="CLO237" s="1"/>
      <c r="CLP237" s="1"/>
      <c r="CLQ237" s="1"/>
      <c r="CLR237" s="1"/>
      <c r="CLS237" s="1"/>
      <c r="CLT237" s="1"/>
      <c r="CLU237" s="1"/>
      <c r="CLV237" s="1"/>
      <c r="CLW237" s="1"/>
      <c r="CLX237" s="1"/>
      <c r="CLY237" s="1"/>
      <c r="CLZ237" s="1"/>
      <c r="CMA237" s="1"/>
      <c r="CMB237" s="1"/>
      <c r="CMC237" s="1"/>
      <c r="CMD237" s="1"/>
      <c r="CME237" s="1"/>
      <c r="CMF237" s="1"/>
      <c r="CMG237" s="1"/>
      <c r="CMH237" s="1"/>
      <c r="CMI237" s="1"/>
      <c r="CMJ237" s="1"/>
      <c r="CMK237" s="1"/>
      <c r="CML237" s="1"/>
      <c r="CMM237" s="1"/>
      <c r="CMN237" s="1"/>
      <c r="CMO237" s="1"/>
      <c r="CMP237" s="1"/>
      <c r="CMQ237" s="1"/>
      <c r="CMR237" s="1"/>
      <c r="CMS237" s="1"/>
      <c r="CMT237" s="1"/>
      <c r="CMU237" s="1"/>
      <c r="CMV237" s="1"/>
      <c r="CMW237" s="1"/>
      <c r="CMX237" s="1"/>
      <c r="CMY237" s="1"/>
      <c r="CMZ237" s="1"/>
      <c r="CNA237" s="1"/>
      <c r="CNB237" s="1"/>
      <c r="CNC237" s="1"/>
      <c r="CND237" s="1"/>
      <c r="CNE237" s="1"/>
      <c r="CNF237" s="1"/>
      <c r="CNG237" s="1"/>
      <c r="CNH237" s="1"/>
      <c r="CNI237" s="1"/>
      <c r="CNJ237" s="1"/>
      <c r="CNK237" s="1"/>
      <c r="CNL237" s="1"/>
      <c r="CNM237" s="1"/>
      <c r="CNN237" s="1"/>
      <c r="CNO237" s="1"/>
      <c r="CNP237" s="1"/>
      <c r="CNQ237" s="1"/>
      <c r="CNR237" s="1"/>
      <c r="CNS237" s="1"/>
      <c r="CNT237" s="1"/>
      <c r="CNU237" s="1"/>
      <c r="CNV237" s="1"/>
      <c r="CNW237" s="1"/>
      <c r="CNX237" s="1"/>
      <c r="CNY237" s="1"/>
      <c r="CNZ237" s="1"/>
      <c r="COA237" s="1"/>
      <c r="COB237" s="1"/>
      <c r="COC237" s="1"/>
      <c r="COD237" s="1"/>
      <c r="COE237" s="1"/>
      <c r="COF237" s="1"/>
      <c r="COG237" s="1"/>
      <c r="COH237" s="1"/>
      <c r="COI237" s="1"/>
      <c r="COJ237" s="1"/>
      <c r="COK237" s="1"/>
      <c r="COL237" s="1"/>
      <c r="COM237" s="1"/>
      <c r="CON237" s="1"/>
      <c r="COO237" s="1"/>
      <c r="COP237" s="1"/>
      <c r="COQ237" s="1"/>
      <c r="COR237" s="1"/>
      <c r="COS237" s="1"/>
      <c r="COT237" s="1"/>
      <c r="COU237" s="1"/>
      <c r="COV237" s="1"/>
      <c r="COW237" s="1"/>
      <c r="COX237" s="1"/>
      <c r="COY237" s="1"/>
      <c r="COZ237" s="1"/>
      <c r="CPA237" s="1"/>
      <c r="CPB237" s="1"/>
      <c r="CPC237" s="1"/>
      <c r="CPD237" s="1"/>
      <c r="CPE237" s="1"/>
      <c r="CPF237" s="1"/>
      <c r="CPG237" s="1"/>
      <c r="CPH237" s="1"/>
      <c r="CPI237" s="1"/>
      <c r="CPJ237" s="1"/>
      <c r="CPK237" s="1"/>
      <c r="CPL237" s="1"/>
      <c r="CPM237" s="1"/>
      <c r="CPN237" s="1"/>
      <c r="CPO237" s="1"/>
      <c r="CPP237" s="1"/>
      <c r="CPQ237" s="1"/>
      <c r="CPR237" s="1"/>
      <c r="CPS237" s="1"/>
      <c r="CPT237" s="1"/>
      <c r="CPU237" s="1"/>
      <c r="CPV237" s="1"/>
      <c r="CPW237" s="1"/>
      <c r="CPX237" s="1"/>
      <c r="CPY237" s="1"/>
      <c r="CPZ237" s="1"/>
      <c r="CQA237" s="1"/>
      <c r="CQB237" s="1"/>
      <c r="CQC237" s="1"/>
      <c r="CQD237" s="1"/>
      <c r="CQE237" s="1"/>
      <c r="CQF237" s="1"/>
      <c r="CQG237" s="1"/>
      <c r="CQH237" s="1"/>
      <c r="CQI237" s="1"/>
      <c r="CQJ237" s="1"/>
      <c r="CQK237" s="1"/>
      <c r="CQL237" s="1"/>
      <c r="CQM237" s="1"/>
      <c r="CQN237" s="1"/>
      <c r="CQO237" s="1"/>
      <c r="CQP237" s="1"/>
      <c r="CQQ237" s="1"/>
      <c r="CQR237" s="1"/>
      <c r="CQS237" s="1"/>
      <c r="CQT237" s="1"/>
      <c r="CQU237" s="1"/>
      <c r="CQV237" s="1"/>
      <c r="CQW237" s="1"/>
      <c r="CQX237" s="1"/>
      <c r="CQY237" s="1"/>
      <c r="CQZ237" s="1"/>
      <c r="CRA237" s="1"/>
      <c r="CRB237" s="1"/>
      <c r="CRC237" s="1"/>
      <c r="CRD237" s="1"/>
      <c r="CRE237" s="1"/>
      <c r="CRF237" s="1"/>
      <c r="CRG237" s="1"/>
      <c r="CRH237" s="1"/>
      <c r="CRI237" s="1"/>
      <c r="CRJ237" s="1"/>
      <c r="CRK237" s="1"/>
      <c r="CRL237" s="1"/>
      <c r="CRM237" s="1"/>
      <c r="CRN237" s="1"/>
      <c r="CRO237" s="1"/>
      <c r="CRP237" s="1"/>
      <c r="CRQ237" s="1"/>
      <c r="CRR237" s="1"/>
      <c r="CRS237" s="1"/>
      <c r="CRT237" s="1"/>
      <c r="CRU237" s="1"/>
      <c r="CRV237" s="1"/>
      <c r="CRW237" s="1"/>
      <c r="CRX237" s="1"/>
      <c r="CRY237" s="1"/>
      <c r="CRZ237" s="1"/>
      <c r="CSA237" s="1"/>
      <c r="CSB237" s="1"/>
      <c r="CSC237" s="1"/>
      <c r="CSD237" s="1"/>
      <c r="CSE237" s="1"/>
      <c r="CSF237" s="1"/>
      <c r="CSG237" s="1"/>
      <c r="CSH237" s="1"/>
      <c r="CSI237" s="1"/>
      <c r="CSJ237" s="1"/>
      <c r="CSK237" s="1"/>
      <c r="CSL237" s="1"/>
      <c r="CSM237" s="1"/>
      <c r="CSN237" s="1"/>
      <c r="CSO237" s="1"/>
      <c r="CSP237" s="1"/>
      <c r="CSQ237" s="1"/>
      <c r="CSR237" s="1"/>
      <c r="CSS237" s="1"/>
      <c r="CST237" s="1"/>
      <c r="CSU237" s="1"/>
      <c r="CSV237" s="1"/>
      <c r="CSW237" s="1"/>
      <c r="CSX237" s="1"/>
      <c r="CSY237" s="1"/>
      <c r="CSZ237" s="1"/>
      <c r="CTA237" s="1"/>
      <c r="CTB237" s="1"/>
      <c r="CTC237" s="1"/>
      <c r="CTD237" s="1"/>
      <c r="CTE237" s="1"/>
      <c r="CTF237" s="1"/>
      <c r="CTG237" s="1"/>
      <c r="CTH237" s="1"/>
      <c r="CTI237" s="1"/>
      <c r="CTJ237" s="1"/>
      <c r="CTK237" s="1"/>
      <c r="CTL237" s="1"/>
      <c r="CTM237" s="1"/>
      <c r="CTN237" s="1"/>
      <c r="CTO237" s="1"/>
      <c r="CTP237" s="1"/>
      <c r="CTQ237" s="1"/>
      <c r="CTR237" s="1"/>
      <c r="CTS237" s="1"/>
      <c r="CTT237" s="1"/>
      <c r="CTU237" s="1"/>
      <c r="CTV237" s="1"/>
      <c r="CTW237" s="1"/>
      <c r="CTX237" s="1"/>
      <c r="CTY237" s="1"/>
      <c r="CTZ237" s="1"/>
      <c r="CUA237" s="1"/>
      <c r="CUB237" s="1"/>
      <c r="CUC237" s="1"/>
      <c r="CUD237" s="1"/>
      <c r="CUE237" s="1"/>
      <c r="CUF237" s="1"/>
      <c r="CUG237" s="1"/>
      <c r="CUH237" s="1"/>
      <c r="CUI237" s="1"/>
      <c r="CUJ237" s="1"/>
      <c r="CUK237" s="1"/>
      <c r="CUL237" s="1"/>
      <c r="CUM237" s="1"/>
      <c r="CUN237" s="1"/>
      <c r="CUO237" s="1"/>
      <c r="CUP237" s="1"/>
      <c r="CUQ237" s="1"/>
      <c r="CUR237" s="1"/>
      <c r="CUS237" s="1"/>
      <c r="CUT237" s="1"/>
      <c r="CUU237" s="1"/>
      <c r="CUV237" s="1"/>
      <c r="CUW237" s="1"/>
      <c r="CUX237" s="1"/>
      <c r="CUY237" s="1"/>
      <c r="CUZ237" s="1"/>
      <c r="CVA237" s="1"/>
      <c r="CVB237" s="1"/>
      <c r="CVC237" s="1"/>
      <c r="CVD237" s="1"/>
      <c r="CVE237" s="1"/>
      <c r="CVF237" s="1"/>
      <c r="CVG237" s="1"/>
      <c r="CVH237" s="1"/>
      <c r="CVI237" s="1"/>
      <c r="CVJ237" s="1"/>
      <c r="CVK237" s="1"/>
      <c r="CVL237" s="1"/>
      <c r="CVM237" s="1"/>
      <c r="CVN237" s="1"/>
      <c r="CVO237" s="1"/>
      <c r="CVP237" s="1"/>
      <c r="CVQ237" s="1"/>
      <c r="CVR237" s="1"/>
      <c r="CVS237" s="1"/>
      <c r="CVT237" s="1"/>
      <c r="CVU237" s="1"/>
      <c r="CVV237" s="1"/>
      <c r="CVW237" s="1"/>
      <c r="CVX237" s="1"/>
      <c r="CVY237" s="1"/>
      <c r="CVZ237" s="1"/>
      <c r="CWA237" s="1"/>
      <c r="CWB237" s="1"/>
      <c r="CWC237" s="1"/>
      <c r="CWD237" s="1"/>
      <c r="CWE237" s="1"/>
      <c r="CWF237" s="1"/>
      <c r="CWG237" s="1"/>
      <c r="CWH237" s="1"/>
      <c r="CWI237" s="1"/>
      <c r="CWJ237" s="1"/>
      <c r="CWK237" s="1"/>
      <c r="CWL237" s="1"/>
      <c r="CWM237" s="1"/>
      <c r="CWN237" s="1"/>
      <c r="CWO237" s="1"/>
      <c r="CWP237" s="1"/>
      <c r="CWQ237" s="1"/>
      <c r="CWR237" s="1"/>
      <c r="CWS237" s="1"/>
      <c r="CWT237" s="1"/>
      <c r="CWU237" s="1"/>
      <c r="CWV237" s="1"/>
      <c r="CWW237" s="1"/>
      <c r="CWX237" s="1"/>
      <c r="CWY237" s="1"/>
      <c r="CWZ237" s="1"/>
      <c r="CXA237" s="1"/>
      <c r="CXB237" s="1"/>
      <c r="CXC237" s="1"/>
      <c r="CXD237" s="1"/>
      <c r="CXE237" s="1"/>
      <c r="CXF237" s="1"/>
      <c r="CXG237" s="1"/>
      <c r="CXH237" s="1"/>
      <c r="CXI237" s="1"/>
      <c r="CXJ237" s="1"/>
      <c r="CXK237" s="1"/>
      <c r="CXL237" s="1"/>
      <c r="CXM237" s="1"/>
      <c r="CXN237" s="1"/>
      <c r="CXO237" s="1"/>
      <c r="CXP237" s="1"/>
      <c r="CXQ237" s="1"/>
      <c r="CXR237" s="1"/>
      <c r="CXS237" s="1"/>
      <c r="CXT237" s="1"/>
      <c r="CXU237" s="1"/>
      <c r="CXV237" s="1"/>
      <c r="CXW237" s="1"/>
      <c r="CXX237" s="1"/>
      <c r="CXY237" s="1"/>
      <c r="CXZ237" s="1"/>
      <c r="CYA237" s="1"/>
      <c r="CYB237" s="1"/>
      <c r="CYC237" s="1"/>
      <c r="CYD237" s="1"/>
      <c r="CYE237" s="1"/>
      <c r="CYF237" s="1"/>
      <c r="CYG237" s="1"/>
      <c r="CYH237" s="1"/>
      <c r="CYI237" s="1"/>
      <c r="CYJ237" s="1"/>
      <c r="CYK237" s="1"/>
      <c r="CYL237" s="1"/>
      <c r="CYM237" s="1"/>
      <c r="CYN237" s="1"/>
      <c r="CYO237" s="1"/>
      <c r="CYP237" s="1"/>
      <c r="CYQ237" s="1"/>
      <c r="CYR237" s="1"/>
      <c r="CYS237" s="1"/>
      <c r="CYT237" s="1"/>
      <c r="CYU237" s="1"/>
      <c r="CYV237" s="1"/>
      <c r="CYW237" s="1"/>
      <c r="CYX237" s="1"/>
      <c r="CYY237" s="1"/>
      <c r="CYZ237" s="1"/>
      <c r="CZA237" s="1"/>
      <c r="CZB237" s="1"/>
      <c r="CZC237" s="1"/>
      <c r="CZD237" s="1"/>
      <c r="CZE237" s="1"/>
      <c r="CZF237" s="1"/>
      <c r="CZG237" s="1"/>
      <c r="CZH237" s="1"/>
      <c r="CZI237" s="1"/>
      <c r="CZJ237" s="1"/>
      <c r="CZK237" s="1"/>
      <c r="CZL237" s="1"/>
      <c r="CZM237" s="1"/>
      <c r="CZN237" s="1"/>
      <c r="CZO237" s="1"/>
      <c r="CZP237" s="1"/>
      <c r="CZQ237" s="1"/>
      <c r="CZR237" s="1"/>
      <c r="CZS237" s="1"/>
      <c r="CZT237" s="1"/>
      <c r="CZU237" s="1"/>
      <c r="CZV237" s="1"/>
      <c r="CZW237" s="1"/>
      <c r="CZX237" s="1"/>
      <c r="CZY237" s="1"/>
      <c r="CZZ237" s="1"/>
      <c r="DAA237" s="1"/>
      <c r="DAB237" s="1"/>
      <c r="DAC237" s="1"/>
      <c r="DAD237" s="1"/>
      <c r="DAE237" s="1"/>
      <c r="DAF237" s="1"/>
      <c r="DAG237" s="1"/>
      <c r="DAH237" s="1"/>
      <c r="DAI237" s="1"/>
      <c r="DAJ237" s="1"/>
      <c r="DAK237" s="1"/>
      <c r="DAL237" s="1"/>
      <c r="DAM237" s="1"/>
      <c r="DAN237" s="1"/>
      <c r="DAO237" s="1"/>
      <c r="DAP237" s="1"/>
      <c r="DAQ237" s="1"/>
      <c r="DAR237" s="1"/>
      <c r="DAS237" s="1"/>
      <c r="DAT237" s="1"/>
      <c r="DAU237" s="1"/>
      <c r="DAV237" s="1"/>
      <c r="DAW237" s="1"/>
      <c r="DAX237" s="1"/>
      <c r="DAY237" s="1"/>
      <c r="DAZ237" s="1"/>
      <c r="DBA237" s="1"/>
      <c r="DBB237" s="1"/>
      <c r="DBC237" s="1"/>
      <c r="DBD237" s="1"/>
      <c r="DBE237" s="1"/>
      <c r="DBF237" s="1"/>
      <c r="DBG237" s="1"/>
      <c r="DBH237" s="1"/>
      <c r="DBI237" s="1"/>
      <c r="DBJ237" s="1"/>
      <c r="DBK237" s="1"/>
      <c r="DBL237" s="1"/>
      <c r="DBM237" s="1"/>
      <c r="DBN237" s="1"/>
      <c r="DBO237" s="1"/>
      <c r="DBP237" s="1"/>
      <c r="DBQ237" s="1"/>
      <c r="DBR237" s="1"/>
      <c r="DBS237" s="1"/>
      <c r="DBT237" s="1"/>
      <c r="DBU237" s="1"/>
      <c r="DBV237" s="1"/>
      <c r="DBW237" s="1"/>
      <c r="DBX237" s="1"/>
      <c r="DBY237" s="1"/>
      <c r="DBZ237" s="1"/>
      <c r="DCA237" s="1"/>
      <c r="DCB237" s="1"/>
      <c r="DCC237" s="1"/>
      <c r="DCD237" s="1"/>
      <c r="DCE237" s="1"/>
      <c r="DCF237" s="1"/>
      <c r="DCG237" s="1"/>
      <c r="DCH237" s="1"/>
      <c r="DCI237" s="1"/>
      <c r="DCJ237" s="1"/>
      <c r="DCK237" s="1"/>
      <c r="DCL237" s="1"/>
      <c r="DCM237" s="1"/>
      <c r="DCN237" s="1"/>
      <c r="DCO237" s="1"/>
      <c r="DCP237" s="1"/>
      <c r="DCQ237" s="1"/>
      <c r="DCR237" s="1"/>
      <c r="DCS237" s="1"/>
      <c r="DCT237" s="1"/>
      <c r="DCU237" s="1"/>
      <c r="DCV237" s="1"/>
      <c r="DCW237" s="1"/>
      <c r="DCX237" s="1"/>
      <c r="DCY237" s="1"/>
      <c r="DCZ237" s="1"/>
      <c r="DDA237" s="1"/>
      <c r="DDB237" s="1"/>
      <c r="DDC237" s="1"/>
      <c r="DDD237" s="1"/>
      <c r="DDE237" s="1"/>
      <c r="DDF237" s="1"/>
      <c r="DDG237" s="1"/>
      <c r="DDH237" s="1"/>
      <c r="DDI237" s="1"/>
      <c r="DDJ237" s="1"/>
      <c r="DDK237" s="1"/>
      <c r="DDL237" s="1"/>
      <c r="DDM237" s="1"/>
      <c r="DDN237" s="1"/>
      <c r="DDO237" s="1"/>
      <c r="DDP237" s="1"/>
      <c r="DDQ237" s="1"/>
      <c r="DDR237" s="1"/>
      <c r="DDS237" s="1"/>
      <c r="DDT237" s="1"/>
      <c r="DDU237" s="1"/>
      <c r="DDV237" s="1"/>
      <c r="DDW237" s="1"/>
      <c r="DDX237" s="1"/>
      <c r="DDY237" s="1"/>
      <c r="DDZ237" s="1"/>
      <c r="DEA237" s="1"/>
      <c r="DEB237" s="1"/>
      <c r="DEC237" s="1"/>
      <c r="DED237" s="1"/>
      <c r="DEE237" s="1"/>
      <c r="DEF237" s="1"/>
      <c r="DEG237" s="1"/>
      <c r="DEH237" s="1"/>
      <c r="DEI237" s="1"/>
      <c r="DEJ237" s="1"/>
      <c r="DEK237" s="1"/>
      <c r="DEL237" s="1"/>
      <c r="DEM237" s="1"/>
      <c r="DEN237" s="1"/>
      <c r="DEO237" s="1"/>
      <c r="DEP237" s="1"/>
      <c r="DEQ237" s="1"/>
      <c r="DER237" s="1"/>
      <c r="DES237" s="1"/>
      <c r="DET237" s="1"/>
      <c r="DEU237" s="1"/>
      <c r="DEV237" s="1"/>
      <c r="DEW237" s="1"/>
      <c r="DEX237" s="1"/>
      <c r="DEY237" s="1"/>
      <c r="DEZ237" s="1"/>
      <c r="DFA237" s="1"/>
      <c r="DFB237" s="1"/>
      <c r="DFC237" s="1"/>
      <c r="DFD237" s="1"/>
      <c r="DFE237" s="1"/>
      <c r="DFF237" s="1"/>
      <c r="DFG237" s="1"/>
      <c r="DFH237" s="1"/>
      <c r="DFI237" s="1"/>
      <c r="DFJ237" s="1"/>
      <c r="DFK237" s="1"/>
      <c r="DFL237" s="1"/>
      <c r="DFM237" s="1"/>
      <c r="DFN237" s="1"/>
      <c r="DFO237" s="1"/>
      <c r="DFP237" s="1"/>
      <c r="DFQ237" s="1"/>
      <c r="DFR237" s="1"/>
      <c r="DFS237" s="1"/>
      <c r="DFT237" s="1"/>
      <c r="DFU237" s="1"/>
      <c r="DFV237" s="1"/>
      <c r="DFW237" s="1"/>
      <c r="DFX237" s="1"/>
      <c r="DFY237" s="1"/>
      <c r="DFZ237" s="1"/>
      <c r="DGA237" s="1"/>
      <c r="DGB237" s="1"/>
      <c r="DGC237" s="1"/>
      <c r="DGD237" s="1"/>
      <c r="DGE237" s="1"/>
      <c r="DGF237" s="1"/>
      <c r="DGG237" s="1"/>
      <c r="DGH237" s="1"/>
      <c r="DGI237" s="1"/>
      <c r="DGJ237" s="1"/>
      <c r="DGK237" s="1"/>
      <c r="DGL237" s="1"/>
      <c r="DGM237" s="1"/>
      <c r="DGN237" s="1"/>
      <c r="DGO237" s="1"/>
      <c r="DGP237" s="1"/>
      <c r="DGQ237" s="1"/>
      <c r="DGR237" s="1"/>
      <c r="DGS237" s="1"/>
      <c r="DGT237" s="1"/>
      <c r="DGU237" s="1"/>
      <c r="DGV237" s="1"/>
      <c r="DGW237" s="1"/>
      <c r="DGX237" s="1"/>
      <c r="DGY237" s="1"/>
      <c r="DGZ237" s="1"/>
      <c r="DHA237" s="1"/>
      <c r="DHB237" s="1"/>
      <c r="DHC237" s="1"/>
      <c r="DHD237" s="1"/>
      <c r="DHE237" s="1"/>
      <c r="DHF237" s="1"/>
      <c r="DHG237" s="1"/>
      <c r="DHH237" s="1"/>
      <c r="DHI237" s="1"/>
      <c r="DHJ237" s="1"/>
      <c r="DHK237" s="1"/>
      <c r="DHL237" s="1"/>
      <c r="DHM237" s="1"/>
      <c r="DHN237" s="1"/>
      <c r="DHO237" s="1"/>
      <c r="DHP237" s="1"/>
      <c r="DHQ237" s="1"/>
      <c r="DHR237" s="1"/>
      <c r="DHS237" s="1"/>
      <c r="DHT237" s="1"/>
      <c r="DHU237" s="1"/>
      <c r="DHV237" s="1"/>
      <c r="DHW237" s="1"/>
      <c r="DHX237" s="1"/>
      <c r="DHY237" s="1"/>
      <c r="DHZ237" s="1"/>
      <c r="DIA237" s="1"/>
      <c r="DIB237" s="1"/>
      <c r="DIC237" s="1"/>
      <c r="DID237" s="1"/>
      <c r="DIE237" s="1"/>
      <c r="DIF237" s="1"/>
      <c r="DIG237" s="1"/>
      <c r="DIH237" s="1"/>
      <c r="DII237" s="1"/>
      <c r="DIJ237" s="1"/>
      <c r="DIK237" s="1"/>
      <c r="DIL237" s="1"/>
      <c r="DIM237" s="1"/>
      <c r="DIN237" s="1"/>
      <c r="DIO237" s="1"/>
      <c r="DIP237" s="1"/>
      <c r="DIQ237" s="1"/>
      <c r="DIR237" s="1"/>
      <c r="DIS237" s="1"/>
      <c r="DIT237" s="1"/>
      <c r="DIU237" s="1"/>
      <c r="DIV237" s="1"/>
      <c r="DIW237" s="1"/>
      <c r="DIX237" s="1"/>
      <c r="DIY237" s="1"/>
      <c r="DIZ237" s="1"/>
      <c r="DJA237" s="1"/>
      <c r="DJB237" s="1"/>
      <c r="DJC237" s="1"/>
      <c r="DJD237" s="1"/>
      <c r="DJE237" s="1"/>
      <c r="DJF237" s="1"/>
      <c r="DJG237" s="1"/>
      <c r="DJH237" s="1"/>
      <c r="DJI237" s="1"/>
      <c r="DJJ237" s="1"/>
      <c r="DJK237" s="1"/>
      <c r="DJL237" s="1"/>
      <c r="DJM237" s="1"/>
      <c r="DJN237" s="1"/>
      <c r="DJO237" s="1"/>
      <c r="DJP237" s="1"/>
      <c r="DJQ237" s="1"/>
      <c r="DJR237" s="1"/>
      <c r="DJS237" s="1"/>
      <c r="DJT237" s="1"/>
      <c r="DJU237" s="1"/>
      <c r="DJV237" s="1"/>
      <c r="DJW237" s="1"/>
      <c r="DJX237" s="1"/>
      <c r="DJY237" s="1"/>
      <c r="DJZ237" s="1"/>
      <c r="DKA237" s="1"/>
      <c r="DKB237" s="1"/>
      <c r="DKC237" s="1"/>
      <c r="DKD237" s="1"/>
      <c r="DKE237" s="1"/>
      <c r="DKF237" s="1"/>
      <c r="DKG237" s="1"/>
      <c r="DKH237" s="1"/>
      <c r="DKI237" s="1"/>
      <c r="DKJ237" s="1"/>
      <c r="DKK237" s="1"/>
      <c r="DKL237" s="1"/>
      <c r="DKM237" s="1"/>
      <c r="DKN237" s="1"/>
      <c r="DKO237" s="1"/>
      <c r="DKP237" s="1"/>
      <c r="DKQ237" s="1"/>
      <c r="DKR237" s="1"/>
      <c r="DKS237" s="1"/>
      <c r="DKT237" s="1"/>
      <c r="DKU237" s="1"/>
      <c r="DKV237" s="1"/>
      <c r="DKW237" s="1"/>
      <c r="DKX237" s="1"/>
      <c r="DKY237" s="1"/>
      <c r="DKZ237" s="1"/>
      <c r="DLA237" s="1"/>
      <c r="DLB237" s="1"/>
      <c r="DLC237" s="1"/>
      <c r="DLD237" s="1"/>
      <c r="DLE237" s="1"/>
      <c r="DLF237" s="1"/>
      <c r="DLG237" s="1"/>
      <c r="DLH237" s="1"/>
      <c r="DLI237" s="1"/>
      <c r="DLJ237" s="1"/>
      <c r="DLK237" s="1"/>
      <c r="DLL237" s="1"/>
      <c r="DLM237" s="1"/>
      <c r="DLN237" s="1"/>
      <c r="DLO237" s="1"/>
      <c r="DLP237" s="1"/>
      <c r="DLQ237" s="1"/>
      <c r="DLR237" s="1"/>
      <c r="DLS237" s="1"/>
      <c r="DLT237" s="1"/>
      <c r="DLU237" s="1"/>
      <c r="DLV237" s="1"/>
      <c r="DLW237" s="1"/>
      <c r="DLX237" s="1"/>
      <c r="DLY237" s="1"/>
      <c r="DLZ237" s="1"/>
      <c r="DMA237" s="1"/>
      <c r="DMB237" s="1"/>
      <c r="DMC237" s="1"/>
      <c r="DMD237" s="1"/>
      <c r="DME237" s="1"/>
      <c r="DMF237" s="1"/>
      <c r="DMG237" s="1"/>
      <c r="DMH237" s="1"/>
      <c r="DMI237" s="1"/>
      <c r="DMJ237" s="1"/>
      <c r="DMK237" s="1"/>
      <c r="DML237" s="1"/>
      <c r="DMM237" s="1"/>
      <c r="DMN237" s="1"/>
      <c r="DMO237" s="1"/>
      <c r="DMP237" s="1"/>
      <c r="DMQ237" s="1"/>
      <c r="DMR237" s="1"/>
      <c r="DMS237" s="1"/>
      <c r="DMT237" s="1"/>
      <c r="DMU237" s="1"/>
      <c r="DMV237" s="1"/>
      <c r="DMW237" s="1"/>
      <c r="DMX237" s="1"/>
      <c r="DMY237" s="1"/>
      <c r="DMZ237" s="1"/>
      <c r="DNA237" s="1"/>
      <c r="DNB237" s="1"/>
      <c r="DNC237" s="1"/>
      <c r="DND237" s="1"/>
      <c r="DNE237" s="1"/>
      <c r="DNF237" s="1"/>
      <c r="DNG237" s="1"/>
      <c r="DNH237" s="1"/>
      <c r="DNI237" s="1"/>
      <c r="DNJ237" s="1"/>
      <c r="DNK237" s="1"/>
      <c r="DNL237" s="1"/>
      <c r="DNM237" s="1"/>
      <c r="DNN237" s="1"/>
      <c r="DNO237" s="1"/>
      <c r="DNP237" s="1"/>
      <c r="DNQ237" s="1"/>
      <c r="DNR237" s="1"/>
      <c r="DNS237" s="1"/>
      <c r="DNT237" s="1"/>
      <c r="DNU237" s="1"/>
      <c r="DNV237" s="1"/>
      <c r="DNW237" s="1"/>
      <c r="DNX237" s="1"/>
      <c r="DNY237" s="1"/>
      <c r="DNZ237" s="1"/>
      <c r="DOA237" s="1"/>
      <c r="DOB237" s="1"/>
      <c r="DOC237" s="1"/>
      <c r="DOD237" s="1"/>
      <c r="DOE237" s="1"/>
      <c r="DOF237" s="1"/>
      <c r="DOG237" s="1"/>
      <c r="DOH237" s="1"/>
      <c r="DOI237" s="1"/>
      <c r="DOJ237" s="1"/>
      <c r="DOK237" s="1"/>
      <c r="DOL237" s="1"/>
      <c r="DOM237" s="1"/>
      <c r="DON237" s="1"/>
      <c r="DOO237" s="1"/>
      <c r="DOP237" s="1"/>
      <c r="DOQ237" s="1"/>
      <c r="DOR237" s="1"/>
      <c r="DOS237" s="1"/>
      <c r="DOT237" s="1"/>
      <c r="DOU237" s="1"/>
      <c r="DOV237" s="1"/>
      <c r="DOW237" s="1"/>
      <c r="DOX237" s="1"/>
      <c r="DOY237" s="1"/>
      <c r="DOZ237" s="1"/>
      <c r="DPA237" s="1"/>
      <c r="DPB237" s="1"/>
      <c r="DPC237" s="1"/>
      <c r="DPD237" s="1"/>
      <c r="DPE237" s="1"/>
      <c r="DPF237" s="1"/>
      <c r="DPG237" s="1"/>
      <c r="DPH237" s="1"/>
      <c r="DPI237" s="1"/>
      <c r="DPJ237" s="1"/>
      <c r="DPK237" s="1"/>
      <c r="DPL237" s="1"/>
      <c r="DPM237" s="1"/>
      <c r="DPN237" s="1"/>
      <c r="DPO237" s="1"/>
      <c r="DPP237" s="1"/>
      <c r="DPQ237" s="1"/>
      <c r="DPR237" s="1"/>
      <c r="DPS237" s="1"/>
      <c r="DPT237" s="1"/>
      <c r="DPU237" s="1"/>
      <c r="DPV237" s="1"/>
      <c r="DPW237" s="1"/>
      <c r="DPX237" s="1"/>
      <c r="DPY237" s="1"/>
      <c r="DPZ237" s="1"/>
      <c r="DQA237" s="1"/>
      <c r="DQB237" s="1"/>
      <c r="DQC237" s="1"/>
      <c r="DQD237" s="1"/>
      <c r="DQE237" s="1"/>
      <c r="DQF237" s="1"/>
      <c r="DQG237" s="1"/>
      <c r="DQH237" s="1"/>
      <c r="DQI237" s="1"/>
      <c r="DQJ237" s="1"/>
      <c r="DQK237" s="1"/>
      <c r="DQL237" s="1"/>
      <c r="DQM237" s="1"/>
      <c r="DQN237" s="1"/>
      <c r="DQO237" s="1"/>
      <c r="DQP237" s="1"/>
      <c r="DQQ237" s="1"/>
      <c r="DQR237" s="1"/>
      <c r="DQS237" s="1"/>
      <c r="DQT237" s="1"/>
      <c r="DQU237" s="1"/>
      <c r="DQV237" s="1"/>
      <c r="DQW237" s="1"/>
      <c r="DQX237" s="1"/>
      <c r="DQY237" s="1"/>
      <c r="DQZ237" s="1"/>
      <c r="DRA237" s="1"/>
      <c r="DRB237" s="1"/>
      <c r="DRC237" s="1"/>
      <c r="DRD237" s="1"/>
      <c r="DRE237" s="1"/>
      <c r="DRF237" s="1"/>
      <c r="DRG237" s="1"/>
      <c r="DRH237" s="1"/>
      <c r="DRI237" s="1"/>
      <c r="DRJ237" s="1"/>
      <c r="DRK237" s="1"/>
      <c r="DRL237" s="1"/>
      <c r="DRM237" s="1"/>
      <c r="DRN237" s="1"/>
      <c r="DRO237" s="1"/>
      <c r="DRP237" s="1"/>
      <c r="DRQ237" s="1"/>
      <c r="DRR237" s="1"/>
      <c r="DRS237" s="1"/>
      <c r="DRT237" s="1"/>
      <c r="DRU237" s="1"/>
      <c r="DRV237" s="1"/>
      <c r="DRW237" s="1"/>
      <c r="DRX237" s="1"/>
      <c r="DRY237" s="1"/>
      <c r="DRZ237" s="1"/>
      <c r="DSA237" s="1"/>
      <c r="DSB237" s="1"/>
      <c r="DSC237" s="1"/>
      <c r="DSD237" s="1"/>
      <c r="DSE237" s="1"/>
      <c r="DSF237" s="1"/>
      <c r="DSG237" s="1"/>
      <c r="DSH237" s="1"/>
      <c r="DSI237" s="1"/>
      <c r="DSJ237" s="1"/>
      <c r="DSK237" s="1"/>
      <c r="DSL237" s="1"/>
      <c r="DSM237" s="1"/>
      <c r="DSN237" s="1"/>
      <c r="DSO237" s="1"/>
      <c r="DSP237" s="1"/>
      <c r="DSQ237" s="1"/>
      <c r="DSR237" s="1"/>
      <c r="DSS237" s="1"/>
      <c r="DST237" s="1"/>
      <c r="DSU237" s="1"/>
      <c r="DSV237" s="1"/>
      <c r="DSW237" s="1"/>
      <c r="DSX237" s="1"/>
      <c r="DSY237" s="1"/>
      <c r="DSZ237" s="1"/>
      <c r="DTA237" s="1"/>
      <c r="DTB237" s="1"/>
      <c r="DTC237" s="1"/>
      <c r="DTD237" s="1"/>
      <c r="DTE237" s="1"/>
      <c r="DTF237" s="1"/>
      <c r="DTG237" s="1"/>
      <c r="DTH237" s="1"/>
      <c r="DTI237" s="1"/>
      <c r="DTJ237" s="1"/>
      <c r="DTK237" s="1"/>
      <c r="DTL237" s="1"/>
      <c r="DTM237" s="1"/>
      <c r="DTN237" s="1"/>
      <c r="DTO237" s="1"/>
      <c r="DTP237" s="1"/>
      <c r="DTQ237" s="1"/>
      <c r="DTR237" s="1"/>
      <c r="DTS237" s="1"/>
      <c r="DTT237" s="1"/>
      <c r="DTU237" s="1"/>
      <c r="DTV237" s="1"/>
      <c r="DTW237" s="1"/>
      <c r="DTX237" s="1"/>
      <c r="DTY237" s="1"/>
      <c r="DTZ237" s="1"/>
      <c r="DUA237" s="1"/>
      <c r="DUB237" s="1"/>
      <c r="DUC237" s="1"/>
      <c r="DUD237" s="1"/>
      <c r="DUE237" s="1"/>
      <c r="DUF237" s="1"/>
      <c r="DUG237" s="1"/>
      <c r="DUH237" s="1"/>
      <c r="DUI237" s="1"/>
      <c r="DUJ237" s="1"/>
      <c r="DUK237" s="1"/>
      <c r="DUL237" s="1"/>
      <c r="DUM237" s="1"/>
      <c r="DUN237" s="1"/>
      <c r="DUO237" s="1"/>
      <c r="DUP237" s="1"/>
      <c r="DUQ237" s="1"/>
      <c r="DUR237" s="1"/>
      <c r="DUS237" s="1"/>
      <c r="DUT237" s="1"/>
      <c r="DUU237" s="1"/>
      <c r="DUV237" s="1"/>
      <c r="DUW237" s="1"/>
      <c r="DUX237" s="1"/>
      <c r="DUY237" s="1"/>
      <c r="DUZ237" s="1"/>
      <c r="DVA237" s="1"/>
      <c r="DVB237" s="1"/>
      <c r="DVC237" s="1"/>
      <c r="DVD237" s="1"/>
      <c r="DVE237" s="1"/>
      <c r="DVF237" s="1"/>
      <c r="DVG237" s="1"/>
      <c r="DVH237" s="1"/>
      <c r="DVI237" s="1"/>
      <c r="DVJ237" s="1"/>
      <c r="DVK237" s="1"/>
      <c r="DVL237" s="1"/>
      <c r="DVM237" s="1"/>
      <c r="DVN237" s="1"/>
      <c r="DVO237" s="1"/>
      <c r="DVP237" s="1"/>
      <c r="DVQ237" s="1"/>
      <c r="DVR237" s="1"/>
      <c r="DVS237" s="1"/>
      <c r="DVT237" s="1"/>
      <c r="DVU237" s="1"/>
      <c r="DVV237" s="1"/>
      <c r="DVW237" s="1"/>
      <c r="DVX237" s="1"/>
      <c r="DVY237" s="1"/>
      <c r="DVZ237" s="1"/>
      <c r="DWA237" s="1"/>
      <c r="DWB237" s="1"/>
      <c r="DWC237" s="1"/>
      <c r="DWD237" s="1"/>
      <c r="DWE237" s="1"/>
      <c r="DWF237" s="1"/>
      <c r="DWG237" s="1"/>
      <c r="DWH237" s="1"/>
      <c r="DWI237" s="1"/>
      <c r="DWJ237" s="1"/>
      <c r="DWK237" s="1"/>
      <c r="DWL237" s="1"/>
      <c r="DWM237" s="1"/>
      <c r="DWN237" s="1"/>
      <c r="DWO237" s="1"/>
      <c r="DWP237" s="1"/>
      <c r="DWQ237" s="1"/>
      <c r="DWR237" s="1"/>
      <c r="DWS237" s="1"/>
      <c r="DWT237" s="1"/>
      <c r="DWU237" s="1"/>
      <c r="DWV237" s="1"/>
      <c r="DWW237" s="1"/>
      <c r="DWX237" s="1"/>
      <c r="DWY237" s="1"/>
      <c r="DWZ237" s="1"/>
      <c r="DXA237" s="1"/>
      <c r="DXB237" s="1"/>
      <c r="DXC237" s="1"/>
      <c r="DXD237" s="1"/>
      <c r="DXE237" s="1"/>
      <c r="DXF237" s="1"/>
      <c r="DXG237" s="1"/>
      <c r="DXH237" s="1"/>
      <c r="DXI237" s="1"/>
      <c r="DXJ237" s="1"/>
      <c r="DXK237" s="1"/>
      <c r="DXL237" s="1"/>
      <c r="DXM237" s="1"/>
      <c r="DXN237" s="1"/>
      <c r="DXO237" s="1"/>
      <c r="DXP237" s="1"/>
      <c r="DXQ237" s="1"/>
      <c r="DXR237" s="1"/>
      <c r="DXS237" s="1"/>
      <c r="DXT237" s="1"/>
      <c r="DXU237" s="1"/>
      <c r="DXV237" s="1"/>
      <c r="DXW237" s="1"/>
      <c r="DXX237" s="1"/>
      <c r="DXY237" s="1"/>
      <c r="DXZ237" s="1"/>
      <c r="DYA237" s="1"/>
      <c r="DYB237" s="1"/>
      <c r="DYC237" s="1"/>
      <c r="DYD237" s="1"/>
      <c r="DYE237" s="1"/>
      <c r="DYF237" s="1"/>
      <c r="DYG237" s="1"/>
      <c r="DYH237" s="1"/>
      <c r="DYI237" s="1"/>
      <c r="DYJ237" s="1"/>
      <c r="DYK237" s="1"/>
      <c r="DYL237" s="1"/>
      <c r="DYM237" s="1"/>
      <c r="DYN237" s="1"/>
      <c r="DYO237" s="1"/>
      <c r="DYP237" s="1"/>
      <c r="DYQ237" s="1"/>
      <c r="DYR237" s="1"/>
      <c r="DYS237" s="1"/>
      <c r="DYT237" s="1"/>
      <c r="DYU237" s="1"/>
      <c r="DYV237" s="1"/>
      <c r="DYW237" s="1"/>
      <c r="DYX237" s="1"/>
      <c r="DYY237" s="1"/>
      <c r="DYZ237" s="1"/>
      <c r="DZA237" s="1"/>
      <c r="DZB237" s="1"/>
      <c r="DZC237" s="1"/>
      <c r="DZD237" s="1"/>
      <c r="DZE237" s="1"/>
      <c r="DZF237" s="1"/>
      <c r="DZG237" s="1"/>
      <c r="DZH237" s="1"/>
      <c r="DZI237" s="1"/>
      <c r="DZJ237" s="1"/>
      <c r="DZK237" s="1"/>
      <c r="DZL237" s="1"/>
      <c r="DZM237" s="1"/>
      <c r="DZN237" s="1"/>
      <c r="DZO237" s="1"/>
      <c r="DZP237" s="1"/>
      <c r="DZQ237" s="1"/>
      <c r="DZR237" s="1"/>
      <c r="DZS237" s="1"/>
      <c r="DZT237" s="1"/>
      <c r="DZU237" s="1"/>
      <c r="DZV237" s="1"/>
      <c r="DZW237" s="1"/>
      <c r="DZX237" s="1"/>
      <c r="DZY237" s="1"/>
      <c r="DZZ237" s="1"/>
      <c r="EAA237" s="1"/>
      <c r="EAB237" s="1"/>
      <c r="EAC237" s="1"/>
      <c r="EAD237" s="1"/>
      <c r="EAE237" s="1"/>
      <c r="EAF237" s="1"/>
      <c r="EAG237" s="1"/>
      <c r="EAH237" s="1"/>
      <c r="EAI237" s="1"/>
      <c r="EAJ237" s="1"/>
      <c r="EAK237" s="1"/>
      <c r="EAL237" s="1"/>
      <c r="EAM237" s="1"/>
      <c r="EAN237" s="1"/>
      <c r="EAO237" s="1"/>
      <c r="EAP237" s="1"/>
      <c r="EAQ237" s="1"/>
      <c r="EAR237" s="1"/>
      <c r="EAS237" s="1"/>
      <c r="EAT237" s="1"/>
      <c r="EAU237" s="1"/>
      <c r="EAV237" s="1"/>
      <c r="EAW237" s="1"/>
      <c r="EAX237" s="1"/>
      <c r="EAY237" s="1"/>
      <c r="EAZ237" s="1"/>
      <c r="EBA237" s="1"/>
      <c r="EBB237" s="1"/>
      <c r="EBC237" s="1"/>
      <c r="EBD237" s="1"/>
      <c r="EBE237" s="1"/>
      <c r="EBF237" s="1"/>
      <c r="EBG237" s="1"/>
      <c r="EBH237" s="1"/>
      <c r="EBI237" s="1"/>
      <c r="EBJ237" s="1"/>
      <c r="EBK237" s="1"/>
      <c r="EBL237" s="1"/>
      <c r="EBM237" s="1"/>
      <c r="EBN237" s="1"/>
      <c r="EBO237" s="1"/>
      <c r="EBP237" s="1"/>
      <c r="EBQ237" s="1"/>
      <c r="EBR237" s="1"/>
      <c r="EBS237" s="1"/>
      <c r="EBT237" s="1"/>
      <c r="EBU237" s="1"/>
      <c r="EBV237" s="1"/>
      <c r="EBW237" s="1"/>
      <c r="EBX237" s="1"/>
      <c r="EBY237" s="1"/>
      <c r="EBZ237" s="1"/>
      <c r="ECA237" s="1"/>
      <c r="ECB237" s="1"/>
      <c r="ECC237" s="1"/>
      <c r="ECD237" s="1"/>
      <c r="ECE237" s="1"/>
      <c r="ECF237" s="1"/>
      <c r="ECG237" s="1"/>
      <c r="ECH237" s="1"/>
      <c r="ECI237" s="1"/>
      <c r="ECJ237" s="1"/>
      <c r="ECK237" s="1"/>
      <c r="ECL237" s="1"/>
      <c r="ECM237" s="1"/>
      <c r="ECN237" s="1"/>
      <c r="ECO237" s="1"/>
      <c r="ECP237" s="1"/>
      <c r="ECQ237" s="1"/>
      <c r="ECR237" s="1"/>
      <c r="ECS237" s="1"/>
      <c r="ECT237" s="1"/>
      <c r="ECU237" s="1"/>
      <c r="ECV237" s="1"/>
      <c r="ECW237" s="1"/>
      <c r="ECX237" s="1"/>
      <c r="ECY237" s="1"/>
      <c r="ECZ237" s="1"/>
      <c r="EDA237" s="1"/>
      <c r="EDB237" s="1"/>
      <c r="EDC237" s="1"/>
      <c r="EDD237" s="1"/>
      <c r="EDE237" s="1"/>
      <c r="EDF237" s="1"/>
      <c r="EDG237" s="1"/>
      <c r="EDH237" s="1"/>
      <c r="EDI237" s="1"/>
      <c r="EDJ237" s="1"/>
      <c r="EDK237" s="1"/>
      <c r="EDL237" s="1"/>
      <c r="EDM237" s="1"/>
      <c r="EDN237" s="1"/>
      <c r="EDO237" s="1"/>
      <c r="EDP237" s="1"/>
      <c r="EDQ237" s="1"/>
      <c r="EDR237" s="1"/>
      <c r="EDS237" s="1"/>
      <c r="EDT237" s="1"/>
      <c r="EDU237" s="1"/>
      <c r="EDV237" s="1"/>
      <c r="EDW237" s="1"/>
      <c r="EDX237" s="1"/>
      <c r="EDY237" s="1"/>
      <c r="EDZ237" s="1"/>
      <c r="EEA237" s="1"/>
      <c r="EEB237" s="1"/>
      <c r="EEC237" s="1"/>
      <c r="EED237" s="1"/>
      <c r="EEE237" s="1"/>
      <c r="EEF237" s="1"/>
      <c r="EEG237" s="1"/>
      <c r="EEH237" s="1"/>
      <c r="EEI237" s="1"/>
      <c r="EEJ237" s="1"/>
      <c r="EEK237" s="1"/>
      <c r="EEL237" s="1"/>
      <c r="EEM237" s="1"/>
      <c r="EEN237" s="1"/>
      <c r="EEO237" s="1"/>
      <c r="EEP237" s="1"/>
      <c r="EEQ237" s="1"/>
      <c r="EER237" s="1"/>
      <c r="EES237" s="1"/>
      <c r="EET237" s="1"/>
      <c r="EEU237" s="1"/>
      <c r="EEV237" s="1"/>
      <c r="EEW237" s="1"/>
      <c r="EEX237" s="1"/>
      <c r="EEY237" s="1"/>
      <c r="EEZ237" s="1"/>
      <c r="EFA237" s="1"/>
      <c r="EFB237" s="1"/>
      <c r="EFC237" s="1"/>
      <c r="EFD237" s="1"/>
      <c r="EFE237" s="1"/>
      <c r="EFF237" s="1"/>
      <c r="EFG237" s="1"/>
      <c r="EFH237" s="1"/>
      <c r="EFI237" s="1"/>
      <c r="EFJ237" s="1"/>
      <c r="EFK237" s="1"/>
      <c r="EFL237" s="1"/>
      <c r="EFM237" s="1"/>
      <c r="EFN237" s="1"/>
      <c r="EFO237" s="1"/>
      <c r="EFP237" s="1"/>
      <c r="EFQ237" s="1"/>
      <c r="EFR237" s="1"/>
      <c r="EFS237" s="1"/>
      <c r="EFT237" s="1"/>
      <c r="EFU237" s="1"/>
      <c r="EFV237" s="1"/>
      <c r="EFW237" s="1"/>
      <c r="EFX237" s="1"/>
      <c r="EFY237" s="1"/>
      <c r="EFZ237" s="1"/>
      <c r="EGA237" s="1"/>
      <c r="EGB237" s="1"/>
      <c r="EGC237" s="1"/>
      <c r="EGD237" s="1"/>
      <c r="EGE237" s="1"/>
      <c r="EGF237" s="1"/>
      <c r="EGG237" s="1"/>
      <c r="EGH237" s="1"/>
      <c r="EGI237" s="1"/>
      <c r="EGJ237" s="1"/>
      <c r="EGK237" s="1"/>
      <c r="EGL237" s="1"/>
      <c r="EGM237" s="1"/>
      <c r="EGN237" s="1"/>
      <c r="EGO237" s="1"/>
      <c r="EGP237" s="1"/>
      <c r="EGQ237" s="1"/>
      <c r="EGR237" s="1"/>
      <c r="EGS237" s="1"/>
      <c r="EGT237" s="1"/>
      <c r="EGU237" s="1"/>
      <c r="EGV237" s="1"/>
      <c r="EGW237" s="1"/>
      <c r="EGX237" s="1"/>
      <c r="EGY237" s="1"/>
      <c r="EGZ237" s="1"/>
      <c r="EHA237" s="1"/>
      <c r="EHB237" s="1"/>
      <c r="EHC237" s="1"/>
      <c r="EHD237" s="1"/>
      <c r="EHE237" s="1"/>
      <c r="EHF237" s="1"/>
      <c r="EHG237" s="1"/>
      <c r="EHH237" s="1"/>
      <c r="EHI237" s="1"/>
      <c r="EHJ237" s="1"/>
      <c r="EHK237" s="1"/>
      <c r="EHL237" s="1"/>
      <c r="EHM237" s="1"/>
      <c r="EHN237" s="1"/>
      <c r="EHO237" s="1"/>
      <c r="EHP237" s="1"/>
      <c r="EHQ237" s="1"/>
      <c r="EHR237" s="1"/>
      <c r="EHS237" s="1"/>
      <c r="EHT237" s="1"/>
      <c r="EHU237" s="1"/>
      <c r="EHV237" s="1"/>
      <c r="EHW237" s="1"/>
      <c r="EHX237" s="1"/>
      <c r="EHY237" s="1"/>
      <c r="EHZ237" s="1"/>
      <c r="EIA237" s="1"/>
      <c r="EIB237" s="1"/>
      <c r="EIC237" s="1"/>
      <c r="EID237" s="1"/>
      <c r="EIE237" s="1"/>
      <c r="EIF237" s="1"/>
      <c r="EIG237" s="1"/>
      <c r="EIH237" s="1"/>
      <c r="EII237" s="1"/>
      <c r="EIJ237" s="1"/>
      <c r="EIK237" s="1"/>
      <c r="EIL237" s="1"/>
      <c r="EIM237" s="1"/>
      <c r="EIN237" s="1"/>
      <c r="EIO237" s="1"/>
      <c r="EIP237" s="1"/>
      <c r="EIQ237" s="1"/>
      <c r="EIR237" s="1"/>
      <c r="EIS237" s="1"/>
      <c r="EIT237" s="1"/>
      <c r="EIU237" s="1"/>
      <c r="EIV237" s="1"/>
      <c r="EIW237" s="1"/>
      <c r="EIX237" s="1"/>
      <c r="EIY237" s="1"/>
      <c r="EIZ237" s="1"/>
      <c r="EJA237" s="1"/>
      <c r="EJB237" s="1"/>
      <c r="EJC237" s="1"/>
      <c r="EJD237" s="1"/>
      <c r="EJE237" s="1"/>
      <c r="EJF237" s="1"/>
      <c r="EJG237" s="1"/>
      <c r="EJH237" s="1"/>
      <c r="EJI237" s="1"/>
      <c r="EJJ237" s="1"/>
      <c r="EJK237" s="1"/>
      <c r="EJL237" s="1"/>
      <c r="EJM237" s="1"/>
      <c r="EJN237" s="1"/>
      <c r="EJO237" s="1"/>
      <c r="EJP237" s="1"/>
      <c r="EJQ237" s="1"/>
      <c r="EJR237" s="1"/>
      <c r="EJS237" s="1"/>
      <c r="EJT237" s="1"/>
      <c r="EJU237" s="1"/>
      <c r="EJV237" s="1"/>
      <c r="EJW237" s="1"/>
      <c r="EJX237" s="1"/>
      <c r="EJY237" s="1"/>
      <c r="EJZ237" s="1"/>
      <c r="EKA237" s="1"/>
      <c r="EKB237" s="1"/>
      <c r="EKC237" s="1"/>
      <c r="EKD237" s="1"/>
      <c r="EKE237" s="1"/>
      <c r="EKF237" s="1"/>
      <c r="EKG237" s="1"/>
      <c r="EKH237" s="1"/>
      <c r="EKI237" s="1"/>
      <c r="EKJ237" s="1"/>
      <c r="EKK237" s="1"/>
      <c r="EKL237" s="1"/>
      <c r="EKM237" s="1"/>
      <c r="EKN237" s="1"/>
      <c r="EKO237" s="1"/>
      <c r="EKP237" s="1"/>
      <c r="EKQ237" s="1"/>
      <c r="EKR237" s="1"/>
      <c r="EKS237" s="1"/>
      <c r="EKT237" s="1"/>
      <c r="EKU237" s="1"/>
      <c r="EKV237" s="1"/>
      <c r="EKW237" s="1"/>
      <c r="EKX237" s="1"/>
      <c r="EKY237" s="1"/>
      <c r="EKZ237" s="1"/>
      <c r="ELA237" s="1"/>
      <c r="ELB237" s="1"/>
      <c r="ELC237" s="1"/>
      <c r="ELD237" s="1"/>
      <c r="ELE237" s="1"/>
      <c r="ELF237" s="1"/>
      <c r="ELG237" s="1"/>
      <c r="ELH237" s="1"/>
      <c r="ELI237" s="1"/>
      <c r="ELJ237" s="1"/>
      <c r="ELK237" s="1"/>
      <c r="ELL237" s="1"/>
      <c r="ELM237" s="1"/>
      <c r="ELN237" s="1"/>
      <c r="ELO237" s="1"/>
      <c r="ELP237" s="1"/>
      <c r="ELQ237" s="1"/>
      <c r="ELR237" s="1"/>
      <c r="ELS237" s="1"/>
      <c r="ELT237" s="1"/>
      <c r="ELU237" s="1"/>
      <c r="ELV237" s="1"/>
      <c r="ELW237" s="1"/>
      <c r="ELX237" s="1"/>
      <c r="ELY237" s="1"/>
      <c r="ELZ237" s="1"/>
      <c r="EMA237" s="1"/>
      <c r="EMB237" s="1"/>
      <c r="EMC237" s="1"/>
      <c r="EMD237" s="1"/>
      <c r="EME237" s="1"/>
      <c r="EMF237" s="1"/>
      <c r="EMG237" s="1"/>
      <c r="EMH237" s="1"/>
      <c r="EMI237" s="1"/>
      <c r="EMJ237" s="1"/>
      <c r="EMK237" s="1"/>
      <c r="EML237" s="1"/>
      <c r="EMM237" s="1"/>
      <c r="EMN237" s="1"/>
      <c r="EMO237" s="1"/>
      <c r="EMP237" s="1"/>
      <c r="EMQ237" s="1"/>
      <c r="EMR237" s="1"/>
      <c r="EMS237" s="1"/>
      <c r="EMT237" s="1"/>
      <c r="EMU237" s="1"/>
      <c r="EMV237" s="1"/>
      <c r="EMW237" s="1"/>
      <c r="EMX237" s="1"/>
      <c r="EMY237" s="1"/>
      <c r="EMZ237" s="1"/>
      <c r="ENA237" s="1"/>
      <c r="ENB237" s="1"/>
      <c r="ENC237" s="1"/>
      <c r="END237" s="1"/>
      <c r="ENE237" s="1"/>
      <c r="ENF237" s="1"/>
      <c r="ENG237" s="1"/>
      <c r="ENH237" s="1"/>
      <c r="ENI237" s="1"/>
      <c r="ENJ237" s="1"/>
      <c r="ENK237" s="1"/>
      <c r="ENL237" s="1"/>
      <c r="ENM237" s="1"/>
      <c r="ENN237" s="1"/>
      <c r="ENO237" s="1"/>
      <c r="ENP237" s="1"/>
      <c r="ENQ237" s="1"/>
      <c r="ENR237" s="1"/>
      <c r="ENS237" s="1"/>
      <c r="ENT237" s="1"/>
      <c r="ENU237" s="1"/>
      <c r="ENV237" s="1"/>
      <c r="ENW237" s="1"/>
      <c r="ENX237" s="1"/>
      <c r="ENY237" s="1"/>
      <c r="ENZ237" s="1"/>
      <c r="EOA237" s="1"/>
      <c r="EOB237" s="1"/>
      <c r="EOC237" s="1"/>
      <c r="EOD237" s="1"/>
      <c r="EOE237" s="1"/>
      <c r="EOF237" s="1"/>
      <c r="EOG237" s="1"/>
      <c r="EOH237" s="1"/>
      <c r="EOI237" s="1"/>
      <c r="EOJ237" s="1"/>
      <c r="EOK237" s="1"/>
      <c r="EOL237" s="1"/>
      <c r="EOM237" s="1"/>
      <c r="EON237" s="1"/>
      <c r="EOO237" s="1"/>
      <c r="EOP237" s="1"/>
      <c r="EOQ237" s="1"/>
      <c r="EOR237" s="1"/>
      <c r="EOS237" s="1"/>
      <c r="EOT237" s="1"/>
      <c r="EOU237" s="1"/>
      <c r="EOV237" s="1"/>
      <c r="EOW237" s="1"/>
      <c r="EOX237" s="1"/>
      <c r="EOY237" s="1"/>
      <c r="EOZ237" s="1"/>
      <c r="EPA237" s="1"/>
      <c r="EPB237" s="1"/>
      <c r="EPC237" s="1"/>
      <c r="EPD237" s="1"/>
      <c r="EPE237" s="1"/>
      <c r="EPF237" s="1"/>
      <c r="EPG237" s="1"/>
      <c r="EPH237" s="1"/>
      <c r="EPI237" s="1"/>
      <c r="EPJ237" s="1"/>
      <c r="EPK237" s="1"/>
      <c r="EPL237" s="1"/>
      <c r="EPM237" s="1"/>
      <c r="EPN237" s="1"/>
      <c r="EPO237" s="1"/>
      <c r="EPP237" s="1"/>
      <c r="EPQ237" s="1"/>
      <c r="EPR237" s="1"/>
      <c r="EPS237" s="1"/>
      <c r="EPT237" s="1"/>
      <c r="EPU237" s="1"/>
      <c r="EPV237" s="1"/>
      <c r="EPW237" s="1"/>
      <c r="EPX237" s="1"/>
      <c r="EPY237" s="1"/>
      <c r="EPZ237" s="1"/>
      <c r="EQA237" s="1"/>
      <c r="EQB237" s="1"/>
      <c r="EQC237" s="1"/>
      <c r="EQD237" s="1"/>
      <c r="EQE237" s="1"/>
      <c r="EQF237" s="1"/>
      <c r="EQG237" s="1"/>
      <c r="EQH237" s="1"/>
      <c r="EQI237" s="1"/>
      <c r="EQJ237" s="1"/>
      <c r="EQK237" s="1"/>
      <c r="EQL237" s="1"/>
      <c r="EQM237" s="1"/>
      <c r="EQN237" s="1"/>
      <c r="EQO237" s="1"/>
      <c r="EQP237" s="1"/>
      <c r="EQQ237" s="1"/>
      <c r="EQR237" s="1"/>
      <c r="EQS237" s="1"/>
      <c r="EQT237" s="1"/>
      <c r="EQU237" s="1"/>
      <c r="EQV237" s="1"/>
      <c r="EQW237" s="1"/>
      <c r="EQX237" s="1"/>
      <c r="EQY237" s="1"/>
      <c r="EQZ237" s="1"/>
      <c r="ERA237" s="1"/>
      <c r="ERB237" s="1"/>
      <c r="ERC237" s="1"/>
      <c r="ERD237" s="1"/>
      <c r="ERE237" s="1"/>
      <c r="ERF237" s="1"/>
      <c r="ERG237" s="1"/>
      <c r="ERH237" s="1"/>
      <c r="ERI237" s="1"/>
      <c r="ERJ237" s="1"/>
      <c r="ERK237" s="1"/>
      <c r="ERL237" s="1"/>
      <c r="ERM237" s="1"/>
      <c r="ERN237" s="1"/>
      <c r="ERO237" s="1"/>
      <c r="ERP237" s="1"/>
      <c r="ERQ237" s="1"/>
      <c r="ERR237" s="1"/>
      <c r="ERS237" s="1"/>
      <c r="ERT237" s="1"/>
      <c r="ERU237" s="1"/>
      <c r="ERV237" s="1"/>
      <c r="ERW237" s="1"/>
      <c r="ERX237" s="1"/>
      <c r="ERY237" s="1"/>
      <c r="ERZ237" s="1"/>
      <c r="ESA237" s="1"/>
      <c r="ESB237" s="1"/>
      <c r="ESC237" s="1"/>
      <c r="ESD237" s="1"/>
      <c r="ESE237" s="1"/>
      <c r="ESF237" s="1"/>
      <c r="ESG237" s="1"/>
      <c r="ESH237" s="1"/>
      <c r="ESI237" s="1"/>
      <c r="ESJ237" s="1"/>
      <c r="ESK237" s="1"/>
      <c r="ESL237" s="1"/>
      <c r="ESM237" s="1"/>
      <c r="ESN237" s="1"/>
      <c r="ESO237" s="1"/>
      <c r="ESP237" s="1"/>
      <c r="ESQ237" s="1"/>
      <c r="ESR237" s="1"/>
      <c r="ESS237" s="1"/>
      <c r="EST237" s="1"/>
      <c r="ESU237" s="1"/>
      <c r="ESV237" s="1"/>
      <c r="ESW237" s="1"/>
      <c r="ESX237" s="1"/>
      <c r="ESY237" s="1"/>
      <c r="ESZ237" s="1"/>
      <c r="ETA237" s="1"/>
      <c r="ETB237" s="1"/>
      <c r="ETC237" s="1"/>
      <c r="ETD237" s="1"/>
      <c r="ETE237" s="1"/>
      <c r="ETF237" s="1"/>
      <c r="ETG237" s="1"/>
      <c r="ETH237" s="1"/>
      <c r="ETI237" s="1"/>
      <c r="ETJ237" s="1"/>
      <c r="ETK237" s="1"/>
      <c r="ETL237" s="1"/>
      <c r="ETM237" s="1"/>
      <c r="ETN237" s="1"/>
      <c r="ETO237" s="1"/>
      <c r="ETP237" s="1"/>
      <c r="ETQ237" s="1"/>
      <c r="ETR237" s="1"/>
      <c r="ETS237" s="1"/>
      <c r="ETT237" s="1"/>
      <c r="ETU237" s="1"/>
      <c r="ETV237" s="1"/>
      <c r="ETW237" s="1"/>
      <c r="ETX237" s="1"/>
      <c r="ETY237" s="1"/>
      <c r="ETZ237" s="1"/>
      <c r="EUA237" s="1"/>
      <c r="EUB237" s="1"/>
      <c r="EUC237" s="1"/>
      <c r="EUD237" s="1"/>
      <c r="EUE237" s="1"/>
      <c r="EUF237" s="1"/>
      <c r="EUG237" s="1"/>
      <c r="EUH237" s="1"/>
      <c r="EUI237" s="1"/>
      <c r="EUJ237" s="1"/>
      <c r="EUK237" s="1"/>
      <c r="EUL237" s="1"/>
      <c r="EUM237" s="1"/>
      <c r="EUN237" s="1"/>
      <c r="EUO237" s="1"/>
      <c r="EUP237" s="1"/>
      <c r="EUQ237" s="1"/>
      <c r="EUR237" s="1"/>
      <c r="EUS237" s="1"/>
      <c r="EUT237" s="1"/>
      <c r="EUU237" s="1"/>
      <c r="EUV237" s="1"/>
      <c r="EUW237" s="1"/>
      <c r="EUX237" s="1"/>
      <c r="EUY237" s="1"/>
      <c r="EUZ237" s="1"/>
      <c r="EVA237" s="1"/>
      <c r="EVB237" s="1"/>
      <c r="EVC237" s="1"/>
      <c r="EVD237" s="1"/>
      <c r="EVE237" s="1"/>
      <c r="EVF237" s="1"/>
      <c r="EVG237" s="1"/>
      <c r="EVH237" s="1"/>
      <c r="EVI237" s="1"/>
      <c r="EVJ237" s="1"/>
      <c r="EVK237" s="1"/>
      <c r="EVL237" s="1"/>
      <c r="EVM237" s="1"/>
      <c r="EVN237" s="1"/>
      <c r="EVO237" s="1"/>
      <c r="EVP237" s="1"/>
      <c r="EVQ237" s="1"/>
      <c r="EVR237" s="1"/>
      <c r="EVS237" s="1"/>
      <c r="EVT237" s="1"/>
      <c r="EVU237" s="1"/>
      <c r="EVV237" s="1"/>
      <c r="EVW237" s="1"/>
      <c r="EVX237" s="1"/>
      <c r="EVY237" s="1"/>
      <c r="EVZ237" s="1"/>
      <c r="EWA237" s="1"/>
      <c r="EWB237" s="1"/>
      <c r="EWC237" s="1"/>
      <c r="EWD237" s="1"/>
      <c r="EWE237" s="1"/>
      <c r="EWF237" s="1"/>
      <c r="EWG237" s="1"/>
      <c r="EWH237" s="1"/>
      <c r="EWI237" s="1"/>
      <c r="EWJ237" s="1"/>
      <c r="EWK237" s="1"/>
      <c r="EWL237" s="1"/>
      <c r="EWM237" s="1"/>
      <c r="EWN237" s="1"/>
      <c r="EWO237" s="1"/>
      <c r="EWP237" s="1"/>
      <c r="EWQ237" s="1"/>
      <c r="EWR237" s="1"/>
      <c r="EWS237" s="1"/>
      <c r="EWT237" s="1"/>
      <c r="EWU237" s="1"/>
      <c r="EWV237" s="1"/>
      <c r="EWW237" s="1"/>
      <c r="EWX237" s="1"/>
      <c r="EWY237" s="1"/>
      <c r="EWZ237" s="1"/>
      <c r="EXA237" s="1"/>
      <c r="EXB237" s="1"/>
      <c r="EXC237" s="1"/>
      <c r="EXD237" s="1"/>
      <c r="EXE237" s="1"/>
      <c r="EXF237" s="1"/>
      <c r="EXG237" s="1"/>
      <c r="EXH237" s="1"/>
      <c r="EXI237" s="1"/>
      <c r="EXJ237" s="1"/>
      <c r="EXK237" s="1"/>
      <c r="EXL237" s="1"/>
      <c r="EXM237" s="1"/>
      <c r="EXN237" s="1"/>
      <c r="EXO237" s="1"/>
      <c r="EXP237" s="1"/>
      <c r="EXQ237" s="1"/>
      <c r="EXR237" s="1"/>
      <c r="EXS237" s="1"/>
      <c r="EXT237" s="1"/>
      <c r="EXU237" s="1"/>
      <c r="EXV237" s="1"/>
      <c r="EXW237" s="1"/>
      <c r="EXX237" s="1"/>
      <c r="EXY237" s="1"/>
      <c r="EXZ237" s="1"/>
      <c r="EYA237" s="1"/>
      <c r="EYB237" s="1"/>
      <c r="EYC237" s="1"/>
      <c r="EYD237" s="1"/>
      <c r="EYE237" s="1"/>
      <c r="EYF237" s="1"/>
      <c r="EYG237" s="1"/>
      <c r="EYH237" s="1"/>
      <c r="EYI237" s="1"/>
      <c r="EYJ237" s="1"/>
      <c r="EYK237" s="1"/>
      <c r="EYL237" s="1"/>
      <c r="EYM237" s="1"/>
      <c r="EYN237" s="1"/>
      <c r="EYO237" s="1"/>
      <c r="EYP237" s="1"/>
      <c r="EYQ237" s="1"/>
      <c r="EYR237" s="1"/>
      <c r="EYS237" s="1"/>
      <c r="EYT237" s="1"/>
      <c r="EYU237" s="1"/>
      <c r="EYV237" s="1"/>
      <c r="EYW237" s="1"/>
      <c r="EYX237" s="1"/>
      <c r="EYY237" s="1"/>
      <c r="EYZ237" s="1"/>
      <c r="EZA237" s="1"/>
      <c r="EZB237" s="1"/>
      <c r="EZC237" s="1"/>
      <c r="EZD237" s="1"/>
      <c r="EZE237" s="1"/>
      <c r="EZF237" s="1"/>
      <c r="EZG237" s="1"/>
      <c r="EZH237" s="1"/>
      <c r="EZI237" s="1"/>
      <c r="EZJ237" s="1"/>
      <c r="EZK237" s="1"/>
      <c r="EZL237" s="1"/>
      <c r="EZM237" s="1"/>
      <c r="EZN237" s="1"/>
      <c r="EZO237" s="1"/>
      <c r="EZP237" s="1"/>
      <c r="EZQ237" s="1"/>
      <c r="EZR237" s="1"/>
      <c r="EZS237" s="1"/>
      <c r="EZT237" s="1"/>
      <c r="EZU237" s="1"/>
      <c r="EZV237" s="1"/>
      <c r="EZW237" s="1"/>
      <c r="EZX237" s="1"/>
      <c r="EZY237" s="1"/>
      <c r="EZZ237" s="1"/>
      <c r="FAA237" s="1"/>
      <c r="FAB237" s="1"/>
      <c r="FAC237" s="1"/>
      <c r="FAD237" s="1"/>
      <c r="FAE237" s="1"/>
      <c r="FAF237" s="1"/>
      <c r="FAG237" s="1"/>
      <c r="FAH237" s="1"/>
      <c r="FAI237" s="1"/>
      <c r="FAJ237" s="1"/>
      <c r="FAK237" s="1"/>
      <c r="FAL237" s="1"/>
      <c r="FAM237" s="1"/>
      <c r="FAN237" s="1"/>
      <c r="FAO237" s="1"/>
      <c r="FAP237" s="1"/>
      <c r="FAQ237" s="1"/>
      <c r="FAR237" s="1"/>
      <c r="FAS237" s="1"/>
      <c r="FAT237" s="1"/>
      <c r="FAU237" s="1"/>
      <c r="FAV237" s="1"/>
      <c r="FAW237" s="1"/>
      <c r="FAX237" s="1"/>
      <c r="FAY237" s="1"/>
      <c r="FAZ237" s="1"/>
      <c r="FBA237" s="1"/>
      <c r="FBB237" s="1"/>
      <c r="FBC237" s="1"/>
      <c r="FBD237" s="1"/>
      <c r="FBE237" s="1"/>
      <c r="FBF237" s="1"/>
      <c r="FBG237" s="1"/>
      <c r="FBH237" s="1"/>
      <c r="FBI237" s="1"/>
      <c r="FBJ237" s="1"/>
      <c r="FBK237" s="1"/>
      <c r="FBL237" s="1"/>
      <c r="FBM237" s="1"/>
      <c r="FBN237" s="1"/>
      <c r="FBO237" s="1"/>
      <c r="FBP237" s="1"/>
      <c r="FBQ237" s="1"/>
      <c r="FBR237" s="1"/>
      <c r="FBS237" s="1"/>
      <c r="FBT237" s="1"/>
      <c r="FBU237" s="1"/>
      <c r="FBV237" s="1"/>
      <c r="FBW237" s="1"/>
      <c r="FBX237" s="1"/>
      <c r="FBY237" s="1"/>
      <c r="FBZ237" s="1"/>
      <c r="FCA237" s="1"/>
      <c r="FCB237" s="1"/>
      <c r="FCC237" s="1"/>
      <c r="FCD237" s="1"/>
      <c r="FCE237" s="1"/>
      <c r="FCF237" s="1"/>
      <c r="FCG237" s="1"/>
      <c r="FCH237" s="1"/>
      <c r="FCI237" s="1"/>
      <c r="FCJ237" s="1"/>
      <c r="FCK237" s="1"/>
      <c r="FCL237" s="1"/>
      <c r="FCM237" s="1"/>
      <c r="FCN237" s="1"/>
      <c r="FCO237" s="1"/>
      <c r="FCP237" s="1"/>
      <c r="FCQ237" s="1"/>
      <c r="FCR237" s="1"/>
      <c r="FCS237" s="1"/>
      <c r="FCT237" s="1"/>
      <c r="FCU237" s="1"/>
      <c r="FCV237" s="1"/>
      <c r="FCW237" s="1"/>
      <c r="FCX237" s="1"/>
      <c r="FCY237" s="1"/>
      <c r="FCZ237" s="1"/>
      <c r="FDA237" s="1"/>
      <c r="FDB237" s="1"/>
      <c r="FDC237" s="1"/>
      <c r="FDD237" s="1"/>
      <c r="FDE237" s="1"/>
      <c r="FDF237" s="1"/>
      <c r="FDG237" s="1"/>
      <c r="FDH237" s="1"/>
      <c r="FDI237" s="1"/>
      <c r="FDJ237" s="1"/>
      <c r="FDK237" s="1"/>
      <c r="FDL237" s="1"/>
      <c r="FDM237" s="1"/>
      <c r="FDN237" s="1"/>
      <c r="FDO237" s="1"/>
      <c r="FDP237" s="1"/>
      <c r="FDQ237" s="1"/>
      <c r="FDR237" s="1"/>
      <c r="FDS237" s="1"/>
      <c r="FDT237" s="1"/>
      <c r="FDU237" s="1"/>
      <c r="FDV237" s="1"/>
      <c r="FDW237" s="1"/>
      <c r="FDX237" s="1"/>
      <c r="FDY237" s="1"/>
      <c r="FDZ237" s="1"/>
      <c r="FEA237" s="1"/>
      <c r="FEB237" s="1"/>
      <c r="FEC237" s="1"/>
      <c r="FED237" s="1"/>
      <c r="FEE237" s="1"/>
      <c r="FEF237" s="1"/>
      <c r="FEG237" s="1"/>
      <c r="FEH237" s="1"/>
      <c r="FEI237" s="1"/>
      <c r="FEJ237" s="1"/>
      <c r="FEK237" s="1"/>
      <c r="FEL237" s="1"/>
      <c r="FEM237" s="1"/>
      <c r="FEN237" s="1"/>
      <c r="FEO237" s="1"/>
      <c r="FEP237" s="1"/>
      <c r="FEQ237" s="1"/>
      <c r="FER237" s="1"/>
      <c r="FES237" s="1"/>
      <c r="FET237" s="1"/>
      <c r="FEU237" s="1"/>
      <c r="FEV237" s="1"/>
      <c r="FEW237" s="1"/>
      <c r="FEX237" s="1"/>
      <c r="FEY237" s="1"/>
      <c r="FEZ237" s="1"/>
      <c r="FFA237" s="1"/>
      <c r="FFB237" s="1"/>
      <c r="FFC237" s="1"/>
      <c r="FFD237" s="1"/>
      <c r="FFE237" s="1"/>
      <c r="FFF237" s="1"/>
      <c r="FFG237" s="1"/>
      <c r="FFH237" s="1"/>
      <c r="FFI237" s="1"/>
      <c r="FFJ237" s="1"/>
      <c r="FFK237" s="1"/>
      <c r="FFL237" s="1"/>
      <c r="FFM237" s="1"/>
      <c r="FFN237" s="1"/>
      <c r="FFO237" s="1"/>
      <c r="FFP237" s="1"/>
      <c r="FFQ237" s="1"/>
      <c r="FFR237" s="1"/>
      <c r="FFS237" s="1"/>
      <c r="FFT237" s="1"/>
      <c r="FFU237" s="1"/>
      <c r="FFV237" s="1"/>
      <c r="FFW237" s="1"/>
      <c r="FFX237" s="1"/>
      <c r="FFY237" s="1"/>
      <c r="FFZ237" s="1"/>
      <c r="FGA237" s="1"/>
      <c r="FGB237" s="1"/>
      <c r="FGC237" s="1"/>
      <c r="FGD237" s="1"/>
      <c r="FGE237" s="1"/>
      <c r="FGF237" s="1"/>
      <c r="FGG237" s="1"/>
      <c r="FGH237" s="1"/>
      <c r="FGI237" s="1"/>
      <c r="FGJ237" s="1"/>
      <c r="FGK237" s="1"/>
      <c r="FGL237" s="1"/>
      <c r="FGM237" s="1"/>
      <c r="FGN237" s="1"/>
      <c r="FGO237" s="1"/>
      <c r="FGP237" s="1"/>
      <c r="FGQ237" s="1"/>
      <c r="FGR237" s="1"/>
      <c r="FGS237" s="1"/>
      <c r="FGT237" s="1"/>
      <c r="FGU237" s="1"/>
      <c r="FGV237" s="1"/>
      <c r="FGW237" s="1"/>
      <c r="FGX237" s="1"/>
      <c r="FGY237" s="1"/>
      <c r="FGZ237" s="1"/>
      <c r="FHA237" s="1"/>
      <c r="FHB237" s="1"/>
      <c r="FHC237" s="1"/>
      <c r="FHD237" s="1"/>
      <c r="FHE237" s="1"/>
      <c r="FHF237" s="1"/>
      <c r="FHG237" s="1"/>
      <c r="FHH237" s="1"/>
      <c r="FHI237" s="1"/>
      <c r="FHJ237" s="1"/>
      <c r="FHK237" s="1"/>
      <c r="FHL237" s="1"/>
      <c r="FHM237" s="1"/>
      <c r="FHN237" s="1"/>
      <c r="FHO237" s="1"/>
      <c r="FHP237" s="1"/>
      <c r="FHQ237" s="1"/>
      <c r="FHR237" s="1"/>
      <c r="FHS237" s="1"/>
      <c r="FHT237" s="1"/>
      <c r="FHU237" s="1"/>
      <c r="FHV237" s="1"/>
      <c r="FHW237" s="1"/>
      <c r="FHX237" s="1"/>
      <c r="FHY237" s="1"/>
      <c r="FHZ237" s="1"/>
      <c r="FIA237" s="1"/>
      <c r="FIB237" s="1"/>
      <c r="FIC237" s="1"/>
      <c r="FID237" s="1"/>
      <c r="FIE237" s="1"/>
      <c r="FIF237" s="1"/>
      <c r="FIG237" s="1"/>
      <c r="FIH237" s="1"/>
      <c r="FII237" s="1"/>
      <c r="FIJ237" s="1"/>
      <c r="FIK237" s="1"/>
      <c r="FIL237" s="1"/>
      <c r="FIM237" s="1"/>
      <c r="FIN237" s="1"/>
      <c r="FIO237" s="1"/>
      <c r="FIP237" s="1"/>
      <c r="FIQ237" s="1"/>
      <c r="FIR237" s="1"/>
      <c r="FIS237" s="1"/>
      <c r="FIT237" s="1"/>
      <c r="FIU237" s="1"/>
      <c r="FIV237" s="1"/>
      <c r="FIW237" s="1"/>
      <c r="FIX237" s="1"/>
      <c r="FIY237" s="1"/>
      <c r="FIZ237" s="1"/>
      <c r="FJA237" s="1"/>
      <c r="FJB237" s="1"/>
      <c r="FJC237" s="1"/>
      <c r="FJD237" s="1"/>
      <c r="FJE237" s="1"/>
      <c r="FJF237" s="1"/>
      <c r="FJG237" s="1"/>
      <c r="FJH237" s="1"/>
      <c r="FJI237" s="1"/>
      <c r="FJJ237" s="1"/>
      <c r="FJK237" s="1"/>
      <c r="FJL237" s="1"/>
      <c r="FJM237" s="1"/>
      <c r="FJN237" s="1"/>
      <c r="FJO237" s="1"/>
      <c r="FJP237" s="1"/>
      <c r="FJQ237" s="1"/>
      <c r="FJR237" s="1"/>
      <c r="FJS237" s="1"/>
      <c r="FJT237" s="1"/>
      <c r="FJU237" s="1"/>
      <c r="FJV237" s="1"/>
      <c r="FJW237" s="1"/>
      <c r="FJX237" s="1"/>
      <c r="FJY237" s="1"/>
      <c r="FJZ237" s="1"/>
      <c r="FKA237" s="1"/>
      <c r="FKB237" s="1"/>
      <c r="FKC237" s="1"/>
      <c r="FKD237" s="1"/>
      <c r="FKE237" s="1"/>
      <c r="FKF237" s="1"/>
      <c r="FKG237" s="1"/>
      <c r="FKH237" s="1"/>
      <c r="FKI237" s="1"/>
      <c r="FKJ237" s="1"/>
      <c r="FKK237" s="1"/>
      <c r="FKL237" s="1"/>
      <c r="FKM237" s="1"/>
      <c r="FKN237" s="1"/>
      <c r="FKO237" s="1"/>
      <c r="FKP237" s="1"/>
      <c r="FKQ237" s="1"/>
      <c r="FKR237" s="1"/>
      <c r="FKS237" s="1"/>
      <c r="FKT237" s="1"/>
      <c r="FKU237" s="1"/>
      <c r="FKV237" s="1"/>
      <c r="FKW237" s="1"/>
      <c r="FKX237" s="1"/>
      <c r="FKY237" s="1"/>
      <c r="FKZ237" s="1"/>
      <c r="FLA237" s="1"/>
      <c r="FLB237" s="1"/>
      <c r="FLC237" s="1"/>
      <c r="FLD237" s="1"/>
      <c r="FLE237" s="1"/>
      <c r="FLF237" s="1"/>
      <c r="FLG237" s="1"/>
      <c r="FLH237" s="1"/>
      <c r="FLI237" s="1"/>
      <c r="FLJ237" s="1"/>
      <c r="FLK237" s="1"/>
      <c r="FLL237" s="1"/>
      <c r="FLM237" s="1"/>
      <c r="FLN237" s="1"/>
      <c r="FLO237" s="1"/>
      <c r="FLP237" s="1"/>
      <c r="FLQ237" s="1"/>
      <c r="FLR237" s="1"/>
      <c r="FLS237" s="1"/>
      <c r="FLT237" s="1"/>
      <c r="FLU237" s="1"/>
      <c r="FLV237" s="1"/>
      <c r="FLW237" s="1"/>
      <c r="FLX237" s="1"/>
      <c r="FLY237" s="1"/>
      <c r="FLZ237" s="1"/>
      <c r="FMA237" s="1"/>
      <c r="FMB237" s="1"/>
      <c r="FMC237" s="1"/>
      <c r="FMD237" s="1"/>
      <c r="FME237" s="1"/>
      <c r="FMF237" s="1"/>
      <c r="FMG237" s="1"/>
      <c r="FMH237" s="1"/>
      <c r="FMI237" s="1"/>
      <c r="FMJ237" s="1"/>
      <c r="FMK237" s="1"/>
      <c r="FML237" s="1"/>
      <c r="FMM237" s="1"/>
      <c r="FMN237" s="1"/>
      <c r="FMO237" s="1"/>
      <c r="FMP237" s="1"/>
      <c r="FMQ237" s="1"/>
      <c r="FMR237" s="1"/>
      <c r="FMS237" s="1"/>
      <c r="FMT237" s="1"/>
      <c r="FMU237" s="1"/>
      <c r="FMV237" s="1"/>
      <c r="FMW237" s="1"/>
      <c r="FMX237" s="1"/>
      <c r="FMY237" s="1"/>
      <c r="FMZ237" s="1"/>
      <c r="FNA237" s="1"/>
      <c r="FNB237" s="1"/>
      <c r="FNC237" s="1"/>
      <c r="FND237" s="1"/>
      <c r="FNE237" s="1"/>
      <c r="FNF237" s="1"/>
      <c r="FNG237" s="1"/>
      <c r="FNH237" s="1"/>
      <c r="FNI237" s="1"/>
      <c r="FNJ237" s="1"/>
      <c r="FNK237" s="1"/>
      <c r="FNL237" s="1"/>
      <c r="FNM237" s="1"/>
      <c r="FNN237" s="1"/>
      <c r="FNO237" s="1"/>
      <c r="FNP237" s="1"/>
      <c r="FNQ237" s="1"/>
      <c r="FNR237" s="1"/>
      <c r="FNS237" s="1"/>
      <c r="FNT237" s="1"/>
      <c r="FNU237" s="1"/>
      <c r="FNV237" s="1"/>
      <c r="FNW237" s="1"/>
      <c r="FNX237" s="1"/>
      <c r="FNY237" s="1"/>
      <c r="FNZ237" s="1"/>
      <c r="FOA237" s="1"/>
      <c r="FOB237" s="1"/>
      <c r="FOC237" s="1"/>
      <c r="FOD237" s="1"/>
      <c r="FOE237" s="1"/>
      <c r="FOF237" s="1"/>
      <c r="FOG237" s="1"/>
      <c r="FOH237" s="1"/>
      <c r="FOI237" s="1"/>
      <c r="FOJ237" s="1"/>
      <c r="FOK237" s="1"/>
      <c r="FOL237" s="1"/>
      <c r="FOM237" s="1"/>
      <c r="FON237" s="1"/>
      <c r="FOO237" s="1"/>
      <c r="FOP237" s="1"/>
      <c r="FOQ237" s="1"/>
      <c r="FOR237" s="1"/>
      <c r="FOS237" s="1"/>
      <c r="FOT237" s="1"/>
      <c r="FOU237" s="1"/>
      <c r="FOV237" s="1"/>
      <c r="FOW237" s="1"/>
      <c r="FOX237" s="1"/>
      <c r="FOY237" s="1"/>
      <c r="FOZ237" s="1"/>
      <c r="FPA237" s="1"/>
      <c r="FPB237" s="1"/>
      <c r="FPC237" s="1"/>
      <c r="FPD237" s="1"/>
      <c r="FPE237" s="1"/>
      <c r="FPF237" s="1"/>
      <c r="FPG237" s="1"/>
      <c r="FPH237" s="1"/>
      <c r="FPI237" s="1"/>
      <c r="FPJ237" s="1"/>
      <c r="FPK237" s="1"/>
      <c r="FPL237" s="1"/>
      <c r="FPM237" s="1"/>
      <c r="FPN237" s="1"/>
      <c r="FPO237" s="1"/>
      <c r="FPP237" s="1"/>
      <c r="FPQ237" s="1"/>
      <c r="FPR237" s="1"/>
      <c r="FPS237" s="1"/>
      <c r="FPT237" s="1"/>
      <c r="FPU237" s="1"/>
      <c r="FPV237" s="1"/>
      <c r="FPW237" s="1"/>
      <c r="FPX237" s="1"/>
      <c r="FPY237" s="1"/>
      <c r="FPZ237" s="1"/>
      <c r="FQA237" s="1"/>
      <c r="FQB237" s="1"/>
      <c r="FQC237" s="1"/>
      <c r="FQD237" s="1"/>
      <c r="FQE237" s="1"/>
      <c r="FQF237" s="1"/>
      <c r="FQG237" s="1"/>
      <c r="FQH237" s="1"/>
      <c r="FQI237" s="1"/>
      <c r="FQJ237" s="1"/>
      <c r="FQK237" s="1"/>
      <c r="FQL237" s="1"/>
      <c r="FQM237" s="1"/>
      <c r="FQN237" s="1"/>
      <c r="FQO237" s="1"/>
      <c r="FQP237" s="1"/>
      <c r="FQQ237" s="1"/>
      <c r="FQR237" s="1"/>
      <c r="FQS237" s="1"/>
      <c r="FQT237" s="1"/>
      <c r="FQU237" s="1"/>
      <c r="FQV237" s="1"/>
      <c r="FQW237" s="1"/>
      <c r="FQX237" s="1"/>
      <c r="FQY237" s="1"/>
      <c r="FQZ237" s="1"/>
      <c r="FRA237" s="1"/>
      <c r="FRB237" s="1"/>
      <c r="FRC237" s="1"/>
      <c r="FRD237" s="1"/>
      <c r="FRE237" s="1"/>
      <c r="FRF237" s="1"/>
      <c r="FRG237" s="1"/>
      <c r="FRH237" s="1"/>
      <c r="FRI237" s="1"/>
      <c r="FRJ237" s="1"/>
      <c r="FRK237" s="1"/>
      <c r="FRL237" s="1"/>
      <c r="FRM237" s="1"/>
      <c r="FRN237" s="1"/>
      <c r="FRO237" s="1"/>
      <c r="FRP237" s="1"/>
      <c r="FRQ237" s="1"/>
      <c r="FRR237" s="1"/>
      <c r="FRS237" s="1"/>
      <c r="FRT237" s="1"/>
      <c r="FRU237" s="1"/>
      <c r="FRV237" s="1"/>
      <c r="FRW237" s="1"/>
      <c r="FRX237" s="1"/>
      <c r="FRY237" s="1"/>
      <c r="FRZ237" s="1"/>
      <c r="FSA237" s="1"/>
      <c r="FSB237" s="1"/>
      <c r="FSC237" s="1"/>
      <c r="FSD237" s="1"/>
      <c r="FSE237" s="1"/>
      <c r="FSF237" s="1"/>
      <c r="FSG237" s="1"/>
      <c r="FSH237" s="1"/>
      <c r="FSI237" s="1"/>
      <c r="FSJ237" s="1"/>
      <c r="FSK237" s="1"/>
      <c r="FSL237" s="1"/>
      <c r="FSM237" s="1"/>
      <c r="FSN237" s="1"/>
      <c r="FSO237" s="1"/>
      <c r="FSP237" s="1"/>
      <c r="FSQ237" s="1"/>
      <c r="FSR237" s="1"/>
      <c r="FSS237" s="1"/>
      <c r="FST237" s="1"/>
      <c r="FSU237" s="1"/>
      <c r="FSV237" s="1"/>
      <c r="FSW237" s="1"/>
      <c r="FSX237" s="1"/>
      <c r="FSY237" s="1"/>
      <c r="FSZ237" s="1"/>
      <c r="FTA237" s="1"/>
      <c r="FTB237" s="1"/>
      <c r="FTC237" s="1"/>
      <c r="FTD237" s="1"/>
      <c r="FTE237" s="1"/>
      <c r="FTF237" s="1"/>
      <c r="FTG237" s="1"/>
      <c r="FTH237" s="1"/>
      <c r="FTI237" s="1"/>
      <c r="FTJ237" s="1"/>
      <c r="FTK237" s="1"/>
      <c r="FTL237" s="1"/>
      <c r="FTM237" s="1"/>
      <c r="FTN237" s="1"/>
      <c r="FTO237" s="1"/>
      <c r="FTP237" s="1"/>
      <c r="FTQ237" s="1"/>
      <c r="FTR237" s="1"/>
      <c r="FTS237" s="1"/>
      <c r="FTT237" s="1"/>
      <c r="FTU237" s="1"/>
      <c r="FTV237" s="1"/>
      <c r="FTW237" s="1"/>
      <c r="FTX237" s="1"/>
      <c r="FTY237" s="1"/>
      <c r="FTZ237" s="1"/>
      <c r="FUA237" s="1"/>
      <c r="FUB237" s="1"/>
      <c r="FUC237" s="1"/>
      <c r="FUD237" s="1"/>
      <c r="FUE237" s="1"/>
      <c r="FUF237" s="1"/>
      <c r="FUG237" s="1"/>
      <c r="FUH237" s="1"/>
      <c r="FUI237" s="1"/>
      <c r="FUJ237" s="1"/>
      <c r="FUK237" s="1"/>
      <c r="FUL237" s="1"/>
      <c r="FUM237" s="1"/>
      <c r="FUN237" s="1"/>
      <c r="FUO237" s="1"/>
      <c r="FUP237" s="1"/>
      <c r="FUQ237" s="1"/>
      <c r="FUR237" s="1"/>
      <c r="FUS237" s="1"/>
      <c r="FUT237" s="1"/>
      <c r="FUU237" s="1"/>
      <c r="FUV237" s="1"/>
      <c r="FUW237" s="1"/>
      <c r="FUX237" s="1"/>
      <c r="FUY237" s="1"/>
      <c r="FUZ237" s="1"/>
      <c r="FVA237" s="1"/>
      <c r="FVB237" s="1"/>
      <c r="FVC237" s="1"/>
      <c r="FVD237" s="1"/>
      <c r="FVE237" s="1"/>
      <c r="FVF237" s="1"/>
      <c r="FVG237" s="1"/>
      <c r="FVH237" s="1"/>
      <c r="FVI237" s="1"/>
      <c r="FVJ237" s="1"/>
      <c r="FVK237" s="1"/>
      <c r="FVL237" s="1"/>
      <c r="FVM237" s="1"/>
      <c r="FVN237" s="1"/>
      <c r="FVO237" s="1"/>
      <c r="FVP237" s="1"/>
      <c r="FVQ237" s="1"/>
      <c r="FVR237" s="1"/>
      <c r="FVS237" s="1"/>
      <c r="FVT237" s="1"/>
      <c r="FVU237" s="1"/>
      <c r="FVV237" s="1"/>
      <c r="FVW237" s="1"/>
      <c r="FVX237" s="1"/>
      <c r="FVY237" s="1"/>
      <c r="FVZ237" s="1"/>
      <c r="FWA237" s="1"/>
      <c r="FWB237" s="1"/>
      <c r="FWC237" s="1"/>
      <c r="FWD237" s="1"/>
      <c r="FWE237" s="1"/>
      <c r="FWF237" s="1"/>
      <c r="FWG237" s="1"/>
      <c r="FWH237" s="1"/>
      <c r="FWI237" s="1"/>
      <c r="FWJ237" s="1"/>
      <c r="FWK237" s="1"/>
      <c r="FWL237" s="1"/>
      <c r="FWM237" s="1"/>
      <c r="FWN237" s="1"/>
      <c r="FWO237" s="1"/>
      <c r="FWP237" s="1"/>
      <c r="FWQ237" s="1"/>
      <c r="FWR237" s="1"/>
      <c r="FWS237" s="1"/>
      <c r="FWT237" s="1"/>
      <c r="FWU237" s="1"/>
      <c r="FWV237" s="1"/>
      <c r="FWW237" s="1"/>
      <c r="FWX237" s="1"/>
      <c r="FWY237" s="1"/>
      <c r="FWZ237" s="1"/>
      <c r="FXA237" s="1"/>
      <c r="FXB237" s="1"/>
      <c r="FXC237" s="1"/>
      <c r="FXD237" s="1"/>
      <c r="FXE237" s="1"/>
      <c r="FXF237" s="1"/>
      <c r="FXG237" s="1"/>
      <c r="FXH237" s="1"/>
      <c r="FXI237" s="1"/>
      <c r="FXJ237" s="1"/>
      <c r="FXK237" s="1"/>
      <c r="FXL237" s="1"/>
      <c r="FXM237" s="1"/>
      <c r="FXN237" s="1"/>
      <c r="FXO237" s="1"/>
      <c r="FXP237" s="1"/>
      <c r="FXQ237" s="1"/>
      <c r="FXR237" s="1"/>
      <c r="FXS237" s="1"/>
      <c r="FXT237" s="1"/>
      <c r="FXU237" s="1"/>
      <c r="FXV237" s="1"/>
      <c r="FXW237" s="1"/>
      <c r="FXX237" s="1"/>
      <c r="FXY237" s="1"/>
      <c r="FXZ237" s="1"/>
      <c r="FYA237" s="1"/>
      <c r="FYB237" s="1"/>
      <c r="FYC237" s="1"/>
      <c r="FYD237" s="1"/>
      <c r="FYE237" s="1"/>
      <c r="FYF237" s="1"/>
      <c r="FYG237" s="1"/>
      <c r="FYH237" s="1"/>
      <c r="FYI237" s="1"/>
      <c r="FYJ237" s="1"/>
      <c r="FYK237" s="1"/>
      <c r="FYL237" s="1"/>
      <c r="FYM237" s="1"/>
      <c r="FYN237" s="1"/>
      <c r="FYO237" s="1"/>
      <c r="FYP237" s="1"/>
      <c r="FYQ237" s="1"/>
      <c r="FYR237" s="1"/>
      <c r="FYS237" s="1"/>
      <c r="FYT237" s="1"/>
      <c r="FYU237" s="1"/>
      <c r="FYV237" s="1"/>
      <c r="FYW237" s="1"/>
      <c r="FYX237" s="1"/>
      <c r="FYY237" s="1"/>
      <c r="FYZ237" s="1"/>
      <c r="FZA237" s="1"/>
      <c r="FZB237" s="1"/>
      <c r="FZC237" s="1"/>
      <c r="FZD237" s="1"/>
      <c r="FZE237" s="1"/>
      <c r="FZF237" s="1"/>
      <c r="FZG237" s="1"/>
      <c r="FZH237" s="1"/>
      <c r="FZI237" s="1"/>
      <c r="FZJ237" s="1"/>
      <c r="FZK237" s="1"/>
      <c r="FZL237" s="1"/>
      <c r="FZM237" s="1"/>
      <c r="FZN237" s="1"/>
      <c r="FZO237" s="1"/>
      <c r="FZP237" s="1"/>
      <c r="FZQ237" s="1"/>
      <c r="FZR237" s="1"/>
      <c r="FZS237" s="1"/>
      <c r="FZT237" s="1"/>
      <c r="FZU237" s="1"/>
      <c r="FZV237" s="1"/>
      <c r="FZW237" s="1"/>
      <c r="FZX237" s="1"/>
      <c r="FZY237" s="1"/>
      <c r="FZZ237" s="1"/>
      <c r="GAA237" s="1"/>
      <c r="GAB237" s="1"/>
      <c r="GAC237" s="1"/>
      <c r="GAD237" s="1"/>
      <c r="GAE237" s="1"/>
      <c r="GAF237" s="1"/>
      <c r="GAG237" s="1"/>
      <c r="GAH237" s="1"/>
      <c r="GAI237" s="1"/>
      <c r="GAJ237" s="1"/>
      <c r="GAK237" s="1"/>
      <c r="GAL237" s="1"/>
      <c r="GAM237" s="1"/>
      <c r="GAN237" s="1"/>
      <c r="GAO237" s="1"/>
      <c r="GAP237" s="1"/>
      <c r="GAQ237" s="1"/>
      <c r="GAR237" s="1"/>
      <c r="GAS237" s="1"/>
      <c r="GAT237" s="1"/>
      <c r="GAU237" s="1"/>
      <c r="GAV237" s="1"/>
      <c r="GAW237" s="1"/>
      <c r="GAX237" s="1"/>
      <c r="GAY237" s="1"/>
      <c r="GAZ237" s="1"/>
      <c r="GBA237" s="1"/>
      <c r="GBB237" s="1"/>
      <c r="GBC237" s="1"/>
      <c r="GBD237" s="1"/>
      <c r="GBE237" s="1"/>
      <c r="GBF237" s="1"/>
      <c r="GBG237" s="1"/>
      <c r="GBH237" s="1"/>
      <c r="GBI237" s="1"/>
      <c r="GBJ237" s="1"/>
      <c r="GBK237" s="1"/>
      <c r="GBL237" s="1"/>
      <c r="GBM237" s="1"/>
      <c r="GBN237" s="1"/>
      <c r="GBO237" s="1"/>
      <c r="GBP237" s="1"/>
      <c r="GBQ237" s="1"/>
      <c r="GBR237" s="1"/>
      <c r="GBS237" s="1"/>
      <c r="GBT237" s="1"/>
      <c r="GBU237" s="1"/>
      <c r="GBV237" s="1"/>
      <c r="GBW237" s="1"/>
      <c r="GBX237" s="1"/>
      <c r="GBY237" s="1"/>
      <c r="GBZ237" s="1"/>
      <c r="GCA237" s="1"/>
      <c r="GCB237" s="1"/>
      <c r="GCC237" s="1"/>
      <c r="GCD237" s="1"/>
      <c r="GCE237" s="1"/>
      <c r="GCF237" s="1"/>
      <c r="GCG237" s="1"/>
      <c r="GCH237" s="1"/>
      <c r="GCI237" s="1"/>
      <c r="GCJ237" s="1"/>
      <c r="GCK237" s="1"/>
      <c r="GCL237" s="1"/>
      <c r="GCM237" s="1"/>
      <c r="GCN237" s="1"/>
      <c r="GCO237" s="1"/>
      <c r="GCP237" s="1"/>
      <c r="GCQ237" s="1"/>
      <c r="GCR237" s="1"/>
      <c r="GCS237" s="1"/>
      <c r="GCT237" s="1"/>
      <c r="GCU237" s="1"/>
      <c r="GCV237" s="1"/>
      <c r="GCW237" s="1"/>
      <c r="GCX237" s="1"/>
      <c r="GCY237" s="1"/>
      <c r="GCZ237" s="1"/>
      <c r="GDA237" s="1"/>
      <c r="GDB237" s="1"/>
      <c r="GDC237" s="1"/>
      <c r="GDD237" s="1"/>
      <c r="GDE237" s="1"/>
      <c r="GDF237" s="1"/>
      <c r="GDG237" s="1"/>
      <c r="GDH237" s="1"/>
      <c r="GDI237" s="1"/>
      <c r="GDJ237" s="1"/>
      <c r="GDK237" s="1"/>
      <c r="GDL237" s="1"/>
      <c r="GDM237" s="1"/>
      <c r="GDN237" s="1"/>
      <c r="GDO237" s="1"/>
      <c r="GDP237" s="1"/>
      <c r="GDQ237" s="1"/>
      <c r="GDR237" s="1"/>
      <c r="GDS237" s="1"/>
      <c r="GDT237" s="1"/>
      <c r="GDU237" s="1"/>
      <c r="GDV237" s="1"/>
      <c r="GDW237" s="1"/>
      <c r="GDX237" s="1"/>
      <c r="GDY237" s="1"/>
      <c r="GDZ237" s="1"/>
      <c r="GEA237" s="1"/>
      <c r="GEB237" s="1"/>
      <c r="GEC237" s="1"/>
      <c r="GED237" s="1"/>
      <c r="GEE237" s="1"/>
      <c r="GEF237" s="1"/>
      <c r="GEG237" s="1"/>
      <c r="GEH237" s="1"/>
      <c r="GEI237" s="1"/>
      <c r="GEJ237" s="1"/>
      <c r="GEK237" s="1"/>
      <c r="GEL237" s="1"/>
      <c r="GEM237" s="1"/>
      <c r="GEN237" s="1"/>
      <c r="GEO237" s="1"/>
      <c r="GEP237" s="1"/>
      <c r="GEQ237" s="1"/>
      <c r="GER237" s="1"/>
      <c r="GES237" s="1"/>
      <c r="GET237" s="1"/>
      <c r="GEU237" s="1"/>
      <c r="GEV237" s="1"/>
      <c r="GEW237" s="1"/>
      <c r="GEX237" s="1"/>
      <c r="GEY237" s="1"/>
      <c r="GEZ237" s="1"/>
      <c r="GFA237" s="1"/>
      <c r="GFB237" s="1"/>
      <c r="GFC237" s="1"/>
      <c r="GFD237" s="1"/>
      <c r="GFE237" s="1"/>
      <c r="GFF237" s="1"/>
      <c r="GFG237" s="1"/>
      <c r="GFH237" s="1"/>
      <c r="GFI237" s="1"/>
      <c r="GFJ237" s="1"/>
      <c r="GFK237" s="1"/>
      <c r="GFL237" s="1"/>
      <c r="GFM237" s="1"/>
      <c r="GFN237" s="1"/>
      <c r="GFO237" s="1"/>
      <c r="GFP237" s="1"/>
      <c r="GFQ237" s="1"/>
      <c r="GFR237" s="1"/>
      <c r="GFS237" s="1"/>
      <c r="GFT237" s="1"/>
      <c r="GFU237" s="1"/>
      <c r="GFV237" s="1"/>
      <c r="GFW237" s="1"/>
      <c r="GFX237" s="1"/>
      <c r="GFY237" s="1"/>
      <c r="GFZ237" s="1"/>
      <c r="GGA237" s="1"/>
      <c r="GGB237" s="1"/>
      <c r="GGC237" s="1"/>
      <c r="GGD237" s="1"/>
      <c r="GGE237" s="1"/>
      <c r="GGF237" s="1"/>
      <c r="GGG237" s="1"/>
      <c r="GGH237" s="1"/>
      <c r="GGI237" s="1"/>
      <c r="GGJ237" s="1"/>
      <c r="GGK237" s="1"/>
      <c r="GGL237" s="1"/>
      <c r="GGM237" s="1"/>
      <c r="GGN237" s="1"/>
      <c r="GGO237" s="1"/>
      <c r="GGP237" s="1"/>
      <c r="GGQ237" s="1"/>
      <c r="GGR237" s="1"/>
      <c r="GGS237" s="1"/>
      <c r="GGT237" s="1"/>
      <c r="GGU237" s="1"/>
      <c r="GGV237" s="1"/>
      <c r="GGW237" s="1"/>
      <c r="GGX237" s="1"/>
      <c r="GGY237" s="1"/>
      <c r="GGZ237" s="1"/>
      <c r="GHA237" s="1"/>
      <c r="GHB237" s="1"/>
      <c r="GHC237" s="1"/>
      <c r="GHD237" s="1"/>
      <c r="GHE237" s="1"/>
      <c r="GHF237" s="1"/>
      <c r="GHG237" s="1"/>
      <c r="GHH237" s="1"/>
      <c r="GHI237" s="1"/>
      <c r="GHJ237" s="1"/>
      <c r="GHK237" s="1"/>
      <c r="GHL237" s="1"/>
      <c r="GHM237" s="1"/>
      <c r="GHN237" s="1"/>
      <c r="GHO237" s="1"/>
      <c r="GHP237" s="1"/>
      <c r="GHQ237" s="1"/>
      <c r="GHR237" s="1"/>
      <c r="GHS237" s="1"/>
      <c r="GHT237" s="1"/>
      <c r="GHU237" s="1"/>
      <c r="GHV237" s="1"/>
      <c r="GHW237" s="1"/>
      <c r="GHX237" s="1"/>
      <c r="GHY237" s="1"/>
      <c r="GHZ237" s="1"/>
      <c r="GIA237" s="1"/>
      <c r="GIB237" s="1"/>
      <c r="GIC237" s="1"/>
      <c r="GID237" s="1"/>
      <c r="GIE237" s="1"/>
      <c r="GIF237" s="1"/>
      <c r="GIG237" s="1"/>
      <c r="GIH237" s="1"/>
      <c r="GII237" s="1"/>
      <c r="GIJ237" s="1"/>
      <c r="GIK237" s="1"/>
      <c r="GIL237" s="1"/>
      <c r="GIM237" s="1"/>
      <c r="GIN237" s="1"/>
      <c r="GIO237" s="1"/>
      <c r="GIP237" s="1"/>
      <c r="GIQ237" s="1"/>
      <c r="GIR237" s="1"/>
      <c r="GIS237" s="1"/>
      <c r="GIT237" s="1"/>
      <c r="GIU237" s="1"/>
      <c r="GIV237" s="1"/>
      <c r="GIW237" s="1"/>
      <c r="GIX237" s="1"/>
      <c r="GIY237" s="1"/>
      <c r="GIZ237" s="1"/>
      <c r="GJA237" s="1"/>
      <c r="GJB237" s="1"/>
      <c r="GJC237" s="1"/>
      <c r="GJD237" s="1"/>
      <c r="GJE237" s="1"/>
      <c r="GJF237" s="1"/>
      <c r="GJG237" s="1"/>
      <c r="GJH237" s="1"/>
      <c r="GJI237" s="1"/>
      <c r="GJJ237" s="1"/>
      <c r="GJK237" s="1"/>
      <c r="GJL237" s="1"/>
      <c r="GJM237" s="1"/>
      <c r="GJN237" s="1"/>
      <c r="GJO237" s="1"/>
      <c r="GJP237" s="1"/>
      <c r="GJQ237" s="1"/>
      <c r="GJR237" s="1"/>
      <c r="GJS237" s="1"/>
      <c r="GJT237" s="1"/>
      <c r="GJU237" s="1"/>
      <c r="GJV237" s="1"/>
      <c r="GJW237" s="1"/>
      <c r="GJX237" s="1"/>
      <c r="GJY237" s="1"/>
      <c r="GJZ237" s="1"/>
      <c r="GKA237" s="1"/>
      <c r="GKB237" s="1"/>
      <c r="GKC237" s="1"/>
      <c r="GKD237" s="1"/>
      <c r="GKE237" s="1"/>
      <c r="GKF237" s="1"/>
      <c r="GKG237" s="1"/>
      <c r="GKH237" s="1"/>
      <c r="GKI237" s="1"/>
      <c r="GKJ237" s="1"/>
      <c r="GKK237" s="1"/>
      <c r="GKL237" s="1"/>
      <c r="GKM237" s="1"/>
      <c r="GKN237" s="1"/>
      <c r="GKO237" s="1"/>
      <c r="GKP237" s="1"/>
      <c r="GKQ237" s="1"/>
      <c r="GKR237" s="1"/>
      <c r="GKS237" s="1"/>
      <c r="GKT237" s="1"/>
      <c r="GKU237" s="1"/>
      <c r="GKV237" s="1"/>
      <c r="GKW237" s="1"/>
      <c r="GKX237" s="1"/>
      <c r="GKY237" s="1"/>
      <c r="GKZ237" s="1"/>
      <c r="GLA237" s="1"/>
      <c r="GLB237" s="1"/>
      <c r="GLC237" s="1"/>
      <c r="GLD237" s="1"/>
      <c r="GLE237" s="1"/>
      <c r="GLF237" s="1"/>
      <c r="GLG237" s="1"/>
      <c r="GLH237" s="1"/>
      <c r="GLI237" s="1"/>
      <c r="GLJ237" s="1"/>
      <c r="GLK237" s="1"/>
      <c r="GLL237" s="1"/>
      <c r="GLM237" s="1"/>
      <c r="GLN237" s="1"/>
      <c r="GLO237" s="1"/>
      <c r="GLP237" s="1"/>
      <c r="GLQ237" s="1"/>
      <c r="GLR237" s="1"/>
      <c r="GLS237" s="1"/>
      <c r="GLT237" s="1"/>
      <c r="GLU237" s="1"/>
      <c r="GLV237" s="1"/>
      <c r="GLW237" s="1"/>
      <c r="GLX237" s="1"/>
      <c r="GLY237" s="1"/>
      <c r="GLZ237" s="1"/>
      <c r="GMA237" s="1"/>
      <c r="GMB237" s="1"/>
      <c r="GMC237" s="1"/>
      <c r="GMD237" s="1"/>
      <c r="GME237" s="1"/>
      <c r="GMF237" s="1"/>
      <c r="GMG237" s="1"/>
      <c r="GMH237" s="1"/>
      <c r="GMI237" s="1"/>
      <c r="GMJ237" s="1"/>
      <c r="GMK237" s="1"/>
      <c r="GML237" s="1"/>
      <c r="GMM237" s="1"/>
      <c r="GMN237" s="1"/>
      <c r="GMO237" s="1"/>
      <c r="GMP237" s="1"/>
      <c r="GMQ237" s="1"/>
      <c r="GMR237" s="1"/>
      <c r="GMS237" s="1"/>
      <c r="GMT237" s="1"/>
      <c r="GMU237" s="1"/>
      <c r="GMV237" s="1"/>
      <c r="GMW237" s="1"/>
      <c r="GMX237" s="1"/>
      <c r="GMY237" s="1"/>
      <c r="GMZ237" s="1"/>
      <c r="GNA237" s="1"/>
      <c r="GNB237" s="1"/>
      <c r="GNC237" s="1"/>
      <c r="GND237" s="1"/>
      <c r="GNE237" s="1"/>
      <c r="GNF237" s="1"/>
      <c r="GNG237" s="1"/>
      <c r="GNH237" s="1"/>
      <c r="GNI237" s="1"/>
      <c r="GNJ237" s="1"/>
      <c r="GNK237" s="1"/>
      <c r="GNL237" s="1"/>
      <c r="GNM237" s="1"/>
      <c r="GNN237" s="1"/>
      <c r="GNO237" s="1"/>
      <c r="GNP237" s="1"/>
      <c r="GNQ237" s="1"/>
      <c r="GNR237" s="1"/>
      <c r="GNS237" s="1"/>
      <c r="GNT237" s="1"/>
      <c r="GNU237" s="1"/>
      <c r="GNV237" s="1"/>
      <c r="GNW237" s="1"/>
      <c r="GNX237" s="1"/>
      <c r="GNY237" s="1"/>
      <c r="GNZ237" s="1"/>
      <c r="GOA237" s="1"/>
      <c r="GOB237" s="1"/>
      <c r="GOC237" s="1"/>
      <c r="GOD237" s="1"/>
      <c r="GOE237" s="1"/>
      <c r="GOF237" s="1"/>
      <c r="GOG237" s="1"/>
      <c r="GOH237" s="1"/>
      <c r="GOI237" s="1"/>
      <c r="GOJ237" s="1"/>
      <c r="GOK237" s="1"/>
      <c r="GOL237" s="1"/>
      <c r="GOM237" s="1"/>
      <c r="GON237" s="1"/>
      <c r="GOO237" s="1"/>
      <c r="GOP237" s="1"/>
      <c r="GOQ237" s="1"/>
      <c r="GOR237" s="1"/>
      <c r="GOS237" s="1"/>
      <c r="GOT237" s="1"/>
      <c r="GOU237" s="1"/>
      <c r="GOV237" s="1"/>
      <c r="GOW237" s="1"/>
      <c r="GOX237" s="1"/>
      <c r="GOY237" s="1"/>
      <c r="GOZ237" s="1"/>
      <c r="GPA237" s="1"/>
      <c r="GPB237" s="1"/>
      <c r="GPC237" s="1"/>
      <c r="GPD237" s="1"/>
      <c r="GPE237" s="1"/>
      <c r="GPF237" s="1"/>
      <c r="GPG237" s="1"/>
      <c r="GPH237" s="1"/>
      <c r="GPI237" s="1"/>
      <c r="GPJ237" s="1"/>
      <c r="GPK237" s="1"/>
      <c r="GPL237" s="1"/>
      <c r="GPM237" s="1"/>
      <c r="GPN237" s="1"/>
      <c r="GPO237" s="1"/>
      <c r="GPP237" s="1"/>
      <c r="GPQ237" s="1"/>
      <c r="GPR237" s="1"/>
      <c r="GPS237" s="1"/>
      <c r="GPT237" s="1"/>
      <c r="GPU237" s="1"/>
      <c r="GPV237" s="1"/>
      <c r="GPW237" s="1"/>
      <c r="GPX237" s="1"/>
      <c r="GPY237" s="1"/>
      <c r="GPZ237" s="1"/>
      <c r="GQA237" s="1"/>
      <c r="GQB237" s="1"/>
      <c r="GQC237" s="1"/>
      <c r="GQD237" s="1"/>
      <c r="GQE237" s="1"/>
      <c r="GQF237" s="1"/>
      <c r="GQG237" s="1"/>
      <c r="GQH237" s="1"/>
      <c r="GQI237" s="1"/>
      <c r="GQJ237" s="1"/>
      <c r="GQK237" s="1"/>
      <c r="GQL237" s="1"/>
      <c r="GQM237" s="1"/>
      <c r="GQN237" s="1"/>
      <c r="GQO237" s="1"/>
      <c r="GQP237" s="1"/>
      <c r="GQQ237" s="1"/>
      <c r="GQR237" s="1"/>
      <c r="GQS237" s="1"/>
      <c r="GQT237" s="1"/>
      <c r="GQU237" s="1"/>
      <c r="GQV237" s="1"/>
      <c r="GQW237" s="1"/>
      <c r="GQX237" s="1"/>
      <c r="GQY237" s="1"/>
      <c r="GQZ237" s="1"/>
      <c r="GRA237" s="1"/>
      <c r="GRB237" s="1"/>
      <c r="GRC237" s="1"/>
      <c r="GRD237" s="1"/>
      <c r="GRE237" s="1"/>
      <c r="GRF237" s="1"/>
      <c r="GRG237" s="1"/>
      <c r="GRH237" s="1"/>
      <c r="GRI237" s="1"/>
      <c r="GRJ237" s="1"/>
      <c r="GRK237" s="1"/>
      <c r="GRL237" s="1"/>
      <c r="GRM237" s="1"/>
      <c r="GRN237" s="1"/>
      <c r="GRO237" s="1"/>
      <c r="GRP237" s="1"/>
      <c r="GRQ237" s="1"/>
      <c r="GRR237" s="1"/>
      <c r="GRS237" s="1"/>
      <c r="GRT237" s="1"/>
      <c r="GRU237" s="1"/>
      <c r="GRV237" s="1"/>
      <c r="GRW237" s="1"/>
      <c r="GRX237" s="1"/>
      <c r="GRY237" s="1"/>
      <c r="GRZ237" s="1"/>
      <c r="GSA237" s="1"/>
      <c r="GSB237" s="1"/>
      <c r="GSC237" s="1"/>
      <c r="GSD237" s="1"/>
      <c r="GSE237" s="1"/>
      <c r="GSF237" s="1"/>
      <c r="GSG237" s="1"/>
      <c r="GSH237" s="1"/>
      <c r="GSI237" s="1"/>
      <c r="GSJ237" s="1"/>
      <c r="GSK237" s="1"/>
      <c r="GSL237" s="1"/>
      <c r="GSM237" s="1"/>
      <c r="GSN237" s="1"/>
      <c r="GSO237" s="1"/>
      <c r="GSP237" s="1"/>
      <c r="GSQ237" s="1"/>
      <c r="GSR237" s="1"/>
      <c r="GSS237" s="1"/>
      <c r="GST237" s="1"/>
      <c r="GSU237" s="1"/>
      <c r="GSV237" s="1"/>
      <c r="GSW237" s="1"/>
      <c r="GSX237" s="1"/>
      <c r="GSY237" s="1"/>
      <c r="GSZ237" s="1"/>
      <c r="GTA237" s="1"/>
      <c r="GTB237" s="1"/>
      <c r="GTC237" s="1"/>
      <c r="GTD237" s="1"/>
      <c r="GTE237" s="1"/>
      <c r="GTF237" s="1"/>
      <c r="GTG237" s="1"/>
      <c r="GTH237" s="1"/>
      <c r="GTI237" s="1"/>
      <c r="GTJ237" s="1"/>
      <c r="GTK237" s="1"/>
      <c r="GTL237" s="1"/>
      <c r="GTM237" s="1"/>
      <c r="GTN237" s="1"/>
      <c r="GTO237" s="1"/>
      <c r="GTP237" s="1"/>
      <c r="GTQ237" s="1"/>
      <c r="GTR237" s="1"/>
      <c r="GTS237" s="1"/>
      <c r="GTT237" s="1"/>
      <c r="GTU237" s="1"/>
      <c r="GTV237" s="1"/>
      <c r="GTW237" s="1"/>
      <c r="GTX237" s="1"/>
      <c r="GTY237" s="1"/>
      <c r="GTZ237" s="1"/>
      <c r="GUA237" s="1"/>
      <c r="GUB237" s="1"/>
      <c r="GUC237" s="1"/>
      <c r="GUD237" s="1"/>
      <c r="GUE237" s="1"/>
      <c r="GUF237" s="1"/>
      <c r="GUG237" s="1"/>
      <c r="GUH237" s="1"/>
      <c r="GUI237" s="1"/>
      <c r="GUJ237" s="1"/>
      <c r="GUK237" s="1"/>
      <c r="GUL237" s="1"/>
      <c r="GUM237" s="1"/>
      <c r="GUN237" s="1"/>
      <c r="GUO237" s="1"/>
      <c r="GUP237" s="1"/>
      <c r="GUQ237" s="1"/>
      <c r="GUR237" s="1"/>
      <c r="GUS237" s="1"/>
      <c r="GUT237" s="1"/>
      <c r="GUU237" s="1"/>
      <c r="GUV237" s="1"/>
      <c r="GUW237" s="1"/>
      <c r="GUX237" s="1"/>
      <c r="GUY237" s="1"/>
      <c r="GUZ237" s="1"/>
      <c r="GVA237" s="1"/>
      <c r="GVB237" s="1"/>
      <c r="GVC237" s="1"/>
      <c r="GVD237" s="1"/>
      <c r="GVE237" s="1"/>
      <c r="GVF237" s="1"/>
      <c r="GVG237" s="1"/>
      <c r="GVH237" s="1"/>
      <c r="GVI237" s="1"/>
      <c r="GVJ237" s="1"/>
      <c r="GVK237" s="1"/>
      <c r="GVL237" s="1"/>
      <c r="GVM237" s="1"/>
      <c r="GVN237" s="1"/>
      <c r="GVO237" s="1"/>
      <c r="GVP237" s="1"/>
      <c r="GVQ237" s="1"/>
      <c r="GVR237" s="1"/>
      <c r="GVS237" s="1"/>
      <c r="GVT237" s="1"/>
      <c r="GVU237" s="1"/>
      <c r="GVV237" s="1"/>
      <c r="GVW237" s="1"/>
      <c r="GVX237" s="1"/>
      <c r="GVY237" s="1"/>
      <c r="GVZ237" s="1"/>
      <c r="GWA237" s="1"/>
      <c r="GWB237" s="1"/>
      <c r="GWC237" s="1"/>
      <c r="GWD237" s="1"/>
      <c r="GWE237" s="1"/>
      <c r="GWF237" s="1"/>
      <c r="GWG237" s="1"/>
      <c r="GWH237" s="1"/>
      <c r="GWI237" s="1"/>
      <c r="GWJ237" s="1"/>
      <c r="GWK237" s="1"/>
      <c r="GWL237" s="1"/>
      <c r="GWM237" s="1"/>
      <c r="GWN237" s="1"/>
      <c r="GWO237" s="1"/>
      <c r="GWP237" s="1"/>
      <c r="GWQ237" s="1"/>
      <c r="GWR237" s="1"/>
      <c r="GWS237" s="1"/>
      <c r="GWT237" s="1"/>
      <c r="GWU237" s="1"/>
      <c r="GWV237" s="1"/>
      <c r="GWW237" s="1"/>
      <c r="GWX237" s="1"/>
      <c r="GWY237" s="1"/>
      <c r="GWZ237" s="1"/>
      <c r="GXA237" s="1"/>
      <c r="GXB237" s="1"/>
      <c r="GXC237" s="1"/>
      <c r="GXD237" s="1"/>
      <c r="GXE237" s="1"/>
      <c r="GXF237" s="1"/>
      <c r="GXG237" s="1"/>
      <c r="GXH237" s="1"/>
      <c r="GXI237" s="1"/>
      <c r="GXJ237" s="1"/>
      <c r="GXK237" s="1"/>
      <c r="GXL237" s="1"/>
      <c r="GXM237" s="1"/>
      <c r="GXN237" s="1"/>
      <c r="GXO237" s="1"/>
      <c r="GXP237" s="1"/>
      <c r="GXQ237" s="1"/>
      <c r="GXR237" s="1"/>
      <c r="GXS237" s="1"/>
      <c r="GXT237" s="1"/>
      <c r="GXU237" s="1"/>
      <c r="GXV237" s="1"/>
      <c r="GXW237" s="1"/>
      <c r="GXX237" s="1"/>
      <c r="GXY237" s="1"/>
      <c r="GXZ237" s="1"/>
      <c r="GYA237" s="1"/>
      <c r="GYB237" s="1"/>
      <c r="GYC237" s="1"/>
      <c r="GYD237" s="1"/>
      <c r="GYE237" s="1"/>
      <c r="GYF237" s="1"/>
      <c r="GYG237" s="1"/>
      <c r="GYH237" s="1"/>
      <c r="GYI237" s="1"/>
      <c r="GYJ237" s="1"/>
      <c r="GYK237" s="1"/>
      <c r="GYL237" s="1"/>
      <c r="GYM237" s="1"/>
      <c r="GYN237" s="1"/>
      <c r="GYO237" s="1"/>
      <c r="GYP237" s="1"/>
      <c r="GYQ237" s="1"/>
      <c r="GYR237" s="1"/>
      <c r="GYS237" s="1"/>
      <c r="GYT237" s="1"/>
      <c r="GYU237" s="1"/>
      <c r="GYV237" s="1"/>
      <c r="GYW237" s="1"/>
      <c r="GYX237" s="1"/>
      <c r="GYY237" s="1"/>
      <c r="GYZ237" s="1"/>
      <c r="GZA237" s="1"/>
      <c r="GZB237" s="1"/>
      <c r="GZC237" s="1"/>
      <c r="GZD237" s="1"/>
      <c r="GZE237" s="1"/>
      <c r="GZF237" s="1"/>
      <c r="GZG237" s="1"/>
      <c r="GZH237" s="1"/>
      <c r="GZI237" s="1"/>
      <c r="GZJ237" s="1"/>
      <c r="GZK237" s="1"/>
      <c r="GZL237" s="1"/>
      <c r="GZM237" s="1"/>
      <c r="GZN237" s="1"/>
      <c r="GZO237" s="1"/>
      <c r="GZP237" s="1"/>
      <c r="GZQ237" s="1"/>
      <c r="GZR237" s="1"/>
      <c r="GZS237" s="1"/>
      <c r="GZT237" s="1"/>
      <c r="GZU237" s="1"/>
      <c r="GZV237" s="1"/>
      <c r="GZW237" s="1"/>
      <c r="GZX237" s="1"/>
      <c r="GZY237" s="1"/>
      <c r="GZZ237" s="1"/>
      <c r="HAA237" s="1"/>
      <c r="HAB237" s="1"/>
      <c r="HAC237" s="1"/>
      <c r="HAD237" s="1"/>
      <c r="HAE237" s="1"/>
      <c r="HAF237" s="1"/>
      <c r="HAG237" s="1"/>
      <c r="HAH237" s="1"/>
      <c r="HAI237" s="1"/>
      <c r="HAJ237" s="1"/>
      <c r="HAK237" s="1"/>
      <c r="HAL237" s="1"/>
      <c r="HAM237" s="1"/>
      <c r="HAN237" s="1"/>
      <c r="HAO237" s="1"/>
      <c r="HAP237" s="1"/>
      <c r="HAQ237" s="1"/>
      <c r="HAR237" s="1"/>
      <c r="HAS237" s="1"/>
      <c r="HAT237" s="1"/>
      <c r="HAU237" s="1"/>
      <c r="HAV237" s="1"/>
      <c r="HAW237" s="1"/>
      <c r="HAX237" s="1"/>
      <c r="HAY237" s="1"/>
      <c r="HAZ237" s="1"/>
      <c r="HBA237" s="1"/>
      <c r="HBB237" s="1"/>
      <c r="HBC237" s="1"/>
      <c r="HBD237" s="1"/>
      <c r="HBE237" s="1"/>
      <c r="HBF237" s="1"/>
      <c r="HBG237" s="1"/>
      <c r="HBH237" s="1"/>
      <c r="HBI237" s="1"/>
      <c r="HBJ237" s="1"/>
      <c r="HBK237" s="1"/>
      <c r="HBL237" s="1"/>
      <c r="HBM237" s="1"/>
      <c r="HBN237" s="1"/>
      <c r="HBO237" s="1"/>
      <c r="HBP237" s="1"/>
      <c r="HBQ237" s="1"/>
      <c r="HBR237" s="1"/>
      <c r="HBS237" s="1"/>
      <c r="HBT237" s="1"/>
      <c r="HBU237" s="1"/>
      <c r="HBV237" s="1"/>
      <c r="HBW237" s="1"/>
      <c r="HBX237" s="1"/>
      <c r="HBY237" s="1"/>
      <c r="HBZ237" s="1"/>
      <c r="HCA237" s="1"/>
      <c r="HCB237" s="1"/>
      <c r="HCC237" s="1"/>
      <c r="HCD237" s="1"/>
      <c r="HCE237" s="1"/>
      <c r="HCF237" s="1"/>
      <c r="HCG237" s="1"/>
      <c r="HCH237" s="1"/>
      <c r="HCI237" s="1"/>
      <c r="HCJ237" s="1"/>
      <c r="HCK237" s="1"/>
      <c r="HCL237" s="1"/>
      <c r="HCM237" s="1"/>
      <c r="HCN237" s="1"/>
      <c r="HCO237" s="1"/>
      <c r="HCP237" s="1"/>
      <c r="HCQ237" s="1"/>
      <c r="HCR237" s="1"/>
      <c r="HCS237" s="1"/>
      <c r="HCT237" s="1"/>
      <c r="HCU237" s="1"/>
      <c r="HCV237" s="1"/>
      <c r="HCW237" s="1"/>
      <c r="HCX237" s="1"/>
      <c r="HCY237" s="1"/>
      <c r="HCZ237" s="1"/>
      <c r="HDA237" s="1"/>
      <c r="HDB237" s="1"/>
      <c r="HDC237" s="1"/>
      <c r="HDD237" s="1"/>
      <c r="HDE237" s="1"/>
      <c r="HDF237" s="1"/>
      <c r="HDG237" s="1"/>
      <c r="HDH237" s="1"/>
      <c r="HDI237" s="1"/>
      <c r="HDJ237" s="1"/>
      <c r="HDK237" s="1"/>
      <c r="HDL237" s="1"/>
      <c r="HDM237" s="1"/>
      <c r="HDN237" s="1"/>
      <c r="HDO237" s="1"/>
      <c r="HDP237" s="1"/>
      <c r="HDQ237" s="1"/>
      <c r="HDR237" s="1"/>
      <c r="HDS237" s="1"/>
      <c r="HDT237" s="1"/>
      <c r="HDU237" s="1"/>
      <c r="HDV237" s="1"/>
      <c r="HDW237" s="1"/>
      <c r="HDX237" s="1"/>
      <c r="HDY237" s="1"/>
      <c r="HDZ237" s="1"/>
      <c r="HEA237" s="1"/>
      <c r="HEB237" s="1"/>
      <c r="HEC237" s="1"/>
      <c r="HED237" s="1"/>
      <c r="HEE237" s="1"/>
      <c r="HEF237" s="1"/>
      <c r="HEG237" s="1"/>
      <c r="HEH237" s="1"/>
      <c r="HEI237" s="1"/>
      <c r="HEJ237" s="1"/>
      <c r="HEK237" s="1"/>
      <c r="HEL237" s="1"/>
      <c r="HEM237" s="1"/>
      <c r="HEN237" s="1"/>
      <c r="HEO237" s="1"/>
      <c r="HEP237" s="1"/>
      <c r="HEQ237" s="1"/>
      <c r="HER237" s="1"/>
      <c r="HES237" s="1"/>
      <c r="HET237" s="1"/>
      <c r="HEU237" s="1"/>
      <c r="HEV237" s="1"/>
      <c r="HEW237" s="1"/>
      <c r="HEX237" s="1"/>
      <c r="HEY237" s="1"/>
      <c r="HEZ237" s="1"/>
      <c r="HFA237" s="1"/>
      <c r="HFB237" s="1"/>
      <c r="HFC237" s="1"/>
      <c r="HFD237" s="1"/>
      <c r="HFE237" s="1"/>
      <c r="HFF237" s="1"/>
      <c r="HFG237" s="1"/>
      <c r="HFH237" s="1"/>
      <c r="HFI237" s="1"/>
      <c r="HFJ237" s="1"/>
      <c r="HFK237" s="1"/>
      <c r="HFL237" s="1"/>
      <c r="HFM237" s="1"/>
      <c r="HFN237" s="1"/>
      <c r="HFO237" s="1"/>
      <c r="HFP237" s="1"/>
      <c r="HFQ237" s="1"/>
      <c r="HFR237" s="1"/>
      <c r="HFS237" s="1"/>
      <c r="HFT237" s="1"/>
      <c r="HFU237" s="1"/>
      <c r="HFV237" s="1"/>
      <c r="HFW237" s="1"/>
      <c r="HFX237" s="1"/>
      <c r="HFY237" s="1"/>
      <c r="HFZ237" s="1"/>
      <c r="HGA237" s="1"/>
      <c r="HGB237" s="1"/>
      <c r="HGC237" s="1"/>
      <c r="HGD237" s="1"/>
      <c r="HGE237" s="1"/>
      <c r="HGF237" s="1"/>
      <c r="HGG237" s="1"/>
      <c r="HGH237" s="1"/>
      <c r="HGI237" s="1"/>
      <c r="HGJ237" s="1"/>
      <c r="HGK237" s="1"/>
      <c r="HGL237" s="1"/>
      <c r="HGM237" s="1"/>
      <c r="HGN237" s="1"/>
      <c r="HGO237" s="1"/>
      <c r="HGP237" s="1"/>
      <c r="HGQ237" s="1"/>
      <c r="HGR237" s="1"/>
      <c r="HGS237" s="1"/>
      <c r="HGT237" s="1"/>
      <c r="HGU237" s="1"/>
      <c r="HGV237" s="1"/>
      <c r="HGW237" s="1"/>
      <c r="HGX237" s="1"/>
      <c r="HGY237" s="1"/>
      <c r="HGZ237" s="1"/>
      <c r="HHA237" s="1"/>
      <c r="HHB237" s="1"/>
      <c r="HHC237" s="1"/>
      <c r="HHD237" s="1"/>
      <c r="HHE237" s="1"/>
      <c r="HHF237" s="1"/>
      <c r="HHG237" s="1"/>
      <c r="HHH237" s="1"/>
      <c r="HHI237" s="1"/>
      <c r="HHJ237" s="1"/>
      <c r="HHK237" s="1"/>
      <c r="HHL237" s="1"/>
      <c r="HHM237" s="1"/>
      <c r="HHN237" s="1"/>
      <c r="HHO237" s="1"/>
      <c r="HHP237" s="1"/>
      <c r="HHQ237" s="1"/>
      <c r="HHR237" s="1"/>
      <c r="HHS237" s="1"/>
      <c r="HHT237" s="1"/>
      <c r="HHU237" s="1"/>
      <c r="HHV237" s="1"/>
      <c r="HHW237" s="1"/>
      <c r="HHX237" s="1"/>
      <c r="HHY237" s="1"/>
      <c r="HHZ237" s="1"/>
      <c r="HIA237" s="1"/>
      <c r="HIB237" s="1"/>
      <c r="HIC237" s="1"/>
      <c r="HID237" s="1"/>
      <c r="HIE237" s="1"/>
      <c r="HIF237" s="1"/>
      <c r="HIG237" s="1"/>
      <c r="HIH237" s="1"/>
      <c r="HII237" s="1"/>
      <c r="HIJ237" s="1"/>
      <c r="HIK237" s="1"/>
      <c r="HIL237" s="1"/>
      <c r="HIM237" s="1"/>
      <c r="HIN237" s="1"/>
      <c r="HIO237" s="1"/>
      <c r="HIP237" s="1"/>
      <c r="HIQ237" s="1"/>
      <c r="HIR237" s="1"/>
      <c r="HIS237" s="1"/>
      <c r="HIT237" s="1"/>
      <c r="HIU237" s="1"/>
      <c r="HIV237" s="1"/>
      <c r="HIW237" s="1"/>
      <c r="HIX237" s="1"/>
      <c r="HIY237" s="1"/>
      <c r="HIZ237" s="1"/>
      <c r="HJA237" s="1"/>
      <c r="HJB237" s="1"/>
      <c r="HJC237" s="1"/>
      <c r="HJD237" s="1"/>
      <c r="HJE237" s="1"/>
      <c r="HJF237" s="1"/>
      <c r="HJG237" s="1"/>
      <c r="HJH237" s="1"/>
      <c r="HJI237" s="1"/>
      <c r="HJJ237" s="1"/>
      <c r="HJK237" s="1"/>
      <c r="HJL237" s="1"/>
      <c r="HJM237" s="1"/>
      <c r="HJN237" s="1"/>
      <c r="HJO237" s="1"/>
      <c r="HJP237" s="1"/>
      <c r="HJQ237" s="1"/>
      <c r="HJR237" s="1"/>
      <c r="HJS237" s="1"/>
      <c r="HJT237" s="1"/>
      <c r="HJU237" s="1"/>
      <c r="HJV237" s="1"/>
      <c r="HJW237" s="1"/>
      <c r="HJX237" s="1"/>
      <c r="HJY237" s="1"/>
      <c r="HJZ237" s="1"/>
      <c r="HKA237" s="1"/>
      <c r="HKB237" s="1"/>
      <c r="HKC237" s="1"/>
      <c r="HKD237" s="1"/>
      <c r="HKE237" s="1"/>
      <c r="HKF237" s="1"/>
      <c r="HKG237" s="1"/>
      <c r="HKH237" s="1"/>
      <c r="HKI237" s="1"/>
      <c r="HKJ237" s="1"/>
      <c r="HKK237" s="1"/>
      <c r="HKL237" s="1"/>
      <c r="HKM237" s="1"/>
      <c r="HKN237" s="1"/>
      <c r="HKO237" s="1"/>
      <c r="HKP237" s="1"/>
      <c r="HKQ237" s="1"/>
      <c r="HKR237" s="1"/>
      <c r="HKS237" s="1"/>
      <c r="HKT237" s="1"/>
      <c r="HKU237" s="1"/>
      <c r="HKV237" s="1"/>
      <c r="HKW237" s="1"/>
      <c r="HKX237" s="1"/>
      <c r="HKY237" s="1"/>
      <c r="HKZ237" s="1"/>
      <c r="HLA237" s="1"/>
      <c r="HLB237" s="1"/>
      <c r="HLC237" s="1"/>
      <c r="HLD237" s="1"/>
      <c r="HLE237" s="1"/>
      <c r="HLF237" s="1"/>
      <c r="HLG237" s="1"/>
      <c r="HLH237" s="1"/>
      <c r="HLI237" s="1"/>
      <c r="HLJ237" s="1"/>
      <c r="HLK237" s="1"/>
      <c r="HLL237" s="1"/>
      <c r="HLM237" s="1"/>
      <c r="HLN237" s="1"/>
      <c r="HLO237" s="1"/>
      <c r="HLP237" s="1"/>
      <c r="HLQ237" s="1"/>
      <c r="HLR237" s="1"/>
      <c r="HLS237" s="1"/>
      <c r="HLT237" s="1"/>
      <c r="HLU237" s="1"/>
      <c r="HLV237" s="1"/>
      <c r="HLW237" s="1"/>
      <c r="HLX237" s="1"/>
      <c r="HLY237" s="1"/>
      <c r="HLZ237" s="1"/>
      <c r="HMA237" s="1"/>
      <c r="HMB237" s="1"/>
      <c r="HMC237" s="1"/>
      <c r="HMD237" s="1"/>
      <c r="HME237" s="1"/>
      <c r="HMF237" s="1"/>
      <c r="HMG237" s="1"/>
      <c r="HMH237" s="1"/>
      <c r="HMI237" s="1"/>
      <c r="HMJ237" s="1"/>
      <c r="HMK237" s="1"/>
      <c r="HML237" s="1"/>
      <c r="HMM237" s="1"/>
      <c r="HMN237" s="1"/>
      <c r="HMO237" s="1"/>
      <c r="HMP237" s="1"/>
      <c r="HMQ237" s="1"/>
      <c r="HMR237" s="1"/>
      <c r="HMS237" s="1"/>
      <c r="HMT237" s="1"/>
      <c r="HMU237" s="1"/>
      <c r="HMV237" s="1"/>
      <c r="HMW237" s="1"/>
      <c r="HMX237" s="1"/>
      <c r="HMY237" s="1"/>
      <c r="HMZ237" s="1"/>
      <c r="HNA237" s="1"/>
      <c r="HNB237" s="1"/>
      <c r="HNC237" s="1"/>
      <c r="HND237" s="1"/>
      <c r="HNE237" s="1"/>
      <c r="HNF237" s="1"/>
      <c r="HNG237" s="1"/>
      <c r="HNH237" s="1"/>
      <c r="HNI237" s="1"/>
      <c r="HNJ237" s="1"/>
      <c r="HNK237" s="1"/>
      <c r="HNL237" s="1"/>
      <c r="HNM237" s="1"/>
      <c r="HNN237" s="1"/>
      <c r="HNO237" s="1"/>
      <c r="HNP237" s="1"/>
      <c r="HNQ237" s="1"/>
      <c r="HNR237" s="1"/>
      <c r="HNS237" s="1"/>
      <c r="HNT237" s="1"/>
      <c r="HNU237" s="1"/>
      <c r="HNV237" s="1"/>
      <c r="HNW237" s="1"/>
      <c r="HNX237" s="1"/>
      <c r="HNY237" s="1"/>
      <c r="HNZ237" s="1"/>
      <c r="HOA237" s="1"/>
      <c r="HOB237" s="1"/>
      <c r="HOC237" s="1"/>
      <c r="HOD237" s="1"/>
      <c r="HOE237" s="1"/>
      <c r="HOF237" s="1"/>
      <c r="HOG237" s="1"/>
      <c r="HOH237" s="1"/>
      <c r="HOI237" s="1"/>
      <c r="HOJ237" s="1"/>
      <c r="HOK237" s="1"/>
      <c r="HOL237" s="1"/>
      <c r="HOM237" s="1"/>
      <c r="HON237" s="1"/>
      <c r="HOO237" s="1"/>
      <c r="HOP237" s="1"/>
      <c r="HOQ237" s="1"/>
      <c r="HOR237" s="1"/>
      <c r="HOS237" s="1"/>
      <c r="HOT237" s="1"/>
      <c r="HOU237" s="1"/>
      <c r="HOV237" s="1"/>
      <c r="HOW237" s="1"/>
      <c r="HOX237" s="1"/>
      <c r="HOY237" s="1"/>
      <c r="HOZ237" s="1"/>
      <c r="HPA237" s="1"/>
      <c r="HPB237" s="1"/>
      <c r="HPC237" s="1"/>
      <c r="HPD237" s="1"/>
      <c r="HPE237" s="1"/>
      <c r="HPF237" s="1"/>
      <c r="HPG237" s="1"/>
      <c r="HPH237" s="1"/>
      <c r="HPI237" s="1"/>
      <c r="HPJ237" s="1"/>
      <c r="HPK237" s="1"/>
      <c r="HPL237" s="1"/>
      <c r="HPM237" s="1"/>
      <c r="HPN237" s="1"/>
      <c r="HPO237" s="1"/>
      <c r="HPP237" s="1"/>
      <c r="HPQ237" s="1"/>
      <c r="HPR237" s="1"/>
      <c r="HPS237" s="1"/>
      <c r="HPT237" s="1"/>
      <c r="HPU237" s="1"/>
      <c r="HPV237" s="1"/>
      <c r="HPW237" s="1"/>
      <c r="HPX237" s="1"/>
      <c r="HPY237" s="1"/>
      <c r="HPZ237" s="1"/>
      <c r="HQA237" s="1"/>
      <c r="HQB237" s="1"/>
      <c r="HQC237" s="1"/>
      <c r="HQD237" s="1"/>
      <c r="HQE237" s="1"/>
      <c r="HQF237" s="1"/>
      <c r="HQG237" s="1"/>
      <c r="HQH237" s="1"/>
      <c r="HQI237" s="1"/>
      <c r="HQJ237" s="1"/>
      <c r="HQK237" s="1"/>
      <c r="HQL237" s="1"/>
      <c r="HQM237" s="1"/>
      <c r="HQN237" s="1"/>
      <c r="HQO237" s="1"/>
      <c r="HQP237" s="1"/>
      <c r="HQQ237" s="1"/>
      <c r="HQR237" s="1"/>
      <c r="HQS237" s="1"/>
      <c r="HQT237" s="1"/>
      <c r="HQU237" s="1"/>
      <c r="HQV237" s="1"/>
      <c r="HQW237" s="1"/>
      <c r="HQX237" s="1"/>
      <c r="HQY237" s="1"/>
      <c r="HQZ237" s="1"/>
      <c r="HRA237" s="1"/>
      <c r="HRB237" s="1"/>
      <c r="HRC237" s="1"/>
      <c r="HRD237" s="1"/>
      <c r="HRE237" s="1"/>
      <c r="HRF237" s="1"/>
      <c r="HRG237" s="1"/>
      <c r="HRH237" s="1"/>
      <c r="HRI237" s="1"/>
      <c r="HRJ237" s="1"/>
      <c r="HRK237" s="1"/>
      <c r="HRL237" s="1"/>
      <c r="HRM237" s="1"/>
      <c r="HRN237" s="1"/>
      <c r="HRO237" s="1"/>
      <c r="HRP237" s="1"/>
      <c r="HRQ237" s="1"/>
      <c r="HRR237" s="1"/>
      <c r="HRS237" s="1"/>
      <c r="HRT237" s="1"/>
      <c r="HRU237" s="1"/>
      <c r="HRV237" s="1"/>
      <c r="HRW237" s="1"/>
      <c r="HRX237" s="1"/>
      <c r="HRY237" s="1"/>
      <c r="HRZ237" s="1"/>
      <c r="HSA237" s="1"/>
      <c r="HSB237" s="1"/>
      <c r="HSC237" s="1"/>
      <c r="HSD237" s="1"/>
      <c r="HSE237" s="1"/>
      <c r="HSF237" s="1"/>
      <c r="HSG237" s="1"/>
      <c r="HSH237" s="1"/>
      <c r="HSI237" s="1"/>
      <c r="HSJ237" s="1"/>
      <c r="HSK237" s="1"/>
      <c r="HSL237" s="1"/>
      <c r="HSM237" s="1"/>
      <c r="HSN237" s="1"/>
      <c r="HSO237" s="1"/>
      <c r="HSP237" s="1"/>
      <c r="HSQ237" s="1"/>
      <c r="HSR237" s="1"/>
      <c r="HSS237" s="1"/>
      <c r="HST237" s="1"/>
      <c r="HSU237" s="1"/>
      <c r="HSV237" s="1"/>
      <c r="HSW237" s="1"/>
      <c r="HSX237" s="1"/>
      <c r="HSY237" s="1"/>
      <c r="HSZ237" s="1"/>
      <c r="HTA237" s="1"/>
      <c r="HTB237" s="1"/>
      <c r="HTC237" s="1"/>
      <c r="HTD237" s="1"/>
      <c r="HTE237" s="1"/>
      <c r="HTF237" s="1"/>
      <c r="HTG237" s="1"/>
      <c r="HTH237" s="1"/>
      <c r="HTI237" s="1"/>
      <c r="HTJ237" s="1"/>
      <c r="HTK237" s="1"/>
      <c r="HTL237" s="1"/>
      <c r="HTM237" s="1"/>
      <c r="HTN237" s="1"/>
      <c r="HTO237" s="1"/>
      <c r="HTP237" s="1"/>
      <c r="HTQ237" s="1"/>
      <c r="HTR237" s="1"/>
      <c r="HTS237" s="1"/>
      <c r="HTT237" s="1"/>
      <c r="HTU237" s="1"/>
      <c r="HTV237" s="1"/>
      <c r="HTW237" s="1"/>
      <c r="HTX237" s="1"/>
      <c r="HTY237" s="1"/>
      <c r="HTZ237" s="1"/>
      <c r="HUA237" s="1"/>
      <c r="HUB237" s="1"/>
      <c r="HUC237" s="1"/>
      <c r="HUD237" s="1"/>
      <c r="HUE237" s="1"/>
      <c r="HUF237" s="1"/>
      <c r="HUG237" s="1"/>
      <c r="HUH237" s="1"/>
      <c r="HUI237" s="1"/>
      <c r="HUJ237" s="1"/>
      <c r="HUK237" s="1"/>
      <c r="HUL237" s="1"/>
      <c r="HUM237" s="1"/>
      <c r="HUN237" s="1"/>
      <c r="HUO237" s="1"/>
      <c r="HUP237" s="1"/>
      <c r="HUQ237" s="1"/>
      <c r="HUR237" s="1"/>
      <c r="HUS237" s="1"/>
      <c r="HUT237" s="1"/>
      <c r="HUU237" s="1"/>
      <c r="HUV237" s="1"/>
      <c r="HUW237" s="1"/>
      <c r="HUX237" s="1"/>
      <c r="HUY237" s="1"/>
      <c r="HUZ237" s="1"/>
      <c r="HVA237" s="1"/>
      <c r="HVB237" s="1"/>
      <c r="HVC237" s="1"/>
      <c r="HVD237" s="1"/>
      <c r="HVE237" s="1"/>
      <c r="HVF237" s="1"/>
      <c r="HVG237" s="1"/>
      <c r="HVH237" s="1"/>
      <c r="HVI237" s="1"/>
      <c r="HVJ237" s="1"/>
      <c r="HVK237" s="1"/>
      <c r="HVL237" s="1"/>
      <c r="HVM237" s="1"/>
      <c r="HVN237" s="1"/>
      <c r="HVO237" s="1"/>
      <c r="HVP237" s="1"/>
      <c r="HVQ237" s="1"/>
      <c r="HVR237" s="1"/>
      <c r="HVS237" s="1"/>
      <c r="HVT237" s="1"/>
      <c r="HVU237" s="1"/>
      <c r="HVV237" s="1"/>
      <c r="HVW237" s="1"/>
      <c r="HVX237" s="1"/>
      <c r="HVY237" s="1"/>
      <c r="HVZ237" s="1"/>
      <c r="HWA237" s="1"/>
      <c r="HWB237" s="1"/>
      <c r="HWC237" s="1"/>
      <c r="HWD237" s="1"/>
      <c r="HWE237" s="1"/>
      <c r="HWF237" s="1"/>
      <c r="HWG237" s="1"/>
      <c r="HWH237" s="1"/>
      <c r="HWI237" s="1"/>
      <c r="HWJ237" s="1"/>
      <c r="HWK237" s="1"/>
      <c r="HWL237" s="1"/>
      <c r="HWM237" s="1"/>
      <c r="HWN237" s="1"/>
      <c r="HWO237" s="1"/>
      <c r="HWP237" s="1"/>
      <c r="HWQ237" s="1"/>
      <c r="HWR237" s="1"/>
      <c r="HWS237" s="1"/>
      <c r="HWT237" s="1"/>
      <c r="HWU237" s="1"/>
      <c r="HWV237" s="1"/>
      <c r="HWW237" s="1"/>
      <c r="HWX237" s="1"/>
      <c r="HWY237" s="1"/>
      <c r="HWZ237" s="1"/>
      <c r="HXA237" s="1"/>
      <c r="HXB237" s="1"/>
      <c r="HXC237" s="1"/>
      <c r="HXD237" s="1"/>
      <c r="HXE237" s="1"/>
      <c r="HXF237" s="1"/>
      <c r="HXG237" s="1"/>
      <c r="HXH237" s="1"/>
      <c r="HXI237" s="1"/>
      <c r="HXJ237" s="1"/>
      <c r="HXK237" s="1"/>
      <c r="HXL237" s="1"/>
      <c r="HXM237" s="1"/>
      <c r="HXN237" s="1"/>
      <c r="HXO237" s="1"/>
      <c r="HXP237" s="1"/>
      <c r="HXQ237" s="1"/>
      <c r="HXR237" s="1"/>
      <c r="HXS237" s="1"/>
      <c r="HXT237" s="1"/>
      <c r="HXU237" s="1"/>
      <c r="HXV237" s="1"/>
      <c r="HXW237" s="1"/>
      <c r="HXX237" s="1"/>
      <c r="HXY237" s="1"/>
      <c r="HXZ237" s="1"/>
      <c r="HYA237" s="1"/>
      <c r="HYB237" s="1"/>
      <c r="HYC237" s="1"/>
      <c r="HYD237" s="1"/>
      <c r="HYE237" s="1"/>
      <c r="HYF237" s="1"/>
      <c r="HYG237" s="1"/>
      <c r="HYH237" s="1"/>
      <c r="HYI237" s="1"/>
      <c r="HYJ237" s="1"/>
      <c r="HYK237" s="1"/>
      <c r="HYL237" s="1"/>
      <c r="HYM237" s="1"/>
      <c r="HYN237" s="1"/>
      <c r="HYO237" s="1"/>
      <c r="HYP237" s="1"/>
      <c r="HYQ237" s="1"/>
      <c r="HYR237" s="1"/>
      <c r="HYS237" s="1"/>
      <c r="HYT237" s="1"/>
      <c r="HYU237" s="1"/>
      <c r="HYV237" s="1"/>
      <c r="HYW237" s="1"/>
      <c r="HYX237" s="1"/>
      <c r="HYY237" s="1"/>
      <c r="HYZ237" s="1"/>
      <c r="HZA237" s="1"/>
      <c r="HZB237" s="1"/>
      <c r="HZC237" s="1"/>
      <c r="HZD237" s="1"/>
      <c r="HZE237" s="1"/>
      <c r="HZF237" s="1"/>
      <c r="HZG237" s="1"/>
      <c r="HZH237" s="1"/>
      <c r="HZI237" s="1"/>
      <c r="HZJ237" s="1"/>
      <c r="HZK237" s="1"/>
      <c r="HZL237" s="1"/>
      <c r="HZM237" s="1"/>
      <c r="HZN237" s="1"/>
      <c r="HZO237" s="1"/>
      <c r="HZP237" s="1"/>
      <c r="HZQ237" s="1"/>
      <c r="HZR237" s="1"/>
      <c r="HZS237" s="1"/>
      <c r="HZT237" s="1"/>
      <c r="HZU237" s="1"/>
      <c r="HZV237" s="1"/>
      <c r="HZW237" s="1"/>
      <c r="HZX237" s="1"/>
      <c r="HZY237" s="1"/>
      <c r="HZZ237" s="1"/>
      <c r="IAA237" s="1"/>
      <c r="IAB237" s="1"/>
      <c r="IAC237" s="1"/>
      <c r="IAD237" s="1"/>
      <c r="IAE237" s="1"/>
      <c r="IAF237" s="1"/>
      <c r="IAG237" s="1"/>
      <c r="IAH237" s="1"/>
      <c r="IAI237" s="1"/>
      <c r="IAJ237" s="1"/>
      <c r="IAK237" s="1"/>
      <c r="IAL237" s="1"/>
      <c r="IAM237" s="1"/>
      <c r="IAN237" s="1"/>
      <c r="IAO237" s="1"/>
      <c r="IAP237" s="1"/>
      <c r="IAQ237" s="1"/>
      <c r="IAR237" s="1"/>
      <c r="IAS237" s="1"/>
      <c r="IAT237" s="1"/>
      <c r="IAU237" s="1"/>
      <c r="IAV237" s="1"/>
      <c r="IAW237" s="1"/>
      <c r="IAX237" s="1"/>
      <c r="IAY237" s="1"/>
      <c r="IAZ237" s="1"/>
      <c r="IBA237" s="1"/>
      <c r="IBB237" s="1"/>
      <c r="IBC237" s="1"/>
      <c r="IBD237" s="1"/>
      <c r="IBE237" s="1"/>
      <c r="IBF237" s="1"/>
      <c r="IBG237" s="1"/>
      <c r="IBH237" s="1"/>
      <c r="IBI237" s="1"/>
      <c r="IBJ237" s="1"/>
      <c r="IBK237" s="1"/>
      <c r="IBL237" s="1"/>
      <c r="IBM237" s="1"/>
      <c r="IBN237" s="1"/>
      <c r="IBO237" s="1"/>
      <c r="IBP237" s="1"/>
      <c r="IBQ237" s="1"/>
      <c r="IBR237" s="1"/>
      <c r="IBS237" s="1"/>
      <c r="IBT237" s="1"/>
      <c r="IBU237" s="1"/>
      <c r="IBV237" s="1"/>
      <c r="IBW237" s="1"/>
      <c r="IBX237" s="1"/>
      <c r="IBY237" s="1"/>
      <c r="IBZ237" s="1"/>
      <c r="ICA237" s="1"/>
      <c r="ICB237" s="1"/>
      <c r="ICC237" s="1"/>
      <c r="ICD237" s="1"/>
      <c r="ICE237" s="1"/>
      <c r="ICF237" s="1"/>
      <c r="ICG237" s="1"/>
      <c r="ICH237" s="1"/>
      <c r="ICI237" s="1"/>
      <c r="ICJ237" s="1"/>
      <c r="ICK237" s="1"/>
      <c r="ICL237" s="1"/>
      <c r="ICM237" s="1"/>
      <c r="ICN237" s="1"/>
      <c r="ICO237" s="1"/>
      <c r="ICP237" s="1"/>
      <c r="ICQ237" s="1"/>
      <c r="ICR237" s="1"/>
      <c r="ICS237" s="1"/>
      <c r="ICT237" s="1"/>
      <c r="ICU237" s="1"/>
      <c r="ICV237" s="1"/>
      <c r="ICW237" s="1"/>
      <c r="ICX237" s="1"/>
      <c r="ICY237" s="1"/>
      <c r="ICZ237" s="1"/>
      <c r="IDA237" s="1"/>
      <c r="IDB237" s="1"/>
      <c r="IDC237" s="1"/>
      <c r="IDD237" s="1"/>
      <c r="IDE237" s="1"/>
      <c r="IDF237" s="1"/>
      <c r="IDG237" s="1"/>
      <c r="IDH237" s="1"/>
      <c r="IDI237" s="1"/>
      <c r="IDJ237" s="1"/>
      <c r="IDK237" s="1"/>
      <c r="IDL237" s="1"/>
      <c r="IDM237" s="1"/>
      <c r="IDN237" s="1"/>
      <c r="IDO237" s="1"/>
      <c r="IDP237" s="1"/>
      <c r="IDQ237" s="1"/>
      <c r="IDR237" s="1"/>
      <c r="IDS237" s="1"/>
      <c r="IDT237" s="1"/>
      <c r="IDU237" s="1"/>
      <c r="IDV237" s="1"/>
      <c r="IDW237" s="1"/>
      <c r="IDX237" s="1"/>
      <c r="IDY237" s="1"/>
      <c r="IDZ237" s="1"/>
      <c r="IEA237" s="1"/>
      <c r="IEB237" s="1"/>
      <c r="IEC237" s="1"/>
      <c r="IED237" s="1"/>
      <c r="IEE237" s="1"/>
      <c r="IEF237" s="1"/>
      <c r="IEG237" s="1"/>
      <c r="IEH237" s="1"/>
      <c r="IEI237" s="1"/>
      <c r="IEJ237" s="1"/>
      <c r="IEK237" s="1"/>
      <c r="IEL237" s="1"/>
      <c r="IEM237" s="1"/>
      <c r="IEN237" s="1"/>
      <c r="IEO237" s="1"/>
      <c r="IEP237" s="1"/>
      <c r="IEQ237" s="1"/>
      <c r="IER237" s="1"/>
      <c r="IES237" s="1"/>
      <c r="IET237" s="1"/>
      <c r="IEU237" s="1"/>
      <c r="IEV237" s="1"/>
      <c r="IEW237" s="1"/>
      <c r="IEX237" s="1"/>
      <c r="IEY237" s="1"/>
      <c r="IEZ237" s="1"/>
      <c r="IFA237" s="1"/>
      <c r="IFB237" s="1"/>
      <c r="IFC237" s="1"/>
      <c r="IFD237" s="1"/>
      <c r="IFE237" s="1"/>
      <c r="IFF237" s="1"/>
      <c r="IFG237" s="1"/>
      <c r="IFH237" s="1"/>
      <c r="IFI237" s="1"/>
      <c r="IFJ237" s="1"/>
      <c r="IFK237" s="1"/>
      <c r="IFL237" s="1"/>
      <c r="IFM237" s="1"/>
      <c r="IFN237" s="1"/>
      <c r="IFO237" s="1"/>
      <c r="IFP237" s="1"/>
      <c r="IFQ237" s="1"/>
      <c r="IFR237" s="1"/>
      <c r="IFS237" s="1"/>
      <c r="IFT237" s="1"/>
      <c r="IFU237" s="1"/>
      <c r="IFV237" s="1"/>
      <c r="IFW237" s="1"/>
      <c r="IFX237" s="1"/>
      <c r="IFY237" s="1"/>
      <c r="IFZ237" s="1"/>
      <c r="IGA237" s="1"/>
      <c r="IGB237" s="1"/>
      <c r="IGC237" s="1"/>
      <c r="IGD237" s="1"/>
      <c r="IGE237" s="1"/>
      <c r="IGF237" s="1"/>
      <c r="IGG237" s="1"/>
      <c r="IGH237" s="1"/>
      <c r="IGI237" s="1"/>
      <c r="IGJ237" s="1"/>
      <c r="IGK237" s="1"/>
      <c r="IGL237" s="1"/>
      <c r="IGM237" s="1"/>
      <c r="IGN237" s="1"/>
      <c r="IGO237" s="1"/>
      <c r="IGP237" s="1"/>
      <c r="IGQ237" s="1"/>
      <c r="IGR237" s="1"/>
      <c r="IGS237" s="1"/>
      <c r="IGT237" s="1"/>
      <c r="IGU237" s="1"/>
      <c r="IGV237" s="1"/>
      <c r="IGW237" s="1"/>
      <c r="IGX237" s="1"/>
      <c r="IGY237" s="1"/>
      <c r="IGZ237" s="1"/>
      <c r="IHA237" s="1"/>
      <c r="IHB237" s="1"/>
      <c r="IHC237" s="1"/>
      <c r="IHD237" s="1"/>
      <c r="IHE237" s="1"/>
      <c r="IHF237" s="1"/>
      <c r="IHG237" s="1"/>
      <c r="IHH237" s="1"/>
      <c r="IHI237" s="1"/>
      <c r="IHJ237" s="1"/>
      <c r="IHK237" s="1"/>
      <c r="IHL237" s="1"/>
      <c r="IHM237" s="1"/>
      <c r="IHN237" s="1"/>
      <c r="IHO237" s="1"/>
      <c r="IHP237" s="1"/>
      <c r="IHQ237" s="1"/>
      <c r="IHR237" s="1"/>
      <c r="IHS237" s="1"/>
      <c r="IHT237" s="1"/>
      <c r="IHU237" s="1"/>
      <c r="IHV237" s="1"/>
      <c r="IHW237" s="1"/>
      <c r="IHX237" s="1"/>
      <c r="IHY237" s="1"/>
      <c r="IHZ237" s="1"/>
      <c r="IIA237" s="1"/>
      <c r="IIB237" s="1"/>
      <c r="IIC237" s="1"/>
      <c r="IID237" s="1"/>
      <c r="IIE237" s="1"/>
      <c r="IIF237" s="1"/>
      <c r="IIG237" s="1"/>
      <c r="IIH237" s="1"/>
      <c r="III237" s="1"/>
      <c r="IIJ237" s="1"/>
      <c r="IIK237" s="1"/>
      <c r="IIL237" s="1"/>
      <c r="IIM237" s="1"/>
      <c r="IIN237" s="1"/>
      <c r="IIO237" s="1"/>
      <c r="IIP237" s="1"/>
      <c r="IIQ237" s="1"/>
      <c r="IIR237" s="1"/>
      <c r="IIS237" s="1"/>
      <c r="IIT237" s="1"/>
      <c r="IIU237" s="1"/>
      <c r="IIV237" s="1"/>
      <c r="IIW237" s="1"/>
      <c r="IIX237" s="1"/>
      <c r="IIY237" s="1"/>
      <c r="IIZ237" s="1"/>
      <c r="IJA237" s="1"/>
      <c r="IJB237" s="1"/>
      <c r="IJC237" s="1"/>
      <c r="IJD237" s="1"/>
      <c r="IJE237" s="1"/>
      <c r="IJF237" s="1"/>
      <c r="IJG237" s="1"/>
      <c r="IJH237" s="1"/>
      <c r="IJI237" s="1"/>
      <c r="IJJ237" s="1"/>
      <c r="IJK237" s="1"/>
      <c r="IJL237" s="1"/>
      <c r="IJM237" s="1"/>
      <c r="IJN237" s="1"/>
      <c r="IJO237" s="1"/>
      <c r="IJP237" s="1"/>
      <c r="IJQ237" s="1"/>
      <c r="IJR237" s="1"/>
      <c r="IJS237" s="1"/>
      <c r="IJT237" s="1"/>
      <c r="IJU237" s="1"/>
      <c r="IJV237" s="1"/>
      <c r="IJW237" s="1"/>
      <c r="IJX237" s="1"/>
      <c r="IJY237" s="1"/>
      <c r="IJZ237" s="1"/>
      <c r="IKA237" s="1"/>
      <c r="IKB237" s="1"/>
      <c r="IKC237" s="1"/>
      <c r="IKD237" s="1"/>
      <c r="IKE237" s="1"/>
      <c r="IKF237" s="1"/>
      <c r="IKG237" s="1"/>
      <c r="IKH237" s="1"/>
      <c r="IKI237" s="1"/>
      <c r="IKJ237" s="1"/>
      <c r="IKK237" s="1"/>
      <c r="IKL237" s="1"/>
      <c r="IKM237" s="1"/>
      <c r="IKN237" s="1"/>
      <c r="IKO237" s="1"/>
      <c r="IKP237" s="1"/>
      <c r="IKQ237" s="1"/>
      <c r="IKR237" s="1"/>
      <c r="IKS237" s="1"/>
      <c r="IKT237" s="1"/>
      <c r="IKU237" s="1"/>
      <c r="IKV237" s="1"/>
      <c r="IKW237" s="1"/>
      <c r="IKX237" s="1"/>
      <c r="IKY237" s="1"/>
      <c r="IKZ237" s="1"/>
      <c r="ILA237" s="1"/>
      <c r="ILB237" s="1"/>
      <c r="ILC237" s="1"/>
      <c r="ILD237" s="1"/>
      <c r="ILE237" s="1"/>
      <c r="ILF237" s="1"/>
      <c r="ILG237" s="1"/>
      <c r="ILH237" s="1"/>
      <c r="ILI237" s="1"/>
      <c r="ILJ237" s="1"/>
      <c r="ILK237" s="1"/>
      <c r="ILL237" s="1"/>
      <c r="ILM237" s="1"/>
      <c r="ILN237" s="1"/>
      <c r="ILO237" s="1"/>
      <c r="ILP237" s="1"/>
      <c r="ILQ237" s="1"/>
      <c r="ILR237" s="1"/>
      <c r="ILS237" s="1"/>
      <c r="ILT237" s="1"/>
      <c r="ILU237" s="1"/>
      <c r="ILV237" s="1"/>
      <c r="ILW237" s="1"/>
      <c r="ILX237" s="1"/>
      <c r="ILY237" s="1"/>
      <c r="ILZ237" s="1"/>
      <c r="IMA237" s="1"/>
      <c r="IMB237" s="1"/>
      <c r="IMC237" s="1"/>
      <c r="IMD237" s="1"/>
      <c r="IME237" s="1"/>
      <c r="IMF237" s="1"/>
      <c r="IMG237" s="1"/>
      <c r="IMH237" s="1"/>
      <c r="IMI237" s="1"/>
      <c r="IMJ237" s="1"/>
      <c r="IMK237" s="1"/>
      <c r="IML237" s="1"/>
      <c r="IMM237" s="1"/>
      <c r="IMN237" s="1"/>
      <c r="IMO237" s="1"/>
      <c r="IMP237" s="1"/>
      <c r="IMQ237" s="1"/>
      <c r="IMR237" s="1"/>
      <c r="IMS237" s="1"/>
      <c r="IMT237" s="1"/>
      <c r="IMU237" s="1"/>
      <c r="IMV237" s="1"/>
      <c r="IMW237" s="1"/>
      <c r="IMX237" s="1"/>
      <c r="IMY237" s="1"/>
      <c r="IMZ237" s="1"/>
      <c r="INA237" s="1"/>
      <c r="INB237" s="1"/>
      <c r="INC237" s="1"/>
      <c r="IND237" s="1"/>
      <c r="INE237" s="1"/>
      <c r="INF237" s="1"/>
      <c r="ING237" s="1"/>
      <c r="INH237" s="1"/>
      <c r="INI237" s="1"/>
      <c r="INJ237" s="1"/>
      <c r="INK237" s="1"/>
      <c r="INL237" s="1"/>
      <c r="INM237" s="1"/>
      <c r="INN237" s="1"/>
      <c r="INO237" s="1"/>
      <c r="INP237" s="1"/>
      <c r="INQ237" s="1"/>
      <c r="INR237" s="1"/>
      <c r="INS237" s="1"/>
      <c r="INT237" s="1"/>
      <c r="INU237" s="1"/>
      <c r="INV237" s="1"/>
      <c r="INW237" s="1"/>
      <c r="INX237" s="1"/>
      <c r="INY237" s="1"/>
      <c r="INZ237" s="1"/>
      <c r="IOA237" s="1"/>
      <c r="IOB237" s="1"/>
      <c r="IOC237" s="1"/>
      <c r="IOD237" s="1"/>
      <c r="IOE237" s="1"/>
      <c r="IOF237" s="1"/>
      <c r="IOG237" s="1"/>
      <c r="IOH237" s="1"/>
      <c r="IOI237" s="1"/>
      <c r="IOJ237" s="1"/>
      <c r="IOK237" s="1"/>
      <c r="IOL237" s="1"/>
      <c r="IOM237" s="1"/>
      <c r="ION237" s="1"/>
      <c r="IOO237" s="1"/>
      <c r="IOP237" s="1"/>
      <c r="IOQ237" s="1"/>
      <c r="IOR237" s="1"/>
      <c r="IOS237" s="1"/>
      <c r="IOT237" s="1"/>
      <c r="IOU237" s="1"/>
      <c r="IOV237" s="1"/>
      <c r="IOW237" s="1"/>
      <c r="IOX237" s="1"/>
      <c r="IOY237" s="1"/>
      <c r="IOZ237" s="1"/>
      <c r="IPA237" s="1"/>
      <c r="IPB237" s="1"/>
      <c r="IPC237" s="1"/>
      <c r="IPD237" s="1"/>
      <c r="IPE237" s="1"/>
      <c r="IPF237" s="1"/>
      <c r="IPG237" s="1"/>
      <c r="IPH237" s="1"/>
      <c r="IPI237" s="1"/>
      <c r="IPJ237" s="1"/>
      <c r="IPK237" s="1"/>
      <c r="IPL237" s="1"/>
      <c r="IPM237" s="1"/>
      <c r="IPN237" s="1"/>
      <c r="IPO237" s="1"/>
      <c r="IPP237" s="1"/>
      <c r="IPQ237" s="1"/>
      <c r="IPR237" s="1"/>
      <c r="IPS237" s="1"/>
      <c r="IPT237" s="1"/>
      <c r="IPU237" s="1"/>
      <c r="IPV237" s="1"/>
      <c r="IPW237" s="1"/>
      <c r="IPX237" s="1"/>
      <c r="IPY237" s="1"/>
      <c r="IPZ237" s="1"/>
      <c r="IQA237" s="1"/>
      <c r="IQB237" s="1"/>
      <c r="IQC237" s="1"/>
      <c r="IQD237" s="1"/>
      <c r="IQE237" s="1"/>
      <c r="IQF237" s="1"/>
      <c r="IQG237" s="1"/>
      <c r="IQH237" s="1"/>
      <c r="IQI237" s="1"/>
      <c r="IQJ237" s="1"/>
      <c r="IQK237" s="1"/>
      <c r="IQL237" s="1"/>
      <c r="IQM237" s="1"/>
      <c r="IQN237" s="1"/>
      <c r="IQO237" s="1"/>
      <c r="IQP237" s="1"/>
      <c r="IQQ237" s="1"/>
      <c r="IQR237" s="1"/>
      <c r="IQS237" s="1"/>
      <c r="IQT237" s="1"/>
      <c r="IQU237" s="1"/>
      <c r="IQV237" s="1"/>
      <c r="IQW237" s="1"/>
      <c r="IQX237" s="1"/>
      <c r="IQY237" s="1"/>
      <c r="IQZ237" s="1"/>
      <c r="IRA237" s="1"/>
      <c r="IRB237" s="1"/>
      <c r="IRC237" s="1"/>
      <c r="IRD237" s="1"/>
      <c r="IRE237" s="1"/>
      <c r="IRF237" s="1"/>
      <c r="IRG237" s="1"/>
      <c r="IRH237" s="1"/>
      <c r="IRI237" s="1"/>
      <c r="IRJ237" s="1"/>
      <c r="IRK237" s="1"/>
      <c r="IRL237" s="1"/>
      <c r="IRM237" s="1"/>
      <c r="IRN237" s="1"/>
      <c r="IRO237" s="1"/>
      <c r="IRP237" s="1"/>
      <c r="IRQ237" s="1"/>
      <c r="IRR237" s="1"/>
      <c r="IRS237" s="1"/>
      <c r="IRT237" s="1"/>
      <c r="IRU237" s="1"/>
      <c r="IRV237" s="1"/>
      <c r="IRW237" s="1"/>
      <c r="IRX237" s="1"/>
      <c r="IRY237" s="1"/>
      <c r="IRZ237" s="1"/>
      <c r="ISA237" s="1"/>
      <c r="ISB237" s="1"/>
      <c r="ISC237" s="1"/>
      <c r="ISD237" s="1"/>
      <c r="ISE237" s="1"/>
      <c r="ISF237" s="1"/>
      <c r="ISG237" s="1"/>
      <c r="ISH237" s="1"/>
      <c r="ISI237" s="1"/>
      <c r="ISJ237" s="1"/>
      <c r="ISK237" s="1"/>
      <c r="ISL237" s="1"/>
      <c r="ISM237" s="1"/>
      <c r="ISN237" s="1"/>
      <c r="ISO237" s="1"/>
      <c r="ISP237" s="1"/>
      <c r="ISQ237" s="1"/>
      <c r="ISR237" s="1"/>
      <c r="ISS237" s="1"/>
      <c r="IST237" s="1"/>
      <c r="ISU237" s="1"/>
      <c r="ISV237" s="1"/>
      <c r="ISW237" s="1"/>
      <c r="ISX237" s="1"/>
      <c r="ISY237" s="1"/>
      <c r="ISZ237" s="1"/>
      <c r="ITA237" s="1"/>
      <c r="ITB237" s="1"/>
      <c r="ITC237" s="1"/>
      <c r="ITD237" s="1"/>
      <c r="ITE237" s="1"/>
      <c r="ITF237" s="1"/>
      <c r="ITG237" s="1"/>
      <c r="ITH237" s="1"/>
      <c r="ITI237" s="1"/>
      <c r="ITJ237" s="1"/>
      <c r="ITK237" s="1"/>
      <c r="ITL237" s="1"/>
      <c r="ITM237" s="1"/>
      <c r="ITN237" s="1"/>
      <c r="ITO237" s="1"/>
      <c r="ITP237" s="1"/>
      <c r="ITQ237" s="1"/>
      <c r="ITR237" s="1"/>
      <c r="ITS237" s="1"/>
      <c r="ITT237" s="1"/>
      <c r="ITU237" s="1"/>
      <c r="ITV237" s="1"/>
      <c r="ITW237" s="1"/>
      <c r="ITX237" s="1"/>
      <c r="ITY237" s="1"/>
      <c r="ITZ237" s="1"/>
      <c r="IUA237" s="1"/>
      <c r="IUB237" s="1"/>
      <c r="IUC237" s="1"/>
      <c r="IUD237" s="1"/>
      <c r="IUE237" s="1"/>
      <c r="IUF237" s="1"/>
      <c r="IUG237" s="1"/>
      <c r="IUH237" s="1"/>
      <c r="IUI237" s="1"/>
      <c r="IUJ237" s="1"/>
      <c r="IUK237" s="1"/>
      <c r="IUL237" s="1"/>
      <c r="IUM237" s="1"/>
      <c r="IUN237" s="1"/>
      <c r="IUO237" s="1"/>
      <c r="IUP237" s="1"/>
      <c r="IUQ237" s="1"/>
      <c r="IUR237" s="1"/>
      <c r="IUS237" s="1"/>
      <c r="IUT237" s="1"/>
      <c r="IUU237" s="1"/>
      <c r="IUV237" s="1"/>
      <c r="IUW237" s="1"/>
      <c r="IUX237" s="1"/>
      <c r="IUY237" s="1"/>
      <c r="IUZ237" s="1"/>
      <c r="IVA237" s="1"/>
      <c r="IVB237" s="1"/>
      <c r="IVC237" s="1"/>
      <c r="IVD237" s="1"/>
      <c r="IVE237" s="1"/>
      <c r="IVF237" s="1"/>
      <c r="IVG237" s="1"/>
      <c r="IVH237" s="1"/>
      <c r="IVI237" s="1"/>
      <c r="IVJ237" s="1"/>
      <c r="IVK237" s="1"/>
      <c r="IVL237" s="1"/>
      <c r="IVM237" s="1"/>
      <c r="IVN237" s="1"/>
      <c r="IVO237" s="1"/>
      <c r="IVP237" s="1"/>
      <c r="IVQ237" s="1"/>
      <c r="IVR237" s="1"/>
      <c r="IVS237" s="1"/>
      <c r="IVT237" s="1"/>
      <c r="IVU237" s="1"/>
      <c r="IVV237" s="1"/>
      <c r="IVW237" s="1"/>
      <c r="IVX237" s="1"/>
      <c r="IVY237" s="1"/>
      <c r="IVZ237" s="1"/>
      <c r="IWA237" s="1"/>
      <c r="IWB237" s="1"/>
      <c r="IWC237" s="1"/>
      <c r="IWD237" s="1"/>
      <c r="IWE237" s="1"/>
      <c r="IWF237" s="1"/>
      <c r="IWG237" s="1"/>
      <c r="IWH237" s="1"/>
      <c r="IWI237" s="1"/>
      <c r="IWJ237" s="1"/>
      <c r="IWK237" s="1"/>
      <c r="IWL237" s="1"/>
      <c r="IWM237" s="1"/>
      <c r="IWN237" s="1"/>
      <c r="IWO237" s="1"/>
      <c r="IWP237" s="1"/>
      <c r="IWQ237" s="1"/>
      <c r="IWR237" s="1"/>
      <c r="IWS237" s="1"/>
      <c r="IWT237" s="1"/>
      <c r="IWU237" s="1"/>
      <c r="IWV237" s="1"/>
      <c r="IWW237" s="1"/>
      <c r="IWX237" s="1"/>
      <c r="IWY237" s="1"/>
      <c r="IWZ237" s="1"/>
      <c r="IXA237" s="1"/>
      <c r="IXB237" s="1"/>
      <c r="IXC237" s="1"/>
      <c r="IXD237" s="1"/>
      <c r="IXE237" s="1"/>
      <c r="IXF237" s="1"/>
      <c r="IXG237" s="1"/>
      <c r="IXH237" s="1"/>
      <c r="IXI237" s="1"/>
      <c r="IXJ237" s="1"/>
      <c r="IXK237" s="1"/>
      <c r="IXL237" s="1"/>
      <c r="IXM237" s="1"/>
      <c r="IXN237" s="1"/>
      <c r="IXO237" s="1"/>
      <c r="IXP237" s="1"/>
      <c r="IXQ237" s="1"/>
      <c r="IXR237" s="1"/>
      <c r="IXS237" s="1"/>
      <c r="IXT237" s="1"/>
      <c r="IXU237" s="1"/>
      <c r="IXV237" s="1"/>
      <c r="IXW237" s="1"/>
      <c r="IXX237" s="1"/>
      <c r="IXY237" s="1"/>
      <c r="IXZ237" s="1"/>
      <c r="IYA237" s="1"/>
      <c r="IYB237" s="1"/>
      <c r="IYC237" s="1"/>
      <c r="IYD237" s="1"/>
      <c r="IYE237" s="1"/>
      <c r="IYF237" s="1"/>
      <c r="IYG237" s="1"/>
      <c r="IYH237" s="1"/>
      <c r="IYI237" s="1"/>
      <c r="IYJ237" s="1"/>
      <c r="IYK237" s="1"/>
      <c r="IYL237" s="1"/>
      <c r="IYM237" s="1"/>
      <c r="IYN237" s="1"/>
      <c r="IYO237" s="1"/>
      <c r="IYP237" s="1"/>
      <c r="IYQ237" s="1"/>
      <c r="IYR237" s="1"/>
      <c r="IYS237" s="1"/>
      <c r="IYT237" s="1"/>
      <c r="IYU237" s="1"/>
      <c r="IYV237" s="1"/>
      <c r="IYW237" s="1"/>
      <c r="IYX237" s="1"/>
      <c r="IYY237" s="1"/>
      <c r="IYZ237" s="1"/>
      <c r="IZA237" s="1"/>
      <c r="IZB237" s="1"/>
      <c r="IZC237" s="1"/>
      <c r="IZD237" s="1"/>
      <c r="IZE237" s="1"/>
      <c r="IZF237" s="1"/>
      <c r="IZG237" s="1"/>
      <c r="IZH237" s="1"/>
      <c r="IZI237" s="1"/>
      <c r="IZJ237" s="1"/>
      <c r="IZK237" s="1"/>
      <c r="IZL237" s="1"/>
      <c r="IZM237" s="1"/>
      <c r="IZN237" s="1"/>
      <c r="IZO237" s="1"/>
      <c r="IZP237" s="1"/>
      <c r="IZQ237" s="1"/>
      <c r="IZR237" s="1"/>
      <c r="IZS237" s="1"/>
      <c r="IZT237" s="1"/>
      <c r="IZU237" s="1"/>
      <c r="IZV237" s="1"/>
      <c r="IZW237" s="1"/>
      <c r="IZX237" s="1"/>
      <c r="IZY237" s="1"/>
      <c r="IZZ237" s="1"/>
      <c r="JAA237" s="1"/>
      <c r="JAB237" s="1"/>
      <c r="JAC237" s="1"/>
      <c r="JAD237" s="1"/>
      <c r="JAE237" s="1"/>
      <c r="JAF237" s="1"/>
      <c r="JAG237" s="1"/>
      <c r="JAH237" s="1"/>
      <c r="JAI237" s="1"/>
      <c r="JAJ237" s="1"/>
      <c r="JAK237" s="1"/>
      <c r="JAL237" s="1"/>
      <c r="JAM237" s="1"/>
      <c r="JAN237" s="1"/>
      <c r="JAO237" s="1"/>
      <c r="JAP237" s="1"/>
      <c r="JAQ237" s="1"/>
      <c r="JAR237" s="1"/>
      <c r="JAS237" s="1"/>
      <c r="JAT237" s="1"/>
      <c r="JAU237" s="1"/>
      <c r="JAV237" s="1"/>
      <c r="JAW237" s="1"/>
      <c r="JAX237" s="1"/>
      <c r="JAY237" s="1"/>
      <c r="JAZ237" s="1"/>
      <c r="JBA237" s="1"/>
      <c r="JBB237" s="1"/>
      <c r="JBC237" s="1"/>
      <c r="JBD237" s="1"/>
      <c r="JBE237" s="1"/>
      <c r="JBF237" s="1"/>
      <c r="JBG237" s="1"/>
      <c r="JBH237" s="1"/>
      <c r="JBI237" s="1"/>
      <c r="JBJ237" s="1"/>
      <c r="JBK237" s="1"/>
      <c r="JBL237" s="1"/>
      <c r="JBM237" s="1"/>
      <c r="JBN237" s="1"/>
      <c r="JBO237" s="1"/>
      <c r="JBP237" s="1"/>
      <c r="JBQ237" s="1"/>
      <c r="JBR237" s="1"/>
      <c r="JBS237" s="1"/>
      <c r="JBT237" s="1"/>
      <c r="JBU237" s="1"/>
      <c r="JBV237" s="1"/>
      <c r="JBW237" s="1"/>
      <c r="JBX237" s="1"/>
      <c r="JBY237" s="1"/>
      <c r="JBZ237" s="1"/>
      <c r="JCA237" s="1"/>
      <c r="JCB237" s="1"/>
      <c r="JCC237" s="1"/>
      <c r="JCD237" s="1"/>
      <c r="JCE237" s="1"/>
      <c r="JCF237" s="1"/>
      <c r="JCG237" s="1"/>
      <c r="JCH237" s="1"/>
      <c r="JCI237" s="1"/>
      <c r="JCJ237" s="1"/>
      <c r="JCK237" s="1"/>
      <c r="JCL237" s="1"/>
      <c r="JCM237" s="1"/>
      <c r="JCN237" s="1"/>
      <c r="JCO237" s="1"/>
      <c r="JCP237" s="1"/>
      <c r="JCQ237" s="1"/>
      <c r="JCR237" s="1"/>
      <c r="JCS237" s="1"/>
      <c r="JCT237" s="1"/>
      <c r="JCU237" s="1"/>
      <c r="JCV237" s="1"/>
      <c r="JCW237" s="1"/>
      <c r="JCX237" s="1"/>
      <c r="JCY237" s="1"/>
      <c r="JCZ237" s="1"/>
      <c r="JDA237" s="1"/>
      <c r="JDB237" s="1"/>
      <c r="JDC237" s="1"/>
      <c r="JDD237" s="1"/>
      <c r="JDE237" s="1"/>
      <c r="JDF237" s="1"/>
      <c r="JDG237" s="1"/>
      <c r="JDH237" s="1"/>
      <c r="JDI237" s="1"/>
      <c r="JDJ237" s="1"/>
      <c r="JDK237" s="1"/>
      <c r="JDL237" s="1"/>
      <c r="JDM237" s="1"/>
      <c r="JDN237" s="1"/>
      <c r="JDO237" s="1"/>
      <c r="JDP237" s="1"/>
      <c r="JDQ237" s="1"/>
      <c r="JDR237" s="1"/>
      <c r="JDS237" s="1"/>
      <c r="JDT237" s="1"/>
      <c r="JDU237" s="1"/>
      <c r="JDV237" s="1"/>
      <c r="JDW237" s="1"/>
      <c r="JDX237" s="1"/>
      <c r="JDY237" s="1"/>
      <c r="JDZ237" s="1"/>
      <c r="JEA237" s="1"/>
      <c r="JEB237" s="1"/>
      <c r="JEC237" s="1"/>
      <c r="JED237" s="1"/>
      <c r="JEE237" s="1"/>
      <c r="JEF237" s="1"/>
      <c r="JEG237" s="1"/>
      <c r="JEH237" s="1"/>
      <c r="JEI237" s="1"/>
      <c r="JEJ237" s="1"/>
      <c r="JEK237" s="1"/>
      <c r="JEL237" s="1"/>
      <c r="JEM237" s="1"/>
      <c r="JEN237" s="1"/>
      <c r="JEO237" s="1"/>
      <c r="JEP237" s="1"/>
      <c r="JEQ237" s="1"/>
      <c r="JER237" s="1"/>
      <c r="JES237" s="1"/>
      <c r="JET237" s="1"/>
      <c r="JEU237" s="1"/>
      <c r="JEV237" s="1"/>
      <c r="JEW237" s="1"/>
      <c r="JEX237" s="1"/>
      <c r="JEY237" s="1"/>
      <c r="JEZ237" s="1"/>
      <c r="JFA237" s="1"/>
      <c r="JFB237" s="1"/>
      <c r="JFC237" s="1"/>
      <c r="JFD237" s="1"/>
      <c r="JFE237" s="1"/>
      <c r="JFF237" s="1"/>
      <c r="JFG237" s="1"/>
      <c r="JFH237" s="1"/>
      <c r="JFI237" s="1"/>
      <c r="JFJ237" s="1"/>
      <c r="JFK237" s="1"/>
      <c r="JFL237" s="1"/>
      <c r="JFM237" s="1"/>
      <c r="JFN237" s="1"/>
      <c r="JFO237" s="1"/>
      <c r="JFP237" s="1"/>
      <c r="JFQ237" s="1"/>
      <c r="JFR237" s="1"/>
      <c r="JFS237" s="1"/>
      <c r="JFT237" s="1"/>
      <c r="JFU237" s="1"/>
      <c r="JFV237" s="1"/>
      <c r="JFW237" s="1"/>
      <c r="JFX237" s="1"/>
      <c r="JFY237" s="1"/>
      <c r="JFZ237" s="1"/>
      <c r="JGA237" s="1"/>
      <c r="JGB237" s="1"/>
      <c r="JGC237" s="1"/>
      <c r="JGD237" s="1"/>
      <c r="JGE237" s="1"/>
      <c r="JGF237" s="1"/>
      <c r="JGG237" s="1"/>
      <c r="JGH237" s="1"/>
      <c r="JGI237" s="1"/>
      <c r="JGJ237" s="1"/>
      <c r="JGK237" s="1"/>
      <c r="JGL237" s="1"/>
      <c r="JGM237" s="1"/>
      <c r="JGN237" s="1"/>
      <c r="JGO237" s="1"/>
      <c r="JGP237" s="1"/>
      <c r="JGQ237" s="1"/>
      <c r="JGR237" s="1"/>
      <c r="JGS237" s="1"/>
      <c r="JGT237" s="1"/>
      <c r="JGU237" s="1"/>
      <c r="JGV237" s="1"/>
      <c r="JGW237" s="1"/>
      <c r="JGX237" s="1"/>
      <c r="JGY237" s="1"/>
      <c r="JGZ237" s="1"/>
      <c r="JHA237" s="1"/>
      <c r="JHB237" s="1"/>
      <c r="JHC237" s="1"/>
      <c r="JHD237" s="1"/>
      <c r="JHE237" s="1"/>
      <c r="JHF237" s="1"/>
      <c r="JHG237" s="1"/>
      <c r="JHH237" s="1"/>
      <c r="JHI237" s="1"/>
      <c r="JHJ237" s="1"/>
      <c r="JHK237" s="1"/>
      <c r="JHL237" s="1"/>
      <c r="JHM237" s="1"/>
      <c r="JHN237" s="1"/>
      <c r="JHO237" s="1"/>
      <c r="JHP237" s="1"/>
      <c r="JHQ237" s="1"/>
      <c r="JHR237" s="1"/>
      <c r="JHS237" s="1"/>
      <c r="JHT237" s="1"/>
      <c r="JHU237" s="1"/>
      <c r="JHV237" s="1"/>
      <c r="JHW237" s="1"/>
      <c r="JHX237" s="1"/>
      <c r="JHY237" s="1"/>
      <c r="JHZ237" s="1"/>
      <c r="JIA237" s="1"/>
      <c r="JIB237" s="1"/>
      <c r="JIC237" s="1"/>
      <c r="JID237" s="1"/>
      <c r="JIE237" s="1"/>
      <c r="JIF237" s="1"/>
      <c r="JIG237" s="1"/>
      <c r="JIH237" s="1"/>
      <c r="JII237" s="1"/>
      <c r="JIJ237" s="1"/>
      <c r="JIK237" s="1"/>
      <c r="JIL237" s="1"/>
      <c r="JIM237" s="1"/>
      <c r="JIN237" s="1"/>
      <c r="JIO237" s="1"/>
      <c r="JIP237" s="1"/>
      <c r="JIQ237" s="1"/>
      <c r="JIR237" s="1"/>
      <c r="JIS237" s="1"/>
      <c r="JIT237" s="1"/>
      <c r="JIU237" s="1"/>
      <c r="JIV237" s="1"/>
      <c r="JIW237" s="1"/>
      <c r="JIX237" s="1"/>
      <c r="JIY237" s="1"/>
      <c r="JIZ237" s="1"/>
      <c r="JJA237" s="1"/>
      <c r="JJB237" s="1"/>
      <c r="JJC237" s="1"/>
      <c r="JJD237" s="1"/>
      <c r="JJE237" s="1"/>
      <c r="JJF237" s="1"/>
      <c r="JJG237" s="1"/>
      <c r="JJH237" s="1"/>
      <c r="JJI237" s="1"/>
      <c r="JJJ237" s="1"/>
      <c r="JJK237" s="1"/>
      <c r="JJL237" s="1"/>
      <c r="JJM237" s="1"/>
      <c r="JJN237" s="1"/>
      <c r="JJO237" s="1"/>
      <c r="JJP237" s="1"/>
      <c r="JJQ237" s="1"/>
      <c r="JJR237" s="1"/>
      <c r="JJS237" s="1"/>
      <c r="JJT237" s="1"/>
      <c r="JJU237" s="1"/>
      <c r="JJV237" s="1"/>
      <c r="JJW237" s="1"/>
      <c r="JJX237" s="1"/>
      <c r="JJY237" s="1"/>
      <c r="JJZ237" s="1"/>
      <c r="JKA237" s="1"/>
      <c r="JKB237" s="1"/>
      <c r="JKC237" s="1"/>
      <c r="JKD237" s="1"/>
      <c r="JKE237" s="1"/>
      <c r="JKF237" s="1"/>
      <c r="JKG237" s="1"/>
      <c r="JKH237" s="1"/>
      <c r="JKI237" s="1"/>
      <c r="JKJ237" s="1"/>
      <c r="JKK237" s="1"/>
      <c r="JKL237" s="1"/>
      <c r="JKM237" s="1"/>
      <c r="JKN237" s="1"/>
      <c r="JKO237" s="1"/>
      <c r="JKP237" s="1"/>
      <c r="JKQ237" s="1"/>
      <c r="JKR237" s="1"/>
      <c r="JKS237" s="1"/>
      <c r="JKT237" s="1"/>
      <c r="JKU237" s="1"/>
      <c r="JKV237" s="1"/>
      <c r="JKW237" s="1"/>
      <c r="JKX237" s="1"/>
      <c r="JKY237" s="1"/>
      <c r="JKZ237" s="1"/>
      <c r="JLA237" s="1"/>
      <c r="JLB237" s="1"/>
      <c r="JLC237" s="1"/>
      <c r="JLD237" s="1"/>
      <c r="JLE237" s="1"/>
      <c r="JLF237" s="1"/>
      <c r="JLG237" s="1"/>
      <c r="JLH237" s="1"/>
      <c r="JLI237" s="1"/>
      <c r="JLJ237" s="1"/>
      <c r="JLK237" s="1"/>
      <c r="JLL237" s="1"/>
      <c r="JLM237" s="1"/>
      <c r="JLN237" s="1"/>
      <c r="JLO237" s="1"/>
      <c r="JLP237" s="1"/>
      <c r="JLQ237" s="1"/>
      <c r="JLR237" s="1"/>
      <c r="JLS237" s="1"/>
      <c r="JLT237" s="1"/>
      <c r="JLU237" s="1"/>
      <c r="JLV237" s="1"/>
      <c r="JLW237" s="1"/>
      <c r="JLX237" s="1"/>
      <c r="JLY237" s="1"/>
      <c r="JLZ237" s="1"/>
      <c r="JMA237" s="1"/>
      <c r="JMB237" s="1"/>
      <c r="JMC237" s="1"/>
      <c r="JMD237" s="1"/>
      <c r="JME237" s="1"/>
      <c r="JMF237" s="1"/>
      <c r="JMG237" s="1"/>
      <c r="JMH237" s="1"/>
      <c r="JMI237" s="1"/>
      <c r="JMJ237" s="1"/>
      <c r="JMK237" s="1"/>
      <c r="JML237" s="1"/>
      <c r="JMM237" s="1"/>
      <c r="JMN237" s="1"/>
      <c r="JMO237" s="1"/>
      <c r="JMP237" s="1"/>
      <c r="JMQ237" s="1"/>
      <c r="JMR237" s="1"/>
      <c r="JMS237" s="1"/>
      <c r="JMT237" s="1"/>
      <c r="JMU237" s="1"/>
      <c r="JMV237" s="1"/>
      <c r="JMW237" s="1"/>
      <c r="JMX237" s="1"/>
      <c r="JMY237" s="1"/>
      <c r="JMZ237" s="1"/>
      <c r="JNA237" s="1"/>
      <c r="JNB237" s="1"/>
      <c r="JNC237" s="1"/>
      <c r="JND237" s="1"/>
      <c r="JNE237" s="1"/>
      <c r="JNF237" s="1"/>
      <c r="JNG237" s="1"/>
      <c r="JNH237" s="1"/>
      <c r="JNI237" s="1"/>
      <c r="JNJ237" s="1"/>
      <c r="JNK237" s="1"/>
      <c r="JNL237" s="1"/>
      <c r="JNM237" s="1"/>
      <c r="JNN237" s="1"/>
      <c r="JNO237" s="1"/>
      <c r="JNP237" s="1"/>
      <c r="JNQ237" s="1"/>
      <c r="JNR237" s="1"/>
      <c r="JNS237" s="1"/>
      <c r="JNT237" s="1"/>
      <c r="JNU237" s="1"/>
      <c r="JNV237" s="1"/>
      <c r="JNW237" s="1"/>
      <c r="JNX237" s="1"/>
      <c r="JNY237" s="1"/>
      <c r="JNZ237" s="1"/>
      <c r="JOA237" s="1"/>
      <c r="JOB237" s="1"/>
      <c r="JOC237" s="1"/>
      <c r="JOD237" s="1"/>
      <c r="JOE237" s="1"/>
      <c r="JOF237" s="1"/>
      <c r="JOG237" s="1"/>
      <c r="JOH237" s="1"/>
      <c r="JOI237" s="1"/>
      <c r="JOJ237" s="1"/>
      <c r="JOK237" s="1"/>
      <c r="JOL237" s="1"/>
      <c r="JOM237" s="1"/>
      <c r="JON237" s="1"/>
      <c r="JOO237" s="1"/>
      <c r="JOP237" s="1"/>
      <c r="JOQ237" s="1"/>
      <c r="JOR237" s="1"/>
      <c r="JOS237" s="1"/>
      <c r="JOT237" s="1"/>
      <c r="JOU237" s="1"/>
      <c r="JOV237" s="1"/>
      <c r="JOW237" s="1"/>
      <c r="JOX237" s="1"/>
      <c r="JOY237" s="1"/>
      <c r="JOZ237" s="1"/>
      <c r="JPA237" s="1"/>
      <c r="JPB237" s="1"/>
      <c r="JPC237" s="1"/>
      <c r="JPD237" s="1"/>
      <c r="JPE237" s="1"/>
      <c r="JPF237" s="1"/>
      <c r="JPG237" s="1"/>
      <c r="JPH237" s="1"/>
      <c r="JPI237" s="1"/>
      <c r="JPJ237" s="1"/>
      <c r="JPK237" s="1"/>
      <c r="JPL237" s="1"/>
      <c r="JPM237" s="1"/>
      <c r="JPN237" s="1"/>
      <c r="JPO237" s="1"/>
      <c r="JPP237" s="1"/>
      <c r="JPQ237" s="1"/>
      <c r="JPR237" s="1"/>
      <c r="JPS237" s="1"/>
      <c r="JPT237" s="1"/>
      <c r="JPU237" s="1"/>
      <c r="JPV237" s="1"/>
      <c r="JPW237" s="1"/>
      <c r="JPX237" s="1"/>
      <c r="JPY237" s="1"/>
      <c r="JPZ237" s="1"/>
      <c r="JQA237" s="1"/>
      <c r="JQB237" s="1"/>
      <c r="JQC237" s="1"/>
      <c r="JQD237" s="1"/>
      <c r="JQE237" s="1"/>
      <c r="JQF237" s="1"/>
      <c r="JQG237" s="1"/>
      <c r="JQH237" s="1"/>
      <c r="JQI237" s="1"/>
      <c r="JQJ237" s="1"/>
      <c r="JQK237" s="1"/>
      <c r="JQL237" s="1"/>
      <c r="JQM237" s="1"/>
      <c r="JQN237" s="1"/>
      <c r="JQO237" s="1"/>
      <c r="JQP237" s="1"/>
      <c r="JQQ237" s="1"/>
      <c r="JQR237" s="1"/>
      <c r="JQS237" s="1"/>
      <c r="JQT237" s="1"/>
      <c r="JQU237" s="1"/>
      <c r="JQV237" s="1"/>
      <c r="JQW237" s="1"/>
      <c r="JQX237" s="1"/>
      <c r="JQY237" s="1"/>
      <c r="JQZ237" s="1"/>
      <c r="JRA237" s="1"/>
      <c r="JRB237" s="1"/>
      <c r="JRC237" s="1"/>
      <c r="JRD237" s="1"/>
      <c r="JRE237" s="1"/>
      <c r="JRF237" s="1"/>
      <c r="JRG237" s="1"/>
      <c r="JRH237" s="1"/>
      <c r="JRI237" s="1"/>
      <c r="JRJ237" s="1"/>
      <c r="JRK237" s="1"/>
      <c r="JRL237" s="1"/>
      <c r="JRM237" s="1"/>
      <c r="JRN237" s="1"/>
      <c r="JRO237" s="1"/>
      <c r="JRP237" s="1"/>
      <c r="JRQ237" s="1"/>
      <c r="JRR237" s="1"/>
      <c r="JRS237" s="1"/>
      <c r="JRT237" s="1"/>
      <c r="JRU237" s="1"/>
      <c r="JRV237" s="1"/>
      <c r="JRW237" s="1"/>
      <c r="JRX237" s="1"/>
      <c r="JRY237" s="1"/>
      <c r="JRZ237" s="1"/>
      <c r="JSA237" s="1"/>
      <c r="JSB237" s="1"/>
      <c r="JSC237" s="1"/>
      <c r="JSD237" s="1"/>
      <c r="JSE237" s="1"/>
      <c r="JSF237" s="1"/>
      <c r="JSG237" s="1"/>
      <c r="JSH237" s="1"/>
      <c r="JSI237" s="1"/>
      <c r="JSJ237" s="1"/>
      <c r="JSK237" s="1"/>
      <c r="JSL237" s="1"/>
      <c r="JSM237" s="1"/>
      <c r="JSN237" s="1"/>
      <c r="JSO237" s="1"/>
      <c r="JSP237" s="1"/>
      <c r="JSQ237" s="1"/>
      <c r="JSR237" s="1"/>
      <c r="JSS237" s="1"/>
      <c r="JST237" s="1"/>
      <c r="JSU237" s="1"/>
      <c r="JSV237" s="1"/>
      <c r="JSW237" s="1"/>
      <c r="JSX237" s="1"/>
      <c r="JSY237" s="1"/>
      <c r="JSZ237" s="1"/>
      <c r="JTA237" s="1"/>
      <c r="JTB237" s="1"/>
      <c r="JTC237" s="1"/>
      <c r="JTD237" s="1"/>
      <c r="JTE237" s="1"/>
      <c r="JTF237" s="1"/>
      <c r="JTG237" s="1"/>
      <c r="JTH237" s="1"/>
      <c r="JTI237" s="1"/>
      <c r="JTJ237" s="1"/>
      <c r="JTK237" s="1"/>
      <c r="JTL237" s="1"/>
      <c r="JTM237" s="1"/>
      <c r="JTN237" s="1"/>
      <c r="JTO237" s="1"/>
      <c r="JTP237" s="1"/>
      <c r="JTQ237" s="1"/>
      <c r="JTR237" s="1"/>
      <c r="JTS237" s="1"/>
      <c r="JTT237" s="1"/>
      <c r="JTU237" s="1"/>
      <c r="JTV237" s="1"/>
      <c r="JTW237" s="1"/>
      <c r="JTX237" s="1"/>
      <c r="JTY237" s="1"/>
      <c r="JTZ237" s="1"/>
      <c r="JUA237" s="1"/>
      <c r="JUB237" s="1"/>
      <c r="JUC237" s="1"/>
      <c r="JUD237" s="1"/>
      <c r="JUE237" s="1"/>
      <c r="JUF237" s="1"/>
      <c r="JUG237" s="1"/>
      <c r="JUH237" s="1"/>
      <c r="JUI237" s="1"/>
      <c r="JUJ237" s="1"/>
      <c r="JUK237" s="1"/>
      <c r="JUL237" s="1"/>
      <c r="JUM237" s="1"/>
      <c r="JUN237" s="1"/>
      <c r="JUO237" s="1"/>
      <c r="JUP237" s="1"/>
      <c r="JUQ237" s="1"/>
      <c r="JUR237" s="1"/>
      <c r="JUS237" s="1"/>
      <c r="JUT237" s="1"/>
      <c r="JUU237" s="1"/>
      <c r="JUV237" s="1"/>
      <c r="JUW237" s="1"/>
      <c r="JUX237" s="1"/>
      <c r="JUY237" s="1"/>
      <c r="JUZ237" s="1"/>
      <c r="JVA237" s="1"/>
      <c r="JVB237" s="1"/>
      <c r="JVC237" s="1"/>
      <c r="JVD237" s="1"/>
      <c r="JVE237" s="1"/>
      <c r="JVF237" s="1"/>
      <c r="JVG237" s="1"/>
      <c r="JVH237" s="1"/>
      <c r="JVI237" s="1"/>
      <c r="JVJ237" s="1"/>
      <c r="JVK237" s="1"/>
      <c r="JVL237" s="1"/>
      <c r="JVM237" s="1"/>
      <c r="JVN237" s="1"/>
      <c r="JVO237" s="1"/>
      <c r="JVP237" s="1"/>
      <c r="JVQ237" s="1"/>
      <c r="JVR237" s="1"/>
      <c r="JVS237" s="1"/>
      <c r="JVT237" s="1"/>
      <c r="JVU237" s="1"/>
      <c r="JVV237" s="1"/>
      <c r="JVW237" s="1"/>
      <c r="JVX237" s="1"/>
      <c r="JVY237" s="1"/>
      <c r="JVZ237" s="1"/>
      <c r="JWA237" s="1"/>
      <c r="JWB237" s="1"/>
      <c r="JWC237" s="1"/>
      <c r="JWD237" s="1"/>
      <c r="JWE237" s="1"/>
      <c r="JWF237" s="1"/>
      <c r="JWG237" s="1"/>
      <c r="JWH237" s="1"/>
      <c r="JWI237" s="1"/>
      <c r="JWJ237" s="1"/>
      <c r="JWK237" s="1"/>
      <c r="JWL237" s="1"/>
      <c r="JWM237" s="1"/>
      <c r="JWN237" s="1"/>
      <c r="JWO237" s="1"/>
      <c r="JWP237" s="1"/>
      <c r="JWQ237" s="1"/>
      <c r="JWR237" s="1"/>
      <c r="JWS237" s="1"/>
      <c r="JWT237" s="1"/>
      <c r="JWU237" s="1"/>
      <c r="JWV237" s="1"/>
      <c r="JWW237" s="1"/>
      <c r="JWX237" s="1"/>
      <c r="JWY237" s="1"/>
      <c r="JWZ237" s="1"/>
      <c r="JXA237" s="1"/>
      <c r="JXB237" s="1"/>
      <c r="JXC237" s="1"/>
      <c r="JXD237" s="1"/>
      <c r="JXE237" s="1"/>
      <c r="JXF237" s="1"/>
      <c r="JXG237" s="1"/>
      <c r="JXH237" s="1"/>
      <c r="JXI237" s="1"/>
      <c r="JXJ237" s="1"/>
      <c r="JXK237" s="1"/>
      <c r="JXL237" s="1"/>
      <c r="JXM237" s="1"/>
      <c r="JXN237" s="1"/>
      <c r="JXO237" s="1"/>
      <c r="JXP237" s="1"/>
      <c r="JXQ237" s="1"/>
      <c r="JXR237" s="1"/>
      <c r="JXS237" s="1"/>
      <c r="JXT237" s="1"/>
      <c r="JXU237" s="1"/>
      <c r="JXV237" s="1"/>
      <c r="JXW237" s="1"/>
      <c r="JXX237" s="1"/>
      <c r="JXY237" s="1"/>
      <c r="JXZ237" s="1"/>
      <c r="JYA237" s="1"/>
      <c r="JYB237" s="1"/>
      <c r="JYC237" s="1"/>
      <c r="JYD237" s="1"/>
      <c r="JYE237" s="1"/>
      <c r="JYF237" s="1"/>
      <c r="JYG237" s="1"/>
      <c r="JYH237" s="1"/>
      <c r="JYI237" s="1"/>
      <c r="JYJ237" s="1"/>
      <c r="JYK237" s="1"/>
      <c r="JYL237" s="1"/>
      <c r="JYM237" s="1"/>
      <c r="JYN237" s="1"/>
      <c r="JYO237" s="1"/>
      <c r="JYP237" s="1"/>
      <c r="JYQ237" s="1"/>
      <c r="JYR237" s="1"/>
      <c r="JYS237" s="1"/>
      <c r="JYT237" s="1"/>
      <c r="JYU237" s="1"/>
      <c r="JYV237" s="1"/>
      <c r="JYW237" s="1"/>
      <c r="JYX237" s="1"/>
      <c r="JYY237" s="1"/>
      <c r="JYZ237" s="1"/>
      <c r="JZA237" s="1"/>
      <c r="JZB237" s="1"/>
      <c r="JZC237" s="1"/>
      <c r="JZD237" s="1"/>
      <c r="JZE237" s="1"/>
      <c r="JZF237" s="1"/>
      <c r="JZG237" s="1"/>
      <c r="JZH237" s="1"/>
      <c r="JZI237" s="1"/>
      <c r="JZJ237" s="1"/>
      <c r="JZK237" s="1"/>
      <c r="JZL237" s="1"/>
      <c r="JZM237" s="1"/>
      <c r="JZN237" s="1"/>
      <c r="JZO237" s="1"/>
      <c r="JZP237" s="1"/>
      <c r="JZQ237" s="1"/>
      <c r="JZR237" s="1"/>
      <c r="JZS237" s="1"/>
      <c r="JZT237" s="1"/>
      <c r="JZU237" s="1"/>
      <c r="JZV237" s="1"/>
      <c r="JZW237" s="1"/>
      <c r="JZX237" s="1"/>
      <c r="JZY237" s="1"/>
      <c r="JZZ237" s="1"/>
      <c r="KAA237" s="1"/>
      <c r="KAB237" s="1"/>
      <c r="KAC237" s="1"/>
      <c r="KAD237" s="1"/>
      <c r="KAE237" s="1"/>
      <c r="KAF237" s="1"/>
      <c r="KAG237" s="1"/>
      <c r="KAH237" s="1"/>
      <c r="KAI237" s="1"/>
      <c r="KAJ237" s="1"/>
      <c r="KAK237" s="1"/>
      <c r="KAL237" s="1"/>
      <c r="KAM237" s="1"/>
      <c r="KAN237" s="1"/>
      <c r="KAO237" s="1"/>
      <c r="KAP237" s="1"/>
      <c r="KAQ237" s="1"/>
      <c r="KAR237" s="1"/>
      <c r="KAS237" s="1"/>
      <c r="KAT237" s="1"/>
      <c r="KAU237" s="1"/>
      <c r="KAV237" s="1"/>
      <c r="KAW237" s="1"/>
      <c r="KAX237" s="1"/>
      <c r="KAY237" s="1"/>
      <c r="KAZ237" s="1"/>
      <c r="KBA237" s="1"/>
      <c r="KBB237" s="1"/>
      <c r="KBC237" s="1"/>
      <c r="KBD237" s="1"/>
      <c r="KBE237" s="1"/>
      <c r="KBF237" s="1"/>
      <c r="KBG237" s="1"/>
      <c r="KBH237" s="1"/>
      <c r="KBI237" s="1"/>
      <c r="KBJ237" s="1"/>
      <c r="KBK237" s="1"/>
      <c r="KBL237" s="1"/>
      <c r="KBM237" s="1"/>
      <c r="KBN237" s="1"/>
      <c r="KBO237" s="1"/>
      <c r="KBP237" s="1"/>
      <c r="KBQ237" s="1"/>
      <c r="KBR237" s="1"/>
      <c r="KBS237" s="1"/>
      <c r="KBT237" s="1"/>
      <c r="KBU237" s="1"/>
      <c r="KBV237" s="1"/>
      <c r="KBW237" s="1"/>
      <c r="KBX237" s="1"/>
      <c r="KBY237" s="1"/>
      <c r="KBZ237" s="1"/>
      <c r="KCA237" s="1"/>
      <c r="KCB237" s="1"/>
      <c r="KCC237" s="1"/>
      <c r="KCD237" s="1"/>
      <c r="KCE237" s="1"/>
      <c r="KCF237" s="1"/>
      <c r="KCG237" s="1"/>
      <c r="KCH237" s="1"/>
      <c r="KCI237" s="1"/>
      <c r="KCJ237" s="1"/>
      <c r="KCK237" s="1"/>
      <c r="KCL237" s="1"/>
      <c r="KCM237" s="1"/>
      <c r="KCN237" s="1"/>
      <c r="KCO237" s="1"/>
      <c r="KCP237" s="1"/>
      <c r="KCQ237" s="1"/>
      <c r="KCR237" s="1"/>
      <c r="KCS237" s="1"/>
      <c r="KCT237" s="1"/>
      <c r="KCU237" s="1"/>
      <c r="KCV237" s="1"/>
      <c r="KCW237" s="1"/>
      <c r="KCX237" s="1"/>
      <c r="KCY237" s="1"/>
      <c r="KCZ237" s="1"/>
      <c r="KDA237" s="1"/>
      <c r="KDB237" s="1"/>
      <c r="KDC237" s="1"/>
      <c r="KDD237" s="1"/>
      <c r="KDE237" s="1"/>
      <c r="KDF237" s="1"/>
      <c r="KDG237" s="1"/>
      <c r="KDH237" s="1"/>
      <c r="KDI237" s="1"/>
      <c r="KDJ237" s="1"/>
      <c r="KDK237" s="1"/>
      <c r="KDL237" s="1"/>
      <c r="KDM237" s="1"/>
      <c r="KDN237" s="1"/>
      <c r="KDO237" s="1"/>
      <c r="KDP237" s="1"/>
      <c r="KDQ237" s="1"/>
      <c r="KDR237" s="1"/>
      <c r="KDS237" s="1"/>
      <c r="KDT237" s="1"/>
      <c r="KDU237" s="1"/>
      <c r="KDV237" s="1"/>
      <c r="KDW237" s="1"/>
      <c r="KDX237" s="1"/>
      <c r="KDY237" s="1"/>
      <c r="KDZ237" s="1"/>
      <c r="KEA237" s="1"/>
      <c r="KEB237" s="1"/>
      <c r="KEC237" s="1"/>
      <c r="KED237" s="1"/>
      <c r="KEE237" s="1"/>
      <c r="KEF237" s="1"/>
      <c r="KEG237" s="1"/>
      <c r="KEH237" s="1"/>
      <c r="KEI237" s="1"/>
      <c r="KEJ237" s="1"/>
      <c r="KEK237" s="1"/>
      <c r="KEL237" s="1"/>
      <c r="KEM237" s="1"/>
      <c r="KEN237" s="1"/>
      <c r="KEO237" s="1"/>
      <c r="KEP237" s="1"/>
      <c r="KEQ237" s="1"/>
      <c r="KER237" s="1"/>
      <c r="KES237" s="1"/>
      <c r="KET237" s="1"/>
      <c r="KEU237" s="1"/>
      <c r="KEV237" s="1"/>
      <c r="KEW237" s="1"/>
      <c r="KEX237" s="1"/>
      <c r="KEY237" s="1"/>
      <c r="KEZ237" s="1"/>
      <c r="KFA237" s="1"/>
      <c r="KFB237" s="1"/>
      <c r="KFC237" s="1"/>
      <c r="KFD237" s="1"/>
      <c r="KFE237" s="1"/>
      <c r="KFF237" s="1"/>
      <c r="KFG237" s="1"/>
      <c r="KFH237" s="1"/>
      <c r="KFI237" s="1"/>
      <c r="KFJ237" s="1"/>
      <c r="KFK237" s="1"/>
      <c r="KFL237" s="1"/>
      <c r="KFM237" s="1"/>
      <c r="KFN237" s="1"/>
      <c r="KFO237" s="1"/>
      <c r="KFP237" s="1"/>
      <c r="KFQ237" s="1"/>
      <c r="KFR237" s="1"/>
      <c r="KFS237" s="1"/>
      <c r="KFT237" s="1"/>
      <c r="KFU237" s="1"/>
      <c r="KFV237" s="1"/>
      <c r="KFW237" s="1"/>
      <c r="KFX237" s="1"/>
      <c r="KFY237" s="1"/>
      <c r="KFZ237" s="1"/>
      <c r="KGA237" s="1"/>
      <c r="KGB237" s="1"/>
      <c r="KGC237" s="1"/>
      <c r="KGD237" s="1"/>
      <c r="KGE237" s="1"/>
      <c r="KGF237" s="1"/>
      <c r="KGG237" s="1"/>
      <c r="KGH237" s="1"/>
      <c r="KGI237" s="1"/>
      <c r="KGJ237" s="1"/>
      <c r="KGK237" s="1"/>
      <c r="KGL237" s="1"/>
      <c r="KGM237" s="1"/>
      <c r="KGN237" s="1"/>
      <c r="KGO237" s="1"/>
      <c r="KGP237" s="1"/>
      <c r="KGQ237" s="1"/>
      <c r="KGR237" s="1"/>
      <c r="KGS237" s="1"/>
      <c r="KGT237" s="1"/>
      <c r="KGU237" s="1"/>
      <c r="KGV237" s="1"/>
      <c r="KGW237" s="1"/>
      <c r="KGX237" s="1"/>
      <c r="KGY237" s="1"/>
      <c r="KGZ237" s="1"/>
      <c r="KHA237" s="1"/>
      <c r="KHB237" s="1"/>
      <c r="KHC237" s="1"/>
      <c r="KHD237" s="1"/>
      <c r="KHE237" s="1"/>
      <c r="KHF237" s="1"/>
      <c r="KHG237" s="1"/>
      <c r="KHH237" s="1"/>
      <c r="KHI237" s="1"/>
      <c r="KHJ237" s="1"/>
      <c r="KHK237" s="1"/>
      <c r="KHL237" s="1"/>
      <c r="KHM237" s="1"/>
      <c r="KHN237" s="1"/>
      <c r="KHO237" s="1"/>
      <c r="KHP237" s="1"/>
      <c r="KHQ237" s="1"/>
      <c r="KHR237" s="1"/>
      <c r="KHS237" s="1"/>
      <c r="KHT237" s="1"/>
      <c r="KHU237" s="1"/>
      <c r="KHV237" s="1"/>
      <c r="KHW237" s="1"/>
      <c r="KHX237" s="1"/>
      <c r="KHY237" s="1"/>
      <c r="KHZ237" s="1"/>
      <c r="KIA237" s="1"/>
      <c r="KIB237" s="1"/>
      <c r="KIC237" s="1"/>
      <c r="KID237" s="1"/>
      <c r="KIE237" s="1"/>
      <c r="KIF237" s="1"/>
      <c r="KIG237" s="1"/>
      <c r="KIH237" s="1"/>
      <c r="KII237" s="1"/>
      <c r="KIJ237" s="1"/>
      <c r="KIK237" s="1"/>
      <c r="KIL237" s="1"/>
      <c r="KIM237" s="1"/>
      <c r="KIN237" s="1"/>
      <c r="KIO237" s="1"/>
      <c r="KIP237" s="1"/>
      <c r="KIQ237" s="1"/>
      <c r="KIR237" s="1"/>
      <c r="KIS237" s="1"/>
      <c r="KIT237" s="1"/>
      <c r="KIU237" s="1"/>
      <c r="KIV237" s="1"/>
      <c r="KIW237" s="1"/>
      <c r="KIX237" s="1"/>
      <c r="KIY237" s="1"/>
      <c r="KIZ237" s="1"/>
      <c r="KJA237" s="1"/>
      <c r="KJB237" s="1"/>
      <c r="KJC237" s="1"/>
      <c r="KJD237" s="1"/>
      <c r="KJE237" s="1"/>
      <c r="KJF237" s="1"/>
      <c r="KJG237" s="1"/>
      <c r="KJH237" s="1"/>
      <c r="KJI237" s="1"/>
      <c r="KJJ237" s="1"/>
      <c r="KJK237" s="1"/>
      <c r="KJL237" s="1"/>
      <c r="KJM237" s="1"/>
      <c r="KJN237" s="1"/>
      <c r="KJO237" s="1"/>
      <c r="KJP237" s="1"/>
      <c r="KJQ237" s="1"/>
      <c r="KJR237" s="1"/>
      <c r="KJS237" s="1"/>
      <c r="KJT237" s="1"/>
      <c r="KJU237" s="1"/>
      <c r="KJV237" s="1"/>
      <c r="KJW237" s="1"/>
      <c r="KJX237" s="1"/>
      <c r="KJY237" s="1"/>
      <c r="KJZ237" s="1"/>
      <c r="KKA237" s="1"/>
      <c r="KKB237" s="1"/>
      <c r="KKC237" s="1"/>
      <c r="KKD237" s="1"/>
      <c r="KKE237" s="1"/>
      <c r="KKF237" s="1"/>
      <c r="KKG237" s="1"/>
      <c r="KKH237" s="1"/>
      <c r="KKI237" s="1"/>
      <c r="KKJ237" s="1"/>
      <c r="KKK237" s="1"/>
      <c r="KKL237" s="1"/>
      <c r="KKM237" s="1"/>
      <c r="KKN237" s="1"/>
      <c r="KKO237" s="1"/>
      <c r="KKP237" s="1"/>
      <c r="KKQ237" s="1"/>
      <c r="KKR237" s="1"/>
      <c r="KKS237" s="1"/>
      <c r="KKT237" s="1"/>
      <c r="KKU237" s="1"/>
      <c r="KKV237" s="1"/>
      <c r="KKW237" s="1"/>
      <c r="KKX237" s="1"/>
      <c r="KKY237" s="1"/>
      <c r="KKZ237" s="1"/>
      <c r="KLA237" s="1"/>
      <c r="KLB237" s="1"/>
      <c r="KLC237" s="1"/>
      <c r="KLD237" s="1"/>
      <c r="KLE237" s="1"/>
      <c r="KLF237" s="1"/>
      <c r="KLG237" s="1"/>
      <c r="KLH237" s="1"/>
      <c r="KLI237" s="1"/>
      <c r="KLJ237" s="1"/>
      <c r="KLK237" s="1"/>
      <c r="KLL237" s="1"/>
      <c r="KLM237" s="1"/>
      <c r="KLN237" s="1"/>
      <c r="KLO237" s="1"/>
      <c r="KLP237" s="1"/>
      <c r="KLQ237" s="1"/>
      <c r="KLR237" s="1"/>
      <c r="KLS237" s="1"/>
      <c r="KLT237" s="1"/>
      <c r="KLU237" s="1"/>
      <c r="KLV237" s="1"/>
      <c r="KLW237" s="1"/>
      <c r="KLX237" s="1"/>
      <c r="KLY237" s="1"/>
      <c r="KLZ237" s="1"/>
      <c r="KMA237" s="1"/>
      <c r="KMB237" s="1"/>
      <c r="KMC237" s="1"/>
      <c r="KMD237" s="1"/>
      <c r="KME237" s="1"/>
      <c r="KMF237" s="1"/>
      <c r="KMG237" s="1"/>
      <c r="KMH237" s="1"/>
      <c r="KMI237" s="1"/>
      <c r="KMJ237" s="1"/>
      <c r="KMK237" s="1"/>
      <c r="KML237" s="1"/>
      <c r="KMM237" s="1"/>
      <c r="KMN237" s="1"/>
      <c r="KMO237" s="1"/>
      <c r="KMP237" s="1"/>
      <c r="KMQ237" s="1"/>
      <c r="KMR237" s="1"/>
      <c r="KMS237" s="1"/>
      <c r="KMT237" s="1"/>
      <c r="KMU237" s="1"/>
      <c r="KMV237" s="1"/>
      <c r="KMW237" s="1"/>
      <c r="KMX237" s="1"/>
      <c r="KMY237" s="1"/>
      <c r="KMZ237" s="1"/>
      <c r="KNA237" s="1"/>
      <c r="KNB237" s="1"/>
      <c r="KNC237" s="1"/>
      <c r="KND237" s="1"/>
      <c r="KNE237" s="1"/>
      <c r="KNF237" s="1"/>
      <c r="KNG237" s="1"/>
      <c r="KNH237" s="1"/>
      <c r="KNI237" s="1"/>
      <c r="KNJ237" s="1"/>
      <c r="KNK237" s="1"/>
      <c r="KNL237" s="1"/>
      <c r="KNM237" s="1"/>
      <c r="KNN237" s="1"/>
      <c r="KNO237" s="1"/>
      <c r="KNP237" s="1"/>
      <c r="KNQ237" s="1"/>
      <c r="KNR237" s="1"/>
      <c r="KNS237" s="1"/>
      <c r="KNT237" s="1"/>
      <c r="KNU237" s="1"/>
      <c r="KNV237" s="1"/>
      <c r="KNW237" s="1"/>
      <c r="KNX237" s="1"/>
      <c r="KNY237" s="1"/>
      <c r="KNZ237" s="1"/>
      <c r="KOA237" s="1"/>
      <c r="KOB237" s="1"/>
      <c r="KOC237" s="1"/>
      <c r="KOD237" s="1"/>
      <c r="KOE237" s="1"/>
      <c r="KOF237" s="1"/>
      <c r="KOG237" s="1"/>
      <c r="KOH237" s="1"/>
      <c r="KOI237" s="1"/>
      <c r="KOJ237" s="1"/>
      <c r="KOK237" s="1"/>
      <c r="KOL237" s="1"/>
      <c r="KOM237" s="1"/>
      <c r="KON237" s="1"/>
      <c r="KOO237" s="1"/>
      <c r="KOP237" s="1"/>
      <c r="KOQ237" s="1"/>
      <c r="KOR237" s="1"/>
      <c r="KOS237" s="1"/>
      <c r="KOT237" s="1"/>
      <c r="KOU237" s="1"/>
      <c r="KOV237" s="1"/>
      <c r="KOW237" s="1"/>
      <c r="KOX237" s="1"/>
      <c r="KOY237" s="1"/>
      <c r="KOZ237" s="1"/>
      <c r="KPA237" s="1"/>
      <c r="KPB237" s="1"/>
      <c r="KPC237" s="1"/>
      <c r="KPD237" s="1"/>
      <c r="KPE237" s="1"/>
      <c r="KPF237" s="1"/>
      <c r="KPG237" s="1"/>
      <c r="KPH237" s="1"/>
      <c r="KPI237" s="1"/>
      <c r="KPJ237" s="1"/>
      <c r="KPK237" s="1"/>
      <c r="KPL237" s="1"/>
      <c r="KPM237" s="1"/>
      <c r="KPN237" s="1"/>
      <c r="KPO237" s="1"/>
      <c r="KPP237" s="1"/>
      <c r="KPQ237" s="1"/>
      <c r="KPR237" s="1"/>
      <c r="KPS237" s="1"/>
      <c r="KPT237" s="1"/>
      <c r="KPU237" s="1"/>
      <c r="KPV237" s="1"/>
      <c r="KPW237" s="1"/>
      <c r="KPX237" s="1"/>
      <c r="KPY237" s="1"/>
      <c r="KPZ237" s="1"/>
      <c r="KQA237" s="1"/>
      <c r="KQB237" s="1"/>
      <c r="KQC237" s="1"/>
      <c r="KQD237" s="1"/>
      <c r="KQE237" s="1"/>
      <c r="KQF237" s="1"/>
      <c r="KQG237" s="1"/>
      <c r="KQH237" s="1"/>
      <c r="KQI237" s="1"/>
      <c r="KQJ237" s="1"/>
      <c r="KQK237" s="1"/>
      <c r="KQL237" s="1"/>
      <c r="KQM237" s="1"/>
      <c r="KQN237" s="1"/>
      <c r="KQO237" s="1"/>
      <c r="KQP237" s="1"/>
      <c r="KQQ237" s="1"/>
      <c r="KQR237" s="1"/>
      <c r="KQS237" s="1"/>
      <c r="KQT237" s="1"/>
      <c r="KQU237" s="1"/>
      <c r="KQV237" s="1"/>
      <c r="KQW237" s="1"/>
      <c r="KQX237" s="1"/>
      <c r="KQY237" s="1"/>
      <c r="KQZ237" s="1"/>
      <c r="KRA237" s="1"/>
      <c r="KRB237" s="1"/>
      <c r="KRC237" s="1"/>
      <c r="KRD237" s="1"/>
      <c r="KRE237" s="1"/>
      <c r="KRF237" s="1"/>
      <c r="KRG237" s="1"/>
      <c r="KRH237" s="1"/>
      <c r="KRI237" s="1"/>
      <c r="KRJ237" s="1"/>
      <c r="KRK237" s="1"/>
      <c r="KRL237" s="1"/>
      <c r="KRM237" s="1"/>
      <c r="KRN237" s="1"/>
      <c r="KRO237" s="1"/>
      <c r="KRP237" s="1"/>
      <c r="KRQ237" s="1"/>
      <c r="KRR237" s="1"/>
      <c r="KRS237" s="1"/>
      <c r="KRT237" s="1"/>
      <c r="KRU237" s="1"/>
      <c r="KRV237" s="1"/>
      <c r="KRW237" s="1"/>
      <c r="KRX237" s="1"/>
      <c r="KRY237" s="1"/>
      <c r="KRZ237" s="1"/>
      <c r="KSA237" s="1"/>
      <c r="KSB237" s="1"/>
      <c r="KSC237" s="1"/>
      <c r="KSD237" s="1"/>
      <c r="KSE237" s="1"/>
      <c r="KSF237" s="1"/>
      <c r="KSG237" s="1"/>
      <c r="KSH237" s="1"/>
      <c r="KSI237" s="1"/>
      <c r="KSJ237" s="1"/>
      <c r="KSK237" s="1"/>
      <c r="KSL237" s="1"/>
      <c r="KSM237" s="1"/>
      <c r="KSN237" s="1"/>
      <c r="KSO237" s="1"/>
      <c r="KSP237" s="1"/>
      <c r="KSQ237" s="1"/>
      <c r="KSR237" s="1"/>
      <c r="KSS237" s="1"/>
      <c r="KST237" s="1"/>
      <c r="KSU237" s="1"/>
      <c r="KSV237" s="1"/>
      <c r="KSW237" s="1"/>
      <c r="KSX237" s="1"/>
      <c r="KSY237" s="1"/>
      <c r="KSZ237" s="1"/>
      <c r="KTA237" s="1"/>
      <c r="KTB237" s="1"/>
      <c r="KTC237" s="1"/>
      <c r="KTD237" s="1"/>
      <c r="KTE237" s="1"/>
      <c r="KTF237" s="1"/>
      <c r="KTG237" s="1"/>
      <c r="KTH237" s="1"/>
      <c r="KTI237" s="1"/>
      <c r="KTJ237" s="1"/>
      <c r="KTK237" s="1"/>
      <c r="KTL237" s="1"/>
      <c r="KTM237" s="1"/>
      <c r="KTN237" s="1"/>
      <c r="KTO237" s="1"/>
      <c r="KTP237" s="1"/>
      <c r="KTQ237" s="1"/>
      <c r="KTR237" s="1"/>
      <c r="KTS237" s="1"/>
      <c r="KTT237" s="1"/>
      <c r="KTU237" s="1"/>
      <c r="KTV237" s="1"/>
      <c r="KTW237" s="1"/>
      <c r="KTX237" s="1"/>
      <c r="KTY237" s="1"/>
      <c r="KTZ237" s="1"/>
      <c r="KUA237" s="1"/>
      <c r="KUB237" s="1"/>
      <c r="KUC237" s="1"/>
      <c r="KUD237" s="1"/>
      <c r="KUE237" s="1"/>
      <c r="KUF237" s="1"/>
      <c r="KUG237" s="1"/>
      <c r="KUH237" s="1"/>
      <c r="KUI237" s="1"/>
      <c r="KUJ237" s="1"/>
      <c r="KUK237" s="1"/>
      <c r="KUL237" s="1"/>
      <c r="KUM237" s="1"/>
      <c r="KUN237" s="1"/>
      <c r="KUO237" s="1"/>
      <c r="KUP237" s="1"/>
      <c r="KUQ237" s="1"/>
      <c r="KUR237" s="1"/>
      <c r="KUS237" s="1"/>
      <c r="KUT237" s="1"/>
      <c r="KUU237" s="1"/>
      <c r="KUV237" s="1"/>
      <c r="KUW237" s="1"/>
      <c r="KUX237" s="1"/>
      <c r="KUY237" s="1"/>
      <c r="KUZ237" s="1"/>
      <c r="KVA237" s="1"/>
      <c r="KVB237" s="1"/>
      <c r="KVC237" s="1"/>
      <c r="KVD237" s="1"/>
      <c r="KVE237" s="1"/>
      <c r="KVF237" s="1"/>
      <c r="KVG237" s="1"/>
      <c r="KVH237" s="1"/>
      <c r="KVI237" s="1"/>
      <c r="KVJ237" s="1"/>
      <c r="KVK237" s="1"/>
      <c r="KVL237" s="1"/>
      <c r="KVM237" s="1"/>
      <c r="KVN237" s="1"/>
      <c r="KVO237" s="1"/>
      <c r="KVP237" s="1"/>
      <c r="KVQ237" s="1"/>
      <c r="KVR237" s="1"/>
      <c r="KVS237" s="1"/>
      <c r="KVT237" s="1"/>
      <c r="KVU237" s="1"/>
      <c r="KVV237" s="1"/>
      <c r="KVW237" s="1"/>
      <c r="KVX237" s="1"/>
      <c r="KVY237" s="1"/>
      <c r="KVZ237" s="1"/>
      <c r="KWA237" s="1"/>
      <c r="KWB237" s="1"/>
      <c r="KWC237" s="1"/>
      <c r="KWD237" s="1"/>
      <c r="KWE237" s="1"/>
      <c r="KWF237" s="1"/>
      <c r="KWG237" s="1"/>
      <c r="KWH237" s="1"/>
      <c r="KWI237" s="1"/>
      <c r="KWJ237" s="1"/>
      <c r="KWK237" s="1"/>
      <c r="KWL237" s="1"/>
      <c r="KWM237" s="1"/>
      <c r="KWN237" s="1"/>
      <c r="KWO237" s="1"/>
      <c r="KWP237" s="1"/>
      <c r="KWQ237" s="1"/>
      <c r="KWR237" s="1"/>
      <c r="KWS237" s="1"/>
      <c r="KWT237" s="1"/>
      <c r="KWU237" s="1"/>
      <c r="KWV237" s="1"/>
      <c r="KWW237" s="1"/>
      <c r="KWX237" s="1"/>
      <c r="KWY237" s="1"/>
      <c r="KWZ237" s="1"/>
      <c r="KXA237" s="1"/>
      <c r="KXB237" s="1"/>
      <c r="KXC237" s="1"/>
      <c r="KXD237" s="1"/>
      <c r="KXE237" s="1"/>
      <c r="KXF237" s="1"/>
      <c r="KXG237" s="1"/>
      <c r="KXH237" s="1"/>
      <c r="KXI237" s="1"/>
      <c r="KXJ237" s="1"/>
      <c r="KXK237" s="1"/>
      <c r="KXL237" s="1"/>
      <c r="KXM237" s="1"/>
      <c r="KXN237" s="1"/>
      <c r="KXO237" s="1"/>
      <c r="KXP237" s="1"/>
      <c r="KXQ237" s="1"/>
      <c r="KXR237" s="1"/>
      <c r="KXS237" s="1"/>
      <c r="KXT237" s="1"/>
      <c r="KXU237" s="1"/>
      <c r="KXV237" s="1"/>
      <c r="KXW237" s="1"/>
      <c r="KXX237" s="1"/>
      <c r="KXY237" s="1"/>
      <c r="KXZ237" s="1"/>
      <c r="KYA237" s="1"/>
      <c r="KYB237" s="1"/>
      <c r="KYC237" s="1"/>
      <c r="KYD237" s="1"/>
      <c r="KYE237" s="1"/>
      <c r="KYF237" s="1"/>
      <c r="KYG237" s="1"/>
      <c r="KYH237" s="1"/>
      <c r="KYI237" s="1"/>
      <c r="KYJ237" s="1"/>
      <c r="KYK237" s="1"/>
      <c r="KYL237" s="1"/>
      <c r="KYM237" s="1"/>
      <c r="KYN237" s="1"/>
      <c r="KYO237" s="1"/>
      <c r="KYP237" s="1"/>
      <c r="KYQ237" s="1"/>
      <c r="KYR237" s="1"/>
      <c r="KYS237" s="1"/>
      <c r="KYT237" s="1"/>
      <c r="KYU237" s="1"/>
      <c r="KYV237" s="1"/>
      <c r="KYW237" s="1"/>
      <c r="KYX237" s="1"/>
      <c r="KYY237" s="1"/>
      <c r="KYZ237" s="1"/>
      <c r="KZA237" s="1"/>
      <c r="KZB237" s="1"/>
      <c r="KZC237" s="1"/>
      <c r="KZD237" s="1"/>
      <c r="KZE237" s="1"/>
      <c r="KZF237" s="1"/>
      <c r="KZG237" s="1"/>
      <c r="KZH237" s="1"/>
      <c r="KZI237" s="1"/>
      <c r="KZJ237" s="1"/>
      <c r="KZK237" s="1"/>
      <c r="KZL237" s="1"/>
      <c r="KZM237" s="1"/>
      <c r="KZN237" s="1"/>
      <c r="KZO237" s="1"/>
      <c r="KZP237" s="1"/>
      <c r="KZQ237" s="1"/>
      <c r="KZR237" s="1"/>
      <c r="KZS237" s="1"/>
      <c r="KZT237" s="1"/>
      <c r="KZU237" s="1"/>
      <c r="KZV237" s="1"/>
      <c r="KZW237" s="1"/>
      <c r="KZX237" s="1"/>
      <c r="KZY237" s="1"/>
      <c r="KZZ237" s="1"/>
      <c r="LAA237" s="1"/>
      <c r="LAB237" s="1"/>
      <c r="LAC237" s="1"/>
      <c r="LAD237" s="1"/>
      <c r="LAE237" s="1"/>
      <c r="LAF237" s="1"/>
      <c r="LAG237" s="1"/>
      <c r="LAH237" s="1"/>
      <c r="LAI237" s="1"/>
      <c r="LAJ237" s="1"/>
      <c r="LAK237" s="1"/>
      <c r="LAL237" s="1"/>
      <c r="LAM237" s="1"/>
      <c r="LAN237" s="1"/>
      <c r="LAO237" s="1"/>
      <c r="LAP237" s="1"/>
      <c r="LAQ237" s="1"/>
      <c r="LAR237" s="1"/>
      <c r="LAS237" s="1"/>
      <c r="LAT237" s="1"/>
      <c r="LAU237" s="1"/>
      <c r="LAV237" s="1"/>
      <c r="LAW237" s="1"/>
      <c r="LAX237" s="1"/>
      <c r="LAY237" s="1"/>
      <c r="LAZ237" s="1"/>
      <c r="LBA237" s="1"/>
      <c r="LBB237" s="1"/>
      <c r="LBC237" s="1"/>
      <c r="LBD237" s="1"/>
      <c r="LBE237" s="1"/>
      <c r="LBF237" s="1"/>
      <c r="LBG237" s="1"/>
      <c r="LBH237" s="1"/>
      <c r="LBI237" s="1"/>
      <c r="LBJ237" s="1"/>
      <c r="LBK237" s="1"/>
      <c r="LBL237" s="1"/>
      <c r="LBM237" s="1"/>
      <c r="LBN237" s="1"/>
      <c r="LBO237" s="1"/>
      <c r="LBP237" s="1"/>
      <c r="LBQ237" s="1"/>
      <c r="LBR237" s="1"/>
      <c r="LBS237" s="1"/>
      <c r="LBT237" s="1"/>
      <c r="LBU237" s="1"/>
      <c r="LBV237" s="1"/>
      <c r="LBW237" s="1"/>
      <c r="LBX237" s="1"/>
      <c r="LBY237" s="1"/>
      <c r="LBZ237" s="1"/>
      <c r="LCA237" s="1"/>
      <c r="LCB237" s="1"/>
      <c r="LCC237" s="1"/>
      <c r="LCD237" s="1"/>
      <c r="LCE237" s="1"/>
      <c r="LCF237" s="1"/>
      <c r="LCG237" s="1"/>
      <c r="LCH237" s="1"/>
      <c r="LCI237" s="1"/>
      <c r="LCJ237" s="1"/>
      <c r="LCK237" s="1"/>
      <c r="LCL237" s="1"/>
      <c r="LCM237" s="1"/>
      <c r="LCN237" s="1"/>
      <c r="LCO237" s="1"/>
      <c r="LCP237" s="1"/>
      <c r="LCQ237" s="1"/>
      <c r="LCR237" s="1"/>
      <c r="LCS237" s="1"/>
      <c r="LCT237" s="1"/>
      <c r="LCU237" s="1"/>
      <c r="LCV237" s="1"/>
      <c r="LCW237" s="1"/>
      <c r="LCX237" s="1"/>
      <c r="LCY237" s="1"/>
      <c r="LCZ237" s="1"/>
      <c r="LDA237" s="1"/>
      <c r="LDB237" s="1"/>
      <c r="LDC237" s="1"/>
      <c r="LDD237" s="1"/>
      <c r="LDE237" s="1"/>
      <c r="LDF237" s="1"/>
      <c r="LDG237" s="1"/>
      <c r="LDH237" s="1"/>
      <c r="LDI237" s="1"/>
      <c r="LDJ237" s="1"/>
      <c r="LDK237" s="1"/>
      <c r="LDL237" s="1"/>
      <c r="LDM237" s="1"/>
      <c r="LDN237" s="1"/>
      <c r="LDO237" s="1"/>
      <c r="LDP237" s="1"/>
      <c r="LDQ237" s="1"/>
      <c r="LDR237" s="1"/>
      <c r="LDS237" s="1"/>
      <c r="LDT237" s="1"/>
      <c r="LDU237" s="1"/>
      <c r="LDV237" s="1"/>
      <c r="LDW237" s="1"/>
      <c r="LDX237" s="1"/>
      <c r="LDY237" s="1"/>
      <c r="LDZ237" s="1"/>
      <c r="LEA237" s="1"/>
      <c r="LEB237" s="1"/>
      <c r="LEC237" s="1"/>
      <c r="LED237" s="1"/>
      <c r="LEE237" s="1"/>
      <c r="LEF237" s="1"/>
      <c r="LEG237" s="1"/>
      <c r="LEH237" s="1"/>
      <c r="LEI237" s="1"/>
      <c r="LEJ237" s="1"/>
      <c r="LEK237" s="1"/>
      <c r="LEL237" s="1"/>
      <c r="LEM237" s="1"/>
      <c r="LEN237" s="1"/>
      <c r="LEO237" s="1"/>
      <c r="LEP237" s="1"/>
      <c r="LEQ237" s="1"/>
      <c r="LER237" s="1"/>
      <c r="LES237" s="1"/>
      <c r="LET237" s="1"/>
      <c r="LEU237" s="1"/>
      <c r="LEV237" s="1"/>
      <c r="LEW237" s="1"/>
      <c r="LEX237" s="1"/>
      <c r="LEY237" s="1"/>
      <c r="LEZ237" s="1"/>
      <c r="LFA237" s="1"/>
      <c r="LFB237" s="1"/>
      <c r="LFC237" s="1"/>
      <c r="LFD237" s="1"/>
      <c r="LFE237" s="1"/>
      <c r="LFF237" s="1"/>
      <c r="LFG237" s="1"/>
      <c r="LFH237" s="1"/>
      <c r="LFI237" s="1"/>
      <c r="LFJ237" s="1"/>
      <c r="LFK237" s="1"/>
      <c r="LFL237" s="1"/>
      <c r="LFM237" s="1"/>
      <c r="LFN237" s="1"/>
      <c r="LFO237" s="1"/>
      <c r="LFP237" s="1"/>
      <c r="LFQ237" s="1"/>
      <c r="LFR237" s="1"/>
      <c r="LFS237" s="1"/>
      <c r="LFT237" s="1"/>
      <c r="LFU237" s="1"/>
      <c r="LFV237" s="1"/>
      <c r="LFW237" s="1"/>
      <c r="LFX237" s="1"/>
      <c r="LFY237" s="1"/>
      <c r="LFZ237" s="1"/>
      <c r="LGA237" s="1"/>
      <c r="LGB237" s="1"/>
      <c r="LGC237" s="1"/>
      <c r="LGD237" s="1"/>
      <c r="LGE237" s="1"/>
      <c r="LGF237" s="1"/>
      <c r="LGG237" s="1"/>
      <c r="LGH237" s="1"/>
      <c r="LGI237" s="1"/>
      <c r="LGJ237" s="1"/>
      <c r="LGK237" s="1"/>
      <c r="LGL237" s="1"/>
      <c r="LGM237" s="1"/>
      <c r="LGN237" s="1"/>
      <c r="LGO237" s="1"/>
      <c r="LGP237" s="1"/>
      <c r="LGQ237" s="1"/>
      <c r="LGR237" s="1"/>
      <c r="LGS237" s="1"/>
      <c r="LGT237" s="1"/>
      <c r="LGU237" s="1"/>
      <c r="LGV237" s="1"/>
      <c r="LGW237" s="1"/>
      <c r="LGX237" s="1"/>
      <c r="LGY237" s="1"/>
      <c r="LGZ237" s="1"/>
      <c r="LHA237" s="1"/>
      <c r="LHB237" s="1"/>
      <c r="LHC237" s="1"/>
      <c r="LHD237" s="1"/>
      <c r="LHE237" s="1"/>
      <c r="LHF237" s="1"/>
      <c r="LHG237" s="1"/>
      <c r="LHH237" s="1"/>
      <c r="LHI237" s="1"/>
      <c r="LHJ237" s="1"/>
      <c r="LHK237" s="1"/>
      <c r="LHL237" s="1"/>
      <c r="LHM237" s="1"/>
      <c r="LHN237" s="1"/>
      <c r="LHO237" s="1"/>
      <c r="LHP237" s="1"/>
      <c r="LHQ237" s="1"/>
      <c r="LHR237" s="1"/>
      <c r="LHS237" s="1"/>
      <c r="LHT237" s="1"/>
      <c r="LHU237" s="1"/>
      <c r="LHV237" s="1"/>
      <c r="LHW237" s="1"/>
      <c r="LHX237" s="1"/>
      <c r="LHY237" s="1"/>
      <c r="LHZ237" s="1"/>
      <c r="LIA237" s="1"/>
      <c r="LIB237" s="1"/>
      <c r="LIC237" s="1"/>
      <c r="LID237" s="1"/>
      <c r="LIE237" s="1"/>
      <c r="LIF237" s="1"/>
      <c r="LIG237" s="1"/>
      <c r="LIH237" s="1"/>
      <c r="LII237" s="1"/>
      <c r="LIJ237" s="1"/>
      <c r="LIK237" s="1"/>
      <c r="LIL237" s="1"/>
      <c r="LIM237" s="1"/>
      <c r="LIN237" s="1"/>
      <c r="LIO237" s="1"/>
      <c r="LIP237" s="1"/>
      <c r="LIQ237" s="1"/>
      <c r="LIR237" s="1"/>
      <c r="LIS237" s="1"/>
      <c r="LIT237" s="1"/>
      <c r="LIU237" s="1"/>
      <c r="LIV237" s="1"/>
      <c r="LIW237" s="1"/>
      <c r="LIX237" s="1"/>
      <c r="LIY237" s="1"/>
      <c r="LIZ237" s="1"/>
      <c r="LJA237" s="1"/>
      <c r="LJB237" s="1"/>
      <c r="LJC237" s="1"/>
      <c r="LJD237" s="1"/>
      <c r="LJE237" s="1"/>
      <c r="LJF237" s="1"/>
      <c r="LJG237" s="1"/>
      <c r="LJH237" s="1"/>
      <c r="LJI237" s="1"/>
      <c r="LJJ237" s="1"/>
      <c r="LJK237" s="1"/>
      <c r="LJL237" s="1"/>
      <c r="LJM237" s="1"/>
      <c r="LJN237" s="1"/>
      <c r="LJO237" s="1"/>
      <c r="LJP237" s="1"/>
      <c r="LJQ237" s="1"/>
      <c r="LJR237" s="1"/>
      <c r="LJS237" s="1"/>
      <c r="LJT237" s="1"/>
      <c r="LJU237" s="1"/>
      <c r="LJV237" s="1"/>
      <c r="LJW237" s="1"/>
      <c r="LJX237" s="1"/>
      <c r="LJY237" s="1"/>
      <c r="LJZ237" s="1"/>
      <c r="LKA237" s="1"/>
      <c r="LKB237" s="1"/>
      <c r="LKC237" s="1"/>
      <c r="LKD237" s="1"/>
      <c r="LKE237" s="1"/>
      <c r="LKF237" s="1"/>
      <c r="LKG237" s="1"/>
      <c r="LKH237" s="1"/>
      <c r="LKI237" s="1"/>
      <c r="LKJ237" s="1"/>
      <c r="LKK237" s="1"/>
      <c r="LKL237" s="1"/>
      <c r="LKM237" s="1"/>
      <c r="LKN237" s="1"/>
      <c r="LKO237" s="1"/>
      <c r="LKP237" s="1"/>
      <c r="LKQ237" s="1"/>
      <c r="LKR237" s="1"/>
      <c r="LKS237" s="1"/>
      <c r="LKT237" s="1"/>
      <c r="LKU237" s="1"/>
      <c r="LKV237" s="1"/>
      <c r="LKW237" s="1"/>
      <c r="LKX237" s="1"/>
      <c r="LKY237" s="1"/>
      <c r="LKZ237" s="1"/>
      <c r="LLA237" s="1"/>
      <c r="LLB237" s="1"/>
      <c r="LLC237" s="1"/>
      <c r="LLD237" s="1"/>
      <c r="LLE237" s="1"/>
      <c r="LLF237" s="1"/>
      <c r="LLG237" s="1"/>
      <c r="LLH237" s="1"/>
      <c r="LLI237" s="1"/>
      <c r="LLJ237" s="1"/>
      <c r="LLK237" s="1"/>
      <c r="LLL237" s="1"/>
      <c r="LLM237" s="1"/>
      <c r="LLN237" s="1"/>
      <c r="LLO237" s="1"/>
      <c r="LLP237" s="1"/>
      <c r="LLQ237" s="1"/>
      <c r="LLR237" s="1"/>
      <c r="LLS237" s="1"/>
      <c r="LLT237" s="1"/>
      <c r="LLU237" s="1"/>
      <c r="LLV237" s="1"/>
      <c r="LLW237" s="1"/>
      <c r="LLX237" s="1"/>
      <c r="LLY237" s="1"/>
      <c r="LLZ237" s="1"/>
      <c r="LMA237" s="1"/>
      <c r="LMB237" s="1"/>
      <c r="LMC237" s="1"/>
      <c r="LMD237" s="1"/>
      <c r="LME237" s="1"/>
      <c r="LMF237" s="1"/>
      <c r="LMG237" s="1"/>
      <c r="LMH237" s="1"/>
      <c r="LMI237" s="1"/>
      <c r="LMJ237" s="1"/>
      <c r="LMK237" s="1"/>
      <c r="LML237" s="1"/>
      <c r="LMM237" s="1"/>
      <c r="LMN237" s="1"/>
      <c r="LMO237" s="1"/>
      <c r="LMP237" s="1"/>
      <c r="LMQ237" s="1"/>
      <c r="LMR237" s="1"/>
      <c r="LMS237" s="1"/>
      <c r="LMT237" s="1"/>
      <c r="LMU237" s="1"/>
      <c r="LMV237" s="1"/>
      <c r="LMW237" s="1"/>
      <c r="LMX237" s="1"/>
      <c r="LMY237" s="1"/>
      <c r="LMZ237" s="1"/>
      <c r="LNA237" s="1"/>
      <c r="LNB237" s="1"/>
      <c r="LNC237" s="1"/>
      <c r="LND237" s="1"/>
      <c r="LNE237" s="1"/>
      <c r="LNF237" s="1"/>
      <c r="LNG237" s="1"/>
      <c r="LNH237" s="1"/>
      <c r="LNI237" s="1"/>
      <c r="LNJ237" s="1"/>
      <c r="LNK237" s="1"/>
      <c r="LNL237" s="1"/>
      <c r="LNM237" s="1"/>
      <c r="LNN237" s="1"/>
      <c r="LNO237" s="1"/>
      <c r="LNP237" s="1"/>
      <c r="LNQ237" s="1"/>
      <c r="LNR237" s="1"/>
      <c r="LNS237" s="1"/>
      <c r="LNT237" s="1"/>
      <c r="LNU237" s="1"/>
      <c r="LNV237" s="1"/>
      <c r="LNW237" s="1"/>
      <c r="LNX237" s="1"/>
      <c r="LNY237" s="1"/>
      <c r="LNZ237" s="1"/>
      <c r="LOA237" s="1"/>
      <c r="LOB237" s="1"/>
      <c r="LOC237" s="1"/>
      <c r="LOD237" s="1"/>
      <c r="LOE237" s="1"/>
      <c r="LOF237" s="1"/>
      <c r="LOG237" s="1"/>
      <c r="LOH237" s="1"/>
      <c r="LOI237" s="1"/>
      <c r="LOJ237" s="1"/>
      <c r="LOK237" s="1"/>
      <c r="LOL237" s="1"/>
      <c r="LOM237" s="1"/>
      <c r="LON237" s="1"/>
      <c r="LOO237" s="1"/>
      <c r="LOP237" s="1"/>
      <c r="LOQ237" s="1"/>
      <c r="LOR237" s="1"/>
      <c r="LOS237" s="1"/>
      <c r="LOT237" s="1"/>
      <c r="LOU237" s="1"/>
      <c r="LOV237" s="1"/>
      <c r="LOW237" s="1"/>
      <c r="LOX237" s="1"/>
      <c r="LOY237" s="1"/>
      <c r="LOZ237" s="1"/>
      <c r="LPA237" s="1"/>
      <c r="LPB237" s="1"/>
      <c r="LPC237" s="1"/>
      <c r="LPD237" s="1"/>
      <c r="LPE237" s="1"/>
      <c r="LPF237" s="1"/>
      <c r="LPG237" s="1"/>
      <c r="LPH237" s="1"/>
      <c r="LPI237" s="1"/>
      <c r="LPJ237" s="1"/>
      <c r="LPK237" s="1"/>
      <c r="LPL237" s="1"/>
      <c r="LPM237" s="1"/>
      <c r="LPN237" s="1"/>
      <c r="LPO237" s="1"/>
      <c r="LPP237" s="1"/>
      <c r="LPQ237" s="1"/>
      <c r="LPR237" s="1"/>
      <c r="LPS237" s="1"/>
      <c r="LPT237" s="1"/>
      <c r="LPU237" s="1"/>
      <c r="LPV237" s="1"/>
      <c r="LPW237" s="1"/>
      <c r="LPX237" s="1"/>
      <c r="LPY237" s="1"/>
      <c r="LPZ237" s="1"/>
      <c r="LQA237" s="1"/>
      <c r="LQB237" s="1"/>
      <c r="LQC237" s="1"/>
      <c r="LQD237" s="1"/>
      <c r="LQE237" s="1"/>
      <c r="LQF237" s="1"/>
      <c r="LQG237" s="1"/>
      <c r="LQH237" s="1"/>
      <c r="LQI237" s="1"/>
      <c r="LQJ237" s="1"/>
      <c r="LQK237" s="1"/>
      <c r="LQL237" s="1"/>
      <c r="LQM237" s="1"/>
      <c r="LQN237" s="1"/>
      <c r="LQO237" s="1"/>
      <c r="LQP237" s="1"/>
      <c r="LQQ237" s="1"/>
      <c r="LQR237" s="1"/>
      <c r="LQS237" s="1"/>
      <c r="LQT237" s="1"/>
      <c r="LQU237" s="1"/>
      <c r="LQV237" s="1"/>
      <c r="LQW237" s="1"/>
      <c r="LQX237" s="1"/>
      <c r="LQY237" s="1"/>
      <c r="LQZ237" s="1"/>
      <c r="LRA237" s="1"/>
      <c r="LRB237" s="1"/>
      <c r="LRC237" s="1"/>
      <c r="LRD237" s="1"/>
      <c r="LRE237" s="1"/>
      <c r="LRF237" s="1"/>
      <c r="LRG237" s="1"/>
      <c r="LRH237" s="1"/>
      <c r="LRI237" s="1"/>
      <c r="LRJ237" s="1"/>
      <c r="LRK237" s="1"/>
      <c r="LRL237" s="1"/>
      <c r="LRM237" s="1"/>
      <c r="LRN237" s="1"/>
      <c r="LRO237" s="1"/>
      <c r="LRP237" s="1"/>
      <c r="LRQ237" s="1"/>
      <c r="LRR237" s="1"/>
      <c r="LRS237" s="1"/>
      <c r="LRT237" s="1"/>
      <c r="LRU237" s="1"/>
      <c r="LRV237" s="1"/>
      <c r="LRW237" s="1"/>
      <c r="LRX237" s="1"/>
      <c r="LRY237" s="1"/>
      <c r="LRZ237" s="1"/>
      <c r="LSA237" s="1"/>
      <c r="LSB237" s="1"/>
      <c r="LSC237" s="1"/>
      <c r="LSD237" s="1"/>
      <c r="LSE237" s="1"/>
      <c r="LSF237" s="1"/>
      <c r="LSG237" s="1"/>
      <c r="LSH237" s="1"/>
      <c r="LSI237" s="1"/>
      <c r="LSJ237" s="1"/>
      <c r="LSK237" s="1"/>
      <c r="LSL237" s="1"/>
      <c r="LSM237" s="1"/>
      <c r="LSN237" s="1"/>
      <c r="LSO237" s="1"/>
      <c r="LSP237" s="1"/>
      <c r="LSQ237" s="1"/>
      <c r="LSR237" s="1"/>
      <c r="LSS237" s="1"/>
      <c r="LST237" s="1"/>
      <c r="LSU237" s="1"/>
      <c r="LSV237" s="1"/>
      <c r="LSW237" s="1"/>
      <c r="LSX237" s="1"/>
      <c r="LSY237" s="1"/>
      <c r="LSZ237" s="1"/>
      <c r="LTA237" s="1"/>
      <c r="LTB237" s="1"/>
      <c r="LTC237" s="1"/>
      <c r="LTD237" s="1"/>
      <c r="LTE237" s="1"/>
      <c r="LTF237" s="1"/>
      <c r="LTG237" s="1"/>
      <c r="LTH237" s="1"/>
      <c r="LTI237" s="1"/>
      <c r="LTJ237" s="1"/>
      <c r="LTK237" s="1"/>
      <c r="LTL237" s="1"/>
      <c r="LTM237" s="1"/>
      <c r="LTN237" s="1"/>
      <c r="LTO237" s="1"/>
      <c r="LTP237" s="1"/>
      <c r="LTQ237" s="1"/>
      <c r="LTR237" s="1"/>
      <c r="LTS237" s="1"/>
      <c r="LTT237" s="1"/>
      <c r="LTU237" s="1"/>
      <c r="LTV237" s="1"/>
      <c r="LTW237" s="1"/>
      <c r="LTX237" s="1"/>
      <c r="LTY237" s="1"/>
      <c r="LTZ237" s="1"/>
      <c r="LUA237" s="1"/>
      <c r="LUB237" s="1"/>
      <c r="LUC237" s="1"/>
      <c r="LUD237" s="1"/>
      <c r="LUE237" s="1"/>
      <c r="LUF237" s="1"/>
      <c r="LUG237" s="1"/>
      <c r="LUH237" s="1"/>
      <c r="LUI237" s="1"/>
      <c r="LUJ237" s="1"/>
      <c r="LUK237" s="1"/>
      <c r="LUL237" s="1"/>
      <c r="LUM237" s="1"/>
      <c r="LUN237" s="1"/>
      <c r="LUO237" s="1"/>
      <c r="LUP237" s="1"/>
      <c r="LUQ237" s="1"/>
      <c r="LUR237" s="1"/>
      <c r="LUS237" s="1"/>
      <c r="LUT237" s="1"/>
      <c r="LUU237" s="1"/>
      <c r="LUV237" s="1"/>
      <c r="LUW237" s="1"/>
      <c r="LUX237" s="1"/>
      <c r="LUY237" s="1"/>
      <c r="LUZ237" s="1"/>
      <c r="LVA237" s="1"/>
      <c r="LVB237" s="1"/>
      <c r="LVC237" s="1"/>
      <c r="LVD237" s="1"/>
      <c r="LVE237" s="1"/>
      <c r="LVF237" s="1"/>
      <c r="LVG237" s="1"/>
      <c r="LVH237" s="1"/>
      <c r="LVI237" s="1"/>
      <c r="LVJ237" s="1"/>
      <c r="LVK237" s="1"/>
      <c r="LVL237" s="1"/>
      <c r="LVM237" s="1"/>
      <c r="LVN237" s="1"/>
      <c r="LVO237" s="1"/>
      <c r="LVP237" s="1"/>
      <c r="LVQ237" s="1"/>
      <c r="LVR237" s="1"/>
      <c r="LVS237" s="1"/>
      <c r="LVT237" s="1"/>
      <c r="LVU237" s="1"/>
      <c r="LVV237" s="1"/>
      <c r="LVW237" s="1"/>
      <c r="LVX237" s="1"/>
      <c r="LVY237" s="1"/>
      <c r="LVZ237" s="1"/>
      <c r="LWA237" s="1"/>
      <c r="LWB237" s="1"/>
      <c r="LWC237" s="1"/>
      <c r="LWD237" s="1"/>
      <c r="LWE237" s="1"/>
      <c r="LWF237" s="1"/>
      <c r="LWG237" s="1"/>
      <c r="LWH237" s="1"/>
      <c r="LWI237" s="1"/>
      <c r="LWJ237" s="1"/>
      <c r="LWK237" s="1"/>
      <c r="LWL237" s="1"/>
      <c r="LWM237" s="1"/>
      <c r="LWN237" s="1"/>
      <c r="LWO237" s="1"/>
      <c r="LWP237" s="1"/>
      <c r="LWQ237" s="1"/>
      <c r="LWR237" s="1"/>
      <c r="LWS237" s="1"/>
      <c r="LWT237" s="1"/>
      <c r="LWU237" s="1"/>
      <c r="LWV237" s="1"/>
      <c r="LWW237" s="1"/>
      <c r="LWX237" s="1"/>
      <c r="LWY237" s="1"/>
      <c r="LWZ237" s="1"/>
      <c r="LXA237" s="1"/>
      <c r="LXB237" s="1"/>
      <c r="LXC237" s="1"/>
      <c r="LXD237" s="1"/>
      <c r="LXE237" s="1"/>
      <c r="LXF237" s="1"/>
      <c r="LXG237" s="1"/>
      <c r="LXH237" s="1"/>
      <c r="LXI237" s="1"/>
      <c r="LXJ237" s="1"/>
      <c r="LXK237" s="1"/>
      <c r="LXL237" s="1"/>
      <c r="LXM237" s="1"/>
      <c r="LXN237" s="1"/>
      <c r="LXO237" s="1"/>
      <c r="LXP237" s="1"/>
      <c r="LXQ237" s="1"/>
      <c r="LXR237" s="1"/>
      <c r="LXS237" s="1"/>
      <c r="LXT237" s="1"/>
      <c r="LXU237" s="1"/>
      <c r="LXV237" s="1"/>
      <c r="LXW237" s="1"/>
      <c r="LXX237" s="1"/>
      <c r="LXY237" s="1"/>
      <c r="LXZ237" s="1"/>
      <c r="LYA237" s="1"/>
      <c r="LYB237" s="1"/>
      <c r="LYC237" s="1"/>
      <c r="LYD237" s="1"/>
      <c r="LYE237" s="1"/>
      <c r="LYF237" s="1"/>
      <c r="LYG237" s="1"/>
      <c r="LYH237" s="1"/>
      <c r="LYI237" s="1"/>
      <c r="LYJ237" s="1"/>
      <c r="LYK237" s="1"/>
      <c r="LYL237" s="1"/>
      <c r="LYM237" s="1"/>
      <c r="LYN237" s="1"/>
      <c r="LYO237" s="1"/>
      <c r="LYP237" s="1"/>
      <c r="LYQ237" s="1"/>
      <c r="LYR237" s="1"/>
      <c r="LYS237" s="1"/>
      <c r="LYT237" s="1"/>
      <c r="LYU237" s="1"/>
      <c r="LYV237" s="1"/>
      <c r="LYW237" s="1"/>
      <c r="LYX237" s="1"/>
      <c r="LYY237" s="1"/>
      <c r="LYZ237" s="1"/>
      <c r="LZA237" s="1"/>
      <c r="LZB237" s="1"/>
      <c r="LZC237" s="1"/>
      <c r="LZD237" s="1"/>
      <c r="LZE237" s="1"/>
      <c r="LZF237" s="1"/>
      <c r="LZG237" s="1"/>
      <c r="LZH237" s="1"/>
      <c r="LZI237" s="1"/>
      <c r="LZJ237" s="1"/>
      <c r="LZK237" s="1"/>
      <c r="LZL237" s="1"/>
      <c r="LZM237" s="1"/>
      <c r="LZN237" s="1"/>
      <c r="LZO237" s="1"/>
      <c r="LZP237" s="1"/>
      <c r="LZQ237" s="1"/>
      <c r="LZR237" s="1"/>
      <c r="LZS237" s="1"/>
      <c r="LZT237" s="1"/>
      <c r="LZU237" s="1"/>
      <c r="LZV237" s="1"/>
      <c r="LZW237" s="1"/>
      <c r="LZX237" s="1"/>
      <c r="LZY237" s="1"/>
      <c r="LZZ237" s="1"/>
      <c r="MAA237" s="1"/>
      <c r="MAB237" s="1"/>
      <c r="MAC237" s="1"/>
      <c r="MAD237" s="1"/>
      <c r="MAE237" s="1"/>
      <c r="MAF237" s="1"/>
      <c r="MAG237" s="1"/>
      <c r="MAH237" s="1"/>
      <c r="MAI237" s="1"/>
      <c r="MAJ237" s="1"/>
      <c r="MAK237" s="1"/>
      <c r="MAL237" s="1"/>
      <c r="MAM237" s="1"/>
      <c r="MAN237" s="1"/>
      <c r="MAO237" s="1"/>
      <c r="MAP237" s="1"/>
      <c r="MAQ237" s="1"/>
      <c r="MAR237" s="1"/>
      <c r="MAS237" s="1"/>
      <c r="MAT237" s="1"/>
      <c r="MAU237" s="1"/>
      <c r="MAV237" s="1"/>
      <c r="MAW237" s="1"/>
      <c r="MAX237" s="1"/>
      <c r="MAY237" s="1"/>
      <c r="MAZ237" s="1"/>
      <c r="MBA237" s="1"/>
      <c r="MBB237" s="1"/>
      <c r="MBC237" s="1"/>
      <c r="MBD237" s="1"/>
      <c r="MBE237" s="1"/>
      <c r="MBF237" s="1"/>
      <c r="MBG237" s="1"/>
      <c r="MBH237" s="1"/>
      <c r="MBI237" s="1"/>
      <c r="MBJ237" s="1"/>
      <c r="MBK237" s="1"/>
      <c r="MBL237" s="1"/>
      <c r="MBM237" s="1"/>
      <c r="MBN237" s="1"/>
      <c r="MBO237" s="1"/>
      <c r="MBP237" s="1"/>
      <c r="MBQ237" s="1"/>
      <c r="MBR237" s="1"/>
      <c r="MBS237" s="1"/>
      <c r="MBT237" s="1"/>
      <c r="MBU237" s="1"/>
      <c r="MBV237" s="1"/>
      <c r="MBW237" s="1"/>
      <c r="MBX237" s="1"/>
      <c r="MBY237" s="1"/>
      <c r="MBZ237" s="1"/>
      <c r="MCA237" s="1"/>
      <c r="MCB237" s="1"/>
      <c r="MCC237" s="1"/>
      <c r="MCD237" s="1"/>
      <c r="MCE237" s="1"/>
      <c r="MCF237" s="1"/>
      <c r="MCG237" s="1"/>
      <c r="MCH237" s="1"/>
      <c r="MCI237" s="1"/>
      <c r="MCJ237" s="1"/>
      <c r="MCK237" s="1"/>
      <c r="MCL237" s="1"/>
      <c r="MCM237" s="1"/>
      <c r="MCN237" s="1"/>
      <c r="MCO237" s="1"/>
      <c r="MCP237" s="1"/>
      <c r="MCQ237" s="1"/>
      <c r="MCR237" s="1"/>
      <c r="MCS237" s="1"/>
      <c r="MCT237" s="1"/>
      <c r="MCU237" s="1"/>
      <c r="MCV237" s="1"/>
      <c r="MCW237" s="1"/>
      <c r="MCX237" s="1"/>
      <c r="MCY237" s="1"/>
      <c r="MCZ237" s="1"/>
      <c r="MDA237" s="1"/>
      <c r="MDB237" s="1"/>
      <c r="MDC237" s="1"/>
      <c r="MDD237" s="1"/>
      <c r="MDE237" s="1"/>
      <c r="MDF237" s="1"/>
      <c r="MDG237" s="1"/>
      <c r="MDH237" s="1"/>
      <c r="MDI237" s="1"/>
      <c r="MDJ237" s="1"/>
      <c r="MDK237" s="1"/>
      <c r="MDL237" s="1"/>
      <c r="MDM237" s="1"/>
      <c r="MDN237" s="1"/>
      <c r="MDO237" s="1"/>
      <c r="MDP237" s="1"/>
      <c r="MDQ237" s="1"/>
      <c r="MDR237" s="1"/>
      <c r="MDS237" s="1"/>
      <c r="MDT237" s="1"/>
      <c r="MDU237" s="1"/>
      <c r="MDV237" s="1"/>
      <c r="MDW237" s="1"/>
      <c r="MDX237" s="1"/>
      <c r="MDY237" s="1"/>
      <c r="MDZ237" s="1"/>
      <c r="MEA237" s="1"/>
      <c r="MEB237" s="1"/>
      <c r="MEC237" s="1"/>
      <c r="MED237" s="1"/>
      <c r="MEE237" s="1"/>
      <c r="MEF237" s="1"/>
      <c r="MEG237" s="1"/>
      <c r="MEH237" s="1"/>
      <c r="MEI237" s="1"/>
      <c r="MEJ237" s="1"/>
      <c r="MEK237" s="1"/>
      <c r="MEL237" s="1"/>
      <c r="MEM237" s="1"/>
      <c r="MEN237" s="1"/>
      <c r="MEO237" s="1"/>
      <c r="MEP237" s="1"/>
      <c r="MEQ237" s="1"/>
      <c r="MER237" s="1"/>
      <c r="MES237" s="1"/>
      <c r="MET237" s="1"/>
      <c r="MEU237" s="1"/>
      <c r="MEV237" s="1"/>
      <c r="MEW237" s="1"/>
      <c r="MEX237" s="1"/>
      <c r="MEY237" s="1"/>
      <c r="MEZ237" s="1"/>
      <c r="MFA237" s="1"/>
      <c r="MFB237" s="1"/>
      <c r="MFC237" s="1"/>
      <c r="MFD237" s="1"/>
      <c r="MFE237" s="1"/>
      <c r="MFF237" s="1"/>
      <c r="MFG237" s="1"/>
      <c r="MFH237" s="1"/>
      <c r="MFI237" s="1"/>
      <c r="MFJ237" s="1"/>
      <c r="MFK237" s="1"/>
      <c r="MFL237" s="1"/>
      <c r="MFM237" s="1"/>
      <c r="MFN237" s="1"/>
      <c r="MFO237" s="1"/>
      <c r="MFP237" s="1"/>
      <c r="MFQ237" s="1"/>
      <c r="MFR237" s="1"/>
      <c r="MFS237" s="1"/>
      <c r="MFT237" s="1"/>
      <c r="MFU237" s="1"/>
      <c r="MFV237" s="1"/>
      <c r="MFW237" s="1"/>
      <c r="MFX237" s="1"/>
      <c r="MFY237" s="1"/>
      <c r="MFZ237" s="1"/>
      <c r="MGA237" s="1"/>
      <c r="MGB237" s="1"/>
      <c r="MGC237" s="1"/>
      <c r="MGD237" s="1"/>
      <c r="MGE237" s="1"/>
      <c r="MGF237" s="1"/>
      <c r="MGG237" s="1"/>
      <c r="MGH237" s="1"/>
      <c r="MGI237" s="1"/>
      <c r="MGJ237" s="1"/>
      <c r="MGK237" s="1"/>
      <c r="MGL237" s="1"/>
      <c r="MGM237" s="1"/>
      <c r="MGN237" s="1"/>
      <c r="MGO237" s="1"/>
      <c r="MGP237" s="1"/>
      <c r="MGQ237" s="1"/>
      <c r="MGR237" s="1"/>
      <c r="MGS237" s="1"/>
      <c r="MGT237" s="1"/>
      <c r="MGU237" s="1"/>
      <c r="MGV237" s="1"/>
      <c r="MGW237" s="1"/>
      <c r="MGX237" s="1"/>
      <c r="MGY237" s="1"/>
      <c r="MGZ237" s="1"/>
      <c r="MHA237" s="1"/>
      <c r="MHB237" s="1"/>
      <c r="MHC237" s="1"/>
      <c r="MHD237" s="1"/>
      <c r="MHE237" s="1"/>
      <c r="MHF237" s="1"/>
      <c r="MHG237" s="1"/>
      <c r="MHH237" s="1"/>
      <c r="MHI237" s="1"/>
      <c r="MHJ237" s="1"/>
      <c r="MHK237" s="1"/>
      <c r="MHL237" s="1"/>
      <c r="MHM237" s="1"/>
      <c r="MHN237" s="1"/>
      <c r="MHO237" s="1"/>
      <c r="MHP237" s="1"/>
      <c r="MHQ237" s="1"/>
      <c r="MHR237" s="1"/>
      <c r="MHS237" s="1"/>
      <c r="MHT237" s="1"/>
      <c r="MHU237" s="1"/>
      <c r="MHV237" s="1"/>
      <c r="MHW237" s="1"/>
      <c r="MHX237" s="1"/>
      <c r="MHY237" s="1"/>
      <c r="MHZ237" s="1"/>
      <c r="MIA237" s="1"/>
      <c r="MIB237" s="1"/>
      <c r="MIC237" s="1"/>
      <c r="MID237" s="1"/>
      <c r="MIE237" s="1"/>
      <c r="MIF237" s="1"/>
      <c r="MIG237" s="1"/>
      <c r="MIH237" s="1"/>
      <c r="MII237" s="1"/>
      <c r="MIJ237" s="1"/>
      <c r="MIK237" s="1"/>
      <c r="MIL237" s="1"/>
      <c r="MIM237" s="1"/>
      <c r="MIN237" s="1"/>
      <c r="MIO237" s="1"/>
      <c r="MIP237" s="1"/>
      <c r="MIQ237" s="1"/>
      <c r="MIR237" s="1"/>
      <c r="MIS237" s="1"/>
      <c r="MIT237" s="1"/>
      <c r="MIU237" s="1"/>
      <c r="MIV237" s="1"/>
      <c r="MIW237" s="1"/>
      <c r="MIX237" s="1"/>
      <c r="MIY237" s="1"/>
      <c r="MIZ237" s="1"/>
      <c r="MJA237" s="1"/>
      <c r="MJB237" s="1"/>
      <c r="MJC237" s="1"/>
      <c r="MJD237" s="1"/>
      <c r="MJE237" s="1"/>
      <c r="MJF237" s="1"/>
      <c r="MJG237" s="1"/>
      <c r="MJH237" s="1"/>
      <c r="MJI237" s="1"/>
      <c r="MJJ237" s="1"/>
      <c r="MJK237" s="1"/>
      <c r="MJL237" s="1"/>
      <c r="MJM237" s="1"/>
      <c r="MJN237" s="1"/>
      <c r="MJO237" s="1"/>
      <c r="MJP237" s="1"/>
      <c r="MJQ237" s="1"/>
      <c r="MJR237" s="1"/>
      <c r="MJS237" s="1"/>
      <c r="MJT237" s="1"/>
      <c r="MJU237" s="1"/>
      <c r="MJV237" s="1"/>
      <c r="MJW237" s="1"/>
      <c r="MJX237" s="1"/>
      <c r="MJY237" s="1"/>
      <c r="MJZ237" s="1"/>
      <c r="MKA237" s="1"/>
      <c r="MKB237" s="1"/>
      <c r="MKC237" s="1"/>
      <c r="MKD237" s="1"/>
      <c r="MKE237" s="1"/>
      <c r="MKF237" s="1"/>
      <c r="MKG237" s="1"/>
      <c r="MKH237" s="1"/>
      <c r="MKI237" s="1"/>
      <c r="MKJ237" s="1"/>
      <c r="MKK237" s="1"/>
      <c r="MKL237" s="1"/>
      <c r="MKM237" s="1"/>
      <c r="MKN237" s="1"/>
      <c r="MKO237" s="1"/>
      <c r="MKP237" s="1"/>
      <c r="MKQ237" s="1"/>
      <c r="MKR237" s="1"/>
      <c r="MKS237" s="1"/>
      <c r="MKT237" s="1"/>
      <c r="MKU237" s="1"/>
      <c r="MKV237" s="1"/>
      <c r="MKW237" s="1"/>
      <c r="MKX237" s="1"/>
      <c r="MKY237" s="1"/>
      <c r="MKZ237" s="1"/>
      <c r="MLA237" s="1"/>
      <c r="MLB237" s="1"/>
      <c r="MLC237" s="1"/>
      <c r="MLD237" s="1"/>
      <c r="MLE237" s="1"/>
      <c r="MLF237" s="1"/>
      <c r="MLG237" s="1"/>
      <c r="MLH237" s="1"/>
      <c r="MLI237" s="1"/>
      <c r="MLJ237" s="1"/>
      <c r="MLK237" s="1"/>
      <c r="MLL237" s="1"/>
      <c r="MLM237" s="1"/>
      <c r="MLN237" s="1"/>
      <c r="MLO237" s="1"/>
      <c r="MLP237" s="1"/>
      <c r="MLQ237" s="1"/>
      <c r="MLR237" s="1"/>
      <c r="MLS237" s="1"/>
      <c r="MLT237" s="1"/>
      <c r="MLU237" s="1"/>
      <c r="MLV237" s="1"/>
      <c r="MLW237" s="1"/>
      <c r="MLX237" s="1"/>
      <c r="MLY237" s="1"/>
      <c r="MLZ237" s="1"/>
      <c r="MMA237" s="1"/>
      <c r="MMB237" s="1"/>
      <c r="MMC237" s="1"/>
      <c r="MMD237" s="1"/>
      <c r="MME237" s="1"/>
      <c r="MMF237" s="1"/>
      <c r="MMG237" s="1"/>
      <c r="MMH237" s="1"/>
      <c r="MMI237" s="1"/>
      <c r="MMJ237" s="1"/>
      <c r="MMK237" s="1"/>
      <c r="MML237" s="1"/>
      <c r="MMM237" s="1"/>
      <c r="MMN237" s="1"/>
      <c r="MMO237" s="1"/>
      <c r="MMP237" s="1"/>
      <c r="MMQ237" s="1"/>
      <c r="MMR237" s="1"/>
      <c r="MMS237" s="1"/>
      <c r="MMT237" s="1"/>
      <c r="MMU237" s="1"/>
      <c r="MMV237" s="1"/>
      <c r="MMW237" s="1"/>
      <c r="MMX237" s="1"/>
      <c r="MMY237" s="1"/>
      <c r="MMZ237" s="1"/>
      <c r="MNA237" s="1"/>
      <c r="MNB237" s="1"/>
      <c r="MNC237" s="1"/>
      <c r="MND237" s="1"/>
      <c r="MNE237" s="1"/>
      <c r="MNF237" s="1"/>
      <c r="MNG237" s="1"/>
      <c r="MNH237" s="1"/>
      <c r="MNI237" s="1"/>
      <c r="MNJ237" s="1"/>
      <c r="MNK237" s="1"/>
      <c r="MNL237" s="1"/>
      <c r="MNM237" s="1"/>
      <c r="MNN237" s="1"/>
      <c r="MNO237" s="1"/>
      <c r="MNP237" s="1"/>
      <c r="MNQ237" s="1"/>
      <c r="MNR237" s="1"/>
      <c r="MNS237" s="1"/>
      <c r="MNT237" s="1"/>
      <c r="MNU237" s="1"/>
      <c r="MNV237" s="1"/>
      <c r="MNW237" s="1"/>
      <c r="MNX237" s="1"/>
      <c r="MNY237" s="1"/>
      <c r="MNZ237" s="1"/>
      <c r="MOA237" s="1"/>
      <c r="MOB237" s="1"/>
      <c r="MOC237" s="1"/>
      <c r="MOD237" s="1"/>
      <c r="MOE237" s="1"/>
      <c r="MOF237" s="1"/>
      <c r="MOG237" s="1"/>
      <c r="MOH237" s="1"/>
      <c r="MOI237" s="1"/>
      <c r="MOJ237" s="1"/>
      <c r="MOK237" s="1"/>
      <c r="MOL237" s="1"/>
      <c r="MOM237" s="1"/>
      <c r="MON237" s="1"/>
      <c r="MOO237" s="1"/>
      <c r="MOP237" s="1"/>
      <c r="MOQ237" s="1"/>
      <c r="MOR237" s="1"/>
      <c r="MOS237" s="1"/>
      <c r="MOT237" s="1"/>
      <c r="MOU237" s="1"/>
      <c r="MOV237" s="1"/>
      <c r="MOW237" s="1"/>
      <c r="MOX237" s="1"/>
      <c r="MOY237" s="1"/>
      <c r="MOZ237" s="1"/>
      <c r="MPA237" s="1"/>
      <c r="MPB237" s="1"/>
      <c r="MPC237" s="1"/>
      <c r="MPD237" s="1"/>
      <c r="MPE237" s="1"/>
      <c r="MPF237" s="1"/>
      <c r="MPG237" s="1"/>
      <c r="MPH237" s="1"/>
      <c r="MPI237" s="1"/>
      <c r="MPJ237" s="1"/>
      <c r="MPK237" s="1"/>
      <c r="MPL237" s="1"/>
      <c r="MPM237" s="1"/>
      <c r="MPN237" s="1"/>
      <c r="MPO237" s="1"/>
      <c r="MPP237" s="1"/>
      <c r="MPQ237" s="1"/>
      <c r="MPR237" s="1"/>
      <c r="MPS237" s="1"/>
      <c r="MPT237" s="1"/>
      <c r="MPU237" s="1"/>
      <c r="MPV237" s="1"/>
      <c r="MPW237" s="1"/>
      <c r="MPX237" s="1"/>
      <c r="MPY237" s="1"/>
      <c r="MPZ237" s="1"/>
      <c r="MQA237" s="1"/>
      <c r="MQB237" s="1"/>
      <c r="MQC237" s="1"/>
      <c r="MQD237" s="1"/>
      <c r="MQE237" s="1"/>
      <c r="MQF237" s="1"/>
      <c r="MQG237" s="1"/>
      <c r="MQH237" s="1"/>
      <c r="MQI237" s="1"/>
      <c r="MQJ237" s="1"/>
      <c r="MQK237" s="1"/>
      <c r="MQL237" s="1"/>
      <c r="MQM237" s="1"/>
      <c r="MQN237" s="1"/>
      <c r="MQO237" s="1"/>
      <c r="MQP237" s="1"/>
      <c r="MQQ237" s="1"/>
      <c r="MQR237" s="1"/>
      <c r="MQS237" s="1"/>
      <c r="MQT237" s="1"/>
      <c r="MQU237" s="1"/>
      <c r="MQV237" s="1"/>
      <c r="MQW237" s="1"/>
      <c r="MQX237" s="1"/>
      <c r="MQY237" s="1"/>
      <c r="MQZ237" s="1"/>
      <c r="MRA237" s="1"/>
      <c r="MRB237" s="1"/>
      <c r="MRC237" s="1"/>
      <c r="MRD237" s="1"/>
      <c r="MRE237" s="1"/>
      <c r="MRF237" s="1"/>
      <c r="MRG237" s="1"/>
      <c r="MRH237" s="1"/>
      <c r="MRI237" s="1"/>
      <c r="MRJ237" s="1"/>
      <c r="MRK237" s="1"/>
      <c r="MRL237" s="1"/>
      <c r="MRM237" s="1"/>
      <c r="MRN237" s="1"/>
      <c r="MRO237" s="1"/>
      <c r="MRP237" s="1"/>
      <c r="MRQ237" s="1"/>
      <c r="MRR237" s="1"/>
      <c r="MRS237" s="1"/>
      <c r="MRT237" s="1"/>
      <c r="MRU237" s="1"/>
      <c r="MRV237" s="1"/>
      <c r="MRW237" s="1"/>
      <c r="MRX237" s="1"/>
      <c r="MRY237" s="1"/>
      <c r="MRZ237" s="1"/>
      <c r="MSA237" s="1"/>
      <c r="MSB237" s="1"/>
      <c r="MSC237" s="1"/>
      <c r="MSD237" s="1"/>
      <c r="MSE237" s="1"/>
      <c r="MSF237" s="1"/>
      <c r="MSG237" s="1"/>
      <c r="MSH237" s="1"/>
      <c r="MSI237" s="1"/>
      <c r="MSJ237" s="1"/>
      <c r="MSK237" s="1"/>
      <c r="MSL237" s="1"/>
      <c r="MSM237" s="1"/>
      <c r="MSN237" s="1"/>
      <c r="MSO237" s="1"/>
      <c r="MSP237" s="1"/>
      <c r="MSQ237" s="1"/>
      <c r="MSR237" s="1"/>
      <c r="MSS237" s="1"/>
      <c r="MST237" s="1"/>
      <c r="MSU237" s="1"/>
      <c r="MSV237" s="1"/>
      <c r="MSW237" s="1"/>
      <c r="MSX237" s="1"/>
      <c r="MSY237" s="1"/>
      <c r="MSZ237" s="1"/>
      <c r="MTA237" s="1"/>
      <c r="MTB237" s="1"/>
      <c r="MTC237" s="1"/>
      <c r="MTD237" s="1"/>
      <c r="MTE237" s="1"/>
      <c r="MTF237" s="1"/>
      <c r="MTG237" s="1"/>
      <c r="MTH237" s="1"/>
      <c r="MTI237" s="1"/>
      <c r="MTJ237" s="1"/>
      <c r="MTK237" s="1"/>
      <c r="MTL237" s="1"/>
      <c r="MTM237" s="1"/>
      <c r="MTN237" s="1"/>
      <c r="MTO237" s="1"/>
      <c r="MTP237" s="1"/>
      <c r="MTQ237" s="1"/>
      <c r="MTR237" s="1"/>
      <c r="MTS237" s="1"/>
      <c r="MTT237" s="1"/>
      <c r="MTU237" s="1"/>
      <c r="MTV237" s="1"/>
      <c r="MTW237" s="1"/>
      <c r="MTX237" s="1"/>
      <c r="MTY237" s="1"/>
      <c r="MTZ237" s="1"/>
      <c r="MUA237" s="1"/>
      <c r="MUB237" s="1"/>
      <c r="MUC237" s="1"/>
      <c r="MUD237" s="1"/>
      <c r="MUE237" s="1"/>
      <c r="MUF237" s="1"/>
      <c r="MUG237" s="1"/>
      <c r="MUH237" s="1"/>
      <c r="MUI237" s="1"/>
      <c r="MUJ237" s="1"/>
      <c r="MUK237" s="1"/>
      <c r="MUL237" s="1"/>
      <c r="MUM237" s="1"/>
      <c r="MUN237" s="1"/>
      <c r="MUO237" s="1"/>
      <c r="MUP237" s="1"/>
      <c r="MUQ237" s="1"/>
      <c r="MUR237" s="1"/>
      <c r="MUS237" s="1"/>
      <c r="MUT237" s="1"/>
      <c r="MUU237" s="1"/>
      <c r="MUV237" s="1"/>
      <c r="MUW237" s="1"/>
      <c r="MUX237" s="1"/>
      <c r="MUY237" s="1"/>
      <c r="MUZ237" s="1"/>
      <c r="MVA237" s="1"/>
      <c r="MVB237" s="1"/>
      <c r="MVC237" s="1"/>
      <c r="MVD237" s="1"/>
      <c r="MVE237" s="1"/>
      <c r="MVF237" s="1"/>
      <c r="MVG237" s="1"/>
      <c r="MVH237" s="1"/>
      <c r="MVI237" s="1"/>
      <c r="MVJ237" s="1"/>
      <c r="MVK237" s="1"/>
      <c r="MVL237" s="1"/>
      <c r="MVM237" s="1"/>
      <c r="MVN237" s="1"/>
      <c r="MVO237" s="1"/>
      <c r="MVP237" s="1"/>
      <c r="MVQ237" s="1"/>
      <c r="MVR237" s="1"/>
      <c r="MVS237" s="1"/>
      <c r="MVT237" s="1"/>
      <c r="MVU237" s="1"/>
      <c r="MVV237" s="1"/>
      <c r="MVW237" s="1"/>
      <c r="MVX237" s="1"/>
      <c r="MVY237" s="1"/>
      <c r="MVZ237" s="1"/>
      <c r="MWA237" s="1"/>
      <c r="MWB237" s="1"/>
      <c r="MWC237" s="1"/>
      <c r="MWD237" s="1"/>
      <c r="MWE237" s="1"/>
      <c r="MWF237" s="1"/>
      <c r="MWG237" s="1"/>
      <c r="MWH237" s="1"/>
      <c r="MWI237" s="1"/>
      <c r="MWJ237" s="1"/>
      <c r="MWK237" s="1"/>
      <c r="MWL237" s="1"/>
      <c r="MWM237" s="1"/>
      <c r="MWN237" s="1"/>
      <c r="MWO237" s="1"/>
      <c r="MWP237" s="1"/>
      <c r="MWQ237" s="1"/>
      <c r="MWR237" s="1"/>
      <c r="MWS237" s="1"/>
      <c r="MWT237" s="1"/>
      <c r="MWU237" s="1"/>
      <c r="MWV237" s="1"/>
      <c r="MWW237" s="1"/>
      <c r="MWX237" s="1"/>
      <c r="MWY237" s="1"/>
      <c r="MWZ237" s="1"/>
      <c r="MXA237" s="1"/>
      <c r="MXB237" s="1"/>
      <c r="MXC237" s="1"/>
      <c r="MXD237" s="1"/>
      <c r="MXE237" s="1"/>
      <c r="MXF237" s="1"/>
      <c r="MXG237" s="1"/>
      <c r="MXH237" s="1"/>
      <c r="MXI237" s="1"/>
      <c r="MXJ237" s="1"/>
      <c r="MXK237" s="1"/>
      <c r="MXL237" s="1"/>
      <c r="MXM237" s="1"/>
      <c r="MXN237" s="1"/>
      <c r="MXO237" s="1"/>
      <c r="MXP237" s="1"/>
      <c r="MXQ237" s="1"/>
      <c r="MXR237" s="1"/>
      <c r="MXS237" s="1"/>
      <c r="MXT237" s="1"/>
      <c r="MXU237" s="1"/>
      <c r="MXV237" s="1"/>
      <c r="MXW237" s="1"/>
      <c r="MXX237" s="1"/>
      <c r="MXY237" s="1"/>
      <c r="MXZ237" s="1"/>
      <c r="MYA237" s="1"/>
      <c r="MYB237" s="1"/>
      <c r="MYC237" s="1"/>
      <c r="MYD237" s="1"/>
      <c r="MYE237" s="1"/>
      <c r="MYF237" s="1"/>
      <c r="MYG237" s="1"/>
      <c r="MYH237" s="1"/>
      <c r="MYI237" s="1"/>
      <c r="MYJ237" s="1"/>
      <c r="MYK237" s="1"/>
      <c r="MYL237" s="1"/>
      <c r="MYM237" s="1"/>
      <c r="MYN237" s="1"/>
      <c r="MYO237" s="1"/>
      <c r="MYP237" s="1"/>
      <c r="MYQ237" s="1"/>
      <c r="MYR237" s="1"/>
      <c r="MYS237" s="1"/>
      <c r="MYT237" s="1"/>
      <c r="MYU237" s="1"/>
      <c r="MYV237" s="1"/>
      <c r="MYW237" s="1"/>
      <c r="MYX237" s="1"/>
      <c r="MYY237" s="1"/>
      <c r="MYZ237" s="1"/>
      <c r="MZA237" s="1"/>
      <c r="MZB237" s="1"/>
      <c r="MZC237" s="1"/>
      <c r="MZD237" s="1"/>
      <c r="MZE237" s="1"/>
      <c r="MZF237" s="1"/>
      <c r="MZG237" s="1"/>
      <c r="MZH237" s="1"/>
      <c r="MZI237" s="1"/>
      <c r="MZJ237" s="1"/>
      <c r="MZK237" s="1"/>
      <c r="MZL237" s="1"/>
      <c r="MZM237" s="1"/>
      <c r="MZN237" s="1"/>
      <c r="MZO237" s="1"/>
      <c r="MZP237" s="1"/>
      <c r="MZQ237" s="1"/>
      <c r="MZR237" s="1"/>
      <c r="MZS237" s="1"/>
      <c r="MZT237" s="1"/>
      <c r="MZU237" s="1"/>
      <c r="MZV237" s="1"/>
      <c r="MZW237" s="1"/>
      <c r="MZX237" s="1"/>
      <c r="MZY237" s="1"/>
      <c r="MZZ237" s="1"/>
      <c r="NAA237" s="1"/>
      <c r="NAB237" s="1"/>
      <c r="NAC237" s="1"/>
      <c r="NAD237" s="1"/>
      <c r="NAE237" s="1"/>
      <c r="NAF237" s="1"/>
      <c r="NAG237" s="1"/>
      <c r="NAH237" s="1"/>
      <c r="NAI237" s="1"/>
      <c r="NAJ237" s="1"/>
      <c r="NAK237" s="1"/>
      <c r="NAL237" s="1"/>
      <c r="NAM237" s="1"/>
      <c r="NAN237" s="1"/>
      <c r="NAO237" s="1"/>
      <c r="NAP237" s="1"/>
      <c r="NAQ237" s="1"/>
      <c r="NAR237" s="1"/>
      <c r="NAS237" s="1"/>
      <c r="NAT237" s="1"/>
      <c r="NAU237" s="1"/>
      <c r="NAV237" s="1"/>
      <c r="NAW237" s="1"/>
      <c r="NAX237" s="1"/>
      <c r="NAY237" s="1"/>
      <c r="NAZ237" s="1"/>
      <c r="NBA237" s="1"/>
      <c r="NBB237" s="1"/>
      <c r="NBC237" s="1"/>
      <c r="NBD237" s="1"/>
      <c r="NBE237" s="1"/>
      <c r="NBF237" s="1"/>
      <c r="NBG237" s="1"/>
      <c r="NBH237" s="1"/>
      <c r="NBI237" s="1"/>
      <c r="NBJ237" s="1"/>
      <c r="NBK237" s="1"/>
      <c r="NBL237" s="1"/>
      <c r="NBM237" s="1"/>
      <c r="NBN237" s="1"/>
      <c r="NBO237" s="1"/>
      <c r="NBP237" s="1"/>
      <c r="NBQ237" s="1"/>
      <c r="NBR237" s="1"/>
      <c r="NBS237" s="1"/>
      <c r="NBT237" s="1"/>
      <c r="NBU237" s="1"/>
      <c r="NBV237" s="1"/>
      <c r="NBW237" s="1"/>
      <c r="NBX237" s="1"/>
      <c r="NBY237" s="1"/>
      <c r="NBZ237" s="1"/>
      <c r="NCA237" s="1"/>
      <c r="NCB237" s="1"/>
      <c r="NCC237" s="1"/>
      <c r="NCD237" s="1"/>
      <c r="NCE237" s="1"/>
      <c r="NCF237" s="1"/>
      <c r="NCG237" s="1"/>
      <c r="NCH237" s="1"/>
      <c r="NCI237" s="1"/>
      <c r="NCJ237" s="1"/>
      <c r="NCK237" s="1"/>
      <c r="NCL237" s="1"/>
      <c r="NCM237" s="1"/>
      <c r="NCN237" s="1"/>
      <c r="NCO237" s="1"/>
      <c r="NCP237" s="1"/>
      <c r="NCQ237" s="1"/>
      <c r="NCR237" s="1"/>
      <c r="NCS237" s="1"/>
      <c r="NCT237" s="1"/>
      <c r="NCU237" s="1"/>
      <c r="NCV237" s="1"/>
      <c r="NCW237" s="1"/>
      <c r="NCX237" s="1"/>
      <c r="NCY237" s="1"/>
      <c r="NCZ237" s="1"/>
      <c r="NDA237" s="1"/>
      <c r="NDB237" s="1"/>
      <c r="NDC237" s="1"/>
      <c r="NDD237" s="1"/>
      <c r="NDE237" s="1"/>
      <c r="NDF237" s="1"/>
      <c r="NDG237" s="1"/>
      <c r="NDH237" s="1"/>
      <c r="NDI237" s="1"/>
      <c r="NDJ237" s="1"/>
      <c r="NDK237" s="1"/>
      <c r="NDL237" s="1"/>
      <c r="NDM237" s="1"/>
      <c r="NDN237" s="1"/>
      <c r="NDO237" s="1"/>
      <c r="NDP237" s="1"/>
      <c r="NDQ237" s="1"/>
      <c r="NDR237" s="1"/>
      <c r="NDS237" s="1"/>
      <c r="NDT237" s="1"/>
      <c r="NDU237" s="1"/>
      <c r="NDV237" s="1"/>
      <c r="NDW237" s="1"/>
      <c r="NDX237" s="1"/>
      <c r="NDY237" s="1"/>
      <c r="NDZ237" s="1"/>
      <c r="NEA237" s="1"/>
      <c r="NEB237" s="1"/>
      <c r="NEC237" s="1"/>
      <c r="NED237" s="1"/>
      <c r="NEE237" s="1"/>
      <c r="NEF237" s="1"/>
      <c r="NEG237" s="1"/>
      <c r="NEH237" s="1"/>
      <c r="NEI237" s="1"/>
      <c r="NEJ237" s="1"/>
      <c r="NEK237" s="1"/>
      <c r="NEL237" s="1"/>
      <c r="NEM237" s="1"/>
      <c r="NEN237" s="1"/>
      <c r="NEO237" s="1"/>
      <c r="NEP237" s="1"/>
      <c r="NEQ237" s="1"/>
      <c r="NER237" s="1"/>
      <c r="NES237" s="1"/>
      <c r="NET237" s="1"/>
      <c r="NEU237" s="1"/>
      <c r="NEV237" s="1"/>
      <c r="NEW237" s="1"/>
      <c r="NEX237" s="1"/>
      <c r="NEY237" s="1"/>
      <c r="NEZ237" s="1"/>
      <c r="NFA237" s="1"/>
      <c r="NFB237" s="1"/>
      <c r="NFC237" s="1"/>
      <c r="NFD237" s="1"/>
      <c r="NFE237" s="1"/>
      <c r="NFF237" s="1"/>
      <c r="NFG237" s="1"/>
      <c r="NFH237" s="1"/>
      <c r="NFI237" s="1"/>
      <c r="NFJ237" s="1"/>
      <c r="NFK237" s="1"/>
      <c r="NFL237" s="1"/>
      <c r="NFM237" s="1"/>
      <c r="NFN237" s="1"/>
      <c r="NFO237" s="1"/>
      <c r="NFP237" s="1"/>
      <c r="NFQ237" s="1"/>
      <c r="NFR237" s="1"/>
      <c r="NFS237" s="1"/>
      <c r="NFT237" s="1"/>
      <c r="NFU237" s="1"/>
      <c r="NFV237" s="1"/>
      <c r="NFW237" s="1"/>
      <c r="NFX237" s="1"/>
      <c r="NFY237" s="1"/>
      <c r="NFZ237" s="1"/>
      <c r="NGA237" s="1"/>
      <c r="NGB237" s="1"/>
      <c r="NGC237" s="1"/>
      <c r="NGD237" s="1"/>
      <c r="NGE237" s="1"/>
      <c r="NGF237" s="1"/>
      <c r="NGG237" s="1"/>
      <c r="NGH237" s="1"/>
      <c r="NGI237" s="1"/>
      <c r="NGJ237" s="1"/>
      <c r="NGK237" s="1"/>
      <c r="NGL237" s="1"/>
      <c r="NGM237" s="1"/>
      <c r="NGN237" s="1"/>
      <c r="NGO237" s="1"/>
      <c r="NGP237" s="1"/>
      <c r="NGQ237" s="1"/>
      <c r="NGR237" s="1"/>
      <c r="NGS237" s="1"/>
      <c r="NGT237" s="1"/>
      <c r="NGU237" s="1"/>
      <c r="NGV237" s="1"/>
      <c r="NGW237" s="1"/>
      <c r="NGX237" s="1"/>
      <c r="NGY237" s="1"/>
      <c r="NGZ237" s="1"/>
      <c r="NHA237" s="1"/>
      <c r="NHB237" s="1"/>
      <c r="NHC237" s="1"/>
      <c r="NHD237" s="1"/>
      <c r="NHE237" s="1"/>
      <c r="NHF237" s="1"/>
      <c r="NHG237" s="1"/>
      <c r="NHH237" s="1"/>
      <c r="NHI237" s="1"/>
      <c r="NHJ237" s="1"/>
      <c r="NHK237" s="1"/>
      <c r="NHL237" s="1"/>
      <c r="NHM237" s="1"/>
      <c r="NHN237" s="1"/>
      <c r="NHO237" s="1"/>
      <c r="NHP237" s="1"/>
      <c r="NHQ237" s="1"/>
      <c r="NHR237" s="1"/>
      <c r="NHS237" s="1"/>
      <c r="NHT237" s="1"/>
      <c r="NHU237" s="1"/>
      <c r="NHV237" s="1"/>
      <c r="NHW237" s="1"/>
      <c r="NHX237" s="1"/>
      <c r="NHY237" s="1"/>
      <c r="NHZ237" s="1"/>
      <c r="NIA237" s="1"/>
      <c r="NIB237" s="1"/>
      <c r="NIC237" s="1"/>
      <c r="NID237" s="1"/>
      <c r="NIE237" s="1"/>
      <c r="NIF237" s="1"/>
      <c r="NIG237" s="1"/>
      <c r="NIH237" s="1"/>
      <c r="NII237" s="1"/>
      <c r="NIJ237" s="1"/>
      <c r="NIK237" s="1"/>
      <c r="NIL237" s="1"/>
      <c r="NIM237" s="1"/>
      <c r="NIN237" s="1"/>
      <c r="NIO237" s="1"/>
      <c r="NIP237" s="1"/>
      <c r="NIQ237" s="1"/>
      <c r="NIR237" s="1"/>
      <c r="NIS237" s="1"/>
      <c r="NIT237" s="1"/>
      <c r="NIU237" s="1"/>
      <c r="NIV237" s="1"/>
      <c r="NIW237" s="1"/>
      <c r="NIX237" s="1"/>
      <c r="NIY237" s="1"/>
      <c r="NIZ237" s="1"/>
      <c r="NJA237" s="1"/>
      <c r="NJB237" s="1"/>
      <c r="NJC237" s="1"/>
      <c r="NJD237" s="1"/>
      <c r="NJE237" s="1"/>
      <c r="NJF237" s="1"/>
      <c r="NJG237" s="1"/>
      <c r="NJH237" s="1"/>
      <c r="NJI237" s="1"/>
      <c r="NJJ237" s="1"/>
      <c r="NJK237" s="1"/>
      <c r="NJL237" s="1"/>
      <c r="NJM237" s="1"/>
      <c r="NJN237" s="1"/>
      <c r="NJO237" s="1"/>
      <c r="NJP237" s="1"/>
      <c r="NJQ237" s="1"/>
      <c r="NJR237" s="1"/>
      <c r="NJS237" s="1"/>
      <c r="NJT237" s="1"/>
      <c r="NJU237" s="1"/>
      <c r="NJV237" s="1"/>
      <c r="NJW237" s="1"/>
      <c r="NJX237" s="1"/>
      <c r="NJY237" s="1"/>
      <c r="NJZ237" s="1"/>
      <c r="NKA237" s="1"/>
      <c r="NKB237" s="1"/>
      <c r="NKC237" s="1"/>
      <c r="NKD237" s="1"/>
      <c r="NKE237" s="1"/>
      <c r="NKF237" s="1"/>
      <c r="NKG237" s="1"/>
      <c r="NKH237" s="1"/>
      <c r="NKI237" s="1"/>
      <c r="NKJ237" s="1"/>
      <c r="NKK237" s="1"/>
      <c r="NKL237" s="1"/>
      <c r="NKM237" s="1"/>
      <c r="NKN237" s="1"/>
      <c r="NKO237" s="1"/>
      <c r="NKP237" s="1"/>
      <c r="NKQ237" s="1"/>
      <c r="NKR237" s="1"/>
      <c r="NKS237" s="1"/>
      <c r="NKT237" s="1"/>
      <c r="NKU237" s="1"/>
      <c r="NKV237" s="1"/>
      <c r="NKW237" s="1"/>
      <c r="NKX237" s="1"/>
      <c r="NKY237" s="1"/>
      <c r="NKZ237" s="1"/>
      <c r="NLA237" s="1"/>
      <c r="NLB237" s="1"/>
      <c r="NLC237" s="1"/>
      <c r="NLD237" s="1"/>
      <c r="NLE237" s="1"/>
      <c r="NLF237" s="1"/>
      <c r="NLG237" s="1"/>
      <c r="NLH237" s="1"/>
      <c r="NLI237" s="1"/>
      <c r="NLJ237" s="1"/>
      <c r="NLK237" s="1"/>
      <c r="NLL237" s="1"/>
      <c r="NLM237" s="1"/>
      <c r="NLN237" s="1"/>
      <c r="NLO237" s="1"/>
      <c r="NLP237" s="1"/>
      <c r="NLQ237" s="1"/>
      <c r="NLR237" s="1"/>
      <c r="NLS237" s="1"/>
      <c r="NLT237" s="1"/>
      <c r="NLU237" s="1"/>
      <c r="NLV237" s="1"/>
      <c r="NLW237" s="1"/>
      <c r="NLX237" s="1"/>
      <c r="NLY237" s="1"/>
      <c r="NLZ237" s="1"/>
      <c r="NMA237" s="1"/>
      <c r="NMB237" s="1"/>
      <c r="NMC237" s="1"/>
      <c r="NMD237" s="1"/>
      <c r="NME237" s="1"/>
      <c r="NMF237" s="1"/>
      <c r="NMG237" s="1"/>
      <c r="NMH237" s="1"/>
      <c r="NMI237" s="1"/>
      <c r="NMJ237" s="1"/>
      <c r="NMK237" s="1"/>
      <c r="NML237" s="1"/>
      <c r="NMM237" s="1"/>
      <c r="NMN237" s="1"/>
      <c r="NMO237" s="1"/>
      <c r="NMP237" s="1"/>
      <c r="NMQ237" s="1"/>
      <c r="NMR237" s="1"/>
      <c r="NMS237" s="1"/>
      <c r="NMT237" s="1"/>
      <c r="NMU237" s="1"/>
      <c r="NMV237" s="1"/>
      <c r="NMW237" s="1"/>
      <c r="NMX237" s="1"/>
      <c r="NMY237" s="1"/>
      <c r="NMZ237" s="1"/>
      <c r="NNA237" s="1"/>
      <c r="NNB237" s="1"/>
      <c r="NNC237" s="1"/>
      <c r="NND237" s="1"/>
      <c r="NNE237" s="1"/>
      <c r="NNF237" s="1"/>
      <c r="NNG237" s="1"/>
      <c r="NNH237" s="1"/>
      <c r="NNI237" s="1"/>
      <c r="NNJ237" s="1"/>
      <c r="NNK237" s="1"/>
      <c r="NNL237" s="1"/>
      <c r="NNM237" s="1"/>
      <c r="NNN237" s="1"/>
      <c r="NNO237" s="1"/>
      <c r="NNP237" s="1"/>
      <c r="NNQ237" s="1"/>
      <c r="NNR237" s="1"/>
      <c r="NNS237" s="1"/>
      <c r="NNT237" s="1"/>
      <c r="NNU237" s="1"/>
      <c r="NNV237" s="1"/>
      <c r="NNW237" s="1"/>
      <c r="NNX237" s="1"/>
      <c r="NNY237" s="1"/>
      <c r="NNZ237" s="1"/>
      <c r="NOA237" s="1"/>
      <c r="NOB237" s="1"/>
      <c r="NOC237" s="1"/>
      <c r="NOD237" s="1"/>
      <c r="NOE237" s="1"/>
      <c r="NOF237" s="1"/>
      <c r="NOG237" s="1"/>
      <c r="NOH237" s="1"/>
      <c r="NOI237" s="1"/>
      <c r="NOJ237" s="1"/>
      <c r="NOK237" s="1"/>
      <c r="NOL237" s="1"/>
      <c r="NOM237" s="1"/>
      <c r="NON237" s="1"/>
      <c r="NOO237" s="1"/>
      <c r="NOP237" s="1"/>
      <c r="NOQ237" s="1"/>
      <c r="NOR237" s="1"/>
      <c r="NOS237" s="1"/>
      <c r="NOT237" s="1"/>
      <c r="NOU237" s="1"/>
      <c r="NOV237" s="1"/>
      <c r="NOW237" s="1"/>
      <c r="NOX237" s="1"/>
      <c r="NOY237" s="1"/>
      <c r="NOZ237" s="1"/>
      <c r="NPA237" s="1"/>
      <c r="NPB237" s="1"/>
      <c r="NPC237" s="1"/>
      <c r="NPD237" s="1"/>
      <c r="NPE237" s="1"/>
      <c r="NPF237" s="1"/>
      <c r="NPG237" s="1"/>
      <c r="NPH237" s="1"/>
      <c r="NPI237" s="1"/>
      <c r="NPJ237" s="1"/>
      <c r="NPK237" s="1"/>
      <c r="NPL237" s="1"/>
      <c r="NPM237" s="1"/>
      <c r="NPN237" s="1"/>
      <c r="NPO237" s="1"/>
      <c r="NPP237" s="1"/>
      <c r="NPQ237" s="1"/>
      <c r="NPR237" s="1"/>
      <c r="NPS237" s="1"/>
      <c r="NPT237" s="1"/>
      <c r="NPU237" s="1"/>
      <c r="NPV237" s="1"/>
      <c r="NPW237" s="1"/>
      <c r="NPX237" s="1"/>
      <c r="NPY237" s="1"/>
      <c r="NPZ237" s="1"/>
      <c r="NQA237" s="1"/>
      <c r="NQB237" s="1"/>
      <c r="NQC237" s="1"/>
      <c r="NQD237" s="1"/>
      <c r="NQE237" s="1"/>
      <c r="NQF237" s="1"/>
      <c r="NQG237" s="1"/>
      <c r="NQH237" s="1"/>
      <c r="NQI237" s="1"/>
      <c r="NQJ237" s="1"/>
      <c r="NQK237" s="1"/>
      <c r="NQL237" s="1"/>
      <c r="NQM237" s="1"/>
      <c r="NQN237" s="1"/>
      <c r="NQO237" s="1"/>
      <c r="NQP237" s="1"/>
      <c r="NQQ237" s="1"/>
      <c r="NQR237" s="1"/>
      <c r="NQS237" s="1"/>
      <c r="NQT237" s="1"/>
      <c r="NQU237" s="1"/>
      <c r="NQV237" s="1"/>
      <c r="NQW237" s="1"/>
      <c r="NQX237" s="1"/>
      <c r="NQY237" s="1"/>
      <c r="NQZ237" s="1"/>
      <c r="NRA237" s="1"/>
      <c r="NRB237" s="1"/>
      <c r="NRC237" s="1"/>
      <c r="NRD237" s="1"/>
      <c r="NRE237" s="1"/>
      <c r="NRF237" s="1"/>
      <c r="NRG237" s="1"/>
      <c r="NRH237" s="1"/>
      <c r="NRI237" s="1"/>
      <c r="NRJ237" s="1"/>
      <c r="NRK237" s="1"/>
      <c r="NRL237" s="1"/>
      <c r="NRM237" s="1"/>
      <c r="NRN237" s="1"/>
      <c r="NRO237" s="1"/>
      <c r="NRP237" s="1"/>
      <c r="NRQ237" s="1"/>
      <c r="NRR237" s="1"/>
      <c r="NRS237" s="1"/>
      <c r="NRT237" s="1"/>
      <c r="NRU237" s="1"/>
      <c r="NRV237" s="1"/>
      <c r="NRW237" s="1"/>
      <c r="NRX237" s="1"/>
      <c r="NRY237" s="1"/>
      <c r="NRZ237" s="1"/>
      <c r="NSA237" s="1"/>
      <c r="NSB237" s="1"/>
      <c r="NSC237" s="1"/>
      <c r="NSD237" s="1"/>
      <c r="NSE237" s="1"/>
      <c r="NSF237" s="1"/>
      <c r="NSG237" s="1"/>
      <c r="NSH237" s="1"/>
      <c r="NSI237" s="1"/>
      <c r="NSJ237" s="1"/>
      <c r="NSK237" s="1"/>
      <c r="NSL237" s="1"/>
      <c r="NSM237" s="1"/>
      <c r="NSN237" s="1"/>
      <c r="NSO237" s="1"/>
      <c r="NSP237" s="1"/>
      <c r="NSQ237" s="1"/>
      <c r="NSR237" s="1"/>
      <c r="NSS237" s="1"/>
      <c r="NST237" s="1"/>
      <c r="NSU237" s="1"/>
      <c r="NSV237" s="1"/>
      <c r="NSW237" s="1"/>
      <c r="NSX237" s="1"/>
      <c r="NSY237" s="1"/>
      <c r="NSZ237" s="1"/>
      <c r="NTA237" s="1"/>
      <c r="NTB237" s="1"/>
      <c r="NTC237" s="1"/>
      <c r="NTD237" s="1"/>
      <c r="NTE237" s="1"/>
      <c r="NTF237" s="1"/>
      <c r="NTG237" s="1"/>
      <c r="NTH237" s="1"/>
      <c r="NTI237" s="1"/>
      <c r="NTJ237" s="1"/>
      <c r="NTK237" s="1"/>
      <c r="NTL237" s="1"/>
      <c r="NTM237" s="1"/>
      <c r="NTN237" s="1"/>
      <c r="NTO237" s="1"/>
      <c r="NTP237" s="1"/>
      <c r="NTQ237" s="1"/>
      <c r="NTR237" s="1"/>
      <c r="NTS237" s="1"/>
      <c r="NTT237" s="1"/>
      <c r="NTU237" s="1"/>
      <c r="NTV237" s="1"/>
      <c r="NTW237" s="1"/>
      <c r="NTX237" s="1"/>
      <c r="NTY237" s="1"/>
      <c r="NTZ237" s="1"/>
      <c r="NUA237" s="1"/>
      <c r="NUB237" s="1"/>
      <c r="NUC237" s="1"/>
      <c r="NUD237" s="1"/>
      <c r="NUE237" s="1"/>
      <c r="NUF237" s="1"/>
      <c r="NUG237" s="1"/>
      <c r="NUH237" s="1"/>
      <c r="NUI237" s="1"/>
      <c r="NUJ237" s="1"/>
      <c r="NUK237" s="1"/>
      <c r="NUL237" s="1"/>
      <c r="NUM237" s="1"/>
      <c r="NUN237" s="1"/>
      <c r="NUO237" s="1"/>
      <c r="NUP237" s="1"/>
      <c r="NUQ237" s="1"/>
      <c r="NUR237" s="1"/>
      <c r="NUS237" s="1"/>
      <c r="NUT237" s="1"/>
      <c r="NUU237" s="1"/>
      <c r="NUV237" s="1"/>
      <c r="NUW237" s="1"/>
      <c r="NUX237" s="1"/>
      <c r="NUY237" s="1"/>
      <c r="NUZ237" s="1"/>
      <c r="NVA237" s="1"/>
      <c r="NVB237" s="1"/>
      <c r="NVC237" s="1"/>
      <c r="NVD237" s="1"/>
      <c r="NVE237" s="1"/>
      <c r="NVF237" s="1"/>
      <c r="NVG237" s="1"/>
      <c r="NVH237" s="1"/>
      <c r="NVI237" s="1"/>
      <c r="NVJ237" s="1"/>
      <c r="NVK237" s="1"/>
      <c r="NVL237" s="1"/>
      <c r="NVM237" s="1"/>
      <c r="NVN237" s="1"/>
      <c r="NVO237" s="1"/>
      <c r="NVP237" s="1"/>
      <c r="NVQ237" s="1"/>
      <c r="NVR237" s="1"/>
      <c r="NVS237" s="1"/>
      <c r="NVT237" s="1"/>
      <c r="NVU237" s="1"/>
      <c r="NVV237" s="1"/>
      <c r="NVW237" s="1"/>
      <c r="NVX237" s="1"/>
      <c r="NVY237" s="1"/>
      <c r="NVZ237" s="1"/>
      <c r="NWA237" s="1"/>
      <c r="NWB237" s="1"/>
      <c r="NWC237" s="1"/>
      <c r="NWD237" s="1"/>
      <c r="NWE237" s="1"/>
      <c r="NWF237" s="1"/>
      <c r="NWG237" s="1"/>
      <c r="NWH237" s="1"/>
      <c r="NWI237" s="1"/>
      <c r="NWJ237" s="1"/>
      <c r="NWK237" s="1"/>
      <c r="NWL237" s="1"/>
      <c r="NWM237" s="1"/>
      <c r="NWN237" s="1"/>
      <c r="NWO237" s="1"/>
      <c r="NWP237" s="1"/>
      <c r="NWQ237" s="1"/>
      <c r="NWR237" s="1"/>
      <c r="NWS237" s="1"/>
      <c r="NWT237" s="1"/>
      <c r="NWU237" s="1"/>
      <c r="NWV237" s="1"/>
      <c r="NWW237" s="1"/>
      <c r="NWX237" s="1"/>
      <c r="NWY237" s="1"/>
      <c r="NWZ237" s="1"/>
      <c r="NXA237" s="1"/>
      <c r="NXB237" s="1"/>
      <c r="NXC237" s="1"/>
      <c r="NXD237" s="1"/>
      <c r="NXE237" s="1"/>
      <c r="NXF237" s="1"/>
      <c r="NXG237" s="1"/>
      <c r="NXH237" s="1"/>
      <c r="NXI237" s="1"/>
      <c r="NXJ237" s="1"/>
      <c r="NXK237" s="1"/>
      <c r="NXL237" s="1"/>
      <c r="NXM237" s="1"/>
      <c r="NXN237" s="1"/>
      <c r="NXO237" s="1"/>
      <c r="NXP237" s="1"/>
      <c r="NXQ237" s="1"/>
      <c r="NXR237" s="1"/>
      <c r="NXS237" s="1"/>
      <c r="NXT237" s="1"/>
      <c r="NXU237" s="1"/>
      <c r="NXV237" s="1"/>
      <c r="NXW237" s="1"/>
      <c r="NXX237" s="1"/>
      <c r="NXY237" s="1"/>
      <c r="NXZ237" s="1"/>
      <c r="NYA237" s="1"/>
      <c r="NYB237" s="1"/>
      <c r="NYC237" s="1"/>
      <c r="NYD237" s="1"/>
      <c r="NYE237" s="1"/>
      <c r="NYF237" s="1"/>
      <c r="NYG237" s="1"/>
      <c r="NYH237" s="1"/>
      <c r="NYI237" s="1"/>
      <c r="NYJ237" s="1"/>
      <c r="NYK237" s="1"/>
      <c r="NYL237" s="1"/>
      <c r="NYM237" s="1"/>
      <c r="NYN237" s="1"/>
      <c r="NYO237" s="1"/>
      <c r="NYP237" s="1"/>
      <c r="NYQ237" s="1"/>
      <c r="NYR237" s="1"/>
      <c r="NYS237" s="1"/>
      <c r="NYT237" s="1"/>
      <c r="NYU237" s="1"/>
      <c r="NYV237" s="1"/>
      <c r="NYW237" s="1"/>
      <c r="NYX237" s="1"/>
      <c r="NYY237" s="1"/>
      <c r="NYZ237" s="1"/>
      <c r="NZA237" s="1"/>
      <c r="NZB237" s="1"/>
      <c r="NZC237" s="1"/>
      <c r="NZD237" s="1"/>
      <c r="NZE237" s="1"/>
      <c r="NZF237" s="1"/>
      <c r="NZG237" s="1"/>
      <c r="NZH237" s="1"/>
      <c r="NZI237" s="1"/>
      <c r="NZJ237" s="1"/>
      <c r="NZK237" s="1"/>
      <c r="NZL237" s="1"/>
      <c r="NZM237" s="1"/>
      <c r="NZN237" s="1"/>
      <c r="NZO237" s="1"/>
      <c r="NZP237" s="1"/>
      <c r="NZQ237" s="1"/>
      <c r="NZR237" s="1"/>
      <c r="NZS237" s="1"/>
      <c r="NZT237" s="1"/>
      <c r="NZU237" s="1"/>
      <c r="NZV237" s="1"/>
      <c r="NZW237" s="1"/>
      <c r="NZX237" s="1"/>
      <c r="NZY237" s="1"/>
      <c r="NZZ237" s="1"/>
      <c r="OAA237" s="1"/>
      <c r="OAB237" s="1"/>
      <c r="OAC237" s="1"/>
      <c r="OAD237" s="1"/>
      <c r="OAE237" s="1"/>
      <c r="OAF237" s="1"/>
      <c r="OAG237" s="1"/>
      <c r="OAH237" s="1"/>
      <c r="OAI237" s="1"/>
      <c r="OAJ237" s="1"/>
      <c r="OAK237" s="1"/>
      <c r="OAL237" s="1"/>
      <c r="OAM237" s="1"/>
      <c r="OAN237" s="1"/>
      <c r="OAO237" s="1"/>
      <c r="OAP237" s="1"/>
      <c r="OAQ237" s="1"/>
      <c r="OAR237" s="1"/>
      <c r="OAS237" s="1"/>
      <c r="OAT237" s="1"/>
      <c r="OAU237" s="1"/>
      <c r="OAV237" s="1"/>
      <c r="OAW237" s="1"/>
      <c r="OAX237" s="1"/>
      <c r="OAY237" s="1"/>
      <c r="OAZ237" s="1"/>
      <c r="OBA237" s="1"/>
      <c r="OBB237" s="1"/>
      <c r="OBC237" s="1"/>
      <c r="OBD237" s="1"/>
      <c r="OBE237" s="1"/>
      <c r="OBF237" s="1"/>
      <c r="OBG237" s="1"/>
      <c r="OBH237" s="1"/>
      <c r="OBI237" s="1"/>
      <c r="OBJ237" s="1"/>
      <c r="OBK237" s="1"/>
      <c r="OBL237" s="1"/>
      <c r="OBM237" s="1"/>
      <c r="OBN237" s="1"/>
      <c r="OBO237" s="1"/>
      <c r="OBP237" s="1"/>
      <c r="OBQ237" s="1"/>
      <c r="OBR237" s="1"/>
      <c r="OBS237" s="1"/>
      <c r="OBT237" s="1"/>
      <c r="OBU237" s="1"/>
      <c r="OBV237" s="1"/>
      <c r="OBW237" s="1"/>
      <c r="OBX237" s="1"/>
      <c r="OBY237" s="1"/>
      <c r="OBZ237" s="1"/>
      <c r="OCA237" s="1"/>
      <c r="OCB237" s="1"/>
      <c r="OCC237" s="1"/>
      <c r="OCD237" s="1"/>
      <c r="OCE237" s="1"/>
      <c r="OCF237" s="1"/>
      <c r="OCG237" s="1"/>
      <c r="OCH237" s="1"/>
      <c r="OCI237" s="1"/>
      <c r="OCJ237" s="1"/>
      <c r="OCK237" s="1"/>
      <c r="OCL237" s="1"/>
      <c r="OCM237" s="1"/>
      <c r="OCN237" s="1"/>
      <c r="OCO237" s="1"/>
      <c r="OCP237" s="1"/>
      <c r="OCQ237" s="1"/>
      <c r="OCR237" s="1"/>
      <c r="OCS237" s="1"/>
      <c r="OCT237" s="1"/>
      <c r="OCU237" s="1"/>
      <c r="OCV237" s="1"/>
      <c r="OCW237" s="1"/>
      <c r="OCX237" s="1"/>
      <c r="OCY237" s="1"/>
      <c r="OCZ237" s="1"/>
      <c r="ODA237" s="1"/>
      <c r="ODB237" s="1"/>
      <c r="ODC237" s="1"/>
      <c r="ODD237" s="1"/>
      <c r="ODE237" s="1"/>
      <c r="ODF237" s="1"/>
      <c r="ODG237" s="1"/>
      <c r="ODH237" s="1"/>
      <c r="ODI237" s="1"/>
      <c r="ODJ237" s="1"/>
      <c r="ODK237" s="1"/>
      <c r="ODL237" s="1"/>
      <c r="ODM237" s="1"/>
      <c r="ODN237" s="1"/>
      <c r="ODO237" s="1"/>
      <c r="ODP237" s="1"/>
      <c r="ODQ237" s="1"/>
      <c r="ODR237" s="1"/>
      <c r="ODS237" s="1"/>
      <c r="ODT237" s="1"/>
      <c r="ODU237" s="1"/>
      <c r="ODV237" s="1"/>
      <c r="ODW237" s="1"/>
      <c r="ODX237" s="1"/>
      <c r="ODY237" s="1"/>
      <c r="ODZ237" s="1"/>
      <c r="OEA237" s="1"/>
      <c r="OEB237" s="1"/>
      <c r="OEC237" s="1"/>
      <c r="OED237" s="1"/>
      <c r="OEE237" s="1"/>
      <c r="OEF237" s="1"/>
      <c r="OEG237" s="1"/>
      <c r="OEH237" s="1"/>
      <c r="OEI237" s="1"/>
      <c r="OEJ237" s="1"/>
      <c r="OEK237" s="1"/>
      <c r="OEL237" s="1"/>
      <c r="OEM237" s="1"/>
      <c r="OEN237" s="1"/>
      <c r="OEO237" s="1"/>
      <c r="OEP237" s="1"/>
      <c r="OEQ237" s="1"/>
      <c r="OER237" s="1"/>
      <c r="OES237" s="1"/>
      <c r="OET237" s="1"/>
      <c r="OEU237" s="1"/>
      <c r="OEV237" s="1"/>
      <c r="OEW237" s="1"/>
      <c r="OEX237" s="1"/>
      <c r="OEY237" s="1"/>
      <c r="OEZ237" s="1"/>
      <c r="OFA237" s="1"/>
      <c r="OFB237" s="1"/>
      <c r="OFC237" s="1"/>
      <c r="OFD237" s="1"/>
      <c r="OFE237" s="1"/>
      <c r="OFF237" s="1"/>
      <c r="OFG237" s="1"/>
      <c r="OFH237" s="1"/>
      <c r="OFI237" s="1"/>
      <c r="OFJ237" s="1"/>
      <c r="OFK237" s="1"/>
      <c r="OFL237" s="1"/>
      <c r="OFM237" s="1"/>
      <c r="OFN237" s="1"/>
      <c r="OFO237" s="1"/>
      <c r="OFP237" s="1"/>
      <c r="OFQ237" s="1"/>
      <c r="OFR237" s="1"/>
      <c r="OFS237" s="1"/>
      <c r="OFT237" s="1"/>
      <c r="OFU237" s="1"/>
      <c r="OFV237" s="1"/>
      <c r="OFW237" s="1"/>
      <c r="OFX237" s="1"/>
      <c r="OFY237" s="1"/>
      <c r="OFZ237" s="1"/>
      <c r="OGA237" s="1"/>
      <c r="OGB237" s="1"/>
      <c r="OGC237" s="1"/>
      <c r="OGD237" s="1"/>
      <c r="OGE237" s="1"/>
      <c r="OGF237" s="1"/>
      <c r="OGG237" s="1"/>
      <c r="OGH237" s="1"/>
      <c r="OGI237" s="1"/>
      <c r="OGJ237" s="1"/>
      <c r="OGK237" s="1"/>
      <c r="OGL237" s="1"/>
      <c r="OGM237" s="1"/>
      <c r="OGN237" s="1"/>
      <c r="OGO237" s="1"/>
      <c r="OGP237" s="1"/>
      <c r="OGQ237" s="1"/>
      <c r="OGR237" s="1"/>
      <c r="OGS237" s="1"/>
      <c r="OGT237" s="1"/>
      <c r="OGU237" s="1"/>
      <c r="OGV237" s="1"/>
      <c r="OGW237" s="1"/>
      <c r="OGX237" s="1"/>
      <c r="OGY237" s="1"/>
      <c r="OGZ237" s="1"/>
      <c r="OHA237" s="1"/>
      <c r="OHB237" s="1"/>
      <c r="OHC237" s="1"/>
      <c r="OHD237" s="1"/>
      <c r="OHE237" s="1"/>
      <c r="OHF237" s="1"/>
      <c r="OHG237" s="1"/>
      <c r="OHH237" s="1"/>
      <c r="OHI237" s="1"/>
      <c r="OHJ237" s="1"/>
      <c r="OHK237" s="1"/>
      <c r="OHL237" s="1"/>
      <c r="OHM237" s="1"/>
      <c r="OHN237" s="1"/>
      <c r="OHO237" s="1"/>
      <c r="OHP237" s="1"/>
      <c r="OHQ237" s="1"/>
      <c r="OHR237" s="1"/>
      <c r="OHS237" s="1"/>
      <c r="OHT237" s="1"/>
      <c r="OHU237" s="1"/>
      <c r="OHV237" s="1"/>
      <c r="OHW237" s="1"/>
      <c r="OHX237" s="1"/>
      <c r="OHY237" s="1"/>
      <c r="OHZ237" s="1"/>
      <c r="OIA237" s="1"/>
      <c r="OIB237" s="1"/>
      <c r="OIC237" s="1"/>
      <c r="OID237" s="1"/>
      <c r="OIE237" s="1"/>
      <c r="OIF237" s="1"/>
      <c r="OIG237" s="1"/>
      <c r="OIH237" s="1"/>
      <c r="OII237" s="1"/>
      <c r="OIJ237" s="1"/>
      <c r="OIK237" s="1"/>
      <c r="OIL237" s="1"/>
      <c r="OIM237" s="1"/>
      <c r="OIN237" s="1"/>
      <c r="OIO237" s="1"/>
      <c r="OIP237" s="1"/>
      <c r="OIQ237" s="1"/>
      <c r="OIR237" s="1"/>
      <c r="OIS237" s="1"/>
      <c r="OIT237" s="1"/>
      <c r="OIU237" s="1"/>
      <c r="OIV237" s="1"/>
      <c r="OIW237" s="1"/>
      <c r="OIX237" s="1"/>
      <c r="OIY237" s="1"/>
      <c r="OIZ237" s="1"/>
      <c r="OJA237" s="1"/>
      <c r="OJB237" s="1"/>
      <c r="OJC237" s="1"/>
      <c r="OJD237" s="1"/>
      <c r="OJE237" s="1"/>
      <c r="OJF237" s="1"/>
      <c r="OJG237" s="1"/>
      <c r="OJH237" s="1"/>
      <c r="OJI237" s="1"/>
      <c r="OJJ237" s="1"/>
      <c r="OJK237" s="1"/>
      <c r="OJL237" s="1"/>
      <c r="OJM237" s="1"/>
      <c r="OJN237" s="1"/>
      <c r="OJO237" s="1"/>
      <c r="OJP237" s="1"/>
      <c r="OJQ237" s="1"/>
      <c r="OJR237" s="1"/>
      <c r="OJS237" s="1"/>
      <c r="OJT237" s="1"/>
      <c r="OJU237" s="1"/>
      <c r="OJV237" s="1"/>
      <c r="OJW237" s="1"/>
      <c r="OJX237" s="1"/>
      <c r="OJY237" s="1"/>
      <c r="OJZ237" s="1"/>
      <c r="OKA237" s="1"/>
      <c r="OKB237" s="1"/>
      <c r="OKC237" s="1"/>
      <c r="OKD237" s="1"/>
      <c r="OKE237" s="1"/>
      <c r="OKF237" s="1"/>
      <c r="OKG237" s="1"/>
      <c r="OKH237" s="1"/>
      <c r="OKI237" s="1"/>
      <c r="OKJ237" s="1"/>
      <c r="OKK237" s="1"/>
      <c r="OKL237" s="1"/>
      <c r="OKM237" s="1"/>
      <c r="OKN237" s="1"/>
      <c r="OKO237" s="1"/>
      <c r="OKP237" s="1"/>
      <c r="OKQ237" s="1"/>
      <c r="OKR237" s="1"/>
      <c r="OKS237" s="1"/>
      <c r="OKT237" s="1"/>
      <c r="OKU237" s="1"/>
      <c r="OKV237" s="1"/>
      <c r="OKW237" s="1"/>
      <c r="OKX237" s="1"/>
      <c r="OKY237" s="1"/>
      <c r="OKZ237" s="1"/>
      <c r="OLA237" s="1"/>
      <c r="OLB237" s="1"/>
      <c r="OLC237" s="1"/>
      <c r="OLD237" s="1"/>
      <c r="OLE237" s="1"/>
      <c r="OLF237" s="1"/>
      <c r="OLG237" s="1"/>
      <c r="OLH237" s="1"/>
      <c r="OLI237" s="1"/>
      <c r="OLJ237" s="1"/>
      <c r="OLK237" s="1"/>
      <c r="OLL237" s="1"/>
      <c r="OLM237" s="1"/>
      <c r="OLN237" s="1"/>
      <c r="OLO237" s="1"/>
      <c r="OLP237" s="1"/>
      <c r="OLQ237" s="1"/>
      <c r="OLR237" s="1"/>
      <c r="OLS237" s="1"/>
      <c r="OLT237" s="1"/>
      <c r="OLU237" s="1"/>
      <c r="OLV237" s="1"/>
      <c r="OLW237" s="1"/>
      <c r="OLX237" s="1"/>
      <c r="OLY237" s="1"/>
      <c r="OLZ237" s="1"/>
      <c r="OMA237" s="1"/>
      <c r="OMB237" s="1"/>
      <c r="OMC237" s="1"/>
      <c r="OMD237" s="1"/>
      <c r="OME237" s="1"/>
      <c r="OMF237" s="1"/>
      <c r="OMG237" s="1"/>
      <c r="OMH237" s="1"/>
      <c r="OMI237" s="1"/>
      <c r="OMJ237" s="1"/>
      <c r="OMK237" s="1"/>
      <c r="OML237" s="1"/>
      <c r="OMM237" s="1"/>
      <c r="OMN237" s="1"/>
      <c r="OMO237" s="1"/>
      <c r="OMP237" s="1"/>
      <c r="OMQ237" s="1"/>
      <c r="OMR237" s="1"/>
      <c r="OMS237" s="1"/>
      <c r="OMT237" s="1"/>
      <c r="OMU237" s="1"/>
      <c r="OMV237" s="1"/>
      <c r="OMW237" s="1"/>
      <c r="OMX237" s="1"/>
      <c r="OMY237" s="1"/>
      <c r="OMZ237" s="1"/>
      <c r="ONA237" s="1"/>
      <c r="ONB237" s="1"/>
      <c r="ONC237" s="1"/>
      <c r="OND237" s="1"/>
      <c r="ONE237" s="1"/>
      <c r="ONF237" s="1"/>
      <c r="ONG237" s="1"/>
      <c r="ONH237" s="1"/>
      <c r="ONI237" s="1"/>
      <c r="ONJ237" s="1"/>
      <c r="ONK237" s="1"/>
      <c r="ONL237" s="1"/>
      <c r="ONM237" s="1"/>
      <c r="ONN237" s="1"/>
      <c r="ONO237" s="1"/>
      <c r="ONP237" s="1"/>
      <c r="ONQ237" s="1"/>
      <c r="ONR237" s="1"/>
      <c r="ONS237" s="1"/>
      <c r="ONT237" s="1"/>
      <c r="ONU237" s="1"/>
      <c r="ONV237" s="1"/>
      <c r="ONW237" s="1"/>
      <c r="ONX237" s="1"/>
      <c r="ONY237" s="1"/>
      <c r="ONZ237" s="1"/>
      <c r="OOA237" s="1"/>
      <c r="OOB237" s="1"/>
      <c r="OOC237" s="1"/>
      <c r="OOD237" s="1"/>
      <c r="OOE237" s="1"/>
      <c r="OOF237" s="1"/>
      <c r="OOG237" s="1"/>
      <c r="OOH237" s="1"/>
      <c r="OOI237" s="1"/>
      <c r="OOJ237" s="1"/>
      <c r="OOK237" s="1"/>
      <c r="OOL237" s="1"/>
      <c r="OOM237" s="1"/>
      <c r="OON237" s="1"/>
      <c r="OOO237" s="1"/>
      <c r="OOP237" s="1"/>
      <c r="OOQ237" s="1"/>
      <c r="OOR237" s="1"/>
      <c r="OOS237" s="1"/>
      <c r="OOT237" s="1"/>
      <c r="OOU237" s="1"/>
      <c r="OOV237" s="1"/>
      <c r="OOW237" s="1"/>
      <c r="OOX237" s="1"/>
      <c r="OOY237" s="1"/>
      <c r="OOZ237" s="1"/>
      <c r="OPA237" s="1"/>
      <c r="OPB237" s="1"/>
      <c r="OPC237" s="1"/>
      <c r="OPD237" s="1"/>
      <c r="OPE237" s="1"/>
      <c r="OPF237" s="1"/>
      <c r="OPG237" s="1"/>
      <c r="OPH237" s="1"/>
      <c r="OPI237" s="1"/>
      <c r="OPJ237" s="1"/>
      <c r="OPK237" s="1"/>
      <c r="OPL237" s="1"/>
      <c r="OPM237" s="1"/>
      <c r="OPN237" s="1"/>
      <c r="OPO237" s="1"/>
      <c r="OPP237" s="1"/>
      <c r="OPQ237" s="1"/>
      <c r="OPR237" s="1"/>
      <c r="OPS237" s="1"/>
      <c r="OPT237" s="1"/>
      <c r="OPU237" s="1"/>
      <c r="OPV237" s="1"/>
      <c r="OPW237" s="1"/>
      <c r="OPX237" s="1"/>
      <c r="OPY237" s="1"/>
      <c r="OPZ237" s="1"/>
      <c r="OQA237" s="1"/>
      <c r="OQB237" s="1"/>
      <c r="OQC237" s="1"/>
      <c r="OQD237" s="1"/>
      <c r="OQE237" s="1"/>
      <c r="OQF237" s="1"/>
      <c r="OQG237" s="1"/>
      <c r="OQH237" s="1"/>
      <c r="OQI237" s="1"/>
      <c r="OQJ237" s="1"/>
      <c r="OQK237" s="1"/>
      <c r="OQL237" s="1"/>
      <c r="OQM237" s="1"/>
      <c r="OQN237" s="1"/>
      <c r="OQO237" s="1"/>
      <c r="OQP237" s="1"/>
      <c r="OQQ237" s="1"/>
      <c r="OQR237" s="1"/>
      <c r="OQS237" s="1"/>
      <c r="OQT237" s="1"/>
      <c r="OQU237" s="1"/>
      <c r="OQV237" s="1"/>
      <c r="OQW237" s="1"/>
      <c r="OQX237" s="1"/>
      <c r="OQY237" s="1"/>
      <c r="OQZ237" s="1"/>
      <c r="ORA237" s="1"/>
      <c r="ORB237" s="1"/>
      <c r="ORC237" s="1"/>
      <c r="ORD237" s="1"/>
      <c r="ORE237" s="1"/>
      <c r="ORF237" s="1"/>
      <c r="ORG237" s="1"/>
      <c r="ORH237" s="1"/>
      <c r="ORI237" s="1"/>
      <c r="ORJ237" s="1"/>
      <c r="ORK237" s="1"/>
      <c r="ORL237" s="1"/>
      <c r="ORM237" s="1"/>
      <c r="ORN237" s="1"/>
      <c r="ORO237" s="1"/>
      <c r="ORP237" s="1"/>
      <c r="ORQ237" s="1"/>
      <c r="ORR237" s="1"/>
      <c r="ORS237" s="1"/>
      <c r="ORT237" s="1"/>
      <c r="ORU237" s="1"/>
      <c r="ORV237" s="1"/>
      <c r="ORW237" s="1"/>
      <c r="ORX237" s="1"/>
      <c r="ORY237" s="1"/>
      <c r="ORZ237" s="1"/>
      <c r="OSA237" s="1"/>
      <c r="OSB237" s="1"/>
      <c r="OSC237" s="1"/>
      <c r="OSD237" s="1"/>
      <c r="OSE237" s="1"/>
      <c r="OSF237" s="1"/>
      <c r="OSG237" s="1"/>
      <c r="OSH237" s="1"/>
      <c r="OSI237" s="1"/>
      <c r="OSJ237" s="1"/>
      <c r="OSK237" s="1"/>
      <c r="OSL237" s="1"/>
      <c r="OSM237" s="1"/>
      <c r="OSN237" s="1"/>
      <c r="OSO237" s="1"/>
      <c r="OSP237" s="1"/>
      <c r="OSQ237" s="1"/>
      <c r="OSR237" s="1"/>
      <c r="OSS237" s="1"/>
      <c r="OST237" s="1"/>
      <c r="OSU237" s="1"/>
      <c r="OSV237" s="1"/>
      <c r="OSW237" s="1"/>
      <c r="OSX237" s="1"/>
      <c r="OSY237" s="1"/>
      <c r="OSZ237" s="1"/>
      <c r="OTA237" s="1"/>
      <c r="OTB237" s="1"/>
      <c r="OTC237" s="1"/>
      <c r="OTD237" s="1"/>
      <c r="OTE237" s="1"/>
      <c r="OTF237" s="1"/>
      <c r="OTG237" s="1"/>
      <c r="OTH237" s="1"/>
      <c r="OTI237" s="1"/>
      <c r="OTJ237" s="1"/>
      <c r="OTK237" s="1"/>
      <c r="OTL237" s="1"/>
      <c r="OTM237" s="1"/>
      <c r="OTN237" s="1"/>
      <c r="OTO237" s="1"/>
      <c r="OTP237" s="1"/>
      <c r="OTQ237" s="1"/>
      <c r="OTR237" s="1"/>
      <c r="OTS237" s="1"/>
      <c r="OTT237" s="1"/>
      <c r="OTU237" s="1"/>
      <c r="OTV237" s="1"/>
      <c r="OTW237" s="1"/>
      <c r="OTX237" s="1"/>
      <c r="OTY237" s="1"/>
      <c r="OTZ237" s="1"/>
      <c r="OUA237" s="1"/>
      <c r="OUB237" s="1"/>
      <c r="OUC237" s="1"/>
      <c r="OUD237" s="1"/>
      <c r="OUE237" s="1"/>
      <c r="OUF237" s="1"/>
      <c r="OUG237" s="1"/>
      <c r="OUH237" s="1"/>
      <c r="OUI237" s="1"/>
      <c r="OUJ237" s="1"/>
      <c r="OUK237" s="1"/>
      <c r="OUL237" s="1"/>
      <c r="OUM237" s="1"/>
      <c r="OUN237" s="1"/>
      <c r="OUO237" s="1"/>
      <c r="OUP237" s="1"/>
      <c r="OUQ237" s="1"/>
      <c r="OUR237" s="1"/>
      <c r="OUS237" s="1"/>
      <c r="OUT237" s="1"/>
      <c r="OUU237" s="1"/>
      <c r="OUV237" s="1"/>
      <c r="OUW237" s="1"/>
      <c r="OUX237" s="1"/>
      <c r="OUY237" s="1"/>
      <c r="OUZ237" s="1"/>
      <c r="OVA237" s="1"/>
      <c r="OVB237" s="1"/>
      <c r="OVC237" s="1"/>
      <c r="OVD237" s="1"/>
      <c r="OVE237" s="1"/>
      <c r="OVF237" s="1"/>
      <c r="OVG237" s="1"/>
      <c r="OVH237" s="1"/>
      <c r="OVI237" s="1"/>
      <c r="OVJ237" s="1"/>
      <c r="OVK237" s="1"/>
      <c r="OVL237" s="1"/>
      <c r="OVM237" s="1"/>
      <c r="OVN237" s="1"/>
      <c r="OVO237" s="1"/>
      <c r="OVP237" s="1"/>
      <c r="OVQ237" s="1"/>
      <c r="OVR237" s="1"/>
      <c r="OVS237" s="1"/>
      <c r="OVT237" s="1"/>
      <c r="OVU237" s="1"/>
      <c r="OVV237" s="1"/>
      <c r="OVW237" s="1"/>
      <c r="OVX237" s="1"/>
      <c r="OVY237" s="1"/>
      <c r="OVZ237" s="1"/>
      <c r="OWA237" s="1"/>
      <c r="OWB237" s="1"/>
      <c r="OWC237" s="1"/>
      <c r="OWD237" s="1"/>
      <c r="OWE237" s="1"/>
      <c r="OWF237" s="1"/>
      <c r="OWG237" s="1"/>
      <c r="OWH237" s="1"/>
      <c r="OWI237" s="1"/>
      <c r="OWJ237" s="1"/>
      <c r="OWK237" s="1"/>
      <c r="OWL237" s="1"/>
      <c r="OWM237" s="1"/>
      <c r="OWN237" s="1"/>
      <c r="OWO237" s="1"/>
      <c r="OWP237" s="1"/>
      <c r="OWQ237" s="1"/>
      <c r="OWR237" s="1"/>
      <c r="OWS237" s="1"/>
      <c r="OWT237" s="1"/>
      <c r="OWU237" s="1"/>
      <c r="OWV237" s="1"/>
      <c r="OWW237" s="1"/>
      <c r="OWX237" s="1"/>
      <c r="OWY237" s="1"/>
      <c r="OWZ237" s="1"/>
      <c r="OXA237" s="1"/>
      <c r="OXB237" s="1"/>
      <c r="OXC237" s="1"/>
      <c r="OXD237" s="1"/>
      <c r="OXE237" s="1"/>
      <c r="OXF237" s="1"/>
      <c r="OXG237" s="1"/>
      <c r="OXH237" s="1"/>
      <c r="OXI237" s="1"/>
      <c r="OXJ237" s="1"/>
      <c r="OXK237" s="1"/>
      <c r="OXL237" s="1"/>
      <c r="OXM237" s="1"/>
      <c r="OXN237" s="1"/>
      <c r="OXO237" s="1"/>
      <c r="OXP237" s="1"/>
      <c r="OXQ237" s="1"/>
      <c r="OXR237" s="1"/>
      <c r="OXS237" s="1"/>
      <c r="OXT237" s="1"/>
      <c r="OXU237" s="1"/>
      <c r="OXV237" s="1"/>
      <c r="OXW237" s="1"/>
      <c r="OXX237" s="1"/>
      <c r="OXY237" s="1"/>
      <c r="OXZ237" s="1"/>
      <c r="OYA237" s="1"/>
      <c r="OYB237" s="1"/>
      <c r="OYC237" s="1"/>
      <c r="OYD237" s="1"/>
      <c r="OYE237" s="1"/>
      <c r="OYF237" s="1"/>
      <c r="OYG237" s="1"/>
      <c r="OYH237" s="1"/>
      <c r="OYI237" s="1"/>
      <c r="OYJ237" s="1"/>
      <c r="OYK237" s="1"/>
      <c r="OYL237" s="1"/>
      <c r="OYM237" s="1"/>
      <c r="OYN237" s="1"/>
      <c r="OYO237" s="1"/>
      <c r="OYP237" s="1"/>
      <c r="OYQ237" s="1"/>
      <c r="OYR237" s="1"/>
      <c r="OYS237" s="1"/>
      <c r="OYT237" s="1"/>
      <c r="OYU237" s="1"/>
      <c r="OYV237" s="1"/>
      <c r="OYW237" s="1"/>
      <c r="OYX237" s="1"/>
      <c r="OYY237" s="1"/>
      <c r="OYZ237" s="1"/>
      <c r="OZA237" s="1"/>
      <c r="OZB237" s="1"/>
      <c r="OZC237" s="1"/>
      <c r="OZD237" s="1"/>
      <c r="OZE237" s="1"/>
      <c r="OZF237" s="1"/>
      <c r="OZG237" s="1"/>
      <c r="OZH237" s="1"/>
      <c r="OZI237" s="1"/>
      <c r="OZJ237" s="1"/>
      <c r="OZK237" s="1"/>
      <c r="OZL237" s="1"/>
      <c r="OZM237" s="1"/>
      <c r="OZN237" s="1"/>
      <c r="OZO237" s="1"/>
      <c r="OZP237" s="1"/>
      <c r="OZQ237" s="1"/>
      <c r="OZR237" s="1"/>
      <c r="OZS237" s="1"/>
      <c r="OZT237" s="1"/>
      <c r="OZU237" s="1"/>
      <c r="OZV237" s="1"/>
      <c r="OZW237" s="1"/>
      <c r="OZX237" s="1"/>
      <c r="OZY237" s="1"/>
      <c r="OZZ237" s="1"/>
      <c r="PAA237" s="1"/>
      <c r="PAB237" s="1"/>
      <c r="PAC237" s="1"/>
      <c r="PAD237" s="1"/>
      <c r="PAE237" s="1"/>
      <c r="PAF237" s="1"/>
      <c r="PAG237" s="1"/>
      <c r="PAH237" s="1"/>
      <c r="PAI237" s="1"/>
      <c r="PAJ237" s="1"/>
      <c r="PAK237" s="1"/>
      <c r="PAL237" s="1"/>
      <c r="PAM237" s="1"/>
      <c r="PAN237" s="1"/>
      <c r="PAO237" s="1"/>
      <c r="PAP237" s="1"/>
      <c r="PAQ237" s="1"/>
      <c r="PAR237" s="1"/>
      <c r="PAS237" s="1"/>
      <c r="PAT237" s="1"/>
      <c r="PAU237" s="1"/>
      <c r="PAV237" s="1"/>
      <c r="PAW237" s="1"/>
      <c r="PAX237" s="1"/>
      <c r="PAY237" s="1"/>
      <c r="PAZ237" s="1"/>
      <c r="PBA237" s="1"/>
      <c r="PBB237" s="1"/>
      <c r="PBC237" s="1"/>
      <c r="PBD237" s="1"/>
      <c r="PBE237" s="1"/>
      <c r="PBF237" s="1"/>
      <c r="PBG237" s="1"/>
      <c r="PBH237" s="1"/>
      <c r="PBI237" s="1"/>
      <c r="PBJ237" s="1"/>
      <c r="PBK237" s="1"/>
      <c r="PBL237" s="1"/>
      <c r="PBM237" s="1"/>
      <c r="PBN237" s="1"/>
      <c r="PBO237" s="1"/>
      <c r="PBP237" s="1"/>
      <c r="PBQ237" s="1"/>
      <c r="PBR237" s="1"/>
      <c r="PBS237" s="1"/>
      <c r="PBT237" s="1"/>
      <c r="PBU237" s="1"/>
      <c r="PBV237" s="1"/>
      <c r="PBW237" s="1"/>
      <c r="PBX237" s="1"/>
      <c r="PBY237" s="1"/>
      <c r="PBZ237" s="1"/>
      <c r="PCA237" s="1"/>
      <c r="PCB237" s="1"/>
      <c r="PCC237" s="1"/>
      <c r="PCD237" s="1"/>
      <c r="PCE237" s="1"/>
      <c r="PCF237" s="1"/>
      <c r="PCG237" s="1"/>
      <c r="PCH237" s="1"/>
      <c r="PCI237" s="1"/>
      <c r="PCJ237" s="1"/>
      <c r="PCK237" s="1"/>
      <c r="PCL237" s="1"/>
      <c r="PCM237" s="1"/>
      <c r="PCN237" s="1"/>
      <c r="PCO237" s="1"/>
      <c r="PCP237" s="1"/>
      <c r="PCQ237" s="1"/>
      <c r="PCR237" s="1"/>
      <c r="PCS237" s="1"/>
      <c r="PCT237" s="1"/>
      <c r="PCU237" s="1"/>
      <c r="PCV237" s="1"/>
      <c r="PCW237" s="1"/>
      <c r="PCX237" s="1"/>
      <c r="PCY237" s="1"/>
      <c r="PCZ237" s="1"/>
      <c r="PDA237" s="1"/>
      <c r="PDB237" s="1"/>
      <c r="PDC237" s="1"/>
      <c r="PDD237" s="1"/>
      <c r="PDE237" s="1"/>
      <c r="PDF237" s="1"/>
      <c r="PDG237" s="1"/>
      <c r="PDH237" s="1"/>
      <c r="PDI237" s="1"/>
      <c r="PDJ237" s="1"/>
      <c r="PDK237" s="1"/>
      <c r="PDL237" s="1"/>
      <c r="PDM237" s="1"/>
      <c r="PDN237" s="1"/>
      <c r="PDO237" s="1"/>
      <c r="PDP237" s="1"/>
      <c r="PDQ237" s="1"/>
      <c r="PDR237" s="1"/>
      <c r="PDS237" s="1"/>
      <c r="PDT237" s="1"/>
      <c r="PDU237" s="1"/>
      <c r="PDV237" s="1"/>
      <c r="PDW237" s="1"/>
      <c r="PDX237" s="1"/>
      <c r="PDY237" s="1"/>
      <c r="PDZ237" s="1"/>
      <c r="PEA237" s="1"/>
      <c r="PEB237" s="1"/>
      <c r="PEC237" s="1"/>
      <c r="PED237" s="1"/>
      <c r="PEE237" s="1"/>
      <c r="PEF237" s="1"/>
      <c r="PEG237" s="1"/>
      <c r="PEH237" s="1"/>
      <c r="PEI237" s="1"/>
      <c r="PEJ237" s="1"/>
      <c r="PEK237" s="1"/>
      <c r="PEL237" s="1"/>
      <c r="PEM237" s="1"/>
      <c r="PEN237" s="1"/>
      <c r="PEO237" s="1"/>
      <c r="PEP237" s="1"/>
      <c r="PEQ237" s="1"/>
      <c r="PER237" s="1"/>
      <c r="PES237" s="1"/>
      <c r="PET237" s="1"/>
      <c r="PEU237" s="1"/>
      <c r="PEV237" s="1"/>
      <c r="PEW237" s="1"/>
      <c r="PEX237" s="1"/>
      <c r="PEY237" s="1"/>
      <c r="PEZ237" s="1"/>
      <c r="PFA237" s="1"/>
      <c r="PFB237" s="1"/>
      <c r="PFC237" s="1"/>
      <c r="PFD237" s="1"/>
      <c r="PFE237" s="1"/>
      <c r="PFF237" s="1"/>
      <c r="PFG237" s="1"/>
      <c r="PFH237" s="1"/>
      <c r="PFI237" s="1"/>
      <c r="PFJ237" s="1"/>
      <c r="PFK237" s="1"/>
      <c r="PFL237" s="1"/>
      <c r="PFM237" s="1"/>
      <c r="PFN237" s="1"/>
      <c r="PFO237" s="1"/>
      <c r="PFP237" s="1"/>
      <c r="PFQ237" s="1"/>
      <c r="PFR237" s="1"/>
      <c r="PFS237" s="1"/>
      <c r="PFT237" s="1"/>
      <c r="PFU237" s="1"/>
      <c r="PFV237" s="1"/>
      <c r="PFW237" s="1"/>
      <c r="PFX237" s="1"/>
      <c r="PFY237" s="1"/>
      <c r="PFZ237" s="1"/>
      <c r="PGA237" s="1"/>
      <c r="PGB237" s="1"/>
      <c r="PGC237" s="1"/>
      <c r="PGD237" s="1"/>
      <c r="PGE237" s="1"/>
      <c r="PGF237" s="1"/>
      <c r="PGG237" s="1"/>
      <c r="PGH237" s="1"/>
      <c r="PGI237" s="1"/>
      <c r="PGJ237" s="1"/>
      <c r="PGK237" s="1"/>
      <c r="PGL237" s="1"/>
      <c r="PGM237" s="1"/>
      <c r="PGN237" s="1"/>
      <c r="PGO237" s="1"/>
      <c r="PGP237" s="1"/>
      <c r="PGQ237" s="1"/>
      <c r="PGR237" s="1"/>
      <c r="PGS237" s="1"/>
      <c r="PGT237" s="1"/>
      <c r="PGU237" s="1"/>
      <c r="PGV237" s="1"/>
      <c r="PGW237" s="1"/>
      <c r="PGX237" s="1"/>
      <c r="PGY237" s="1"/>
      <c r="PGZ237" s="1"/>
      <c r="PHA237" s="1"/>
      <c r="PHB237" s="1"/>
      <c r="PHC237" s="1"/>
      <c r="PHD237" s="1"/>
      <c r="PHE237" s="1"/>
      <c r="PHF237" s="1"/>
      <c r="PHG237" s="1"/>
      <c r="PHH237" s="1"/>
      <c r="PHI237" s="1"/>
      <c r="PHJ237" s="1"/>
      <c r="PHK237" s="1"/>
      <c r="PHL237" s="1"/>
      <c r="PHM237" s="1"/>
      <c r="PHN237" s="1"/>
      <c r="PHO237" s="1"/>
      <c r="PHP237" s="1"/>
      <c r="PHQ237" s="1"/>
      <c r="PHR237" s="1"/>
      <c r="PHS237" s="1"/>
      <c r="PHT237" s="1"/>
      <c r="PHU237" s="1"/>
      <c r="PHV237" s="1"/>
      <c r="PHW237" s="1"/>
      <c r="PHX237" s="1"/>
      <c r="PHY237" s="1"/>
      <c r="PHZ237" s="1"/>
      <c r="PIA237" s="1"/>
      <c r="PIB237" s="1"/>
      <c r="PIC237" s="1"/>
      <c r="PID237" s="1"/>
      <c r="PIE237" s="1"/>
      <c r="PIF237" s="1"/>
      <c r="PIG237" s="1"/>
      <c r="PIH237" s="1"/>
      <c r="PII237" s="1"/>
      <c r="PIJ237" s="1"/>
      <c r="PIK237" s="1"/>
      <c r="PIL237" s="1"/>
      <c r="PIM237" s="1"/>
      <c r="PIN237" s="1"/>
      <c r="PIO237" s="1"/>
      <c r="PIP237" s="1"/>
      <c r="PIQ237" s="1"/>
      <c r="PIR237" s="1"/>
      <c r="PIS237" s="1"/>
      <c r="PIT237" s="1"/>
      <c r="PIU237" s="1"/>
      <c r="PIV237" s="1"/>
      <c r="PIW237" s="1"/>
      <c r="PIX237" s="1"/>
      <c r="PIY237" s="1"/>
      <c r="PIZ237" s="1"/>
      <c r="PJA237" s="1"/>
      <c r="PJB237" s="1"/>
      <c r="PJC237" s="1"/>
      <c r="PJD237" s="1"/>
      <c r="PJE237" s="1"/>
      <c r="PJF237" s="1"/>
      <c r="PJG237" s="1"/>
      <c r="PJH237" s="1"/>
      <c r="PJI237" s="1"/>
      <c r="PJJ237" s="1"/>
      <c r="PJK237" s="1"/>
      <c r="PJL237" s="1"/>
      <c r="PJM237" s="1"/>
      <c r="PJN237" s="1"/>
      <c r="PJO237" s="1"/>
      <c r="PJP237" s="1"/>
      <c r="PJQ237" s="1"/>
      <c r="PJR237" s="1"/>
      <c r="PJS237" s="1"/>
      <c r="PJT237" s="1"/>
      <c r="PJU237" s="1"/>
      <c r="PJV237" s="1"/>
      <c r="PJW237" s="1"/>
      <c r="PJX237" s="1"/>
      <c r="PJY237" s="1"/>
      <c r="PJZ237" s="1"/>
      <c r="PKA237" s="1"/>
      <c r="PKB237" s="1"/>
      <c r="PKC237" s="1"/>
      <c r="PKD237" s="1"/>
      <c r="PKE237" s="1"/>
      <c r="PKF237" s="1"/>
      <c r="PKG237" s="1"/>
      <c r="PKH237" s="1"/>
      <c r="PKI237" s="1"/>
      <c r="PKJ237" s="1"/>
      <c r="PKK237" s="1"/>
      <c r="PKL237" s="1"/>
      <c r="PKM237" s="1"/>
      <c r="PKN237" s="1"/>
      <c r="PKO237" s="1"/>
      <c r="PKP237" s="1"/>
      <c r="PKQ237" s="1"/>
      <c r="PKR237" s="1"/>
      <c r="PKS237" s="1"/>
      <c r="PKT237" s="1"/>
      <c r="PKU237" s="1"/>
      <c r="PKV237" s="1"/>
      <c r="PKW237" s="1"/>
      <c r="PKX237" s="1"/>
      <c r="PKY237" s="1"/>
      <c r="PKZ237" s="1"/>
      <c r="PLA237" s="1"/>
      <c r="PLB237" s="1"/>
      <c r="PLC237" s="1"/>
      <c r="PLD237" s="1"/>
      <c r="PLE237" s="1"/>
      <c r="PLF237" s="1"/>
      <c r="PLG237" s="1"/>
      <c r="PLH237" s="1"/>
      <c r="PLI237" s="1"/>
      <c r="PLJ237" s="1"/>
      <c r="PLK237" s="1"/>
      <c r="PLL237" s="1"/>
      <c r="PLM237" s="1"/>
      <c r="PLN237" s="1"/>
      <c r="PLO237" s="1"/>
      <c r="PLP237" s="1"/>
      <c r="PLQ237" s="1"/>
      <c r="PLR237" s="1"/>
      <c r="PLS237" s="1"/>
      <c r="PLT237" s="1"/>
      <c r="PLU237" s="1"/>
      <c r="PLV237" s="1"/>
      <c r="PLW237" s="1"/>
      <c r="PLX237" s="1"/>
      <c r="PLY237" s="1"/>
      <c r="PLZ237" s="1"/>
      <c r="PMA237" s="1"/>
      <c r="PMB237" s="1"/>
      <c r="PMC237" s="1"/>
      <c r="PMD237" s="1"/>
      <c r="PME237" s="1"/>
      <c r="PMF237" s="1"/>
      <c r="PMG237" s="1"/>
      <c r="PMH237" s="1"/>
      <c r="PMI237" s="1"/>
      <c r="PMJ237" s="1"/>
      <c r="PMK237" s="1"/>
      <c r="PML237" s="1"/>
      <c r="PMM237" s="1"/>
      <c r="PMN237" s="1"/>
      <c r="PMO237" s="1"/>
      <c r="PMP237" s="1"/>
      <c r="PMQ237" s="1"/>
      <c r="PMR237" s="1"/>
      <c r="PMS237" s="1"/>
      <c r="PMT237" s="1"/>
      <c r="PMU237" s="1"/>
      <c r="PMV237" s="1"/>
      <c r="PMW237" s="1"/>
      <c r="PMX237" s="1"/>
      <c r="PMY237" s="1"/>
      <c r="PMZ237" s="1"/>
      <c r="PNA237" s="1"/>
      <c r="PNB237" s="1"/>
      <c r="PNC237" s="1"/>
      <c r="PND237" s="1"/>
      <c r="PNE237" s="1"/>
      <c r="PNF237" s="1"/>
      <c r="PNG237" s="1"/>
      <c r="PNH237" s="1"/>
      <c r="PNI237" s="1"/>
      <c r="PNJ237" s="1"/>
      <c r="PNK237" s="1"/>
      <c r="PNL237" s="1"/>
      <c r="PNM237" s="1"/>
      <c r="PNN237" s="1"/>
      <c r="PNO237" s="1"/>
      <c r="PNP237" s="1"/>
      <c r="PNQ237" s="1"/>
      <c r="PNR237" s="1"/>
      <c r="PNS237" s="1"/>
      <c r="PNT237" s="1"/>
      <c r="PNU237" s="1"/>
      <c r="PNV237" s="1"/>
      <c r="PNW237" s="1"/>
      <c r="PNX237" s="1"/>
      <c r="PNY237" s="1"/>
      <c r="PNZ237" s="1"/>
      <c r="POA237" s="1"/>
      <c r="POB237" s="1"/>
      <c r="POC237" s="1"/>
      <c r="POD237" s="1"/>
      <c r="POE237" s="1"/>
      <c r="POF237" s="1"/>
      <c r="POG237" s="1"/>
      <c r="POH237" s="1"/>
      <c r="POI237" s="1"/>
      <c r="POJ237" s="1"/>
      <c r="POK237" s="1"/>
      <c r="POL237" s="1"/>
      <c r="POM237" s="1"/>
      <c r="PON237" s="1"/>
      <c r="POO237" s="1"/>
      <c r="POP237" s="1"/>
      <c r="POQ237" s="1"/>
      <c r="POR237" s="1"/>
      <c r="POS237" s="1"/>
      <c r="POT237" s="1"/>
      <c r="POU237" s="1"/>
      <c r="POV237" s="1"/>
      <c r="POW237" s="1"/>
      <c r="POX237" s="1"/>
      <c r="POY237" s="1"/>
      <c r="POZ237" s="1"/>
      <c r="PPA237" s="1"/>
      <c r="PPB237" s="1"/>
      <c r="PPC237" s="1"/>
      <c r="PPD237" s="1"/>
      <c r="PPE237" s="1"/>
      <c r="PPF237" s="1"/>
      <c r="PPG237" s="1"/>
      <c r="PPH237" s="1"/>
      <c r="PPI237" s="1"/>
      <c r="PPJ237" s="1"/>
      <c r="PPK237" s="1"/>
      <c r="PPL237" s="1"/>
      <c r="PPM237" s="1"/>
      <c r="PPN237" s="1"/>
      <c r="PPO237" s="1"/>
      <c r="PPP237" s="1"/>
      <c r="PPQ237" s="1"/>
      <c r="PPR237" s="1"/>
      <c r="PPS237" s="1"/>
      <c r="PPT237" s="1"/>
      <c r="PPU237" s="1"/>
      <c r="PPV237" s="1"/>
      <c r="PPW237" s="1"/>
      <c r="PPX237" s="1"/>
      <c r="PPY237" s="1"/>
      <c r="PPZ237" s="1"/>
      <c r="PQA237" s="1"/>
      <c r="PQB237" s="1"/>
      <c r="PQC237" s="1"/>
      <c r="PQD237" s="1"/>
      <c r="PQE237" s="1"/>
      <c r="PQF237" s="1"/>
      <c r="PQG237" s="1"/>
      <c r="PQH237" s="1"/>
      <c r="PQI237" s="1"/>
      <c r="PQJ237" s="1"/>
      <c r="PQK237" s="1"/>
      <c r="PQL237" s="1"/>
      <c r="PQM237" s="1"/>
      <c r="PQN237" s="1"/>
      <c r="PQO237" s="1"/>
      <c r="PQP237" s="1"/>
      <c r="PQQ237" s="1"/>
      <c r="PQR237" s="1"/>
      <c r="PQS237" s="1"/>
      <c r="PQT237" s="1"/>
      <c r="PQU237" s="1"/>
      <c r="PQV237" s="1"/>
      <c r="PQW237" s="1"/>
      <c r="PQX237" s="1"/>
      <c r="PQY237" s="1"/>
      <c r="PQZ237" s="1"/>
      <c r="PRA237" s="1"/>
      <c r="PRB237" s="1"/>
      <c r="PRC237" s="1"/>
      <c r="PRD237" s="1"/>
      <c r="PRE237" s="1"/>
      <c r="PRF237" s="1"/>
      <c r="PRG237" s="1"/>
      <c r="PRH237" s="1"/>
      <c r="PRI237" s="1"/>
      <c r="PRJ237" s="1"/>
      <c r="PRK237" s="1"/>
      <c r="PRL237" s="1"/>
      <c r="PRM237" s="1"/>
      <c r="PRN237" s="1"/>
      <c r="PRO237" s="1"/>
      <c r="PRP237" s="1"/>
      <c r="PRQ237" s="1"/>
      <c r="PRR237" s="1"/>
      <c r="PRS237" s="1"/>
      <c r="PRT237" s="1"/>
      <c r="PRU237" s="1"/>
      <c r="PRV237" s="1"/>
      <c r="PRW237" s="1"/>
      <c r="PRX237" s="1"/>
      <c r="PRY237" s="1"/>
      <c r="PRZ237" s="1"/>
      <c r="PSA237" s="1"/>
      <c r="PSB237" s="1"/>
      <c r="PSC237" s="1"/>
      <c r="PSD237" s="1"/>
      <c r="PSE237" s="1"/>
      <c r="PSF237" s="1"/>
      <c r="PSG237" s="1"/>
      <c r="PSH237" s="1"/>
      <c r="PSI237" s="1"/>
      <c r="PSJ237" s="1"/>
      <c r="PSK237" s="1"/>
      <c r="PSL237" s="1"/>
      <c r="PSM237" s="1"/>
      <c r="PSN237" s="1"/>
      <c r="PSO237" s="1"/>
      <c r="PSP237" s="1"/>
      <c r="PSQ237" s="1"/>
      <c r="PSR237" s="1"/>
      <c r="PSS237" s="1"/>
      <c r="PST237" s="1"/>
      <c r="PSU237" s="1"/>
      <c r="PSV237" s="1"/>
      <c r="PSW237" s="1"/>
      <c r="PSX237" s="1"/>
      <c r="PSY237" s="1"/>
      <c r="PSZ237" s="1"/>
      <c r="PTA237" s="1"/>
      <c r="PTB237" s="1"/>
      <c r="PTC237" s="1"/>
      <c r="PTD237" s="1"/>
      <c r="PTE237" s="1"/>
      <c r="PTF237" s="1"/>
      <c r="PTG237" s="1"/>
      <c r="PTH237" s="1"/>
      <c r="PTI237" s="1"/>
      <c r="PTJ237" s="1"/>
      <c r="PTK237" s="1"/>
      <c r="PTL237" s="1"/>
      <c r="PTM237" s="1"/>
      <c r="PTN237" s="1"/>
      <c r="PTO237" s="1"/>
      <c r="PTP237" s="1"/>
      <c r="PTQ237" s="1"/>
      <c r="PTR237" s="1"/>
      <c r="PTS237" s="1"/>
      <c r="PTT237" s="1"/>
      <c r="PTU237" s="1"/>
      <c r="PTV237" s="1"/>
      <c r="PTW237" s="1"/>
      <c r="PTX237" s="1"/>
      <c r="PTY237" s="1"/>
      <c r="PTZ237" s="1"/>
      <c r="PUA237" s="1"/>
      <c r="PUB237" s="1"/>
      <c r="PUC237" s="1"/>
      <c r="PUD237" s="1"/>
      <c r="PUE237" s="1"/>
      <c r="PUF237" s="1"/>
      <c r="PUG237" s="1"/>
      <c r="PUH237" s="1"/>
      <c r="PUI237" s="1"/>
      <c r="PUJ237" s="1"/>
      <c r="PUK237" s="1"/>
      <c r="PUL237" s="1"/>
      <c r="PUM237" s="1"/>
      <c r="PUN237" s="1"/>
      <c r="PUO237" s="1"/>
      <c r="PUP237" s="1"/>
      <c r="PUQ237" s="1"/>
      <c r="PUR237" s="1"/>
      <c r="PUS237" s="1"/>
      <c r="PUT237" s="1"/>
      <c r="PUU237" s="1"/>
      <c r="PUV237" s="1"/>
      <c r="PUW237" s="1"/>
      <c r="PUX237" s="1"/>
      <c r="PUY237" s="1"/>
      <c r="PUZ237" s="1"/>
      <c r="PVA237" s="1"/>
      <c r="PVB237" s="1"/>
      <c r="PVC237" s="1"/>
      <c r="PVD237" s="1"/>
      <c r="PVE237" s="1"/>
      <c r="PVF237" s="1"/>
      <c r="PVG237" s="1"/>
      <c r="PVH237" s="1"/>
      <c r="PVI237" s="1"/>
      <c r="PVJ237" s="1"/>
      <c r="PVK237" s="1"/>
      <c r="PVL237" s="1"/>
      <c r="PVM237" s="1"/>
      <c r="PVN237" s="1"/>
      <c r="PVO237" s="1"/>
      <c r="PVP237" s="1"/>
      <c r="PVQ237" s="1"/>
      <c r="PVR237" s="1"/>
      <c r="PVS237" s="1"/>
      <c r="PVT237" s="1"/>
      <c r="PVU237" s="1"/>
      <c r="PVV237" s="1"/>
      <c r="PVW237" s="1"/>
      <c r="PVX237" s="1"/>
      <c r="PVY237" s="1"/>
      <c r="PVZ237" s="1"/>
      <c r="PWA237" s="1"/>
      <c r="PWB237" s="1"/>
      <c r="PWC237" s="1"/>
      <c r="PWD237" s="1"/>
      <c r="PWE237" s="1"/>
      <c r="PWF237" s="1"/>
      <c r="PWG237" s="1"/>
      <c r="PWH237" s="1"/>
      <c r="PWI237" s="1"/>
      <c r="PWJ237" s="1"/>
      <c r="PWK237" s="1"/>
      <c r="PWL237" s="1"/>
      <c r="PWM237" s="1"/>
      <c r="PWN237" s="1"/>
      <c r="PWO237" s="1"/>
      <c r="PWP237" s="1"/>
      <c r="PWQ237" s="1"/>
      <c r="PWR237" s="1"/>
      <c r="PWS237" s="1"/>
      <c r="PWT237" s="1"/>
      <c r="PWU237" s="1"/>
      <c r="PWV237" s="1"/>
      <c r="PWW237" s="1"/>
      <c r="PWX237" s="1"/>
      <c r="PWY237" s="1"/>
      <c r="PWZ237" s="1"/>
      <c r="PXA237" s="1"/>
      <c r="PXB237" s="1"/>
      <c r="PXC237" s="1"/>
      <c r="PXD237" s="1"/>
      <c r="PXE237" s="1"/>
      <c r="PXF237" s="1"/>
      <c r="PXG237" s="1"/>
      <c r="PXH237" s="1"/>
      <c r="PXI237" s="1"/>
      <c r="PXJ237" s="1"/>
      <c r="PXK237" s="1"/>
      <c r="PXL237" s="1"/>
      <c r="PXM237" s="1"/>
      <c r="PXN237" s="1"/>
      <c r="PXO237" s="1"/>
      <c r="PXP237" s="1"/>
      <c r="PXQ237" s="1"/>
      <c r="PXR237" s="1"/>
      <c r="PXS237" s="1"/>
      <c r="PXT237" s="1"/>
      <c r="PXU237" s="1"/>
      <c r="PXV237" s="1"/>
      <c r="PXW237" s="1"/>
      <c r="PXX237" s="1"/>
      <c r="PXY237" s="1"/>
      <c r="PXZ237" s="1"/>
      <c r="PYA237" s="1"/>
      <c r="PYB237" s="1"/>
      <c r="PYC237" s="1"/>
      <c r="PYD237" s="1"/>
      <c r="PYE237" s="1"/>
      <c r="PYF237" s="1"/>
      <c r="PYG237" s="1"/>
      <c r="PYH237" s="1"/>
      <c r="PYI237" s="1"/>
      <c r="PYJ237" s="1"/>
      <c r="PYK237" s="1"/>
      <c r="PYL237" s="1"/>
      <c r="PYM237" s="1"/>
      <c r="PYN237" s="1"/>
      <c r="PYO237" s="1"/>
      <c r="PYP237" s="1"/>
      <c r="PYQ237" s="1"/>
      <c r="PYR237" s="1"/>
      <c r="PYS237" s="1"/>
      <c r="PYT237" s="1"/>
      <c r="PYU237" s="1"/>
      <c r="PYV237" s="1"/>
      <c r="PYW237" s="1"/>
      <c r="PYX237" s="1"/>
      <c r="PYY237" s="1"/>
      <c r="PYZ237" s="1"/>
      <c r="PZA237" s="1"/>
      <c r="PZB237" s="1"/>
      <c r="PZC237" s="1"/>
      <c r="PZD237" s="1"/>
      <c r="PZE237" s="1"/>
      <c r="PZF237" s="1"/>
      <c r="PZG237" s="1"/>
      <c r="PZH237" s="1"/>
      <c r="PZI237" s="1"/>
      <c r="PZJ237" s="1"/>
      <c r="PZK237" s="1"/>
      <c r="PZL237" s="1"/>
      <c r="PZM237" s="1"/>
      <c r="PZN237" s="1"/>
      <c r="PZO237" s="1"/>
      <c r="PZP237" s="1"/>
      <c r="PZQ237" s="1"/>
      <c r="PZR237" s="1"/>
      <c r="PZS237" s="1"/>
      <c r="PZT237" s="1"/>
      <c r="PZU237" s="1"/>
      <c r="PZV237" s="1"/>
      <c r="PZW237" s="1"/>
      <c r="PZX237" s="1"/>
      <c r="PZY237" s="1"/>
      <c r="PZZ237" s="1"/>
      <c r="QAA237" s="1"/>
      <c r="QAB237" s="1"/>
      <c r="QAC237" s="1"/>
      <c r="QAD237" s="1"/>
      <c r="QAE237" s="1"/>
      <c r="QAF237" s="1"/>
      <c r="QAG237" s="1"/>
      <c r="QAH237" s="1"/>
      <c r="QAI237" s="1"/>
      <c r="QAJ237" s="1"/>
      <c r="QAK237" s="1"/>
      <c r="QAL237" s="1"/>
      <c r="QAM237" s="1"/>
      <c r="QAN237" s="1"/>
      <c r="QAO237" s="1"/>
      <c r="QAP237" s="1"/>
      <c r="QAQ237" s="1"/>
      <c r="QAR237" s="1"/>
      <c r="QAS237" s="1"/>
      <c r="QAT237" s="1"/>
      <c r="QAU237" s="1"/>
      <c r="QAV237" s="1"/>
      <c r="QAW237" s="1"/>
      <c r="QAX237" s="1"/>
      <c r="QAY237" s="1"/>
      <c r="QAZ237" s="1"/>
      <c r="QBA237" s="1"/>
      <c r="QBB237" s="1"/>
      <c r="QBC237" s="1"/>
      <c r="QBD237" s="1"/>
      <c r="QBE237" s="1"/>
      <c r="QBF237" s="1"/>
      <c r="QBG237" s="1"/>
      <c r="QBH237" s="1"/>
      <c r="QBI237" s="1"/>
      <c r="QBJ237" s="1"/>
      <c r="QBK237" s="1"/>
      <c r="QBL237" s="1"/>
      <c r="QBM237" s="1"/>
      <c r="QBN237" s="1"/>
      <c r="QBO237" s="1"/>
      <c r="QBP237" s="1"/>
      <c r="QBQ237" s="1"/>
      <c r="QBR237" s="1"/>
      <c r="QBS237" s="1"/>
      <c r="QBT237" s="1"/>
      <c r="QBU237" s="1"/>
      <c r="QBV237" s="1"/>
      <c r="QBW237" s="1"/>
      <c r="QBX237" s="1"/>
      <c r="QBY237" s="1"/>
      <c r="QBZ237" s="1"/>
      <c r="QCA237" s="1"/>
      <c r="QCB237" s="1"/>
      <c r="QCC237" s="1"/>
      <c r="QCD237" s="1"/>
      <c r="QCE237" s="1"/>
      <c r="QCF237" s="1"/>
      <c r="QCG237" s="1"/>
      <c r="QCH237" s="1"/>
      <c r="QCI237" s="1"/>
      <c r="QCJ237" s="1"/>
      <c r="QCK237" s="1"/>
      <c r="QCL237" s="1"/>
      <c r="QCM237" s="1"/>
      <c r="QCN237" s="1"/>
      <c r="QCO237" s="1"/>
      <c r="QCP237" s="1"/>
      <c r="QCQ237" s="1"/>
      <c r="QCR237" s="1"/>
      <c r="QCS237" s="1"/>
      <c r="QCT237" s="1"/>
      <c r="QCU237" s="1"/>
      <c r="QCV237" s="1"/>
      <c r="QCW237" s="1"/>
      <c r="QCX237" s="1"/>
      <c r="QCY237" s="1"/>
      <c r="QCZ237" s="1"/>
      <c r="QDA237" s="1"/>
      <c r="QDB237" s="1"/>
      <c r="QDC237" s="1"/>
      <c r="QDD237" s="1"/>
      <c r="QDE237" s="1"/>
      <c r="QDF237" s="1"/>
      <c r="QDG237" s="1"/>
      <c r="QDH237" s="1"/>
      <c r="QDI237" s="1"/>
      <c r="QDJ237" s="1"/>
      <c r="QDK237" s="1"/>
      <c r="QDL237" s="1"/>
      <c r="QDM237" s="1"/>
      <c r="QDN237" s="1"/>
      <c r="QDO237" s="1"/>
      <c r="QDP237" s="1"/>
      <c r="QDQ237" s="1"/>
      <c r="QDR237" s="1"/>
      <c r="QDS237" s="1"/>
      <c r="QDT237" s="1"/>
      <c r="QDU237" s="1"/>
      <c r="QDV237" s="1"/>
      <c r="QDW237" s="1"/>
      <c r="QDX237" s="1"/>
      <c r="QDY237" s="1"/>
      <c r="QDZ237" s="1"/>
      <c r="QEA237" s="1"/>
      <c r="QEB237" s="1"/>
      <c r="QEC237" s="1"/>
      <c r="QED237" s="1"/>
      <c r="QEE237" s="1"/>
      <c r="QEF237" s="1"/>
      <c r="QEG237" s="1"/>
      <c r="QEH237" s="1"/>
      <c r="QEI237" s="1"/>
      <c r="QEJ237" s="1"/>
      <c r="QEK237" s="1"/>
      <c r="QEL237" s="1"/>
      <c r="QEM237" s="1"/>
      <c r="QEN237" s="1"/>
      <c r="QEO237" s="1"/>
      <c r="QEP237" s="1"/>
      <c r="QEQ237" s="1"/>
      <c r="QER237" s="1"/>
      <c r="QES237" s="1"/>
      <c r="QET237" s="1"/>
      <c r="QEU237" s="1"/>
      <c r="QEV237" s="1"/>
      <c r="QEW237" s="1"/>
      <c r="QEX237" s="1"/>
      <c r="QEY237" s="1"/>
      <c r="QEZ237" s="1"/>
      <c r="QFA237" s="1"/>
      <c r="QFB237" s="1"/>
      <c r="QFC237" s="1"/>
      <c r="QFD237" s="1"/>
      <c r="QFE237" s="1"/>
      <c r="QFF237" s="1"/>
      <c r="QFG237" s="1"/>
      <c r="QFH237" s="1"/>
      <c r="QFI237" s="1"/>
      <c r="QFJ237" s="1"/>
      <c r="QFK237" s="1"/>
      <c r="QFL237" s="1"/>
      <c r="QFM237" s="1"/>
      <c r="QFN237" s="1"/>
      <c r="QFO237" s="1"/>
      <c r="QFP237" s="1"/>
      <c r="QFQ237" s="1"/>
      <c r="QFR237" s="1"/>
      <c r="QFS237" s="1"/>
      <c r="QFT237" s="1"/>
      <c r="QFU237" s="1"/>
      <c r="QFV237" s="1"/>
      <c r="QFW237" s="1"/>
      <c r="QFX237" s="1"/>
      <c r="QFY237" s="1"/>
      <c r="QFZ237" s="1"/>
      <c r="QGA237" s="1"/>
      <c r="QGB237" s="1"/>
      <c r="QGC237" s="1"/>
      <c r="QGD237" s="1"/>
      <c r="QGE237" s="1"/>
      <c r="QGF237" s="1"/>
      <c r="QGG237" s="1"/>
      <c r="QGH237" s="1"/>
      <c r="QGI237" s="1"/>
      <c r="QGJ237" s="1"/>
      <c r="QGK237" s="1"/>
      <c r="QGL237" s="1"/>
      <c r="QGM237" s="1"/>
      <c r="QGN237" s="1"/>
      <c r="QGO237" s="1"/>
      <c r="QGP237" s="1"/>
      <c r="QGQ237" s="1"/>
      <c r="QGR237" s="1"/>
      <c r="QGS237" s="1"/>
      <c r="QGT237" s="1"/>
      <c r="QGU237" s="1"/>
      <c r="QGV237" s="1"/>
      <c r="QGW237" s="1"/>
      <c r="QGX237" s="1"/>
      <c r="QGY237" s="1"/>
      <c r="QGZ237" s="1"/>
      <c r="QHA237" s="1"/>
      <c r="QHB237" s="1"/>
      <c r="QHC237" s="1"/>
      <c r="QHD237" s="1"/>
      <c r="QHE237" s="1"/>
      <c r="QHF237" s="1"/>
      <c r="QHG237" s="1"/>
      <c r="QHH237" s="1"/>
      <c r="QHI237" s="1"/>
      <c r="QHJ237" s="1"/>
      <c r="QHK237" s="1"/>
      <c r="QHL237" s="1"/>
      <c r="QHM237" s="1"/>
      <c r="QHN237" s="1"/>
      <c r="QHO237" s="1"/>
      <c r="QHP237" s="1"/>
      <c r="QHQ237" s="1"/>
      <c r="QHR237" s="1"/>
      <c r="QHS237" s="1"/>
      <c r="QHT237" s="1"/>
      <c r="QHU237" s="1"/>
      <c r="QHV237" s="1"/>
      <c r="QHW237" s="1"/>
      <c r="QHX237" s="1"/>
      <c r="QHY237" s="1"/>
      <c r="QHZ237" s="1"/>
      <c r="QIA237" s="1"/>
      <c r="QIB237" s="1"/>
      <c r="QIC237" s="1"/>
      <c r="QID237" s="1"/>
      <c r="QIE237" s="1"/>
      <c r="QIF237" s="1"/>
      <c r="QIG237" s="1"/>
      <c r="QIH237" s="1"/>
      <c r="QII237" s="1"/>
      <c r="QIJ237" s="1"/>
      <c r="QIK237" s="1"/>
      <c r="QIL237" s="1"/>
      <c r="QIM237" s="1"/>
      <c r="QIN237" s="1"/>
      <c r="QIO237" s="1"/>
      <c r="QIP237" s="1"/>
      <c r="QIQ237" s="1"/>
      <c r="QIR237" s="1"/>
      <c r="QIS237" s="1"/>
      <c r="QIT237" s="1"/>
      <c r="QIU237" s="1"/>
      <c r="QIV237" s="1"/>
      <c r="QIW237" s="1"/>
      <c r="QIX237" s="1"/>
      <c r="QIY237" s="1"/>
      <c r="QIZ237" s="1"/>
      <c r="QJA237" s="1"/>
      <c r="QJB237" s="1"/>
      <c r="QJC237" s="1"/>
      <c r="QJD237" s="1"/>
      <c r="QJE237" s="1"/>
      <c r="QJF237" s="1"/>
      <c r="QJG237" s="1"/>
      <c r="QJH237" s="1"/>
      <c r="QJI237" s="1"/>
      <c r="QJJ237" s="1"/>
      <c r="QJK237" s="1"/>
      <c r="QJL237" s="1"/>
      <c r="QJM237" s="1"/>
      <c r="QJN237" s="1"/>
      <c r="QJO237" s="1"/>
      <c r="QJP237" s="1"/>
      <c r="QJQ237" s="1"/>
      <c r="QJR237" s="1"/>
      <c r="QJS237" s="1"/>
      <c r="QJT237" s="1"/>
      <c r="QJU237" s="1"/>
      <c r="QJV237" s="1"/>
      <c r="QJW237" s="1"/>
      <c r="QJX237" s="1"/>
      <c r="QJY237" s="1"/>
      <c r="QJZ237" s="1"/>
      <c r="QKA237" s="1"/>
      <c r="QKB237" s="1"/>
      <c r="QKC237" s="1"/>
      <c r="QKD237" s="1"/>
      <c r="QKE237" s="1"/>
      <c r="QKF237" s="1"/>
      <c r="QKG237" s="1"/>
      <c r="QKH237" s="1"/>
      <c r="QKI237" s="1"/>
      <c r="QKJ237" s="1"/>
      <c r="QKK237" s="1"/>
      <c r="QKL237" s="1"/>
      <c r="QKM237" s="1"/>
      <c r="QKN237" s="1"/>
      <c r="QKO237" s="1"/>
      <c r="QKP237" s="1"/>
      <c r="QKQ237" s="1"/>
      <c r="QKR237" s="1"/>
      <c r="QKS237" s="1"/>
      <c r="QKT237" s="1"/>
      <c r="QKU237" s="1"/>
      <c r="QKV237" s="1"/>
      <c r="QKW237" s="1"/>
      <c r="QKX237" s="1"/>
      <c r="QKY237" s="1"/>
      <c r="QKZ237" s="1"/>
      <c r="QLA237" s="1"/>
      <c r="QLB237" s="1"/>
      <c r="QLC237" s="1"/>
      <c r="QLD237" s="1"/>
      <c r="QLE237" s="1"/>
      <c r="QLF237" s="1"/>
      <c r="QLG237" s="1"/>
      <c r="QLH237" s="1"/>
      <c r="QLI237" s="1"/>
      <c r="QLJ237" s="1"/>
      <c r="QLK237" s="1"/>
      <c r="QLL237" s="1"/>
      <c r="QLM237" s="1"/>
      <c r="QLN237" s="1"/>
      <c r="QLO237" s="1"/>
      <c r="QLP237" s="1"/>
      <c r="QLQ237" s="1"/>
      <c r="QLR237" s="1"/>
      <c r="QLS237" s="1"/>
      <c r="QLT237" s="1"/>
      <c r="QLU237" s="1"/>
      <c r="QLV237" s="1"/>
      <c r="QLW237" s="1"/>
      <c r="QLX237" s="1"/>
      <c r="QLY237" s="1"/>
      <c r="QLZ237" s="1"/>
      <c r="QMA237" s="1"/>
      <c r="QMB237" s="1"/>
      <c r="QMC237" s="1"/>
      <c r="QMD237" s="1"/>
      <c r="QME237" s="1"/>
      <c r="QMF237" s="1"/>
      <c r="QMG237" s="1"/>
      <c r="QMH237" s="1"/>
      <c r="QMI237" s="1"/>
      <c r="QMJ237" s="1"/>
      <c r="QMK237" s="1"/>
      <c r="QML237" s="1"/>
      <c r="QMM237" s="1"/>
      <c r="QMN237" s="1"/>
      <c r="QMO237" s="1"/>
      <c r="QMP237" s="1"/>
      <c r="QMQ237" s="1"/>
      <c r="QMR237" s="1"/>
      <c r="QMS237" s="1"/>
      <c r="QMT237" s="1"/>
      <c r="QMU237" s="1"/>
      <c r="QMV237" s="1"/>
      <c r="QMW237" s="1"/>
      <c r="QMX237" s="1"/>
      <c r="QMY237" s="1"/>
      <c r="QMZ237" s="1"/>
      <c r="QNA237" s="1"/>
      <c r="QNB237" s="1"/>
      <c r="QNC237" s="1"/>
      <c r="QND237" s="1"/>
      <c r="QNE237" s="1"/>
      <c r="QNF237" s="1"/>
      <c r="QNG237" s="1"/>
      <c r="QNH237" s="1"/>
      <c r="QNI237" s="1"/>
      <c r="QNJ237" s="1"/>
      <c r="QNK237" s="1"/>
      <c r="QNL237" s="1"/>
      <c r="QNM237" s="1"/>
      <c r="QNN237" s="1"/>
      <c r="QNO237" s="1"/>
      <c r="QNP237" s="1"/>
      <c r="QNQ237" s="1"/>
      <c r="QNR237" s="1"/>
      <c r="QNS237" s="1"/>
      <c r="QNT237" s="1"/>
      <c r="QNU237" s="1"/>
      <c r="QNV237" s="1"/>
      <c r="QNW237" s="1"/>
      <c r="QNX237" s="1"/>
      <c r="QNY237" s="1"/>
      <c r="QNZ237" s="1"/>
      <c r="QOA237" s="1"/>
      <c r="QOB237" s="1"/>
      <c r="QOC237" s="1"/>
      <c r="QOD237" s="1"/>
      <c r="QOE237" s="1"/>
      <c r="QOF237" s="1"/>
      <c r="QOG237" s="1"/>
      <c r="QOH237" s="1"/>
      <c r="QOI237" s="1"/>
      <c r="QOJ237" s="1"/>
      <c r="QOK237" s="1"/>
      <c r="QOL237" s="1"/>
      <c r="QOM237" s="1"/>
      <c r="QON237" s="1"/>
      <c r="QOO237" s="1"/>
      <c r="QOP237" s="1"/>
      <c r="QOQ237" s="1"/>
      <c r="QOR237" s="1"/>
      <c r="QOS237" s="1"/>
      <c r="QOT237" s="1"/>
      <c r="QOU237" s="1"/>
      <c r="QOV237" s="1"/>
      <c r="QOW237" s="1"/>
      <c r="QOX237" s="1"/>
      <c r="QOY237" s="1"/>
      <c r="QOZ237" s="1"/>
      <c r="QPA237" s="1"/>
      <c r="QPB237" s="1"/>
      <c r="QPC237" s="1"/>
      <c r="QPD237" s="1"/>
      <c r="QPE237" s="1"/>
      <c r="QPF237" s="1"/>
      <c r="QPG237" s="1"/>
      <c r="QPH237" s="1"/>
      <c r="QPI237" s="1"/>
      <c r="QPJ237" s="1"/>
      <c r="QPK237" s="1"/>
      <c r="QPL237" s="1"/>
      <c r="QPM237" s="1"/>
      <c r="QPN237" s="1"/>
      <c r="QPO237" s="1"/>
      <c r="QPP237" s="1"/>
      <c r="QPQ237" s="1"/>
      <c r="QPR237" s="1"/>
      <c r="QPS237" s="1"/>
      <c r="QPT237" s="1"/>
      <c r="QPU237" s="1"/>
      <c r="QPV237" s="1"/>
      <c r="QPW237" s="1"/>
      <c r="QPX237" s="1"/>
      <c r="QPY237" s="1"/>
      <c r="QPZ237" s="1"/>
      <c r="QQA237" s="1"/>
      <c r="QQB237" s="1"/>
      <c r="QQC237" s="1"/>
      <c r="QQD237" s="1"/>
      <c r="QQE237" s="1"/>
      <c r="QQF237" s="1"/>
      <c r="QQG237" s="1"/>
      <c r="QQH237" s="1"/>
      <c r="QQI237" s="1"/>
      <c r="QQJ237" s="1"/>
      <c r="QQK237" s="1"/>
      <c r="QQL237" s="1"/>
      <c r="QQM237" s="1"/>
      <c r="QQN237" s="1"/>
      <c r="QQO237" s="1"/>
      <c r="QQP237" s="1"/>
      <c r="QQQ237" s="1"/>
      <c r="QQR237" s="1"/>
      <c r="QQS237" s="1"/>
      <c r="QQT237" s="1"/>
      <c r="QQU237" s="1"/>
      <c r="QQV237" s="1"/>
      <c r="QQW237" s="1"/>
      <c r="QQX237" s="1"/>
      <c r="QQY237" s="1"/>
      <c r="QQZ237" s="1"/>
      <c r="QRA237" s="1"/>
      <c r="QRB237" s="1"/>
      <c r="QRC237" s="1"/>
      <c r="QRD237" s="1"/>
      <c r="QRE237" s="1"/>
      <c r="QRF237" s="1"/>
      <c r="QRG237" s="1"/>
      <c r="QRH237" s="1"/>
      <c r="QRI237" s="1"/>
      <c r="QRJ237" s="1"/>
      <c r="QRK237" s="1"/>
      <c r="QRL237" s="1"/>
      <c r="QRM237" s="1"/>
      <c r="QRN237" s="1"/>
      <c r="QRO237" s="1"/>
      <c r="QRP237" s="1"/>
      <c r="QRQ237" s="1"/>
      <c r="QRR237" s="1"/>
      <c r="QRS237" s="1"/>
      <c r="QRT237" s="1"/>
      <c r="QRU237" s="1"/>
      <c r="QRV237" s="1"/>
      <c r="QRW237" s="1"/>
      <c r="QRX237" s="1"/>
      <c r="QRY237" s="1"/>
      <c r="QRZ237" s="1"/>
      <c r="QSA237" s="1"/>
      <c r="QSB237" s="1"/>
      <c r="QSC237" s="1"/>
      <c r="QSD237" s="1"/>
      <c r="QSE237" s="1"/>
      <c r="QSF237" s="1"/>
      <c r="QSG237" s="1"/>
      <c r="QSH237" s="1"/>
      <c r="QSI237" s="1"/>
      <c r="QSJ237" s="1"/>
      <c r="QSK237" s="1"/>
      <c r="QSL237" s="1"/>
      <c r="QSM237" s="1"/>
      <c r="QSN237" s="1"/>
      <c r="QSO237" s="1"/>
      <c r="QSP237" s="1"/>
      <c r="QSQ237" s="1"/>
      <c r="QSR237" s="1"/>
      <c r="QSS237" s="1"/>
      <c r="QST237" s="1"/>
      <c r="QSU237" s="1"/>
      <c r="QSV237" s="1"/>
      <c r="QSW237" s="1"/>
      <c r="QSX237" s="1"/>
      <c r="QSY237" s="1"/>
      <c r="QSZ237" s="1"/>
      <c r="QTA237" s="1"/>
      <c r="QTB237" s="1"/>
      <c r="QTC237" s="1"/>
      <c r="QTD237" s="1"/>
      <c r="QTE237" s="1"/>
      <c r="QTF237" s="1"/>
      <c r="QTG237" s="1"/>
      <c r="QTH237" s="1"/>
      <c r="QTI237" s="1"/>
      <c r="QTJ237" s="1"/>
      <c r="QTK237" s="1"/>
      <c r="QTL237" s="1"/>
      <c r="QTM237" s="1"/>
      <c r="QTN237" s="1"/>
      <c r="QTO237" s="1"/>
      <c r="QTP237" s="1"/>
      <c r="QTQ237" s="1"/>
      <c r="QTR237" s="1"/>
      <c r="QTS237" s="1"/>
      <c r="QTT237" s="1"/>
      <c r="QTU237" s="1"/>
      <c r="QTV237" s="1"/>
      <c r="QTW237" s="1"/>
      <c r="QTX237" s="1"/>
      <c r="QTY237" s="1"/>
      <c r="QTZ237" s="1"/>
      <c r="QUA237" s="1"/>
      <c r="QUB237" s="1"/>
      <c r="QUC237" s="1"/>
      <c r="QUD237" s="1"/>
      <c r="QUE237" s="1"/>
      <c r="QUF237" s="1"/>
      <c r="QUG237" s="1"/>
      <c r="QUH237" s="1"/>
      <c r="QUI237" s="1"/>
      <c r="QUJ237" s="1"/>
      <c r="QUK237" s="1"/>
      <c r="QUL237" s="1"/>
      <c r="QUM237" s="1"/>
      <c r="QUN237" s="1"/>
      <c r="QUO237" s="1"/>
      <c r="QUP237" s="1"/>
      <c r="QUQ237" s="1"/>
      <c r="QUR237" s="1"/>
      <c r="QUS237" s="1"/>
      <c r="QUT237" s="1"/>
      <c r="QUU237" s="1"/>
      <c r="QUV237" s="1"/>
      <c r="QUW237" s="1"/>
      <c r="QUX237" s="1"/>
      <c r="QUY237" s="1"/>
      <c r="QUZ237" s="1"/>
      <c r="QVA237" s="1"/>
      <c r="QVB237" s="1"/>
      <c r="QVC237" s="1"/>
      <c r="QVD237" s="1"/>
      <c r="QVE237" s="1"/>
      <c r="QVF237" s="1"/>
      <c r="QVG237" s="1"/>
      <c r="QVH237" s="1"/>
      <c r="QVI237" s="1"/>
      <c r="QVJ237" s="1"/>
      <c r="QVK237" s="1"/>
      <c r="QVL237" s="1"/>
      <c r="QVM237" s="1"/>
      <c r="QVN237" s="1"/>
      <c r="QVO237" s="1"/>
      <c r="QVP237" s="1"/>
      <c r="QVQ237" s="1"/>
      <c r="QVR237" s="1"/>
      <c r="QVS237" s="1"/>
      <c r="QVT237" s="1"/>
      <c r="QVU237" s="1"/>
      <c r="QVV237" s="1"/>
      <c r="QVW237" s="1"/>
      <c r="QVX237" s="1"/>
      <c r="QVY237" s="1"/>
      <c r="QVZ237" s="1"/>
      <c r="QWA237" s="1"/>
      <c r="QWB237" s="1"/>
      <c r="QWC237" s="1"/>
      <c r="QWD237" s="1"/>
      <c r="QWE237" s="1"/>
      <c r="QWF237" s="1"/>
      <c r="QWG237" s="1"/>
      <c r="QWH237" s="1"/>
      <c r="QWI237" s="1"/>
      <c r="QWJ237" s="1"/>
      <c r="QWK237" s="1"/>
      <c r="QWL237" s="1"/>
      <c r="QWM237" s="1"/>
      <c r="QWN237" s="1"/>
      <c r="QWO237" s="1"/>
      <c r="QWP237" s="1"/>
      <c r="QWQ237" s="1"/>
      <c r="QWR237" s="1"/>
      <c r="QWS237" s="1"/>
      <c r="QWT237" s="1"/>
      <c r="QWU237" s="1"/>
      <c r="QWV237" s="1"/>
      <c r="QWW237" s="1"/>
      <c r="QWX237" s="1"/>
      <c r="QWY237" s="1"/>
      <c r="QWZ237" s="1"/>
      <c r="QXA237" s="1"/>
      <c r="QXB237" s="1"/>
      <c r="QXC237" s="1"/>
      <c r="QXD237" s="1"/>
      <c r="QXE237" s="1"/>
      <c r="QXF237" s="1"/>
      <c r="QXG237" s="1"/>
      <c r="QXH237" s="1"/>
      <c r="QXI237" s="1"/>
      <c r="QXJ237" s="1"/>
      <c r="QXK237" s="1"/>
      <c r="QXL237" s="1"/>
      <c r="QXM237" s="1"/>
      <c r="QXN237" s="1"/>
      <c r="QXO237" s="1"/>
      <c r="QXP237" s="1"/>
      <c r="QXQ237" s="1"/>
      <c r="QXR237" s="1"/>
      <c r="QXS237" s="1"/>
      <c r="QXT237" s="1"/>
      <c r="QXU237" s="1"/>
      <c r="QXV237" s="1"/>
      <c r="QXW237" s="1"/>
      <c r="QXX237" s="1"/>
      <c r="QXY237" s="1"/>
      <c r="QXZ237" s="1"/>
      <c r="QYA237" s="1"/>
      <c r="QYB237" s="1"/>
      <c r="QYC237" s="1"/>
      <c r="QYD237" s="1"/>
      <c r="QYE237" s="1"/>
      <c r="QYF237" s="1"/>
      <c r="QYG237" s="1"/>
      <c r="QYH237" s="1"/>
      <c r="QYI237" s="1"/>
      <c r="QYJ237" s="1"/>
      <c r="QYK237" s="1"/>
      <c r="QYL237" s="1"/>
      <c r="QYM237" s="1"/>
      <c r="QYN237" s="1"/>
      <c r="QYO237" s="1"/>
      <c r="QYP237" s="1"/>
      <c r="QYQ237" s="1"/>
      <c r="QYR237" s="1"/>
      <c r="QYS237" s="1"/>
      <c r="QYT237" s="1"/>
      <c r="QYU237" s="1"/>
      <c r="QYV237" s="1"/>
      <c r="QYW237" s="1"/>
      <c r="QYX237" s="1"/>
      <c r="QYY237" s="1"/>
      <c r="QYZ237" s="1"/>
      <c r="QZA237" s="1"/>
      <c r="QZB237" s="1"/>
      <c r="QZC237" s="1"/>
      <c r="QZD237" s="1"/>
      <c r="QZE237" s="1"/>
      <c r="QZF237" s="1"/>
      <c r="QZG237" s="1"/>
      <c r="QZH237" s="1"/>
      <c r="QZI237" s="1"/>
      <c r="QZJ237" s="1"/>
      <c r="QZK237" s="1"/>
      <c r="QZL237" s="1"/>
      <c r="QZM237" s="1"/>
      <c r="QZN237" s="1"/>
      <c r="QZO237" s="1"/>
      <c r="QZP237" s="1"/>
      <c r="QZQ237" s="1"/>
      <c r="QZR237" s="1"/>
      <c r="QZS237" s="1"/>
      <c r="QZT237" s="1"/>
      <c r="QZU237" s="1"/>
      <c r="QZV237" s="1"/>
      <c r="QZW237" s="1"/>
      <c r="QZX237" s="1"/>
      <c r="QZY237" s="1"/>
      <c r="QZZ237" s="1"/>
      <c r="RAA237" s="1"/>
      <c r="RAB237" s="1"/>
      <c r="RAC237" s="1"/>
      <c r="RAD237" s="1"/>
      <c r="RAE237" s="1"/>
      <c r="RAF237" s="1"/>
      <c r="RAG237" s="1"/>
      <c r="RAH237" s="1"/>
      <c r="RAI237" s="1"/>
      <c r="RAJ237" s="1"/>
      <c r="RAK237" s="1"/>
      <c r="RAL237" s="1"/>
      <c r="RAM237" s="1"/>
      <c r="RAN237" s="1"/>
      <c r="RAO237" s="1"/>
      <c r="RAP237" s="1"/>
      <c r="RAQ237" s="1"/>
      <c r="RAR237" s="1"/>
      <c r="RAS237" s="1"/>
      <c r="RAT237" s="1"/>
      <c r="RAU237" s="1"/>
      <c r="RAV237" s="1"/>
      <c r="RAW237" s="1"/>
      <c r="RAX237" s="1"/>
      <c r="RAY237" s="1"/>
      <c r="RAZ237" s="1"/>
      <c r="RBA237" s="1"/>
      <c r="RBB237" s="1"/>
      <c r="RBC237" s="1"/>
      <c r="RBD237" s="1"/>
      <c r="RBE237" s="1"/>
      <c r="RBF237" s="1"/>
      <c r="RBG237" s="1"/>
      <c r="RBH237" s="1"/>
      <c r="RBI237" s="1"/>
      <c r="RBJ237" s="1"/>
      <c r="RBK237" s="1"/>
      <c r="RBL237" s="1"/>
      <c r="RBM237" s="1"/>
      <c r="RBN237" s="1"/>
      <c r="RBO237" s="1"/>
      <c r="RBP237" s="1"/>
      <c r="RBQ237" s="1"/>
      <c r="RBR237" s="1"/>
      <c r="RBS237" s="1"/>
      <c r="RBT237" s="1"/>
      <c r="RBU237" s="1"/>
      <c r="RBV237" s="1"/>
      <c r="RBW237" s="1"/>
      <c r="RBX237" s="1"/>
      <c r="RBY237" s="1"/>
      <c r="RBZ237" s="1"/>
      <c r="RCA237" s="1"/>
      <c r="RCB237" s="1"/>
      <c r="RCC237" s="1"/>
      <c r="RCD237" s="1"/>
      <c r="RCE237" s="1"/>
      <c r="RCF237" s="1"/>
      <c r="RCG237" s="1"/>
      <c r="RCH237" s="1"/>
      <c r="RCI237" s="1"/>
      <c r="RCJ237" s="1"/>
      <c r="RCK237" s="1"/>
      <c r="RCL237" s="1"/>
      <c r="RCM237" s="1"/>
      <c r="RCN237" s="1"/>
      <c r="RCO237" s="1"/>
      <c r="RCP237" s="1"/>
      <c r="RCQ237" s="1"/>
      <c r="RCR237" s="1"/>
      <c r="RCS237" s="1"/>
      <c r="RCT237" s="1"/>
      <c r="RCU237" s="1"/>
      <c r="RCV237" s="1"/>
      <c r="RCW237" s="1"/>
      <c r="RCX237" s="1"/>
      <c r="RCY237" s="1"/>
      <c r="RCZ237" s="1"/>
      <c r="RDA237" s="1"/>
      <c r="RDB237" s="1"/>
      <c r="RDC237" s="1"/>
      <c r="RDD237" s="1"/>
      <c r="RDE237" s="1"/>
      <c r="RDF237" s="1"/>
      <c r="RDG237" s="1"/>
      <c r="RDH237" s="1"/>
      <c r="RDI237" s="1"/>
      <c r="RDJ237" s="1"/>
      <c r="RDK237" s="1"/>
      <c r="RDL237" s="1"/>
      <c r="RDM237" s="1"/>
      <c r="RDN237" s="1"/>
      <c r="RDO237" s="1"/>
      <c r="RDP237" s="1"/>
      <c r="RDQ237" s="1"/>
      <c r="RDR237" s="1"/>
      <c r="RDS237" s="1"/>
      <c r="RDT237" s="1"/>
      <c r="RDU237" s="1"/>
      <c r="RDV237" s="1"/>
      <c r="RDW237" s="1"/>
      <c r="RDX237" s="1"/>
      <c r="RDY237" s="1"/>
      <c r="RDZ237" s="1"/>
      <c r="REA237" s="1"/>
      <c r="REB237" s="1"/>
      <c r="REC237" s="1"/>
      <c r="RED237" s="1"/>
      <c r="REE237" s="1"/>
      <c r="REF237" s="1"/>
      <c r="REG237" s="1"/>
      <c r="REH237" s="1"/>
      <c r="REI237" s="1"/>
      <c r="REJ237" s="1"/>
      <c r="REK237" s="1"/>
      <c r="REL237" s="1"/>
      <c r="REM237" s="1"/>
      <c r="REN237" s="1"/>
      <c r="REO237" s="1"/>
      <c r="REP237" s="1"/>
      <c r="REQ237" s="1"/>
      <c r="RER237" s="1"/>
      <c r="RES237" s="1"/>
      <c r="RET237" s="1"/>
      <c r="REU237" s="1"/>
      <c r="REV237" s="1"/>
      <c r="REW237" s="1"/>
      <c r="REX237" s="1"/>
      <c r="REY237" s="1"/>
      <c r="REZ237" s="1"/>
      <c r="RFA237" s="1"/>
      <c r="RFB237" s="1"/>
      <c r="RFC237" s="1"/>
      <c r="RFD237" s="1"/>
      <c r="RFE237" s="1"/>
      <c r="RFF237" s="1"/>
      <c r="RFG237" s="1"/>
      <c r="RFH237" s="1"/>
      <c r="RFI237" s="1"/>
      <c r="RFJ237" s="1"/>
      <c r="RFK237" s="1"/>
      <c r="RFL237" s="1"/>
      <c r="RFM237" s="1"/>
      <c r="RFN237" s="1"/>
      <c r="RFO237" s="1"/>
      <c r="RFP237" s="1"/>
      <c r="RFQ237" s="1"/>
      <c r="RFR237" s="1"/>
      <c r="RFS237" s="1"/>
      <c r="RFT237" s="1"/>
      <c r="RFU237" s="1"/>
      <c r="RFV237" s="1"/>
      <c r="RFW237" s="1"/>
      <c r="RFX237" s="1"/>
      <c r="RFY237" s="1"/>
      <c r="RFZ237" s="1"/>
      <c r="RGA237" s="1"/>
      <c r="RGB237" s="1"/>
      <c r="RGC237" s="1"/>
      <c r="RGD237" s="1"/>
      <c r="RGE237" s="1"/>
      <c r="RGF237" s="1"/>
      <c r="RGG237" s="1"/>
      <c r="RGH237" s="1"/>
      <c r="RGI237" s="1"/>
      <c r="RGJ237" s="1"/>
      <c r="RGK237" s="1"/>
      <c r="RGL237" s="1"/>
      <c r="RGM237" s="1"/>
      <c r="RGN237" s="1"/>
      <c r="RGO237" s="1"/>
      <c r="RGP237" s="1"/>
      <c r="RGQ237" s="1"/>
      <c r="RGR237" s="1"/>
      <c r="RGS237" s="1"/>
      <c r="RGT237" s="1"/>
      <c r="RGU237" s="1"/>
      <c r="RGV237" s="1"/>
      <c r="RGW237" s="1"/>
      <c r="RGX237" s="1"/>
      <c r="RGY237" s="1"/>
      <c r="RGZ237" s="1"/>
      <c r="RHA237" s="1"/>
      <c r="RHB237" s="1"/>
      <c r="RHC237" s="1"/>
      <c r="RHD237" s="1"/>
      <c r="RHE237" s="1"/>
      <c r="RHF237" s="1"/>
      <c r="RHG237" s="1"/>
      <c r="RHH237" s="1"/>
      <c r="RHI237" s="1"/>
      <c r="RHJ237" s="1"/>
      <c r="RHK237" s="1"/>
      <c r="RHL237" s="1"/>
      <c r="RHM237" s="1"/>
      <c r="RHN237" s="1"/>
      <c r="RHO237" s="1"/>
      <c r="RHP237" s="1"/>
      <c r="RHQ237" s="1"/>
      <c r="RHR237" s="1"/>
      <c r="RHS237" s="1"/>
      <c r="RHT237" s="1"/>
      <c r="RHU237" s="1"/>
      <c r="RHV237" s="1"/>
      <c r="RHW237" s="1"/>
      <c r="RHX237" s="1"/>
      <c r="RHY237" s="1"/>
      <c r="RHZ237" s="1"/>
      <c r="RIA237" s="1"/>
      <c r="RIB237" s="1"/>
      <c r="RIC237" s="1"/>
      <c r="RID237" s="1"/>
      <c r="RIE237" s="1"/>
      <c r="RIF237" s="1"/>
      <c r="RIG237" s="1"/>
      <c r="RIH237" s="1"/>
      <c r="RII237" s="1"/>
      <c r="RIJ237" s="1"/>
      <c r="RIK237" s="1"/>
      <c r="RIL237" s="1"/>
      <c r="RIM237" s="1"/>
      <c r="RIN237" s="1"/>
      <c r="RIO237" s="1"/>
      <c r="RIP237" s="1"/>
      <c r="RIQ237" s="1"/>
      <c r="RIR237" s="1"/>
      <c r="RIS237" s="1"/>
      <c r="RIT237" s="1"/>
      <c r="RIU237" s="1"/>
      <c r="RIV237" s="1"/>
      <c r="RIW237" s="1"/>
      <c r="RIX237" s="1"/>
      <c r="RIY237" s="1"/>
      <c r="RIZ237" s="1"/>
      <c r="RJA237" s="1"/>
      <c r="RJB237" s="1"/>
      <c r="RJC237" s="1"/>
      <c r="RJD237" s="1"/>
      <c r="RJE237" s="1"/>
      <c r="RJF237" s="1"/>
      <c r="RJG237" s="1"/>
      <c r="RJH237" s="1"/>
      <c r="RJI237" s="1"/>
      <c r="RJJ237" s="1"/>
      <c r="RJK237" s="1"/>
      <c r="RJL237" s="1"/>
      <c r="RJM237" s="1"/>
      <c r="RJN237" s="1"/>
      <c r="RJO237" s="1"/>
      <c r="RJP237" s="1"/>
      <c r="RJQ237" s="1"/>
      <c r="RJR237" s="1"/>
      <c r="RJS237" s="1"/>
      <c r="RJT237" s="1"/>
      <c r="RJU237" s="1"/>
      <c r="RJV237" s="1"/>
      <c r="RJW237" s="1"/>
      <c r="RJX237" s="1"/>
      <c r="RJY237" s="1"/>
      <c r="RJZ237" s="1"/>
      <c r="RKA237" s="1"/>
      <c r="RKB237" s="1"/>
      <c r="RKC237" s="1"/>
      <c r="RKD237" s="1"/>
      <c r="RKE237" s="1"/>
      <c r="RKF237" s="1"/>
      <c r="RKG237" s="1"/>
      <c r="RKH237" s="1"/>
      <c r="RKI237" s="1"/>
      <c r="RKJ237" s="1"/>
      <c r="RKK237" s="1"/>
      <c r="RKL237" s="1"/>
      <c r="RKM237" s="1"/>
      <c r="RKN237" s="1"/>
      <c r="RKO237" s="1"/>
      <c r="RKP237" s="1"/>
      <c r="RKQ237" s="1"/>
      <c r="RKR237" s="1"/>
      <c r="RKS237" s="1"/>
      <c r="RKT237" s="1"/>
      <c r="RKU237" s="1"/>
      <c r="RKV237" s="1"/>
      <c r="RKW237" s="1"/>
      <c r="RKX237" s="1"/>
      <c r="RKY237" s="1"/>
      <c r="RKZ237" s="1"/>
      <c r="RLA237" s="1"/>
      <c r="RLB237" s="1"/>
      <c r="RLC237" s="1"/>
      <c r="RLD237" s="1"/>
      <c r="RLE237" s="1"/>
      <c r="RLF237" s="1"/>
      <c r="RLG237" s="1"/>
      <c r="RLH237" s="1"/>
      <c r="RLI237" s="1"/>
      <c r="RLJ237" s="1"/>
      <c r="RLK237" s="1"/>
      <c r="RLL237" s="1"/>
      <c r="RLM237" s="1"/>
      <c r="RLN237" s="1"/>
      <c r="RLO237" s="1"/>
      <c r="RLP237" s="1"/>
      <c r="RLQ237" s="1"/>
      <c r="RLR237" s="1"/>
      <c r="RLS237" s="1"/>
      <c r="RLT237" s="1"/>
      <c r="RLU237" s="1"/>
      <c r="RLV237" s="1"/>
      <c r="RLW237" s="1"/>
      <c r="RLX237" s="1"/>
      <c r="RLY237" s="1"/>
      <c r="RLZ237" s="1"/>
      <c r="RMA237" s="1"/>
      <c r="RMB237" s="1"/>
      <c r="RMC237" s="1"/>
      <c r="RMD237" s="1"/>
      <c r="RME237" s="1"/>
      <c r="RMF237" s="1"/>
      <c r="RMG237" s="1"/>
      <c r="RMH237" s="1"/>
      <c r="RMI237" s="1"/>
      <c r="RMJ237" s="1"/>
      <c r="RMK237" s="1"/>
      <c r="RML237" s="1"/>
      <c r="RMM237" s="1"/>
      <c r="RMN237" s="1"/>
      <c r="RMO237" s="1"/>
      <c r="RMP237" s="1"/>
      <c r="RMQ237" s="1"/>
      <c r="RMR237" s="1"/>
      <c r="RMS237" s="1"/>
      <c r="RMT237" s="1"/>
      <c r="RMU237" s="1"/>
      <c r="RMV237" s="1"/>
      <c r="RMW237" s="1"/>
      <c r="RMX237" s="1"/>
      <c r="RMY237" s="1"/>
      <c r="RMZ237" s="1"/>
      <c r="RNA237" s="1"/>
      <c r="RNB237" s="1"/>
      <c r="RNC237" s="1"/>
      <c r="RND237" s="1"/>
      <c r="RNE237" s="1"/>
      <c r="RNF237" s="1"/>
      <c r="RNG237" s="1"/>
      <c r="RNH237" s="1"/>
      <c r="RNI237" s="1"/>
      <c r="RNJ237" s="1"/>
      <c r="RNK237" s="1"/>
      <c r="RNL237" s="1"/>
      <c r="RNM237" s="1"/>
      <c r="RNN237" s="1"/>
      <c r="RNO237" s="1"/>
      <c r="RNP237" s="1"/>
      <c r="RNQ237" s="1"/>
      <c r="RNR237" s="1"/>
      <c r="RNS237" s="1"/>
      <c r="RNT237" s="1"/>
      <c r="RNU237" s="1"/>
      <c r="RNV237" s="1"/>
      <c r="RNW237" s="1"/>
      <c r="RNX237" s="1"/>
      <c r="RNY237" s="1"/>
      <c r="RNZ237" s="1"/>
      <c r="ROA237" s="1"/>
      <c r="ROB237" s="1"/>
      <c r="ROC237" s="1"/>
      <c r="ROD237" s="1"/>
      <c r="ROE237" s="1"/>
      <c r="ROF237" s="1"/>
      <c r="ROG237" s="1"/>
      <c r="ROH237" s="1"/>
      <c r="ROI237" s="1"/>
      <c r="ROJ237" s="1"/>
      <c r="ROK237" s="1"/>
      <c r="ROL237" s="1"/>
      <c r="ROM237" s="1"/>
      <c r="RON237" s="1"/>
      <c r="ROO237" s="1"/>
      <c r="ROP237" s="1"/>
      <c r="ROQ237" s="1"/>
      <c r="ROR237" s="1"/>
      <c r="ROS237" s="1"/>
      <c r="ROT237" s="1"/>
      <c r="ROU237" s="1"/>
      <c r="ROV237" s="1"/>
      <c r="ROW237" s="1"/>
      <c r="ROX237" s="1"/>
      <c r="ROY237" s="1"/>
      <c r="ROZ237" s="1"/>
      <c r="RPA237" s="1"/>
      <c r="RPB237" s="1"/>
      <c r="RPC237" s="1"/>
      <c r="RPD237" s="1"/>
      <c r="RPE237" s="1"/>
      <c r="RPF237" s="1"/>
      <c r="RPG237" s="1"/>
      <c r="RPH237" s="1"/>
      <c r="RPI237" s="1"/>
      <c r="RPJ237" s="1"/>
      <c r="RPK237" s="1"/>
      <c r="RPL237" s="1"/>
      <c r="RPM237" s="1"/>
      <c r="RPN237" s="1"/>
      <c r="RPO237" s="1"/>
      <c r="RPP237" s="1"/>
      <c r="RPQ237" s="1"/>
      <c r="RPR237" s="1"/>
      <c r="RPS237" s="1"/>
      <c r="RPT237" s="1"/>
      <c r="RPU237" s="1"/>
      <c r="RPV237" s="1"/>
      <c r="RPW237" s="1"/>
      <c r="RPX237" s="1"/>
      <c r="RPY237" s="1"/>
      <c r="RPZ237" s="1"/>
      <c r="RQA237" s="1"/>
      <c r="RQB237" s="1"/>
      <c r="RQC237" s="1"/>
      <c r="RQD237" s="1"/>
      <c r="RQE237" s="1"/>
      <c r="RQF237" s="1"/>
      <c r="RQG237" s="1"/>
      <c r="RQH237" s="1"/>
      <c r="RQI237" s="1"/>
      <c r="RQJ237" s="1"/>
      <c r="RQK237" s="1"/>
      <c r="RQL237" s="1"/>
      <c r="RQM237" s="1"/>
      <c r="RQN237" s="1"/>
      <c r="RQO237" s="1"/>
      <c r="RQP237" s="1"/>
      <c r="RQQ237" s="1"/>
      <c r="RQR237" s="1"/>
      <c r="RQS237" s="1"/>
      <c r="RQT237" s="1"/>
      <c r="RQU237" s="1"/>
      <c r="RQV237" s="1"/>
      <c r="RQW237" s="1"/>
      <c r="RQX237" s="1"/>
      <c r="RQY237" s="1"/>
      <c r="RQZ237" s="1"/>
      <c r="RRA237" s="1"/>
      <c r="RRB237" s="1"/>
      <c r="RRC237" s="1"/>
      <c r="RRD237" s="1"/>
      <c r="RRE237" s="1"/>
      <c r="RRF237" s="1"/>
      <c r="RRG237" s="1"/>
      <c r="RRH237" s="1"/>
      <c r="RRI237" s="1"/>
      <c r="RRJ237" s="1"/>
      <c r="RRK237" s="1"/>
      <c r="RRL237" s="1"/>
      <c r="RRM237" s="1"/>
      <c r="RRN237" s="1"/>
      <c r="RRO237" s="1"/>
      <c r="RRP237" s="1"/>
      <c r="RRQ237" s="1"/>
      <c r="RRR237" s="1"/>
      <c r="RRS237" s="1"/>
      <c r="RRT237" s="1"/>
      <c r="RRU237" s="1"/>
      <c r="RRV237" s="1"/>
      <c r="RRW237" s="1"/>
      <c r="RRX237" s="1"/>
      <c r="RRY237" s="1"/>
      <c r="RRZ237" s="1"/>
      <c r="RSA237" s="1"/>
      <c r="RSB237" s="1"/>
      <c r="RSC237" s="1"/>
      <c r="RSD237" s="1"/>
      <c r="RSE237" s="1"/>
      <c r="RSF237" s="1"/>
      <c r="RSG237" s="1"/>
      <c r="RSH237" s="1"/>
      <c r="RSI237" s="1"/>
      <c r="RSJ237" s="1"/>
      <c r="RSK237" s="1"/>
      <c r="RSL237" s="1"/>
      <c r="RSM237" s="1"/>
      <c r="RSN237" s="1"/>
      <c r="RSO237" s="1"/>
      <c r="RSP237" s="1"/>
      <c r="RSQ237" s="1"/>
      <c r="RSR237" s="1"/>
      <c r="RSS237" s="1"/>
      <c r="RST237" s="1"/>
      <c r="RSU237" s="1"/>
      <c r="RSV237" s="1"/>
      <c r="RSW237" s="1"/>
      <c r="RSX237" s="1"/>
      <c r="RSY237" s="1"/>
      <c r="RSZ237" s="1"/>
      <c r="RTA237" s="1"/>
      <c r="RTB237" s="1"/>
      <c r="RTC237" s="1"/>
      <c r="RTD237" s="1"/>
      <c r="RTE237" s="1"/>
      <c r="RTF237" s="1"/>
      <c r="RTG237" s="1"/>
      <c r="RTH237" s="1"/>
      <c r="RTI237" s="1"/>
      <c r="RTJ237" s="1"/>
      <c r="RTK237" s="1"/>
      <c r="RTL237" s="1"/>
      <c r="RTM237" s="1"/>
      <c r="RTN237" s="1"/>
      <c r="RTO237" s="1"/>
      <c r="RTP237" s="1"/>
      <c r="RTQ237" s="1"/>
      <c r="RTR237" s="1"/>
      <c r="RTS237" s="1"/>
      <c r="RTT237" s="1"/>
      <c r="RTU237" s="1"/>
      <c r="RTV237" s="1"/>
      <c r="RTW237" s="1"/>
      <c r="RTX237" s="1"/>
      <c r="RTY237" s="1"/>
      <c r="RTZ237" s="1"/>
      <c r="RUA237" s="1"/>
      <c r="RUB237" s="1"/>
      <c r="RUC237" s="1"/>
      <c r="RUD237" s="1"/>
      <c r="RUE237" s="1"/>
      <c r="RUF237" s="1"/>
      <c r="RUG237" s="1"/>
      <c r="RUH237" s="1"/>
      <c r="RUI237" s="1"/>
      <c r="RUJ237" s="1"/>
      <c r="RUK237" s="1"/>
      <c r="RUL237" s="1"/>
      <c r="RUM237" s="1"/>
      <c r="RUN237" s="1"/>
      <c r="RUO237" s="1"/>
      <c r="RUP237" s="1"/>
      <c r="RUQ237" s="1"/>
      <c r="RUR237" s="1"/>
      <c r="RUS237" s="1"/>
      <c r="RUT237" s="1"/>
      <c r="RUU237" s="1"/>
      <c r="RUV237" s="1"/>
      <c r="RUW237" s="1"/>
      <c r="RUX237" s="1"/>
      <c r="RUY237" s="1"/>
      <c r="RUZ237" s="1"/>
      <c r="RVA237" s="1"/>
      <c r="RVB237" s="1"/>
      <c r="RVC237" s="1"/>
      <c r="RVD237" s="1"/>
      <c r="RVE237" s="1"/>
      <c r="RVF237" s="1"/>
      <c r="RVG237" s="1"/>
      <c r="RVH237" s="1"/>
      <c r="RVI237" s="1"/>
      <c r="RVJ237" s="1"/>
      <c r="RVK237" s="1"/>
      <c r="RVL237" s="1"/>
      <c r="RVM237" s="1"/>
      <c r="RVN237" s="1"/>
      <c r="RVO237" s="1"/>
      <c r="RVP237" s="1"/>
      <c r="RVQ237" s="1"/>
      <c r="RVR237" s="1"/>
      <c r="RVS237" s="1"/>
      <c r="RVT237" s="1"/>
      <c r="RVU237" s="1"/>
      <c r="RVV237" s="1"/>
      <c r="RVW237" s="1"/>
      <c r="RVX237" s="1"/>
      <c r="RVY237" s="1"/>
      <c r="RVZ237" s="1"/>
      <c r="RWA237" s="1"/>
      <c r="RWB237" s="1"/>
      <c r="RWC237" s="1"/>
      <c r="RWD237" s="1"/>
      <c r="RWE237" s="1"/>
      <c r="RWF237" s="1"/>
      <c r="RWG237" s="1"/>
      <c r="RWH237" s="1"/>
      <c r="RWI237" s="1"/>
      <c r="RWJ237" s="1"/>
      <c r="RWK237" s="1"/>
      <c r="RWL237" s="1"/>
      <c r="RWM237" s="1"/>
      <c r="RWN237" s="1"/>
      <c r="RWO237" s="1"/>
      <c r="RWP237" s="1"/>
      <c r="RWQ237" s="1"/>
      <c r="RWR237" s="1"/>
      <c r="RWS237" s="1"/>
      <c r="RWT237" s="1"/>
      <c r="RWU237" s="1"/>
      <c r="RWV237" s="1"/>
      <c r="RWW237" s="1"/>
      <c r="RWX237" s="1"/>
      <c r="RWY237" s="1"/>
      <c r="RWZ237" s="1"/>
      <c r="RXA237" s="1"/>
      <c r="RXB237" s="1"/>
      <c r="RXC237" s="1"/>
      <c r="RXD237" s="1"/>
      <c r="RXE237" s="1"/>
      <c r="RXF237" s="1"/>
      <c r="RXG237" s="1"/>
      <c r="RXH237" s="1"/>
      <c r="RXI237" s="1"/>
      <c r="RXJ237" s="1"/>
      <c r="RXK237" s="1"/>
      <c r="RXL237" s="1"/>
      <c r="RXM237" s="1"/>
      <c r="RXN237" s="1"/>
      <c r="RXO237" s="1"/>
      <c r="RXP237" s="1"/>
      <c r="RXQ237" s="1"/>
      <c r="RXR237" s="1"/>
      <c r="RXS237" s="1"/>
      <c r="RXT237" s="1"/>
      <c r="RXU237" s="1"/>
      <c r="RXV237" s="1"/>
      <c r="RXW237" s="1"/>
      <c r="RXX237" s="1"/>
      <c r="RXY237" s="1"/>
      <c r="RXZ237" s="1"/>
      <c r="RYA237" s="1"/>
      <c r="RYB237" s="1"/>
      <c r="RYC237" s="1"/>
      <c r="RYD237" s="1"/>
      <c r="RYE237" s="1"/>
      <c r="RYF237" s="1"/>
      <c r="RYG237" s="1"/>
      <c r="RYH237" s="1"/>
      <c r="RYI237" s="1"/>
      <c r="RYJ237" s="1"/>
      <c r="RYK237" s="1"/>
      <c r="RYL237" s="1"/>
      <c r="RYM237" s="1"/>
      <c r="RYN237" s="1"/>
      <c r="RYO237" s="1"/>
      <c r="RYP237" s="1"/>
      <c r="RYQ237" s="1"/>
      <c r="RYR237" s="1"/>
      <c r="RYS237" s="1"/>
      <c r="RYT237" s="1"/>
      <c r="RYU237" s="1"/>
      <c r="RYV237" s="1"/>
      <c r="RYW237" s="1"/>
      <c r="RYX237" s="1"/>
      <c r="RYY237" s="1"/>
      <c r="RYZ237" s="1"/>
      <c r="RZA237" s="1"/>
      <c r="RZB237" s="1"/>
      <c r="RZC237" s="1"/>
      <c r="RZD237" s="1"/>
      <c r="RZE237" s="1"/>
      <c r="RZF237" s="1"/>
      <c r="RZG237" s="1"/>
      <c r="RZH237" s="1"/>
      <c r="RZI237" s="1"/>
      <c r="RZJ237" s="1"/>
      <c r="RZK237" s="1"/>
      <c r="RZL237" s="1"/>
      <c r="RZM237" s="1"/>
      <c r="RZN237" s="1"/>
      <c r="RZO237" s="1"/>
      <c r="RZP237" s="1"/>
      <c r="RZQ237" s="1"/>
      <c r="RZR237" s="1"/>
      <c r="RZS237" s="1"/>
      <c r="RZT237" s="1"/>
      <c r="RZU237" s="1"/>
      <c r="RZV237" s="1"/>
      <c r="RZW237" s="1"/>
      <c r="RZX237" s="1"/>
      <c r="RZY237" s="1"/>
      <c r="RZZ237" s="1"/>
      <c r="SAA237" s="1"/>
      <c r="SAB237" s="1"/>
      <c r="SAC237" s="1"/>
      <c r="SAD237" s="1"/>
      <c r="SAE237" s="1"/>
      <c r="SAF237" s="1"/>
      <c r="SAG237" s="1"/>
      <c r="SAH237" s="1"/>
      <c r="SAI237" s="1"/>
      <c r="SAJ237" s="1"/>
      <c r="SAK237" s="1"/>
      <c r="SAL237" s="1"/>
      <c r="SAM237" s="1"/>
      <c r="SAN237" s="1"/>
      <c r="SAO237" s="1"/>
      <c r="SAP237" s="1"/>
      <c r="SAQ237" s="1"/>
      <c r="SAR237" s="1"/>
      <c r="SAS237" s="1"/>
      <c r="SAT237" s="1"/>
      <c r="SAU237" s="1"/>
      <c r="SAV237" s="1"/>
      <c r="SAW237" s="1"/>
      <c r="SAX237" s="1"/>
      <c r="SAY237" s="1"/>
      <c r="SAZ237" s="1"/>
      <c r="SBA237" s="1"/>
      <c r="SBB237" s="1"/>
      <c r="SBC237" s="1"/>
      <c r="SBD237" s="1"/>
      <c r="SBE237" s="1"/>
      <c r="SBF237" s="1"/>
      <c r="SBG237" s="1"/>
      <c r="SBH237" s="1"/>
      <c r="SBI237" s="1"/>
      <c r="SBJ237" s="1"/>
      <c r="SBK237" s="1"/>
      <c r="SBL237" s="1"/>
      <c r="SBM237" s="1"/>
      <c r="SBN237" s="1"/>
      <c r="SBO237" s="1"/>
      <c r="SBP237" s="1"/>
      <c r="SBQ237" s="1"/>
      <c r="SBR237" s="1"/>
      <c r="SBS237" s="1"/>
      <c r="SBT237" s="1"/>
      <c r="SBU237" s="1"/>
      <c r="SBV237" s="1"/>
      <c r="SBW237" s="1"/>
      <c r="SBX237" s="1"/>
      <c r="SBY237" s="1"/>
      <c r="SBZ237" s="1"/>
      <c r="SCA237" s="1"/>
      <c r="SCB237" s="1"/>
      <c r="SCC237" s="1"/>
      <c r="SCD237" s="1"/>
      <c r="SCE237" s="1"/>
      <c r="SCF237" s="1"/>
      <c r="SCG237" s="1"/>
      <c r="SCH237" s="1"/>
      <c r="SCI237" s="1"/>
      <c r="SCJ237" s="1"/>
      <c r="SCK237" s="1"/>
      <c r="SCL237" s="1"/>
      <c r="SCM237" s="1"/>
      <c r="SCN237" s="1"/>
      <c r="SCO237" s="1"/>
      <c r="SCP237" s="1"/>
      <c r="SCQ237" s="1"/>
      <c r="SCR237" s="1"/>
      <c r="SCS237" s="1"/>
      <c r="SCT237" s="1"/>
      <c r="SCU237" s="1"/>
      <c r="SCV237" s="1"/>
      <c r="SCW237" s="1"/>
      <c r="SCX237" s="1"/>
      <c r="SCY237" s="1"/>
      <c r="SCZ237" s="1"/>
      <c r="SDA237" s="1"/>
      <c r="SDB237" s="1"/>
      <c r="SDC237" s="1"/>
      <c r="SDD237" s="1"/>
      <c r="SDE237" s="1"/>
      <c r="SDF237" s="1"/>
      <c r="SDG237" s="1"/>
      <c r="SDH237" s="1"/>
      <c r="SDI237" s="1"/>
      <c r="SDJ237" s="1"/>
      <c r="SDK237" s="1"/>
      <c r="SDL237" s="1"/>
      <c r="SDM237" s="1"/>
      <c r="SDN237" s="1"/>
      <c r="SDO237" s="1"/>
      <c r="SDP237" s="1"/>
      <c r="SDQ237" s="1"/>
      <c r="SDR237" s="1"/>
      <c r="SDS237" s="1"/>
      <c r="SDT237" s="1"/>
      <c r="SDU237" s="1"/>
      <c r="SDV237" s="1"/>
      <c r="SDW237" s="1"/>
      <c r="SDX237" s="1"/>
      <c r="SDY237" s="1"/>
      <c r="SDZ237" s="1"/>
      <c r="SEA237" s="1"/>
      <c r="SEB237" s="1"/>
      <c r="SEC237" s="1"/>
      <c r="SED237" s="1"/>
      <c r="SEE237" s="1"/>
      <c r="SEF237" s="1"/>
      <c r="SEG237" s="1"/>
      <c r="SEH237" s="1"/>
      <c r="SEI237" s="1"/>
      <c r="SEJ237" s="1"/>
      <c r="SEK237" s="1"/>
      <c r="SEL237" s="1"/>
      <c r="SEM237" s="1"/>
      <c r="SEN237" s="1"/>
      <c r="SEO237" s="1"/>
      <c r="SEP237" s="1"/>
      <c r="SEQ237" s="1"/>
      <c r="SER237" s="1"/>
      <c r="SES237" s="1"/>
      <c r="SET237" s="1"/>
      <c r="SEU237" s="1"/>
      <c r="SEV237" s="1"/>
      <c r="SEW237" s="1"/>
      <c r="SEX237" s="1"/>
      <c r="SEY237" s="1"/>
      <c r="SEZ237" s="1"/>
      <c r="SFA237" s="1"/>
      <c r="SFB237" s="1"/>
      <c r="SFC237" s="1"/>
      <c r="SFD237" s="1"/>
      <c r="SFE237" s="1"/>
      <c r="SFF237" s="1"/>
      <c r="SFG237" s="1"/>
      <c r="SFH237" s="1"/>
      <c r="SFI237" s="1"/>
      <c r="SFJ237" s="1"/>
      <c r="SFK237" s="1"/>
      <c r="SFL237" s="1"/>
      <c r="SFM237" s="1"/>
      <c r="SFN237" s="1"/>
      <c r="SFO237" s="1"/>
      <c r="SFP237" s="1"/>
      <c r="SFQ237" s="1"/>
      <c r="SFR237" s="1"/>
      <c r="SFS237" s="1"/>
      <c r="SFT237" s="1"/>
      <c r="SFU237" s="1"/>
      <c r="SFV237" s="1"/>
      <c r="SFW237" s="1"/>
      <c r="SFX237" s="1"/>
      <c r="SFY237" s="1"/>
      <c r="SFZ237" s="1"/>
      <c r="SGA237" s="1"/>
      <c r="SGB237" s="1"/>
      <c r="SGC237" s="1"/>
      <c r="SGD237" s="1"/>
      <c r="SGE237" s="1"/>
      <c r="SGF237" s="1"/>
      <c r="SGG237" s="1"/>
      <c r="SGH237" s="1"/>
      <c r="SGI237" s="1"/>
      <c r="SGJ237" s="1"/>
      <c r="SGK237" s="1"/>
      <c r="SGL237" s="1"/>
      <c r="SGM237" s="1"/>
      <c r="SGN237" s="1"/>
      <c r="SGO237" s="1"/>
      <c r="SGP237" s="1"/>
      <c r="SGQ237" s="1"/>
      <c r="SGR237" s="1"/>
      <c r="SGS237" s="1"/>
      <c r="SGT237" s="1"/>
      <c r="SGU237" s="1"/>
      <c r="SGV237" s="1"/>
      <c r="SGW237" s="1"/>
      <c r="SGX237" s="1"/>
      <c r="SGY237" s="1"/>
      <c r="SGZ237" s="1"/>
      <c r="SHA237" s="1"/>
      <c r="SHB237" s="1"/>
      <c r="SHC237" s="1"/>
      <c r="SHD237" s="1"/>
      <c r="SHE237" s="1"/>
      <c r="SHF237" s="1"/>
      <c r="SHG237" s="1"/>
      <c r="SHH237" s="1"/>
      <c r="SHI237" s="1"/>
      <c r="SHJ237" s="1"/>
      <c r="SHK237" s="1"/>
      <c r="SHL237" s="1"/>
      <c r="SHM237" s="1"/>
      <c r="SHN237" s="1"/>
      <c r="SHO237" s="1"/>
      <c r="SHP237" s="1"/>
      <c r="SHQ237" s="1"/>
      <c r="SHR237" s="1"/>
      <c r="SHS237" s="1"/>
      <c r="SHT237" s="1"/>
      <c r="SHU237" s="1"/>
      <c r="SHV237" s="1"/>
      <c r="SHW237" s="1"/>
      <c r="SHX237" s="1"/>
      <c r="SHY237" s="1"/>
      <c r="SHZ237" s="1"/>
      <c r="SIA237" s="1"/>
      <c r="SIB237" s="1"/>
      <c r="SIC237" s="1"/>
      <c r="SID237" s="1"/>
      <c r="SIE237" s="1"/>
      <c r="SIF237" s="1"/>
      <c r="SIG237" s="1"/>
      <c r="SIH237" s="1"/>
      <c r="SII237" s="1"/>
      <c r="SIJ237" s="1"/>
      <c r="SIK237" s="1"/>
      <c r="SIL237" s="1"/>
      <c r="SIM237" s="1"/>
      <c r="SIN237" s="1"/>
      <c r="SIO237" s="1"/>
      <c r="SIP237" s="1"/>
      <c r="SIQ237" s="1"/>
      <c r="SIR237" s="1"/>
      <c r="SIS237" s="1"/>
      <c r="SIT237" s="1"/>
      <c r="SIU237" s="1"/>
      <c r="SIV237" s="1"/>
      <c r="SIW237" s="1"/>
      <c r="SIX237" s="1"/>
      <c r="SIY237" s="1"/>
      <c r="SIZ237" s="1"/>
      <c r="SJA237" s="1"/>
      <c r="SJB237" s="1"/>
      <c r="SJC237" s="1"/>
      <c r="SJD237" s="1"/>
      <c r="SJE237" s="1"/>
      <c r="SJF237" s="1"/>
      <c r="SJG237" s="1"/>
      <c r="SJH237" s="1"/>
      <c r="SJI237" s="1"/>
      <c r="SJJ237" s="1"/>
      <c r="SJK237" s="1"/>
      <c r="SJL237" s="1"/>
      <c r="SJM237" s="1"/>
      <c r="SJN237" s="1"/>
      <c r="SJO237" s="1"/>
      <c r="SJP237" s="1"/>
      <c r="SJQ237" s="1"/>
      <c r="SJR237" s="1"/>
      <c r="SJS237" s="1"/>
      <c r="SJT237" s="1"/>
      <c r="SJU237" s="1"/>
      <c r="SJV237" s="1"/>
      <c r="SJW237" s="1"/>
      <c r="SJX237" s="1"/>
      <c r="SJY237" s="1"/>
      <c r="SJZ237" s="1"/>
      <c r="SKA237" s="1"/>
      <c r="SKB237" s="1"/>
      <c r="SKC237" s="1"/>
      <c r="SKD237" s="1"/>
      <c r="SKE237" s="1"/>
      <c r="SKF237" s="1"/>
      <c r="SKG237" s="1"/>
      <c r="SKH237" s="1"/>
      <c r="SKI237" s="1"/>
      <c r="SKJ237" s="1"/>
      <c r="SKK237" s="1"/>
      <c r="SKL237" s="1"/>
      <c r="SKM237" s="1"/>
      <c r="SKN237" s="1"/>
      <c r="SKO237" s="1"/>
      <c r="SKP237" s="1"/>
      <c r="SKQ237" s="1"/>
      <c r="SKR237" s="1"/>
      <c r="SKS237" s="1"/>
      <c r="SKT237" s="1"/>
      <c r="SKU237" s="1"/>
      <c r="SKV237" s="1"/>
      <c r="SKW237" s="1"/>
      <c r="SKX237" s="1"/>
      <c r="SKY237" s="1"/>
      <c r="SKZ237" s="1"/>
      <c r="SLA237" s="1"/>
      <c r="SLB237" s="1"/>
      <c r="SLC237" s="1"/>
      <c r="SLD237" s="1"/>
      <c r="SLE237" s="1"/>
      <c r="SLF237" s="1"/>
      <c r="SLG237" s="1"/>
      <c r="SLH237" s="1"/>
      <c r="SLI237" s="1"/>
      <c r="SLJ237" s="1"/>
      <c r="SLK237" s="1"/>
      <c r="SLL237" s="1"/>
      <c r="SLM237" s="1"/>
      <c r="SLN237" s="1"/>
      <c r="SLO237" s="1"/>
      <c r="SLP237" s="1"/>
      <c r="SLQ237" s="1"/>
      <c r="SLR237" s="1"/>
      <c r="SLS237" s="1"/>
      <c r="SLT237" s="1"/>
      <c r="SLU237" s="1"/>
      <c r="SLV237" s="1"/>
      <c r="SLW237" s="1"/>
      <c r="SLX237" s="1"/>
      <c r="SLY237" s="1"/>
      <c r="SLZ237" s="1"/>
      <c r="SMA237" s="1"/>
      <c r="SMB237" s="1"/>
      <c r="SMC237" s="1"/>
      <c r="SMD237" s="1"/>
      <c r="SME237" s="1"/>
      <c r="SMF237" s="1"/>
      <c r="SMG237" s="1"/>
      <c r="SMH237" s="1"/>
      <c r="SMI237" s="1"/>
      <c r="SMJ237" s="1"/>
      <c r="SMK237" s="1"/>
      <c r="SML237" s="1"/>
      <c r="SMM237" s="1"/>
      <c r="SMN237" s="1"/>
      <c r="SMO237" s="1"/>
      <c r="SMP237" s="1"/>
      <c r="SMQ237" s="1"/>
      <c r="SMR237" s="1"/>
      <c r="SMS237" s="1"/>
      <c r="SMT237" s="1"/>
      <c r="SMU237" s="1"/>
      <c r="SMV237" s="1"/>
      <c r="SMW237" s="1"/>
      <c r="SMX237" s="1"/>
      <c r="SMY237" s="1"/>
      <c r="SMZ237" s="1"/>
      <c r="SNA237" s="1"/>
      <c r="SNB237" s="1"/>
      <c r="SNC237" s="1"/>
      <c r="SND237" s="1"/>
      <c r="SNE237" s="1"/>
      <c r="SNF237" s="1"/>
      <c r="SNG237" s="1"/>
      <c r="SNH237" s="1"/>
      <c r="SNI237" s="1"/>
      <c r="SNJ237" s="1"/>
      <c r="SNK237" s="1"/>
      <c r="SNL237" s="1"/>
      <c r="SNM237" s="1"/>
      <c r="SNN237" s="1"/>
      <c r="SNO237" s="1"/>
      <c r="SNP237" s="1"/>
      <c r="SNQ237" s="1"/>
      <c r="SNR237" s="1"/>
      <c r="SNS237" s="1"/>
      <c r="SNT237" s="1"/>
      <c r="SNU237" s="1"/>
      <c r="SNV237" s="1"/>
      <c r="SNW237" s="1"/>
      <c r="SNX237" s="1"/>
      <c r="SNY237" s="1"/>
      <c r="SNZ237" s="1"/>
      <c r="SOA237" s="1"/>
      <c r="SOB237" s="1"/>
      <c r="SOC237" s="1"/>
      <c r="SOD237" s="1"/>
      <c r="SOE237" s="1"/>
      <c r="SOF237" s="1"/>
      <c r="SOG237" s="1"/>
      <c r="SOH237" s="1"/>
      <c r="SOI237" s="1"/>
      <c r="SOJ237" s="1"/>
      <c r="SOK237" s="1"/>
      <c r="SOL237" s="1"/>
      <c r="SOM237" s="1"/>
      <c r="SON237" s="1"/>
      <c r="SOO237" s="1"/>
      <c r="SOP237" s="1"/>
      <c r="SOQ237" s="1"/>
      <c r="SOR237" s="1"/>
      <c r="SOS237" s="1"/>
      <c r="SOT237" s="1"/>
      <c r="SOU237" s="1"/>
      <c r="SOV237" s="1"/>
      <c r="SOW237" s="1"/>
      <c r="SOX237" s="1"/>
      <c r="SOY237" s="1"/>
      <c r="SOZ237" s="1"/>
      <c r="SPA237" s="1"/>
      <c r="SPB237" s="1"/>
      <c r="SPC237" s="1"/>
      <c r="SPD237" s="1"/>
      <c r="SPE237" s="1"/>
      <c r="SPF237" s="1"/>
      <c r="SPG237" s="1"/>
      <c r="SPH237" s="1"/>
      <c r="SPI237" s="1"/>
      <c r="SPJ237" s="1"/>
      <c r="SPK237" s="1"/>
      <c r="SPL237" s="1"/>
      <c r="SPM237" s="1"/>
      <c r="SPN237" s="1"/>
      <c r="SPO237" s="1"/>
      <c r="SPP237" s="1"/>
      <c r="SPQ237" s="1"/>
      <c r="SPR237" s="1"/>
      <c r="SPS237" s="1"/>
      <c r="SPT237" s="1"/>
      <c r="SPU237" s="1"/>
      <c r="SPV237" s="1"/>
      <c r="SPW237" s="1"/>
      <c r="SPX237" s="1"/>
      <c r="SPY237" s="1"/>
      <c r="SPZ237" s="1"/>
      <c r="SQA237" s="1"/>
      <c r="SQB237" s="1"/>
      <c r="SQC237" s="1"/>
      <c r="SQD237" s="1"/>
      <c r="SQE237" s="1"/>
      <c r="SQF237" s="1"/>
      <c r="SQG237" s="1"/>
      <c r="SQH237" s="1"/>
      <c r="SQI237" s="1"/>
      <c r="SQJ237" s="1"/>
      <c r="SQK237" s="1"/>
      <c r="SQL237" s="1"/>
      <c r="SQM237" s="1"/>
      <c r="SQN237" s="1"/>
      <c r="SQO237" s="1"/>
      <c r="SQP237" s="1"/>
      <c r="SQQ237" s="1"/>
      <c r="SQR237" s="1"/>
      <c r="SQS237" s="1"/>
      <c r="SQT237" s="1"/>
      <c r="SQU237" s="1"/>
      <c r="SQV237" s="1"/>
      <c r="SQW237" s="1"/>
      <c r="SQX237" s="1"/>
      <c r="SQY237" s="1"/>
      <c r="SQZ237" s="1"/>
      <c r="SRA237" s="1"/>
      <c r="SRB237" s="1"/>
      <c r="SRC237" s="1"/>
      <c r="SRD237" s="1"/>
      <c r="SRE237" s="1"/>
      <c r="SRF237" s="1"/>
      <c r="SRG237" s="1"/>
      <c r="SRH237" s="1"/>
      <c r="SRI237" s="1"/>
      <c r="SRJ237" s="1"/>
      <c r="SRK237" s="1"/>
      <c r="SRL237" s="1"/>
      <c r="SRM237" s="1"/>
      <c r="SRN237" s="1"/>
      <c r="SRO237" s="1"/>
      <c r="SRP237" s="1"/>
      <c r="SRQ237" s="1"/>
      <c r="SRR237" s="1"/>
      <c r="SRS237" s="1"/>
      <c r="SRT237" s="1"/>
      <c r="SRU237" s="1"/>
      <c r="SRV237" s="1"/>
      <c r="SRW237" s="1"/>
      <c r="SRX237" s="1"/>
      <c r="SRY237" s="1"/>
      <c r="SRZ237" s="1"/>
      <c r="SSA237" s="1"/>
      <c r="SSB237" s="1"/>
      <c r="SSC237" s="1"/>
      <c r="SSD237" s="1"/>
      <c r="SSE237" s="1"/>
      <c r="SSF237" s="1"/>
      <c r="SSG237" s="1"/>
      <c r="SSH237" s="1"/>
      <c r="SSI237" s="1"/>
      <c r="SSJ237" s="1"/>
      <c r="SSK237" s="1"/>
      <c r="SSL237" s="1"/>
      <c r="SSM237" s="1"/>
      <c r="SSN237" s="1"/>
      <c r="SSO237" s="1"/>
      <c r="SSP237" s="1"/>
      <c r="SSQ237" s="1"/>
      <c r="SSR237" s="1"/>
      <c r="SSS237" s="1"/>
      <c r="SST237" s="1"/>
      <c r="SSU237" s="1"/>
      <c r="SSV237" s="1"/>
      <c r="SSW237" s="1"/>
      <c r="SSX237" s="1"/>
      <c r="SSY237" s="1"/>
      <c r="SSZ237" s="1"/>
      <c r="STA237" s="1"/>
      <c r="STB237" s="1"/>
      <c r="STC237" s="1"/>
      <c r="STD237" s="1"/>
      <c r="STE237" s="1"/>
      <c r="STF237" s="1"/>
      <c r="STG237" s="1"/>
      <c r="STH237" s="1"/>
      <c r="STI237" s="1"/>
      <c r="STJ237" s="1"/>
      <c r="STK237" s="1"/>
      <c r="STL237" s="1"/>
      <c r="STM237" s="1"/>
      <c r="STN237" s="1"/>
      <c r="STO237" s="1"/>
      <c r="STP237" s="1"/>
      <c r="STQ237" s="1"/>
      <c r="STR237" s="1"/>
      <c r="STS237" s="1"/>
      <c r="STT237" s="1"/>
      <c r="STU237" s="1"/>
      <c r="STV237" s="1"/>
      <c r="STW237" s="1"/>
      <c r="STX237" s="1"/>
      <c r="STY237" s="1"/>
      <c r="STZ237" s="1"/>
      <c r="SUA237" s="1"/>
      <c r="SUB237" s="1"/>
      <c r="SUC237" s="1"/>
      <c r="SUD237" s="1"/>
      <c r="SUE237" s="1"/>
      <c r="SUF237" s="1"/>
      <c r="SUG237" s="1"/>
      <c r="SUH237" s="1"/>
      <c r="SUI237" s="1"/>
      <c r="SUJ237" s="1"/>
      <c r="SUK237" s="1"/>
      <c r="SUL237" s="1"/>
      <c r="SUM237" s="1"/>
      <c r="SUN237" s="1"/>
      <c r="SUO237" s="1"/>
      <c r="SUP237" s="1"/>
      <c r="SUQ237" s="1"/>
      <c r="SUR237" s="1"/>
      <c r="SUS237" s="1"/>
      <c r="SUT237" s="1"/>
      <c r="SUU237" s="1"/>
      <c r="SUV237" s="1"/>
      <c r="SUW237" s="1"/>
      <c r="SUX237" s="1"/>
      <c r="SUY237" s="1"/>
      <c r="SUZ237" s="1"/>
      <c r="SVA237" s="1"/>
      <c r="SVB237" s="1"/>
      <c r="SVC237" s="1"/>
      <c r="SVD237" s="1"/>
      <c r="SVE237" s="1"/>
      <c r="SVF237" s="1"/>
      <c r="SVG237" s="1"/>
      <c r="SVH237" s="1"/>
      <c r="SVI237" s="1"/>
      <c r="SVJ237" s="1"/>
      <c r="SVK237" s="1"/>
      <c r="SVL237" s="1"/>
      <c r="SVM237" s="1"/>
      <c r="SVN237" s="1"/>
      <c r="SVO237" s="1"/>
      <c r="SVP237" s="1"/>
      <c r="SVQ237" s="1"/>
      <c r="SVR237" s="1"/>
      <c r="SVS237" s="1"/>
      <c r="SVT237" s="1"/>
      <c r="SVU237" s="1"/>
      <c r="SVV237" s="1"/>
      <c r="SVW237" s="1"/>
      <c r="SVX237" s="1"/>
      <c r="SVY237" s="1"/>
      <c r="SVZ237" s="1"/>
      <c r="SWA237" s="1"/>
      <c r="SWB237" s="1"/>
      <c r="SWC237" s="1"/>
      <c r="SWD237" s="1"/>
      <c r="SWE237" s="1"/>
      <c r="SWF237" s="1"/>
      <c r="SWG237" s="1"/>
      <c r="SWH237" s="1"/>
      <c r="SWI237" s="1"/>
      <c r="SWJ237" s="1"/>
      <c r="SWK237" s="1"/>
      <c r="SWL237" s="1"/>
      <c r="SWM237" s="1"/>
      <c r="SWN237" s="1"/>
      <c r="SWO237" s="1"/>
      <c r="SWP237" s="1"/>
      <c r="SWQ237" s="1"/>
      <c r="SWR237" s="1"/>
      <c r="SWS237" s="1"/>
      <c r="SWT237" s="1"/>
      <c r="SWU237" s="1"/>
      <c r="SWV237" s="1"/>
      <c r="SWW237" s="1"/>
      <c r="SWX237" s="1"/>
      <c r="SWY237" s="1"/>
      <c r="SWZ237" s="1"/>
      <c r="SXA237" s="1"/>
      <c r="SXB237" s="1"/>
      <c r="SXC237" s="1"/>
      <c r="SXD237" s="1"/>
      <c r="SXE237" s="1"/>
      <c r="SXF237" s="1"/>
      <c r="SXG237" s="1"/>
      <c r="SXH237" s="1"/>
      <c r="SXI237" s="1"/>
      <c r="SXJ237" s="1"/>
      <c r="SXK237" s="1"/>
      <c r="SXL237" s="1"/>
      <c r="SXM237" s="1"/>
      <c r="SXN237" s="1"/>
      <c r="SXO237" s="1"/>
      <c r="SXP237" s="1"/>
      <c r="SXQ237" s="1"/>
      <c r="SXR237" s="1"/>
      <c r="SXS237" s="1"/>
      <c r="SXT237" s="1"/>
      <c r="SXU237" s="1"/>
      <c r="SXV237" s="1"/>
      <c r="SXW237" s="1"/>
      <c r="SXX237" s="1"/>
      <c r="SXY237" s="1"/>
      <c r="SXZ237" s="1"/>
      <c r="SYA237" s="1"/>
      <c r="SYB237" s="1"/>
      <c r="SYC237" s="1"/>
      <c r="SYD237" s="1"/>
      <c r="SYE237" s="1"/>
      <c r="SYF237" s="1"/>
      <c r="SYG237" s="1"/>
      <c r="SYH237" s="1"/>
      <c r="SYI237" s="1"/>
      <c r="SYJ237" s="1"/>
      <c r="SYK237" s="1"/>
      <c r="SYL237" s="1"/>
      <c r="SYM237" s="1"/>
      <c r="SYN237" s="1"/>
      <c r="SYO237" s="1"/>
      <c r="SYP237" s="1"/>
      <c r="SYQ237" s="1"/>
      <c r="SYR237" s="1"/>
      <c r="SYS237" s="1"/>
      <c r="SYT237" s="1"/>
      <c r="SYU237" s="1"/>
      <c r="SYV237" s="1"/>
      <c r="SYW237" s="1"/>
      <c r="SYX237" s="1"/>
      <c r="SYY237" s="1"/>
      <c r="SYZ237" s="1"/>
      <c r="SZA237" s="1"/>
      <c r="SZB237" s="1"/>
      <c r="SZC237" s="1"/>
      <c r="SZD237" s="1"/>
      <c r="SZE237" s="1"/>
      <c r="SZF237" s="1"/>
      <c r="SZG237" s="1"/>
      <c r="SZH237" s="1"/>
      <c r="SZI237" s="1"/>
      <c r="SZJ237" s="1"/>
      <c r="SZK237" s="1"/>
      <c r="SZL237" s="1"/>
      <c r="SZM237" s="1"/>
      <c r="SZN237" s="1"/>
      <c r="SZO237" s="1"/>
      <c r="SZP237" s="1"/>
      <c r="SZQ237" s="1"/>
      <c r="SZR237" s="1"/>
      <c r="SZS237" s="1"/>
      <c r="SZT237" s="1"/>
      <c r="SZU237" s="1"/>
      <c r="SZV237" s="1"/>
      <c r="SZW237" s="1"/>
      <c r="SZX237" s="1"/>
      <c r="SZY237" s="1"/>
      <c r="SZZ237" s="1"/>
      <c r="TAA237" s="1"/>
      <c r="TAB237" s="1"/>
      <c r="TAC237" s="1"/>
      <c r="TAD237" s="1"/>
      <c r="TAE237" s="1"/>
      <c r="TAF237" s="1"/>
      <c r="TAG237" s="1"/>
      <c r="TAH237" s="1"/>
      <c r="TAI237" s="1"/>
      <c r="TAJ237" s="1"/>
      <c r="TAK237" s="1"/>
      <c r="TAL237" s="1"/>
      <c r="TAM237" s="1"/>
      <c r="TAN237" s="1"/>
      <c r="TAO237" s="1"/>
      <c r="TAP237" s="1"/>
      <c r="TAQ237" s="1"/>
      <c r="TAR237" s="1"/>
      <c r="TAS237" s="1"/>
      <c r="TAT237" s="1"/>
      <c r="TAU237" s="1"/>
      <c r="TAV237" s="1"/>
      <c r="TAW237" s="1"/>
      <c r="TAX237" s="1"/>
      <c r="TAY237" s="1"/>
      <c r="TAZ237" s="1"/>
      <c r="TBA237" s="1"/>
      <c r="TBB237" s="1"/>
      <c r="TBC237" s="1"/>
      <c r="TBD237" s="1"/>
      <c r="TBE237" s="1"/>
      <c r="TBF237" s="1"/>
      <c r="TBG237" s="1"/>
      <c r="TBH237" s="1"/>
      <c r="TBI237" s="1"/>
      <c r="TBJ237" s="1"/>
      <c r="TBK237" s="1"/>
      <c r="TBL237" s="1"/>
      <c r="TBM237" s="1"/>
      <c r="TBN237" s="1"/>
      <c r="TBO237" s="1"/>
      <c r="TBP237" s="1"/>
      <c r="TBQ237" s="1"/>
      <c r="TBR237" s="1"/>
      <c r="TBS237" s="1"/>
      <c r="TBT237" s="1"/>
      <c r="TBU237" s="1"/>
      <c r="TBV237" s="1"/>
      <c r="TBW237" s="1"/>
      <c r="TBX237" s="1"/>
      <c r="TBY237" s="1"/>
      <c r="TBZ237" s="1"/>
      <c r="TCA237" s="1"/>
      <c r="TCB237" s="1"/>
      <c r="TCC237" s="1"/>
      <c r="TCD237" s="1"/>
      <c r="TCE237" s="1"/>
      <c r="TCF237" s="1"/>
      <c r="TCG237" s="1"/>
      <c r="TCH237" s="1"/>
      <c r="TCI237" s="1"/>
      <c r="TCJ237" s="1"/>
      <c r="TCK237" s="1"/>
      <c r="TCL237" s="1"/>
      <c r="TCM237" s="1"/>
      <c r="TCN237" s="1"/>
      <c r="TCO237" s="1"/>
      <c r="TCP237" s="1"/>
      <c r="TCQ237" s="1"/>
      <c r="TCR237" s="1"/>
      <c r="TCS237" s="1"/>
      <c r="TCT237" s="1"/>
      <c r="TCU237" s="1"/>
      <c r="TCV237" s="1"/>
      <c r="TCW237" s="1"/>
      <c r="TCX237" s="1"/>
      <c r="TCY237" s="1"/>
      <c r="TCZ237" s="1"/>
      <c r="TDA237" s="1"/>
      <c r="TDB237" s="1"/>
      <c r="TDC237" s="1"/>
      <c r="TDD237" s="1"/>
      <c r="TDE237" s="1"/>
      <c r="TDF237" s="1"/>
      <c r="TDG237" s="1"/>
      <c r="TDH237" s="1"/>
      <c r="TDI237" s="1"/>
      <c r="TDJ237" s="1"/>
      <c r="TDK237" s="1"/>
      <c r="TDL237" s="1"/>
      <c r="TDM237" s="1"/>
      <c r="TDN237" s="1"/>
      <c r="TDO237" s="1"/>
      <c r="TDP237" s="1"/>
      <c r="TDQ237" s="1"/>
      <c r="TDR237" s="1"/>
      <c r="TDS237" s="1"/>
      <c r="TDT237" s="1"/>
      <c r="TDU237" s="1"/>
      <c r="TDV237" s="1"/>
      <c r="TDW237" s="1"/>
      <c r="TDX237" s="1"/>
      <c r="TDY237" s="1"/>
      <c r="TDZ237" s="1"/>
      <c r="TEA237" s="1"/>
      <c r="TEB237" s="1"/>
      <c r="TEC237" s="1"/>
      <c r="TED237" s="1"/>
      <c r="TEE237" s="1"/>
      <c r="TEF237" s="1"/>
      <c r="TEG237" s="1"/>
      <c r="TEH237" s="1"/>
      <c r="TEI237" s="1"/>
      <c r="TEJ237" s="1"/>
      <c r="TEK237" s="1"/>
      <c r="TEL237" s="1"/>
      <c r="TEM237" s="1"/>
      <c r="TEN237" s="1"/>
      <c r="TEO237" s="1"/>
      <c r="TEP237" s="1"/>
      <c r="TEQ237" s="1"/>
      <c r="TER237" s="1"/>
      <c r="TES237" s="1"/>
      <c r="TET237" s="1"/>
      <c r="TEU237" s="1"/>
      <c r="TEV237" s="1"/>
      <c r="TEW237" s="1"/>
      <c r="TEX237" s="1"/>
      <c r="TEY237" s="1"/>
      <c r="TEZ237" s="1"/>
      <c r="TFA237" s="1"/>
      <c r="TFB237" s="1"/>
      <c r="TFC237" s="1"/>
      <c r="TFD237" s="1"/>
      <c r="TFE237" s="1"/>
      <c r="TFF237" s="1"/>
      <c r="TFG237" s="1"/>
      <c r="TFH237" s="1"/>
      <c r="TFI237" s="1"/>
      <c r="TFJ237" s="1"/>
      <c r="TFK237" s="1"/>
      <c r="TFL237" s="1"/>
      <c r="TFM237" s="1"/>
      <c r="TFN237" s="1"/>
      <c r="TFO237" s="1"/>
      <c r="TFP237" s="1"/>
      <c r="TFQ237" s="1"/>
      <c r="TFR237" s="1"/>
      <c r="TFS237" s="1"/>
      <c r="TFT237" s="1"/>
      <c r="TFU237" s="1"/>
      <c r="TFV237" s="1"/>
      <c r="TFW237" s="1"/>
      <c r="TFX237" s="1"/>
      <c r="TFY237" s="1"/>
      <c r="TFZ237" s="1"/>
      <c r="TGA237" s="1"/>
      <c r="TGB237" s="1"/>
      <c r="TGC237" s="1"/>
      <c r="TGD237" s="1"/>
      <c r="TGE237" s="1"/>
      <c r="TGF237" s="1"/>
      <c r="TGG237" s="1"/>
      <c r="TGH237" s="1"/>
      <c r="TGI237" s="1"/>
      <c r="TGJ237" s="1"/>
      <c r="TGK237" s="1"/>
      <c r="TGL237" s="1"/>
      <c r="TGM237" s="1"/>
      <c r="TGN237" s="1"/>
      <c r="TGO237" s="1"/>
      <c r="TGP237" s="1"/>
      <c r="TGQ237" s="1"/>
      <c r="TGR237" s="1"/>
      <c r="TGS237" s="1"/>
      <c r="TGT237" s="1"/>
      <c r="TGU237" s="1"/>
      <c r="TGV237" s="1"/>
      <c r="TGW237" s="1"/>
      <c r="TGX237" s="1"/>
      <c r="TGY237" s="1"/>
      <c r="TGZ237" s="1"/>
      <c r="THA237" s="1"/>
      <c r="THB237" s="1"/>
      <c r="THC237" s="1"/>
      <c r="THD237" s="1"/>
      <c r="THE237" s="1"/>
      <c r="THF237" s="1"/>
      <c r="THG237" s="1"/>
      <c r="THH237" s="1"/>
      <c r="THI237" s="1"/>
      <c r="THJ237" s="1"/>
      <c r="THK237" s="1"/>
      <c r="THL237" s="1"/>
      <c r="THM237" s="1"/>
      <c r="THN237" s="1"/>
      <c r="THO237" s="1"/>
      <c r="THP237" s="1"/>
      <c r="THQ237" s="1"/>
      <c r="THR237" s="1"/>
      <c r="THS237" s="1"/>
      <c r="THT237" s="1"/>
      <c r="THU237" s="1"/>
      <c r="THV237" s="1"/>
      <c r="THW237" s="1"/>
      <c r="THX237" s="1"/>
      <c r="THY237" s="1"/>
      <c r="THZ237" s="1"/>
      <c r="TIA237" s="1"/>
      <c r="TIB237" s="1"/>
      <c r="TIC237" s="1"/>
      <c r="TID237" s="1"/>
      <c r="TIE237" s="1"/>
      <c r="TIF237" s="1"/>
      <c r="TIG237" s="1"/>
      <c r="TIH237" s="1"/>
      <c r="TII237" s="1"/>
      <c r="TIJ237" s="1"/>
      <c r="TIK237" s="1"/>
      <c r="TIL237" s="1"/>
      <c r="TIM237" s="1"/>
      <c r="TIN237" s="1"/>
      <c r="TIO237" s="1"/>
      <c r="TIP237" s="1"/>
      <c r="TIQ237" s="1"/>
      <c r="TIR237" s="1"/>
      <c r="TIS237" s="1"/>
      <c r="TIT237" s="1"/>
      <c r="TIU237" s="1"/>
      <c r="TIV237" s="1"/>
      <c r="TIW237" s="1"/>
      <c r="TIX237" s="1"/>
      <c r="TIY237" s="1"/>
      <c r="TIZ237" s="1"/>
      <c r="TJA237" s="1"/>
      <c r="TJB237" s="1"/>
      <c r="TJC237" s="1"/>
      <c r="TJD237" s="1"/>
      <c r="TJE237" s="1"/>
      <c r="TJF237" s="1"/>
      <c r="TJG237" s="1"/>
      <c r="TJH237" s="1"/>
      <c r="TJI237" s="1"/>
      <c r="TJJ237" s="1"/>
      <c r="TJK237" s="1"/>
      <c r="TJL237" s="1"/>
      <c r="TJM237" s="1"/>
      <c r="TJN237" s="1"/>
      <c r="TJO237" s="1"/>
      <c r="TJP237" s="1"/>
      <c r="TJQ237" s="1"/>
      <c r="TJR237" s="1"/>
      <c r="TJS237" s="1"/>
      <c r="TJT237" s="1"/>
      <c r="TJU237" s="1"/>
      <c r="TJV237" s="1"/>
      <c r="TJW237" s="1"/>
      <c r="TJX237" s="1"/>
      <c r="TJY237" s="1"/>
      <c r="TJZ237" s="1"/>
      <c r="TKA237" s="1"/>
      <c r="TKB237" s="1"/>
      <c r="TKC237" s="1"/>
      <c r="TKD237" s="1"/>
      <c r="TKE237" s="1"/>
      <c r="TKF237" s="1"/>
      <c r="TKG237" s="1"/>
      <c r="TKH237" s="1"/>
      <c r="TKI237" s="1"/>
      <c r="TKJ237" s="1"/>
      <c r="TKK237" s="1"/>
      <c r="TKL237" s="1"/>
      <c r="TKM237" s="1"/>
      <c r="TKN237" s="1"/>
      <c r="TKO237" s="1"/>
      <c r="TKP237" s="1"/>
      <c r="TKQ237" s="1"/>
      <c r="TKR237" s="1"/>
      <c r="TKS237" s="1"/>
      <c r="TKT237" s="1"/>
      <c r="TKU237" s="1"/>
      <c r="TKV237" s="1"/>
      <c r="TKW237" s="1"/>
      <c r="TKX237" s="1"/>
      <c r="TKY237" s="1"/>
      <c r="TKZ237" s="1"/>
      <c r="TLA237" s="1"/>
      <c r="TLB237" s="1"/>
      <c r="TLC237" s="1"/>
      <c r="TLD237" s="1"/>
      <c r="TLE237" s="1"/>
      <c r="TLF237" s="1"/>
      <c r="TLG237" s="1"/>
      <c r="TLH237" s="1"/>
      <c r="TLI237" s="1"/>
      <c r="TLJ237" s="1"/>
      <c r="TLK237" s="1"/>
      <c r="TLL237" s="1"/>
      <c r="TLM237" s="1"/>
      <c r="TLN237" s="1"/>
      <c r="TLO237" s="1"/>
      <c r="TLP237" s="1"/>
      <c r="TLQ237" s="1"/>
      <c r="TLR237" s="1"/>
      <c r="TLS237" s="1"/>
      <c r="TLT237" s="1"/>
      <c r="TLU237" s="1"/>
      <c r="TLV237" s="1"/>
      <c r="TLW237" s="1"/>
      <c r="TLX237" s="1"/>
      <c r="TLY237" s="1"/>
      <c r="TLZ237" s="1"/>
      <c r="TMA237" s="1"/>
      <c r="TMB237" s="1"/>
      <c r="TMC237" s="1"/>
      <c r="TMD237" s="1"/>
      <c r="TME237" s="1"/>
      <c r="TMF237" s="1"/>
      <c r="TMG237" s="1"/>
      <c r="TMH237" s="1"/>
      <c r="TMI237" s="1"/>
      <c r="TMJ237" s="1"/>
      <c r="TMK237" s="1"/>
      <c r="TML237" s="1"/>
      <c r="TMM237" s="1"/>
      <c r="TMN237" s="1"/>
      <c r="TMO237" s="1"/>
      <c r="TMP237" s="1"/>
      <c r="TMQ237" s="1"/>
      <c r="TMR237" s="1"/>
      <c r="TMS237" s="1"/>
      <c r="TMT237" s="1"/>
      <c r="TMU237" s="1"/>
      <c r="TMV237" s="1"/>
      <c r="TMW237" s="1"/>
      <c r="TMX237" s="1"/>
      <c r="TMY237" s="1"/>
      <c r="TMZ237" s="1"/>
      <c r="TNA237" s="1"/>
      <c r="TNB237" s="1"/>
      <c r="TNC237" s="1"/>
      <c r="TND237" s="1"/>
      <c r="TNE237" s="1"/>
      <c r="TNF237" s="1"/>
      <c r="TNG237" s="1"/>
      <c r="TNH237" s="1"/>
      <c r="TNI237" s="1"/>
      <c r="TNJ237" s="1"/>
      <c r="TNK237" s="1"/>
      <c r="TNL237" s="1"/>
      <c r="TNM237" s="1"/>
      <c r="TNN237" s="1"/>
      <c r="TNO237" s="1"/>
      <c r="TNP237" s="1"/>
      <c r="TNQ237" s="1"/>
      <c r="TNR237" s="1"/>
      <c r="TNS237" s="1"/>
      <c r="TNT237" s="1"/>
      <c r="TNU237" s="1"/>
      <c r="TNV237" s="1"/>
      <c r="TNW237" s="1"/>
      <c r="TNX237" s="1"/>
      <c r="TNY237" s="1"/>
      <c r="TNZ237" s="1"/>
      <c r="TOA237" s="1"/>
      <c r="TOB237" s="1"/>
      <c r="TOC237" s="1"/>
      <c r="TOD237" s="1"/>
      <c r="TOE237" s="1"/>
      <c r="TOF237" s="1"/>
      <c r="TOG237" s="1"/>
      <c r="TOH237" s="1"/>
      <c r="TOI237" s="1"/>
      <c r="TOJ237" s="1"/>
      <c r="TOK237" s="1"/>
      <c r="TOL237" s="1"/>
      <c r="TOM237" s="1"/>
      <c r="TON237" s="1"/>
      <c r="TOO237" s="1"/>
      <c r="TOP237" s="1"/>
      <c r="TOQ237" s="1"/>
      <c r="TOR237" s="1"/>
      <c r="TOS237" s="1"/>
      <c r="TOT237" s="1"/>
      <c r="TOU237" s="1"/>
      <c r="TOV237" s="1"/>
      <c r="TOW237" s="1"/>
      <c r="TOX237" s="1"/>
      <c r="TOY237" s="1"/>
      <c r="TOZ237" s="1"/>
      <c r="TPA237" s="1"/>
      <c r="TPB237" s="1"/>
      <c r="TPC237" s="1"/>
      <c r="TPD237" s="1"/>
      <c r="TPE237" s="1"/>
      <c r="TPF237" s="1"/>
      <c r="TPG237" s="1"/>
      <c r="TPH237" s="1"/>
      <c r="TPI237" s="1"/>
      <c r="TPJ237" s="1"/>
      <c r="TPK237" s="1"/>
      <c r="TPL237" s="1"/>
      <c r="TPM237" s="1"/>
      <c r="TPN237" s="1"/>
      <c r="TPO237" s="1"/>
      <c r="TPP237" s="1"/>
      <c r="TPQ237" s="1"/>
      <c r="TPR237" s="1"/>
      <c r="TPS237" s="1"/>
      <c r="TPT237" s="1"/>
      <c r="TPU237" s="1"/>
      <c r="TPV237" s="1"/>
      <c r="TPW237" s="1"/>
      <c r="TPX237" s="1"/>
      <c r="TPY237" s="1"/>
      <c r="TPZ237" s="1"/>
      <c r="TQA237" s="1"/>
      <c r="TQB237" s="1"/>
      <c r="TQC237" s="1"/>
      <c r="TQD237" s="1"/>
      <c r="TQE237" s="1"/>
      <c r="TQF237" s="1"/>
      <c r="TQG237" s="1"/>
      <c r="TQH237" s="1"/>
      <c r="TQI237" s="1"/>
      <c r="TQJ237" s="1"/>
      <c r="TQK237" s="1"/>
      <c r="TQL237" s="1"/>
      <c r="TQM237" s="1"/>
      <c r="TQN237" s="1"/>
      <c r="TQO237" s="1"/>
      <c r="TQP237" s="1"/>
      <c r="TQQ237" s="1"/>
      <c r="TQR237" s="1"/>
      <c r="TQS237" s="1"/>
      <c r="TQT237" s="1"/>
      <c r="TQU237" s="1"/>
      <c r="TQV237" s="1"/>
      <c r="TQW237" s="1"/>
      <c r="TQX237" s="1"/>
      <c r="TQY237" s="1"/>
      <c r="TQZ237" s="1"/>
      <c r="TRA237" s="1"/>
      <c r="TRB237" s="1"/>
      <c r="TRC237" s="1"/>
      <c r="TRD237" s="1"/>
      <c r="TRE237" s="1"/>
      <c r="TRF237" s="1"/>
      <c r="TRG237" s="1"/>
      <c r="TRH237" s="1"/>
      <c r="TRI237" s="1"/>
      <c r="TRJ237" s="1"/>
      <c r="TRK237" s="1"/>
      <c r="TRL237" s="1"/>
      <c r="TRM237" s="1"/>
      <c r="TRN237" s="1"/>
      <c r="TRO237" s="1"/>
      <c r="TRP237" s="1"/>
      <c r="TRQ237" s="1"/>
      <c r="TRR237" s="1"/>
      <c r="TRS237" s="1"/>
      <c r="TRT237" s="1"/>
      <c r="TRU237" s="1"/>
      <c r="TRV237" s="1"/>
      <c r="TRW237" s="1"/>
      <c r="TRX237" s="1"/>
      <c r="TRY237" s="1"/>
      <c r="TRZ237" s="1"/>
      <c r="TSA237" s="1"/>
      <c r="TSB237" s="1"/>
      <c r="TSC237" s="1"/>
      <c r="TSD237" s="1"/>
      <c r="TSE237" s="1"/>
      <c r="TSF237" s="1"/>
      <c r="TSG237" s="1"/>
      <c r="TSH237" s="1"/>
      <c r="TSI237" s="1"/>
      <c r="TSJ237" s="1"/>
      <c r="TSK237" s="1"/>
      <c r="TSL237" s="1"/>
      <c r="TSM237" s="1"/>
      <c r="TSN237" s="1"/>
      <c r="TSO237" s="1"/>
      <c r="TSP237" s="1"/>
      <c r="TSQ237" s="1"/>
      <c r="TSR237" s="1"/>
      <c r="TSS237" s="1"/>
      <c r="TST237" s="1"/>
      <c r="TSU237" s="1"/>
      <c r="TSV237" s="1"/>
      <c r="TSW237" s="1"/>
      <c r="TSX237" s="1"/>
      <c r="TSY237" s="1"/>
      <c r="TSZ237" s="1"/>
      <c r="TTA237" s="1"/>
      <c r="TTB237" s="1"/>
      <c r="TTC237" s="1"/>
      <c r="TTD237" s="1"/>
      <c r="TTE237" s="1"/>
      <c r="TTF237" s="1"/>
      <c r="TTG237" s="1"/>
      <c r="TTH237" s="1"/>
      <c r="TTI237" s="1"/>
      <c r="TTJ237" s="1"/>
      <c r="TTK237" s="1"/>
      <c r="TTL237" s="1"/>
      <c r="TTM237" s="1"/>
      <c r="TTN237" s="1"/>
      <c r="TTO237" s="1"/>
      <c r="TTP237" s="1"/>
      <c r="TTQ237" s="1"/>
      <c r="TTR237" s="1"/>
      <c r="TTS237" s="1"/>
      <c r="TTT237" s="1"/>
      <c r="TTU237" s="1"/>
      <c r="TTV237" s="1"/>
      <c r="TTW237" s="1"/>
      <c r="TTX237" s="1"/>
      <c r="TTY237" s="1"/>
      <c r="TTZ237" s="1"/>
      <c r="TUA237" s="1"/>
      <c r="TUB237" s="1"/>
      <c r="TUC237" s="1"/>
      <c r="TUD237" s="1"/>
      <c r="TUE237" s="1"/>
      <c r="TUF237" s="1"/>
      <c r="TUG237" s="1"/>
      <c r="TUH237" s="1"/>
      <c r="TUI237" s="1"/>
      <c r="TUJ237" s="1"/>
      <c r="TUK237" s="1"/>
      <c r="TUL237" s="1"/>
      <c r="TUM237" s="1"/>
      <c r="TUN237" s="1"/>
      <c r="TUO237" s="1"/>
      <c r="TUP237" s="1"/>
      <c r="TUQ237" s="1"/>
      <c r="TUR237" s="1"/>
      <c r="TUS237" s="1"/>
      <c r="TUT237" s="1"/>
      <c r="TUU237" s="1"/>
      <c r="TUV237" s="1"/>
      <c r="TUW237" s="1"/>
      <c r="TUX237" s="1"/>
      <c r="TUY237" s="1"/>
      <c r="TUZ237" s="1"/>
      <c r="TVA237" s="1"/>
      <c r="TVB237" s="1"/>
      <c r="TVC237" s="1"/>
      <c r="TVD237" s="1"/>
      <c r="TVE237" s="1"/>
      <c r="TVF237" s="1"/>
      <c r="TVG237" s="1"/>
      <c r="TVH237" s="1"/>
      <c r="TVI237" s="1"/>
      <c r="TVJ237" s="1"/>
      <c r="TVK237" s="1"/>
      <c r="TVL237" s="1"/>
      <c r="TVM237" s="1"/>
      <c r="TVN237" s="1"/>
      <c r="TVO237" s="1"/>
      <c r="TVP237" s="1"/>
      <c r="TVQ237" s="1"/>
      <c r="TVR237" s="1"/>
      <c r="TVS237" s="1"/>
      <c r="TVT237" s="1"/>
      <c r="TVU237" s="1"/>
      <c r="TVV237" s="1"/>
      <c r="TVW237" s="1"/>
      <c r="TVX237" s="1"/>
      <c r="TVY237" s="1"/>
      <c r="TVZ237" s="1"/>
      <c r="TWA237" s="1"/>
      <c r="TWB237" s="1"/>
      <c r="TWC237" s="1"/>
      <c r="TWD237" s="1"/>
      <c r="TWE237" s="1"/>
      <c r="TWF237" s="1"/>
      <c r="TWG237" s="1"/>
      <c r="TWH237" s="1"/>
      <c r="TWI237" s="1"/>
      <c r="TWJ237" s="1"/>
      <c r="TWK237" s="1"/>
      <c r="TWL237" s="1"/>
      <c r="TWM237" s="1"/>
      <c r="TWN237" s="1"/>
      <c r="TWO237" s="1"/>
      <c r="TWP237" s="1"/>
      <c r="TWQ237" s="1"/>
      <c r="TWR237" s="1"/>
      <c r="TWS237" s="1"/>
      <c r="TWT237" s="1"/>
      <c r="TWU237" s="1"/>
      <c r="TWV237" s="1"/>
      <c r="TWW237" s="1"/>
      <c r="TWX237" s="1"/>
      <c r="TWY237" s="1"/>
      <c r="TWZ237" s="1"/>
      <c r="TXA237" s="1"/>
      <c r="TXB237" s="1"/>
      <c r="TXC237" s="1"/>
      <c r="TXD237" s="1"/>
      <c r="TXE237" s="1"/>
      <c r="TXF237" s="1"/>
      <c r="TXG237" s="1"/>
      <c r="TXH237" s="1"/>
      <c r="TXI237" s="1"/>
      <c r="TXJ237" s="1"/>
      <c r="TXK237" s="1"/>
      <c r="TXL237" s="1"/>
      <c r="TXM237" s="1"/>
      <c r="TXN237" s="1"/>
      <c r="TXO237" s="1"/>
      <c r="TXP237" s="1"/>
      <c r="TXQ237" s="1"/>
      <c r="TXR237" s="1"/>
      <c r="TXS237" s="1"/>
      <c r="TXT237" s="1"/>
      <c r="TXU237" s="1"/>
      <c r="TXV237" s="1"/>
      <c r="TXW237" s="1"/>
      <c r="TXX237" s="1"/>
      <c r="TXY237" s="1"/>
      <c r="TXZ237" s="1"/>
      <c r="TYA237" s="1"/>
      <c r="TYB237" s="1"/>
      <c r="TYC237" s="1"/>
      <c r="TYD237" s="1"/>
      <c r="TYE237" s="1"/>
      <c r="TYF237" s="1"/>
      <c r="TYG237" s="1"/>
      <c r="TYH237" s="1"/>
      <c r="TYI237" s="1"/>
      <c r="TYJ237" s="1"/>
      <c r="TYK237" s="1"/>
      <c r="TYL237" s="1"/>
      <c r="TYM237" s="1"/>
      <c r="TYN237" s="1"/>
      <c r="TYO237" s="1"/>
      <c r="TYP237" s="1"/>
      <c r="TYQ237" s="1"/>
      <c r="TYR237" s="1"/>
      <c r="TYS237" s="1"/>
      <c r="TYT237" s="1"/>
      <c r="TYU237" s="1"/>
      <c r="TYV237" s="1"/>
      <c r="TYW237" s="1"/>
      <c r="TYX237" s="1"/>
      <c r="TYY237" s="1"/>
      <c r="TYZ237" s="1"/>
      <c r="TZA237" s="1"/>
      <c r="TZB237" s="1"/>
      <c r="TZC237" s="1"/>
      <c r="TZD237" s="1"/>
      <c r="TZE237" s="1"/>
      <c r="TZF237" s="1"/>
      <c r="TZG237" s="1"/>
      <c r="TZH237" s="1"/>
      <c r="TZI237" s="1"/>
      <c r="TZJ237" s="1"/>
      <c r="TZK237" s="1"/>
      <c r="TZL237" s="1"/>
      <c r="TZM237" s="1"/>
      <c r="TZN237" s="1"/>
      <c r="TZO237" s="1"/>
      <c r="TZP237" s="1"/>
      <c r="TZQ237" s="1"/>
      <c r="TZR237" s="1"/>
      <c r="TZS237" s="1"/>
      <c r="TZT237" s="1"/>
      <c r="TZU237" s="1"/>
      <c r="TZV237" s="1"/>
      <c r="TZW237" s="1"/>
      <c r="TZX237" s="1"/>
      <c r="TZY237" s="1"/>
      <c r="TZZ237" s="1"/>
      <c r="UAA237" s="1"/>
      <c r="UAB237" s="1"/>
      <c r="UAC237" s="1"/>
      <c r="UAD237" s="1"/>
      <c r="UAE237" s="1"/>
      <c r="UAF237" s="1"/>
      <c r="UAG237" s="1"/>
      <c r="UAH237" s="1"/>
      <c r="UAI237" s="1"/>
      <c r="UAJ237" s="1"/>
      <c r="UAK237" s="1"/>
      <c r="UAL237" s="1"/>
      <c r="UAM237" s="1"/>
      <c r="UAN237" s="1"/>
      <c r="UAO237" s="1"/>
      <c r="UAP237" s="1"/>
      <c r="UAQ237" s="1"/>
      <c r="UAR237" s="1"/>
      <c r="UAS237" s="1"/>
      <c r="UAT237" s="1"/>
      <c r="UAU237" s="1"/>
      <c r="UAV237" s="1"/>
      <c r="UAW237" s="1"/>
      <c r="UAX237" s="1"/>
      <c r="UAY237" s="1"/>
      <c r="UAZ237" s="1"/>
      <c r="UBA237" s="1"/>
      <c r="UBB237" s="1"/>
      <c r="UBC237" s="1"/>
      <c r="UBD237" s="1"/>
      <c r="UBE237" s="1"/>
      <c r="UBF237" s="1"/>
      <c r="UBG237" s="1"/>
      <c r="UBH237" s="1"/>
      <c r="UBI237" s="1"/>
      <c r="UBJ237" s="1"/>
      <c r="UBK237" s="1"/>
      <c r="UBL237" s="1"/>
      <c r="UBM237" s="1"/>
      <c r="UBN237" s="1"/>
      <c r="UBO237" s="1"/>
      <c r="UBP237" s="1"/>
      <c r="UBQ237" s="1"/>
      <c r="UBR237" s="1"/>
      <c r="UBS237" s="1"/>
      <c r="UBT237" s="1"/>
      <c r="UBU237" s="1"/>
      <c r="UBV237" s="1"/>
      <c r="UBW237" s="1"/>
      <c r="UBX237" s="1"/>
      <c r="UBY237" s="1"/>
      <c r="UBZ237" s="1"/>
      <c r="UCA237" s="1"/>
      <c r="UCB237" s="1"/>
      <c r="UCC237" s="1"/>
      <c r="UCD237" s="1"/>
      <c r="UCE237" s="1"/>
      <c r="UCF237" s="1"/>
      <c r="UCG237" s="1"/>
      <c r="UCH237" s="1"/>
      <c r="UCI237" s="1"/>
      <c r="UCJ237" s="1"/>
      <c r="UCK237" s="1"/>
      <c r="UCL237" s="1"/>
      <c r="UCM237" s="1"/>
      <c r="UCN237" s="1"/>
      <c r="UCO237" s="1"/>
      <c r="UCP237" s="1"/>
      <c r="UCQ237" s="1"/>
      <c r="UCR237" s="1"/>
      <c r="UCS237" s="1"/>
      <c r="UCT237" s="1"/>
      <c r="UCU237" s="1"/>
      <c r="UCV237" s="1"/>
      <c r="UCW237" s="1"/>
      <c r="UCX237" s="1"/>
      <c r="UCY237" s="1"/>
      <c r="UCZ237" s="1"/>
      <c r="UDA237" s="1"/>
      <c r="UDB237" s="1"/>
      <c r="UDC237" s="1"/>
      <c r="UDD237" s="1"/>
      <c r="UDE237" s="1"/>
      <c r="UDF237" s="1"/>
      <c r="UDG237" s="1"/>
      <c r="UDH237" s="1"/>
      <c r="UDI237" s="1"/>
      <c r="UDJ237" s="1"/>
      <c r="UDK237" s="1"/>
      <c r="UDL237" s="1"/>
      <c r="UDM237" s="1"/>
      <c r="UDN237" s="1"/>
      <c r="UDO237" s="1"/>
      <c r="UDP237" s="1"/>
      <c r="UDQ237" s="1"/>
      <c r="UDR237" s="1"/>
      <c r="UDS237" s="1"/>
      <c r="UDT237" s="1"/>
      <c r="UDU237" s="1"/>
      <c r="UDV237" s="1"/>
      <c r="UDW237" s="1"/>
      <c r="UDX237" s="1"/>
      <c r="UDY237" s="1"/>
      <c r="UDZ237" s="1"/>
      <c r="UEA237" s="1"/>
      <c r="UEB237" s="1"/>
      <c r="UEC237" s="1"/>
      <c r="UED237" s="1"/>
      <c r="UEE237" s="1"/>
      <c r="UEF237" s="1"/>
      <c r="UEG237" s="1"/>
      <c r="UEH237" s="1"/>
      <c r="UEI237" s="1"/>
      <c r="UEJ237" s="1"/>
      <c r="UEK237" s="1"/>
      <c r="UEL237" s="1"/>
      <c r="UEM237" s="1"/>
      <c r="UEN237" s="1"/>
      <c r="UEO237" s="1"/>
      <c r="UEP237" s="1"/>
      <c r="UEQ237" s="1"/>
      <c r="UER237" s="1"/>
      <c r="UES237" s="1"/>
      <c r="UET237" s="1"/>
      <c r="UEU237" s="1"/>
      <c r="UEV237" s="1"/>
      <c r="UEW237" s="1"/>
      <c r="UEX237" s="1"/>
      <c r="UEY237" s="1"/>
      <c r="UEZ237" s="1"/>
      <c r="UFA237" s="1"/>
      <c r="UFB237" s="1"/>
      <c r="UFC237" s="1"/>
      <c r="UFD237" s="1"/>
      <c r="UFE237" s="1"/>
      <c r="UFF237" s="1"/>
      <c r="UFG237" s="1"/>
      <c r="UFH237" s="1"/>
      <c r="UFI237" s="1"/>
      <c r="UFJ237" s="1"/>
      <c r="UFK237" s="1"/>
      <c r="UFL237" s="1"/>
      <c r="UFM237" s="1"/>
      <c r="UFN237" s="1"/>
      <c r="UFO237" s="1"/>
      <c r="UFP237" s="1"/>
      <c r="UFQ237" s="1"/>
      <c r="UFR237" s="1"/>
      <c r="UFS237" s="1"/>
      <c r="UFT237" s="1"/>
      <c r="UFU237" s="1"/>
      <c r="UFV237" s="1"/>
      <c r="UFW237" s="1"/>
      <c r="UFX237" s="1"/>
      <c r="UFY237" s="1"/>
      <c r="UFZ237" s="1"/>
      <c r="UGA237" s="1"/>
      <c r="UGB237" s="1"/>
      <c r="UGC237" s="1"/>
      <c r="UGD237" s="1"/>
      <c r="UGE237" s="1"/>
      <c r="UGF237" s="1"/>
      <c r="UGG237" s="1"/>
      <c r="UGH237" s="1"/>
      <c r="UGI237" s="1"/>
      <c r="UGJ237" s="1"/>
      <c r="UGK237" s="1"/>
      <c r="UGL237" s="1"/>
      <c r="UGM237" s="1"/>
      <c r="UGN237" s="1"/>
      <c r="UGO237" s="1"/>
      <c r="UGP237" s="1"/>
      <c r="UGQ237" s="1"/>
      <c r="UGR237" s="1"/>
      <c r="UGS237" s="1"/>
      <c r="UGT237" s="1"/>
      <c r="UGU237" s="1"/>
      <c r="UGV237" s="1"/>
      <c r="UGW237" s="1"/>
      <c r="UGX237" s="1"/>
      <c r="UGY237" s="1"/>
      <c r="UGZ237" s="1"/>
      <c r="UHA237" s="1"/>
      <c r="UHB237" s="1"/>
      <c r="UHC237" s="1"/>
      <c r="UHD237" s="1"/>
      <c r="UHE237" s="1"/>
      <c r="UHF237" s="1"/>
      <c r="UHG237" s="1"/>
      <c r="UHH237" s="1"/>
      <c r="UHI237" s="1"/>
      <c r="UHJ237" s="1"/>
      <c r="UHK237" s="1"/>
      <c r="UHL237" s="1"/>
      <c r="UHM237" s="1"/>
      <c r="UHN237" s="1"/>
      <c r="UHO237" s="1"/>
      <c r="UHP237" s="1"/>
      <c r="UHQ237" s="1"/>
      <c r="UHR237" s="1"/>
      <c r="UHS237" s="1"/>
      <c r="UHT237" s="1"/>
      <c r="UHU237" s="1"/>
      <c r="UHV237" s="1"/>
      <c r="UHW237" s="1"/>
      <c r="UHX237" s="1"/>
      <c r="UHY237" s="1"/>
      <c r="UHZ237" s="1"/>
      <c r="UIA237" s="1"/>
      <c r="UIB237" s="1"/>
      <c r="UIC237" s="1"/>
      <c r="UID237" s="1"/>
      <c r="UIE237" s="1"/>
      <c r="UIF237" s="1"/>
      <c r="UIG237" s="1"/>
      <c r="UIH237" s="1"/>
      <c r="UII237" s="1"/>
      <c r="UIJ237" s="1"/>
      <c r="UIK237" s="1"/>
      <c r="UIL237" s="1"/>
      <c r="UIM237" s="1"/>
      <c r="UIN237" s="1"/>
      <c r="UIO237" s="1"/>
      <c r="UIP237" s="1"/>
      <c r="UIQ237" s="1"/>
      <c r="UIR237" s="1"/>
      <c r="UIS237" s="1"/>
      <c r="UIT237" s="1"/>
      <c r="UIU237" s="1"/>
      <c r="UIV237" s="1"/>
      <c r="UIW237" s="1"/>
      <c r="UIX237" s="1"/>
      <c r="UIY237" s="1"/>
      <c r="UIZ237" s="1"/>
      <c r="UJA237" s="1"/>
      <c r="UJB237" s="1"/>
      <c r="UJC237" s="1"/>
      <c r="UJD237" s="1"/>
      <c r="UJE237" s="1"/>
      <c r="UJF237" s="1"/>
      <c r="UJG237" s="1"/>
      <c r="UJH237" s="1"/>
      <c r="UJI237" s="1"/>
      <c r="UJJ237" s="1"/>
      <c r="UJK237" s="1"/>
      <c r="UJL237" s="1"/>
      <c r="UJM237" s="1"/>
      <c r="UJN237" s="1"/>
      <c r="UJO237" s="1"/>
      <c r="UJP237" s="1"/>
      <c r="UJQ237" s="1"/>
      <c r="UJR237" s="1"/>
      <c r="UJS237" s="1"/>
      <c r="UJT237" s="1"/>
      <c r="UJU237" s="1"/>
      <c r="UJV237" s="1"/>
      <c r="UJW237" s="1"/>
      <c r="UJX237" s="1"/>
      <c r="UJY237" s="1"/>
      <c r="UJZ237" s="1"/>
      <c r="UKA237" s="1"/>
      <c r="UKB237" s="1"/>
      <c r="UKC237" s="1"/>
      <c r="UKD237" s="1"/>
      <c r="UKE237" s="1"/>
      <c r="UKF237" s="1"/>
      <c r="UKG237" s="1"/>
      <c r="UKH237" s="1"/>
      <c r="UKI237" s="1"/>
      <c r="UKJ237" s="1"/>
      <c r="UKK237" s="1"/>
      <c r="UKL237" s="1"/>
      <c r="UKM237" s="1"/>
      <c r="UKN237" s="1"/>
      <c r="UKO237" s="1"/>
      <c r="UKP237" s="1"/>
      <c r="UKQ237" s="1"/>
      <c r="UKR237" s="1"/>
      <c r="UKS237" s="1"/>
      <c r="UKT237" s="1"/>
      <c r="UKU237" s="1"/>
      <c r="UKV237" s="1"/>
      <c r="UKW237" s="1"/>
      <c r="UKX237" s="1"/>
      <c r="UKY237" s="1"/>
      <c r="UKZ237" s="1"/>
      <c r="ULA237" s="1"/>
      <c r="ULB237" s="1"/>
      <c r="ULC237" s="1"/>
      <c r="ULD237" s="1"/>
      <c r="ULE237" s="1"/>
      <c r="ULF237" s="1"/>
      <c r="ULG237" s="1"/>
      <c r="ULH237" s="1"/>
      <c r="ULI237" s="1"/>
      <c r="ULJ237" s="1"/>
      <c r="ULK237" s="1"/>
      <c r="ULL237" s="1"/>
      <c r="ULM237" s="1"/>
      <c r="ULN237" s="1"/>
      <c r="ULO237" s="1"/>
      <c r="ULP237" s="1"/>
      <c r="ULQ237" s="1"/>
      <c r="ULR237" s="1"/>
      <c r="ULS237" s="1"/>
      <c r="ULT237" s="1"/>
      <c r="ULU237" s="1"/>
      <c r="ULV237" s="1"/>
      <c r="ULW237" s="1"/>
      <c r="ULX237" s="1"/>
      <c r="ULY237" s="1"/>
      <c r="ULZ237" s="1"/>
      <c r="UMA237" s="1"/>
      <c r="UMB237" s="1"/>
      <c r="UMC237" s="1"/>
      <c r="UMD237" s="1"/>
      <c r="UME237" s="1"/>
      <c r="UMF237" s="1"/>
      <c r="UMG237" s="1"/>
      <c r="UMH237" s="1"/>
      <c r="UMI237" s="1"/>
      <c r="UMJ237" s="1"/>
      <c r="UMK237" s="1"/>
      <c r="UML237" s="1"/>
      <c r="UMM237" s="1"/>
      <c r="UMN237" s="1"/>
      <c r="UMO237" s="1"/>
      <c r="UMP237" s="1"/>
      <c r="UMQ237" s="1"/>
      <c r="UMR237" s="1"/>
      <c r="UMS237" s="1"/>
      <c r="UMT237" s="1"/>
      <c r="UMU237" s="1"/>
      <c r="UMV237" s="1"/>
      <c r="UMW237" s="1"/>
      <c r="UMX237" s="1"/>
      <c r="UMY237" s="1"/>
      <c r="UMZ237" s="1"/>
      <c r="UNA237" s="1"/>
      <c r="UNB237" s="1"/>
      <c r="UNC237" s="1"/>
      <c r="UND237" s="1"/>
      <c r="UNE237" s="1"/>
      <c r="UNF237" s="1"/>
      <c r="UNG237" s="1"/>
      <c r="UNH237" s="1"/>
      <c r="UNI237" s="1"/>
      <c r="UNJ237" s="1"/>
      <c r="UNK237" s="1"/>
      <c r="UNL237" s="1"/>
      <c r="UNM237" s="1"/>
      <c r="UNN237" s="1"/>
      <c r="UNO237" s="1"/>
      <c r="UNP237" s="1"/>
      <c r="UNQ237" s="1"/>
      <c r="UNR237" s="1"/>
      <c r="UNS237" s="1"/>
      <c r="UNT237" s="1"/>
      <c r="UNU237" s="1"/>
      <c r="UNV237" s="1"/>
      <c r="UNW237" s="1"/>
      <c r="UNX237" s="1"/>
      <c r="UNY237" s="1"/>
      <c r="UNZ237" s="1"/>
      <c r="UOA237" s="1"/>
      <c r="UOB237" s="1"/>
      <c r="UOC237" s="1"/>
      <c r="UOD237" s="1"/>
      <c r="UOE237" s="1"/>
      <c r="UOF237" s="1"/>
      <c r="UOG237" s="1"/>
      <c r="UOH237" s="1"/>
      <c r="UOI237" s="1"/>
      <c r="UOJ237" s="1"/>
      <c r="UOK237" s="1"/>
      <c r="UOL237" s="1"/>
      <c r="UOM237" s="1"/>
      <c r="UON237" s="1"/>
      <c r="UOO237" s="1"/>
      <c r="UOP237" s="1"/>
      <c r="UOQ237" s="1"/>
      <c r="UOR237" s="1"/>
      <c r="UOS237" s="1"/>
      <c r="UOT237" s="1"/>
      <c r="UOU237" s="1"/>
      <c r="UOV237" s="1"/>
      <c r="UOW237" s="1"/>
      <c r="UOX237" s="1"/>
      <c r="UOY237" s="1"/>
      <c r="UOZ237" s="1"/>
      <c r="UPA237" s="1"/>
      <c r="UPB237" s="1"/>
      <c r="UPC237" s="1"/>
      <c r="UPD237" s="1"/>
      <c r="UPE237" s="1"/>
      <c r="UPF237" s="1"/>
      <c r="UPG237" s="1"/>
      <c r="UPH237" s="1"/>
      <c r="UPI237" s="1"/>
      <c r="UPJ237" s="1"/>
      <c r="UPK237" s="1"/>
      <c r="UPL237" s="1"/>
      <c r="UPM237" s="1"/>
      <c r="UPN237" s="1"/>
      <c r="UPO237" s="1"/>
      <c r="UPP237" s="1"/>
      <c r="UPQ237" s="1"/>
      <c r="UPR237" s="1"/>
      <c r="UPS237" s="1"/>
      <c r="UPT237" s="1"/>
      <c r="UPU237" s="1"/>
      <c r="UPV237" s="1"/>
      <c r="UPW237" s="1"/>
      <c r="UPX237" s="1"/>
      <c r="UPY237" s="1"/>
      <c r="UPZ237" s="1"/>
      <c r="UQA237" s="1"/>
      <c r="UQB237" s="1"/>
      <c r="UQC237" s="1"/>
      <c r="UQD237" s="1"/>
      <c r="UQE237" s="1"/>
      <c r="UQF237" s="1"/>
      <c r="UQG237" s="1"/>
      <c r="UQH237" s="1"/>
      <c r="UQI237" s="1"/>
      <c r="UQJ237" s="1"/>
      <c r="UQK237" s="1"/>
      <c r="UQL237" s="1"/>
      <c r="UQM237" s="1"/>
      <c r="UQN237" s="1"/>
      <c r="UQO237" s="1"/>
      <c r="UQP237" s="1"/>
      <c r="UQQ237" s="1"/>
      <c r="UQR237" s="1"/>
      <c r="UQS237" s="1"/>
      <c r="UQT237" s="1"/>
      <c r="UQU237" s="1"/>
      <c r="UQV237" s="1"/>
      <c r="UQW237" s="1"/>
      <c r="UQX237" s="1"/>
      <c r="UQY237" s="1"/>
      <c r="UQZ237" s="1"/>
      <c r="URA237" s="1"/>
      <c r="URB237" s="1"/>
      <c r="URC237" s="1"/>
      <c r="URD237" s="1"/>
      <c r="URE237" s="1"/>
      <c r="URF237" s="1"/>
      <c r="URG237" s="1"/>
      <c r="URH237" s="1"/>
      <c r="URI237" s="1"/>
      <c r="URJ237" s="1"/>
      <c r="URK237" s="1"/>
      <c r="URL237" s="1"/>
      <c r="URM237" s="1"/>
      <c r="URN237" s="1"/>
      <c r="URO237" s="1"/>
      <c r="URP237" s="1"/>
      <c r="URQ237" s="1"/>
      <c r="URR237" s="1"/>
      <c r="URS237" s="1"/>
      <c r="URT237" s="1"/>
      <c r="URU237" s="1"/>
      <c r="URV237" s="1"/>
      <c r="URW237" s="1"/>
      <c r="URX237" s="1"/>
      <c r="URY237" s="1"/>
      <c r="URZ237" s="1"/>
      <c r="USA237" s="1"/>
      <c r="USB237" s="1"/>
      <c r="USC237" s="1"/>
      <c r="USD237" s="1"/>
      <c r="USE237" s="1"/>
      <c r="USF237" s="1"/>
      <c r="USG237" s="1"/>
      <c r="USH237" s="1"/>
      <c r="USI237" s="1"/>
      <c r="USJ237" s="1"/>
      <c r="USK237" s="1"/>
      <c r="USL237" s="1"/>
      <c r="USM237" s="1"/>
      <c r="USN237" s="1"/>
      <c r="USO237" s="1"/>
      <c r="USP237" s="1"/>
      <c r="USQ237" s="1"/>
      <c r="USR237" s="1"/>
      <c r="USS237" s="1"/>
      <c r="UST237" s="1"/>
      <c r="USU237" s="1"/>
      <c r="USV237" s="1"/>
      <c r="USW237" s="1"/>
      <c r="USX237" s="1"/>
      <c r="USY237" s="1"/>
      <c r="USZ237" s="1"/>
      <c r="UTA237" s="1"/>
      <c r="UTB237" s="1"/>
      <c r="UTC237" s="1"/>
      <c r="UTD237" s="1"/>
      <c r="UTE237" s="1"/>
      <c r="UTF237" s="1"/>
      <c r="UTG237" s="1"/>
      <c r="UTH237" s="1"/>
      <c r="UTI237" s="1"/>
      <c r="UTJ237" s="1"/>
      <c r="UTK237" s="1"/>
      <c r="UTL237" s="1"/>
      <c r="UTM237" s="1"/>
      <c r="UTN237" s="1"/>
      <c r="UTO237" s="1"/>
      <c r="UTP237" s="1"/>
      <c r="UTQ237" s="1"/>
      <c r="UTR237" s="1"/>
      <c r="UTS237" s="1"/>
      <c r="UTT237" s="1"/>
      <c r="UTU237" s="1"/>
      <c r="UTV237" s="1"/>
      <c r="UTW237" s="1"/>
      <c r="UTX237" s="1"/>
      <c r="UTY237" s="1"/>
      <c r="UTZ237" s="1"/>
      <c r="UUA237" s="1"/>
      <c r="UUB237" s="1"/>
      <c r="UUC237" s="1"/>
      <c r="UUD237" s="1"/>
      <c r="UUE237" s="1"/>
      <c r="UUF237" s="1"/>
      <c r="UUG237" s="1"/>
      <c r="UUH237" s="1"/>
      <c r="UUI237" s="1"/>
      <c r="UUJ237" s="1"/>
      <c r="UUK237" s="1"/>
      <c r="UUL237" s="1"/>
      <c r="UUM237" s="1"/>
      <c r="UUN237" s="1"/>
      <c r="UUO237" s="1"/>
      <c r="UUP237" s="1"/>
      <c r="UUQ237" s="1"/>
      <c r="UUR237" s="1"/>
      <c r="UUS237" s="1"/>
      <c r="UUT237" s="1"/>
      <c r="UUU237" s="1"/>
      <c r="UUV237" s="1"/>
      <c r="UUW237" s="1"/>
      <c r="UUX237" s="1"/>
      <c r="UUY237" s="1"/>
      <c r="UUZ237" s="1"/>
      <c r="UVA237" s="1"/>
      <c r="UVB237" s="1"/>
      <c r="UVC237" s="1"/>
      <c r="UVD237" s="1"/>
      <c r="UVE237" s="1"/>
      <c r="UVF237" s="1"/>
      <c r="UVG237" s="1"/>
      <c r="UVH237" s="1"/>
      <c r="UVI237" s="1"/>
      <c r="UVJ237" s="1"/>
      <c r="UVK237" s="1"/>
      <c r="UVL237" s="1"/>
      <c r="UVM237" s="1"/>
      <c r="UVN237" s="1"/>
      <c r="UVO237" s="1"/>
      <c r="UVP237" s="1"/>
      <c r="UVQ237" s="1"/>
      <c r="UVR237" s="1"/>
      <c r="UVS237" s="1"/>
      <c r="UVT237" s="1"/>
      <c r="UVU237" s="1"/>
      <c r="UVV237" s="1"/>
      <c r="UVW237" s="1"/>
      <c r="UVX237" s="1"/>
      <c r="UVY237" s="1"/>
      <c r="UVZ237" s="1"/>
      <c r="UWA237" s="1"/>
      <c r="UWB237" s="1"/>
      <c r="UWC237" s="1"/>
      <c r="UWD237" s="1"/>
      <c r="UWE237" s="1"/>
      <c r="UWF237" s="1"/>
      <c r="UWG237" s="1"/>
      <c r="UWH237" s="1"/>
      <c r="UWI237" s="1"/>
      <c r="UWJ237" s="1"/>
      <c r="UWK237" s="1"/>
      <c r="UWL237" s="1"/>
      <c r="UWM237" s="1"/>
      <c r="UWN237" s="1"/>
      <c r="UWO237" s="1"/>
      <c r="UWP237" s="1"/>
      <c r="UWQ237" s="1"/>
      <c r="UWR237" s="1"/>
      <c r="UWS237" s="1"/>
      <c r="UWT237" s="1"/>
      <c r="UWU237" s="1"/>
      <c r="UWV237" s="1"/>
      <c r="UWW237" s="1"/>
      <c r="UWX237" s="1"/>
      <c r="UWY237" s="1"/>
      <c r="UWZ237" s="1"/>
      <c r="UXA237" s="1"/>
      <c r="UXB237" s="1"/>
      <c r="UXC237" s="1"/>
      <c r="UXD237" s="1"/>
      <c r="UXE237" s="1"/>
      <c r="UXF237" s="1"/>
      <c r="UXG237" s="1"/>
      <c r="UXH237" s="1"/>
      <c r="UXI237" s="1"/>
      <c r="UXJ237" s="1"/>
      <c r="UXK237" s="1"/>
      <c r="UXL237" s="1"/>
      <c r="UXM237" s="1"/>
      <c r="UXN237" s="1"/>
      <c r="UXO237" s="1"/>
      <c r="UXP237" s="1"/>
      <c r="UXQ237" s="1"/>
      <c r="UXR237" s="1"/>
      <c r="UXS237" s="1"/>
      <c r="UXT237" s="1"/>
      <c r="UXU237" s="1"/>
      <c r="UXV237" s="1"/>
      <c r="UXW237" s="1"/>
      <c r="UXX237" s="1"/>
      <c r="UXY237" s="1"/>
      <c r="UXZ237" s="1"/>
      <c r="UYA237" s="1"/>
      <c r="UYB237" s="1"/>
      <c r="UYC237" s="1"/>
      <c r="UYD237" s="1"/>
      <c r="UYE237" s="1"/>
      <c r="UYF237" s="1"/>
      <c r="UYG237" s="1"/>
      <c r="UYH237" s="1"/>
      <c r="UYI237" s="1"/>
      <c r="UYJ237" s="1"/>
      <c r="UYK237" s="1"/>
      <c r="UYL237" s="1"/>
      <c r="UYM237" s="1"/>
      <c r="UYN237" s="1"/>
      <c r="UYO237" s="1"/>
      <c r="UYP237" s="1"/>
      <c r="UYQ237" s="1"/>
      <c r="UYR237" s="1"/>
      <c r="UYS237" s="1"/>
      <c r="UYT237" s="1"/>
      <c r="UYU237" s="1"/>
      <c r="UYV237" s="1"/>
      <c r="UYW237" s="1"/>
      <c r="UYX237" s="1"/>
      <c r="UYY237" s="1"/>
      <c r="UYZ237" s="1"/>
      <c r="UZA237" s="1"/>
      <c r="UZB237" s="1"/>
      <c r="UZC237" s="1"/>
      <c r="UZD237" s="1"/>
      <c r="UZE237" s="1"/>
      <c r="UZF237" s="1"/>
      <c r="UZG237" s="1"/>
      <c r="UZH237" s="1"/>
      <c r="UZI237" s="1"/>
      <c r="UZJ237" s="1"/>
      <c r="UZK237" s="1"/>
      <c r="UZL237" s="1"/>
      <c r="UZM237" s="1"/>
      <c r="UZN237" s="1"/>
      <c r="UZO237" s="1"/>
      <c r="UZP237" s="1"/>
      <c r="UZQ237" s="1"/>
      <c r="UZR237" s="1"/>
      <c r="UZS237" s="1"/>
      <c r="UZT237" s="1"/>
      <c r="UZU237" s="1"/>
      <c r="UZV237" s="1"/>
      <c r="UZW237" s="1"/>
      <c r="UZX237" s="1"/>
      <c r="UZY237" s="1"/>
      <c r="UZZ237" s="1"/>
      <c r="VAA237" s="1"/>
      <c r="VAB237" s="1"/>
      <c r="VAC237" s="1"/>
      <c r="VAD237" s="1"/>
      <c r="VAE237" s="1"/>
      <c r="VAF237" s="1"/>
      <c r="VAG237" s="1"/>
      <c r="VAH237" s="1"/>
      <c r="VAI237" s="1"/>
      <c r="VAJ237" s="1"/>
      <c r="VAK237" s="1"/>
      <c r="VAL237" s="1"/>
      <c r="VAM237" s="1"/>
      <c r="VAN237" s="1"/>
      <c r="VAO237" s="1"/>
      <c r="VAP237" s="1"/>
      <c r="VAQ237" s="1"/>
      <c r="VAR237" s="1"/>
      <c r="VAS237" s="1"/>
      <c r="VAT237" s="1"/>
      <c r="VAU237" s="1"/>
      <c r="VAV237" s="1"/>
      <c r="VAW237" s="1"/>
      <c r="VAX237" s="1"/>
      <c r="VAY237" s="1"/>
      <c r="VAZ237" s="1"/>
      <c r="VBA237" s="1"/>
      <c r="VBB237" s="1"/>
      <c r="VBC237" s="1"/>
      <c r="VBD237" s="1"/>
      <c r="VBE237" s="1"/>
      <c r="VBF237" s="1"/>
      <c r="VBG237" s="1"/>
      <c r="VBH237" s="1"/>
      <c r="VBI237" s="1"/>
      <c r="VBJ237" s="1"/>
      <c r="VBK237" s="1"/>
      <c r="VBL237" s="1"/>
      <c r="VBM237" s="1"/>
      <c r="VBN237" s="1"/>
      <c r="VBO237" s="1"/>
      <c r="VBP237" s="1"/>
      <c r="VBQ237" s="1"/>
      <c r="VBR237" s="1"/>
      <c r="VBS237" s="1"/>
      <c r="VBT237" s="1"/>
      <c r="VBU237" s="1"/>
      <c r="VBV237" s="1"/>
      <c r="VBW237" s="1"/>
      <c r="VBX237" s="1"/>
      <c r="VBY237" s="1"/>
      <c r="VBZ237" s="1"/>
      <c r="VCA237" s="1"/>
      <c r="VCB237" s="1"/>
      <c r="VCC237" s="1"/>
      <c r="VCD237" s="1"/>
      <c r="VCE237" s="1"/>
      <c r="VCF237" s="1"/>
      <c r="VCG237" s="1"/>
      <c r="VCH237" s="1"/>
      <c r="VCI237" s="1"/>
      <c r="VCJ237" s="1"/>
      <c r="VCK237" s="1"/>
      <c r="VCL237" s="1"/>
      <c r="VCM237" s="1"/>
      <c r="VCN237" s="1"/>
      <c r="VCO237" s="1"/>
      <c r="VCP237" s="1"/>
      <c r="VCQ237" s="1"/>
      <c r="VCR237" s="1"/>
    </row>
    <row r="238" spans="1:14968" s="2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5"/>
      <c r="AK238" s="1"/>
      <c r="AL238" s="1"/>
      <c r="AM238" s="1"/>
      <c r="AO238" s="3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/>
      <c r="AHA238" s="1"/>
      <c r="AHB238" s="1"/>
      <c r="AHC238" s="1"/>
      <c r="AHD238" s="1"/>
      <c r="AHE238" s="1"/>
      <c r="AHF238" s="1"/>
      <c r="AHG238" s="1"/>
      <c r="AHH238" s="1"/>
      <c r="AHI238" s="1"/>
      <c r="AHJ238" s="1"/>
      <c r="AHK238" s="1"/>
      <c r="AHL238" s="1"/>
      <c r="AHM238" s="1"/>
      <c r="AHN238" s="1"/>
      <c r="AHO238" s="1"/>
      <c r="AHP238" s="1"/>
      <c r="AHQ238" s="1"/>
      <c r="AHR238" s="1"/>
      <c r="AHS238" s="1"/>
      <c r="AHT238" s="1"/>
      <c r="AHU238" s="1"/>
      <c r="AHV238" s="1"/>
      <c r="AHW238" s="1"/>
      <c r="AHX238" s="1"/>
      <c r="AHY238" s="1"/>
      <c r="AHZ238" s="1"/>
      <c r="AIA238" s="1"/>
      <c r="AIB238" s="1"/>
      <c r="AIC238" s="1"/>
      <c r="AID238" s="1"/>
      <c r="AIE238" s="1"/>
      <c r="AIF238" s="1"/>
      <c r="AIG238" s="1"/>
      <c r="AIH238" s="1"/>
      <c r="AII238" s="1"/>
      <c r="AIJ238" s="1"/>
      <c r="AIK238" s="1"/>
      <c r="AIL238" s="1"/>
      <c r="AIM238" s="1"/>
      <c r="AIN238" s="1"/>
      <c r="AIO238" s="1"/>
      <c r="AIP238" s="1"/>
      <c r="AIQ238" s="1"/>
      <c r="AIR238" s="1"/>
      <c r="AIS238" s="1"/>
      <c r="AIT238" s="1"/>
      <c r="AIU238" s="1"/>
      <c r="AIV238" s="1"/>
      <c r="AIW238" s="1"/>
      <c r="AIX238" s="1"/>
      <c r="AIY238" s="1"/>
      <c r="AIZ238" s="1"/>
      <c r="AJA238" s="1"/>
      <c r="AJB238" s="1"/>
      <c r="AJC238" s="1"/>
      <c r="AJD238" s="1"/>
      <c r="AJE238" s="1"/>
      <c r="AJF238" s="1"/>
      <c r="AJG238" s="1"/>
      <c r="AJH238" s="1"/>
      <c r="AJI238" s="1"/>
      <c r="AJJ238" s="1"/>
      <c r="AJK238" s="1"/>
      <c r="AJL238" s="1"/>
      <c r="AJM238" s="1"/>
      <c r="AJN238" s="1"/>
      <c r="AJO238" s="1"/>
      <c r="AJP238" s="1"/>
      <c r="AJQ238" s="1"/>
      <c r="AJR238" s="1"/>
      <c r="AJS238" s="1"/>
      <c r="AJT238" s="1"/>
      <c r="AJU238" s="1"/>
      <c r="AJV238" s="1"/>
      <c r="AJW238" s="1"/>
      <c r="AJX238" s="1"/>
      <c r="AJY238" s="1"/>
      <c r="AJZ238" s="1"/>
      <c r="AKA238" s="1"/>
      <c r="AKB238" s="1"/>
      <c r="AKC238" s="1"/>
      <c r="AKD238" s="1"/>
      <c r="AKE238" s="1"/>
      <c r="AKF238" s="1"/>
      <c r="AKG238" s="1"/>
      <c r="AKH238" s="1"/>
      <c r="AKI238" s="1"/>
      <c r="AKJ238" s="1"/>
      <c r="AKK238" s="1"/>
      <c r="AKL238" s="1"/>
      <c r="AKM238" s="1"/>
      <c r="AKN238" s="1"/>
      <c r="AKO238" s="1"/>
      <c r="AKP238" s="1"/>
      <c r="AKQ238" s="1"/>
      <c r="AKR238" s="1"/>
      <c r="AKS238" s="1"/>
      <c r="AKT238" s="1"/>
      <c r="AKU238" s="1"/>
      <c r="AKV238" s="1"/>
      <c r="AKW238" s="1"/>
      <c r="AKX238" s="1"/>
      <c r="AKY238" s="1"/>
      <c r="AKZ238" s="1"/>
      <c r="ALA238" s="1"/>
      <c r="ALB238" s="1"/>
      <c r="ALC238" s="1"/>
      <c r="ALD238" s="1"/>
      <c r="ALE238" s="1"/>
      <c r="ALF238" s="1"/>
      <c r="ALG238" s="1"/>
      <c r="ALH238" s="1"/>
      <c r="ALI238" s="1"/>
      <c r="ALJ238" s="1"/>
      <c r="ALK238" s="1"/>
      <c r="ALL238" s="1"/>
      <c r="ALM238" s="1"/>
      <c r="ALN238" s="1"/>
      <c r="ALO238" s="1"/>
      <c r="ALP238" s="1"/>
      <c r="ALQ238" s="1"/>
      <c r="ALR238" s="1"/>
      <c r="ALS238" s="1"/>
      <c r="ALT238" s="1"/>
      <c r="ALU238" s="1"/>
      <c r="ALV238" s="1"/>
      <c r="ALW238" s="1"/>
      <c r="ALX238" s="1"/>
      <c r="ALY238" s="1"/>
      <c r="ALZ238" s="1"/>
      <c r="AMA238" s="1"/>
      <c r="AMB238" s="1"/>
      <c r="AMC238" s="1"/>
      <c r="AMD238" s="1"/>
      <c r="AME238" s="1"/>
      <c r="AMF238" s="1"/>
      <c r="AMG238" s="1"/>
      <c r="AMH238" s="1"/>
      <c r="AMI238" s="1"/>
      <c r="AMJ238" s="1"/>
      <c r="AMK238" s="1"/>
      <c r="AML238" s="1"/>
      <c r="AMM238" s="1"/>
      <c r="AMN238" s="1"/>
      <c r="AMO238" s="1"/>
      <c r="AMP238" s="1"/>
      <c r="AMQ238" s="1"/>
      <c r="AMR238" s="1"/>
      <c r="AMS238" s="1"/>
      <c r="AMT238" s="1"/>
      <c r="AMU238" s="1"/>
      <c r="AMV238" s="1"/>
      <c r="AMW238" s="1"/>
      <c r="AMX238" s="1"/>
      <c r="AMY238" s="1"/>
      <c r="AMZ238" s="1"/>
      <c r="ANA238" s="1"/>
      <c r="ANB238" s="1"/>
      <c r="ANC238" s="1"/>
      <c r="AND238" s="1"/>
      <c r="ANE238" s="1"/>
      <c r="ANF238" s="1"/>
      <c r="ANG238" s="1"/>
      <c r="ANH238" s="1"/>
      <c r="ANI238" s="1"/>
      <c r="ANJ238" s="1"/>
      <c r="ANK238" s="1"/>
      <c r="ANL238" s="1"/>
      <c r="ANM238" s="1"/>
      <c r="ANN238" s="1"/>
      <c r="ANO238" s="1"/>
      <c r="ANP238" s="1"/>
      <c r="ANQ238" s="1"/>
      <c r="ANR238" s="1"/>
      <c r="ANS238" s="1"/>
      <c r="ANT238" s="1"/>
      <c r="ANU238" s="1"/>
      <c r="ANV238" s="1"/>
      <c r="ANW238" s="1"/>
      <c r="ANX238" s="1"/>
      <c r="ANY238" s="1"/>
      <c r="ANZ238" s="1"/>
      <c r="AOA238" s="1"/>
      <c r="AOB238" s="1"/>
      <c r="AOC238" s="1"/>
      <c r="AOD238" s="1"/>
      <c r="AOE238" s="1"/>
      <c r="AOF238" s="1"/>
      <c r="AOG238" s="1"/>
      <c r="AOH238" s="1"/>
      <c r="AOI238" s="1"/>
      <c r="AOJ238" s="1"/>
      <c r="AOK238" s="1"/>
      <c r="AOL238" s="1"/>
      <c r="AOM238" s="1"/>
      <c r="AON238" s="1"/>
      <c r="AOO238" s="1"/>
      <c r="AOP238" s="1"/>
      <c r="AOQ238" s="1"/>
      <c r="AOR238" s="1"/>
      <c r="AOS238" s="1"/>
      <c r="AOT238" s="1"/>
      <c r="AOU238" s="1"/>
      <c r="AOV238" s="1"/>
      <c r="AOW238" s="1"/>
      <c r="AOX238" s="1"/>
      <c r="AOY238" s="1"/>
      <c r="AOZ238" s="1"/>
      <c r="APA238" s="1"/>
      <c r="APB238" s="1"/>
      <c r="APC238" s="1"/>
      <c r="APD238" s="1"/>
      <c r="APE238" s="1"/>
      <c r="APF238" s="1"/>
      <c r="APG238" s="1"/>
      <c r="APH238" s="1"/>
      <c r="API238" s="1"/>
      <c r="APJ238" s="1"/>
      <c r="APK238" s="1"/>
      <c r="APL238" s="1"/>
      <c r="APM238" s="1"/>
      <c r="APN238" s="1"/>
      <c r="APO238" s="1"/>
      <c r="APP238" s="1"/>
      <c r="APQ238" s="1"/>
      <c r="APR238" s="1"/>
      <c r="APS238" s="1"/>
      <c r="APT238" s="1"/>
      <c r="APU238" s="1"/>
      <c r="APV238" s="1"/>
      <c r="APW238" s="1"/>
      <c r="APX238" s="1"/>
      <c r="APY238" s="1"/>
      <c r="APZ238" s="1"/>
      <c r="AQA238" s="1"/>
      <c r="AQB238" s="1"/>
      <c r="AQC238" s="1"/>
      <c r="AQD238" s="1"/>
      <c r="AQE238" s="1"/>
      <c r="AQF238" s="1"/>
      <c r="AQG238" s="1"/>
      <c r="AQH238" s="1"/>
      <c r="AQI238" s="1"/>
      <c r="AQJ238" s="1"/>
      <c r="AQK238" s="1"/>
      <c r="AQL238" s="1"/>
      <c r="AQM238" s="1"/>
      <c r="AQN238" s="1"/>
      <c r="AQO238" s="1"/>
      <c r="AQP238" s="1"/>
      <c r="AQQ238" s="1"/>
      <c r="AQR238" s="1"/>
      <c r="AQS238" s="1"/>
      <c r="AQT238" s="1"/>
      <c r="AQU238" s="1"/>
      <c r="AQV238" s="1"/>
      <c r="AQW238" s="1"/>
      <c r="AQX238" s="1"/>
      <c r="AQY238" s="1"/>
      <c r="AQZ238" s="1"/>
      <c r="ARA238" s="1"/>
      <c r="ARB238" s="1"/>
      <c r="ARC238" s="1"/>
      <c r="ARD238" s="1"/>
      <c r="ARE238" s="1"/>
      <c r="ARF238" s="1"/>
      <c r="ARG238" s="1"/>
      <c r="ARH238" s="1"/>
      <c r="ARI238" s="1"/>
      <c r="ARJ238" s="1"/>
      <c r="ARK238" s="1"/>
      <c r="ARL238" s="1"/>
      <c r="ARM238" s="1"/>
      <c r="ARN238" s="1"/>
      <c r="ARO238" s="1"/>
      <c r="ARP238" s="1"/>
      <c r="ARQ238" s="1"/>
      <c r="ARR238" s="1"/>
      <c r="ARS238" s="1"/>
      <c r="ART238" s="1"/>
      <c r="ARU238" s="1"/>
      <c r="ARV238" s="1"/>
      <c r="ARW238" s="1"/>
      <c r="ARX238" s="1"/>
      <c r="ARY238" s="1"/>
      <c r="ARZ238" s="1"/>
      <c r="ASA238" s="1"/>
      <c r="ASB238" s="1"/>
      <c r="ASC238" s="1"/>
      <c r="ASD238" s="1"/>
      <c r="ASE238" s="1"/>
      <c r="ASF238" s="1"/>
      <c r="ASG238" s="1"/>
      <c r="ASH238" s="1"/>
      <c r="ASI238" s="1"/>
      <c r="ASJ238" s="1"/>
      <c r="ASK238" s="1"/>
      <c r="ASL238" s="1"/>
      <c r="ASM238" s="1"/>
      <c r="ASN238" s="1"/>
      <c r="ASO238" s="1"/>
      <c r="ASP238" s="1"/>
      <c r="ASQ238" s="1"/>
      <c r="ASR238" s="1"/>
      <c r="ASS238" s="1"/>
      <c r="AST238" s="1"/>
      <c r="ASU238" s="1"/>
      <c r="ASV238" s="1"/>
      <c r="ASW238" s="1"/>
      <c r="ASX238" s="1"/>
      <c r="ASY238" s="1"/>
      <c r="ASZ238" s="1"/>
      <c r="ATA238" s="1"/>
      <c r="ATB238" s="1"/>
      <c r="ATC238" s="1"/>
      <c r="ATD238" s="1"/>
      <c r="ATE238" s="1"/>
      <c r="ATF238" s="1"/>
      <c r="ATG238" s="1"/>
      <c r="ATH238" s="1"/>
      <c r="ATI238" s="1"/>
      <c r="ATJ238" s="1"/>
      <c r="ATK238" s="1"/>
      <c r="ATL238" s="1"/>
      <c r="ATM238" s="1"/>
      <c r="ATN238" s="1"/>
      <c r="ATO238" s="1"/>
      <c r="ATP238" s="1"/>
      <c r="ATQ238" s="1"/>
      <c r="ATR238" s="1"/>
      <c r="ATS238" s="1"/>
      <c r="ATT238" s="1"/>
      <c r="ATU238" s="1"/>
      <c r="ATV238" s="1"/>
      <c r="ATW238" s="1"/>
      <c r="ATX238" s="1"/>
      <c r="ATY238" s="1"/>
      <c r="ATZ238" s="1"/>
      <c r="AUA238" s="1"/>
      <c r="AUB238" s="1"/>
      <c r="AUC238" s="1"/>
      <c r="AUD238" s="1"/>
      <c r="AUE238" s="1"/>
      <c r="AUF238" s="1"/>
      <c r="AUG238" s="1"/>
      <c r="AUH238" s="1"/>
      <c r="AUI238" s="1"/>
      <c r="AUJ238" s="1"/>
      <c r="AUK238" s="1"/>
      <c r="AUL238" s="1"/>
      <c r="AUM238" s="1"/>
      <c r="AUN238" s="1"/>
      <c r="AUO238" s="1"/>
      <c r="AUP238" s="1"/>
      <c r="AUQ238" s="1"/>
      <c r="AUR238" s="1"/>
      <c r="AUS238" s="1"/>
      <c r="AUT238" s="1"/>
      <c r="AUU238" s="1"/>
      <c r="AUV238" s="1"/>
      <c r="AUW238" s="1"/>
      <c r="AUX238" s="1"/>
      <c r="AUY238" s="1"/>
      <c r="AUZ238" s="1"/>
      <c r="AVA238" s="1"/>
      <c r="AVB238" s="1"/>
      <c r="AVC238" s="1"/>
      <c r="AVD238" s="1"/>
      <c r="AVE238" s="1"/>
      <c r="AVF238" s="1"/>
      <c r="AVG238" s="1"/>
      <c r="AVH238" s="1"/>
      <c r="AVI238" s="1"/>
      <c r="AVJ238" s="1"/>
      <c r="AVK238" s="1"/>
      <c r="AVL238" s="1"/>
      <c r="AVM238" s="1"/>
      <c r="AVN238" s="1"/>
      <c r="AVO238" s="1"/>
      <c r="AVP238" s="1"/>
      <c r="AVQ238" s="1"/>
      <c r="AVR238" s="1"/>
      <c r="AVS238" s="1"/>
      <c r="AVT238" s="1"/>
      <c r="AVU238" s="1"/>
      <c r="AVV238" s="1"/>
      <c r="AVW238" s="1"/>
      <c r="AVX238" s="1"/>
      <c r="AVY238" s="1"/>
      <c r="AVZ238" s="1"/>
      <c r="AWA238" s="1"/>
      <c r="AWB238" s="1"/>
      <c r="AWC238" s="1"/>
      <c r="AWD238" s="1"/>
      <c r="AWE238" s="1"/>
      <c r="AWF238" s="1"/>
      <c r="AWG238" s="1"/>
      <c r="AWH238" s="1"/>
      <c r="AWI238" s="1"/>
      <c r="AWJ238" s="1"/>
      <c r="AWK238" s="1"/>
      <c r="AWL238" s="1"/>
      <c r="AWM238" s="1"/>
      <c r="AWN238" s="1"/>
      <c r="AWO238" s="1"/>
      <c r="AWP238" s="1"/>
      <c r="AWQ238" s="1"/>
      <c r="AWR238" s="1"/>
      <c r="AWS238" s="1"/>
      <c r="AWT238" s="1"/>
      <c r="AWU238" s="1"/>
      <c r="AWV238" s="1"/>
      <c r="AWW238" s="1"/>
      <c r="AWX238" s="1"/>
      <c r="AWY238" s="1"/>
      <c r="AWZ238" s="1"/>
      <c r="AXA238" s="1"/>
      <c r="AXB238" s="1"/>
      <c r="AXC238" s="1"/>
      <c r="AXD238" s="1"/>
      <c r="AXE238" s="1"/>
      <c r="AXF238" s="1"/>
      <c r="AXG238" s="1"/>
      <c r="AXH238" s="1"/>
      <c r="AXI238" s="1"/>
      <c r="AXJ238" s="1"/>
      <c r="AXK238" s="1"/>
      <c r="AXL238" s="1"/>
      <c r="AXM238" s="1"/>
      <c r="AXN238" s="1"/>
      <c r="AXO238" s="1"/>
      <c r="AXP238" s="1"/>
      <c r="AXQ238" s="1"/>
      <c r="AXR238" s="1"/>
      <c r="AXS238" s="1"/>
      <c r="AXT238" s="1"/>
      <c r="AXU238" s="1"/>
      <c r="AXV238" s="1"/>
      <c r="AXW238" s="1"/>
      <c r="AXX238" s="1"/>
      <c r="AXY238" s="1"/>
      <c r="AXZ238" s="1"/>
      <c r="AYA238" s="1"/>
      <c r="AYB238" s="1"/>
      <c r="AYC238" s="1"/>
      <c r="AYD238" s="1"/>
      <c r="AYE238" s="1"/>
      <c r="AYF238" s="1"/>
      <c r="AYG238" s="1"/>
      <c r="AYH238" s="1"/>
      <c r="AYI238" s="1"/>
      <c r="AYJ238" s="1"/>
      <c r="AYK238" s="1"/>
      <c r="AYL238" s="1"/>
      <c r="AYM238" s="1"/>
      <c r="AYN238" s="1"/>
      <c r="AYO238" s="1"/>
      <c r="AYP238" s="1"/>
      <c r="AYQ238" s="1"/>
      <c r="AYR238" s="1"/>
      <c r="AYS238" s="1"/>
      <c r="AYT238" s="1"/>
      <c r="AYU238" s="1"/>
      <c r="AYV238" s="1"/>
      <c r="AYW238" s="1"/>
      <c r="AYX238" s="1"/>
      <c r="AYY238" s="1"/>
      <c r="AYZ238" s="1"/>
      <c r="AZA238" s="1"/>
      <c r="AZB238" s="1"/>
      <c r="AZC238" s="1"/>
      <c r="AZD238" s="1"/>
      <c r="AZE238" s="1"/>
      <c r="AZF238" s="1"/>
      <c r="AZG238" s="1"/>
      <c r="AZH238" s="1"/>
      <c r="AZI238" s="1"/>
      <c r="AZJ238" s="1"/>
      <c r="AZK238" s="1"/>
      <c r="AZL238" s="1"/>
      <c r="AZM238" s="1"/>
      <c r="AZN238" s="1"/>
      <c r="AZO238" s="1"/>
      <c r="AZP238" s="1"/>
      <c r="AZQ238" s="1"/>
      <c r="AZR238" s="1"/>
      <c r="AZS238" s="1"/>
      <c r="AZT238" s="1"/>
      <c r="AZU238" s="1"/>
      <c r="AZV238" s="1"/>
      <c r="AZW238" s="1"/>
      <c r="AZX238" s="1"/>
      <c r="AZY238" s="1"/>
      <c r="AZZ238" s="1"/>
      <c r="BAA238" s="1"/>
      <c r="BAB238" s="1"/>
      <c r="BAC238" s="1"/>
      <c r="BAD238" s="1"/>
      <c r="BAE238" s="1"/>
      <c r="BAF238" s="1"/>
      <c r="BAG238" s="1"/>
      <c r="BAH238" s="1"/>
      <c r="BAI238" s="1"/>
      <c r="BAJ238" s="1"/>
      <c r="BAK238" s="1"/>
      <c r="BAL238" s="1"/>
      <c r="BAM238" s="1"/>
      <c r="BAN238" s="1"/>
      <c r="BAO238" s="1"/>
      <c r="BAP238" s="1"/>
      <c r="BAQ238" s="1"/>
      <c r="BAR238" s="1"/>
      <c r="BAS238" s="1"/>
      <c r="BAT238" s="1"/>
      <c r="BAU238" s="1"/>
      <c r="BAV238" s="1"/>
      <c r="BAW238" s="1"/>
      <c r="BAX238" s="1"/>
      <c r="BAY238" s="1"/>
      <c r="BAZ238" s="1"/>
      <c r="BBA238" s="1"/>
      <c r="BBB238" s="1"/>
      <c r="BBC238" s="1"/>
      <c r="BBD238" s="1"/>
      <c r="BBE238" s="1"/>
      <c r="BBF238" s="1"/>
      <c r="BBG238" s="1"/>
      <c r="BBH238" s="1"/>
      <c r="BBI238" s="1"/>
      <c r="BBJ238" s="1"/>
      <c r="BBK238" s="1"/>
      <c r="BBL238" s="1"/>
      <c r="BBM238" s="1"/>
      <c r="BBN238" s="1"/>
      <c r="BBO238" s="1"/>
      <c r="BBP238" s="1"/>
      <c r="BBQ238" s="1"/>
      <c r="BBR238" s="1"/>
      <c r="BBS238" s="1"/>
      <c r="BBT238" s="1"/>
      <c r="BBU238" s="1"/>
      <c r="BBV238" s="1"/>
      <c r="BBW238" s="1"/>
      <c r="BBX238" s="1"/>
      <c r="BBY238" s="1"/>
      <c r="BBZ238" s="1"/>
      <c r="BCA238" s="1"/>
      <c r="BCB238" s="1"/>
      <c r="BCC238" s="1"/>
      <c r="BCD238" s="1"/>
      <c r="BCE238" s="1"/>
      <c r="BCF238" s="1"/>
      <c r="BCG238" s="1"/>
      <c r="BCH238" s="1"/>
      <c r="BCI238" s="1"/>
      <c r="BCJ238" s="1"/>
      <c r="BCK238" s="1"/>
      <c r="BCL238" s="1"/>
      <c r="BCM238" s="1"/>
      <c r="BCN238" s="1"/>
      <c r="BCO238" s="1"/>
      <c r="BCP238" s="1"/>
      <c r="BCQ238" s="1"/>
      <c r="BCR238" s="1"/>
      <c r="BCS238" s="1"/>
      <c r="BCT238" s="1"/>
      <c r="BCU238" s="1"/>
      <c r="BCV238" s="1"/>
      <c r="BCW238" s="1"/>
      <c r="BCX238" s="1"/>
      <c r="BCY238" s="1"/>
      <c r="BCZ238" s="1"/>
      <c r="BDA238" s="1"/>
      <c r="BDB238" s="1"/>
      <c r="BDC238" s="1"/>
      <c r="BDD238" s="1"/>
      <c r="BDE238" s="1"/>
      <c r="BDF238" s="1"/>
      <c r="BDG238" s="1"/>
      <c r="BDH238" s="1"/>
      <c r="BDI238" s="1"/>
      <c r="BDJ238" s="1"/>
      <c r="BDK238" s="1"/>
      <c r="BDL238" s="1"/>
      <c r="BDM238" s="1"/>
      <c r="BDN238" s="1"/>
      <c r="BDO238" s="1"/>
      <c r="BDP238" s="1"/>
      <c r="BDQ238" s="1"/>
      <c r="BDR238" s="1"/>
      <c r="BDS238" s="1"/>
      <c r="BDT238" s="1"/>
      <c r="BDU238" s="1"/>
      <c r="BDV238" s="1"/>
      <c r="BDW238" s="1"/>
      <c r="BDX238" s="1"/>
      <c r="BDY238" s="1"/>
      <c r="BDZ238" s="1"/>
      <c r="BEA238" s="1"/>
      <c r="BEB238" s="1"/>
      <c r="BEC238" s="1"/>
      <c r="BED238" s="1"/>
      <c r="BEE238" s="1"/>
      <c r="BEF238" s="1"/>
      <c r="BEG238" s="1"/>
      <c r="BEH238" s="1"/>
      <c r="BEI238" s="1"/>
      <c r="BEJ238" s="1"/>
      <c r="BEK238" s="1"/>
      <c r="BEL238" s="1"/>
      <c r="BEM238" s="1"/>
      <c r="BEN238" s="1"/>
      <c r="BEO238" s="1"/>
      <c r="BEP238" s="1"/>
      <c r="BEQ238" s="1"/>
      <c r="BER238" s="1"/>
      <c r="BES238" s="1"/>
      <c r="BET238" s="1"/>
      <c r="BEU238" s="1"/>
      <c r="BEV238" s="1"/>
      <c r="BEW238" s="1"/>
      <c r="BEX238" s="1"/>
      <c r="BEY238" s="1"/>
      <c r="BEZ238" s="1"/>
      <c r="BFA238" s="1"/>
      <c r="BFB238" s="1"/>
      <c r="BFC238" s="1"/>
      <c r="BFD238" s="1"/>
      <c r="BFE238" s="1"/>
      <c r="BFF238" s="1"/>
      <c r="BFG238" s="1"/>
      <c r="BFH238" s="1"/>
      <c r="BFI238" s="1"/>
      <c r="BFJ238" s="1"/>
      <c r="BFK238" s="1"/>
      <c r="BFL238" s="1"/>
      <c r="BFM238" s="1"/>
      <c r="BFN238" s="1"/>
      <c r="BFO238" s="1"/>
      <c r="BFP238" s="1"/>
      <c r="BFQ238" s="1"/>
      <c r="BFR238" s="1"/>
      <c r="BFS238" s="1"/>
      <c r="BFT238" s="1"/>
      <c r="BFU238" s="1"/>
      <c r="BFV238" s="1"/>
      <c r="BFW238" s="1"/>
      <c r="BFX238" s="1"/>
      <c r="BFY238" s="1"/>
      <c r="BFZ238" s="1"/>
      <c r="BGA238" s="1"/>
      <c r="BGB238" s="1"/>
      <c r="BGC238" s="1"/>
      <c r="BGD238" s="1"/>
      <c r="BGE238" s="1"/>
      <c r="BGF238" s="1"/>
      <c r="BGG238" s="1"/>
      <c r="BGH238" s="1"/>
      <c r="BGI238" s="1"/>
      <c r="BGJ238" s="1"/>
      <c r="BGK238" s="1"/>
      <c r="BGL238" s="1"/>
      <c r="BGM238" s="1"/>
      <c r="BGN238" s="1"/>
      <c r="BGO238" s="1"/>
      <c r="BGP238" s="1"/>
      <c r="BGQ238" s="1"/>
      <c r="BGR238" s="1"/>
      <c r="BGS238" s="1"/>
      <c r="BGT238" s="1"/>
      <c r="BGU238" s="1"/>
      <c r="BGV238" s="1"/>
      <c r="BGW238" s="1"/>
      <c r="BGX238" s="1"/>
      <c r="BGY238" s="1"/>
      <c r="BGZ238" s="1"/>
      <c r="BHA238" s="1"/>
      <c r="BHB238" s="1"/>
      <c r="BHC238" s="1"/>
      <c r="BHD238" s="1"/>
      <c r="BHE238" s="1"/>
      <c r="BHF238" s="1"/>
      <c r="BHG238" s="1"/>
      <c r="BHH238" s="1"/>
      <c r="BHI238" s="1"/>
      <c r="BHJ238" s="1"/>
      <c r="BHK238" s="1"/>
      <c r="BHL238" s="1"/>
      <c r="BHM238" s="1"/>
      <c r="BHN238" s="1"/>
      <c r="BHO238" s="1"/>
      <c r="BHP238" s="1"/>
      <c r="BHQ238" s="1"/>
      <c r="BHR238" s="1"/>
      <c r="BHS238" s="1"/>
      <c r="BHT238" s="1"/>
      <c r="BHU238" s="1"/>
      <c r="BHV238" s="1"/>
      <c r="BHW238" s="1"/>
      <c r="BHX238" s="1"/>
      <c r="BHY238" s="1"/>
      <c r="BHZ238" s="1"/>
      <c r="BIA238" s="1"/>
      <c r="BIB238" s="1"/>
      <c r="BIC238" s="1"/>
      <c r="BID238" s="1"/>
      <c r="BIE238" s="1"/>
      <c r="BIF238" s="1"/>
      <c r="BIG238" s="1"/>
      <c r="BIH238" s="1"/>
      <c r="BII238" s="1"/>
      <c r="BIJ238" s="1"/>
      <c r="BIK238" s="1"/>
      <c r="BIL238" s="1"/>
      <c r="BIM238" s="1"/>
      <c r="BIN238" s="1"/>
      <c r="BIO238" s="1"/>
      <c r="BIP238" s="1"/>
      <c r="BIQ238" s="1"/>
      <c r="BIR238" s="1"/>
      <c r="BIS238" s="1"/>
      <c r="BIT238" s="1"/>
      <c r="BIU238" s="1"/>
      <c r="BIV238" s="1"/>
      <c r="BIW238" s="1"/>
      <c r="BIX238" s="1"/>
      <c r="BIY238" s="1"/>
      <c r="BIZ238" s="1"/>
      <c r="BJA238" s="1"/>
      <c r="BJB238" s="1"/>
      <c r="BJC238" s="1"/>
      <c r="BJD238" s="1"/>
      <c r="BJE238" s="1"/>
      <c r="BJF238" s="1"/>
      <c r="BJG238" s="1"/>
      <c r="BJH238" s="1"/>
      <c r="BJI238" s="1"/>
      <c r="BJJ238" s="1"/>
      <c r="BJK238" s="1"/>
      <c r="BJL238" s="1"/>
      <c r="BJM238" s="1"/>
      <c r="BJN238" s="1"/>
      <c r="BJO238" s="1"/>
      <c r="BJP238" s="1"/>
      <c r="BJQ238" s="1"/>
      <c r="BJR238" s="1"/>
      <c r="BJS238" s="1"/>
      <c r="BJT238" s="1"/>
      <c r="BJU238" s="1"/>
      <c r="BJV238" s="1"/>
      <c r="BJW238" s="1"/>
      <c r="BJX238" s="1"/>
      <c r="BJY238" s="1"/>
      <c r="BJZ238" s="1"/>
      <c r="BKA238" s="1"/>
      <c r="BKB238" s="1"/>
      <c r="BKC238" s="1"/>
      <c r="BKD238" s="1"/>
      <c r="BKE238" s="1"/>
      <c r="BKF238" s="1"/>
      <c r="BKG238" s="1"/>
      <c r="BKH238" s="1"/>
      <c r="BKI238" s="1"/>
      <c r="BKJ238" s="1"/>
      <c r="BKK238" s="1"/>
      <c r="BKL238" s="1"/>
      <c r="BKM238" s="1"/>
      <c r="BKN238" s="1"/>
      <c r="BKO238" s="1"/>
      <c r="BKP238" s="1"/>
      <c r="BKQ238" s="1"/>
      <c r="BKR238" s="1"/>
      <c r="BKS238" s="1"/>
      <c r="BKT238" s="1"/>
      <c r="BKU238" s="1"/>
      <c r="BKV238" s="1"/>
      <c r="BKW238" s="1"/>
      <c r="BKX238" s="1"/>
      <c r="BKY238" s="1"/>
      <c r="BKZ238" s="1"/>
      <c r="BLA238" s="1"/>
      <c r="BLB238" s="1"/>
      <c r="BLC238" s="1"/>
      <c r="BLD238" s="1"/>
      <c r="BLE238" s="1"/>
      <c r="BLF238" s="1"/>
      <c r="BLG238" s="1"/>
      <c r="BLH238" s="1"/>
      <c r="BLI238" s="1"/>
      <c r="BLJ238" s="1"/>
      <c r="BLK238" s="1"/>
      <c r="BLL238" s="1"/>
      <c r="BLM238" s="1"/>
      <c r="BLN238" s="1"/>
      <c r="BLO238" s="1"/>
      <c r="BLP238" s="1"/>
      <c r="BLQ238" s="1"/>
      <c r="BLR238" s="1"/>
      <c r="BLS238" s="1"/>
      <c r="BLT238" s="1"/>
      <c r="BLU238" s="1"/>
      <c r="BLV238" s="1"/>
      <c r="BLW238" s="1"/>
      <c r="BLX238" s="1"/>
      <c r="BLY238" s="1"/>
      <c r="BLZ238" s="1"/>
      <c r="BMA238" s="1"/>
      <c r="BMB238" s="1"/>
      <c r="BMC238" s="1"/>
      <c r="BMD238" s="1"/>
      <c r="BME238" s="1"/>
      <c r="BMF238" s="1"/>
      <c r="BMG238" s="1"/>
      <c r="BMH238" s="1"/>
      <c r="BMI238" s="1"/>
      <c r="BMJ238" s="1"/>
      <c r="BMK238" s="1"/>
      <c r="BML238" s="1"/>
      <c r="BMM238" s="1"/>
      <c r="BMN238" s="1"/>
      <c r="BMO238" s="1"/>
      <c r="BMP238" s="1"/>
      <c r="BMQ238" s="1"/>
      <c r="BMR238" s="1"/>
      <c r="BMS238" s="1"/>
      <c r="BMT238" s="1"/>
      <c r="BMU238" s="1"/>
      <c r="BMV238" s="1"/>
      <c r="BMW238" s="1"/>
      <c r="BMX238" s="1"/>
      <c r="BMY238" s="1"/>
      <c r="BMZ238" s="1"/>
      <c r="BNA238" s="1"/>
      <c r="BNB238" s="1"/>
      <c r="BNC238" s="1"/>
      <c r="BND238" s="1"/>
      <c r="BNE238" s="1"/>
      <c r="BNF238" s="1"/>
      <c r="BNG238" s="1"/>
      <c r="BNH238" s="1"/>
      <c r="BNI238" s="1"/>
      <c r="BNJ238" s="1"/>
      <c r="BNK238" s="1"/>
      <c r="BNL238" s="1"/>
      <c r="BNM238" s="1"/>
      <c r="BNN238" s="1"/>
      <c r="BNO238" s="1"/>
      <c r="BNP238" s="1"/>
      <c r="BNQ238" s="1"/>
      <c r="BNR238" s="1"/>
      <c r="BNS238" s="1"/>
      <c r="BNT238" s="1"/>
      <c r="BNU238" s="1"/>
      <c r="BNV238" s="1"/>
      <c r="BNW238" s="1"/>
      <c r="BNX238" s="1"/>
      <c r="BNY238" s="1"/>
      <c r="BNZ238" s="1"/>
      <c r="BOA238" s="1"/>
      <c r="BOB238" s="1"/>
      <c r="BOC238" s="1"/>
      <c r="BOD238" s="1"/>
      <c r="BOE238" s="1"/>
      <c r="BOF238" s="1"/>
      <c r="BOG238" s="1"/>
      <c r="BOH238" s="1"/>
      <c r="BOI238" s="1"/>
      <c r="BOJ238" s="1"/>
      <c r="BOK238" s="1"/>
      <c r="BOL238" s="1"/>
      <c r="BOM238" s="1"/>
      <c r="BON238" s="1"/>
      <c r="BOO238" s="1"/>
      <c r="BOP238" s="1"/>
      <c r="BOQ238" s="1"/>
      <c r="BOR238" s="1"/>
      <c r="BOS238" s="1"/>
      <c r="BOT238" s="1"/>
      <c r="BOU238" s="1"/>
      <c r="BOV238" s="1"/>
      <c r="BOW238" s="1"/>
      <c r="BOX238" s="1"/>
      <c r="BOY238" s="1"/>
      <c r="BOZ238" s="1"/>
      <c r="BPA238" s="1"/>
      <c r="BPB238" s="1"/>
      <c r="BPC238" s="1"/>
      <c r="BPD238" s="1"/>
      <c r="BPE238" s="1"/>
      <c r="BPF238" s="1"/>
      <c r="BPG238" s="1"/>
      <c r="BPH238" s="1"/>
      <c r="BPI238" s="1"/>
      <c r="BPJ238" s="1"/>
      <c r="BPK238" s="1"/>
      <c r="BPL238" s="1"/>
      <c r="BPM238" s="1"/>
      <c r="BPN238" s="1"/>
      <c r="BPO238" s="1"/>
      <c r="BPP238" s="1"/>
      <c r="BPQ238" s="1"/>
      <c r="BPR238" s="1"/>
      <c r="BPS238" s="1"/>
      <c r="BPT238" s="1"/>
      <c r="BPU238" s="1"/>
      <c r="BPV238" s="1"/>
      <c r="BPW238" s="1"/>
      <c r="BPX238" s="1"/>
      <c r="BPY238" s="1"/>
      <c r="BPZ238" s="1"/>
      <c r="BQA238" s="1"/>
      <c r="BQB238" s="1"/>
      <c r="BQC238" s="1"/>
      <c r="BQD238" s="1"/>
      <c r="BQE238" s="1"/>
      <c r="BQF238" s="1"/>
      <c r="BQG238" s="1"/>
      <c r="BQH238" s="1"/>
      <c r="BQI238" s="1"/>
      <c r="BQJ238" s="1"/>
      <c r="BQK238" s="1"/>
      <c r="BQL238" s="1"/>
      <c r="BQM238" s="1"/>
      <c r="BQN238" s="1"/>
      <c r="BQO238" s="1"/>
      <c r="BQP238" s="1"/>
      <c r="BQQ238" s="1"/>
      <c r="BQR238" s="1"/>
      <c r="BQS238" s="1"/>
      <c r="BQT238" s="1"/>
      <c r="BQU238" s="1"/>
      <c r="BQV238" s="1"/>
      <c r="BQW238" s="1"/>
      <c r="BQX238" s="1"/>
      <c r="BQY238" s="1"/>
      <c r="BQZ238" s="1"/>
      <c r="BRA238" s="1"/>
      <c r="BRB238" s="1"/>
      <c r="BRC238" s="1"/>
      <c r="BRD238" s="1"/>
      <c r="BRE238" s="1"/>
      <c r="BRF238" s="1"/>
      <c r="BRG238" s="1"/>
      <c r="BRH238" s="1"/>
      <c r="BRI238" s="1"/>
      <c r="BRJ238" s="1"/>
      <c r="BRK238" s="1"/>
      <c r="BRL238" s="1"/>
      <c r="BRM238" s="1"/>
      <c r="BRN238" s="1"/>
      <c r="BRO238" s="1"/>
      <c r="BRP238" s="1"/>
      <c r="BRQ238" s="1"/>
      <c r="BRR238" s="1"/>
      <c r="BRS238" s="1"/>
      <c r="BRT238" s="1"/>
      <c r="BRU238" s="1"/>
      <c r="BRV238" s="1"/>
      <c r="BRW238" s="1"/>
      <c r="BRX238" s="1"/>
      <c r="BRY238" s="1"/>
      <c r="BRZ238" s="1"/>
      <c r="BSA238" s="1"/>
      <c r="BSB238" s="1"/>
      <c r="BSC238" s="1"/>
      <c r="BSD238" s="1"/>
      <c r="BSE238" s="1"/>
      <c r="BSF238" s="1"/>
      <c r="BSG238" s="1"/>
      <c r="BSH238" s="1"/>
      <c r="BSI238" s="1"/>
      <c r="BSJ238" s="1"/>
      <c r="BSK238" s="1"/>
      <c r="BSL238" s="1"/>
      <c r="BSM238" s="1"/>
      <c r="BSN238" s="1"/>
      <c r="BSO238" s="1"/>
      <c r="BSP238" s="1"/>
      <c r="BSQ238" s="1"/>
      <c r="BSR238" s="1"/>
      <c r="BSS238" s="1"/>
      <c r="BST238" s="1"/>
      <c r="BSU238" s="1"/>
      <c r="BSV238" s="1"/>
      <c r="BSW238" s="1"/>
      <c r="BSX238" s="1"/>
      <c r="BSY238" s="1"/>
      <c r="BSZ238" s="1"/>
      <c r="BTA238" s="1"/>
      <c r="BTB238" s="1"/>
      <c r="BTC238" s="1"/>
      <c r="BTD238" s="1"/>
      <c r="BTE238" s="1"/>
      <c r="BTF238" s="1"/>
      <c r="BTG238" s="1"/>
      <c r="BTH238" s="1"/>
      <c r="BTI238" s="1"/>
      <c r="BTJ238" s="1"/>
      <c r="BTK238" s="1"/>
      <c r="BTL238" s="1"/>
      <c r="BTM238" s="1"/>
      <c r="BTN238" s="1"/>
      <c r="BTO238" s="1"/>
      <c r="BTP238" s="1"/>
      <c r="BTQ238" s="1"/>
      <c r="BTR238" s="1"/>
      <c r="BTS238" s="1"/>
      <c r="BTT238" s="1"/>
      <c r="BTU238" s="1"/>
      <c r="BTV238" s="1"/>
      <c r="BTW238" s="1"/>
      <c r="BTX238" s="1"/>
      <c r="BTY238" s="1"/>
      <c r="BTZ238" s="1"/>
      <c r="BUA238" s="1"/>
      <c r="BUB238" s="1"/>
      <c r="BUC238" s="1"/>
      <c r="BUD238" s="1"/>
      <c r="BUE238" s="1"/>
      <c r="BUF238" s="1"/>
      <c r="BUG238" s="1"/>
      <c r="BUH238" s="1"/>
      <c r="BUI238" s="1"/>
      <c r="BUJ238" s="1"/>
      <c r="BUK238" s="1"/>
      <c r="BUL238" s="1"/>
      <c r="BUM238" s="1"/>
      <c r="BUN238" s="1"/>
      <c r="BUO238" s="1"/>
      <c r="BUP238" s="1"/>
      <c r="BUQ238" s="1"/>
      <c r="BUR238" s="1"/>
      <c r="BUS238" s="1"/>
      <c r="BUT238" s="1"/>
      <c r="BUU238" s="1"/>
      <c r="BUV238" s="1"/>
      <c r="BUW238" s="1"/>
      <c r="BUX238" s="1"/>
      <c r="BUY238" s="1"/>
      <c r="BUZ238" s="1"/>
      <c r="BVA238" s="1"/>
      <c r="BVB238" s="1"/>
      <c r="BVC238" s="1"/>
      <c r="BVD238" s="1"/>
      <c r="BVE238" s="1"/>
      <c r="BVF238" s="1"/>
      <c r="BVG238" s="1"/>
      <c r="BVH238" s="1"/>
      <c r="BVI238" s="1"/>
      <c r="BVJ238" s="1"/>
      <c r="BVK238" s="1"/>
      <c r="BVL238" s="1"/>
      <c r="BVM238" s="1"/>
      <c r="BVN238" s="1"/>
      <c r="BVO238" s="1"/>
      <c r="BVP238" s="1"/>
      <c r="BVQ238" s="1"/>
      <c r="BVR238" s="1"/>
      <c r="BVS238" s="1"/>
      <c r="BVT238" s="1"/>
      <c r="BVU238" s="1"/>
      <c r="BVV238" s="1"/>
      <c r="BVW238" s="1"/>
      <c r="BVX238" s="1"/>
      <c r="BVY238" s="1"/>
      <c r="BVZ238" s="1"/>
      <c r="BWA238" s="1"/>
      <c r="BWB238" s="1"/>
      <c r="BWC238" s="1"/>
      <c r="BWD238" s="1"/>
      <c r="BWE238" s="1"/>
      <c r="BWF238" s="1"/>
      <c r="BWG238" s="1"/>
      <c r="BWH238" s="1"/>
      <c r="BWI238" s="1"/>
      <c r="BWJ238" s="1"/>
      <c r="BWK238" s="1"/>
      <c r="BWL238" s="1"/>
      <c r="BWM238" s="1"/>
      <c r="BWN238" s="1"/>
      <c r="BWO238" s="1"/>
      <c r="BWP238" s="1"/>
      <c r="BWQ238" s="1"/>
      <c r="BWR238" s="1"/>
      <c r="BWS238" s="1"/>
      <c r="BWT238" s="1"/>
      <c r="BWU238" s="1"/>
      <c r="BWV238" s="1"/>
      <c r="BWW238" s="1"/>
      <c r="BWX238" s="1"/>
      <c r="BWY238" s="1"/>
      <c r="BWZ238" s="1"/>
      <c r="BXA238" s="1"/>
      <c r="BXB238" s="1"/>
      <c r="BXC238" s="1"/>
      <c r="BXD238" s="1"/>
      <c r="BXE238" s="1"/>
      <c r="BXF238" s="1"/>
      <c r="BXG238" s="1"/>
      <c r="BXH238" s="1"/>
      <c r="BXI238" s="1"/>
      <c r="BXJ238" s="1"/>
      <c r="BXK238" s="1"/>
      <c r="BXL238" s="1"/>
      <c r="BXM238" s="1"/>
      <c r="BXN238" s="1"/>
      <c r="BXO238" s="1"/>
      <c r="BXP238" s="1"/>
      <c r="BXQ238" s="1"/>
      <c r="BXR238" s="1"/>
      <c r="BXS238" s="1"/>
      <c r="BXT238" s="1"/>
      <c r="BXU238" s="1"/>
      <c r="BXV238" s="1"/>
      <c r="BXW238" s="1"/>
      <c r="BXX238" s="1"/>
      <c r="BXY238" s="1"/>
      <c r="BXZ238" s="1"/>
      <c r="BYA238" s="1"/>
      <c r="BYB238" s="1"/>
      <c r="BYC238" s="1"/>
      <c r="BYD238" s="1"/>
      <c r="BYE238" s="1"/>
      <c r="BYF238" s="1"/>
      <c r="BYG238" s="1"/>
      <c r="BYH238" s="1"/>
      <c r="BYI238" s="1"/>
      <c r="BYJ238" s="1"/>
      <c r="BYK238" s="1"/>
      <c r="BYL238" s="1"/>
      <c r="BYM238" s="1"/>
      <c r="BYN238" s="1"/>
      <c r="BYO238" s="1"/>
      <c r="BYP238" s="1"/>
      <c r="BYQ238" s="1"/>
      <c r="BYR238" s="1"/>
      <c r="BYS238" s="1"/>
      <c r="BYT238" s="1"/>
      <c r="BYU238" s="1"/>
      <c r="BYV238" s="1"/>
      <c r="BYW238" s="1"/>
      <c r="BYX238" s="1"/>
      <c r="BYY238" s="1"/>
      <c r="BYZ238" s="1"/>
      <c r="BZA238" s="1"/>
      <c r="BZB238" s="1"/>
      <c r="BZC238" s="1"/>
      <c r="BZD238" s="1"/>
      <c r="BZE238" s="1"/>
      <c r="BZF238" s="1"/>
      <c r="BZG238" s="1"/>
      <c r="BZH238" s="1"/>
      <c r="BZI238" s="1"/>
      <c r="BZJ238" s="1"/>
      <c r="BZK238" s="1"/>
      <c r="BZL238" s="1"/>
      <c r="BZM238" s="1"/>
      <c r="BZN238" s="1"/>
      <c r="BZO238" s="1"/>
      <c r="BZP238" s="1"/>
      <c r="BZQ238" s="1"/>
      <c r="BZR238" s="1"/>
      <c r="BZS238" s="1"/>
      <c r="BZT238" s="1"/>
      <c r="BZU238" s="1"/>
      <c r="BZV238" s="1"/>
      <c r="BZW238" s="1"/>
      <c r="BZX238" s="1"/>
      <c r="BZY238" s="1"/>
      <c r="BZZ238" s="1"/>
      <c r="CAA238" s="1"/>
      <c r="CAB238" s="1"/>
      <c r="CAC238" s="1"/>
      <c r="CAD238" s="1"/>
      <c r="CAE238" s="1"/>
      <c r="CAF238" s="1"/>
      <c r="CAG238" s="1"/>
      <c r="CAH238" s="1"/>
      <c r="CAI238" s="1"/>
      <c r="CAJ238" s="1"/>
      <c r="CAK238" s="1"/>
      <c r="CAL238" s="1"/>
      <c r="CAM238" s="1"/>
      <c r="CAN238" s="1"/>
      <c r="CAO238" s="1"/>
      <c r="CAP238" s="1"/>
      <c r="CAQ238" s="1"/>
      <c r="CAR238" s="1"/>
      <c r="CAS238" s="1"/>
      <c r="CAT238" s="1"/>
      <c r="CAU238" s="1"/>
      <c r="CAV238" s="1"/>
      <c r="CAW238" s="1"/>
      <c r="CAX238" s="1"/>
      <c r="CAY238" s="1"/>
      <c r="CAZ238" s="1"/>
      <c r="CBA238" s="1"/>
      <c r="CBB238" s="1"/>
      <c r="CBC238" s="1"/>
      <c r="CBD238" s="1"/>
      <c r="CBE238" s="1"/>
      <c r="CBF238" s="1"/>
      <c r="CBG238" s="1"/>
      <c r="CBH238" s="1"/>
      <c r="CBI238" s="1"/>
      <c r="CBJ238" s="1"/>
      <c r="CBK238" s="1"/>
      <c r="CBL238" s="1"/>
      <c r="CBM238" s="1"/>
      <c r="CBN238" s="1"/>
      <c r="CBO238" s="1"/>
      <c r="CBP238" s="1"/>
      <c r="CBQ238" s="1"/>
      <c r="CBR238" s="1"/>
      <c r="CBS238" s="1"/>
      <c r="CBT238" s="1"/>
      <c r="CBU238" s="1"/>
      <c r="CBV238" s="1"/>
      <c r="CBW238" s="1"/>
      <c r="CBX238" s="1"/>
      <c r="CBY238" s="1"/>
      <c r="CBZ238" s="1"/>
      <c r="CCA238" s="1"/>
      <c r="CCB238" s="1"/>
      <c r="CCC238" s="1"/>
      <c r="CCD238" s="1"/>
      <c r="CCE238" s="1"/>
      <c r="CCF238" s="1"/>
      <c r="CCG238" s="1"/>
      <c r="CCH238" s="1"/>
      <c r="CCI238" s="1"/>
      <c r="CCJ238" s="1"/>
      <c r="CCK238" s="1"/>
      <c r="CCL238" s="1"/>
      <c r="CCM238" s="1"/>
      <c r="CCN238" s="1"/>
      <c r="CCO238" s="1"/>
      <c r="CCP238" s="1"/>
      <c r="CCQ238" s="1"/>
      <c r="CCR238" s="1"/>
      <c r="CCS238" s="1"/>
      <c r="CCT238" s="1"/>
      <c r="CCU238" s="1"/>
      <c r="CCV238" s="1"/>
      <c r="CCW238" s="1"/>
      <c r="CCX238" s="1"/>
      <c r="CCY238" s="1"/>
      <c r="CCZ238" s="1"/>
      <c r="CDA238" s="1"/>
      <c r="CDB238" s="1"/>
      <c r="CDC238" s="1"/>
      <c r="CDD238" s="1"/>
      <c r="CDE238" s="1"/>
      <c r="CDF238" s="1"/>
      <c r="CDG238" s="1"/>
      <c r="CDH238" s="1"/>
      <c r="CDI238" s="1"/>
      <c r="CDJ238" s="1"/>
      <c r="CDK238" s="1"/>
      <c r="CDL238" s="1"/>
      <c r="CDM238" s="1"/>
      <c r="CDN238" s="1"/>
      <c r="CDO238" s="1"/>
      <c r="CDP238" s="1"/>
      <c r="CDQ238" s="1"/>
      <c r="CDR238" s="1"/>
      <c r="CDS238" s="1"/>
      <c r="CDT238" s="1"/>
      <c r="CDU238" s="1"/>
      <c r="CDV238" s="1"/>
      <c r="CDW238" s="1"/>
      <c r="CDX238" s="1"/>
      <c r="CDY238" s="1"/>
      <c r="CDZ238" s="1"/>
      <c r="CEA238" s="1"/>
      <c r="CEB238" s="1"/>
      <c r="CEC238" s="1"/>
      <c r="CED238" s="1"/>
      <c r="CEE238" s="1"/>
      <c r="CEF238" s="1"/>
      <c r="CEG238" s="1"/>
      <c r="CEH238" s="1"/>
      <c r="CEI238" s="1"/>
      <c r="CEJ238" s="1"/>
      <c r="CEK238" s="1"/>
      <c r="CEL238" s="1"/>
      <c r="CEM238" s="1"/>
      <c r="CEN238" s="1"/>
      <c r="CEO238" s="1"/>
      <c r="CEP238" s="1"/>
      <c r="CEQ238" s="1"/>
      <c r="CER238" s="1"/>
      <c r="CES238" s="1"/>
      <c r="CET238" s="1"/>
      <c r="CEU238" s="1"/>
      <c r="CEV238" s="1"/>
      <c r="CEW238" s="1"/>
      <c r="CEX238" s="1"/>
      <c r="CEY238" s="1"/>
      <c r="CEZ238" s="1"/>
      <c r="CFA238" s="1"/>
      <c r="CFB238" s="1"/>
      <c r="CFC238" s="1"/>
      <c r="CFD238" s="1"/>
      <c r="CFE238" s="1"/>
      <c r="CFF238" s="1"/>
      <c r="CFG238" s="1"/>
      <c r="CFH238" s="1"/>
      <c r="CFI238" s="1"/>
      <c r="CFJ238" s="1"/>
      <c r="CFK238" s="1"/>
      <c r="CFL238" s="1"/>
      <c r="CFM238" s="1"/>
      <c r="CFN238" s="1"/>
      <c r="CFO238" s="1"/>
      <c r="CFP238" s="1"/>
      <c r="CFQ238" s="1"/>
      <c r="CFR238" s="1"/>
      <c r="CFS238" s="1"/>
      <c r="CFT238" s="1"/>
      <c r="CFU238" s="1"/>
      <c r="CFV238" s="1"/>
      <c r="CFW238" s="1"/>
      <c r="CFX238" s="1"/>
      <c r="CFY238" s="1"/>
      <c r="CFZ238" s="1"/>
      <c r="CGA238" s="1"/>
      <c r="CGB238" s="1"/>
      <c r="CGC238" s="1"/>
      <c r="CGD238" s="1"/>
      <c r="CGE238" s="1"/>
      <c r="CGF238" s="1"/>
      <c r="CGG238" s="1"/>
      <c r="CGH238" s="1"/>
      <c r="CGI238" s="1"/>
      <c r="CGJ238" s="1"/>
      <c r="CGK238" s="1"/>
      <c r="CGL238" s="1"/>
      <c r="CGM238" s="1"/>
      <c r="CGN238" s="1"/>
      <c r="CGO238" s="1"/>
      <c r="CGP238" s="1"/>
      <c r="CGQ238" s="1"/>
      <c r="CGR238" s="1"/>
      <c r="CGS238" s="1"/>
      <c r="CGT238" s="1"/>
      <c r="CGU238" s="1"/>
      <c r="CGV238" s="1"/>
      <c r="CGW238" s="1"/>
      <c r="CGX238" s="1"/>
      <c r="CGY238" s="1"/>
      <c r="CGZ238" s="1"/>
      <c r="CHA238" s="1"/>
      <c r="CHB238" s="1"/>
      <c r="CHC238" s="1"/>
      <c r="CHD238" s="1"/>
      <c r="CHE238" s="1"/>
      <c r="CHF238" s="1"/>
      <c r="CHG238" s="1"/>
      <c r="CHH238" s="1"/>
      <c r="CHI238" s="1"/>
      <c r="CHJ238" s="1"/>
      <c r="CHK238" s="1"/>
      <c r="CHL238" s="1"/>
      <c r="CHM238" s="1"/>
      <c r="CHN238" s="1"/>
      <c r="CHO238" s="1"/>
      <c r="CHP238" s="1"/>
      <c r="CHQ238" s="1"/>
      <c r="CHR238" s="1"/>
      <c r="CHS238" s="1"/>
      <c r="CHT238" s="1"/>
      <c r="CHU238" s="1"/>
      <c r="CHV238" s="1"/>
      <c r="CHW238" s="1"/>
      <c r="CHX238" s="1"/>
      <c r="CHY238" s="1"/>
      <c r="CHZ238" s="1"/>
      <c r="CIA238" s="1"/>
      <c r="CIB238" s="1"/>
      <c r="CIC238" s="1"/>
      <c r="CID238" s="1"/>
      <c r="CIE238" s="1"/>
      <c r="CIF238" s="1"/>
      <c r="CIG238" s="1"/>
      <c r="CIH238" s="1"/>
      <c r="CII238" s="1"/>
      <c r="CIJ238" s="1"/>
      <c r="CIK238" s="1"/>
      <c r="CIL238" s="1"/>
      <c r="CIM238" s="1"/>
      <c r="CIN238" s="1"/>
      <c r="CIO238" s="1"/>
      <c r="CIP238" s="1"/>
      <c r="CIQ238" s="1"/>
      <c r="CIR238" s="1"/>
      <c r="CIS238" s="1"/>
      <c r="CIT238" s="1"/>
      <c r="CIU238" s="1"/>
      <c r="CIV238" s="1"/>
      <c r="CIW238" s="1"/>
      <c r="CIX238" s="1"/>
      <c r="CIY238" s="1"/>
      <c r="CIZ238" s="1"/>
      <c r="CJA238" s="1"/>
      <c r="CJB238" s="1"/>
      <c r="CJC238" s="1"/>
      <c r="CJD238" s="1"/>
      <c r="CJE238" s="1"/>
      <c r="CJF238" s="1"/>
      <c r="CJG238" s="1"/>
      <c r="CJH238" s="1"/>
      <c r="CJI238" s="1"/>
      <c r="CJJ238" s="1"/>
      <c r="CJK238" s="1"/>
      <c r="CJL238" s="1"/>
      <c r="CJM238" s="1"/>
      <c r="CJN238" s="1"/>
      <c r="CJO238" s="1"/>
      <c r="CJP238" s="1"/>
      <c r="CJQ238" s="1"/>
      <c r="CJR238" s="1"/>
      <c r="CJS238" s="1"/>
      <c r="CJT238" s="1"/>
      <c r="CJU238" s="1"/>
      <c r="CJV238" s="1"/>
      <c r="CJW238" s="1"/>
      <c r="CJX238" s="1"/>
      <c r="CJY238" s="1"/>
      <c r="CJZ238" s="1"/>
      <c r="CKA238" s="1"/>
      <c r="CKB238" s="1"/>
      <c r="CKC238" s="1"/>
      <c r="CKD238" s="1"/>
      <c r="CKE238" s="1"/>
      <c r="CKF238" s="1"/>
      <c r="CKG238" s="1"/>
      <c r="CKH238" s="1"/>
      <c r="CKI238" s="1"/>
      <c r="CKJ238" s="1"/>
      <c r="CKK238" s="1"/>
      <c r="CKL238" s="1"/>
      <c r="CKM238" s="1"/>
      <c r="CKN238" s="1"/>
      <c r="CKO238" s="1"/>
      <c r="CKP238" s="1"/>
      <c r="CKQ238" s="1"/>
      <c r="CKR238" s="1"/>
      <c r="CKS238" s="1"/>
      <c r="CKT238" s="1"/>
      <c r="CKU238" s="1"/>
      <c r="CKV238" s="1"/>
      <c r="CKW238" s="1"/>
      <c r="CKX238" s="1"/>
      <c r="CKY238" s="1"/>
      <c r="CKZ238" s="1"/>
      <c r="CLA238" s="1"/>
      <c r="CLB238" s="1"/>
      <c r="CLC238" s="1"/>
      <c r="CLD238" s="1"/>
      <c r="CLE238" s="1"/>
      <c r="CLF238" s="1"/>
      <c r="CLG238" s="1"/>
      <c r="CLH238" s="1"/>
      <c r="CLI238" s="1"/>
      <c r="CLJ238" s="1"/>
      <c r="CLK238" s="1"/>
      <c r="CLL238" s="1"/>
      <c r="CLM238" s="1"/>
      <c r="CLN238" s="1"/>
      <c r="CLO238" s="1"/>
      <c r="CLP238" s="1"/>
      <c r="CLQ238" s="1"/>
      <c r="CLR238" s="1"/>
      <c r="CLS238" s="1"/>
      <c r="CLT238" s="1"/>
      <c r="CLU238" s="1"/>
      <c r="CLV238" s="1"/>
      <c r="CLW238" s="1"/>
      <c r="CLX238" s="1"/>
      <c r="CLY238" s="1"/>
      <c r="CLZ238" s="1"/>
      <c r="CMA238" s="1"/>
      <c r="CMB238" s="1"/>
      <c r="CMC238" s="1"/>
      <c r="CMD238" s="1"/>
      <c r="CME238" s="1"/>
      <c r="CMF238" s="1"/>
      <c r="CMG238" s="1"/>
      <c r="CMH238" s="1"/>
      <c r="CMI238" s="1"/>
      <c r="CMJ238" s="1"/>
      <c r="CMK238" s="1"/>
      <c r="CML238" s="1"/>
      <c r="CMM238" s="1"/>
      <c r="CMN238" s="1"/>
      <c r="CMO238" s="1"/>
      <c r="CMP238" s="1"/>
      <c r="CMQ238" s="1"/>
      <c r="CMR238" s="1"/>
      <c r="CMS238" s="1"/>
      <c r="CMT238" s="1"/>
      <c r="CMU238" s="1"/>
      <c r="CMV238" s="1"/>
      <c r="CMW238" s="1"/>
      <c r="CMX238" s="1"/>
      <c r="CMY238" s="1"/>
      <c r="CMZ238" s="1"/>
      <c r="CNA238" s="1"/>
      <c r="CNB238" s="1"/>
      <c r="CNC238" s="1"/>
      <c r="CND238" s="1"/>
      <c r="CNE238" s="1"/>
      <c r="CNF238" s="1"/>
      <c r="CNG238" s="1"/>
      <c r="CNH238" s="1"/>
      <c r="CNI238" s="1"/>
      <c r="CNJ238" s="1"/>
      <c r="CNK238" s="1"/>
      <c r="CNL238" s="1"/>
      <c r="CNM238" s="1"/>
      <c r="CNN238" s="1"/>
      <c r="CNO238" s="1"/>
      <c r="CNP238" s="1"/>
      <c r="CNQ238" s="1"/>
      <c r="CNR238" s="1"/>
      <c r="CNS238" s="1"/>
      <c r="CNT238" s="1"/>
      <c r="CNU238" s="1"/>
      <c r="CNV238" s="1"/>
      <c r="CNW238" s="1"/>
      <c r="CNX238" s="1"/>
      <c r="CNY238" s="1"/>
      <c r="CNZ238" s="1"/>
      <c r="COA238" s="1"/>
      <c r="COB238" s="1"/>
      <c r="COC238" s="1"/>
      <c r="COD238" s="1"/>
      <c r="COE238" s="1"/>
      <c r="COF238" s="1"/>
      <c r="COG238" s="1"/>
      <c r="COH238" s="1"/>
      <c r="COI238" s="1"/>
      <c r="COJ238" s="1"/>
      <c r="COK238" s="1"/>
      <c r="COL238" s="1"/>
      <c r="COM238" s="1"/>
      <c r="CON238" s="1"/>
      <c r="COO238" s="1"/>
      <c r="COP238" s="1"/>
      <c r="COQ238" s="1"/>
      <c r="COR238" s="1"/>
      <c r="COS238" s="1"/>
      <c r="COT238" s="1"/>
      <c r="COU238" s="1"/>
      <c r="COV238" s="1"/>
      <c r="COW238" s="1"/>
      <c r="COX238" s="1"/>
      <c r="COY238" s="1"/>
      <c r="COZ238" s="1"/>
      <c r="CPA238" s="1"/>
      <c r="CPB238" s="1"/>
      <c r="CPC238" s="1"/>
      <c r="CPD238" s="1"/>
      <c r="CPE238" s="1"/>
      <c r="CPF238" s="1"/>
      <c r="CPG238" s="1"/>
      <c r="CPH238" s="1"/>
      <c r="CPI238" s="1"/>
      <c r="CPJ238" s="1"/>
      <c r="CPK238" s="1"/>
      <c r="CPL238" s="1"/>
      <c r="CPM238" s="1"/>
      <c r="CPN238" s="1"/>
      <c r="CPO238" s="1"/>
      <c r="CPP238" s="1"/>
      <c r="CPQ238" s="1"/>
      <c r="CPR238" s="1"/>
      <c r="CPS238" s="1"/>
      <c r="CPT238" s="1"/>
      <c r="CPU238" s="1"/>
      <c r="CPV238" s="1"/>
      <c r="CPW238" s="1"/>
      <c r="CPX238" s="1"/>
      <c r="CPY238" s="1"/>
      <c r="CPZ238" s="1"/>
      <c r="CQA238" s="1"/>
      <c r="CQB238" s="1"/>
      <c r="CQC238" s="1"/>
      <c r="CQD238" s="1"/>
      <c r="CQE238" s="1"/>
      <c r="CQF238" s="1"/>
      <c r="CQG238" s="1"/>
      <c r="CQH238" s="1"/>
      <c r="CQI238" s="1"/>
      <c r="CQJ238" s="1"/>
      <c r="CQK238" s="1"/>
      <c r="CQL238" s="1"/>
      <c r="CQM238" s="1"/>
      <c r="CQN238" s="1"/>
      <c r="CQO238" s="1"/>
      <c r="CQP238" s="1"/>
      <c r="CQQ238" s="1"/>
      <c r="CQR238" s="1"/>
      <c r="CQS238" s="1"/>
      <c r="CQT238" s="1"/>
      <c r="CQU238" s="1"/>
      <c r="CQV238" s="1"/>
      <c r="CQW238" s="1"/>
      <c r="CQX238" s="1"/>
      <c r="CQY238" s="1"/>
      <c r="CQZ238" s="1"/>
      <c r="CRA238" s="1"/>
      <c r="CRB238" s="1"/>
      <c r="CRC238" s="1"/>
      <c r="CRD238" s="1"/>
      <c r="CRE238" s="1"/>
      <c r="CRF238" s="1"/>
      <c r="CRG238" s="1"/>
      <c r="CRH238" s="1"/>
      <c r="CRI238" s="1"/>
      <c r="CRJ238" s="1"/>
      <c r="CRK238" s="1"/>
      <c r="CRL238" s="1"/>
      <c r="CRM238" s="1"/>
      <c r="CRN238" s="1"/>
      <c r="CRO238" s="1"/>
      <c r="CRP238" s="1"/>
      <c r="CRQ238" s="1"/>
      <c r="CRR238" s="1"/>
      <c r="CRS238" s="1"/>
      <c r="CRT238" s="1"/>
      <c r="CRU238" s="1"/>
      <c r="CRV238" s="1"/>
      <c r="CRW238" s="1"/>
      <c r="CRX238" s="1"/>
      <c r="CRY238" s="1"/>
      <c r="CRZ238" s="1"/>
      <c r="CSA238" s="1"/>
      <c r="CSB238" s="1"/>
      <c r="CSC238" s="1"/>
      <c r="CSD238" s="1"/>
      <c r="CSE238" s="1"/>
      <c r="CSF238" s="1"/>
      <c r="CSG238" s="1"/>
      <c r="CSH238" s="1"/>
      <c r="CSI238" s="1"/>
      <c r="CSJ238" s="1"/>
      <c r="CSK238" s="1"/>
      <c r="CSL238" s="1"/>
      <c r="CSM238" s="1"/>
      <c r="CSN238" s="1"/>
      <c r="CSO238" s="1"/>
      <c r="CSP238" s="1"/>
      <c r="CSQ238" s="1"/>
      <c r="CSR238" s="1"/>
      <c r="CSS238" s="1"/>
      <c r="CST238" s="1"/>
      <c r="CSU238" s="1"/>
      <c r="CSV238" s="1"/>
      <c r="CSW238" s="1"/>
      <c r="CSX238" s="1"/>
      <c r="CSY238" s="1"/>
      <c r="CSZ238" s="1"/>
      <c r="CTA238" s="1"/>
      <c r="CTB238" s="1"/>
      <c r="CTC238" s="1"/>
      <c r="CTD238" s="1"/>
      <c r="CTE238" s="1"/>
      <c r="CTF238" s="1"/>
      <c r="CTG238" s="1"/>
      <c r="CTH238" s="1"/>
      <c r="CTI238" s="1"/>
      <c r="CTJ238" s="1"/>
      <c r="CTK238" s="1"/>
      <c r="CTL238" s="1"/>
      <c r="CTM238" s="1"/>
      <c r="CTN238" s="1"/>
      <c r="CTO238" s="1"/>
      <c r="CTP238" s="1"/>
      <c r="CTQ238" s="1"/>
      <c r="CTR238" s="1"/>
      <c r="CTS238" s="1"/>
      <c r="CTT238" s="1"/>
      <c r="CTU238" s="1"/>
      <c r="CTV238" s="1"/>
      <c r="CTW238" s="1"/>
      <c r="CTX238" s="1"/>
      <c r="CTY238" s="1"/>
      <c r="CTZ238" s="1"/>
      <c r="CUA238" s="1"/>
      <c r="CUB238" s="1"/>
      <c r="CUC238" s="1"/>
      <c r="CUD238" s="1"/>
      <c r="CUE238" s="1"/>
      <c r="CUF238" s="1"/>
      <c r="CUG238" s="1"/>
      <c r="CUH238" s="1"/>
      <c r="CUI238" s="1"/>
      <c r="CUJ238" s="1"/>
      <c r="CUK238" s="1"/>
      <c r="CUL238" s="1"/>
      <c r="CUM238" s="1"/>
      <c r="CUN238" s="1"/>
      <c r="CUO238" s="1"/>
      <c r="CUP238" s="1"/>
      <c r="CUQ238" s="1"/>
      <c r="CUR238" s="1"/>
      <c r="CUS238" s="1"/>
      <c r="CUT238" s="1"/>
      <c r="CUU238" s="1"/>
      <c r="CUV238" s="1"/>
      <c r="CUW238" s="1"/>
      <c r="CUX238" s="1"/>
      <c r="CUY238" s="1"/>
      <c r="CUZ238" s="1"/>
      <c r="CVA238" s="1"/>
      <c r="CVB238" s="1"/>
      <c r="CVC238" s="1"/>
      <c r="CVD238" s="1"/>
      <c r="CVE238" s="1"/>
      <c r="CVF238" s="1"/>
      <c r="CVG238" s="1"/>
      <c r="CVH238" s="1"/>
      <c r="CVI238" s="1"/>
      <c r="CVJ238" s="1"/>
      <c r="CVK238" s="1"/>
      <c r="CVL238" s="1"/>
      <c r="CVM238" s="1"/>
      <c r="CVN238" s="1"/>
      <c r="CVO238" s="1"/>
      <c r="CVP238" s="1"/>
      <c r="CVQ238" s="1"/>
      <c r="CVR238" s="1"/>
      <c r="CVS238" s="1"/>
      <c r="CVT238" s="1"/>
      <c r="CVU238" s="1"/>
      <c r="CVV238" s="1"/>
      <c r="CVW238" s="1"/>
      <c r="CVX238" s="1"/>
      <c r="CVY238" s="1"/>
      <c r="CVZ238" s="1"/>
      <c r="CWA238" s="1"/>
      <c r="CWB238" s="1"/>
      <c r="CWC238" s="1"/>
      <c r="CWD238" s="1"/>
      <c r="CWE238" s="1"/>
      <c r="CWF238" s="1"/>
      <c r="CWG238" s="1"/>
      <c r="CWH238" s="1"/>
      <c r="CWI238" s="1"/>
      <c r="CWJ238" s="1"/>
      <c r="CWK238" s="1"/>
      <c r="CWL238" s="1"/>
      <c r="CWM238" s="1"/>
      <c r="CWN238" s="1"/>
      <c r="CWO238" s="1"/>
      <c r="CWP238" s="1"/>
      <c r="CWQ238" s="1"/>
      <c r="CWR238" s="1"/>
      <c r="CWS238" s="1"/>
      <c r="CWT238" s="1"/>
      <c r="CWU238" s="1"/>
      <c r="CWV238" s="1"/>
      <c r="CWW238" s="1"/>
      <c r="CWX238" s="1"/>
      <c r="CWY238" s="1"/>
      <c r="CWZ238" s="1"/>
      <c r="CXA238" s="1"/>
      <c r="CXB238" s="1"/>
      <c r="CXC238" s="1"/>
      <c r="CXD238" s="1"/>
      <c r="CXE238" s="1"/>
      <c r="CXF238" s="1"/>
      <c r="CXG238" s="1"/>
      <c r="CXH238" s="1"/>
      <c r="CXI238" s="1"/>
      <c r="CXJ238" s="1"/>
      <c r="CXK238" s="1"/>
      <c r="CXL238" s="1"/>
      <c r="CXM238" s="1"/>
      <c r="CXN238" s="1"/>
      <c r="CXO238" s="1"/>
      <c r="CXP238" s="1"/>
      <c r="CXQ238" s="1"/>
      <c r="CXR238" s="1"/>
      <c r="CXS238" s="1"/>
      <c r="CXT238" s="1"/>
      <c r="CXU238" s="1"/>
      <c r="CXV238" s="1"/>
      <c r="CXW238" s="1"/>
      <c r="CXX238" s="1"/>
      <c r="CXY238" s="1"/>
      <c r="CXZ238" s="1"/>
      <c r="CYA238" s="1"/>
      <c r="CYB238" s="1"/>
      <c r="CYC238" s="1"/>
      <c r="CYD238" s="1"/>
      <c r="CYE238" s="1"/>
      <c r="CYF238" s="1"/>
      <c r="CYG238" s="1"/>
      <c r="CYH238" s="1"/>
      <c r="CYI238" s="1"/>
      <c r="CYJ238" s="1"/>
      <c r="CYK238" s="1"/>
      <c r="CYL238" s="1"/>
      <c r="CYM238" s="1"/>
      <c r="CYN238" s="1"/>
      <c r="CYO238" s="1"/>
      <c r="CYP238" s="1"/>
      <c r="CYQ238" s="1"/>
      <c r="CYR238" s="1"/>
      <c r="CYS238" s="1"/>
      <c r="CYT238" s="1"/>
      <c r="CYU238" s="1"/>
      <c r="CYV238" s="1"/>
      <c r="CYW238" s="1"/>
      <c r="CYX238" s="1"/>
      <c r="CYY238" s="1"/>
      <c r="CYZ238" s="1"/>
      <c r="CZA238" s="1"/>
      <c r="CZB238" s="1"/>
      <c r="CZC238" s="1"/>
      <c r="CZD238" s="1"/>
      <c r="CZE238" s="1"/>
      <c r="CZF238" s="1"/>
      <c r="CZG238" s="1"/>
      <c r="CZH238" s="1"/>
      <c r="CZI238" s="1"/>
      <c r="CZJ238" s="1"/>
      <c r="CZK238" s="1"/>
      <c r="CZL238" s="1"/>
      <c r="CZM238" s="1"/>
      <c r="CZN238" s="1"/>
      <c r="CZO238" s="1"/>
      <c r="CZP238" s="1"/>
      <c r="CZQ238" s="1"/>
      <c r="CZR238" s="1"/>
      <c r="CZS238" s="1"/>
      <c r="CZT238" s="1"/>
      <c r="CZU238" s="1"/>
      <c r="CZV238" s="1"/>
      <c r="CZW238" s="1"/>
      <c r="CZX238" s="1"/>
      <c r="CZY238" s="1"/>
      <c r="CZZ238" s="1"/>
      <c r="DAA238" s="1"/>
      <c r="DAB238" s="1"/>
      <c r="DAC238" s="1"/>
      <c r="DAD238" s="1"/>
      <c r="DAE238" s="1"/>
      <c r="DAF238" s="1"/>
      <c r="DAG238" s="1"/>
      <c r="DAH238" s="1"/>
      <c r="DAI238" s="1"/>
      <c r="DAJ238" s="1"/>
      <c r="DAK238" s="1"/>
      <c r="DAL238" s="1"/>
      <c r="DAM238" s="1"/>
      <c r="DAN238" s="1"/>
      <c r="DAO238" s="1"/>
      <c r="DAP238" s="1"/>
      <c r="DAQ238" s="1"/>
      <c r="DAR238" s="1"/>
      <c r="DAS238" s="1"/>
      <c r="DAT238" s="1"/>
      <c r="DAU238" s="1"/>
      <c r="DAV238" s="1"/>
      <c r="DAW238" s="1"/>
      <c r="DAX238" s="1"/>
      <c r="DAY238" s="1"/>
      <c r="DAZ238" s="1"/>
      <c r="DBA238" s="1"/>
      <c r="DBB238" s="1"/>
      <c r="DBC238" s="1"/>
      <c r="DBD238" s="1"/>
      <c r="DBE238" s="1"/>
      <c r="DBF238" s="1"/>
      <c r="DBG238" s="1"/>
      <c r="DBH238" s="1"/>
      <c r="DBI238" s="1"/>
      <c r="DBJ238" s="1"/>
      <c r="DBK238" s="1"/>
      <c r="DBL238" s="1"/>
      <c r="DBM238" s="1"/>
      <c r="DBN238" s="1"/>
      <c r="DBO238" s="1"/>
      <c r="DBP238" s="1"/>
      <c r="DBQ238" s="1"/>
      <c r="DBR238" s="1"/>
      <c r="DBS238" s="1"/>
      <c r="DBT238" s="1"/>
      <c r="DBU238" s="1"/>
      <c r="DBV238" s="1"/>
      <c r="DBW238" s="1"/>
      <c r="DBX238" s="1"/>
      <c r="DBY238" s="1"/>
      <c r="DBZ238" s="1"/>
      <c r="DCA238" s="1"/>
      <c r="DCB238" s="1"/>
      <c r="DCC238" s="1"/>
      <c r="DCD238" s="1"/>
      <c r="DCE238" s="1"/>
      <c r="DCF238" s="1"/>
      <c r="DCG238" s="1"/>
      <c r="DCH238" s="1"/>
      <c r="DCI238" s="1"/>
      <c r="DCJ238" s="1"/>
      <c r="DCK238" s="1"/>
      <c r="DCL238" s="1"/>
      <c r="DCM238" s="1"/>
      <c r="DCN238" s="1"/>
      <c r="DCO238" s="1"/>
      <c r="DCP238" s="1"/>
      <c r="DCQ238" s="1"/>
      <c r="DCR238" s="1"/>
      <c r="DCS238" s="1"/>
      <c r="DCT238" s="1"/>
      <c r="DCU238" s="1"/>
      <c r="DCV238" s="1"/>
      <c r="DCW238" s="1"/>
      <c r="DCX238" s="1"/>
      <c r="DCY238" s="1"/>
      <c r="DCZ238" s="1"/>
      <c r="DDA238" s="1"/>
      <c r="DDB238" s="1"/>
      <c r="DDC238" s="1"/>
      <c r="DDD238" s="1"/>
      <c r="DDE238" s="1"/>
      <c r="DDF238" s="1"/>
      <c r="DDG238" s="1"/>
      <c r="DDH238" s="1"/>
      <c r="DDI238" s="1"/>
      <c r="DDJ238" s="1"/>
      <c r="DDK238" s="1"/>
      <c r="DDL238" s="1"/>
      <c r="DDM238" s="1"/>
      <c r="DDN238" s="1"/>
      <c r="DDO238" s="1"/>
      <c r="DDP238" s="1"/>
      <c r="DDQ238" s="1"/>
      <c r="DDR238" s="1"/>
      <c r="DDS238" s="1"/>
      <c r="DDT238" s="1"/>
      <c r="DDU238" s="1"/>
      <c r="DDV238" s="1"/>
      <c r="DDW238" s="1"/>
      <c r="DDX238" s="1"/>
      <c r="DDY238" s="1"/>
      <c r="DDZ238" s="1"/>
      <c r="DEA238" s="1"/>
      <c r="DEB238" s="1"/>
      <c r="DEC238" s="1"/>
      <c r="DED238" s="1"/>
      <c r="DEE238" s="1"/>
      <c r="DEF238" s="1"/>
      <c r="DEG238" s="1"/>
      <c r="DEH238" s="1"/>
      <c r="DEI238" s="1"/>
      <c r="DEJ238" s="1"/>
      <c r="DEK238" s="1"/>
      <c r="DEL238" s="1"/>
      <c r="DEM238" s="1"/>
      <c r="DEN238" s="1"/>
      <c r="DEO238" s="1"/>
      <c r="DEP238" s="1"/>
      <c r="DEQ238" s="1"/>
      <c r="DER238" s="1"/>
      <c r="DES238" s="1"/>
      <c r="DET238" s="1"/>
      <c r="DEU238" s="1"/>
      <c r="DEV238" s="1"/>
      <c r="DEW238" s="1"/>
      <c r="DEX238" s="1"/>
      <c r="DEY238" s="1"/>
      <c r="DEZ238" s="1"/>
      <c r="DFA238" s="1"/>
      <c r="DFB238" s="1"/>
      <c r="DFC238" s="1"/>
      <c r="DFD238" s="1"/>
      <c r="DFE238" s="1"/>
      <c r="DFF238" s="1"/>
      <c r="DFG238" s="1"/>
      <c r="DFH238" s="1"/>
      <c r="DFI238" s="1"/>
      <c r="DFJ238" s="1"/>
      <c r="DFK238" s="1"/>
      <c r="DFL238" s="1"/>
      <c r="DFM238" s="1"/>
      <c r="DFN238" s="1"/>
      <c r="DFO238" s="1"/>
      <c r="DFP238" s="1"/>
      <c r="DFQ238" s="1"/>
      <c r="DFR238" s="1"/>
      <c r="DFS238" s="1"/>
      <c r="DFT238" s="1"/>
      <c r="DFU238" s="1"/>
      <c r="DFV238" s="1"/>
      <c r="DFW238" s="1"/>
      <c r="DFX238" s="1"/>
      <c r="DFY238" s="1"/>
      <c r="DFZ238" s="1"/>
      <c r="DGA238" s="1"/>
      <c r="DGB238" s="1"/>
      <c r="DGC238" s="1"/>
      <c r="DGD238" s="1"/>
      <c r="DGE238" s="1"/>
      <c r="DGF238" s="1"/>
      <c r="DGG238" s="1"/>
      <c r="DGH238" s="1"/>
      <c r="DGI238" s="1"/>
      <c r="DGJ238" s="1"/>
      <c r="DGK238" s="1"/>
      <c r="DGL238" s="1"/>
      <c r="DGM238" s="1"/>
      <c r="DGN238" s="1"/>
      <c r="DGO238" s="1"/>
      <c r="DGP238" s="1"/>
      <c r="DGQ238" s="1"/>
      <c r="DGR238" s="1"/>
      <c r="DGS238" s="1"/>
      <c r="DGT238" s="1"/>
      <c r="DGU238" s="1"/>
      <c r="DGV238" s="1"/>
      <c r="DGW238" s="1"/>
      <c r="DGX238" s="1"/>
      <c r="DGY238" s="1"/>
      <c r="DGZ238" s="1"/>
      <c r="DHA238" s="1"/>
      <c r="DHB238" s="1"/>
      <c r="DHC238" s="1"/>
      <c r="DHD238" s="1"/>
      <c r="DHE238" s="1"/>
      <c r="DHF238" s="1"/>
      <c r="DHG238" s="1"/>
      <c r="DHH238" s="1"/>
      <c r="DHI238" s="1"/>
      <c r="DHJ238" s="1"/>
      <c r="DHK238" s="1"/>
      <c r="DHL238" s="1"/>
      <c r="DHM238" s="1"/>
      <c r="DHN238" s="1"/>
      <c r="DHO238" s="1"/>
      <c r="DHP238" s="1"/>
      <c r="DHQ238" s="1"/>
      <c r="DHR238" s="1"/>
      <c r="DHS238" s="1"/>
      <c r="DHT238" s="1"/>
      <c r="DHU238" s="1"/>
      <c r="DHV238" s="1"/>
      <c r="DHW238" s="1"/>
      <c r="DHX238" s="1"/>
      <c r="DHY238" s="1"/>
      <c r="DHZ238" s="1"/>
      <c r="DIA238" s="1"/>
      <c r="DIB238" s="1"/>
      <c r="DIC238" s="1"/>
      <c r="DID238" s="1"/>
      <c r="DIE238" s="1"/>
      <c r="DIF238" s="1"/>
      <c r="DIG238" s="1"/>
      <c r="DIH238" s="1"/>
      <c r="DII238" s="1"/>
      <c r="DIJ238" s="1"/>
      <c r="DIK238" s="1"/>
      <c r="DIL238" s="1"/>
      <c r="DIM238" s="1"/>
      <c r="DIN238" s="1"/>
      <c r="DIO238" s="1"/>
      <c r="DIP238" s="1"/>
      <c r="DIQ238" s="1"/>
      <c r="DIR238" s="1"/>
      <c r="DIS238" s="1"/>
      <c r="DIT238" s="1"/>
      <c r="DIU238" s="1"/>
      <c r="DIV238" s="1"/>
      <c r="DIW238" s="1"/>
      <c r="DIX238" s="1"/>
      <c r="DIY238" s="1"/>
      <c r="DIZ238" s="1"/>
      <c r="DJA238" s="1"/>
      <c r="DJB238" s="1"/>
      <c r="DJC238" s="1"/>
      <c r="DJD238" s="1"/>
      <c r="DJE238" s="1"/>
      <c r="DJF238" s="1"/>
      <c r="DJG238" s="1"/>
      <c r="DJH238" s="1"/>
      <c r="DJI238" s="1"/>
      <c r="DJJ238" s="1"/>
      <c r="DJK238" s="1"/>
      <c r="DJL238" s="1"/>
      <c r="DJM238" s="1"/>
      <c r="DJN238" s="1"/>
      <c r="DJO238" s="1"/>
      <c r="DJP238" s="1"/>
      <c r="DJQ238" s="1"/>
      <c r="DJR238" s="1"/>
      <c r="DJS238" s="1"/>
      <c r="DJT238" s="1"/>
      <c r="DJU238" s="1"/>
      <c r="DJV238" s="1"/>
      <c r="DJW238" s="1"/>
      <c r="DJX238" s="1"/>
      <c r="DJY238" s="1"/>
      <c r="DJZ238" s="1"/>
      <c r="DKA238" s="1"/>
      <c r="DKB238" s="1"/>
      <c r="DKC238" s="1"/>
      <c r="DKD238" s="1"/>
      <c r="DKE238" s="1"/>
      <c r="DKF238" s="1"/>
      <c r="DKG238" s="1"/>
      <c r="DKH238" s="1"/>
      <c r="DKI238" s="1"/>
      <c r="DKJ238" s="1"/>
      <c r="DKK238" s="1"/>
      <c r="DKL238" s="1"/>
      <c r="DKM238" s="1"/>
      <c r="DKN238" s="1"/>
      <c r="DKO238" s="1"/>
      <c r="DKP238" s="1"/>
      <c r="DKQ238" s="1"/>
      <c r="DKR238" s="1"/>
      <c r="DKS238" s="1"/>
      <c r="DKT238" s="1"/>
      <c r="DKU238" s="1"/>
      <c r="DKV238" s="1"/>
      <c r="DKW238" s="1"/>
      <c r="DKX238" s="1"/>
      <c r="DKY238" s="1"/>
      <c r="DKZ238" s="1"/>
      <c r="DLA238" s="1"/>
      <c r="DLB238" s="1"/>
      <c r="DLC238" s="1"/>
      <c r="DLD238" s="1"/>
      <c r="DLE238" s="1"/>
      <c r="DLF238" s="1"/>
      <c r="DLG238" s="1"/>
      <c r="DLH238" s="1"/>
      <c r="DLI238" s="1"/>
      <c r="DLJ238" s="1"/>
      <c r="DLK238" s="1"/>
      <c r="DLL238" s="1"/>
      <c r="DLM238" s="1"/>
      <c r="DLN238" s="1"/>
      <c r="DLO238" s="1"/>
      <c r="DLP238" s="1"/>
      <c r="DLQ238" s="1"/>
      <c r="DLR238" s="1"/>
      <c r="DLS238" s="1"/>
      <c r="DLT238" s="1"/>
      <c r="DLU238" s="1"/>
      <c r="DLV238" s="1"/>
      <c r="DLW238" s="1"/>
      <c r="DLX238" s="1"/>
      <c r="DLY238" s="1"/>
      <c r="DLZ238" s="1"/>
      <c r="DMA238" s="1"/>
      <c r="DMB238" s="1"/>
      <c r="DMC238" s="1"/>
      <c r="DMD238" s="1"/>
      <c r="DME238" s="1"/>
      <c r="DMF238" s="1"/>
      <c r="DMG238" s="1"/>
      <c r="DMH238" s="1"/>
      <c r="DMI238" s="1"/>
      <c r="DMJ238" s="1"/>
      <c r="DMK238" s="1"/>
      <c r="DML238" s="1"/>
      <c r="DMM238" s="1"/>
      <c r="DMN238" s="1"/>
      <c r="DMO238" s="1"/>
      <c r="DMP238" s="1"/>
      <c r="DMQ238" s="1"/>
      <c r="DMR238" s="1"/>
      <c r="DMS238" s="1"/>
      <c r="DMT238" s="1"/>
      <c r="DMU238" s="1"/>
      <c r="DMV238" s="1"/>
      <c r="DMW238" s="1"/>
      <c r="DMX238" s="1"/>
      <c r="DMY238" s="1"/>
      <c r="DMZ238" s="1"/>
      <c r="DNA238" s="1"/>
      <c r="DNB238" s="1"/>
      <c r="DNC238" s="1"/>
      <c r="DND238" s="1"/>
      <c r="DNE238" s="1"/>
      <c r="DNF238" s="1"/>
      <c r="DNG238" s="1"/>
      <c r="DNH238" s="1"/>
      <c r="DNI238" s="1"/>
      <c r="DNJ238" s="1"/>
      <c r="DNK238" s="1"/>
      <c r="DNL238" s="1"/>
      <c r="DNM238" s="1"/>
      <c r="DNN238" s="1"/>
      <c r="DNO238" s="1"/>
      <c r="DNP238" s="1"/>
      <c r="DNQ238" s="1"/>
      <c r="DNR238" s="1"/>
      <c r="DNS238" s="1"/>
      <c r="DNT238" s="1"/>
      <c r="DNU238" s="1"/>
      <c r="DNV238" s="1"/>
      <c r="DNW238" s="1"/>
      <c r="DNX238" s="1"/>
      <c r="DNY238" s="1"/>
      <c r="DNZ238" s="1"/>
      <c r="DOA238" s="1"/>
      <c r="DOB238" s="1"/>
      <c r="DOC238" s="1"/>
      <c r="DOD238" s="1"/>
      <c r="DOE238" s="1"/>
      <c r="DOF238" s="1"/>
      <c r="DOG238" s="1"/>
      <c r="DOH238" s="1"/>
      <c r="DOI238" s="1"/>
      <c r="DOJ238" s="1"/>
      <c r="DOK238" s="1"/>
      <c r="DOL238" s="1"/>
      <c r="DOM238" s="1"/>
      <c r="DON238" s="1"/>
      <c r="DOO238" s="1"/>
      <c r="DOP238" s="1"/>
      <c r="DOQ238" s="1"/>
      <c r="DOR238" s="1"/>
      <c r="DOS238" s="1"/>
      <c r="DOT238" s="1"/>
      <c r="DOU238" s="1"/>
      <c r="DOV238" s="1"/>
      <c r="DOW238" s="1"/>
      <c r="DOX238" s="1"/>
      <c r="DOY238" s="1"/>
      <c r="DOZ238" s="1"/>
      <c r="DPA238" s="1"/>
      <c r="DPB238" s="1"/>
      <c r="DPC238" s="1"/>
      <c r="DPD238" s="1"/>
      <c r="DPE238" s="1"/>
      <c r="DPF238" s="1"/>
      <c r="DPG238" s="1"/>
      <c r="DPH238" s="1"/>
      <c r="DPI238" s="1"/>
      <c r="DPJ238" s="1"/>
      <c r="DPK238" s="1"/>
      <c r="DPL238" s="1"/>
      <c r="DPM238" s="1"/>
      <c r="DPN238" s="1"/>
      <c r="DPO238" s="1"/>
      <c r="DPP238" s="1"/>
      <c r="DPQ238" s="1"/>
      <c r="DPR238" s="1"/>
      <c r="DPS238" s="1"/>
      <c r="DPT238" s="1"/>
      <c r="DPU238" s="1"/>
      <c r="DPV238" s="1"/>
      <c r="DPW238" s="1"/>
      <c r="DPX238" s="1"/>
      <c r="DPY238" s="1"/>
      <c r="DPZ238" s="1"/>
      <c r="DQA238" s="1"/>
      <c r="DQB238" s="1"/>
      <c r="DQC238" s="1"/>
      <c r="DQD238" s="1"/>
      <c r="DQE238" s="1"/>
      <c r="DQF238" s="1"/>
      <c r="DQG238" s="1"/>
      <c r="DQH238" s="1"/>
      <c r="DQI238" s="1"/>
      <c r="DQJ238" s="1"/>
      <c r="DQK238" s="1"/>
      <c r="DQL238" s="1"/>
      <c r="DQM238" s="1"/>
      <c r="DQN238" s="1"/>
      <c r="DQO238" s="1"/>
      <c r="DQP238" s="1"/>
      <c r="DQQ238" s="1"/>
      <c r="DQR238" s="1"/>
      <c r="DQS238" s="1"/>
      <c r="DQT238" s="1"/>
      <c r="DQU238" s="1"/>
      <c r="DQV238" s="1"/>
      <c r="DQW238" s="1"/>
      <c r="DQX238" s="1"/>
      <c r="DQY238" s="1"/>
      <c r="DQZ238" s="1"/>
      <c r="DRA238" s="1"/>
      <c r="DRB238" s="1"/>
      <c r="DRC238" s="1"/>
      <c r="DRD238" s="1"/>
      <c r="DRE238" s="1"/>
      <c r="DRF238" s="1"/>
      <c r="DRG238" s="1"/>
      <c r="DRH238" s="1"/>
      <c r="DRI238" s="1"/>
      <c r="DRJ238" s="1"/>
      <c r="DRK238" s="1"/>
      <c r="DRL238" s="1"/>
      <c r="DRM238" s="1"/>
      <c r="DRN238" s="1"/>
      <c r="DRO238" s="1"/>
      <c r="DRP238" s="1"/>
      <c r="DRQ238" s="1"/>
      <c r="DRR238" s="1"/>
      <c r="DRS238" s="1"/>
      <c r="DRT238" s="1"/>
      <c r="DRU238" s="1"/>
      <c r="DRV238" s="1"/>
      <c r="DRW238" s="1"/>
      <c r="DRX238" s="1"/>
      <c r="DRY238" s="1"/>
      <c r="DRZ238" s="1"/>
      <c r="DSA238" s="1"/>
      <c r="DSB238" s="1"/>
      <c r="DSC238" s="1"/>
      <c r="DSD238" s="1"/>
      <c r="DSE238" s="1"/>
      <c r="DSF238" s="1"/>
      <c r="DSG238" s="1"/>
      <c r="DSH238" s="1"/>
      <c r="DSI238" s="1"/>
      <c r="DSJ238" s="1"/>
      <c r="DSK238" s="1"/>
      <c r="DSL238" s="1"/>
      <c r="DSM238" s="1"/>
      <c r="DSN238" s="1"/>
      <c r="DSO238" s="1"/>
      <c r="DSP238" s="1"/>
      <c r="DSQ238" s="1"/>
      <c r="DSR238" s="1"/>
      <c r="DSS238" s="1"/>
      <c r="DST238" s="1"/>
      <c r="DSU238" s="1"/>
      <c r="DSV238" s="1"/>
      <c r="DSW238" s="1"/>
      <c r="DSX238" s="1"/>
      <c r="DSY238" s="1"/>
      <c r="DSZ238" s="1"/>
      <c r="DTA238" s="1"/>
      <c r="DTB238" s="1"/>
      <c r="DTC238" s="1"/>
      <c r="DTD238" s="1"/>
      <c r="DTE238" s="1"/>
      <c r="DTF238" s="1"/>
      <c r="DTG238" s="1"/>
      <c r="DTH238" s="1"/>
      <c r="DTI238" s="1"/>
      <c r="DTJ238" s="1"/>
      <c r="DTK238" s="1"/>
      <c r="DTL238" s="1"/>
      <c r="DTM238" s="1"/>
      <c r="DTN238" s="1"/>
      <c r="DTO238" s="1"/>
      <c r="DTP238" s="1"/>
      <c r="DTQ238" s="1"/>
      <c r="DTR238" s="1"/>
      <c r="DTS238" s="1"/>
      <c r="DTT238" s="1"/>
      <c r="DTU238" s="1"/>
      <c r="DTV238" s="1"/>
      <c r="DTW238" s="1"/>
      <c r="DTX238" s="1"/>
      <c r="DTY238" s="1"/>
      <c r="DTZ238" s="1"/>
      <c r="DUA238" s="1"/>
      <c r="DUB238" s="1"/>
      <c r="DUC238" s="1"/>
      <c r="DUD238" s="1"/>
      <c r="DUE238" s="1"/>
      <c r="DUF238" s="1"/>
      <c r="DUG238" s="1"/>
      <c r="DUH238" s="1"/>
      <c r="DUI238" s="1"/>
      <c r="DUJ238" s="1"/>
      <c r="DUK238" s="1"/>
      <c r="DUL238" s="1"/>
      <c r="DUM238" s="1"/>
      <c r="DUN238" s="1"/>
      <c r="DUO238" s="1"/>
      <c r="DUP238" s="1"/>
      <c r="DUQ238" s="1"/>
      <c r="DUR238" s="1"/>
      <c r="DUS238" s="1"/>
      <c r="DUT238" s="1"/>
      <c r="DUU238" s="1"/>
      <c r="DUV238" s="1"/>
      <c r="DUW238" s="1"/>
      <c r="DUX238" s="1"/>
      <c r="DUY238" s="1"/>
      <c r="DUZ238" s="1"/>
      <c r="DVA238" s="1"/>
      <c r="DVB238" s="1"/>
      <c r="DVC238" s="1"/>
      <c r="DVD238" s="1"/>
      <c r="DVE238" s="1"/>
      <c r="DVF238" s="1"/>
      <c r="DVG238" s="1"/>
      <c r="DVH238" s="1"/>
      <c r="DVI238" s="1"/>
      <c r="DVJ238" s="1"/>
      <c r="DVK238" s="1"/>
      <c r="DVL238" s="1"/>
      <c r="DVM238" s="1"/>
      <c r="DVN238" s="1"/>
      <c r="DVO238" s="1"/>
      <c r="DVP238" s="1"/>
      <c r="DVQ238" s="1"/>
      <c r="DVR238" s="1"/>
      <c r="DVS238" s="1"/>
      <c r="DVT238" s="1"/>
      <c r="DVU238" s="1"/>
      <c r="DVV238" s="1"/>
      <c r="DVW238" s="1"/>
      <c r="DVX238" s="1"/>
      <c r="DVY238" s="1"/>
      <c r="DVZ238" s="1"/>
      <c r="DWA238" s="1"/>
      <c r="DWB238" s="1"/>
      <c r="DWC238" s="1"/>
      <c r="DWD238" s="1"/>
      <c r="DWE238" s="1"/>
      <c r="DWF238" s="1"/>
      <c r="DWG238" s="1"/>
      <c r="DWH238" s="1"/>
      <c r="DWI238" s="1"/>
      <c r="DWJ238" s="1"/>
      <c r="DWK238" s="1"/>
      <c r="DWL238" s="1"/>
      <c r="DWM238" s="1"/>
      <c r="DWN238" s="1"/>
      <c r="DWO238" s="1"/>
      <c r="DWP238" s="1"/>
      <c r="DWQ238" s="1"/>
      <c r="DWR238" s="1"/>
      <c r="DWS238" s="1"/>
      <c r="DWT238" s="1"/>
      <c r="DWU238" s="1"/>
      <c r="DWV238" s="1"/>
      <c r="DWW238" s="1"/>
      <c r="DWX238" s="1"/>
      <c r="DWY238" s="1"/>
      <c r="DWZ238" s="1"/>
      <c r="DXA238" s="1"/>
      <c r="DXB238" s="1"/>
      <c r="DXC238" s="1"/>
      <c r="DXD238" s="1"/>
      <c r="DXE238" s="1"/>
      <c r="DXF238" s="1"/>
      <c r="DXG238" s="1"/>
      <c r="DXH238" s="1"/>
      <c r="DXI238" s="1"/>
      <c r="DXJ238" s="1"/>
      <c r="DXK238" s="1"/>
      <c r="DXL238" s="1"/>
      <c r="DXM238" s="1"/>
      <c r="DXN238" s="1"/>
      <c r="DXO238" s="1"/>
      <c r="DXP238" s="1"/>
      <c r="DXQ238" s="1"/>
      <c r="DXR238" s="1"/>
      <c r="DXS238" s="1"/>
      <c r="DXT238" s="1"/>
      <c r="DXU238" s="1"/>
      <c r="DXV238" s="1"/>
      <c r="DXW238" s="1"/>
      <c r="DXX238" s="1"/>
      <c r="DXY238" s="1"/>
      <c r="DXZ238" s="1"/>
      <c r="DYA238" s="1"/>
      <c r="DYB238" s="1"/>
      <c r="DYC238" s="1"/>
      <c r="DYD238" s="1"/>
      <c r="DYE238" s="1"/>
      <c r="DYF238" s="1"/>
      <c r="DYG238" s="1"/>
      <c r="DYH238" s="1"/>
      <c r="DYI238" s="1"/>
      <c r="DYJ238" s="1"/>
      <c r="DYK238" s="1"/>
      <c r="DYL238" s="1"/>
      <c r="DYM238" s="1"/>
      <c r="DYN238" s="1"/>
      <c r="DYO238" s="1"/>
      <c r="DYP238" s="1"/>
      <c r="DYQ238" s="1"/>
      <c r="DYR238" s="1"/>
      <c r="DYS238" s="1"/>
      <c r="DYT238" s="1"/>
      <c r="DYU238" s="1"/>
      <c r="DYV238" s="1"/>
      <c r="DYW238" s="1"/>
      <c r="DYX238" s="1"/>
      <c r="DYY238" s="1"/>
      <c r="DYZ238" s="1"/>
      <c r="DZA238" s="1"/>
      <c r="DZB238" s="1"/>
      <c r="DZC238" s="1"/>
      <c r="DZD238" s="1"/>
      <c r="DZE238" s="1"/>
      <c r="DZF238" s="1"/>
      <c r="DZG238" s="1"/>
      <c r="DZH238" s="1"/>
      <c r="DZI238" s="1"/>
      <c r="DZJ238" s="1"/>
      <c r="DZK238" s="1"/>
      <c r="DZL238" s="1"/>
      <c r="DZM238" s="1"/>
      <c r="DZN238" s="1"/>
      <c r="DZO238" s="1"/>
      <c r="DZP238" s="1"/>
      <c r="DZQ238" s="1"/>
      <c r="DZR238" s="1"/>
      <c r="DZS238" s="1"/>
      <c r="DZT238" s="1"/>
      <c r="DZU238" s="1"/>
      <c r="DZV238" s="1"/>
      <c r="DZW238" s="1"/>
      <c r="DZX238" s="1"/>
      <c r="DZY238" s="1"/>
      <c r="DZZ238" s="1"/>
      <c r="EAA238" s="1"/>
      <c r="EAB238" s="1"/>
      <c r="EAC238" s="1"/>
      <c r="EAD238" s="1"/>
      <c r="EAE238" s="1"/>
      <c r="EAF238" s="1"/>
      <c r="EAG238" s="1"/>
      <c r="EAH238" s="1"/>
      <c r="EAI238" s="1"/>
      <c r="EAJ238" s="1"/>
      <c r="EAK238" s="1"/>
      <c r="EAL238" s="1"/>
      <c r="EAM238" s="1"/>
      <c r="EAN238" s="1"/>
      <c r="EAO238" s="1"/>
      <c r="EAP238" s="1"/>
      <c r="EAQ238" s="1"/>
      <c r="EAR238" s="1"/>
      <c r="EAS238" s="1"/>
      <c r="EAT238" s="1"/>
      <c r="EAU238" s="1"/>
      <c r="EAV238" s="1"/>
      <c r="EAW238" s="1"/>
      <c r="EAX238" s="1"/>
      <c r="EAY238" s="1"/>
      <c r="EAZ238" s="1"/>
      <c r="EBA238" s="1"/>
      <c r="EBB238" s="1"/>
      <c r="EBC238" s="1"/>
      <c r="EBD238" s="1"/>
      <c r="EBE238" s="1"/>
      <c r="EBF238" s="1"/>
      <c r="EBG238" s="1"/>
      <c r="EBH238" s="1"/>
      <c r="EBI238" s="1"/>
      <c r="EBJ238" s="1"/>
      <c r="EBK238" s="1"/>
      <c r="EBL238" s="1"/>
      <c r="EBM238" s="1"/>
      <c r="EBN238" s="1"/>
      <c r="EBO238" s="1"/>
      <c r="EBP238" s="1"/>
      <c r="EBQ238" s="1"/>
      <c r="EBR238" s="1"/>
      <c r="EBS238" s="1"/>
      <c r="EBT238" s="1"/>
      <c r="EBU238" s="1"/>
      <c r="EBV238" s="1"/>
      <c r="EBW238" s="1"/>
      <c r="EBX238" s="1"/>
      <c r="EBY238" s="1"/>
      <c r="EBZ238" s="1"/>
      <c r="ECA238" s="1"/>
      <c r="ECB238" s="1"/>
      <c r="ECC238" s="1"/>
      <c r="ECD238" s="1"/>
      <c r="ECE238" s="1"/>
      <c r="ECF238" s="1"/>
      <c r="ECG238" s="1"/>
      <c r="ECH238" s="1"/>
      <c r="ECI238" s="1"/>
      <c r="ECJ238" s="1"/>
      <c r="ECK238" s="1"/>
      <c r="ECL238" s="1"/>
      <c r="ECM238" s="1"/>
      <c r="ECN238" s="1"/>
      <c r="ECO238" s="1"/>
      <c r="ECP238" s="1"/>
      <c r="ECQ238" s="1"/>
      <c r="ECR238" s="1"/>
      <c r="ECS238" s="1"/>
      <c r="ECT238" s="1"/>
      <c r="ECU238" s="1"/>
      <c r="ECV238" s="1"/>
      <c r="ECW238" s="1"/>
      <c r="ECX238" s="1"/>
      <c r="ECY238" s="1"/>
      <c r="ECZ238" s="1"/>
      <c r="EDA238" s="1"/>
      <c r="EDB238" s="1"/>
      <c r="EDC238" s="1"/>
      <c r="EDD238" s="1"/>
      <c r="EDE238" s="1"/>
      <c r="EDF238" s="1"/>
      <c r="EDG238" s="1"/>
      <c r="EDH238" s="1"/>
      <c r="EDI238" s="1"/>
      <c r="EDJ238" s="1"/>
      <c r="EDK238" s="1"/>
      <c r="EDL238" s="1"/>
      <c r="EDM238" s="1"/>
      <c r="EDN238" s="1"/>
      <c r="EDO238" s="1"/>
      <c r="EDP238" s="1"/>
      <c r="EDQ238" s="1"/>
      <c r="EDR238" s="1"/>
      <c r="EDS238" s="1"/>
      <c r="EDT238" s="1"/>
      <c r="EDU238" s="1"/>
      <c r="EDV238" s="1"/>
      <c r="EDW238" s="1"/>
      <c r="EDX238" s="1"/>
      <c r="EDY238" s="1"/>
      <c r="EDZ238" s="1"/>
      <c r="EEA238" s="1"/>
      <c r="EEB238" s="1"/>
      <c r="EEC238" s="1"/>
      <c r="EED238" s="1"/>
      <c r="EEE238" s="1"/>
      <c r="EEF238" s="1"/>
      <c r="EEG238" s="1"/>
      <c r="EEH238" s="1"/>
      <c r="EEI238" s="1"/>
      <c r="EEJ238" s="1"/>
      <c r="EEK238" s="1"/>
      <c r="EEL238" s="1"/>
      <c r="EEM238" s="1"/>
      <c r="EEN238" s="1"/>
      <c r="EEO238" s="1"/>
      <c r="EEP238" s="1"/>
      <c r="EEQ238" s="1"/>
      <c r="EER238" s="1"/>
      <c r="EES238" s="1"/>
      <c r="EET238" s="1"/>
      <c r="EEU238" s="1"/>
      <c r="EEV238" s="1"/>
      <c r="EEW238" s="1"/>
      <c r="EEX238" s="1"/>
      <c r="EEY238" s="1"/>
      <c r="EEZ238" s="1"/>
      <c r="EFA238" s="1"/>
      <c r="EFB238" s="1"/>
      <c r="EFC238" s="1"/>
      <c r="EFD238" s="1"/>
      <c r="EFE238" s="1"/>
      <c r="EFF238" s="1"/>
      <c r="EFG238" s="1"/>
      <c r="EFH238" s="1"/>
      <c r="EFI238" s="1"/>
      <c r="EFJ238" s="1"/>
      <c r="EFK238" s="1"/>
      <c r="EFL238" s="1"/>
      <c r="EFM238" s="1"/>
      <c r="EFN238" s="1"/>
      <c r="EFO238" s="1"/>
      <c r="EFP238" s="1"/>
      <c r="EFQ238" s="1"/>
      <c r="EFR238" s="1"/>
      <c r="EFS238" s="1"/>
      <c r="EFT238" s="1"/>
      <c r="EFU238" s="1"/>
      <c r="EFV238" s="1"/>
      <c r="EFW238" s="1"/>
      <c r="EFX238" s="1"/>
      <c r="EFY238" s="1"/>
      <c r="EFZ238" s="1"/>
      <c r="EGA238" s="1"/>
      <c r="EGB238" s="1"/>
      <c r="EGC238" s="1"/>
      <c r="EGD238" s="1"/>
      <c r="EGE238" s="1"/>
      <c r="EGF238" s="1"/>
      <c r="EGG238" s="1"/>
      <c r="EGH238" s="1"/>
      <c r="EGI238" s="1"/>
      <c r="EGJ238" s="1"/>
      <c r="EGK238" s="1"/>
      <c r="EGL238" s="1"/>
      <c r="EGM238" s="1"/>
      <c r="EGN238" s="1"/>
      <c r="EGO238" s="1"/>
      <c r="EGP238" s="1"/>
      <c r="EGQ238" s="1"/>
      <c r="EGR238" s="1"/>
      <c r="EGS238" s="1"/>
      <c r="EGT238" s="1"/>
      <c r="EGU238" s="1"/>
      <c r="EGV238" s="1"/>
      <c r="EGW238" s="1"/>
      <c r="EGX238" s="1"/>
      <c r="EGY238" s="1"/>
      <c r="EGZ238" s="1"/>
      <c r="EHA238" s="1"/>
      <c r="EHB238" s="1"/>
      <c r="EHC238" s="1"/>
      <c r="EHD238" s="1"/>
      <c r="EHE238" s="1"/>
      <c r="EHF238" s="1"/>
      <c r="EHG238" s="1"/>
      <c r="EHH238" s="1"/>
      <c r="EHI238" s="1"/>
      <c r="EHJ238" s="1"/>
      <c r="EHK238" s="1"/>
      <c r="EHL238" s="1"/>
      <c r="EHM238" s="1"/>
      <c r="EHN238" s="1"/>
      <c r="EHO238" s="1"/>
      <c r="EHP238" s="1"/>
      <c r="EHQ238" s="1"/>
      <c r="EHR238" s="1"/>
      <c r="EHS238" s="1"/>
      <c r="EHT238" s="1"/>
      <c r="EHU238" s="1"/>
      <c r="EHV238" s="1"/>
      <c r="EHW238" s="1"/>
      <c r="EHX238" s="1"/>
      <c r="EHY238" s="1"/>
      <c r="EHZ238" s="1"/>
      <c r="EIA238" s="1"/>
      <c r="EIB238" s="1"/>
      <c r="EIC238" s="1"/>
      <c r="EID238" s="1"/>
      <c r="EIE238" s="1"/>
      <c r="EIF238" s="1"/>
      <c r="EIG238" s="1"/>
      <c r="EIH238" s="1"/>
      <c r="EII238" s="1"/>
      <c r="EIJ238" s="1"/>
      <c r="EIK238" s="1"/>
      <c r="EIL238" s="1"/>
      <c r="EIM238" s="1"/>
      <c r="EIN238" s="1"/>
      <c r="EIO238" s="1"/>
      <c r="EIP238" s="1"/>
      <c r="EIQ238" s="1"/>
      <c r="EIR238" s="1"/>
      <c r="EIS238" s="1"/>
      <c r="EIT238" s="1"/>
      <c r="EIU238" s="1"/>
      <c r="EIV238" s="1"/>
      <c r="EIW238" s="1"/>
      <c r="EIX238" s="1"/>
      <c r="EIY238" s="1"/>
      <c r="EIZ238" s="1"/>
      <c r="EJA238" s="1"/>
      <c r="EJB238" s="1"/>
      <c r="EJC238" s="1"/>
      <c r="EJD238" s="1"/>
      <c r="EJE238" s="1"/>
      <c r="EJF238" s="1"/>
      <c r="EJG238" s="1"/>
      <c r="EJH238" s="1"/>
      <c r="EJI238" s="1"/>
      <c r="EJJ238" s="1"/>
      <c r="EJK238" s="1"/>
      <c r="EJL238" s="1"/>
      <c r="EJM238" s="1"/>
      <c r="EJN238" s="1"/>
      <c r="EJO238" s="1"/>
      <c r="EJP238" s="1"/>
      <c r="EJQ238" s="1"/>
      <c r="EJR238" s="1"/>
      <c r="EJS238" s="1"/>
      <c r="EJT238" s="1"/>
      <c r="EJU238" s="1"/>
      <c r="EJV238" s="1"/>
      <c r="EJW238" s="1"/>
      <c r="EJX238" s="1"/>
      <c r="EJY238" s="1"/>
      <c r="EJZ238" s="1"/>
      <c r="EKA238" s="1"/>
      <c r="EKB238" s="1"/>
      <c r="EKC238" s="1"/>
      <c r="EKD238" s="1"/>
      <c r="EKE238" s="1"/>
      <c r="EKF238" s="1"/>
      <c r="EKG238" s="1"/>
      <c r="EKH238" s="1"/>
      <c r="EKI238" s="1"/>
      <c r="EKJ238" s="1"/>
      <c r="EKK238" s="1"/>
      <c r="EKL238" s="1"/>
      <c r="EKM238" s="1"/>
      <c r="EKN238" s="1"/>
      <c r="EKO238" s="1"/>
      <c r="EKP238" s="1"/>
      <c r="EKQ238" s="1"/>
      <c r="EKR238" s="1"/>
      <c r="EKS238" s="1"/>
      <c r="EKT238" s="1"/>
      <c r="EKU238" s="1"/>
      <c r="EKV238" s="1"/>
      <c r="EKW238" s="1"/>
      <c r="EKX238" s="1"/>
      <c r="EKY238" s="1"/>
      <c r="EKZ238" s="1"/>
      <c r="ELA238" s="1"/>
      <c r="ELB238" s="1"/>
      <c r="ELC238" s="1"/>
      <c r="ELD238" s="1"/>
      <c r="ELE238" s="1"/>
      <c r="ELF238" s="1"/>
      <c r="ELG238" s="1"/>
      <c r="ELH238" s="1"/>
      <c r="ELI238" s="1"/>
      <c r="ELJ238" s="1"/>
      <c r="ELK238" s="1"/>
      <c r="ELL238" s="1"/>
      <c r="ELM238" s="1"/>
      <c r="ELN238" s="1"/>
      <c r="ELO238" s="1"/>
      <c r="ELP238" s="1"/>
      <c r="ELQ238" s="1"/>
      <c r="ELR238" s="1"/>
      <c r="ELS238" s="1"/>
      <c r="ELT238" s="1"/>
      <c r="ELU238" s="1"/>
      <c r="ELV238" s="1"/>
      <c r="ELW238" s="1"/>
      <c r="ELX238" s="1"/>
      <c r="ELY238" s="1"/>
      <c r="ELZ238" s="1"/>
      <c r="EMA238" s="1"/>
      <c r="EMB238" s="1"/>
      <c r="EMC238" s="1"/>
      <c r="EMD238" s="1"/>
      <c r="EME238" s="1"/>
      <c r="EMF238" s="1"/>
      <c r="EMG238" s="1"/>
      <c r="EMH238" s="1"/>
      <c r="EMI238" s="1"/>
      <c r="EMJ238" s="1"/>
      <c r="EMK238" s="1"/>
      <c r="EML238" s="1"/>
      <c r="EMM238" s="1"/>
      <c r="EMN238" s="1"/>
      <c r="EMO238" s="1"/>
      <c r="EMP238" s="1"/>
      <c r="EMQ238" s="1"/>
      <c r="EMR238" s="1"/>
      <c r="EMS238" s="1"/>
      <c r="EMT238" s="1"/>
      <c r="EMU238" s="1"/>
      <c r="EMV238" s="1"/>
      <c r="EMW238" s="1"/>
      <c r="EMX238" s="1"/>
      <c r="EMY238" s="1"/>
      <c r="EMZ238" s="1"/>
      <c r="ENA238" s="1"/>
      <c r="ENB238" s="1"/>
      <c r="ENC238" s="1"/>
      <c r="END238" s="1"/>
      <c r="ENE238" s="1"/>
      <c r="ENF238" s="1"/>
      <c r="ENG238" s="1"/>
      <c r="ENH238" s="1"/>
      <c r="ENI238" s="1"/>
      <c r="ENJ238" s="1"/>
      <c r="ENK238" s="1"/>
      <c r="ENL238" s="1"/>
      <c r="ENM238" s="1"/>
      <c r="ENN238" s="1"/>
      <c r="ENO238" s="1"/>
      <c r="ENP238" s="1"/>
      <c r="ENQ238" s="1"/>
      <c r="ENR238" s="1"/>
      <c r="ENS238" s="1"/>
      <c r="ENT238" s="1"/>
      <c r="ENU238" s="1"/>
      <c r="ENV238" s="1"/>
      <c r="ENW238" s="1"/>
      <c r="ENX238" s="1"/>
      <c r="ENY238" s="1"/>
      <c r="ENZ238" s="1"/>
      <c r="EOA238" s="1"/>
      <c r="EOB238" s="1"/>
      <c r="EOC238" s="1"/>
      <c r="EOD238" s="1"/>
      <c r="EOE238" s="1"/>
      <c r="EOF238" s="1"/>
      <c r="EOG238" s="1"/>
      <c r="EOH238" s="1"/>
      <c r="EOI238" s="1"/>
      <c r="EOJ238" s="1"/>
      <c r="EOK238" s="1"/>
      <c r="EOL238" s="1"/>
      <c r="EOM238" s="1"/>
      <c r="EON238" s="1"/>
      <c r="EOO238" s="1"/>
      <c r="EOP238" s="1"/>
      <c r="EOQ238" s="1"/>
      <c r="EOR238" s="1"/>
      <c r="EOS238" s="1"/>
      <c r="EOT238" s="1"/>
      <c r="EOU238" s="1"/>
      <c r="EOV238" s="1"/>
      <c r="EOW238" s="1"/>
      <c r="EOX238" s="1"/>
      <c r="EOY238" s="1"/>
      <c r="EOZ238" s="1"/>
      <c r="EPA238" s="1"/>
      <c r="EPB238" s="1"/>
      <c r="EPC238" s="1"/>
      <c r="EPD238" s="1"/>
      <c r="EPE238" s="1"/>
      <c r="EPF238" s="1"/>
      <c r="EPG238" s="1"/>
      <c r="EPH238" s="1"/>
      <c r="EPI238" s="1"/>
      <c r="EPJ238" s="1"/>
      <c r="EPK238" s="1"/>
      <c r="EPL238" s="1"/>
      <c r="EPM238" s="1"/>
      <c r="EPN238" s="1"/>
      <c r="EPO238" s="1"/>
      <c r="EPP238" s="1"/>
      <c r="EPQ238" s="1"/>
      <c r="EPR238" s="1"/>
      <c r="EPS238" s="1"/>
      <c r="EPT238" s="1"/>
      <c r="EPU238" s="1"/>
      <c r="EPV238" s="1"/>
      <c r="EPW238" s="1"/>
      <c r="EPX238" s="1"/>
      <c r="EPY238" s="1"/>
      <c r="EPZ238" s="1"/>
      <c r="EQA238" s="1"/>
      <c r="EQB238" s="1"/>
      <c r="EQC238" s="1"/>
      <c r="EQD238" s="1"/>
      <c r="EQE238" s="1"/>
      <c r="EQF238" s="1"/>
      <c r="EQG238" s="1"/>
      <c r="EQH238" s="1"/>
      <c r="EQI238" s="1"/>
      <c r="EQJ238" s="1"/>
      <c r="EQK238" s="1"/>
      <c r="EQL238" s="1"/>
      <c r="EQM238" s="1"/>
      <c r="EQN238" s="1"/>
      <c r="EQO238" s="1"/>
      <c r="EQP238" s="1"/>
      <c r="EQQ238" s="1"/>
      <c r="EQR238" s="1"/>
      <c r="EQS238" s="1"/>
      <c r="EQT238" s="1"/>
      <c r="EQU238" s="1"/>
      <c r="EQV238" s="1"/>
      <c r="EQW238" s="1"/>
      <c r="EQX238" s="1"/>
      <c r="EQY238" s="1"/>
      <c r="EQZ238" s="1"/>
      <c r="ERA238" s="1"/>
      <c r="ERB238" s="1"/>
      <c r="ERC238" s="1"/>
      <c r="ERD238" s="1"/>
      <c r="ERE238" s="1"/>
      <c r="ERF238" s="1"/>
      <c r="ERG238" s="1"/>
      <c r="ERH238" s="1"/>
      <c r="ERI238" s="1"/>
      <c r="ERJ238" s="1"/>
      <c r="ERK238" s="1"/>
      <c r="ERL238" s="1"/>
      <c r="ERM238" s="1"/>
      <c r="ERN238" s="1"/>
      <c r="ERO238" s="1"/>
      <c r="ERP238" s="1"/>
      <c r="ERQ238" s="1"/>
      <c r="ERR238" s="1"/>
      <c r="ERS238" s="1"/>
      <c r="ERT238" s="1"/>
      <c r="ERU238" s="1"/>
      <c r="ERV238" s="1"/>
      <c r="ERW238" s="1"/>
      <c r="ERX238" s="1"/>
      <c r="ERY238" s="1"/>
      <c r="ERZ238" s="1"/>
      <c r="ESA238" s="1"/>
      <c r="ESB238" s="1"/>
      <c r="ESC238" s="1"/>
      <c r="ESD238" s="1"/>
      <c r="ESE238" s="1"/>
      <c r="ESF238" s="1"/>
      <c r="ESG238" s="1"/>
      <c r="ESH238" s="1"/>
      <c r="ESI238" s="1"/>
      <c r="ESJ238" s="1"/>
      <c r="ESK238" s="1"/>
      <c r="ESL238" s="1"/>
      <c r="ESM238" s="1"/>
      <c r="ESN238" s="1"/>
      <c r="ESO238" s="1"/>
      <c r="ESP238" s="1"/>
      <c r="ESQ238" s="1"/>
      <c r="ESR238" s="1"/>
      <c r="ESS238" s="1"/>
      <c r="EST238" s="1"/>
      <c r="ESU238" s="1"/>
      <c r="ESV238" s="1"/>
      <c r="ESW238" s="1"/>
      <c r="ESX238" s="1"/>
      <c r="ESY238" s="1"/>
      <c r="ESZ238" s="1"/>
      <c r="ETA238" s="1"/>
      <c r="ETB238" s="1"/>
      <c r="ETC238" s="1"/>
      <c r="ETD238" s="1"/>
      <c r="ETE238" s="1"/>
      <c r="ETF238" s="1"/>
      <c r="ETG238" s="1"/>
      <c r="ETH238" s="1"/>
      <c r="ETI238" s="1"/>
      <c r="ETJ238" s="1"/>
      <c r="ETK238" s="1"/>
      <c r="ETL238" s="1"/>
      <c r="ETM238" s="1"/>
      <c r="ETN238" s="1"/>
      <c r="ETO238" s="1"/>
      <c r="ETP238" s="1"/>
      <c r="ETQ238" s="1"/>
      <c r="ETR238" s="1"/>
      <c r="ETS238" s="1"/>
      <c r="ETT238" s="1"/>
      <c r="ETU238" s="1"/>
      <c r="ETV238" s="1"/>
      <c r="ETW238" s="1"/>
      <c r="ETX238" s="1"/>
      <c r="ETY238" s="1"/>
      <c r="ETZ238" s="1"/>
      <c r="EUA238" s="1"/>
      <c r="EUB238" s="1"/>
      <c r="EUC238" s="1"/>
      <c r="EUD238" s="1"/>
      <c r="EUE238" s="1"/>
      <c r="EUF238" s="1"/>
      <c r="EUG238" s="1"/>
      <c r="EUH238" s="1"/>
      <c r="EUI238" s="1"/>
      <c r="EUJ238" s="1"/>
      <c r="EUK238" s="1"/>
      <c r="EUL238" s="1"/>
      <c r="EUM238" s="1"/>
      <c r="EUN238" s="1"/>
      <c r="EUO238" s="1"/>
      <c r="EUP238" s="1"/>
      <c r="EUQ238" s="1"/>
      <c r="EUR238" s="1"/>
      <c r="EUS238" s="1"/>
      <c r="EUT238" s="1"/>
      <c r="EUU238" s="1"/>
      <c r="EUV238" s="1"/>
      <c r="EUW238" s="1"/>
      <c r="EUX238" s="1"/>
      <c r="EUY238" s="1"/>
      <c r="EUZ238" s="1"/>
      <c r="EVA238" s="1"/>
      <c r="EVB238" s="1"/>
      <c r="EVC238" s="1"/>
      <c r="EVD238" s="1"/>
      <c r="EVE238" s="1"/>
      <c r="EVF238" s="1"/>
      <c r="EVG238" s="1"/>
      <c r="EVH238" s="1"/>
      <c r="EVI238" s="1"/>
      <c r="EVJ238" s="1"/>
      <c r="EVK238" s="1"/>
      <c r="EVL238" s="1"/>
      <c r="EVM238" s="1"/>
      <c r="EVN238" s="1"/>
      <c r="EVO238" s="1"/>
      <c r="EVP238" s="1"/>
      <c r="EVQ238" s="1"/>
      <c r="EVR238" s="1"/>
      <c r="EVS238" s="1"/>
      <c r="EVT238" s="1"/>
      <c r="EVU238" s="1"/>
      <c r="EVV238" s="1"/>
      <c r="EVW238" s="1"/>
      <c r="EVX238" s="1"/>
      <c r="EVY238" s="1"/>
      <c r="EVZ238" s="1"/>
      <c r="EWA238" s="1"/>
      <c r="EWB238" s="1"/>
      <c r="EWC238" s="1"/>
      <c r="EWD238" s="1"/>
      <c r="EWE238" s="1"/>
      <c r="EWF238" s="1"/>
      <c r="EWG238" s="1"/>
      <c r="EWH238" s="1"/>
      <c r="EWI238" s="1"/>
      <c r="EWJ238" s="1"/>
      <c r="EWK238" s="1"/>
      <c r="EWL238" s="1"/>
      <c r="EWM238" s="1"/>
      <c r="EWN238" s="1"/>
      <c r="EWO238" s="1"/>
      <c r="EWP238" s="1"/>
      <c r="EWQ238" s="1"/>
      <c r="EWR238" s="1"/>
      <c r="EWS238" s="1"/>
      <c r="EWT238" s="1"/>
      <c r="EWU238" s="1"/>
      <c r="EWV238" s="1"/>
      <c r="EWW238" s="1"/>
      <c r="EWX238" s="1"/>
      <c r="EWY238" s="1"/>
      <c r="EWZ238" s="1"/>
      <c r="EXA238" s="1"/>
      <c r="EXB238" s="1"/>
      <c r="EXC238" s="1"/>
      <c r="EXD238" s="1"/>
      <c r="EXE238" s="1"/>
      <c r="EXF238" s="1"/>
      <c r="EXG238" s="1"/>
      <c r="EXH238" s="1"/>
      <c r="EXI238" s="1"/>
      <c r="EXJ238" s="1"/>
      <c r="EXK238" s="1"/>
      <c r="EXL238" s="1"/>
      <c r="EXM238" s="1"/>
      <c r="EXN238" s="1"/>
      <c r="EXO238" s="1"/>
      <c r="EXP238" s="1"/>
      <c r="EXQ238" s="1"/>
      <c r="EXR238" s="1"/>
      <c r="EXS238" s="1"/>
      <c r="EXT238" s="1"/>
      <c r="EXU238" s="1"/>
      <c r="EXV238" s="1"/>
      <c r="EXW238" s="1"/>
      <c r="EXX238" s="1"/>
      <c r="EXY238" s="1"/>
      <c r="EXZ238" s="1"/>
      <c r="EYA238" s="1"/>
      <c r="EYB238" s="1"/>
      <c r="EYC238" s="1"/>
      <c r="EYD238" s="1"/>
      <c r="EYE238" s="1"/>
      <c r="EYF238" s="1"/>
      <c r="EYG238" s="1"/>
      <c r="EYH238" s="1"/>
      <c r="EYI238" s="1"/>
      <c r="EYJ238" s="1"/>
      <c r="EYK238" s="1"/>
      <c r="EYL238" s="1"/>
      <c r="EYM238" s="1"/>
      <c r="EYN238" s="1"/>
      <c r="EYO238" s="1"/>
      <c r="EYP238" s="1"/>
      <c r="EYQ238" s="1"/>
      <c r="EYR238" s="1"/>
      <c r="EYS238" s="1"/>
      <c r="EYT238" s="1"/>
      <c r="EYU238" s="1"/>
      <c r="EYV238" s="1"/>
      <c r="EYW238" s="1"/>
      <c r="EYX238" s="1"/>
      <c r="EYY238" s="1"/>
      <c r="EYZ238" s="1"/>
      <c r="EZA238" s="1"/>
      <c r="EZB238" s="1"/>
      <c r="EZC238" s="1"/>
      <c r="EZD238" s="1"/>
      <c r="EZE238" s="1"/>
      <c r="EZF238" s="1"/>
      <c r="EZG238" s="1"/>
      <c r="EZH238" s="1"/>
      <c r="EZI238" s="1"/>
      <c r="EZJ238" s="1"/>
      <c r="EZK238" s="1"/>
      <c r="EZL238" s="1"/>
      <c r="EZM238" s="1"/>
      <c r="EZN238" s="1"/>
      <c r="EZO238" s="1"/>
      <c r="EZP238" s="1"/>
      <c r="EZQ238" s="1"/>
      <c r="EZR238" s="1"/>
      <c r="EZS238" s="1"/>
      <c r="EZT238" s="1"/>
      <c r="EZU238" s="1"/>
      <c r="EZV238" s="1"/>
      <c r="EZW238" s="1"/>
      <c r="EZX238" s="1"/>
      <c r="EZY238" s="1"/>
      <c r="EZZ238" s="1"/>
      <c r="FAA238" s="1"/>
      <c r="FAB238" s="1"/>
      <c r="FAC238" s="1"/>
      <c r="FAD238" s="1"/>
      <c r="FAE238" s="1"/>
      <c r="FAF238" s="1"/>
      <c r="FAG238" s="1"/>
      <c r="FAH238" s="1"/>
      <c r="FAI238" s="1"/>
      <c r="FAJ238" s="1"/>
      <c r="FAK238" s="1"/>
      <c r="FAL238" s="1"/>
      <c r="FAM238" s="1"/>
      <c r="FAN238" s="1"/>
      <c r="FAO238" s="1"/>
      <c r="FAP238" s="1"/>
      <c r="FAQ238" s="1"/>
      <c r="FAR238" s="1"/>
      <c r="FAS238" s="1"/>
      <c r="FAT238" s="1"/>
      <c r="FAU238" s="1"/>
      <c r="FAV238" s="1"/>
      <c r="FAW238" s="1"/>
      <c r="FAX238" s="1"/>
      <c r="FAY238" s="1"/>
      <c r="FAZ238" s="1"/>
      <c r="FBA238" s="1"/>
      <c r="FBB238" s="1"/>
      <c r="FBC238" s="1"/>
      <c r="FBD238" s="1"/>
      <c r="FBE238" s="1"/>
      <c r="FBF238" s="1"/>
      <c r="FBG238" s="1"/>
      <c r="FBH238" s="1"/>
      <c r="FBI238" s="1"/>
      <c r="FBJ238" s="1"/>
      <c r="FBK238" s="1"/>
      <c r="FBL238" s="1"/>
      <c r="FBM238" s="1"/>
      <c r="FBN238" s="1"/>
      <c r="FBO238" s="1"/>
      <c r="FBP238" s="1"/>
      <c r="FBQ238" s="1"/>
      <c r="FBR238" s="1"/>
      <c r="FBS238" s="1"/>
      <c r="FBT238" s="1"/>
      <c r="FBU238" s="1"/>
      <c r="FBV238" s="1"/>
      <c r="FBW238" s="1"/>
      <c r="FBX238" s="1"/>
      <c r="FBY238" s="1"/>
      <c r="FBZ238" s="1"/>
      <c r="FCA238" s="1"/>
      <c r="FCB238" s="1"/>
      <c r="FCC238" s="1"/>
      <c r="FCD238" s="1"/>
      <c r="FCE238" s="1"/>
      <c r="FCF238" s="1"/>
      <c r="FCG238" s="1"/>
      <c r="FCH238" s="1"/>
      <c r="FCI238" s="1"/>
      <c r="FCJ238" s="1"/>
      <c r="FCK238" s="1"/>
      <c r="FCL238" s="1"/>
      <c r="FCM238" s="1"/>
      <c r="FCN238" s="1"/>
      <c r="FCO238" s="1"/>
      <c r="FCP238" s="1"/>
      <c r="FCQ238" s="1"/>
      <c r="FCR238" s="1"/>
      <c r="FCS238" s="1"/>
      <c r="FCT238" s="1"/>
      <c r="FCU238" s="1"/>
      <c r="FCV238" s="1"/>
      <c r="FCW238" s="1"/>
      <c r="FCX238" s="1"/>
      <c r="FCY238" s="1"/>
      <c r="FCZ238" s="1"/>
      <c r="FDA238" s="1"/>
      <c r="FDB238" s="1"/>
      <c r="FDC238" s="1"/>
      <c r="FDD238" s="1"/>
      <c r="FDE238" s="1"/>
      <c r="FDF238" s="1"/>
      <c r="FDG238" s="1"/>
      <c r="FDH238" s="1"/>
      <c r="FDI238" s="1"/>
      <c r="FDJ238" s="1"/>
      <c r="FDK238" s="1"/>
      <c r="FDL238" s="1"/>
      <c r="FDM238" s="1"/>
      <c r="FDN238" s="1"/>
      <c r="FDO238" s="1"/>
      <c r="FDP238" s="1"/>
      <c r="FDQ238" s="1"/>
      <c r="FDR238" s="1"/>
      <c r="FDS238" s="1"/>
      <c r="FDT238" s="1"/>
      <c r="FDU238" s="1"/>
      <c r="FDV238" s="1"/>
      <c r="FDW238" s="1"/>
      <c r="FDX238" s="1"/>
      <c r="FDY238" s="1"/>
      <c r="FDZ238" s="1"/>
      <c r="FEA238" s="1"/>
      <c r="FEB238" s="1"/>
      <c r="FEC238" s="1"/>
      <c r="FED238" s="1"/>
      <c r="FEE238" s="1"/>
      <c r="FEF238" s="1"/>
      <c r="FEG238" s="1"/>
      <c r="FEH238" s="1"/>
      <c r="FEI238" s="1"/>
      <c r="FEJ238" s="1"/>
      <c r="FEK238" s="1"/>
      <c r="FEL238" s="1"/>
      <c r="FEM238" s="1"/>
      <c r="FEN238" s="1"/>
      <c r="FEO238" s="1"/>
      <c r="FEP238" s="1"/>
      <c r="FEQ238" s="1"/>
      <c r="FER238" s="1"/>
      <c r="FES238" s="1"/>
      <c r="FET238" s="1"/>
      <c r="FEU238" s="1"/>
      <c r="FEV238" s="1"/>
      <c r="FEW238" s="1"/>
      <c r="FEX238" s="1"/>
      <c r="FEY238" s="1"/>
      <c r="FEZ238" s="1"/>
      <c r="FFA238" s="1"/>
      <c r="FFB238" s="1"/>
      <c r="FFC238" s="1"/>
      <c r="FFD238" s="1"/>
      <c r="FFE238" s="1"/>
      <c r="FFF238" s="1"/>
      <c r="FFG238" s="1"/>
      <c r="FFH238" s="1"/>
      <c r="FFI238" s="1"/>
      <c r="FFJ238" s="1"/>
      <c r="FFK238" s="1"/>
      <c r="FFL238" s="1"/>
      <c r="FFM238" s="1"/>
      <c r="FFN238" s="1"/>
      <c r="FFO238" s="1"/>
      <c r="FFP238" s="1"/>
      <c r="FFQ238" s="1"/>
      <c r="FFR238" s="1"/>
      <c r="FFS238" s="1"/>
      <c r="FFT238" s="1"/>
      <c r="FFU238" s="1"/>
      <c r="FFV238" s="1"/>
      <c r="FFW238" s="1"/>
      <c r="FFX238" s="1"/>
      <c r="FFY238" s="1"/>
      <c r="FFZ238" s="1"/>
      <c r="FGA238" s="1"/>
      <c r="FGB238" s="1"/>
      <c r="FGC238" s="1"/>
      <c r="FGD238" s="1"/>
      <c r="FGE238" s="1"/>
      <c r="FGF238" s="1"/>
      <c r="FGG238" s="1"/>
      <c r="FGH238" s="1"/>
      <c r="FGI238" s="1"/>
      <c r="FGJ238" s="1"/>
      <c r="FGK238" s="1"/>
      <c r="FGL238" s="1"/>
      <c r="FGM238" s="1"/>
      <c r="FGN238" s="1"/>
      <c r="FGO238" s="1"/>
      <c r="FGP238" s="1"/>
      <c r="FGQ238" s="1"/>
      <c r="FGR238" s="1"/>
      <c r="FGS238" s="1"/>
      <c r="FGT238" s="1"/>
      <c r="FGU238" s="1"/>
      <c r="FGV238" s="1"/>
      <c r="FGW238" s="1"/>
      <c r="FGX238" s="1"/>
      <c r="FGY238" s="1"/>
      <c r="FGZ238" s="1"/>
      <c r="FHA238" s="1"/>
      <c r="FHB238" s="1"/>
      <c r="FHC238" s="1"/>
      <c r="FHD238" s="1"/>
      <c r="FHE238" s="1"/>
      <c r="FHF238" s="1"/>
      <c r="FHG238" s="1"/>
      <c r="FHH238" s="1"/>
      <c r="FHI238" s="1"/>
      <c r="FHJ238" s="1"/>
      <c r="FHK238" s="1"/>
      <c r="FHL238" s="1"/>
      <c r="FHM238" s="1"/>
      <c r="FHN238" s="1"/>
      <c r="FHO238" s="1"/>
      <c r="FHP238" s="1"/>
      <c r="FHQ238" s="1"/>
      <c r="FHR238" s="1"/>
      <c r="FHS238" s="1"/>
      <c r="FHT238" s="1"/>
      <c r="FHU238" s="1"/>
      <c r="FHV238" s="1"/>
      <c r="FHW238" s="1"/>
      <c r="FHX238" s="1"/>
      <c r="FHY238" s="1"/>
      <c r="FHZ238" s="1"/>
      <c r="FIA238" s="1"/>
      <c r="FIB238" s="1"/>
      <c r="FIC238" s="1"/>
      <c r="FID238" s="1"/>
      <c r="FIE238" s="1"/>
      <c r="FIF238" s="1"/>
      <c r="FIG238" s="1"/>
      <c r="FIH238" s="1"/>
      <c r="FII238" s="1"/>
      <c r="FIJ238" s="1"/>
      <c r="FIK238" s="1"/>
      <c r="FIL238" s="1"/>
      <c r="FIM238" s="1"/>
      <c r="FIN238" s="1"/>
      <c r="FIO238" s="1"/>
      <c r="FIP238" s="1"/>
      <c r="FIQ238" s="1"/>
      <c r="FIR238" s="1"/>
      <c r="FIS238" s="1"/>
      <c r="FIT238" s="1"/>
      <c r="FIU238" s="1"/>
      <c r="FIV238" s="1"/>
      <c r="FIW238" s="1"/>
      <c r="FIX238" s="1"/>
      <c r="FIY238" s="1"/>
      <c r="FIZ238" s="1"/>
      <c r="FJA238" s="1"/>
      <c r="FJB238" s="1"/>
      <c r="FJC238" s="1"/>
      <c r="FJD238" s="1"/>
      <c r="FJE238" s="1"/>
      <c r="FJF238" s="1"/>
      <c r="FJG238" s="1"/>
      <c r="FJH238" s="1"/>
      <c r="FJI238" s="1"/>
      <c r="FJJ238" s="1"/>
      <c r="FJK238" s="1"/>
      <c r="FJL238" s="1"/>
      <c r="FJM238" s="1"/>
      <c r="FJN238" s="1"/>
      <c r="FJO238" s="1"/>
      <c r="FJP238" s="1"/>
      <c r="FJQ238" s="1"/>
      <c r="FJR238" s="1"/>
      <c r="FJS238" s="1"/>
      <c r="FJT238" s="1"/>
      <c r="FJU238" s="1"/>
      <c r="FJV238" s="1"/>
      <c r="FJW238" s="1"/>
      <c r="FJX238" s="1"/>
      <c r="FJY238" s="1"/>
      <c r="FJZ238" s="1"/>
      <c r="FKA238" s="1"/>
      <c r="FKB238" s="1"/>
      <c r="FKC238" s="1"/>
      <c r="FKD238" s="1"/>
      <c r="FKE238" s="1"/>
      <c r="FKF238" s="1"/>
      <c r="FKG238" s="1"/>
      <c r="FKH238" s="1"/>
      <c r="FKI238" s="1"/>
      <c r="FKJ238" s="1"/>
      <c r="FKK238" s="1"/>
      <c r="FKL238" s="1"/>
      <c r="FKM238" s="1"/>
      <c r="FKN238" s="1"/>
      <c r="FKO238" s="1"/>
      <c r="FKP238" s="1"/>
      <c r="FKQ238" s="1"/>
      <c r="FKR238" s="1"/>
      <c r="FKS238" s="1"/>
      <c r="FKT238" s="1"/>
      <c r="FKU238" s="1"/>
      <c r="FKV238" s="1"/>
      <c r="FKW238" s="1"/>
      <c r="FKX238" s="1"/>
      <c r="FKY238" s="1"/>
      <c r="FKZ238" s="1"/>
      <c r="FLA238" s="1"/>
      <c r="FLB238" s="1"/>
      <c r="FLC238" s="1"/>
      <c r="FLD238" s="1"/>
      <c r="FLE238" s="1"/>
      <c r="FLF238" s="1"/>
      <c r="FLG238" s="1"/>
      <c r="FLH238" s="1"/>
      <c r="FLI238" s="1"/>
      <c r="FLJ238" s="1"/>
      <c r="FLK238" s="1"/>
      <c r="FLL238" s="1"/>
      <c r="FLM238" s="1"/>
      <c r="FLN238" s="1"/>
      <c r="FLO238" s="1"/>
      <c r="FLP238" s="1"/>
      <c r="FLQ238" s="1"/>
      <c r="FLR238" s="1"/>
      <c r="FLS238" s="1"/>
      <c r="FLT238" s="1"/>
      <c r="FLU238" s="1"/>
      <c r="FLV238" s="1"/>
      <c r="FLW238" s="1"/>
      <c r="FLX238" s="1"/>
      <c r="FLY238" s="1"/>
      <c r="FLZ238" s="1"/>
      <c r="FMA238" s="1"/>
      <c r="FMB238" s="1"/>
      <c r="FMC238" s="1"/>
      <c r="FMD238" s="1"/>
      <c r="FME238" s="1"/>
      <c r="FMF238" s="1"/>
      <c r="FMG238" s="1"/>
      <c r="FMH238" s="1"/>
      <c r="FMI238" s="1"/>
      <c r="FMJ238" s="1"/>
      <c r="FMK238" s="1"/>
      <c r="FML238" s="1"/>
      <c r="FMM238" s="1"/>
      <c r="FMN238" s="1"/>
      <c r="FMO238" s="1"/>
      <c r="FMP238" s="1"/>
      <c r="FMQ238" s="1"/>
      <c r="FMR238" s="1"/>
      <c r="FMS238" s="1"/>
      <c r="FMT238" s="1"/>
      <c r="FMU238" s="1"/>
      <c r="FMV238" s="1"/>
      <c r="FMW238" s="1"/>
      <c r="FMX238" s="1"/>
      <c r="FMY238" s="1"/>
      <c r="FMZ238" s="1"/>
      <c r="FNA238" s="1"/>
      <c r="FNB238" s="1"/>
      <c r="FNC238" s="1"/>
      <c r="FND238" s="1"/>
      <c r="FNE238" s="1"/>
      <c r="FNF238" s="1"/>
      <c r="FNG238" s="1"/>
      <c r="FNH238" s="1"/>
      <c r="FNI238" s="1"/>
      <c r="FNJ238" s="1"/>
      <c r="FNK238" s="1"/>
      <c r="FNL238" s="1"/>
      <c r="FNM238" s="1"/>
      <c r="FNN238" s="1"/>
      <c r="FNO238" s="1"/>
      <c r="FNP238" s="1"/>
      <c r="FNQ238" s="1"/>
      <c r="FNR238" s="1"/>
      <c r="FNS238" s="1"/>
      <c r="FNT238" s="1"/>
      <c r="FNU238" s="1"/>
      <c r="FNV238" s="1"/>
      <c r="FNW238" s="1"/>
      <c r="FNX238" s="1"/>
      <c r="FNY238" s="1"/>
      <c r="FNZ238" s="1"/>
      <c r="FOA238" s="1"/>
      <c r="FOB238" s="1"/>
      <c r="FOC238" s="1"/>
      <c r="FOD238" s="1"/>
      <c r="FOE238" s="1"/>
      <c r="FOF238" s="1"/>
      <c r="FOG238" s="1"/>
      <c r="FOH238" s="1"/>
      <c r="FOI238" s="1"/>
      <c r="FOJ238" s="1"/>
      <c r="FOK238" s="1"/>
      <c r="FOL238" s="1"/>
      <c r="FOM238" s="1"/>
      <c r="FON238" s="1"/>
      <c r="FOO238" s="1"/>
      <c r="FOP238" s="1"/>
      <c r="FOQ238" s="1"/>
      <c r="FOR238" s="1"/>
      <c r="FOS238" s="1"/>
      <c r="FOT238" s="1"/>
      <c r="FOU238" s="1"/>
      <c r="FOV238" s="1"/>
      <c r="FOW238" s="1"/>
      <c r="FOX238" s="1"/>
      <c r="FOY238" s="1"/>
      <c r="FOZ238" s="1"/>
      <c r="FPA238" s="1"/>
      <c r="FPB238" s="1"/>
      <c r="FPC238" s="1"/>
      <c r="FPD238" s="1"/>
      <c r="FPE238" s="1"/>
      <c r="FPF238" s="1"/>
      <c r="FPG238" s="1"/>
      <c r="FPH238" s="1"/>
      <c r="FPI238" s="1"/>
      <c r="FPJ238" s="1"/>
      <c r="FPK238" s="1"/>
      <c r="FPL238" s="1"/>
      <c r="FPM238" s="1"/>
      <c r="FPN238" s="1"/>
      <c r="FPO238" s="1"/>
      <c r="FPP238" s="1"/>
      <c r="FPQ238" s="1"/>
      <c r="FPR238" s="1"/>
      <c r="FPS238" s="1"/>
      <c r="FPT238" s="1"/>
      <c r="FPU238" s="1"/>
      <c r="FPV238" s="1"/>
      <c r="FPW238" s="1"/>
      <c r="FPX238" s="1"/>
      <c r="FPY238" s="1"/>
      <c r="FPZ238" s="1"/>
      <c r="FQA238" s="1"/>
      <c r="FQB238" s="1"/>
      <c r="FQC238" s="1"/>
      <c r="FQD238" s="1"/>
      <c r="FQE238" s="1"/>
      <c r="FQF238" s="1"/>
      <c r="FQG238" s="1"/>
      <c r="FQH238" s="1"/>
      <c r="FQI238" s="1"/>
      <c r="FQJ238" s="1"/>
      <c r="FQK238" s="1"/>
      <c r="FQL238" s="1"/>
      <c r="FQM238" s="1"/>
      <c r="FQN238" s="1"/>
      <c r="FQO238" s="1"/>
      <c r="FQP238" s="1"/>
      <c r="FQQ238" s="1"/>
      <c r="FQR238" s="1"/>
      <c r="FQS238" s="1"/>
      <c r="FQT238" s="1"/>
      <c r="FQU238" s="1"/>
      <c r="FQV238" s="1"/>
      <c r="FQW238" s="1"/>
      <c r="FQX238" s="1"/>
      <c r="FQY238" s="1"/>
      <c r="FQZ238" s="1"/>
      <c r="FRA238" s="1"/>
      <c r="FRB238" s="1"/>
      <c r="FRC238" s="1"/>
      <c r="FRD238" s="1"/>
      <c r="FRE238" s="1"/>
      <c r="FRF238" s="1"/>
      <c r="FRG238" s="1"/>
      <c r="FRH238" s="1"/>
      <c r="FRI238" s="1"/>
      <c r="FRJ238" s="1"/>
      <c r="FRK238" s="1"/>
      <c r="FRL238" s="1"/>
      <c r="FRM238" s="1"/>
      <c r="FRN238" s="1"/>
      <c r="FRO238" s="1"/>
      <c r="FRP238" s="1"/>
      <c r="FRQ238" s="1"/>
      <c r="FRR238" s="1"/>
      <c r="FRS238" s="1"/>
      <c r="FRT238" s="1"/>
      <c r="FRU238" s="1"/>
      <c r="FRV238" s="1"/>
      <c r="FRW238" s="1"/>
      <c r="FRX238" s="1"/>
      <c r="FRY238" s="1"/>
      <c r="FRZ238" s="1"/>
      <c r="FSA238" s="1"/>
      <c r="FSB238" s="1"/>
      <c r="FSC238" s="1"/>
      <c r="FSD238" s="1"/>
      <c r="FSE238" s="1"/>
      <c r="FSF238" s="1"/>
      <c r="FSG238" s="1"/>
      <c r="FSH238" s="1"/>
      <c r="FSI238" s="1"/>
      <c r="FSJ238" s="1"/>
      <c r="FSK238" s="1"/>
      <c r="FSL238" s="1"/>
      <c r="FSM238" s="1"/>
      <c r="FSN238" s="1"/>
      <c r="FSO238" s="1"/>
      <c r="FSP238" s="1"/>
      <c r="FSQ238" s="1"/>
      <c r="FSR238" s="1"/>
      <c r="FSS238" s="1"/>
      <c r="FST238" s="1"/>
      <c r="FSU238" s="1"/>
      <c r="FSV238" s="1"/>
      <c r="FSW238" s="1"/>
      <c r="FSX238" s="1"/>
      <c r="FSY238" s="1"/>
      <c r="FSZ238" s="1"/>
      <c r="FTA238" s="1"/>
      <c r="FTB238" s="1"/>
      <c r="FTC238" s="1"/>
      <c r="FTD238" s="1"/>
      <c r="FTE238" s="1"/>
      <c r="FTF238" s="1"/>
      <c r="FTG238" s="1"/>
      <c r="FTH238" s="1"/>
      <c r="FTI238" s="1"/>
      <c r="FTJ238" s="1"/>
      <c r="FTK238" s="1"/>
      <c r="FTL238" s="1"/>
      <c r="FTM238" s="1"/>
      <c r="FTN238" s="1"/>
      <c r="FTO238" s="1"/>
      <c r="FTP238" s="1"/>
      <c r="FTQ238" s="1"/>
      <c r="FTR238" s="1"/>
      <c r="FTS238" s="1"/>
      <c r="FTT238" s="1"/>
      <c r="FTU238" s="1"/>
      <c r="FTV238" s="1"/>
      <c r="FTW238" s="1"/>
      <c r="FTX238" s="1"/>
      <c r="FTY238" s="1"/>
      <c r="FTZ238" s="1"/>
      <c r="FUA238" s="1"/>
      <c r="FUB238" s="1"/>
      <c r="FUC238" s="1"/>
      <c r="FUD238" s="1"/>
      <c r="FUE238" s="1"/>
      <c r="FUF238" s="1"/>
      <c r="FUG238" s="1"/>
      <c r="FUH238" s="1"/>
      <c r="FUI238" s="1"/>
      <c r="FUJ238" s="1"/>
      <c r="FUK238" s="1"/>
      <c r="FUL238" s="1"/>
      <c r="FUM238" s="1"/>
      <c r="FUN238" s="1"/>
      <c r="FUO238" s="1"/>
      <c r="FUP238" s="1"/>
      <c r="FUQ238" s="1"/>
      <c r="FUR238" s="1"/>
      <c r="FUS238" s="1"/>
      <c r="FUT238" s="1"/>
      <c r="FUU238" s="1"/>
      <c r="FUV238" s="1"/>
      <c r="FUW238" s="1"/>
      <c r="FUX238" s="1"/>
      <c r="FUY238" s="1"/>
      <c r="FUZ238" s="1"/>
      <c r="FVA238" s="1"/>
      <c r="FVB238" s="1"/>
      <c r="FVC238" s="1"/>
      <c r="FVD238" s="1"/>
      <c r="FVE238" s="1"/>
      <c r="FVF238" s="1"/>
      <c r="FVG238" s="1"/>
      <c r="FVH238" s="1"/>
      <c r="FVI238" s="1"/>
      <c r="FVJ238" s="1"/>
      <c r="FVK238" s="1"/>
      <c r="FVL238" s="1"/>
      <c r="FVM238" s="1"/>
      <c r="FVN238" s="1"/>
      <c r="FVO238" s="1"/>
      <c r="FVP238" s="1"/>
      <c r="FVQ238" s="1"/>
      <c r="FVR238" s="1"/>
      <c r="FVS238" s="1"/>
      <c r="FVT238" s="1"/>
      <c r="FVU238" s="1"/>
      <c r="FVV238" s="1"/>
      <c r="FVW238" s="1"/>
      <c r="FVX238" s="1"/>
      <c r="FVY238" s="1"/>
      <c r="FVZ238" s="1"/>
      <c r="FWA238" s="1"/>
      <c r="FWB238" s="1"/>
      <c r="FWC238" s="1"/>
      <c r="FWD238" s="1"/>
      <c r="FWE238" s="1"/>
      <c r="FWF238" s="1"/>
      <c r="FWG238" s="1"/>
      <c r="FWH238" s="1"/>
      <c r="FWI238" s="1"/>
      <c r="FWJ238" s="1"/>
      <c r="FWK238" s="1"/>
      <c r="FWL238" s="1"/>
      <c r="FWM238" s="1"/>
      <c r="FWN238" s="1"/>
      <c r="FWO238" s="1"/>
      <c r="FWP238" s="1"/>
      <c r="FWQ238" s="1"/>
      <c r="FWR238" s="1"/>
      <c r="FWS238" s="1"/>
      <c r="FWT238" s="1"/>
      <c r="FWU238" s="1"/>
      <c r="FWV238" s="1"/>
      <c r="FWW238" s="1"/>
      <c r="FWX238" s="1"/>
      <c r="FWY238" s="1"/>
      <c r="FWZ238" s="1"/>
      <c r="FXA238" s="1"/>
      <c r="FXB238" s="1"/>
      <c r="FXC238" s="1"/>
      <c r="FXD238" s="1"/>
      <c r="FXE238" s="1"/>
      <c r="FXF238" s="1"/>
      <c r="FXG238" s="1"/>
      <c r="FXH238" s="1"/>
      <c r="FXI238" s="1"/>
      <c r="FXJ238" s="1"/>
      <c r="FXK238" s="1"/>
      <c r="FXL238" s="1"/>
      <c r="FXM238" s="1"/>
      <c r="FXN238" s="1"/>
      <c r="FXO238" s="1"/>
      <c r="FXP238" s="1"/>
      <c r="FXQ238" s="1"/>
      <c r="FXR238" s="1"/>
      <c r="FXS238" s="1"/>
      <c r="FXT238" s="1"/>
      <c r="FXU238" s="1"/>
      <c r="FXV238" s="1"/>
      <c r="FXW238" s="1"/>
      <c r="FXX238" s="1"/>
      <c r="FXY238" s="1"/>
      <c r="FXZ238" s="1"/>
      <c r="FYA238" s="1"/>
      <c r="FYB238" s="1"/>
      <c r="FYC238" s="1"/>
      <c r="FYD238" s="1"/>
      <c r="FYE238" s="1"/>
      <c r="FYF238" s="1"/>
      <c r="FYG238" s="1"/>
      <c r="FYH238" s="1"/>
      <c r="FYI238" s="1"/>
      <c r="FYJ238" s="1"/>
      <c r="FYK238" s="1"/>
      <c r="FYL238" s="1"/>
      <c r="FYM238" s="1"/>
      <c r="FYN238" s="1"/>
      <c r="FYO238" s="1"/>
      <c r="FYP238" s="1"/>
      <c r="FYQ238" s="1"/>
      <c r="FYR238" s="1"/>
      <c r="FYS238" s="1"/>
      <c r="FYT238" s="1"/>
      <c r="FYU238" s="1"/>
      <c r="FYV238" s="1"/>
      <c r="FYW238" s="1"/>
      <c r="FYX238" s="1"/>
      <c r="FYY238" s="1"/>
      <c r="FYZ238" s="1"/>
      <c r="FZA238" s="1"/>
      <c r="FZB238" s="1"/>
      <c r="FZC238" s="1"/>
      <c r="FZD238" s="1"/>
      <c r="FZE238" s="1"/>
      <c r="FZF238" s="1"/>
      <c r="FZG238" s="1"/>
      <c r="FZH238" s="1"/>
      <c r="FZI238" s="1"/>
      <c r="FZJ238" s="1"/>
      <c r="FZK238" s="1"/>
      <c r="FZL238" s="1"/>
      <c r="FZM238" s="1"/>
      <c r="FZN238" s="1"/>
      <c r="FZO238" s="1"/>
      <c r="FZP238" s="1"/>
      <c r="FZQ238" s="1"/>
      <c r="FZR238" s="1"/>
      <c r="FZS238" s="1"/>
      <c r="FZT238" s="1"/>
      <c r="FZU238" s="1"/>
      <c r="FZV238" s="1"/>
      <c r="FZW238" s="1"/>
      <c r="FZX238" s="1"/>
      <c r="FZY238" s="1"/>
      <c r="FZZ238" s="1"/>
      <c r="GAA238" s="1"/>
      <c r="GAB238" s="1"/>
      <c r="GAC238" s="1"/>
      <c r="GAD238" s="1"/>
      <c r="GAE238" s="1"/>
      <c r="GAF238" s="1"/>
      <c r="GAG238" s="1"/>
      <c r="GAH238" s="1"/>
      <c r="GAI238" s="1"/>
      <c r="GAJ238" s="1"/>
      <c r="GAK238" s="1"/>
      <c r="GAL238" s="1"/>
      <c r="GAM238" s="1"/>
      <c r="GAN238" s="1"/>
      <c r="GAO238" s="1"/>
      <c r="GAP238" s="1"/>
      <c r="GAQ238" s="1"/>
      <c r="GAR238" s="1"/>
      <c r="GAS238" s="1"/>
      <c r="GAT238" s="1"/>
      <c r="GAU238" s="1"/>
      <c r="GAV238" s="1"/>
      <c r="GAW238" s="1"/>
      <c r="GAX238" s="1"/>
      <c r="GAY238" s="1"/>
      <c r="GAZ238" s="1"/>
      <c r="GBA238" s="1"/>
      <c r="GBB238" s="1"/>
      <c r="GBC238" s="1"/>
      <c r="GBD238" s="1"/>
      <c r="GBE238" s="1"/>
      <c r="GBF238" s="1"/>
      <c r="GBG238" s="1"/>
      <c r="GBH238" s="1"/>
      <c r="GBI238" s="1"/>
      <c r="GBJ238" s="1"/>
      <c r="GBK238" s="1"/>
      <c r="GBL238" s="1"/>
      <c r="GBM238" s="1"/>
      <c r="GBN238" s="1"/>
      <c r="GBO238" s="1"/>
      <c r="GBP238" s="1"/>
      <c r="GBQ238" s="1"/>
      <c r="GBR238" s="1"/>
      <c r="GBS238" s="1"/>
      <c r="GBT238" s="1"/>
      <c r="GBU238" s="1"/>
      <c r="GBV238" s="1"/>
      <c r="GBW238" s="1"/>
      <c r="GBX238" s="1"/>
      <c r="GBY238" s="1"/>
      <c r="GBZ238" s="1"/>
      <c r="GCA238" s="1"/>
      <c r="GCB238" s="1"/>
      <c r="GCC238" s="1"/>
      <c r="GCD238" s="1"/>
      <c r="GCE238" s="1"/>
      <c r="GCF238" s="1"/>
      <c r="GCG238" s="1"/>
      <c r="GCH238" s="1"/>
      <c r="GCI238" s="1"/>
      <c r="GCJ238" s="1"/>
      <c r="GCK238" s="1"/>
      <c r="GCL238" s="1"/>
      <c r="GCM238" s="1"/>
      <c r="GCN238" s="1"/>
      <c r="GCO238" s="1"/>
      <c r="GCP238" s="1"/>
      <c r="GCQ238" s="1"/>
      <c r="GCR238" s="1"/>
      <c r="GCS238" s="1"/>
      <c r="GCT238" s="1"/>
      <c r="GCU238" s="1"/>
      <c r="GCV238" s="1"/>
      <c r="GCW238" s="1"/>
      <c r="GCX238" s="1"/>
      <c r="GCY238" s="1"/>
      <c r="GCZ238" s="1"/>
      <c r="GDA238" s="1"/>
      <c r="GDB238" s="1"/>
      <c r="GDC238" s="1"/>
      <c r="GDD238" s="1"/>
      <c r="GDE238" s="1"/>
      <c r="GDF238" s="1"/>
      <c r="GDG238" s="1"/>
      <c r="GDH238" s="1"/>
      <c r="GDI238" s="1"/>
      <c r="GDJ238" s="1"/>
      <c r="GDK238" s="1"/>
      <c r="GDL238" s="1"/>
      <c r="GDM238" s="1"/>
      <c r="GDN238" s="1"/>
      <c r="GDO238" s="1"/>
      <c r="GDP238" s="1"/>
      <c r="GDQ238" s="1"/>
      <c r="GDR238" s="1"/>
      <c r="GDS238" s="1"/>
      <c r="GDT238" s="1"/>
      <c r="GDU238" s="1"/>
      <c r="GDV238" s="1"/>
      <c r="GDW238" s="1"/>
      <c r="GDX238" s="1"/>
      <c r="GDY238" s="1"/>
      <c r="GDZ238" s="1"/>
      <c r="GEA238" s="1"/>
      <c r="GEB238" s="1"/>
      <c r="GEC238" s="1"/>
      <c r="GED238" s="1"/>
      <c r="GEE238" s="1"/>
      <c r="GEF238" s="1"/>
      <c r="GEG238" s="1"/>
      <c r="GEH238" s="1"/>
      <c r="GEI238" s="1"/>
      <c r="GEJ238" s="1"/>
      <c r="GEK238" s="1"/>
      <c r="GEL238" s="1"/>
      <c r="GEM238" s="1"/>
      <c r="GEN238" s="1"/>
      <c r="GEO238" s="1"/>
      <c r="GEP238" s="1"/>
      <c r="GEQ238" s="1"/>
      <c r="GER238" s="1"/>
      <c r="GES238" s="1"/>
      <c r="GET238" s="1"/>
      <c r="GEU238" s="1"/>
      <c r="GEV238" s="1"/>
      <c r="GEW238" s="1"/>
      <c r="GEX238" s="1"/>
      <c r="GEY238" s="1"/>
      <c r="GEZ238" s="1"/>
      <c r="GFA238" s="1"/>
      <c r="GFB238" s="1"/>
      <c r="GFC238" s="1"/>
      <c r="GFD238" s="1"/>
      <c r="GFE238" s="1"/>
      <c r="GFF238" s="1"/>
      <c r="GFG238" s="1"/>
      <c r="GFH238" s="1"/>
      <c r="GFI238" s="1"/>
      <c r="GFJ238" s="1"/>
      <c r="GFK238" s="1"/>
      <c r="GFL238" s="1"/>
      <c r="GFM238" s="1"/>
      <c r="GFN238" s="1"/>
      <c r="GFO238" s="1"/>
      <c r="GFP238" s="1"/>
      <c r="GFQ238" s="1"/>
      <c r="GFR238" s="1"/>
      <c r="GFS238" s="1"/>
      <c r="GFT238" s="1"/>
      <c r="GFU238" s="1"/>
      <c r="GFV238" s="1"/>
      <c r="GFW238" s="1"/>
      <c r="GFX238" s="1"/>
      <c r="GFY238" s="1"/>
      <c r="GFZ238" s="1"/>
      <c r="GGA238" s="1"/>
      <c r="GGB238" s="1"/>
      <c r="GGC238" s="1"/>
      <c r="GGD238" s="1"/>
      <c r="GGE238" s="1"/>
      <c r="GGF238" s="1"/>
      <c r="GGG238" s="1"/>
      <c r="GGH238" s="1"/>
      <c r="GGI238" s="1"/>
      <c r="GGJ238" s="1"/>
      <c r="GGK238" s="1"/>
      <c r="GGL238" s="1"/>
      <c r="GGM238" s="1"/>
      <c r="GGN238" s="1"/>
      <c r="GGO238" s="1"/>
      <c r="GGP238" s="1"/>
      <c r="GGQ238" s="1"/>
      <c r="GGR238" s="1"/>
      <c r="GGS238" s="1"/>
      <c r="GGT238" s="1"/>
      <c r="GGU238" s="1"/>
      <c r="GGV238" s="1"/>
      <c r="GGW238" s="1"/>
      <c r="GGX238" s="1"/>
      <c r="GGY238" s="1"/>
      <c r="GGZ238" s="1"/>
      <c r="GHA238" s="1"/>
      <c r="GHB238" s="1"/>
      <c r="GHC238" s="1"/>
      <c r="GHD238" s="1"/>
      <c r="GHE238" s="1"/>
      <c r="GHF238" s="1"/>
      <c r="GHG238" s="1"/>
      <c r="GHH238" s="1"/>
      <c r="GHI238" s="1"/>
      <c r="GHJ238" s="1"/>
      <c r="GHK238" s="1"/>
      <c r="GHL238" s="1"/>
      <c r="GHM238" s="1"/>
      <c r="GHN238" s="1"/>
      <c r="GHO238" s="1"/>
      <c r="GHP238" s="1"/>
      <c r="GHQ238" s="1"/>
      <c r="GHR238" s="1"/>
      <c r="GHS238" s="1"/>
      <c r="GHT238" s="1"/>
      <c r="GHU238" s="1"/>
      <c r="GHV238" s="1"/>
      <c r="GHW238" s="1"/>
      <c r="GHX238" s="1"/>
      <c r="GHY238" s="1"/>
      <c r="GHZ238" s="1"/>
      <c r="GIA238" s="1"/>
      <c r="GIB238" s="1"/>
      <c r="GIC238" s="1"/>
      <c r="GID238" s="1"/>
      <c r="GIE238" s="1"/>
      <c r="GIF238" s="1"/>
      <c r="GIG238" s="1"/>
      <c r="GIH238" s="1"/>
      <c r="GII238" s="1"/>
      <c r="GIJ238" s="1"/>
      <c r="GIK238" s="1"/>
      <c r="GIL238" s="1"/>
      <c r="GIM238" s="1"/>
      <c r="GIN238" s="1"/>
      <c r="GIO238" s="1"/>
      <c r="GIP238" s="1"/>
      <c r="GIQ238" s="1"/>
      <c r="GIR238" s="1"/>
      <c r="GIS238" s="1"/>
      <c r="GIT238" s="1"/>
      <c r="GIU238" s="1"/>
      <c r="GIV238" s="1"/>
      <c r="GIW238" s="1"/>
      <c r="GIX238" s="1"/>
      <c r="GIY238" s="1"/>
      <c r="GIZ238" s="1"/>
      <c r="GJA238" s="1"/>
      <c r="GJB238" s="1"/>
      <c r="GJC238" s="1"/>
      <c r="GJD238" s="1"/>
      <c r="GJE238" s="1"/>
      <c r="GJF238" s="1"/>
      <c r="GJG238" s="1"/>
      <c r="GJH238" s="1"/>
      <c r="GJI238" s="1"/>
      <c r="GJJ238" s="1"/>
      <c r="GJK238" s="1"/>
      <c r="GJL238" s="1"/>
      <c r="GJM238" s="1"/>
      <c r="GJN238" s="1"/>
      <c r="GJO238" s="1"/>
      <c r="GJP238" s="1"/>
      <c r="GJQ238" s="1"/>
      <c r="GJR238" s="1"/>
      <c r="GJS238" s="1"/>
      <c r="GJT238" s="1"/>
      <c r="GJU238" s="1"/>
      <c r="GJV238" s="1"/>
      <c r="GJW238" s="1"/>
      <c r="GJX238" s="1"/>
      <c r="GJY238" s="1"/>
      <c r="GJZ238" s="1"/>
      <c r="GKA238" s="1"/>
      <c r="GKB238" s="1"/>
      <c r="GKC238" s="1"/>
      <c r="GKD238" s="1"/>
      <c r="GKE238" s="1"/>
      <c r="GKF238" s="1"/>
      <c r="GKG238" s="1"/>
      <c r="GKH238" s="1"/>
      <c r="GKI238" s="1"/>
      <c r="GKJ238" s="1"/>
      <c r="GKK238" s="1"/>
      <c r="GKL238" s="1"/>
      <c r="GKM238" s="1"/>
      <c r="GKN238" s="1"/>
      <c r="GKO238" s="1"/>
      <c r="GKP238" s="1"/>
      <c r="GKQ238" s="1"/>
      <c r="GKR238" s="1"/>
      <c r="GKS238" s="1"/>
      <c r="GKT238" s="1"/>
      <c r="GKU238" s="1"/>
      <c r="GKV238" s="1"/>
      <c r="GKW238" s="1"/>
      <c r="GKX238" s="1"/>
      <c r="GKY238" s="1"/>
      <c r="GKZ238" s="1"/>
      <c r="GLA238" s="1"/>
      <c r="GLB238" s="1"/>
      <c r="GLC238" s="1"/>
      <c r="GLD238" s="1"/>
      <c r="GLE238" s="1"/>
      <c r="GLF238" s="1"/>
      <c r="GLG238" s="1"/>
      <c r="GLH238" s="1"/>
      <c r="GLI238" s="1"/>
      <c r="GLJ238" s="1"/>
      <c r="GLK238" s="1"/>
      <c r="GLL238" s="1"/>
      <c r="GLM238" s="1"/>
      <c r="GLN238" s="1"/>
      <c r="GLO238" s="1"/>
      <c r="GLP238" s="1"/>
      <c r="GLQ238" s="1"/>
      <c r="GLR238" s="1"/>
      <c r="GLS238" s="1"/>
      <c r="GLT238" s="1"/>
      <c r="GLU238" s="1"/>
      <c r="GLV238" s="1"/>
      <c r="GLW238" s="1"/>
      <c r="GLX238" s="1"/>
      <c r="GLY238" s="1"/>
      <c r="GLZ238" s="1"/>
      <c r="GMA238" s="1"/>
      <c r="GMB238" s="1"/>
      <c r="GMC238" s="1"/>
      <c r="GMD238" s="1"/>
      <c r="GME238" s="1"/>
      <c r="GMF238" s="1"/>
      <c r="GMG238" s="1"/>
      <c r="GMH238" s="1"/>
      <c r="GMI238" s="1"/>
      <c r="GMJ238" s="1"/>
      <c r="GMK238" s="1"/>
      <c r="GML238" s="1"/>
      <c r="GMM238" s="1"/>
      <c r="GMN238" s="1"/>
      <c r="GMO238" s="1"/>
      <c r="GMP238" s="1"/>
      <c r="GMQ238" s="1"/>
      <c r="GMR238" s="1"/>
      <c r="GMS238" s="1"/>
      <c r="GMT238" s="1"/>
      <c r="GMU238" s="1"/>
      <c r="GMV238" s="1"/>
      <c r="GMW238" s="1"/>
      <c r="GMX238" s="1"/>
      <c r="GMY238" s="1"/>
      <c r="GMZ238" s="1"/>
      <c r="GNA238" s="1"/>
      <c r="GNB238" s="1"/>
      <c r="GNC238" s="1"/>
      <c r="GND238" s="1"/>
      <c r="GNE238" s="1"/>
      <c r="GNF238" s="1"/>
      <c r="GNG238" s="1"/>
      <c r="GNH238" s="1"/>
      <c r="GNI238" s="1"/>
      <c r="GNJ238" s="1"/>
      <c r="GNK238" s="1"/>
      <c r="GNL238" s="1"/>
      <c r="GNM238" s="1"/>
      <c r="GNN238" s="1"/>
      <c r="GNO238" s="1"/>
      <c r="GNP238" s="1"/>
      <c r="GNQ238" s="1"/>
      <c r="GNR238" s="1"/>
      <c r="GNS238" s="1"/>
      <c r="GNT238" s="1"/>
      <c r="GNU238" s="1"/>
      <c r="GNV238" s="1"/>
      <c r="GNW238" s="1"/>
      <c r="GNX238" s="1"/>
      <c r="GNY238" s="1"/>
      <c r="GNZ238" s="1"/>
      <c r="GOA238" s="1"/>
      <c r="GOB238" s="1"/>
      <c r="GOC238" s="1"/>
      <c r="GOD238" s="1"/>
      <c r="GOE238" s="1"/>
      <c r="GOF238" s="1"/>
      <c r="GOG238" s="1"/>
      <c r="GOH238" s="1"/>
      <c r="GOI238" s="1"/>
      <c r="GOJ238" s="1"/>
      <c r="GOK238" s="1"/>
      <c r="GOL238" s="1"/>
      <c r="GOM238" s="1"/>
      <c r="GON238" s="1"/>
      <c r="GOO238" s="1"/>
      <c r="GOP238" s="1"/>
      <c r="GOQ238" s="1"/>
      <c r="GOR238" s="1"/>
      <c r="GOS238" s="1"/>
      <c r="GOT238" s="1"/>
      <c r="GOU238" s="1"/>
      <c r="GOV238" s="1"/>
      <c r="GOW238" s="1"/>
      <c r="GOX238" s="1"/>
      <c r="GOY238" s="1"/>
      <c r="GOZ238" s="1"/>
      <c r="GPA238" s="1"/>
      <c r="GPB238" s="1"/>
      <c r="GPC238" s="1"/>
      <c r="GPD238" s="1"/>
      <c r="GPE238" s="1"/>
      <c r="GPF238" s="1"/>
      <c r="GPG238" s="1"/>
      <c r="GPH238" s="1"/>
      <c r="GPI238" s="1"/>
      <c r="GPJ238" s="1"/>
      <c r="GPK238" s="1"/>
      <c r="GPL238" s="1"/>
      <c r="GPM238" s="1"/>
      <c r="GPN238" s="1"/>
      <c r="GPO238" s="1"/>
      <c r="GPP238" s="1"/>
      <c r="GPQ238" s="1"/>
      <c r="GPR238" s="1"/>
      <c r="GPS238" s="1"/>
      <c r="GPT238" s="1"/>
      <c r="GPU238" s="1"/>
      <c r="GPV238" s="1"/>
      <c r="GPW238" s="1"/>
      <c r="GPX238" s="1"/>
      <c r="GPY238" s="1"/>
      <c r="GPZ238" s="1"/>
      <c r="GQA238" s="1"/>
      <c r="GQB238" s="1"/>
      <c r="GQC238" s="1"/>
      <c r="GQD238" s="1"/>
      <c r="GQE238" s="1"/>
      <c r="GQF238" s="1"/>
      <c r="GQG238" s="1"/>
      <c r="GQH238" s="1"/>
      <c r="GQI238" s="1"/>
      <c r="GQJ238" s="1"/>
      <c r="GQK238" s="1"/>
      <c r="GQL238" s="1"/>
      <c r="GQM238" s="1"/>
      <c r="GQN238" s="1"/>
      <c r="GQO238" s="1"/>
      <c r="GQP238" s="1"/>
      <c r="GQQ238" s="1"/>
      <c r="GQR238" s="1"/>
      <c r="GQS238" s="1"/>
      <c r="GQT238" s="1"/>
      <c r="GQU238" s="1"/>
      <c r="GQV238" s="1"/>
      <c r="GQW238" s="1"/>
      <c r="GQX238" s="1"/>
      <c r="GQY238" s="1"/>
      <c r="GQZ238" s="1"/>
      <c r="GRA238" s="1"/>
      <c r="GRB238" s="1"/>
      <c r="GRC238" s="1"/>
      <c r="GRD238" s="1"/>
      <c r="GRE238" s="1"/>
      <c r="GRF238" s="1"/>
      <c r="GRG238" s="1"/>
      <c r="GRH238" s="1"/>
      <c r="GRI238" s="1"/>
      <c r="GRJ238" s="1"/>
      <c r="GRK238" s="1"/>
      <c r="GRL238" s="1"/>
      <c r="GRM238" s="1"/>
      <c r="GRN238" s="1"/>
      <c r="GRO238" s="1"/>
      <c r="GRP238" s="1"/>
      <c r="GRQ238" s="1"/>
      <c r="GRR238" s="1"/>
      <c r="GRS238" s="1"/>
      <c r="GRT238" s="1"/>
      <c r="GRU238" s="1"/>
      <c r="GRV238" s="1"/>
      <c r="GRW238" s="1"/>
      <c r="GRX238" s="1"/>
      <c r="GRY238" s="1"/>
      <c r="GRZ238" s="1"/>
      <c r="GSA238" s="1"/>
      <c r="GSB238" s="1"/>
      <c r="GSC238" s="1"/>
      <c r="GSD238" s="1"/>
      <c r="GSE238" s="1"/>
      <c r="GSF238" s="1"/>
      <c r="GSG238" s="1"/>
      <c r="GSH238" s="1"/>
      <c r="GSI238" s="1"/>
      <c r="GSJ238" s="1"/>
      <c r="GSK238" s="1"/>
      <c r="GSL238" s="1"/>
      <c r="GSM238" s="1"/>
      <c r="GSN238" s="1"/>
      <c r="GSO238" s="1"/>
      <c r="GSP238" s="1"/>
      <c r="GSQ238" s="1"/>
      <c r="GSR238" s="1"/>
      <c r="GSS238" s="1"/>
      <c r="GST238" s="1"/>
      <c r="GSU238" s="1"/>
      <c r="GSV238" s="1"/>
      <c r="GSW238" s="1"/>
      <c r="GSX238" s="1"/>
      <c r="GSY238" s="1"/>
      <c r="GSZ238" s="1"/>
      <c r="GTA238" s="1"/>
      <c r="GTB238" s="1"/>
      <c r="GTC238" s="1"/>
      <c r="GTD238" s="1"/>
      <c r="GTE238" s="1"/>
      <c r="GTF238" s="1"/>
      <c r="GTG238" s="1"/>
      <c r="GTH238" s="1"/>
      <c r="GTI238" s="1"/>
      <c r="GTJ238" s="1"/>
      <c r="GTK238" s="1"/>
      <c r="GTL238" s="1"/>
      <c r="GTM238" s="1"/>
      <c r="GTN238" s="1"/>
      <c r="GTO238" s="1"/>
      <c r="GTP238" s="1"/>
      <c r="GTQ238" s="1"/>
      <c r="GTR238" s="1"/>
      <c r="GTS238" s="1"/>
      <c r="GTT238" s="1"/>
      <c r="GTU238" s="1"/>
      <c r="GTV238" s="1"/>
      <c r="GTW238" s="1"/>
      <c r="GTX238" s="1"/>
      <c r="GTY238" s="1"/>
      <c r="GTZ238" s="1"/>
      <c r="GUA238" s="1"/>
      <c r="GUB238" s="1"/>
      <c r="GUC238" s="1"/>
      <c r="GUD238" s="1"/>
      <c r="GUE238" s="1"/>
      <c r="GUF238" s="1"/>
      <c r="GUG238" s="1"/>
      <c r="GUH238" s="1"/>
      <c r="GUI238" s="1"/>
      <c r="GUJ238" s="1"/>
      <c r="GUK238" s="1"/>
      <c r="GUL238" s="1"/>
      <c r="GUM238" s="1"/>
      <c r="GUN238" s="1"/>
      <c r="GUO238" s="1"/>
      <c r="GUP238" s="1"/>
      <c r="GUQ238" s="1"/>
      <c r="GUR238" s="1"/>
      <c r="GUS238" s="1"/>
      <c r="GUT238" s="1"/>
      <c r="GUU238" s="1"/>
      <c r="GUV238" s="1"/>
      <c r="GUW238" s="1"/>
      <c r="GUX238" s="1"/>
      <c r="GUY238" s="1"/>
      <c r="GUZ238" s="1"/>
      <c r="GVA238" s="1"/>
      <c r="GVB238" s="1"/>
      <c r="GVC238" s="1"/>
      <c r="GVD238" s="1"/>
      <c r="GVE238" s="1"/>
      <c r="GVF238" s="1"/>
      <c r="GVG238" s="1"/>
      <c r="GVH238" s="1"/>
      <c r="GVI238" s="1"/>
      <c r="GVJ238" s="1"/>
      <c r="GVK238" s="1"/>
      <c r="GVL238" s="1"/>
      <c r="GVM238" s="1"/>
      <c r="GVN238" s="1"/>
      <c r="GVO238" s="1"/>
      <c r="GVP238" s="1"/>
      <c r="GVQ238" s="1"/>
      <c r="GVR238" s="1"/>
      <c r="GVS238" s="1"/>
      <c r="GVT238" s="1"/>
      <c r="GVU238" s="1"/>
      <c r="GVV238" s="1"/>
      <c r="GVW238" s="1"/>
      <c r="GVX238" s="1"/>
      <c r="GVY238" s="1"/>
      <c r="GVZ238" s="1"/>
      <c r="GWA238" s="1"/>
      <c r="GWB238" s="1"/>
      <c r="GWC238" s="1"/>
      <c r="GWD238" s="1"/>
      <c r="GWE238" s="1"/>
      <c r="GWF238" s="1"/>
      <c r="GWG238" s="1"/>
      <c r="GWH238" s="1"/>
      <c r="GWI238" s="1"/>
      <c r="GWJ238" s="1"/>
      <c r="GWK238" s="1"/>
      <c r="GWL238" s="1"/>
      <c r="GWM238" s="1"/>
      <c r="GWN238" s="1"/>
      <c r="GWO238" s="1"/>
      <c r="GWP238" s="1"/>
      <c r="GWQ238" s="1"/>
      <c r="GWR238" s="1"/>
      <c r="GWS238" s="1"/>
      <c r="GWT238" s="1"/>
      <c r="GWU238" s="1"/>
      <c r="GWV238" s="1"/>
      <c r="GWW238" s="1"/>
      <c r="GWX238" s="1"/>
      <c r="GWY238" s="1"/>
      <c r="GWZ238" s="1"/>
      <c r="GXA238" s="1"/>
      <c r="GXB238" s="1"/>
      <c r="GXC238" s="1"/>
      <c r="GXD238" s="1"/>
      <c r="GXE238" s="1"/>
      <c r="GXF238" s="1"/>
      <c r="GXG238" s="1"/>
      <c r="GXH238" s="1"/>
      <c r="GXI238" s="1"/>
      <c r="GXJ238" s="1"/>
      <c r="GXK238" s="1"/>
      <c r="GXL238" s="1"/>
      <c r="GXM238" s="1"/>
      <c r="GXN238" s="1"/>
      <c r="GXO238" s="1"/>
      <c r="GXP238" s="1"/>
      <c r="GXQ238" s="1"/>
      <c r="GXR238" s="1"/>
      <c r="GXS238" s="1"/>
      <c r="GXT238" s="1"/>
      <c r="GXU238" s="1"/>
      <c r="GXV238" s="1"/>
      <c r="GXW238" s="1"/>
      <c r="GXX238" s="1"/>
      <c r="GXY238" s="1"/>
      <c r="GXZ238" s="1"/>
      <c r="GYA238" s="1"/>
      <c r="GYB238" s="1"/>
      <c r="GYC238" s="1"/>
      <c r="GYD238" s="1"/>
      <c r="GYE238" s="1"/>
      <c r="GYF238" s="1"/>
      <c r="GYG238" s="1"/>
      <c r="GYH238" s="1"/>
      <c r="GYI238" s="1"/>
      <c r="GYJ238" s="1"/>
      <c r="GYK238" s="1"/>
      <c r="GYL238" s="1"/>
      <c r="GYM238" s="1"/>
      <c r="GYN238" s="1"/>
      <c r="GYO238" s="1"/>
      <c r="GYP238" s="1"/>
      <c r="GYQ238" s="1"/>
      <c r="GYR238" s="1"/>
      <c r="GYS238" s="1"/>
      <c r="GYT238" s="1"/>
      <c r="GYU238" s="1"/>
      <c r="GYV238" s="1"/>
      <c r="GYW238" s="1"/>
      <c r="GYX238" s="1"/>
      <c r="GYY238" s="1"/>
      <c r="GYZ238" s="1"/>
      <c r="GZA238" s="1"/>
      <c r="GZB238" s="1"/>
      <c r="GZC238" s="1"/>
      <c r="GZD238" s="1"/>
      <c r="GZE238" s="1"/>
      <c r="GZF238" s="1"/>
      <c r="GZG238" s="1"/>
      <c r="GZH238" s="1"/>
      <c r="GZI238" s="1"/>
      <c r="GZJ238" s="1"/>
      <c r="GZK238" s="1"/>
      <c r="GZL238" s="1"/>
      <c r="GZM238" s="1"/>
      <c r="GZN238" s="1"/>
      <c r="GZO238" s="1"/>
      <c r="GZP238" s="1"/>
      <c r="GZQ238" s="1"/>
      <c r="GZR238" s="1"/>
      <c r="GZS238" s="1"/>
      <c r="GZT238" s="1"/>
      <c r="GZU238" s="1"/>
      <c r="GZV238" s="1"/>
      <c r="GZW238" s="1"/>
      <c r="GZX238" s="1"/>
      <c r="GZY238" s="1"/>
      <c r="GZZ238" s="1"/>
      <c r="HAA238" s="1"/>
      <c r="HAB238" s="1"/>
      <c r="HAC238" s="1"/>
      <c r="HAD238" s="1"/>
      <c r="HAE238" s="1"/>
      <c r="HAF238" s="1"/>
      <c r="HAG238" s="1"/>
      <c r="HAH238" s="1"/>
      <c r="HAI238" s="1"/>
      <c r="HAJ238" s="1"/>
      <c r="HAK238" s="1"/>
      <c r="HAL238" s="1"/>
      <c r="HAM238" s="1"/>
      <c r="HAN238" s="1"/>
      <c r="HAO238" s="1"/>
      <c r="HAP238" s="1"/>
      <c r="HAQ238" s="1"/>
      <c r="HAR238" s="1"/>
      <c r="HAS238" s="1"/>
      <c r="HAT238" s="1"/>
      <c r="HAU238" s="1"/>
      <c r="HAV238" s="1"/>
      <c r="HAW238" s="1"/>
      <c r="HAX238" s="1"/>
      <c r="HAY238" s="1"/>
      <c r="HAZ238" s="1"/>
      <c r="HBA238" s="1"/>
      <c r="HBB238" s="1"/>
      <c r="HBC238" s="1"/>
      <c r="HBD238" s="1"/>
      <c r="HBE238" s="1"/>
      <c r="HBF238" s="1"/>
      <c r="HBG238" s="1"/>
      <c r="HBH238" s="1"/>
      <c r="HBI238" s="1"/>
      <c r="HBJ238" s="1"/>
      <c r="HBK238" s="1"/>
      <c r="HBL238" s="1"/>
      <c r="HBM238" s="1"/>
      <c r="HBN238" s="1"/>
      <c r="HBO238" s="1"/>
      <c r="HBP238" s="1"/>
      <c r="HBQ238" s="1"/>
      <c r="HBR238" s="1"/>
      <c r="HBS238" s="1"/>
      <c r="HBT238" s="1"/>
      <c r="HBU238" s="1"/>
      <c r="HBV238" s="1"/>
      <c r="HBW238" s="1"/>
      <c r="HBX238" s="1"/>
      <c r="HBY238" s="1"/>
      <c r="HBZ238" s="1"/>
      <c r="HCA238" s="1"/>
      <c r="HCB238" s="1"/>
      <c r="HCC238" s="1"/>
      <c r="HCD238" s="1"/>
      <c r="HCE238" s="1"/>
      <c r="HCF238" s="1"/>
      <c r="HCG238" s="1"/>
      <c r="HCH238" s="1"/>
      <c r="HCI238" s="1"/>
      <c r="HCJ238" s="1"/>
      <c r="HCK238" s="1"/>
      <c r="HCL238" s="1"/>
      <c r="HCM238" s="1"/>
      <c r="HCN238" s="1"/>
      <c r="HCO238" s="1"/>
      <c r="HCP238" s="1"/>
      <c r="HCQ238" s="1"/>
      <c r="HCR238" s="1"/>
      <c r="HCS238" s="1"/>
      <c r="HCT238" s="1"/>
      <c r="HCU238" s="1"/>
      <c r="HCV238" s="1"/>
      <c r="HCW238" s="1"/>
      <c r="HCX238" s="1"/>
      <c r="HCY238" s="1"/>
      <c r="HCZ238" s="1"/>
      <c r="HDA238" s="1"/>
      <c r="HDB238" s="1"/>
      <c r="HDC238" s="1"/>
      <c r="HDD238" s="1"/>
      <c r="HDE238" s="1"/>
      <c r="HDF238" s="1"/>
      <c r="HDG238" s="1"/>
      <c r="HDH238" s="1"/>
      <c r="HDI238" s="1"/>
      <c r="HDJ238" s="1"/>
      <c r="HDK238" s="1"/>
      <c r="HDL238" s="1"/>
      <c r="HDM238" s="1"/>
      <c r="HDN238" s="1"/>
      <c r="HDO238" s="1"/>
      <c r="HDP238" s="1"/>
      <c r="HDQ238" s="1"/>
      <c r="HDR238" s="1"/>
      <c r="HDS238" s="1"/>
      <c r="HDT238" s="1"/>
      <c r="HDU238" s="1"/>
      <c r="HDV238" s="1"/>
      <c r="HDW238" s="1"/>
      <c r="HDX238" s="1"/>
      <c r="HDY238" s="1"/>
      <c r="HDZ238" s="1"/>
      <c r="HEA238" s="1"/>
      <c r="HEB238" s="1"/>
      <c r="HEC238" s="1"/>
      <c r="HED238" s="1"/>
      <c r="HEE238" s="1"/>
      <c r="HEF238" s="1"/>
      <c r="HEG238" s="1"/>
      <c r="HEH238" s="1"/>
      <c r="HEI238" s="1"/>
      <c r="HEJ238" s="1"/>
      <c r="HEK238" s="1"/>
      <c r="HEL238" s="1"/>
      <c r="HEM238" s="1"/>
      <c r="HEN238" s="1"/>
      <c r="HEO238" s="1"/>
      <c r="HEP238" s="1"/>
      <c r="HEQ238" s="1"/>
      <c r="HER238" s="1"/>
      <c r="HES238" s="1"/>
      <c r="HET238" s="1"/>
      <c r="HEU238" s="1"/>
      <c r="HEV238" s="1"/>
      <c r="HEW238" s="1"/>
      <c r="HEX238" s="1"/>
      <c r="HEY238" s="1"/>
      <c r="HEZ238" s="1"/>
      <c r="HFA238" s="1"/>
      <c r="HFB238" s="1"/>
      <c r="HFC238" s="1"/>
      <c r="HFD238" s="1"/>
      <c r="HFE238" s="1"/>
      <c r="HFF238" s="1"/>
      <c r="HFG238" s="1"/>
      <c r="HFH238" s="1"/>
      <c r="HFI238" s="1"/>
      <c r="HFJ238" s="1"/>
      <c r="HFK238" s="1"/>
      <c r="HFL238" s="1"/>
      <c r="HFM238" s="1"/>
      <c r="HFN238" s="1"/>
      <c r="HFO238" s="1"/>
      <c r="HFP238" s="1"/>
      <c r="HFQ238" s="1"/>
      <c r="HFR238" s="1"/>
      <c r="HFS238" s="1"/>
      <c r="HFT238" s="1"/>
      <c r="HFU238" s="1"/>
      <c r="HFV238" s="1"/>
      <c r="HFW238" s="1"/>
      <c r="HFX238" s="1"/>
      <c r="HFY238" s="1"/>
      <c r="HFZ238" s="1"/>
      <c r="HGA238" s="1"/>
      <c r="HGB238" s="1"/>
      <c r="HGC238" s="1"/>
      <c r="HGD238" s="1"/>
      <c r="HGE238" s="1"/>
      <c r="HGF238" s="1"/>
      <c r="HGG238" s="1"/>
      <c r="HGH238" s="1"/>
      <c r="HGI238" s="1"/>
      <c r="HGJ238" s="1"/>
      <c r="HGK238" s="1"/>
      <c r="HGL238" s="1"/>
      <c r="HGM238" s="1"/>
      <c r="HGN238" s="1"/>
      <c r="HGO238" s="1"/>
      <c r="HGP238" s="1"/>
      <c r="HGQ238" s="1"/>
      <c r="HGR238" s="1"/>
      <c r="HGS238" s="1"/>
      <c r="HGT238" s="1"/>
      <c r="HGU238" s="1"/>
      <c r="HGV238" s="1"/>
      <c r="HGW238" s="1"/>
      <c r="HGX238" s="1"/>
      <c r="HGY238" s="1"/>
      <c r="HGZ238" s="1"/>
      <c r="HHA238" s="1"/>
      <c r="HHB238" s="1"/>
      <c r="HHC238" s="1"/>
      <c r="HHD238" s="1"/>
      <c r="HHE238" s="1"/>
      <c r="HHF238" s="1"/>
      <c r="HHG238" s="1"/>
      <c r="HHH238" s="1"/>
      <c r="HHI238" s="1"/>
      <c r="HHJ238" s="1"/>
      <c r="HHK238" s="1"/>
      <c r="HHL238" s="1"/>
      <c r="HHM238" s="1"/>
      <c r="HHN238" s="1"/>
      <c r="HHO238" s="1"/>
      <c r="HHP238" s="1"/>
      <c r="HHQ238" s="1"/>
      <c r="HHR238" s="1"/>
      <c r="HHS238" s="1"/>
      <c r="HHT238" s="1"/>
      <c r="HHU238" s="1"/>
      <c r="HHV238" s="1"/>
      <c r="HHW238" s="1"/>
      <c r="HHX238" s="1"/>
      <c r="HHY238" s="1"/>
      <c r="HHZ238" s="1"/>
      <c r="HIA238" s="1"/>
      <c r="HIB238" s="1"/>
      <c r="HIC238" s="1"/>
      <c r="HID238" s="1"/>
      <c r="HIE238" s="1"/>
      <c r="HIF238" s="1"/>
      <c r="HIG238" s="1"/>
      <c r="HIH238" s="1"/>
      <c r="HII238" s="1"/>
      <c r="HIJ238" s="1"/>
      <c r="HIK238" s="1"/>
      <c r="HIL238" s="1"/>
      <c r="HIM238" s="1"/>
      <c r="HIN238" s="1"/>
      <c r="HIO238" s="1"/>
      <c r="HIP238" s="1"/>
      <c r="HIQ238" s="1"/>
      <c r="HIR238" s="1"/>
      <c r="HIS238" s="1"/>
      <c r="HIT238" s="1"/>
      <c r="HIU238" s="1"/>
      <c r="HIV238" s="1"/>
      <c r="HIW238" s="1"/>
      <c r="HIX238" s="1"/>
      <c r="HIY238" s="1"/>
      <c r="HIZ238" s="1"/>
      <c r="HJA238" s="1"/>
      <c r="HJB238" s="1"/>
      <c r="HJC238" s="1"/>
      <c r="HJD238" s="1"/>
      <c r="HJE238" s="1"/>
      <c r="HJF238" s="1"/>
      <c r="HJG238" s="1"/>
      <c r="HJH238" s="1"/>
      <c r="HJI238" s="1"/>
      <c r="HJJ238" s="1"/>
      <c r="HJK238" s="1"/>
      <c r="HJL238" s="1"/>
      <c r="HJM238" s="1"/>
      <c r="HJN238" s="1"/>
      <c r="HJO238" s="1"/>
      <c r="HJP238" s="1"/>
      <c r="HJQ238" s="1"/>
      <c r="HJR238" s="1"/>
      <c r="HJS238" s="1"/>
      <c r="HJT238" s="1"/>
      <c r="HJU238" s="1"/>
      <c r="HJV238" s="1"/>
      <c r="HJW238" s="1"/>
      <c r="HJX238" s="1"/>
      <c r="HJY238" s="1"/>
      <c r="HJZ238" s="1"/>
      <c r="HKA238" s="1"/>
      <c r="HKB238" s="1"/>
      <c r="HKC238" s="1"/>
      <c r="HKD238" s="1"/>
      <c r="HKE238" s="1"/>
      <c r="HKF238" s="1"/>
      <c r="HKG238" s="1"/>
      <c r="HKH238" s="1"/>
      <c r="HKI238" s="1"/>
      <c r="HKJ238" s="1"/>
      <c r="HKK238" s="1"/>
      <c r="HKL238" s="1"/>
      <c r="HKM238" s="1"/>
      <c r="HKN238" s="1"/>
      <c r="HKO238" s="1"/>
      <c r="HKP238" s="1"/>
      <c r="HKQ238" s="1"/>
      <c r="HKR238" s="1"/>
      <c r="HKS238" s="1"/>
      <c r="HKT238" s="1"/>
      <c r="HKU238" s="1"/>
      <c r="HKV238" s="1"/>
      <c r="HKW238" s="1"/>
      <c r="HKX238" s="1"/>
      <c r="HKY238" s="1"/>
      <c r="HKZ238" s="1"/>
      <c r="HLA238" s="1"/>
      <c r="HLB238" s="1"/>
      <c r="HLC238" s="1"/>
      <c r="HLD238" s="1"/>
      <c r="HLE238" s="1"/>
      <c r="HLF238" s="1"/>
      <c r="HLG238" s="1"/>
      <c r="HLH238" s="1"/>
      <c r="HLI238" s="1"/>
      <c r="HLJ238" s="1"/>
      <c r="HLK238" s="1"/>
      <c r="HLL238" s="1"/>
      <c r="HLM238" s="1"/>
      <c r="HLN238" s="1"/>
      <c r="HLO238" s="1"/>
      <c r="HLP238" s="1"/>
      <c r="HLQ238" s="1"/>
      <c r="HLR238" s="1"/>
      <c r="HLS238" s="1"/>
      <c r="HLT238" s="1"/>
      <c r="HLU238" s="1"/>
      <c r="HLV238" s="1"/>
      <c r="HLW238" s="1"/>
      <c r="HLX238" s="1"/>
      <c r="HLY238" s="1"/>
      <c r="HLZ238" s="1"/>
      <c r="HMA238" s="1"/>
      <c r="HMB238" s="1"/>
      <c r="HMC238" s="1"/>
      <c r="HMD238" s="1"/>
      <c r="HME238" s="1"/>
      <c r="HMF238" s="1"/>
      <c r="HMG238" s="1"/>
      <c r="HMH238" s="1"/>
      <c r="HMI238" s="1"/>
      <c r="HMJ238" s="1"/>
      <c r="HMK238" s="1"/>
      <c r="HML238" s="1"/>
      <c r="HMM238" s="1"/>
      <c r="HMN238" s="1"/>
      <c r="HMO238" s="1"/>
      <c r="HMP238" s="1"/>
      <c r="HMQ238" s="1"/>
      <c r="HMR238" s="1"/>
      <c r="HMS238" s="1"/>
      <c r="HMT238" s="1"/>
      <c r="HMU238" s="1"/>
      <c r="HMV238" s="1"/>
      <c r="HMW238" s="1"/>
      <c r="HMX238" s="1"/>
      <c r="HMY238" s="1"/>
      <c r="HMZ238" s="1"/>
      <c r="HNA238" s="1"/>
      <c r="HNB238" s="1"/>
      <c r="HNC238" s="1"/>
      <c r="HND238" s="1"/>
      <c r="HNE238" s="1"/>
      <c r="HNF238" s="1"/>
      <c r="HNG238" s="1"/>
      <c r="HNH238" s="1"/>
      <c r="HNI238" s="1"/>
      <c r="HNJ238" s="1"/>
      <c r="HNK238" s="1"/>
      <c r="HNL238" s="1"/>
      <c r="HNM238" s="1"/>
      <c r="HNN238" s="1"/>
      <c r="HNO238" s="1"/>
      <c r="HNP238" s="1"/>
      <c r="HNQ238" s="1"/>
      <c r="HNR238" s="1"/>
      <c r="HNS238" s="1"/>
      <c r="HNT238" s="1"/>
      <c r="HNU238" s="1"/>
      <c r="HNV238" s="1"/>
      <c r="HNW238" s="1"/>
      <c r="HNX238" s="1"/>
      <c r="HNY238" s="1"/>
      <c r="HNZ238" s="1"/>
      <c r="HOA238" s="1"/>
      <c r="HOB238" s="1"/>
      <c r="HOC238" s="1"/>
      <c r="HOD238" s="1"/>
      <c r="HOE238" s="1"/>
      <c r="HOF238" s="1"/>
      <c r="HOG238" s="1"/>
      <c r="HOH238" s="1"/>
      <c r="HOI238" s="1"/>
      <c r="HOJ238" s="1"/>
      <c r="HOK238" s="1"/>
      <c r="HOL238" s="1"/>
      <c r="HOM238" s="1"/>
      <c r="HON238" s="1"/>
      <c r="HOO238" s="1"/>
      <c r="HOP238" s="1"/>
      <c r="HOQ238" s="1"/>
      <c r="HOR238" s="1"/>
      <c r="HOS238" s="1"/>
      <c r="HOT238" s="1"/>
      <c r="HOU238" s="1"/>
      <c r="HOV238" s="1"/>
      <c r="HOW238" s="1"/>
      <c r="HOX238" s="1"/>
      <c r="HOY238" s="1"/>
      <c r="HOZ238" s="1"/>
      <c r="HPA238" s="1"/>
      <c r="HPB238" s="1"/>
      <c r="HPC238" s="1"/>
      <c r="HPD238" s="1"/>
      <c r="HPE238" s="1"/>
      <c r="HPF238" s="1"/>
      <c r="HPG238" s="1"/>
      <c r="HPH238" s="1"/>
      <c r="HPI238" s="1"/>
      <c r="HPJ238" s="1"/>
      <c r="HPK238" s="1"/>
      <c r="HPL238" s="1"/>
      <c r="HPM238" s="1"/>
      <c r="HPN238" s="1"/>
      <c r="HPO238" s="1"/>
      <c r="HPP238" s="1"/>
      <c r="HPQ238" s="1"/>
      <c r="HPR238" s="1"/>
      <c r="HPS238" s="1"/>
      <c r="HPT238" s="1"/>
      <c r="HPU238" s="1"/>
      <c r="HPV238" s="1"/>
      <c r="HPW238" s="1"/>
      <c r="HPX238" s="1"/>
      <c r="HPY238" s="1"/>
      <c r="HPZ238" s="1"/>
      <c r="HQA238" s="1"/>
      <c r="HQB238" s="1"/>
      <c r="HQC238" s="1"/>
      <c r="HQD238" s="1"/>
      <c r="HQE238" s="1"/>
      <c r="HQF238" s="1"/>
      <c r="HQG238" s="1"/>
      <c r="HQH238" s="1"/>
      <c r="HQI238" s="1"/>
      <c r="HQJ238" s="1"/>
      <c r="HQK238" s="1"/>
      <c r="HQL238" s="1"/>
      <c r="HQM238" s="1"/>
      <c r="HQN238" s="1"/>
      <c r="HQO238" s="1"/>
      <c r="HQP238" s="1"/>
      <c r="HQQ238" s="1"/>
      <c r="HQR238" s="1"/>
      <c r="HQS238" s="1"/>
      <c r="HQT238" s="1"/>
      <c r="HQU238" s="1"/>
      <c r="HQV238" s="1"/>
      <c r="HQW238" s="1"/>
      <c r="HQX238" s="1"/>
      <c r="HQY238" s="1"/>
      <c r="HQZ238" s="1"/>
      <c r="HRA238" s="1"/>
      <c r="HRB238" s="1"/>
      <c r="HRC238" s="1"/>
      <c r="HRD238" s="1"/>
      <c r="HRE238" s="1"/>
      <c r="HRF238" s="1"/>
      <c r="HRG238" s="1"/>
      <c r="HRH238" s="1"/>
      <c r="HRI238" s="1"/>
      <c r="HRJ238" s="1"/>
      <c r="HRK238" s="1"/>
      <c r="HRL238" s="1"/>
      <c r="HRM238" s="1"/>
      <c r="HRN238" s="1"/>
      <c r="HRO238" s="1"/>
      <c r="HRP238" s="1"/>
      <c r="HRQ238" s="1"/>
      <c r="HRR238" s="1"/>
      <c r="HRS238" s="1"/>
      <c r="HRT238" s="1"/>
      <c r="HRU238" s="1"/>
      <c r="HRV238" s="1"/>
      <c r="HRW238" s="1"/>
      <c r="HRX238" s="1"/>
      <c r="HRY238" s="1"/>
      <c r="HRZ238" s="1"/>
      <c r="HSA238" s="1"/>
      <c r="HSB238" s="1"/>
      <c r="HSC238" s="1"/>
      <c r="HSD238" s="1"/>
      <c r="HSE238" s="1"/>
      <c r="HSF238" s="1"/>
      <c r="HSG238" s="1"/>
      <c r="HSH238" s="1"/>
      <c r="HSI238" s="1"/>
      <c r="HSJ238" s="1"/>
      <c r="HSK238" s="1"/>
      <c r="HSL238" s="1"/>
      <c r="HSM238" s="1"/>
      <c r="HSN238" s="1"/>
      <c r="HSO238" s="1"/>
      <c r="HSP238" s="1"/>
      <c r="HSQ238" s="1"/>
      <c r="HSR238" s="1"/>
      <c r="HSS238" s="1"/>
      <c r="HST238" s="1"/>
      <c r="HSU238" s="1"/>
      <c r="HSV238" s="1"/>
      <c r="HSW238" s="1"/>
      <c r="HSX238" s="1"/>
      <c r="HSY238" s="1"/>
      <c r="HSZ238" s="1"/>
      <c r="HTA238" s="1"/>
      <c r="HTB238" s="1"/>
      <c r="HTC238" s="1"/>
      <c r="HTD238" s="1"/>
      <c r="HTE238" s="1"/>
      <c r="HTF238" s="1"/>
      <c r="HTG238" s="1"/>
      <c r="HTH238" s="1"/>
      <c r="HTI238" s="1"/>
      <c r="HTJ238" s="1"/>
      <c r="HTK238" s="1"/>
      <c r="HTL238" s="1"/>
      <c r="HTM238" s="1"/>
      <c r="HTN238" s="1"/>
      <c r="HTO238" s="1"/>
      <c r="HTP238" s="1"/>
      <c r="HTQ238" s="1"/>
      <c r="HTR238" s="1"/>
      <c r="HTS238" s="1"/>
      <c r="HTT238" s="1"/>
      <c r="HTU238" s="1"/>
      <c r="HTV238" s="1"/>
      <c r="HTW238" s="1"/>
      <c r="HTX238" s="1"/>
      <c r="HTY238" s="1"/>
      <c r="HTZ238" s="1"/>
      <c r="HUA238" s="1"/>
      <c r="HUB238" s="1"/>
      <c r="HUC238" s="1"/>
      <c r="HUD238" s="1"/>
      <c r="HUE238" s="1"/>
      <c r="HUF238" s="1"/>
      <c r="HUG238" s="1"/>
      <c r="HUH238" s="1"/>
      <c r="HUI238" s="1"/>
      <c r="HUJ238" s="1"/>
      <c r="HUK238" s="1"/>
      <c r="HUL238" s="1"/>
      <c r="HUM238" s="1"/>
      <c r="HUN238" s="1"/>
      <c r="HUO238" s="1"/>
      <c r="HUP238" s="1"/>
      <c r="HUQ238" s="1"/>
      <c r="HUR238" s="1"/>
      <c r="HUS238" s="1"/>
      <c r="HUT238" s="1"/>
      <c r="HUU238" s="1"/>
      <c r="HUV238" s="1"/>
      <c r="HUW238" s="1"/>
      <c r="HUX238" s="1"/>
      <c r="HUY238" s="1"/>
      <c r="HUZ238" s="1"/>
      <c r="HVA238" s="1"/>
      <c r="HVB238" s="1"/>
      <c r="HVC238" s="1"/>
      <c r="HVD238" s="1"/>
      <c r="HVE238" s="1"/>
      <c r="HVF238" s="1"/>
      <c r="HVG238" s="1"/>
      <c r="HVH238" s="1"/>
      <c r="HVI238" s="1"/>
      <c r="HVJ238" s="1"/>
      <c r="HVK238" s="1"/>
      <c r="HVL238" s="1"/>
      <c r="HVM238" s="1"/>
      <c r="HVN238" s="1"/>
      <c r="HVO238" s="1"/>
      <c r="HVP238" s="1"/>
      <c r="HVQ238" s="1"/>
      <c r="HVR238" s="1"/>
      <c r="HVS238" s="1"/>
      <c r="HVT238" s="1"/>
      <c r="HVU238" s="1"/>
      <c r="HVV238" s="1"/>
      <c r="HVW238" s="1"/>
      <c r="HVX238" s="1"/>
      <c r="HVY238" s="1"/>
      <c r="HVZ238" s="1"/>
      <c r="HWA238" s="1"/>
      <c r="HWB238" s="1"/>
      <c r="HWC238" s="1"/>
      <c r="HWD238" s="1"/>
      <c r="HWE238" s="1"/>
      <c r="HWF238" s="1"/>
      <c r="HWG238" s="1"/>
      <c r="HWH238" s="1"/>
      <c r="HWI238" s="1"/>
      <c r="HWJ238" s="1"/>
      <c r="HWK238" s="1"/>
      <c r="HWL238" s="1"/>
      <c r="HWM238" s="1"/>
      <c r="HWN238" s="1"/>
      <c r="HWO238" s="1"/>
      <c r="HWP238" s="1"/>
      <c r="HWQ238" s="1"/>
      <c r="HWR238" s="1"/>
      <c r="HWS238" s="1"/>
      <c r="HWT238" s="1"/>
      <c r="HWU238" s="1"/>
      <c r="HWV238" s="1"/>
      <c r="HWW238" s="1"/>
      <c r="HWX238" s="1"/>
      <c r="HWY238" s="1"/>
      <c r="HWZ238" s="1"/>
      <c r="HXA238" s="1"/>
      <c r="HXB238" s="1"/>
      <c r="HXC238" s="1"/>
      <c r="HXD238" s="1"/>
      <c r="HXE238" s="1"/>
      <c r="HXF238" s="1"/>
      <c r="HXG238" s="1"/>
      <c r="HXH238" s="1"/>
      <c r="HXI238" s="1"/>
      <c r="HXJ238" s="1"/>
      <c r="HXK238" s="1"/>
      <c r="HXL238" s="1"/>
      <c r="HXM238" s="1"/>
      <c r="HXN238" s="1"/>
      <c r="HXO238" s="1"/>
      <c r="HXP238" s="1"/>
      <c r="HXQ238" s="1"/>
      <c r="HXR238" s="1"/>
      <c r="HXS238" s="1"/>
      <c r="HXT238" s="1"/>
      <c r="HXU238" s="1"/>
      <c r="HXV238" s="1"/>
      <c r="HXW238" s="1"/>
      <c r="HXX238" s="1"/>
      <c r="HXY238" s="1"/>
      <c r="HXZ238" s="1"/>
      <c r="HYA238" s="1"/>
      <c r="HYB238" s="1"/>
      <c r="HYC238" s="1"/>
      <c r="HYD238" s="1"/>
      <c r="HYE238" s="1"/>
      <c r="HYF238" s="1"/>
      <c r="HYG238" s="1"/>
      <c r="HYH238" s="1"/>
      <c r="HYI238" s="1"/>
      <c r="HYJ238" s="1"/>
      <c r="HYK238" s="1"/>
      <c r="HYL238" s="1"/>
      <c r="HYM238" s="1"/>
      <c r="HYN238" s="1"/>
      <c r="HYO238" s="1"/>
      <c r="HYP238" s="1"/>
      <c r="HYQ238" s="1"/>
      <c r="HYR238" s="1"/>
      <c r="HYS238" s="1"/>
      <c r="HYT238" s="1"/>
      <c r="HYU238" s="1"/>
      <c r="HYV238" s="1"/>
      <c r="HYW238" s="1"/>
      <c r="HYX238" s="1"/>
      <c r="HYY238" s="1"/>
      <c r="HYZ238" s="1"/>
      <c r="HZA238" s="1"/>
      <c r="HZB238" s="1"/>
      <c r="HZC238" s="1"/>
      <c r="HZD238" s="1"/>
      <c r="HZE238" s="1"/>
      <c r="HZF238" s="1"/>
      <c r="HZG238" s="1"/>
      <c r="HZH238" s="1"/>
      <c r="HZI238" s="1"/>
      <c r="HZJ238" s="1"/>
      <c r="HZK238" s="1"/>
      <c r="HZL238" s="1"/>
      <c r="HZM238" s="1"/>
      <c r="HZN238" s="1"/>
      <c r="HZO238" s="1"/>
      <c r="HZP238" s="1"/>
      <c r="HZQ238" s="1"/>
      <c r="HZR238" s="1"/>
      <c r="HZS238" s="1"/>
      <c r="HZT238" s="1"/>
      <c r="HZU238" s="1"/>
      <c r="HZV238" s="1"/>
      <c r="HZW238" s="1"/>
      <c r="HZX238" s="1"/>
      <c r="HZY238" s="1"/>
      <c r="HZZ238" s="1"/>
      <c r="IAA238" s="1"/>
      <c r="IAB238" s="1"/>
      <c r="IAC238" s="1"/>
      <c r="IAD238" s="1"/>
      <c r="IAE238" s="1"/>
      <c r="IAF238" s="1"/>
      <c r="IAG238" s="1"/>
      <c r="IAH238" s="1"/>
      <c r="IAI238" s="1"/>
      <c r="IAJ238" s="1"/>
      <c r="IAK238" s="1"/>
      <c r="IAL238" s="1"/>
      <c r="IAM238" s="1"/>
      <c r="IAN238" s="1"/>
      <c r="IAO238" s="1"/>
      <c r="IAP238" s="1"/>
      <c r="IAQ238" s="1"/>
      <c r="IAR238" s="1"/>
      <c r="IAS238" s="1"/>
      <c r="IAT238" s="1"/>
      <c r="IAU238" s="1"/>
      <c r="IAV238" s="1"/>
      <c r="IAW238" s="1"/>
      <c r="IAX238" s="1"/>
      <c r="IAY238" s="1"/>
      <c r="IAZ238" s="1"/>
      <c r="IBA238" s="1"/>
      <c r="IBB238" s="1"/>
      <c r="IBC238" s="1"/>
      <c r="IBD238" s="1"/>
      <c r="IBE238" s="1"/>
      <c r="IBF238" s="1"/>
      <c r="IBG238" s="1"/>
      <c r="IBH238" s="1"/>
      <c r="IBI238" s="1"/>
      <c r="IBJ238" s="1"/>
      <c r="IBK238" s="1"/>
      <c r="IBL238" s="1"/>
      <c r="IBM238" s="1"/>
      <c r="IBN238" s="1"/>
      <c r="IBO238" s="1"/>
      <c r="IBP238" s="1"/>
      <c r="IBQ238" s="1"/>
      <c r="IBR238" s="1"/>
      <c r="IBS238" s="1"/>
      <c r="IBT238" s="1"/>
      <c r="IBU238" s="1"/>
      <c r="IBV238" s="1"/>
      <c r="IBW238" s="1"/>
      <c r="IBX238" s="1"/>
      <c r="IBY238" s="1"/>
      <c r="IBZ238" s="1"/>
      <c r="ICA238" s="1"/>
      <c r="ICB238" s="1"/>
      <c r="ICC238" s="1"/>
      <c r="ICD238" s="1"/>
      <c r="ICE238" s="1"/>
      <c r="ICF238" s="1"/>
      <c r="ICG238" s="1"/>
      <c r="ICH238" s="1"/>
      <c r="ICI238" s="1"/>
      <c r="ICJ238" s="1"/>
      <c r="ICK238" s="1"/>
      <c r="ICL238" s="1"/>
      <c r="ICM238" s="1"/>
      <c r="ICN238" s="1"/>
      <c r="ICO238" s="1"/>
      <c r="ICP238" s="1"/>
      <c r="ICQ238" s="1"/>
      <c r="ICR238" s="1"/>
      <c r="ICS238" s="1"/>
      <c r="ICT238" s="1"/>
      <c r="ICU238" s="1"/>
      <c r="ICV238" s="1"/>
      <c r="ICW238" s="1"/>
      <c r="ICX238" s="1"/>
      <c r="ICY238" s="1"/>
      <c r="ICZ238" s="1"/>
      <c r="IDA238" s="1"/>
      <c r="IDB238" s="1"/>
      <c r="IDC238" s="1"/>
      <c r="IDD238" s="1"/>
      <c r="IDE238" s="1"/>
      <c r="IDF238" s="1"/>
      <c r="IDG238" s="1"/>
      <c r="IDH238" s="1"/>
      <c r="IDI238" s="1"/>
      <c r="IDJ238" s="1"/>
      <c r="IDK238" s="1"/>
      <c r="IDL238" s="1"/>
      <c r="IDM238" s="1"/>
      <c r="IDN238" s="1"/>
      <c r="IDO238" s="1"/>
      <c r="IDP238" s="1"/>
      <c r="IDQ238" s="1"/>
      <c r="IDR238" s="1"/>
      <c r="IDS238" s="1"/>
      <c r="IDT238" s="1"/>
      <c r="IDU238" s="1"/>
      <c r="IDV238" s="1"/>
      <c r="IDW238" s="1"/>
      <c r="IDX238" s="1"/>
      <c r="IDY238" s="1"/>
      <c r="IDZ238" s="1"/>
      <c r="IEA238" s="1"/>
      <c r="IEB238" s="1"/>
      <c r="IEC238" s="1"/>
      <c r="IED238" s="1"/>
      <c r="IEE238" s="1"/>
      <c r="IEF238" s="1"/>
      <c r="IEG238" s="1"/>
      <c r="IEH238" s="1"/>
      <c r="IEI238" s="1"/>
      <c r="IEJ238" s="1"/>
      <c r="IEK238" s="1"/>
      <c r="IEL238" s="1"/>
      <c r="IEM238" s="1"/>
      <c r="IEN238" s="1"/>
      <c r="IEO238" s="1"/>
      <c r="IEP238" s="1"/>
      <c r="IEQ238" s="1"/>
      <c r="IER238" s="1"/>
      <c r="IES238" s="1"/>
      <c r="IET238" s="1"/>
      <c r="IEU238" s="1"/>
      <c r="IEV238" s="1"/>
      <c r="IEW238" s="1"/>
      <c r="IEX238" s="1"/>
      <c r="IEY238" s="1"/>
      <c r="IEZ238" s="1"/>
      <c r="IFA238" s="1"/>
      <c r="IFB238" s="1"/>
      <c r="IFC238" s="1"/>
      <c r="IFD238" s="1"/>
      <c r="IFE238" s="1"/>
      <c r="IFF238" s="1"/>
      <c r="IFG238" s="1"/>
      <c r="IFH238" s="1"/>
      <c r="IFI238" s="1"/>
      <c r="IFJ238" s="1"/>
      <c r="IFK238" s="1"/>
      <c r="IFL238" s="1"/>
      <c r="IFM238" s="1"/>
      <c r="IFN238" s="1"/>
      <c r="IFO238" s="1"/>
      <c r="IFP238" s="1"/>
      <c r="IFQ238" s="1"/>
      <c r="IFR238" s="1"/>
      <c r="IFS238" s="1"/>
      <c r="IFT238" s="1"/>
      <c r="IFU238" s="1"/>
      <c r="IFV238" s="1"/>
      <c r="IFW238" s="1"/>
      <c r="IFX238" s="1"/>
      <c r="IFY238" s="1"/>
      <c r="IFZ238" s="1"/>
      <c r="IGA238" s="1"/>
      <c r="IGB238" s="1"/>
      <c r="IGC238" s="1"/>
      <c r="IGD238" s="1"/>
      <c r="IGE238" s="1"/>
      <c r="IGF238" s="1"/>
      <c r="IGG238" s="1"/>
      <c r="IGH238" s="1"/>
      <c r="IGI238" s="1"/>
      <c r="IGJ238" s="1"/>
      <c r="IGK238" s="1"/>
      <c r="IGL238" s="1"/>
      <c r="IGM238" s="1"/>
      <c r="IGN238" s="1"/>
      <c r="IGO238" s="1"/>
      <c r="IGP238" s="1"/>
      <c r="IGQ238" s="1"/>
      <c r="IGR238" s="1"/>
      <c r="IGS238" s="1"/>
      <c r="IGT238" s="1"/>
      <c r="IGU238" s="1"/>
      <c r="IGV238" s="1"/>
      <c r="IGW238" s="1"/>
      <c r="IGX238" s="1"/>
      <c r="IGY238" s="1"/>
      <c r="IGZ238" s="1"/>
      <c r="IHA238" s="1"/>
      <c r="IHB238" s="1"/>
      <c r="IHC238" s="1"/>
      <c r="IHD238" s="1"/>
      <c r="IHE238" s="1"/>
      <c r="IHF238" s="1"/>
      <c r="IHG238" s="1"/>
      <c r="IHH238" s="1"/>
      <c r="IHI238" s="1"/>
      <c r="IHJ238" s="1"/>
      <c r="IHK238" s="1"/>
      <c r="IHL238" s="1"/>
      <c r="IHM238" s="1"/>
      <c r="IHN238" s="1"/>
      <c r="IHO238" s="1"/>
      <c r="IHP238" s="1"/>
      <c r="IHQ238" s="1"/>
      <c r="IHR238" s="1"/>
      <c r="IHS238" s="1"/>
      <c r="IHT238" s="1"/>
      <c r="IHU238" s="1"/>
      <c r="IHV238" s="1"/>
      <c r="IHW238" s="1"/>
      <c r="IHX238" s="1"/>
      <c r="IHY238" s="1"/>
      <c r="IHZ238" s="1"/>
      <c r="IIA238" s="1"/>
      <c r="IIB238" s="1"/>
      <c r="IIC238" s="1"/>
      <c r="IID238" s="1"/>
      <c r="IIE238" s="1"/>
      <c r="IIF238" s="1"/>
      <c r="IIG238" s="1"/>
      <c r="IIH238" s="1"/>
      <c r="III238" s="1"/>
      <c r="IIJ238" s="1"/>
      <c r="IIK238" s="1"/>
      <c r="IIL238" s="1"/>
      <c r="IIM238" s="1"/>
      <c r="IIN238" s="1"/>
      <c r="IIO238" s="1"/>
      <c r="IIP238" s="1"/>
      <c r="IIQ238" s="1"/>
      <c r="IIR238" s="1"/>
      <c r="IIS238" s="1"/>
      <c r="IIT238" s="1"/>
      <c r="IIU238" s="1"/>
      <c r="IIV238" s="1"/>
      <c r="IIW238" s="1"/>
      <c r="IIX238" s="1"/>
      <c r="IIY238" s="1"/>
      <c r="IIZ238" s="1"/>
      <c r="IJA238" s="1"/>
      <c r="IJB238" s="1"/>
      <c r="IJC238" s="1"/>
      <c r="IJD238" s="1"/>
      <c r="IJE238" s="1"/>
      <c r="IJF238" s="1"/>
      <c r="IJG238" s="1"/>
      <c r="IJH238" s="1"/>
      <c r="IJI238" s="1"/>
      <c r="IJJ238" s="1"/>
      <c r="IJK238" s="1"/>
      <c r="IJL238" s="1"/>
      <c r="IJM238" s="1"/>
      <c r="IJN238" s="1"/>
      <c r="IJO238" s="1"/>
      <c r="IJP238" s="1"/>
      <c r="IJQ238" s="1"/>
      <c r="IJR238" s="1"/>
      <c r="IJS238" s="1"/>
      <c r="IJT238" s="1"/>
      <c r="IJU238" s="1"/>
      <c r="IJV238" s="1"/>
      <c r="IJW238" s="1"/>
      <c r="IJX238" s="1"/>
      <c r="IJY238" s="1"/>
      <c r="IJZ238" s="1"/>
      <c r="IKA238" s="1"/>
      <c r="IKB238" s="1"/>
      <c r="IKC238" s="1"/>
      <c r="IKD238" s="1"/>
      <c r="IKE238" s="1"/>
      <c r="IKF238" s="1"/>
      <c r="IKG238" s="1"/>
      <c r="IKH238" s="1"/>
      <c r="IKI238" s="1"/>
      <c r="IKJ238" s="1"/>
      <c r="IKK238" s="1"/>
      <c r="IKL238" s="1"/>
      <c r="IKM238" s="1"/>
      <c r="IKN238" s="1"/>
      <c r="IKO238" s="1"/>
      <c r="IKP238" s="1"/>
      <c r="IKQ238" s="1"/>
      <c r="IKR238" s="1"/>
      <c r="IKS238" s="1"/>
      <c r="IKT238" s="1"/>
      <c r="IKU238" s="1"/>
      <c r="IKV238" s="1"/>
      <c r="IKW238" s="1"/>
      <c r="IKX238" s="1"/>
      <c r="IKY238" s="1"/>
      <c r="IKZ238" s="1"/>
      <c r="ILA238" s="1"/>
      <c r="ILB238" s="1"/>
      <c r="ILC238" s="1"/>
      <c r="ILD238" s="1"/>
      <c r="ILE238" s="1"/>
      <c r="ILF238" s="1"/>
      <c r="ILG238" s="1"/>
      <c r="ILH238" s="1"/>
      <c r="ILI238" s="1"/>
      <c r="ILJ238" s="1"/>
      <c r="ILK238" s="1"/>
      <c r="ILL238" s="1"/>
      <c r="ILM238" s="1"/>
      <c r="ILN238" s="1"/>
      <c r="ILO238" s="1"/>
      <c r="ILP238" s="1"/>
      <c r="ILQ238" s="1"/>
      <c r="ILR238" s="1"/>
      <c r="ILS238" s="1"/>
      <c r="ILT238" s="1"/>
      <c r="ILU238" s="1"/>
      <c r="ILV238" s="1"/>
      <c r="ILW238" s="1"/>
      <c r="ILX238" s="1"/>
      <c r="ILY238" s="1"/>
      <c r="ILZ238" s="1"/>
      <c r="IMA238" s="1"/>
      <c r="IMB238" s="1"/>
      <c r="IMC238" s="1"/>
      <c r="IMD238" s="1"/>
      <c r="IME238" s="1"/>
      <c r="IMF238" s="1"/>
      <c r="IMG238" s="1"/>
      <c r="IMH238" s="1"/>
      <c r="IMI238" s="1"/>
      <c r="IMJ238" s="1"/>
      <c r="IMK238" s="1"/>
      <c r="IML238" s="1"/>
      <c r="IMM238" s="1"/>
      <c r="IMN238" s="1"/>
      <c r="IMO238" s="1"/>
      <c r="IMP238" s="1"/>
      <c r="IMQ238" s="1"/>
      <c r="IMR238" s="1"/>
      <c r="IMS238" s="1"/>
      <c r="IMT238" s="1"/>
      <c r="IMU238" s="1"/>
      <c r="IMV238" s="1"/>
      <c r="IMW238" s="1"/>
      <c r="IMX238" s="1"/>
      <c r="IMY238" s="1"/>
      <c r="IMZ238" s="1"/>
      <c r="INA238" s="1"/>
      <c r="INB238" s="1"/>
      <c r="INC238" s="1"/>
      <c r="IND238" s="1"/>
      <c r="INE238" s="1"/>
      <c r="INF238" s="1"/>
      <c r="ING238" s="1"/>
      <c r="INH238" s="1"/>
      <c r="INI238" s="1"/>
      <c r="INJ238" s="1"/>
      <c r="INK238" s="1"/>
      <c r="INL238" s="1"/>
      <c r="INM238" s="1"/>
      <c r="INN238" s="1"/>
      <c r="INO238" s="1"/>
      <c r="INP238" s="1"/>
      <c r="INQ238" s="1"/>
      <c r="INR238" s="1"/>
      <c r="INS238" s="1"/>
      <c r="INT238" s="1"/>
      <c r="INU238" s="1"/>
      <c r="INV238" s="1"/>
      <c r="INW238" s="1"/>
      <c r="INX238" s="1"/>
      <c r="INY238" s="1"/>
      <c r="INZ238" s="1"/>
      <c r="IOA238" s="1"/>
      <c r="IOB238" s="1"/>
      <c r="IOC238" s="1"/>
      <c r="IOD238" s="1"/>
      <c r="IOE238" s="1"/>
      <c r="IOF238" s="1"/>
      <c r="IOG238" s="1"/>
      <c r="IOH238" s="1"/>
      <c r="IOI238" s="1"/>
      <c r="IOJ238" s="1"/>
      <c r="IOK238" s="1"/>
      <c r="IOL238" s="1"/>
      <c r="IOM238" s="1"/>
      <c r="ION238" s="1"/>
      <c r="IOO238" s="1"/>
      <c r="IOP238" s="1"/>
      <c r="IOQ238" s="1"/>
      <c r="IOR238" s="1"/>
      <c r="IOS238" s="1"/>
      <c r="IOT238" s="1"/>
      <c r="IOU238" s="1"/>
      <c r="IOV238" s="1"/>
      <c r="IOW238" s="1"/>
      <c r="IOX238" s="1"/>
      <c r="IOY238" s="1"/>
      <c r="IOZ238" s="1"/>
      <c r="IPA238" s="1"/>
      <c r="IPB238" s="1"/>
      <c r="IPC238" s="1"/>
      <c r="IPD238" s="1"/>
      <c r="IPE238" s="1"/>
      <c r="IPF238" s="1"/>
      <c r="IPG238" s="1"/>
      <c r="IPH238" s="1"/>
      <c r="IPI238" s="1"/>
      <c r="IPJ238" s="1"/>
      <c r="IPK238" s="1"/>
      <c r="IPL238" s="1"/>
      <c r="IPM238" s="1"/>
      <c r="IPN238" s="1"/>
      <c r="IPO238" s="1"/>
      <c r="IPP238" s="1"/>
      <c r="IPQ238" s="1"/>
      <c r="IPR238" s="1"/>
      <c r="IPS238" s="1"/>
      <c r="IPT238" s="1"/>
      <c r="IPU238" s="1"/>
      <c r="IPV238" s="1"/>
      <c r="IPW238" s="1"/>
      <c r="IPX238" s="1"/>
      <c r="IPY238" s="1"/>
      <c r="IPZ238" s="1"/>
      <c r="IQA238" s="1"/>
      <c r="IQB238" s="1"/>
      <c r="IQC238" s="1"/>
      <c r="IQD238" s="1"/>
      <c r="IQE238" s="1"/>
      <c r="IQF238" s="1"/>
      <c r="IQG238" s="1"/>
      <c r="IQH238" s="1"/>
      <c r="IQI238" s="1"/>
      <c r="IQJ238" s="1"/>
      <c r="IQK238" s="1"/>
      <c r="IQL238" s="1"/>
      <c r="IQM238" s="1"/>
      <c r="IQN238" s="1"/>
      <c r="IQO238" s="1"/>
      <c r="IQP238" s="1"/>
      <c r="IQQ238" s="1"/>
      <c r="IQR238" s="1"/>
      <c r="IQS238" s="1"/>
      <c r="IQT238" s="1"/>
      <c r="IQU238" s="1"/>
      <c r="IQV238" s="1"/>
      <c r="IQW238" s="1"/>
      <c r="IQX238" s="1"/>
      <c r="IQY238" s="1"/>
      <c r="IQZ238" s="1"/>
      <c r="IRA238" s="1"/>
      <c r="IRB238" s="1"/>
      <c r="IRC238" s="1"/>
      <c r="IRD238" s="1"/>
      <c r="IRE238" s="1"/>
      <c r="IRF238" s="1"/>
      <c r="IRG238" s="1"/>
      <c r="IRH238" s="1"/>
      <c r="IRI238" s="1"/>
      <c r="IRJ238" s="1"/>
      <c r="IRK238" s="1"/>
      <c r="IRL238" s="1"/>
      <c r="IRM238" s="1"/>
      <c r="IRN238" s="1"/>
      <c r="IRO238" s="1"/>
      <c r="IRP238" s="1"/>
      <c r="IRQ238" s="1"/>
      <c r="IRR238" s="1"/>
      <c r="IRS238" s="1"/>
      <c r="IRT238" s="1"/>
      <c r="IRU238" s="1"/>
      <c r="IRV238" s="1"/>
      <c r="IRW238" s="1"/>
      <c r="IRX238" s="1"/>
      <c r="IRY238" s="1"/>
      <c r="IRZ238" s="1"/>
      <c r="ISA238" s="1"/>
      <c r="ISB238" s="1"/>
      <c r="ISC238" s="1"/>
      <c r="ISD238" s="1"/>
      <c r="ISE238" s="1"/>
      <c r="ISF238" s="1"/>
      <c r="ISG238" s="1"/>
      <c r="ISH238" s="1"/>
      <c r="ISI238" s="1"/>
      <c r="ISJ238" s="1"/>
      <c r="ISK238" s="1"/>
      <c r="ISL238" s="1"/>
      <c r="ISM238" s="1"/>
      <c r="ISN238" s="1"/>
      <c r="ISO238" s="1"/>
      <c r="ISP238" s="1"/>
      <c r="ISQ238" s="1"/>
      <c r="ISR238" s="1"/>
      <c r="ISS238" s="1"/>
      <c r="IST238" s="1"/>
      <c r="ISU238" s="1"/>
      <c r="ISV238" s="1"/>
      <c r="ISW238" s="1"/>
      <c r="ISX238" s="1"/>
      <c r="ISY238" s="1"/>
      <c r="ISZ238" s="1"/>
      <c r="ITA238" s="1"/>
      <c r="ITB238" s="1"/>
      <c r="ITC238" s="1"/>
      <c r="ITD238" s="1"/>
      <c r="ITE238" s="1"/>
      <c r="ITF238" s="1"/>
      <c r="ITG238" s="1"/>
      <c r="ITH238" s="1"/>
      <c r="ITI238" s="1"/>
      <c r="ITJ238" s="1"/>
      <c r="ITK238" s="1"/>
      <c r="ITL238" s="1"/>
      <c r="ITM238" s="1"/>
      <c r="ITN238" s="1"/>
      <c r="ITO238" s="1"/>
      <c r="ITP238" s="1"/>
      <c r="ITQ238" s="1"/>
      <c r="ITR238" s="1"/>
      <c r="ITS238" s="1"/>
      <c r="ITT238" s="1"/>
      <c r="ITU238" s="1"/>
      <c r="ITV238" s="1"/>
      <c r="ITW238" s="1"/>
      <c r="ITX238" s="1"/>
      <c r="ITY238" s="1"/>
      <c r="ITZ238" s="1"/>
      <c r="IUA238" s="1"/>
      <c r="IUB238" s="1"/>
      <c r="IUC238" s="1"/>
      <c r="IUD238" s="1"/>
      <c r="IUE238" s="1"/>
      <c r="IUF238" s="1"/>
      <c r="IUG238" s="1"/>
      <c r="IUH238" s="1"/>
      <c r="IUI238" s="1"/>
      <c r="IUJ238" s="1"/>
      <c r="IUK238" s="1"/>
      <c r="IUL238" s="1"/>
      <c r="IUM238" s="1"/>
      <c r="IUN238" s="1"/>
      <c r="IUO238" s="1"/>
      <c r="IUP238" s="1"/>
      <c r="IUQ238" s="1"/>
      <c r="IUR238" s="1"/>
      <c r="IUS238" s="1"/>
      <c r="IUT238" s="1"/>
      <c r="IUU238" s="1"/>
      <c r="IUV238" s="1"/>
      <c r="IUW238" s="1"/>
      <c r="IUX238" s="1"/>
      <c r="IUY238" s="1"/>
      <c r="IUZ238" s="1"/>
      <c r="IVA238" s="1"/>
      <c r="IVB238" s="1"/>
      <c r="IVC238" s="1"/>
      <c r="IVD238" s="1"/>
      <c r="IVE238" s="1"/>
      <c r="IVF238" s="1"/>
      <c r="IVG238" s="1"/>
      <c r="IVH238" s="1"/>
      <c r="IVI238" s="1"/>
      <c r="IVJ238" s="1"/>
      <c r="IVK238" s="1"/>
      <c r="IVL238" s="1"/>
      <c r="IVM238" s="1"/>
      <c r="IVN238" s="1"/>
      <c r="IVO238" s="1"/>
      <c r="IVP238" s="1"/>
      <c r="IVQ238" s="1"/>
      <c r="IVR238" s="1"/>
      <c r="IVS238" s="1"/>
      <c r="IVT238" s="1"/>
      <c r="IVU238" s="1"/>
      <c r="IVV238" s="1"/>
      <c r="IVW238" s="1"/>
      <c r="IVX238" s="1"/>
      <c r="IVY238" s="1"/>
      <c r="IVZ238" s="1"/>
      <c r="IWA238" s="1"/>
      <c r="IWB238" s="1"/>
      <c r="IWC238" s="1"/>
      <c r="IWD238" s="1"/>
      <c r="IWE238" s="1"/>
      <c r="IWF238" s="1"/>
      <c r="IWG238" s="1"/>
      <c r="IWH238" s="1"/>
      <c r="IWI238" s="1"/>
      <c r="IWJ238" s="1"/>
      <c r="IWK238" s="1"/>
      <c r="IWL238" s="1"/>
      <c r="IWM238" s="1"/>
      <c r="IWN238" s="1"/>
      <c r="IWO238" s="1"/>
      <c r="IWP238" s="1"/>
      <c r="IWQ238" s="1"/>
      <c r="IWR238" s="1"/>
      <c r="IWS238" s="1"/>
      <c r="IWT238" s="1"/>
      <c r="IWU238" s="1"/>
      <c r="IWV238" s="1"/>
      <c r="IWW238" s="1"/>
      <c r="IWX238" s="1"/>
      <c r="IWY238" s="1"/>
      <c r="IWZ238" s="1"/>
      <c r="IXA238" s="1"/>
      <c r="IXB238" s="1"/>
      <c r="IXC238" s="1"/>
      <c r="IXD238" s="1"/>
      <c r="IXE238" s="1"/>
      <c r="IXF238" s="1"/>
      <c r="IXG238" s="1"/>
      <c r="IXH238" s="1"/>
      <c r="IXI238" s="1"/>
      <c r="IXJ238" s="1"/>
      <c r="IXK238" s="1"/>
      <c r="IXL238" s="1"/>
      <c r="IXM238" s="1"/>
      <c r="IXN238" s="1"/>
      <c r="IXO238" s="1"/>
      <c r="IXP238" s="1"/>
      <c r="IXQ238" s="1"/>
      <c r="IXR238" s="1"/>
      <c r="IXS238" s="1"/>
      <c r="IXT238" s="1"/>
      <c r="IXU238" s="1"/>
      <c r="IXV238" s="1"/>
      <c r="IXW238" s="1"/>
      <c r="IXX238" s="1"/>
      <c r="IXY238" s="1"/>
      <c r="IXZ238" s="1"/>
      <c r="IYA238" s="1"/>
      <c r="IYB238" s="1"/>
      <c r="IYC238" s="1"/>
      <c r="IYD238" s="1"/>
      <c r="IYE238" s="1"/>
      <c r="IYF238" s="1"/>
      <c r="IYG238" s="1"/>
      <c r="IYH238" s="1"/>
      <c r="IYI238" s="1"/>
      <c r="IYJ238" s="1"/>
      <c r="IYK238" s="1"/>
      <c r="IYL238" s="1"/>
      <c r="IYM238" s="1"/>
      <c r="IYN238" s="1"/>
      <c r="IYO238" s="1"/>
      <c r="IYP238" s="1"/>
      <c r="IYQ238" s="1"/>
      <c r="IYR238" s="1"/>
      <c r="IYS238" s="1"/>
      <c r="IYT238" s="1"/>
      <c r="IYU238" s="1"/>
      <c r="IYV238" s="1"/>
      <c r="IYW238" s="1"/>
      <c r="IYX238" s="1"/>
      <c r="IYY238" s="1"/>
      <c r="IYZ238" s="1"/>
      <c r="IZA238" s="1"/>
      <c r="IZB238" s="1"/>
      <c r="IZC238" s="1"/>
      <c r="IZD238" s="1"/>
      <c r="IZE238" s="1"/>
      <c r="IZF238" s="1"/>
      <c r="IZG238" s="1"/>
      <c r="IZH238" s="1"/>
      <c r="IZI238" s="1"/>
      <c r="IZJ238" s="1"/>
      <c r="IZK238" s="1"/>
      <c r="IZL238" s="1"/>
      <c r="IZM238" s="1"/>
      <c r="IZN238" s="1"/>
      <c r="IZO238" s="1"/>
      <c r="IZP238" s="1"/>
      <c r="IZQ238" s="1"/>
      <c r="IZR238" s="1"/>
      <c r="IZS238" s="1"/>
      <c r="IZT238" s="1"/>
      <c r="IZU238" s="1"/>
      <c r="IZV238" s="1"/>
      <c r="IZW238" s="1"/>
      <c r="IZX238" s="1"/>
      <c r="IZY238" s="1"/>
      <c r="IZZ238" s="1"/>
      <c r="JAA238" s="1"/>
      <c r="JAB238" s="1"/>
      <c r="JAC238" s="1"/>
      <c r="JAD238" s="1"/>
      <c r="JAE238" s="1"/>
      <c r="JAF238" s="1"/>
      <c r="JAG238" s="1"/>
      <c r="JAH238" s="1"/>
      <c r="JAI238" s="1"/>
      <c r="JAJ238" s="1"/>
      <c r="JAK238" s="1"/>
      <c r="JAL238" s="1"/>
      <c r="JAM238" s="1"/>
      <c r="JAN238" s="1"/>
      <c r="JAO238" s="1"/>
      <c r="JAP238" s="1"/>
      <c r="JAQ238" s="1"/>
      <c r="JAR238" s="1"/>
      <c r="JAS238" s="1"/>
      <c r="JAT238" s="1"/>
      <c r="JAU238" s="1"/>
      <c r="JAV238" s="1"/>
      <c r="JAW238" s="1"/>
      <c r="JAX238" s="1"/>
      <c r="JAY238" s="1"/>
      <c r="JAZ238" s="1"/>
      <c r="JBA238" s="1"/>
      <c r="JBB238" s="1"/>
      <c r="JBC238" s="1"/>
      <c r="JBD238" s="1"/>
      <c r="JBE238" s="1"/>
      <c r="JBF238" s="1"/>
      <c r="JBG238" s="1"/>
      <c r="JBH238" s="1"/>
      <c r="JBI238" s="1"/>
      <c r="JBJ238" s="1"/>
      <c r="JBK238" s="1"/>
      <c r="JBL238" s="1"/>
      <c r="JBM238" s="1"/>
      <c r="JBN238" s="1"/>
      <c r="JBO238" s="1"/>
      <c r="JBP238" s="1"/>
      <c r="JBQ238" s="1"/>
      <c r="JBR238" s="1"/>
      <c r="JBS238" s="1"/>
      <c r="JBT238" s="1"/>
      <c r="JBU238" s="1"/>
      <c r="JBV238" s="1"/>
      <c r="JBW238" s="1"/>
      <c r="JBX238" s="1"/>
      <c r="JBY238" s="1"/>
      <c r="JBZ238" s="1"/>
      <c r="JCA238" s="1"/>
      <c r="JCB238" s="1"/>
      <c r="JCC238" s="1"/>
      <c r="JCD238" s="1"/>
      <c r="JCE238" s="1"/>
      <c r="JCF238" s="1"/>
      <c r="JCG238" s="1"/>
      <c r="JCH238" s="1"/>
      <c r="JCI238" s="1"/>
      <c r="JCJ238" s="1"/>
      <c r="JCK238" s="1"/>
      <c r="JCL238" s="1"/>
      <c r="JCM238" s="1"/>
      <c r="JCN238" s="1"/>
      <c r="JCO238" s="1"/>
      <c r="JCP238" s="1"/>
      <c r="JCQ238" s="1"/>
      <c r="JCR238" s="1"/>
      <c r="JCS238" s="1"/>
      <c r="JCT238" s="1"/>
      <c r="JCU238" s="1"/>
      <c r="JCV238" s="1"/>
      <c r="JCW238" s="1"/>
      <c r="JCX238" s="1"/>
      <c r="JCY238" s="1"/>
      <c r="JCZ238" s="1"/>
      <c r="JDA238" s="1"/>
      <c r="JDB238" s="1"/>
      <c r="JDC238" s="1"/>
      <c r="JDD238" s="1"/>
      <c r="JDE238" s="1"/>
      <c r="JDF238" s="1"/>
      <c r="JDG238" s="1"/>
      <c r="JDH238" s="1"/>
      <c r="JDI238" s="1"/>
      <c r="JDJ238" s="1"/>
      <c r="JDK238" s="1"/>
      <c r="JDL238" s="1"/>
      <c r="JDM238" s="1"/>
      <c r="JDN238" s="1"/>
      <c r="JDO238" s="1"/>
      <c r="JDP238" s="1"/>
      <c r="JDQ238" s="1"/>
      <c r="JDR238" s="1"/>
      <c r="JDS238" s="1"/>
      <c r="JDT238" s="1"/>
      <c r="JDU238" s="1"/>
      <c r="JDV238" s="1"/>
      <c r="JDW238" s="1"/>
      <c r="JDX238" s="1"/>
      <c r="JDY238" s="1"/>
      <c r="JDZ238" s="1"/>
      <c r="JEA238" s="1"/>
      <c r="JEB238" s="1"/>
      <c r="JEC238" s="1"/>
      <c r="JED238" s="1"/>
      <c r="JEE238" s="1"/>
      <c r="JEF238" s="1"/>
      <c r="JEG238" s="1"/>
      <c r="JEH238" s="1"/>
      <c r="JEI238" s="1"/>
      <c r="JEJ238" s="1"/>
      <c r="JEK238" s="1"/>
      <c r="JEL238" s="1"/>
      <c r="JEM238" s="1"/>
      <c r="JEN238" s="1"/>
      <c r="JEO238" s="1"/>
      <c r="JEP238" s="1"/>
      <c r="JEQ238" s="1"/>
      <c r="JER238" s="1"/>
      <c r="JES238" s="1"/>
      <c r="JET238" s="1"/>
      <c r="JEU238" s="1"/>
      <c r="JEV238" s="1"/>
      <c r="JEW238" s="1"/>
      <c r="JEX238" s="1"/>
      <c r="JEY238" s="1"/>
      <c r="JEZ238" s="1"/>
      <c r="JFA238" s="1"/>
      <c r="JFB238" s="1"/>
      <c r="JFC238" s="1"/>
      <c r="JFD238" s="1"/>
      <c r="JFE238" s="1"/>
      <c r="JFF238" s="1"/>
      <c r="JFG238" s="1"/>
      <c r="JFH238" s="1"/>
      <c r="JFI238" s="1"/>
      <c r="JFJ238" s="1"/>
      <c r="JFK238" s="1"/>
      <c r="JFL238" s="1"/>
      <c r="JFM238" s="1"/>
      <c r="JFN238" s="1"/>
      <c r="JFO238" s="1"/>
      <c r="JFP238" s="1"/>
      <c r="JFQ238" s="1"/>
      <c r="JFR238" s="1"/>
      <c r="JFS238" s="1"/>
      <c r="JFT238" s="1"/>
      <c r="JFU238" s="1"/>
      <c r="JFV238" s="1"/>
      <c r="JFW238" s="1"/>
      <c r="JFX238" s="1"/>
      <c r="JFY238" s="1"/>
      <c r="JFZ238" s="1"/>
      <c r="JGA238" s="1"/>
      <c r="JGB238" s="1"/>
      <c r="JGC238" s="1"/>
      <c r="JGD238" s="1"/>
      <c r="JGE238" s="1"/>
      <c r="JGF238" s="1"/>
      <c r="JGG238" s="1"/>
      <c r="JGH238" s="1"/>
      <c r="JGI238" s="1"/>
      <c r="JGJ238" s="1"/>
      <c r="JGK238" s="1"/>
      <c r="JGL238" s="1"/>
      <c r="JGM238" s="1"/>
      <c r="JGN238" s="1"/>
      <c r="JGO238" s="1"/>
      <c r="JGP238" s="1"/>
      <c r="JGQ238" s="1"/>
      <c r="JGR238" s="1"/>
      <c r="JGS238" s="1"/>
      <c r="JGT238" s="1"/>
      <c r="JGU238" s="1"/>
      <c r="JGV238" s="1"/>
      <c r="JGW238" s="1"/>
      <c r="JGX238" s="1"/>
      <c r="JGY238" s="1"/>
      <c r="JGZ238" s="1"/>
      <c r="JHA238" s="1"/>
      <c r="JHB238" s="1"/>
      <c r="JHC238" s="1"/>
      <c r="JHD238" s="1"/>
      <c r="JHE238" s="1"/>
      <c r="JHF238" s="1"/>
      <c r="JHG238" s="1"/>
      <c r="JHH238" s="1"/>
      <c r="JHI238" s="1"/>
      <c r="JHJ238" s="1"/>
      <c r="JHK238" s="1"/>
      <c r="JHL238" s="1"/>
      <c r="JHM238" s="1"/>
      <c r="JHN238" s="1"/>
      <c r="JHO238" s="1"/>
      <c r="JHP238" s="1"/>
      <c r="JHQ238" s="1"/>
      <c r="JHR238" s="1"/>
      <c r="JHS238" s="1"/>
      <c r="JHT238" s="1"/>
      <c r="JHU238" s="1"/>
      <c r="JHV238" s="1"/>
      <c r="JHW238" s="1"/>
      <c r="JHX238" s="1"/>
      <c r="JHY238" s="1"/>
      <c r="JHZ238" s="1"/>
      <c r="JIA238" s="1"/>
      <c r="JIB238" s="1"/>
      <c r="JIC238" s="1"/>
      <c r="JID238" s="1"/>
      <c r="JIE238" s="1"/>
      <c r="JIF238" s="1"/>
      <c r="JIG238" s="1"/>
      <c r="JIH238" s="1"/>
      <c r="JII238" s="1"/>
      <c r="JIJ238" s="1"/>
      <c r="JIK238" s="1"/>
      <c r="JIL238" s="1"/>
      <c r="JIM238" s="1"/>
      <c r="JIN238" s="1"/>
      <c r="JIO238" s="1"/>
      <c r="JIP238" s="1"/>
      <c r="JIQ238" s="1"/>
      <c r="JIR238" s="1"/>
      <c r="JIS238" s="1"/>
      <c r="JIT238" s="1"/>
      <c r="JIU238" s="1"/>
      <c r="JIV238" s="1"/>
      <c r="JIW238" s="1"/>
      <c r="JIX238" s="1"/>
      <c r="JIY238" s="1"/>
      <c r="JIZ238" s="1"/>
      <c r="JJA238" s="1"/>
      <c r="JJB238" s="1"/>
      <c r="JJC238" s="1"/>
      <c r="JJD238" s="1"/>
      <c r="JJE238" s="1"/>
      <c r="JJF238" s="1"/>
      <c r="JJG238" s="1"/>
      <c r="JJH238" s="1"/>
      <c r="JJI238" s="1"/>
      <c r="JJJ238" s="1"/>
      <c r="JJK238" s="1"/>
      <c r="JJL238" s="1"/>
      <c r="JJM238" s="1"/>
      <c r="JJN238" s="1"/>
      <c r="JJO238" s="1"/>
      <c r="JJP238" s="1"/>
      <c r="JJQ238" s="1"/>
      <c r="JJR238" s="1"/>
      <c r="JJS238" s="1"/>
      <c r="JJT238" s="1"/>
      <c r="JJU238" s="1"/>
      <c r="JJV238" s="1"/>
      <c r="JJW238" s="1"/>
      <c r="JJX238" s="1"/>
      <c r="JJY238" s="1"/>
      <c r="JJZ238" s="1"/>
      <c r="JKA238" s="1"/>
      <c r="JKB238" s="1"/>
      <c r="JKC238" s="1"/>
      <c r="JKD238" s="1"/>
      <c r="JKE238" s="1"/>
      <c r="JKF238" s="1"/>
      <c r="JKG238" s="1"/>
      <c r="JKH238" s="1"/>
      <c r="JKI238" s="1"/>
      <c r="JKJ238" s="1"/>
      <c r="JKK238" s="1"/>
      <c r="JKL238" s="1"/>
      <c r="JKM238" s="1"/>
      <c r="JKN238" s="1"/>
      <c r="JKO238" s="1"/>
      <c r="JKP238" s="1"/>
      <c r="JKQ238" s="1"/>
      <c r="JKR238" s="1"/>
      <c r="JKS238" s="1"/>
      <c r="JKT238" s="1"/>
      <c r="JKU238" s="1"/>
      <c r="JKV238" s="1"/>
      <c r="JKW238" s="1"/>
      <c r="JKX238" s="1"/>
      <c r="JKY238" s="1"/>
      <c r="JKZ238" s="1"/>
      <c r="JLA238" s="1"/>
      <c r="JLB238" s="1"/>
      <c r="JLC238" s="1"/>
      <c r="JLD238" s="1"/>
      <c r="JLE238" s="1"/>
      <c r="JLF238" s="1"/>
      <c r="JLG238" s="1"/>
      <c r="JLH238" s="1"/>
      <c r="JLI238" s="1"/>
      <c r="JLJ238" s="1"/>
      <c r="JLK238" s="1"/>
      <c r="JLL238" s="1"/>
      <c r="JLM238" s="1"/>
      <c r="JLN238" s="1"/>
      <c r="JLO238" s="1"/>
      <c r="JLP238" s="1"/>
      <c r="JLQ238" s="1"/>
      <c r="JLR238" s="1"/>
      <c r="JLS238" s="1"/>
      <c r="JLT238" s="1"/>
      <c r="JLU238" s="1"/>
      <c r="JLV238" s="1"/>
      <c r="JLW238" s="1"/>
      <c r="JLX238" s="1"/>
      <c r="JLY238" s="1"/>
      <c r="JLZ238" s="1"/>
      <c r="JMA238" s="1"/>
      <c r="JMB238" s="1"/>
      <c r="JMC238" s="1"/>
      <c r="JMD238" s="1"/>
      <c r="JME238" s="1"/>
      <c r="JMF238" s="1"/>
      <c r="JMG238" s="1"/>
      <c r="JMH238" s="1"/>
      <c r="JMI238" s="1"/>
      <c r="JMJ238" s="1"/>
      <c r="JMK238" s="1"/>
      <c r="JML238" s="1"/>
      <c r="JMM238" s="1"/>
      <c r="JMN238" s="1"/>
      <c r="JMO238" s="1"/>
      <c r="JMP238" s="1"/>
      <c r="JMQ238" s="1"/>
      <c r="JMR238" s="1"/>
      <c r="JMS238" s="1"/>
      <c r="JMT238" s="1"/>
      <c r="JMU238" s="1"/>
      <c r="JMV238" s="1"/>
      <c r="JMW238" s="1"/>
      <c r="JMX238" s="1"/>
      <c r="JMY238" s="1"/>
      <c r="JMZ238" s="1"/>
      <c r="JNA238" s="1"/>
      <c r="JNB238" s="1"/>
      <c r="JNC238" s="1"/>
      <c r="JND238" s="1"/>
      <c r="JNE238" s="1"/>
      <c r="JNF238" s="1"/>
      <c r="JNG238" s="1"/>
      <c r="JNH238" s="1"/>
      <c r="JNI238" s="1"/>
      <c r="JNJ238" s="1"/>
      <c r="JNK238" s="1"/>
      <c r="JNL238" s="1"/>
      <c r="JNM238" s="1"/>
      <c r="JNN238" s="1"/>
      <c r="JNO238" s="1"/>
      <c r="JNP238" s="1"/>
      <c r="JNQ238" s="1"/>
      <c r="JNR238" s="1"/>
      <c r="JNS238" s="1"/>
      <c r="JNT238" s="1"/>
      <c r="JNU238" s="1"/>
      <c r="JNV238" s="1"/>
      <c r="JNW238" s="1"/>
      <c r="JNX238" s="1"/>
      <c r="JNY238" s="1"/>
      <c r="JNZ238" s="1"/>
      <c r="JOA238" s="1"/>
      <c r="JOB238" s="1"/>
      <c r="JOC238" s="1"/>
      <c r="JOD238" s="1"/>
      <c r="JOE238" s="1"/>
      <c r="JOF238" s="1"/>
      <c r="JOG238" s="1"/>
      <c r="JOH238" s="1"/>
      <c r="JOI238" s="1"/>
      <c r="JOJ238" s="1"/>
      <c r="JOK238" s="1"/>
      <c r="JOL238" s="1"/>
      <c r="JOM238" s="1"/>
      <c r="JON238" s="1"/>
      <c r="JOO238" s="1"/>
      <c r="JOP238" s="1"/>
      <c r="JOQ238" s="1"/>
      <c r="JOR238" s="1"/>
      <c r="JOS238" s="1"/>
      <c r="JOT238" s="1"/>
      <c r="JOU238" s="1"/>
      <c r="JOV238" s="1"/>
      <c r="JOW238" s="1"/>
      <c r="JOX238" s="1"/>
      <c r="JOY238" s="1"/>
      <c r="JOZ238" s="1"/>
      <c r="JPA238" s="1"/>
      <c r="JPB238" s="1"/>
      <c r="JPC238" s="1"/>
      <c r="JPD238" s="1"/>
      <c r="JPE238" s="1"/>
      <c r="JPF238" s="1"/>
      <c r="JPG238" s="1"/>
      <c r="JPH238" s="1"/>
      <c r="JPI238" s="1"/>
      <c r="JPJ238" s="1"/>
      <c r="JPK238" s="1"/>
      <c r="JPL238" s="1"/>
      <c r="JPM238" s="1"/>
      <c r="JPN238" s="1"/>
      <c r="JPO238" s="1"/>
      <c r="JPP238" s="1"/>
      <c r="JPQ238" s="1"/>
      <c r="JPR238" s="1"/>
      <c r="JPS238" s="1"/>
      <c r="JPT238" s="1"/>
      <c r="JPU238" s="1"/>
      <c r="JPV238" s="1"/>
      <c r="JPW238" s="1"/>
      <c r="JPX238" s="1"/>
      <c r="JPY238" s="1"/>
      <c r="JPZ238" s="1"/>
      <c r="JQA238" s="1"/>
      <c r="JQB238" s="1"/>
      <c r="JQC238" s="1"/>
      <c r="JQD238" s="1"/>
      <c r="JQE238" s="1"/>
      <c r="JQF238" s="1"/>
      <c r="JQG238" s="1"/>
      <c r="JQH238" s="1"/>
      <c r="JQI238" s="1"/>
      <c r="JQJ238" s="1"/>
      <c r="JQK238" s="1"/>
      <c r="JQL238" s="1"/>
      <c r="JQM238" s="1"/>
      <c r="JQN238" s="1"/>
      <c r="JQO238" s="1"/>
      <c r="JQP238" s="1"/>
      <c r="JQQ238" s="1"/>
      <c r="JQR238" s="1"/>
      <c r="JQS238" s="1"/>
      <c r="JQT238" s="1"/>
      <c r="JQU238" s="1"/>
      <c r="JQV238" s="1"/>
      <c r="JQW238" s="1"/>
      <c r="JQX238" s="1"/>
      <c r="JQY238" s="1"/>
      <c r="JQZ238" s="1"/>
      <c r="JRA238" s="1"/>
      <c r="JRB238" s="1"/>
      <c r="JRC238" s="1"/>
      <c r="JRD238" s="1"/>
      <c r="JRE238" s="1"/>
      <c r="JRF238" s="1"/>
      <c r="JRG238" s="1"/>
      <c r="JRH238" s="1"/>
      <c r="JRI238" s="1"/>
      <c r="JRJ238" s="1"/>
      <c r="JRK238" s="1"/>
      <c r="JRL238" s="1"/>
      <c r="JRM238" s="1"/>
      <c r="JRN238" s="1"/>
      <c r="JRO238" s="1"/>
      <c r="JRP238" s="1"/>
      <c r="JRQ238" s="1"/>
      <c r="JRR238" s="1"/>
      <c r="JRS238" s="1"/>
      <c r="JRT238" s="1"/>
      <c r="JRU238" s="1"/>
      <c r="JRV238" s="1"/>
      <c r="JRW238" s="1"/>
      <c r="JRX238" s="1"/>
      <c r="JRY238" s="1"/>
      <c r="JRZ238" s="1"/>
      <c r="JSA238" s="1"/>
      <c r="JSB238" s="1"/>
      <c r="JSC238" s="1"/>
      <c r="JSD238" s="1"/>
      <c r="JSE238" s="1"/>
      <c r="JSF238" s="1"/>
      <c r="JSG238" s="1"/>
      <c r="JSH238" s="1"/>
      <c r="JSI238" s="1"/>
      <c r="JSJ238" s="1"/>
      <c r="JSK238" s="1"/>
      <c r="JSL238" s="1"/>
      <c r="JSM238" s="1"/>
      <c r="JSN238" s="1"/>
      <c r="JSO238" s="1"/>
      <c r="JSP238" s="1"/>
      <c r="JSQ238" s="1"/>
      <c r="JSR238" s="1"/>
      <c r="JSS238" s="1"/>
      <c r="JST238" s="1"/>
      <c r="JSU238" s="1"/>
      <c r="JSV238" s="1"/>
      <c r="JSW238" s="1"/>
      <c r="JSX238" s="1"/>
      <c r="JSY238" s="1"/>
      <c r="JSZ238" s="1"/>
      <c r="JTA238" s="1"/>
      <c r="JTB238" s="1"/>
      <c r="JTC238" s="1"/>
      <c r="JTD238" s="1"/>
      <c r="JTE238" s="1"/>
      <c r="JTF238" s="1"/>
      <c r="JTG238" s="1"/>
      <c r="JTH238" s="1"/>
      <c r="JTI238" s="1"/>
      <c r="JTJ238" s="1"/>
      <c r="JTK238" s="1"/>
      <c r="JTL238" s="1"/>
      <c r="JTM238" s="1"/>
      <c r="JTN238" s="1"/>
      <c r="JTO238" s="1"/>
      <c r="JTP238" s="1"/>
      <c r="JTQ238" s="1"/>
      <c r="JTR238" s="1"/>
      <c r="JTS238" s="1"/>
      <c r="JTT238" s="1"/>
      <c r="JTU238" s="1"/>
      <c r="JTV238" s="1"/>
      <c r="JTW238" s="1"/>
      <c r="JTX238" s="1"/>
      <c r="JTY238" s="1"/>
      <c r="JTZ238" s="1"/>
      <c r="JUA238" s="1"/>
      <c r="JUB238" s="1"/>
      <c r="JUC238" s="1"/>
      <c r="JUD238" s="1"/>
      <c r="JUE238" s="1"/>
      <c r="JUF238" s="1"/>
      <c r="JUG238" s="1"/>
      <c r="JUH238" s="1"/>
      <c r="JUI238" s="1"/>
      <c r="JUJ238" s="1"/>
      <c r="JUK238" s="1"/>
      <c r="JUL238" s="1"/>
      <c r="JUM238" s="1"/>
      <c r="JUN238" s="1"/>
      <c r="JUO238" s="1"/>
      <c r="JUP238" s="1"/>
      <c r="JUQ238" s="1"/>
      <c r="JUR238" s="1"/>
      <c r="JUS238" s="1"/>
      <c r="JUT238" s="1"/>
      <c r="JUU238" s="1"/>
      <c r="JUV238" s="1"/>
      <c r="JUW238" s="1"/>
      <c r="JUX238" s="1"/>
      <c r="JUY238" s="1"/>
      <c r="JUZ238" s="1"/>
      <c r="JVA238" s="1"/>
      <c r="JVB238" s="1"/>
      <c r="JVC238" s="1"/>
      <c r="JVD238" s="1"/>
      <c r="JVE238" s="1"/>
      <c r="JVF238" s="1"/>
      <c r="JVG238" s="1"/>
      <c r="JVH238" s="1"/>
      <c r="JVI238" s="1"/>
      <c r="JVJ238" s="1"/>
      <c r="JVK238" s="1"/>
      <c r="JVL238" s="1"/>
      <c r="JVM238" s="1"/>
      <c r="JVN238" s="1"/>
      <c r="JVO238" s="1"/>
      <c r="JVP238" s="1"/>
      <c r="JVQ238" s="1"/>
      <c r="JVR238" s="1"/>
      <c r="JVS238" s="1"/>
      <c r="JVT238" s="1"/>
      <c r="JVU238" s="1"/>
      <c r="JVV238" s="1"/>
      <c r="JVW238" s="1"/>
      <c r="JVX238" s="1"/>
      <c r="JVY238" s="1"/>
      <c r="JVZ238" s="1"/>
      <c r="JWA238" s="1"/>
      <c r="JWB238" s="1"/>
      <c r="JWC238" s="1"/>
      <c r="JWD238" s="1"/>
      <c r="JWE238" s="1"/>
      <c r="JWF238" s="1"/>
      <c r="JWG238" s="1"/>
      <c r="JWH238" s="1"/>
      <c r="JWI238" s="1"/>
      <c r="JWJ238" s="1"/>
      <c r="JWK238" s="1"/>
      <c r="JWL238" s="1"/>
      <c r="JWM238" s="1"/>
      <c r="JWN238" s="1"/>
      <c r="JWO238" s="1"/>
      <c r="JWP238" s="1"/>
      <c r="JWQ238" s="1"/>
      <c r="JWR238" s="1"/>
      <c r="JWS238" s="1"/>
      <c r="JWT238" s="1"/>
      <c r="JWU238" s="1"/>
      <c r="JWV238" s="1"/>
      <c r="JWW238" s="1"/>
      <c r="JWX238" s="1"/>
      <c r="JWY238" s="1"/>
      <c r="JWZ238" s="1"/>
      <c r="JXA238" s="1"/>
      <c r="JXB238" s="1"/>
      <c r="JXC238" s="1"/>
      <c r="JXD238" s="1"/>
      <c r="JXE238" s="1"/>
      <c r="JXF238" s="1"/>
      <c r="JXG238" s="1"/>
      <c r="JXH238" s="1"/>
      <c r="JXI238" s="1"/>
      <c r="JXJ238" s="1"/>
      <c r="JXK238" s="1"/>
      <c r="JXL238" s="1"/>
      <c r="JXM238" s="1"/>
      <c r="JXN238" s="1"/>
      <c r="JXO238" s="1"/>
      <c r="JXP238" s="1"/>
      <c r="JXQ238" s="1"/>
      <c r="JXR238" s="1"/>
      <c r="JXS238" s="1"/>
      <c r="JXT238" s="1"/>
      <c r="JXU238" s="1"/>
      <c r="JXV238" s="1"/>
      <c r="JXW238" s="1"/>
      <c r="JXX238" s="1"/>
      <c r="JXY238" s="1"/>
      <c r="JXZ238" s="1"/>
      <c r="JYA238" s="1"/>
      <c r="JYB238" s="1"/>
      <c r="JYC238" s="1"/>
      <c r="JYD238" s="1"/>
      <c r="JYE238" s="1"/>
      <c r="JYF238" s="1"/>
      <c r="JYG238" s="1"/>
      <c r="JYH238" s="1"/>
      <c r="JYI238" s="1"/>
      <c r="JYJ238" s="1"/>
      <c r="JYK238" s="1"/>
      <c r="JYL238" s="1"/>
      <c r="JYM238" s="1"/>
      <c r="JYN238" s="1"/>
      <c r="JYO238" s="1"/>
      <c r="JYP238" s="1"/>
      <c r="JYQ238" s="1"/>
      <c r="JYR238" s="1"/>
      <c r="JYS238" s="1"/>
      <c r="JYT238" s="1"/>
      <c r="JYU238" s="1"/>
      <c r="JYV238" s="1"/>
      <c r="JYW238" s="1"/>
      <c r="JYX238" s="1"/>
      <c r="JYY238" s="1"/>
      <c r="JYZ238" s="1"/>
      <c r="JZA238" s="1"/>
      <c r="JZB238" s="1"/>
      <c r="JZC238" s="1"/>
      <c r="JZD238" s="1"/>
      <c r="JZE238" s="1"/>
      <c r="JZF238" s="1"/>
      <c r="JZG238" s="1"/>
      <c r="JZH238" s="1"/>
      <c r="JZI238" s="1"/>
      <c r="JZJ238" s="1"/>
      <c r="JZK238" s="1"/>
      <c r="JZL238" s="1"/>
      <c r="JZM238" s="1"/>
      <c r="JZN238" s="1"/>
      <c r="JZO238" s="1"/>
      <c r="JZP238" s="1"/>
      <c r="JZQ238" s="1"/>
      <c r="JZR238" s="1"/>
      <c r="JZS238" s="1"/>
      <c r="JZT238" s="1"/>
      <c r="JZU238" s="1"/>
      <c r="JZV238" s="1"/>
      <c r="JZW238" s="1"/>
      <c r="JZX238" s="1"/>
      <c r="JZY238" s="1"/>
      <c r="JZZ238" s="1"/>
      <c r="KAA238" s="1"/>
      <c r="KAB238" s="1"/>
      <c r="KAC238" s="1"/>
      <c r="KAD238" s="1"/>
      <c r="KAE238" s="1"/>
      <c r="KAF238" s="1"/>
      <c r="KAG238" s="1"/>
      <c r="KAH238" s="1"/>
      <c r="KAI238" s="1"/>
      <c r="KAJ238" s="1"/>
      <c r="KAK238" s="1"/>
      <c r="KAL238" s="1"/>
      <c r="KAM238" s="1"/>
      <c r="KAN238" s="1"/>
      <c r="KAO238" s="1"/>
      <c r="KAP238" s="1"/>
      <c r="KAQ238" s="1"/>
      <c r="KAR238" s="1"/>
      <c r="KAS238" s="1"/>
      <c r="KAT238" s="1"/>
      <c r="KAU238" s="1"/>
      <c r="KAV238" s="1"/>
      <c r="KAW238" s="1"/>
      <c r="KAX238" s="1"/>
      <c r="KAY238" s="1"/>
      <c r="KAZ238" s="1"/>
      <c r="KBA238" s="1"/>
      <c r="KBB238" s="1"/>
      <c r="KBC238" s="1"/>
      <c r="KBD238" s="1"/>
      <c r="KBE238" s="1"/>
      <c r="KBF238" s="1"/>
      <c r="KBG238" s="1"/>
      <c r="KBH238" s="1"/>
      <c r="KBI238" s="1"/>
      <c r="KBJ238" s="1"/>
      <c r="KBK238" s="1"/>
      <c r="KBL238" s="1"/>
      <c r="KBM238" s="1"/>
      <c r="KBN238" s="1"/>
      <c r="KBO238" s="1"/>
      <c r="KBP238" s="1"/>
      <c r="KBQ238" s="1"/>
      <c r="KBR238" s="1"/>
      <c r="KBS238" s="1"/>
      <c r="KBT238" s="1"/>
      <c r="KBU238" s="1"/>
      <c r="KBV238" s="1"/>
      <c r="KBW238" s="1"/>
      <c r="KBX238" s="1"/>
      <c r="KBY238" s="1"/>
      <c r="KBZ238" s="1"/>
      <c r="KCA238" s="1"/>
      <c r="KCB238" s="1"/>
      <c r="KCC238" s="1"/>
      <c r="KCD238" s="1"/>
      <c r="KCE238" s="1"/>
      <c r="KCF238" s="1"/>
      <c r="KCG238" s="1"/>
      <c r="KCH238" s="1"/>
      <c r="KCI238" s="1"/>
      <c r="KCJ238" s="1"/>
      <c r="KCK238" s="1"/>
      <c r="KCL238" s="1"/>
      <c r="KCM238" s="1"/>
      <c r="KCN238" s="1"/>
      <c r="KCO238" s="1"/>
      <c r="KCP238" s="1"/>
      <c r="KCQ238" s="1"/>
      <c r="KCR238" s="1"/>
      <c r="KCS238" s="1"/>
      <c r="KCT238" s="1"/>
      <c r="KCU238" s="1"/>
      <c r="KCV238" s="1"/>
      <c r="KCW238" s="1"/>
      <c r="KCX238" s="1"/>
      <c r="KCY238" s="1"/>
      <c r="KCZ238" s="1"/>
      <c r="KDA238" s="1"/>
      <c r="KDB238" s="1"/>
      <c r="KDC238" s="1"/>
      <c r="KDD238" s="1"/>
      <c r="KDE238" s="1"/>
      <c r="KDF238" s="1"/>
      <c r="KDG238" s="1"/>
      <c r="KDH238" s="1"/>
      <c r="KDI238" s="1"/>
      <c r="KDJ238" s="1"/>
      <c r="KDK238" s="1"/>
      <c r="KDL238" s="1"/>
      <c r="KDM238" s="1"/>
      <c r="KDN238" s="1"/>
      <c r="KDO238" s="1"/>
      <c r="KDP238" s="1"/>
      <c r="KDQ238" s="1"/>
      <c r="KDR238" s="1"/>
      <c r="KDS238" s="1"/>
      <c r="KDT238" s="1"/>
      <c r="KDU238" s="1"/>
      <c r="KDV238" s="1"/>
      <c r="KDW238" s="1"/>
      <c r="KDX238" s="1"/>
      <c r="KDY238" s="1"/>
      <c r="KDZ238" s="1"/>
      <c r="KEA238" s="1"/>
      <c r="KEB238" s="1"/>
      <c r="KEC238" s="1"/>
      <c r="KED238" s="1"/>
      <c r="KEE238" s="1"/>
      <c r="KEF238" s="1"/>
      <c r="KEG238" s="1"/>
      <c r="KEH238" s="1"/>
      <c r="KEI238" s="1"/>
      <c r="KEJ238" s="1"/>
      <c r="KEK238" s="1"/>
      <c r="KEL238" s="1"/>
      <c r="KEM238" s="1"/>
      <c r="KEN238" s="1"/>
      <c r="KEO238" s="1"/>
      <c r="KEP238" s="1"/>
      <c r="KEQ238" s="1"/>
      <c r="KER238" s="1"/>
      <c r="KES238" s="1"/>
      <c r="KET238" s="1"/>
      <c r="KEU238" s="1"/>
      <c r="KEV238" s="1"/>
      <c r="KEW238" s="1"/>
      <c r="KEX238" s="1"/>
      <c r="KEY238" s="1"/>
      <c r="KEZ238" s="1"/>
      <c r="KFA238" s="1"/>
      <c r="KFB238" s="1"/>
      <c r="KFC238" s="1"/>
      <c r="KFD238" s="1"/>
      <c r="KFE238" s="1"/>
      <c r="KFF238" s="1"/>
      <c r="KFG238" s="1"/>
      <c r="KFH238" s="1"/>
      <c r="KFI238" s="1"/>
      <c r="KFJ238" s="1"/>
      <c r="KFK238" s="1"/>
      <c r="KFL238" s="1"/>
      <c r="KFM238" s="1"/>
      <c r="KFN238" s="1"/>
      <c r="KFO238" s="1"/>
      <c r="KFP238" s="1"/>
      <c r="KFQ238" s="1"/>
      <c r="KFR238" s="1"/>
      <c r="KFS238" s="1"/>
      <c r="KFT238" s="1"/>
      <c r="KFU238" s="1"/>
      <c r="KFV238" s="1"/>
      <c r="KFW238" s="1"/>
      <c r="KFX238" s="1"/>
      <c r="KFY238" s="1"/>
      <c r="KFZ238" s="1"/>
      <c r="KGA238" s="1"/>
      <c r="KGB238" s="1"/>
      <c r="KGC238" s="1"/>
      <c r="KGD238" s="1"/>
      <c r="KGE238" s="1"/>
      <c r="KGF238" s="1"/>
      <c r="KGG238" s="1"/>
      <c r="KGH238" s="1"/>
      <c r="KGI238" s="1"/>
      <c r="KGJ238" s="1"/>
      <c r="KGK238" s="1"/>
      <c r="KGL238" s="1"/>
      <c r="KGM238" s="1"/>
      <c r="KGN238" s="1"/>
      <c r="KGO238" s="1"/>
      <c r="KGP238" s="1"/>
      <c r="KGQ238" s="1"/>
      <c r="KGR238" s="1"/>
      <c r="KGS238" s="1"/>
      <c r="KGT238" s="1"/>
      <c r="KGU238" s="1"/>
      <c r="KGV238" s="1"/>
      <c r="KGW238" s="1"/>
      <c r="KGX238" s="1"/>
      <c r="KGY238" s="1"/>
      <c r="KGZ238" s="1"/>
      <c r="KHA238" s="1"/>
      <c r="KHB238" s="1"/>
      <c r="KHC238" s="1"/>
      <c r="KHD238" s="1"/>
      <c r="KHE238" s="1"/>
      <c r="KHF238" s="1"/>
      <c r="KHG238" s="1"/>
      <c r="KHH238" s="1"/>
      <c r="KHI238" s="1"/>
      <c r="KHJ238" s="1"/>
      <c r="KHK238" s="1"/>
      <c r="KHL238" s="1"/>
      <c r="KHM238" s="1"/>
      <c r="KHN238" s="1"/>
      <c r="KHO238" s="1"/>
      <c r="KHP238" s="1"/>
      <c r="KHQ238" s="1"/>
      <c r="KHR238" s="1"/>
      <c r="KHS238" s="1"/>
      <c r="KHT238" s="1"/>
      <c r="KHU238" s="1"/>
      <c r="KHV238" s="1"/>
      <c r="KHW238" s="1"/>
      <c r="KHX238" s="1"/>
      <c r="KHY238" s="1"/>
      <c r="KHZ238" s="1"/>
      <c r="KIA238" s="1"/>
      <c r="KIB238" s="1"/>
      <c r="KIC238" s="1"/>
      <c r="KID238" s="1"/>
      <c r="KIE238" s="1"/>
      <c r="KIF238" s="1"/>
      <c r="KIG238" s="1"/>
      <c r="KIH238" s="1"/>
      <c r="KII238" s="1"/>
      <c r="KIJ238" s="1"/>
      <c r="KIK238" s="1"/>
      <c r="KIL238" s="1"/>
      <c r="KIM238" s="1"/>
      <c r="KIN238" s="1"/>
      <c r="KIO238" s="1"/>
      <c r="KIP238" s="1"/>
      <c r="KIQ238" s="1"/>
      <c r="KIR238" s="1"/>
      <c r="KIS238" s="1"/>
      <c r="KIT238" s="1"/>
      <c r="KIU238" s="1"/>
      <c r="KIV238" s="1"/>
      <c r="KIW238" s="1"/>
      <c r="KIX238" s="1"/>
      <c r="KIY238" s="1"/>
      <c r="KIZ238" s="1"/>
      <c r="KJA238" s="1"/>
      <c r="KJB238" s="1"/>
      <c r="KJC238" s="1"/>
      <c r="KJD238" s="1"/>
      <c r="KJE238" s="1"/>
      <c r="KJF238" s="1"/>
      <c r="KJG238" s="1"/>
      <c r="KJH238" s="1"/>
      <c r="KJI238" s="1"/>
      <c r="KJJ238" s="1"/>
      <c r="KJK238" s="1"/>
      <c r="KJL238" s="1"/>
      <c r="KJM238" s="1"/>
      <c r="KJN238" s="1"/>
      <c r="KJO238" s="1"/>
      <c r="KJP238" s="1"/>
      <c r="KJQ238" s="1"/>
      <c r="KJR238" s="1"/>
      <c r="KJS238" s="1"/>
      <c r="KJT238" s="1"/>
      <c r="KJU238" s="1"/>
      <c r="KJV238" s="1"/>
      <c r="KJW238" s="1"/>
      <c r="KJX238" s="1"/>
      <c r="KJY238" s="1"/>
      <c r="KJZ238" s="1"/>
      <c r="KKA238" s="1"/>
      <c r="KKB238" s="1"/>
      <c r="KKC238" s="1"/>
      <c r="KKD238" s="1"/>
      <c r="KKE238" s="1"/>
      <c r="KKF238" s="1"/>
      <c r="KKG238" s="1"/>
      <c r="KKH238" s="1"/>
      <c r="KKI238" s="1"/>
      <c r="KKJ238" s="1"/>
      <c r="KKK238" s="1"/>
      <c r="KKL238" s="1"/>
      <c r="KKM238" s="1"/>
      <c r="KKN238" s="1"/>
      <c r="KKO238" s="1"/>
      <c r="KKP238" s="1"/>
      <c r="KKQ238" s="1"/>
      <c r="KKR238" s="1"/>
      <c r="KKS238" s="1"/>
      <c r="KKT238" s="1"/>
      <c r="KKU238" s="1"/>
      <c r="KKV238" s="1"/>
      <c r="KKW238" s="1"/>
      <c r="KKX238" s="1"/>
      <c r="KKY238" s="1"/>
      <c r="KKZ238" s="1"/>
      <c r="KLA238" s="1"/>
      <c r="KLB238" s="1"/>
      <c r="KLC238" s="1"/>
      <c r="KLD238" s="1"/>
      <c r="KLE238" s="1"/>
      <c r="KLF238" s="1"/>
      <c r="KLG238" s="1"/>
      <c r="KLH238" s="1"/>
      <c r="KLI238" s="1"/>
      <c r="KLJ238" s="1"/>
      <c r="KLK238" s="1"/>
      <c r="KLL238" s="1"/>
      <c r="KLM238" s="1"/>
      <c r="KLN238" s="1"/>
      <c r="KLO238" s="1"/>
      <c r="KLP238" s="1"/>
      <c r="KLQ238" s="1"/>
      <c r="KLR238" s="1"/>
      <c r="KLS238" s="1"/>
      <c r="KLT238" s="1"/>
      <c r="KLU238" s="1"/>
      <c r="KLV238" s="1"/>
      <c r="KLW238" s="1"/>
      <c r="KLX238" s="1"/>
      <c r="KLY238" s="1"/>
      <c r="KLZ238" s="1"/>
      <c r="KMA238" s="1"/>
      <c r="KMB238" s="1"/>
      <c r="KMC238" s="1"/>
      <c r="KMD238" s="1"/>
      <c r="KME238" s="1"/>
      <c r="KMF238" s="1"/>
      <c r="KMG238" s="1"/>
      <c r="KMH238" s="1"/>
      <c r="KMI238" s="1"/>
      <c r="KMJ238" s="1"/>
      <c r="KMK238" s="1"/>
      <c r="KML238" s="1"/>
      <c r="KMM238" s="1"/>
      <c r="KMN238" s="1"/>
      <c r="KMO238" s="1"/>
      <c r="KMP238" s="1"/>
      <c r="KMQ238" s="1"/>
      <c r="KMR238" s="1"/>
      <c r="KMS238" s="1"/>
      <c r="KMT238" s="1"/>
      <c r="KMU238" s="1"/>
      <c r="KMV238" s="1"/>
      <c r="KMW238" s="1"/>
      <c r="KMX238" s="1"/>
      <c r="KMY238" s="1"/>
      <c r="KMZ238" s="1"/>
      <c r="KNA238" s="1"/>
      <c r="KNB238" s="1"/>
      <c r="KNC238" s="1"/>
      <c r="KND238" s="1"/>
      <c r="KNE238" s="1"/>
      <c r="KNF238" s="1"/>
      <c r="KNG238" s="1"/>
      <c r="KNH238" s="1"/>
      <c r="KNI238" s="1"/>
      <c r="KNJ238" s="1"/>
      <c r="KNK238" s="1"/>
      <c r="KNL238" s="1"/>
      <c r="KNM238" s="1"/>
      <c r="KNN238" s="1"/>
      <c r="KNO238" s="1"/>
      <c r="KNP238" s="1"/>
      <c r="KNQ238" s="1"/>
      <c r="KNR238" s="1"/>
      <c r="KNS238" s="1"/>
      <c r="KNT238" s="1"/>
      <c r="KNU238" s="1"/>
      <c r="KNV238" s="1"/>
      <c r="KNW238" s="1"/>
      <c r="KNX238" s="1"/>
      <c r="KNY238" s="1"/>
      <c r="KNZ238" s="1"/>
      <c r="KOA238" s="1"/>
      <c r="KOB238" s="1"/>
      <c r="KOC238" s="1"/>
      <c r="KOD238" s="1"/>
      <c r="KOE238" s="1"/>
      <c r="KOF238" s="1"/>
      <c r="KOG238" s="1"/>
      <c r="KOH238" s="1"/>
      <c r="KOI238" s="1"/>
      <c r="KOJ238" s="1"/>
      <c r="KOK238" s="1"/>
      <c r="KOL238" s="1"/>
      <c r="KOM238" s="1"/>
      <c r="KON238" s="1"/>
      <c r="KOO238" s="1"/>
      <c r="KOP238" s="1"/>
      <c r="KOQ238" s="1"/>
      <c r="KOR238" s="1"/>
      <c r="KOS238" s="1"/>
      <c r="KOT238" s="1"/>
      <c r="KOU238" s="1"/>
      <c r="KOV238" s="1"/>
      <c r="KOW238" s="1"/>
      <c r="KOX238" s="1"/>
      <c r="KOY238" s="1"/>
      <c r="KOZ238" s="1"/>
      <c r="KPA238" s="1"/>
      <c r="KPB238" s="1"/>
      <c r="KPC238" s="1"/>
      <c r="KPD238" s="1"/>
      <c r="KPE238" s="1"/>
      <c r="KPF238" s="1"/>
      <c r="KPG238" s="1"/>
      <c r="KPH238" s="1"/>
      <c r="KPI238" s="1"/>
      <c r="KPJ238" s="1"/>
      <c r="KPK238" s="1"/>
      <c r="KPL238" s="1"/>
      <c r="KPM238" s="1"/>
      <c r="KPN238" s="1"/>
      <c r="KPO238" s="1"/>
      <c r="KPP238" s="1"/>
      <c r="KPQ238" s="1"/>
      <c r="KPR238" s="1"/>
      <c r="KPS238" s="1"/>
      <c r="KPT238" s="1"/>
      <c r="KPU238" s="1"/>
      <c r="KPV238" s="1"/>
      <c r="KPW238" s="1"/>
      <c r="KPX238" s="1"/>
      <c r="KPY238" s="1"/>
      <c r="KPZ238" s="1"/>
      <c r="KQA238" s="1"/>
      <c r="KQB238" s="1"/>
      <c r="KQC238" s="1"/>
      <c r="KQD238" s="1"/>
      <c r="KQE238" s="1"/>
      <c r="KQF238" s="1"/>
      <c r="KQG238" s="1"/>
      <c r="KQH238" s="1"/>
      <c r="KQI238" s="1"/>
      <c r="KQJ238" s="1"/>
      <c r="KQK238" s="1"/>
      <c r="KQL238" s="1"/>
      <c r="KQM238" s="1"/>
      <c r="KQN238" s="1"/>
      <c r="KQO238" s="1"/>
      <c r="KQP238" s="1"/>
      <c r="KQQ238" s="1"/>
      <c r="KQR238" s="1"/>
      <c r="KQS238" s="1"/>
      <c r="KQT238" s="1"/>
      <c r="KQU238" s="1"/>
      <c r="KQV238" s="1"/>
      <c r="KQW238" s="1"/>
      <c r="KQX238" s="1"/>
      <c r="KQY238" s="1"/>
      <c r="KQZ238" s="1"/>
      <c r="KRA238" s="1"/>
      <c r="KRB238" s="1"/>
      <c r="KRC238" s="1"/>
      <c r="KRD238" s="1"/>
      <c r="KRE238" s="1"/>
      <c r="KRF238" s="1"/>
      <c r="KRG238" s="1"/>
      <c r="KRH238" s="1"/>
      <c r="KRI238" s="1"/>
      <c r="KRJ238" s="1"/>
      <c r="KRK238" s="1"/>
      <c r="KRL238" s="1"/>
      <c r="KRM238" s="1"/>
      <c r="KRN238" s="1"/>
      <c r="KRO238" s="1"/>
      <c r="KRP238" s="1"/>
      <c r="KRQ238" s="1"/>
      <c r="KRR238" s="1"/>
      <c r="KRS238" s="1"/>
      <c r="KRT238" s="1"/>
      <c r="KRU238" s="1"/>
      <c r="KRV238" s="1"/>
      <c r="KRW238" s="1"/>
      <c r="KRX238" s="1"/>
      <c r="KRY238" s="1"/>
      <c r="KRZ238" s="1"/>
      <c r="KSA238" s="1"/>
      <c r="KSB238" s="1"/>
      <c r="KSC238" s="1"/>
      <c r="KSD238" s="1"/>
      <c r="KSE238" s="1"/>
      <c r="KSF238" s="1"/>
      <c r="KSG238" s="1"/>
      <c r="KSH238" s="1"/>
      <c r="KSI238" s="1"/>
      <c r="KSJ238" s="1"/>
      <c r="KSK238" s="1"/>
      <c r="KSL238" s="1"/>
      <c r="KSM238" s="1"/>
      <c r="KSN238" s="1"/>
      <c r="KSO238" s="1"/>
      <c r="KSP238" s="1"/>
      <c r="KSQ238" s="1"/>
      <c r="KSR238" s="1"/>
      <c r="KSS238" s="1"/>
      <c r="KST238" s="1"/>
      <c r="KSU238" s="1"/>
      <c r="KSV238" s="1"/>
      <c r="KSW238" s="1"/>
      <c r="KSX238" s="1"/>
      <c r="KSY238" s="1"/>
      <c r="KSZ238" s="1"/>
      <c r="KTA238" s="1"/>
      <c r="KTB238" s="1"/>
      <c r="KTC238" s="1"/>
      <c r="KTD238" s="1"/>
      <c r="KTE238" s="1"/>
      <c r="KTF238" s="1"/>
      <c r="KTG238" s="1"/>
      <c r="KTH238" s="1"/>
      <c r="KTI238" s="1"/>
      <c r="KTJ238" s="1"/>
      <c r="KTK238" s="1"/>
      <c r="KTL238" s="1"/>
      <c r="KTM238" s="1"/>
      <c r="KTN238" s="1"/>
      <c r="KTO238" s="1"/>
      <c r="KTP238" s="1"/>
      <c r="KTQ238" s="1"/>
      <c r="KTR238" s="1"/>
      <c r="KTS238" s="1"/>
      <c r="KTT238" s="1"/>
      <c r="KTU238" s="1"/>
      <c r="KTV238" s="1"/>
      <c r="KTW238" s="1"/>
      <c r="KTX238" s="1"/>
      <c r="KTY238" s="1"/>
      <c r="KTZ238" s="1"/>
      <c r="KUA238" s="1"/>
      <c r="KUB238" s="1"/>
      <c r="KUC238" s="1"/>
      <c r="KUD238" s="1"/>
      <c r="KUE238" s="1"/>
      <c r="KUF238" s="1"/>
      <c r="KUG238" s="1"/>
      <c r="KUH238" s="1"/>
      <c r="KUI238" s="1"/>
      <c r="KUJ238" s="1"/>
      <c r="KUK238" s="1"/>
      <c r="KUL238" s="1"/>
      <c r="KUM238" s="1"/>
      <c r="KUN238" s="1"/>
      <c r="KUO238" s="1"/>
      <c r="KUP238" s="1"/>
      <c r="KUQ238" s="1"/>
      <c r="KUR238" s="1"/>
      <c r="KUS238" s="1"/>
      <c r="KUT238" s="1"/>
      <c r="KUU238" s="1"/>
      <c r="KUV238" s="1"/>
      <c r="KUW238" s="1"/>
      <c r="KUX238" s="1"/>
      <c r="KUY238" s="1"/>
      <c r="KUZ238" s="1"/>
      <c r="KVA238" s="1"/>
      <c r="KVB238" s="1"/>
      <c r="KVC238" s="1"/>
      <c r="KVD238" s="1"/>
      <c r="KVE238" s="1"/>
      <c r="KVF238" s="1"/>
      <c r="KVG238" s="1"/>
      <c r="KVH238" s="1"/>
      <c r="KVI238" s="1"/>
      <c r="KVJ238" s="1"/>
      <c r="KVK238" s="1"/>
      <c r="KVL238" s="1"/>
      <c r="KVM238" s="1"/>
      <c r="KVN238" s="1"/>
      <c r="KVO238" s="1"/>
      <c r="KVP238" s="1"/>
      <c r="KVQ238" s="1"/>
      <c r="KVR238" s="1"/>
      <c r="KVS238" s="1"/>
      <c r="KVT238" s="1"/>
      <c r="KVU238" s="1"/>
      <c r="KVV238" s="1"/>
      <c r="KVW238" s="1"/>
      <c r="KVX238" s="1"/>
      <c r="KVY238" s="1"/>
      <c r="KVZ238" s="1"/>
      <c r="KWA238" s="1"/>
      <c r="KWB238" s="1"/>
      <c r="KWC238" s="1"/>
      <c r="KWD238" s="1"/>
      <c r="KWE238" s="1"/>
      <c r="KWF238" s="1"/>
      <c r="KWG238" s="1"/>
      <c r="KWH238" s="1"/>
      <c r="KWI238" s="1"/>
      <c r="KWJ238" s="1"/>
      <c r="KWK238" s="1"/>
      <c r="KWL238" s="1"/>
      <c r="KWM238" s="1"/>
      <c r="KWN238" s="1"/>
      <c r="KWO238" s="1"/>
      <c r="KWP238" s="1"/>
      <c r="KWQ238" s="1"/>
      <c r="KWR238" s="1"/>
      <c r="KWS238" s="1"/>
      <c r="KWT238" s="1"/>
      <c r="KWU238" s="1"/>
      <c r="KWV238" s="1"/>
      <c r="KWW238" s="1"/>
      <c r="KWX238" s="1"/>
      <c r="KWY238" s="1"/>
      <c r="KWZ238" s="1"/>
      <c r="KXA238" s="1"/>
      <c r="KXB238" s="1"/>
      <c r="KXC238" s="1"/>
      <c r="KXD238" s="1"/>
      <c r="KXE238" s="1"/>
      <c r="KXF238" s="1"/>
      <c r="KXG238" s="1"/>
      <c r="KXH238" s="1"/>
      <c r="KXI238" s="1"/>
      <c r="KXJ238" s="1"/>
      <c r="KXK238" s="1"/>
      <c r="KXL238" s="1"/>
      <c r="KXM238" s="1"/>
      <c r="KXN238" s="1"/>
      <c r="KXO238" s="1"/>
      <c r="KXP238" s="1"/>
      <c r="KXQ238" s="1"/>
      <c r="KXR238" s="1"/>
      <c r="KXS238" s="1"/>
      <c r="KXT238" s="1"/>
      <c r="KXU238" s="1"/>
      <c r="KXV238" s="1"/>
      <c r="KXW238" s="1"/>
      <c r="KXX238" s="1"/>
      <c r="KXY238" s="1"/>
      <c r="KXZ238" s="1"/>
      <c r="KYA238" s="1"/>
      <c r="KYB238" s="1"/>
      <c r="KYC238" s="1"/>
      <c r="KYD238" s="1"/>
      <c r="KYE238" s="1"/>
      <c r="KYF238" s="1"/>
      <c r="KYG238" s="1"/>
      <c r="KYH238" s="1"/>
      <c r="KYI238" s="1"/>
      <c r="KYJ238" s="1"/>
      <c r="KYK238" s="1"/>
      <c r="KYL238" s="1"/>
      <c r="KYM238" s="1"/>
      <c r="KYN238" s="1"/>
      <c r="KYO238" s="1"/>
      <c r="KYP238" s="1"/>
      <c r="KYQ238" s="1"/>
      <c r="KYR238" s="1"/>
      <c r="KYS238" s="1"/>
      <c r="KYT238" s="1"/>
      <c r="KYU238" s="1"/>
      <c r="KYV238" s="1"/>
      <c r="KYW238" s="1"/>
      <c r="KYX238" s="1"/>
      <c r="KYY238" s="1"/>
      <c r="KYZ238" s="1"/>
      <c r="KZA238" s="1"/>
      <c r="KZB238" s="1"/>
      <c r="KZC238" s="1"/>
      <c r="KZD238" s="1"/>
      <c r="KZE238" s="1"/>
      <c r="KZF238" s="1"/>
      <c r="KZG238" s="1"/>
      <c r="KZH238" s="1"/>
      <c r="KZI238" s="1"/>
      <c r="KZJ238" s="1"/>
      <c r="KZK238" s="1"/>
      <c r="KZL238" s="1"/>
      <c r="KZM238" s="1"/>
      <c r="KZN238" s="1"/>
      <c r="KZO238" s="1"/>
      <c r="KZP238" s="1"/>
      <c r="KZQ238" s="1"/>
      <c r="KZR238" s="1"/>
      <c r="KZS238" s="1"/>
      <c r="KZT238" s="1"/>
      <c r="KZU238" s="1"/>
      <c r="KZV238" s="1"/>
      <c r="KZW238" s="1"/>
      <c r="KZX238" s="1"/>
      <c r="KZY238" s="1"/>
      <c r="KZZ238" s="1"/>
      <c r="LAA238" s="1"/>
      <c r="LAB238" s="1"/>
      <c r="LAC238" s="1"/>
      <c r="LAD238" s="1"/>
      <c r="LAE238" s="1"/>
      <c r="LAF238" s="1"/>
      <c r="LAG238" s="1"/>
      <c r="LAH238" s="1"/>
      <c r="LAI238" s="1"/>
      <c r="LAJ238" s="1"/>
      <c r="LAK238" s="1"/>
      <c r="LAL238" s="1"/>
      <c r="LAM238" s="1"/>
      <c r="LAN238" s="1"/>
      <c r="LAO238" s="1"/>
      <c r="LAP238" s="1"/>
      <c r="LAQ238" s="1"/>
      <c r="LAR238" s="1"/>
      <c r="LAS238" s="1"/>
      <c r="LAT238" s="1"/>
      <c r="LAU238" s="1"/>
      <c r="LAV238" s="1"/>
      <c r="LAW238" s="1"/>
      <c r="LAX238" s="1"/>
      <c r="LAY238" s="1"/>
      <c r="LAZ238" s="1"/>
      <c r="LBA238" s="1"/>
      <c r="LBB238" s="1"/>
      <c r="LBC238" s="1"/>
      <c r="LBD238" s="1"/>
      <c r="LBE238" s="1"/>
      <c r="LBF238" s="1"/>
      <c r="LBG238" s="1"/>
      <c r="LBH238" s="1"/>
      <c r="LBI238" s="1"/>
      <c r="LBJ238" s="1"/>
      <c r="LBK238" s="1"/>
      <c r="LBL238" s="1"/>
      <c r="LBM238" s="1"/>
      <c r="LBN238" s="1"/>
      <c r="LBO238" s="1"/>
      <c r="LBP238" s="1"/>
      <c r="LBQ238" s="1"/>
      <c r="LBR238" s="1"/>
      <c r="LBS238" s="1"/>
      <c r="LBT238" s="1"/>
      <c r="LBU238" s="1"/>
      <c r="LBV238" s="1"/>
      <c r="LBW238" s="1"/>
      <c r="LBX238" s="1"/>
      <c r="LBY238" s="1"/>
      <c r="LBZ238" s="1"/>
      <c r="LCA238" s="1"/>
      <c r="LCB238" s="1"/>
      <c r="LCC238" s="1"/>
      <c r="LCD238" s="1"/>
      <c r="LCE238" s="1"/>
      <c r="LCF238" s="1"/>
      <c r="LCG238" s="1"/>
      <c r="LCH238" s="1"/>
      <c r="LCI238" s="1"/>
      <c r="LCJ238" s="1"/>
      <c r="LCK238" s="1"/>
      <c r="LCL238" s="1"/>
      <c r="LCM238" s="1"/>
      <c r="LCN238" s="1"/>
      <c r="LCO238" s="1"/>
      <c r="LCP238" s="1"/>
      <c r="LCQ238" s="1"/>
      <c r="LCR238" s="1"/>
      <c r="LCS238" s="1"/>
      <c r="LCT238" s="1"/>
      <c r="LCU238" s="1"/>
      <c r="LCV238" s="1"/>
      <c r="LCW238" s="1"/>
      <c r="LCX238" s="1"/>
      <c r="LCY238" s="1"/>
      <c r="LCZ238" s="1"/>
      <c r="LDA238" s="1"/>
      <c r="LDB238" s="1"/>
      <c r="LDC238" s="1"/>
      <c r="LDD238" s="1"/>
      <c r="LDE238" s="1"/>
      <c r="LDF238" s="1"/>
      <c r="LDG238" s="1"/>
      <c r="LDH238" s="1"/>
      <c r="LDI238" s="1"/>
      <c r="LDJ238" s="1"/>
      <c r="LDK238" s="1"/>
      <c r="LDL238" s="1"/>
      <c r="LDM238" s="1"/>
      <c r="LDN238" s="1"/>
      <c r="LDO238" s="1"/>
      <c r="LDP238" s="1"/>
      <c r="LDQ238" s="1"/>
      <c r="LDR238" s="1"/>
      <c r="LDS238" s="1"/>
      <c r="LDT238" s="1"/>
      <c r="LDU238" s="1"/>
      <c r="LDV238" s="1"/>
      <c r="LDW238" s="1"/>
      <c r="LDX238" s="1"/>
      <c r="LDY238" s="1"/>
      <c r="LDZ238" s="1"/>
      <c r="LEA238" s="1"/>
      <c r="LEB238" s="1"/>
      <c r="LEC238" s="1"/>
      <c r="LED238" s="1"/>
      <c r="LEE238" s="1"/>
      <c r="LEF238" s="1"/>
      <c r="LEG238" s="1"/>
      <c r="LEH238" s="1"/>
      <c r="LEI238" s="1"/>
      <c r="LEJ238" s="1"/>
      <c r="LEK238" s="1"/>
      <c r="LEL238" s="1"/>
      <c r="LEM238" s="1"/>
      <c r="LEN238" s="1"/>
      <c r="LEO238" s="1"/>
      <c r="LEP238" s="1"/>
      <c r="LEQ238" s="1"/>
      <c r="LER238" s="1"/>
      <c r="LES238" s="1"/>
      <c r="LET238" s="1"/>
      <c r="LEU238" s="1"/>
      <c r="LEV238" s="1"/>
      <c r="LEW238" s="1"/>
      <c r="LEX238" s="1"/>
      <c r="LEY238" s="1"/>
      <c r="LEZ238" s="1"/>
      <c r="LFA238" s="1"/>
      <c r="LFB238" s="1"/>
      <c r="LFC238" s="1"/>
      <c r="LFD238" s="1"/>
      <c r="LFE238" s="1"/>
      <c r="LFF238" s="1"/>
      <c r="LFG238" s="1"/>
      <c r="LFH238" s="1"/>
      <c r="LFI238" s="1"/>
      <c r="LFJ238" s="1"/>
      <c r="LFK238" s="1"/>
      <c r="LFL238" s="1"/>
      <c r="LFM238" s="1"/>
      <c r="LFN238" s="1"/>
      <c r="LFO238" s="1"/>
      <c r="LFP238" s="1"/>
      <c r="LFQ238" s="1"/>
      <c r="LFR238" s="1"/>
      <c r="LFS238" s="1"/>
      <c r="LFT238" s="1"/>
      <c r="LFU238" s="1"/>
      <c r="LFV238" s="1"/>
      <c r="LFW238" s="1"/>
      <c r="LFX238" s="1"/>
      <c r="LFY238" s="1"/>
      <c r="LFZ238" s="1"/>
      <c r="LGA238" s="1"/>
      <c r="LGB238" s="1"/>
      <c r="LGC238" s="1"/>
      <c r="LGD238" s="1"/>
      <c r="LGE238" s="1"/>
      <c r="LGF238" s="1"/>
      <c r="LGG238" s="1"/>
      <c r="LGH238" s="1"/>
      <c r="LGI238" s="1"/>
      <c r="LGJ238" s="1"/>
      <c r="LGK238" s="1"/>
      <c r="LGL238" s="1"/>
      <c r="LGM238" s="1"/>
      <c r="LGN238" s="1"/>
      <c r="LGO238" s="1"/>
      <c r="LGP238" s="1"/>
      <c r="LGQ238" s="1"/>
      <c r="LGR238" s="1"/>
      <c r="LGS238" s="1"/>
      <c r="LGT238" s="1"/>
      <c r="LGU238" s="1"/>
      <c r="LGV238" s="1"/>
      <c r="LGW238" s="1"/>
      <c r="LGX238" s="1"/>
      <c r="LGY238" s="1"/>
      <c r="LGZ238" s="1"/>
      <c r="LHA238" s="1"/>
      <c r="LHB238" s="1"/>
      <c r="LHC238" s="1"/>
      <c r="LHD238" s="1"/>
      <c r="LHE238" s="1"/>
      <c r="LHF238" s="1"/>
      <c r="LHG238" s="1"/>
      <c r="LHH238" s="1"/>
      <c r="LHI238" s="1"/>
      <c r="LHJ238" s="1"/>
      <c r="LHK238" s="1"/>
      <c r="LHL238" s="1"/>
      <c r="LHM238" s="1"/>
      <c r="LHN238" s="1"/>
      <c r="LHO238" s="1"/>
      <c r="LHP238" s="1"/>
      <c r="LHQ238" s="1"/>
      <c r="LHR238" s="1"/>
      <c r="LHS238" s="1"/>
      <c r="LHT238" s="1"/>
      <c r="LHU238" s="1"/>
      <c r="LHV238" s="1"/>
      <c r="LHW238" s="1"/>
      <c r="LHX238" s="1"/>
      <c r="LHY238" s="1"/>
      <c r="LHZ238" s="1"/>
      <c r="LIA238" s="1"/>
      <c r="LIB238" s="1"/>
      <c r="LIC238" s="1"/>
      <c r="LID238" s="1"/>
      <c r="LIE238" s="1"/>
      <c r="LIF238" s="1"/>
      <c r="LIG238" s="1"/>
      <c r="LIH238" s="1"/>
      <c r="LII238" s="1"/>
      <c r="LIJ238" s="1"/>
      <c r="LIK238" s="1"/>
      <c r="LIL238" s="1"/>
      <c r="LIM238" s="1"/>
      <c r="LIN238" s="1"/>
      <c r="LIO238" s="1"/>
      <c r="LIP238" s="1"/>
      <c r="LIQ238" s="1"/>
      <c r="LIR238" s="1"/>
      <c r="LIS238" s="1"/>
      <c r="LIT238" s="1"/>
      <c r="LIU238" s="1"/>
      <c r="LIV238" s="1"/>
      <c r="LIW238" s="1"/>
      <c r="LIX238" s="1"/>
      <c r="LIY238" s="1"/>
      <c r="LIZ238" s="1"/>
      <c r="LJA238" s="1"/>
      <c r="LJB238" s="1"/>
      <c r="LJC238" s="1"/>
      <c r="LJD238" s="1"/>
      <c r="LJE238" s="1"/>
      <c r="LJF238" s="1"/>
      <c r="LJG238" s="1"/>
      <c r="LJH238" s="1"/>
      <c r="LJI238" s="1"/>
      <c r="LJJ238" s="1"/>
      <c r="LJK238" s="1"/>
      <c r="LJL238" s="1"/>
      <c r="LJM238" s="1"/>
      <c r="LJN238" s="1"/>
      <c r="LJO238" s="1"/>
      <c r="LJP238" s="1"/>
      <c r="LJQ238" s="1"/>
      <c r="LJR238" s="1"/>
      <c r="LJS238" s="1"/>
      <c r="LJT238" s="1"/>
      <c r="LJU238" s="1"/>
      <c r="LJV238" s="1"/>
      <c r="LJW238" s="1"/>
      <c r="LJX238" s="1"/>
      <c r="LJY238" s="1"/>
      <c r="LJZ238" s="1"/>
      <c r="LKA238" s="1"/>
      <c r="LKB238" s="1"/>
      <c r="LKC238" s="1"/>
      <c r="LKD238" s="1"/>
      <c r="LKE238" s="1"/>
      <c r="LKF238" s="1"/>
      <c r="LKG238" s="1"/>
      <c r="LKH238" s="1"/>
      <c r="LKI238" s="1"/>
      <c r="LKJ238" s="1"/>
      <c r="LKK238" s="1"/>
      <c r="LKL238" s="1"/>
      <c r="LKM238" s="1"/>
      <c r="LKN238" s="1"/>
      <c r="LKO238" s="1"/>
      <c r="LKP238" s="1"/>
      <c r="LKQ238" s="1"/>
      <c r="LKR238" s="1"/>
      <c r="LKS238" s="1"/>
      <c r="LKT238" s="1"/>
      <c r="LKU238" s="1"/>
      <c r="LKV238" s="1"/>
      <c r="LKW238" s="1"/>
      <c r="LKX238" s="1"/>
      <c r="LKY238" s="1"/>
      <c r="LKZ238" s="1"/>
      <c r="LLA238" s="1"/>
      <c r="LLB238" s="1"/>
      <c r="LLC238" s="1"/>
      <c r="LLD238" s="1"/>
      <c r="LLE238" s="1"/>
      <c r="LLF238" s="1"/>
      <c r="LLG238" s="1"/>
      <c r="LLH238" s="1"/>
      <c r="LLI238" s="1"/>
      <c r="LLJ238" s="1"/>
      <c r="LLK238" s="1"/>
      <c r="LLL238" s="1"/>
      <c r="LLM238" s="1"/>
      <c r="LLN238" s="1"/>
      <c r="LLO238" s="1"/>
      <c r="LLP238" s="1"/>
      <c r="LLQ238" s="1"/>
      <c r="LLR238" s="1"/>
      <c r="LLS238" s="1"/>
      <c r="LLT238" s="1"/>
      <c r="LLU238" s="1"/>
      <c r="LLV238" s="1"/>
      <c r="LLW238" s="1"/>
      <c r="LLX238" s="1"/>
      <c r="LLY238" s="1"/>
      <c r="LLZ238" s="1"/>
      <c r="LMA238" s="1"/>
      <c r="LMB238" s="1"/>
      <c r="LMC238" s="1"/>
      <c r="LMD238" s="1"/>
      <c r="LME238" s="1"/>
      <c r="LMF238" s="1"/>
      <c r="LMG238" s="1"/>
      <c r="LMH238" s="1"/>
      <c r="LMI238" s="1"/>
      <c r="LMJ238" s="1"/>
      <c r="LMK238" s="1"/>
      <c r="LML238" s="1"/>
      <c r="LMM238" s="1"/>
      <c r="LMN238" s="1"/>
      <c r="LMO238" s="1"/>
      <c r="LMP238" s="1"/>
      <c r="LMQ238" s="1"/>
      <c r="LMR238" s="1"/>
      <c r="LMS238" s="1"/>
      <c r="LMT238" s="1"/>
      <c r="LMU238" s="1"/>
      <c r="LMV238" s="1"/>
      <c r="LMW238" s="1"/>
      <c r="LMX238" s="1"/>
      <c r="LMY238" s="1"/>
      <c r="LMZ238" s="1"/>
      <c r="LNA238" s="1"/>
      <c r="LNB238" s="1"/>
      <c r="LNC238" s="1"/>
      <c r="LND238" s="1"/>
      <c r="LNE238" s="1"/>
      <c r="LNF238" s="1"/>
      <c r="LNG238" s="1"/>
      <c r="LNH238" s="1"/>
      <c r="LNI238" s="1"/>
      <c r="LNJ238" s="1"/>
      <c r="LNK238" s="1"/>
      <c r="LNL238" s="1"/>
      <c r="LNM238" s="1"/>
      <c r="LNN238" s="1"/>
      <c r="LNO238" s="1"/>
      <c r="LNP238" s="1"/>
      <c r="LNQ238" s="1"/>
      <c r="LNR238" s="1"/>
      <c r="LNS238" s="1"/>
      <c r="LNT238" s="1"/>
      <c r="LNU238" s="1"/>
      <c r="LNV238" s="1"/>
      <c r="LNW238" s="1"/>
      <c r="LNX238" s="1"/>
      <c r="LNY238" s="1"/>
      <c r="LNZ238" s="1"/>
      <c r="LOA238" s="1"/>
      <c r="LOB238" s="1"/>
      <c r="LOC238" s="1"/>
      <c r="LOD238" s="1"/>
      <c r="LOE238" s="1"/>
      <c r="LOF238" s="1"/>
      <c r="LOG238" s="1"/>
      <c r="LOH238" s="1"/>
      <c r="LOI238" s="1"/>
      <c r="LOJ238" s="1"/>
      <c r="LOK238" s="1"/>
      <c r="LOL238" s="1"/>
      <c r="LOM238" s="1"/>
      <c r="LON238" s="1"/>
      <c r="LOO238" s="1"/>
      <c r="LOP238" s="1"/>
      <c r="LOQ238" s="1"/>
      <c r="LOR238" s="1"/>
      <c r="LOS238" s="1"/>
      <c r="LOT238" s="1"/>
      <c r="LOU238" s="1"/>
      <c r="LOV238" s="1"/>
      <c r="LOW238" s="1"/>
      <c r="LOX238" s="1"/>
      <c r="LOY238" s="1"/>
      <c r="LOZ238" s="1"/>
      <c r="LPA238" s="1"/>
      <c r="LPB238" s="1"/>
      <c r="LPC238" s="1"/>
      <c r="LPD238" s="1"/>
      <c r="LPE238" s="1"/>
      <c r="LPF238" s="1"/>
      <c r="LPG238" s="1"/>
      <c r="LPH238" s="1"/>
      <c r="LPI238" s="1"/>
      <c r="LPJ238" s="1"/>
      <c r="LPK238" s="1"/>
      <c r="LPL238" s="1"/>
      <c r="LPM238" s="1"/>
      <c r="LPN238" s="1"/>
      <c r="LPO238" s="1"/>
      <c r="LPP238" s="1"/>
      <c r="LPQ238" s="1"/>
      <c r="LPR238" s="1"/>
      <c r="LPS238" s="1"/>
      <c r="LPT238" s="1"/>
      <c r="LPU238" s="1"/>
      <c r="LPV238" s="1"/>
      <c r="LPW238" s="1"/>
      <c r="LPX238" s="1"/>
      <c r="LPY238" s="1"/>
      <c r="LPZ238" s="1"/>
      <c r="LQA238" s="1"/>
      <c r="LQB238" s="1"/>
      <c r="LQC238" s="1"/>
      <c r="LQD238" s="1"/>
      <c r="LQE238" s="1"/>
      <c r="LQF238" s="1"/>
      <c r="LQG238" s="1"/>
      <c r="LQH238" s="1"/>
      <c r="LQI238" s="1"/>
      <c r="LQJ238" s="1"/>
      <c r="LQK238" s="1"/>
      <c r="LQL238" s="1"/>
      <c r="LQM238" s="1"/>
      <c r="LQN238" s="1"/>
      <c r="LQO238" s="1"/>
      <c r="LQP238" s="1"/>
      <c r="LQQ238" s="1"/>
      <c r="LQR238" s="1"/>
      <c r="LQS238" s="1"/>
      <c r="LQT238" s="1"/>
      <c r="LQU238" s="1"/>
      <c r="LQV238" s="1"/>
      <c r="LQW238" s="1"/>
      <c r="LQX238" s="1"/>
      <c r="LQY238" s="1"/>
      <c r="LQZ238" s="1"/>
      <c r="LRA238" s="1"/>
      <c r="LRB238" s="1"/>
      <c r="LRC238" s="1"/>
      <c r="LRD238" s="1"/>
      <c r="LRE238" s="1"/>
      <c r="LRF238" s="1"/>
      <c r="LRG238" s="1"/>
      <c r="LRH238" s="1"/>
      <c r="LRI238" s="1"/>
      <c r="LRJ238" s="1"/>
      <c r="LRK238" s="1"/>
      <c r="LRL238" s="1"/>
      <c r="LRM238" s="1"/>
      <c r="LRN238" s="1"/>
      <c r="LRO238" s="1"/>
      <c r="LRP238" s="1"/>
      <c r="LRQ238" s="1"/>
      <c r="LRR238" s="1"/>
      <c r="LRS238" s="1"/>
      <c r="LRT238" s="1"/>
      <c r="LRU238" s="1"/>
      <c r="LRV238" s="1"/>
      <c r="LRW238" s="1"/>
      <c r="LRX238" s="1"/>
      <c r="LRY238" s="1"/>
      <c r="LRZ238" s="1"/>
      <c r="LSA238" s="1"/>
      <c r="LSB238" s="1"/>
      <c r="LSC238" s="1"/>
      <c r="LSD238" s="1"/>
      <c r="LSE238" s="1"/>
      <c r="LSF238" s="1"/>
      <c r="LSG238" s="1"/>
      <c r="LSH238" s="1"/>
      <c r="LSI238" s="1"/>
      <c r="LSJ238" s="1"/>
      <c r="LSK238" s="1"/>
      <c r="LSL238" s="1"/>
      <c r="LSM238" s="1"/>
      <c r="LSN238" s="1"/>
      <c r="LSO238" s="1"/>
      <c r="LSP238" s="1"/>
      <c r="LSQ238" s="1"/>
      <c r="LSR238" s="1"/>
      <c r="LSS238" s="1"/>
      <c r="LST238" s="1"/>
      <c r="LSU238" s="1"/>
      <c r="LSV238" s="1"/>
      <c r="LSW238" s="1"/>
      <c r="LSX238" s="1"/>
      <c r="LSY238" s="1"/>
      <c r="LSZ238" s="1"/>
      <c r="LTA238" s="1"/>
      <c r="LTB238" s="1"/>
      <c r="LTC238" s="1"/>
      <c r="LTD238" s="1"/>
      <c r="LTE238" s="1"/>
      <c r="LTF238" s="1"/>
      <c r="LTG238" s="1"/>
      <c r="LTH238" s="1"/>
      <c r="LTI238" s="1"/>
      <c r="LTJ238" s="1"/>
      <c r="LTK238" s="1"/>
      <c r="LTL238" s="1"/>
      <c r="LTM238" s="1"/>
      <c r="LTN238" s="1"/>
      <c r="LTO238" s="1"/>
      <c r="LTP238" s="1"/>
      <c r="LTQ238" s="1"/>
      <c r="LTR238" s="1"/>
      <c r="LTS238" s="1"/>
      <c r="LTT238" s="1"/>
      <c r="LTU238" s="1"/>
      <c r="LTV238" s="1"/>
      <c r="LTW238" s="1"/>
      <c r="LTX238" s="1"/>
      <c r="LTY238" s="1"/>
      <c r="LTZ238" s="1"/>
      <c r="LUA238" s="1"/>
      <c r="LUB238" s="1"/>
      <c r="LUC238" s="1"/>
      <c r="LUD238" s="1"/>
      <c r="LUE238" s="1"/>
      <c r="LUF238" s="1"/>
      <c r="LUG238" s="1"/>
      <c r="LUH238" s="1"/>
      <c r="LUI238" s="1"/>
      <c r="LUJ238" s="1"/>
      <c r="LUK238" s="1"/>
      <c r="LUL238" s="1"/>
      <c r="LUM238" s="1"/>
      <c r="LUN238" s="1"/>
      <c r="LUO238" s="1"/>
      <c r="LUP238" s="1"/>
      <c r="LUQ238" s="1"/>
      <c r="LUR238" s="1"/>
      <c r="LUS238" s="1"/>
      <c r="LUT238" s="1"/>
      <c r="LUU238" s="1"/>
      <c r="LUV238" s="1"/>
      <c r="LUW238" s="1"/>
      <c r="LUX238" s="1"/>
      <c r="LUY238" s="1"/>
      <c r="LUZ238" s="1"/>
      <c r="LVA238" s="1"/>
      <c r="LVB238" s="1"/>
      <c r="LVC238" s="1"/>
      <c r="LVD238" s="1"/>
      <c r="LVE238" s="1"/>
      <c r="LVF238" s="1"/>
      <c r="LVG238" s="1"/>
      <c r="LVH238" s="1"/>
      <c r="LVI238" s="1"/>
      <c r="LVJ238" s="1"/>
      <c r="LVK238" s="1"/>
      <c r="LVL238" s="1"/>
      <c r="LVM238" s="1"/>
      <c r="LVN238" s="1"/>
      <c r="LVO238" s="1"/>
      <c r="LVP238" s="1"/>
      <c r="LVQ238" s="1"/>
      <c r="LVR238" s="1"/>
      <c r="LVS238" s="1"/>
      <c r="LVT238" s="1"/>
      <c r="LVU238" s="1"/>
      <c r="LVV238" s="1"/>
      <c r="LVW238" s="1"/>
      <c r="LVX238" s="1"/>
      <c r="LVY238" s="1"/>
      <c r="LVZ238" s="1"/>
      <c r="LWA238" s="1"/>
      <c r="LWB238" s="1"/>
      <c r="LWC238" s="1"/>
      <c r="LWD238" s="1"/>
      <c r="LWE238" s="1"/>
      <c r="LWF238" s="1"/>
      <c r="LWG238" s="1"/>
      <c r="LWH238" s="1"/>
      <c r="LWI238" s="1"/>
      <c r="LWJ238" s="1"/>
      <c r="LWK238" s="1"/>
      <c r="LWL238" s="1"/>
      <c r="LWM238" s="1"/>
      <c r="LWN238" s="1"/>
      <c r="LWO238" s="1"/>
      <c r="LWP238" s="1"/>
      <c r="LWQ238" s="1"/>
      <c r="LWR238" s="1"/>
      <c r="LWS238" s="1"/>
      <c r="LWT238" s="1"/>
      <c r="LWU238" s="1"/>
      <c r="LWV238" s="1"/>
      <c r="LWW238" s="1"/>
      <c r="LWX238" s="1"/>
      <c r="LWY238" s="1"/>
      <c r="LWZ238" s="1"/>
      <c r="LXA238" s="1"/>
      <c r="LXB238" s="1"/>
      <c r="LXC238" s="1"/>
      <c r="LXD238" s="1"/>
      <c r="LXE238" s="1"/>
      <c r="LXF238" s="1"/>
      <c r="LXG238" s="1"/>
      <c r="LXH238" s="1"/>
      <c r="LXI238" s="1"/>
      <c r="LXJ238" s="1"/>
      <c r="LXK238" s="1"/>
      <c r="LXL238" s="1"/>
      <c r="LXM238" s="1"/>
      <c r="LXN238" s="1"/>
      <c r="LXO238" s="1"/>
      <c r="LXP238" s="1"/>
      <c r="LXQ238" s="1"/>
      <c r="LXR238" s="1"/>
      <c r="LXS238" s="1"/>
      <c r="LXT238" s="1"/>
      <c r="LXU238" s="1"/>
      <c r="LXV238" s="1"/>
      <c r="LXW238" s="1"/>
      <c r="LXX238" s="1"/>
      <c r="LXY238" s="1"/>
      <c r="LXZ238" s="1"/>
      <c r="LYA238" s="1"/>
      <c r="LYB238" s="1"/>
      <c r="LYC238" s="1"/>
      <c r="LYD238" s="1"/>
      <c r="LYE238" s="1"/>
      <c r="LYF238" s="1"/>
      <c r="LYG238" s="1"/>
      <c r="LYH238" s="1"/>
      <c r="LYI238" s="1"/>
      <c r="LYJ238" s="1"/>
      <c r="LYK238" s="1"/>
      <c r="LYL238" s="1"/>
      <c r="LYM238" s="1"/>
      <c r="LYN238" s="1"/>
      <c r="LYO238" s="1"/>
      <c r="LYP238" s="1"/>
      <c r="LYQ238" s="1"/>
      <c r="LYR238" s="1"/>
      <c r="LYS238" s="1"/>
      <c r="LYT238" s="1"/>
      <c r="LYU238" s="1"/>
      <c r="LYV238" s="1"/>
      <c r="LYW238" s="1"/>
      <c r="LYX238" s="1"/>
      <c r="LYY238" s="1"/>
      <c r="LYZ238" s="1"/>
      <c r="LZA238" s="1"/>
      <c r="LZB238" s="1"/>
      <c r="LZC238" s="1"/>
      <c r="LZD238" s="1"/>
      <c r="LZE238" s="1"/>
      <c r="LZF238" s="1"/>
      <c r="LZG238" s="1"/>
      <c r="LZH238" s="1"/>
      <c r="LZI238" s="1"/>
      <c r="LZJ238" s="1"/>
      <c r="LZK238" s="1"/>
      <c r="LZL238" s="1"/>
      <c r="LZM238" s="1"/>
      <c r="LZN238" s="1"/>
      <c r="LZO238" s="1"/>
      <c r="LZP238" s="1"/>
      <c r="LZQ238" s="1"/>
      <c r="LZR238" s="1"/>
      <c r="LZS238" s="1"/>
      <c r="LZT238" s="1"/>
      <c r="LZU238" s="1"/>
      <c r="LZV238" s="1"/>
      <c r="LZW238" s="1"/>
      <c r="LZX238" s="1"/>
      <c r="LZY238" s="1"/>
      <c r="LZZ238" s="1"/>
      <c r="MAA238" s="1"/>
      <c r="MAB238" s="1"/>
      <c r="MAC238" s="1"/>
      <c r="MAD238" s="1"/>
      <c r="MAE238" s="1"/>
      <c r="MAF238" s="1"/>
      <c r="MAG238" s="1"/>
      <c r="MAH238" s="1"/>
      <c r="MAI238" s="1"/>
      <c r="MAJ238" s="1"/>
      <c r="MAK238" s="1"/>
      <c r="MAL238" s="1"/>
      <c r="MAM238" s="1"/>
      <c r="MAN238" s="1"/>
      <c r="MAO238" s="1"/>
      <c r="MAP238" s="1"/>
      <c r="MAQ238" s="1"/>
      <c r="MAR238" s="1"/>
      <c r="MAS238" s="1"/>
      <c r="MAT238" s="1"/>
      <c r="MAU238" s="1"/>
      <c r="MAV238" s="1"/>
      <c r="MAW238" s="1"/>
      <c r="MAX238" s="1"/>
      <c r="MAY238" s="1"/>
      <c r="MAZ238" s="1"/>
      <c r="MBA238" s="1"/>
      <c r="MBB238" s="1"/>
      <c r="MBC238" s="1"/>
      <c r="MBD238" s="1"/>
      <c r="MBE238" s="1"/>
      <c r="MBF238" s="1"/>
      <c r="MBG238" s="1"/>
      <c r="MBH238" s="1"/>
      <c r="MBI238" s="1"/>
      <c r="MBJ238" s="1"/>
      <c r="MBK238" s="1"/>
      <c r="MBL238" s="1"/>
      <c r="MBM238" s="1"/>
      <c r="MBN238" s="1"/>
      <c r="MBO238" s="1"/>
      <c r="MBP238" s="1"/>
      <c r="MBQ238" s="1"/>
      <c r="MBR238" s="1"/>
      <c r="MBS238" s="1"/>
      <c r="MBT238" s="1"/>
      <c r="MBU238" s="1"/>
      <c r="MBV238" s="1"/>
      <c r="MBW238" s="1"/>
      <c r="MBX238" s="1"/>
      <c r="MBY238" s="1"/>
      <c r="MBZ238" s="1"/>
      <c r="MCA238" s="1"/>
      <c r="MCB238" s="1"/>
      <c r="MCC238" s="1"/>
      <c r="MCD238" s="1"/>
      <c r="MCE238" s="1"/>
      <c r="MCF238" s="1"/>
      <c r="MCG238" s="1"/>
      <c r="MCH238" s="1"/>
      <c r="MCI238" s="1"/>
      <c r="MCJ238" s="1"/>
      <c r="MCK238" s="1"/>
      <c r="MCL238" s="1"/>
      <c r="MCM238" s="1"/>
      <c r="MCN238" s="1"/>
      <c r="MCO238" s="1"/>
      <c r="MCP238" s="1"/>
      <c r="MCQ238" s="1"/>
      <c r="MCR238" s="1"/>
      <c r="MCS238" s="1"/>
      <c r="MCT238" s="1"/>
      <c r="MCU238" s="1"/>
      <c r="MCV238" s="1"/>
      <c r="MCW238" s="1"/>
      <c r="MCX238" s="1"/>
      <c r="MCY238" s="1"/>
      <c r="MCZ238" s="1"/>
      <c r="MDA238" s="1"/>
      <c r="MDB238" s="1"/>
      <c r="MDC238" s="1"/>
      <c r="MDD238" s="1"/>
      <c r="MDE238" s="1"/>
      <c r="MDF238" s="1"/>
      <c r="MDG238" s="1"/>
      <c r="MDH238" s="1"/>
      <c r="MDI238" s="1"/>
      <c r="MDJ238" s="1"/>
      <c r="MDK238" s="1"/>
      <c r="MDL238" s="1"/>
      <c r="MDM238" s="1"/>
      <c r="MDN238" s="1"/>
      <c r="MDO238" s="1"/>
      <c r="MDP238" s="1"/>
      <c r="MDQ238" s="1"/>
      <c r="MDR238" s="1"/>
      <c r="MDS238" s="1"/>
      <c r="MDT238" s="1"/>
      <c r="MDU238" s="1"/>
      <c r="MDV238" s="1"/>
      <c r="MDW238" s="1"/>
      <c r="MDX238" s="1"/>
      <c r="MDY238" s="1"/>
      <c r="MDZ238" s="1"/>
      <c r="MEA238" s="1"/>
      <c r="MEB238" s="1"/>
      <c r="MEC238" s="1"/>
      <c r="MED238" s="1"/>
      <c r="MEE238" s="1"/>
      <c r="MEF238" s="1"/>
      <c r="MEG238" s="1"/>
      <c r="MEH238" s="1"/>
      <c r="MEI238" s="1"/>
      <c r="MEJ238" s="1"/>
      <c r="MEK238" s="1"/>
      <c r="MEL238" s="1"/>
      <c r="MEM238" s="1"/>
      <c r="MEN238" s="1"/>
      <c r="MEO238" s="1"/>
      <c r="MEP238" s="1"/>
      <c r="MEQ238" s="1"/>
      <c r="MER238" s="1"/>
      <c r="MES238" s="1"/>
      <c r="MET238" s="1"/>
      <c r="MEU238" s="1"/>
      <c r="MEV238" s="1"/>
      <c r="MEW238" s="1"/>
      <c r="MEX238" s="1"/>
      <c r="MEY238" s="1"/>
      <c r="MEZ238" s="1"/>
      <c r="MFA238" s="1"/>
      <c r="MFB238" s="1"/>
      <c r="MFC238" s="1"/>
      <c r="MFD238" s="1"/>
      <c r="MFE238" s="1"/>
      <c r="MFF238" s="1"/>
      <c r="MFG238" s="1"/>
      <c r="MFH238" s="1"/>
      <c r="MFI238" s="1"/>
      <c r="MFJ238" s="1"/>
      <c r="MFK238" s="1"/>
      <c r="MFL238" s="1"/>
      <c r="MFM238" s="1"/>
      <c r="MFN238" s="1"/>
      <c r="MFO238" s="1"/>
      <c r="MFP238" s="1"/>
      <c r="MFQ238" s="1"/>
      <c r="MFR238" s="1"/>
      <c r="MFS238" s="1"/>
      <c r="MFT238" s="1"/>
      <c r="MFU238" s="1"/>
      <c r="MFV238" s="1"/>
      <c r="MFW238" s="1"/>
      <c r="MFX238" s="1"/>
      <c r="MFY238" s="1"/>
      <c r="MFZ238" s="1"/>
      <c r="MGA238" s="1"/>
      <c r="MGB238" s="1"/>
      <c r="MGC238" s="1"/>
      <c r="MGD238" s="1"/>
      <c r="MGE238" s="1"/>
      <c r="MGF238" s="1"/>
      <c r="MGG238" s="1"/>
      <c r="MGH238" s="1"/>
      <c r="MGI238" s="1"/>
      <c r="MGJ238" s="1"/>
      <c r="MGK238" s="1"/>
      <c r="MGL238" s="1"/>
      <c r="MGM238" s="1"/>
      <c r="MGN238" s="1"/>
      <c r="MGO238" s="1"/>
      <c r="MGP238" s="1"/>
      <c r="MGQ238" s="1"/>
      <c r="MGR238" s="1"/>
      <c r="MGS238" s="1"/>
      <c r="MGT238" s="1"/>
      <c r="MGU238" s="1"/>
      <c r="MGV238" s="1"/>
      <c r="MGW238" s="1"/>
      <c r="MGX238" s="1"/>
      <c r="MGY238" s="1"/>
      <c r="MGZ238" s="1"/>
      <c r="MHA238" s="1"/>
      <c r="MHB238" s="1"/>
      <c r="MHC238" s="1"/>
      <c r="MHD238" s="1"/>
      <c r="MHE238" s="1"/>
      <c r="MHF238" s="1"/>
      <c r="MHG238" s="1"/>
      <c r="MHH238" s="1"/>
      <c r="MHI238" s="1"/>
      <c r="MHJ238" s="1"/>
      <c r="MHK238" s="1"/>
      <c r="MHL238" s="1"/>
      <c r="MHM238" s="1"/>
      <c r="MHN238" s="1"/>
      <c r="MHO238" s="1"/>
      <c r="MHP238" s="1"/>
      <c r="MHQ238" s="1"/>
      <c r="MHR238" s="1"/>
      <c r="MHS238" s="1"/>
      <c r="MHT238" s="1"/>
      <c r="MHU238" s="1"/>
      <c r="MHV238" s="1"/>
      <c r="MHW238" s="1"/>
      <c r="MHX238" s="1"/>
      <c r="MHY238" s="1"/>
      <c r="MHZ238" s="1"/>
      <c r="MIA238" s="1"/>
      <c r="MIB238" s="1"/>
      <c r="MIC238" s="1"/>
      <c r="MID238" s="1"/>
      <c r="MIE238" s="1"/>
      <c r="MIF238" s="1"/>
      <c r="MIG238" s="1"/>
      <c r="MIH238" s="1"/>
      <c r="MII238" s="1"/>
      <c r="MIJ238" s="1"/>
      <c r="MIK238" s="1"/>
      <c r="MIL238" s="1"/>
      <c r="MIM238" s="1"/>
      <c r="MIN238" s="1"/>
      <c r="MIO238" s="1"/>
      <c r="MIP238" s="1"/>
      <c r="MIQ238" s="1"/>
      <c r="MIR238" s="1"/>
      <c r="MIS238" s="1"/>
      <c r="MIT238" s="1"/>
      <c r="MIU238" s="1"/>
      <c r="MIV238" s="1"/>
      <c r="MIW238" s="1"/>
      <c r="MIX238" s="1"/>
      <c r="MIY238" s="1"/>
      <c r="MIZ238" s="1"/>
      <c r="MJA238" s="1"/>
      <c r="MJB238" s="1"/>
      <c r="MJC238" s="1"/>
      <c r="MJD238" s="1"/>
      <c r="MJE238" s="1"/>
      <c r="MJF238" s="1"/>
      <c r="MJG238" s="1"/>
      <c r="MJH238" s="1"/>
      <c r="MJI238" s="1"/>
      <c r="MJJ238" s="1"/>
      <c r="MJK238" s="1"/>
      <c r="MJL238" s="1"/>
      <c r="MJM238" s="1"/>
      <c r="MJN238" s="1"/>
      <c r="MJO238" s="1"/>
      <c r="MJP238" s="1"/>
      <c r="MJQ238" s="1"/>
      <c r="MJR238" s="1"/>
      <c r="MJS238" s="1"/>
      <c r="MJT238" s="1"/>
      <c r="MJU238" s="1"/>
      <c r="MJV238" s="1"/>
      <c r="MJW238" s="1"/>
      <c r="MJX238" s="1"/>
      <c r="MJY238" s="1"/>
      <c r="MJZ238" s="1"/>
      <c r="MKA238" s="1"/>
      <c r="MKB238" s="1"/>
      <c r="MKC238" s="1"/>
      <c r="MKD238" s="1"/>
      <c r="MKE238" s="1"/>
      <c r="MKF238" s="1"/>
      <c r="MKG238" s="1"/>
      <c r="MKH238" s="1"/>
      <c r="MKI238" s="1"/>
      <c r="MKJ238" s="1"/>
      <c r="MKK238" s="1"/>
      <c r="MKL238" s="1"/>
      <c r="MKM238" s="1"/>
      <c r="MKN238" s="1"/>
      <c r="MKO238" s="1"/>
      <c r="MKP238" s="1"/>
      <c r="MKQ238" s="1"/>
      <c r="MKR238" s="1"/>
      <c r="MKS238" s="1"/>
      <c r="MKT238" s="1"/>
      <c r="MKU238" s="1"/>
      <c r="MKV238" s="1"/>
      <c r="MKW238" s="1"/>
      <c r="MKX238" s="1"/>
      <c r="MKY238" s="1"/>
      <c r="MKZ238" s="1"/>
      <c r="MLA238" s="1"/>
      <c r="MLB238" s="1"/>
      <c r="MLC238" s="1"/>
      <c r="MLD238" s="1"/>
      <c r="MLE238" s="1"/>
      <c r="MLF238" s="1"/>
      <c r="MLG238" s="1"/>
      <c r="MLH238" s="1"/>
      <c r="MLI238" s="1"/>
      <c r="MLJ238" s="1"/>
      <c r="MLK238" s="1"/>
      <c r="MLL238" s="1"/>
      <c r="MLM238" s="1"/>
      <c r="MLN238" s="1"/>
      <c r="MLO238" s="1"/>
      <c r="MLP238" s="1"/>
      <c r="MLQ238" s="1"/>
      <c r="MLR238" s="1"/>
      <c r="MLS238" s="1"/>
      <c r="MLT238" s="1"/>
      <c r="MLU238" s="1"/>
      <c r="MLV238" s="1"/>
      <c r="MLW238" s="1"/>
      <c r="MLX238" s="1"/>
      <c r="MLY238" s="1"/>
      <c r="MLZ238" s="1"/>
      <c r="MMA238" s="1"/>
      <c r="MMB238" s="1"/>
      <c r="MMC238" s="1"/>
      <c r="MMD238" s="1"/>
      <c r="MME238" s="1"/>
      <c r="MMF238" s="1"/>
      <c r="MMG238" s="1"/>
      <c r="MMH238" s="1"/>
      <c r="MMI238" s="1"/>
      <c r="MMJ238" s="1"/>
      <c r="MMK238" s="1"/>
      <c r="MML238" s="1"/>
      <c r="MMM238" s="1"/>
      <c r="MMN238" s="1"/>
      <c r="MMO238" s="1"/>
      <c r="MMP238" s="1"/>
      <c r="MMQ238" s="1"/>
      <c r="MMR238" s="1"/>
      <c r="MMS238" s="1"/>
      <c r="MMT238" s="1"/>
      <c r="MMU238" s="1"/>
      <c r="MMV238" s="1"/>
      <c r="MMW238" s="1"/>
      <c r="MMX238" s="1"/>
      <c r="MMY238" s="1"/>
      <c r="MMZ238" s="1"/>
      <c r="MNA238" s="1"/>
      <c r="MNB238" s="1"/>
      <c r="MNC238" s="1"/>
      <c r="MND238" s="1"/>
      <c r="MNE238" s="1"/>
      <c r="MNF238" s="1"/>
      <c r="MNG238" s="1"/>
      <c r="MNH238" s="1"/>
      <c r="MNI238" s="1"/>
      <c r="MNJ238" s="1"/>
      <c r="MNK238" s="1"/>
      <c r="MNL238" s="1"/>
      <c r="MNM238" s="1"/>
      <c r="MNN238" s="1"/>
      <c r="MNO238" s="1"/>
      <c r="MNP238" s="1"/>
      <c r="MNQ238" s="1"/>
      <c r="MNR238" s="1"/>
      <c r="MNS238" s="1"/>
      <c r="MNT238" s="1"/>
      <c r="MNU238" s="1"/>
      <c r="MNV238" s="1"/>
      <c r="MNW238" s="1"/>
      <c r="MNX238" s="1"/>
      <c r="MNY238" s="1"/>
      <c r="MNZ238" s="1"/>
      <c r="MOA238" s="1"/>
      <c r="MOB238" s="1"/>
      <c r="MOC238" s="1"/>
      <c r="MOD238" s="1"/>
      <c r="MOE238" s="1"/>
      <c r="MOF238" s="1"/>
      <c r="MOG238" s="1"/>
      <c r="MOH238" s="1"/>
      <c r="MOI238" s="1"/>
      <c r="MOJ238" s="1"/>
      <c r="MOK238" s="1"/>
      <c r="MOL238" s="1"/>
      <c r="MOM238" s="1"/>
      <c r="MON238" s="1"/>
      <c r="MOO238" s="1"/>
      <c r="MOP238" s="1"/>
      <c r="MOQ238" s="1"/>
      <c r="MOR238" s="1"/>
      <c r="MOS238" s="1"/>
      <c r="MOT238" s="1"/>
      <c r="MOU238" s="1"/>
      <c r="MOV238" s="1"/>
      <c r="MOW238" s="1"/>
      <c r="MOX238" s="1"/>
      <c r="MOY238" s="1"/>
      <c r="MOZ238" s="1"/>
      <c r="MPA238" s="1"/>
      <c r="MPB238" s="1"/>
      <c r="MPC238" s="1"/>
      <c r="MPD238" s="1"/>
      <c r="MPE238" s="1"/>
      <c r="MPF238" s="1"/>
      <c r="MPG238" s="1"/>
      <c r="MPH238" s="1"/>
      <c r="MPI238" s="1"/>
      <c r="MPJ238" s="1"/>
      <c r="MPK238" s="1"/>
      <c r="MPL238" s="1"/>
      <c r="MPM238" s="1"/>
      <c r="MPN238" s="1"/>
      <c r="MPO238" s="1"/>
      <c r="MPP238" s="1"/>
      <c r="MPQ238" s="1"/>
      <c r="MPR238" s="1"/>
      <c r="MPS238" s="1"/>
      <c r="MPT238" s="1"/>
      <c r="MPU238" s="1"/>
      <c r="MPV238" s="1"/>
      <c r="MPW238" s="1"/>
      <c r="MPX238" s="1"/>
      <c r="MPY238" s="1"/>
      <c r="MPZ238" s="1"/>
      <c r="MQA238" s="1"/>
      <c r="MQB238" s="1"/>
      <c r="MQC238" s="1"/>
      <c r="MQD238" s="1"/>
      <c r="MQE238" s="1"/>
      <c r="MQF238" s="1"/>
      <c r="MQG238" s="1"/>
      <c r="MQH238" s="1"/>
      <c r="MQI238" s="1"/>
      <c r="MQJ238" s="1"/>
      <c r="MQK238" s="1"/>
      <c r="MQL238" s="1"/>
      <c r="MQM238" s="1"/>
      <c r="MQN238" s="1"/>
      <c r="MQO238" s="1"/>
      <c r="MQP238" s="1"/>
      <c r="MQQ238" s="1"/>
      <c r="MQR238" s="1"/>
      <c r="MQS238" s="1"/>
      <c r="MQT238" s="1"/>
      <c r="MQU238" s="1"/>
      <c r="MQV238" s="1"/>
      <c r="MQW238" s="1"/>
      <c r="MQX238" s="1"/>
      <c r="MQY238" s="1"/>
      <c r="MQZ238" s="1"/>
      <c r="MRA238" s="1"/>
      <c r="MRB238" s="1"/>
      <c r="MRC238" s="1"/>
      <c r="MRD238" s="1"/>
      <c r="MRE238" s="1"/>
      <c r="MRF238" s="1"/>
      <c r="MRG238" s="1"/>
      <c r="MRH238" s="1"/>
      <c r="MRI238" s="1"/>
      <c r="MRJ238" s="1"/>
      <c r="MRK238" s="1"/>
      <c r="MRL238" s="1"/>
      <c r="MRM238" s="1"/>
      <c r="MRN238" s="1"/>
      <c r="MRO238" s="1"/>
      <c r="MRP238" s="1"/>
      <c r="MRQ238" s="1"/>
      <c r="MRR238" s="1"/>
      <c r="MRS238" s="1"/>
      <c r="MRT238" s="1"/>
      <c r="MRU238" s="1"/>
      <c r="MRV238" s="1"/>
      <c r="MRW238" s="1"/>
      <c r="MRX238" s="1"/>
      <c r="MRY238" s="1"/>
      <c r="MRZ238" s="1"/>
      <c r="MSA238" s="1"/>
      <c r="MSB238" s="1"/>
      <c r="MSC238" s="1"/>
      <c r="MSD238" s="1"/>
      <c r="MSE238" s="1"/>
      <c r="MSF238" s="1"/>
      <c r="MSG238" s="1"/>
      <c r="MSH238" s="1"/>
      <c r="MSI238" s="1"/>
      <c r="MSJ238" s="1"/>
      <c r="MSK238" s="1"/>
      <c r="MSL238" s="1"/>
      <c r="MSM238" s="1"/>
      <c r="MSN238" s="1"/>
      <c r="MSO238" s="1"/>
      <c r="MSP238" s="1"/>
      <c r="MSQ238" s="1"/>
      <c r="MSR238" s="1"/>
      <c r="MSS238" s="1"/>
      <c r="MST238" s="1"/>
      <c r="MSU238" s="1"/>
      <c r="MSV238" s="1"/>
      <c r="MSW238" s="1"/>
      <c r="MSX238" s="1"/>
      <c r="MSY238" s="1"/>
      <c r="MSZ238" s="1"/>
      <c r="MTA238" s="1"/>
      <c r="MTB238" s="1"/>
      <c r="MTC238" s="1"/>
      <c r="MTD238" s="1"/>
      <c r="MTE238" s="1"/>
      <c r="MTF238" s="1"/>
      <c r="MTG238" s="1"/>
      <c r="MTH238" s="1"/>
      <c r="MTI238" s="1"/>
      <c r="MTJ238" s="1"/>
      <c r="MTK238" s="1"/>
      <c r="MTL238" s="1"/>
      <c r="MTM238" s="1"/>
      <c r="MTN238" s="1"/>
      <c r="MTO238" s="1"/>
      <c r="MTP238" s="1"/>
      <c r="MTQ238" s="1"/>
      <c r="MTR238" s="1"/>
      <c r="MTS238" s="1"/>
      <c r="MTT238" s="1"/>
      <c r="MTU238" s="1"/>
      <c r="MTV238" s="1"/>
      <c r="MTW238" s="1"/>
      <c r="MTX238" s="1"/>
      <c r="MTY238" s="1"/>
      <c r="MTZ238" s="1"/>
      <c r="MUA238" s="1"/>
      <c r="MUB238" s="1"/>
      <c r="MUC238" s="1"/>
      <c r="MUD238" s="1"/>
      <c r="MUE238" s="1"/>
      <c r="MUF238" s="1"/>
      <c r="MUG238" s="1"/>
      <c r="MUH238" s="1"/>
      <c r="MUI238" s="1"/>
      <c r="MUJ238" s="1"/>
      <c r="MUK238" s="1"/>
      <c r="MUL238" s="1"/>
      <c r="MUM238" s="1"/>
      <c r="MUN238" s="1"/>
      <c r="MUO238" s="1"/>
      <c r="MUP238" s="1"/>
      <c r="MUQ238" s="1"/>
      <c r="MUR238" s="1"/>
      <c r="MUS238" s="1"/>
      <c r="MUT238" s="1"/>
      <c r="MUU238" s="1"/>
      <c r="MUV238" s="1"/>
      <c r="MUW238" s="1"/>
      <c r="MUX238" s="1"/>
      <c r="MUY238" s="1"/>
      <c r="MUZ238" s="1"/>
      <c r="MVA238" s="1"/>
      <c r="MVB238" s="1"/>
      <c r="MVC238" s="1"/>
      <c r="MVD238" s="1"/>
      <c r="MVE238" s="1"/>
      <c r="MVF238" s="1"/>
      <c r="MVG238" s="1"/>
      <c r="MVH238" s="1"/>
      <c r="MVI238" s="1"/>
      <c r="MVJ238" s="1"/>
      <c r="MVK238" s="1"/>
      <c r="MVL238" s="1"/>
      <c r="MVM238" s="1"/>
      <c r="MVN238" s="1"/>
      <c r="MVO238" s="1"/>
      <c r="MVP238" s="1"/>
      <c r="MVQ238" s="1"/>
      <c r="MVR238" s="1"/>
      <c r="MVS238" s="1"/>
      <c r="MVT238" s="1"/>
      <c r="MVU238" s="1"/>
      <c r="MVV238" s="1"/>
      <c r="MVW238" s="1"/>
      <c r="MVX238" s="1"/>
      <c r="MVY238" s="1"/>
      <c r="MVZ238" s="1"/>
      <c r="MWA238" s="1"/>
      <c r="MWB238" s="1"/>
      <c r="MWC238" s="1"/>
      <c r="MWD238" s="1"/>
      <c r="MWE238" s="1"/>
      <c r="MWF238" s="1"/>
      <c r="MWG238" s="1"/>
      <c r="MWH238" s="1"/>
      <c r="MWI238" s="1"/>
      <c r="MWJ238" s="1"/>
      <c r="MWK238" s="1"/>
      <c r="MWL238" s="1"/>
      <c r="MWM238" s="1"/>
      <c r="MWN238" s="1"/>
      <c r="MWO238" s="1"/>
      <c r="MWP238" s="1"/>
      <c r="MWQ238" s="1"/>
      <c r="MWR238" s="1"/>
      <c r="MWS238" s="1"/>
      <c r="MWT238" s="1"/>
      <c r="MWU238" s="1"/>
      <c r="MWV238" s="1"/>
      <c r="MWW238" s="1"/>
      <c r="MWX238" s="1"/>
      <c r="MWY238" s="1"/>
      <c r="MWZ238" s="1"/>
      <c r="MXA238" s="1"/>
      <c r="MXB238" s="1"/>
      <c r="MXC238" s="1"/>
      <c r="MXD238" s="1"/>
      <c r="MXE238" s="1"/>
      <c r="MXF238" s="1"/>
      <c r="MXG238" s="1"/>
      <c r="MXH238" s="1"/>
      <c r="MXI238" s="1"/>
      <c r="MXJ238" s="1"/>
      <c r="MXK238" s="1"/>
      <c r="MXL238" s="1"/>
      <c r="MXM238" s="1"/>
      <c r="MXN238" s="1"/>
      <c r="MXO238" s="1"/>
      <c r="MXP238" s="1"/>
      <c r="MXQ238" s="1"/>
      <c r="MXR238" s="1"/>
      <c r="MXS238" s="1"/>
      <c r="MXT238" s="1"/>
      <c r="MXU238" s="1"/>
      <c r="MXV238" s="1"/>
      <c r="MXW238" s="1"/>
      <c r="MXX238" s="1"/>
      <c r="MXY238" s="1"/>
      <c r="MXZ238" s="1"/>
      <c r="MYA238" s="1"/>
      <c r="MYB238" s="1"/>
      <c r="MYC238" s="1"/>
      <c r="MYD238" s="1"/>
      <c r="MYE238" s="1"/>
      <c r="MYF238" s="1"/>
      <c r="MYG238" s="1"/>
      <c r="MYH238" s="1"/>
      <c r="MYI238" s="1"/>
      <c r="MYJ238" s="1"/>
      <c r="MYK238" s="1"/>
      <c r="MYL238" s="1"/>
      <c r="MYM238" s="1"/>
      <c r="MYN238" s="1"/>
      <c r="MYO238" s="1"/>
      <c r="MYP238" s="1"/>
      <c r="MYQ238" s="1"/>
      <c r="MYR238" s="1"/>
      <c r="MYS238" s="1"/>
      <c r="MYT238" s="1"/>
      <c r="MYU238" s="1"/>
      <c r="MYV238" s="1"/>
      <c r="MYW238" s="1"/>
      <c r="MYX238" s="1"/>
      <c r="MYY238" s="1"/>
      <c r="MYZ238" s="1"/>
      <c r="MZA238" s="1"/>
      <c r="MZB238" s="1"/>
      <c r="MZC238" s="1"/>
      <c r="MZD238" s="1"/>
      <c r="MZE238" s="1"/>
      <c r="MZF238" s="1"/>
      <c r="MZG238" s="1"/>
      <c r="MZH238" s="1"/>
      <c r="MZI238" s="1"/>
      <c r="MZJ238" s="1"/>
      <c r="MZK238" s="1"/>
      <c r="MZL238" s="1"/>
      <c r="MZM238" s="1"/>
      <c r="MZN238" s="1"/>
      <c r="MZO238" s="1"/>
      <c r="MZP238" s="1"/>
      <c r="MZQ238" s="1"/>
      <c r="MZR238" s="1"/>
      <c r="MZS238" s="1"/>
      <c r="MZT238" s="1"/>
      <c r="MZU238" s="1"/>
      <c r="MZV238" s="1"/>
      <c r="MZW238" s="1"/>
      <c r="MZX238" s="1"/>
      <c r="MZY238" s="1"/>
      <c r="MZZ238" s="1"/>
      <c r="NAA238" s="1"/>
      <c r="NAB238" s="1"/>
      <c r="NAC238" s="1"/>
      <c r="NAD238" s="1"/>
      <c r="NAE238" s="1"/>
      <c r="NAF238" s="1"/>
      <c r="NAG238" s="1"/>
      <c r="NAH238" s="1"/>
      <c r="NAI238" s="1"/>
      <c r="NAJ238" s="1"/>
      <c r="NAK238" s="1"/>
      <c r="NAL238" s="1"/>
      <c r="NAM238" s="1"/>
      <c r="NAN238" s="1"/>
      <c r="NAO238" s="1"/>
      <c r="NAP238" s="1"/>
      <c r="NAQ238" s="1"/>
      <c r="NAR238" s="1"/>
      <c r="NAS238" s="1"/>
      <c r="NAT238" s="1"/>
      <c r="NAU238" s="1"/>
      <c r="NAV238" s="1"/>
      <c r="NAW238" s="1"/>
      <c r="NAX238" s="1"/>
      <c r="NAY238" s="1"/>
      <c r="NAZ238" s="1"/>
      <c r="NBA238" s="1"/>
      <c r="NBB238" s="1"/>
      <c r="NBC238" s="1"/>
      <c r="NBD238" s="1"/>
      <c r="NBE238" s="1"/>
      <c r="NBF238" s="1"/>
      <c r="NBG238" s="1"/>
      <c r="NBH238" s="1"/>
      <c r="NBI238" s="1"/>
      <c r="NBJ238" s="1"/>
      <c r="NBK238" s="1"/>
      <c r="NBL238" s="1"/>
      <c r="NBM238" s="1"/>
      <c r="NBN238" s="1"/>
      <c r="NBO238" s="1"/>
      <c r="NBP238" s="1"/>
      <c r="NBQ238" s="1"/>
      <c r="NBR238" s="1"/>
      <c r="NBS238" s="1"/>
      <c r="NBT238" s="1"/>
      <c r="NBU238" s="1"/>
      <c r="NBV238" s="1"/>
      <c r="NBW238" s="1"/>
      <c r="NBX238" s="1"/>
      <c r="NBY238" s="1"/>
      <c r="NBZ238" s="1"/>
      <c r="NCA238" s="1"/>
      <c r="NCB238" s="1"/>
      <c r="NCC238" s="1"/>
      <c r="NCD238" s="1"/>
      <c r="NCE238" s="1"/>
      <c r="NCF238" s="1"/>
      <c r="NCG238" s="1"/>
      <c r="NCH238" s="1"/>
      <c r="NCI238" s="1"/>
      <c r="NCJ238" s="1"/>
      <c r="NCK238" s="1"/>
      <c r="NCL238" s="1"/>
      <c r="NCM238" s="1"/>
      <c r="NCN238" s="1"/>
      <c r="NCO238" s="1"/>
      <c r="NCP238" s="1"/>
      <c r="NCQ238" s="1"/>
      <c r="NCR238" s="1"/>
      <c r="NCS238" s="1"/>
      <c r="NCT238" s="1"/>
      <c r="NCU238" s="1"/>
      <c r="NCV238" s="1"/>
      <c r="NCW238" s="1"/>
      <c r="NCX238" s="1"/>
      <c r="NCY238" s="1"/>
      <c r="NCZ238" s="1"/>
      <c r="NDA238" s="1"/>
      <c r="NDB238" s="1"/>
      <c r="NDC238" s="1"/>
      <c r="NDD238" s="1"/>
      <c r="NDE238" s="1"/>
      <c r="NDF238" s="1"/>
      <c r="NDG238" s="1"/>
      <c r="NDH238" s="1"/>
      <c r="NDI238" s="1"/>
      <c r="NDJ238" s="1"/>
      <c r="NDK238" s="1"/>
      <c r="NDL238" s="1"/>
      <c r="NDM238" s="1"/>
      <c r="NDN238" s="1"/>
      <c r="NDO238" s="1"/>
      <c r="NDP238" s="1"/>
      <c r="NDQ238" s="1"/>
      <c r="NDR238" s="1"/>
      <c r="NDS238" s="1"/>
      <c r="NDT238" s="1"/>
      <c r="NDU238" s="1"/>
      <c r="NDV238" s="1"/>
      <c r="NDW238" s="1"/>
      <c r="NDX238" s="1"/>
      <c r="NDY238" s="1"/>
      <c r="NDZ238" s="1"/>
      <c r="NEA238" s="1"/>
      <c r="NEB238" s="1"/>
      <c r="NEC238" s="1"/>
      <c r="NED238" s="1"/>
      <c r="NEE238" s="1"/>
      <c r="NEF238" s="1"/>
      <c r="NEG238" s="1"/>
      <c r="NEH238" s="1"/>
      <c r="NEI238" s="1"/>
      <c r="NEJ238" s="1"/>
      <c r="NEK238" s="1"/>
      <c r="NEL238" s="1"/>
      <c r="NEM238" s="1"/>
      <c r="NEN238" s="1"/>
      <c r="NEO238" s="1"/>
      <c r="NEP238" s="1"/>
      <c r="NEQ238" s="1"/>
      <c r="NER238" s="1"/>
      <c r="NES238" s="1"/>
      <c r="NET238" s="1"/>
      <c r="NEU238" s="1"/>
      <c r="NEV238" s="1"/>
      <c r="NEW238" s="1"/>
      <c r="NEX238" s="1"/>
      <c r="NEY238" s="1"/>
      <c r="NEZ238" s="1"/>
      <c r="NFA238" s="1"/>
      <c r="NFB238" s="1"/>
      <c r="NFC238" s="1"/>
      <c r="NFD238" s="1"/>
      <c r="NFE238" s="1"/>
      <c r="NFF238" s="1"/>
      <c r="NFG238" s="1"/>
      <c r="NFH238" s="1"/>
      <c r="NFI238" s="1"/>
      <c r="NFJ238" s="1"/>
      <c r="NFK238" s="1"/>
      <c r="NFL238" s="1"/>
      <c r="NFM238" s="1"/>
      <c r="NFN238" s="1"/>
      <c r="NFO238" s="1"/>
      <c r="NFP238" s="1"/>
      <c r="NFQ238" s="1"/>
      <c r="NFR238" s="1"/>
      <c r="NFS238" s="1"/>
      <c r="NFT238" s="1"/>
      <c r="NFU238" s="1"/>
      <c r="NFV238" s="1"/>
      <c r="NFW238" s="1"/>
      <c r="NFX238" s="1"/>
      <c r="NFY238" s="1"/>
      <c r="NFZ238" s="1"/>
      <c r="NGA238" s="1"/>
      <c r="NGB238" s="1"/>
      <c r="NGC238" s="1"/>
      <c r="NGD238" s="1"/>
      <c r="NGE238" s="1"/>
      <c r="NGF238" s="1"/>
      <c r="NGG238" s="1"/>
      <c r="NGH238" s="1"/>
      <c r="NGI238" s="1"/>
      <c r="NGJ238" s="1"/>
      <c r="NGK238" s="1"/>
      <c r="NGL238" s="1"/>
      <c r="NGM238" s="1"/>
      <c r="NGN238" s="1"/>
      <c r="NGO238" s="1"/>
      <c r="NGP238" s="1"/>
      <c r="NGQ238" s="1"/>
      <c r="NGR238" s="1"/>
      <c r="NGS238" s="1"/>
      <c r="NGT238" s="1"/>
      <c r="NGU238" s="1"/>
      <c r="NGV238" s="1"/>
      <c r="NGW238" s="1"/>
      <c r="NGX238" s="1"/>
      <c r="NGY238" s="1"/>
      <c r="NGZ238" s="1"/>
      <c r="NHA238" s="1"/>
      <c r="NHB238" s="1"/>
      <c r="NHC238" s="1"/>
      <c r="NHD238" s="1"/>
      <c r="NHE238" s="1"/>
      <c r="NHF238" s="1"/>
      <c r="NHG238" s="1"/>
      <c r="NHH238" s="1"/>
      <c r="NHI238" s="1"/>
      <c r="NHJ238" s="1"/>
      <c r="NHK238" s="1"/>
      <c r="NHL238" s="1"/>
      <c r="NHM238" s="1"/>
      <c r="NHN238" s="1"/>
      <c r="NHO238" s="1"/>
      <c r="NHP238" s="1"/>
      <c r="NHQ238" s="1"/>
      <c r="NHR238" s="1"/>
      <c r="NHS238" s="1"/>
      <c r="NHT238" s="1"/>
      <c r="NHU238" s="1"/>
      <c r="NHV238" s="1"/>
      <c r="NHW238" s="1"/>
      <c r="NHX238" s="1"/>
      <c r="NHY238" s="1"/>
      <c r="NHZ238" s="1"/>
      <c r="NIA238" s="1"/>
      <c r="NIB238" s="1"/>
      <c r="NIC238" s="1"/>
      <c r="NID238" s="1"/>
      <c r="NIE238" s="1"/>
      <c r="NIF238" s="1"/>
      <c r="NIG238" s="1"/>
      <c r="NIH238" s="1"/>
      <c r="NII238" s="1"/>
      <c r="NIJ238" s="1"/>
      <c r="NIK238" s="1"/>
      <c r="NIL238" s="1"/>
      <c r="NIM238" s="1"/>
      <c r="NIN238" s="1"/>
      <c r="NIO238" s="1"/>
      <c r="NIP238" s="1"/>
      <c r="NIQ238" s="1"/>
      <c r="NIR238" s="1"/>
      <c r="NIS238" s="1"/>
      <c r="NIT238" s="1"/>
      <c r="NIU238" s="1"/>
      <c r="NIV238" s="1"/>
      <c r="NIW238" s="1"/>
      <c r="NIX238" s="1"/>
      <c r="NIY238" s="1"/>
      <c r="NIZ238" s="1"/>
      <c r="NJA238" s="1"/>
      <c r="NJB238" s="1"/>
      <c r="NJC238" s="1"/>
      <c r="NJD238" s="1"/>
      <c r="NJE238" s="1"/>
      <c r="NJF238" s="1"/>
      <c r="NJG238" s="1"/>
      <c r="NJH238" s="1"/>
      <c r="NJI238" s="1"/>
      <c r="NJJ238" s="1"/>
      <c r="NJK238" s="1"/>
      <c r="NJL238" s="1"/>
      <c r="NJM238" s="1"/>
      <c r="NJN238" s="1"/>
      <c r="NJO238" s="1"/>
      <c r="NJP238" s="1"/>
      <c r="NJQ238" s="1"/>
      <c r="NJR238" s="1"/>
      <c r="NJS238" s="1"/>
      <c r="NJT238" s="1"/>
      <c r="NJU238" s="1"/>
      <c r="NJV238" s="1"/>
      <c r="NJW238" s="1"/>
      <c r="NJX238" s="1"/>
      <c r="NJY238" s="1"/>
      <c r="NJZ238" s="1"/>
      <c r="NKA238" s="1"/>
      <c r="NKB238" s="1"/>
      <c r="NKC238" s="1"/>
      <c r="NKD238" s="1"/>
      <c r="NKE238" s="1"/>
      <c r="NKF238" s="1"/>
      <c r="NKG238" s="1"/>
      <c r="NKH238" s="1"/>
      <c r="NKI238" s="1"/>
      <c r="NKJ238" s="1"/>
      <c r="NKK238" s="1"/>
      <c r="NKL238" s="1"/>
      <c r="NKM238" s="1"/>
      <c r="NKN238" s="1"/>
      <c r="NKO238" s="1"/>
      <c r="NKP238" s="1"/>
      <c r="NKQ238" s="1"/>
      <c r="NKR238" s="1"/>
      <c r="NKS238" s="1"/>
      <c r="NKT238" s="1"/>
      <c r="NKU238" s="1"/>
      <c r="NKV238" s="1"/>
      <c r="NKW238" s="1"/>
      <c r="NKX238" s="1"/>
      <c r="NKY238" s="1"/>
      <c r="NKZ238" s="1"/>
      <c r="NLA238" s="1"/>
      <c r="NLB238" s="1"/>
      <c r="NLC238" s="1"/>
      <c r="NLD238" s="1"/>
      <c r="NLE238" s="1"/>
      <c r="NLF238" s="1"/>
      <c r="NLG238" s="1"/>
      <c r="NLH238" s="1"/>
      <c r="NLI238" s="1"/>
      <c r="NLJ238" s="1"/>
      <c r="NLK238" s="1"/>
      <c r="NLL238" s="1"/>
      <c r="NLM238" s="1"/>
      <c r="NLN238" s="1"/>
      <c r="NLO238" s="1"/>
      <c r="NLP238" s="1"/>
      <c r="NLQ238" s="1"/>
      <c r="NLR238" s="1"/>
      <c r="NLS238" s="1"/>
      <c r="NLT238" s="1"/>
      <c r="NLU238" s="1"/>
      <c r="NLV238" s="1"/>
      <c r="NLW238" s="1"/>
      <c r="NLX238" s="1"/>
      <c r="NLY238" s="1"/>
      <c r="NLZ238" s="1"/>
      <c r="NMA238" s="1"/>
      <c r="NMB238" s="1"/>
      <c r="NMC238" s="1"/>
      <c r="NMD238" s="1"/>
      <c r="NME238" s="1"/>
      <c r="NMF238" s="1"/>
      <c r="NMG238" s="1"/>
      <c r="NMH238" s="1"/>
      <c r="NMI238" s="1"/>
      <c r="NMJ238" s="1"/>
      <c r="NMK238" s="1"/>
      <c r="NML238" s="1"/>
      <c r="NMM238" s="1"/>
      <c r="NMN238" s="1"/>
      <c r="NMO238" s="1"/>
      <c r="NMP238" s="1"/>
      <c r="NMQ238" s="1"/>
      <c r="NMR238" s="1"/>
      <c r="NMS238" s="1"/>
      <c r="NMT238" s="1"/>
      <c r="NMU238" s="1"/>
      <c r="NMV238" s="1"/>
      <c r="NMW238" s="1"/>
      <c r="NMX238" s="1"/>
      <c r="NMY238" s="1"/>
      <c r="NMZ238" s="1"/>
      <c r="NNA238" s="1"/>
      <c r="NNB238" s="1"/>
      <c r="NNC238" s="1"/>
      <c r="NND238" s="1"/>
      <c r="NNE238" s="1"/>
      <c r="NNF238" s="1"/>
      <c r="NNG238" s="1"/>
      <c r="NNH238" s="1"/>
      <c r="NNI238" s="1"/>
      <c r="NNJ238" s="1"/>
      <c r="NNK238" s="1"/>
      <c r="NNL238" s="1"/>
      <c r="NNM238" s="1"/>
      <c r="NNN238" s="1"/>
      <c r="NNO238" s="1"/>
      <c r="NNP238" s="1"/>
      <c r="NNQ238" s="1"/>
      <c r="NNR238" s="1"/>
      <c r="NNS238" s="1"/>
      <c r="NNT238" s="1"/>
      <c r="NNU238" s="1"/>
      <c r="NNV238" s="1"/>
      <c r="NNW238" s="1"/>
      <c r="NNX238" s="1"/>
      <c r="NNY238" s="1"/>
      <c r="NNZ238" s="1"/>
      <c r="NOA238" s="1"/>
      <c r="NOB238" s="1"/>
      <c r="NOC238" s="1"/>
      <c r="NOD238" s="1"/>
      <c r="NOE238" s="1"/>
      <c r="NOF238" s="1"/>
      <c r="NOG238" s="1"/>
      <c r="NOH238" s="1"/>
      <c r="NOI238" s="1"/>
      <c r="NOJ238" s="1"/>
      <c r="NOK238" s="1"/>
      <c r="NOL238" s="1"/>
      <c r="NOM238" s="1"/>
      <c r="NON238" s="1"/>
      <c r="NOO238" s="1"/>
      <c r="NOP238" s="1"/>
      <c r="NOQ238" s="1"/>
      <c r="NOR238" s="1"/>
      <c r="NOS238" s="1"/>
      <c r="NOT238" s="1"/>
      <c r="NOU238" s="1"/>
      <c r="NOV238" s="1"/>
      <c r="NOW238" s="1"/>
      <c r="NOX238" s="1"/>
      <c r="NOY238" s="1"/>
      <c r="NOZ238" s="1"/>
      <c r="NPA238" s="1"/>
      <c r="NPB238" s="1"/>
      <c r="NPC238" s="1"/>
      <c r="NPD238" s="1"/>
      <c r="NPE238" s="1"/>
      <c r="NPF238" s="1"/>
      <c r="NPG238" s="1"/>
      <c r="NPH238" s="1"/>
      <c r="NPI238" s="1"/>
      <c r="NPJ238" s="1"/>
      <c r="NPK238" s="1"/>
      <c r="NPL238" s="1"/>
      <c r="NPM238" s="1"/>
      <c r="NPN238" s="1"/>
      <c r="NPO238" s="1"/>
      <c r="NPP238" s="1"/>
      <c r="NPQ238" s="1"/>
      <c r="NPR238" s="1"/>
      <c r="NPS238" s="1"/>
      <c r="NPT238" s="1"/>
      <c r="NPU238" s="1"/>
      <c r="NPV238" s="1"/>
      <c r="NPW238" s="1"/>
      <c r="NPX238" s="1"/>
      <c r="NPY238" s="1"/>
      <c r="NPZ238" s="1"/>
      <c r="NQA238" s="1"/>
      <c r="NQB238" s="1"/>
      <c r="NQC238" s="1"/>
      <c r="NQD238" s="1"/>
      <c r="NQE238" s="1"/>
      <c r="NQF238" s="1"/>
      <c r="NQG238" s="1"/>
      <c r="NQH238" s="1"/>
      <c r="NQI238" s="1"/>
      <c r="NQJ238" s="1"/>
      <c r="NQK238" s="1"/>
      <c r="NQL238" s="1"/>
      <c r="NQM238" s="1"/>
      <c r="NQN238" s="1"/>
      <c r="NQO238" s="1"/>
      <c r="NQP238" s="1"/>
      <c r="NQQ238" s="1"/>
      <c r="NQR238" s="1"/>
      <c r="NQS238" s="1"/>
      <c r="NQT238" s="1"/>
      <c r="NQU238" s="1"/>
      <c r="NQV238" s="1"/>
      <c r="NQW238" s="1"/>
      <c r="NQX238" s="1"/>
      <c r="NQY238" s="1"/>
      <c r="NQZ238" s="1"/>
      <c r="NRA238" s="1"/>
      <c r="NRB238" s="1"/>
      <c r="NRC238" s="1"/>
      <c r="NRD238" s="1"/>
      <c r="NRE238" s="1"/>
      <c r="NRF238" s="1"/>
      <c r="NRG238" s="1"/>
      <c r="NRH238" s="1"/>
      <c r="NRI238" s="1"/>
      <c r="NRJ238" s="1"/>
      <c r="NRK238" s="1"/>
      <c r="NRL238" s="1"/>
      <c r="NRM238" s="1"/>
      <c r="NRN238" s="1"/>
      <c r="NRO238" s="1"/>
      <c r="NRP238" s="1"/>
      <c r="NRQ238" s="1"/>
      <c r="NRR238" s="1"/>
      <c r="NRS238" s="1"/>
      <c r="NRT238" s="1"/>
      <c r="NRU238" s="1"/>
      <c r="NRV238" s="1"/>
      <c r="NRW238" s="1"/>
      <c r="NRX238" s="1"/>
      <c r="NRY238" s="1"/>
      <c r="NRZ238" s="1"/>
      <c r="NSA238" s="1"/>
      <c r="NSB238" s="1"/>
      <c r="NSC238" s="1"/>
      <c r="NSD238" s="1"/>
      <c r="NSE238" s="1"/>
      <c r="NSF238" s="1"/>
      <c r="NSG238" s="1"/>
      <c r="NSH238" s="1"/>
      <c r="NSI238" s="1"/>
      <c r="NSJ238" s="1"/>
      <c r="NSK238" s="1"/>
      <c r="NSL238" s="1"/>
      <c r="NSM238" s="1"/>
      <c r="NSN238" s="1"/>
      <c r="NSO238" s="1"/>
      <c r="NSP238" s="1"/>
      <c r="NSQ238" s="1"/>
      <c r="NSR238" s="1"/>
      <c r="NSS238" s="1"/>
      <c r="NST238" s="1"/>
      <c r="NSU238" s="1"/>
      <c r="NSV238" s="1"/>
      <c r="NSW238" s="1"/>
      <c r="NSX238" s="1"/>
      <c r="NSY238" s="1"/>
      <c r="NSZ238" s="1"/>
      <c r="NTA238" s="1"/>
      <c r="NTB238" s="1"/>
      <c r="NTC238" s="1"/>
      <c r="NTD238" s="1"/>
      <c r="NTE238" s="1"/>
      <c r="NTF238" s="1"/>
      <c r="NTG238" s="1"/>
      <c r="NTH238" s="1"/>
      <c r="NTI238" s="1"/>
      <c r="NTJ238" s="1"/>
      <c r="NTK238" s="1"/>
      <c r="NTL238" s="1"/>
      <c r="NTM238" s="1"/>
      <c r="NTN238" s="1"/>
      <c r="NTO238" s="1"/>
      <c r="NTP238" s="1"/>
      <c r="NTQ238" s="1"/>
      <c r="NTR238" s="1"/>
      <c r="NTS238" s="1"/>
      <c r="NTT238" s="1"/>
      <c r="NTU238" s="1"/>
      <c r="NTV238" s="1"/>
      <c r="NTW238" s="1"/>
      <c r="NTX238" s="1"/>
      <c r="NTY238" s="1"/>
      <c r="NTZ238" s="1"/>
      <c r="NUA238" s="1"/>
      <c r="NUB238" s="1"/>
      <c r="NUC238" s="1"/>
      <c r="NUD238" s="1"/>
      <c r="NUE238" s="1"/>
      <c r="NUF238" s="1"/>
      <c r="NUG238" s="1"/>
      <c r="NUH238" s="1"/>
      <c r="NUI238" s="1"/>
      <c r="NUJ238" s="1"/>
      <c r="NUK238" s="1"/>
      <c r="NUL238" s="1"/>
      <c r="NUM238" s="1"/>
      <c r="NUN238" s="1"/>
      <c r="NUO238" s="1"/>
      <c r="NUP238" s="1"/>
      <c r="NUQ238" s="1"/>
      <c r="NUR238" s="1"/>
      <c r="NUS238" s="1"/>
      <c r="NUT238" s="1"/>
      <c r="NUU238" s="1"/>
      <c r="NUV238" s="1"/>
      <c r="NUW238" s="1"/>
      <c r="NUX238" s="1"/>
      <c r="NUY238" s="1"/>
      <c r="NUZ238" s="1"/>
      <c r="NVA238" s="1"/>
      <c r="NVB238" s="1"/>
      <c r="NVC238" s="1"/>
      <c r="NVD238" s="1"/>
      <c r="NVE238" s="1"/>
      <c r="NVF238" s="1"/>
      <c r="NVG238" s="1"/>
      <c r="NVH238" s="1"/>
      <c r="NVI238" s="1"/>
      <c r="NVJ238" s="1"/>
      <c r="NVK238" s="1"/>
      <c r="NVL238" s="1"/>
      <c r="NVM238" s="1"/>
      <c r="NVN238" s="1"/>
      <c r="NVO238" s="1"/>
      <c r="NVP238" s="1"/>
      <c r="NVQ238" s="1"/>
      <c r="NVR238" s="1"/>
      <c r="NVS238" s="1"/>
      <c r="NVT238" s="1"/>
      <c r="NVU238" s="1"/>
      <c r="NVV238" s="1"/>
      <c r="NVW238" s="1"/>
      <c r="NVX238" s="1"/>
      <c r="NVY238" s="1"/>
      <c r="NVZ238" s="1"/>
      <c r="NWA238" s="1"/>
      <c r="NWB238" s="1"/>
      <c r="NWC238" s="1"/>
      <c r="NWD238" s="1"/>
      <c r="NWE238" s="1"/>
      <c r="NWF238" s="1"/>
      <c r="NWG238" s="1"/>
      <c r="NWH238" s="1"/>
      <c r="NWI238" s="1"/>
      <c r="NWJ238" s="1"/>
      <c r="NWK238" s="1"/>
      <c r="NWL238" s="1"/>
      <c r="NWM238" s="1"/>
      <c r="NWN238" s="1"/>
      <c r="NWO238" s="1"/>
      <c r="NWP238" s="1"/>
      <c r="NWQ238" s="1"/>
      <c r="NWR238" s="1"/>
      <c r="NWS238" s="1"/>
      <c r="NWT238" s="1"/>
      <c r="NWU238" s="1"/>
      <c r="NWV238" s="1"/>
      <c r="NWW238" s="1"/>
      <c r="NWX238" s="1"/>
      <c r="NWY238" s="1"/>
      <c r="NWZ238" s="1"/>
      <c r="NXA238" s="1"/>
      <c r="NXB238" s="1"/>
      <c r="NXC238" s="1"/>
      <c r="NXD238" s="1"/>
      <c r="NXE238" s="1"/>
      <c r="NXF238" s="1"/>
      <c r="NXG238" s="1"/>
      <c r="NXH238" s="1"/>
      <c r="NXI238" s="1"/>
      <c r="NXJ238" s="1"/>
      <c r="NXK238" s="1"/>
      <c r="NXL238" s="1"/>
      <c r="NXM238" s="1"/>
      <c r="NXN238" s="1"/>
      <c r="NXO238" s="1"/>
      <c r="NXP238" s="1"/>
      <c r="NXQ238" s="1"/>
      <c r="NXR238" s="1"/>
      <c r="NXS238" s="1"/>
      <c r="NXT238" s="1"/>
      <c r="NXU238" s="1"/>
      <c r="NXV238" s="1"/>
      <c r="NXW238" s="1"/>
      <c r="NXX238" s="1"/>
      <c r="NXY238" s="1"/>
      <c r="NXZ238" s="1"/>
      <c r="NYA238" s="1"/>
      <c r="NYB238" s="1"/>
      <c r="NYC238" s="1"/>
      <c r="NYD238" s="1"/>
      <c r="NYE238" s="1"/>
      <c r="NYF238" s="1"/>
      <c r="NYG238" s="1"/>
      <c r="NYH238" s="1"/>
      <c r="NYI238" s="1"/>
      <c r="NYJ238" s="1"/>
      <c r="NYK238" s="1"/>
      <c r="NYL238" s="1"/>
      <c r="NYM238" s="1"/>
      <c r="NYN238" s="1"/>
      <c r="NYO238" s="1"/>
      <c r="NYP238" s="1"/>
      <c r="NYQ238" s="1"/>
      <c r="NYR238" s="1"/>
      <c r="NYS238" s="1"/>
      <c r="NYT238" s="1"/>
      <c r="NYU238" s="1"/>
      <c r="NYV238" s="1"/>
      <c r="NYW238" s="1"/>
      <c r="NYX238" s="1"/>
      <c r="NYY238" s="1"/>
      <c r="NYZ238" s="1"/>
      <c r="NZA238" s="1"/>
      <c r="NZB238" s="1"/>
      <c r="NZC238" s="1"/>
      <c r="NZD238" s="1"/>
      <c r="NZE238" s="1"/>
      <c r="NZF238" s="1"/>
      <c r="NZG238" s="1"/>
      <c r="NZH238" s="1"/>
      <c r="NZI238" s="1"/>
      <c r="NZJ238" s="1"/>
      <c r="NZK238" s="1"/>
      <c r="NZL238" s="1"/>
      <c r="NZM238" s="1"/>
      <c r="NZN238" s="1"/>
      <c r="NZO238" s="1"/>
      <c r="NZP238" s="1"/>
      <c r="NZQ238" s="1"/>
      <c r="NZR238" s="1"/>
      <c r="NZS238" s="1"/>
      <c r="NZT238" s="1"/>
      <c r="NZU238" s="1"/>
      <c r="NZV238" s="1"/>
      <c r="NZW238" s="1"/>
      <c r="NZX238" s="1"/>
      <c r="NZY238" s="1"/>
      <c r="NZZ238" s="1"/>
      <c r="OAA238" s="1"/>
      <c r="OAB238" s="1"/>
      <c r="OAC238" s="1"/>
      <c r="OAD238" s="1"/>
      <c r="OAE238" s="1"/>
      <c r="OAF238" s="1"/>
      <c r="OAG238" s="1"/>
      <c r="OAH238" s="1"/>
      <c r="OAI238" s="1"/>
      <c r="OAJ238" s="1"/>
      <c r="OAK238" s="1"/>
      <c r="OAL238" s="1"/>
      <c r="OAM238" s="1"/>
      <c r="OAN238" s="1"/>
      <c r="OAO238" s="1"/>
      <c r="OAP238" s="1"/>
      <c r="OAQ238" s="1"/>
      <c r="OAR238" s="1"/>
      <c r="OAS238" s="1"/>
      <c r="OAT238" s="1"/>
      <c r="OAU238" s="1"/>
      <c r="OAV238" s="1"/>
      <c r="OAW238" s="1"/>
      <c r="OAX238" s="1"/>
      <c r="OAY238" s="1"/>
      <c r="OAZ238" s="1"/>
      <c r="OBA238" s="1"/>
      <c r="OBB238" s="1"/>
      <c r="OBC238" s="1"/>
      <c r="OBD238" s="1"/>
      <c r="OBE238" s="1"/>
      <c r="OBF238" s="1"/>
      <c r="OBG238" s="1"/>
      <c r="OBH238" s="1"/>
      <c r="OBI238" s="1"/>
      <c r="OBJ238" s="1"/>
      <c r="OBK238" s="1"/>
      <c r="OBL238" s="1"/>
      <c r="OBM238" s="1"/>
      <c r="OBN238" s="1"/>
      <c r="OBO238" s="1"/>
      <c r="OBP238" s="1"/>
      <c r="OBQ238" s="1"/>
      <c r="OBR238" s="1"/>
      <c r="OBS238" s="1"/>
      <c r="OBT238" s="1"/>
      <c r="OBU238" s="1"/>
      <c r="OBV238" s="1"/>
      <c r="OBW238" s="1"/>
      <c r="OBX238" s="1"/>
      <c r="OBY238" s="1"/>
      <c r="OBZ238" s="1"/>
      <c r="OCA238" s="1"/>
      <c r="OCB238" s="1"/>
      <c r="OCC238" s="1"/>
      <c r="OCD238" s="1"/>
      <c r="OCE238" s="1"/>
      <c r="OCF238" s="1"/>
      <c r="OCG238" s="1"/>
      <c r="OCH238" s="1"/>
      <c r="OCI238" s="1"/>
      <c r="OCJ238" s="1"/>
      <c r="OCK238" s="1"/>
      <c r="OCL238" s="1"/>
      <c r="OCM238" s="1"/>
      <c r="OCN238" s="1"/>
      <c r="OCO238" s="1"/>
      <c r="OCP238" s="1"/>
      <c r="OCQ238" s="1"/>
      <c r="OCR238" s="1"/>
      <c r="OCS238" s="1"/>
      <c r="OCT238" s="1"/>
      <c r="OCU238" s="1"/>
      <c r="OCV238" s="1"/>
      <c r="OCW238" s="1"/>
      <c r="OCX238" s="1"/>
      <c r="OCY238" s="1"/>
      <c r="OCZ238" s="1"/>
      <c r="ODA238" s="1"/>
      <c r="ODB238" s="1"/>
      <c r="ODC238" s="1"/>
      <c r="ODD238" s="1"/>
      <c r="ODE238" s="1"/>
      <c r="ODF238" s="1"/>
      <c r="ODG238" s="1"/>
      <c r="ODH238" s="1"/>
      <c r="ODI238" s="1"/>
      <c r="ODJ238" s="1"/>
      <c r="ODK238" s="1"/>
      <c r="ODL238" s="1"/>
      <c r="ODM238" s="1"/>
      <c r="ODN238" s="1"/>
      <c r="ODO238" s="1"/>
      <c r="ODP238" s="1"/>
      <c r="ODQ238" s="1"/>
      <c r="ODR238" s="1"/>
      <c r="ODS238" s="1"/>
      <c r="ODT238" s="1"/>
      <c r="ODU238" s="1"/>
      <c r="ODV238" s="1"/>
      <c r="ODW238" s="1"/>
      <c r="ODX238" s="1"/>
      <c r="ODY238" s="1"/>
      <c r="ODZ238" s="1"/>
      <c r="OEA238" s="1"/>
      <c r="OEB238" s="1"/>
      <c r="OEC238" s="1"/>
      <c r="OED238" s="1"/>
      <c r="OEE238" s="1"/>
      <c r="OEF238" s="1"/>
      <c r="OEG238" s="1"/>
      <c r="OEH238" s="1"/>
      <c r="OEI238" s="1"/>
      <c r="OEJ238" s="1"/>
      <c r="OEK238" s="1"/>
      <c r="OEL238" s="1"/>
      <c r="OEM238" s="1"/>
      <c r="OEN238" s="1"/>
      <c r="OEO238" s="1"/>
      <c r="OEP238" s="1"/>
      <c r="OEQ238" s="1"/>
      <c r="OER238" s="1"/>
      <c r="OES238" s="1"/>
      <c r="OET238" s="1"/>
      <c r="OEU238" s="1"/>
      <c r="OEV238" s="1"/>
      <c r="OEW238" s="1"/>
      <c r="OEX238" s="1"/>
      <c r="OEY238" s="1"/>
      <c r="OEZ238" s="1"/>
      <c r="OFA238" s="1"/>
      <c r="OFB238" s="1"/>
      <c r="OFC238" s="1"/>
      <c r="OFD238" s="1"/>
      <c r="OFE238" s="1"/>
      <c r="OFF238" s="1"/>
      <c r="OFG238" s="1"/>
      <c r="OFH238" s="1"/>
      <c r="OFI238" s="1"/>
      <c r="OFJ238" s="1"/>
      <c r="OFK238" s="1"/>
      <c r="OFL238" s="1"/>
      <c r="OFM238" s="1"/>
      <c r="OFN238" s="1"/>
      <c r="OFO238" s="1"/>
      <c r="OFP238" s="1"/>
      <c r="OFQ238" s="1"/>
      <c r="OFR238" s="1"/>
      <c r="OFS238" s="1"/>
      <c r="OFT238" s="1"/>
      <c r="OFU238" s="1"/>
      <c r="OFV238" s="1"/>
      <c r="OFW238" s="1"/>
      <c r="OFX238" s="1"/>
      <c r="OFY238" s="1"/>
      <c r="OFZ238" s="1"/>
      <c r="OGA238" s="1"/>
      <c r="OGB238" s="1"/>
      <c r="OGC238" s="1"/>
      <c r="OGD238" s="1"/>
      <c r="OGE238" s="1"/>
      <c r="OGF238" s="1"/>
      <c r="OGG238" s="1"/>
      <c r="OGH238" s="1"/>
      <c r="OGI238" s="1"/>
      <c r="OGJ238" s="1"/>
      <c r="OGK238" s="1"/>
      <c r="OGL238" s="1"/>
      <c r="OGM238" s="1"/>
      <c r="OGN238" s="1"/>
      <c r="OGO238" s="1"/>
      <c r="OGP238" s="1"/>
      <c r="OGQ238" s="1"/>
      <c r="OGR238" s="1"/>
      <c r="OGS238" s="1"/>
      <c r="OGT238" s="1"/>
      <c r="OGU238" s="1"/>
      <c r="OGV238" s="1"/>
      <c r="OGW238" s="1"/>
      <c r="OGX238" s="1"/>
      <c r="OGY238" s="1"/>
      <c r="OGZ238" s="1"/>
      <c r="OHA238" s="1"/>
      <c r="OHB238" s="1"/>
      <c r="OHC238" s="1"/>
      <c r="OHD238" s="1"/>
      <c r="OHE238" s="1"/>
      <c r="OHF238" s="1"/>
      <c r="OHG238" s="1"/>
      <c r="OHH238" s="1"/>
      <c r="OHI238" s="1"/>
      <c r="OHJ238" s="1"/>
      <c r="OHK238" s="1"/>
      <c r="OHL238" s="1"/>
      <c r="OHM238" s="1"/>
      <c r="OHN238" s="1"/>
      <c r="OHO238" s="1"/>
      <c r="OHP238" s="1"/>
      <c r="OHQ238" s="1"/>
      <c r="OHR238" s="1"/>
      <c r="OHS238" s="1"/>
      <c r="OHT238" s="1"/>
      <c r="OHU238" s="1"/>
      <c r="OHV238" s="1"/>
      <c r="OHW238" s="1"/>
      <c r="OHX238" s="1"/>
      <c r="OHY238" s="1"/>
      <c r="OHZ238" s="1"/>
      <c r="OIA238" s="1"/>
      <c r="OIB238" s="1"/>
      <c r="OIC238" s="1"/>
      <c r="OID238" s="1"/>
      <c r="OIE238" s="1"/>
      <c r="OIF238" s="1"/>
      <c r="OIG238" s="1"/>
      <c r="OIH238" s="1"/>
      <c r="OII238" s="1"/>
      <c r="OIJ238" s="1"/>
      <c r="OIK238" s="1"/>
      <c r="OIL238" s="1"/>
      <c r="OIM238" s="1"/>
      <c r="OIN238" s="1"/>
      <c r="OIO238" s="1"/>
      <c r="OIP238" s="1"/>
      <c r="OIQ238" s="1"/>
      <c r="OIR238" s="1"/>
      <c r="OIS238" s="1"/>
      <c r="OIT238" s="1"/>
      <c r="OIU238" s="1"/>
      <c r="OIV238" s="1"/>
      <c r="OIW238" s="1"/>
      <c r="OIX238" s="1"/>
      <c r="OIY238" s="1"/>
      <c r="OIZ238" s="1"/>
      <c r="OJA238" s="1"/>
      <c r="OJB238" s="1"/>
      <c r="OJC238" s="1"/>
      <c r="OJD238" s="1"/>
      <c r="OJE238" s="1"/>
      <c r="OJF238" s="1"/>
      <c r="OJG238" s="1"/>
      <c r="OJH238" s="1"/>
      <c r="OJI238" s="1"/>
      <c r="OJJ238" s="1"/>
      <c r="OJK238" s="1"/>
      <c r="OJL238" s="1"/>
      <c r="OJM238" s="1"/>
      <c r="OJN238" s="1"/>
      <c r="OJO238" s="1"/>
      <c r="OJP238" s="1"/>
      <c r="OJQ238" s="1"/>
      <c r="OJR238" s="1"/>
      <c r="OJS238" s="1"/>
      <c r="OJT238" s="1"/>
      <c r="OJU238" s="1"/>
      <c r="OJV238" s="1"/>
      <c r="OJW238" s="1"/>
      <c r="OJX238" s="1"/>
      <c r="OJY238" s="1"/>
      <c r="OJZ238" s="1"/>
      <c r="OKA238" s="1"/>
      <c r="OKB238" s="1"/>
      <c r="OKC238" s="1"/>
      <c r="OKD238" s="1"/>
      <c r="OKE238" s="1"/>
      <c r="OKF238" s="1"/>
      <c r="OKG238" s="1"/>
      <c r="OKH238" s="1"/>
      <c r="OKI238" s="1"/>
      <c r="OKJ238" s="1"/>
      <c r="OKK238" s="1"/>
      <c r="OKL238" s="1"/>
      <c r="OKM238" s="1"/>
      <c r="OKN238" s="1"/>
      <c r="OKO238" s="1"/>
      <c r="OKP238" s="1"/>
      <c r="OKQ238" s="1"/>
      <c r="OKR238" s="1"/>
      <c r="OKS238" s="1"/>
      <c r="OKT238" s="1"/>
      <c r="OKU238" s="1"/>
      <c r="OKV238" s="1"/>
      <c r="OKW238" s="1"/>
      <c r="OKX238" s="1"/>
      <c r="OKY238" s="1"/>
      <c r="OKZ238" s="1"/>
      <c r="OLA238" s="1"/>
      <c r="OLB238" s="1"/>
      <c r="OLC238" s="1"/>
      <c r="OLD238" s="1"/>
      <c r="OLE238" s="1"/>
      <c r="OLF238" s="1"/>
      <c r="OLG238" s="1"/>
      <c r="OLH238" s="1"/>
      <c r="OLI238" s="1"/>
      <c r="OLJ238" s="1"/>
      <c r="OLK238" s="1"/>
      <c r="OLL238" s="1"/>
      <c r="OLM238" s="1"/>
      <c r="OLN238" s="1"/>
      <c r="OLO238" s="1"/>
      <c r="OLP238" s="1"/>
      <c r="OLQ238" s="1"/>
      <c r="OLR238" s="1"/>
      <c r="OLS238" s="1"/>
      <c r="OLT238" s="1"/>
      <c r="OLU238" s="1"/>
      <c r="OLV238" s="1"/>
      <c r="OLW238" s="1"/>
      <c r="OLX238" s="1"/>
      <c r="OLY238" s="1"/>
      <c r="OLZ238" s="1"/>
      <c r="OMA238" s="1"/>
      <c r="OMB238" s="1"/>
      <c r="OMC238" s="1"/>
      <c r="OMD238" s="1"/>
      <c r="OME238" s="1"/>
      <c r="OMF238" s="1"/>
      <c r="OMG238" s="1"/>
      <c r="OMH238" s="1"/>
      <c r="OMI238" s="1"/>
      <c r="OMJ238" s="1"/>
      <c r="OMK238" s="1"/>
      <c r="OML238" s="1"/>
      <c r="OMM238" s="1"/>
      <c r="OMN238" s="1"/>
      <c r="OMO238" s="1"/>
      <c r="OMP238" s="1"/>
      <c r="OMQ238" s="1"/>
      <c r="OMR238" s="1"/>
      <c r="OMS238" s="1"/>
      <c r="OMT238" s="1"/>
      <c r="OMU238" s="1"/>
      <c r="OMV238" s="1"/>
      <c r="OMW238" s="1"/>
      <c r="OMX238" s="1"/>
      <c r="OMY238" s="1"/>
      <c r="OMZ238" s="1"/>
      <c r="ONA238" s="1"/>
      <c r="ONB238" s="1"/>
      <c r="ONC238" s="1"/>
      <c r="OND238" s="1"/>
      <c r="ONE238" s="1"/>
      <c r="ONF238" s="1"/>
      <c r="ONG238" s="1"/>
      <c r="ONH238" s="1"/>
      <c r="ONI238" s="1"/>
      <c r="ONJ238" s="1"/>
      <c r="ONK238" s="1"/>
      <c r="ONL238" s="1"/>
      <c r="ONM238" s="1"/>
      <c r="ONN238" s="1"/>
      <c r="ONO238" s="1"/>
      <c r="ONP238" s="1"/>
      <c r="ONQ238" s="1"/>
      <c r="ONR238" s="1"/>
      <c r="ONS238" s="1"/>
      <c r="ONT238" s="1"/>
      <c r="ONU238" s="1"/>
      <c r="ONV238" s="1"/>
      <c r="ONW238" s="1"/>
      <c r="ONX238" s="1"/>
      <c r="ONY238" s="1"/>
      <c r="ONZ238" s="1"/>
      <c r="OOA238" s="1"/>
      <c r="OOB238" s="1"/>
      <c r="OOC238" s="1"/>
      <c r="OOD238" s="1"/>
      <c r="OOE238" s="1"/>
      <c r="OOF238" s="1"/>
      <c r="OOG238" s="1"/>
      <c r="OOH238" s="1"/>
      <c r="OOI238" s="1"/>
      <c r="OOJ238" s="1"/>
      <c r="OOK238" s="1"/>
      <c r="OOL238" s="1"/>
      <c r="OOM238" s="1"/>
      <c r="OON238" s="1"/>
      <c r="OOO238" s="1"/>
      <c r="OOP238" s="1"/>
      <c r="OOQ238" s="1"/>
      <c r="OOR238" s="1"/>
      <c r="OOS238" s="1"/>
      <c r="OOT238" s="1"/>
      <c r="OOU238" s="1"/>
      <c r="OOV238" s="1"/>
      <c r="OOW238" s="1"/>
      <c r="OOX238" s="1"/>
      <c r="OOY238" s="1"/>
      <c r="OOZ238" s="1"/>
      <c r="OPA238" s="1"/>
      <c r="OPB238" s="1"/>
      <c r="OPC238" s="1"/>
      <c r="OPD238" s="1"/>
      <c r="OPE238" s="1"/>
      <c r="OPF238" s="1"/>
      <c r="OPG238" s="1"/>
      <c r="OPH238" s="1"/>
      <c r="OPI238" s="1"/>
      <c r="OPJ238" s="1"/>
      <c r="OPK238" s="1"/>
      <c r="OPL238" s="1"/>
      <c r="OPM238" s="1"/>
      <c r="OPN238" s="1"/>
      <c r="OPO238" s="1"/>
      <c r="OPP238" s="1"/>
      <c r="OPQ238" s="1"/>
      <c r="OPR238" s="1"/>
      <c r="OPS238" s="1"/>
      <c r="OPT238" s="1"/>
      <c r="OPU238" s="1"/>
      <c r="OPV238" s="1"/>
      <c r="OPW238" s="1"/>
      <c r="OPX238" s="1"/>
      <c r="OPY238" s="1"/>
      <c r="OPZ238" s="1"/>
      <c r="OQA238" s="1"/>
      <c r="OQB238" s="1"/>
      <c r="OQC238" s="1"/>
      <c r="OQD238" s="1"/>
      <c r="OQE238" s="1"/>
      <c r="OQF238" s="1"/>
      <c r="OQG238" s="1"/>
      <c r="OQH238" s="1"/>
      <c r="OQI238" s="1"/>
      <c r="OQJ238" s="1"/>
      <c r="OQK238" s="1"/>
      <c r="OQL238" s="1"/>
      <c r="OQM238" s="1"/>
      <c r="OQN238" s="1"/>
      <c r="OQO238" s="1"/>
      <c r="OQP238" s="1"/>
      <c r="OQQ238" s="1"/>
      <c r="OQR238" s="1"/>
      <c r="OQS238" s="1"/>
      <c r="OQT238" s="1"/>
      <c r="OQU238" s="1"/>
      <c r="OQV238" s="1"/>
      <c r="OQW238" s="1"/>
      <c r="OQX238" s="1"/>
      <c r="OQY238" s="1"/>
      <c r="OQZ238" s="1"/>
      <c r="ORA238" s="1"/>
      <c r="ORB238" s="1"/>
      <c r="ORC238" s="1"/>
      <c r="ORD238" s="1"/>
      <c r="ORE238" s="1"/>
      <c r="ORF238" s="1"/>
      <c r="ORG238" s="1"/>
      <c r="ORH238" s="1"/>
      <c r="ORI238" s="1"/>
      <c r="ORJ238" s="1"/>
      <c r="ORK238" s="1"/>
      <c r="ORL238" s="1"/>
      <c r="ORM238" s="1"/>
      <c r="ORN238" s="1"/>
      <c r="ORO238" s="1"/>
      <c r="ORP238" s="1"/>
      <c r="ORQ238" s="1"/>
      <c r="ORR238" s="1"/>
      <c r="ORS238" s="1"/>
      <c r="ORT238" s="1"/>
      <c r="ORU238" s="1"/>
      <c r="ORV238" s="1"/>
      <c r="ORW238" s="1"/>
      <c r="ORX238" s="1"/>
      <c r="ORY238" s="1"/>
      <c r="ORZ238" s="1"/>
      <c r="OSA238" s="1"/>
      <c r="OSB238" s="1"/>
      <c r="OSC238" s="1"/>
      <c r="OSD238" s="1"/>
      <c r="OSE238" s="1"/>
      <c r="OSF238" s="1"/>
      <c r="OSG238" s="1"/>
      <c r="OSH238" s="1"/>
      <c r="OSI238" s="1"/>
      <c r="OSJ238" s="1"/>
      <c r="OSK238" s="1"/>
      <c r="OSL238" s="1"/>
      <c r="OSM238" s="1"/>
      <c r="OSN238" s="1"/>
      <c r="OSO238" s="1"/>
      <c r="OSP238" s="1"/>
      <c r="OSQ238" s="1"/>
      <c r="OSR238" s="1"/>
      <c r="OSS238" s="1"/>
      <c r="OST238" s="1"/>
      <c r="OSU238" s="1"/>
      <c r="OSV238" s="1"/>
      <c r="OSW238" s="1"/>
      <c r="OSX238" s="1"/>
      <c r="OSY238" s="1"/>
      <c r="OSZ238" s="1"/>
      <c r="OTA238" s="1"/>
      <c r="OTB238" s="1"/>
      <c r="OTC238" s="1"/>
      <c r="OTD238" s="1"/>
      <c r="OTE238" s="1"/>
      <c r="OTF238" s="1"/>
      <c r="OTG238" s="1"/>
      <c r="OTH238" s="1"/>
      <c r="OTI238" s="1"/>
      <c r="OTJ238" s="1"/>
      <c r="OTK238" s="1"/>
      <c r="OTL238" s="1"/>
      <c r="OTM238" s="1"/>
      <c r="OTN238" s="1"/>
      <c r="OTO238" s="1"/>
      <c r="OTP238" s="1"/>
      <c r="OTQ238" s="1"/>
      <c r="OTR238" s="1"/>
      <c r="OTS238" s="1"/>
      <c r="OTT238" s="1"/>
      <c r="OTU238" s="1"/>
      <c r="OTV238" s="1"/>
      <c r="OTW238" s="1"/>
      <c r="OTX238" s="1"/>
      <c r="OTY238" s="1"/>
      <c r="OTZ238" s="1"/>
      <c r="OUA238" s="1"/>
      <c r="OUB238" s="1"/>
      <c r="OUC238" s="1"/>
      <c r="OUD238" s="1"/>
      <c r="OUE238" s="1"/>
      <c r="OUF238" s="1"/>
      <c r="OUG238" s="1"/>
      <c r="OUH238" s="1"/>
      <c r="OUI238" s="1"/>
      <c r="OUJ238" s="1"/>
      <c r="OUK238" s="1"/>
      <c r="OUL238" s="1"/>
      <c r="OUM238" s="1"/>
      <c r="OUN238" s="1"/>
      <c r="OUO238" s="1"/>
      <c r="OUP238" s="1"/>
      <c r="OUQ238" s="1"/>
      <c r="OUR238" s="1"/>
      <c r="OUS238" s="1"/>
      <c r="OUT238" s="1"/>
      <c r="OUU238" s="1"/>
      <c r="OUV238" s="1"/>
      <c r="OUW238" s="1"/>
      <c r="OUX238" s="1"/>
      <c r="OUY238" s="1"/>
      <c r="OUZ238" s="1"/>
      <c r="OVA238" s="1"/>
      <c r="OVB238" s="1"/>
      <c r="OVC238" s="1"/>
      <c r="OVD238" s="1"/>
      <c r="OVE238" s="1"/>
      <c r="OVF238" s="1"/>
      <c r="OVG238" s="1"/>
      <c r="OVH238" s="1"/>
      <c r="OVI238" s="1"/>
      <c r="OVJ238" s="1"/>
      <c r="OVK238" s="1"/>
      <c r="OVL238" s="1"/>
      <c r="OVM238" s="1"/>
      <c r="OVN238" s="1"/>
      <c r="OVO238" s="1"/>
      <c r="OVP238" s="1"/>
      <c r="OVQ238" s="1"/>
      <c r="OVR238" s="1"/>
      <c r="OVS238" s="1"/>
      <c r="OVT238" s="1"/>
      <c r="OVU238" s="1"/>
      <c r="OVV238" s="1"/>
      <c r="OVW238" s="1"/>
      <c r="OVX238" s="1"/>
      <c r="OVY238" s="1"/>
      <c r="OVZ238" s="1"/>
      <c r="OWA238" s="1"/>
      <c r="OWB238" s="1"/>
      <c r="OWC238" s="1"/>
      <c r="OWD238" s="1"/>
      <c r="OWE238" s="1"/>
      <c r="OWF238" s="1"/>
      <c r="OWG238" s="1"/>
      <c r="OWH238" s="1"/>
      <c r="OWI238" s="1"/>
      <c r="OWJ238" s="1"/>
      <c r="OWK238" s="1"/>
      <c r="OWL238" s="1"/>
      <c r="OWM238" s="1"/>
      <c r="OWN238" s="1"/>
      <c r="OWO238" s="1"/>
      <c r="OWP238" s="1"/>
      <c r="OWQ238" s="1"/>
      <c r="OWR238" s="1"/>
      <c r="OWS238" s="1"/>
      <c r="OWT238" s="1"/>
      <c r="OWU238" s="1"/>
      <c r="OWV238" s="1"/>
      <c r="OWW238" s="1"/>
      <c r="OWX238" s="1"/>
      <c r="OWY238" s="1"/>
      <c r="OWZ238" s="1"/>
      <c r="OXA238" s="1"/>
      <c r="OXB238" s="1"/>
      <c r="OXC238" s="1"/>
      <c r="OXD238" s="1"/>
      <c r="OXE238" s="1"/>
      <c r="OXF238" s="1"/>
      <c r="OXG238" s="1"/>
      <c r="OXH238" s="1"/>
      <c r="OXI238" s="1"/>
      <c r="OXJ238" s="1"/>
      <c r="OXK238" s="1"/>
      <c r="OXL238" s="1"/>
      <c r="OXM238" s="1"/>
      <c r="OXN238" s="1"/>
      <c r="OXO238" s="1"/>
      <c r="OXP238" s="1"/>
      <c r="OXQ238" s="1"/>
      <c r="OXR238" s="1"/>
      <c r="OXS238" s="1"/>
      <c r="OXT238" s="1"/>
      <c r="OXU238" s="1"/>
      <c r="OXV238" s="1"/>
      <c r="OXW238" s="1"/>
      <c r="OXX238" s="1"/>
      <c r="OXY238" s="1"/>
      <c r="OXZ238" s="1"/>
      <c r="OYA238" s="1"/>
      <c r="OYB238" s="1"/>
      <c r="OYC238" s="1"/>
      <c r="OYD238" s="1"/>
      <c r="OYE238" s="1"/>
      <c r="OYF238" s="1"/>
      <c r="OYG238" s="1"/>
      <c r="OYH238" s="1"/>
      <c r="OYI238" s="1"/>
      <c r="OYJ238" s="1"/>
      <c r="OYK238" s="1"/>
      <c r="OYL238" s="1"/>
      <c r="OYM238" s="1"/>
      <c r="OYN238" s="1"/>
      <c r="OYO238" s="1"/>
      <c r="OYP238" s="1"/>
      <c r="OYQ238" s="1"/>
      <c r="OYR238" s="1"/>
      <c r="OYS238" s="1"/>
      <c r="OYT238" s="1"/>
      <c r="OYU238" s="1"/>
      <c r="OYV238" s="1"/>
      <c r="OYW238" s="1"/>
      <c r="OYX238" s="1"/>
      <c r="OYY238" s="1"/>
      <c r="OYZ238" s="1"/>
      <c r="OZA238" s="1"/>
      <c r="OZB238" s="1"/>
      <c r="OZC238" s="1"/>
      <c r="OZD238" s="1"/>
      <c r="OZE238" s="1"/>
      <c r="OZF238" s="1"/>
      <c r="OZG238" s="1"/>
      <c r="OZH238" s="1"/>
      <c r="OZI238" s="1"/>
      <c r="OZJ238" s="1"/>
      <c r="OZK238" s="1"/>
      <c r="OZL238" s="1"/>
      <c r="OZM238" s="1"/>
      <c r="OZN238" s="1"/>
      <c r="OZO238" s="1"/>
      <c r="OZP238" s="1"/>
      <c r="OZQ238" s="1"/>
      <c r="OZR238" s="1"/>
      <c r="OZS238" s="1"/>
      <c r="OZT238" s="1"/>
      <c r="OZU238" s="1"/>
      <c r="OZV238" s="1"/>
      <c r="OZW238" s="1"/>
      <c r="OZX238" s="1"/>
      <c r="OZY238" s="1"/>
      <c r="OZZ238" s="1"/>
      <c r="PAA238" s="1"/>
      <c r="PAB238" s="1"/>
      <c r="PAC238" s="1"/>
      <c r="PAD238" s="1"/>
      <c r="PAE238" s="1"/>
      <c r="PAF238" s="1"/>
      <c r="PAG238" s="1"/>
      <c r="PAH238" s="1"/>
      <c r="PAI238" s="1"/>
      <c r="PAJ238" s="1"/>
      <c r="PAK238" s="1"/>
      <c r="PAL238" s="1"/>
      <c r="PAM238" s="1"/>
      <c r="PAN238" s="1"/>
      <c r="PAO238" s="1"/>
      <c r="PAP238" s="1"/>
      <c r="PAQ238" s="1"/>
      <c r="PAR238" s="1"/>
      <c r="PAS238" s="1"/>
      <c r="PAT238" s="1"/>
      <c r="PAU238" s="1"/>
      <c r="PAV238" s="1"/>
      <c r="PAW238" s="1"/>
      <c r="PAX238" s="1"/>
      <c r="PAY238" s="1"/>
      <c r="PAZ238" s="1"/>
      <c r="PBA238" s="1"/>
      <c r="PBB238" s="1"/>
      <c r="PBC238" s="1"/>
      <c r="PBD238" s="1"/>
      <c r="PBE238" s="1"/>
      <c r="PBF238" s="1"/>
      <c r="PBG238" s="1"/>
      <c r="PBH238" s="1"/>
      <c r="PBI238" s="1"/>
      <c r="PBJ238" s="1"/>
      <c r="PBK238" s="1"/>
      <c r="PBL238" s="1"/>
      <c r="PBM238" s="1"/>
      <c r="PBN238" s="1"/>
      <c r="PBO238" s="1"/>
      <c r="PBP238" s="1"/>
      <c r="PBQ238" s="1"/>
      <c r="PBR238" s="1"/>
      <c r="PBS238" s="1"/>
      <c r="PBT238" s="1"/>
      <c r="PBU238" s="1"/>
      <c r="PBV238" s="1"/>
      <c r="PBW238" s="1"/>
      <c r="PBX238" s="1"/>
      <c r="PBY238" s="1"/>
      <c r="PBZ238" s="1"/>
      <c r="PCA238" s="1"/>
      <c r="PCB238" s="1"/>
      <c r="PCC238" s="1"/>
      <c r="PCD238" s="1"/>
      <c r="PCE238" s="1"/>
      <c r="PCF238" s="1"/>
      <c r="PCG238" s="1"/>
      <c r="PCH238" s="1"/>
      <c r="PCI238" s="1"/>
      <c r="PCJ238" s="1"/>
      <c r="PCK238" s="1"/>
      <c r="PCL238" s="1"/>
      <c r="PCM238" s="1"/>
      <c r="PCN238" s="1"/>
      <c r="PCO238" s="1"/>
      <c r="PCP238" s="1"/>
      <c r="PCQ238" s="1"/>
      <c r="PCR238" s="1"/>
      <c r="PCS238" s="1"/>
      <c r="PCT238" s="1"/>
      <c r="PCU238" s="1"/>
      <c r="PCV238" s="1"/>
      <c r="PCW238" s="1"/>
      <c r="PCX238" s="1"/>
      <c r="PCY238" s="1"/>
      <c r="PCZ238" s="1"/>
      <c r="PDA238" s="1"/>
      <c r="PDB238" s="1"/>
      <c r="PDC238" s="1"/>
      <c r="PDD238" s="1"/>
      <c r="PDE238" s="1"/>
      <c r="PDF238" s="1"/>
      <c r="PDG238" s="1"/>
      <c r="PDH238" s="1"/>
      <c r="PDI238" s="1"/>
      <c r="PDJ238" s="1"/>
      <c r="PDK238" s="1"/>
      <c r="PDL238" s="1"/>
      <c r="PDM238" s="1"/>
      <c r="PDN238" s="1"/>
      <c r="PDO238" s="1"/>
      <c r="PDP238" s="1"/>
      <c r="PDQ238" s="1"/>
      <c r="PDR238" s="1"/>
      <c r="PDS238" s="1"/>
      <c r="PDT238" s="1"/>
      <c r="PDU238" s="1"/>
      <c r="PDV238" s="1"/>
      <c r="PDW238" s="1"/>
      <c r="PDX238" s="1"/>
      <c r="PDY238" s="1"/>
      <c r="PDZ238" s="1"/>
      <c r="PEA238" s="1"/>
      <c r="PEB238" s="1"/>
      <c r="PEC238" s="1"/>
      <c r="PED238" s="1"/>
      <c r="PEE238" s="1"/>
      <c r="PEF238" s="1"/>
      <c r="PEG238" s="1"/>
      <c r="PEH238" s="1"/>
      <c r="PEI238" s="1"/>
      <c r="PEJ238" s="1"/>
      <c r="PEK238" s="1"/>
      <c r="PEL238" s="1"/>
      <c r="PEM238" s="1"/>
      <c r="PEN238" s="1"/>
      <c r="PEO238" s="1"/>
      <c r="PEP238" s="1"/>
      <c r="PEQ238" s="1"/>
      <c r="PER238" s="1"/>
      <c r="PES238" s="1"/>
      <c r="PET238" s="1"/>
      <c r="PEU238" s="1"/>
      <c r="PEV238" s="1"/>
      <c r="PEW238" s="1"/>
      <c r="PEX238" s="1"/>
      <c r="PEY238" s="1"/>
      <c r="PEZ238" s="1"/>
      <c r="PFA238" s="1"/>
      <c r="PFB238" s="1"/>
      <c r="PFC238" s="1"/>
      <c r="PFD238" s="1"/>
      <c r="PFE238" s="1"/>
      <c r="PFF238" s="1"/>
      <c r="PFG238" s="1"/>
      <c r="PFH238" s="1"/>
      <c r="PFI238" s="1"/>
      <c r="PFJ238" s="1"/>
      <c r="PFK238" s="1"/>
      <c r="PFL238" s="1"/>
      <c r="PFM238" s="1"/>
      <c r="PFN238" s="1"/>
      <c r="PFO238" s="1"/>
      <c r="PFP238" s="1"/>
      <c r="PFQ238" s="1"/>
      <c r="PFR238" s="1"/>
      <c r="PFS238" s="1"/>
      <c r="PFT238" s="1"/>
      <c r="PFU238" s="1"/>
      <c r="PFV238" s="1"/>
      <c r="PFW238" s="1"/>
      <c r="PFX238" s="1"/>
      <c r="PFY238" s="1"/>
      <c r="PFZ238" s="1"/>
      <c r="PGA238" s="1"/>
      <c r="PGB238" s="1"/>
      <c r="PGC238" s="1"/>
      <c r="PGD238" s="1"/>
      <c r="PGE238" s="1"/>
      <c r="PGF238" s="1"/>
      <c r="PGG238" s="1"/>
      <c r="PGH238" s="1"/>
      <c r="PGI238" s="1"/>
      <c r="PGJ238" s="1"/>
      <c r="PGK238" s="1"/>
      <c r="PGL238" s="1"/>
      <c r="PGM238" s="1"/>
      <c r="PGN238" s="1"/>
      <c r="PGO238" s="1"/>
      <c r="PGP238" s="1"/>
      <c r="PGQ238" s="1"/>
      <c r="PGR238" s="1"/>
      <c r="PGS238" s="1"/>
      <c r="PGT238" s="1"/>
      <c r="PGU238" s="1"/>
      <c r="PGV238" s="1"/>
      <c r="PGW238" s="1"/>
      <c r="PGX238" s="1"/>
      <c r="PGY238" s="1"/>
      <c r="PGZ238" s="1"/>
      <c r="PHA238" s="1"/>
      <c r="PHB238" s="1"/>
      <c r="PHC238" s="1"/>
      <c r="PHD238" s="1"/>
      <c r="PHE238" s="1"/>
      <c r="PHF238" s="1"/>
      <c r="PHG238" s="1"/>
      <c r="PHH238" s="1"/>
      <c r="PHI238" s="1"/>
      <c r="PHJ238" s="1"/>
      <c r="PHK238" s="1"/>
      <c r="PHL238" s="1"/>
      <c r="PHM238" s="1"/>
      <c r="PHN238" s="1"/>
      <c r="PHO238" s="1"/>
      <c r="PHP238" s="1"/>
      <c r="PHQ238" s="1"/>
      <c r="PHR238" s="1"/>
      <c r="PHS238" s="1"/>
      <c r="PHT238" s="1"/>
      <c r="PHU238" s="1"/>
      <c r="PHV238" s="1"/>
      <c r="PHW238" s="1"/>
      <c r="PHX238" s="1"/>
      <c r="PHY238" s="1"/>
      <c r="PHZ238" s="1"/>
      <c r="PIA238" s="1"/>
      <c r="PIB238" s="1"/>
      <c r="PIC238" s="1"/>
      <c r="PID238" s="1"/>
      <c r="PIE238" s="1"/>
      <c r="PIF238" s="1"/>
      <c r="PIG238" s="1"/>
      <c r="PIH238" s="1"/>
      <c r="PII238" s="1"/>
      <c r="PIJ238" s="1"/>
      <c r="PIK238" s="1"/>
      <c r="PIL238" s="1"/>
      <c r="PIM238" s="1"/>
      <c r="PIN238" s="1"/>
      <c r="PIO238" s="1"/>
      <c r="PIP238" s="1"/>
      <c r="PIQ238" s="1"/>
      <c r="PIR238" s="1"/>
      <c r="PIS238" s="1"/>
      <c r="PIT238" s="1"/>
      <c r="PIU238" s="1"/>
      <c r="PIV238" s="1"/>
      <c r="PIW238" s="1"/>
      <c r="PIX238" s="1"/>
      <c r="PIY238" s="1"/>
      <c r="PIZ238" s="1"/>
      <c r="PJA238" s="1"/>
      <c r="PJB238" s="1"/>
      <c r="PJC238" s="1"/>
      <c r="PJD238" s="1"/>
      <c r="PJE238" s="1"/>
      <c r="PJF238" s="1"/>
      <c r="PJG238" s="1"/>
      <c r="PJH238" s="1"/>
      <c r="PJI238" s="1"/>
      <c r="PJJ238" s="1"/>
      <c r="PJK238" s="1"/>
      <c r="PJL238" s="1"/>
      <c r="PJM238" s="1"/>
      <c r="PJN238" s="1"/>
      <c r="PJO238" s="1"/>
      <c r="PJP238" s="1"/>
      <c r="PJQ238" s="1"/>
      <c r="PJR238" s="1"/>
      <c r="PJS238" s="1"/>
      <c r="PJT238" s="1"/>
      <c r="PJU238" s="1"/>
      <c r="PJV238" s="1"/>
      <c r="PJW238" s="1"/>
      <c r="PJX238" s="1"/>
      <c r="PJY238" s="1"/>
      <c r="PJZ238" s="1"/>
      <c r="PKA238" s="1"/>
      <c r="PKB238" s="1"/>
      <c r="PKC238" s="1"/>
      <c r="PKD238" s="1"/>
      <c r="PKE238" s="1"/>
      <c r="PKF238" s="1"/>
      <c r="PKG238" s="1"/>
      <c r="PKH238" s="1"/>
      <c r="PKI238" s="1"/>
      <c r="PKJ238" s="1"/>
      <c r="PKK238" s="1"/>
      <c r="PKL238" s="1"/>
      <c r="PKM238" s="1"/>
      <c r="PKN238" s="1"/>
      <c r="PKO238" s="1"/>
      <c r="PKP238" s="1"/>
      <c r="PKQ238" s="1"/>
      <c r="PKR238" s="1"/>
      <c r="PKS238" s="1"/>
      <c r="PKT238" s="1"/>
      <c r="PKU238" s="1"/>
      <c r="PKV238" s="1"/>
      <c r="PKW238" s="1"/>
      <c r="PKX238" s="1"/>
      <c r="PKY238" s="1"/>
      <c r="PKZ238" s="1"/>
      <c r="PLA238" s="1"/>
      <c r="PLB238" s="1"/>
      <c r="PLC238" s="1"/>
      <c r="PLD238" s="1"/>
      <c r="PLE238" s="1"/>
      <c r="PLF238" s="1"/>
      <c r="PLG238" s="1"/>
      <c r="PLH238" s="1"/>
      <c r="PLI238" s="1"/>
      <c r="PLJ238" s="1"/>
      <c r="PLK238" s="1"/>
      <c r="PLL238" s="1"/>
      <c r="PLM238" s="1"/>
      <c r="PLN238" s="1"/>
      <c r="PLO238" s="1"/>
      <c r="PLP238" s="1"/>
      <c r="PLQ238" s="1"/>
      <c r="PLR238" s="1"/>
      <c r="PLS238" s="1"/>
      <c r="PLT238" s="1"/>
      <c r="PLU238" s="1"/>
      <c r="PLV238" s="1"/>
      <c r="PLW238" s="1"/>
      <c r="PLX238" s="1"/>
      <c r="PLY238" s="1"/>
      <c r="PLZ238" s="1"/>
      <c r="PMA238" s="1"/>
      <c r="PMB238" s="1"/>
      <c r="PMC238" s="1"/>
      <c r="PMD238" s="1"/>
      <c r="PME238" s="1"/>
      <c r="PMF238" s="1"/>
      <c r="PMG238" s="1"/>
      <c r="PMH238" s="1"/>
      <c r="PMI238" s="1"/>
      <c r="PMJ238" s="1"/>
      <c r="PMK238" s="1"/>
      <c r="PML238" s="1"/>
      <c r="PMM238" s="1"/>
      <c r="PMN238" s="1"/>
      <c r="PMO238" s="1"/>
      <c r="PMP238" s="1"/>
      <c r="PMQ238" s="1"/>
      <c r="PMR238" s="1"/>
      <c r="PMS238" s="1"/>
      <c r="PMT238" s="1"/>
      <c r="PMU238" s="1"/>
      <c r="PMV238" s="1"/>
      <c r="PMW238" s="1"/>
      <c r="PMX238" s="1"/>
      <c r="PMY238" s="1"/>
      <c r="PMZ238" s="1"/>
      <c r="PNA238" s="1"/>
      <c r="PNB238" s="1"/>
      <c r="PNC238" s="1"/>
      <c r="PND238" s="1"/>
      <c r="PNE238" s="1"/>
      <c r="PNF238" s="1"/>
      <c r="PNG238" s="1"/>
      <c r="PNH238" s="1"/>
      <c r="PNI238" s="1"/>
      <c r="PNJ238" s="1"/>
      <c r="PNK238" s="1"/>
      <c r="PNL238" s="1"/>
      <c r="PNM238" s="1"/>
      <c r="PNN238" s="1"/>
      <c r="PNO238" s="1"/>
      <c r="PNP238" s="1"/>
      <c r="PNQ238" s="1"/>
      <c r="PNR238" s="1"/>
      <c r="PNS238" s="1"/>
      <c r="PNT238" s="1"/>
      <c r="PNU238" s="1"/>
      <c r="PNV238" s="1"/>
      <c r="PNW238" s="1"/>
      <c r="PNX238" s="1"/>
      <c r="PNY238" s="1"/>
      <c r="PNZ238" s="1"/>
      <c r="POA238" s="1"/>
      <c r="POB238" s="1"/>
      <c r="POC238" s="1"/>
      <c r="POD238" s="1"/>
      <c r="POE238" s="1"/>
      <c r="POF238" s="1"/>
      <c r="POG238" s="1"/>
      <c r="POH238" s="1"/>
      <c r="POI238" s="1"/>
      <c r="POJ238" s="1"/>
      <c r="POK238" s="1"/>
      <c r="POL238" s="1"/>
      <c r="POM238" s="1"/>
      <c r="PON238" s="1"/>
      <c r="POO238" s="1"/>
      <c r="POP238" s="1"/>
      <c r="POQ238" s="1"/>
      <c r="POR238" s="1"/>
      <c r="POS238" s="1"/>
      <c r="POT238" s="1"/>
      <c r="POU238" s="1"/>
      <c r="POV238" s="1"/>
      <c r="POW238" s="1"/>
      <c r="POX238" s="1"/>
      <c r="POY238" s="1"/>
      <c r="POZ238" s="1"/>
      <c r="PPA238" s="1"/>
      <c r="PPB238" s="1"/>
      <c r="PPC238" s="1"/>
      <c r="PPD238" s="1"/>
      <c r="PPE238" s="1"/>
      <c r="PPF238" s="1"/>
      <c r="PPG238" s="1"/>
      <c r="PPH238" s="1"/>
      <c r="PPI238" s="1"/>
      <c r="PPJ238" s="1"/>
      <c r="PPK238" s="1"/>
      <c r="PPL238" s="1"/>
      <c r="PPM238" s="1"/>
      <c r="PPN238" s="1"/>
      <c r="PPO238" s="1"/>
      <c r="PPP238" s="1"/>
      <c r="PPQ238" s="1"/>
      <c r="PPR238" s="1"/>
      <c r="PPS238" s="1"/>
      <c r="PPT238" s="1"/>
      <c r="PPU238" s="1"/>
      <c r="PPV238" s="1"/>
      <c r="PPW238" s="1"/>
      <c r="PPX238" s="1"/>
      <c r="PPY238" s="1"/>
      <c r="PPZ238" s="1"/>
      <c r="PQA238" s="1"/>
      <c r="PQB238" s="1"/>
      <c r="PQC238" s="1"/>
      <c r="PQD238" s="1"/>
      <c r="PQE238" s="1"/>
      <c r="PQF238" s="1"/>
      <c r="PQG238" s="1"/>
      <c r="PQH238" s="1"/>
      <c r="PQI238" s="1"/>
      <c r="PQJ238" s="1"/>
      <c r="PQK238" s="1"/>
      <c r="PQL238" s="1"/>
      <c r="PQM238" s="1"/>
      <c r="PQN238" s="1"/>
      <c r="PQO238" s="1"/>
      <c r="PQP238" s="1"/>
      <c r="PQQ238" s="1"/>
      <c r="PQR238" s="1"/>
      <c r="PQS238" s="1"/>
      <c r="PQT238" s="1"/>
      <c r="PQU238" s="1"/>
      <c r="PQV238" s="1"/>
      <c r="PQW238" s="1"/>
      <c r="PQX238" s="1"/>
      <c r="PQY238" s="1"/>
      <c r="PQZ238" s="1"/>
      <c r="PRA238" s="1"/>
      <c r="PRB238" s="1"/>
      <c r="PRC238" s="1"/>
      <c r="PRD238" s="1"/>
      <c r="PRE238" s="1"/>
      <c r="PRF238" s="1"/>
      <c r="PRG238" s="1"/>
      <c r="PRH238" s="1"/>
      <c r="PRI238" s="1"/>
      <c r="PRJ238" s="1"/>
      <c r="PRK238" s="1"/>
      <c r="PRL238" s="1"/>
      <c r="PRM238" s="1"/>
      <c r="PRN238" s="1"/>
      <c r="PRO238" s="1"/>
      <c r="PRP238" s="1"/>
      <c r="PRQ238" s="1"/>
      <c r="PRR238" s="1"/>
      <c r="PRS238" s="1"/>
      <c r="PRT238" s="1"/>
      <c r="PRU238" s="1"/>
      <c r="PRV238" s="1"/>
      <c r="PRW238" s="1"/>
      <c r="PRX238" s="1"/>
      <c r="PRY238" s="1"/>
      <c r="PRZ238" s="1"/>
      <c r="PSA238" s="1"/>
      <c r="PSB238" s="1"/>
      <c r="PSC238" s="1"/>
      <c r="PSD238" s="1"/>
      <c r="PSE238" s="1"/>
      <c r="PSF238" s="1"/>
      <c r="PSG238" s="1"/>
      <c r="PSH238" s="1"/>
      <c r="PSI238" s="1"/>
      <c r="PSJ238" s="1"/>
      <c r="PSK238" s="1"/>
      <c r="PSL238" s="1"/>
      <c r="PSM238" s="1"/>
      <c r="PSN238" s="1"/>
      <c r="PSO238" s="1"/>
      <c r="PSP238" s="1"/>
      <c r="PSQ238" s="1"/>
      <c r="PSR238" s="1"/>
      <c r="PSS238" s="1"/>
      <c r="PST238" s="1"/>
      <c r="PSU238" s="1"/>
      <c r="PSV238" s="1"/>
      <c r="PSW238" s="1"/>
      <c r="PSX238" s="1"/>
      <c r="PSY238" s="1"/>
      <c r="PSZ238" s="1"/>
      <c r="PTA238" s="1"/>
      <c r="PTB238" s="1"/>
      <c r="PTC238" s="1"/>
      <c r="PTD238" s="1"/>
      <c r="PTE238" s="1"/>
      <c r="PTF238" s="1"/>
      <c r="PTG238" s="1"/>
      <c r="PTH238" s="1"/>
      <c r="PTI238" s="1"/>
      <c r="PTJ238" s="1"/>
      <c r="PTK238" s="1"/>
      <c r="PTL238" s="1"/>
      <c r="PTM238" s="1"/>
      <c r="PTN238" s="1"/>
      <c r="PTO238" s="1"/>
      <c r="PTP238" s="1"/>
      <c r="PTQ238" s="1"/>
      <c r="PTR238" s="1"/>
      <c r="PTS238" s="1"/>
      <c r="PTT238" s="1"/>
      <c r="PTU238" s="1"/>
      <c r="PTV238" s="1"/>
      <c r="PTW238" s="1"/>
      <c r="PTX238" s="1"/>
      <c r="PTY238" s="1"/>
      <c r="PTZ238" s="1"/>
      <c r="PUA238" s="1"/>
      <c r="PUB238" s="1"/>
      <c r="PUC238" s="1"/>
      <c r="PUD238" s="1"/>
      <c r="PUE238" s="1"/>
      <c r="PUF238" s="1"/>
      <c r="PUG238" s="1"/>
      <c r="PUH238" s="1"/>
      <c r="PUI238" s="1"/>
      <c r="PUJ238" s="1"/>
      <c r="PUK238" s="1"/>
      <c r="PUL238" s="1"/>
      <c r="PUM238" s="1"/>
      <c r="PUN238" s="1"/>
      <c r="PUO238" s="1"/>
      <c r="PUP238" s="1"/>
      <c r="PUQ238" s="1"/>
      <c r="PUR238" s="1"/>
      <c r="PUS238" s="1"/>
      <c r="PUT238" s="1"/>
      <c r="PUU238" s="1"/>
      <c r="PUV238" s="1"/>
      <c r="PUW238" s="1"/>
      <c r="PUX238" s="1"/>
      <c r="PUY238" s="1"/>
      <c r="PUZ238" s="1"/>
      <c r="PVA238" s="1"/>
      <c r="PVB238" s="1"/>
      <c r="PVC238" s="1"/>
      <c r="PVD238" s="1"/>
      <c r="PVE238" s="1"/>
      <c r="PVF238" s="1"/>
      <c r="PVG238" s="1"/>
      <c r="PVH238" s="1"/>
      <c r="PVI238" s="1"/>
      <c r="PVJ238" s="1"/>
      <c r="PVK238" s="1"/>
      <c r="PVL238" s="1"/>
      <c r="PVM238" s="1"/>
      <c r="PVN238" s="1"/>
      <c r="PVO238" s="1"/>
      <c r="PVP238" s="1"/>
      <c r="PVQ238" s="1"/>
      <c r="PVR238" s="1"/>
      <c r="PVS238" s="1"/>
      <c r="PVT238" s="1"/>
      <c r="PVU238" s="1"/>
      <c r="PVV238" s="1"/>
      <c r="PVW238" s="1"/>
      <c r="PVX238" s="1"/>
      <c r="PVY238" s="1"/>
      <c r="PVZ238" s="1"/>
      <c r="PWA238" s="1"/>
      <c r="PWB238" s="1"/>
      <c r="PWC238" s="1"/>
      <c r="PWD238" s="1"/>
      <c r="PWE238" s="1"/>
      <c r="PWF238" s="1"/>
      <c r="PWG238" s="1"/>
      <c r="PWH238" s="1"/>
      <c r="PWI238" s="1"/>
      <c r="PWJ238" s="1"/>
      <c r="PWK238" s="1"/>
      <c r="PWL238" s="1"/>
      <c r="PWM238" s="1"/>
      <c r="PWN238" s="1"/>
      <c r="PWO238" s="1"/>
      <c r="PWP238" s="1"/>
      <c r="PWQ238" s="1"/>
      <c r="PWR238" s="1"/>
      <c r="PWS238" s="1"/>
      <c r="PWT238" s="1"/>
      <c r="PWU238" s="1"/>
      <c r="PWV238" s="1"/>
      <c r="PWW238" s="1"/>
      <c r="PWX238" s="1"/>
      <c r="PWY238" s="1"/>
      <c r="PWZ238" s="1"/>
      <c r="PXA238" s="1"/>
      <c r="PXB238" s="1"/>
      <c r="PXC238" s="1"/>
      <c r="PXD238" s="1"/>
      <c r="PXE238" s="1"/>
      <c r="PXF238" s="1"/>
      <c r="PXG238" s="1"/>
      <c r="PXH238" s="1"/>
      <c r="PXI238" s="1"/>
      <c r="PXJ238" s="1"/>
      <c r="PXK238" s="1"/>
      <c r="PXL238" s="1"/>
      <c r="PXM238" s="1"/>
      <c r="PXN238" s="1"/>
      <c r="PXO238" s="1"/>
      <c r="PXP238" s="1"/>
      <c r="PXQ238" s="1"/>
      <c r="PXR238" s="1"/>
      <c r="PXS238" s="1"/>
      <c r="PXT238" s="1"/>
      <c r="PXU238" s="1"/>
      <c r="PXV238" s="1"/>
      <c r="PXW238" s="1"/>
      <c r="PXX238" s="1"/>
      <c r="PXY238" s="1"/>
      <c r="PXZ238" s="1"/>
      <c r="PYA238" s="1"/>
      <c r="PYB238" s="1"/>
      <c r="PYC238" s="1"/>
      <c r="PYD238" s="1"/>
      <c r="PYE238" s="1"/>
      <c r="PYF238" s="1"/>
      <c r="PYG238" s="1"/>
      <c r="PYH238" s="1"/>
      <c r="PYI238" s="1"/>
      <c r="PYJ238" s="1"/>
      <c r="PYK238" s="1"/>
      <c r="PYL238" s="1"/>
      <c r="PYM238" s="1"/>
      <c r="PYN238" s="1"/>
      <c r="PYO238" s="1"/>
      <c r="PYP238" s="1"/>
      <c r="PYQ238" s="1"/>
      <c r="PYR238" s="1"/>
      <c r="PYS238" s="1"/>
      <c r="PYT238" s="1"/>
      <c r="PYU238" s="1"/>
      <c r="PYV238" s="1"/>
      <c r="PYW238" s="1"/>
      <c r="PYX238" s="1"/>
      <c r="PYY238" s="1"/>
      <c r="PYZ238" s="1"/>
      <c r="PZA238" s="1"/>
      <c r="PZB238" s="1"/>
      <c r="PZC238" s="1"/>
      <c r="PZD238" s="1"/>
      <c r="PZE238" s="1"/>
      <c r="PZF238" s="1"/>
      <c r="PZG238" s="1"/>
      <c r="PZH238" s="1"/>
      <c r="PZI238" s="1"/>
      <c r="PZJ238" s="1"/>
      <c r="PZK238" s="1"/>
      <c r="PZL238" s="1"/>
      <c r="PZM238" s="1"/>
      <c r="PZN238" s="1"/>
      <c r="PZO238" s="1"/>
      <c r="PZP238" s="1"/>
      <c r="PZQ238" s="1"/>
      <c r="PZR238" s="1"/>
      <c r="PZS238" s="1"/>
      <c r="PZT238" s="1"/>
      <c r="PZU238" s="1"/>
      <c r="PZV238" s="1"/>
      <c r="PZW238" s="1"/>
      <c r="PZX238" s="1"/>
      <c r="PZY238" s="1"/>
      <c r="PZZ238" s="1"/>
      <c r="QAA238" s="1"/>
      <c r="QAB238" s="1"/>
      <c r="QAC238" s="1"/>
      <c r="QAD238" s="1"/>
      <c r="QAE238" s="1"/>
      <c r="QAF238" s="1"/>
      <c r="QAG238" s="1"/>
      <c r="QAH238" s="1"/>
      <c r="QAI238" s="1"/>
      <c r="QAJ238" s="1"/>
      <c r="QAK238" s="1"/>
      <c r="QAL238" s="1"/>
      <c r="QAM238" s="1"/>
      <c r="QAN238" s="1"/>
      <c r="QAO238" s="1"/>
      <c r="QAP238" s="1"/>
      <c r="QAQ238" s="1"/>
      <c r="QAR238" s="1"/>
      <c r="QAS238" s="1"/>
      <c r="QAT238" s="1"/>
      <c r="QAU238" s="1"/>
      <c r="QAV238" s="1"/>
      <c r="QAW238" s="1"/>
      <c r="QAX238" s="1"/>
      <c r="QAY238" s="1"/>
      <c r="QAZ238" s="1"/>
      <c r="QBA238" s="1"/>
      <c r="QBB238" s="1"/>
      <c r="QBC238" s="1"/>
      <c r="QBD238" s="1"/>
      <c r="QBE238" s="1"/>
      <c r="QBF238" s="1"/>
      <c r="QBG238" s="1"/>
      <c r="QBH238" s="1"/>
      <c r="QBI238" s="1"/>
      <c r="QBJ238" s="1"/>
      <c r="QBK238" s="1"/>
      <c r="QBL238" s="1"/>
      <c r="QBM238" s="1"/>
      <c r="QBN238" s="1"/>
      <c r="QBO238" s="1"/>
      <c r="QBP238" s="1"/>
      <c r="QBQ238" s="1"/>
      <c r="QBR238" s="1"/>
      <c r="QBS238" s="1"/>
      <c r="QBT238" s="1"/>
      <c r="QBU238" s="1"/>
      <c r="QBV238" s="1"/>
      <c r="QBW238" s="1"/>
      <c r="QBX238" s="1"/>
      <c r="QBY238" s="1"/>
      <c r="QBZ238" s="1"/>
      <c r="QCA238" s="1"/>
      <c r="QCB238" s="1"/>
      <c r="QCC238" s="1"/>
      <c r="QCD238" s="1"/>
      <c r="QCE238" s="1"/>
      <c r="QCF238" s="1"/>
      <c r="QCG238" s="1"/>
      <c r="QCH238" s="1"/>
      <c r="QCI238" s="1"/>
      <c r="QCJ238" s="1"/>
      <c r="QCK238" s="1"/>
      <c r="QCL238" s="1"/>
      <c r="QCM238" s="1"/>
      <c r="QCN238" s="1"/>
      <c r="QCO238" s="1"/>
      <c r="QCP238" s="1"/>
      <c r="QCQ238" s="1"/>
      <c r="QCR238" s="1"/>
      <c r="QCS238" s="1"/>
      <c r="QCT238" s="1"/>
      <c r="QCU238" s="1"/>
      <c r="QCV238" s="1"/>
      <c r="QCW238" s="1"/>
      <c r="QCX238" s="1"/>
      <c r="QCY238" s="1"/>
      <c r="QCZ238" s="1"/>
      <c r="QDA238" s="1"/>
      <c r="QDB238" s="1"/>
      <c r="QDC238" s="1"/>
      <c r="QDD238" s="1"/>
      <c r="QDE238" s="1"/>
      <c r="QDF238" s="1"/>
      <c r="QDG238" s="1"/>
      <c r="QDH238" s="1"/>
      <c r="QDI238" s="1"/>
      <c r="QDJ238" s="1"/>
      <c r="QDK238" s="1"/>
      <c r="QDL238" s="1"/>
      <c r="QDM238" s="1"/>
      <c r="QDN238" s="1"/>
      <c r="QDO238" s="1"/>
      <c r="QDP238" s="1"/>
      <c r="QDQ238" s="1"/>
      <c r="QDR238" s="1"/>
      <c r="QDS238" s="1"/>
      <c r="QDT238" s="1"/>
      <c r="QDU238" s="1"/>
      <c r="QDV238" s="1"/>
      <c r="QDW238" s="1"/>
      <c r="QDX238" s="1"/>
      <c r="QDY238" s="1"/>
      <c r="QDZ238" s="1"/>
      <c r="QEA238" s="1"/>
      <c r="QEB238" s="1"/>
      <c r="QEC238" s="1"/>
      <c r="QED238" s="1"/>
      <c r="QEE238" s="1"/>
      <c r="QEF238" s="1"/>
      <c r="QEG238" s="1"/>
      <c r="QEH238" s="1"/>
      <c r="QEI238" s="1"/>
      <c r="QEJ238" s="1"/>
      <c r="QEK238" s="1"/>
      <c r="QEL238" s="1"/>
      <c r="QEM238" s="1"/>
      <c r="QEN238" s="1"/>
      <c r="QEO238" s="1"/>
      <c r="QEP238" s="1"/>
      <c r="QEQ238" s="1"/>
      <c r="QER238" s="1"/>
      <c r="QES238" s="1"/>
      <c r="QET238" s="1"/>
      <c r="QEU238" s="1"/>
      <c r="QEV238" s="1"/>
      <c r="QEW238" s="1"/>
      <c r="QEX238" s="1"/>
      <c r="QEY238" s="1"/>
      <c r="QEZ238" s="1"/>
      <c r="QFA238" s="1"/>
      <c r="QFB238" s="1"/>
      <c r="QFC238" s="1"/>
      <c r="QFD238" s="1"/>
      <c r="QFE238" s="1"/>
      <c r="QFF238" s="1"/>
      <c r="QFG238" s="1"/>
      <c r="QFH238" s="1"/>
      <c r="QFI238" s="1"/>
      <c r="QFJ238" s="1"/>
      <c r="QFK238" s="1"/>
      <c r="QFL238" s="1"/>
      <c r="QFM238" s="1"/>
      <c r="QFN238" s="1"/>
      <c r="QFO238" s="1"/>
      <c r="QFP238" s="1"/>
      <c r="QFQ238" s="1"/>
      <c r="QFR238" s="1"/>
      <c r="QFS238" s="1"/>
      <c r="QFT238" s="1"/>
      <c r="QFU238" s="1"/>
      <c r="QFV238" s="1"/>
      <c r="QFW238" s="1"/>
      <c r="QFX238" s="1"/>
      <c r="QFY238" s="1"/>
      <c r="QFZ238" s="1"/>
      <c r="QGA238" s="1"/>
      <c r="QGB238" s="1"/>
      <c r="QGC238" s="1"/>
      <c r="QGD238" s="1"/>
      <c r="QGE238" s="1"/>
      <c r="QGF238" s="1"/>
      <c r="QGG238" s="1"/>
      <c r="QGH238" s="1"/>
      <c r="QGI238" s="1"/>
      <c r="QGJ238" s="1"/>
      <c r="QGK238" s="1"/>
      <c r="QGL238" s="1"/>
      <c r="QGM238" s="1"/>
      <c r="QGN238" s="1"/>
      <c r="QGO238" s="1"/>
      <c r="QGP238" s="1"/>
      <c r="QGQ238" s="1"/>
      <c r="QGR238" s="1"/>
      <c r="QGS238" s="1"/>
      <c r="QGT238" s="1"/>
      <c r="QGU238" s="1"/>
      <c r="QGV238" s="1"/>
      <c r="QGW238" s="1"/>
      <c r="QGX238" s="1"/>
      <c r="QGY238" s="1"/>
      <c r="QGZ238" s="1"/>
      <c r="QHA238" s="1"/>
      <c r="QHB238" s="1"/>
      <c r="QHC238" s="1"/>
      <c r="QHD238" s="1"/>
      <c r="QHE238" s="1"/>
      <c r="QHF238" s="1"/>
      <c r="QHG238" s="1"/>
      <c r="QHH238" s="1"/>
      <c r="QHI238" s="1"/>
      <c r="QHJ238" s="1"/>
      <c r="QHK238" s="1"/>
      <c r="QHL238" s="1"/>
      <c r="QHM238" s="1"/>
      <c r="QHN238" s="1"/>
      <c r="QHO238" s="1"/>
      <c r="QHP238" s="1"/>
      <c r="QHQ238" s="1"/>
      <c r="QHR238" s="1"/>
      <c r="QHS238" s="1"/>
      <c r="QHT238" s="1"/>
      <c r="QHU238" s="1"/>
      <c r="QHV238" s="1"/>
      <c r="QHW238" s="1"/>
      <c r="QHX238" s="1"/>
      <c r="QHY238" s="1"/>
      <c r="QHZ238" s="1"/>
      <c r="QIA238" s="1"/>
      <c r="QIB238" s="1"/>
      <c r="QIC238" s="1"/>
      <c r="QID238" s="1"/>
      <c r="QIE238" s="1"/>
      <c r="QIF238" s="1"/>
      <c r="QIG238" s="1"/>
      <c r="QIH238" s="1"/>
      <c r="QII238" s="1"/>
      <c r="QIJ238" s="1"/>
      <c r="QIK238" s="1"/>
      <c r="QIL238" s="1"/>
      <c r="QIM238" s="1"/>
      <c r="QIN238" s="1"/>
      <c r="QIO238" s="1"/>
      <c r="QIP238" s="1"/>
      <c r="QIQ238" s="1"/>
      <c r="QIR238" s="1"/>
      <c r="QIS238" s="1"/>
      <c r="QIT238" s="1"/>
      <c r="QIU238" s="1"/>
      <c r="QIV238" s="1"/>
      <c r="QIW238" s="1"/>
      <c r="QIX238" s="1"/>
      <c r="QIY238" s="1"/>
      <c r="QIZ238" s="1"/>
      <c r="QJA238" s="1"/>
      <c r="QJB238" s="1"/>
      <c r="QJC238" s="1"/>
      <c r="QJD238" s="1"/>
      <c r="QJE238" s="1"/>
      <c r="QJF238" s="1"/>
      <c r="QJG238" s="1"/>
      <c r="QJH238" s="1"/>
      <c r="QJI238" s="1"/>
      <c r="QJJ238" s="1"/>
      <c r="QJK238" s="1"/>
      <c r="QJL238" s="1"/>
      <c r="QJM238" s="1"/>
      <c r="QJN238" s="1"/>
      <c r="QJO238" s="1"/>
      <c r="QJP238" s="1"/>
      <c r="QJQ238" s="1"/>
      <c r="QJR238" s="1"/>
      <c r="QJS238" s="1"/>
      <c r="QJT238" s="1"/>
      <c r="QJU238" s="1"/>
      <c r="QJV238" s="1"/>
      <c r="QJW238" s="1"/>
      <c r="QJX238" s="1"/>
      <c r="QJY238" s="1"/>
      <c r="QJZ238" s="1"/>
      <c r="QKA238" s="1"/>
      <c r="QKB238" s="1"/>
      <c r="QKC238" s="1"/>
      <c r="QKD238" s="1"/>
      <c r="QKE238" s="1"/>
      <c r="QKF238" s="1"/>
      <c r="QKG238" s="1"/>
      <c r="QKH238" s="1"/>
      <c r="QKI238" s="1"/>
      <c r="QKJ238" s="1"/>
      <c r="QKK238" s="1"/>
      <c r="QKL238" s="1"/>
      <c r="QKM238" s="1"/>
      <c r="QKN238" s="1"/>
      <c r="QKO238" s="1"/>
      <c r="QKP238" s="1"/>
      <c r="QKQ238" s="1"/>
      <c r="QKR238" s="1"/>
      <c r="QKS238" s="1"/>
      <c r="QKT238" s="1"/>
      <c r="QKU238" s="1"/>
      <c r="QKV238" s="1"/>
      <c r="QKW238" s="1"/>
      <c r="QKX238" s="1"/>
      <c r="QKY238" s="1"/>
      <c r="QKZ238" s="1"/>
      <c r="QLA238" s="1"/>
      <c r="QLB238" s="1"/>
      <c r="QLC238" s="1"/>
      <c r="QLD238" s="1"/>
      <c r="QLE238" s="1"/>
      <c r="QLF238" s="1"/>
      <c r="QLG238" s="1"/>
      <c r="QLH238" s="1"/>
      <c r="QLI238" s="1"/>
      <c r="QLJ238" s="1"/>
      <c r="QLK238" s="1"/>
      <c r="QLL238" s="1"/>
      <c r="QLM238" s="1"/>
      <c r="QLN238" s="1"/>
      <c r="QLO238" s="1"/>
      <c r="QLP238" s="1"/>
      <c r="QLQ238" s="1"/>
      <c r="QLR238" s="1"/>
      <c r="QLS238" s="1"/>
      <c r="QLT238" s="1"/>
      <c r="QLU238" s="1"/>
      <c r="QLV238" s="1"/>
      <c r="QLW238" s="1"/>
      <c r="QLX238" s="1"/>
      <c r="QLY238" s="1"/>
      <c r="QLZ238" s="1"/>
      <c r="QMA238" s="1"/>
      <c r="QMB238" s="1"/>
      <c r="QMC238" s="1"/>
      <c r="QMD238" s="1"/>
      <c r="QME238" s="1"/>
      <c r="QMF238" s="1"/>
      <c r="QMG238" s="1"/>
      <c r="QMH238" s="1"/>
      <c r="QMI238" s="1"/>
      <c r="QMJ238" s="1"/>
      <c r="QMK238" s="1"/>
      <c r="QML238" s="1"/>
      <c r="QMM238" s="1"/>
      <c r="QMN238" s="1"/>
      <c r="QMO238" s="1"/>
      <c r="QMP238" s="1"/>
      <c r="QMQ238" s="1"/>
      <c r="QMR238" s="1"/>
      <c r="QMS238" s="1"/>
      <c r="QMT238" s="1"/>
      <c r="QMU238" s="1"/>
      <c r="QMV238" s="1"/>
      <c r="QMW238" s="1"/>
      <c r="QMX238" s="1"/>
      <c r="QMY238" s="1"/>
      <c r="QMZ238" s="1"/>
      <c r="QNA238" s="1"/>
      <c r="QNB238" s="1"/>
      <c r="QNC238" s="1"/>
      <c r="QND238" s="1"/>
      <c r="QNE238" s="1"/>
      <c r="QNF238" s="1"/>
      <c r="QNG238" s="1"/>
      <c r="QNH238" s="1"/>
      <c r="QNI238" s="1"/>
      <c r="QNJ238" s="1"/>
      <c r="QNK238" s="1"/>
      <c r="QNL238" s="1"/>
      <c r="QNM238" s="1"/>
      <c r="QNN238" s="1"/>
      <c r="QNO238" s="1"/>
      <c r="QNP238" s="1"/>
      <c r="QNQ238" s="1"/>
      <c r="QNR238" s="1"/>
      <c r="QNS238" s="1"/>
      <c r="QNT238" s="1"/>
      <c r="QNU238" s="1"/>
      <c r="QNV238" s="1"/>
      <c r="QNW238" s="1"/>
      <c r="QNX238" s="1"/>
      <c r="QNY238" s="1"/>
      <c r="QNZ238" s="1"/>
      <c r="QOA238" s="1"/>
      <c r="QOB238" s="1"/>
      <c r="QOC238" s="1"/>
      <c r="QOD238" s="1"/>
      <c r="QOE238" s="1"/>
      <c r="QOF238" s="1"/>
      <c r="QOG238" s="1"/>
      <c r="QOH238" s="1"/>
      <c r="QOI238" s="1"/>
      <c r="QOJ238" s="1"/>
      <c r="QOK238" s="1"/>
      <c r="QOL238" s="1"/>
      <c r="QOM238" s="1"/>
      <c r="QON238" s="1"/>
      <c r="QOO238" s="1"/>
      <c r="QOP238" s="1"/>
      <c r="QOQ238" s="1"/>
      <c r="QOR238" s="1"/>
      <c r="QOS238" s="1"/>
      <c r="QOT238" s="1"/>
      <c r="QOU238" s="1"/>
      <c r="QOV238" s="1"/>
      <c r="QOW238" s="1"/>
      <c r="QOX238" s="1"/>
      <c r="QOY238" s="1"/>
      <c r="QOZ238" s="1"/>
      <c r="QPA238" s="1"/>
      <c r="QPB238" s="1"/>
      <c r="QPC238" s="1"/>
      <c r="QPD238" s="1"/>
      <c r="QPE238" s="1"/>
      <c r="QPF238" s="1"/>
      <c r="QPG238" s="1"/>
      <c r="QPH238" s="1"/>
      <c r="QPI238" s="1"/>
      <c r="QPJ238" s="1"/>
      <c r="QPK238" s="1"/>
      <c r="QPL238" s="1"/>
      <c r="QPM238" s="1"/>
      <c r="QPN238" s="1"/>
      <c r="QPO238" s="1"/>
      <c r="QPP238" s="1"/>
      <c r="QPQ238" s="1"/>
      <c r="QPR238" s="1"/>
      <c r="QPS238" s="1"/>
      <c r="QPT238" s="1"/>
      <c r="QPU238" s="1"/>
      <c r="QPV238" s="1"/>
      <c r="QPW238" s="1"/>
      <c r="QPX238" s="1"/>
      <c r="QPY238" s="1"/>
      <c r="QPZ238" s="1"/>
      <c r="QQA238" s="1"/>
      <c r="QQB238" s="1"/>
      <c r="QQC238" s="1"/>
      <c r="QQD238" s="1"/>
      <c r="QQE238" s="1"/>
      <c r="QQF238" s="1"/>
      <c r="QQG238" s="1"/>
      <c r="QQH238" s="1"/>
      <c r="QQI238" s="1"/>
      <c r="QQJ238" s="1"/>
      <c r="QQK238" s="1"/>
      <c r="QQL238" s="1"/>
      <c r="QQM238" s="1"/>
      <c r="QQN238" s="1"/>
      <c r="QQO238" s="1"/>
      <c r="QQP238" s="1"/>
      <c r="QQQ238" s="1"/>
      <c r="QQR238" s="1"/>
      <c r="QQS238" s="1"/>
      <c r="QQT238" s="1"/>
      <c r="QQU238" s="1"/>
      <c r="QQV238" s="1"/>
      <c r="QQW238" s="1"/>
      <c r="QQX238" s="1"/>
      <c r="QQY238" s="1"/>
      <c r="QQZ238" s="1"/>
      <c r="QRA238" s="1"/>
      <c r="QRB238" s="1"/>
      <c r="QRC238" s="1"/>
      <c r="QRD238" s="1"/>
      <c r="QRE238" s="1"/>
      <c r="QRF238" s="1"/>
      <c r="QRG238" s="1"/>
      <c r="QRH238" s="1"/>
      <c r="QRI238" s="1"/>
      <c r="QRJ238" s="1"/>
      <c r="QRK238" s="1"/>
      <c r="QRL238" s="1"/>
      <c r="QRM238" s="1"/>
      <c r="QRN238" s="1"/>
      <c r="QRO238" s="1"/>
      <c r="QRP238" s="1"/>
      <c r="QRQ238" s="1"/>
      <c r="QRR238" s="1"/>
      <c r="QRS238" s="1"/>
      <c r="QRT238" s="1"/>
      <c r="QRU238" s="1"/>
      <c r="QRV238" s="1"/>
      <c r="QRW238" s="1"/>
      <c r="QRX238" s="1"/>
      <c r="QRY238" s="1"/>
      <c r="QRZ238" s="1"/>
      <c r="QSA238" s="1"/>
      <c r="QSB238" s="1"/>
      <c r="QSC238" s="1"/>
      <c r="QSD238" s="1"/>
      <c r="QSE238" s="1"/>
      <c r="QSF238" s="1"/>
      <c r="QSG238" s="1"/>
      <c r="QSH238" s="1"/>
      <c r="QSI238" s="1"/>
      <c r="QSJ238" s="1"/>
      <c r="QSK238" s="1"/>
      <c r="QSL238" s="1"/>
      <c r="QSM238" s="1"/>
      <c r="QSN238" s="1"/>
      <c r="QSO238" s="1"/>
      <c r="QSP238" s="1"/>
      <c r="QSQ238" s="1"/>
      <c r="QSR238" s="1"/>
      <c r="QSS238" s="1"/>
      <c r="QST238" s="1"/>
      <c r="QSU238" s="1"/>
      <c r="QSV238" s="1"/>
      <c r="QSW238" s="1"/>
      <c r="QSX238" s="1"/>
      <c r="QSY238" s="1"/>
      <c r="QSZ238" s="1"/>
      <c r="QTA238" s="1"/>
      <c r="QTB238" s="1"/>
      <c r="QTC238" s="1"/>
      <c r="QTD238" s="1"/>
      <c r="QTE238" s="1"/>
      <c r="QTF238" s="1"/>
      <c r="QTG238" s="1"/>
      <c r="QTH238" s="1"/>
      <c r="QTI238" s="1"/>
      <c r="QTJ238" s="1"/>
      <c r="QTK238" s="1"/>
      <c r="QTL238" s="1"/>
      <c r="QTM238" s="1"/>
      <c r="QTN238" s="1"/>
      <c r="QTO238" s="1"/>
      <c r="QTP238" s="1"/>
      <c r="QTQ238" s="1"/>
      <c r="QTR238" s="1"/>
      <c r="QTS238" s="1"/>
      <c r="QTT238" s="1"/>
      <c r="QTU238" s="1"/>
      <c r="QTV238" s="1"/>
      <c r="QTW238" s="1"/>
      <c r="QTX238" s="1"/>
      <c r="QTY238" s="1"/>
      <c r="QTZ238" s="1"/>
      <c r="QUA238" s="1"/>
      <c r="QUB238" s="1"/>
      <c r="QUC238" s="1"/>
      <c r="QUD238" s="1"/>
      <c r="QUE238" s="1"/>
      <c r="QUF238" s="1"/>
      <c r="QUG238" s="1"/>
      <c r="QUH238" s="1"/>
      <c r="QUI238" s="1"/>
      <c r="QUJ238" s="1"/>
      <c r="QUK238" s="1"/>
      <c r="QUL238" s="1"/>
      <c r="QUM238" s="1"/>
      <c r="QUN238" s="1"/>
      <c r="QUO238" s="1"/>
      <c r="QUP238" s="1"/>
      <c r="QUQ238" s="1"/>
      <c r="QUR238" s="1"/>
      <c r="QUS238" s="1"/>
      <c r="QUT238" s="1"/>
      <c r="QUU238" s="1"/>
      <c r="QUV238" s="1"/>
      <c r="QUW238" s="1"/>
      <c r="QUX238" s="1"/>
      <c r="QUY238" s="1"/>
      <c r="QUZ238" s="1"/>
      <c r="QVA238" s="1"/>
      <c r="QVB238" s="1"/>
      <c r="QVC238" s="1"/>
      <c r="QVD238" s="1"/>
      <c r="QVE238" s="1"/>
      <c r="QVF238" s="1"/>
      <c r="QVG238" s="1"/>
      <c r="QVH238" s="1"/>
      <c r="QVI238" s="1"/>
      <c r="QVJ238" s="1"/>
      <c r="QVK238" s="1"/>
      <c r="QVL238" s="1"/>
      <c r="QVM238" s="1"/>
      <c r="QVN238" s="1"/>
      <c r="QVO238" s="1"/>
      <c r="QVP238" s="1"/>
      <c r="QVQ238" s="1"/>
      <c r="QVR238" s="1"/>
      <c r="QVS238" s="1"/>
      <c r="QVT238" s="1"/>
      <c r="QVU238" s="1"/>
      <c r="QVV238" s="1"/>
      <c r="QVW238" s="1"/>
      <c r="QVX238" s="1"/>
      <c r="QVY238" s="1"/>
      <c r="QVZ238" s="1"/>
      <c r="QWA238" s="1"/>
      <c r="QWB238" s="1"/>
      <c r="QWC238" s="1"/>
      <c r="QWD238" s="1"/>
      <c r="QWE238" s="1"/>
      <c r="QWF238" s="1"/>
      <c r="QWG238" s="1"/>
      <c r="QWH238" s="1"/>
      <c r="QWI238" s="1"/>
      <c r="QWJ238" s="1"/>
      <c r="QWK238" s="1"/>
      <c r="QWL238" s="1"/>
      <c r="QWM238" s="1"/>
      <c r="QWN238" s="1"/>
      <c r="QWO238" s="1"/>
      <c r="QWP238" s="1"/>
      <c r="QWQ238" s="1"/>
      <c r="QWR238" s="1"/>
      <c r="QWS238" s="1"/>
      <c r="QWT238" s="1"/>
      <c r="QWU238" s="1"/>
      <c r="QWV238" s="1"/>
      <c r="QWW238" s="1"/>
      <c r="QWX238" s="1"/>
      <c r="QWY238" s="1"/>
      <c r="QWZ238" s="1"/>
      <c r="QXA238" s="1"/>
      <c r="QXB238" s="1"/>
      <c r="QXC238" s="1"/>
      <c r="QXD238" s="1"/>
      <c r="QXE238" s="1"/>
      <c r="QXF238" s="1"/>
      <c r="QXG238" s="1"/>
      <c r="QXH238" s="1"/>
      <c r="QXI238" s="1"/>
      <c r="QXJ238" s="1"/>
      <c r="QXK238" s="1"/>
      <c r="QXL238" s="1"/>
      <c r="QXM238" s="1"/>
      <c r="QXN238" s="1"/>
      <c r="QXO238" s="1"/>
      <c r="QXP238" s="1"/>
      <c r="QXQ238" s="1"/>
      <c r="QXR238" s="1"/>
      <c r="QXS238" s="1"/>
      <c r="QXT238" s="1"/>
      <c r="QXU238" s="1"/>
      <c r="QXV238" s="1"/>
      <c r="QXW238" s="1"/>
      <c r="QXX238" s="1"/>
      <c r="QXY238" s="1"/>
      <c r="QXZ238" s="1"/>
      <c r="QYA238" s="1"/>
      <c r="QYB238" s="1"/>
      <c r="QYC238" s="1"/>
      <c r="QYD238" s="1"/>
      <c r="QYE238" s="1"/>
      <c r="QYF238" s="1"/>
      <c r="QYG238" s="1"/>
      <c r="QYH238" s="1"/>
      <c r="QYI238" s="1"/>
      <c r="QYJ238" s="1"/>
      <c r="QYK238" s="1"/>
      <c r="QYL238" s="1"/>
      <c r="QYM238" s="1"/>
      <c r="QYN238" s="1"/>
      <c r="QYO238" s="1"/>
      <c r="QYP238" s="1"/>
      <c r="QYQ238" s="1"/>
      <c r="QYR238" s="1"/>
      <c r="QYS238" s="1"/>
      <c r="QYT238" s="1"/>
      <c r="QYU238" s="1"/>
      <c r="QYV238" s="1"/>
      <c r="QYW238" s="1"/>
      <c r="QYX238" s="1"/>
      <c r="QYY238" s="1"/>
      <c r="QYZ238" s="1"/>
      <c r="QZA238" s="1"/>
      <c r="QZB238" s="1"/>
      <c r="QZC238" s="1"/>
      <c r="QZD238" s="1"/>
      <c r="QZE238" s="1"/>
      <c r="QZF238" s="1"/>
      <c r="QZG238" s="1"/>
      <c r="QZH238" s="1"/>
      <c r="QZI238" s="1"/>
      <c r="QZJ238" s="1"/>
      <c r="QZK238" s="1"/>
      <c r="QZL238" s="1"/>
      <c r="QZM238" s="1"/>
      <c r="QZN238" s="1"/>
      <c r="QZO238" s="1"/>
      <c r="QZP238" s="1"/>
      <c r="QZQ238" s="1"/>
      <c r="QZR238" s="1"/>
      <c r="QZS238" s="1"/>
      <c r="QZT238" s="1"/>
      <c r="QZU238" s="1"/>
      <c r="QZV238" s="1"/>
      <c r="QZW238" s="1"/>
      <c r="QZX238" s="1"/>
      <c r="QZY238" s="1"/>
      <c r="QZZ238" s="1"/>
      <c r="RAA238" s="1"/>
      <c r="RAB238" s="1"/>
      <c r="RAC238" s="1"/>
      <c r="RAD238" s="1"/>
      <c r="RAE238" s="1"/>
      <c r="RAF238" s="1"/>
      <c r="RAG238" s="1"/>
      <c r="RAH238" s="1"/>
      <c r="RAI238" s="1"/>
      <c r="RAJ238" s="1"/>
      <c r="RAK238" s="1"/>
      <c r="RAL238" s="1"/>
      <c r="RAM238" s="1"/>
      <c r="RAN238" s="1"/>
      <c r="RAO238" s="1"/>
      <c r="RAP238" s="1"/>
      <c r="RAQ238" s="1"/>
      <c r="RAR238" s="1"/>
      <c r="RAS238" s="1"/>
      <c r="RAT238" s="1"/>
      <c r="RAU238" s="1"/>
      <c r="RAV238" s="1"/>
      <c r="RAW238" s="1"/>
      <c r="RAX238" s="1"/>
      <c r="RAY238" s="1"/>
      <c r="RAZ238" s="1"/>
      <c r="RBA238" s="1"/>
      <c r="RBB238" s="1"/>
      <c r="RBC238" s="1"/>
      <c r="RBD238" s="1"/>
      <c r="RBE238" s="1"/>
      <c r="RBF238" s="1"/>
      <c r="RBG238" s="1"/>
      <c r="RBH238" s="1"/>
      <c r="RBI238" s="1"/>
      <c r="RBJ238" s="1"/>
      <c r="RBK238" s="1"/>
      <c r="RBL238" s="1"/>
      <c r="RBM238" s="1"/>
      <c r="RBN238" s="1"/>
      <c r="RBO238" s="1"/>
      <c r="RBP238" s="1"/>
      <c r="RBQ238" s="1"/>
      <c r="RBR238" s="1"/>
      <c r="RBS238" s="1"/>
      <c r="RBT238" s="1"/>
      <c r="RBU238" s="1"/>
      <c r="RBV238" s="1"/>
      <c r="RBW238" s="1"/>
      <c r="RBX238" s="1"/>
      <c r="RBY238" s="1"/>
      <c r="RBZ238" s="1"/>
      <c r="RCA238" s="1"/>
      <c r="RCB238" s="1"/>
      <c r="RCC238" s="1"/>
      <c r="RCD238" s="1"/>
      <c r="RCE238" s="1"/>
      <c r="RCF238" s="1"/>
      <c r="RCG238" s="1"/>
      <c r="RCH238" s="1"/>
      <c r="RCI238" s="1"/>
      <c r="RCJ238" s="1"/>
      <c r="RCK238" s="1"/>
      <c r="RCL238" s="1"/>
      <c r="RCM238" s="1"/>
      <c r="RCN238" s="1"/>
      <c r="RCO238" s="1"/>
      <c r="RCP238" s="1"/>
      <c r="RCQ238" s="1"/>
      <c r="RCR238" s="1"/>
      <c r="RCS238" s="1"/>
      <c r="RCT238" s="1"/>
      <c r="RCU238" s="1"/>
      <c r="RCV238" s="1"/>
      <c r="RCW238" s="1"/>
      <c r="RCX238" s="1"/>
      <c r="RCY238" s="1"/>
      <c r="RCZ238" s="1"/>
      <c r="RDA238" s="1"/>
      <c r="RDB238" s="1"/>
      <c r="RDC238" s="1"/>
      <c r="RDD238" s="1"/>
      <c r="RDE238" s="1"/>
      <c r="RDF238" s="1"/>
      <c r="RDG238" s="1"/>
      <c r="RDH238" s="1"/>
      <c r="RDI238" s="1"/>
      <c r="RDJ238" s="1"/>
      <c r="RDK238" s="1"/>
      <c r="RDL238" s="1"/>
      <c r="RDM238" s="1"/>
      <c r="RDN238" s="1"/>
      <c r="RDO238" s="1"/>
      <c r="RDP238" s="1"/>
      <c r="RDQ238" s="1"/>
      <c r="RDR238" s="1"/>
      <c r="RDS238" s="1"/>
      <c r="RDT238" s="1"/>
      <c r="RDU238" s="1"/>
      <c r="RDV238" s="1"/>
      <c r="RDW238" s="1"/>
      <c r="RDX238" s="1"/>
      <c r="RDY238" s="1"/>
      <c r="RDZ238" s="1"/>
      <c r="REA238" s="1"/>
      <c r="REB238" s="1"/>
      <c r="REC238" s="1"/>
      <c r="RED238" s="1"/>
      <c r="REE238" s="1"/>
      <c r="REF238" s="1"/>
      <c r="REG238" s="1"/>
      <c r="REH238" s="1"/>
      <c r="REI238" s="1"/>
      <c r="REJ238" s="1"/>
      <c r="REK238" s="1"/>
      <c r="REL238" s="1"/>
      <c r="REM238" s="1"/>
      <c r="REN238" s="1"/>
      <c r="REO238" s="1"/>
      <c r="REP238" s="1"/>
      <c r="REQ238" s="1"/>
      <c r="RER238" s="1"/>
      <c r="RES238" s="1"/>
      <c r="RET238" s="1"/>
      <c r="REU238" s="1"/>
      <c r="REV238" s="1"/>
      <c r="REW238" s="1"/>
      <c r="REX238" s="1"/>
      <c r="REY238" s="1"/>
      <c r="REZ238" s="1"/>
      <c r="RFA238" s="1"/>
      <c r="RFB238" s="1"/>
      <c r="RFC238" s="1"/>
      <c r="RFD238" s="1"/>
      <c r="RFE238" s="1"/>
      <c r="RFF238" s="1"/>
      <c r="RFG238" s="1"/>
      <c r="RFH238" s="1"/>
      <c r="RFI238" s="1"/>
      <c r="RFJ238" s="1"/>
      <c r="RFK238" s="1"/>
      <c r="RFL238" s="1"/>
      <c r="RFM238" s="1"/>
      <c r="RFN238" s="1"/>
      <c r="RFO238" s="1"/>
      <c r="RFP238" s="1"/>
      <c r="RFQ238" s="1"/>
      <c r="RFR238" s="1"/>
      <c r="RFS238" s="1"/>
      <c r="RFT238" s="1"/>
      <c r="RFU238" s="1"/>
      <c r="RFV238" s="1"/>
      <c r="RFW238" s="1"/>
      <c r="RFX238" s="1"/>
      <c r="RFY238" s="1"/>
      <c r="RFZ238" s="1"/>
      <c r="RGA238" s="1"/>
      <c r="RGB238" s="1"/>
      <c r="RGC238" s="1"/>
      <c r="RGD238" s="1"/>
      <c r="RGE238" s="1"/>
      <c r="RGF238" s="1"/>
      <c r="RGG238" s="1"/>
      <c r="RGH238" s="1"/>
      <c r="RGI238" s="1"/>
      <c r="RGJ238" s="1"/>
      <c r="RGK238" s="1"/>
      <c r="RGL238" s="1"/>
      <c r="RGM238" s="1"/>
      <c r="RGN238" s="1"/>
      <c r="RGO238" s="1"/>
      <c r="RGP238" s="1"/>
      <c r="RGQ238" s="1"/>
      <c r="RGR238" s="1"/>
      <c r="RGS238" s="1"/>
      <c r="RGT238" s="1"/>
      <c r="RGU238" s="1"/>
      <c r="RGV238" s="1"/>
      <c r="RGW238" s="1"/>
      <c r="RGX238" s="1"/>
      <c r="RGY238" s="1"/>
      <c r="RGZ238" s="1"/>
      <c r="RHA238" s="1"/>
      <c r="RHB238" s="1"/>
      <c r="RHC238" s="1"/>
      <c r="RHD238" s="1"/>
      <c r="RHE238" s="1"/>
      <c r="RHF238" s="1"/>
      <c r="RHG238" s="1"/>
      <c r="RHH238" s="1"/>
      <c r="RHI238" s="1"/>
      <c r="RHJ238" s="1"/>
      <c r="RHK238" s="1"/>
      <c r="RHL238" s="1"/>
      <c r="RHM238" s="1"/>
      <c r="RHN238" s="1"/>
      <c r="RHO238" s="1"/>
      <c r="RHP238" s="1"/>
      <c r="RHQ238" s="1"/>
      <c r="RHR238" s="1"/>
      <c r="RHS238" s="1"/>
      <c r="RHT238" s="1"/>
      <c r="RHU238" s="1"/>
      <c r="RHV238" s="1"/>
      <c r="RHW238" s="1"/>
      <c r="RHX238" s="1"/>
      <c r="RHY238" s="1"/>
      <c r="RHZ238" s="1"/>
      <c r="RIA238" s="1"/>
      <c r="RIB238" s="1"/>
      <c r="RIC238" s="1"/>
      <c r="RID238" s="1"/>
      <c r="RIE238" s="1"/>
      <c r="RIF238" s="1"/>
      <c r="RIG238" s="1"/>
      <c r="RIH238" s="1"/>
      <c r="RII238" s="1"/>
      <c r="RIJ238" s="1"/>
      <c r="RIK238" s="1"/>
      <c r="RIL238" s="1"/>
      <c r="RIM238" s="1"/>
      <c r="RIN238" s="1"/>
      <c r="RIO238" s="1"/>
      <c r="RIP238" s="1"/>
      <c r="RIQ238" s="1"/>
      <c r="RIR238" s="1"/>
      <c r="RIS238" s="1"/>
      <c r="RIT238" s="1"/>
      <c r="RIU238" s="1"/>
      <c r="RIV238" s="1"/>
      <c r="RIW238" s="1"/>
      <c r="RIX238" s="1"/>
      <c r="RIY238" s="1"/>
      <c r="RIZ238" s="1"/>
      <c r="RJA238" s="1"/>
      <c r="RJB238" s="1"/>
      <c r="RJC238" s="1"/>
      <c r="RJD238" s="1"/>
      <c r="RJE238" s="1"/>
      <c r="RJF238" s="1"/>
      <c r="RJG238" s="1"/>
      <c r="RJH238" s="1"/>
      <c r="RJI238" s="1"/>
      <c r="RJJ238" s="1"/>
      <c r="RJK238" s="1"/>
      <c r="RJL238" s="1"/>
      <c r="RJM238" s="1"/>
      <c r="RJN238" s="1"/>
      <c r="RJO238" s="1"/>
      <c r="RJP238" s="1"/>
      <c r="RJQ238" s="1"/>
      <c r="RJR238" s="1"/>
      <c r="RJS238" s="1"/>
      <c r="RJT238" s="1"/>
      <c r="RJU238" s="1"/>
      <c r="RJV238" s="1"/>
      <c r="RJW238" s="1"/>
      <c r="RJX238" s="1"/>
      <c r="RJY238" s="1"/>
      <c r="RJZ238" s="1"/>
      <c r="RKA238" s="1"/>
      <c r="RKB238" s="1"/>
      <c r="RKC238" s="1"/>
      <c r="RKD238" s="1"/>
      <c r="RKE238" s="1"/>
      <c r="RKF238" s="1"/>
      <c r="RKG238" s="1"/>
      <c r="RKH238" s="1"/>
      <c r="RKI238" s="1"/>
      <c r="RKJ238" s="1"/>
      <c r="RKK238" s="1"/>
      <c r="RKL238" s="1"/>
      <c r="RKM238" s="1"/>
      <c r="RKN238" s="1"/>
      <c r="RKO238" s="1"/>
      <c r="RKP238" s="1"/>
      <c r="RKQ238" s="1"/>
      <c r="RKR238" s="1"/>
      <c r="RKS238" s="1"/>
      <c r="RKT238" s="1"/>
      <c r="RKU238" s="1"/>
      <c r="RKV238" s="1"/>
      <c r="RKW238" s="1"/>
      <c r="RKX238" s="1"/>
      <c r="RKY238" s="1"/>
      <c r="RKZ238" s="1"/>
      <c r="RLA238" s="1"/>
      <c r="RLB238" s="1"/>
      <c r="RLC238" s="1"/>
      <c r="RLD238" s="1"/>
      <c r="RLE238" s="1"/>
      <c r="RLF238" s="1"/>
      <c r="RLG238" s="1"/>
      <c r="RLH238" s="1"/>
      <c r="RLI238" s="1"/>
      <c r="RLJ238" s="1"/>
      <c r="RLK238" s="1"/>
      <c r="RLL238" s="1"/>
      <c r="RLM238" s="1"/>
      <c r="RLN238" s="1"/>
      <c r="RLO238" s="1"/>
      <c r="RLP238" s="1"/>
      <c r="RLQ238" s="1"/>
      <c r="RLR238" s="1"/>
      <c r="RLS238" s="1"/>
      <c r="RLT238" s="1"/>
      <c r="RLU238" s="1"/>
      <c r="RLV238" s="1"/>
      <c r="RLW238" s="1"/>
      <c r="RLX238" s="1"/>
      <c r="RLY238" s="1"/>
      <c r="RLZ238" s="1"/>
      <c r="RMA238" s="1"/>
      <c r="RMB238" s="1"/>
      <c r="RMC238" s="1"/>
      <c r="RMD238" s="1"/>
      <c r="RME238" s="1"/>
      <c r="RMF238" s="1"/>
      <c r="RMG238" s="1"/>
      <c r="RMH238" s="1"/>
      <c r="RMI238" s="1"/>
      <c r="RMJ238" s="1"/>
      <c r="RMK238" s="1"/>
      <c r="RML238" s="1"/>
      <c r="RMM238" s="1"/>
      <c r="RMN238" s="1"/>
      <c r="RMO238" s="1"/>
      <c r="RMP238" s="1"/>
      <c r="RMQ238" s="1"/>
      <c r="RMR238" s="1"/>
      <c r="RMS238" s="1"/>
      <c r="RMT238" s="1"/>
      <c r="RMU238" s="1"/>
      <c r="RMV238" s="1"/>
      <c r="RMW238" s="1"/>
      <c r="RMX238" s="1"/>
      <c r="RMY238" s="1"/>
      <c r="RMZ238" s="1"/>
      <c r="RNA238" s="1"/>
      <c r="RNB238" s="1"/>
      <c r="RNC238" s="1"/>
      <c r="RND238" s="1"/>
      <c r="RNE238" s="1"/>
      <c r="RNF238" s="1"/>
      <c r="RNG238" s="1"/>
      <c r="RNH238" s="1"/>
      <c r="RNI238" s="1"/>
      <c r="RNJ238" s="1"/>
      <c r="RNK238" s="1"/>
      <c r="RNL238" s="1"/>
      <c r="RNM238" s="1"/>
      <c r="RNN238" s="1"/>
      <c r="RNO238" s="1"/>
      <c r="RNP238" s="1"/>
      <c r="RNQ238" s="1"/>
      <c r="RNR238" s="1"/>
      <c r="RNS238" s="1"/>
      <c r="RNT238" s="1"/>
      <c r="RNU238" s="1"/>
      <c r="RNV238" s="1"/>
      <c r="RNW238" s="1"/>
      <c r="RNX238" s="1"/>
      <c r="RNY238" s="1"/>
      <c r="RNZ238" s="1"/>
      <c r="ROA238" s="1"/>
      <c r="ROB238" s="1"/>
      <c r="ROC238" s="1"/>
      <c r="ROD238" s="1"/>
      <c r="ROE238" s="1"/>
      <c r="ROF238" s="1"/>
      <c r="ROG238" s="1"/>
      <c r="ROH238" s="1"/>
      <c r="ROI238" s="1"/>
      <c r="ROJ238" s="1"/>
      <c r="ROK238" s="1"/>
      <c r="ROL238" s="1"/>
      <c r="ROM238" s="1"/>
      <c r="RON238" s="1"/>
      <c r="ROO238" s="1"/>
      <c r="ROP238" s="1"/>
      <c r="ROQ238" s="1"/>
      <c r="ROR238" s="1"/>
      <c r="ROS238" s="1"/>
      <c r="ROT238" s="1"/>
      <c r="ROU238" s="1"/>
      <c r="ROV238" s="1"/>
      <c r="ROW238" s="1"/>
      <c r="ROX238" s="1"/>
      <c r="ROY238" s="1"/>
      <c r="ROZ238" s="1"/>
      <c r="RPA238" s="1"/>
      <c r="RPB238" s="1"/>
      <c r="RPC238" s="1"/>
      <c r="RPD238" s="1"/>
      <c r="RPE238" s="1"/>
      <c r="RPF238" s="1"/>
      <c r="RPG238" s="1"/>
      <c r="RPH238" s="1"/>
      <c r="RPI238" s="1"/>
      <c r="RPJ238" s="1"/>
      <c r="RPK238" s="1"/>
      <c r="RPL238" s="1"/>
      <c r="RPM238" s="1"/>
      <c r="RPN238" s="1"/>
      <c r="RPO238" s="1"/>
      <c r="RPP238" s="1"/>
      <c r="RPQ238" s="1"/>
      <c r="RPR238" s="1"/>
      <c r="RPS238" s="1"/>
      <c r="RPT238" s="1"/>
      <c r="RPU238" s="1"/>
      <c r="RPV238" s="1"/>
      <c r="RPW238" s="1"/>
      <c r="RPX238" s="1"/>
      <c r="RPY238" s="1"/>
      <c r="RPZ238" s="1"/>
      <c r="RQA238" s="1"/>
      <c r="RQB238" s="1"/>
      <c r="RQC238" s="1"/>
      <c r="RQD238" s="1"/>
      <c r="RQE238" s="1"/>
      <c r="RQF238" s="1"/>
      <c r="RQG238" s="1"/>
      <c r="RQH238" s="1"/>
      <c r="RQI238" s="1"/>
      <c r="RQJ238" s="1"/>
      <c r="RQK238" s="1"/>
      <c r="RQL238" s="1"/>
      <c r="RQM238" s="1"/>
      <c r="RQN238" s="1"/>
      <c r="RQO238" s="1"/>
      <c r="RQP238" s="1"/>
      <c r="RQQ238" s="1"/>
      <c r="RQR238" s="1"/>
      <c r="RQS238" s="1"/>
      <c r="RQT238" s="1"/>
      <c r="RQU238" s="1"/>
      <c r="RQV238" s="1"/>
      <c r="RQW238" s="1"/>
      <c r="RQX238" s="1"/>
      <c r="RQY238" s="1"/>
      <c r="RQZ238" s="1"/>
      <c r="RRA238" s="1"/>
      <c r="RRB238" s="1"/>
      <c r="RRC238" s="1"/>
      <c r="RRD238" s="1"/>
      <c r="RRE238" s="1"/>
      <c r="RRF238" s="1"/>
      <c r="RRG238" s="1"/>
      <c r="RRH238" s="1"/>
      <c r="RRI238" s="1"/>
      <c r="RRJ238" s="1"/>
      <c r="RRK238" s="1"/>
      <c r="RRL238" s="1"/>
      <c r="RRM238" s="1"/>
      <c r="RRN238" s="1"/>
      <c r="RRO238" s="1"/>
      <c r="RRP238" s="1"/>
      <c r="RRQ238" s="1"/>
      <c r="RRR238" s="1"/>
      <c r="RRS238" s="1"/>
      <c r="RRT238" s="1"/>
      <c r="RRU238" s="1"/>
      <c r="RRV238" s="1"/>
      <c r="RRW238" s="1"/>
      <c r="RRX238" s="1"/>
      <c r="RRY238" s="1"/>
      <c r="RRZ238" s="1"/>
      <c r="RSA238" s="1"/>
      <c r="RSB238" s="1"/>
      <c r="RSC238" s="1"/>
      <c r="RSD238" s="1"/>
      <c r="RSE238" s="1"/>
      <c r="RSF238" s="1"/>
      <c r="RSG238" s="1"/>
      <c r="RSH238" s="1"/>
      <c r="RSI238" s="1"/>
      <c r="RSJ238" s="1"/>
      <c r="RSK238" s="1"/>
      <c r="RSL238" s="1"/>
      <c r="RSM238" s="1"/>
      <c r="RSN238" s="1"/>
      <c r="RSO238" s="1"/>
      <c r="RSP238" s="1"/>
      <c r="RSQ238" s="1"/>
      <c r="RSR238" s="1"/>
      <c r="RSS238" s="1"/>
      <c r="RST238" s="1"/>
      <c r="RSU238" s="1"/>
      <c r="RSV238" s="1"/>
      <c r="RSW238" s="1"/>
      <c r="RSX238" s="1"/>
      <c r="RSY238" s="1"/>
      <c r="RSZ238" s="1"/>
      <c r="RTA238" s="1"/>
      <c r="RTB238" s="1"/>
      <c r="RTC238" s="1"/>
      <c r="RTD238" s="1"/>
      <c r="RTE238" s="1"/>
      <c r="RTF238" s="1"/>
      <c r="RTG238" s="1"/>
      <c r="RTH238" s="1"/>
      <c r="RTI238" s="1"/>
      <c r="RTJ238" s="1"/>
      <c r="RTK238" s="1"/>
      <c r="RTL238" s="1"/>
      <c r="RTM238" s="1"/>
      <c r="RTN238" s="1"/>
      <c r="RTO238" s="1"/>
      <c r="RTP238" s="1"/>
      <c r="RTQ238" s="1"/>
      <c r="RTR238" s="1"/>
      <c r="RTS238" s="1"/>
      <c r="RTT238" s="1"/>
      <c r="RTU238" s="1"/>
      <c r="RTV238" s="1"/>
      <c r="RTW238" s="1"/>
      <c r="RTX238" s="1"/>
      <c r="RTY238" s="1"/>
      <c r="RTZ238" s="1"/>
      <c r="RUA238" s="1"/>
      <c r="RUB238" s="1"/>
      <c r="RUC238" s="1"/>
      <c r="RUD238" s="1"/>
      <c r="RUE238" s="1"/>
      <c r="RUF238" s="1"/>
      <c r="RUG238" s="1"/>
      <c r="RUH238" s="1"/>
      <c r="RUI238" s="1"/>
      <c r="RUJ238" s="1"/>
      <c r="RUK238" s="1"/>
      <c r="RUL238" s="1"/>
      <c r="RUM238" s="1"/>
      <c r="RUN238" s="1"/>
      <c r="RUO238" s="1"/>
      <c r="RUP238" s="1"/>
      <c r="RUQ238" s="1"/>
      <c r="RUR238" s="1"/>
      <c r="RUS238" s="1"/>
      <c r="RUT238" s="1"/>
      <c r="RUU238" s="1"/>
      <c r="RUV238" s="1"/>
      <c r="RUW238" s="1"/>
      <c r="RUX238" s="1"/>
      <c r="RUY238" s="1"/>
      <c r="RUZ238" s="1"/>
      <c r="RVA238" s="1"/>
      <c r="RVB238" s="1"/>
      <c r="RVC238" s="1"/>
      <c r="RVD238" s="1"/>
      <c r="RVE238" s="1"/>
      <c r="RVF238" s="1"/>
      <c r="RVG238" s="1"/>
      <c r="RVH238" s="1"/>
      <c r="RVI238" s="1"/>
      <c r="RVJ238" s="1"/>
      <c r="RVK238" s="1"/>
      <c r="RVL238" s="1"/>
      <c r="RVM238" s="1"/>
      <c r="RVN238" s="1"/>
      <c r="RVO238" s="1"/>
      <c r="RVP238" s="1"/>
      <c r="RVQ238" s="1"/>
      <c r="RVR238" s="1"/>
      <c r="RVS238" s="1"/>
      <c r="RVT238" s="1"/>
      <c r="RVU238" s="1"/>
      <c r="RVV238" s="1"/>
      <c r="RVW238" s="1"/>
      <c r="RVX238" s="1"/>
      <c r="RVY238" s="1"/>
      <c r="RVZ238" s="1"/>
      <c r="RWA238" s="1"/>
      <c r="RWB238" s="1"/>
      <c r="RWC238" s="1"/>
      <c r="RWD238" s="1"/>
      <c r="RWE238" s="1"/>
      <c r="RWF238" s="1"/>
      <c r="RWG238" s="1"/>
      <c r="RWH238" s="1"/>
      <c r="RWI238" s="1"/>
      <c r="RWJ238" s="1"/>
      <c r="RWK238" s="1"/>
      <c r="RWL238" s="1"/>
      <c r="RWM238" s="1"/>
      <c r="RWN238" s="1"/>
      <c r="RWO238" s="1"/>
      <c r="RWP238" s="1"/>
      <c r="RWQ238" s="1"/>
      <c r="RWR238" s="1"/>
      <c r="RWS238" s="1"/>
      <c r="RWT238" s="1"/>
      <c r="RWU238" s="1"/>
      <c r="RWV238" s="1"/>
      <c r="RWW238" s="1"/>
      <c r="RWX238" s="1"/>
      <c r="RWY238" s="1"/>
      <c r="RWZ238" s="1"/>
      <c r="RXA238" s="1"/>
      <c r="RXB238" s="1"/>
      <c r="RXC238" s="1"/>
      <c r="RXD238" s="1"/>
      <c r="RXE238" s="1"/>
      <c r="RXF238" s="1"/>
      <c r="RXG238" s="1"/>
      <c r="RXH238" s="1"/>
      <c r="RXI238" s="1"/>
      <c r="RXJ238" s="1"/>
      <c r="RXK238" s="1"/>
      <c r="RXL238" s="1"/>
      <c r="RXM238" s="1"/>
      <c r="RXN238" s="1"/>
      <c r="RXO238" s="1"/>
      <c r="RXP238" s="1"/>
      <c r="RXQ238" s="1"/>
      <c r="RXR238" s="1"/>
      <c r="RXS238" s="1"/>
      <c r="RXT238" s="1"/>
      <c r="RXU238" s="1"/>
      <c r="RXV238" s="1"/>
      <c r="RXW238" s="1"/>
      <c r="RXX238" s="1"/>
      <c r="RXY238" s="1"/>
      <c r="RXZ238" s="1"/>
      <c r="RYA238" s="1"/>
      <c r="RYB238" s="1"/>
      <c r="RYC238" s="1"/>
      <c r="RYD238" s="1"/>
      <c r="RYE238" s="1"/>
      <c r="RYF238" s="1"/>
      <c r="RYG238" s="1"/>
      <c r="RYH238" s="1"/>
      <c r="RYI238" s="1"/>
      <c r="RYJ238" s="1"/>
      <c r="RYK238" s="1"/>
      <c r="RYL238" s="1"/>
      <c r="RYM238" s="1"/>
      <c r="RYN238" s="1"/>
      <c r="RYO238" s="1"/>
      <c r="RYP238" s="1"/>
      <c r="RYQ238" s="1"/>
      <c r="RYR238" s="1"/>
      <c r="RYS238" s="1"/>
      <c r="RYT238" s="1"/>
      <c r="RYU238" s="1"/>
      <c r="RYV238" s="1"/>
      <c r="RYW238" s="1"/>
      <c r="RYX238" s="1"/>
      <c r="RYY238" s="1"/>
      <c r="RYZ238" s="1"/>
      <c r="RZA238" s="1"/>
      <c r="RZB238" s="1"/>
      <c r="RZC238" s="1"/>
      <c r="RZD238" s="1"/>
      <c r="RZE238" s="1"/>
      <c r="RZF238" s="1"/>
      <c r="RZG238" s="1"/>
      <c r="RZH238" s="1"/>
      <c r="RZI238" s="1"/>
      <c r="RZJ238" s="1"/>
      <c r="RZK238" s="1"/>
      <c r="RZL238" s="1"/>
      <c r="RZM238" s="1"/>
      <c r="RZN238" s="1"/>
      <c r="RZO238" s="1"/>
      <c r="RZP238" s="1"/>
      <c r="RZQ238" s="1"/>
      <c r="RZR238" s="1"/>
      <c r="RZS238" s="1"/>
      <c r="RZT238" s="1"/>
      <c r="RZU238" s="1"/>
      <c r="RZV238" s="1"/>
      <c r="RZW238" s="1"/>
      <c r="RZX238" s="1"/>
      <c r="RZY238" s="1"/>
      <c r="RZZ238" s="1"/>
      <c r="SAA238" s="1"/>
      <c r="SAB238" s="1"/>
      <c r="SAC238" s="1"/>
      <c r="SAD238" s="1"/>
      <c r="SAE238" s="1"/>
      <c r="SAF238" s="1"/>
      <c r="SAG238" s="1"/>
      <c r="SAH238" s="1"/>
      <c r="SAI238" s="1"/>
      <c r="SAJ238" s="1"/>
      <c r="SAK238" s="1"/>
      <c r="SAL238" s="1"/>
      <c r="SAM238" s="1"/>
      <c r="SAN238" s="1"/>
      <c r="SAO238" s="1"/>
      <c r="SAP238" s="1"/>
      <c r="SAQ238" s="1"/>
      <c r="SAR238" s="1"/>
      <c r="SAS238" s="1"/>
      <c r="SAT238" s="1"/>
      <c r="SAU238" s="1"/>
      <c r="SAV238" s="1"/>
      <c r="SAW238" s="1"/>
      <c r="SAX238" s="1"/>
      <c r="SAY238" s="1"/>
      <c r="SAZ238" s="1"/>
      <c r="SBA238" s="1"/>
      <c r="SBB238" s="1"/>
      <c r="SBC238" s="1"/>
      <c r="SBD238" s="1"/>
      <c r="SBE238" s="1"/>
      <c r="SBF238" s="1"/>
      <c r="SBG238" s="1"/>
      <c r="SBH238" s="1"/>
      <c r="SBI238" s="1"/>
      <c r="SBJ238" s="1"/>
      <c r="SBK238" s="1"/>
      <c r="SBL238" s="1"/>
      <c r="SBM238" s="1"/>
      <c r="SBN238" s="1"/>
      <c r="SBO238" s="1"/>
      <c r="SBP238" s="1"/>
      <c r="SBQ238" s="1"/>
      <c r="SBR238" s="1"/>
      <c r="SBS238" s="1"/>
      <c r="SBT238" s="1"/>
      <c r="SBU238" s="1"/>
      <c r="SBV238" s="1"/>
      <c r="SBW238" s="1"/>
      <c r="SBX238" s="1"/>
      <c r="SBY238" s="1"/>
      <c r="SBZ238" s="1"/>
      <c r="SCA238" s="1"/>
      <c r="SCB238" s="1"/>
      <c r="SCC238" s="1"/>
      <c r="SCD238" s="1"/>
      <c r="SCE238" s="1"/>
      <c r="SCF238" s="1"/>
      <c r="SCG238" s="1"/>
      <c r="SCH238" s="1"/>
      <c r="SCI238" s="1"/>
      <c r="SCJ238" s="1"/>
      <c r="SCK238" s="1"/>
      <c r="SCL238" s="1"/>
      <c r="SCM238" s="1"/>
      <c r="SCN238" s="1"/>
      <c r="SCO238" s="1"/>
      <c r="SCP238" s="1"/>
      <c r="SCQ238" s="1"/>
      <c r="SCR238" s="1"/>
      <c r="SCS238" s="1"/>
      <c r="SCT238" s="1"/>
      <c r="SCU238" s="1"/>
      <c r="SCV238" s="1"/>
      <c r="SCW238" s="1"/>
      <c r="SCX238" s="1"/>
      <c r="SCY238" s="1"/>
      <c r="SCZ238" s="1"/>
      <c r="SDA238" s="1"/>
      <c r="SDB238" s="1"/>
      <c r="SDC238" s="1"/>
      <c r="SDD238" s="1"/>
      <c r="SDE238" s="1"/>
      <c r="SDF238" s="1"/>
      <c r="SDG238" s="1"/>
      <c r="SDH238" s="1"/>
      <c r="SDI238" s="1"/>
      <c r="SDJ238" s="1"/>
      <c r="SDK238" s="1"/>
      <c r="SDL238" s="1"/>
      <c r="SDM238" s="1"/>
      <c r="SDN238" s="1"/>
      <c r="SDO238" s="1"/>
      <c r="SDP238" s="1"/>
      <c r="SDQ238" s="1"/>
      <c r="SDR238" s="1"/>
      <c r="SDS238" s="1"/>
      <c r="SDT238" s="1"/>
      <c r="SDU238" s="1"/>
      <c r="SDV238" s="1"/>
      <c r="SDW238" s="1"/>
      <c r="SDX238" s="1"/>
      <c r="SDY238" s="1"/>
      <c r="SDZ238" s="1"/>
      <c r="SEA238" s="1"/>
      <c r="SEB238" s="1"/>
      <c r="SEC238" s="1"/>
      <c r="SED238" s="1"/>
      <c r="SEE238" s="1"/>
      <c r="SEF238" s="1"/>
      <c r="SEG238" s="1"/>
      <c r="SEH238" s="1"/>
      <c r="SEI238" s="1"/>
      <c r="SEJ238" s="1"/>
      <c r="SEK238" s="1"/>
      <c r="SEL238" s="1"/>
      <c r="SEM238" s="1"/>
      <c r="SEN238" s="1"/>
      <c r="SEO238" s="1"/>
      <c r="SEP238" s="1"/>
      <c r="SEQ238" s="1"/>
      <c r="SER238" s="1"/>
      <c r="SES238" s="1"/>
      <c r="SET238" s="1"/>
      <c r="SEU238" s="1"/>
      <c r="SEV238" s="1"/>
      <c r="SEW238" s="1"/>
      <c r="SEX238" s="1"/>
      <c r="SEY238" s="1"/>
      <c r="SEZ238" s="1"/>
      <c r="SFA238" s="1"/>
      <c r="SFB238" s="1"/>
      <c r="SFC238" s="1"/>
      <c r="SFD238" s="1"/>
      <c r="SFE238" s="1"/>
      <c r="SFF238" s="1"/>
      <c r="SFG238" s="1"/>
      <c r="SFH238" s="1"/>
      <c r="SFI238" s="1"/>
      <c r="SFJ238" s="1"/>
      <c r="SFK238" s="1"/>
      <c r="SFL238" s="1"/>
      <c r="SFM238" s="1"/>
      <c r="SFN238" s="1"/>
      <c r="SFO238" s="1"/>
      <c r="SFP238" s="1"/>
      <c r="SFQ238" s="1"/>
      <c r="SFR238" s="1"/>
      <c r="SFS238" s="1"/>
      <c r="SFT238" s="1"/>
      <c r="SFU238" s="1"/>
      <c r="SFV238" s="1"/>
      <c r="SFW238" s="1"/>
      <c r="SFX238" s="1"/>
      <c r="SFY238" s="1"/>
      <c r="SFZ238" s="1"/>
      <c r="SGA238" s="1"/>
      <c r="SGB238" s="1"/>
      <c r="SGC238" s="1"/>
      <c r="SGD238" s="1"/>
      <c r="SGE238" s="1"/>
      <c r="SGF238" s="1"/>
      <c r="SGG238" s="1"/>
      <c r="SGH238" s="1"/>
      <c r="SGI238" s="1"/>
      <c r="SGJ238" s="1"/>
      <c r="SGK238" s="1"/>
      <c r="SGL238" s="1"/>
      <c r="SGM238" s="1"/>
      <c r="SGN238" s="1"/>
      <c r="SGO238" s="1"/>
      <c r="SGP238" s="1"/>
      <c r="SGQ238" s="1"/>
      <c r="SGR238" s="1"/>
      <c r="SGS238" s="1"/>
      <c r="SGT238" s="1"/>
      <c r="SGU238" s="1"/>
      <c r="SGV238" s="1"/>
      <c r="SGW238" s="1"/>
      <c r="SGX238" s="1"/>
      <c r="SGY238" s="1"/>
      <c r="SGZ238" s="1"/>
      <c r="SHA238" s="1"/>
      <c r="SHB238" s="1"/>
      <c r="SHC238" s="1"/>
      <c r="SHD238" s="1"/>
      <c r="SHE238" s="1"/>
      <c r="SHF238" s="1"/>
      <c r="SHG238" s="1"/>
      <c r="SHH238" s="1"/>
      <c r="SHI238" s="1"/>
      <c r="SHJ238" s="1"/>
      <c r="SHK238" s="1"/>
      <c r="SHL238" s="1"/>
      <c r="SHM238" s="1"/>
      <c r="SHN238" s="1"/>
      <c r="SHO238" s="1"/>
      <c r="SHP238" s="1"/>
      <c r="SHQ238" s="1"/>
      <c r="SHR238" s="1"/>
      <c r="SHS238" s="1"/>
      <c r="SHT238" s="1"/>
      <c r="SHU238" s="1"/>
      <c r="SHV238" s="1"/>
      <c r="SHW238" s="1"/>
      <c r="SHX238" s="1"/>
      <c r="SHY238" s="1"/>
      <c r="SHZ238" s="1"/>
      <c r="SIA238" s="1"/>
      <c r="SIB238" s="1"/>
      <c r="SIC238" s="1"/>
      <c r="SID238" s="1"/>
      <c r="SIE238" s="1"/>
      <c r="SIF238" s="1"/>
      <c r="SIG238" s="1"/>
      <c r="SIH238" s="1"/>
      <c r="SII238" s="1"/>
      <c r="SIJ238" s="1"/>
      <c r="SIK238" s="1"/>
      <c r="SIL238" s="1"/>
      <c r="SIM238" s="1"/>
      <c r="SIN238" s="1"/>
      <c r="SIO238" s="1"/>
      <c r="SIP238" s="1"/>
      <c r="SIQ238" s="1"/>
      <c r="SIR238" s="1"/>
      <c r="SIS238" s="1"/>
      <c r="SIT238" s="1"/>
      <c r="SIU238" s="1"/>
      <c r="SIV238" s="1"/>
      <c r="SIW238" s="1"/>
      <c r="SIX238" s="1"/>
      <c r="SIY238" s="1"/>
      <c r="SIZ238" s="1"/>
      <c r="SJA238" s="1"/>
      <c r="SJB238" s="1"/>
      <c r="SJC238" s="1"/>
      <c r="SJD238" s="1"/>
      <c r="SJE238" s="1"/>
      <c r="SJF238" s="1"/>
      <c r="SJG238" s="1"/>
      <c r="SJH238" s="1"/>
      <c r="SJI238" s="1"/>
      <c r="SJJ238" s="1"/>
      <c r="SJK238" s="1"/>
      <c r="SJL238" s="1"/>
      <c r="SJM238" s="1"/>
      <c r="SJN238" s="1"/>
      <c r="SJO238" s="1"/>
      <c r="SJP238" s="1"/>
      <c r="SJQ238" s="1"/>
      <c r="SJR238" s="1"/>
      <c r="SJS238" s="1"/>
      <c r="SJT238" s="1"/>
      <c r="SJU238" s="1"/>
      <c r="SJV238" s="1"/>
      <c r="SJW238" s="1"/>
      <c r="SJX238" s="1"/>
      <c r="SJY238" s="1"/>
      <c r="SJZ238" s="1"/>
      <c r="SKA238" s="1"/>
      <c r="SKB238" s="1"/>
      <c r="SKC238" s="1"/>
      <c r="SKD238" s="1"/>
      <c r="SKE238" s="1"/>
      <c r="SKF238" s="1"/>
      <c r="SKG238" s="1"/>
      <c r="SKH238" s="1"/>
      <c r="SKI238" s="1"/>
      <c r="SKJ238" s="1"/>
      <c r="SKK238" s="1"/>
      <c r="SKL238" s="1"/>
      <c r="SKM238" s="1"/>
      <c r="SKN238" s="1"/>
      <c r="SKO238" s="1"/>
      <c r="SKP238" s="1"/>
      <c r="SKQ238" s="1"/>
      <c r="SKR238" s="1"/>
      <c r="SKS238" s="1"/>
      <c r="SKT238" s="1"/>
      <c r="SKU238" s="1"/>
      <c r="SKV238" s="1"/>
      <c r="SKW238" s="1"/>
      <c r="SKX238" s="1"/>
      <c r="SKY238" s="1"/>
      <c r="SKZ238" s="1"/>
      <c r="SLA238" s="1"/>
      <c r="SLB238" s="1"/>
      <c r="SLC238" s="1"/>
      <c r="SLD238" s="1"/>
      <c r="SLE238" s="1"/>
      <c r="SLF238" s="1"/>
      <c r="SLG238" s="1"/>
      <c r="SLH238" s="1"/>
      <c r="SLI238" s="1"/>
      <c r="SLJ238" s="1"/>
      <c r="SLK238" s="1"/>
      <c r="SLL238" s="1"/>
      <c r="SLM238" s="1"/>
      <c r="SLN238" s="1"/>
      <c r="SLO238" s="1"/>
      <c r="SLP238" s="1"/>
      <c r="SLQ238" s="1"/>
      <c r="SLR238" s="1"/>
      <c r="SLS238" s="1"/>
      <c r="SLT238" s="1"/>
      <c r="SLU238" s="1"/>
      <c r="SLV238" s="1"/>
      <c r="SLW238" s="1"/>
      <c r="SLX238" s="1"/>
      <c r="SLY238" s="1"/>
      <c r="SLZ238" s="1"/>
      <c r="SMA238" s="1"/>
      <c r="SMB238" s="1"/>
      <c r="SMC238" s="1"/>
      <c r="SMD238" s="1"/>
      <c r="SME238" s="1"/>
      <c r="SMF238" s="1"/>
      <c r="SMG238" s="1"/>
      <c r="SMH238" s="1"/>
      <c r="SMI238" s="1"/>
      <c r="SMJ238" s="1"/>
      <c r="SMK238" s="1"/>
      <c r="SML238" s="1"/>
      <c r="SMM238" s="1"/>
      <c r="SMN238" s="1"/>
      <c r="SMO238" s="1"/>
      <c r="SMP238" s="1"/>
      <c r="SMQ238" s="1"/>
      <c r="SMR238" s="1"/>
      <c r="SMS238" s="1"/>
      <c r="SMT238" s="1"/>
      <c r="SMU238" s="1"/>
      <c r="SMV238" s="1"/>
      <c r="SMW238" s="1"/>
      <c r="SMX238" s="1"/>
      <c r="SMY238" s="1"/>
      <c r="SMZ238" s="1"/>
      <c r="SNA238" s="1"/>
      <c r="SNB238" s="1"/>
      <c r="SNC238" s="1"/>
      <c r="SND238" s="1"/>
      <c r="SNE238" s="1"/>
      <c r="SNF238" s="1"/>
      <c r="SNG238" s="1"/>
      <c r="SNH238" s="1"/>
      <c r="SNI238" s="1"/>
      <c r="SNJ238" s="1"/>
      <c r="SNK238" s="1"/>
      <c r="SNL238" s="1"/>
      <c r="SNM238" s="1"/>
      <c r="SNN238" s="1"/>
      <c r="SNO238" s="1"/>
      <c r="SNP238" s="1"/>
      <c r="SNQ238" s="1"/>
      <c r="SNR238" s="1"/>
      <c r="SNS238" s="1"/>
      <c r="SNT238" s="1"/>
      <c r="SNU238" s="1"/>
      <c r="SNV238" s="1"/>
      <c r="SNW238" s="1"/>
      <c r="SNX238" s="1"/>
      <c r="SNY238" s="1"/>
      <c r="SNZ238" s="1"/>
      <c r="SOA238" s="1"/>
      <c r="SOB238" s="1"/>
      <c r="SOC238" s="1"/>
      <c r="SOD238" s="1"/>
      <c r="SOE238" s="1"/>
      <c r="SOF238" s="1"/>
      <c r="SOG238" s="1"/>
      <c r="SOH238" s="1"/>
      <c r="SOI238" s="1"/>
      <c r="SOJ238" s="1"/>
      <c r="SOK238" s="1"/>
      <c r="SOL238" s="1"/>
      <c r="SOM238" s="1"/>
      <c r="SON238" s="1"/>
      <c r="SOO238" s="1"/>
      <c r="SOP238" s="1"/>
      <c r="SOQ238" s="1"/>
      <c r="SOR238" s="1"/>
      <c r="SOS238" s="1"/>
      <c r="SOT238" s="1"/>
      <c r="SOU238" s="1"/>
      <c r="SOV238" s="1"/>
      <c r="SOW238" s="1"/>
      <c r="SOX238" s="1"/>
      <c r="SOY238" s="1"/>
      <c r="SOZ238" s="1"/>
      <c r="SPA238" s="1"/>
      <c r="SPB238" s="1"/>
      <c r="SPC238" s="1"/>
      <c r="SPD238" s="1"/>
      <c r="SPE238" s="1"/>
      <c r="SPF238" s="1"/>
      <c r="SPG238" s="1"/>
      <c r="SPH238" s="1"/>
      <c r="SPI238" s="1"/>
      <c r="SPJ238" s="1"/>
      <c r="SPK238" s="1"/>
      <c r="SPL238" s="1"/>
      <c r="SPM238" s="1"/>
      <c r="SPN238" s="1"/>
      <c r="SPO238" s="1"/>
      <c r="SPP238" s="1"/>
      <c r="SPQ238" s="1"/>
      <c r="SPR238" s="1"/>
      <c r="SPS238" s="1"/>
      <c r="SPT238" s="1"/>
      <c r="SPU238" s="1"/>
      <c r="SPV238" s="1"/>
      <c r="SPW238" s="1"/>
      <c r="SPX238" s="1"/>
      <c r="SPY238" s="1"/>
      <c r="SPZ238" s="1"/>
      <c r="SQA238" s="1"/>
      <c r="SQB238" s="1"/>
      <c r="SQC238" s="1"/>
      <c r="SQD238" s="1"/>
      <c r="SQE238" s="1"/>
      <c r="SQF238" s="1"/>
      <c r="SQG238" s="1"/>
      <c r="SQH238" s="1"/>
      <c r="SQI238" s="1"/>
      <c r="SQJ238" s="1"/>
      <c r="SQK238" s="1"/>
      <c r="SQL238" s="1"/>
      <c r="SQM238" s="1"/>
      <c r="SQN238" s="1"/>
      <c r="SQO238" s="1"/>
      <c r="SQP238" s="1"/>
      <c r="SQQ238" s="1"/>
      <c r="SQR238" s="1"/>
      <c r="SQS238" s="1"/>
      <c r="SQT238" s="1"/>
      <c r="SQU238" s="1"/>
      <c r="SQV238" s="1"/>
      <c r="SQW238" s="1"/>
      <c r="SQX238" s="1"/>
      <c r="SQY238" s="1"/>
      <c r="SQZ238" s="1"/>
      <c r="SRA238" s="1"/>
      <c r="SRB238" s="1"/>
      <c r="SRC238" s="1"/>
      <c r="SRD238" s="1"/>
      <c r="SRE238" s="1"/>
      <c r="SRF238" s="1"/>
      <c r="SRG238" s="1"/>
      <c r="SRH238" s="1"/>
      <c r="SRI238" s="1"/>
      <c r="SRJ238" s="1"/>
      <c r="SRK238" s="1"/>
      <c r="SRL238" s="1"/>
      <c r="SRM238" s="1"/>
      <c r="SRN238" s="1"/>
      <c r="SRO238" s="1"/>
      <c r="SRP238" s="1"/>
      <c r="SRQ238" s="1"/>
      <c r="SRR238" s="1"/>
      <c r="SRS238" s="1"/>
      <c r="SRT238" s="1"/>
      <c r="SRU238" s="1"/>
      <c r="SRV238" s="1"/>
      <c r="SRW238" s="1"/>
      <c r="SRX238" s="1"/>
      <c r="SRY238" s="1"/>
      <c r="SRZ238" s="1"/>
      <c r="SSA238" s="1"/>
      <c r="SSB238" s="1"/>
      <c r="SSC238" s="1"/>
      <c r="SSD238" s="1"/>
      <c r="SSE238" s="1"/>
      <c r="SSF238" s="1"/>
      <c r="SSG238" s="1"/>
      <c r="SSH238" s="1"/>
      <c r="SSI238" s="1"/>
      <c r="SSJ238" s="1"/>
      <c r="SSK238" s="1"/>
      <c r="SSL238" s="1"/>
      <c r="SSM238" s="1"/>
      <c r="SSN238" s="1"/>
      <c r="SSO238" s="1"/>
      <c r="SSP238" s="1"/>
      <c r="SSQ238" s="1"/>
      <c r="SSR238" s="1"/>
      <c r="SSS238" s="1"/>
      <c r="SST238" s="1"/>
      <c r="SSU238" s="1"/>
      <c r="SSV238" s="1"/>
      <c r="SSW238" s="1"/>
      <c r="SSX238" s="1"/>
      <c r="SSY238" s="1"/>
      <c r="SSZ238" s="1"/>
      <c r="STA238" s="1"/>
      <c r="STB238" s="1"/>
      <c r="STC238" s="1"/>
      <c r="STD238" s="1"/>
      <c r="STE238" s="1"/>
      <c r="STF238" s="1"/>
      <c r="STG238" s="1"/>
      <c r="STH238" s="1"/>
      <c r="STI238" s="1"/>
      <c r="STJ238" s="1"/>
      <c r="STK238" s="1"/>
      <c r="STL238" s="1"/>
      <c r="STM238" s="1"/>
      <c r="STN238" s="1"/>
      <c r="STO238" s="1"/>
      <c r="STP238" s="1"/>
      <c r="STQ238" s="1"/>
      <c r="STR238" s="1"/>
      <c r="STS238" s="1"/>
      <c r="STT238" s="1"/>
      <c r="STU238" s="1"/>
      <c r="STV238" s="1"/>
      <c r="STW238" s="1"/>
      <c r="STX238" s="1"/>
      <c r="STY238" s="1"/>
      <c r="STZ238" s="1"/>
      <c r="SUA238" s="1"/>
      <c r="SUB238" s="1"/>
      <c r="SUC238" s="1"/>
      <c r="SUD238" s="1"/>
      <c r="SUE238" s="1"/>
      <c r="SUF238" s="1"/>
      <c r="SUG238" s="1"/>
      <c r="SUH238" s="1"/>
      <c r="SUI238" s="1"/>
      <c r="SUJ238" s="1"/>
      <c r="SUK238" s="1"/>
      <c r="SUL238" s="1"/>
      <c r="SUM238" s="1"/>
      <c r="SUN238" s="1"/>
      <c r="SUO238" s="1"/>
      <c r="SUP238" s="1"/>
      <c r="SUQ238" s="1"/>
      <c r="SUR238" s="1"/>
      <c r="SUS238" s="1"/>
      <c r="SUT238" s="1"/>
      <c r="SUU238" s="1"/>
      <c r="SUV238" s="1"/>
      <c r="SUW238" s="1"/>
      <c r="SUX238" s="1"/>
      <c r="SUY238" s="1"/>
      <c r="SUZ238" s="1"/>
      <c r="SVA238" s="1"/>
      <c r="SVB238" s="1"/>
      <c r="SVC238" s="1"/>
      <c r="SVD238" s="1"/>
      <c r="SVE238" s="1"/>
      <c r="SVF238" s="1"/>
      <c r="SVG238" s="1"/>
      <c r="SVH238" s="1"/>
      <c r="SVI238" s="1"/>
      <c r="SVJ238" s="1"/>
      <c r="SVK238" s="1"/>
      <c r="SVL238" s="1"/>
      <c r="SVM238" s="1"/>
      <c r="SVN238" s="1"/>
      <c r="SVO238" s="1"/>
      <c r="SVP238" s="1"/>
      <c r="SVQ238" s="1"/>
      <c r="SVR238" s="1"/>
      <c r="SVS238" s="1"/>
      <c r="SVT238" s="1"/>
      <c r="SVU238" s="1"/>
      <c r="SVV238" s="1"/>
      <c r="SVW238" s="1"/>
      <c r="SVX238" s="1"/>
      <c r="SVY238" s="1"/>
      <c r="SVZ238" s="1"/>
      <c r="SWA238" s="1"/>
      <c r="SWB238" s="1"/>
      <c r="SWC238" s="1"/>
      <c r="SWD238" s="1"/>
      <c r="SWE238" s="1"/>
      <c r="SWF238" s="1"/>
      <c r="SWG238" s="1"/>
      <c r="SWH238" s="1"/>
      <c r="SWI238" s="1"/>
      <c r="SWJ238" s="1"/>
      <c r="SWK238" s="1"/>
      <c r="SWL238" s="1"/>
      <c r="SWM238" s="1"/>
      <c r="SWN238" s="1"/>
      <c r="SWO238" s="1"/>
      <c r="SWP238" s="1"/>
      <c r="SWQ238" s="1"/>
      <c r="SWR238" s="1"/>
      <c r="SWS238" s="1"/>
      <c r="SWT238" s="1"/>
      <c r="SWU238" s="1"/>
      <c r="SWV238" s="1"/>
      <c r="SWW238" s="1"/>
      <c r="SWX238" s="1"/>
      <c r="SWY238" s="1"/>
      <c r="SWZ238" s="1"/>
      <c r="SXA238" s="1"/>
      <c r="SXB238" s="1"/>
      <c r="SXC238" s="1"/>
      <c r="SXD238" s="1"/>
      <c r="SXE238" s="1"/>
      <c r="SXF238" s="1"/>
      <c r="SXG238" s="1"/>
      <c r="SXH238" s="1"/>
      <c r="SXI238" s="1"/>
      <c r="SXJ238" s="1"/>
      <c r="SXK238" s="1"/>
      <c r="SXL238" s="1"/>
      <c r="SXM238" s="1"/>
      <c r="SXN238" s="1"/>
      <c r="SXO238" s="1"/>
      <c r="SXP238" s="1"/>
      <c r="SXQ238" s="1"/>
      <c r="SXR238" s="1"/>
      <c r="SXS238" s="1"/>
      <c r="SXT238" s="1"/>
      <c r="SXU238" s="1"/>
      <c r="SXV238" s="1"/>
      <c r="SXW238" s="1"/>
      <c r="SXX238" s="1"/>
      <c r="SXY238" s="1"/>
      <c r="SXZ238" s="1"/>
      <c r="SYA238" s="1"/>
      <c r="SYB238" s="1"/>
      <c r="SYC238" s="1"/>
      <c r="SYD238" s="1"/>
      <c r="SYE238" s="1"/>
      <c r="SYF238" s="1"/>
      <c r="SYG238" s="1"/>
      <c r="SYH238" s="1"/>
      <c r="SYI238" s="1"/>
      <c r="SYJ238" s="1"/>
      <c r="SYK238" s="1"/>
      <c r="SYL238" s="1"/>
      <c r="SYM238" s="1"/>
      <c r="SYN238" s="1"/>
      <c r="SYO238" s="1"/>
      <c r="SYP238" s="1"/>
      <c r="SYQ238" s="1"/>
      <c r="SYR238" s="1"/>
      <c r="SYS238" s="1"/>
      <c r="SYT238" s="1"/>
      <c r="SYU238" s="1"/>
      <c r="SYV238" s="1"/>
      <c r="SYW238" s="1"/>
      <c r="SYX238" s="1"/>
      <c r="SYY238" s="1"/>
      <c r="SYZ238" s="1"/>
      <c r="SZA238" s="1"/>
      <c r="SZB238" s="1"/>
      <c r="SZC238" s="1"/>
      <c r="SZD238" s="1"/>
      <c r="SZE238" s="1"/>
      <c r="SZF238" s="1"/>
      <c r="SZG238" s="1"/>
      <c r="SZH238" s="1"/>
      <c r="SZI238" s="1"/>
      <c r="SZJ238" s="1"/>
      <c r="SZK238" s="1"/>
      <c r="SZL238" s="1"/>
      <c r="SZM238" s="1"/>
      <c r="SZN238" s="1"/>
      <c r="SZO238" s="1"/>
      <c r="SZP238" s="1"/>
      <c r="SZQ238" s="1"/>
      <c r="SZR238" s="1"/>
      <c r="SZS238" s="1"/>
      <c r="SZT238" s="1"/>
      <c r="SZU238" s="1"/>
      <c r="SZV238" s="1"/>
      <c r="SZW238" s="1"/>
      <c r="SZX238" s="1"/>
      <c r="SZY238" s="1"/>
      <c r="SZZ238" s="1"/>
      <c r="TAA238" s="1"/>
      <c r="TAB238" s="1"/>
      <c r="TAC238" s="1"/>
      <c r="TAD238" s="1"/>
      <c r="TAE238" s="1"/>
      <c r="TAF238" s="1"/>
      <c r="TAG238" s="1"/>
      <c r="TAH238" s="1"/>
      <c r="TAI238" s="1"/>
      <c r="TAJ238" s="1"/>
      <c r="TAK238" s="1"/>
      <c r="TAL238" s="1"/>
      <c r="TAM238" s="1"/>
      <c r="TAN238" s="1"/>
      <c r="TAO238" s="1"/>
      <c r="TAP238" s="1"/>
      <c r="TAQ238" s="1"/>
      <c r="TAR238" s="1"/>
      <c r="TAS238" s="1"/>
      <c r="TAT238" s="1"/>
      <c r="TAU238" s="1"/>
      <c r="TAV238" s="1"/>
      <c r="TAW238" s="1"/>
      <c r="TAX238" s="1"/>
      <c r="TAY238" s="1"/>
      <c r="TAZ238" s="1"/>
      <c r="TBA238" s="1"/>
      <c r="TBB238" s="1"/>
      <c r="TBC238" s="1"/>
      <c r="TBD238" s="1"/>
      <c r="TBE238" s="1"/>
      <c r="TBF238" s="1"/>
      <c r="TBG238" s="1"/>
      <c r="TBH238" s="1"/>
      <c r="TBI238" s="1"/>
      <c r="TBJ238" s="1"/>
      <c r="TBK238" s="1"/>
      <c r="TBL238" s="1"/>
      <c r="TBM238" s="1"/>
      <c r="TBN238" s="1"/>
      <c r="TBO238" s="1"/>
      <c r="TBP238" s="1"/>
      <c r="TBQ238" s="1"/>
      <c r="TBR238" s="1"/>
      <c r="TBS238" s="1"/>
      <c r="TBT238" s="1"/>
      <c r="TBU238" s="1"/>
      <c r="TBV238" s="1"/>
      <c r="TBW238" s="1"/>
      <c r="TBX238" s="1"/>
      <c r="TBY238" s="1"/>
      <c r="TBZ238" s="1"/>
      <c r="TCA238" s="1"/>
      <c r="TCB238" s="1"/>
      <c r="TCC238" s="1"/>
      <c r="TCD238" s="1"/>
      <c r="TCE238" s="1"/>
      <c r="TCF238" s="1"/>
      <c r="TCG238" s="1"/>
      <c r="TCH238" s="1"/>
      <c r="TCI238" s="1"/>
      <c r="TCJ238" s="1"/>
      <c r="TCK238" s="1"/>
      <c r="TCL238" s="1"/>
      <c r="TCM238" s="1"/>
      <c r="TCN238" s="1"/>
      <c r="TCO238" s="1"/>
      <c r="TCP238" s="1"/>
      <c r="TCQ238" s="1"/>
      <c r="TCR238" s="1"/>
      <c r="TCS238" s="1"/>
      <c r="TCT238" s="1"/>
      <c r="TCU238" s="1"/>
      <c r="TCV238" s="1"/>
      <c r="TCW238" s="1"/>
      <c r="TCX238" s="1"/>
      <c r="TCY238" s="1"/>
      <c r="TCZ238" s="1"/>
      <c r="TDA238" s="1"/>
      <c r="TDB238" s="1"/>
      <c r="TDC238" s="1"/>
      <c r="TDD238" s="1"/>
      <c r="TDE238" s="1"/>
      <c r="TDF238" s="1"/>
      <c r="TDG238" s="1"/>
      <c r="TDH238" s="1"/>
      <c r="TDI238" s="1"/>
      <c r="TDJ238" s="1"/>
      <c r="TDK238" s="1"/>
      <c r="TDL238" s="1"/>
      <c r="TDM238" s="1"/>
      <c r="TDN238" s="1"/>
      <c r="TDO238" s="1"/>
      <c r="TDP238" s="1"/>
      <c r="TDQ238" s="1"/>
      <c r="TDR238" s="1"/>
      <c r="TDS238" s="1"/>
      <c r="TDT238" s="1"/>
      <c r="TDU238" s="1"/>
      <c r="TDV238" s="1"/>
      <c r="TDW238" s="1"/>
      <c r="TDX238" s="1"/>
      <c r="TDY238" s="1"/>
      <c r="TDZ238" s="1"/>
      <c r="TEA238" s="1"/>
      <c r="TEB238" s="1"/>
      <c r="TEC238" s="1"/>
      <c r="TED238" s="1"/>
      <c r="TEE238" s="1"/>
      <c r="TEF238" s="1"/>
      <c r="TEG238" s="1"/>
      <c r="TEH238" s="1"/>
      <c r="TEI238" s="1"/>
      <c r="TEJ238" s="1"/>
      <c r="TEK238" s="1"/>
      <c r="TEL238" s="1"/>
      <c r="TEM238" s="1"/>
      <c r="TEN238" s="1"/>
      <c r="TEO238" s="1"/>
      <c r="TEP238" s="1"/>
      <c r="TEQ238" s="1"/>
      <c r="TER238" s="1"/>
      <c r="TES238" s="1"/>
      <c r="TET238" s="1"/>
      <c r="TEU238" s="1"/>
      <c r="TEV238" s="1"/>
      <c r="TEW238" s="1"/>
      <c r="TEX238" s="1"/>
      <c r="TEY238" s="1"/>
      <c r="TEZ238" s="1"/>
      <c r="TFA238" s="1"/>
      <c r="TFB238" s="1"/>
      <c r="TFC238" s="1"/>
      <c r="TFD238" s="1"/>
      <c r="TFE238" s="1"/>
      <c r="TFF238" s="1"/>
      <c r="TFG238" s="1"/>
      <c r="TFH238" s="1"/>
      <c r="TFI238" s="1"/>
      <c r="TFJ238" s="1"/>
      <c r="TFK238" s="1"/>
      <c r="TFL238" s="1"/>
      <c r="TFM238" s="1"/>
      <c r="TFN238" s="1"/>
      <c r="TFO238" s="1"/>
      <c r="TFP238" s="1"/>
      <c r="TFQ238" s="1"/>
      <c r="TFR238" s="1"/>
      <c r="TFS238" s="1"/>
      <c r="TFT238" s="1"/>
      <c r="TFU238" s="1"/>
      <c r="TFV238" s="1"/>
      <c r="TFW238" s="1"/>
      <c r="TFX238" s="1"/>
      <c r="TFY238" s="1"/>
      <c r="TFZ238" s="1"/>
      <c r="TGA238" s="1"/>
      <c r="TGB238" s="1"/>
      <c r="TGC238" s="1"/>
      <c r="TGD238" s="1"/>
      <c r="TGE238" s="1"/>
      <c r="TGF238" s="1"/>
      <c r="TGG238" s="1"/>
      <c r="TGH238" s="1"/>
      <c r="TGI238" s="1"/>
      <c r="TGJ238" s="1"/>
      <c r="TGK238" s="1"/>
      <c r="TGL238" s="1"/>
      <c r="TGM238" s="1"/>
      <c r="TGN238" s="1"/>
      <c r="TGO238" s="1"/>
      <c r="TGP238" s="1"/>
      <c r="TGQ238" s="1"/>
      <c r="TGR238" s="1"/>
      <c r="TGS238" s="1"/>
      <c r="TGT238" s="1"/>
      <c r="TGU238" s="1"/>
      <c r="TGV238" s="1"/>
      <c r="TGW238" s="1"/>
      <c r="TGX238" s="1"/>
      <c r="TGY238" s="1"/>
      <c r="TGZ238" s="1"/>
      <c r="THA238" s="1"/>
      <c r="THB238" s="1"/>
      <c r="THC238" s="1"/>
      <c r="THD238" s="1"/>
      <c r="THE238" s="1"/>
      <c r="THF238" s="1"/>
      <c r="THG238" s="1"/>
      <c r="THH238" s="1"/>
      <c r="THI238" s="1"/>
      <c r="THJ238" s="1"/>
      <c r="THK238" s="1"/>
      <c r="THL238" s="1"/>
      <c r="THM238" s="1"/>
      <c r="THN238" s="1"/>
      <c r="THO238" s="1"/>
      <c r="THP238" s="1"/>
      <c r="THQ238" s="1"/>
      <c r="THR238" s="1"/>
      <c r="THS238" s="1"/>
      <c r="THT238" s="1"/>
      <c r="THU238" s="1"/>
      <c r="THV238" s="1"/>
      <c r="THW238" s="1"/>
      <c r="THX238" s="1"/>
      <c r="THY238" s="1"/>
      <c r="THZ238" s="1"/>
      <c r="TIA238" s="1"/>
      <c r="TIB238" s="1"/>
      <c r="TIC238" s="1"/>
      <c r="TID238" s="1"/>
      <c r="TIE238" s="1"/>
      <c r="TIF238" s="1"/>
      <c r="TIG238" s="1"/>
      <c r="TIH238" s="1"/>
      <c r="TII238" s="1"/>
      <c r="TIJ238" s="1"/>
      <c r="TIK238" s="1"/>
      <c r="TIL238" s="1"/>
      <c r="TIM238" s="1"/>
      <c r="TIN238" s="1"/>
      <c r="TIO238" s="1"/>
      <c r="TIP238" s="1"/>
      <c r="TIQ238" s="1"/>
      <c r="TIR238" s="1"/>
      <c r="TIS238" s="1"/>
      <c r="TIT238" s="1"/>
      <c r="TIU238" s="1"/>
      <c r="TIV238" s="1"/>
      <c r="TIW238" s="1"/>
      <c r="TIX238" s="1"/>
      <c r="TIY238" s="1"/>
      <c r="TIZ238" s="1"/>
      <c r="TJA238" s="1"/>
      <c r="TJB238" s="1"/>
      <c r="TJC238" s="1"/>
      <c r="TJD238" s="1"/>
      <c r="TJE238" s="1"/>
      <c r="TJF238" s="1"/>
      <c r="TJG238" s="1"/>
      <c r="TJH238" s="1"/>
      <c r="TJI238" s="1"/>
      <c r="TJJ238" s="1"/>
      <c r="TJK238" s="1"/>
      <c r="TJL238" s="1"/>
      <c r="TJM238" s="1"/>
      <c r="TJN238" s="1"/>
      <c r="TJO238" s="1"/>
      <c r="TJP238" s="1"/>
      <c r="TJQ238" s="1"/>
      <c r="TJR238" s="1"/>
      <c r="TJS238" s="1"/>
      <c r="TJT238" s="1"/>
      <c r="TJU238" s="1"/>
      <c r="TJV238" s="1"/>
      <c r="TJW238" s="1"/>
      <c r="TJX238" s="1"/>
      <c r="TJY238" s="1"/>
      <c r="TJZ238" s="1"/>
      <c r="TKA238" s="1"/>
      <c r="TKB238" s="1"/>
      <c r="TKC238" s="1"/>
      <c r="TKD238" s="1"/>
      <c r="TKE238" s="1"/>
      <c r="TKF238" s="1"/>
      <c r="TKG238" s="1"/>
      <c r="TKH238" s="1"/>
      <c r="TKI238" s="1"/>
      <c r="TKJ238" s="1"/>
      <c r="TKK238" s="1"/>
      <c r="TKL238" s="1"/>
      <c r="TKM238" s="1"/>
      <c r="TKN238" s="1"/>
      <c r="TKO238" s="1"/>
      <c r="TKP238" s="1"/>
      <c r="TKQ238" s="1"/>
      <c r="TKR238" s="1"/>
      <c r="TKS238" s="1"/>
      <c r="TKT238" s="1"/>
      <c r="TKU238" s="1"/>
      <c r="TKV238" s="1"/>
      <c r="TKW238" s="1"/>
      <c r="TKX238" s="1"/>
      <c r="TKY238" s="1"/>
      <c r="TKZ238" s="1"/>
      <c r="TLA238" s="1"/>
      <c r="TLB238" s="1"/>
      <c r="TLC238" s="1"/>
      <c r="TLD238" s="1"/>
      <c r="TLE238" s="1"/>
      <c r="TLF238" s="1"/>
      <c r="TLG238" s="1"/>
      <c r="TLH238" s="1"/>
      <c r="TLI238" s="1"/>
      <c r="TLJ238" s="1"/>
      <c r="TLK238" s="1"/>
      <c r="TLL238" s="1"/>
      <c r="TLM238" s="1"/>
      <c r="TLN238" s="1"/>
      <c r="TLO238" s="1"/>
      <c r="TLP238" s="1"/>
      <c r="TLQ238" s="1"/>
      <c r="TLR238" s="1"/>
      <c r="TLS238" s="1"/>
      <c r="TLT238" s="1"/>
      <c r="TLU238" s="1"/>
      <c r="TLV238" s="1"/>
      <c r="TLW238" s="1"/>
      <c r="TLX238" s="1"/>
      <c r="TLY238" s="1"/>
      <c r="TLZ238" s="1"/>
      <c r="TMA238" s="1"/>
      <c r="TMB238" s="1"/>
      <c r="TMC238" s="1"/>
      <c r="TMD238" s="1"/>
      <c r="TME238" s="1"/>
      <c r="TMF238" s="1"/>
      <c r="TMG238" s="1"/>
      <c r="TMH238" s="1"/>
      <c r="TMI238" s="1"/>
      <c r="TMJ238" s="1"/>
      <c r="TMK238" s="1"/>
      <c r="TML238" s="1"/>
      <c r="TMM238" s="1"/>
      <c r="TMN238" s="1"/>
      <c r="TMO238" s="1"/>
      <c r="TMP238" s="1"/>
      <c r="TMQ238" s="1"/>
      <c r="TMR238" s="1"/>
      <c r="TMS238" s="1"/>
      <c r="TMT238" s="1"/>
      <c r="TMU238" s="1"/>
      <c r="TMV238" s="1"/>
      <c r="TMW238" s="1"/>
      <c r="TMX238" s="1"/>
      <c r="TMY238" s="1"/>
      <c r="TMZ238" s="1"/>
      <c r="TNA238" s="1"/>
      <c r="TNB238" s="1"/>
      <c r="TNC238" s="1"/>
      <c r="TND238" s="1"/>
      <c r="TNE238" s="1"/>
      <c r="TNF238" s="1"/>
      <c r="TNG238" s="1"/>
      <c r="TNH238" s="1"/>
      <c r="TNI238" s="1"/>
      <c r="TNJ238" s="1"/>
      <c r="TNK238" s="1"/>
      <c r="TNL238" s="1"/>
      <c r="TNM238" s="1"/>
      <c r="TNN238" s="1"/>
      <c r="TNO238" s="1"/>
      <c r="TNP238" s="1"/>
      <c r="TNQ238" s="1"/>
      <c r="TNR238" s="1"/>
      <c r="TNS238" s="1"/>
      <c r="TNT238" s="1"/>
      <c r="TNU238" s="1"/>
      <c r="TNV238" s="1"/>
      <c r="TNW238" s="1"/>
      <c r="TNX238" s="1"/>
      <c r="TNY238" s="1"/>
      <c r="TNZ238" s="1"/>
      <c r="TOA238" s="1"/>
      <c r="TOB238" s="1"/>
      <c r="TOC238" s="1"/>
      <c r="TOD238" s="1"/>
      <c r="TOE238" s="1"/>
      <c r="TOF238" s="1"/>
      <c r="TOG238" s="1"/>
      <c r="TOH238" s="1"/>
      <c r="TOI238" s="1"/>
      <c r="TOJ238" s="1"/>
      <c r="TOK238" s="1"/>
      <c r="TOL238" s="1"/>
      <c r="TOM238" s="1"/>
      <c r="TON238" s="1"/>
      <c r="TOO238" s="1"/>
      <c r="TOP238" s="1"/>
      <c r="TOQ238" s="1"/>
      <c r="TOR238" s="1"/>
      <c r="TOS238" s="1"/>
      <c r="TOT238" s="1"/>
      <c r="TOU238" s="1"/>
      <c r="TOV238" s="1"/>
      <c r="TOW238" s="1"/>
      <c r="TOX238" s="1"/>
      <c r="TOY238" s="1"/>
      <c r="TOZ238" s="1"/>
      <c r="TPA238" s="1"/>
      <c r="TPB238" s="1"/>
      <c r="TPC238" s="1"/>
      <c r="TPD238" s="1"/>
      <c r="TPE238" s="1"/>
      <c r="TPF238" s="1"/>
      <c r="TPG238" s="1"/>
      <c r="TPH238" s="1"/>
      <c r="TPI238" s="1"/>
      <c r="TPJ238" s="1"/>
      <c r="TPK238" s="1"/>
      <c r="TPL238" s="1"/>
      <c r="TPM238" s="1"/>
      <c r="TPN238" s="1"/>
      <c r="TPO238" s="1"/>
      <c r="TPP238" s="1"/>
      <c r="TPQ238" s="1"/>
      <c r="TPR238" s="1"/>
      <c r="TPS238" s="1"/>
      <c r="TPT238" s="1"/>
      <c r="TPU238" s="1"/>
      <c r="TPV238" s="1"/>
      <c r="TPW238" s="1"/>
      <c r="TPX238" s="1"/>
      <c r="TPY238" s="1"/>
      <c r="TPZ238" s="1"/>
      <c r="TQA238" s="1"/>
      <c r="TQB238" s="1"/>
      <c r="TQC238" s="1"/>
      <c r="TQD238" s="1"/>
      <c r="TQE238" s="1"/>
      <c r="TQF238" s="1"/>
      <c r="TQG238" s="1"/>
      <c r="TQH238" s="1"/>
      <c r="TQI238" s="1"/>
      <c r="TQJ238" s="1"/>
      <c r="TQK238" s="1"/>
      <c r="TQL238" s="1"/>
      <c r="TQM238" s="1"/>
      <c r="TQN238" s="1"/>
      <c r="TQO238" s="1"/>
      <c r="TQP238" s="1"/>
      <c r="TQQ238" s="1"/>
      <c r="TQR238" s="1"/>
      <c r="TQS238" s="1"/>
      <c r="TQT238" s="1"/>
      <c r="TQU238" s="1"/>
      <c r="TQV238" s="1"/>
      <c r="TQW238" s="1"/>
      <c r="TQX238" s="1"/>
      <c r="TQY238" s="1"/>
      <c r="TQZ238" s="1"/>
      <c r="TRA238" s="1"/>
      <c r="TRB238" s="1"/>
      <c r="TRC238" s="1"/>
      <c r="TRD238" s="1"/>
      <c r="TRE238" s="1"/>
      <c r="TRF238" s="1"/>
      <c r="TRG238" s="1"/>
      <c r="TRH238" s="1"/>
      <c r="TRI238" s="1"/>
      <c r="TRJ238" s="1"/>
      <c r="TRK238" s="1"/>
      <c r="TRL238" s="1"/>
      <c r="TRM238" s="1"/>
      <c r="TRN238" s="1"/>
      <c r="TRO238" s="1"/>
      <c r="TRP238" s="1"/>
      <c r="TRQ238" s="1"/>
      <c r="TRR238" s="1"/>
      <c r="TRS238" s="1"/>
      <c r="TRT238" s="1"/>
      <c r="TRU238" s="1"/>
      <c r="TRV238" s="1"/>
      <c r="TRW238" s="1"/>
      <c r="TRX238" s="1"/>
      <c r="TRY238" s="1"/>
      <c r="TRZ238" s="1"/>
      <c r="TSA238" s="1"/>
      <c r="TSB238" s="1"/>
      <c r="TSC238" s="1"/>
      <c r="TSD238" s="1"/>
      <c r="TSE238" s="1"/>
      <c r="TSF238" s="1"/>
      <c r="TSG238" s="1"/>
      <c r="TSH238" s="1"/>
      <c r="TSI238" s="1"/>
      <c r="TSJ238" s="1"/>
      <c r="TSK238" s="1"/>
      <c r="TSL238" s="1"/>
      <c r="TSM238" s="1"/>
      <c r="TSN238" s="1"/>
      <c r="TSO238" s="1"/>
      <c r="TSP238" s="1"/>
      <c r="TSQ238" s="1"/>
      <c r="TSR238" s="1"/>
      <c r="TSS238" s="1"/>
      <c r="TST238" s="1"/>
      <c r="TSU238" s="1"/>
      <c r="TSV238" s="1"/>
      <c r="TSW238" s="1"/>
      <c r="TSX238" s="1"/>
      <c r="TSY238" s="1"/>
      <c r="TSZ238" s="1"/>
      <c r="TTA238" s="1"/>
      <c r="TTB238" s="1"/>
      <c r="TTC238" s="1"/>
      <c r="TTD238" s="1"/>
      <c r="TTE238" s="1"/>
      <c r="TTF238" s="1"/>
      <c r="TTG238" s="1"/>
      <c r="TTH238" s="1"/>
      <c r="TTI238" s="1"/>
      <c r="TTJ238" s="1"/>
      <c r="TTK238" s="1"/>
      <c r="TTL238" s="1"/>
      <c r="TTM238" s="1"/>
      <c r="TTN238" s="1"/>
      <c r="TTO238" s="1"/>
      <c r="TTP238" s="1"/>
      <c r="TTQ238" s="1"/>
      <c r="TTR238" s="1"/>
      <c r="TTS238" s="1"/>
      <c r="TTT238" s="1"/>
      <c r="TTU238" s="1"/>
      <c r="TTV238" s="1"/>
      <c r="TTW238" s="1"/>
      <c r="TTX238" s="1"/>
      <c r="TTY238" s="1"/>
      <c r="TTZ238" s="1"/>
      <c r="TUA238" s="1"/>
      <c r="TUB238" s="1"/>
      <c r="TUC238" s="1"/>
      <c r="TUD238" s="1"/>
      <c r="TUE238" s="1"/>
      <c r="TUF238" s="1"/>
      <c r="TUG238" s="1"/>
      <c r="TUH238" s="1"/>
      <c r="TUI238" s="1"/>
      <c r="TUJ238" s="1"/>
      <c r="TUK238" s="1"/>
      <c r="TUL238" s="1"/>
      <c r="TUM238" s="1"/>
      <c r="TUN238" s="1"/>
      <c r="TUO238" s="1"/>
      <c r="TUP238" s="1"/>
      <c r="TUQ238" s="1"/>
      <c r="TUR238" s="1"/>
      <c r="TUS238" s="1"/>
      <c r="TUT238" s="1"/>
      <c r="TUU238" s="1"/>
      <c r="TUV238" s="1"/>
      <c r="TUW238" s="1"/>
      <c r="TUX238" s="1"/>
      <c r="TUY238" s="1"/>
      <c r="TUZ238" s="1"/>
      <c r="TVA238" s="1"/>
      <c r="TVB238" s="1"/>
      <c r="TVC238" s="1"/>
      <c r="TVD238" s="1"/>
      <c r="TVE238" s="1"/>
      <c r="TVF238" s="1"/>
      <c r="TVG238" s="1"/>
      <c r="TVH238" s="1"/>
      <c r="TVI238" s="1"/>
      <c r="TVJ238" s="1"/>
      <c r="TVK238" s="1"/>
      <c r="TVL238" s="1"/>
      <c r="TVM238" s="1"/>
      <c r="TVN238" s="1"/>
      <c r="TVO238" s="1"/>
      <c r="TVP238" s="1"/>
      <c r="TVQ238" s="1"/>
      <c r="TVR238" s="1"/>
      <c r="TVS238" s="1"/>
      <c r="TVT238" s="1"/>
      <c r="TVU238" s="1"/>
      <c r="TVV238" s="1"/>
      <c r="TVW238" s="1"/>
      <c r="TVX238" s="1"/>
      <c r="TVY238" s="1"/>
      <c r="TVZ238" s="1"/>
      <c r="TWA238" s="1"/>
      <c r="TWB238" s="1"/>
      <c r="TWC238" s="1"/>
      <c r="TWD238" s="1"/>
      <c r="TWE238" s="1"/>
      <c r="TWF238" s="1"/>
      <c r="TWG238" s="1"/>
      <c r="TWH238" s="1"/>
      <c r="TWI238" s="1"/>
      <c r="TWJ238" s="1"/>
      <c r="TWK238" s="1"/>
      <c r="TWL238" s="1"/>
      <c r="TWM238" s="1"/>
      <c r="TWN238" s="1"/>
      <c r="TWO238" s="1"/>
      <c r="TWP238" s="1"/>
      <c r="TWQ238" s="1"/>
      <c r="TWR238" s="1"/>
      <c r="TWS238" s="1"/>
      <c r="TWT238" s="1"/>
      <c r="TWU238" s="1"/>
      <c r="TWV238" s="1"/>
      <c r="TWW238" s="1"/>
      <c r="TWX238" s="1"/>
      <c r="TWY238" s="1"/>
      <c r="TWZ238" s="1"/>
      <c r="TXA238" s="1"/>
      <c r="TXB238" s="1"/>
      <c r="TXC238" s="1"/>
      <c r="TXD238" s="1"/>
      <c r="TXE238" s="1"/>
      <c r="TXF238" s="1"/>
      <c r="TXG238" s="1"/>
      <c r="TXH238" s="1"/>
      <c r="TXI238" s="1"/>
      <c r="TXJ238" s="1"/>
      <c r="TXK238" s="1"/>
      <c r="TXL238" s="1"/>
      <c r="TXM238" s="1"/>
      <c r="TXN238" s="1"/>
      <c r="TXO238" s="1"/>
      <c r="TXP238" s="1"/>
      <c r="TXQ238" s="1"/>
      <c r="TXR238" s="1"/>
      <c r="TXS238" s="1"/>
      <c r="TXT238" s="1"/>
      <c r="TXU238" s="1"/>
      <c r="TXV238" s="1"/>
      <c r="TXW238" s="1"/>
      <c r="TXX238" s="1"/>
      <c r="TXY238" s="1"/>
      <c r="TXZ238" s="1"/>
      <c r="TYA238" s="1"/>
      <c r="TYB238" s="1"/>
      <c r="TYC238" s="1"/>
      <c r="TYD238" s="1"/>
      <c r="TYE238" s="1"/>
      <c r="TYF238" s="1"/>
      <c r="TYG238" s="1"/>
      <c r="TYH238" s="1"/>
      <c r="TYI238" s="1"/>
      <c r="TYJ238" s="1"/>
      <c r="TYK238" s="1"/>
      <c r="TYL238" s="1"/>
      <c r="TYM238" s="1"/>
      <c r="TYN238" s="1"/>
      <c r="TYO238" s="1"/>
      <c r="TYP238" s="1"/>
      <c r="TYQ238" s="1"/>
      <c r="TYR238" s="1"/>
      <c r="TYS238" s="1"/>
      <c r="TYT238" s="1"/>
      <c r="TYU238" s="1"/>
      <c r="TYV238" s="1"/>
      <c r="TYW238" s="1"/>
      <c r="TYX238" s="1"/>
      <c r="TYY238" s="1"/>
      <c r="TYZ238" s="1"/>
      <c r="TZA238" s="1"/>
      <c r="TZB238" s="1"/>
      <c r="TZC238" s="1"/>
      <c r="TZD238" s="1"/>
      <c r="TZE238" s="1"/>
      <c r="TZF238" s="1"/>
      <c r="TZG238" s="1"/>
      <c r="TZH238" s="1"/>
      <c r="TZI238" s="1"/>
      <c r="TZJ238" s="1"/>
      <c r="TZK238" s="1"/>
      <c r="TZL238" s="1"/>
      <c r="TZM238" s="1"/>
      <c r="TZN238" s="1"/>
      <c r="TZO238" s="1"/>
      <c r="TZP238" s="1"/>
      <c r="TZQ238" s="1"/>
      <c r="TZR238" s="1"/>
      <c r="TZS238" s="1"/>
      <c r="TZT238" s="1"/>
      <c r="TZU238" s="1"/>
      <c r="TZV238" s="1"/>
      <c r="TZW238" s="1"/>
      <c r="TZX238" s="1"/>
      <c r="TZY238" s="1"/>
      <c r="TZZ238" s="1"/>
      <c r="UAA238" s="1"/>
      <c r="UAB238" s="1"/>
      <c r="UAC238" s="1"/>
      <c r="UAD238" s="1"/>
      <c r="UAE238" s="1"/>
      <c r="UAF238" s="1"/>
      <c r="UAG238" s="1"/>
      <c r="UAH238" s="1"/>
      <c r="UAI238" s="1"/>
      <c r="UAJ238" s="1"/>
      <c r="UAK238" s="1"/>
      <c r="UAL238" s="1"/>
      <c r="UAM238" s="1"/>
      <c r="UAN238" s="1"/>
      <c r="UAO238" s="1"/>
      <c r="UAP238" s="1"/>
      <c r="UAQ238" s="1"/>
      <c r="UAR238" s="1"/>
      <c r="UAS238" s="1"/>
      <c r="UAT238" s="1"/>
      <c r="UAU238" s="1"/>
      <c r="UAV238" s="1"/>
      <c r="UAW238" s="1"/>
      <c r="UAX238" s="1"/>
      <c r="UAY238" s="1"/>
      <c r="UAZ238" s="1"/>
      <c r="UBA238" s="1"/>
      <c r="UBB238" s="1"/>
      <c r="UBC238" s="1"/>
      <c r="UBD238" s="1"/>
      <c r="UBE238" s="1"/>
      <c r="UBF238" s="1"/>
      <c r="UBG238" s="1"/>
      <c r="UBH238" s="1"/>
      <c r="UBI238" s="1"/>
      <c r="UBJ238" s="1"/>
      <c r="UBK238" s="1"/>
      <c r="UBL238" s="1"/>
      <c r="UBM238" s="1"/>
      <c r="UBN238" s="1"/>
      <c r="UBO238" s="1"/>
      <c r="UBP238" s="1"/>
      <c r="UBQ238" s="1"/>
      <c r="UBR238" s="1"/>
      <c r="UBS238" s="1"/>
      <c r="UBT238" s="1"/>
      <c r="UBU238" s="1"/>
      <c r="UBV238" s="1"/>
      <c r="UBW238" s="1"/>
      <c r="UBX238" s="1"/>
      <c r="UBY238" s="1"/>
      <c r="UBZ238" s="1"/>
      <c r="UCA238" s="1"/>
      <c r="UCB238" s="1"/>
      <c r="UCC238" s="1"/>
      <c r="UCD238" s="1"/>
      <c r="UCE238" s="1"/>
      <c r="UCF238" s="1"/>
      <c r="UCG238" s="1"/>
      <c r="UCH238" s="1"/>
      <c r="UCI238" s="1"/>
      <c r="UCJ238" s="1"/>
      <c r="UCK238" s="1"/>
      <c r="UCL238" s="1"/>
      <c r="UCM238" s="1"/>
      <c r="UCN238" s="1"/>
      <c r="UCO238" s="1"/>
      <c r="UCP238" s="1"/>
      <c r="UCQ238" s="1"/>
      <c r="UCR238" s="1"/>
      <c r="UCS238" s="1"/>
      <c r="UCT238" s="1"/>
      <c r="UCU238" s="1"/>
      <c r="UCV238" s="1"/>
      <c r="UCW238" s="1"/>
      <c r="UCX238" s="1"/>
      <c r="UCY238" s="1"/>
      <c r="UCZ238" s="1"/>
      <c r="UDA238" s="1"/>
      <c r="UDB238" s="1"/>
      <c r="UDC238" s="1"/>
      <c r="UDD238" s="1"/>
      <c r="UDE238" s="1"/>
      <c r="UDF238" s="1"/>
      <c r="UDG238" s="1"/>
      <c r="UDH238" s="1"/>
      <c r="UDI238" s="1"/>
      <c r="UDJ238" s="1"/>
      <c r="UDK238" s="1"/>
      <c r="UDL238" s="1"/>
      <c r="UDM238" s="1"/>
      <c r="UDN238" s="1"/>
      <c r="UDO238" s="1"/>
      <c r="UDP238" s="1"/>
      <c r="UDQ238" s="1"/>
      <c r="UDR238" s="1"/>
      <c r="UDS238" s="1"/>
      <c r="UDT238" s="1"/>
      <c r="UDU238" s="1"/>
      <c r="UDV238" s="1"/>
      <c r="UDW238" s="1"/>
      <c r="UDX238" s="1"/>
      <c r="UDY238" s="1"/>
      <c r="UDZ238" s="1"/>
      <c r="UEA238" s="1"/>
      <c r="UEB238" s="1"/>
      <c r="UEC238" s="1"/>
      <c r="UED238" s="1"/>
      <c r="UEE238" s="1"/>
      <c r="UEF238" s="1"/>
      <c r="UEG238" s="1"/>
      <c r="UEH238" s="1"/>
      <c r="UEI238" s="1"/>
      <c r="UEJ238" s="1"/>
      <c r="UEK238" s="1"/>
      <c r="UEL238" s="1"/>
      <c r="UEM238" s="1"/>
      <c r="UEN238" s="1"/>
      <c r="UEO238" s="1"/>
      <c r="UEP238" s="1"/>
      <c r="UEQ238" s="1"/>
      <c r="UER238" s="1"/>
      <c r="UES238" s="1"/>
      <c r="UET238" s="1"/>
      <c r="UEU238" s="1"/>
      <c r="UEV238" s="1"/>
      <c r="UEW238" s="1"/>
      <c r="UEX238" s="1"/>
      <c r="UEY238" s="1"/>
      <c r="UEZ238" s="1"/>
      <c r="UFA238" s="1"/>
      <c r="UFB238" s="1"/>
      <c r="UFC238" s="1"/>
      <c r="UFD238" s="1"/>
      <c r="UFE238" s="1"/>
      <c r="UFF238" s="1"/>
      <c r="UFG238" s="1"/>
      <c r="UFH238" s="1"/>
      <c r="UFI238" s="1"/>
      <c r="UFJ238" s="1"/>
      <c r="UFK238" s="1"/>
      <c r="UFL238" s="1"/>
      <c r="UFM238" s="1"/>
      <c r="UFN238" s="1"/>
      <c r="UFO238" s="1"/>
      <c r="UFP238" s="1"/>
      <c r="UFQ238" s="1"/>
      <c r="UFR238" s="1"/>
      <c r="UFS238" s="1"/>
      <c r="UFT238" s="1"/>
      <c r="UFU238" s="1"/>
      <c r="UFV238" s="1"/>
      <c r="UFW238" s="1"/>
      <c r="UFX238" s="1"/>
      <c r="UFY238" s="1"/>
      <c r="UFZ238" s="1"/>
      <c r="UGA238" s="1"/>
      <c r="UGB238" s="1"/>
      <c r="UGC238" s="1"/>
      <c r="UGD238" s="1"/>
      <c r="UGE238" s="1"/>
      <c r="UGF238" s="1"/>
      <c r="UGG238" s="1"/>
      <c r="UGH238" s="1"/>
      <c r="UGI238" s="1"/>
      <c r="UGJ238" s="1"/>
      <c r="UGK238" s="1"/>
      <c r="UGL238" s="1"/>
      <c r="UGM238" s="1"/>
      <c r="UGN238" s="1"/>
      <c r="UGO238" s="1"/>
      <c r="UGP238" s="1"/>
      <c r="UGQ238" s="1"/>
      <c r="UGR238" s="1"/>
      <c r="UGS238" s="1"/>
      <c r="UGT238" s="1"/>
      <c r="UGU238" s="1"/>
      <c r="UGV238" s="1"/>
      <c r="UGW238" s="1"/>
      <c r="UGX238" s="1"/>
      <c r="UGY238" s="1"/>
      <c r="UGZ238" s="1"/>
      <c r="UHA238" s="1"/>
      <c r="UHB238" s="1"/>
      <c r="UHC238" s="1"/>
      <c r="UHD238" s="1"/>
      <c r="UHE238" s="1"/>
      <c r="UHF238" s="1"/>
      <c r="UHG238" s="1"/>
      <c r="UHH238" s="1"/>
      <c r="UHI238" s="1"/>
      <c r="UHJ238" s="1"/>
      <c r="UHK238" s="1"/>
      <c r="UHL238" s="1"/>
      <c r="UHM238" s="1"/>
      <c r="UHN238" s="1"/>
      <c r="UHO238" s="1"/>
      <c r="UHP238" s="1"/>
      <c r="UHQ238" s="1"/>
      <c r="UHR238" s="1"/>
      <c r="UHS238" s="1"/>
      <c r="UHT238" s="1"/>
      <c r="UHU238" s="1"/>
      <c r="UHV238" s="1"/>
      <c r="UHW238" s="1"/>
      <c r="UHX238" s="1"/>
      <c r="UHY238" s="1"/>
      <c r="UHZ238" s="1"/>
      <c r="UIA238" s="1"/>
      <c r="UIB238" s="1"/>
      <c r="UIC238" s="1"/>
      <c r="UID238" s="1"/>
      <c r="UIE238" s="1"/>
      <c r="UIF238" s="1"/>
      <c r="UIG238" s="1"/>
      <c r="UIH238" s="1"/>
      <c r="UII238" s="1"/>
      <c r="UIJ238" s="1"/>
      <c r="UIK238" s="1"/>
      <c r="UIL238" s="1"/>
      <c r="UIM238" s="1"/>
      <c r="UIN238" s="1"/>
      <c r="UIO238" s="1"/>
      <c r="UIP238" s="1"/>
      <c r="UIQ238" s="1"/>
      <c r="UIR238" s="1"/>
      <c r="UIS238" s="1"/>
      <c r="UIT238" s="1"/>
      <c r="UIU238" s="1"/>
      <c r="UIV238" s="1"/>
      <c r="UIW238" s="1"/>
      <c r="UIX238" s="1"/>
      <c r="UIY238" s="1"/>
      <c r="UIZ238" s="1"/>
      <c r="UJA238" s="1"/>
      <c r="UJB238" s="1"/>
      <c r="UJC238" s="1"/>
      <c r="UJD238" s="1"/>
      <c r="UJE238" s="1"/>
      <c r="UJF238" s="1"/>
      <c r="UJG238" s="1"/>
      <c r="UJH238" s="1"/>
      <c r="UJI238" s="1"/>
      <c r="UJJ238" s="1"/>
      <c r="UJK238" s="1"/>
      <c r="UJL238" s="1"/>
      <c r="UJM238" s="1"/>
      <c r="UJN238" s="1"/>
      <c r="UJO238" s="1"/>
      <c r="UJP238" s="1"/>
      <c r="UJQ238" s="1"/>
      <c r="UJR238" s="1"/>
      <c r="UJS238" s="1"/>
      <c r="UJT238" s="1"/>
      <c r="UJU238" s="1"/>
      <c r="UJV238" s="1"/>
      <c r="UJW238" s="1"/>
      <c r="UJX238" s="1"/>
      <c r="UJY238" s="1"/>
      <c r="UJZ238" s="1"/>
      <c r="UKA238" s="1"/>
      <c r="UKB238" s="1"/>
      <c r="UKC238" s="1"/>
      <c r="UKD238" s="1"/>
      <c r="UKE238" s="1"/>
      <c r="UKF238" s="1"/>
      <c r="UKG238" s="1"/>
      <c r="UKH238" s="1"/>
      <c r="UKI238" s="1"/>
      <c r="UKJ238" s="1"/>
      <c r="UKK238" s="1"/>
      <c r="UKL238" s="1"/>
      <c r="UKM238" s="1"/>
      <c r="UKN238" s="1"/>
      <c r="UKO238" s="1"/>
      <c r="UKP238" s="1"/>
      <c r="UKQ238" s="1"/>
      <c r="UKR238" s="1"/>
      <c r="UKS238" s="1"/>
      <c r="UKT238" s="1"/>
      <c r="UKU238" s="1"/>
      <c r="UKV238" s="1"/>
      <c r="UKW238" s="1"/>
      <c r="UKX238" s="1"/>
      <c r="UKY238" s="1"/>
      <c r="UKZ238" s="1"/>
      <c r="ULA238" s="1"/>
      <c r="ULB238" s="1"/>
      <c r="ULC238" s="1"/>
      <c r="ULD238" s="1"/>
      <c r="ULE238" s="1"/>
      <c r="ULF238" s="1"/>
      <c r="ULG238" s="1"/>
      <c r="ULH238" s="1"/>
      <c r="ULI238" s="1"/>
      <c r="ULJ238" s="1"/>
      <c r="ULK238" s="1"/>
      <c r="ULL238" s="1"/>
      <c r="ULM238" s="1"/>
      <c r="ULN238" s="1"/>
      <c r="ULO238" s="1"/>
      <c r="ULP238" s="1"/>
      <c r="ULQ238" s="1"/>
      <c r="ULR238" s="1"/>
      <c r="ULS238" s="1"/>
      <c r="ULT238" s="1"/>
      <c r="ULU238" s="1"/>
      <c r="ULV238" s="1"/>
      <c r="ULW238" s="1"/>
      <c r="ULX238" s="1"/>
      <c r="ULY238" s="1"/>
      <c r="ULZ238" s="1"/>
      <c r="UMA238" s="1"/>
      <c r="UMB238" s="1"/>
      <c r="UMC238" s="1"/>
      <c r="UMD238" s="1"/>
      <c r="UME238" s="1"/>
      <c r="UMF238" s="1"/>
      <c r="UMG238" s="1"/>
      <c r="UMH238" s="1"/>
      <c r="UMI238" s="1"/>
      <c r="UMJ238" s="1"/>
      <c r="UMK238" s="1"/>
      <c r="UML238" s="1"/>
      <c r="UMM238" s="1"/>
      <c r="UMN238" s="1"/>
      <c r="UMO238" s="1"/>
      <c r="UMP238" s="1"/>
      <c r="UMQ238" s="1"/>
      <c r="UMR238" s="1"/>
      <c r="UMS238" s="1"/>
      <c r="UMT238" s="1"/>
      <c r="UMU238" s="1"/>
      <c r="UMV238" s="1"/>
      <c r="UMW238" s="1"/>
      <c r="UMX238" s="1"/>
      <c r="UMY238" s="1"/>
      <c r="UMZ238" s="1"/>
      <c r="UNA238" s="1"/>
      <c r="UNB238" s="1"/>
      <c r="UNC238" s="1"/>
      <c r="UND238" s="1"/>
      <c r="UNE238" s="1"/>
      <c r="UNF238" s="1"/>
      <c r="UNG238" s="1"/>
      <c r="UNH238" s="1"/>
      <c r="UNI238" s="1"/>
      <c r="UNJ238" s="1"/>
      <c r="UNK238" s="1"/>
      <c r="UNL238" s="1"/>
      <c r="UNM238" s="1"/>
      <c r="UNN238" s="1"/>
      <c r="UNO238" s="1"/>
      <c r="UNP238" s="1"/>
      <c r="UNQ238" s="1"/>
      <c r="UNR238" s="1"/>
      <c r="UNS238" s="1"/>
      <c r="UNT238" s="1"/>
      <c r="UNU238" s="1"/>
      <c r="UNV238" s="1"/>
      <c r="UNW238" s="1"/>
      <c r="UNX238" s="1"/>
      <c r="UNY238" s="1"/>
      <c r="UNZ238" s="1"/>
      <c r="UOA238" s="1"/>
      <c r="UOB238" s="1"/>
      <c r="UOC238" s="1"/>
      <c r="UOD238" s="1"/>
      <c r="UOE238" s="1"/>
      <c r="UOF238" s="1"/>
      <c r="UOG238" s="1"/>
      <c r="UOH238" s="1"/>
      <c r="UOI238" s="1"/>
      <c r="UOJ238" s="1"/>
      <c r="UOK238" s="1"/>
      <c r="UOL238" s="1"/>
      <c r="UOM238" s="1"/>
      <c r="UON238" s="1"/>
      <c r="UOO238" s="1"/>
      <c r="UOP238" s="1"/>
      <c r="UOQ238" s="1"/>
      <c r="UOR238" s="1"/>
      <c r="UOS238" s="1"/>
      <c r="UOT238" s="1"/>
      <c r="UOU238" s="1"/>
      <c r="UOV238" s="1"/>
      <c r="UOW238" s="1"/>
      <c r="UOX238" s="1"/>
      <c r="UOY238" s="1"/>
      <c r="UOZ238" s="1"/>
      <c r="UPA238" s="1"/>
      <c r="UPB238" s="1"/>
      <c r="UPC238" s="1"/>
      <c r="UPD238" s="1"/>
      <c r="UPE238" s="1"/>
      <c r="UPF238" s="1"/>
      <c r="UPG238" s="1"/>
      <c r="UPH238" s="1"/>
      <c r="UPI238" s="1"/>
      <c r="UPJ238" s="1"/>
      <c r="UPK238" s="1"/>
      <c r="UPL238" s="1"/>
      <c r="UPM238" s="1"/>
      <c r="UPN238" s="1"/>
      <c r="UPO238" s="1"/>
      <c r="UPP238" s="1"/>
      <c r="UPQ238" s="1"/>
      <c r="UPR238" s="1"/>
      <c r="UPS238" s="1"/>
      <c r="UPT238" s="1"/>
      <c r="UPU238" s="1"/>
      <c r="UPV238" s="1"/>
      <c r="UPW238" s="1"/>
      <c r="UPX238" s="1"/>
      <c r="UPY238" s="1"/>
      <c r="UPZ238" s="1"/>
      <c r="UQA238" s="1"/>
      <c r="UQB238" s="1"/>
      <c r="UQC238" s="1"/>
      <c r="UQD238" s="1"/>
      <c r="UQE238" s="1"/>
      <c r="UQF238" s="1"/>
      <c r="UQG238" s="1"/>
      <c r="UQH238" s="1"/>
      <c r="UQI238" s="1"/>
      <c r="UQJ238" s="1"/>
      <c r="UQK238" s="1"/>
      <c r="UQL238" s="1"/>
      <c r="UQM238" s="1"/>
      <c r="UQN238" s="1"/>
      <c r="UQO238" s="1"/>
      <c r="UQP238" s="1"/>
      <c r="UQQ238" s="1"/>
      <c r="UQR238" s="1"/>
      <c r="UQS238" s="1"/>
      <c r="UQT238" s="1"/>
      <c r="UQU238" s="1"/>
      <c r="UQV238" s="1"/>
      <c r="UQW238" s="1"/>
      <c r="UQX238" s="1"/>
      <c r="UQY238" s="1"/>
      <c r="UQZ238" s="1"/>
      <c r="URA238" s="1"/>
      <c r="URB238" s="1"/>
      <c r="URC238" s="1"/>
      <c r="URD238" s="1"/>
      <c r="URE238" s="1"/>
      <c r="URF238" s="1"/>
      <c r="URG238" s="1"/>
      <c r="URH238" s="1"/>
      <c r="URI238" s="1"/>
      <c r="URJ238" s="1"/>
      <c r="URK238" s="1"/>
      <c r="URL238" s="1"/>
      <c r="URM238" s="1"/>
      <c r="URN238" s="1"/>
      <c r="URO238" s="1"/>
      <c r="URP238" s="1"/>
      <c r="URQ238" s="1"/>
      <c r="URR238" s="1"/>
      <c r="URS238" s="1"/>
      <c r="URT238" s="1"/>
      <c r="URU238" s="1"/>
      <c r="URV238" s="1"/>
      <c r="URW238" s="1"/>
      <c r="URX238" s="1"/>
      <c r="URY238" s="1"/>
      <c r="URZ238" s="1"/>
      <c r="USA238" s="1"/>
      <c r="USB238" s="1"/>
      <c r="USC238" s="1"/>
      <c r="USD238" s="1"/>
      <c r="USE238" s="1"/>
      <c r="USF238" s="1"/>
      <c r="USG238" s="1"/>
      <c r="USH238" s="1"/>
      <c r="USI238" s="1"/>
      <c r="USJ238" s="1"/>
      <c r="USK238" s="1"/>
      <c r="USL238" s="1"/>
      <c r="USM238" s="1"/>
      <c r="USN238" s="1"/>
      <c r="USO238" s="1"/>
      <c r="USP238" s="1"/>
      <c r="USQ238" s="1"/>
      <c r="USR238" s="1"/>
      <c r="USS238" s="1"/>
      <c r="UST238" s="1"/>
      <c r="USU238" s="1"/>
      <c r="USV238" s="1"/>
      <c r="USW238" s="1"/>
      <c r="USX238" s="1"/>
      <c r="USY238" s="1"/>
      <c r="USZ238" s="1"/>
      <c r="UTA238" s="1"/>
      <c r="UTB238" s="1"/>
      <c r="UTC238" s="1"/>
      <c r="UTD238" s="1"/>
      <c r="UTE238" s="1"/>
      <c r="UTF238" s="1"/>
      <c r="UTG238" s="1"/>
      <c r="UTH238" s="1"/>
      <c r="UTI238" s="1"/>
      <c r="UTJ238" s="1"/>
      <c r="UTK238" s="1"/>
      <c r="UTL238" s="1"/>
      <c r="UTM238" s="1"/>
      <c r="UTN238" s="1"/>
      <c r="UTO238" s="1"/>
      <c r="UTP238" s="1"/>
      <c r="UTQ238" s="1"/>
      <c r="UTR238" s="1"/>
      <c r="UTS238" s="1"/>
      <c r="UTT238" s="1"/>
      <c r="UTU238" s="1"/>
      <c r="UTV238" s="1"/>
      <c r="UTW238" s="1"/>
      <c r="UTX238" s="1"/>
      <c r="UTY238" s="1"/>
      <c r="UTZ238" s="1"/>
      <c r="UUA238" s="1"/>
      <c r="UUB238" s="1"/>
      <c r="UUC238" s="1"/>
      <c r="UUD238" s="1"/>
      <c r="UUE238" s="1"/>
      <c r="UUF238" s="1"/>
      <c r="UUG238" s="1"/>
      <c r="UUH238" s="1"/>
      <c r="UUI238" s="1"/>
      <c r="UUJ238" s="1"/>
      <c r="UUK238" s="1"/>
      <c r="UUL238" s="1"/>
      <c r="UUM238" s="1"/>
      <c r="UUN238" s="1"/>
      <c r="UUO238" s="1"/>
      <c r="UUP238" s="1"/>
      <c r="UUQ238" s="1"/>
      <c r="UUR238" s="1"/>
      <c r="UUS238" s="1"/>
      <c r="UUT238" s="1"/>
      <c r="UUU238" s="1"/>
      <c r="UUV238" s="1"/>
      <c r="UUW238" s="1"/>
      <c r="UUX238" s="1"/>
      <c r="UUY238" s="1"/>
      <c r="UUZ238" s="1"/>
      <c r="UVA238" s="1"/>
      <c r="UVB238" s="1"/>
      <c r="UVC238" s="1"/>
      <c r="UVD238" s="1"/>
      <c r="UVE238" s="1"/>
      <c r="UVF238" s="1"/>
      <c r="UVG238" s="1"/>
      <c r="UVH238" s="1"/>
      <c r="UVI238" s="1"/>
      <c r="UVJ238" s="1"/>
      <c r="UVK238" s="1"/>
      <c r="UVL238" s="1"/>
      <c r="UVM238" s="1"/>
      <c r="UVN238" s="1"/>
      <c r="UVO238" s="1"/>
      <c r="UVP238" s="1"/>
      <c r="UVQ238" s="1"/>
      <c r="UVR238" s="1"/>
      <c r="UVS238" s="1"/>
      <c r="UVT238" s="1"/>
      <c r="UVU238" s="1"/>
      <c r="UVV238" s="1"/>
      <c r="UVW238" s="1"/>
      <c r="UVX238" s="1"/>
      <c r="UVY238" s="1"/>
      <c r="UVZ238" s="1"/>
      <c r="UWA238" s="1"/>
      <c r="UWB238" s="1"/>
      <c r="UWC238" s="1"/>
      <c r="UWD238" s="1"/>
      <c r="UWE238" s="1"/>
      <c r="UWF238" s="1"/>
      <c r="UWG238" s="1"/>
      <c r="UWH238" s="1"/>
      <c r="UWI238" s="1"/>
      <c r="UWJ238" s="1"/>
      <c r="UWK238" s="1"/>
      <c r="UWL238" s="1"/>
      <c r="UWM238" s="1"/>
      <c r="UWN238" s="1"/>
      <c r="UWO238" s="1"/>
      <c r="UWP238" s="1"/>
      <c r="UWQ238" s="1"/>
      <c r="UWR238" s="1"/>
      <c r="UWS238" s="1"/>
      <c r="UWT238" s="1"/>
      <c r="UWU238" s="1"/>
      <c r="UWV238" s="1"/>
      <c r="UWW238" s="1"/>
      <c r="UWX238" s="1"/>
      <c r="UWY238" s="1"/>
      <c r="UWZ238" s="1"/>
      <c r="UXA238" s="1"/>
      <c r="UXB238" s="1"/>
      <c r="UXC238" s="1"/>
      <c r="UXD238" s="1"/>
      <c r="UXE238" s="1"/>
      <c r="UXF238" s="1"/>
      <c r="UXG238" s="1"/>
      <c r="UXH238" s="1"/>
      <c r="UXI238" s="1"/>
      <c r="UXJ238" s="1"/>
      <c r="UXK238" s="1"/>
      <c r="UXL238" s="1"/>
      <c r="UXM238" s="1"/>
      <c r="UXN238" s="1"/>
      <c r="UXO238" s="1"/>
      <c r="UXP238" s="1"/>
      <c r="UXQ238" s="1"/>
      <c r="UXR238" s="1"/>
      <c r="UXS238" s="1"/>
      <c r="UXT238" s="1"/>
      <c r="UXU238" s="1"/>
      <c r="UXV238" s="1"/>
      <c r="UXW238" s="1"/>
      <c r="UXX238" s="1"/>
      <c r="UXY238" s="1"/>
      <c r="UXZ238" s="1"/>
      <c r="UYA238" s="1"/>
      <c r="UYB238" s="1"/>
      <c r="UYC238" s="1"/>
      <c r="UYD238" s="1"/>
      <c r="UYE238" s="1"/>
      <c r="UYF238" s="1"/>
      <c r="UYG238" s="1"/>
      <c r="UYH238" s="1"/>
      <c r="UYI238" s="1"/>
      <c r="UYJ238" s="1"/>
      <c r="UYK238" s="1"/>
      <c r="UYL238" s="1"/>
      <c r="UYM238" s="1"/>
      <c r="UYN238" s="1"/>
      <c r="UYO238" s="1"/>
      <c r="UYP238" s="1"/>
      <c r="UYQ238" s="1"/>
      <c r="UYR238" s="1"/>
      <c r="UYS238" s="1"/>
      <c r="UYT238" s="1"/>
      <c r="UYU238" s="1"/>
      <c r="UYV238" s="1"/>
      <c r="UYW238" s="1"/>
      <c r="UYX238" s="1"/>
      <c r="UYY238" s="1"/>
      <c r="UYZ238" s="1"/>
      <c r="UZA238" s="1"/>
      <c r="UZB238" s="1"/>
      <c r="UZC238" s="1"/>
      <c r="UZD238" s="1"/>
      <c r="UZE238" s="1"/>
      <c r="UZF238" s="1"/>
      <c r="UZG238" s="1"/>
      <c r="UZH238" s="1"/>
      <c r="UZI238" s="1"/>
      <c r="UZJ238" s="1"/>
      <c r="UZK238" s="1"/>
      <c r="UZL238" s="1"/>
      <c r="UZM238" s="1"/>
      <c r="UZN238" s="1"/>
      <c r="UZO238" s="1"/>
      <c r="UZP238" s="1"/>
      <c r="UZQ238" s="1"/>
      <c r="UZR238" s="1"/>
      <c r="UZS238" s="1"/>
      <c r="UZT238" s="1"/>
      <c r="UZU238" s="1"/>
      <c r="UZV238" s="1"/>
      <c r="UZW238" s="1"/>
      <c r="UZX238" s="1"/>
      <c r="UZY238" s="1"/>
      <c r="UZZ238" s="1"/>
      <c r="VAA238" s="1"/>
      <c r="VAB238" s="1"/>
      <c r="VAC238" s="1"/>
      <c r="VAD238" s="1"/>
      <c r="VAE238" s="1"/>
      <c r="VAF238" s="1"/>
      <c r="VAG238" s="1"/>
      <c r="VAH238" s="1"/>
      <c r="VAI238" s="1"/>
      <c r="VAJ238" s="1"/>
      <c r="VAK238" s="1"/>
      <c r="VAL238" s="1"/>
      <c r="VAM238" s="1"/>
      <c r="VAN238" s="1"/>
      <c r="VAO238" s="1"/>
      <c r="VAP238" s="1"/>
      <c r="VAQ238" s="1"/>
      <c r="VAR238" s="1"/>
      <c r="VAS238" s="1"/>
      <c r="VAT238" s="1"/>
      <c r="VAU238" s="1"/>
      <c r="VAV238" s="1"/>
      <c r="VAW238" s="1"/>
      <c r="VAX238" s="1"/>
      <c r="VAY238" s="1"/>
      <c r="VAZ238" s="1"/>
      <c r="VBA238" s="1"/>
      <c r="VBB238" s="1"/>
      <c r="VBC238" s="1"/>
      <c r="VBD238" s="1"/>
      <c r="VBE238" s="1"/>
      <c r="VBF238" s="1"/>
      <c r="VBG238" s="1"/>
      <c r="VBH238" s="1"/>
      <c r="VBI238" s="1"/>
      <c r="VBJ238" s="1"/>
      <c r="VBK238" s="1"/>
      <c r="VBL238" s="1"/>
      <c r="VBM238" s="1"/>
      <c r="VBN238" s="1"/>
      <c r="VBO238" s="1"/>
      <c r="VBP238" s="1"/>
      <c r="VBQ238" s="1"/>
      <c r="VBR238" s="1"/>
      <c r="VBS238" s="1"/>
      <c r="VBT238" s="1"/>
      <c r="VBU238" s="1"/>
      <c r="VBV238" s="1"/>
      <c r="VBW238" s="1"/>
      <c r="VBX238" s="1"/>
      <c r="VBY238" s="1"/>
      <c r="VBZ238" s="1"/>
      <c r="VCA238" s="1"/>
      <c r="VCB238" s="1"/>
      <c r="VCC238" s="1"/>
      <c r="VCD238" s="1"/>
      <c r="VCE238" s="1"/>
      <c r="VCF238" s="1"/>
      <c r="VCG238" s="1"/>
      <c r="VCH238" s="1"/>
      <c r="VCI238" s="1"/>
      <c r="VCJ238" s="1"/>
      <c r="VCK238" s="1"/>
      <c r="VCL238" s="1"/>
      <c r="VCM238" s="1"/>
      <c r="VCN238" s="1"/>
      <c r="VCO238" s="1"/>
      <c r="VCP238" s="1"/>
      <c r="VCQ238" s="1"/>
      <c r="VCR238" s="1"/>
    </row>
    <row r="239" spans="1:14968" s="2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O239" s="3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/>
      <c r="AHA239" s="1"/>
      <c r="AHB239" s="1"/>
      <c r="AHC239" s="1"/>
      <c r="AHD239" s="1"/>
      <c r="AHE239" s="1"/>
      <c r="AHF239" s="1"/>
      <c r="AHG239" s="1"/>
      <c r="AHH239" s="1"/>
      <c r="AHI239" s="1"/>
      <c r="AHJ239" s="1"/>
      <c r="AHK239" s="1"/>
      <c r="AHL239" s="1"/>
      <c r="AHM239" s="1"/>
      <c r="AHN239" s="1"/>
      <c r="AHO239" s="1"/>
      <c r="AHP239" s="1"/>
      <c r="AHQ239" s="1"/>
      <c r="AHR239" s="1"/>
      <c r="AHS239" s="1"/>
      <c r="AHT239" s="1"/>
      <c r="AHU239" s="1"/>
      <c r="AHV239" s="1"/>
      <c r="AHW239" s="1"/>
      <c r="AHX239" s="1"/>
      <c r="AHY239" s="1"/>
      <c r="AHZ239" s="1"/>
      <c r="AIA239" s="1"/>
      <c r="AIB239" s="1"/>
      <c r="AIC239" s="1"/>
      <c r="AID239" s="1"/>
      <c r="AIE239" s="1"/>
      <c r="AIF239" s="1"/>
      <c r="AIG239" s="1"/>
      <c r="AIH239" s="1"/>
      <c r="AII239" s="1"/>
      <c r="AIJ239" s="1"/>
      <c r="AIK239" s="1"/>
      <c r="AIL239" s="1"/>
      <c r="AIM239" s="1"/>
      <c r="AIN239" s="1"/>
      <c r="AIO239" s="1"/>
      <c r="AIP239" s="1"/>
      <c r="AIQ239" s="1"/>
      <c r="AIR239" s="1"/>
      <c r="AIS239" s="1"/>
      <c r="AIT239" s="1"/>
      <c r="AIU239" s="1"/>
      <c r="AIV239" s="1"/>
      <c r="AIW239" s="1"/>
      <c r="AIX239" s="1"/>
      <c r="AIY239" s="1"/>
      <c r="AIZ239" s="1"/>
      <c r="AJA239" s="1"/>
      <c r="AJB239" s="1"/>
      <c r="AJC239" s="1"/>
      <c r="AJD239" s="1"/>
      <c r="AJE239" s="1"/>
      <c r="AJF239" s="1"/>
      <c r="AJG239" s="1"/>
      <c r="AJH239" s="1"/>
      <c r="AJI239" s="1"/>
      <c r="AJJ239" s="1"/>
      <c r="AJK239" s="1"/>
      <c r="AJL239" s="1"/>
      <c r="AJM239" s="1"/>
      <c r="AJN239" s="1"/>
      <c r="AJO239" s="1"/>
      <c r="AJP239" s="1"/>
      <c r="AJQ239" s="1"/>
      <c r="AJR239" s="1"/>
      <c r="AJS239" s="1"/>
      <c r="AJT239" s="1"/>
      <c r="AJU239" s="1"/>
      <c r="AJV239" s="1"/>
      <c r="AJW239" s="1"/>
      <c r="AJX239" s="1"/>
      <c r="AJY239" s="1"/>
      <c r="AJZ239" s="1"/>
      <c r="AKA239" s="1"/>
      <c r="AKB239" s="1"/>
      <c r="AKC239" s="1"/>
      <c r="AKD239" s="1"/>
      <c r="AKE239" s="1"/>
      <c r="AKF239" s="1"/>
      <c r="AKG239" s="1"/>
      <c r="AKH239" s="1"/>
      <c r="AKI239" s="1"/>
      <c r="AKJ239" s="1"/>
      <c r="AKK239" s="1"/>
      <c r="AKL239" s="1"/>
      <c r="AKM239" s="1"/>
      <c r="AKN239" s="1"/>
      <c r="AKO239" s="1"/>
      <c r="AKP239" s="1"/>
      <c r="AKQ239" s="1"/>
      <c r="AKR239" s="1"/>
      <c r="AKS239" s="1"/>
      <c r="AKT239" s="1"/>
      <c r="AKU239" s="1"/>
      <c r="AKV239" s="1"/>
      <c r="AKW239" s="1"/>
      <c r="AKX239" s="1"/>
      <c r="AKY239" s="1"/>
      <c r="AKZ239" s="1"/>
      <c r="ALA239" s="1"/>
      <c r="ALB239" s="1"/>
      <c r="ALC239" s="1"/>
      <c r="ALD239" s="1"/>
      <c r="ALE239" s="1"/>
      <c r="ALF239" s="1"/>
      <c r="ALG239" s="1"/>
      <c r="ALH239" s="1"/>
      <c r="ALI239" s="1"/>
      <c r="ALJ239" s="1"/>
      <c r="ALK239" s="1"/>
      <c r="ALL239" s="1"/>
      <c r="ALM239" s="1"/>
      <c r="ALN239" s="1"/>
      <c r="ALO239" s="1"/>
      <c r="ALP239" s="1"/>
      <c r="ALQ239" s="1"/>
      <c r="ALR239" s="1"/>
      <c r="ALS239" s="1"/>
      <c r="ALT239" s="1"/>
      <c r="ALU239" s="1"/>
      <c r="ALV239" s="1"/>
      <c r="ALW239" s="1"/>
      <c r="ALX239" s="1"/>
      <c r="ALY239" s="1"/>
      <c r="ALZ239" s="1"/>
      <c r="AMA239" s="1"/>
      <c r="AMB239" s="1"/>
      <c r="AMC239" s="1"/>
      <c r="AMD239" s="1"/>
      <c r="AME239" s="1"/>
      <c r="AMF239" s="1"/>
      <c r="AMG239" s="1"/>
      <c r="AMH239" s="1"/>
      <c r="AMI239" s="1"/>
      <c r="AMJ239" s="1"/>
      <c r="AMK239" s="1"/>
      <c r="AML239" s="1"/>
      <c r="AMM239" s="1"/>
      <c r="AMN239" s="1"/>
      <c r="AMO239" s="1"/>
      <c r="AMP239" s="1"/>
      <c r="AMQ239" s="1"/>
      <c r="AMR239" s="1"/>
      <c r="AMS239" s="1"/>
      <c r="AMT239" s="1"/>
      <c r="AMU239" s="1"/>
      <c r="AMV239" s="1"/>
      <c r="AMW239" s="1"/>
      <c r="AMX239" s="1"/>
      <c r="AMY239" s="1"/>
      <c r="AMZ239" s="1"/>
      <c r="ANA239" s="1"/>
      <c r="ANB239" s="1"/>
      <c r="ANC239" s="1"/>
      <c r="AND239" s="1"/>
      <c r="ANE239" s="1"/>
      <c r="ANF239" s="1"/>
      <c r="ANG239" s="1"/>
      <c r="ANH239" s="1"/>
      <c r="ANI239" s="1"/>
      <c r="ANJ239" s="1"/>
      <c r="ANK239" s="1"/>
      <c r="ANL239" s="1"/>
      <c r="ANM239" s="1"/>
      <c r="ANN239" s="1"/>
      <c r="ANO239" s="1"/>
      <c r="ANP239" s="1"/>
      <c r="ANQ239" s="1"/>
      <c r="ANR239" s="1"/>
      <c r="ANS239" s="1"/>
      <c r="ANT239" s="1"/>
      <c r="ANU239" s="1"/>
      <c r="ANV239" s="1"/>
      <c r="ANW239" s="1"/>
      <c r="ANX239" s="1"/>
      <c r="ANY239" s="1"/>
      <c r="ANZ239" s="1"/>
      <c r="AOA239" s="1"/>
      <c r="AOB239" s="1"/>
      <c r="AOC239" s="1"/>
      <c r="AOD239" s="1"/>
      <c r="AOE239" s="1"/>
      <c r="AOF239" s="1"/>
      <c r="AOG239" s="1"/>
      <c r="AOH239" s="1"/>
      <c r="AOI239" s="1"/>
      <c r="AOJ239" s="1"/>
      <c r="AOK239" s="1"/>
      <c r="AOL239" s="1"/>
      <c r="AOM239" s="1"/>
      <c r="AON239" s="1"/>
      <c r="AOO239" s="1"/>
      <c r="AOP239" s="1"/>
      <c r="AOQ239" s="1"/>
      <c r="AOR239" s="1"/>
      <c r="AOS239" s="1"/>
      <c r="AOT239" s="1"/>
      <c r="AOU239" s="1"/>
      <c r="AOV239" s="1"/>
      <c r="AOW239" s="1"/>
      <c r="AOX239" s="1"/>
      <c r="AOY239" s="1"/>
      <c r="AOZ239" s="1"/>
      <c r="APA239" s="1"/>
      <c r="APB239" s="1"/>
      <c r="APC239" s="1"/>
      <c r="APD239" s="1"/>
      <c r="APE239" s="1"/>
      <c r="APF239" s="1"/>
      <c r="APG239" s="1"/>
      <c r="APH239" s="1"/>
      <c r="API239" s="1"/>
      <c r="APJ239" s="1"/>
      <c r="APK239" s="1"/>
      <c r="APL239" s="1"/>
      <c r="APM239" s="1"/>
      <c r="APN239" s="1"/>
      <c r="APO239" s="1"/>
      <c r="APP239" s="1"/>
      <c r="APQ239" s="1"/>
      <c r="APR239" s="1"/>
      <c r="APS239" s="1"/>
      <c r="APT239" s="1"/>
      <c r="APU239" s="1"/>
      <c r="APV239" s="1"/>
      <c r="APW239" s="1"/>
      <c r="APX239" s="1"/>
      <c r="APY239" s="1"/>
      <c r="APZ239" s="1"/>
      <c r="AQA239" s="1"/>
      <c r="AQB239" s="1"/>
      <c r="AQC239" s="1"/>
      <c r="AQD239" s="1"/>
      <c r="AQE239" s="1"/>
      <c r="AQF239" s="1"/>
      <c r="AQG239" s="1"/>
      <c r="AQH239" s="1"/>
      <c r="AQI239" s="1"/>
      <c r="AQJ239" s="1"/>
      <c r="AQK239" s="1"/>
      <c r="AQL239" s="1"/>
      <c r="AQM239" s="1"/>
      <c r="AQN239" s="1"/>
      <c r="AQO239" s="1"/>
      <c r="AQP239" s="1"/>
      <c r="AQQ239" s="1"/>
      <c r="AQR239" s="1"/>
      <c r="AQS239" s="1"/>
      <c r="AQT239" s="1"/>
      <c r="AQU239" s="1"/>
      <c r="AQV239" s="1"/>
      <c r="AQW239" s="1"/>
      <c r="AQX239" s="1"/>
      <c r="AQY239" s="1"/>
      <c r="AQZ239" s="1"/>
      <c r="ARA239" s="1"/>
      <c r="ARB239" s="1"/>
      <c r="ARC239" s="1"/>
      <c r="ARD239" s="1"/>
      <c r="ARE239" s="1"/>
      <c r="ARF239" s="1"/>
      <c r="ARG239" s="1"/>
      <c r="ARH239" s="1"/>
      <c r="ARI239" s="1"/>
      <c r="ARJ239" s="1"/>
      <c r="ARK239" s="1"/>
      <c r="ARL239" s="1"/>
      <c r="ARM239" s="1"/>
      <c r="ARN239" s="1"/>
      <c r="ARO239" s="1"/>
      <c r="ARP239" s="1"/>
      <c r="ARQ239" s="1"/>
      <c r="ARR239" s="1"/>
      <c r="ARS239" s="1"/>
      <c r="ART239" s="1"/>
      <c r="ARU239" s="1"/>
      <c r="ARV239" s="1"/>
      <c r="ARW239" s="1"/>
      <c r="ARX239" s="1"/>
      <c r="ARY239" s="1"/>
      <c r="ARZ239" s="1"/>
      <c r="ASA239" s="1"/>
      <c r="ASB239" s="1"/>
      <c r="ASC239" s="1"/>
      <c r="ASD239" s="1"/>
      <c r="ASE239" s="1"/>
      <c r="ASF239" s="1"/>
      <c r="ASG239" s="1"/>
      <c r="ASH239" s="1"/>
      <c r="ASI239" s="1"/>
      <c r="ASJ239" s="1"/>
      <c r="ASK239" s="1"/>
      <c r="ASL239" s="1"/>
      <c r="ASM239" s="1"/>
      <c r="ASN239" s="1"/>
      <c r="ASO239" s="1"/>
      <c r="ASP239" s="1"/>
      <c r="ASQ239" s="1"/>
      <c r="ASR239" s="1"/>
      <c r="ASS239" s="1"/>
      <c r="AST239" s="1"/>
      <c r="ASU239" s="1"/>
      <c r="ASV239" s="1"/>
      <c r="ASW239" s="1"/>
      <c r="ASX239" s="1"/>
      <c r="ASY239" s="1"/>
      <c r="ASZ239" s="1"/>
      <c r="ATA239" s="1"/>
      <c r="ATB239" s="1"/>
      <c r="ATC239" s="1"/>
      <c r="ATD239" s="1"/>
      <c r="ATE239" s="1"/>
      <c r="ATF239" s="1"/>
      <c r="ATG239" s="1"/>
      <c r="ATH239" s="1"/>
      <c r="ATI239" s="1"/>
      <c r="ATJ239" s="1"/>
      <c r="ATK239" s="1"/>
      <c r="ATL239" s="1"/>
      <c r="ATM239" s="1"/>
      <c r="ATN239" s="1"/>
      <c r="ATO239" s="1"/>
      <c r="ATP239" s="1"/>
      <c r="ATQ239" s="1"/>
      <c r="ATR239" s="1"/>
      <c r="ATS239" s="1"/>
      <c r="ATT239" s="1"/>
      <c r="ATU239" s="1"/>
      <c r="ATV239" s="1"/>
      <c r="ATW239" s="1"/>
      <c r="ATX239" s="1"/>
      <c r="ATY239" s="1"/>
      <c r="ATZ239" s="1"/>
      <c r="AUA239" s="1"/>
      <c r="AUB239" s="1"/>
      <c r="AUC239" s="1"/>
      <c r="AUD239" s="1"/>
      <c r="AUE239" s="1"/>
      <c r="AUF239" s="1"/>
      <c r="AUG239" s="1"/>
      <c r="AUH239" s="1"/>
      <c r="AUI239" s="1"/>
      <c r="AUJ239" s="1"/>
      <c r="AUK239" s="1"/>
      <c r="AUL239" s="1"/>
      <c r="AUM239" s="1"/>
      <c r="AUN239" s="1"/>
      <c r="AUO239" s="1"/>
      <c r="AUP239" s="1"/>
      <c r="AUQ239" s="1"/>
      <c r="AUR239" s="1"/>
      <c r="AUS239" s="1"/>
      <c r="AUT239" s="1"/>
      <c r="AUU239" s="1"/>
      <c r="AUV239" s="1"/>
      <c r="AUW239" s="1"/>
      <c r="AUX239" s="1"/>
      <c r="AUY239" s="1"/>
      <c r="AUZ239" s="1"/>
      <c r="AVA239" s="1"/>
      <c r="AVB239" s="1"/>
      <c r="AVC239" s="1"/>
      <c r="AVD239" s="1"/>
      <c r="AVE239" s="1"/>
      <c r="AVF239" s="1"/>
      <c r="AVG239" s="1"/>
      <c r="AVH239" s="1"/>
      <c r="AVI239" s="1"/>
      <c r="AVJ239" s="1"/>
      <c r="AVK239" s="1"/>
      <c r="AVL239" s="1"/>
      <c r="AVM239" s="1"/>
      <c r="AVN239" s="1"/>
      <c r="AVO239" s="1"/>
      <c r="AVP239" s="1"/>
      <c r="AVQ239" s="1"/>
      <c r="AVR239" s="1"/>
      <c r="AVS239" s="1"/>
      <c r="AVT239" s="1"/>
      <c r="AVU239" s="1"/>
      <c r="AVV239" s="1"/>
      <c r="AVW239" s="1"/>
      <c r="AVX239" s="1"/>
      <c r="AVY239" s="1"/>
      <c r="AVZ239" s="1"/>
      <c r="AWA239" s="1"/>
      <c r="AWB239" s="1"/>
      <c r="AWC239" s="1"/>
      <c r="AWD239" s="1"/>
      <c r="AWE239" s="1"/>
      <c r="AWF239" s="1"/>
      <c r="AWG239" s="1"/>
      <c r="AWH239" s="1"/>
      <c r="AWI239" s="1"/>
      <c r="AWJ239" s="1"/>
      <c r="AWK239" s="1"/>
      <c r="AWL239" s="1"/>
      <c r="AWM239" s="1"/>
      <c r="AWN239" s="1"/>
      <c r="AWO239" s="1"/>
      <c r="AWP239" s="1"/>
      <c r="AWQ239" s="1"/>
      <c r="AWR239" s="1"/>
      <c r="AWS239" s="1"/>
      <c r="AWT239" s="1"/>
      <c r="AWU239" s="1"/>
      <c r="AWV239" s="1"/>
      <c r="AWW239" s="1"/>
      <c r="AWX239" s="1"/>
      <c r="AWY239" s="1"/>
      <c r="AWZ239" s="1"/>
      <c r="AXA239" s="1"/>
      <c r="AXB239" s="1"/>
      <c r="AXC239" s="1"/>
      <c r="AXD239" s="1"/>
      <c r="AXE239" s="1"/>
      <c r="AXF239" s="1"/>
      <c r="AXG239" s="1"/>
      <c r="AXH239" s="1"/>
      <c r="AXI239" s="1"/>
      <c r="AXJ239" s="1"/>
      <c r="AXK239" s="1"/>
      <c r="AXL239" s="1"/>
      <c r="AXM239" s="1"/>
      <c r="AXN239" s="1"/>
      <c r="AXO239" s="1"/>
      <c r="AXP239" s="1"/>
      <c r="AXQ239" s="1"/>
      <c r="AXR239" s="1"/>
      <c r="AXS239" s="1"/>
      <c r="AXT239" s="1"/>
      <c r="AXU239" s="1"/>
      <c r="AXV239" s="1"/>
      <c r="AXW239" s="1"/>
      <c r="AXX239" s="1"/>
      <c r="AXY239" s="1"/>
      <c r="AXZ239" s="1"/>
      <c r="AYA239" s="1"/>
      <c r="AYB239" s="1"/>
      <c r="AYC239" s="1"/>
      <c r="AYD239" s="1"/>
      <c r="AYE239" s="1"/>
      <c r="AYF239" s="1"/>
      <c r="AYG239" s="1"/>
      <c r="AYH239" s="1"/>
      <c r="AYI239" s="1"/>
      <c r="AYJ239" s="1"/>
      <c r="AYK239" s="1"/>
      <c r="AYL239" s="1"/>
      <c r="AYM239" s="1"/>
      <c r="AYN239" s="1"/>
      <c r="AYO239" s="1"/>
      <c r="AYP239" s="1"/>
      <c r="AYQ239" s="1"/>
      <c r="AYR239" s="1"/>
      <c r="AYS239" s="1"/>
      <c r="AYT239" s="1"/>
      <c r="AYU239" s="1"/>
      <c r="AYV239" s="1"/>
      <c r="AYW239" s="1"/>
      <c r="AYX239" s="1"/>
      <c r="AYY239" s="1"/>
      <c r="AYZ239" s="1"/>
      <c r="AZA239" s="1"/>
      <c r="AZB239" s="1"/>
      <c r="AZC239" s="1"/>
      <c r="AZD239" s="1"/>
      <c r="AZE239" s="1"/>
      <c r="AZF239" s="1"/>
      <c r="AZG239" s="1"/>
      <c r="AZH239" s="1"/>
      <c r="AZI239" s="1"/>
      <c r="AZJ239" s="1"/>
      <c r="AZK239" s="1"/>
      <c r="AZL239" s="1"/>
      <c r="AZM239" s="1"/>
      <c r="AZN239" s="1"/>
      <c r="AZO239" s="1"/>
      <c r="AZP239" s="1"/>
      <c r="AZQ239" s="1"/>
      <c r="AZR239" s="1"/>
      <c r="AZS239" s="1"/>
      <c r="AZT239" s="1"/>
      <c r="AZU239" s="1"/>
      <c r="AZV239" s="1"/>
      <c r="AZW239" s="1"/>
      <c r="AZX239" s="1"/>
      <c r="AZY239" s="1"/>
      <c r="AZZ239" s="1"/>
      <c r="BAA239" s="1"/>
      <c r="BAB239" s="1"/>
      <c r="BAC239" s="1"/>
      <c r="BAD239" s="1"/>
      <c r="BAE239" s="1"/>
      <c r="BAF239" s="1"/>
      <c r="BAG239" s="1"/>
      <c r="BAH239" s="1"/>
      <c r="BAI239" s="1"/>
      <c r="BAJ239" s="1"/>
      <c r="BAK239" s="1"/>
      <c r="BAL239" s="1"/>
      <c r="BAM239" s="1"/>
      <c r="BAN239" s="1"/>
      <c r="BAO239" s="1"/>
      <c r="BAP239" s="1"/>
      <c r="BAQ239" s="1"/>
      <c r="BAR239" s="1"/>
      <c r="BAS239" s="1"/>
      <c r="BAT239" s="1"/>
      <c r="BAU239" s="1"/>
      <c r="BAV239" s="1"/>
      <c r="BAW239" s="1"/>
      <c r="BAX239" s="1"/>
      <c r="BAY239" s="1"/>
      <c r="BAZ239" s="1"/>
      <c r="BBA239" s="1"/>
      <c r="BBB239" s="1"/>
      <c r="BBC239" s="1"/>
      <c r="BBD239" s="1"/>
      <c r="BBE239" s="1"/>
      <c r="BBF239" s="1"/>
      <c r="BBG239" s="1"/>
      <c r="BBH239" s="1"/>
      <c r="BBI239" s="1"/>
      <c r="BBJ239" s="1"/>
      <c r="BBK239" s="1"/>
      <c r="BBL239" s="1"/>
      <c r="BBM239" s="1"/>
      <c r="BBN239" s="1"/>
      <c r="BBO239" s="1"/>
      <c r="BBP239" s="1"/>
      <c r="BBQ239" s="1"/>
      <c r="BBR239" s="1"/>
      <c r="BBS239" s="1"/>
      <c r="BBT239" s="1"/>
      <c r="BBU239" s="1"/>
      <c r="BBV239" s="1"/>
      <c r="BBW239" s="1"/>
      <c r="BBX239" s="1"/>
      <c r="BBY239" s="1"/>
      <c r="BBZ239" s="1"/>
      <c r="BCA239" s="1"/>
      <c r="BCB239" s="1"/>
      <c r="BCC239" s="1"/>
      <c r="BCD239" s="1"/>
      <c r="BCE239" s="1"/>
      <c r="BCF239" s="1"/>
      <c r="BCG239" s="1"/>
      <c r="BCH239" s="1"/>
      <c r="BCI239" s="1"/>
      <c r="BCJ239" s="1"/>
      <c r="BCK239" s="1"/>
      <c r="BCL239" s="1"/>
      <c r="BCM239" s="1"/>
      <c r="BCN239" s="1"/>
      <c r="BCO239" s="1"/>
      <c r="BCP239" s="1"/>
      <c r="BCQ239" s="1"/>
      <c r="BCR239" s="1"/>
      <c r="BCS239" s="1"/>
      <c r="BCT239" s="1"/>
      <c r="BCU239" s="1"/>
      <c r="BCV239" s="1"/>
      <c r="BCW239" s="1"/>
      <c r="BCX239" s="1"/>
      <c r="BCY239" s="1"/>
      <c r="BCZ239" s="1"/>
      <c r="BDA239" s="1"/>
      <c r="BDB239" s="1"/>
      <c r="BDC239" s="1"/>
      <c r="BDD239" s="1"/>
      <c r="BDE239" s="1"/>
      <c r="BDF239" s="1"/>
      <c r="BDG239" s="1"/>
      <c r="BDH239" s="1"/>
      <c r="BDI239" s="1"/>
      <c r="BDJ239" s="1"/>
      <c r="BDK239" s="1"/>
      <c r="BDL239" s="1"/>
      <c r="BDM239" s="1"/>
      <c r="BDN239" s="1"/>
      <c r="BDO239" s="1"/>
      <c r="BDP239" s="1"/>
      <c r="BDQ239" s="1"/>
      <c r="BDR239" s="1"/>
      <c r="BDS239" s="1"/>
      <c r="BDT239" s="1"/>
      <c r="BDU239" s="1"/>
      <c r="BDV239" s="1"/>
      <c r="BDW239" s="1"/>
      <c r="BDX239" s="1"/>
      <c r="BDY239" s="1"/>
      <c r="BDZ239" s="1"/>
      <c r="BEA239" s="1"/>
      <c r="BEB239" s="1"/>
      <c r="BEC239" s="1"/>
      <c r="BED239" s="1"/>
      <c r="BEE239" s="1"/>
      <c r="BEF239" s="1"/>
      <c r="BEG239" s="1"/>
      <c r="BEH239" s="1"/>
      <c r="BEI239" s="1"/>
      <c r="BEJ239" s="1"/>
      <c r="BEK239" s="1"/>
      <c r="BEL239" s="1"/>
      <c r="BEM239" s="1"/>
      <c r="BEN239" s="1"/>
      <c r="BEO239" s="1"/>
      <c r="BEP239" s="1"/>
      <c r="BEQ239" s="1"/>
      <c r="BER239" s="1"/>
      <c r="BES239" s="1"/>
      <c r="BET239" s="1"/>
      <c r="BEU239" s="1"/>
      <c r="BEV239" s="1"/>
      <c r="BEW239" s="1"/>
      <c r="BEX239" s="1"/>
      <c r="BEY239" s="1"/>
      <c r="BEZ239" s="1"/>
      <c r="BFA239" s="1"/>
      <c r="BFB239" s="1"/>
      <c r="BFC239" s="1"/>
      <c r="BFD239" s="1"/>
      <c r="BFE239" s="1"/>
      <c r="BFF239" s="1"/>
      <c r="BFG239" s="1"/>
      <c r="BFH239" s="1"/>
      <c r="BFI239" s="1"/>
      <c r="BFJ239" s="1"/>
      <c r="BFK239" s="1"/>
      <c r="BFL239" s="1"/>
      <c r="BFM239" s="1"/>
      <c r="BFN239" s="1"/>
      <c r="BFO239" s="1"/>
      <c r="BFP239" s="1"/>
      <c r="BFQ239" s="1"/>
      <c r="BFR239" s="1"/>
      <c r="BFS239" s="1"/>
      <c r="BFT239" s="1"/>
      <c r="BFU239" s="1"/>
      <c r="BFV239" s="1"/>
      <c r="BFW239" s="1"/>
      <c r="BFX239" s="1"/>
      <c r="BFY239" s="1"/>
      <c r="BFZ239" s="1"/>
      <c r="BGA239" s="1"/>
      <c r="BGB239" s="1"/>
      <c r="BGC239" s="1"/>
      <c r="BGD239" s="1"/>
      <c r="BGE239" s="1"/>
      <c r="BGF239" s="1"/>
      <c r="BGG239" s="1"/>
      <c r="BGH239" s="1"/>
      <c r="BGI239" s="1"/>
      <c r="BGJ239" s="1"/>
      <c r="BGK239" s="1"/>
      <c r="BGL239" s="1"/>
      <c r="BGM239" s="1"/>
      <c r="BGN239" s="1"/>
      <c r="BGO239" s="1"/>
      <c r="BGP239" s="1"/>
      <c r="BGQ239" s="1"/>
      <c r="BGR239" s="1"/>
      <c r="BGS239" s="1"/>
      <c r="BGT239" s="1"/>
      <c r="BGU239" s="1"/>
      <c r="BGV239" s="1"/>
      <c r="BGW239" s="1"/>
      <c r="BGX239" s="1"/>
      <c r="BGY239" s="1"/>
      <c r="BGZ239" s="1"/>
      <c r="BHA239" s="1"/>
      <c r="BHB239" s="1"/>
      <c r="BHC239" s="1"/>
      <c r="BHD239" s="1"/>
      <c r="BHE239" s="1"/>
      <c r="BHF239" s="1"/>
      <c r="BHG239" s="1"/>
      <c r="BHH239" s="1"/>
      <c r="BHI239" s="1"/>
      <c r="BHJ239" s="1"/>
      <c r="BHK239" s="1"/>
      <c r="BHL239" s="1"/>
      <c r="BHM239" s="1"/>
      <c r="BHN239" s="1"/>
      <c r="BHO239" s="1"/>
      <c r="BHP239" s="1"/>
      <c r="BHQ239" s="1"/>
      <c r="BHR239" s="1"/>
      <c r="BHS239" s="1"/>
      <c r="BHT239" s="1"/>
      <c r="BHU239" s="1"/>
      <c r="BHV239" s="1"/>
      <c r="BHW239" s="1"/>
      <c r="BHX239" s="1"/>
      <c r="BHY239" s="1"/>
      <c r="BHZ239" s="1"/>
      <c r="BIA239" s="1"/>
      <c r="BIB239" s="1"/>
      <c r="BIC239" s="1"/>
      <c r="BID239" s="1"/>
      <c r="BIE239" s="1"/>
      <c r="BIF239" s="1"/>
      <c r="BIG239" s="1"/>
      <c r="BIH239" s="1"/>
      <c r="BII239" s="1"/>
      <c r="BIJ239" s="1"/>
      <c r="BIK239" s="1"/>
      <c r="BIL239" s="1"/>
      <c r="BIM239" s="1"/>
      <c r="BIN239" s="1"/>
      <c r="BIO239" s="1"/>
      <c r="BIP239" s="1"/>
      <c r="BIQ239" s="1"/>
      <c r="BIR239" s="1"/>
      <c r="BIS239" s="1"/>
      <c r="BIT239" s="1"/>
      <c r="BIU239" s="1"/>
      <c r="BIV239" s="1"/>
      <c r="BIW239" s="1"/>
      <c r="BIX239" s="1"/>
      <c r="BIY239" s="1"/>
      <c r="BIZ239" s="1"/>
      <c r="BJA239" s="1"/>
      <c r="BJB239" s="1"/>
      <c r="BJC239" s="1"/>
      <c r="BJD239" s="1"/>
      <c r="BJE239" s="1"/>
      <c r="BJF239" s="1"/>
      <c r="BJG239" s="1"/>
      <c r="BJH239" s="1"/>
      <c r="BJI239" s="1"/>
      <c r="BJJ239" s="1"/>
      <c r="BJK239" s="1"/>
      <c r="BJL239" s="1"/>
      <c r="BJM239" s="1"/>
      <c r="BJN239" s="1"/>
      <c r="BJO239" s="1"/>
      <c r="BJP239" s="1"/>
      <c r="BJQ239" s="1"/>
      <c r="BJR239" s="1"/>
      <c r="BJS239" s="1"/>
      <c r="BJT239" s="1"/>
      <c r="BJU239" s="1"/>
      <c r="BJV239" s="1"/>
      <c r="BJW239" s="1"/>
      <c r="BJX239" s="1"/>
      <c r="BJY239" s="1"/>
      <c r="BJZ239" s="1"/>
      <c r="BKA239" s="1"/>
      <c r="BKB239" s="1"/>
      <c r="BKC239" s="1"/>
      <c r="BKD239" s="1"/>
      <c r="BKE239" s="1"/>
      <c r="BKF239" s="1"/>
      <c r="BKG239" s="1"/>
      <c r="BKH239" s="1"/>
      <c r="BKI239" s="1"/>
      <c r="BKJ239" s="1"/>
      <c r="BKK239" s="1"/>
      <c r="BKL239" s="1"/>
      <c r="BKM239" s="1"/>
      <c r="BKN239" s="1"/>
      <c r="BKO239" s="1"/>
      <c r="BKP239" s="1"/>
      <c r="BKQ239" s="1"/>
      <c r="BKR239" s="1"/>
      <c r="BKS239" s="1"/>
      <c r="BKT239" s="1"/>
      <c r="BKU239" s="1"/>
      <c r="BKV239" s="1"/>
      <c r="BKW239" s="1"/>
      <c r="BKX239" s="1"/>
      <c r="BKY239" s="1"/>
      <c r="BKZ239" s="1"/>
      <c r="BLA239" s="1"/>
      <c r="BLB239" s="1"/>
      <c r="BLC239" s="1"/>
      <c r="BLD239" s="1"/>
      <c r="BLE239" s="1"/>
      <c r="BLF239" s="1"/>
      <c r="BLG239" s="1"/>
      <c r="BLH239" s="1"/>
      <c r="BLI239" s="1"/>
      <c r="BLJ239" s="1"/>
      <c r="BLK239" s="1"/>
      <c r="BLL239" s="1"/>
      <c r="BLM239" s="1"/>
      <c r="BLN239" s="1"/>
      <c r="BLO239" s="1"/>
      <c r="BLP239" s="1"/>
      <c r="BLQ239" s="1"/>
      <c r="BLR239" s="1"/>
      <c r="BLS239" s="1"/>
      <c r="BLT239" s="1"/>
      <c r="BLU239" s="1"/>
      <c r="BLV239" s="1"/>
      <c r="BLW239" s="1"/>
      <c r="BLX239" s="1"/>
      <c r="BLY239" s="1"/>
      <c r="BLZ239" s="1"/>
      <c r="BMA239" s="1"/>
      <c r="BMB239" s="1"/>
      <c r="BMC239" s="1"/>
      <c r="BMD239" s="1"/>
      <c r="BME239" s="1"/>
      <c r="BMF239" s="1"/>
      <c r="BMG239" s="1"/>
      <c r="BMH239" s="1"/>
      <c r="BMI239" s="1"/>
      <c r="BMJ239" s="1"/>
      <c r="BMK239" s="1"/>
      <c r="BML239" s="1"/>
      <c r="BMM239" s="1"/>
      <c r="BMN239" s="1"/>
      <c r="BMO239" s="1"/>
      <c r="BMP239" s="1"/>
      <c r="BMQ239" s="1"/>
      <c r="BMR239" s="1"/>
      <c r="BMS239" s="1"/>
      <c r="BMT239" s="1"/>
      <c r="BMU239" s="1"/>
      <c r="BMV239" s="1"/>
      <c r="BMW239" s="1"/>
      <c r="BMX239" s="1"/>
      <c r="BMY239" s="1"/>
      <c r="BMZ239" s="1"/>
      <c r="BNA239" s="1"/>
      <c r="BNB239" s="1"/>
      <c r="BNC239" s="1"/>
      <c r="BND239" s="1"/>
      <c r="BNE239" s="1"/>
      <c r="BNF239" s="1"/>
      <c r="BNG239" s="1"/>
      <c r="BNH239" s="1"/>
      <c r="BNI239" s="1"/>
      <c r="BNJ239" s="1"/>
      <c r="BNK239" s="1"/>
      <c r="BNL239" s="1"/>
      <c r="BNM239" s="1"/>
      <c r="BNN239" s="1"/>
      <c r="BNO239" s="1"/>
      <c r="BNP239" s="1"/>
      <c r="BNQ239" s="1"/>
      <c r="BNR239" s="1"/>
      <c r="BNS239" s="1"/>
      <c r="BNT239" s="1"/>
      <c r="BNU239" s="1"/>
      <c r="BNV239" s="1"/>
      <c r="BNW239" s="1"/>
      <c r="BNX239" s="1"/>
      <c r="BNY239" s="1"/>
      <c r="BNZ239" s="1"/>
      <c r="BOA239" s="1"/>
      <c r="BOB239" s="1"/>
      <c r="BOC239" s="1"/>
      <c r="BOD239" s="1"/>
      <c r="BOE239" s="1"/>
      <c r="BOF239" s="1"/>
      <c r="BOG239" s="1"/>
      <c r="BOH239" s="1"/>
      <c r="BOI239" s="1"/>
      <c r="BOJ239" s="1"/>
      <c r="BOK239" s="1"/>
      <c r="BOL239" s="1"/>
      <c r="BOM239" s="1"/>
      <c r="BON239" s="1"/>
      <c r="BOO239" s="1"/>
      <c r="BOP239" s="1"/>
      <c r="BOQ239" s="1"/>
      <c r="BOR239" s="1"/>
      <c r="BOS239" s="1"/>
      <c r="BOT239" s="1"/>
      <c r="BOU239" s="1"/>
      <c r="BOV239" s="1"/>
      <c r="BOW239" s="1"/>
      <c r="BOX239" s="1"/>
      <c r="BOY239" s="1"/>
      <c r="BOZ239" s="1"/>
      <c r="BPA239" s="1"/>
      <c r="BPB239" s="1"/>
      <c r="BPC239" s="1"/>
      <c r="BPD239" s="1"/>
      <c r="BPE239" s="1"/>
      <c r="BPF239" s="1"/>
      <c r="BPG239" s="1"/>
      <c r="BPH239" s="1"/>
      <c r="BPI239" s="1"/>
      <c r="BPJ239" s="1"/>
      <c r="BPK239" s="1"/>
      <c r="BPL239" s="1"/>
      <c r="BPM239" s="1"/>
      <c r="BPN239" s="1"/>
      <c r="BPO239" s="1"/>
      <c r="BPP239" s="1"/>
      <c r="BPQ239" s="1"/>
      <c r="BPR239" s="1"/>
      <c r="BPS239" s="1"/>
      <c r="BPT239" s="1"/>
      <c r="BPU239" s="1"/>
      <c r="BPV239" s="1"/>
      <c r="BPW239" s="1"/>
      <c r="BPX239" s="1"/>
      <c r="BPY239" s="1"/>
      <c r="BPZ239" s="1"/>
      <c r="BQA239" s="1"/>
      <c r="BQB239" s="1"/>
      <c r="BQC239" s="1"/>
      <c r="BQD239" s="1"/>
      <c r="BQE239" s="1"/>
      <c r="BQF239" s="1"/>
      <c r="BQG239" s="1"/>
      <c r="BQH239" s="1"/>
      <c r="BQI239" s="1"/>
      <c r="BQJ239" s="1"/>
      <c r="BQK239" s="1"/>
      <c r="BQL239" s="1"/>
      <c r="BQM239" s="1"/>
      <c r="BQN239" s="1"/>
      <c r="BQO239" s="1"/>
      <c r="BQP239" s="1"/>
      <c r="BQQ239" s="1"/>
      <c r="BQR239" s="1"/>
      <c r="BQS239" s="1"/>
      <c r="BQT239" s="1"/>
      <c r="BQU239" s="1"/>
      <c r="BQV239" s="1"/>
      <c r="BQW239" s="1"/>
      <c r="BQX239" s="1"/>
      <c r="BQY239" s="1"/>
      <c r="BQZ239" s="1"/>
      <c r="BRA239" s="1"/>
      <c r="BRB239" s="1"/>
      <c r="BRC239" s="1"/>
      <c r="BRD239" s="1"/>
      <c r="BRE239" s="1"/>
      <c r="BRF239" s="1"/>
      <c r="BRG239" s="1"/>
      <c r="BRH239" s="1"/>
      <c r="BRI239" s="1"/>
      <c r="BRJ239" s="1"/>
      <c r="BRK239" s="1"/>
      <c r="BRL239" s="1"/>
      <c r="BRM239" s="1"/>
      <c r="BRN239" s="1"/>
      <c r="BRO239" s="1"/>
      <c r="BRP239" s="1"/>
      <c r="BRQ239" s="1"/>
      <c r="BRR239" s="1"/>
      <c r="BRS239" s="1"/>
      <c r="BRT239" s="1"/>
      <c r="BRU239" s="1"/>
      <c r="BRV239" s="1"/>
      <c r="BRW239" s="1"/>
      <c r="BRX239" s="1"/>
      <c r="BRY239" s="1"/>
      <c r="BRZ239" s="1"/>
      <c r="BSA239" s="1"/>
      <c r="BSB239" s="1"/>
      <c r="BSC239" s="1"/>
      <c r="BSD239" s="1"/>
      <c r="BSE239" s="1"/>
      <c r="BSF239" s="1"/>
      <c r="BSG239" s="1"/>
      <c r="BSH239" s="1"/>
      <c r="BSI239" s="1"/>
      <c r="BSJ239" s="1"/>
      <c r="BSK239" s="1"/>
      <c r="BSL239" s="1"/>
      <c r="BSM239" s="1"/>
      <c r="BSN239" s="1"/>
      <c r="BSO239" s="1"/>
      <c r="BSP239" s="1"/>
      <c r="BSQ239" s="1"/>
      <c r="BSR239" s="1"/>
      <c r="BSS239" s="1"/>
      <c r="BST239" s="1"/>
      <c r="BSU239" s="1"/>
      <c r="BSV239" s="1"/>
      <c r="BSW239" s="1"/>
      <c r="BSX239" s="1"/>
      <c r="BSY239" s="1"/>
      <c r="BSZ239" s="1"/>
      <c r="BTA239" s="1"/>
      <c r="BTB239" s="1"/>
      <c r="BTC239" s="1"/>
      <c r="BTD239" s="1"/>
      <c r="BTE239" s="1"/>
      <c r="BTF239" s="1"/>
      <c r="BTG239" s="1"/>
      <c r="BTH239" s="1"/>
      <c r="BTI239" s="1"/>
      <c r="BTJ239" s="1"/>
      <c r="BTK239" s="1"/>
      <c r="BTL239" s="1"/>
      <c r="BTM239" s="1"/>
      <c r="BTN239" s="1"/>
      <c r="BTO239" s="1"/>
      <c r="BTP239" s="1"/>
      <c r="BTQ239" s="1"/>
      <c r="BTR239" s="1"/>
      <c r="BTS239" s="1"/>
      <c r="BTT239" s="1"/>
      <c r="BTU239" s="1"/>
      <c r="BTV239" s="1"/>
      <c r="BTW239" s="1"/>
      <c r="BTX239" s="1"/>
      <c r="BTY239" s="1"/>
      <c r="BTZ239" s="1"/>
      <c r="BUA239" s="1"/>
      <c r="BUB239" s="1"/>
      <c r="BUC239" s="1"/>
      <c r="BUD239" s="1"/>
      <c r="BUE239" s="1"/>
      <c r="BUF239" s="1"/>
      <c r="BUG239" s="1"/>
      <c r="BUH239" s="1"/>
      <c r="BUI239" s="1"/>
      <c r="BUJ239" s="1"/>
      <c r="BUK239" s="1"/>
      <c r="BUL239" s="1"/>
      <c r="BUM239" s="1"/>
      <c r="BUN239" s="1"/>
      <c r="BUO239" s="1"/>
      <c r="BUP239" s="1"/>
      <c r="BUQ239" s="1"/>
      <c r="BUR239" s="1"/>
      <c r="BUS239" s="1"/>
      <c r="BUT239" s="1"/>
      <c r="BUU239" s="1"/>
      <c r="BUV239" s="1"/>
      <c r="BUW239" s="1"/>
      <c r="BUX239" s="1"/>
      <c r="BUY239" s="1"/>
      <c r="BUZ239" s="1"/>
      <c r="BVA239" s="1"/>
      <c r="BVB239" s="1"/>
      <c r="BVC239" s="1"/>
      <c r="BVD239" s="1"/>
      <c r="BVE239" s="1"/>
      <c r="BVF239" s="1"/>
      <c r="BVG239" s="1"/>
      <c r="BVH239" s="1"/>
      <c r="BVI239" s="1"/>
      <c r="BVJ239" s="1"/>
      <c r="BVK239" s="1"/>
      <c r="BVL239" s="1"/>
      <c r="BVM239" s="1"/>
      <c r="BVN239" s="1"/>
      <c r="BVO239" s="1"/>
      <c r="BVP239" s="1"/>
      <c r="BVQ239" s="1"/>
      <c r="BVR239" s="1"/>
      <c r="BVS239" s="1"/>
      <c r="BVT239" s="1"/>
      <c r="BVU239" s="1"/>
      <c r="BVV239" s="1"/>
      <c r="BVW239" s="1"/>
      <c r="BVX239" s="1"/>
      <c r="BVY239" s="1"/>
      <c r="BVZ239" s="1"/>
      <c r="BWA239" s="1"/>
      <c r="BWB239" s="1"/>
      <c r="BWC239" s="1"/>
      <c r="BWD239" s="1"/>
      <c r="BWE239" s="1"/>
      <c r="BWF239" s="1"/>
      <c r="BWG239" s="1"/>
      <c r="BWH239" s="1"/>
      <c r="BWI239" s="1"/>
      <c r="BWJ239" s="1"/>
      <c r="BWK239" s="1"/>
      <c r="BWL239" s="1"/>
      <c r="BWM239" s="1"/>
      <c r="BWN239" s="1"/>
      <c r="BWO239" s="1"/>
      <c r="BWP239" s="1"/>
      <c r="BWQ239" s="1"/>
      <c r="BWR239" s="1"/>
      <c r="BWS239" s="1"/>
      <c r="BWT239" s="1"/>
      <c r="BWU239" s="1"/>
      <c r="BWV239" s="1"/>
      <c r="BWW239" s="1"/>
      <c r="BWX239" s="1"/>
      <c r="BWY239" s="1"/>
      <c r="BWZ239" s="1"/>
      <c r="BXA239" s="1"/>
      <c r="BXB239" s="1"/>
      <c r="BXC239" s="1"/>
      <c r="BXD239" s="1"/>
      <c r="BXE239" s="1"/>
      <c r="BXF239" s="1"/>
      <c r="BXG239" s="1"/>
      <c r="BXH239" s="1"/>
      <c r="BXI239" s="1"/>
      <c r="BXJ239" s="1"/>
      <c r="BXK239" s="1"/>
      <c r="BXL239" s="1"/>
      <c r="BXM239" s="1"/>
      <c r="BXN239" s="1"/>
      <c r="BXO239" s="1"/>
      <c r="BXP239" s="1"/>
      <c r="BXQ239" s="1"/>
      <c r="BXR239" s="1"/>
      <c r="BXS239" s="1"/>
      <c r="BXT239" s="1"/>
      <c r="BXU239" s="1"/>
      <c r="BXV239" s="1"/>
      <c r="BXW239" s="1"/>
      <c r="BXX239" s="1"/>
      <c r="BXY239" s="1"/>
      <c r="BXZ239" s="1"/>
      <c r="BYA239" s="1"/>
      <c r="BYB239" s="1"/>
      <c r="BYC239" s="1"/>
      <c r="BYD239" s="1"/>
      <c r="BYE239" s="1"/>
      <c r="BYF239" s="1"/>
      <c r="BYG239" s="1"/>
      <c r="BYH239" s="1"/>
      <c r="BYI239" s="1"/>
      <c r="BYJ239" s="1"/>
      <c r="BYK239" s="1"/>
      <c r="BYL239" s="1"/>
      <c r="BYM239" s="1"/>
      <c r="BYN239" s="1"/>
      <c r="BYO239" s="1"/>
      <c r="BYP239" s="1"/>
      <c r="BYQ239" s="1"/>
      <c r="BYR239" s="1"/>
      <c r="BYS239" s="1"/>
      <c r="BYT239" s="1"/>
      <c r="BYU239" s="1"/>
      <c r="BYV239" s="1"/>
      <c r="BYW239" s="1"/>
      <c r="BYX239" s="1"/>
      <c r="BYY239" s="1"/>
      <c r="BYZ239" s="1"/>
      <c r="BZA239" s="1"/>
      <c r="BZB239" s="1"/>
      <c r="BZC239" s="1"/>
      <c r="BZD239" s="1"/>
      <c r="BZE239" s="1"/>
      <c r="BZF239" s="1"/>
      <c r="BZG239" s="1"/>
      <c r="BZH239" s="1"/>
      <c r="BZI239" s="1"/>
      <c r="BZJ239" s="1"/>
      <c r="BZK239" s="1"/>
      <c r="BZL239" s="1"/>
      <c r="BZM239" s="1"/>
      <c r="BZN239" s="1"/>
      <c r="BZO239" s="1"/>
      <c r="BZP239" s="1"/>
      <c r="BZQ239" s="1"/>
      <c r="BZR239" s="1"/>
      <c r="BZS239" s="1"/>
      <c r="BZT239" s="1"/>
      <c r="BZU239" s="1"/>
      <c r="BZV239" s="1"/>
      <c r="BZW239" s="1"/>
      <c r="BZX239" s="1"/>
      <c r="BZY239" s="1"/>
      <c r="BZZ239" s="1"/>
      <c r="CAA239" s="1"/>
      <c r="CAB239" s="1"/>
      <c r="CAC239" s="1"/>
      <c r="CAD239" s="1"/>
      <c r="CAE239" s="1"/>
      <c r="CAF239" s="1"/>
      <c r="CAG239" s="1"/>
      <c r="CAH239" s="1"/>
      <c r="CAI239" s="1"/>
      <c r="CAJ239" s="1"/>
      <c r="CAK239" s="1"/>
      <c r="CAL239" s="1"/>
      <c r="CAM239" s="1"/>
      <c r="CAN239" s="1"/>
      <c r="CAO239" s="1"/>
      <c r="CAP239" s="1"/>
      <c r="CAQ239" s="1"/>
      <c r="CAR239" s="1"/>
      <c r="CAS239" s="1"/>
      <c r="CAT239" s="1"/>
      <c r="CAU239" s="1"/>
      <c r="CAV239" s="1"/>
      <c r="CAW239" s="1"/>
      <c r="CAX239" s="1"/>
      <c r="CAY239" s="1"/>
      <c r="CAZ239" s="1"/>
      <c r="CBA239" s="1"/>
      <c r="CBB239" s="1"/>
      <c r="CBC239" s="1"/>
      <c r="CBD239" s="1"/>
      <c r="CBE239" s="1"/>
      <c r="CBF239" s="1"/>
      <c r="CBG239" s="1"/>
      <c r="CBH239" s="1"/>
      <c r="CBI239" s="1"/>
      <c r="CBJ239" s="1"/>
      <c r="CBK239" s="1"/>
      <c r="CBL239" s="1"/>
      <c r="CBM239" s="1"/>
      <c r="CBN239" s="1"/>
      <c r="CBO239" s="1"/>
      <c r="CBP239" s="1"/>
      <c r="CBQ239" s="1"/>
      <c r="CBR239" s="1"/>
      <c r="CBS239" s="1"/>
      <c r="CBT239" s="1"/>
      <c r="CBU239" s="1"/>
      <c r="CBV239" s="1"/>
      <c r="CBW239" s="1"/>
      <c r="CBX239" s="1"/>
      <c r="CBY239" s="1"/>
      <c r="CBZ239" s="1"/>
      <c r="CCA239" s="1"/>
      <c r="CCB239" s="1"/>
      <c r="CCC239" s="1"/>
      <c r="CCD239" s="1"/>
      <c r="CCE239" s="1"/>
      <c r="CCF239" s="1"/>
      <c r="CCG239" s="1"/>
      <c r="CCH239" s="1"/>
      <c r="CCI239" s="1"/>
      <c r="CCJ239" s="1"/>
      <c r="CCK239" s="1"/>
      <c r="CCL239" s="1"/>
      <c r="CCM239" s="1"/>
      <c r="CCN239" s="1"/>
      <c r="CCO239" s="1"/>
      <c r="CCP239" s="1"/>
      <c r="CCQ239" s="1"/>
      <c r="CCR239" s="1"/>
      <c r="CCS239" s="1"/>
      <c r="CCT239" s="1"/>
      <c r="CCU239" s="1"/>
      <c r="CCV239" s="1"/>
      <c r="CCW239" s="1"/>
      <c r="CCX239" s="1"/>
      <c r="CCY239" s="1"/>
      <c r="CCZ239" s="1"/>
      <c r="CDA239" s="1"/>
      <c r="CDB239" s="1"/>
      <c r="CDC239" s="1"/>
      <c r="CDD239" s="1"/>
      <c r="CDE239" s="1"/>
      <c r="CDF239" s="1"/>
      <c r="CDG239" s="1"/>
      <c r="CDH239" s="1"/>
      <c r="CDI239" s="1"/>
      <c r="CDJ239" s="1"/>
      <c r="CDK239" s="1"/>
      <c r="CDL239" s="1"/>
      <c r="CDM239" s="1"/>
      <c r="CDN239" s="1"/>
      <c r="CDO239" s="1"/>
      <c r="CDP239" s="1"/>
      <c r="CDQ239" s="1"/>
      <c r="CDR239" s="1"/>
      <c r="CDS239" s="1"/>
      <c r="CDT239" s="1"/>
      <c r="CDU239" s="1"/>
      <c r="CDV239" s="1"/>
      <c r="CDW239" s="1"/>
      <c r="CDX239" s="1"/>
      <c r="CDY239" s="1"/>
      <c r="CDZ239" s="1"/>
      <c r="CEA239" s="1"/>
      <c r="CEB239" s="1"/>
      <c r="CEC239" s="1"/>
      <c r="CED239" s="1"/>
      <c r="CEE239" s="1"/>
      <c r="CEF239" s="1"/>
      <c r="CEG239" s="1"/>
      <c r="CEH239" s="1"/>
      <c r="CEI239" s="1"/>
      <c r="CEJ239" s="1"/>
      <c r="CEK239" s="1"/>
      <c r="CEL239" s="1"/>
      <c r="CEM239" s="1"/>
      <c r="CEN239" s="1"/>
      <c r="CEO239" s="1"/>
      <c r="CEP239" s="1"/>
      <c r="CEQ239" s="1"/>
      <c r="CER239" s="1"/>
      <c r="CES239" s="1"/>
      <c r="CET239" s="1"/>
      <c r="CEU239" s="1"/>
      <c r="CEV239" s="1"/>
      <c r="CEW239" s="1"/>
      <c r="CEX239" s="1"/>
      <c r="CEY239" s="1"/>
      <c r="CEZ239" s="1"/>
      <c r="CFA239" s="1"/>
      <c r="CFB239" s="1"/>
      <c r="CFC239" s="1"/>
      <c r="CFD239" s="1"/>
      <c r="CFE239" s="1"/>
      <c r="CFF239" s="1"/>
      <c r="CFG239" s="1"/>
      <c r="CFH239" s="1"/>
      <c r="CFI239" s="1"/>
      <c r="CFJ239" s="1"/>
      <c r="CFK239" s="1"/>
      <c r="CFL239" s="1"/>
      <c r="CFM239" s="1"/>
      <c r="CFN239" s="1"/>
      <c r="CFO239" s="1"/>
      <c r="CFP239" s="1"/>
      <c r="CFQ239" s="1"/>
      <c r="CFR239" s="1"/>
      <c r="CFS239" s="1"/>
      <c r="CFT239" s="1"/>
      <c r="CFU239" s="1"/>
      <c r="CFV239" s="1"/>
      <c r="CFW239" s="1"/>
      <c r="CFX239" s="1"/>
      <c r="CFY239" s="1"/>
      <c r="CFZ239" s="1"/>
      <c r="CGA239" s="1"/>
      <c r="CGB239" s="1"/>
      <c r="CGC239" s="1"/>
      <c r="CGD239" s="1"/>
      <c r="CGE239" s="1"/>
      <c r="CGF239" s="1"/>
      <c r="CGG239" s="1"/>
      <c r="CGH239" s="1"/>
      <c r="CGI239" s="1"/>
      <c r="CGJ239" s="1"/>
      <c r="CGK239" s="1"/>
      <c r="CGL239" s="1"/>
      <c r="CGM239" s="1"/>
      <c r="CGN239" s="1"/>
      <c r="CGO239" s="1"/>
      <c r="CGP239" s="1"/>
      <c r="CGQ239" s="1"/>
      <c r="CGR239" s="1"/>
      <c r="CGS239" s="1"/>
      <c r="CGT239" s="1"/>
      <c r="CGU239" s="1"/>
      <c r="CGV239" s="1"/>
      <c r="CGW239" s="1"/>
      <c r="CGX239" s="1"/>
      <c r="CGY239" s="1"/>
      <c r="CGZ239" s="1"/>
      <c r="CHA239" s="1"/>
      <c r="CHB239" s="1"/>
      <c r="CHC239" s="1"/>
      <c r="CHD239" s="1"/>
      <c r="CHE239" s="1"/>
      <c r="CHF239" s="1"/>
      <c r="CHG239" s="1"/>
      <c r="CHH239" s="1"/>
      <c r="CHI239" s="1"/>
      <c r="CHJ239" s="1"/>
      <c r="CHK239" s="1"/>
      <c r="CHL239" s="1"/>
      <c r="CHM239" s="1"/>
      <c r="CHN239" s="1"/>
      <c r="CHO239" s="1"/>
      <c r="CHP239" s="1"/>
      <c r="CHQ239" s="1"/>
      <c r="CHR239" s="1"/>
      <c r="CHS239" s="1"/>
      <c r="CHT239" s="1"/>
      <c r="CHU239" s="1"/>
      <c r="CHV239" s="1"/>
      <c r="CHW239" s="1"/>
      <c r="CHX239" s="1"/>
      <c r="CHY239" s="1"/>
      <c r="CHZ239" s="1"/>
      <c r="CIA239" s="1"/>
      <c r="CIB239" s="1"/>
      <c r="CIC239" s="1"/>
      <c r="CID239" s="1"/>
      <c r="CIE239" s="1"/>
      <c r="CIF239" s="1"/>
      <c r="CIG239" s="1"/>
      <c r="CIH239" s="1"/>
      <c r="CII239" s="1"/>
      <c r="CIJ239" s="1"/>
      <c r="CIK239" s="1"/>
      <c r="CIL239" s="1"/>
      <c r="CIM239" s="1"/>
      <c r="CIN239" s="1"/>
      <c r="CIO239" s="1"/>
      <c r="CIP239" s="1"/>
      <c r="CIQ239" s="1"/>
      <c r="CIR239" s="1"/>
      <c r="CIS239" s="1"/>
      <c r="CIT239" s="1"/>
      <c r="CIU239" s="1"/>
      <c r="CIV239" s="1"/>
      <c r="CIW239" s="1"/>
      <c r="CIX239" s="1"/>
      <c r="CIY239" s="1"/>
      <c r="CIZ239" s="1"/>
      <c r="CJA239" s="1"/>
      <c r="CJB239" s="1"/>
      <c r="CJC239" s="1"/>
      <c r="CJD239" s="1"/>
      <c r="CJE239" s="1"/>
      <c r="CJF239" s="1"/>
      <c r="CJG239" s="1"/>
      <c r="CJH239" s="1"/>
      <c r="CJI239" s="1"/>
      <c r="CJJ239" s="1"/>
      <c r="CJK239" s="1"/>
      <c r="CJL239" s="1"/>
      <c r="CJM239" s="1"/>
      <c r="CJN239" s="1"/>
      <c r="CJO239" s="1"/>
      <c r="CJP239" s="1"/>
      <c r="CJQ239" s="1"/>
      <c r="CJR239" s="1"/>
      <c r="CJS239" s="1"/>
      <c r="CJT239" s="1"/>
      <c r="CJU239" s="1"/>
      <c r="CJV239" s="1"/>
      <c r="CJW239" s="1"/>
      <c r="CJX239" s="1"/>
      <c r="CJY239" s="1"/>
      <c r="CJZ239" s="1"/>
      <c r="CKA239" s="1"/>
      <c r="CKB239" s="1"/>
      <c r="CKC239" s="1"/>
      <c r="CKD239" s="1"/>
      <c r="CKE239" s="1"/>
      <c r="CKF239" s="1"/>
      <c r="CKG239" s="1"/>
      <c r="CKH239" s="1"/>
      <c r="CKI239" s="1"/>
      <c r="CKJ239" s="1"/>
      <c r="CKK239" s="1"/>
      <c r="CKL239" s="1"/>
      <c r="CKM239" s="1"/>
      <c r="CKN239" s="1"/>
      <c r="CKO239" s="1"/>
      <c r="CKP239" s="1"/>
      <c r="CKQ239" s="1"/>
      <c r="CKR239" s="1"/>
      <c r="CKS239" s="1"/>
      <c r="CKT239" s="1"/>
      <c r="CKU239" s="1"/>
      <c r="CKV239" s="1"/>
      <c r="CKW239" s="1"/>
      <c r="CKX239" s="1"/>
      <c r="CKY239" s="1"/>
      <c r="CKZ239" s="1"/>
      <c r="CLA239" s="1"/>
      <c r="CLB239" s="1"/>
      <c r="CLC239" s="1"/>
      <c r="CLD239" s="1"/>
      <c r="CLE239" s="1"/>
      <c r="CLF239" s="1"/>
      <c r="CLG239" s="1"/>
      <c r="CLH239" s="1"/>
      <c r="CLI239" s="1"/>
      <c r="CLJ239" s="1"/>
      <c r="CLK239" s="1"/>
      <c r="CLL239" s="1"/>
      <c r="CLM239" s="1"/>
      <c r="CLN239" s="1"/>
      <c r="CLO239" s="1"/>
      <c r="CLP239" s="1"/>
      <c r="CLQ239" s="1"/>
      <c r="CLR239" s="1"/>
      <c r="CLS239" s="1"/>
      <c r="CLT239" s="1"/>
      <c r="CLU239" s="1"/>
      <c r="CLV239" s="1"/>
      <c r="CLW239" s="1"/>
      <c r="CLX239" s="1"/>
      <c r="CLY239" s="1"/>
      <c r="CLZ239" s="1"/>
      <c r="CMA239" s="1"/>
      <c r="CMB239" s="1"/>
      <c r="CMC239" s="1"/>
      <c r="CMD239" s="1"/>
      <c r="CME239" s="1"/>
      <c r="CMF239" s="1"/>
      <c r="CMG239" s="1"/>
      <c r="CMH239" s="1"/>
      <c r="CMI239" s="1"/>
      <c r="CMJ239" s="1"/>
      <c r="CMK239" s="1"/>
      <c r="CML239" s="1"/>
      <c r="CMM239" s="1"/>
      <c r="CMN239" s="1"/>
      <c r="CMO239" s="1"/>
      <c r="CMP239" s="1"/>
      <c r="CMQ239" s="1"/>
      <c r="CMR239" s="1"/>
      <c r="CMS239" s="1"/>
      <c r="CMT239" s="1"/>
      <c r="CMU239" s="1"/>
      <c r="CMV239" s="1"/>
      <c r="CMW239" s="1"/>
      <c r="CMX239" s="1"/>
      <c r="CMY239" s="1"/>
      <c r="CMZ239" s="1"/>
      <c r="CNA239" s="1"/>
      <c r="CNB239" s="1"/>
      <c r="CNC239" s="1"/>
      <c r="CND239" s="1"/>
      <c r="CNE239" s="1"/>
      <c r="CNF239" s="1"/>
      <c r="CNG239" s="1"/>
      <c r="CNH239" s="1"/>
      <c r="CNI239" s="1"/>
      <c r="CNJ239" s="1"/>
      <c r="CNK239" s="1"/>
      <c r="CNL239" s="1"/>
      <c r="CNM239" s="1"/>
      <c r="CNN239" s="1"/>
      <c r="CNO239" s="1"/>
      <c r="CNP239" s="1"/>
      <c r="CNQ239" s="1"/>
      <c r="CNR239" s="1"/>
      <c r="CNS239" s="1"/>
      <c r="CNT239" s="1"/>
      <c r="CNU239" s="1"/>
      <c r="CNV239" s="1"/>
      <c r="CNW239" s="1"/>
      <c r="CNX239" s="1"/>
      <c r="CNY239" s="1"/>
      <c r="CNZ239" s="1"/>
      <c r="COA239" s="1"/>
      <c r="COB239" s="1"/>
      <c r="COC239" s="1"/>
      <c r="COD239" s="1"/>
      <c r="COE239" s="1"/>
      <c r="COF239" s="1"/>
      <c r="COG239" s="1"/>
      <c r="COH239" s="1"/>
      <c r="COI239" s="1"/>
      <c r="COJ239" s="1"/>
      <c r="COK239" s="1"/>
      <c r="COL239" s="1"/>
      <c r="COM239" s="1"/>
      <c r="CON239" s="1"/>
      <c r="COO239" s="1"/>
      <c r="COP239" s="1"/>
      <c r="COQ239" s="1"/>
      <c r="COR239" s="1"/>
      <c r="COS239" s="1"/>
      <c r="COT239" s="1"/>
      <c r="COU239" s="1"/>
      <c r="COV239" s="1"/>
      <c r="COW239" s="1"/>
      <c r="COX239" s="1"/>
      <c r="COY239" s="1"/>
      <c r="COZ239" s="1"/>
      <c r="CPA239" s="1"/>
      <c r="CPB239" s="1"/>
      <c r="CPC239" s="1"/>
      <c r="CPD239" s="1"/>
      <c r="CPE239" s="1"/>
      <c r="CPF239" s="1"/>
      <c r="CPG239" s="1"/>
      <c r="CPH239" s="1"/>
      <c r="CPI239" s="1"/>
      <c r="CPJ239" s="1"/>
      <c r="CPK239" s="1"/>
      <c r="CPL239" s="1"/>
      <c r="CPM239" s="1"/>
      <c r="CPN239" s="1"/>
      <c r="CPO239" s="1"/>
      <c r="CPP239" s="1"/>
      <c r="CPQ239" s="1"/>
      <c r="CPR239" s="1"/>
      <c r="CPS239" s="1"/>
      <c r="CPT239" s="1"/>
      <c r="CPU239" s="1"/>
      <c r="CPV239" s="1"/>
      <c r="CPW239" s="1"/>
      <c r="CPX239" s="1"/>
      <c r="CPY239" s="1"/>
      <c r="CPZ239" s="1"/>
      <c r="CQA239" s="1"/>
      <c r="CQB239" s="1"/>
      <c r="CQC239" s="1"/>
      <c r="CQD239" s="1"/>
      <c r="CQE239" s="1"/>
      <c r="CQF239" s="1"/>
      <c r="CQG239" s="1"/>
      <c r="CQH239" s="1"/>
      <c r="CQI239" s="1"/>
      <c r="CQJ239" s="1"/>
      <c r="CQK239" s="1"/>
      <c r="CQL239" s="1"/>
      <c r="CQM239" s="1"/>
      <c r="CQN239" s="1"/>
      <c r="CQO239" s="1"/>
      <c r="CQP239" s="1"/>
      <c r="CQQ239" s="1"/>
      <c r="CQR239" s="1"/>
      <c r="CQS239" s="1"/>
      <c r="CQT239" s="1"/>
      <c r="CQU239" s="1"/>
      <c r="CQV239" s="1"/>
      <c r="CQW239" s="1"/>
      <c r="CQX239" s="1"/>
      <c r="CQY239" s="1"/>
      <c r="CQZ239" s="1"/>
      <c r="CRA239" s="1"/>
      <c r="CRB239" s="1"/>
      <c r="CRC239" s="1"/>
      <c r="CRD239" s="1"/>
      <c r="CRE239" s="1"/>
      <c r="CRF239" s="1"/>
      <c r="CRG239" s="1"/>
      <c r="CRH239" s="1"/>
      <c r="CRI239" s="1"/>
      <c r="CRJ239" s="1"/>
      <c r="CRK239" s="1"/>
      <c r="CRL239" s="1"/>
      <c r="CRM239" s="1"/>
      <c r="CRN239" s="1"/>
      <c r="CRO239" s="1"/>
      <c r="CRP239" s="1"/>
      <c r="CRQ239" s="1"/>
      <c r="CRR239" s="1"/>
      <c r="CRS239" s="1"/>
      <c r="CRT239" s="1"/>
      <c r="CRU239" s="1"/>
      <c r="CRV239" s="1"/>
      <c r="CRW239" s="1"/>
      <c r="CRX239" s="1"/>
      <c r="CRY239" s="1"/>
      <c r="CRZ239" s="1"/>
      <c r="CSA239" s="1"/>
      <c r="CSB239" s="1"/>
      <c r="CSC239" s="1"/>
      <c r="CSD239" s="1"/>
      <c r="CSE239" s="1"/>
      <c r="CSF239" s="1"/>
      <c r="CSG239" s="1"/>
      <c r="CSH239" s="1"/>
      <c r="CSI239" s="1"/>
      <c r="CSJ239" s="1"/>
      <c r="CSK239" s="1"/>
      <c r="CSL239" s="1"/>
      <c r="CSM239" s="1"/>
      <c r="CSN239" s="1"/>
      <c r="CSO239" s="1"/>
      <c r="CSP239" s="1"/>
      <c r="CSQ239" s="1"/>
      <c r="CSR239" s="1"/>
      <c r="CSS239" s="1"/>
      <c r="CST239" s="1"/>
      <c r="CSU239" s="1"/>
      <c r="CSV239" s="1"/>
      <c r="CSW239" s="1"/>
      <c r="CSX239" s="1"/>
      <c r="CSY239" s="1"/>
      <c r="CSZ239" s="1"/>
      <c r="CTA239" s="1"/>
      <c r="CTB239" s="1"/>
      <c r="CTC239" s="1"/>
      <c r="CTD239" s="1"/>
      <c r="CTE239" s="1"/>
      <c r="CTF239" s="1"/>
      <c r="CTG239" s="1"/>
      <c r="CTH239" s="1"/>
      <c r="CTI239" s="1"/>
      <c r="CTJ239" s="1"/>
      <c r="CTK239" s="1"/>
      <c r="CTL239" s="1"/>
      <c r="CTM239" s="1"/>
      <c r="CTN239" s="1"/>
      <c r="CTO239" s="1"/>
      <c r="CTP239" s="1"/>
      <c r="CTQ239" s="1"/>
      <c r="CTR239" s="1"/>
      <c r="CTS239" s="1"/>
      <c r="CTT239" s="1"/>
      <c r="CTU239" s="1"/>
      <c r="CTV239" s="1"/>
      <c r="CTW239" s="1"/>
      <c r="CTX239" s="1"/>
      <c r="CTY239" s="1"/>
      <c r="CTZ239" s="1"/>
      <c r="CUA239" s="1"/>
      <c r="CUB239" s="1"/>
      <c r="CUC239" s="1"/>
      <c r="CUD239" s="1"/>
      <c r="CUE239" s="1"/>
      <c r="CUF239" s="1"/>
      <c r="CUG239" s="1"/>
      <c r="CUH239" s="1"/>
      <c r="CUI239" s="1"/>
      <c r="CUJ239" s="1"/>
      <c r="CUK239" s="1"/>
      <c r="CUL239" s="1"/>
      <c r="CUM239" s="1"/>
      <c r="CUN239" s="1"/>
      <c r="CUO239" s="1"/>
      <c r="CUP239" s="1"/>
      <c r="CUQ239" s="1"/>
      <c r="CUR239" s="1"/>
      <c r="CUS239" s="1"/>
      <c r="CUT239" s="1"/>
      <c r="CUU239" s="1"/>
      <c r="CUV239" s="1"/>
      <c r="CUW239" s="1"/>
      <c r="CUX239" s="1"/>
      <c r="CUY239" s="1"/>
      <c r="CUZ239" s="1"/>
      <c r="CVA239" s="1"/>
      <c r="CVB239" s="1"/>
      <c r="CVC239" s="1"/>
      <c r="CVD239" s="1"/>
      <c r="CVE239" s="1"/>
      <c r="CVF239" s="1"/>
      <c r="CVG239" s="1"/>
      <c r="CVH239" s="1"/>
      <c r="CVI239" s="1"/>
      <c r="CVJ239" s="1"/>
      <c r="CVK239" s="1"/>
      <c r="CVL239" s="1"/>
      <c r="CVM239" s="1"/>
      <c r="CVN239" s="1"/>
      <c r="CVO239" s="1"/>
      <c r="CVP239" s="1"/>
      <c r="CVQ239" s="1"/>
      <c r="CVR239" s="1"/>
      <c r="CVS239" s="1"/>
      <c r="CVT239" s="1"/>
      <c r="CVU239" s="1"/>
      <c r="CVV239" s="1"/>
      <c r="CVW239" s="1"/>
      <c r="CVX239" s="1"/>
      <c r="CVY239" s="1"/>
      <c r="CVZ239" s="1"/>
      <c r="CWA239" s="1"/>
      <c r="CWB239" s="1"/>
      <c r="CWC239" s="1"/>
      <c r="CWD239" s="1"/>
      <c r="CWE239" s="1"/>
      <c r="CWF239" s="1"/>
      <c r="CWG239" s="1"/>
      <c r="CWH239" s="1"/>
      <c r="CWI239" s="1"/>
      <c r="CWJ239" s="1"/>
      <c r="CWK239" s="1"/>
      <c r="CWL239" s="1"/>
      <c r="CWM239" s="1"/>
      <c r="CWN239" s="1"/>
      <c r="CWO239" s="1"/>
      <c r="CWP239" s="1"/>
      <c r="CWQ239" s="1"/>
      <c r="CWR239" s="1"/>
      <c r="CWS239" s="1"/>
      <c r="CWT239" s="1"/>
      <c r="CWU239" s="1"/>
      <c r="CWV239" s="1"/>
      <c r="CWW239" s="1"/>
      <c r="CWX239" s="1"/>
      <c r="CWY239" s="1"/>
      <c r="CWZ239" s="1"/>
      <c r="CXA239" s="1"/>
      <c r="CXB239" s="1"/>
      <c r="CXC239" s="1"/>
      <c r="CXD239" s="1"/>
      <c r="CXE239" s="1"/>
      <c r="CXF239" s="1"/>
      <c r="CXG239" s="1"/>
      <c r="CXH239" s="1"/>
      <c r="CXI239" s="1"/>
      <c r="CXJ239" s="1"/>
      <c r="CXK239" s="1"/>
      <c r="CXL239" s="1"/>
      <c r="CXM239" s="1"/>
      <c r="CXN239" s="1"/>
      <c r="CXO239" s="1"/>
      <c r="CXP239" s="1"/>
      <c r="CXQ239" s="1"/>
      <c r="CXR239" s="1"/>
      <c r="CXS239" s="1"/>
      <c r="CXT239" s="1"/>
      <c r="CXU239" s="1"/>
      <c r="CXV239" s="1"/>
      <c r="CXW239" s="1"/>
      <c r="CXX239" s="1"/>
      <c r="CXY239" s="1"/>
      <c r="CXZ239" s="1"/>
      <c r="CYA239" s="1"/>
      <c r="CYB239" s="1"/>
      <c r="CYC239" s="1"/>
      <c r="CYD239" s="1"/>
      <c r="CYE239" s="1"/>
      <c r="CYF239" s="1"/>
      <c r="CYG239" s="1"/>
      <c r="CYH239" s="1"/>
      <c r="CYI239" s="1"/>
      <c r="CYJ239" s="1"/>
      <c r="CYK239" s="1"/>
      <c r="CYL239" s="1"/>
      <c r="CYM239" s="1"/>
      <c r="CYN239" s="1"/>
      <c r="CYO239" s="1"/>
      <c r="CYP239" s="1"/>
      <c r="CYQ239" s="1"/>
      <c r="CYR239" s="1"/>
      <c r="CYS239" s="1"/>
      <c r="CYT239" s="1"/>
      <c r="CYU239" s="1"/>
      <c r="CYV239" s="1"/>
      <c r="CYW239" s="1"/>
      <c r="CYX239" s="1"/>
      <c r="CYY239" s="1"/>
      <c r="CYZ239" s="1"/>
      <c r="CZA239" s="1"/>
      <c r="CZB239" s="1"/>
      <c r="CZC239" s="1"/>
      <c r="CZD239" s="1"/>
      <c r="CZE239" s="1"/>
      <c r="CZF239" s="1"/>
      <c r="CZG239" s="1"/>
      <c r="CZH239" s="1"/>
      <c r="CZI239" s="1"/>
      <c r="CZJ239" s="1"/>
      <c r="CZK239" s="1"/>
      <c r="CZL239" s="1"/>
      <c r="CZM239" s="1"/>
      <c r="CZN239" s="1"/>
      <c r="CZO239" s="1"/>
      <c r="CZP239" s="1"/>
      <c r="CZQ239" s="1"/>
      <c r="CZR239" s="1"/>
      <c r="CZS239" s="1"/>
      <c r="CZT239" s="1"/>
      <c r="CZU239" s="1"/>
      <c r="CZV239" s="1"/>
      <c r="CZW239" s="1"/>
      <c r="CZX239" s="1"/>
      <c r="CZY239" s="1"/>
      <c r="CZZ239" s="1"/>
      <c r="DAA239" s="1"/>
      <c r="DAB239" s="1"/>
      <c r="DAC239" s="1"/>
      <c r="DAD239" s="1"/>
      <c r="DAE239" s="1"/>
      <c r="DAF239" s="1"/>
      <c r="DAG239" s="1"/>
      <c r="DAH239" s="1"/>
      <c r="DAI239" s="1"/>
      <c r="DAJ239" s="1"/>
      <c r="DAK239" s="1"/>
      <c r="DAL239" s="1"/>
      <c r="DAM239" s="1"/>
      <c r="DAN239" s="1"/>
      <c r="DAO239" s="1"/>
      <c r="DAP239" s="1"/>
      <c r="DAQ239" s="1"/>
      <c r="DAR239" s="1"/>
      <c r="DAS239" s="1"/>
      <c r="DAT239" s="1"/>
      <c r="DAU239" s="1"/>
      <c r="DAV239" s="1"/>
      <c r="DAW239" s="1"/>
      <c r="DAX239" s="1"/>
      <c r="DAY239" s="1"/>
      <c r="DAZ239" s="1"/>
      <c r="DBA239" s="1"/>
      <c r="DBB239" s="1"/>
      <c r="DBC239" s="1"/>
      <c r="DBD239" s="1"/>
      <c r="DBE239" s="1"/>
      <c r="DBF239" s="1"/>
      <c r="DBG239" s="1"/>
      <c r="DBH239" s="1"/>
      <c r="DBI239" s="1"/>
      <c r="DBJ239" s="1"/>
      <c r="DBK239" s="1"/>
      <c r="DBL239" s="1"/>
      <c r="DBM239" s="1"/>
      <c r="DBN239" s="1"/>
      <c r="DBO239" s="1"/>
      <c r="DBP239" s="1"/>
      <c r="DBQ239" s="1"/>
      <c r="DBR239" s="1"/>
      <c r="DBS239" s="1"/>
      <c r="DBT239" s="1"/>
      <c r="DBU239" s="1"/>
      <c r="DBV239" s="1"/>
      <c r="DBW239" s="1"/>
      <c r="DBX239" s="1"/>
      <c r="DBY239" s="1"/>
      <c r="DBZ239" s="1"/>
      <c r="DCA239" s="1"/>
      <c r="DCB239" s="1"/>
      <c r="DCC239" s="1"/>
      <c r="DCD239" s="1"/>
      <c r="DCE239" s="1"/>
      <c r="DCF239" s="1"/>
      <c r="DCG239" s="1"/>
      <c r="DCH239" s="1"/>
      <c r="DCI239" s="1"/>
      <c r="DCJ239" s="1"/>
      <c r="DCK239" s="1"/>
      <c r="DCL239" s="1"/>
      <c r="DCM239" s="1"/>
      <c r="DCN239" s="1"/>
      <c r="DCO239" s="1"/>
      <c r="DCP239" s="1"/>
      <c r="DCQ239" s="1"/>
      <c r="DCR239" s="1"/>
      <c r="DCS239" s="1"/>
      <c r="DCT239" s="1"/>
      <c r="DCU239" s="1"/>
      <c r="DCV239" s="1"/>
      <c r="DCW239" s="1"/>
      <c r="DCX239" s="1"/>
      <c r="DCY239" s="1"/>
      <c r="DCZ239" s="1"/>
      <c r="DDA239" s="1"/>
      <c r="DDB239" s="1"/>
      <c r="DDC239" s="1"/>
      <c r="DDD239" s="1"/>
      <c r="DDE239" s="1"/>
      <c r="DDF239" s="1"/>
      <c r="DDG239" s="1"/>
      <c r="DDH239" s="1"/>
      <c r="DDI239" s="1"/>
      <c r="DDJ239" s="1"/>
      <c r="DDK239" s="1"/>
      <c r="DDL239" s="1"/>
      <c r="DDM239" s="1"/>
      <c r="DDN239" s="1"/>
      <c r="DDO239" s="1"/>
      <c r="DDP239" s="1"/>
      <c r="DDQ239" s="1"/>
      <c r="DDR239" s="1"/>
      <c r="DDS239" s="1"/>
      <c r="DDT239" s="1"/>
      <c r="DDU239" s="1"/>
      <c r="DDV239" s="1"/>
      <c r="DDW239" s="1"/>
      <c r="DDX239" s="1"/>
      <c r="DDY239" s="1"/>
      <c r="DDZ239" s="1"/>
      <c r="DEA239" s="1"/>
      <c r="DEB239" s="1"/>
      <c r="DEC239" s="1"/>
      <c r="DED239" s="1"/>
      <c r="DEE239" s="1"/>
      <c r="DEF239" s="1"/>
      <c r="DEG239" s="1"/>
      <c r="DEH239" s="1"/>
      <c r="DEI239" s="1"/>
      <c r="DEJ239" s="1"/>
      <c r="DEK239" s="1"/>
      <c r="DEL239" s="1"/>
      <c r="DEM239" s="1"/>
      <c r="DEN239" s="1"/>
      <c r="DEO239" s="1"/>
      <c r="DEP239" s="1"/>
      <c r="DEQ239" s="1"/>
      <c r="DER239" s="1"/>
      <c r="DES239" s="1"/>
      <c r="DET239" s="1"/>
      <c r="DEU239" s="1"/>
      <c r="DEV239" s="1"/>
      <c r="DEW239" s="1"/>
      <c r="DEX239" s="1"/>
      <c r="DEY239" s="1"/>
      <c r="DEZ239" s="1"/>
      <c r="DFA239" s="1"/>
      <c r="DFB239" s="1"/>
      <c r="DFC239" s="1"/>
      <c r="DFD239" s="1"/>
      <c r="DFE239" s="1"/>
      <c r="DFF239" s="1"/>
      <c r="DFG239" s="1"/>
      <c r="DFH239" s="1"/>
      <c r="DFI239" s="1"/>
      <c r="DFJ239" s="1"/>
      <c r="DFK239" s="1"/>
      <c r="DFL239" s="1"/>
      <c r="DFM239" s="1"/>
      <c r="DFN239" s="1"/>
      <c r="DFO239" s="1"/>
      <c r="DFP239" s="1"/>
      <c r="DFQ239" s="1"/>
      <c r="DFR239" s="1"/>
      <c r="DFS239" s="1"/>
      <c r="DFT239" s="1"/>
      <c r="DFU239" s="1"/>
      <c r="DFV239" s="1"/>
      <c r="DFW239" s="1"/>
      <c r="DFX239" s="1"/>
      <c r="DFY239" s="1"/>
      <c r="DFZ239" s="1"/>
      <c r="DGA239" s="1"/>
      <c r="DGB239" s="1"/>
      <c r="DGC239" s="1"/>
      <c r="DGD239" s="1"/>
      <c r="DGE239" s="1"/>
      <c r="DGF239" s="1"/>
      <c r="DGG239" s="1"/>
      <c r="DGH239" s="1"/>
      <c r="DGI239" s="1"/>
      <c r="DGJ239" s="1"/>
      <c r="DGK239" s="1"/>
      <c r="DGL239" s="1"/>
      <c r="DGM239" s="1"/>
      <c r="DGN239" s="1"/>
      <c r="DGO239" s="1"/>
      <c r="DGP239" s="1"/>
      <c r="DGQ239" s="1"/>
      <c r="DGR239" s="1"/>
      <c r="DGS239" s="1"/>
      <c r="DGT239" s="1"/>
      <c r="DGU239" s="1"/>
      <c r="DGV239" s="1"/>
      <c r="DGW239" s="1"/>
      <c r="DGX239" s="1"/>
      <c r="DGY239" s="1"/>
      <c r="DGZ239" s="1"/>
      <c r="DHA239" s="1"/>
      <c r="DHB239" s="1"/>
      <c r="DHC239" s="1"/>
      <c r="DHD239" s="1"/>
      <c r="DHE239" s="1"/>
      <c r="DHF239" s="1"/>
      <c r="DHG239" s="1"/>
      <c r="DHH239" s="1"/>
      <c r="DHI239" s="1"/>
      <c r="DHJ239" s="1"/>
      <c r="DHK239" s="1"/>
      <c r="DHL239" s="1"/>
      <c r="DHM239" s="1"/>
      <c r="DHN239" s="1"/>
      <c r="DHO239" s="1"/>
      <c r="DHP239" s="1"/>
      <c r="DHQ239" s="1"/>
      <c r="DHR239" s="1"/>
      <c r="DHS239" s="1"/>
      <c r="DHT239" s="1"/>
      <c r="DHU239" s="1"/>
      <c r="DHV239" s="1"/>
      <c r="DHW239" s="1"/>
      <c r="DHX239" s="1"/>
      <c r="DHY239" s="1"/>
      <c r="DHZ239" s="1"/>
      <c r="DIA239" s="1"/>
      <c r="DIB239" s="1"/>
      <c r="DIC239" s="1"/>
      <c r="DID239" s="1"/>
      <c r="DIE239" s="1"/>
      <c r="DIF239" s="1"/>
      <c r="DIG239" s="1"/>
      <c r="DIH239" s="1"/>
      <c r="DII239" s="1"/>
      <c r="DIJ239" s="1"/>
      <c r="DIK239" s="1"/>
      <c r="DIL239" s="1"/>
      <c r="DIM239" s="1"/>
      <c r="DIN239" s="1"/>
      <c r="DIO239" s="1"/>
      <c r="DIP239" s="1"/>
      <c r="DIQ239" s="1"/>
      <c r="DIR239" s="1"/>
      <c r="DIS239" s="1"/>
      <c r="DIT239" s="1"/>
      <c r="DIU239" s="1"/>
      <c r="DIV239" s="1"/>
      <c r="DIW239" s="1"/>
      <c r="DIX239" s="1"/>
      <c r="DIY239" s="1"/>
      <c r="DIZ239" s="1"/>
      <c r="DJA239" s="1"/>
      <c r="DJB239" s="1"/>
      <c r="DJC239" s="1"/>
      <c r="DJD239" s="1"/>
      <c r="DJE239" s="1"/>
      <c r="DJF239" s="1"/>
      <c r="DJG239" s="1"/>
      <c r="DJH239" s="1"/>
      <c r="DJI239" s="1"/>
      <c r="DJJ239" s="1"/>
      <c r="DJK239" s="1"/>
      <c r="DJL239" s="1"/>
      <c r="DJM239" s="1"/>
      <c r="DJN239" s="1"/>
      <c r="DJO239" s="1"/>
      <c r="DJP239" s="1"/>
      <c r="DJQ239" s="1"/>
      <c r="DJR239" s="1"/>
      <c r="DJS239" s="1"/>
      <c r="DJT239" s="1"/>
      <c r="DJU239" s="1"/>
      <c r="DJV239" s="1"/>
      <c r="DJW239" s="1"/>
      <c r="DJX239" s="1"/>
      <c r="DJY239" s="1"/>
      <c r="DJZ239" s="1"/>
      <c r="DKA239" s="1"/>
      <c r="DKB239" s="1"/>
      <c r="DKC239" s="1"/>
      <c r="DKD239" s="1"/>
      <c r="DKE239" s="1"/>
      <c r="DKF239" s="1"/>
      <c r="DKG239" s="1"/>
      <c r="DKH239" s="1"/>
      <c r="DKI239" s="1"/>
      <c r="DKJ239" s="1"/>
      <c r="DKK239" s="1"/>
      <c r="DKL239" s="1"/>
      <c r="DKM239" s="1"/>
      <c r="DKN239" s="1"/>
      <c r="DKO239" s="1"/>
      <c r="DKP239" s="1"/>
      <c r="DKQ239" s="1"/>
      <c r="DKR239" s="1"/>
      <c r="DKS239" s="1"/>
      <c r="DKT239" s="1"/>
      <c r="DKU239" s="1"/>
      <c r="DKV239" s="1"/>
      <c r="DKW239" s="1"/>
      <c r="DKX239" s="1"/>
      <c r="DKY239" s="1"/>
      <c r="DKZ239" s="1"/>
      <c r="DLA239" s="1"/>
      <c r="DLB239" s="1"/>
      <c r="DLC239" s="1"/>
      <c r="DLD239" s="1"/>
      <c r="DLE239" s="1"/>
      <c r="DLF239" s="1"/>
      <c r="DLG239" s="1"/>
      <c r="DLH239" s="1"/>
      <c r="DLI239" s="1"/>
      <c r="DLJ239" s="1"/>
      <c r="DLK239" s="1"/>
      <c r="DLL239" s="1"/>
      <c r="DLM239" s="1"/>
      <c r="DLN239" s="1"/>
      <c r="DLO239" s="1"/>
      <c r="DLP239" s="1"/>
      <c r="DLQ239" s="1"/>
      <c r="DLR239" s="1"/>
      <c r="DLS239" s="1"/>
      <c r="DLT239" s="1"/>
      <c r="DLU239" s="1"/>
      <c r="DLV239" s="1"/>
      <c r="DLW239" s="1"/>
      <c r="DLX239" s="1"/>
      <c r="DLY239" s="1"/>
      <c r="DLZ239" s="1"/>
      <c r="DMA239" s="1"/>
      <c r="DMB239" s="1"/>
      <c r="DMC239" s="1"/>
      <c r="DMD239" s="1"/>
      <c r="DME239" s="1"/>
      <c r="DMF239" s="1"/>
      <c r="DMG239" s="1"/>
      <c r="DMH239" s="1"/>
      <c r="DMI239" s="1"/>
      <c r="DMJ239" s="1"/>
      <c r="DMK239" s="1"/>
      <c r="DML239" s="1"/>
      <c r="DMM239" s="1"/>
      <c r="DMN239" s="1"/>
      <c r="DMO239" s="1"/>
      <c r="DMP239" s="1"/>
      <c r="DMQ239" s="1"/>
      <c r="DMR239" s="1"/>
      <c r="DMS239" s="1"/>
      <c r="DMT239" s="1"/>
      <c r="DMU239" s="1"/>
      <c r="DMV239" s="1"/>
      <c r="DMW239" s="1"/>
      <c r="DMX239" s="1"/>
      <c r="DMY239" s="1"/>
      <c r="DMZ239" s="1"/>
      <c r="DNA239" s="1"/>
      <c r="DNB239" s="1"/>
      <c r="DNC239" s="1"/>
      <c r="DND239" s="1"/>
      <c r="DNE239" s="1"/>
      <c r="DNF239" s="1"/>
      <c r="DNG239" s="1"/>
      <c r="DNH239" s="1"/>
      <c r="DNI239" s="1"/>
      <c r="DNJ239" s="1"/>
      <c r="DNK239" s="1"/>
      <c r="DNL239" s="1"/>
      <c r="DNM239" s="1"/>
      <c r="DNN239" s="1"/>
      <c r="DNO239" s="1"/>
      <c r="DNP239" s="1"/>
      <c r="DNQ239" s="1"/>
      <c r="DNR239" s="1"/>
      <c r="DNS239" s="1"/>
      <c r="DNT239" s="1"/>
      <c r="DNU239" s="1"/>
      <c r="DNV239" s="1"/>
      <c r="DNW239" s="1"/>
      <c r="DNX239" s="1"/>
      <c r="DNY239" s="1"/>
      <c r="DNZ239" s="1"/>
      <c r="DOA239" s="1"/>
      <c r="DOB239" s="1"/>
      <c r="DOC239" s="1"/>
      <c r="DOD239" s="1"/>
      <c r="DOE239" s="1"/>
      <c r="DOF239" s="1"/>
      <c r="DOG239" s="1"/>
      <c r="DOH239" s="1"/>
      <c r="DOI239" s="1"/>
      <c r="DOJ239" s="1"/>
      <c r="DOK239" s="1"/>
      <c r="DOL239" s="1"/>
      <c r="DOM239" s="1"/>
      <c r="DON239" s="1"/>
      <c r="DOO239" s="1"/>
      <c r="DOP239" s="1"/>
      <c r="DOQ239" s="1"/>
      <c r="DOR239" s="1"/>
      <c r="DOS239" s="1"/>
      <c r="DOT239" s="1"/>
      <c r="DOU239" s="1"/>
      <c r="DOV239" s="1"/>
      <c r="DOW239" s="1"/>
      <c r="DOX239" s="1"/>
      <c r="DOY239" s="1"/>
      <c r="DOZ239" s="1"/>
      <c r="DPA239" s="1"/>
      <c r="DPB239" s="1"/>
      <c r="DPC239" s="1"/>
      <c r="DPD239" s="1"/>
      <c r="DPE239" s="1"/>
      <c r="DPF239" s="1"/>
      <c r="DPG239" s="1"/>
      <c r="DPH239" s="1"/>
      <c r="DPI239" s="1"/>
      <c r="DPJ239" s="1"/>
      <c r="DPK239" s="1"/>
      <c r="DPL239" s="1"/>
      <c r="DPM239" s="1"/>
      <c r="DPN239" s="1"/>
      <c r="DPO239" s="1"/>
      <c r="DPP239" s="1"/>
      <c r="DPQ239" s="1"/>
      <c r="DPR239" s="1"/>
      <c r="DPS239" s="1"/>
      <c r="DPT239" s="1"/>
      <c r="DPU239" s="1"/>
      <c r="DPV239" s="1"/>
      <c r="DPW239" s="1"/>
      <c r="DPX239" s="1"/>
      <c r="DPY239" s="1"/>
      <c r="DPZ239" s="1"/>
      <c r="DQA239" s="1"/>
      <c r="DQB239" s="1"/>
      <c r="DQC239" s="1"/>
      <c r="DQD239" s="1"/>
      <c r="DQE239" s="1"/>
      <c r="DQF239" s="1"/>
      <c r="DQG239" s="1"/>
      <c r="DQH239" s="1"/>
      <c r="DQI239" s="1"/>
      <c r="DQJ239" s="1"/>
      <c r="DQK239" s="1"/>
      <c r="DQL239" s="1"/>
      <c r="DQM239" s="1"/>
      <c r="DQN239" s="1"/>
      <c r="DQO239" s="1"/>
      <c r="DQP239" s="1"/>
      <c r="DQQ239" s="1"/>
      <c r="DQR239" s="1"/>
      <c r="DQS239" s="1"/>
      <c r="DQT239" s="1"/>
      <c r="DQU239" s="1"/>
      <c r="DQV239" s="1"/>
      <c r="DQW239" s="1"/>
      <c r="DQX239" s="1"/>
      <c r="DQY239" s="1"/>
      <c r="DQZ239" s="1"/>
      <c r="DRA239" s="1"/>
      <c r="DRB239" s="1"/>
      <c r="DRC239" s="1"/>
      <c r="DRD239" s="1"/>
      <c r="DRE239" s="1"/>
      <c r="DRF239" s="1"/>
      <c r="DRG239" s="1"/>
      <c r="DRH239" s="1"/>
      <c r="DRI239" s="1"/>
      <c r="DRJ239" s="1"/>
      <c r="DRK239" s="1"/>
      <c r="DRL239" s="1"/>
      <c r="DRM239" s="1"/>
      <c r="DRN239" s="1"/>
      <c r="DRO239" s="1"/>
      <c r="DRP239" s="1"/>
      <c r="DRQ239" s="1"/>
      <c r="DRR239" s="1"/>
      <c r="DRS239" s="1"/>
      <c r="DRT239" s="1"/>
      <c r="DRU239" s="1"/>
      <c r="DRV239" s="1"/>
      <c r="DRW239" s="1"/>
      <c r="DRX239" s="1"/>
      <c r="DRY239" s="1"/>
      <c r="DRZ239" s="1"/>
      <c r="DSA239" s="1"/>
      <c r="DSB239" s="1"/>
      <c r="DSC239" s="1"/>
      <c r="DSD239" s="1"/>
      <c r="DSE239" s="1"/>
      <c r="DSF239" s="1"/>
      <c r="DSG239" s="1"/>
      <c r="DSH239" s="1"/>
      <c r="DSI239" s="1"/>
      <c r="DSJ239" s="1"/>
      <c r="DSK239" s="1"/>
      <c r="DSL239" s="1"/>
      <c r="DSM239" s="1"/>
      <c r="DSN239" s="1"/>
      <c r="DSO239" s="1"/>
      <c r="DSP239" s="1"/>
      <c r="DSQ239" s="1"/>
      <c r="DSR239" s="1"/>
      <c r="DSS239" s="1"/>
      <c r="DST239" s="1"/>
      <c r="DSU239" s="1"/>
      <c r="DSV239" s="1"/>
      <c r="DSW239" s="1"/>
      <c r="DSX239" s="1"/>
      <c r="DSY239" s="1"/>
      <c r="DSZ239" s="1"/>
      <c r="DTA239" s="1"/>
      <c r="DTB239" s="1"/>
      <c r="DTC239" s="1"/>
      <c r="DTD239" s="1"/>
      <c r="DTE239" s="1"/>
      <c r="DTF239" s="1"/>
      <c r="DTG239" s="1"/>
      <c r="DTH239" s="1"/>
      <c r="DTI239" s="1"/>
      <c r="DTJ239" s="1"/>
      <c r="DTK239" s="1"/>
      <c r="DTL239" s="1"/>
      <c r="DTM239" s="1"/>
      <c r="DTN239" s="1"/>
      <c r="DTO239" s="1"/>
      <c r="DTP239" s="1"/>
      <c r="DTQ239" s="1"/>
      <c r="DTR239" s="1"/>
      <c r="DTS239" s="1"/>
      <c r="DTT239" s="1"/>
      <c r="DTU239" s="1"/>
      <c r="DTV239" s="1"/>
      <c r="DTW239" s="1"/>
      <c r="DTX239" s="1"/>
      <c r="DTY239" s="1"/>
      <c r="DTZ239" s="1"/>
      <c r="DUA239" s="1"/>
      <c r="DUB239" s="1"/>
      <c r="DUC239" s="1"/>
      <c r="DUD239" s="1"/>
      <c r="DUE239" s="1"/>
      <c r="DUF239" s="1"/>
      <c r="DUG239" s="1"/>
      <c r="DUH239" s="1"/>
      <c r="DUI239" s="1"/>
      <c r="DUJ239" s="1"/>
      <c r="DUK239" s="1"/>
      <c r="DUL239" s="1"/>
      <c r="DUM239" s="1"/>
      <c r="DUN239" s="1"/>
      <c r="DUO239" s="1"/>
      <c r="DUP239" s="1"/>
      <c r="DUQ239" s="1"/>
      <c r="DUR239" s="1"/>
      <c r="DUS239" s="1"/>
      <c r="DUT239" s="1"/>
      <c r="DUU239" s="1"/>
      <c r="DUV239" s="1"/>
      <c r="DUW239" s="1"/>
      <c r="DUX239" s="1"/>
      <c r="DUY239" s="1"/>
      <c r="DUZ239" s="1"/>
      <c r="DVA239" s="1"/>
      <c r="DVB239" s="1"/>
      <c r="DVC239" s="1"/>
      <c r="DVD239" s="1"/>
      <c r="DVE239" s="1"/>
      <c r="DVF239" s="1"/>
      <c r="DVG239" s="1"/>
      <c r="DVH239" s="1"/>
      <c r="DVI239" s="1"/>
      <c r="DVJ239" s="1"/>
      <c r="DVK239" s="1"/>
      <c r="DVL239" s="1"/>
      <c r="DVM239" s="1"/>
      <c r="DVN239" s="1"/>
      <c r="DVO239" s="1"/>
      <c r="DVP239" s="1"/>
      <c r="DVQ239" s="1"/>
      <c r="DVR239" s="1"/>
      <c r="DVS239" s="1"/>
      <c r="DVT239" s="1"/>
      <c r="DVU239" s="1"/>
      <c r="DVV239" s="1"/>
      <c r="DVW239" s="1"/>
      <c r="DVX239" s="1"/>
      <c r="DVY239" s="1"/>
      <c r="DVZ239" s="1"/>
      <c r="DWA239" s="1"/>
      <c r="DWB239" s="1"/>
      <c r="DWC239" s="1"/>
      <c r="DWD239" s="1"/>
      <c r="DWE239" s="1"/>
      <c r="DWF239" s="1"/>
      <c r="DWG239" s="1"/>
      <c r="DWH239" s="1"/>
      <c r="DWI239" s="1"/>
      <c r="DWJ239" s="1"/>
      <c r="DWK239" s="1"/>
      <c r="DWL239" s="1"/>
      <c r="DWM239" s="1"/>
      <c r="DWN239" s="1"/>
      <c r="DWO239" s="1"/>
      <c r="DWP239" s="1"/>
      <c r="DWQ239" s="1"/>
      <c r="DWR239" s="1"/>
      <c r="DWS239" s="1"/>
      <c r="DWT239" s="1"/>
      <c r="DWU239" s="1"/>
      <c r="DWV239" s="1"/>
      <c r="DWW239" s="1"/>
      <c r="DWX239" s="1"/>
      <c r="DWY239" s="1"/>
      <c r="DWZ239" s="1"/>
      <c r="DXA239" s="1"/>
      <c r="DXB239" s="1"/>
      <c r="DXC239" s="1"/>
      <c r="DXD239" s="1"/>
      <c r="DXE239" s="1"/>
      <c r="DXF239" s="1"/>
      <c r="DXG239" s="1"/>
      <c r="DXH239" s="1"/>
      <c r="DXI239" s="1"/>
      <c r="DXJ239" s="1"/>
      <c r="DXK239" s="1"/>
      <c r="DXL239" s="1"/>
      <c r="DXM239" s="1"/>
      <c r="DXN239" s="1"/>
      <c r="DXO239" s="1"/>
      <c r="DXP239" s="1"/>
      <c r="DXQ239" s="1"/>
      <c r="DXR239" s="1"/>
      <c r="DXS239" s="1"/>
      <c r="DXT239" s="1"/>
      <c r="DXU239" s="1"/>
      <c r="DXV239" s="1"/>
      <c r="DXW239" s="1"/>
      <c r="DXX239" s="1"/>
      <c r="DXY239" s="1"/>
      <c r="DXZ239" s="1"/>
      <c r="DYA239" s="1"/>
      <c r="DYB239" s="1"/>
      <c r="DYC239" s="1"/>
      <c r="DYD239" s="1"/>
      <c r="DYE239" s="1"/>
      <c r="DYF239" s="1"/>
      <c r="DYG239" s="1"/>
      <c r="DYH239" s="1"/>
      <c r="DYI239" s="1"/>
      <c r="DYJ239" s="1"/>
      <c r="DYK239" s="1"/>
      <c r="DYL239" s="1"/>
      <c r="DYM239" s="1"/>
      <c r="DYN239" s="1"/>
      <c r="DYO239" s="1"/>
      <c r="DYP239" s="1"/>
      <c r="DYQ239" s="1"/>
      <c r="DYR239" s="1"/>
      <c r="DYS239" s="1"/>
      <c r="DYT239" s="1"/>
      <c r="DYU239" s="1"/>
      <c r="DYV239" s="1"/>
      <c r="DYW239" s="1"/>
      <c r="DYX239" s="1"/>
      <c r="DYY239" s="1"/>
      <c r="DYZ239" s="1"/>
      <c r="DZA239" s="1"/>
      <c r="DZB239" s="1"/>
      <c r="DZC239" s="1"/>
      <c r="DZD239" s="1"/>
      <c r="DZE239" s="1"/>
      <c r="DZF239" s="1"/>
      <c r="DZG239" s="1"/>
      <c r="DZH239" s="1"/>
      <c r="DZI239" s="1"/>
      <c r="DZJ239" s="1"/>
      <c r="DZK239" s="1"/>
      <c r="DZL239" s="1"/>
      <c r="DZM239" s="1"/>
      <c r="DZN239" s="1"/>
      <c r="DZO239" s="1"/>
      <c r="DZP239" s="1"/>
      <c r="DZQ239" s="1"/>
      <c r="DZR239" s="1"/>
      <c r="DZS239" s="1"/>
      <c r="DZT239" s="1"/>
      <c r="DZU239" s="1"/>
      <c r="DZV239" s="1"/>
      <c r="DZW239" s="1"/>
      <c r="DZX239" s="1"/>
      <c r="DZY239" s="1"/>
      <c r="DZZ239" s="1"/>
      <c r="EAA239" s="1"/>
      <c r="EAB239" s="1"/>
      <c r="EAC239" s="1"/>
      <c r="EAD239" s="1"/>
      <c r="EAE239" s="1"/>
      <c r="EAF239" s="1"/>
      <c r="EAG239" s="1"/>
      <c r="EAH239" s="1"/>
      <c r="EAI239" s="1"/>
      <c r="EAJ239" s="1"/>
      <c r="EAK239" s="1"/>
      <c r="EAL239" s="1"/>
      <c r="EAM239" s="1"/>
      <c r="EAN239" s="1"/>
      <c r="EAO239" s="1"/>
      <c r="EAP239" s="1"/>
      <c r="EAQ239" s="1"/>
      <c r="EAR239" s="1"/>
      <c r="EAS239" s="1"/>
      <c r="EAT239" s="1"/>
      <c r="EAU239" s="1"/>
      <c r="EAV239" s="1"/>
      <c r="EAW239" s="1"/>
      <c r="EAX239" s="1"/>
      <c r="EAY239" s="1"/>
      <c r="EAZ239" s="1"/>
      <c r="EBA239" s="1"/>
      <c r="EBB239" s="1"/>
      <c r="EBC239" s="1"/>
      <c r="EBD239" s="1"/>
      <c r="EBE239" s="1"/>
      <c r="EBF239" s="1"/>
      <c r="EBG239" s="1"/>
      <c r="EBH239" s="1"/>
      <c r="EBI239" s="1"/>
      <c r="EBJ239" s="1"/>
      <c r="EBK239" s="1"/>
      <c r="EBL239" s="1"/>
      <c r="EBM239" s="1"/>
      <c r="EBN239" s="1"/>
      <c r="EBO239" s="1"/>
      <c r="EBP239" s="1"/>
      <c r="EBQ239" s="1"/>
      <c r="EBR239" s="1"/>
      <c r="EBS239" s="1"/>
      <c r="EBT239" s="1"/>
      <c r="EBU239" s="1"/>
      <c r="EBV239" s="1"/>
      <c r="EBW239" s="1"/>
      <c r="EBX239" s="1"/>
      <c r="EBY239" s="1"/>
      <c r="EBZ239" s="1"/>
      <c r="ECA239" s="1"/>
      <c r="ECB239" s="1"/>
      <c r="ECC239" s="1"/>
      <c r="ECD239" s="1"/>
      <c r="ECE239" s="1"/>
      <c r="ECF239" s="1"/>
      <c r="ECG239" s="1"/>
      <c r="ECH239" s="1"/>
      <c r="ECI239" s="1"/>
      <c r="ECJ239" s="1"/>
      <c r="ECK239" s="1"/>
      <c r="ECL239" s="1"/>
      <c r="ECM239" s="1"/>
      <c r="ECN239" s="1"/>
      <c r="ECO239" s="1"/>
      <c r="ECP239" s="1"/>
      <c r="ECQ239" s="1"/>
      <c r="ECR239" s="1"/>
      <c r="ECS239" s="1"/>
      <c r="ECT239" s="1"/>
      <c r="ECU239" s="1"/>
      <c r="ECV239" s="1"/>
      <c r="ECW239" s="1"/>
      <c r="ECX239" s="1"/>
      <c r="ECY239" s="1"/>
      <c r="ECZ239" s="1"/>
      <c r="EDA239" s="1"/>
      <c r="EDB239" s="1"/>
      <c r="EDC239" s="1"/>
      <c r="EDD239" s="1"/>
      <c r="EDE239" s="1"/>
      <c r="EDF239" s="1"/>
      <c r="EDG239" s="1"/>
      <c r="EDH239" s="1"/>
      <c r="EDI239" s="1"/>
      <c r="EDJ239" s="1"/>
      <c r="EDK239" s="1"/>
      <c r="EDL239" s="1"/>
      <c r="EDM239" s="1"/>
      <c r="EDN239" s="1"/>
      <c r="EDO239" s="1"/>
      <c r="EDP239" s="1"/>
      <c r="EDQ239" s="1"/>
      <c r="EDR239" s="1"/>
      <c r="EDS239" s="1"/>
      <c r="EDT239" s="1"/>
      <c r="EDU239" s="1"/>
      <c r="EDV239" s="1"/>
      <c r="EDW239" s="1"/>
      <c r="EDX239" s="1"/>
      <c r="EDY239" s="1"/>
      <c r="EDZ239" s="1"/>
      <c r="EEA239" s="1"/>
      <c r="EEB239" s="1"/>
      <c r="EEC239" s="1"/>
      <c r="EED239" s="1"/>
      <c r="EEE239" s="1"/>
      <c r="EEF239" s="1"/>
      <c r="EEG239" s="1"/>
      <c r="EEH239" s="1"/>
      <c r="EEI239" s="1"/>
      <c r="EEJ239" s="1"/>
      <c r="EEK239" s="1"/>
      <c r="EEL239" s="1"/>
      <c r="EEM239" s="1"/>
      <c r="EEN239" s="1"/>
      <c r="EEO239" s="1"/>
      <c r="EEP239" s="1"/>
      <c r="EEQ239" s="1"/>
      <c r="EER239" s="1"/>
      <c r="EES239" s="1"/>
      <c r="EET239" s="1"/>
      <c r="EEU239" s="1"/>
      <c r="EEV239" s="1"/>
      <c r="EEW239" s="1"/>
      <c r="EEX239" s="1"/>
      <c r="EEY239" s="1"/>
      <c r="EEZ239" s="1"/>
      <c r="EFA239" s="1"/>
      <c r="EFB239" s="1"/>
      <c r="EFC239" s="1"/>
      <c r="EFD239" s="1"/>
      <c r="EFE239" s="1"/>
      <c r="EFF239" s="1"/>
      <c r="EFG239" s="1"/>
      <c r="EFH239" s="1"/>
      <c r="EFI239" s="1"/>
      <c r="EFJ239" s="1"/>
      <c r="EFK239" s="1"/>
      <c r="EFL239" s="1"/>
      <c r="EFM239" s="1"/>
      <c r="EFN239" s="1"/>
      <c r="EFO239" s="1"/>
      <c r="EFP239" s="1"/>
      <c r="EFQ239" s="1"/>
      <c r="EFR239" s="1"/>
      <c r="EFS239" s="1"/>
      <c r="EFT239" s="1"/>
      <c r="EFU239" s="1"/>
      <c r="EFV239" s="1"/>
      <c r="EFW239" s="1"/>
      <c r="EFX239" s="1"/>
      <c r="EFY239" s="1"/>
      <c r="EFZ239" s="1"/>
      <c r="EGA239" s="1"/>
      <c r="EGB239" s="1"/>
      <c r="EGC239" s="1"/>
      <c r="EGD239" s="1"/>
      <c r="EGE239" s="1"/>
      <c r="EGF239" s="1"/>
      <c r="EGG239" s="1"/>
      <c r="EGH239" s="1"/>
      <c r="EGI239" s="1"/>
      <c r="EGJ239" s="1"/>
      <c r="EGK239" s="1"/>
      <c r="EGL239" s="1"/>
      <c r="EGM239" s="1"/>
      <c r="EGN239" s="1"/>
      <c r="EGO239" s="1"/>
      <c r="EGP239" s="1"/>
      <c r="EGQ239" s="1"/>
      <c r="EGR239" s="1"/>
      <c r="EGS239" s="1"/>
      <c r="EGT239" s="1"/>
      <c r="EGU239" s="1"/>
      <c r="EGV239" s="1"/>
      <c r="EGW239" s="1"/>
      <c r="EGX239" s="1"/>
      <c r="EGY239" s="1"/>
      <c r="EGZ239" s="1"/>
      <c r="EHA239" s="1"/>
      <c r="EHB239" s="1"/>
      <c r="EHC239" s="1"/>
      <c r="EHD239" s="1"/>
      <c r="EHE239" s="1"/>
      <c r="EHF239" s="1"/>
      <c r="EHG239" s="1"/>
      <c r="EHH239" s="1"/>
      <c r="EHI239" s="1"/>
      <c r="EHJ239" s="1"/>
      <c r="EHK239" s="1"/>
      <c r="EHL239" s="1"/>
      <c r="EHM239" s="1"/>
      <c r="EHN239" s="1"/>
      <c r="EHO239" s="1"/>
      <c r="EHP239" s="1"/>
      <c r="EHQ239" s="1"/>
      <c r="EHR239" s="1"/>
      <c r="EHS239" s="1"/>
      <c r="EHT239" s="1"/>
      <c r="EHU239" s="1"/>
      <c r="EHV239" s="1"/>
      <c r="EHW239" s="1"/>
      <c r="EHX239" s="1"/>
      <c r="EHY239" s="1"/>
      <c r="EHZ239" s="1"/>
      <c r="EIA239" s="1"/>
      <c r="EIB239" s="1"/>
      <c r="EIC239" s="1"/>
      <c r="EID239" s="1"/>
      <c r="EIE239" s="1"/>
      <c r="EIF239" s="1"/>
      <c r="EIG239" s="1"/>
      <c r="EIH239" s="1"/>
      <c r="EII239" s="1"/>
      <c r="EIJ239" s="1"/>
      <c r="EIK239" s="1"/>
      <c r="EIL239" s="1"/>
      <c r="EIM239" s="1"/>
      <c r="EIN239" s="1"/>
      <c r="EIO239" s="1"/>
      <c r="EIP239" s="1"/>
      <c r="EIQ239" s="1"/>
      <c r="EIR239" s="1"/>
      <c r="EIS239" s="1"/>
      <c r="EIT239" s="1"/>
      <c r="EIU239" s="1"/>
      <c r="EIV239" s="1"/>
      <c r="EIW239" s="1"/>
      <c r="EIX239" s="1"/>
      <c r="EIY239" s="1"/>
      <c r="EIZ239" s="1"/>
      <c r="EJA239" s="1"/>
      <c r="EJB239" s="1"/>
      <c r="EJC239" s="1"/>
      <c r="EJD239" s="1"/>
      <c r="EJE239" s="1"/>
      <c r="EJF239" s="1"/>
      <c r="EJG239" s="1"/>
      <c r="EJH239" s="1"/>
      <c r="EJI239" s="1"/>
      <c r="EJJ239" s="1"/>
      <c r="EJK239" s="1"/>
      <c r="EJL239" s="1"/>
      <c r="EJM239" s="1"/>
      <c r="EJN239" s="1"/>
      <c r="EJO239" s="1"/>
      <c r="EJP239" s="1"/>
      <c r="EJQ239" s="1"/>
      <c r="EJR239" s="1"/>
      <c r="EJS239" s="1"/>
      <c r="EJT239" s="1"/>
      <c r="EJU239" s="1"/>
      <c r="EJV239" s="1"/>
      <c r="EJW239" s="1"/>
      <c r="EJX239" s="1"/>
      <c r="EJY239" s="1"/>
      <c r="EJZ239" s="1"/>
      <c r="EKA239" s="1"/>
      <c r="EKB239" s="1"/>
      <c r="EKC239" s="1"/>
      <c r="EKD239" s="1"/>
      <c r="EKE239" s="1"/>
      <c r="EKF239" s="1"/>
      <c r="EKG239" s="1"/>
      <c r="EKH239" s="1"/>
      <c r="EKI239" s="1"/>
      <c r="EKJ239" s="1"/>
      <c r="EKK239" s="1"/>
      <c r="EKL239" s="1"/>
      <c r="EKM239" s="1"/>
      <c r="EKN239" s="1"/>
      <c r="EKO239" s="1"/>
      <c r="EKP239" s="1"/>
      <c r="EKQ239" s="1"/>
      <c r="EKR239" s="1"/>
      <c r="EKS239" s="1"/>
      <c r="EKT239" s="1"/>
      <c r="EKU239" s="1"/>
      <c r="EKV239" s="1"/>
      <c r="EKW239" s="1"/>
      <c r="EKX239" s="1"/>
      <c r="EKY239" s="1"/>
      <c r="EKZ239" s="1"/>
      <c r="ELA239" s="1"/>
      <c r="ELB239" s="1"/>
      <c r="ELC239" s="1"/>
      <c r="ELD239" s="1"/>
      <c r="ELE239" s="1"/>
      <c r="ELF239" s="1"/>
      <c r="ELG239" s="1"/>
      <c r="ELH239" s="1"/>
      <c r="ELI239" s="1"/>
      <c r="ELJ239" s="1"/>
      <c r="ELK239" s="1"/>
      <c r="ELL239" s="1"/>
      <c r="ELM239" s="1"/>
      <c r="ELN239" s="1"/>
      <c r="ELO239" s="1"/>
      <c r="ELP239" s="1"/>
      <c r="ELQ239" s="1"/>
      <c r="ELR239" s="1"/>
      <c r="ELS239" s="1"/>
      <c r="ELT239" s="1"/>
      <c r="ELU239" s="1"/>
      <c r="ELV239" s="1"/>
      <c r="ELW239" s="1"/>
      <c r="ELX239" s="1"/>
      <c r="ELY239" s="1"/>
      <c r="ELZ239" s="1"/>
      <c r="EMA239" s="1"/>
      <c r="EMB239" s="1"/>
      <c r="EMC239" s="1"/>
      <c r="EMD239" s="1"/>
      <c r="EME239" s="1"/>
      <c r="EMF239" s="1"/>
      <c r="EMG239" s="1"/>
      <c r="EMH239" s="1"/>
      <c r="EMI239" s="1"/>
      <c r="EMJ239" s="1"/>
      <c r="EMK239" s="1"/>
      <c r="EML239" s="1"/>
      <c r="EMM239" s="1"/>
      <c r="EMN239" s="1"/>
      <c r="EMO239" s="1"/>
      <c r="EMP239" s="1"/>
      <c r="EMQ239" s="1"/>
      <c r="EMR239" s="1"/>
      <c r="EMS239" s="1"/>
      <c r="EMT239" s="1"/>
      <c r="EMU239" s="1"/>
      <c r="EMV239" s="1"/>
      <c r="EMW239" s="1"/>
      <c r="EMX239" s="1"/>
      <c r="EMY239" s="1"/>
      <c r="EMZ239" s="1"/>
      <c r="ENA239" s="1"/>
      <c r="ENB239" s="1"/>
      <c r="ENC239" s="1"/>
      <c r="END239" s="1"/>
      <c r="ENE239" s="1"/>
      <c r="ENF239" s="1"/>
      <c r="ENG239" s="1"/>
      <c r="ENH239" s="1"/>
      <c r="ENI239" s="1"/>
      <c r="ENJ239" s="1"/>
      <c r="ENK239" s="1"/>
      <c r="ENL239" s="1"/>
      <c r="ENM239" s="1"/>
      <c r="ENN239" s="1"/>
      <c r="ENO239" s="1"/>
      <c r="ENP239" s="1"/>
      <c r="ENQ239" s="1"/>
      <c r="ENR239" s="1"/>
      <c r="ENS239" s="1"/>
      <c r="ENT239" s="1"/>
      <c r="ENU239" s="1"/>
      <c r="ENV239" s="1"/>
      <c r="ENW239" s="1"/>
      <c r="ENX239" s="1"/>
      <c r="ENY239" s="1"/>
      <c r="ENZ239" s="1"/>
      <c r="EOA239" s="1"/>
      <c r="EOB239" s="1"/>
      <c r="EOC239" s="1"/>
      <c r="EOD239" s="1"/>
      <c r="EOE239" s="1"/>
      <c r="EOF239" s="1"/>
      <c r="EOG239" s="1"/>
      <c r="EOH239" s="1"/>
      <c r="EOI239" s="1"/>
      <c r="EOJ239" s="1"/>
      <c r="EOK239" s="1"/>
      <c r="EOL239" s="1"/>
      <c r="EOM239" s="1"/>
      <c r="EON239" s="1"/>
      <c r="EOO239" s="1"/>
      <c r="EOP239" s="1"/>
      <c r="EOQ239" s="1"/>
      <c r="EOR239" s="1"/>
      <c r="EOS239" s="1"/>
      <c r="EOT239" s="1"/>
      <c r="EOU239" s="1"/>
      <c r="EOV239" s="1"/>
      <c r="EOW239" s="1"/>
      <c r="EOX239" s="1"/>
      <c r="EOY239" s="1"/>
      <c r="EOZ239" s="1"/>
      <c r="EPA239" s="1"/>
      <c r="EPB239" s="1"/>
      <c r="EPC239" s="1"/>
      <c r="EPD239" s="1"/>
      <c r="EPE239" s="1"/>
      <c r="EPF239" s="1"/>
      <c r="EPG239" s="1"/>
      <c r="EPH239" s="1"/>
      <c r="EPI239" s="1"/>
      <c r="EPJ239" s="1"/>
      <c r="EPK239" s="1"/>
      <c r="EPL239" s="1"/>
      <c r="EPM239" s="1"/>
      <c r="EPN239" s="1"/>
      <c r="EPO239" s="1"/>
      <c r="EPP239" s="1"/>
      <c r="EPQ239" s="1"/>
      <c r="EPR239" s="1"/>
      <c r="EPS239" s="1"/>
      <c r="EPT239" s="1"/>
      <c r="EPU239" s="1"/>
      <c r="EPV239" s="1"/>
      <c r="EPW239" s="1"/>
      <c r="EPX239" s="1"/>
      <c r="EPY239" s="1"/>
      <c r="EPZ239" s="1"/>
      <c r="EQA239" s="1"/>
      <c r="EQB239" s="1"/>
      <c r="EQC239" s="1"/>
      <c r="EQD239" s="1"/>
      <c r="EQE239" s="1"/>
      <c r="EQF239" s="1"/>
      <c r="EQG239" s="1"/>
      <c r="EQH239" s="1"/>
      <c r="EQI239" s="1"/>
      <c r="EQJ239" s="1"/>
      <c r="EQK239" s="1"/>
      <c r="EQL239" s="1"/>
      <c r="EQM239" s="1"/>
      <c r="EQN239" s="1"/>
      <c r="EQO239" s="1"/>
      <c r="EQP239" s="1"/>
      <c r="EQQ239" s="1"/>
      <c r="EQR239" s="1"/>
      <c r="EQS239" s="1"/>
      <c r="EQT239" s="1"/>
      <c r="EQU239" s="1"/>
      <c r="EQV239" s="1"/>
      <c r="EQW239" s="1"/>
      <c r="EQX239" s="1"/>
      <c r="EQY239" s="1"/>
      <c r="EQZ239" s="1"/>
      <c r="ERA239" s="1"/>
      <c r="ERB239" s="1"/>
      <c r="ERC239" s="1"/>
      <c r="ERD239" s="1"/>
      <c r="ERE239" s="1"/>
      <c r="ERF239" s="1"/>
      <c r="ERG239" s="1"/>
      <c r="ERH239" s="1"/>
      <c r="ERI239" s="1"/>
      <c r="ERJ239" s="1"/>
      <c r="ERK239" s="1"/>
      <c r="ERL239" s="1"/>
      <c r="ERM239" s="1"/>
      <c r="ERN239" s="1"/>
      <c r="ERO239" s="1"/>
      <c r="ERP239" s="1"/>
      <c r="ERQ239" s="1"/>
      <c r="ERR239" s="1"/>
      <c r="ERS239" s="1"/>
      <c r="ERT239" s="1"/>
      <c r="ERU239" s="1"/>
      <c r="ERV239" s="1"/>
      <c r="ERW239" s="1"/>
      <c r="ERX239" s="1"/>
      <c r="ERY239" s="1"/>
      <c r="ERZ239" s="1"/>
      <c r="ESA239" s="1"/>
      <c r="ESB239" s="1"/>
      <c r="ESC239" s="1"/>
      <c r="ESD239" s="1"/>
      <c r="ESE239" s="1"/>
      <c r="ESF239" s="1"/>
      <c r="ESG239" s="1"/>
      <c r="ESH239" s="1"/>
      <c r="ESI239" s="1"/>
      <c r="ESJ239" s="1"/>
      <c r="ESK239" s="1"/>
      <c r="ESL239" s="1"/>
      <c r="ESM239" s="1"/>
      <c r="ESN239" s="1"/>
      <c r="ESO239" s="1"/>
      <c r="ESP239" s="1"/>
      <c r="ESQ239" s="1"/>
      <c r="ESR239" s="1"/>
      <c r="ESS239" s="1"/>
      <c r="EST239" s="1"/>
      <c r="ESU239" s="1"/>
      <c r="ESV239" s="1"/>
      <c r="ESW239" s="1"/>
      <c r="ESX239" s="1"/>
      <c r="ESY239" s="1"/>
      <c r="ESZ239" s="1"/>
      <c r="ETA239" s="1"/>
      <c r="ETB239" s="1"/>
      <c r="ETC239" s="1"/>
      <c r="ETD239" s="1"/>
      <c r="ETE239" s="1"/>
      <c r="ETF239" s="1"/>
      <c r="ETG239" s="1"/>
      <c r="ETH239" s="1"/>
      <c r="ETI239" s="1"/>
      <c r="ETJ239" s="1"/>
      <c r="ETK239" s="1"/>
      <c r="ETL239" s="1"/>
      <c r="ETM239" s="1"/>
      <c r="ETN239" s="1"/>
      <c r="ETO239" s="1"/>
      <c r="ETP239" s="1"/>
      <c r="ETQ239" s="1"/>
      <c r="ETR239" s="1"/>
      <c r="ETS239" s="1"/>
      <c r="ETT239" s="1"/>
      <c r="ETU239" s="1"/>
      <c r="ETV239" s="1"/>
      <c r="ETW239" s="1"/>
      <c r="ETX239" s="1"/>
      <c r="ETY239" s="1"/>
      <c r="ETZ239" s="1"/>
      <c r="EUA239" s="1"/>
      <c r="EUB239" s="1"/>
      <c r="EUC239" s="1"/>
      <c r="EUD239" s="1"/>
      <c r="EUE239" s="1"/>
      <c r="EUF239" s="1"/>
      <c r="EUG239" s="1"/>
      <c r="EUH239" s="1"/>
      <c r="EUI239" s="1"/>
      <c r="EUJ239" s="1"/>
      <c r="EUK239" s="1"/>
      <c r="EUL239" s="1"/>
      <c r="EUM239" s="1"/>
      <c r="EUN239" s="1"/>
      <c r="EUO239" s="1"/>
      <c r="EUP239" s="1"/>
      <c r="EUQ239" s="1"/>
      <c r="EUR239" s="1"/>
      <c r="EUS239" s="1"/>
      <c r="EUT239" s="1"/>
      <c r="EUU239" s="1"/>
      <c r="EUV239" s="1"/>
      <c r="EUW239" s="1"/>
      <c r="EUX239" s="1"/>
      <c r="EUY239" s="1"/>
      <c r="EUZ239" s="1"/>
      <c r="EVA239" s="1"/>
      <c r="EVB239" s="1"/>
      <c r="EVC239" s="1"/>
      <c r="EVD239" s="1"/>
      <c r="EVE239" s="1"/>
      <c r="EVF239" s="1"/>
      <c r="EVG239" s="1"/>
      <c r="EVH239" s="1"/>
      <c r="EVI239" s="1"/>
      <c r="EVJ239" s="1"/>
      <c r="EVK239" s="1"/>
      <c r="EVL239" s="1"/>
      <c r="EVM239" s="1"/>
      <c r="EVN239" s="1"/>
      <c r="EVO239" s="1"/>
      <c r="EVP239" s="1"/>
      <c r="EVQ239" s="1"/>
      <c r="EVR239" s="1"/>
      <c r="EVS239" s="1"/>
      <c r="EVT239" s="1"/>
      <c r="EVU239" s="1"/>
      <c r="EVV239" s="1"/>
      <c r="EVW239" s="1"/>
      <c r="EVX239" s="1"/>
      <c r="EVY239" s="1"/>
      <c r="EVZ239" s="1"/>
      <c r="EWA239" s="1"/>
      <c r="EWB239" s="1"/>
      <c r="EWC239" s="1"/>
      <c r="EWD239" s="1"/>
      <c r="EWE239" s="1"/>
      <c r="EWF239" s="1"/>
      <c r="EWG239" s="1"/>
      <c r="EWH239" s="1"/>
      <c r="EWI239" s="1"/>
      <c r="EWJ239" s="1"/>
      <c r="EWK239" s="1"/>
      <c r="EWL239" s="1"/>
      <c r="EWM239" s="1"/>
      <c r="EWN239" s="1"/>
      <c r="EWO239" s="1"/>
      <c r="EWP239" s="1"/>
      <c r="EWQ239" s="1"/>
      <c r="EWR239" s="1"/>
      <c r="EWS239" s="1"/>
      <c r="EWT239" s="1"/>
      <c r="EWU239" s="1"/>
      <c r="EWV239" s="1"/>
      <c r="EWW239" s="1"/>
      <c r="EWX239" s="1"/>
      <c r="EWY239" s="1"/>
      <c r="EWZ239" s="1"/>
      <c r="EXA239" s="1"/>
      <c r="EXB239" s="1"/>
      <c r="EXC239" s="1"/>
      <c r="EXD239" s="1"/>
      <c r="EXE239" s="1"/>
      <c r="EXF239" s="1"/>
      <c r="EXG239" s="1"/>
      <c r="EXH239" s="1"/>
      <c r="EXI239" s="1"/>
      <c r="EXJ239" s="1"/>
      <c r="EXK239" s="1"/>
      <c r="EXL239" s="1"/>
      <c r="EXM239" s="1"/>
      <c r="EXN239" s="1"/>
      <c r="EXO239" s="1"/>
      <c r="EXP239" s="1"/>
      <c r="EXQ239" s="1"/>
      <c r="EXR239" s="1"/>
      <c r="EXS239" s="1"/>
      <c r="EXT239" s="1"/>
      <c r="EXU239" s="1"/>
      <c r="EXV239" s="1"/>
      <c r="EXW239" s="1"/>
      <c r="EXX239" s="1"/>
      <c r="EXY239" s="1"/>
      <c r="EXZ239" s="1"/>
      <c r="EYA239" s="1"/>
      <c r="EYB239" s="1"/>
      <c r="EYC239" s="1"/>
      <c r="EYD239" s="1"/>
      <c r="EYE239" s="1"/>
      <c r="EYF239" s="1"/>
      <c r="EYG239" s="1"/>
      <c r="EYH239" s="1"/>
      <c r="EYI239" s="1"/>
      <c r="EYJ239" s="1"/>
      <c r="EYK239" s="1"/>
      <c r="EYL239" s="1"/>
      <c r="EYM239" s="1"/>
      <c r="EYN239" s="1"/>
      <c r="EYO239" s="1"/>
      <c r="EYP239" s="1"/>
      <c r="EYQ239" s="1"/>
      <c r="EYR239" s="1"/>
      <c r="EYS239" s="1"/>
      <c r="EYT239" s="1"/>
      <c r="EYU239" s="1"/>
      <c r="EYV239" s="1"/>
      <c r="EYW239" s="1"/>
      <c r="EYX239" s="1"/>
      <c r="EYY239" s="1"/>
      <c r="EYZ239" s="1"/>
      <c r="EZA239" s="1"/>
      <c r="EZB239" s="1"/>
      <c r="EZC239" s="1"/>
      <c r="EZD239" s="1"/>
      <c r="EZE239" s="1"/>
      <c r="EZF239" s="1"/>
      <c r="EZG239" s="1"/>
      <c r="EZH239" s="1"/>
      <c r="EZI239" s="1"/>
      <c r="EZJ239" s="1"/>
      <c r="EZK239" s="1"/>
      <c r="EZL239" s="1"/>
      <c r="EZM239" s="1"/>
      <c r="EZN239" s="1"/>
      <c r="EZO239" s="1"/>
      <c r="EZP239" s="1"/>
      <c r="EZQ239" s="1"/>
      <c r="EZR239" s="1"/>
      <c r="EZS239" s="1"/>
      <c r="EZT239" s="1"/>
      <c r="EZU239" s="1"/>
      <c r="EZV239" s="1"/>
      <c r="EZW239" s="1"/>
      <c r="EZX239" s="1"/>
      <c r="EZY239" s="1"/>
      <c r="EZZ239" s="1"/>
      <c r="FAA239" s="1"/>
      <c r="FAB239" s="1"/>
      <c r="FAC239" s="1"/>
      <c r="FAD239" s="1"/>
      <c r="FAE239" s="1"/>
      <c r="FAF239" s="1"/>
      <c r="FAG239" s="1"/>
      <c r="FAH239" s="1"/>
      <c r="FAI239" s="1"/>
      <c r="FAJ239" s="1"/>
      <c r="FAK239" s="1"/>
      <c r="FAL239" s="1"/>
      <c r="FAM239" s="1"/>
      <c r="FAN239" s="1"/>
      <c r="FAO239" s="1"/>
      <c r="FAP239" s="1"/>
      <c r="FAQ239" s="1"/>
      <c r="FAR239" s="1"/>
      <c r="FAS239" s="1"/>
      <c r="FAT239" s="1"/>
      <c r="FAU239" s="1"/>
      <c r="FAV239" s="1"/>
      <c r="FAW239" s="1"/>
      <c r="FAX239" s="1"/>
      <c r="FAY239" s="1"/>
      <c r="FAZ239" s="1"/>
      <c r="FBA239" s="1"/>
      <c r="FBB239" s="1"/>
      <c r="FBC239" s="1"/>
      <c r="FBD239" s="1"/>
      <c r="FBE239" s="1"/>
      <c r="FBF239" s="1"/>
      <c r="FBG239" s="1"/>
      <c r="FBH239" s="1"/>
      <c r="FBI239" s="1"/>
      <c r="FBJ239" s="1"/>
      <c r="FBK239" s="1"/>
      <c r="FBL239" s="1"/>
      <c r="FBM239" s="1"/>
      <c r="FBN239" s="1"/>
      <c r="FBO239" s="1"/>
      <c r="FBP239" s="1"/>
      <c r="FBQ239" s="1"/>
      <c r="FBR239" s="1"/>
      <c r="FBS239" s="1"/>
      <c r="FBT239" s="1"/>
      <c r="FBU239" s="1"/>
      <c r="FBV239" s="1"/>
      <c r="FBW239" s="1"/>
      <c r="FBX239" s="1"/>
      <c r="FBY239" s="1"/>
      <c r="FBZ239" s="1"/>
      <c r="FCA239" s="1"/>
      <c r="FCB239" s="1"/>
      <c r="FCC239" s="1"/>
      <c r="FCD239" s="1"/>
      <c r="FCE239" s="1"/>
      <c r="FCF239" s="1"/>
      <c r="FCG239" s="1"/>
      <c r="FCH239" s="1"/>
      <c r="FCI239" s="1"/>
      <c r="FCJ239" s="1"/>
      <c r="FCK239" s="1"/>
      <c r="FCL239" s="1"/>
      <c r="FCM239" s="1"/>
      <c r="FCN239" s="1"/>
      <c r="FCO239" s="1"/>
      <c r="FCP239" s="1"/>
      <c r="FCQ239" s="1"/>
      <c r="FCR239" s="1"/>
      <c r="FCS239" s="1"/>
      <c r="FCT239" s="1"/>
      <c r="FCU239" s="1"/>
      <c r="FCV239" s="1"/>
      <c r="FCW239" s="1"/>
      <c r="FCX239" s="1"/>
      <c r="FCY239" s="1"/>
      <c r="FCZ239" s="1"/>
      <c r="FDA239" s="1"/>
      <c r="FDB239" s="1"/>
      <c r="FDC239" s="1"/>
      <c r="FDD239" s="1"/>
      <c r="FDE239" s="1"/>
      <c r="FDF239" s="1"/>
      <c r="FDG239" s="1"/>
      <c r="FDH239" s="1"/>
      <c r="FDI239" s="1"/>
      <c r="FDJ239" s="1"/>
      <c r="FDK239" s="1"/>
      <c r="FDL239" s="1"/>
      <c r="FDM239" s="1"/>
      <c r="FDN239" s="1"/>
      <c r="FDO239" s="1"/>
      <c r="FDP239" s="1"/>
      <c r="FDQ239" s="1"/>
      <c r="FDR239" s="1"/>
      <c r="FDS239" s="1"/>
      <c r="FDT239" s="1"/>
      <c r="FDU239" s="1"/>
      <c r="FDV239" s="1"/>
      <c r="FDW239" s="1"/>
      <c r="FDX239" s="1"/>
      <c r="FDY239" s="1"/>
      <c r="FDZ239" s="1"/>
      <c r="FEA239" s="1"/>
      <c r="FEB239" s="1"/>
      <c r="FEC239" s="1"/>
      <c r="FED239" s="1"/>
      <c r="FEE239" s="1"/>
      <c r="FEF239" s="1"/>
      <c r="FEG239" s="1"/>
      <c r="FEH239" s="1"/>
      <c r="FEI239" s="1"/>
      <c r="FEJ239" s="1"/>
      <c r="FEK239" s="1"/>
      <c r="FEL239" s="1"/>
      <c r="FEM239" s="1"/>
      <c r="FEN239" s="1"/>
      <c r="FEO239" s="1"/>
      <c r="FEP239" s="1"/>
      <c r="FEQ239" s="1"/>
      <c r="FER239" s="1"/>
      <c r="FES239" s="1"/>
      <c r="FET239" s="1"/>
      <c r="FEU239" s="1"/>
      <c r="FEV239" s="1"/>
      <c r="FEW239" s="1"/>
      <c r="FEX239" s="1"/>
      <c r="FEY239" s="1"/>
      <c r="FEZ239" s="1"/>
      <c r="FFA239" s="1"/>
      <c r="FFB239" s="1"/>
      <c r="FFC239" s="1"/>
      <c r="FFD239" s="1"/>
      <c r="FFE239" s="1"/>
      <c r="FFF239" s="1"/>
      <c r="FFG239" s="1"/>
      <c r="FFH239" s="1"/>
      <c r="FFI239" s="1"/>
      <c r="FFJ239" s="1"/>
      <c r="FFK239" s="1"/>
      <c r="FFL239" s="1"/>
      <c r="FFM239" s="1"/>
      <c r="FFN239" s="1"/>
      <c r="FFO239" s="1"/>
      <c r="FFP239" s="1"/>
      <c r="FFQ239" s="1"/>
      <c r="FFR239" s="1"/>
      <c r="FFS239" s="1"/>
      <c r="FFT239" s="1"/>
      <c r="FFU239" s="1"/>
      <c r="FFV239" s="1"/>
      <c r="FFW239" s="1"/>
      <c r="FFX239" s="1"/>
      <c r="FFY239" s="1"/>
      <c r="FFZ239" s="1"/>
      <c r="FGA239" s="1"/>
      <c r="FGB239" s="1"/>
      <c r="FGC239" s="1"/>
      <c r="FGD239" s="1"/>
      <c r="FGE239" s="1"/>
      <c r="FGF239" s="1"/>
      <c r="FGG239" s="1"/>
      <c r="FGH239" s="1"/>
      <c r="FGI239" s="1"/>
      <c r="FGJ239" s="1"/>
      <c r="FGK239" s="1"/>
      <c r="FGL239" s="1"/>
      <c r="FGM239" s="1"/>
      <c r="FGN239" s="1"/>
      <c r="FGO239" s="1"/>
      <c r="FGP239" s="1"/>
      <c r="FGQ239" s="1"/>
      <c r="FGR239" s="1"/>
      <c r="FGS239" s="1"/>
      <c r="FGT239" s="1"/>
      <c r="FGU239" s="1"/>
      <c r="FGV239" s="1"/>
      <c r="FGW239" s="1"/>
      <c r="FGX239" s="1"/>
      <c r="FGY239" s="1"/>
      <c r="FGZ239" s="1"/>
      <c r="FHA239" s="1"/>
      <c r="FHB239" s="1"/>
      <c r="FHC239" s="1"/>
      <c r="FHD239" s="1"/>
      <c r="FHE239" s="1"/>
      <c r="FHF239" s="1"/>
      <c r="FHG239" s="1"/>
      <c r="FHH239" s="1"/>
      <c r="FHI239" s="1"/>
      <c r="FHJ239" s="1"/>
      <c r="FHK239" s="1"/>
      <c r="FHL239" s="1"/>
      <c r="FHM239" s="1"/>
      <c r="FHN239" s="1"/>
      <c r="FHO239" s="1"/>
      <c r="FHP239" s="1"/>
      <c r="FHQ239" s="1"/>
      <c r="FHR239" s="1"/>
      <c r="FHS239" s="1"/>
      <c r="FHT239" s="1"/>
      <c r="FHU239" s="1"/>
      <c r="FHV239" s="1"/>
      <c r="FHW239" s="1"/>
      <c r="FHX239" s="1"/>
      <c r="FHY239" s="1"/>
      <c r="FHZ239" s="1"/>
      <c r="FIA239" s="1"/>
      <c r="FIB239" s="1"/>
      <c r="FIC239" s="1"/>
      <c r="FID239" s="1"/>
      <c r="FIE239" s="1"/>
      <c r="FIF239" s="1"/>
      <c r="FIG239" s="1"/>
      <c r="FIH239" s="1"/>
      <c r="FII239" s="1"/>
      <c r="FIJ239" s="1"/>
      <c r="FIK239" s="1"/>
      <c r="FIL239" s="1"/>
      <c r="FIM239" s="1"/>
      <c r="FIN239" s="1"/>
      <c r="FIO239" s="1"/>
      <c r="FIP239" s="1"/>
      <c r="FIQ239" s="1"/>
      <c r="FIR239" s="1"/>
      <c r="FIS239" s="1"/>
      <c r="FIT239" s="1"/>
      <c r="FIU239" s="1"/>
      <c r="FIV239" s="1"/>
      <c r="FIW239" s="1"/>
      <c r="FIX239" s="1"/>
      <c r="FIY239" s="1"/>
      <c r="FIZ239" s="1"/>
      <c r="FJA239" s="1"/>
      <c r="FJB239" s="1"/>
      <c r="FJC239" s="1"/>
      <c r="FJD239" s="1"/>
      <c r="FJE239" s="1"/>
      <c r="FJF239" s="1"/>
      <c r="FJG239" s="1"/>
      <c r="FJH239" s="1"/>
      <c r="FJI239" s="1"/>
      <c r="FJJ239" s="1"/>
      <c r="FJK239" s="1"/>
      <c r="FJL239" s="1"/>
      <c r="FJM239" s="1"/>
      <c r="FJN239" s="1"/>
      <c r="FJO239" s="1"/>
      <c r="FJP239" s="1"/>
      <c r="FJQ239" s="1"/>
      <c r="FJR239" s="1"/>
      <c r="FJS239" s="1"/>
      <c r="FJT239" s="1"/>
      <c r="FJU239" s="1"/>
      <c r="FJV239" s="1"/>
      <c r="FJW239" s="1"/>
      <c r="FJX239" s="1"/>
      <c r="FJY239" s="1"/>
      <c r="FJZ239" s="1"/>
      <c r="FKA239" s="1"/>
      <c r="FKB239" s="1"/>
      <c r="FKC239" s="1"/>
      <c r="FKD239" s="1"/>
      <c r="FKE239" s="1"/>
      <c r="FKF239" s="1"/>
      <c r="FKG239" s="1"/>
      <c r="FKH239" s="1"/>
      <c r="FKI239" s="1"/>
      <c r="FKJ239" s="1"/>
      <c r="FKK239" s="1"/>
      <c r="FKL239" s="1"/>
      <c r="FKM239" s="1"/>
      <c r="FKN239" s="1"/>
      <c r="FKO239" s="1"/>
      <c r="FKP239" s="1"/>
      <c r="FKQ239" s="1"/>
      <c r="FKR239" s="1"/>
      <c r="FKS239" s="1"/>
      <c r="FKT239" s="1"/>
      <c r="FKU239" s="1"/>
      <c r="FKV239" s="1"/>
      <c r="FKW239" s="1"/>
      <c r="FKX239" s="1"/>
      <c r="FKY239" s="1"/>
      <c r="FKZ239" s="1"/>
      <c r="FLA239" s="1"/>
      <c r="FLB239" s="1"/>
      <c r="FLC239" s="1"/>
      <c r="FLD239" s="1"/>
      <c r="FLE239" s="1"/>
      <c r="FLF239" s="1"/>
      <c r="FLG239" s="1"/>
      <c r="FLH239" s="1"/>
      <c r="FLI239" s="1"/>
      <c r="FLJ239" s="1"/>
      <c r="FLK239" s="1"/>
      <c r="FLL239" s="1"/>
      <c r="FLM239" s="1"/>
      <c r="FLN239" s="1"/>
      <c r="FLO239" s="1"/>
      <c r="FLP239" s="1"/>
      <c r="FLQ239" s="1"/>
      <c r="FLR239" s="1"/>
      <c r="FLS239" s="1"/>
      <c r="FLT239" s="1"/>
      <c r="FLU239" s="1"/>
      <c r="FLV239" s="1"/>
      <c r="FLW239" s="1"/>
      <c r="FLX239" s="1"/>
      <c r="FLY239" s="1"/>
      <c r="FLZ239" s="1"/>
      <c r="FMA239" s="1"/>
      <c r="FMB239" s="1"/>
      <c r="FMC239" s="1"/>
      <c r="FMD239" s="1"/>
      <c r="FME239" s="1"/>
      <c r="FMF239" s="1"/>
      <c r="FMG239" s="1"/>
      <c r="FMH239" s="1"/>
      <c r="FMI239" s="1"/>
      <c r="FMJ239" s="1"/>
      <c r="FMK239" s="1"/>
      <c r="FML239" s="1"/>
      <c r="FMM239" s="1"/>
      <c r="FMN239" s="1"/>
      <c r="FMO239" s="1"/>
      <c r="FMP239" s="1"/>
      <c r="FMQ239" s="1"/>
      <c r="FMR239" s="1"/>
      <c r="FMS239" s="1"/>
      <c r="FMT239" s="1"/>
      <c r="FMU239" s="1"/>
      <c r="FMV239" s="1"/>
      <c r="FMW239" s="1"/>
      <c r="FMX239" s="1"/>
      <c r="FMY239" s="1"/>
      <c r="FMZ239" s="1"/>
      <c r="FNA239" s="1"/>
      <c r="FNB239" s="1"/>
      <c r="FNC239" s="1"/>
      <c r="FND239" s="1"/>
      <c r="FNE239" s="1"/>
      <c r="FNF239" s="1"/>
      <c r="FNG239" s="1"/>
      <c r="FNH239" s="1"/>
      <c r="FNI239" s="1"/>
      <c r="FNJ239" s="1"/>
      <c r="FNK239" s="1"/>
      <c r="FNL239" s="1"/>
      <c r="FNM239" s="1"/>
      <c r="FNN239" s="1"/>
      <c r="FNO239" s="1"/>
      <c r="FNP239" s="1"/>
      <c r="FNQ239" s="1"/>
      <c r="FNR239" s="1"/>
      <c r="FNS239" s="1"/>
      <c r="FNT239" s="1"/>
      <c r="FNU239" s="1"/>
      <c r="FNV239" s="1"/>
      <c r="FNW239" s="1"/>
      <c r="FNX239" s="1"/>
      <c r="FNY239" s="1"/>
      <c r="FNZ239" s="1"/>
      <c r="FOA239" s="1"/>
      <c r="FOB239" s="1"/>
      <c r="FOC239" s="1"/>
      <c r="FOD239" s="1"/>
      <c r="FOE239" s="1"/>
      <c r="FOF239" s="1"/>
      <c r="FOG239" s="1"/>
      <c r="FOH239" s="1"/>
      <c r="FOI239" s="1"/>
      <c r="FOJ239" s="1"/>
      <c r="FOK239" s="1"/>
      <c r="FOL239" s="1"/>
      <c r="FOM239" s="1"/>
      <c r="FON239" s="1"/>
      <c r="FOO239" s="1"/>
      <c r="FOP239" s="1"/>
      <c r="FOQ239" s="1"/>
      <c r="FOR239" s="1"/>
      <c r="FOS239" s="1"/>
      <c r="FOT239" s="1"/>
      <c r="FOU239" s="1"/>
      <c r="FOV239" s="1"/>
      <c r="FOW239" s="1"/>
      <c r="FOX239" s="1"/>
      <c r="FOY239" s="1"/>
      <c r="FOZ239" s="1"/>
      <c r="FPA239" s="1"/>
      <c r="FPB239" s="1"/>
      <c r="FPC239" s="1"/>
      <c r="FPD239" s="1"/>
      <c r="FPE239" s="1"/>
      <c r="FPF239" s="1"/>
      <c r="FPG239" s="1"/>
      <c r="FPH239" s="1"/>
      <c r="FPI239" s="1"/>
      <c r="FPJ239" s="1"/>
      <c r="FPK239" s="1"/>
      <c r="FPL239" s="1"/>
      <c r="FPM239" s="1"/>
      <c r="FPN239" s="1"/>
      <c r="FPO239" s="1"/>
      <c r="FPP239" s="1"/>
      <c r="FPQ239" s="1"/>
      <c r="FPR239" s="1"/>
      <c r="FPS239" s="1"/>
      <c r="FPT239" s="1"/>
      <c r="FPU239" s="1"/>
      <c r="FPV239" s="1"/>
      <c r="FPW239" s="1"/>
      <c r="FPX239" s="1"/>
      <c r="FPY239" s="1"/>
      <c r="FPZ239" s="1"/>
      <c r="FQA239" s="1"/>
      <c r="FQB239" s="1"/>
      <c r="FQC239" s="1"/>
      <c r="FQD239" s="1"/>
      <c r="FQE239" s="1"/>
      <c r="FQF239" s="1"/>
      <c r="FQG239" s="1"/>
      <c r="FQH239" s="1"/>
      <c r="FQI239" s="1"/>
      <c r="FQJ239" s="1"/>
      <c r="FQK239" s="1"/>
      <c r="FQL239" s="1"/>
      <c r="FQM239" s="1"/>
      <c r="FQN239" s="1"/>
      <c r="FQO239" s="1"/>
      <c r="FQP239" s="1"/>
      <c r="FQQ239" s="1"/>
      <c r="FQR239" s="1"/>
      <c r="FQS239" s="1"/>
      <c r="FQT239" s="1"/>
      <c r="FQU239" s="1"/>
      <c r="FQV239" s="1"/>
      <c r="FQW239" s="1"/>
      <c r="FQX239" s="1"/>
      <c r="FQY239" s="1"/>
      <c r="FQZ239" s="1"/>
      <c r="FRA239" s="1"/>
      <c r="FRB239" s="1"/>
      <c r="FRC239" s="1"/>
      <c r="FRD239" s="1"/>
      <c r="FRE239" s="1"/>
      <c r="FRF239" s="1"/>
      <c r="FRG239" s="1"/>
      <c r="FRH239" s="1"/>
      <c r="FRI239" s="1"/>
      <c r="FRJ239" s="1"/>
      <c r="FRK239" s="1"/>
      <c r="FRL239" s="1"/>
      <c r="FRM239" s="1"/>
      <c r="FRN239" s="1"/>
      <c r="FRO239" s="1"/>
      <c r="FRP239" s="1"/>
      <c r="FRQ239" s="1"/>
      <c r="FRR239" s="1"/>
      <c r="FRS239" s="1"/>
      <c r="FRT239" s="1"/>
      <c r="FRU239" s="1"/>
      <c r="FRV239" s="1"/>
      <c r="FRW239" s="1"/>
      <c r="FRX239" s="1"/>
      <c r="FRY239" s="1"/>
      <c r="FRZ239" s="1"/>
      <c r="FSA239" s="1"/>
      <c r="FSB239" s="1"/>
      <c r="FSC239" s="1"/>
      <c r="FSD239" s="1"/>
      <c r="FSE239" s="1"/>
      <c r="FSF239" s="1"/>
      <c r="FSG239" s="1"/>
      <c r="FSH239" s="1"/>
      <c r="FSI239" s="1"/>
      <c r="FSJ239" s="1"/>
      <c r="FSK239" s="1"/>
      <c r="FSL239" s="1"/>
      <c r="FSM239" s="1"/>
      <c r="FSN239" s="1"/>
      <c r="FSO239" s="1"/>
      <c r="FSP239" s="1"/>
      <c r="FSQ239" s="1"/>
      <c r="FSR239" s="1"/>
      <c r="FSS239" s="1"/>
      <c r="FST239" s="1"/>
      <c r="FSU239" s="1"/>
      <c r="FSV239" s="1"/>
      <c r="FSW239" s="1"/>
      <c r="FSX239" s="1"/>
      <c r="FSY239" s="1"/>
      <c r="FSZ239" s="1"/>
      <c r="FTA239" s="1"/>
      <c r="FTB239" s="1"/>
      <c r="FTC239" s="1"/>
      <c r="FTD239" s="1"/>
      <c r="FTE239" s="1"/>
      <c r="FTF239" s="1"/>
      <c r="FTG239" s="1"/>
      <c r="FTH239" s="1"/>
      <c r="FTI239" s="1"/>
      <c r="FTJ239" s="1"/>
      <c r="FTK239" s="1"/>
      <c r="FTL239" s="1"/>
      <c r="FTM239" s="1"/>
      <c r="FTN239" s="1"/>
      <c r="FTO239" s="1"/>
      <c r="FTP239" s="1"/>
      <c r="FTQ239" s="1"/>
      <c r="FTR239" s="1"/>
      <c r="FTS239" s="1"/>
      <c r="FTT239" s="1"/>
      <c r="FTU239" s="1"/>
      <c r="FTV239" s="1"/>
      <c r="FTW239" s="1"/>
      <c r="FTX239" s="1"/>
      <c r="FTY239" s="1"/>
      <c r="FTZ239" s="1"/>
      <c r="FUA239" s="1"/>
      <c r="FUB239" s="1"/>
      <c r="FUC239" s="1"/>
      <c r="FUD239" s="1"/>
      <c r="FUE239" s="1"/>
      <c r="FUF239" s="1"/>
      <c r="FUG239" s="1"/>
      <c r="FUH239" s="1"/>
      <c r="FUI239" s="1"/>
      <c r="FUJ239" s="1"/>
      <c r="FUK239" s="1"/>
      <c r="FUL239" s="1"/>
      <c r="FUM239" s="1"/>
      <c r="FUN239" s="1"/>
      <c r="FUO239" s="1"/>
      <c r="FUP239" s="1"/>
      <c r="FUQ239" s="1"/>
      <c r="FUR239" s="1"/>
      <c r="FUS239" s="1"/>
      <c r="FUT239" s="1"/>
      <c r="FUU239" s="1"/>
      <c r="FUV239" s="1"/>
      <c r="FUW239" s="1"/>
      <c r="FUX239" s="1"/>
      <c r="FUY239" s="1"/>
      <c r="FUZ239" s="1"/>
      <c r="FVA239" s="1"/>
      <c r="FVB239" s="1"/>
      <c r="FVC239" s="1"/>
      <c r="FVD239" s="1"/>
      <c r="FVE239" s="1"/>
      <c r="FVF239" s="1"/>
      <c r="FVG239" s="1"/>
      <c r="FVH239" s="1"/>
      <c r="FVI239" s="1"/>
      <c r="FVJ239" s="1"/>
      <c r="FVK239" s="1"/>
      <c r="FVL239" s="1"/>
      <c r="FVM239" s="1"/>
      <c r="FVN239" s="1"/>
      <c r="FVO239" s="1"/>
      <c r="FVP239" s="1"/>
      <c r="FVQ239" s="1"/>
      <c r="FVR239" s="1"/>
      <c r="FVS239" s="1"/>
      <c r="FVT239" s="1"/>
      <c r="FVU239" s="1"/>
      <c r="FVV239" s="1"/>
      <c r="FVW239" s="1"/>
      <c r="FVX239" s="1"/>
      <c r="FVY239" s="1"/>
      <c r="FVZ239" s="1"/>
      <c r="FWA239" s="1"/>
      <c r="FWB239" s="1"/>
      <c r="FWC239" s="1"/>
      <c r="FWD239" s="1"/>
      <c r="FWE239" s="1"/>
      <c r="FWF239" s="1"/>
      <c r="FWG239" s="1"/>
      <c r="FWH239" s="1"/>
      <c r="FWI239" s="1"/>
      <c r="FWJ239" s="1"/>
      <c r="FWK239" s="1"/>
      <c r="FWL239" s="1"/>
      <c r="FWM239" s="1"/>
      <c r="FWN239" s="1"/>
      <c r="FWO239" s="1"/>
      <c r="FWP239" s="1"/>
      <c r="FWQ239" s="1"/>
      <c r="FWR239" s="1"/>
      <c r="FWS239" s="1"/>
      <c r="FWT239" s="1"/>
      <c r="FWU239" s="1"/>
      <c r="FWV239" s="1"/>
      <c r="FWW239" s="1"/>
      <c r="FWX239" s="1"/>
      <c r="FWY239" s="1"/>
      <c r="FWZ239" s="1"/>
      <c r="FXA239" s="1"/>
      <c r="FXB239" s="1"/>
      <c r="FXC239" s="1"/>
      <c r="FXD239" s="1"/>
      <c r="FXE239" s="1"/>
      <c r="FXF239" s="1"/>
      <c r="FXG239" s="1"/>
      <c r="FXH239" s="1"/>
      <c r="FXI239" s="1"/>
      <c r="FXJ239" s="1"/>
      <c r="FXK239" s="1"/>
      <c r="FXL239" s="1"/>
      <c r="FXM239" s="1"/>
      <c r="FXN239" s="1"/>
      <c r="FXO239" s="1"/>
      <c r="FXP239" s="1"/>
      <c r="FXQ239" s="1"/>
      <c r="FXR239" s="1"/>
      <c r="FXS239" s="1"/>
      <c r="FXT239" s="1"/>
      <c r="FXU239" s="1"/>
      <c r="FXV239" s="1"/>
      <c r="FXW239" s="1"/>
      <c r="FXX239" s="1"/>
      <c r="FXY239" s="1"/>
      <c r="FXZ239" s="1"/>
      <c r="FYA239" s="1"/>
      <c r="FYB239" s="1"/>
      <c r="FYC239" s="1"/>
      <c r="FYD239" s="1"/>
      <c r="FYE239" s="1"/>
      <c r="FYF239" s="1"/>
      <c r="FYG239" s="1"/>
      <c r="FYH239" s="1"/>
      <c r="FYI239" s="1"/>
      <c r="FYJ239" s="1"/>
      <c r="FYK239" s="1"/>
      <c r="FYL239" s="1"/>
      <c r="FYM239" s="1"/>
      <c r="FYN239" s="1"/>
      <c r="FYO239" s="1"/>
      <c r="FYP239" s="1"/>
      <c r="FYQ239" s="1"/>
      <c r="FYR239" s="1"/>
      <c r="FYS239" s="1"/>
      <c r="FYT239" s="1"/>
      <c r="FYU239" s="1"/>
      <c r="FYV239" s="1"/>
      <c r="FYW239" s="1"/>
      <c r="FYX239" s="1"/>
      <c r="FYY239" s="1"/>
      <c r="FYZ239" s="1"/>
      <c r="FZA239" s="1"/>
      <c r="FZB239" s="1"/>
      <c r="FZC239" s="1"/>
      <c r="FZD239" s="1"/>
      <c r="FZE239" s="1"/>
      <c r="FZF239" s="1"/>
      <c r="FZG239" s="1"/>
      <c r="FZH239" s="1"/>
      <c r="FZI239" s="1"/>
      <c r="FZJ239" s="1"/>
      <c r="FZK239" s="1"/>
      <c r="FZL239" s="1"/>
      <c r="FZM239" s="1"/>
      <c r="FZN239" s="1"/>
      <c r="FZO239" s="1"/>
      <c r="FZP239" s="1"/>
      <c r="FZQ239" s="1"/>
      <c r="FZR239" s="1"/>
      <c r="FZS239" s="1"/>
      <c r="FZT239" s="1"/>
      <c r="FZU239" s="1"/>
      <c r="FZV239" s="1"/>
      <c r="FZW239" s="1"/>
      <c r="FZX239" s="1"/>
      <c r="FZY239" s="1"/>
      <c r="FZZ239" s="1"/>
      <c r="GAA239" s="1"/>
      <c r="GAB239" s="1"/>
      <c r="GAC239" s="1"/>
      <c r="GAD239" s="1"/>
      <c r="GAE239" s="1"/>
      <c r="GAF239" s="1"/>
      <c r="GAG239" s="1"/>
      <c r="GAH239" s="1"/>
      <c r="GAI239" s="1"/>
      <c r="GAJ239" s="1"/>
      <c r="GAK239" s="1"/>
      <c r="GAL239" s="1"/>
      <c r="GAM239" s="1"/>
      <c r="GAN239" s="1"/>
      <c r="GAO239" s="1"/>
      <c r="GAP239" s="1"/>
      <c r="GAQ239" s="1"/>
      <c r="GAR239" s="1"/>
      <c r="GAS239" s="1"/>
      <c r="GAT239" s="1"/>
      <c r="GAU239" s="1"/>
      <c r="GAV239" s="1"/>
      <c r="GAW239" s="1"/>
      <c r="GAX239" s="1"/>
      <c r="GAY239" s="1"/>
      <c r="GAZ239" s="1"/>
      <c r="GBA239" s="1"/>
      <c r="GBB239" s="1"/>
      <c r="GBC239" s="1"/>
      <c r="GBD239" s="1"/>
      <c r="GBE239" s="1"/>
      <c r="GBF239" s="1"/>
      <c r="GBG239" s="1"/>
      <c r="GBH239" s="1"/>
      <c r="GBI239" s="1"/>
      <c r="GBJ239" s="1"/>
      <c r="GBK239" s="1"/>
      <c r="GBL239" s="1"/>
      <c r="GBM239" s="1"/>
      <c r="GBN239" s="1"/>
      <c r="GBO239" s="1"/>
      <c r="GBP239" s="1"/>
      <c r="GBQ239" s="1"/>
      <c r="GBR239" s="1"/>
      <c r="GBS239" s="1"/>
      <c r="GBT239" s="1"/>
      <c r="GBU239" s="1"/>
      <c r="GBV239" s="1"/>
      <c r="GBW239" s="1"/>
      <c r="GBX239" s="1"/>
      <c r="GBY239" s="1"/>
      <c r="GBZ239" s="1"/>
      <c r="GCA239" s="1"/>
      <c r="GCB239" s="1"/>
      <c r="GCC239" s="1"/>
      <c r="GCD239" s="1"/>
      <c r="GCE239" s="1"/>
      <c r="GCF239" s="1"/>
      <c r="GCG239" s="1"/>
      <c r="GCH239" s="1"/>
      <c r="GCI239" s="1"/>
      <c r="GCJ239" s="1"/>
      <c r="GCK239" s="1"/>
      <c r="GCL239" s="1"/>
      <c r="GCM239" s="1"/>
      <c r="GCN239" s="1"/>
      <c r="GCO239" s="1"/>
      <c r="GCP239" s="1"/>
      <c r="GCQ239" s="1"/>
      <c r="GCR239" s="1"/>
      <c r="GCS239" s="1"/>
      <c r="GCT239" s="1"/>
      <c r="GCU239" s="1"/>
      <c r="GCV239" s="1"/>
      <c r="GCW239" s="1"/>
      <c r="GCX239" s="1"/>
      <c r="GCY239" s="1"/>
      <c r="GCZ239" s="1"/>
      <c r="GDA239" s="1"/>
      <c r="GDB239" s="1"/>
      <c r="GDC239" s="1"/>
      <c r="GDD239" s="1"/>
      <c r="GDE239" s="1"/>
      <c r="GDF239" s="1"/>
      <c r="GDG239" s="1"/>
      <c r="GDH239" s="1"/>
      <c r="GDI239" s="1"/>
      <c r="GDJ239" s="1"/>
      <c r="GDK239" s="1"/>
      <c r="GDL239" s="1"/>
      <c r="GDM239" s="1"/>
      <c r="GDN239" s="1"/>
      <c r="GDO239" s="1"/>
      <c r="GDP239" s="1"/>
      <c r="GDQ239" s="1"/>
      <c r="GDR239" s="1"/>
      <c r="GDS239" s="1"/>
      <c r="GDT239" s="1"/>
      <c r="GDU239" s="1"/>
      <c r="GDV239" s="1"/>
      <c r="GDW239" s="1"/>
      <c r="GDX239" s="1"/>
      <c r="GDY239" s="1"/>
      <c r="GDZ239" s="1"/>
      <c r="GEA239" s="1"/>
      <c r="GEB239" s="1"/>
      <c r="GEC239" s="1"/>
      <c r="GED239" s="1"/>
      <c r="GEE239" s="1"/>
      <c r="GEF239" s="1"/>
      <c r="GEG239" s="1"/>
      <c r="GEH239" s="1"/>
      <c r="GEI239" s="1"/>
      <c r="GEJ239" s="1"/>
      <c r="GEK239" s="1"/>
      <c r="GEL239" s="1"/>
      <c r="GEM239" s="1"/>
      <c r="GEN239" s="1"/>
      <c r="GEO239" s="1"/>
      <c r="GEP239" s="1"/>
      <c r="GEQ239" s="1"/>
      <c r="GER239" s="1"/>
      <c r="GES239" s="1"/>
      <c r="GET239" s="1"/>
      <c r="GEU239" s="1"/>
      <c r="GEV239" s="1"/>
      <c r="GEW239" s="1"/>
      <c r="GEX239" s="1"/>
      <c r="GEY239" s="1"/>
      <c r="GEZ239" s="1"/>
      <c r="GFA239" s="1"/>
      <c r="GFB239" s="1"/>
      <c r="GFC239" s="1"/>
      <c r="GFD239" s="1"/>
      <c r="GFE239" s="1"/>
      <c r="GFF239" s="1"/>
      <c r="GFG239" s="1"/>
      <c r="GFH239" s="1"/>
      <c r="GFI239" s="1"/>
      <c r="GFJ239" s="1"/>
      <c r="GFK239" s="1"/>
      <c r="GFL239" s="1"/>
      <c r="GFM239" s="1"/>
      <c r="GFN239" s="1"/>
      <c r="GFO239" s="1"/>
      <c r="GFP239" s="1"/>
      <c r="GFQ239" s="1"/>
      <c r="GFR239" s="1"/>
      <c r="GFS239" s="1"/>
      <c r="GFT239" s="1"/>
      <c r="GFU239" s="1"/>
      <c r="GFV239" s="1"/>
      <c r="GFW239" s="1"/>
      <c r="GFX239" s="1"/>
      <c r="GFY239" s="1"/>
      <c r="GFZ239" s="1"/>
      <c r="GGA239" s="1"/>
      <c r="GGB239" s="1"/>
      <c r="GGC239" s="1"/>
      <c r="GGD239" s="1"/>
      <c r="GGE239" s="1"/>
      <c r="GGF239" s="1"/>
      <c r="GGG239" s="1"/>
      <c r="GGH239" s="1"/>
      <c r="GGI239" s="1"/>
      <c r="GGJ239" s="1"/>
      <c r="GGK239" s="1"/>
      <c r="GGL239" s="1"/>
      <c r="GGM239" s="1"/>
      <c r="GGN239" s="1"/>
      <c r="GGO239" s="1"/>
      <c r="GGP239" s="1"/>
      <c r="GGQ239" s="1"/>
      <c r="GGR239" s="1"/>
      <c r="GGS239" s="1"/>
      <c r="GGT239" s="1"/>
      <c r="GGU239" s="1"/>
      <c r="GGV239" s="1"/>
      <c r="GGW239" s="1"/>
      <c r="GGX239" s="1"/>
      <c r="GGY239" s="1"/>
      <c r="GGZ239" s="1"/>
      <c r="GHA239" s="1"/>
      <c r="GHB239" s="1"/>
      <c r="GHC239" s="1"/>
      <c r="GHD239" s="1"/>
      <c r="GHE239" s="1"/>
      <c r="GHF239" s="1"/>
      <c r="GHG239" s="1"/>
      <c r="GHH239" s="1"/>
      <c r="GHI239" s="1"/>
      <c r="GHJ239" s="1"/>
      <c r="GHK239" s="1"/>
      <c r="GHL239" s="1"/>
      <c r="GHM239" s="1"/>
      <c r="GHN239" s="1"/>
      <c r="GHO239" s="1"/>
      <c r="GHP239" s="1"/>
      <c r="GHQ239" s="1"/>
      <c r="GHR239" s="1"/>
      <c r="GHS239" s="1"/>
      <c r="GHT239" s="1"/>
      <c r="GHU239" s="1"/>
      <c r="GHV239" s="1"/>
      <c r="GHW239" s="1"/>
      <c r="GHX239" s="1"/>
      <c r="GHY239" s="1"/>
      <c r="GHZ239" s="1"/>
      <c r="GIA239" s="1"/>
      <c r="GIB239" s="1"/>
      <c r="GIC239" s="1"/>
      <c r="GID239" s="1"/>
      <c r="GIE239" s="1"/>
      <c r="GIF239" s="1"/>
      <c r="GIG239" s="1"/>
      <c r="GIH239" s="1"/>
      <c r="GII239" s="1"/>
      <c r="GIJ239" s="1"/>
      <c r="GIK239" s="1"/>
      <c r="GIL239" s="1"/>
      <c r="GIM239" s="1"/>
      <c r="GIN239" s="1"/>
      <c r="GIO239" s="1"/>
      <c r="GIP239" s="1"/>
      <c r="GIQ239" s="1"/>
      <c r="GIR239" s="1"/>
      <c r="GIS239" s="1"/>
      <c r="GIT239" s="1"/>
      <c r="GIU239" s="1"/>
      <c r="GIV239" s="1"/>
      <c r="GIW239" s="1"/>
      <c r="GIX239" s="1"/>
      <c r="GIY239" s="1"/>
      <c r="GIZ239" s="1"/>
      <c r="GJA239" s="1"/>
      <c r="GJB239" s="1"/>
      <c r="GJC239" s="1"/>
      <c r="GJD239" s="1"/>
      <c r="GJE239" s="1"/>
      <c r="GJF239" s="1"/>
      <c r="GJG239" s="1"/>
      <c r="GJH239" s="1"/>
      <c r="GJI239" s="1"/>
      <c r="GJJ239" s="1"/>
      <c r="GJK239" s="1"/>
      <c r="GJL239" s="1"/>
      <c r="GJM239" s="1"/>
      <c r="GJN239" s="1"/>
      <c r="GJO239" s="1"/>
      <c r="GJP239" s="1"/>
      <c r="GJQ239" s="1"/>
      <c r="GJR239" s="1"/>
      <c r="GJS239" s="1"/>
      <c r="GJT239" s="1"/>
      <c r="GJU239" s="1"/>
      <c r="GJV239" s="1"/>
      <c r="GJW239" s="1"/>
      <c r="GJX239" s="1"/>
      <c r="GJY239" s="1"/>
      <c r="GJZ239" s="1"/>
      <c r="GKA239" s="1"/>
      <c r="GKB239" s="1"/>
      <c r="GKC239" s="1"/>
      <c r="GKD239" s="1"/>
      <c r="GKE239" s="1"/>
      <c r="GKF239" s="1"/>
      <c r="GKG239" s="1"/>
      <c r="GKH239" s="1"/>
      <c r="GKI239" s="1"/>
      <c r="GKJ239" s="1"/>
      <c r="GKK239" s="1"/>
      <c r="GKL239" s="1"/>
      <c r="GKM239" s="1"/>
      <c r="GKN239" s="1"/>
      <c r="GKO239" s="1"/>
      <c r="GKP239" s="1"/>
      <c r="GKQ239" s="1"/>
      <c r="GKR239" s="1"/>
      <c r="GKS239" s="1"/>
      <c r="GKT239" s="1"/>
      <c r="GKU239" s="1"/>
      <c r="GKV239" s="1"/>
      <c r="GKW239" s="1"/>
      <c r="GKX239" s="1"/>
      <c r="GKY239" s="1"/>
      <c r="GKZ239" s="1"/>
      <c r="GLA239" s="1"/>
      <c r="GLB239" s="1"/>
      <c r="GLC239" s="1"/>
      <c r="GLD239" s="1"/>
      <c r="GLE239" s="1"/>
      <c r="GLF239" s="1"/>
      <c r="GLG239" s="1"/>
      <c r="GLH239" s="1"/>
      <c r="GLI239" s="1"/>
      <c r="GLJ239" s="1"/>
      <c r="GLK239" s="1"/>
      <c r="GLL239" s="1"/>
      <c r="GLM239" s="1"/>
      <c r="GLN239" s="1"/>
      <c r="GLO239" s="1"/>
      <c r="GLP239" s="1"/>
      <c r="GLQ239" s="1"/>
      <c r="GLR239" s="1"/>
      <c r="GLS239" s="1"/>
      <c r="GLT239" s="1"/>
      <c r="GLU239" s="1"/>
      <c r="GLV239" s="1"/>
      <c r="GLW239" s="1"/>
      <c r="GLX239" s="1"/>
      <c r="GLY239" s="1"/>
      <c r="GLZ239" s="1"/>
      <c r="GMA239" s="1"/>
      <c r="GMB239" s="1"/>
      <c r="GMC239" s="1"/>
      <c r="GMD239" s="1"/>
      <c r="GME239" s="1"/>
      <c r="GMF239" s="1"/>
      <c r="GMG239" s="1"/>
      <c r="GMH239" s="1"/>
      <c r="GMI239" s="1"/>
      <c r="GMJ239" s="1"/>
      <c r="GMK239" s="1"/>
      <c r="GML239" s="1"/>
      <c r="GMM239" s="1"/>
      <c r="GMN239" s="1"/>
      <c r="GMO239" s="1"/>
      <c r="GMP239" s="1"/>
      <c r="GMQ239" s="1"/>
      <c r="GMR239" s="1"/>
      <c r="GMS239" s="1"/>
      <c r="GMT239" s="1"/>
      <c r="GMU239" s="1"/>
      <c r="GMV239" s="1"/>
      <c r="GMW239" s="1"/>
      <c r="GMX239" s="1"/>
      <c r="GMY239" s="1"/>
      <c r="GMZ239" s="1"/>
      <c r="GNA239" s="1"/>
      <c r="GNB239" s="1"/>
      <c r="GNC239" s="1"/>
      <c r="GND239" s="1"/>
      <c r="GNE239" s="1"/>
      <c r="GNF239" s="1"/>
      <c r="GNG239" s="1"/>
      <c r="GNH239" s="1"/>
      <c r="GNI239" s="1"/>
      <c r="GNJ239" s="1"/>
      <c r="GNK239" s="1"/>
      <c r="GNL239" s="1"/>
      <c r="GNM239" s="1"/>
      <c r="GNN239" s="1"/>
      <c r="GNO239" s="1"/>
      <c r="GNP239" s="1"/>
      <c r="GNQ239" s="1"/>
      <c r="GNR239" s="1"/>
      <c r="GNS239" s="1"/>
      <c r="GNT239" s="1"/>
      <c r="GNU239" s="1"/>
      <c r="GNV239" s="1"/>
      <c r="GNW239" s="1"/>
      <c r="GNX239" s="1"/>
      <c r="GNY239" s="1"/>
      <c r="GNZ239" s="1"/>
      <c r="GOA239" s="1"/>
      <c r="GOB239" s="1"/>
      <c r="GOC239" s="1"/>
      <c r="GOD239" s="1"/>
      <c r="GOE239" s="1"/>
      <c r="GOF239" s="1"/>
      <c r="GOG239" s="1"/>
      <c r="GOH239" s="1"/>
      <c r="GOI239" s="1"/>
      <c r="GOJ239" s="1"/>
      <c r="GOK239" s="1"/>
      <c r="GOL239" s="1"/>
      <c r="GOM239" s="1"/>
      <c r="GON239" s="1"/>
      <c r="GOO239" s="1"/>
      <c r="GOP239" s="1"/>
      <c r="GOQ239" s="1"/>
      <c r="GOR239" s="1"/>
      <c r="GOS239" s="1"/>
      <c r="GOT239" s="1"/>
      <c r="GOU239" s="1"/>
      <c r="GOV239" s="1"/>
      <c r="GOW239" s="1"/>
      <c r="GOX239" s="1"/>
      <c r="GOY239" s="1"/>
      <c r="GOZ239" s="1"/>
      <c r="GPA239" s="1"/>
      <c r="GPB239" s="1"/>
      <c r="GPC239" s="1"/>
      <c r="GPD239" s="1"/>
      <c r="GPE239" s="1"/>
      <c r="GPF239" s="1"/>
      <c r="GPG239" s="1"/>
      <c r="GPH239" s="1"/>
      <c r="GPI239" s="1"/>
      <c r="GPJ239" s="1"/>
      <c r="GPK239" s="1"/>
      <c r="GPL239" s="1"/>
      <c r="GPM239" s="1"/>
      <c r="GPN239" s="1"/>
      <c r="GPO239" s="1"/>
      <c r="GPP239" s="1"/>
      <c r="GPQ239" s="1"/>
      <c r="GPR239" s="1"/>
      <c r="GPS239" s="1"/>
      <c r="GPT239" s="1"/>
      <c r="GPU239" s="1"/>
      <c r="GPV239" s="1"/>
      <c r="GPW239" s="1"/>
      <c r="GPX239" s="1"/>
      <c r="GPY239" s="1"/>
      <c r="GPZ239" s="1"/>
      <c r="GQA239" s="1"/>
      <c r="GQB239" s="1"/>
      <c r="GQC239" s="1"/>
      <c r="GQD239" s="1"/>
      <c r="GQE239" s="1"/>
      <c r="GQF239" s="1"/>
      <c r="GQG239" s="1"/>
      <c r="GQH239" s="1"/>
      <c r="GQI239" s="1"/>
      <c r="GQJ239" s="1"/>
      <c r="GQK239" s="1"/>
      <c r="GQL239" s="1"/>
      <c r="GQM239" s="1"/>
      <c r="GQN239" s="1"/>
      <c r="GQO239" s="1"/>
      <c r="GQP239" s="1"/>
      <c r="GQQ239" s="1"/>
      <c r="GQR239" s="1"/>
      <c r="GQS239" s="1"/>
      <c r="GQT239" s="1"/>
      <c r="GQU239" s="1"/>
      <c r="GQV239" s="1"/>
      <c r="GQW239" s="1"/>
      <c r="GQX239" s="1"/>
      <c r="GQY239" s="1"/>
      <c r="GQZ239" s="1"/>
      <c r="GRA239" s="1"/>
      <c r="GRB239" s="1"/>
      <c r="GRC239" s="1"/>
      <c r="GRD239" s="1"/>
      <c r="GRE239" s="1"/>
      <c r="GRF239" s="1"/>
      <c r="GRG239" s="1"/>
      <c r="GRH239" s="1"/>
      <c r="GRI239" s="1"/>
      <c r="GRJ239" s="1"/>
      <c r="GRK239" s="1"/>
      <c r="GRL239" s="1"/>
      <c r="GRM239" s="1"/>
      <c r="GRN239" s="1"/>
      <c r="GRO239" s="1"/>
      <c r="GRP239" s="1"/>
      <c r="GRQ239" s="1"/>
      <c r="GRR239" s="1"/>
      <c r="GRS239" s="1"/>
      <c r="GRT239" s="1"/>
      <c r="GRU239" s="1"/>
      <c r="GRV239" s="1"/>
      <c r="GRW239" s="1"/>
      <c r="GRX239" s="1"/>
      <c r="GRY239" s="1"/>
      <c r="GRZ239" s="1"/>
      <c r="GSA239" s="1"/>
      <c r="GSB239" s="1"/>
      <c r="GSC239" s="1"/>
      <c r="GSD239" s="1"/>
      <c r="GSE239" s="1"/>
      <c r="GSF239" s="1"/>
      <c r="GSG239" s="1"/>
      <c r="GSH239" s="1"/>
      <c r="GSI239" s="1"/>
      <c r="GSJ239" s="1"/>
      <c r="GSK239" s="1"/>
      <c r="GSL239" s="1"/>
      <c r="GSM239" s="1"/>
      <c r="GSN239" s="1"/>
      <c r="GSO239" s="1"/>
      <c r="GSP239" s="1"/>
      <c r="GSQ239" s="1"/>
      <c r="GSR239" s="1"/>
      <c r="GSS239" s="1"/>
      <c r="GST239" s="1"/>
      <c r="GSU239" s="1"/>
      <c r="GSV239" s="1"/>
      <c r="GSW239" s="1"/>
      <c r="GSX239" s="1"/>
      <c r="GSY239" s="1"/>
      <c r="GSZ239" s="1"/>
      <c r="GTA239" s="1"/>
      <c r="GTB239" s="1"/>
      <c r="GTC239" s="1"/>
      <c r="GTD239" s="1"/>
      <c r="GTE239" s="1"/>
      <c r="GTF239" s="1"/>
      <c r="GTG239" s="1"/>
      <c r="GTH239" s="1"/>
      <c r="GTI239" s="1"/>
      <c r="GTJ239" s="1"/>
      <c r="GTK239" s="1"/>
      <c r="GTL239" s="1"/>
      <c r="GTM239" s="1"/>
      <c r="GTN239" s="1"/>
      <c r="GTO239" s="1"/>
      <c r="GTP239" s="1"/>
      <c r="GTQ239" s="1"/>
      <c r="GTR239" s="1"/>
      <c r="GTS239" s="1"/>
      <c r="GTT239" s="1"/>
      <c r="GTU239" s="1"/>
      <c r="GTV239" s="1"/>
      <c r="GTW239" s="1"/>
      <c r="GTX239" s="1"/>
      <c r="GTY239" s="1"/>
      <c r="GTZ239" s="1"/>
      <c r="GUA239" s="1"/>
      <c r="GUB239" s="1"/>
      <c r="GUC239" s="1"/>
      <c r="GUD239" s="1"/>
      <c r="GUE239" s="1"/>
      <c r="GUF239" s="1"/>
      <c r="GUG239" s="1"/>
      <c r="GUH239" s="1"/>
      <c r="GUI239" s="1"/>
      <c r="GUJ239" s="1"/>
      <c r="GUK239" s="1"/>
      <c r="GUL239" s="1"/>
      <c r="GUM239" s="1"/>
      <c r="GUN239" s="1"/>
      <c r="GUO239" s="1"/>
      <c r="GUP239" s="1"/>
      <c r="GUQ239" s="1"/>
      <c r="GUR239" s="1"/>
      <c r="GUS239" s="1"/>
      <c r="GUT239" s="1"/>
      <c r="GUU239" s="1"/>
      <c r="GUV239" s="1"/>
      <c r="GUW239" s="1"/>
      <c r="GUX239" s="1"/>
      <c r="GUY239" s="1"/>
      <c r="GUZ239" s="1"/>
      <c r="GVA239" s="1"/>
      <c r="GVB239" s="1"/>
      <c r="GVC239" s="1"/>
      <c r="GVD239" s="1"/>
      <c r="GVE239" s="1"/>
      <c r="GVF239" s="1"/>
      <c r="GVG239" s="1"/>
      <c r="GVH239" s="1"/>
      <c r="GVI239" s="1"/>
      <c r="GVJ239" s="1"/>
      <c r="GVK239" s="1"/>
      <c r="GVL239" s="1"/>
      <c r="GVM239" s="1"/>
      <c r="GVN239" s="1"/>
      <c r="GVO239" s="1"/>
      <c r="GVP239" s="1"/>
      <c r="GVQ239" s="1"/>
      <c r="GVR239" s="1"/>
      <c r="GVS239" s="1"/>
      <c r="GVT239" s="1"/>
      <c r="GVU239" s="1"/>
      <c r="GVV239" s="1"/>
      <c r="GVW239" s="1"/>
      <c r="GVX239" s="1"/>
      <c r="GVY239" s="1"/>
      <c r="GVZ239" s="1"/>
      <c r="GWA239" s="1"/>
      <c r="GWB239" s="1"/>
      <c r="GWC239" s="1"/>
      <c r="GWD239" s="1"/>
      <c r="GWE239" s="1"/>
      <c r="GWF239" s="1"/>
      <c r="GWG239" s="1"/>
      <c r="GWH239" s="1"/>
      <c r="GWI239" s="1"/>
      <c r="GWJ239" s="1"/>
      <c r="GWK239" s="1"/>
      <c r="GWL239" s="1"/>
      <c r="GWM239" s="1"/>
      <c r="GWN239" s="1"/>
      <c r="GWO239" s="1"/>
      <c r="GWP239" s="1"/>
      <c r="GWQ239" s="1"/>
      <c r="GWR239" s="1"/>
      <c r="GWS239" s="1"/>
      <c r="GWT239" s="1"/>
      <c r="GWU239" s="1"/>
      <c r="GWV239" s="1"/>
      <c r="GWW239" s="1"/>
      <c r="GWX239" s="1"/>
      <c r="GWY239" s="1"/>
      <c r="GWZ239" s="1"/>
      <c r="GXA239" s="1"/>
      <c r="GXB239" s="1"/>
      <c r="GXC239" s="1"/>
      <c r="GXD239" s="1"/>
      <c r="GXE239" s="1"/>
      <c r="GXF239" s="1"/>
      <c r="GXG239" s="1"/>
      <c r="GXH239" s="1"/>
      <c r="GXI239" s="1"/>
      <c r="GXJ239" s="1"/>
      <c r="GXK239" s="1"/>
      <c r="GXL239" s="1"/>
      <c r="GXM239" s="1"/>
      <c r="GXN239" s="1"/>
      <c r="GXO239" s="1"/>
      <c r="GXP239" s="1"/>
      <c r="GXQ239" s="1"/>
      <c r="GXR239" s="1"/>
      <c r="GXS239" s="1"/>
      <c r="GXT239" s="1"/>
      <c r="GXU239" s="1"/>
      <c r="GXV239" s="1"/>
      <c r="GXW239" s="1"/>
      <c r="GXX239" s="1"/>
      <c r="GXY239" s="1"/>
      <c r="GXZ239" s="1"/>
      <c r="GYA239" s="1"/>
      <c r="GYB239" s="1"/>
      <c r="GYC239" s="1"/>
      <c r="GYD239" s="1"/>
      <c r="GYE239" s="1"/>
      <c r="GYF239" s="1"/>
      <c r="GYG239" s="1"/>
      <c r="GYH239" s="1"/>
      <c r="GYI239" s="1"/>
      <c r="GYJ239" s="1"/>
      <c r="GYK239" s="1"/>
      <c r="GYL239" s="1"/>
      <c r="GYM239" s="1"/>
      <c r="GYN239" s="1"/>
      <c r="GYO239" s="1"/>
      <c r="GYP239" s="1"/>
      <c r="GYQ239" s="1"/>
      <c r="GYR239" s="1"/>
      <c r="GYS239" s="1"/>
      <c r="GYT239" s="1"/>
      <c r="GYU239" s="1"/>
      <c r="GYV239" s="1"/>
      <c r="GYW239" s="1"/>
      <c r="GYX239" s="1"/>
      <c r="GYY239" s="1"/>
      <c r="GYZ239" s="1"/>
      <c r="GZA239" s="1"/>
      <c r="GZB239" s="1"/>
      <c r="GZC239" s="1"/>
      <c r="GZD239" s="1"/>
      <c r="GZE239" s="1"/>
      <c r="GZF239" s="1"/>
      <c r="GZG239" s="1"/>
      <c r="GZH239" s="1"/>
      <c r="GZI239" s="1"/>
      <c r="GZJ239" s="1"/>
      <c r="GZK239" s="1"/>
      <c r="GZL239" s="1"/>
      <c r="GZM239" s="1"/>
      <c r="GZN239" s="1"/>
      <c r="GZO239" s="1"/>
      <c r="GZP239" s="1"/>
      <c r="GZQ239" s="1"/>
      <c r="GZR239" s="1"/>
      <c r="GZS239" s="1"/>
      <c r="GZT239" s="1"/>
      <c r="GZU239" s="1"/>
      <c r="GZV239" s="1"/>
      <c r="GZW239" s="1"/>
      <c r="GZX239" s="1"/>
      <c r="GZY239" s="1"/>
      <c r="GZZ239" s="1"/>
      <c r="HAA239" s="1"/>
      <c r="HAB239" s="1"/>
      <c r="HAC239" s="1"/>
      <c r="HAD239" s="1"/>
      <c r="HAE239" s="1"/>
      <c r="HAF239" s="1"/>
      <c r="HAG239" s="1"/>
      <c r="HAH239" s="1"/>
      <c r="HAI239" s="1"/>
      <c r="HAJ239" s="1"/>
      <c r="HAK239" s="1"/>
      <c r="HAL239" s="1"/>
      <c r="HAM239" s="1"/>
      <c r="HAN239" s="1"/>
      <c r="HAO239" s="1"/>
      <c r="HAP239" s="1"/>
      <c r="HAQ239" s="1"/>
      <c r="HAR239" s="1"/>
      <c r="HAS239" s="1"/>
      <c r="HAT239" s="1"/>
      <c r="HAU239" s="1"/>
      <c r="HAV239" s="1"/>
      <c r="HAW239" s="1"/>
      <c r="HAX239" s="1"/>
      <c r="HAY239" s="1"/>
      <c r="HAZ239" s="1"/>
      <c r="HBA239" s="1"/>
      <c r="HBB239" s="1"/>
      <c r="HBC239" s="1"/>
      <c r="HBD239" s="1"/>
      <c r="HBE239" s="1"/>
      <c r="HBF239" s="1"/>
      <c r="HBG239" s="1"/>
      <c r="HBH239" s="1"/>
      <c r="HBI239" s="1"/>
      <c r="HBJ239" s="1"/>
      <c r="HBK239" s="1"/>
      <c r="HBL239" s="1"/>
      <c r="HBM239" s="1"/>
      <c r="HBN239" s="1"/>
      <c r="HBO239" s="1"/>
      <c r="HBP239" s="1"/>
      <c r="HBQ239" s="1"/>
      <c r="HBR239" s="1"/>
      <c r="HBS239" s="1"/>
      <c r="HBT239" s="1"/>
      <c r="HBU239" s="1"/>
      <c r="HBV239" s="1"/>
      <c r="HBW239" s="1"/>
      <c r="HBX239" s="1"/>
      <c r="HBY239" s="1"/>
      <c r="HBZ239" s="1"/>
      <c r="HCA239" s="1"/>
      <c r="HCB239" s="1"/>
      <c r="HCC239" s="1"/>
      <c r="HCD239" s="1"/>
      <c r="HCE239" s="1"/>
      <c r="HCF239" s="1"/>
      <c r="HCG239" s="1"/>
      <c r="HCH239" s="1"/>
      <c r="HCI239" s="1"/>
      <c r="HCJ239" s="1"/>
      <c r="HCK239" s="1"/>
      <c r="HCL239" s="1"/>
      <c r="HCM239" s="1"/>
      <c r="HCN239" s="1"/>
      <c r="HCO239" s="1"/>
      <c r="HCP239" s="1"/>
      <c r="HCQ239" s="1"/>
      <c r="HCR239" s="1"/>
      <c r="HCS239" s="1"/>
      <c r="HCT239" s="1"/>
      <c r="HCU239" s="1"/>
      <c r="HCV239" s="1"/>
      <c r="HCW239" s="1"/>
      <c r="HCX239" s="1"/>
      <c r="HCY239" s="1"/>
      <c r="HCZ239" s="1"/>
      <c r="HDA239" s="1"/>
      <c r="HDB239" s="1"/>
      <c r="HDC239" s="1"/>
      <c r="HDD239" s="1"/>
      <c r="HDE239" s="1"/>
      <c r="HDF239" s="1"/>
      <c r="HDG239" s="1"/>
      <c r="HDH239" s="1"/>
      <c r="HDI239" s="1"/>
      <c r="HDJ239" s="1"/>
      <c r="HDK239" s="1"/>
      <c r="HDL239" s="1"/>
      <c r="HDM239" s="1"/>
      <c r="HDN239" s="1"/>
      <c r="HDO239" s="1"/>
      <c r="HDP239" s="1"/>
      <c r="HDQ239" s="1"/>
      <c r="HDR239" s="1"/>
      <c r="HDS239" s="1"/>
      <c r="HDT239" s="1"/>
      <c r="HDU239" s="1"/>
      <c r="HDV239" s="1"/>
      <c r="HDW239" s="1"/>
      <c r="HDX239" s="1"/>
      <c r="HDY239" s="1"/>
      <c r="HDZ239" s="1"/>
      <c r="HEA239" s="1"/>
      <c r="HEB239" s="1"/>
      <c r="HEC239" s="1"/>
      <c r="HED239" s="1"/>
      <c r="HEE239" s="1"/>
      <c r="HEF239" s="1"/>
      <c r="HEG239" s="1"/>
      <c r="HEH239" s="1"/>
      <c r="HEI239" s="1"/>
      <c r="HEJ239" s="1"/>
      <c r="HEK239" s="1"/>
      <c r="HEL239" s="1"/>
      <c r="HEM239" s="1"/>
      <c r="HEN239" s="1"/>
      <c r="HEO239" s="1"/>
      <c r="HEP239" s="1"/>
      <c r="HEQ239" s="1"/>
      <c r="HER239" s="1"/>
      <c r="HES239" s="1"/>
      <c r="HET239" s="1"/>
      <c r="HEU239" s="1"/>
      <c r="HEV239" s="1"/>
      <c r="HEW239" s="1"/>
      <c r="HEX239" s="1"/>
      <c r="HEY239" s="1"/>
      <c r="HEZ239" s="1"/>
      <c r="HFA239" s="1"/>
      <c r="HFB239" s="1"/>
      <c r="HFC239" s="1"/>
      <c r="HFD239" s="1"/>
      <c r="HFE239" s="1"/>
      <c r="HFF239" s="1"/>
      <c r="HFG239" s="1"/>
      <c r="HFH239" s="1"/>
      <c r="HFI239" s="1"/>
      <c r="HFJ239" s="1"/>
      <c r="HFK239" s="1"/>
      <c r="HFL239" s="1"/>
      <c r="HFM239" s="1"/>
      <c r="HFN239" s="1"/>
      <c r="HFO239" s="1"/>
      <c r="HFP239" s="1"/>
      <c r="HFQ239" s="1"/>
      <c r="HFR239" s="1"/>
      <c r="HFS239" s="1"/>
      <c r="HFT239" s="1"/>
      <c r="HFU239" s="1"/>
      <c r="HFV239" s="1"/>
      <c r="HFW239" s="1"/>
      <c r="HFX239" s="1"/>
      <c r="HFY239" s="1"/>
      <c r="HFZ239" s="1"/>
      <c r="HGA239" s="1"/>
      <c r="HGB239" s="1"/>
      <c r="HGC239" s="1"/>
      <c r="HGD239" s="1"/>
      <c r="HGE239" s="1"/>
      <c r="HGF239" s="1"/>
      <c r="HGG239" s="1"/>
      <c r="HGH239" s="1"/>
      <c r="HGI239" s="1"/>
      <c r="HGJ239" s="1"/>
      <c r="HGK239" s="1"/>
      <c r="HGL239" s="1"/>
      <c r="HGM239" s="1"/>
      <c r="HGN239" s="1"/>
      <c r="HGO239" s="1"/>
      <c r="HGP239" s="1"/>
      <c r="HGQ239" s="1"/>
      <c r="HGR239" s="1"/>
      <c r="HGS239" s="1"/>
      <c r="HGT239" s="1"/>
      <c r="HGU239" s="1"/>
      <c r="HGV239" s="1"/>
      <c r="HGW239" s="1"/>
      <c r="HGX239" s="1"/>
      <c r="HGY239" s="1"/>
      <c r="HGZ239" s="1"/>
      <c r="HHA239" s="1"/>
      <c r="HHB239" s="1"/>
      <c r="HHC239" s="1"/>
      <c r="HHD239" s="1"/>
      <c r="HHE239" s="1"/>
      <c r="HHF239" s="1"/>
      <c r="HHG239" s="1"/>
      <c r="HHH239" s="1"/>
      <c r="HHI239" s="1"/>
      <c r="HHJ239" s="1"/>
      <c r="HHK239" s="1"/>
      <c r="HHL239" s="1"/>
      <c r="HHM239" s="1"/>
      <c r="HHN239" s="1"/>
      <c r="HHO239" s="1"/>
      <c r="HHP239" s="1"/>
      <c r="HHQ239" s="1"/>
      <c r="HHR239" s="1"/>
      <c r="HHS239" s="1"/>
      <c r="HHT239" s="1"/>
      <c r="HHU239" s="1"/>
      <c r="HHV239" s="1"/>
      <c r="HHW239" s="1"/>
      <c r="HHX239" s="1"/>
      <c r="HHY239" s="1"/>
      <c r="HHZ239" s="1"/>
      <c r="HIA239" s="1"/>
      <c r="HIB239" s="1"/>
      <c r="HIC239" s="1"/>
      <c r="HID239" s="1"/>
      <c r="HIE239" s="1"/>
      <c r="HIF239" s="1"/>
      <c r="HIG239" s="1"/>
      <c r="HIH239" s="1"/>
      <c r="HII239" s="1"/>
      <c r="HIJ239" s="1"/>
      <c r="HIK239" s="1"/>
      <c r="HIL239" s="1"/>
      <c r="HIM239" s="1"/>
      <c r="HIN239" s="1"/>
      <c r="HIO239" s="1"/>
      <c r="HIP239" s="1"/>
      <c r="HIQ239" s="1"/>
      <c r="HIR239" s="1"/>
      <c r="HIS239" s="1"/>
      <c r="HIT239" s="1"/>
      <c r="HIU239" s="1"/>
      <c r="HIV239" s="1"/>
      <c r="HIW239" s="1"/>
      <c r="HIX239" s="1"/>
      <c r="HIY239" s="1"/>
      <c r="HIZ239" s="1"/>
      <c r="HJA239" s="1"/>
      <c r="HJB239" s="1"/>
      <c r="HJC239" s="1"/>
      <c r="HJD239" s="1"/>
      <c r="HJE239" s="1"/>
      <c r="HJF239" s="1"/>
      <c r="HJG239" s="1"/>
      <c r="HJH239" s="1"/>
      <c r="HJI239" s="1"/>
      <c r="HJJ239" s="1"/>
      <c r="HJK239" s="1"/>
      <c r="HJL239" s="1"/>
      <c r="HJM239" s="1"/>
      <c r="HJN239" s="1"/>
      <c r="HJO239" s="1"/>
      <c r="HJP239" s="1"/>
      <c r="HJQ239" s="1"/>
      <c r="HJR239" s="1"/>
      <c r="HJS239" s="1"/>
      <c r="HJT239" s="1"/>
      <c r="HJU239" s="1"/>
      <c r="HJV239" s="1"/>
      <c r="HJW239" s="1"/>
      <c r="HJX239" s="1"/>
      <c r="HJY239" s="1"/>
      <c r="HJZ239" s="1"/>
      <c r="HKA239" s="1"/>
      <c r="HKB239" s="1"/>
      <c r="HKC239" s="1"/>
      <c r="HKD239" s="1"/>
      <c r="HKE239" s="1"/>
      <c r="HKF239" s="1"/>
      <c r="HKG239" s="1"/>
      <c r="HKH239" s="1"/>
      <c r="HKI239" s="1"/>
      <c r="HKJ239" s="1"/>
      <c r="HKK239" s="1"/>
      <c r="HKL239" s="1"/>
      <c r="HKM239" s="1"/>
      <c r="HKN239" s="1"/>
      <c r="HKO239" s="1"/>
      <c r="HKP239" s="1"/>
      <c r="HKQ239" s="1"/>
      <c r="HKR239" s="1"/>
      <c r="HKS239" s="1"/>
      <c r="HKT239" s="1"/>
      <c r="HKU239" s="1"/>
      <c r="HKV239" s="1"/>
      <c r="HKW239" s="1"/>
      <c r="HKX239" s="1"/>
      <c r="HKY239" s="1"/>
      <c r="HKZ239" s="1"/>
      <c r="HLA239" s="1"/>
      <c r="HLB239" s="1"/>
      <c r="HLC239" s="1"/>
      <c r="HLD239" s="1"/>
      <c r="HLE239" s="1"/>
      <c r="HLF239" s="1"/>
      <c r="HLG239" s="1"/>
      <c r="HLH239" s="1"/>
      <c r="HLI239" s="1"/>
      <c r="HLJ239" s="1"/>
      <c r="HLK239" s="1"/>
      <c r="HLL239" s="1"/>
      <c r="HLM239" s="1"/>
      <c r="HLN239" s="1"/>
      <c r="HLO239" s="1"/>
      <c r="HLP239" s="1"/>
      <c r="HLQ239" s="1"/>
      <c r="HLR239" s="1"/>
      <c r="HLS239" s="1"/>
      <c r="HLT239" s="1"/>
      <c r="HLU239" s="1"/>
      <c r="HLV239" s="1"/>
      <c r="HLW239" s="1"/>
      <c r="HLX239" s="1"/>
      <c r="HLY239" s="1"/>
      <c r="HLZ239" s="1"/>
      <c r="HMA239" s="1"/>
      <c r="HMB239" s="1"/>
      <c r="HMC239" s="1"/>
      <c r="HMD239" s="1"/>
      <c r="HME239" s="1"/>
      <c r="HMF239" s="1"/>
      <c r="HMG239" s="1"/>
      <c r="HMH239" s="1"/>
      <c r="HMI239" s="1"/>
      <c r="HMJ239" s="1"/>
      <c r="HMK239" s="1"/>
      <c r="HML239" s="1"/>
      <c r="HMM239" s="1"/>
      <c r="HMN239" s="1"/>
      <c r="HMO239" s="1"/>
      <c r="HMP239" s="1"/>
      <c r="HMQ239" s="1"/>
      <c r="HMR239" s="1"/>
      <c r="HMS239" s="1"/>
      <c r="HMT239" s="1"/>
      <c r="HMU239" s="1"/>
      <c r="HMV239" s="1"/>
      <c r="HMW239" s="1"/>
      <c r="HMX239" s="1"/>
      <c r="HMY239" s="1"/>
      <c r="HMZ239" s="1"/>
      <c r="HNA239" s="1"/>
      <c r="HNB239" s="1"/>
      <c r="HNC239" s="1"/>
      <c r="HND239" s="1"/>
      <c r="HNE239" s="1"/>
      <c r="HNF239" s="1"/>
      <c r="HNG239" s="1"/>
      <c r="HNH239" s="1"/>
      <c r="HNI239" s="1"/>
      <c r="HNJ239" s="1"/>
      <c r="HNK239" s="1"/>
      <c r="HNL239" s="1"/>
      <c r="HNM239" s="1"/>
      <c r="HNN239" s="1"/>
      <c r="HNO239" s="1"/>
      <c r="HNP239" s="1"/>
      <c r="HNQ239" s="1"/>
      <c r="HNR239" s="1"/>
      <c r="HNS239" s="1"/>
      <c r="HNT239" s="1"/>
      <c r="HNU239" s="1"/>
      <c r="HNV239" s="1"/>
      <c r="HNW239" s="1"/>
      <c r="HNX239" s="1"/>
      <c r="HNY239" s="1"/>
      <c r="HNZ239" s="1"/>
      <c r="HOA239" s="1"/>
      <c r="HOB239" s="1"/>
      <c r="HOC239" s="1"/>
      <c r="HOD239" s="1"/>
      <c r="HOE239" s="1"/>
      <c r="HOF239" s="1"/>
      <c r="HOG239" s="1"/>
      <c r="HOH239" s="1"/>
      <c r="HOI239" s="1"/>
      <c r="HOJ239" s="1"/>
      <c r="HOK239" s="1"/>
      <c r="HOL239" s="1"/>
      <c r="HOM239" s="1"/>
      <c r="HON239" s="1"/>
      <c r="HOO239" s="1"/>
      <c r="HOP239" s="1"/>
      <c r="HOQ239" s="1"/>
      <c r="HOR239" s="1"/>
      <c r="HOS239" s="1"/>
      <c r="HOT239" s="1"/>
      <c r="HOU239" s="1"/>
      <c r="HOV239" s="1"/>
      <c r="HOW239" s="1"/>
      <c r="HOX239" s="1"/>
      <c r="HOY239" s="1"/>
      <c r="HOZ239" s="1"/>
      <c r="HPA239" s="1"/>
      <c r="HPB239" s="1"/>
      <c r="HPC239" s="1"/>
      <c r="HPD239" s="1"/>
      <c r="HPE239" s="1"/>
      <c r="HPF239" s="1"/>
      <c r="HPG239" s="1"/>
      <c r="HPH239" s="1"/>
      <c r="HPI239" s="1"/>
      <c r="HPJ239" s="1"/>
      <c r="HPK239" s="1"/>
      <c r="HPL239" s="1"/>
      <c r="HPM239" s="1"/>
      <c r="HPN239" s="1"/>
      <c r="HPO239" s="1"/>
      <c r="HPP239" s="1"/>
      <c r="HPQ239" s="1"/>
      <c r="HPR239" s="1"/>
      <c r="HPS239" s="1"/>
      <c r="HPT239" s="1"/>
      <c r="HPU239" s="1"/>
      <c r="HPV239" s="1"/>
      <c r="HPW239" s="1"/>
      <c r="HPX239" s="1"/>
      <c r="HPY239" s="1"/>
      <c r="HPZ239" s="1"/>
      <c r="HQA239" s="1"/>
      <c r="HQB239" s="1"/>
      <c r="HQC239" s="1"/>
      <c r="HQD239" s="1"/>
      <c r="HQE239" s="1"/>
      <c r="HQF239" s="1"/>
      <c r="HQG239" s="1"/>
      <c r="HQH239" s="1"/>
      <c r="HQI239" s="1"/>
      <c r="HQJ239" s="1"/>
      <c r="HQK239" s="1"/>
      <c r="HQL239" s="1"/>
      <c r="HQM239" s="1"/>
      <c r="HQN239" s="1"/>
      <c r="HQO239" s="1"/>
      <c r="HQP239" s="1"/>
      <c r="HQQ239" s="1"/>
      <c r="HQR239" s="1"/>
      <c r="HQS239" s="1"/>
      <c r="HQT239" s="1"/>
      <c r="HQU239" s="1"/>
      <c r="HQV239" s="1"/>
      <c r="HQW239" s="1"/>
      <c r="HQX239" s="1"/>
      <c r="HQY239" s="1"/>
      <c r="HQZ239" s="1"/>
      <c r="HRA239" s="1"/>
      <c r="HRB239" s="1"/>
      <c r="HRC239" s="1"/>
      <c r="HRD239" s="1"/>
      <c r="HRE239" s="1"/>
      <c r="HRF239" s="1"/>
      <c r="HRG239" s="1"/>
      <c r="HRH239" s="1"/>
      <c r="HRI239" s="1"/>
      <c r="HRJ239" s="1"/>
      <c r="HRK239" s="1"/>
      <c r="HRL239" s="1"/>
      <c r="HRM239" s="1"/>
      <c r="HRN239" s="1"/>
      <c r="HRO239" s="1"/>
      <c r="HRP239" s="1"/>
      <c r="HRQ239" s="1"/>
      <c r="HRR239" s="1"/>
      <c r="HRS239" s="1"/>
      <c r="HRT239" s="1"/>
      <c r="HRU239" s="1"/>
      <c r="HRV239" s="1"/>
      <c r="HRW239" s="1"/>
      <c r="HRX239" s="1"/>
      <c r="HRY239" s="1"/>
      <c r="HRZ239" s="1"/>
      <c r="HSA239" s="1"/>
      <c r="HSB239" s="1"/>
      <c r="HSC239" s="1"/>
      <c r="HSD239" s="1"/>
      <c r="HSE239" s="1"/>
      <c r="HSF239" s="1"/>
      <c r="HSG239" s="1"/>
      <c r="HSH239" s="1"/>
      <c r="HSI239" s="1"/>
      <c r="HSJ239" s="1"/>
      <c r="HSK239" s="1"/>
      <c r="HSL239" s="1"/>
      <c r="HSM239" s="1"/>
      <c r="HSN239" s="1"/>
      <c r="HSO239" s="1"/>
      <c r="HSP239" s="1"/>
      <c r="HSQ239" s="1"/>
      <c r="HSR239" s="1"/>
      <c r="HSS239" s="1"/>
      <c r="HST239" s="1"/>
      <c r="HSU239" s="1"/>
      <c r="HSV239" s="1"/>
      <c r="HSW239" s="1"/>
      <c r="HSX239" s="1"/>
      <c r="HSY239" s="1"/>
      <c r="HSZ239" s="1"/>
      <c r="HTA239" s="1"/>
      <c r="HTB239" s="1"/>
      <c r="HTC239" s="1"/>
      <c r="HTD239" s="1"/>
      <c r="HTE239" s="1"/>
      <c r="HTF239" s="1"/>
      <c r="HTG239" s="1"/>
      <c r="HTH239" s="1"/>
      <c r="HTI239" s="1"/>
      <c r="HTJ239" s="1"/>
      <c r="HTK239" s="1"/>
      <c r="HTL239" s="1"/>
      <c r="HTM239" s="1"/>
      <c r="HTN239" s="1"/>
      <c r="HTO239" s="1"/>
      <c r="HTP239" s="1"/>
      <c r="HTQ239" s="1"/>
      <c r="HTR239" s="1"/>
      <c r="HTS239" s="1"/>
      <c r="HTT239" s="1"/>
      <c r="HTU239" s="1"/>
      <c r="HTV239" s="1"/>
      <c r="HTW239" s="1"/>
      <c r="HTX239" s="1"/>
      <c r="HTY239" s="1"/>
      <c r="HTZ239" s="1"/>
      <c r="HUA239" s="1"/>
      <c r="HUB239" s="1"/>
      <c r="HUC239" s="1"/>
      <c r="HUD239" s="1"/>
      <c r="HUE239" s="1"/>
      <c r="HUF239" s="1"/>
      <c r="HUG239" s="1"/>
      <c r="HUH239" s="1"/>
      <c r="HUI239" s="1"/>
      <c r="HUJ239" s="1"/>
      <c r="HUK239" s="1"/>
      <c r="HUL239" s="1"/>
      <c r="HUM239" s="1"/>
      <c r="HUN239" s="1"/>
      <c r="HUO239" s="1"/>
      <c r="HUP239" s="1"/>
      <c r="HUQ239" s="1"/>
      <c r="HUR239" s="1"/>
      <c r="HUS239" s="1"/>
      <c r="HUT239" s="1"/>
      <c r="HUU239" s="1"/>
      <c r="HUV239" s="1"/>
      <c r="HUW239" s="1"/>
      <c r="HUX239" s="1"/>
      <c r="HUY239" s="1"/>
      <c r="HUZ239" s="1"/>
      <c r="HVA239" s="1"/>
      <c r="HVB239" s="1"/>
      <c r="HVC239" s="1"/>
      <c r="HVD239" s="1"/>
      <c r="HVE239" s="1"/>
      <c r="HVF239" s="1"/>
      <c r="HVG239" s="1"/>
      <c r="HVH239" s="1"/>
      <c r="HVI239" s="1"/>
      <c r="HVJ239" s="1"/>
      <c r="HVK239" s="1"/>
      <c r="HVL239" s="1"/>
      <c r="HVM239" s="1"/>
      <c r="HVN239" s="1"/>
      <c r="HVO239" s="1"/>
      <c r="HVP239" s="1"/>
      <c r="HVQ239" s="1"/>
      <c r="HVR239" s="1"/>
      <c r="HVS239" s="1"/>
      <c r="HVT239" s="1"/>
      <c r="HVU239" s="1"/>
      <c r="HVV239" s="1"/>
      <c r="HVW239" s="1"/>
      <c r="HVX239" s="1"/>
      <c r="HVY239" s="1"/>
      <c r="HVZ239" s="1"/>
      <c r="HWA239" s="1"/>
      <c r="HWB239" s="1"/>
      <c r="HWC239" s="1"/>
      <c r="HWD239" s="1"/>
      <c r="HWE239" s="1"/>
      <c r="HWF239" s="1"/>
      <c r="HWG239" s="1"/>
      <c r="HWH239" s="1"/>
      <c r="HWI239" s="1"/>
      <c r="HWJ239" s="1"/>
      <c r="HWK239" s="1"/>
      <c r="HWL239" s="1"/>
      <c r="HWM239" s="1"/>
      <c r="HWN239" s="1"/>
      <c r="HWO239" s="1"/>
      <c r="HWP239" s="1"/>
      <c r="HWQ239" s="1"/>
      <c r="HWR239" s="1"/>
      <c r="HWS239" s="1"/>
      <c r="HWT239" s="1"/>
      <c r="HWU239" s="1"/>
      <c r="HWV239" s="1"/>
      <c r="HWW239" s="1"/>
      <c r="HWX239" s="1"/>
      <c r="HWY239" s="1"/>
      <c r="HWZ239" s="1"/>
      <c r="HXA239" s="1"/>
      <c r="HXB239" s="1"/>
      <c r="HXC239" s="1"/>
      <c r="HXD239" s="1"/>
      <c r="HXE239" s="1"/>
      <c r="HXF239" s="1"/>
      <c r="HXG239" s="1"/>
      <c r="HXH239" s="1"/>
      <c r="HXI239" s="1"/>
      <c r="HXJ239" s="1"/>
      <c r="HXK239" s="1"/>
      <c r="HXL239" s="1"/>
      <c r="HXM239" s="1"/>
      <c r="HXN239" s="1"/>
      <c r="HXO239" s="1"/>
      <c r="HXP239" s="1"/>
      <c r="HXQ239" s="1"/>
      <c r="HXR239" s="1"/>
      <c r="HXS239" s="1"/>
      <c r="HXT239" s="1"/>
      <c r="HXU239" s="1"/>
      <c r="HXV239" s="1"/>
      <c r="HXW239" s="1"/>
      <c r="HXX239" s="1"/>
      <c r="HXY239" s="1"/>
      <c r="HXZ239" s="1"/>
      <c r="HYA239" s="1"/>
      <c r="HYB239" s="1"/>
      <c r="HYC239" s="1"/>
      <c r="HYD239" s="1"/>
      <c r="HYE239" s="1"/>
      <c r="HYF239" s="1"/>
      <c r="HYG239" s="1"/>
      <c r="HYH239" s="1"/>
      <c r="HYI239" s="1"/>
      <c r="HYJ239" s="1"/>
      <c r="HYK239" s="1"/>
      <c r="HYL239" s="1"/>
      <c r="HYM239" s="1"/>
      <c r="HYN239" s="1"/>
      <c r="HYO239" s="1"/>
      <c r="HYP239" s="1"/>
      <c r="HYQ239" s="1"/>
      <c r="HYR239" s="1"/>
      <c r="HYS239" s="1"/>
      <c r="HYT239" s="1"/>
      <c r="HYU239" s="1"/>
      <c r="HYV239" s="1"/>
      <c r="HYW239" s="1"/>
      <c r="HYX239" s="1"/>
      <c r="HYY239" s="1"/>
      <c r="HYZ239" s="1"/>
      <c r="HZA239" s="1"/>
      <c r="HZB239" s="1"/>
      <c r="HZC239" s="1"/>
      <c r="HZD239" s="1"/>
      <c r="HZE239" s="1"/>
      <c r="HZF239" s="1"/>
      <c r="HZG239" s="1"/>
      <c r="HZH239" s="1"/>
      <c r="HZI239" s="1"/>
      <c r="HZJ239" s="1"/>
      <c r="HZK239" s="1"/>
      <c r="HZL239" s="1"/>
      <c r="HZM239" s="1"/>
      <c r="HZN239" s="1"/>
      <c r="HZO239" s="1"/>
      <c r="HZP239" s="1"/>
      <c r="HZQ239" s="1"/>
      <c r="HZR239" s="1"/>
      <c r="HZS239" s="1"/>
      <c r="HZT239" s="1"/>
      <c r="HZU239" s="1"/>
      <c r="HZV239" s="1"/>
      <c r="HZW239" s="1"/>
      <c r="HZX239" s="1"/>
      <c r="HZY239" s="1"/>
      <c r="HZZ239" s="1"/>
      <c r="IAA239" s="1"/>
      <c r="IAB239" s="1"/>
      <c r="IAC239" s="1"/>
      <c r="IAD239" s="1"/>
      <c r="IAE239" s="1"/>
      <c r="IAF239" s="1"/>
      <c r="IAG239" s="1"/>
      <c r="IAH239" s="1"/>
      <c r="IAI239" s="1"/>
      <c r="IAJ239" s="1"/>
      <c r="IAK239" s="1"/>
      <c r="IAL239" s="1"/>
      <c r="IAM239" s="1"/>
      <c r="IAN239" s="1"/>
      <c r="IAO239" s="1"/>
      <c r="IAP239" s="1"/>
      <c r="IAQ239" s="1"/>
      <c r="IAR239" s="1"/>
      <c r="IAS239" s="1"/>
      <c r="IAT239" s="1"/>
      <c r="IAU239" s="1"/>
      <c r="IAV239" s="1"/>
      <c r="IAW239" s="1"/>
      <c r="IAX239" s="1"/>
      <c r="IAY239" s="1"/>
      <c r="IAZ239" s="1"/>
      <c r="IBA239" s="1"/>
      <c r="IBB239" s="1"/>
      <c r="IBC239" s="1"/>
      <c r="IBD239" s="1"/>
      <c r="IBE239" s="1"/>
      <c r="IBF239" s="1"/>
      <c r="IBG239" s="1"/>
      <c r="IBH239" s="1"/>
      <c r="IBI239" s="1"/>
      <c r="IBJ239" s="1"/>
      <c r="IBK239" s="1"/>
      <c r="IBL239" s="1"/>
      <c r="IBM239" s="1"/>
      <c r="IBN239" s="1"/>
      <c r="IBO239" s="1"/>
      <c r="IBP239" s="1"/>
      <c r="IBQ239" s="1"/>
      <c r="IBR239" s="1"/>
      <c r="IBS239" s="1"/>
      <c r="IBT239" s="1"/>
      <c r="IBU239" s="1"/>
      <c r="IBV239" s="1"/>
      <c r="IBW239" s="1"/>
      <c r="IBX239" s="1"/>
      <c r="IBY239" s="1"/>
      <c r="IBZ239" s="1"/>
      <c r="ICA239" s="1"/>
      <c r="ICB239" s="1"/>
      <c r="ICC239" s="1"/>
      <c r="ICD239" s="1"/>
      <c r="ICE239" s="1"/>
      <c r="ICF239" s="1"/>
      <c r="ICG239" s="1"/>
      <c r="ICH239" s="1"/>
      <c r="ICI239" s="1"/>
      <c r="ICJ239" s="1"/>
      <c r="ICK239" s="1"/>
      <c r="ICL239" s="1"/>
      <c r="ICM239" s="1"/>
      <c r="ICN239" s="1"/>
      <c r="ICO239" s="1"/>
      <c r="ICP239" s="1"/>
      <c r="ICQ239" s="1"/>
      <c r="ICR239" s="1"/>
      <c r="ICS239" s="1"/>
      <c r="ICT239" s="1"/>
      <c r="ICU239" s="1"/>
      <c r="ICV239" s="1"/>
      <c r="ICW239" s="1"/>
      <c r="ICX239" s="1"/>
      <c r="ICY239" s="1"/>
      <c r="ICZ239" s="1"/>
      <c r="IDA239" s="1"/>
      <c r="IDB239" s="1"/>
      <c r="IDC239" s="1"/>
      <c r="IDD239" s="1"/>
      <c r="IDE239" s="1"/>
      <c r="IDF239" s="1"/>
      <c r="IDG239" s="1"/>
      <c r="IDH239" s="1"/>
      <c r="IDI239" s="1"/>
      <c r="IDJ239" s="1"/>
      <c r="IDK239" s="1"/>
      <c r="IDL239" s="1"/>
      <c r="IDM239" s="1"/>
      <c r="IDN239" s="1"/>
      <c r="IDO239" s="1"/>
      <c r="IDP239" s="1"/>
      <c r="IDQ239" s="1"/>
      <c r="IDR239" s="1"/>
      <c r="IDS239" s="1"/>
      <c r="IDT239" s="1"/>
      <c r="IDU239" s="1"/>
      <c r="IDV239" s="1"/>
      <c r="IDW239" s="1"/>
      <c r="IDX239" s="1"/>
      <c r="IDY239" s="1"/>
      <c r="IDZ239" s="1"/>
      <c r="IEA239" s="1"/>
      <c r="IEB239" s="1"/>
      <c r="IEC239" s="1"/>
      <c r="IED239" s="1"/>
      <c r="IEE239" s="1"/>
      <c r="IEF239" s="1"/>
      <c r="IEG239" s="1"/>
      <c r="IEH239" s="1"/>
      <c r="IEI239" s="1"/>
      <c r="IEJ239" s="1"/>
      <c r="IEK239" s="1"/>
      <c r="IEL239" s="1"/>
      <c r="IEM239" s="1"/>
      <c r="IEN239" s="1"/>
      <c r="IEO239" s="1"/>
      <c r="IEP239" s="1"/>
      <c r="IEQ239" s="1"/>
      <c r="IER239" s="1"/>
      <c r="IES239" s="1"/>
      <c r="IET239" s="1"/>
      <c r="IEU239" s="1"/>
      <c r="IEV239" s="1"/>
      <c r="IEW239" s="1"/>
      <c r="IEX239" s="1"/>
      <c r="IEY239" s="1"/>
      <c r="IEZ239" s="1"/>
      <c r="IFA239" s="1"/>
      <c r="IFB239" s="1"/>
      <c r="IFC239" s="1"/>
      <c r="IFD239" s="1"/>
      <c r="IFE239" s="1"/>
      <c r="IFF239" s="1"/>
      <c r="IFG239" s="1"/>
      <c r="IFH239" s="1"/>
      <c r="IFI239" s="1"/>
      <c r="IFJ239" s="1"/>
      <c r="IFK239" s="1"/>
      <c r="IFL239" s="1"/>
      <c r="IFM239" s="1"/>
      <c r="IFN239" s="1"/>
      <c r="IFO239" s="1"/>
      <c r="IFP239" s="1"/>
      <c r="IFQ239" s="1"/>
      <c r="IFR239" s="1"/>
      <c r="IFS239" s="1"/>
      <c r="IFT239" s="1"/>
      <c r="IFU239" s="1"/>
      <c r="IFV239" s="1"/>
      <c r="IFW239" s="1"/>
      <c r="IFX239" s="1"/>
      <c r="IFY239" s="1"/>
      <c r="IFZ239" s="1"/>
      <c r="IGA239" s="1"/>
      <c r="IGB239" s="1"/>
      <c r="IGC239" s="1"/>
      <c r="IGD239" s="1"/>
      <c r="IGE239" s="1"/>
      <c r="IGF239" s="1"/>
      <c r="IGG239" s="1"/>
      <c r="IGH239" s="1"/>
      <c r="IGI239" s="1"/>
      <c r="IGJ239" s="1"/>
      <c r="IGK239" s="1"/>
      <c r="IGL239" s="1"/>
      <c r="IGM239" s="1"/>
      <c r="IGN239" s="1"/>
      <c r="IGO239" s="1"/>
      <c r="IGP239" s="1"/>
      <c r="IGQ239" s="1"/>
      <c r="IGR239" s="1"/>
      <c r="IGS239" s="1"/>
      <c r="IGT239" s="1"/>
      <c r="IGU239" s="1"/>
      <c r="IGV239" s="1"/>
      <c r="IGW239" s="1"/>
      <c r="IGX239" s="1"/>
      <c r="IGY239" s="1"/>
      <c r="IGZ239" s="1"/>
      <c r="IHA239" s="1"/>
      <c r="IHB239" s="1"/>
      <c r="IHC239" s="1"/>
      <c r="IHD239" s="1"/>
      <c r="IHE239" s="1"/>
      <c r="IHF239" s="1"/>
      <c r="IHG239" s="1"/>
      <c r="IHH239" s="1"/>
      <c r="IHI239" s="1"/>
      <c r="IHJ239" s="1"/>
      <c r="IHK239" s="1"/>
      <c r="IHL239" s="1"/>
      <c r="IHM239" s="1"/>
      <c r="IHN239" s="1"/>
      <c r="IHO239" s="1"/>
      <c r="IHP239" s="1"/>
      <c r="IHQ239" s="1"/>
      <c r="IHR239" s="1"/>
      <c r="IHS239" s="1"/>
      <c r="IHT239" s="1"/>
      <c r="IHU239" s="1"/>
      <c r="IHV239" s="1"/>
      <c r="IHW239" s="1"/>
      <c r="IHX239" s="1"/>
      <c r="IHY239" s="1"/>
      <c r="IHZ239" s="1"/>
      <c r="IIA239" s="1"/>
      <c r="IIB239" s="1"/>
      <c r="IIC239" s="1"/>
      <c r="IID239" s="1"/>
      <c r="IIE239" s="1"/>
      <c r="IIF239" s="1"/>
      <c r="IIG239" s="1"/>
      <c r="IIH239" s="1"/>
      <c r="III239" s="1"/>
      <c r="IIJ239" s="1"/>
      <c r="IIK239" s="1"/>
      <c r="IIL239" s="1"/>
      <c r="IIM239" s="1"/>
      <c r="IIN239" s="1"/>
      <c r="IIO239" s="1"/>
      <c r="IIP239" s="1"/>
      <c r="IIQ239" s="1"/>
      <c r="IIR239" s="1"/>
      <c r="IIS239" s="1"/>
      <c r="IIT239" s="1"/>
      <c r="IIU239" s="1"/>
      <c r="IIV239" s="1"/>
      <c r="IIW239" s="1"/>
      <c r="IIX239" s="1"/>
      <c r="IIY239" s="1"/>
      <c r="IIZ239" s="1"/>
      <c r="IJA239" s="1"/>
      <c r="IJB239" s="1"/>
      <c r="IJC239" s="1"/>
      <c r="IJD239" s="1"/>
      <c r="IJE239" s="1"/>
      <c r="IJF239" s="1"/>
      <c r="IJG239" s="1"/>
      <c r="IJH239" s="1"/>
      <c r="IJI239" s="1"/>
      <c r="IJJ239" s="1"/>
      <c r="IJK239" s="1"/>
      <c r="IJL239" s="1"/>
      <c r="IJM239" s="1"/>
      <c r="IJN239" s="1"/>
      <c r="IJO239" s="1"/>
      <c r="IJP239" s="1"/>
      <c r="IJQ239" s="1"/>
      <c r="IJR239" s="1"/>
      <c r="IJS239" s="1"/>
      <c r="IJT239" s="1"/>
      <c r="IJU239" s="1"/>
      <c r="IJV239" s="1"/>
      <c r="IJW239" s="1"/>
      <c r="IJX239" s="1"/>
      <c r="IJY239" s="1"/>
      <c r="IJZ239" s="1"/>
      <c r="IKA239" s="1"/>
      <c r="IKB239" s="1"/>
      <c r="IKC239" s="1"/>
      <c r="IKD239" s="1"/>
      <c r="IKE239" s="1"/>
      <c r="IKF239" s="1"/>
      <c r="IKG239" s="1"/>
      <c r="IKH239" s="1"/>
      <c r="IKI239" s="1"/>
      <c r="IKJ239" s="1"/>
      <c r="IKK239" s="1"/>
      <c r="IKL239" s="1"/>
      <c r="IKM239" s="1"/>
      <c r="IKN239" s="1"/>
      <c r="IKO239" s="1"/>
      <c r="IKP239" s="1"/>
      <c r="IKQ239" s="1"/>
      <c r="IKR239" s="1"/>
      <c r="IKS239" s="1"/>
      <c r="IKT239" s="1"/>
      <c r="IKU239" s="1"/>
      <c r="IKV239" s="1"/>
      <c r="IKW239" s="1"/>
      <c r="IKX239" s="1"/>
      <c r="IKY239" s="1"/>
      <c r="IKZ239" s="1"/>
      <c r="ILA239" s="1"/>
      <c r="ILB239" s="1"/>
      <c r="ILC239" s="1"/>
      <c r="ILD239" s="1"/>
      <c r="ILE239" s="1"/>
      <c r="ILF239" s="1"/>
      <c r="ILG239" s="1"/>
      <c r="ILH239" s="1"/>
      <c r="ILI239" s="1"/>
      <c r="ILJ239" s="1"/>
      <c r="ILK239" s="1"/>
      <c r="ILL239" s="1"/>
      <c r="ILM239" s="1"/>
      <c r="ILN239" s="1"/>
      <c r="ILO239" s="1"/>
      <c r="ILP239" s="1"/>
      <c r="ILQ239" s="1"/>
      <c r="ILR239" s="1"/>
      <c r="ILS239" s="1"/>
      <c r="ILT239" s="1"/>
      <c r="ILU239" s="1"/>
      <c r="ILV239" s="1"/>
      <c r="ILW239" s="1"/>
      <c r="ILX239" s="1"/>
      <c r="ILY239" s="1"/>
      <c r="ILZ239" s="1"/>
      <c r="IMA239" s="1"/>
      <c r="IMB239" s="1"/>
      <c r="IMC239" s="1"/>
      <c r="IMD239" s="1"/>
      <c r="IME239" s="1"/>
      <c r="IMF239" s="1"/>
      <c r="IMG239" s="1"/>
      <c r="IMH239" s="1"/>
      <c r="IMI239" s="1"/>
      <c r="IMJ239" s="1"/>
      <c r="IMK239" s="1"/>
      <c r="IML239" s="1"/>
      <c r="IMM239" s="1"/>
      <c r="IMN239" s="1"/>
      <c r="IMO239" s="1"/>
      <c r="IMP239" s="1"/>
      <c r="IMQ239" s="1"/>
      <c r="IMR239" s="1"/>
      <c r="IMS239" s="1"/>
      <c r="IMT239" s="1"/>
      <c r="IMU239" s="1"/>
      <c r="IMV239" s="1"/>
      <c r="IMW239" s="1"/>
      <c r="IMX239" s="1"/>
      <c r="IMY239" s="1"/>
      <c r="IMZ239" s="1"/>
      <c r="INA239" s="1"/>
      <c r="INB239" s="1"/>
      <c r="INC239" s="1"/>
      <c r="IND239" s="1"/>
      <c r="INE239" s="1"/>
      <c r="INF239" s="1"/>
      <c r="ING239" s="1"/>
      <c r="INH239" s="1"/>
      <c r="INI239" s="1"/>
      <c r="INJ239" s="1"/>
      <c r="INK239" s="1"/>
      <c r="INL239" s="1"/>
      <c r="INM239" s="1"/>
      <c r="INN239" s="1"/>
      <c r="INO239" s="1"/>
      <c r="INP239" s="1"/>
      <c r="INQ239" s="1"/>
      <c r="INR239" s="1"/>
      <c r="INS239" s="1"/>
      <c r="INT239" s="1"/>
      <c r="INU239" s="1"/>
      <c r="INV239" s="1"/>
      <c r="INW239" s="1"/>
      <c r="INX239" s="1"/>
      <c r="INY239" s="1"/>
      <c r="INZ239" s="1"/>
      <c r="IOA239" s="1"/>
      <c r="IOB239" s="1"/>
      <c r="IOC239" s="1"/>
      <c r="IOD239" s="1"/>
      <c r="IOE239" s="1"/>
      <c r="IOF239" s="1"/>
      <c r="IOG239" s="1"/>
      <c r="IOH239" s="1"/>
      <c r="IOI239" s="1"/>
      <c r="IOJ239" s="1"/>
      <c r="IOK239" s="1"/>
      <c r="IOL239" s="1"/>
      <c r="IOM239" s="1"/>
      <c r="ION239" s="1"/>
      <c r="IOO239" s="1"/>
      <c r="IOP239" s="1"/>
      <c r="IOQ239" s="1"/>
      <c r="IOR239" s="1"/>
      <c r="IOS239" s="1"/>
      <c r="IOT239" s="1"/>
      <c r="IOU239" s="1"/>
      <c r="IOV239" s="1"/>
      <c r="IOW239" s="1"/>
      <c r="IOX239" s="1"/>
      <c r="IOY239" s="1"/>
      <c r="IOZ239" s="1"/>
      <c r="IPA239" s="1"/>
      <c r="IPB239" s="1"/>
      <c r="IPC239" s="1"/>
      <c r="IPD239" s="1"/>
      <c r="IPE239" s="1"/>
      <c r="IPF239" s="1"/>
      <c r="IPG239" s="1"/>
      <c r="IPH239" s="1"/>
      <c r="IPI239" s="1"/>
      <c r="IPJ239" s="1"/>
      <c r="IPK239" s="1"/>
      <c r="IPL239" s="1"/>
      <c r="IPM239" s="1"/>
      <c r="IPN239" s="1"/>
      <c r="IPO239" s="1"/>
      <c r="IPP239" s="1"/>
      <c r="IPQ239" s="1"/>
      <c r="IPR239" s="1"/>
      <c r="IPS239" s="1"/>
      <c r="IPT239" s="1"/>
      <c r="IPU239" s="1"/>
      <c r="IPV239" s="1"/>
      <c r="IPW239" s="1"/>
      <c r="IPX239" s="1"/>
      <c r="IPY239" s="1"/>
      <c r="IPZ239" s="1"/>
      <c r="IQA239" s="1"/>
      <c r="IQB239" s="1"/>
      <c r="IQC239" s="1"/>
      <c r="IQD239" s="1"/>
      <c r="IQE239" s="1"/>
      <c r="IQF239" s="1"/>
      <c r="IQG239" s="1"/>
      <c r="IQH239" s="1"/>
      <c r="IQI239" s="1"/>
      <c r="IQJ239" s="1"/>
      <c r="IQK239" s="1"/>
      <c r="IQL239" s="1"/>
      <c r="IQM239" s="1"/>
      <c r="IQN239" s="1"/>
      <c r="IQO239" s="1"/>
      <c r="IQP239" s="1"/>
      <c r="IQQ239" s="1"/>
      <c r="IQR239" s="1"/>
      <c r="IQS239" s="1"/>
      <c r="IQT239" s="1"/>
      <c r="IQU239" s="1"/>
      <c r="IQV239" s="1"/>
      <c r="IQW239" s="1"/>
      <c r="IQX239" s="1"/>
      <c r="IQY239" s="1"/>
      <c r="IQZ239" s="1"/>
      <c r="IRA239" s="1"/>
      <c r="IRB239" s="1"/>
      <c r="IRC239" s="1"/>
      <c r="IRD239" s="1"/>
      <c r="IRE239" s="1"/>
      <c r="IRF239" s="1"/>
      <c r="IRG239" s="1"/>
      <c r="IRH239" s="1"/>
      <c r="IRI239" s="1"/>
      <c r="IRJ239" s="1"/>
      <c r="IRK239" s="1"/>
      <c r="IRL239" s="1"/>
      <c r="IRM239" s="1"/>
      <c r="IRN239" s="1"/>
      <c r="IRO239" s="1"/>
      <c r="IRP239" s="1"/>
      <c r="IRQ239" s="1"/>
      <c r="IRR239" s="1"/>
      <c r="IRS239" s="1"/>
      <c r="IRT239" s="1"/>
      <c r="IRU239" s="1"/>
      <c r="IRV239" s="1"/>
      <c r="IRW239" s="1"/>
      <c r="IRX239" s="1"/>
      <c r="IRY239" s="1"/>
      <c r="IRZ239" s="1"/>
      <c r="ISA239" s="1"/>
      <c r="ISB239" s="1"/>
      <c r="ISC239" s="1"/>
      <c r="ISD239" s="1"/>
      <c r="ISE239" s="1"/>
      <c r="ISF239" s="1"/>
      <c r="ISG239" s="1"/>
      <c r="ISH239" s="1"/>
      <c r="ISI239" s="1"/>
      <c r="ISJ239" s="1"/>
      <c r="ISK239" s="1"/>
      <c r="ISL239" s="1"/>
      <c r="ISM239" s="1"/>
      <c r="ISN239" s="1"/>
      <c r="ISO239" s="1"/>
      <c r="ISP239" s="1"/>
      <c r="ISQ239" s="1"/>
      <c r="ISR239" s="1"/>
      <c r="ISS239" s="1"/>
      <c r="IST239" s="1"/>
      <c r="ISU239" s="1"/>
      <c r="ISV239" s="1"/>
      <c r="ISW239" s="1"/>
      <c r="ISX239" s="1"/>
      <c r="ISY239" s="1"/>
      <c r="ISZ239" s="1"/>
      <c r="ITA239" s="1"/>
      <c r="ITB239" s="1"/>
      <c r="ITC239" s="1"/>
      <c r="ITD239" s="1"/>
      <c r="ITE239" s="1"/>
      <c r="ITF239" s="1"/>
      <c r="ITG239" s="1"/>
      <c r="ITH239" s="1"/>
      <c r="ITI239" s="1"/>
      <c r="ITJ239" s="1"/>
      <c r="ITK239" s="1"/>
      <c r="ITL239" s="1"/>
      <c r="ITM239" s="1"/>
      <c r="ITN239" s="1"/>
      <c r="ITO239" s="1"/>
      <c r="ITP239" s="1"/>
      <c r="ITQ239" s="1"/>
      <c r="ITR239" s="1"/>
      <c r="ITS239" s="1"/>
      <c r="ITT239" s="1"/>
      <c r="ITU239" s="1"/>
      <c r="ITV239" s="1"/>
      <c r="ITW239" s="1"/>
      <c r="ITX239" s="1"/>
      <c r="ITY239" s="1"/>
      <c r="ITZ239" s="1"/>
      <c r="IUA239" s="1"/>
      <c r="IUB239" s="1"/>
      <c r="IUC239" s="1"/>
      <c r="IUD239" s="1"/>
      <c r="IUE239" s="1"/>
      <c r="IUF239" s="1"/>
      <c r="IUG239" s="1"/>
      <c r="IUH239" s="1"/>
      <c r="IUI239" s="1"/>
      <c r="IUJ239" s="1"/>
      <c r="IUK239" s="1"/>
      <c r="IUL239" s="1"/>
      <c r="IUM239" s="1"/>
      <c r="IUN239" s="1"/>
      <c r="IUO239" s="1"/>
      <c r="IUP239" s="1"/>
      <c r="IUQ239" s="1"/>
      <c r="IUR239" s="1"/>
      <c r="IUS239" s="1"/>
      <c r="IUT239" s="1"/>
      <c r="IUU239" s="1"/>
      <c r="IUV239" s="1"/>
      <c r="IUW239" s="1"/>
      <c r="IUX239" s="1"/>
      <c r="IUY239" s="1"/>
      <c r="IUZ239" s="1"/>
      <c r="IVA239" s="1"/>
      <c r="IVB239" s="1"/>
      <c r="IVC239" s="1"/>
      <c r="IVD239" s="1"/>
      <c r="IVE239" s="1"/>
      <c r="IVF239" s="1"/>
      <c r="IVG239" s="1"/>
      <c r="IVH239" s="1"/>
      <c r="IVI239" s="1"/>
      <c r="IVJ239" s="1"/>
      <c r="IVK239" s="1"/>
      <c r="IVL239" s="1"/>
      <c r="IVM239" s="1"/>
      <c r="IVN239" s="1"/>
      <c r="IVO239" s="1"/>
      <c r="IVP239" s="1"/>
      <c r="IVQ239" s="1"/>
      <c r="IVR239" s="1"/>
      <c r="IVS239" s="1"/>
      <c r="IVT239" s="1"/>
      <c r="IVU239" s="1"/>
      <c r="IVV239" s="1"/>
      <c r="IVW239" s="1"/>
      <c r="IVX239" s="1"/>
      <c r="IVY239" s="1"/>
      <c r="IVZ239" s="1"/>
      <c r="IWA239" s="1"/>
      <c r="IWB239" s="1"/>
      <c r="IWC239" s="1"/>
      <c r="IWD239" s="1"/>
      <c r="IWE239" s="1"/>
      <c r="IWF239" s="1"/>
      <c r="IWG239" s="1"/>
      <c r="IWH239" s="1"/>
      <c r="IWI239" s="1"/>
      <c r="IWJ239" s="1"/>
      <c r="IWK239" s="1"/>
      <c r="IWL239" s="1"/>
      <c r="IWM239" s="1"/>
      <c r="IWN239" s="1"/>
      <c r="IWO239" s="1"/>
      <c r="IWP239" s="1"/>
      <c r="IWQ239" s="1"/>
      <c r="IWR239" s="1"/>
      <c r="IWS239" s="1"/>
      <c r="IWT239" s="1"/>
      <c r="IWU239" s="1"/>
      <c r="IWV239" s="1"/>
      <c r="IWW239" s="1"/>
      <c r="IWX239" s="1"/>
      <c r="IWY239" s="1"/>
      <c r="IWZ239" s="1"/>
      <c r="IXA239" s="1"/>
      <c r="IXB239" s="1"/>
      <c r="IXC239" s="1"/>
      <c r="IXD239" s="1"/>
      <c r="IXE239" s="1"/>
      <c r="IXF239" s="1"/>
      <c r="IXG239" s="1"/>
      <c r="IXH239" s="1"/>
      <c r="IXI239" s="1"/>
      <c r="IXJ239" s="1"/>
      <c r="IXK239" s="1"/>
      <c r="IXL239" s="1"/>
      <c r="IXM239" s="1"/>
      <c r="IXN239" s="1"/>
      <c r="IXO239" s="1"/>
      <c r="IXP239" s="1"/>
      <c r="IXQ239" s="1"/>
      <c r="IXR239" s="1"/>
      <c r="IXS239" s="1"/>
      <c r="IXT239" s="1"/>
      <c r="IXU239" s="1"/>
      <c r="IXV239" s="1"/>
      <c r="IXW239" s="1"/>
      <c r="IXX239" s="1"/>
      <c r="IXY239" s="1"/>
      <c r="IXZ239" s="1"/>
      <c r="IYA239" s="1"/>
      <c r="IYB239" s="1"/>
      <c r="IYC239" s="1"/>
      <c r="IYD239" s="1"/>
      <c r="IYE239" s="1"/>
      <c r="IYF239" s="1"/>
      <c r="IYG239" s="1"/>
      <c r="IYH239" s="1"/>
      <c r="IYI239" s="1"/>
      <c r="IYJ239" s="1"/>
      <c r="IYK239" s="1"/>
      <c r="IYL239" s="1"/>
      <c r="IYM239" s="1"/>
      <c r="IYN239" s="1"/>
      <c r="IYO239" s="1"/>
      <c r="IYP239" s="1"/>
      <c r="IYQ239" s="1"/>
      <c r="IYR239" s="1"/>
      <c r="IYS239" s="1"/>
      <c r="IYT239" s="1"/>
      <c r="IYU239" s="1"/>
      <c r="IYV239" s="1"/>
      <c r="IYW239" s="1"/>
      <c r="IYX239" s="1"/>
      <c r="IYY239" s="1"/>
      <c r="IYZ239" s="1"/>
      <c r="IZA239" s="1"/>
      <c r="IZB239" s="1"/>
      <c r="IZC239" s="1"/>
      <c r="IZD239" s="1"/>
      <c r="IZE239" s="1"/>
      <c r="IZF239" s="1"/>
      <c r="IZG239" s="1"/>
      <c r="IZH239" s="1"/>
      <c r="IZI239" s="1"/>
      <c r="IZJ239" s="1"/>
      <c r="IZK239" s="1"/>
      <c r="IZL239" s="1"/>
      <c r="IZM239" s="1"/>
      <c r="IZN239" s="1"/>
      <c r="IZO239" s="1"/>
      <c r="IZP239" s="1"/>
      <c r="IZQ239" s="1"/>
      <c r="IZR239" s="1"/>
      <c r="IZS239" s="1"/>
      <c r="IZT239" s="1"/>
      <c r="IZU239" s="1"/>
      <c r="IZV239" s="1"/>
      <c r="IZW239" s="1"/>
      <c r="IZX239" s="1"/>
      <c r="IZY239" s="1"/>
      <c r="IZZ239" s="1"/>
      <c r="JAA239" s="1"/>
      <c r="JAB239" s="1"/>
      <c r="JAC239" s="1"/>
      <c r="JAD239" s="1"/>
      <c r="JAE239" s="1"/>
      <c r="JAF239" s="1"/>
      <c r="JAG239" s="1"/>
      <c r="JAH239" s="1"/>
      <c r="JAI239" s="1"/>
      <c r="JAJ239" s="1"/>
      <c r="JAK239" s="1"/>
      <c r="JAL239" s="1"/>
      <c r="JAM239" s="1"/>
      <c r="JAN239" s="1"/>
      <c r="JAO239" s="1"/>
      <c r="JAP239" s="1"/>
      <c r="JAQ239" s="1"/>
      <c r="JAR239" s="1"/>
      <c r="JAS239" s="1"/>
      <c r="JAT239" s="1"/>
      <c r="JAU239" s="1"/>
      <c r="JAV239" s="1"/>
      <c r="JAW239" s="1"/>
      <c r="JAX239" s="1"/>
      <c r="JAY239" s="1"/>
      <c r="JAZ239" s="1"/>
      <c r="JBA239" s="1"/>
      <c r="JBB239" s="1"/>
      <c r="JBC239" s="1"/>
      <c r="JBD239" s="1"/>
      <c r="JBE239" s="1"/>
      <c r="JBF239" s="1"/>
      <c r="JBG239" s="1"/>
      <c r="JBH239" s="1"/>
      <c r="JBI239" s="1"/>
      <c r="JBJ239" s="1"/>
      <c r="JBK239" s="1"/>
      <c r="JBL239" s="1"/>
      <c r="JBM239" s="1"/>
      <c r="JBN239" s="1"/>
      <c r="JBO239" s="1"/>
      <c r="JBP239" s="1"/>
      <c r="JBQ239" s="1"/>
      <c r="JBR239" s="1"/>
      <c r="JBS239" s="1"/>
      <c r="JBT239" s="1"/>
      <c r="JBU239" s="1"/>
      <c r="JBV239" s="1"/>
      <c r="JBW239" s="1"/>
      <c r="JBX239" s="1"/>
      <c r="JBY239" s="1"/>
      <c r="JBZ239" s="1"/>
      <c r="JCA239" s="1"/>
      <c r="JCB239" s="1"/>
      <c r="JCC239" s="1"/>
      <c r="JCD239" s="1"/>
      <c r="JCE239" s="1"/>
      <c r="JCF239" s="1"/>
      <c r="JCG239" s="1"/>
      <c r="JCH239" s="1"/>
      <c r="JCI239" s="1"/>
      <c r="JCJ239" s="1"/>
      <c r="JCK239" s="1"/>
      <c r="JCL239" s="1"/>
      <c r="JCM239" s="1"/>
      <c r="JCN239" s="1"/>
      <c r="JCO239" s="1"/>
      <c r="JCP239" s="1"/>
      <c r="JCQ239" s="1"/>
      <c r="JCR239" s="1"/>
      <c r="JCS239" s="1"/>
      <c r="JCT239" s="1"/>
      <c r="JCU239" s="1"/>
      <c r="JCV239" s="1"/>
      <c r="JCW239" s="1"/>
      <c r="JCX239" s="1"/>
      <c r="JCY239" s="1"/>
      <c r="JCZ239" s="1"/>
      <c r="JDA239" s="1"/>
      <c r="JDB239" s="1"/>
      <c r="JDC239" s="1"/>
      <c r="JDD239" s="1"/>
      <c r="JDE239" s="1"/>
      <c r="JDF239" s="1"/>
      <c r="JDG239" s="1"/>
      <c r="JDH239" s="1"/>
      <c r="JDI239" s="1"/>
      <c r="JDJ239" s="1"/>
      <c r="JDK239" s="1"/>
      <c r="JDL239" s="1"/>
      <c r="JDM239" s="1"/>
      <c r="JDN239" s="1"/>
      <c r="JDO239" s="1"/>
      <c r="JDP239" s="1"/>
      <c r="JDQ239" s="1"/>
      <c r="JDR239" s="1"/>
      <c r="JDS239" s="1"/>
      <c r="JDT239" s="1"/>
      <c r="JDU239" s="1"/>
      <c r="JDV239" s="1"/>
      <c r="JDW239" s="1"/>
      <c r="JDX239" s="1"/>
      <c r="JDY239" s="1"/>
      <c r="JDZ239" s="1"/>
      <c r="JEA239" s="1"/>
      <c r="JEB239" s="1"/>
      <c r="JEC239" s="1"/>
      <c r="JED239" s="1"/>
      <c r="JEE239" s="1"/>
      <c r="JEF239" s="1"/>
      <c r="JEG239" s="1"/>
      <c r="JEH239" s="1"/>
      <c r="JEI239" s="1"/>
      <c r="JEJ239" s="1"/>
      <c r="JEK239" s="1"/>
      <c r="JEL239" s="1"/>
      <c r="JEM239" s="1"/>
      <c r="JEN239" s="1"/>
      <c r="JEO239" s="1"/>
      <c r="JEP239" s="1"/>
      <c r="JEQ239" s="1"/>
      <c r="JER239" s="1"/>
      <c r="JES239" s="1"/>
      <c r="JET239" s="1"/>
      <c r="JEU239" s="1"/>
      <c r="JEV239" s="1"/>
      <c r="JEW239" s="1"/>
      <c r="JEX239" s="1"/>
      <c r="JEY239" s="1"/>
      <c r="JEZ239" s="1"/>
      <c r="JFA239" s="1"/>
      <c r="JFB239" s="1"/>
      <c r="JFC239" s="1"/>
      <c r="JFD239" s="1"/>
      <c r="JFE239" s="1"/>
      <c r="JFF239" s="1"/>
      <c r="JFG239" s="1"/>
      <c r="JFH239" s="1"/>
      <c r="JFI239" s="1"/>
      <c r="JFJ239" s="1"/>
      <c r="JFK239" s="1"/>
      <c r="JFL239" s="1"/>
      <c r="JFM239" s="1"/>
      <c r="JFN239" s="1"/>
      <c r="JFO239" s="1"/>
      <c r="JFP239" s="1"/>
      <c r="JFQ239" s="1"/>
      <c r="JFR239" s="1"/>
      <c r="JFS239" s="1"/>
      <c r="JFT239" s="1"/>
      <c r="JFU239" s="1"/>
      <c r="JFV239" s="1"/>
      <c r="JFW239" s="1"/>
      <c r="JFX239" s="1"/>
      <c r="JFY239" s="1"/>
      <c r="JFZ239" s="1"/>
      <c r="JGA239" s="1"/>
      <c r="JGB239" s="1"/>
      <c r="JGC239" s="1"/>
      <c r="JGD239" s="1"/>
      <c r="JGE239" s="1"/>
      <c r="JGF239" s="1"/>
      <c r="JGG239" s="1"/>
      <c r="JGH239" s="1"/>
      <c r="JGI239" s="1"/>
      <c r="JGJ239" s="1"/>
      <c r="JGK239" s="1"/>
      <c r="JGL239" s="1"/>
      <c r="JGM239" s="1"/>
      <c r="JGN239" s="1"/>
      <c r="JGO239" s="1"/>
      <c r="JGP239" s="1"/>
      <c r="JGQ239" s="1"/>
      <c r="JGR239" s="1"/>
      <c r="JGS239" s="1"/>
      <c r="JGT239" s="1"/>
      <c r="JGU239" s="1"/>
      <c r="JGV239" s="1"/>
      <c r="JGW239" s="1"/>
      <c r="JGX239" s="1"/>
      <c r="JGY239" s="1"/>
      <c r="JGZ239" s="1"/>
      <c r="JHA239" s="1"/>
      <c r="JHB239" s="1"/>
      <c r="JHC239" s="1"/>
      <c r="JHD239" s="1"/>
      <c r="JHE239" s="1"/>
      <c r="JHF239" s="1"/>
      <c r="JHG239" s="1"/>
      <c r="JHH239" s="1"/>
      <c r="JHI239" s="1"/>
      <c r="JHJ239" s="1"/>
      <c r="JHK239" s="1"/>
      <c r="JHL239" s="1"/>
      <c r="JHM239" s="1"/>
      <c r="JHN239" s="1"/>
      <c r="JHO239" s="1"/>
      <c r="JHP239" s="1"/>
      <c r="JHQ239" s="1"/>
      <c r="JHR239" s="1"/>
      <c r="JHS239" s="1"/>
      <c r="JHT239" s="1"/>
      <c r="JHU239" s="1"/>
      <c r="JHV239" s="1"/>
      <c r="JHW239" s="1"/>
      <c r="JHX239" s="1"/>
      <c r="JHY239" s="1"/>
      <c r="JHZ239" s="1"/>
      <c r="JIA239" s="1"/>
      <c r="JIB239" s="1"/>
      <c r="JIC239" s="1"/>
      <c r="JID239" s="1"/>
      <c r="JIE239" s="1"/>
      <c r="JIF239" s="1"/>
      <c r="JIG239" s="1"/>
      <c r="JIH239" s="1"/>
      <c r="JII239" s="1"/>
      <c r="JIJ239" s="1"/>
      <c r="JIK239" s="1"/>
      <c r="JIL239" s="1"/>
      <c r="JIM239" s="1"/>
      <c r="JIN239" s="1"/>
      <c r="JIO239" s="1"/>
      <c r="JIP239" s="1"/>
      <c r="JIQ239" s="1"/>
      <c r="JIR239" s="1"/>
      <c r="JIS239" s="1"/>
      <c r="JIT239" s="1"/>
      <c r="JIU239" s="1"/>
      <c r="JIV239" s="1"/>
      <c r="JIW239" s="1"/>
      <c r="JIX239" s="1"/>
      <c r="JIY239" s="1"/>
      <c r="JIZ239" s="1"/>
      <c r="JJA239" s="1"/>
      <c r="JJB239" s="1"/>
      <c r="JJC239" s="1"/>
      <c r="JJD239" s="1"/>
      <c r="JJE239" s="1"/>
      <c r="JJF239" s="1"/>
      <c r="JJG239" s="1"/>
      <c r="JJH239" s="1"/>
      <c r="JJI239" s="1"/>
      <c r="JJJ239" s="1"/>
      <c r="JJK239" s="1"/>
      <c r="JJL239" s="1"/>
      <c r="JJM239" s="1"/>
      <c r="JJN239" s="1"/>
      <c r="JJO239" s="1"/>
      <c r="JJP239" s="1"/>
      <c r="JJQ239" s="1"/>
      <c r="JJR239" s="1"/>
      <c r="JJS239" s="1"/>
      <c r="JJT239" s="1"/>
      <c r="JJU239" s="1"/>
      <c r="JJV239" s="1"/>
      <c r="JJW239" s="1"/>
      <c r="JJX239" s="1"/>
      <c r="JJY239" s="1"/>
      <c r="JJZ239" s="1"/>
      <c r="JKA239" s="1"/>
      <c r="JKB239" s="1"/>
      <c r="JKC239" s="1"/>
      <c r="JKD239" s="1"/>
      <c r="JKE239" s="1"/>
      <c r="JKF239" s="1"/>
      <c r="JKG239" s="1"/>
      <c r="JKH239" s="1"/>
      <c r="JKI239" s="1"/>
      <c r="JKJ239" s="1"/>
      <c r="JKK239" s="1"/>
      <c r="JKL239" s="1"/>
      <c r="JKM239" s="1"/>
      <c r="JKN239" s="1"/>
      <c r="JKO239" s="1"/>
      <c r="JKP239" s="1"/>
      <c r="JKQ239" s="1"/>
      <c r="JKR239" s="1"/>
      <c r="JKS239" s="1"/>
      <c r="JKT239" s="1"/>
      <c r="JKU239" s="1"/>
      <c r="JKV239" s="1"/>
      <c r="JKW239" s="1"/>
      <c r="JKX239" s="1"/>
      <c r="JKY239" s="1"/>
      <c r="JKZ239" s="1"/>
      <c r="JLA239" s="1"/>
      <c r="JLB239" s="1"/>
      <c r="JLC239" s="1"/>
      <c r="JLD239" s="1"/>
      <c r="JLE239" s="1"/>
      <c r="JLF239" s="1"/>
      <c r="JLG239" s="1"/>
      <c r="JLH239" s="1"/>
      <c r="JLI239" s="1"/>
      <c r="JLJ239" s="1"/>
      <c r="JLK239" s="1"/>
      <c r="JLL239" s="1"/>
      <c r="JLM239" s="1"/>
      <c r="JLN239" s="1"/>
      <c r="JLO239" s="1"/>
      <c r="JLP239" s="1"/>
      <c r="JLQ239" s="1"/>
      <c r="JLR239" s="1"/>
      <c r="JLS239" s="1"/>
      <c r="JLT239" s="1"/>
      <c r="JLU239" s="1"/>
      <c r="JLV239" s="1"/>
      <c r="JLW239" s="1"/>
      <c r="JLX239" s="1"/>
      <c r="JLY239" s="1"/>
      <c r="JLZ239" s="1"/>
      <c r="JMA239" s="1"/>
      <c r="JMB239" s="1"/>
      <c r="JMC239" s="1"/>
      <c r="JMD239" s="1"/>
      <c r="JME239" s="1"/>
      <c r="JMF239" s="1"/>
      <c r="JMG239" s="1"/>
      <c r="JMH239" s="1"/>
      <c r="JMI239" s="1"/>
      <c r="JMJ239" s="1"/>
      <c r="JMK239" s="1"/>
      <c r="JML239" s="1"/>
      <c r="JMM239" s="1"/>
      <c r="JMN239" s="1"/>
      <c r="JMO239" s="1"/>
      <c r="JMP239" s="1"/>
      <c r="JMQ239" s="1"/>
      <c r="JMR239" s="1"/>
      <c r="JMS239" s="1"/>
      <c r="JMT239" s="1"/>
      <c r="JMU239" s="1"/>
      <c r="JMV239" s="1"/>
      <c r="JMW239" s="1"/>
      <c r="JMX239" s="1"/>
      <c r="JMY239" s="1"/>
      <c r="JMZ239" s="1"/>
      <c r="JNA239" s="1"/>
      <c r="JNB239" s="1"/>
      <c r="JNC239" s="1"/>
      <c r="JND239" s="1"/>
      <c r="JNE239" s="1"/>
      <c r="JNF239" s="1"/>
      <c r="JNG239" s="1"/>
      <c r="JNH239" s="1"/>
      <c r="JNI239" s="1"/>
      <c r="JNJ239" s="1"/>
      <c r="JNK239" s="1"/>
      <c r="JNL239" s="1"/>
      <c r="JNM239" s="1"/>
      <c r="JNN239" s="1"/>
      <c r="JNO239" s="1"/>
      <c r="JNP239" s="1"/>
      <c r="JNQ239" s="1"/>
      <c r="JNR239" s="1"/>
      <c r="JNS239" s="1"/>
      <c r="JNT239" s="1"/>
      <c r="JNU239" s="1"/>
      <c r="JNV239" s="1"/>
      <c r="JNW239" s="1"/>
      <c r="JNX239" s="1"/>
      <c r="JNY239" s="1"/>
      <c r="JNZ239" s="1"/>
      <c r="JOA239" s="1"/>
      <c r="JOB239" s="1"/>
      <c r="JOC239" s="1"/>
      <c r="JOD239" s="1"/>
      <c r="JOE239" s="1"/>
      <c r="JOF239" s="1"/>
      <c r="JOG239" s="1"/>
      <c r="JOH239" s="1"/>
      <c r="JOI239" s="1"/>
      <c r="JOJ239" s="1"/>
      <c r="JOK239" s="1"/>
      <c r="JOL239" s="1"/>
      <c r="JOM239" s="1"/>
      <c r="JON239" s="1"/>
      <c r="JOO239" s="1"/>
      <c r="JOP239" s="1"/>
      <c r="JOQ239" s="1"/>
      <c r="JOR239" s="1"/>
      <c r="JOS239" s="1"/>
      <c r="JOT239" s="1"/>
      <c r="JOU239" s="1"/>
      <c r="JOV239" s="1"/>
      <c r="JOW239" s="1"/>
      <c r="JOX239" s="1"/>
      <c r="JOY239" s="1"/>
      <c r="JOZ239" s="1"/>
      <c r="JPA239" s="1"/>
      <c r="JPB239" s="1"/>
      <c r="JPC239" s="1"/>
      <c r="JPD239" s="1"/>
      <c r="JPE239" s="1"/>
      <c r="JPF239" s="1"/>
      <c r="JPG239" s="1"/>
      <c r="JPH239" s="1"/>
      <c r="JPI239" s="1"/>
      <c r="JPJ239" s="1"/>
      <c r="JPK239" s="1"/>
      <c r="JPL239" s="1"/>
      <c r="JPM239" s="1"/>
      <c r="JPN239" s="1"/>
      <c r="JPO239" s="1"/>
      <c r="JPP239" s="1"/>
      <c r="JPQ239" s="1"/>
      <c r="JPR239" s="1"/>
      <c r="JPS239" s="1"/>
      <c r="JPT239" s="1"/>
      <c r="JPU239" s="1"/>
      <c r="JPV239" s="1"/>
      <c r="JPW239" s="1"/>
      <c r="JPX239" s="1"/>
      <c r="JPY239" s="1"/>
      <c r="JPZ239" s="1"/>
      <c r="JQA239" s="1"/>
      <c r="JQB239" s="1"/>
      <c r="JQC239" s="1"/>
      <c r="JQD239" s="1"/>
      <c r="JQE239" s="1"/>
      <c r="JQF239" s="1"/>
      <c r="JQG239" s="1"/>
      <c r="JQH239" s="1"/>
      <c r="JQI239" s="1"/>
      <c r="JQJ239" s="1"/>
      <c r="JQK239" s="1"/>
      <c r="JQL239" s="1"/>
      <c r="JQM239" s="1"/>
      <c r="JQN239" s="1"/>
      <c r="JQO239" s="1"/>
      <c r="JQP239" s="1"/>
      <c r="JQQ239" s="1"/>
      <c r="JQR239" s="1"/>
      <c r="JQS239" s="1"/>
      <c r="JQT239" s="1"/>
      <c r="JQU239" s="1"/>
      <c r="JQV239" s="1"/>
      <c r="JQW239" s="1"/>
      <c r="JQX239" s="1"/>
      <c r="JQY239" s="1"/>
      <c r="JQZ239" s="1"/>
      <c r="JRA239" s="1"/>
      <c r="JRB239" s="1"/>
      <c r="JRC239" s="1"/>
      <c r="JRD239" s="1"/>
      <c r="JRE239" s="1"/>
      <c r="JRF239" s="1"/>
      <c r="JRG239" s="1"/>
      <c r="JRH239" s="1"/>
      <c r="JRI239" s="1"/>
      <c r="JRJ239" s="1"/>
      <c r="JRK239" s="1"/>
      <c r="JRL239" s="1"/>
      <c r="JRM239" s="1"/>
      <c r="JRN239" s="1"/>
      <c r="JRO239" s="1"/>
      <c r="JRP239" s="1"/>
      <c r="JRQ239" s="1"/>
      <c r="JRR239" s="1"/>
      <c r="JRS239" s="1"/>
      <c r="JRT239" s="1"/>
      <c r="JRU239" s="1"/>
      <c r="JRV239" s="1"/>
      <c r="JRW239" s="1"/>
      <c r="JRX239" s="1"/>
      <c r="JRY239" s="1"/>
      <c r="JRZ239" s="1"/>
      <c r="JSA239" s="1"/>
      <c r="JSB239" s="1"/>
      <c r="JSC239" s="1"/>
      <c r="JSD239" s="1"/>
      <c r="JSE239" s="1"/>
      <c r="JSF239" s="1"/>
      <c r="JSG239" s="1"/>
      <c r="JSH239" s="1"/>
      <c r="JSI239" s="1"/>
      <c r="JSJ239" s="1"/>
      <c r="JSK239" s="1"/>
      <c r="JSL239" s="1"/>
      <c r="JSM239" s="1"/>
      <c r="JSN239" s="1"/>
      <c r="JSO239" s="1"/>
      <c r="JSP239" s="1"/>
      <c r="JSQ239" s="1"/>
      <c r="JSR239" s="1"/>
      <c r="JSS239" s="1"/>
      <c r="JST239" s="1"/>
      <c r="JSU239" s="1"/>
      <c r="JSV239" s="1"/>
      <c r="JSW239" s="1"/>
      <c r="JSX239" s="1"/>
      <c r="JSY239" s="1"/>
      <c r="JSZ239" s="1"/>
      <c r="JTA239" s="1"/>
      <c r="JTB239" s="1"/>
      <c r="JTC239" s="1"/>
      <c r="JTD239" s="1"/>
      <c r="JTE239" s="1"/>
      <c r="JTF239" s="1"/>
      <c r="JTG239" s="1"/>
      <c r="JTH239" s="1"/>
      <c r="JTI239" s="1"/>
      <c r="JTJ239" s="1"/>
      <c r="JTK239" s="1"/>
      <c r="JTL239" s="1"/>
      <c r="JTM239" s="1"/>
      <c r="JTN239" s="1"/>
      <c r="JTO239" s="1"/>
      <c r="JTP239" s="1"/>
      <c r="JTQ239" s="1"/>
      <c r="JTR239" s="1"/>
      <c r="JTS239" s="1"/>
      <c r="JTT239" s="1"/>
      <c r="JTU239" s="1"/>
      <c r="JTV239" s="1"/>
      <c r="JTW239" s="1"/>
      <c r="JTX239" s="1"/>
      <c r="JTY239" s="1"/>
      <c r="JTZ239" s="1"/>
      <c r="JUA239" s="1"/>
      <c r="JUB239" s="1"/>
      <c r="JUC239" s="1"/>
      <c r="JUD239" s="1"/>
      <c r="JUE239" s="1"/>
      <c r="JUF239" s="1"/>
      <c r="JUG239" s="1"/>
      <c r="JUH239" s="1"/>
      <c r="JUI239" s="1"/>
      <c r="JUJ239" s="1"/>
      <c r="JUK239" s="1"/>
      <c r="JUL239" s="1"/>
      <c r="JUM239" s="1"/>
      <c r="JUN239" s="1"/>
      <c r="JUO239" s="1"/>
      <c r="JUP239" s="1"/>
      <c r="JUQ239" s="1"/>
      <c r="JUR239" s="1"/>
      <c r="JUS239" s="1"/>
      <c r="JUT239" s="1"/>
      <c r="JUU239" s="1"/>
      <c r="JUV239" s="1"/>
      <c r="JUW239" s="1"/>
      <c r="JUX239" s="1"/>
      <c r="JUY239" s="1"/>
      <c r="JUZ239" s="1"/>
      <c r="JVA239" s="1"/>
      <c r="JVB239" s="1"/>
      <c r="JVC239" s="1"/>
      <c r="JVD239" s="1"/>
      <c r="JVE239" s="1"/>
      <c r="JVF239" s="1"/>
      <c r="JVG239" s="1"/>
      <c r="JVH239" s="1"/>
      <c r="JVI239" s="1"/>
      <c r="JVJ239" s="1"/>
      <c r="JVK239" s="1"/>
      <c r="JVL239" s="1"/>
      <c r="JVM239" s="1"/>
      <c r="JVN239" s="1"/>
      <c r="JVO239" s="1"/>
      <c r="JVP239" s="1"/>
      <c r="JVQ239" s="1"/>
      <c r="JVR239" s="1"/>
      <c r="JVS239" s="1"/>
      <c r="JVT239" s="1"/>
      <c r="JVU239" s="1"/>
      <c r="JVV239" s="1"/>
      <c r="JVW239" s="1"/>
      <c r="JVX239" s="1"/>
      <c r="JVY239" s="1"/>
      <c r="JVZ239" s="1"/>
      <c r="JWA239" s="1"/>
      <c r="JWB239" s="1"/>
      <c r="JWC239" s="1"/>
      <c r="JWD239" s="1"/>
      <c r="JWE239" s="1"/>
      <c r="JWF239" s="1"/>
      <c r="JWG239" s="1"/>
      <c r="JWH239" s="1"/>
      <c r="JWI239" s="1"/>
      <c r="JWJ239" s="1"/>
      <c r="JWK239" s="1"/>
      <c r="JWL239" s="1"/>
      <c r="JWM239" s="1"/>
      <c r="JWN239" s="1"/>
      <c r="JWO239" s="1"/>
      <c r="JWP239" s="1"/>
      <c r="JWQ239" s="1"/>
      <c r="JWR239" s="1"/>
      <c r="JWS239" s="1"/>
      <c r="JWT239" s="1"/>
      <c r="JWU239" s="1"/>
      <c r="JWV239" s="1"/>
      <c r="JWW239" s="1"/>
      <c r="JWX239" s="1"/>
      <c r="JWY239" s="1"/>
      <c r="JWZ239" s="1"/>
      <c r="JXA239" s="1"/>
      <c r="JXB239" s="1"/>
      <c r="JXC239" s="1"/>
      <c r="JXD239" s="1"/>
      <c r="JXE239" s="1"/>
      <c r="JXF239" s="1"/>
      <c r="JXG239" s="1"/>
      <c r="JXH239" s="1"/>
      <c r="JXI239" s="1"/>
      <c r="JXJ239" s="1"/>
      <c r="JXK239" s="1"/>
      <c r="JXL239" s="1"/>
      <c r="JXM239" s="1"/>
      <c r="JXN239" s="1"/>
      <c r="JXO239" s="1"/>
      <c r="JXP239" s="1"/>
      <c r="JXQ239" s="1"/>
      <c r="JXR239" s="1"/>
      <c r="JXS239" s="1"/>
      <c r="JXT239" s="1"/>
      <c r="JXU239" s="1"/>
      <c r="JXV239" s="1"/>
      <c r="JXW239" s="1"/>
      <c r="JXX239" s="1"/>
      <c r="JXY239" s="1"/>
      <c r="JXZ239" s="1"/>
      <c r="JYA239" s="1"/>
      <c r="JYB239" s="1"/>
      <c r="JYC239" s="1"/>
      <c r="JYD239" s="1"/>
      <c r="JYE239" s="1"/>
      <c r="JYF239" s="1"/>
      <c r="JYG239" s="1"/>
      <c r="JYH239" s="1"/>
      <c r="JYI239" s="1"/>
      <c r="JYJ239" s="1"/>
      <c r="JYK239" s="1"/>
      <c r="JYL239" s="1"/>
      <c r="JYM239" s="1"/>
      <c r="JYN239" s="1"/>
      <c r="JYO239" s="1"/>
      <c r="JYP239" s="1"/>
      <c r="JYQ239" s="1"/>
      <c r="JYR239" s="1"/>
      <c r="JYS239" s="1"/>
      <c r="JYT239" s="1"/>
      <c r="JYU239" s="1"/>
      <c r="JYV239" s="1"/>
      <c r="JYW239" s="1"/>
      <c r="JYX239" s="1"/>
      <c r="JYY239" s="1"/>
      <c r="JYZ239" s="1"/>
      <c r="JZA239" s="1"/>
      <c r="JZB239" s="1"/>
      <c r="JZC239" s="1"/>
      <c r="JZD239" s="1"/>
      <c r="JZE239" s="1"/>
      <c r="JZF239" s="1"/>
      <c r="JZG239" s="1"/>
      <c r="JZH239" s="1"/>
      <c r="JZI239" s="1"/>
      <c r="JZJ239" s="1"/>
      <c r="JZK239" s="1"/>
      <c r="JZL239" s="1"/>
      <c r="JZM239" s="1"/>
      <c r="JZN239" s="1"/>
      <c r="JZO239" s="1"/>
      <c r="JZP239" s="1"/>
      <c r="JZQ239" s="1"/>
      <c r="JZR239" s="1"/>
      <c r="JZS239" s="1"/>
      <c r="JZT239" s="1"/>
      <c r="JZU239" s="1"/>
      <c r="JZV239" s="1"/>
      <c r="JZW239" s="1"/>
      <c r="JZX239" s="1"/>
      <c r="JZY239" s="1"/>
      <c r="JZZ239" s="1"/>
      <c r="KAA239" s="1"/>
      <c r="KAB239" s="1"/>
      <c r="KAC239" s="1"/>
      <c r="KAD239" s="1"/>
      <c r="KAE239" s="1"/>
      <c r="KAF239" s="1"/>
      <c r="KAG239" s="1"/>
      <c r="KAH239" s="1"/>
      <c r="KAI239" s="1"/>
      <c r="KAJ239" s="1"/>
      <c r="KAK239" s="1"/>
      <c r="KAL239" s="1"/>
      <c r="KAM239" s="1"/>
      <c r="KAN239" s="1"/>
      <c r="KAO239" s="1"/>
      <c r="KAP239" s="1"/>
      <c r="KAQ239" s="1"/>
      <c r="KAR239" s="1"/>
      <c r="KAS239" s="1"/>
      <c r="KAT239" s="1"/>
      <c r="KAU239" s="1"/>
      <c r="KAV239" s="1"/>
      <c r="KAW239" s="1"/>
      <c r="KAX239" s="1"/>
      <c r="KAY239" s="1"/>
      <c r="KAZ239" s="1"/>
      <c r="KBA239" s="1"/>
      <c r="KBB239" s="1"/>
      <c r="KBC239" s="1"/>
      <c r="KBD239" s="1"/>
      <c r="KBE239" s="1"/>
      <c r="KBF239" s="1"/>
      <c r="KBG239" s="1"/>
      <c r="KBH239" s="1"/>
      <c r="KBI239" s="1"/>
      <c r="KBJ239" s="1"/>
      <c r="KBK239" s="1"/>
      <c r="KBL239" s="1"/>
      <c r="KBM239" s="1"/>
      <c r="KBN239" s="1"/>
      <c r="KBO239" s="1"/>
      <c r="KBP239" s="1"/>
      <c r="KBQ239" s="1"/>
      <c r="KBR239" s="1"/>
      <c r="KBS239" s="1"/>
      <c r="KBT239" s="1"/>
      <c r="KBU239" s="1"/>
      <c r="KBV239" s="1"/>
      <c r="KBW239" s="1"/>
      <c r="KBX239" s="1"/>
      <c r="KBY239" s="1"/>
      <c r="KBZ239" s="1"/>
      <c r="KCA239" s="1"/>
      <c r="KCB239" s="1"/>
      <c r="KCC239" s="1"/>
      <c r="KCD239" s="1"/>
      <c r="KCE239" s="1"/>
      <c r="KCF239" s="1"/>
      <c r="KCG239" s="1"/>
      <c r="KCH239" s="1"/>
      <c r="KCI239" s="1"/>
      <c r="KCJ239" s="1"/>
      <c r="KCK239" s="1"/>
      <c r="KCL239" s="1"/>
      <c r="KCM239" s="1"/>
      <c r="KCN239" s="1"/>
      <c r="KCO239" s="1"/>
      <c r="KCP239" s="1"/>
      <c r="KCQ239" s="1"/>
      <c r="KCR239" s="1"/>
      <c r="KCS239" s="1"/>
      <c r="KCT239" s="1"/>
      <c r="KCU239" s="1"/>
      <c r="KCV239" s="1"/>
      <c r="KCW239" s="1"/>
      <c r="KCX239" s="1"/>
      <c r="KCY239" s="1"/>
      <c r="KCZ239" s="1"/>
      <c r="KDA239" s="1"/>
      <c r="KDB239" s="1"/>
      <c r="KDC239" s="1"/>
      <c r="KDD239" s="1"/>
      <c r="KDE239" s="1"/>
      <c r="KDF239" s="1"/>
      <c r="KDG239" s="1"/>
      <c r="KDH239" s="1"/>
      <c r="KDI239" s="1"/>
      <c r="KDJ239" s="1"/>
      <c r="KDK239" s="1"/>
      <c r="KDL239" s="1"/>
      <c r="KDM239" s="1"/>
      <c r="KDN239" s="1"/>
      <c r="KDO239" s="1"/>
      <c r="KDP239" s="1"/>
      <c r="KDQ239" s="1"/>
      <c r="KDR239" s="1"/>
      <c r="KDS239" s="1"/>
      <c r="KDT239" s="1"/>
      <c r="KDU239" s="1"/>
      <c r="KDV239" s="1"/>
      <c r="KDW239" s="1"/>
      <c r="KDX239" s="1"/>
      <c r="KDY239" s="1"/>
      <c r="KDZ239" s="1"/>
      <c r="KEA239" s="1"/>
      <c r="KEB239" s="1"/>
      <c r="KEC239" s="1"/>
      <c r="KED239" s="1"/>
      <c r="KEE239" s="1"/>
      <c r="KEF239" s="1"/>
      <c r="KEG239" s="1"/>
      <c r="KEH239" s="1"/>
      <c r="KEI239" s="1"/>
      <c r="KEJ239" s="1"/>
      <c r="KEK239" s="1"/>
      <c r="KEL239" s="1"/>
      <c r="KEM239" s="1"/>
      <c r="KEN239" s="1"/>
      <c r="KEO239" s="1"/>
      <c r="KEP239" s="1"/>
      <c r="KEQ239" s="1"/>
      <c r="KER239" s="1"/>
      <c r="KES239" s="1"/>
      <c r="KET239" s="1"/>
      <c r="KEU239" s="1"/>
      <c r="KEV239" s="1"/>
      <c r="KEW239" s="1"/>
      <c r="KEX239" s="1"/>
      <c r="KEY239" s="1"/>
      <c r="KEZ239" s="1"/>
      <c r="KFA239" s="1"/>
      <c r="KFB239" s="1"/>
      <c r="KFC239" s="1"/>
      <c r="KFD239" s="1"/>
      <c r="KFE239" s="1"/>
      <c r="KFF239" s="1"/>
      <c r="KFG239" s="1"/>
      <c r="KFH239" s="1"/>
      <c r="KFI239" s="1"/>
      <c r="KFJ239" s="1"/>
      <c r="KFK239" s="1"/>
      <c r="KFL239" s="1"/>
      <c r="KFM239" s="1"/>
      <c r="KFN239" s="1"/>
      <c r="KFO239" s="1"/>
      <c r="KFP239" s="1"/>
      <c r="KFQ239" s="1"/>
      <c r="KFR239" s="1"/>
      <c r="KFS239" s="1"/>
      <c r="KFT239" s="1"/>
      <c r="KFU239" s="1"/>
      <c r="KFV239" s="1"/>
      <c r="KFW239" s="1"/>
      <c r="KFX239" s="1"/>
      <c r="KFY239" s="1"/>
      <c r="KFZ239" s="1"/>
      <c r="KGA239" s="1"/>
      <c r="KGB239" s="1"/>
      <c r="KGC239" s="1"/>
      <c r="KGD239" s="1"/>
      <c r="KGE239" s="1"/>
      <c r="KGF239" s="1"/>
      <c r="KGG239" s="1"/>
      <c r="KGH239" s="1"/>
      <c r="KGI239" s="1"/>
      <c r="KGJ239" s="1"/>
      <c r="KGK239" s="1"/>
      <c r="KGL239" s="1"/>
      <c r="KGM239" s="1"/>
      <c r="KGN239" s="1"/>
      <c r="KGO239" s="1"/>
      <c r="KGP239" s="1"/>
      <c r="KGQ239" s="1"/>
      <c r="KGR239" s="1"/>
      <c r="KGS239" s="1"/>
      <c r="KGT239" s="1"/>
      <c r="KGU239" s="1"/>
      <c r="KGV239" s="1"/>
      <c r="KGW239" s="1"/>
      <c r="KGX239" s="1"/>
      <c r="KGY239" s="1"/>
      <c r="KGZ239" s="1"/>
      <c r="KHA239" s="1"/>
      <c r="KHB239" s="1"/>
      <c r="KHC239" s="1"/>
      <c r="KHD239" s="1"/>
      <c r="KHE239" s="1"/>
      <c r="KHF239" s="1"/>
      <c r="KHG239" s="1"/>
      <c r="KHH239" s="1"/>
      <c r="KHI239" s="1"/>
      <c r="KHJ239" s="1"/>
      <c r="KHK239" s="1"/>
      <c r="KHL239" s="1"/>
      <c r="KHM239" s="1"/>
      <c r="KHN239" s="1"/>
      <c r="KHO239" s="1"/>
      <c r="KHP239" s="1"/>
      <c r="KHQ239" s="1"/>
      <c r="KHR239" s="1"/>
      <c r="KHS239" s="1"/>
      <c r="KHT239" s="1"/>
      <c r="KHU239" s="1"/>
      <c r="KHV239" s="1"/>
      <c r="KHW239" s="1"/>
      <c r="KHX239" s="1"/>
      <c r="KHY239" s="1"/>
      <c r="KHZ239" s="1"/>
      <c r="KIA239" s="1"/>
      <c r="KIB239" s="1"/>
      <c r="KIC239" s="1"/>
      <c r="KID239" s="1"/>
      <c r="KIE239" s="1"/>
      <c r="KIF239" s="1"/>
      <c r="KIG239" s="1"/>
      <c r="KIH239" s="1"/>
      <c r="KII239" s="1"/>
      <c r="KIJ239" s="1"/>
      <c r="KIK239" s="1"/>
      <c r="KIL239" s="1"/>
      <c r="KIM239" s="1"/>
      <c r="KIN239" s="1"/>
      <c r="KIO239" s="1"/>
      <c r="KIP239" s="1"/>
      <c r="KIQ239" s="1"/>
      <c r="KIR239" s="1"/>
      <c r="KIS239" s="1"/>
      <c r="KIT239" s="1"/>
      <c r="KIU239" s="1"/>
      <c r="KIV239" s="1"/>
      <c r="KIW239" s="1"/>
      <c r="KIX239" s="1"/>
      <c r="KIY239" s="1"/>
      <c r="KIZ239" s="1"/>
      <c r="KJA239" s="1"/>
      <c r="KJB239" s="1"/>
      <c r="KJC239" s="1"/>
      <c r="KJD239" s="1"/>
      <c r="KJE239" s="1"/>
      <c r="KJF239" s="1"/>
      <c r="KJG239" s="1"/>
      <c r="KJH239" s="1"/>
      <c r="KJI239" s="1"/>
      <c r="KJJ239" s="1"/>
      <c r="KJK239" s="1"/>
      <c r="KJL239" s="1"/>
      <c r="KJM239" s="1"/>
      <c r="KJN239" s="1"/>
      <c r="KJO239" s="1"/>
      <c r="KJP239" s="1"/>
      <c r="KJQ239" s="1"/>
      <c r="KJR239" s="1"/>
      <c r="KJS239" s="1"/>
      <c r="KJT239" s="1"/>
      <c r="KJU239" s="1"/>
      <c r="KJV239" s="1"/>
      <c r="KJW239" s="1"/>
      <c r="KJX239" s="1"/>
      <c r="KJY239" s="1"/>
      <c r="KJZ239" s="1"/>
      <c r="KKA239" s="1"/>
      <c r="KKB239" s="1"/>
      <c r="KKC239" s="1"/>
      <c r="KKD239" s="1"/>
      <c r="KKE239" s="1"/>
      <c r="KKF239" s="1"/>
      <c r="KKG239" s="1"/>
      <c r="KKH239" s="1"/>
      <c r="KKI239" s="1"/>
      <c r="KKJ239" s="1"/>
      <c r="KKK239" s="1"/>
      <c r="KKL239" s="1"/>
      <c r="KKM239" s="1"/>
      <c r="KKN239" s="1"/>
      <c r="KKO239" s="1"/>
      <c r="KKP239" s="1"/>
      <c r="KKQ239" s="1"/>
      <c r="KKR239" s="1"/>
      <c r="KKS239" s="1"/>
      <c r="KKT239" s="1"/>
      <c r="KKU239" s="1"/>
      <c r="KKV239" s="1"/>
      <c r="KKW239" s="1"/>
      <c r="KKX239" s="1"/>
      <c r="KKY239" s="1"/>
      <c r="KKZ239" s="1"/>
      <c r="KLA239" s="1"/>
      <c r="KLB239" s="1"/>
      <c r="KLC239" s="1"/>
      <c r="KLD239" s="1"/>
      <c r="KLE239" s="1"/>
      <c r="KLF239" s="1"/>
      <c r="KLG239" s="1"/>
      <c r="KLH239" s="1"/>
      <c r="KLI239" s="1"/>
      <c r="KLJ239" s="1"/>
      <c r="KLK239" s="1"/>
      <c r="KLL239" s="1"/>
      <c r="KLM239" s="1"/>
      <c r="KLN239" s="1"/>
      <c r="KLO239" s="1"/>
      <c r="KLP239" s="1"/>
      <c r="KLQ239" s="1"/>
      <c r="KLR239" s="1"/>
      <c r="KLS239" s="1"/>
      <c r="KLT239" s="1"/>
      <c r="KLU239" s="1"/>
      <c r="KLV239" s="1"/>
      <c r="KLW239" s="1"/>
      <c r="KLX239" s="1"/>
      <c r="KLY239" s="1"/>
      <c r="KLZ239" s="1"/>
      <c r="KMA239" s="1"/>
      <c r="KMB239" s="1"/>
      <c r="KMC239" s="1"/>
      <c r="KMD239" s="1"/>
      <c r="KME239" s="1"/>
      <c r="KMF239" s="1"/>
      <c r="KMG239" s="1"/>
      <c r="KMH239" s="1"/>
      <c r="KMI239" s="1"/>
      <c r="KMJ239" s="1"/>
      <c r="KMK239" s="1"/>
      <c r="KML239" s="1"/>
      <c r="KMM239" s="1"/>
      <c r="KMN239" s="1"/>
      <c r="KMO239" s="1"/>
      <c r="KMP239" s="1"/>
      <c r="KMQ239" s="1"/>
      <c r="KMR239" s="1"/>
      <c r="KMS239" s="1"/>
      <c r="KMT239" s="1"/>
      <c r="KMU239" s="1"/>
      <c r="KMV239" s="1"/>
      <c r="KMW239" s="1"/>
      <c r="KMX239" s="1"/>
      <c r="KMY239" s="1"/>
      <c r="KMZ239" s="1"/>
      <c r="KNA239" s="1"/>
      <c r="KNB239" s="1"/>
      <c r="KNC239" s="1"/>
      <c r="KND239" s="1"/>
      <c r="KNE239" s="1"/>
      <c r="KNF239" s="1"/>
      <c r="KNG239" s="1"/>
      <c r="KNH239" s="1"/>
      <c r="KNI239" s="1"/>
      <c r="KNJ239" s="1"/>
      <c r="KNK239" s="1"/>
      <c r="KNL239" s="1"/>
      <c r="KNM239" s="1"/>
      <c r="KNN239" s="1"/>
      <c r="KNO239" s="1"/>
      <c r="KNP239" s="1"/>
      <c r="KNQ239" s="1"/>
      <c r="KNR239" s="1"/>
      <c r="KNS239" s="1"/>
      <c r="KNT239" s="1"/>
      <c r="KNU239" s="1"/>
      <c r="KNV239" s="1"/>
      <c r="KNW239" s="1"/>
      <c r="KNX239" s="1"/>
      <c r="KNY239" s="1"/>
      <c r="KNZ239" s="1"/>
      <c r="KOA239" s="1"/>
      <c r="KOB239" s="1"/>
      <c r="KOC239" s="1"/>
      <c r="KOD239" s="1"/>
      <c r="KOE239" s="1"/>
      <c r="KOF239" s="1"/>
      <c r="KOG239" s="1"/>
      <c r="KOH239" s="1"/>
      <c r="KOI239" s="1"/>
      <c r="KOJ239" s="1"/>
      <c r="KOK239" s="1"/>
      <c r="KOL239" s="1"/>
      <c r="KOM239" s="1"/>
      <c r="KON239" s="1"/>
      <c r="KOO239" s="1"/>
      <c r="KOP239" s="1"/>
      <c r="KOQ239" s="1"/>
      <c r="KOR239" s="1"/>
      <c r="KOS239" s="1"/>
      <c r="KOT239" s="1"/>
      <c r="KOU239" s="1"/>
      <c r="KOV239" s="1"/>
      <c r="KOW239" s="1"/>
      <c r="KOX239" s="1"/>
      <c r="KOY239" s="1"/>
      <c r="KOZ239" s="1"/>
      <c r="KPA239" s="1"/>
      <c r="KPB239" s="1"/>
      <c r="KPC239" s="1"/>
      <c r="KPD239" s="1"/>
      <c r="KPE239" s="1"/>
      <c r="KPF239" s="1"/>
      <c r="KPG239" s="1"/>
      <c r="KPH239" s="1"/>
      <c r="KPI239" s="1"/>
      <c r="KPJ239" s="1"/>
      <c r="KPK239" s="1"/>
      <c r="KPL239" s="1"/>
      <c r="KPM239" s="1"/>
      <c r="KPN239" s="1"/>
      <c r="KPO239" s="1"/>
      <c r="KPP239" s="1"/>
      <c r="KPQ239" s="1"/>
      <c r="KPR239" s="1"/>
      <c r="KPS239" s="1"/>
      <c r="KPT239" s="1"/>
      <c r="KPU239" s="1"/>
      <c r="KPV239" s="1"/>
      <c r="KPW239" s="1"/>
      <c r="KPX239" s="1"/>
      <c r="KPY239" s="1"/>
      <c r="KPZ239" s="1"/>
      <c r="KQA239" s="1"/>
      <c r="KQB239" s="1"/>
      <c r="KQC239" s="1"/>
      <c r="KQD239" s="1"/>
      <c r="KQE239" s="1"/>
      <c r="KQF239" s="1"/>
      <c r="KQG239" s="1"/>
      <c r="KQH239" s="1"/>
      <c r="KQI239" s="1"/>
      <c r="KQJ239" s="1"/>
      <c r="KQK239" s="1"/>
      <c r="KQL239" s="1"/>
      <c r="KQM239" s="1"/>
      <c r="KQN239" s="1"/>
      <c r="KQO239" s="1"/>
      <c r="KQP239" s="1"/>
      <c r="KQQ239" s="1"/>
      <c r="KQR239" s="1"/>
      <c r="KQS239" s="1"/>
      <c r="KQT239" s="1"/>
      <c r="KQU239" s="1"/>
      <c r="KQV239" s="1"/>
      <c r="KQW239" s="1"/>
      <c r="KQX239" s="1"/>
      <c r="KQY239" s="1"/>
      <c r="KQZ239" s="1"/>
      <c r="KRA239" s="1"/>
      <c r="KRB239" s="1"/>
      <c r="KRC239" s="1"/>
      <c r="KRD239" s="1"/>
      <c r="KRE239" s="1"/>
      <c r="KRF239" s="1"/>
      <c r="KRG239" s="1"/>
      <c r="KRH239" s="1"/>
      <c r="KRI239" s="1"/>
      <c r="KRJ239" s="1"/>
      <c r="KRK239" s="1"/>
      <c r="KRL239" s="1"/>
      <c r="KRM239" s="1"/>
      <c r="KRN239" s="1"/>
      <c r="KRO239" s="1"/>
      <c r="KRP239" s="1"/>
      <c r="KRQ239" s="1"/>
      <c r="KRR239" s="1"/>
      <c r="KRS239" s="1"/>
      <c r="KRT239" s="1"/>
      <c r="KRU239" s="1"/>
      <c r="KRV239" s="1"/>
      <c r="KRW239" s="1"/>
      <c r="KRX239" s="1"/>
      <c r="KRY239" s="1"/>
      <c r="KRZ239" s="1"/>
      <c r="KSA239" s="1"/>
      <c r="KSB239" s="1"/>
      <c r="KSC239" s="1"/>
      <c r="KSD239" s="1"/>
      <c r="KSE239" s="1"/>
      <c r="KSF239" s="1"/>
      <c r="KSG239" s="1"/>
      <c r="KSH239" s="1"/>
      <c r="KSI239" s="1"/>
      <c r="KSJ239" s="1"/>
      <c r="KSK239" s="1"/>
      <c r="KSL239" s="1"/>
      <c r="KSM239" s="1"/>
      <c r="KSN239" s="1"/>
      <c r="KSO239" s="1"/>
      <c r="KSP239" s="1"/>
      <c r="KSQ239" s="1"/>
      <c r="KSR239" s="1"/>
      <c r="KSS239" s="1"/>
      <c r="KST239" s="1"/>
      <c r="KSU239" s="1"/>
      <c r="KSV239" s="1"/>
      <c r="KSW239" s="1"/>
      <c r="KSX239" s="1"/>
      <c r="KSY239" s="1"/>
      <c r="KSZ239" s="1"/>
      <c r="KTA239" s="1"/>
      <c r="KTB239" s="1"/>
      <c r="KTC239" s="1"/>
      <c r="KTD239" s="1"/>
      <c r="KTE239" s="1"/>
      <c r="KTF239" s="1"/>
      <c r="KTG239" s="1"/>
      <c r="KTH239" s="1"/>
      <c r="KTI239" s="1"/>
      <c r="KTJ239" s="1"/>
      <c r="KTK239" s="1"/>
      <c r="KTL239" s="1"/>
      <c r="KTM239" s="1"/>
      <c r="KTN239" s="1"/>
      <c r="KTO239" s="1"/>
      <c r="KTP239" s="1"/>
      <c r="KTQ239" s="1"/>
      <c r="KTR239" s="1"/>
      <c r="KTS239" s="1"/>
      <c r="KTT239" s="1"/>
      <c r="KTU239" s="1"/>
      <c r="KTV239" s="1"/>
      <c r="KTW239" s="1"/>
      <c r="KTX239" s="1"/>
      <c r="KTY239" s="1"/>
      <c r="KTZ239" s="1"/>
      <c r="KUA239" s="1"/>
      <c r="KUB239" s="1"/>
      <c r="KUC239" s="1"/>
      <c r="KUD239" s="1"/>
      <c r="KUE239" s="1"/>
      <c r="KUF239" s="1"/>
      <c r="KUG239" s="1"/>
      <c r="KUH239" s="1"/>
      <c r="KUI239" s="1"/>
      <c r="KUJ239" s="1"/>
      <c r="KUK239" s="1"/>
      <c r="KUL239" s="1"/>
      <c r="KUM239" s="1"/>
      <c r="KUN239" s="1"/>
      <c r="KUO239" s="1"/>
      <c r="KUP239" s="1"/>
      <c r="KUQ239" s="1"/>
      <c r="KUR239" s="1"/>
      <c r="KUS239" s="1"/>
      <c r="KUT239" s="1"/>
      <c r="KUU239" s="1"/>
      <c r="KUV239" s="1"/>
      <c r="KUW239" s="1"/>
      <c r="KUX239" s="1"/>
      <c r="KUY239" s="1"/>
      <c r="KUZ239" s="1"/>
      <c r="KVA239" s="1"/>
      <c r="KVB239" s="1"/>
      <c r="KVC239" s="1"/>
      <c r="KVD239" s="1"/>
      <c r="KVE239" s="1"/>
      <c r="KVF239" s="1"/>
      <c r="KVG239" s="1"/>
      <c r="KVH239" s="1"/>
      <c r="KVI239" s="1"/>
      <c r="KVJ239" s="1"/>
      <c r="KVK239" s="1"/>
      <c r="KVL239" s="1"/>
      <c r="KVM239" s="1"/>
      <c r="KVN239" s="1"/>
      <c r="KVO239" s="1"/>
      <c r="KVP239" s="1"/>
      <c r="KVQ239" s="1"/>
      <c r="KVR239" s="1"/>
      <c r="KVS239" s="1"/>
      <c r="KVT239" s="1"/>
      <c r="KVU239" s="1"/>
      <c r="KVV239" s="1"/>
      <c r="KVW239" s="1"/>
      <c r="KVX239" s="1"/>
      <c r="KVY239" s="1"/>
      <c r="KVZ239" s="1"/>
      <c r="KWA239" s="1"/>
      <c r="KWB239" s="1"/>
      <c r="KWC239" s="1"/>
      <c r="KWD239" s="1"/>
      <c r="KWE239" s="1"/>
      <c r="KWF239" s="1"/>
      <c r="KWG239" s="1"/>
      <c r="KWH239" s="1"/>
      <c r="KWI239" s="1"/>
      <c r="KWJ239" s="1"/>
      <c r="KWK239" s="1"/>
      <c r="KWL239" s="1"/>
      <c r="KWM239" s="1"/>
      <c r="KWN239" s="1"/>
      <c r="KWO239" s="1"/>
      <c r="KWP239" s="1"/>
      <c r="KWQ239" s="1"/>
      <c r="KWR239" s="1"/>
      <c r="KWS239" s="1"/>
      <c r="KWT239" s="1"/>
      <c r="KWU239" s="1"/>
      <c r="KWV239" s="1"/>
      <c r="KWW239" s="1"/>
      <c r="KWX239" s="1"/>
      <c r="KWY239" s="1"/>
      <c r="KWZ239" s="1"/>
      <c r="KXA239" s="1"/>
      <c r="KXB239" s="1"/>
      <c r="KXC239" s="1"/>
      <c r="KXD239" s="1"/>
      <c r="KXE239" s="1"/>
      <c r="KXF239" s="1"/>
      <c r="KXG239" s="1"/>
      <c r="KXH239" s="1"/>
      <c r="KXI239" s="1"/>
      <c r="KXJ239" s="1"/>
      <c r="KXK239" s="1"/>
      <c r="KXL239" s="1"/>
      <c r="KXM239" s="1"/>
      <c r="KXN239" s="1"/>
      <c r="KXO239" s="1"/>
      <c r="KXP239" s="1"/>
      <c r="KXQ239" s="1"/>
      <c r="KXR239" s="1"/>
      <c r="KXS239" s="1"/>
      <c r="KXT239" s="1"/>
      <c r="KXU239" s="1"/>
      <c r="KXV239" s="1"/>
      <c r="KXW239" s="1"/>
      <c r="KXX239" s="1"/>
      <c r="KXY239" s="1"/>
      <c r="KXZ239" s="1"/>
      <c r="KYA239" s="1"/>
      <c r="KYB239" s="1"/>
      <c r="KYC239" s="1"/>
      <c r="KYD239" s="1"/>
      <c r="KYE239" s="1"/>
      <c r="KYF239" s="1"/>
      <c r="KYG239" s="1"/>
      <c r="KYH239" s="1"/>
      <c r="KYI239" s="1"/>
      <c r="KYJ239" s="1"/>
      <c r="KYK239" s="1"/>
      <c r="KYL239" s="1"/>
      <c r="KYM239" s="1"/>
      <c r="KYN239" s="1"/>
      <c r="KYO239" s="1"/>
      <c r="KYP239" s="1"/>
      <c r="KYQ239" s="1"/>
      <c r="KYR239" s="1"/>
      <c r="KYS239" s="1"/>
      <c r="KYT239" s="1"/>
      <c r="KYU239" s="1"/>
      <c r="KYV239" s="1"/>
      <c r="KYW239" s="1"/>
      <c r="KYX239" s="1"/>
      <c r="KYY239" s="1"/>
      <c r="KYZ239" s="1"/>
      <c r="KZA239" s="1"/>
      <c r="KZB239" s="1"/>
      <c r="KZC239" s="1"/>
      <c r="KZD239" s="1"/>
      <c r="KZE239" s="1"/>
      <c r="KZF239" s="1"/>
      <c r="KZG239" s="1"/>
      <c r="KZH239" s="1"/>
      <c r="KZI239" s="1"/>
      <c r="KZJ239" s="1"/>
      <c r="KZK239" s="1"/>
      <c r="KZL239" s="1"/>
      <c r="KZM239" s="1"/>
      <c r="KZN239" s="1"/>
      <c r="KZO239" s="1"/>
      <c r="KZP239" s="1"/>
      <c r="KZQ239" s="1"/>
      <c r="KZR239" s="1"/>
      <c r="KZS239" s="1"/>
      <c r="KZT239" s="1"/>
      <c r="KZU239" s="1"/>
      <c r="KZV239" s="1"/>
      <c r="KZW239" s="1"/>
      <c r="KZX239" s="1"/>
      <c r="KZY239" s="1"/>
      <c r="KZZ239" s="1"/>
      <c r="LAA239" s="1"/>
      <c r="LAB239" s="1"/>
      <c r="LAC239" s="1"/>
      <c r="LAD239" s="1"/>
      <c r="LAE239" s="1"/>
      <c r="LAF239" s="1"/>
      <c r="LAG239" s="1"/>
      <c r="LAH239" s="1"/>
      <c r="LAI239" s="1"/>
      <c r="LAJ239" s="1"/>
      <c r="LAK239" s="1"/>
      <c r="LAL239" s="1"/>
      <c r="LAM239" s="1"/>
      <c r="LAN239" s="1"/>
      <c r="LAO239" s="1"/>
      <c r="LAP239" s="1"/>
      <c r="LAQ239" s="1"/>
      <c r="LAR239" s="1"/>
      <c r="LAS239" s="1"/>
      <c r="LAT239" s="1"/>
      <c r="LAU239" s="1"/>
      <c r="LAV239" s="1"/>
      <c r="LAW239" s="1"/>
      <c r="LAX239" s="1"/>
      <c r="LAY239" s="1"/>
      <c r="LAZ239" s="1"/>
      <c r="LBA239" s="1"/>
      <c r="LBB239" s="1"/>
      <c r="LBC239" s="1"/>
      <c r="LBD239" s="1"/>
      <c r="LBE239" s="1"/>
      <c r="LBF239" s="1"/>
      <c r="LBG239" s="1"/>
      <c r="LBH239" s="1"/>
      <c r="LBI239" s="1"/>
      <c r="LBJ239" s="1"/>
      <c r="LBK239" s="1"/>
      <c r="LBL239" s="1"/>
      <c r="LBM239" s="1"/>
      <c r="LBN239" s="1"/>
      <c r="LBO239" s="1"/>
      <c r="LBP239" s="1"/>
      <c r="LBQ239" s="1"/>
      <c r="LBR239" s="1"/>
      <c r="LBS239" s="1"/>
      <c r="LBT239" s="1"/>
      <c r="LBU239" s="1"/>
      <c r="LBV239" s="1"/>
      <c r="LBW239" s="1"/>
      <c r="LBX239" s="1"/>
      <c r="LBY239" s="1"/>
      <c r="LBZ239" s="1"/>
      <c r="LCA239" s="1"/>
      <c r="LCB239" s="1"/>
      <c r="LCC239" s="1"/>
      <c r="LCD239" s="1"/>
      <c r="LCE239" s="1"/>
      <c r="LCF239" s="1"/>
      <c r="LCG239" s="1"/>
      <c r="LCH239" s="1"/>
      <c r="LCI239" s="1"/>
      <c r="LCJ239" s="1"/>
      <c r="LCK239" s="1"/>
      <c r="LCL239" s="1"/>
      <c r="LCM239" s="1"/>
      <c r="LCN239" s="1"/>
      <c r="LCO239" s="1"/>
      <c r="LCP239" s="1"/>
      <c r="LCQ239" s="1"/>
      <c r="LCR239" s="1"/>
      <c r="LCS239" s="1"/>
      <c r="LCT239" s="1"/>
      <c r="LCU239" s="1"/>
      <c r="LCV239" s="1"/>
      <c r="LCW239" s="1"/>
      <c r="LCX239" s="1"/>
      <c r="LCY239" s="1"/>
      <c r="LCZ239" s="1"/>
      <c r="LDA239" s="1"/>
      <c r="LDB239" s="1"/>
      <c r="LDC239" s="1"/>
      <c r="LDD239" s="1"/>
      <c r="LDE239" s="1"/>
      <c r="LDF239" s="1"/>
      <c r="LDG239" s="1"/>
      <c r="LDH239" s="1"/>
      <c r="LDI239" s="1"/>
      <c r="LDJ239" s="1"/>
      <c r="LDK239" s="1"/>
      <c r="LDL239" s="1"/>
      <c r="LDM239" s="1"/>
      <c r="LDN239" s="1"/>
      <c r="LDO239" s="1"/>
      <c r="LDP239" s="1"/>
      <c r="LDQ239" s="1"/>
      <c r="LDR239" s="1"/>
      <c r="LDS239" s="1"/>
      <c r="LDT239" s="1"/>
      <c r="LDU239" s="1"/>
      <c r="LDV239" s="1"/>
      <c r="LDW239" s="1"/>
      <c r="LDX239" s="1"/>
      <c r="LDY239" s="1"/>
      <c r="LDZ239" s="1"/>
      <c r="LEA239" s="1"/>
      <c r="LEB239" s="1"/>
      <c r="LEC239" s="1"/>
      <c r="LED239" s="1"/>
      <c r="LEE239" s="1"/>
      <c r="LEF239" s="1"/>
      <c r="LEG239" s="1"/>
      <c r="LEH239" s="1"/>
      <c r="LEI239" s="1"/>
      <c r="LEJ239" s="1"/>
      <c r="LEK239" s="1"/>
      <c r="LEL239" s="1"/>
      <c r="LEM239" s="1"/>
      <c r="LEN239" s="1"/>
      <c r="LEO239" s="1"/>
      <c r="LEP239" s="1"/>
      <c r="LEQ239" s="1"/>
      <c r="LER239" s="1"/>
      <c r="LES239" s="1"/>
      <c r="LET239" s="1"/>
      <c r="LEU239" s="1"/>
      <c r="LEV239" s="1"/>
      <c r="LEW239" s="1"/>
      <c r="LEX239" s="1"/>
      <c r="LEY239" s="1"/>
      <c r="LEZ239" s="1"/>
      <c r="LFA239" s="1"/>
      <c r="LFB239" s="1"/>
      <c r="LFC239" s="1"/>
      <c r="LFD239" s="1"/>
      <c r="LFE239" s="1"/>
      <c r="LFF239" s="1"/>
      <c r="LFG239" s="1"/>
      <c r="LFH239" s="1"/>
      <c r="LFI239" s="1"/>
      <c r="LFJ239" s="1"/>
      <c r="LFK239" s="1"/>
      <c r="LFL239" s="1"/>
      <c r="LFM239" s="1"/>
      <c r="LFN239" s="1"/>
      <c r="LFO239" s="1"/>
      <c r="LFP239" s="1"/>
      <c r="LFQ239" s="1"/>
      <c r="LFR239" s="1"/>
      <c r="LFS239" s="1"/>
      <c r="LFT239" s="1"/>
      <c r="LFU239" s="1"/>
      <c r="LFV239" s="1"/>
      <c r="LFW239" s="1"/>
      <c r="LFX239" s="1"/>
      <c r="LFY239" s="1"/>
      <c r="LFZ239" s="1"/>
      <c r="LGA239" s="1"/>
      <c r="LGB239" s="1"/>
      <c r="LGC239" s="1"/>
      <c r="LGD239" s="1"/>
      <c r="LGE239" s="1"/>
      <c r="LGF239" s="1"/>
      <c r="LGG239" s="1"/>
      <c r="LGH239" s="1"/>
      <c r="LGI239" s="1"/>
      <c r="LGJ239" s="1"/>
      <c r="LGK239" s="1"/>
      <c r="LGL239" s="1"/>
      <c r="LGM239" s="1"/>
      <c r="LGN239" s="1"/>
      <c r="LGO239" s="1"/>
      <c r="LGP239" s="1"/>
      <c r="LGQ239" s="1"/>
      <c r="LGR239" s="1"/>
      <c r="LGS239" s="1"/>
      <c r="LGT239" s="1"/>
      <c r="LGU239" s="1"/>
      <c r="LGV239" s="1"/>
      <c r="LGW239" s="1"/>
      <c r="LGX239" s="1"/>
      <c r="LGY239" s="1"/>
      <c r="LGZ239" s="1"/>
      <c r="LHA239" s="1"/>
      <c r="LHB239" s="1"/>
      <c r="LHC239" s="1"/>
      <c r="LHD239" s="1"/>
      <c r="LHE239" s="1"/>
      <c r="LHF239" s="1"/>
      <c r="LHG239" s="1"/>
      <c r="LHH239" s="1"/>
      <c r="LHI239" s="1"/>
      <c r="LHJ239" s="1"/>
      <c r="LHK239" s="1"/>
      <c r="LHL239" s="1"/>
      <c r="LHM239" s="1"/>
      <c r="LHN239" s="1"/>
      <c r="LHO239" s="1"/>
      <c r="LHP239" s="1"/>
      <c r="LHQ239" s="1"/>
      <c r="LHR239" s="1"/>
      <c r="LHS239" s="1"/>
      <c r="LHT239" s="1"/>
      <c r="LHU239" s="1"/>
      <c r="LHV239" s="1"/>
      <c r="LHW239" s="1"/>
      <c r="LHX239" s="1"/>
      <c r="LHY239" s="1"/>
      <c r="LHZ239" s="1"/>
      <c r="LIA239" s="1"/>
      <c r="LIB239" s="1"/>
      <c r="LIC239" s="1"/>
      <c r="LID239" s="1"/>
      <c r="LIE239" s="1"/>
      <c r="LIF239" s="1"/>
      <c r="LIG239" s="1"/>
      <c r="LIH239" s="1"/>
      <c r="LII239" s="1"/>
      <c r="LIJ239" s="1"/>
      <c r="LIK239" s="1"/>
      <c r="LIL239" s="1"/>
      <c r="LIM239" s="1"/>
      <c r="LIN239" s="1"/>
      <c r="LIO239" s="1"/>
      <c r="LIP239" s="1"/>
      <c r="LIQ239" s="1"/>
      <c r="LIR239" s="1"/>
      <c r="LIS239" s="1"/>
      <c r="LIT239" s="1"/>
      <c r="LIU239" s="1"/>
      <c r="LIV239" s="1"/>
      <c r="LIW239" s="1"/>
      <c r="LIX239" s="1"/>
      <c r="LIY239" s="1"/>
      <c r="LIZ239" s="1"/>
      <c r="LJA239" s="1"/>
      <c r="LJB239" s="1"/>
      <c r="LJC239" s="1"/>
      <c r="LJD239" s="1"/>
      <c r="LJE239" s="1"/>
      <c r="LJF239" s="1"/>
      <c r="LJG239" s="1"/>
      <c r="LJH239" s="1"/>
      <c r="LJI239" s="1"/>
      <c r="LJJ239" s="1"/>
      <c r="LJK239" s="1"/>
      <c r="LJL239" s="1"/>
      <c r="LJM239" s="1"/>
      <c r="LJN239" s="1"/>
      <c r="LJO239" s="1"/>
      <c r="LJP239" s="1"/>
      <c r="LJQ239" s="1"/>
      <c r="LJR239" s="1"/>
      <c r="LJS239" s="1"/>
      <c r="LJT239" s="1"/>
      <c r="LJU239" s="1"/>
      <c r="LJV239" s="1"/>
      <c r="LJW239" s="1"/>
      <c r="LJX239" s="1"/>
      <c r="LJY239" s="1"/>
      <c r="LJZ239" s="1"/>
      <c r="LKA239" s="1"/>
      <c r="LKB239" s="1"/>
      <c r="LKC239" s="1"/>
      <c r="LKD239" s="1"/>
      <c r="LKE239" s="1"/>
      <c r="LKF239" s="1"/>
      <c r="LKG239" s="1"/>
      <c r="LKH239" s="1"/>
      <c r="LKI239" s="1"/>
      <c r="LKJ239" s="1"/>
      <c r="LKK239" s="1"/>
      <c r="LKL239" s="1"/>
      <c r="LKM239" s="1"/>
      <c r="LKN239" s="1"/>
      <c r="LKO239" s="1"/>
      <c r="LKP239" s="1"/>
      <c r="LKQ239" s="1"/>
      <c r="LKR239" s="1"/>
      <c r="LKS239" s="1"/>
      <c r="LKT239" s="1"/>
      <c r="LKU239" s="1"/>
      <c r="LKV239" s="1"/>
      <c r="LKW239" s="1"/>
      <c r="LKX239" s="1"/>
      <c r="LKY239" s="1"/>
      <c r="LKZ239" s="1"/>
      <c r="LLA239" s="1"/>
      <c r="LLB239" s="1"/>
      <c r="LLC239" s="1"/>
      <c r="LLD239" s="1"/>
      <c r="LLE239" s="1"/>
      <c r="LLF239" s="1"/>
      <c r="LLG239" s="1"/>
      <c r="LLH239" s="1"/>
      <c r="LLI239" s="1"/>
      <c r="LLJ239" s="1"/>
      <c r="LLK239" s="1"/>
      <c r="LLL239" s="1"/>
      <c r="LLM239" s="1"/>
      <c r="LLN239" s="1"/>
      <c r="LLO239" s="1"/>
      <c r="LLP239" s="1"/>
      <c r="LLQ239" s="1"/>
      <c r="LLR239" s="1"/>
      <c r="LLS239" s="1"/>
      <c r="LLT239" s="1"/>
      <c r="LLU239" s="1"/>
      <c r="LLV239" s="1"/>
      <c r="LLW239" s="1"/>
      <c r="LLX239" s="1"/>
      <c r="LLY239" s="1"/>
      <c r="LLZ239" s="1"/>
      <c r="LMA239" s="1"/>
      <c r="LMB239" s="1"/>
      <c r="LMC239" s="1"/>
      <c r="LMD239" s="1"/>
      <c r="LME239" s="1"/>
      <c r="LMF239" s="1"/>
      <c r="LMG239" s="1"/>
      <c r="LMH239" s="1"/>
      <c r="LMI239" s="1"/>
      <c r="LMJ239" s="1"/>
      <c r="LMK239" s="1"/>
      <c r="LML239" s="1"/>
      <c r="LMM239" s="1"/>
      <c r="LMN239" s="1"/>
      <c r="LMO239" s="1"/>
      <c r="LMP239" s="1"/>
      <c r="LMQ239" s="1"/>
      <c r="LMR239" s="1"/>
      <c r="LMS239" s="1"/>
      <c r="LMT239" s="1"/>
      <c r="LMU239" s="1"/>
      <c r="LMV239" s="1"/>
      <c r="LMW239" s="1"/>
      <c r="LMX239" s="1"/>
      <c r="LMY239" s="1"/>
      <c r="LMZ239" s="1"/>
      <c r="LNA239" s="1"/>
      <c r="LNB239" s="1"/>
      <c r="LNC239" s="1"/>
      <c r="LND239" s="1"/>
      <c r="LNE239" s="1"/>
      <c r="LNF239" s="1"/>
      <c r="LNG239" s="1"/>
      <c r="LNH239" s="1"/>
      <c r="LNI239" s="1"/>
      <c r="LNJ239" s="1"/>
      <c r="LNK239" s="1"/>
      <c r="LNL239" s="1"/>
      <c r="LNM239" s="1"/>
      <c r="LNN239" s="1"/>
      <c r="LNO239" s="1"/>
      <c r="LNP239" s="1"/>
      <c r="LNQ239" s="1"/>
      <c r="LNR239" s="1"/>
      <c r="LNS239" s="1"/>
      <c r="LNT239" s="1"/>
      <c r="LNU239" s="1"/>
      <c r="LNV239" s="1"/>
      <c r="LNW239" s="1"/>
      <c r="LNX239" s="1"/>
      <c r="LNY239" s="1"/>
      <c r="LNZ239" s="1"/>
      <c r="LOA239" s="1"/>
      <c r="LOB239" s="1"/>
      <c r="LOC239" s="1"/>
      <c r="LOD239" s="1"/>
      <c r="LOE239" s="1"/>
      <c r="LOF239" s="1"/>
      <c r="LOG239" s="1"/>
      <c r="LOH239" s="1"/>
      <c r="LOI239" s="1"/>
      <c r="LOJ239" s="1"/>
      <c r="LOK239" s="1"/>
      <c r="LOL239" s="1"/>
      <c r="LOM239" s="1"/>
      <c r="LON239" s="1"/>
      <c r="LOO239" s="1"/>
      <c r="LOP239" s="1"/>
      <c r="LOQ239" s="1"/>
      <c r="LOR239" s="1"/>
      <c r="LOS239" s="1"/>
      <c r="LOT239" s="1"/>
      <c r="LOU239" s="1"/>
      <c r="LOV239" s="1"/>
      <c r="LOW239" s="1"/>
      <c r="LOX239" s="1"/>
      <c r="LOY239" s="1"/>
      <c r="LOZ239" s="1"/>
      <c r="LPA239" s="1"/>
      <c r="LPB239" s="1"/>
      <c r="LPC239" s="1"/>
      <c r="LPD239" s="1"/>
      <c r="LPE239" s="1"/>
      <c r="LPF239" s="1"/>
      <c r="LPG239" s="1"/>
      <c r="LPH239" s="1"/>
      <c r="LPI239" s="1"/>
      <c r="LPJ239" s="1"/>
      <c r="LPK239" s="1"/>
      <c r="LPL239" s="1"/>
      <c r="LPM239" s="1"/>
      <c r="LPN239" s="1"/>
      <c r="LPO239" s="1"/>
      <c r="LPP239" s="1"/>
      <c r="LPQ239" s="1"/>
      <c r="LPR239" s="1"/>
      <c r="LPS239" s="1"/>
      <c r="LPT239" s="1"/>
      <c r="LPU239" s="1"/>
      <c r="LPV239" s="1"/>
      <c r="LPW239" s="1"/>
      <c r="LPX239" s="1"/>
      <c r="LPY239" s="1"/>
      <c r="LPZ239" s="1"/>
      <c r="LQA239" s="1"/>
      <c r="LQB239" s="1"/>
      <c r="LQC239" s="1"/>
      <c r="LQD239" s="1"/>
      <c r="LQE239" s="1"/>
      <c r="LQF239" s="1"/>
      <c r="LQG239" s="1"/>
      <c r="LQH239" s="1"/>
      <c r="LQI239" s="1"/>
      <c r="LQJ239" s="1"/>
      <c r="LQK239" s="1"/>
      <c r="LQL239" s="1"/>
      <c r="LQM239" s="1"/>
      <c r="LQN239" s="1"/>
      <c r="LQO239" s="1"/>
      <c r="LQP239" s="1"/>
      <c r="LQQ239" s="1"/>
      <c r="LQR239" s="1"/>
      <c r="LQS239" s="1"/>
      <c r="LQT239" s="1"/>
      <c r="LQU239" s="1"/>
      <c r="LQV239" s="1"/>
      <c r="LQW239" s="1"/>
      <c r="LQX239" s="1"/>
      <c r="LQY239" s="1"/>
      <c r="LQZ239" s="1"/>
      <c r="LRA239" s="1"/>
      <c r="LRB239" s="1"/>
      <c r="LRC239" s="1"/>
      <c r="LRD239" s="1"/>
      <c r="LRE239" s="1"/>
      <c r="LRF239" s="1"/>
      <c r="LRG239" s="1"/>
      <c r="LRH239" s="1"/>
      <c r="LRI239" s="1"/>
      <c r="LRJ239" s="1"/>
      <c r="LRK239" s="1"/>
      <c r="LRL239" s="1"/>
      <c r="LRM239" s="1"/>
      <c r="LRN239" s="1"/>
      <c r="LRO239" s="1"/>
      <c r="LRP239" s="1"/>
      <c r="LRQ239" s="1"/>
      <c r="LRR239" s="1"/>
      <c r="LRS239" s="1"/>
      <c r="LRT239" s="1"/>
      <c r="LRU239" s="1"/>
      <c r="LRV239" s="1"/>
      <c r="LRW239" s="1"/>
      <c r="LRX239" s="1"/>
      <c r="LRY239" s="1"/>
      <c r="LRZ239" s="1"/>
      <c r="LSA239" s="1"/>
      <c r="LSB239" s="1"/>
      <c r="LSC239" s="1"/>
      <c r="LSD239" s="1"/>
      <c r="LSE239" s="1"/>
      <c r="LSF239" s="1"/>
      <c r="LSG239" s="1"/>
      <c r="LSH239" s="1"/>
      <c r="LSI239" s="1"/>
      <c r="LSJ239" s="1"/>
      <c r="LSK239" s="1"/>
      <c r="LSL239" s="1"/>
      <c r="LSM239" s="1"/>
      <c r="LSN239" s="1"/>
      <c r="LSO239" s="1"/>
      <c r="LSP239" s="1"/>
      <c r="LSQ239" s="1"/>
      <c r="LSR239" s="1"/>
      <c r="LSS239" s="1"/>
      <c r="LST239" s="1"/>
      <c r="LSU239" s="1"/>
      <c r="LSV239" s="1"/>
      <c r="LSW239" s="1"/>
      <c r="LSX239" s="1"/>
      <c r="LSY239" s="1"/>
      <c r="LSZ239" s="1"/>
      <c r="LTA239" s="1"/>
      <c r="LTB239" s="1"/>
      <c r="LTC239" s="1"/>
      <c r="LTD239" s="1"/>
      <c r="LTE239" s="1"/>
      <c r="LTF239" s="1"/>
      <c r="LTG239" s="1"/>
      <c r="LTH239" s="1"/>
      <c r="LTI239" s="1"/>
      <c r="LTJ239" s="1"/>
      <c r="LTK239" s="1"/>
      <c r="LTL239" s="1"/>
      <c r="LTM239" s="1"/>
      <c r="LTN239" s="1"/>
      <c r="LTO239" s="1"/>
      <c r="LTP239" s="1"/>
      <c r="LTQ239" s="1"/>
      <c r="LTR239" s="1"/>
      <c r="LTS239" s="1"/>
      <c r="LTT239" s="1"/>
      <c r="LTU239" s="1"/>
      <c r="LTV239" s="1"/>
      <c r="LTW239" s="1"/>
      <c r="LTX239" s="1"/>
      <c r="LTY239" s="1"/>
      <c r="LTZ239" s="1"/>
      <c r="LUA239" s="1"/>
      <c r="LUB239" s="1"/>
      <c r="LUC239" s="1"/>
      <c r="LUD239" s="1"/>
      <c r="LUE239" s="1"/>
      <c r="LUF239" s="1"/>
      <c r="LUG239" s="1"/>
      <c r="LUH239" s="1"/>
      <c r="LUI239" s="1"/>
      <c r="LUJ239" s="1"/>
      <c r="LUK239" s="1"/>
      <c r="LUL239" s="1"/>
      <c r="LUM239" s="1"/>
      <c r="LUN239" s="1"/>
      <c r="LUO239" s="1"/>
      <c r="LUP239" s="1"/>
      <c r="LUQ239" s="1"/>
      <c r="LUR239" s="1"/>
      <c r="LUS239" s="1"/>
      <c r="LUT239" s="1"/>
      <c r="LUU239" s="1"/>
      <c r="LUV239" s="1"/>
      <c r="LUW239" s="1"/>
      <c r="LUX239" s="1"/>
      <c r="LUY239" s="1"/>
      <c r="LUZ239" s="1"/>
      <c r="LVA239" s="1"/>
      <c r="LVB239" s="1"/>
      <c r="LVC239" s="1"/>
      <c r="LVD239" s="1"/>
      <c r="LVE239" s="1"/>
      <c r="LVF239" s="1"/>
      <c r="LVG239" s="1"/>
      <c r="LVH239" s="1"/>
      <c r="LVI239" s="1"/>
      <c r="LVJ239" s="1"/>
      <c r="LVK239" s="1"/>
      <c r="LVL239" s="1"/>
      <c r="LVM239" s="1"/>
      <c r="LVN239" s="1"/>
      <c r="LVO239" s="1"/>
      <c r="LVP239" s="1"/>
      <c r="LVQ239" s="1"/>
      <c r="LVR239" s="1"/>
      <c r="LVS239" s="1"/>
      <c r="LVT239" s="1"/>
      <c r="LVU239" s="1"/>
      <c r="LVV239" s="1"/>
      <c r="LVW239" s="1"/>
      <c r="LVX239" s="1"/>
      <c r="LVY239" s="1"/>
      <c r="LVZ239" s="1"/>
      <c r="LWA239" s="1"/>
      <c r="LWB239" s="1"/>
      <c r="LWC239" s="1"/>
      <c r="LWD239" s="1"/>
      <c r="LWE239" s="1"/>
      <c r="LWF239" s="1"/>
      <c r="LWG239" s="1"/>
      <c r="LWH239" s="1"/>
      <c r="LWI239" s="1"/>
      <c r="LWJ239" s="1"/>
      <c r="LWK239" s="1"/>
      <c r="LWL239" s="1"/>
      <c r="LWM239" s="1"/>
      <c r="LWN239" s="1"/>
      <c r="LWO239" s="1"/>
      <c r="LWP239" s="1"/>
      <c r="LWQ239" s="1"/>
      <c r="LWR239" s="1"/>
      <c r="LWS239" s="1"/>
      <c r="LWT239" s="1"/>
      <c r="LWU239" s="1"/>
      <c r="LWV239" s="1"/>
      <c r="LWW239" s="1"/>
      <c r="LWX239" s="1"/>
      <c r="LWY239" s="1"/>
      <c r="LWZ239" s="1"/>
      <c r="LXA239" s="1"/>
      <c r="LXB239" s="1"/>
      <c r="LXC239" s="1"/>
      <c r="LXD239" s="1"/>
      <c r="LXE239" s="1"/>
      <c r="LXF239" s="1"/>
      <c r="LXG239" s="1"/>
      <c r="LXH239" s="1"/>
      <c r="LXI239" s="1"/>
      <c r="LXJ239" s="1"/>
      <c r="LXK239" s="1"/>
      <c r="LXL239" s="1"/>
      <c r="LXM239" s="1"/>
      <c r="LXN239" s="1"/>
      <c r="LXO239" s="1"/>
      <c r="LXP239" s="1"/>
      <c r="LXQ239" s="1"/>
      <c r="LXR239" s="1"/>
      <c r="LXS239" s="1"/>
      <c r="LXT239" s="1"/>
      <c r="LXU239" s="1"/>
      <c r="LXV239" s="1"/>
      <c r="LXW239" s="1"/>
      <c r="LXX239" s="1"/>
      <c r="LXY239" s="1"/>
      <c r="LXZ239" s="1"/>
      <c r="LYA239" s="1"/>
      <c r="LYB239" s="1"/>
      <c r="LYC239" s="1"/>
      <c r="LYD239" s="1"/>
      <c r="LYE239" s="1"/>
      <c r="LYF239" s="1"/>
      <c r="LYG239" s="1"/>
      <c r="LYH239" s="1"/>
      <c r="LYI239" s="1"/>
      <c r="LYJ239" s="1"/>
      <c r="LYK239" s="1"/>
      <c r="LYL239" s="1"/>
      <c r="LYM239" s="1"/>
      <c r="LYN239" s="1"/>
      <c r="LYO239" s="1"/>
      <c r="LYP239" s="1"/>
      <c r="LYQ239" s="1"/>
      <c r="LYR239" s="1"/>
      <c r="LYS239" s="1"/>
      <c r="LYT239" s="1"/>
      <c r="LYU239" s="1"/>
      <c r="LYV239" s="1"/>
      <c r="LYW239" s="1"/>
      <c r="LYX239" s="1"/>
      <c r="LYY239" s="1"/>
      <c r="LYZ239" s="1"/>
      <c r="LZA239" s="1"/>
      <c r="LZB239" s="1"/>
      <c r="LZC239" s="1"/>
      <c r="LZD239" s="1"/>
      <c r="LZE239" s="1"/>
      <c r="LZF239" s="1"/>
      <c r="LZG239" s="1"/>
      <c r="LZH239" s="1"/>
      <c r="LZI239" s="1"/>
      <c r="LZJ239" s="1"/>
      <c r="LZK239" s="1"/>
      <c r="LZL239" s="1"/>
      <c r="LZM239" s="1"/>
      <c r="LZN239" s="1"/>
      <c r="LZO239" s="1"/>
      <c r="LZP239" s="1"/>
      <c r="LZQ239" s="1"/>
      <c r="LZR239" s="1"/>
      <c r="LZS239" s="1"/>
      <c r="LZT239" s="1"/>
      <c r="LZU239" s="1"/>
      <c r="LZV239" s="1"/>
      <c r="LZW239" s="1"/>
      <c r="LZX239" s="1"/>
      <c r="LZY239" s="1"/>
      <c r="LZZ239" s="1"/>
      <c r="MAA239" s="1"/>
      <c r="MAB239" s="1"/>
      <c r="MAC239" s="1"/>
      <c r="MAD239" s="1"/>
      <c r="MAE239" s="1"/>
      <c r="MAF239" s="1"/>
      <c r="MAG239" s="1"/>
      <c r="MAH239" s="1"/>
      <c r="MAI239" s="1"/>
      <c r="MAJ239" s="1"/>
      <c r="MAK239" s="1"/>
      <c r="MAL239" s="1"/>
      <c r="MAM239" s="1"/>
      <c r="MAN239" s="1"/>
      <c r="MAO239" s="1"/>
      <c r="MAP239" s="1"/>
      <c r="MAQ239" s="1"/>
      <c r="MAR239" s="1"/>
      <c r="MAS239" s="1"/>
      <c r="MAT239" s="1"/>
      <c r="MAU239" s="1"/>
      <c r="MAV239" s="1"/>
      <c r="MAW239" s="1"/>
      <c r="MAX239" s="1"/>
      <c r="MAY239" s="1"/>
      <c r="MAZ239" s="1"/>
      <c r="MBA239" s="1"/>
      <c r="MBB239" s="1"/>
      <c r="MBC239" s="1"/>
      <c r="MBD239" s="1"/>
      <c r="MBE239" s="1"/>
      <c r="MBF239" s="1"/>
      <c r="MBG239" s="1"/>
      <c r="MBH239" s="1"/>
      <c r="MBI239" s="1"/>
      <c r="MBJ239" s="1"/>
      <c r="MBK239" s="1"/>
      <c r="MBL239" s="1"/>
      <c r="MBM239" s="1"/>
      <c r="MBN239" s="1"/>
      <c r="MBO239" s="1"/>
      <c r="MBP239" s="1"/>
      <c r="MBQ239" s="1"/>
      <c r="MBR239" s="1"/>
      <c r="MBS239" s="1"/>
      <c r="MBT239" s="1"/>
      <c r="MBU239" s="1"/>
      <c r="MBV239" s="1"/>
      <c r="MBW239" s="1"/>
      <c r="MBX239" s="1"/>
      <c r="MBY239" s="1"/>
      <c r="MBZ239" s="1"/>
      <c r="MCA239" s="1"/>
      <c r="MCB239" s="1"/>
      <c r="MCC239" s="1"/>
      <c r="MCD239" s="1"/>
      <c r="MCE239" s="1"/>
      <c r="MCF239" s="1"/>
      <c r="MCG239" s="1"/>
      <c r="MCH239" s="1"/>
      <c r="MCI239" s="1"/>
      <c r="MCJ239" s="1"/>
      <c r="MCK239" s="1"/>
      <c r="MCL239" s="1"/>
      <c r="MCM239" s="1"/>
      <c r="MCN239" s="1"/>
      <c r="MCO239" s="1"/>
      <c r="MCP239" s="1"/>
      <c r="MCQ239" s="1"/>
      <c r="MCR239" s="1"/>
      <c r="MCS239" s="1"/>
      <c r="MCT239" s="1"/>
      <c r="MCU239" s="1"/>
      <c r="MCV239" s="1"/>
      <c r="MCW239" s="1"/>
      <c r="MCX239" s="1"/>
      <c r="MCY239" s="1"/>
      <c r="MCZ239" s="1"/>
      <c r="MDA239" s="1"/>
      <c r="MDB239" s="1"/>
      <c r="MDC239" s="1"/>
      <c r="MDD239" s="1"/>
      <c r="MDE239" s="1"/>
      <c r="MDF239" s="1"/>
      <c r="MDG239" s="1"/>
      <c r="MDH239" s="1"/>
      <c r="MDI239" s="1"/>
      <c r="MDJ239" s="1"/>
      <c r="MDK239" s="1"/>
      <c r="MDL239" s="1"/>
      <c r="MDM239" s="1"/>
      <c r="MDN239" s="1"/>
      <c r="MDO239" s="1"/>
      <c r="MDP239" s="1"/>
      <c r="MDQ239" s="1"/>
      <c r="MDR239" s="1"/>
      <c r="MDS239" s="1"/>
      <c r="MDT239" s="1"/>
      <c r="MDU239" s="1"/>
      <c r="MDV239" s="1"/>
      <c r="MDW239" s="1"/>
      <c r="MDX239" s="1"/>
      <c r="MDY239" s="1"/>
      <c r="MDZ239" s="1"/>
      <c r="MEA239" s="1"/>
      <c r="MEB239" s="1"/>
      <c r="MEC239" s="1"/>
      <c r="MED239" s="1"/>
      <c r="MEE239" s="1"/>
      <c r="MEF239" s="1"/>
      <c r="MEG239" s="1"/>
      <c r="MEH239" s="1"/>
      <c r="MEI239" s="1"/>
      <c r="MEJ239" s="1"/>
      <c r="MEK239" s="1"/>
      <c r="MEL239" s="1"/>
      <c r="MEM239" s="1"/>
      <c r="MEN239" s="1"/>
      <c r="MEO239" s="1"/>
      <c r="MEP239" s="1"/>
      <c r="MEQ239" s="1"/>
      <c r="MER239" s="1"/>
      <c r="MES239" s="1"/>
      <c r="MET239" s="1"/>
      <c r="MEU239" s="1"/>
      <c r="MEV239" s="1"/>
      <c r="MEW239" s="1"/>
      <c r="MEX239" s="1"/>
      <c r="MEY239" s="1"/>
      <c r="MEZ239" s="1"/>
      <c r="MFA239" s="1"/>
      <c r="MFB239" s="1"/>
      <c r="MFC239" s="1"/>
      <c r="MFD239" s="1"/>
      <c r="MFE239" s="1"/>
      <c r="MFF239" s="1"/>
      <c r="MFG239" s="1"/>
      <c r="MFH239" s="1"/>
      <c r="MFI239" s="1"/>
      <c r="MFJ239" s="1"/>
      <c r="MFK239" s="1"/>
      <c r="MFL239" s="1"/>
      <c r="MFM239" s="1"/>
      <c r="MFN239" s="1"/>
      <c r="MFO239" s="1"/>
      <c r="MFP239" s="1"/>
      <c r="MFQ239" s="1"/>
      <c r="MFR239" s="1"/>
      <c r="MFS239" s="1"/>
      <c r="MFT239" s="1"/>
      <c r="MFU239" s="1"/>
      <c r="MFV239" s="1"/>
      <c r="MFW239" s="1"/>
      <c r="MFX239" s="1"/>
      <c r="MFY239" s="1"/>
      <c r="MFZ239" s="1"/>
      <c r="MGA239" s="1"/>
      <c r="MGB239" s="1"/>
      <c r="MGC239" s="1"/>
      <c r="MGD239" s="1"/>
      <c r="MGE239" s="1"/>
      <c r="MGF239" s="1"/>
      <c r="MGG239" s="1"/>
      <c r="MGH239" s="1"/>
      <c r="MGI239" s="1"/>
      <c r="MGJ239" s="1"/>
      <c r="MGK239" s="1"/>
      <c r="MGL239" s="1"/>
      <c r="MGM239" s="1"/>
      <c r="MGN239" s="1"/>
      <c r="MGO239" s="1"/>
      <c r="MGP239" s="1"/>
      <c r="MGQ239" s="1"/>
      <c r="MGR239" s="1"/>
      <c r="MGS239" s="1"/>
      <c r="MGT239" s="1"/>
      <c r="MGU239" s="1"/>
      <c r="MGV239" s="1"/>
      <c r="MGW239" s="1"/>
      <c r="MGX239" s="1"/>
      <c r="MGY239" s="1"/>
      <c r="MGZ239" s="1"/>
      <c r="MHA239" s="1"/>
      <c r="MHB239" s="1"/>
      <c r="MHC239" s="1"/>
      <c r="MHD239" s="1"/>
      <c r="MHE239" s="1"/>
      <c r="MHF239" s="1"/>
      <c r="MHG239" s="1"/>
      <c r="MHH239" s="1"/>
      <c r="MHI239" s="1"/>
      <c r="MHJ239" s="1"/>
      <c r="MHK239" s="1"/>
      <c r="MHL239" s="1"/>
      <c r="MHM239" s="1"/>
      <c r="MHN239" s="1"/>
      <c r="MHO239" s="1"/>
      <c r="MHP239" s="1"/>
      <c r="MHQ239" s="1"/>
      <c r="MHR239" s="1"/>
      <c r="MHS239" s="1"/>
      <c r="MHT239" s="1"/>
      <c r="MHU239" s="1"/>
      <c r="MHV239" s="1"/>
      <c r="MHW239" s="1"/>
      <c r="MHX239" s="1"/>
      <c r="MHY239" s="1"/>
      <c r="MHZ239" s="1"/>
      <c r="MIA239" s="1"/>
      <c r="MIB239" s="1"/>
      <c r="MIC239" s="1"/>
      <c r="MID239" s="1"/>
      <c r="MIE239" s="1"/>
      <c r="MIF239" s="1"/>
      <c r="MIG239" s="1"/>
      <c r="MIH239" s="1"/>
      <c r="MII239" s="1"/>
      <c r="MIJ239" s="1"/>
      <c r="MIK239" s="1"/>
      <c r="MIL239" s="1"/>
      <c r="MIM239" s="1"/>
      <c r="MIN239" s="1"/>
      <c r="MIO239" s="1"/>
      <c r="MIP239" s="1"/>
      <c r="MIQ239" s="1"/>
      <c r="MIR239" s="1"/>
      <c r="MIS239" s="1"/>
      <c r="MIT239" s="1"/>
      <c r="MIU239" s="1"/>
      <c r="MIV239" s="1"/>
      <c r="MIW239" s="1"/>
      <c r="MIX239" s="1"/>
      <c r="MIY239" s="1"/>
      <c r="MIZ239" s="1"/>
      <c r="MJA239" s="1"/>
      <c r="MJB239" s="1"/>
      <c r="MJC239" s="1"/>
      <c r="MJD239" s="1"/>
      <c r="MJE239" s="1"/>
      <c r="MJF239" s="1"/>
      <c r="MJG239" s="1"/>
      <c r="MJH239" s="1"/>
      <c r="MJI239" s="1"/>
      <c r="MJJ239" s="1"/>
      <c r="MJK239" s="1"/>
      <c r="MJL239" s="1"/>
      <c r="MJM239" s="1"/>
      <c r="MJN239" s="1"/>
      <c r="MJO239" s="1"/>
      <c r="MJP239" s="1"/>
      <c r="MJQ239" s="1"/>
      <c r="MJR239" s="1"/>
      <c r="MJS239" s="1"/>
      <c r="MJT239" s="1"/>
      <c r="MJU239" s="1"/>
      <c r="MJV239" s="1"/>
      <c r="MJW239" s="1"/>
      <c r="MJX239" s="1"/>
      <c r="MJY239" s="1"/>
      <c r="MJZ239" s="1"/>
      <c r="MKA239" s="1"/>
      <c r="MKB239" s="1"/>
      <c r="MKC239" s="1"/>
      <c r="MKD239" s="1"/>
      <c r="MKE239" s="1"/>
      <c r="MKF239" s="1"/>
      <c r="MKG239" s="1"/>
      <c r="MKH239" s="1"/>
      <c r="MKI239" s="1"/>
      <c r="MKJ239" s="1"/>
      <c r="MKK239" s="1"/>
      <c r="MKL239" s="1"/>
      <c r="MKM239" s="1"/>
      <c r="MKN239" s="1"/>
      <c r="MKO239" s="1"/>
      <c r="MKP239" s="1"/>
      <c r="MKQ239" s="1"/>
      <c r="MKR239" s="1"/>
      <c r="MKS239" s="1"/>
      <c r="MKT239" s="1"/>
      <c r="MKU239" s="1"/>
      <c r="MKV239" s="1"/>
      <c r="MKW239" s="1"/>
      <c r="MKX239" s="1"/>
      <c r="MKY239" s="1"/>
      <c r="MKZ239" s="1"/>
      <c r="MLA239" s="1"/>
      <c r="MLB239" s="1"/>
      <c r="MLC239" s="1"/>
      <c r="MLD239" s="1"/>
      <c r="MLE239" s="1"/>
      <c r="MLF239" s="1"/>
      <c r="MLG239" s="1"/>
      <c r="MLH239" s="1"/>
      <c r="MLI239" s="1"/>
      <c r="MLJ239" s="1"/>
      <c r="MLK239" s="1"/>
      <c r="MLL239" s="1"/>
      <c r="MLM239" s="1"/>
      <c r="MLN239" s="1"/>
      <c r="MLO239" s="1"/>
      <c r="MLP239" s="1"/>
      <c r="MLQ239" s="1"/>
      <c r="MLR239" s="1"/>
      <c r="MLS239" s="1"/>
      <c r="MLT239" s="1"/>
      <c r="MLU239" s="1"/>
      <c r="MLV239" s="1"/>
      <c r="MLW239" s="1"/>
      <c r="MLX239" s="1"/>
      <c r="MLY239" s="1"/>
      <c r="MLZ239" s="1"/>
      <c r="MMA239" s="1"/>
      <c r="MMB239" s="1"/>
      <c r="MMC239" s="1"/>
      <c r="MMD239" s="1"/>
      <c r="MME239" s="1"/>
      <c r="MMF239" s="1"/>
      <c r="MMG239" s="1"/>
      <c r="MMH239" s="1"/>
      <c r="MMI239" s="1"/>
      <c r="MMJ239" s="1"/>
      <c r="MMK239" s="1"/>
      <c r="MML239" s="1"/>
      <c r="MMM239" s="1"/>
      <c r="MMN239" s="1"/>
      <c r="MMO239" s="1"/>
      <c r="MMP239" s="1"/>
      <c r="MMQ239" s="1"/>
      <c r="MMR239" s="1"/>
      <c r="MMS239" s="1"/>
      <c r="MMT239" s="1"/>
      <c r="MMU239" s="1"/>
      <c r="MMV239" s="1"/>
      <c r="MMW239" s="1"/>
      <c r="MMX239" s="1"/>
      <c r="MMY239" s="1"/>
      <c r="MMZ239" s="1"/>
      <c r="MNA239" s="1"/>
      <c r="MNB239" s="1"/>
      <c r="MNC239" s="1"/>
      <c r="MND239" s="1"/>
      <c r="MNE239" s="1"/>
      <c r="MNF239" s="1"/>
      <c r="MNG239" s="1"/>
      <c r="MNH239" s="1"/>
      <c r="MNI239" s="1"/>
      <c r="MNJ239" s="1"/>
      <c r="MNK239" s="1"/>
      <c r="MNL239" s="1"/>
      <c r="MNM239" s="1"/>
      <c r="MNN239" s="1"/>
      <c r="MNO239" s="1"/>
      <c r="MNP239" s="1"/>
      <c r="MNQ239" s="1"/>
      <c r="MNR239" s="1"/>
      <c r="MNS239" s="1"/>
      <c r="MNT239" s="1"/>
      <c r="MNU239" s="1"/>
      <c r="MNV239" s="1"/>
      <c r="MNW239" s="1"/>
      <c r="MNX239" s="1"/>
      <c r="MNY239" s="1"/>
      <c r="MNZ239" s="1"/>
      <c r="MOA239" s="1"/>
      <c r="MOB239" s="1"/>
      <c r="MOC239" s="1"/>
      <c r="MOD239" s="1"/>
      <c r="MOE239" s="1"/>
      <c r="MOF239" s="1"/>
      <c r="MOG239" s="1"/>
      <c r="MOH239" s="1"/>
      <c r="MOI239" s="1"/>
      <c r="MOJ239" s="1"/>
      <c r="MOK239" s="1"/>
      <c r="MOL239" s="1"/>
      <c r="MOM239" s="1"/>
      <c r="MON239" s="1"/>
      <c r="MOO239" s="1"/>
      <c r="MOP239" s="1"/>
      <c r="MOQ239" s="1"/>
      <c r="MOR239" s="1"/>
      <c r="MOS239" s="1"/>
      <c r="MOT239" s="1"/>
      <c r="MOU239" s="1"/>
      <c r="MOV239" s="1"/>
      <c r="MOW239" s="1"/>
      <c r="MOX239" s="1"/>
      <c r="MOY239" s="1"/>
      <c r="MOZ239" s="1"/>
      <c r="MPA239" s="1"/>
      <c r="MPB239" s="1"/>
      <c r="MPC239" s="1"/>
      <c r="MPD239" s="1"/>
      <c r="MPE239" s="1"/>
      <c r="MPF239" s="1"/>
      <c r="MPG239" s="1"/>
      <c r="MPH239" s="1"/>
      <c r="MPI239" s="1"/>
      <c r="MPJ239" s="1"/>
      <c r="MPK239" s="1"/>
      <c r="MPL239" s="1"/>
      <c r="MPM239" s="1"/>
      <c r="MPN239" s="1"/>
      <c r="MPO239" s="1"/>
      <c r="MPP239" s="1"/>
      <c r="MPQ239" s="1"/>
      <c r="MPR239" s="1"/>
      <c r="MPS239" s="1"/>
      <c r="MPT239" s="1"/>
      <c r="MPU239" s="1"/>
      <c r="MPV239" s="1"/>
      <c r="MPW239" s="1"/>
      <c r="MPX239" s="1"/>
      <c r="MPY239" s="1"/>
      <c r="MPZ239" s="1"/>
      <c r="MQA239" s="1"/>
      <c r="MQB239" s="1"/>
      <c r="MQC239" s="1"/>
      <c r="MQD239" s="1"/>
      <c r="MQE239" s="1"/>
      <c r="MQF239" s="1"/>
      <c r="MQG239" s="1"/>
      <c r="MQH239" s="1"/>
      <c r="MQI239" s="1"/>
      <c r="MQJ239" s="1"/>
      <c r="MQK239" s="1"/>
      <c r="MQL239" s="1"/>
      <c r="MQM239" s="1"/>
      <c r="MQN239" s="1"/>
      <c r="MQO239" s="1"/>
      <c r="MQP239" s="1"/>
      <c r="MQQ239" s="1"/>
      <c r="MQR239" s="1"/>
      <c r="MQS239" s="1"/>
      <c r="MQT239" s="1"/>
      <c r="MQU239" s="1"/>
      <c r="MQV239" s="1"/>
      <c r="MQW239" s="1"/>
      <c r="MQX239" s="1"/>
      <c r="MQY239" s="1"/>
      <c r="MQZ239" s="1"/>
      <c r="MRA239" s="1"/>
      <c r="MRB239" s="1"/>
      <c r="MRC239" s="1"/>
      <c r="MRD239" s="1"/>
      <c r="MRE239" s="1"/>
      <c r="MRF239" s="1"/>
      <c r="MRG239" s="1"/>
      <c r="MRH239" s="1"/>
      <c r="MRI239" s="1"/>
      <c r="MRJ239" s="1"/>
      <c r="MRK239" s="1"/>
      <c r="MRL239" s="1"/>
      <c r="MRM239" s="1"/>
      <c r="MRN239" s="1"/>
      <c r="MRO239" s="1"/>
      <c r="MRP239" s="1"/>
      <c r="MRQ239" s="1"/>
      <c r="MRR239" s="1"/>
      <c r="MRS239" s="1"/>
      <c r="MRT239" s="1"/>
      <c r="MRU239" s="1"/>
      <c r="MRV239" s="1"/>
      <c r="MRW239" s="1"/>
      <c r="MRX239" s="1"/>
      <c r="MRY239" s="1"/>
      <c r="MRZ239" s="1"/>
      <c r="MSA239" s="1"/>
      <c r="MSB239" s="1"/>
      <c r="MSC239" s="1"/>
      <c r="MSD239" s="1"/>
      <c r="MSE239" s="1"/>
      <c r="MSF239" s="1"/>
      <c r="MSG239" s="1"/>
      <c r="MSH239" s="1"/>
      <c r="MSI239" s="1"/>
      <c r="MSJ239" s="1"/>
      <c r="MSK239" s="1"/>
      <c r="MSL239" s="1"/>
      <c r="MSM239" s="1"/>
      <c r="MSN239" s="1"/>
      <c r="MSO239" s="1"/>
      <c r="MSP239" s="1"/>
      <c r="MSQ239" s="1"/>
      <c r="MSR239" s="1"/>
      <c r="MSS239" s="1"/>
      <c r="MST239" s="1"/>
      <c r="MSU239" s="1"/>
      <c r="MSV239" s="1"/>
      <c r="MSW239" s="1"/>
      <c r="MSX239" s="1"/>
      <c r="MSY239" s="1"/>
      <c r="MSZ239" s="1"/>
      <c r="MTA239" s="1"/>
      <c r="MTB239" s="1"/>
      <c r="MTC239" s="1"/>
      <c r="MTD239" s="1"/>
      <c r="MTE239" s="1"/>
      <c r="MTF239" s="1"/>
      <c r="MTG239" s="1"/>
      <c r="MTH239" s="1"/>
      <c r="MTI239" s="1"/>
      <c r="MTJ239" s="1"/>
      <c r="MTK239" s="1"/>
      <c r="MTL239" s="1"/>
      <c r="MTM239" s="1"/>
      <c r="MTN239" s="1"/>
      <c r="MTO239" s="1"/>
      <c r="MTP239" s="1"/>
      <c r="MTQ239" s="1"/>
      <c r="MTR239" s="1"/>
      <c r="MTS239" s="1"/>
      <c r="MTT239" s="1"/>
      <c r="MTU239" s="1"/>
      <c r="MTV239" s="1"/>
      <c r="MTW239" s="1"/>
      <c r="MTX239" s="1"/>
      <c r="MTY239" s="1"/>
      <c r="MTZ239" s="1"/>
      <c r="MUA239" s="1"/>
      <c r="MUB239" s="1"/>
      <c r="MUC239" s="1"/>
      <c r="MUD239" s="1"/>
      <c r="MUE239" s="1"/>
      <c r="MUF239" s="1"/>
      <c r="MUG239" s="1"/>
      <c r="MUH239" s="1"/>
      <c r="MUI239" s="1"/>
      <c r="MUJ239" s="1"/>
      <c r="MUK239" s="1"/>
      <c r="MUL239" s="1"/>
      <c r="MUM239" s="1"/>
      <c r="MUN239" s="1"/>
      <c r="MUO239" s="1"/>
      <c r="MUP239" s="1"/>
      <c r="MUQ239" s="1"/>
      <c r="MUR239" s="1"/>
      <c r="MUS239" s="1"/>
      <c r="MUT239" s="1"/>
      <c r="MUU239" s="1"/>
      <c r="MUV239" s="1"/>
      <c r="MUW239" s="1"/>
      <c r="MUX239" s="1"/>
      <c r="MUY239" s="1"/>
      <c r="MUZ239" s="1"/>
      <c r="MVA239" s="1"/>
      <c r="MVB239" s="1"/>
      <c r="MVC239" s="1"/>
      <c r="MVD239" s="1"/>
      <c r="MVE239" s="1"/>
      <c r="MVF239" s="1"/>
      <c r="MVG239" s="1"/>
      <c r="MVH239" s="1"/>
      <c r="MVI239" s="1"/>
      <c r="MVJ239" s="1"/>
      <c r="MVK239" s="1"/>
      <c r="MVL239" s="1"/>
      <c r="MVM239" s="1"/>
      <c r="MVN239" s="1"/>
      <c r="MVO239" s="1"/>
      <c r="MVP239" s="1"/>
      <c r="MVQ239" s="1"/>
      <c r="MVR239" s="1"/>
      <c r="MVS239" s="1"/>
      <c r="MVT239" s="1"/>
      <c r="MVU239" s="1"/>
      <c r="MVV239" s="1"/>
      <c r="MVW239" s="1"/>
      <c r="MVX239" s="1"/>
      <c r="MVY239" s="1"/>
      <c r="MVZ239" s="1"/>
      <c r="MWA239" s="1"/>
      <c r="MWB239" s="1"/>
      <c r="MWC239" s="1"/>
      <c r="MWD239" s="1"/>
      <c r="MWE239" s="1"/>
      <c r="MWF239" s="1"/>
      <c r="MWG239" s="1"/>
      <c r="MWH239" s="1"/>
      <c r="MWI239" s="1"/>
      <c r="MWJ239" s="1"/>
      <c r="MWK239" s="1"/>
      <c r="MWL239" s="1"/>
      <c r="MWM239" s="1"/>
      <c r="MWN239" s="1"/>
      <c r="MWO239" s="1"/>
      <c r="MWP239" s="1"/>
      <c r="MWQ239" s="1"/>
      <c r="MWR239" s="1"/>
      <c r="MWS239" s="1"/>
      <c r="MWT239" s="1"/>
      <c r="MWU239" s="1"/>
      <c r="MWV239" s="1"/>
      <c r="MWW239" s="1"/>
      <c r="MWX239" s="1"/>
      <c r="MWY239" s="1"/>
      <c r="MWZ239" s="1"/>
      <c r="MXA239" s="1"/>
      <c r="MXB239" s="1"/>
      <c r="MXC239" s="1"/>
      <c r="MXD239" s="1"/>
      <c r="MXE239" s="1"/>
      <c r="MXF239" s="1"/>
      <c r="MXG239" s="1"/>
      <c r="MXH239" s="1"/>
      <c r="MXI239" s="1"/>
      <c r="MXJ239" s="1"/>
      <c r="MXK239" s="1"/>
      <c r="MXL239" s="1"/>
      <c r="MXM239" s="1"/>
      <c r="MXN239" s="1"/>
      <c r="MXO239" s="1"/>
      <c r="MXP239" s="1"/>
      <c r="MXQ239" s="1"/>
      <c r="MXR239" s="1"/>
      <c r="MXS239" s="1"/>
      <c r="MXT239" s="1"/>
      <c r="MXU239" s="1"/>
      <c r="MXV239" s="1"/>
      <c r="MXW239" s="1"/>
      <c r="MXX239" s="1"/>
      <c r="MXY239" s="1"/>
      <c r="MXZ239" s="1"/>
      <c r="MYA239" s="1"/>
      <c r="MYB239" s="1"/>
      <c r="MYC239" s="1"/>
      <c r="MYD239" s="1"/>
      <c r="MYE239" s="1"/>
      <c r="MYF239" s="1"/>
      <c r="MYG239" s="1"/>
      <c r="MYH239" s="1"/>
      <c r="MYI239" s="1"/>
      <c r="MYJ239" s="1"/>
      <c r="MYK239" s="1"/>
      <c r="MYL239" s="1"/>
      <c r="MYM239" s="1"/>
      <c r="MYN239" s="1"/>
      <c r="MYO239" s="1"/>
      <c r="MYP239" s="1"/>
      <c r="MYQ239" s="1"/>
      <c r="MYR239" s="1"/>
      <c r="MYS239" s="1"/>
      <c r="MYT239" s="1"/>
      <c r="MYU239" s="1"/>
      <c r="MYV239" s="1"/>
      <c r="MYW239" s="1"/>
      <c r="MYX239" s="1"/>
      <c r="MYY239" s="1"/>
      <c r="MYZ239" s="1"/>
      <c r="MZA239" s="1"/>
      <c r="MZB239" s="1"/>
      <c r="MZC239" s="1"/>
      <c r="MZD239" s="1"/>
      <c r="MZE239" s="1"/>
      <c r="MZF239" s="1"/>
      <c r="MZG239" s="1"/>
      <c r="MZH239" s="1"/>
      <c r="MZI239" s="1"/>
      <c r="MZJ239" s="1"/>
      <c r="MZK239" s="1"/>
      <c r="MZL239" s="1"/>
      <c r="MZM239" s="1"/>
      <c r="MZN239" s="1"/>
      <c r="MZO239" s="1"/>
      <c r="MZP239" s="1"/>
      <c r="MZQ239" s="1"/>
      <c r="MZR239" s="1"/>
      <c r="MZS239" s="1"/>
      <c r="MZT239" s="1"/>
      <c r="MZU239" s="1"/>
      <c r="MZV239" s="1"/>
      <c r="MZW239" s="1"/>
      <c r="MZX239" s="1"/>
      <c r="MZY239" s="1"/>
      <c r="MZZ239" s="1"/>
      <c r="NAA239" s="1"/>
      <c r="NAB239" s="1"/>
      <c r="NAC239" s="1"/>
      <c r="NAD239" s="1"/>
      <c r="NAE239" s="1"/>
      <c r="NAF239" s="1"/>
      <c r="NAG239" s="1"/>
      <c r="NAH239" s="1"/>
      <c r="NAI239" s="1"/>
      <c r="NAJ239" s="1"/>
      <c r="NAK239" s="1"/>
      <c r="NAL239" s="1"/>
      <c r="NAM239" s="1"/>
      <c r="NAN239" s="1"/>
      <c r="NAO239" s="1"/>
      <c r="NAP239" s="1"/>
      <c r="NAQ239" s="1"/>
      <c r="NAR239" s="1"/>
      <c r="NAS239" s="1"/>
      <c r="NAT239" s="1"/>
      <c r="NAU239" s="1"/>
      <c r="NAV239" s="1"/>
      <c r="NAW239" s="1"/>
      <c r="NAX239" s="1"/>
      <c r="NAY239" s="1"/>
      <c r="NAZ239" s="1"/>
      <c r="NBA239" s="1"/>
      <c r="NBB239" s="1"/>
      <c r="NBC239" s="1"/>
      <c r="NBD239" s="1"/>
      <c r="NBE239" s="1"/>
      <c r="NBF239" s="1"/>
      <c r="NBG239" s="1"/>
      <c r="NBH239" s="1"/>
      <c r="NBI239" s="1"/>
      <c r="NBJ239" s="1"/>
      <c r="NBK239" s="1"/>
      <c r="NBL239" s="1"/>
      <c r="NBM239" s="1"/>
      <c r="NBN239" s="1"/>
      <c r="NBO239" s="1"/>
      <c r="NBP239" s="1"/>
      <c r="NBQ239" s="1"/>
      <c r="NBR239" s="1"/>
      <c r="NBS239" s="1"/>
      <c r="NBT239" s="1"/>
      <c r="NBU239" s="1"/>
      <c r="NBV239" s="1"/>
      <c r="NBW239" s="1"/>
      <c r="NBX239" s="1"/>
      <c r="NBY239" s="1"/>
      <c r="NBZ239" s="1"/>
      <c r="NCA239" s="1"/>
      <c r="NCB239" s="1"/>
      <c r="NCC239" s="1"/>
      <c r="NCD239" s="1"/>
      <c r="NCE239" s="1"/>
      <c r="NCF239" s="1"/>
      <c r="NCG239" s="1"/>
      <c r="NCH239" s="1"/>
      <c r="NCI239" s="1"/>
      <c r="NCJ239" s="1"/>
      <c r="NCK239" s="1"/>
      <c r="NCL239" s="1"/>
      <c r="NCM239" s="1"/>
      <c r="NCN239" s="1"/>
      <c r="NCO239" s="1"/>
      <c r="NCP239" s="1"/>
      <c r="NCQ239" s="1"/>
      <c r="NCR239" s="1"/>
      <c r="NCS239" s="1"/>
      <c r="NCT239" s="1"/>
      <c r="NCU239" s="1"/>
      <c r="NCV239" s="1"/>
      <c r="NCW239" s="1"/>
      <c r="NCX239" s="1"/>
      <c r="NCY239" s="1"/>
      <c r="NCZ239" s="1"/>
      <c r="NDA239" s="1"/>
      <c r="NDB239" s="1"/>
      <c r="NDC239" s="1"/>
      <c r="NDD239" s="1"/>
      <c r="NDE239" s="1"/>
      <c r="NDF239" s="1"/>
      <c r="NDG239" s="1"/>
      <c r="NDH239" s="1"/>
      <c r="NDI239" s="1"/>
      <c r="NDJ239" s="1"/>
      <c r="NDK239" s="1"/>
      <c r="NDL239" s="1"/>
      <c r="NDM239" s="1"/>
      <c r="NDN239" s="1"/>
      <c r="NDO239" s="1"/>
      <c r="NDP239" s="1"/>
      <c r="NDQ239" s="1"/>
      <c r="NDR239" s="1"/>
      <c r="NDS239" s="1"/>
      <c r="NDT239" s="1"/>
      <c r="NDU239" s="1"/>
      <c r="NDV239" s="1"/>
      <c r="NDW239" s="1"/>
      <c r="NDX239" s="1"/>
      <c r="NDY239" s="1"/>
      <c r="NDZ239" s="1"/>
      <c r="NEA239" s="1"/>
      <c r="NEB239" s="1"/>
      <c r="NEC239" s="1"/>
      <c r="NED239" s="1"/>
      <c r="NEE239" s="1"/>
      <c r="NEF239" s="1"/>
      <c r="NEG239" s="1"/>
      <c r="NEH239" s="1"/>
      <c r="NEI239" s="1"/>
      <c r="NEJ239" s="1"/>
      <c r="NEK239" s="1"/>
      <c r="NEL239" s="1"/>
      <c r="NEM239" s="1"/>
      <c r="NEN239" s="1"/>
      <c r="NEO239" s="1"/>
      <c r="NEP239" s="1"/>
      <c r="NEQ239" s="1"/>
      <c r="NER239" s="1"/>
      <c r="NES239" s="1"/>
      <c r="NET239" s="1"/>
      <c r="NEU239" s="1"/>
      <c r="NEV239" s="1"/>
      <c r="NEW239" s="1"/>
      <c r="NEX239" s="1"/>
      <c r="NEY239" s="1"/>
      <c r="NEZ239" s="1"/>
      <c r="NFA239" s="1"/>
      <c r="NFB239" s="1"/>
      <c r="NFC239" s="1"/>
      <c r="NFD239" s="1"/>
      <c r="NFE239" s="1"/>
      <c r="NFF239" s="1"/>
      <c r="NFG239" s="1"/>
      <c r="NFH239" s="1"/>
      <c r="NFI239" s="1"/>
      <c r="NFJ239" s="1"/>
      <c r="NFK239" s="1"/>
      <c r="NFL239" s="1"/>
      <c r="NFM239" s="1"/>
      <c r="NFN239" s="1"/>
      <c r="NFO239" s="1"/>
      <c r="NFP239" s="1"/>
      <c r="NFQ239" s="1"/>
      <c r="NFR239" s="1"/>
      <c r="NFS239" s="1"/>
      <c r="NFT239" s="1"/>
      <c r="NFU239" s="1"/>
      <c r="NFV239" s="1"/>
      <c r="NFW239" s="1"/>
      <c r="NFX239" s="1"/>
      <c r="NFY239" s="1"/>
      <c r="NFZ239" s="1"/>
      <c r="NGA239" s="1"/>
      <c r="NGB239" s="1"/>
      <c r="NGC239" s="1"/>
      <c r="NGD239" s="1"/>
      <c r="NGE239" s="1"/>
      <c r="NGF239" s="1"/>
      <c r="NGG239" s="1"/>
      <c r="NGH239" s="1"/>
      <c r="NGI239" s="1"/>
      <c r="NGJ239" s="1"/>
      <c r="NGK239" s="1"/>
      <c r="NGL239" s="1"/>
      <c r="NGM239" s="1"/>
      <c r="NGN239" s="1"/>
      <c r="NGO239" s="1"/>
      <c r="NGP239" s="1"/>
      <c r="NGQ239" s="1"/>
      <c r="NGR239" s="1"/>
      <c r="NGS239" s="1"/>
      <c r="NGT239" s="1"/>
      <c r="NGU239" s="1"/>
      <c r="NGV239" s="1"/>
      <c r="NGW239" s="1"/>
      <c r="NGX239" s="1"/>
      <c r="NGY239" s="1"/>
      <c r="NGZ239" s="1"/>
      <c r="NHA239" s="1"/>
      <c r="NHB239" s="1"/>
      <c r="NHC239" s="1"/>
      <c r="NHD239" s="1"/>
      <c r="NHE239" s="1"/>
      <c r="NHF239" s="1"/>
      <c r="NHG239" s="1"/>
      <c r="NHH239" s="1"/>
      <c r="NHI239" s="1"/>
      <c r="NHJ239" s="1"/>
      <c r="NHK239" s="1"/>
      <c r="NHL239" s="1"/>
      <c r="NHM239" s="1"/>
      <c r="NHN239" s="1"/>
      <c r="NHO239" s="1"/>
      <c r="NHP239" s="1"/>
      <c r="NHQ239" s="1"/>
      <c r="NHR239" s="1"/>
      <c r="NHS239" s="1"/>
      <c r="NHT239" s="1"/>
      <c r="NHU239" s="1"/>
      <c r="NHV239" s="1"/>
      <c r="NHW239" s="1"/>
      <c r="NHX239" s="1"/>
      <c r="NHY239" s="1"/>
      <c r="NHZ239" s="1"/>
      <c r="NIA239" s="1"/>
      <c r="NIB239" s="1"/>
      <c r="NIC239" s="1"/>
      <c r="NID239" s="1"/>
      <c r="NIE239" s="1"/>
      <c r="NIF239" s="1"/>
      <c r="NIG239" s="1"/>
      <c r="NIH239" s="1"/>
      <c r="NII239" s="1"/>
      <c r="NIJ239" s="1"/>
      <c r="NIK239" s="1"/>
      <c r="NIL239" s="1"/>
      <c r="NIM239" s="1"/>
      <c r="NIN239" s="1"/>
      <c r="NIO239" s="1"/>
      <c r="NIP239" s="1"/>
      <c r="NIQ239" s="1"/>
      <c r="NIR239" s="1"/>
      <c r="NIS239" s="1"/>
      <c r="NIT239" s="1"/>
      <c r="NIU239" s="1"/>
      <c r="NIV239" s="1"/>
      <c r="NIW239" s="1"/>
      <c r="NIX239" s="1"/>
      <c r="NIY239" s="1"/>
      <c r="NIZ239" s="1"/>
      <c r="NJA239" s="1"/>
      <c r="NJB239" s="1"/>
      <c r="NJC239" s="1"/>
      <c r="NJD239" s="1"/>
      <c r="NJE239" s="1"/>
      <c r="NJF239" s="1"/>
      <c r="NJG239" s="1"/>
      <c r="NJH239" s="1"/>
      <c r="NJI239" s="1"/>
      <c r="NJJ239" s="1"/>
      <c r="NJK239" s="1"/>
      <c r="NJL239" s="1"/>
      <c r="NJM239" s="1"/>
      <c r="NJN239" s="1"/>
      <c r="NJO239" s="1"/>
      <c r="NJP239" s="1"/>
      <c r="NJQ239" s="1"/>
      <c r="NJR239" s="1"/>
      <c r="NJS239" s="1"/>
      <c r="NJT239" s="1"/>
      <c r="NJU239" s="1"/>
      <c r="NJV239" s="1"/>
      <c r="NJW239" s="1"/>
      <c r="NJX239" s="1"/>
      <c r="NJY239" s="1"/>
      <c r="NJZ239" s="1"/>
      <c r="NKA239" s="1"/>
      <c r="NKB239" s="1"/>
      <c r="NKC239" s="1"/>
      <c r="NKD239" s="1"/>
      <c r="NKE239" s="1"/>
      <c r="NKF239" s="1"/>
      <c r="NKG239" s="1"/>
      <c r="NKH239" s="1"/>
      <c r="NKI239" s="1"/>
      <c r="NKJ239" s="1"/>
      <c r="NKK239" s="1"/>
      <c r="NKL239" s="1"/>
      <c r="NKM239" s="1"/>
      <c r="NKN239" s="1"/>
      <c r="NKO239" s="1"/>
      <c r="NKP239" s="1"/>
      <c r="NKQ239" s="1"/>
      <c r="NKR239" s="1"/>
      <c r="NKS239" s="1"/>
      <c r="NKT239" s="1"/>
      <c r="NKU239" s="1"/>
      <c r="NKV239" s="1"/>
      <c r="NKW239" s="1"/>
      <c r="NKX239" s="1"/>
      <c r="NKY239" s="1"/>
      <c r="NKZ239" s="1"/>
      <c r="NLA239" s="1"/>
      <c r="NLB239" s="1"/>
      <c r="NLC239" s="1"/>
      <c r="NLD239" s="1"/>
      <c r="NLE239" s="1"/>
      <c r="NLF239" s="1"/>
      <c r="NLG239" s="1"/>
      <c r="NLH239" s="1"/>
      <c r="NLI239" s="1"/>
      <c r="NLJ239" s="1"/>
      <c r="NLK239" s="1"/>
      <c r="NLL239" s="1"/>
      <c r="NLM239" s="1"/>
      <c r="NLN239" s="1"/>
      <c r="NLO239" s="1"/>
      <c r="NLP239" s="1"/>
      <c r="NLQ239" s="1"/>
      <c r="NLR239" s="1"/>
      <c r="NLS239" s="1"/>
      <c r="NLT239" s="1"/>
      <c r="NLU239" s="1"/>
      <c r="NLV239" s="1"/>
      <c r="NLW239" s="1"/>
      <c r="NLX239" s="1"/>
      <c r="NLY239" s="1"/>
      <c r="NLZ239" s="1"/>
      <c r="NMA239" s="1"/>
      <c r="NMB239" s="1"/>
      <c r="NMC239" s="1"/>
      <c r="NMD239" s="1"/>
      <c r="NME239" s="1"/>
      <c r="NMF239" s="1"/>
      <c r="NMG239" s="1"/>
      <c r="NMH239" s="1"/>
      <c r="NMI239" s="1"/>
      <c r="NMJ239" s="1"/>
      <c r="NMK239" s="1"/>
      <c r="NML239" s="1"/>
      <c r="NMM239" s="1"/>
      <c r="NMN239" s="1"/>
      <c r="NMO239" s="1"/>
      <c r="NMP239" s="1"/>
      <c r="NMQ239" s="1"/>
      <c r="NMR239" s="1"/>
      <c r="NMS239" s="1"/>
      <c r="NMT239" s="1"/>
      <c r="NMU239" s="1"/>
      <c r="NMV239" s="1"/>
      <c r="NMW239" s="1"/>
      <c r="NMX239" s="1"/>
      <c r="NMY239" s="1"/>
      <c r="NMZ239" s="1"/>
      <c r="NNA239" s="1"/>
      <c r="NNB239" s="1"/>
      <c r="NNC239" s="1"/>
      <c r="NND239" s="1"/>
      <c r="NNE239" s="1"/>
      <c r="NNF239" s="1"/>
      <c r="NNG239" s="1"/>
      <c r="NNH239" s="1"/>
      <c r="NNI239" s="1"/>
      <c r="NNJ239" s="1"/>
      <c r="NNK239" s="1"/>
      <c r="NNL239" s="1"/>
      <c r="NNM239" s="1"/>
      <c r="NNN239" s="1"/>
      <c r="NNO239" s="1"/>
      <c r="NNP239" s="1"/>
      <c r="NNQ239" s="1"/>
      <c r="NNR239" s="1"/>
      <c r="NNS239" s="1"/>
      <c r="NNT239" s="1"/>
      <c r="NNU239" s="1"/>
      <c r="NNV239" s="1"/>
      <c r="NNW239" s="1"/>
      <c r="NNX239" s="1"/>
      <c r="NNY239" s="1"/>
      <c r="NNZ239" s="1"/>
      <c r="NOA239" s="1"/>
      <c r="NOB239" s="1"/>
      <c r="NOC239" s="1"/>
      <c r="NOD239" s="1"/>
      <c r="NOE239" s="1"/>
      <c r="NOF239" s="1"/>
      <c r="NOG239" s="1"/>
      <c r="NOH239" s="1"/>
      <c r="NOI239" s="1"/>
      <c r="NOJ239" s="1"/>
      <c r="NOK239" s="1"/>
      <c r="NOL239" s="1"/>
      <c r="NOM239" s="1"/>
      <c r="NON239" s="1"/>
      <c r="NOO239" s="1"/>
      <c r="NOP239" s="1"/>
      <c r="NOQ239" s="1"/>
      <c r="NOR239" s="1"/>
      <c r="NOS239" s="1"/>
      <c r="NOT239" s="1"/>
      <c r="NOU239" s="1"/>
      <c r="NOV239" s="1"/>
      <c r="NOW239" s="1"/>
      <c r="NOX239" s="1"/>
      <c r="NOY239" s="1"/>
      <c r="NOZ239" s="1"/>
      <c r="NPA239" s="1"/>
      <c r="NPB239" s="1"/>
      <c r="NPC239" s="1"/>
      <c r="NPD239" s="1"/>
      <c r="NPE239" s="1"/>
      <c r="NPF239" s="1"/>
      <c r="NPG239" s="1"/>
      <c r="NPH239" s="1"/>
      <c r="NPI239" s="1"/>
      <c r="NPJ239" s="1"/>
      <c r="NPK239" s="1"/>
      <c r="NPL239" s="1"/>
      <c r="NPM239" s="1"/>
      <c r="NPN239" s="1"/>
      <c r="NPO239" s="1"/>
      <c r="NPP239" s="1"/>
      <c r="NPQ239" s="1"/>
      <c r="NPR239" s="1"/>
      <c r="NPS239" s="1"/>
      <c r="NPT239" s="1"/>
      <c r="NPU239" s="1"/>
      <c r="NPV239" s="1"/>
      <c r="NPW239" s="1"/>
      <c r="NPX239" s="1"/>
      <c r="NPY239" s="1"/>
      <c r="NPZ239" s="1"/>
      <c r="NQA239" s="1"/>
      <c r="NQB239" s="1"/>
      <c r="NQC239" s="1"/>
      <c r="NQD239" s="1"/>
      <c r="NQE239" s="1"/>
      <c r="NQF239" s="1"/>
      <c r="NQG239" s="1"/>
      <c r="NQH239" s="1"/>
      <c r="NQI239" s="1"/>
      <c r="NQJ239" s="1"/>
      <c r="NQK239" s="1"/>
      <c r="NQL239" s="1"/>
      <c r="NQM239" s="1"/>
      <c r="NQN239" s="1"/>
      <c r="NQO239" s="1"/>
      <c r="NQP239" s="1"/>
      <c r="NQQ239" s="1"/>
      <c r="NQR239" s="1"/>
      <c r="NQS239" s="1"/>
      <c r="NQT239" s="1"/>
      <c r="NQU239" s="1"/>
      <c r="NQV239" s="1"/>
      <c r="NQW239" s="1"/>
      <c r="NQX239" s="1"/>
      <c r="NQY239" s="1"/>
      <c r="NQZ239" s="1"/>
      <c r="NRA239" s="1"/>
      <c r="NRB239" s="1"/>
      <c r="NRC239" s="1"/>
      <c r="NRD239" s="1"/>
      <c r="NRE239" s="1"/>
      <c r="NRF239" s="1"/>
      <c r="NRG239" s="1"/>
      <c r="NRH239" s="1"/>
      <c r="NRI239" s="1"/>
      <c r="NRJ239" s="1"/>
      <c r="NRK239" s="1"/>
      <c r="NRL239" s="1"/>
      <c r="NRM239" s="1"/>
      <c r="NRN239" s="1"/>
      <c r="NRO239" s="1"/>
      <c r="NRP239" s="1"/>
      <c r="NRQ239" s="1"/>
      <c r="NRR239" s="1"/>
      <c r="NRS239" s="1"/>
      <c r="NRT239" s="1"/>
      <c r="NRU239" s="1"/>
      <c r="NRV239" s="1"/>
      <c r="NRW239" s="1"/>
      <c r="NRX239" s="1"/>
      <c r="NRY239" s="1"/>
      <c r="NRZ239" s="1"/>
      <c r="NSA239" s="1"/>
      <c r="NSB239" s="1"/>
      <c r="NSC239" s="1"/>
      <c r="NSD239" s="1"/>
      <c r="NSE239" s="1"/>
      <c r="NSF239" s="1"/>
      <c r="NSG239" s="1"/>
      <c r="NSH239" s="1"/>
      <c r="NSI239" s="1"/>
      <c r="NSJ239" s="1"/>
      <c r="NSK239" s="1"/>
      <c r="NSL239" s="1"/>
      <c r="NSM239" s="1"/>
      <c r="NSN239" s="1"/>
      <c r="NSO239" s="1"/>
      <c r="NSP239" s="1"/>
      <c r="NSQ239" s="1"/>
      <c r="NSR239" s="1"/>
      <c r="NSS239" s="1"/>
      <c r="NST239" s="1"/>
      <c r="NSU239" s="1"/>
      <c r="NSV239" s="1"/>
      <c r="NSW239" s="1"/>
      <c r="NSX239" s="1"/>
      <c r="NSY239" s="1"/>
      <c r="NSZ239" s="1"/>
      <c r="NTA239" s="1"/>
      <c r="NTB239" s="1"/>
      <c r="NTC239" s="1"/>
      <c r="NTD239" s="1"/>
      <c r="NTE239" s="1"/>
      <c r="NTF239" s="1"/>
      <c r="NTG239" s="1"/>
      <c r="NTH239" s="1"/>
      <c r="NTI239" s="1"/>
      <c r="NTJ239" s="1"/>
      <c r="NTK239" s="1"/>
      <c r="NTL239" s="1"/>
      <c r="NTM239" s="1"/>
      <c r="NTN239" s="1"/>
      <c r="NTO239" s="1"/>
      <c r="NTP239" s="1"/>
      <c r="NTQ239" s="1"/>
      <c r="NTR239" s="1"/>
      <c r="NTS239" s="1"/>
      <c r="NTT239" s="1"/>
      <c r="NTU239" s="1"/>
      <c r="NTV239" s="1"/>
      <c r="NTW239" s="1"/>
      <c r="NTX239" s="1"/>
      <c r="NTY239" s="1"/>
      <c r="NTZ239" s="1"/>
      <c r="NUA239" s="1"/>
      <c r="NUB239" s="1"/>
      <c r="NUC239" s="1"/>
      <c r="NUD239" s="1"/>
      <c r="NUE239" s="1"/>
      <c r="NUF239" s="1"/>
      <c r="NUG239" s="1"/>
      <c r="NUH239" s="1"/>
      <c r="NUI239" s="1"/>
      <c r="NUJ239" s="1"/>
      <c r="NUK239" s="1"/>
      <c r="NUL239" s="1"/>
      <c r="NUM239" s="1"/>
      <c r="NUN239" s="1"/>
      <c r="NUO239" s="1"/>
      <c r="NUP239" s="1"/>
      <c r="NUQ239" s="1"/>
      <c r="NUR239" s="1"/>
      <c r="NUS239" s="1"/>
      <c r="NUT239" s="1"/>
      <c r="NUU239" s="1"/>
      <c r="NUV239" s="1"/>
      <c r="NUW239" s="1"/>
      <c r="NUX239" s="1"/>
      <c r="NUY239" s="1"/>
      <c r="NUZ239" s="1"/>
      <c r="NVA239" s="1"/>
      <c r="NVB239" s="1"/>
      <c r="NVC239" s="1"/>
      <c r="NVD239" s="1"/>
      <c r="NVE239" s="1"/>
      <c r="NVF239" s="1"/>
      <c r="NVG239" s="1"/>
      <c r="NVH239" s="1"/>
      <c r="NVI239" s="1"/>
      <c r="NVJ239" s="1"/>
      <c r="NVK239" s="1"/>
      <c r="NVL239" s="1"/>
      <c r="NVM239" s="1"/>
      <c r="NVN239" s="1"/>
      <c r="NVO239" s="1"/>
      <c r="NVP239" s="1"/>
      <c r="NVQ239" s="1"/>
      <c r="NVR239" s="1"/>
      <c r="NVS239" s="1"/>
      <c r="NVT239" s="1"/>
      <c r="NVU239" s="1"/>
      <c r="NVV239" s="1"/>
      <c r="NVW239" s="1"/>
      <c r="NVX239" s="1"/>
      <c r="NVY239" s="1"/>
      <c r="NVZ239" s="1"/>
      <c r="NWA239" s="1"/>
      <c r="NWB239" s="1"/>
      <c r="NWC239" s="1"/>
      <c r="NWD239" s="1"/>
      <c r="NWE239" s="1"/>
      <c r="NWF239" s="1"/>
      <c r="NWG239" s="1"/>
      <c r="NWH239" s="1"/>
      <c r="NWI239" s="1"/>
      <c r="NWJ239" s="1"/>
      <c r="NWK239" s="1"/>
      <c r="NWL239" s="1"/>
      <c r="NWM239" s="1"/>
      <c r="NWN239" s="1"/>
      <c r="NWO239" s="1"/>
      <c r="NWP239" s="1"/>
      <c r="NWQ239" s="1"/>
      <c r="NWR239" s="1"/>
      <c r="NWS239" s="1"/>
      <c r="NWT239" s="1"/>
      <c r="NWU239" s="1"/>
      <c r="NWV239" s="1"/>
      <c r="NWW239" s="1"/>
      <c r="NWX239" s="1"/>
      <c r="NWY239" s="1"/>
      <c r="NWZ239" s="1"/>
      <c r="NXA239" s="1"/>
      <c r="NXB239" s="1"/>
      <c r="NXC239" s="1"/>
      <c r="NXD239" s="1"/>
      <c r="NXE239" s="1"/>
      <c r="NXF239" s="1"/>
      <c r="NXG239" s="1"/>
      <c r="NXH239" s="1"/>
      <c r="NXI239" s="1"/>
      <c r="NXJ239" s="1"/>
      <c r="NXK239" s="1"/>
      <c r="NXL239" s="1"/>
      <c r="NXM239" s="1"/>
      <c r="NXN239" s="1"/>
      <c r="NXO239" s="1"/>
      <c r="NXP239" s="1"/>
      <c r="NXQ239" s="1"/>
      <c r="NXR239" s="1"/>
      <c r="NXS239" s="1"/>
      <c r="NXT239" s="1"/>
      <c r="NXU239" s="1"/>
      <c r="NXV239" s="1"/>
      <c r="NXW239" s="1"/>
      <c r="NXX239" s="1"/>
      <c r="NXY239" s="1"/>
      <c r="NXZ239" s="1"/>
      <c r="NYA239" s="1"/>
      <c r="NYB239" s="1"/>
      <c r="NYC239" s="1"/>
      <c r="NYD239" s="1"/>
      <c r="NYE239" s="1"/>
      <c r="NYF239" s="1"/>
      <c r="NYG239" s="1"/>
      <c r="NYH239" s="1"/>
      <c r="NYI239" s="1"/>
      <c r="NYJ239" s="1"/>
      <c r="NYK239" s="1"/>
      <c r="NYL239" s="1"/>
      <c r="NYM239" s="1"/>
      <c r="NYN239" s="1"/>
      <c r="NYO239" s="1"/>
      <c r="NYP239" s="1"/>
      <c r="NYQ239" s="1"/>
      <c r="NYR239" s="1"/>
      <c r="NYS239" s="1"/>
      <c r="NYT239" s="1"/>
      <c r="NYU239" s="1"/>
      <c r="NYV239" s="1"/>
      <c r="NYW239" s="1"/>
      <c r="NYX239" s="1"/>
      <c r="NYY239" s="1"/>
      <c r="NYZ239" s="1"/>
      <c r="NZA239" s="1"/>
      <c r="NZB239" s="1"/>
      <c r="NZC239" s="1"/>
      <c r="NZD239" s="1"/>
      <c r="NZE239" s="1"/>
      <c r="NZF239" s="1"/>
      <c r="NZG239" s="1"/>
      <c r="NZH239" s="1"/>
      <c r="NZI239" s="1"/>
      <c r="NZJ239" s="1"/>
      <c r="NZK239" s="1"/>
      <c r="NZL239" s="1"/>
      <c r="NZM239" s="1"/>
      <c r="NZN239" s="1"/>
      <c r="NZO239" s="1"/>
      <c r="NZP239" s="1"/>
      <c r="NZQ239" s="1"/>
      <c r="NZR239" s="1"/>
      <c r="NZS239" s="1"/>
      <c r="NZT239" s="1"/>
      <c r="NZU239" s="1"/>
      <c r="NZV239" s="1"/>
      <c r="NZW239" s="1"/>
      <c r="NZX239" s="1"/>
      <c r="NZY239" s="1"/>
      <c r="NZZ239" s="1"/>
      <c r="OAA239" s="1"/>
      <c r="OAB239" s="1"/>
      <c r="OAC239" s="1"/>
      <c r="OAD239" s="1"/>
      <c r="OAE239" s="1"/>
      <c r="OAF239" s="1"/>
      <c r="OAG239" s="1"/>
      <c r="OAH239" s="1"/>
      <c r="OAI239" s="1"/>
      <c r="OAJ239" s="1"/>
      <c r="OAK239" s="1"/>
      <c r="OAL239" s="1"/>
      <c r="OAM239" s="1"/>
      <c r="OAN239" s="1"/>
      <c r="OAO239" s="1"/>
      <c r="OAP239" s="1"/>
      <c r="OAQ239" s="1"/>
      <c r="OAR239" s="1"/>
      <c r="OAS239" s="1"/>
      <c r="OAT239" s="1"/>
      <c r="OAU239" s="1"/>
      <c r="OAV239" s="1"/>
      <c r="OAW239" s="1"/>
      <c r="OAX239" s="1"/>
      <c r="OAY239" s="1"/>
      <c r="OAZ239" s="1"/>
      <c r="OBA239" s="1"/>
      <c r="OBB239" s="1"/>
      <c r="OBC239" s="1"/>
      <c r="OBD239" s="1"/>
      <c r="OBE239" s="1"/>
      <c r="OBF239" s="1"/>
      <c r="OBG239" s="1"/>
      <c r="OBH239" s="1"/>
      <c r="OBI239" s="1"/>
      <c r="OBJ239" s="1"/>
      <c r="OBK239" s="1"/>
      <c r="OBL239" s="1"/>
      <c r="OBM239" s="1"/>
      <c r="OBN239" s="1"/>
      <c r="OBO239" s="1"/>
      <c r="OBP239" s="1"/>
      <c r="OBQ239" s="1"/>
      <c r="OBR239" s="1"/>
      <c r="OBS239" s="1"/>
      <c r="OBT239" s="1"/>
      <c r="OBU239" s="1"/>
      <c r="OBV239" s="1"/>
      <c r="OBW239" s="1"/>
      <c r="OBX239" s="1"/>
      <c r="OBY239" s="1"/>
      <c r="OBZ239" s="1"/>
      <c r="OCA239" s="1"/>
      <c r="OCB239" s="1"/>
      <c r="OCC239" s="1"/>
      <c r="OCD239" s="1"/>
      <c r="OCE239" s="1"/>
      <c r="OCF239" s="1"/>
      <c r="OCG239" s="1"/>
      <c r="OCH239" s="1"/>
      <c r="OCI239" s="1"/>
      <c r="OCJ239" s="1"/>
      <c r="OCK239" s="1"/>
      <c r="OCL239" s="1"/>
      <c r="OCM239" s="1"/>
      <c r="OCN239" s="1"/>
      <c r="OCO239" s="1"/>
      <c r="OCP239" s="1"/>
      <c r="OCQ239" s="1"/>
      <c r="OCR239" s="1"/>
      <c r="OCS239" s="1"/>
      <c r="OCT239" s="1"/>
      <c r="OCU239" s="1"/>
      <c r="OCV239" s="1"/>
      <c r="OCW239" s="1"/>
      <c r="OCX239" s="1"/>
      <c r="OCY239" s="1"/>
      <c r="OCZ239" s="1"/>
      <c r="ODA239" s="1"/>
      <c r="ODB239" s="1"/>
      <c r="ODC239" s="1"/>
      <c r="ODD239" s="1"/>
      <c r="ODE239" s="1"/>
      <c r="ODF239" s="1"/>
      <c r="ODG239" s="1"/>
      <c r="ODH239" s="1"/>
      <c r="ODI239" s="1"/>
      <c r="ODJ239" s="1"/>
      <c r="ODK239" s="1"/>
      <c r="ODL239" s="1"/>
      <c r="ODM239" s="1"/>
      <c r="ODN239" s="1"/>
      <c r="ODO239" s="1"/>
      <c r="ODP239" s="1"/>
      <c r="ODQ239" s="1"/>
      <c r="ODR239" s="1"/>
      <c r="ODS239" s="1"/>
      <c r="ODT239" s="1"/>
      <c r="ODU239" s="1"/>
      <c r="ODV239" s="1"/>
      <c r="ODW239" s="1"/>
      <c r="ODX239" s="1"/>
      <c r="ODY239" s="1"/>
      <c r="ODZ239" s="1"/>
      <c r="OEA239" s="1"/>
      <c r="OEB239" s="1"/>
      <c r="OEC239" s="1"/>
      <c r="OED239" s="1"/>
      <c r="OEE239" s="1"/>
      <c r="OEF239" s="1"/>
      <c r="OEG239" s="1"/>
      <c r="OEH239" s="1"/>
      <c r="OEI239" s="1"/>
      <c r="OEJ239" s="1"/>
      <c r="OEK239" s="1"/>
      <c r="OEL239" s="1"/>
      <c r="OEM239" s="1"/>
      <c r="OEN239" s="1"/>
      <c r="OEO239" s="1"/>
      <c r="OEP239" s="1"/>
      <c r="OEQ239" s="1"/>
      <c r="OER239" s="1"/>
      <c r="OES239" s="1"/>
      <c r="OET239" s="1"/>
      <c r="OEU239" s="1"/>
      <c r="OEV239" s="1"/>
      <c r="OEW239" s="1"/>
      <c r="OEX239" s="1"/>
      <c r="OEY239" s="1"/>
      <c r="OEZ239" s="1"/>
      <c r="OFA239" s="1"/>
      <c r="OFB239" s="1"/>
      <c r="OFC239" s="1"/>
      <c r="OFD239" s="1"/>
      <c r="OFE239" s="1"/>
      <c r="OFF239" s="1"/>
      <c r="OFG239" s="1"/>
      <c r="OFH239" s="1"/>
      <c r="OFI239" s="1"/>
      <c r="OFJ239" s="1"/>
      <c r="OFK239" s="1"/>
      <c r="OFL239" s="1"/>
      <c r="OFM239" s="1"/>
      <c r="OFN239" s="1"/>
      <c r="OFO239" s="1"/>
      <c r="OFP239" s="1"/>
      <c r="OFQ239" s="1"/>
      <c r="OFR239" s="1"/>
      <c r="OFS239" s="1"/>
      <c r="OFT239" s="1"/>
      <c r="OFU239" s="1"/>
      <c r="OFV239" s="1"/>
      <c r="OFW239" s="1"/>
      <c r="OFX239" s="1"/>
      <c r="OFY239" s="1"/>
      <c r="OFZ239" s="1"/>
      <c r="OGA239" s="1"/>
      <c r="OGB239" s="1"/>
      <c r="OGC239" s="1"/>
      <c r="OGD239" s="1"/>
      <c r="OGE239" s="1"/>
      <c r="OGF239" s="1"/>
      <c r="OGG239" s="1"/>
      <c r="OGH239" s="1"/>
      <c r="OGI239" s="1"/>
      <c r="OGJ239" s="1"/>
      <c r="OGK239" s="1"/>
      <c r="OGL239" s="1"/>
      <c r="OGM239" s="1"/>
      <c r="OGN239" s="1"/>
      <c r="OGO239" s="1"/>
      <c r="OGP239" s="1"/>
      <c r="OGQ239" s="1"/>
      <c r="OGR239" s="1"/>
      <c r="OGS239" s="1"/>
      <c r="OGT239" s="1"/>
      <c r="OGU239" s="1"/>
      <c r="OGV239" s="1"/>
      <c r="OGW239" s="1"/>
      <c r="OGX239" s="1"/>
      <c r="OGY239" s="1"/>
      <c r="OGZ239" s="1"/>
      <c r="OHA239" s="1"/>
      <c r="OHB239" s="1"/>
      <c r="OHC239" s="1"/>
      <c r="OHD239" s="1"/>
      <c r="OHE239" s="1"/>
      <c r="OHF239" s="1"/>
      <c r="OHG239" s="1"/>
      <c r="OHH239" s="1"/>
      <c r="OHI239" s="1"/>
      <c r="OHJ239" s="1"/>
      <c r="OHK239" s="1"/>
      <c r="OHL239" s="1"/>
      <c r="OHM239" s="1"/>
      <c r="OHN239" s="1"/>
      <c r="OHO239" s="1"/>
      <c r="OHP239" s="1"/>
      <c r="OHQ239" s="1"/>
      <c r="OHR239" s="1"/>
      <c r="OHS239" s="1"/>
      <c r="OHT239" s="1"/>
      <c r="OHU239" s="1"/>
      <c r="OHV239" s="1"/>
      <c r="OHW239" s="1"/>
      <c r="OHX239" s="1"/>
      <c r="OHY239" s="1"/>
      <c r="OHZ239" s="1"/>
      <c r="OIA239" s="1"/>
      <c r="OIB239" s="1"/>
      <c r="OIC239" s="1"/>
      <c r="OID239" s="1"/>
      <c r="OIE239" s="1"/>
      <c r="OIF239" s="1"/>
      <c r="OIG239" s="1"/>
      <c r="OIH239" s="1"/>
      <c r="OII239" s="1"/>
      <c r="OIJ239" s="1"/>
      <c r="OIK239" s="1"/>
      <c r="OIL239" s="1"/>
      <c r="OIM239" s="1"/>
      <c r="OIN239" s="1"/>
      <c r="OIO239" s="1"/>
      <c r="OIP239" s="1"/>
      <c r="OIQ239" s="1"/>
      <c r="OIR239" s="1"/>
      <c r="OIS239" s="1"/>
      <c r="OIT239" s="1"/>
      <c r="OIU239" s="1"/>
      <c r="OIV239" s="1"/>
      <c r="OIW239" s="1"/>
      <c r="OIX239" s="1"/>
      <c r="OIY239" s="1"/>
      <c r="OIZ239" s="1"/>
      <c r="OJA239" s="1"/>
      <c r="OJB239" s="1"/>
      <c r="OJC239" s="1"/>
      <c r="OJD239" s="1"/>
      <c r="OJE239" s="1"/>
      <c r="OJF239" s="1"/>
      <c r="OJG239" s="1"/>
      <c r="OJH239" s="1"/>
      <c r="OJI239" s="1"/>
      <c r="OJJ239" s="1"/>
      <c r="OJK239" s="1"/>
      <c r="OJL239" s="1"/>
      <c r="OJM239" s="1"/>
      <c r="OJN239" s="1"/>
      <c r="OJO239" s="1"/>
      <c r="OJP239" s="1"/>
      <c r="OJQ239" s="1"/>
      <c r="OJR239" s="1"/>
      <c r="OJS239" s="1"/>
      <c r="OJT239" s="1"/>
      <c r="OJU239" s="1"/>
      <c r="OJV239" s="1"/>
      <c r="OJW239" s="1"/>
      <c r="OJX239" s="1"/>
      <c r="OJY239" s="1"/>
      <c r="OJZ239" s="1"/>
      <c r="OKA239" s="1"/>
      <c r="OKB239" s="1"/>
      <c r="OKC239" s="1"/>
      <c r="OKD239" s="1"/>
      <c r="OKE239" s="1"/>
      <c r="OKF239" s="1"/>
      <c r="OKG239" s="1"/>
      <c r="OKH239" s="1"/>
      <c r="OKI239" s="1"/>
      <c r="OKJ239" s="1"/>
      <c r="OKK239" s="1"/>
      <c r="OKL239" s="1"/>
      <c r="OKM239" s="1"/>
      <c r="OKN239" s="1"/>
      <c r="OKO239" s="1"/>
      <c r="OKP239" s="1"/>
      <c r="OKQ239" s="1"/>
      <c r="OKR239" s="1"/>
      <c r="OKS239" s="1"/>
      <c r="OKT239" s="1"/>
      <c r="OKU239" s="1"/>
      <c r="OKV239" s="1"/>
      <c r="OKW239" s="1"/>
      <c r="OKX239" s="1"/>
      <c r="OKY239" s="1"/>
      <c r="OKZ239" s="1"/>
      <c r="OLA239" s="1"/>
      <c r="OLB239" s="1"/>
      <c r="OLC239" s="1"/>
      <c r="OLD239" s="1"/>
      <c r="OLE239" s="1"/>
      <c r="OLF239" s="1"/>
      <c r="OLG239" s="1"/>
      <c r="OLH239" s="1"/>
      <c r="OLI239" s="1"/>
      <c r="OLJ239" s="1"/>
      <c r="OLK239" s="1"/>
      <c r="OLL239" s="1"/>
      <c r="OLM239" s="1"/>
      <c r="OLN239" s="1"/>
      <c r="OLO239" s="1"/>
      <c r="OLP239" s="1"/>
      <c r="OLQ239" s="1"/>
      <c r="OLR239" s="1"/>
      <c r="OLS239" s="1"/>
      <c r="OLT239" s="1"/>
      <c r="OLU239" s="1"/>
      <c r="OLV239" s="1"/>
      <c r="OLW239" s="1"/>
      <c r="OLX239" s="1"/>
      <c r="OLY239" s="1"/>
      <c r="OLZ239" s="1"/>
      <c r="OMA239" s="1"/>
      <c r="OMB239" s="1"/>
      <c r="OMC239" s="1"/>
      <c r="OMD239" s="1"/>
      <c r="OME239" s="1"/>
      <c r="OMF239" s="1"/>
      <c r="OMG239" s="1"/>
      <c r="OMH239" s="1"/>
      <c r="OMI239" s="1"/>
      <c r="OMJ239" s="1"/>
      <c r="OMK239" s="1"/>
      <c r="OML239" s="1"/>
      <c r="OMM239" s="1"/>
      <c r="OMN239" s="1"/>
      <c r="OMO239" s="1"/>
      <c r="OMP239" s="1"/>
      <c r="OMQ239" s="1"/>
      <c r="OMR239" s="1"/>
      <c r="OMS239" s="1"/>
      <c r="OMT239" s="1"/>
      <c r="OMU239" s="1"/>
      <c r="OMV239" s="1"/>
      <c r="OMW239" s="1"/>
      <c r="OMX239" s="1"/>
      <c r="OMY239" s="1"/>
      <c r="OMZ239" s="1"/>
      <c r="ONA239" s="1"/>
      <c r="ONB239" s="1"/>
      <c r="ONC239" s="1"/>
      <c r="OND239" s="1"/>
      <c r="ONE239" s="1"/>
      <c r="ONF239" s="1"/>
      <c r="ONG239" s="1"/>
      <c r="ONH239" s="1"/>
      <c r="ONI239" s="1"/>
      <c r="ONJ239" s="1"/>
      <c r="ONK239" s="1"/>
      <c r="ONL239" s="1"/>
      <c r="ONM239" s="1"/>
      <c r="ONN239" s="1"/>
      <c r="ONO239" s="1"/>
      <c r="ONP239" s="1"/>
      <c r="ONQ239" s="1"/>
      <c r="ONR239" s="1"/>
      <c r="ONS239" s="1"/>
      <c r="ONT239" s="1"/>
      <c r="ONU239" s="1"/>
      <c r="ONV239" s="1"/>
      <c r="ONW239" s="1"/>
      <c r="ONX239" s="1"/>
      <c r="ONY239" s="1"/>
      <c r="ONZ239" s="1"/>
      <c r="OOA239" s="1"/>
      <c r="OOB239" s="1"/>
      <c r="OOC239" s="1"/>
      <c r="OOD239" s="1"/>
      <c r="OOE239" s="1"/>
      <c r="OOF239" s="1"/>
      <c r="OOG239" s="1"/>
      <c r="OOH239" s="1"/>
      <c r="OOI239" s="1"/>
      <c r="OOJ239" s="1"/>
      <c r="OOK239" s="1"/>
      <c r="OOL239" s="1"/>
      <c r="OOM239" s="1"/>
      <c r="OON239" s="1"/>
      <c r="OOO239" s="1"/>
      <c r="OOP239" s="1"/>
      <c r="OOQ239" s="1"/>
      <c r="OOR239" s="1"/>
      <c r="OOS239" s="1"/>
      <c r="OOT239" s="1"/>
      <c r="OOU239" s="1"/>
      <c r="OOV239" s="1"/>
      <c r="OOW239" s="1"/>
      <c r="OOX239" s="1"/>
      <c r="OOY239" s="1"/>
      <c r="OOZ239" s="1"/>
      <c r="OPA239" s="1"/>
      <c r="OPB239" s="1"/>
      <c r="OPC239" s="1"/>
      <c r="OPD239" s="1"/>
      <c r="OPE239" s="1"/>
      <c r="OPF239" s="1"/>
      <c r="OPG239" s="1"/>
      <c r="OPH239" s="1"/>
      <c r="OPI239" s="1"/>
      <c r="OPJ239" s="1"/>
      <c r="OPK239" s="1"/>
      <c r="OPL239" s="1"/>
      <c r="OPM239" s="1"/>
      <c r="OPN239" s="1"/>
      <c r="OPO239" s="1"/>
      <c r="OPP239" s="1"/>
      <c r="OPQ239" s="1"/>
      <c r="OPR239" s="1"/>
      <c r="OPS239" s="1"/>
      <c r="OPT239" s="1"/>
      <c r="OPU239" s="1"/>
      <c r="OPV239" s="1"/>
      <c r="OPW239" s="1"/>
      <c r="OPX239" s="1"/>
      <c r="OPY239" s="1"/>
      <c r="OPZ239" s="1"/>
      <c r="OQA239" s="1"/>
      <c r="OQB239" s="1"/>
      <c r="OQC239" s="1"/>
      <c r="OQD239" s="1"/>
      <c r="OQE239" s="1"/>
      <c r="OQF239" s="1"/>
      <c r="OQG239" s="1"/>
      <c r="OQH239" s="1"/>
      <c r="OQI239" s="1"/>
      <c r="OQJ239" s="1"/>
      <c r="OQK239" s="1"/>
      <c r="OQL239" s="1"/>
      <c r="OQM239" s="1"/>
      <c r="OQN239" s="1"/>
      <c r="OQO239" s="1"/>
      <c r="OQP239" s="1"/>
      <c r="OQQ239" s="1"/>
      <c r="OQR239" s="1"/>
      <c r="OQS239" s="1"/>
      <c r="OQT239" s="1"/>
      <c r="OQU239" s="1"/>
      <c r="OQV239" s="1"/>
      <c r="OQW239" s="1"/>
      <c r="OQX239" s="1"/>
      <c r="OQY239" s="1"/>
      <c r="OQZ239" s="1"/>
      <c r="ORA239" s="1"/>
      <c r="ORB239" s="1"/>
      <c r="ORC239" s="1"/>
      <c r="ORD239" s="1"/>
      <c r="ORE239" s="1"/>
      <c r="ORF239" s="1"/>
      <c r="ORG239" s="1"/>
      <c r="ORH239" s="1"/>
      <c r="ORI239" s="1"/>
      <c r="ORJ239" s="1"/>
      <c r="ORK239" s="1"/>
      <c r="ORL239" s="1"/>
      <c r="ORM239" s="1"/>
      <c r="ORN239" s="1"/>
      <c r="ORO239" s="1"/>
      <c r="ORP239" s="1"/>
      <c r="ORQ239" s="1"/>
      <c r="ORR239" s="1"/>
      <c r="ORS239" s="1"/>
      <c r="ORT239" s="1"/>
      <c r="ORU239" s="1"/>
      <c r="ORV239" s="1"/>
      <c r="ORW239" s="1"/>
      <c r="ORX239" s="1"/>
      <c r="ORY239" s="1"/>
      <c r="ORZ239" s="1"/>
      <c r="OSA239" s="1"/>
      <c r="OSB239" s="1"/>
      <c r="OSC239" s="1"/>
      <c r="OSD239" s="1"/>
      <c r="OSE239" s="1"/>
      <c r="OSF239" s="1"/>
      <c r="OSG239" s="1"/>
      <c r="OSH239" s="1"/>
      <c r="OSI239" s="1"/>
      <c r="OSJ239" s="1"/>
      <c r="OSK239" s="1"/>
      <c r="OSL239" s="1"/>
      <c r="OSM239" s="1"/>
      <c r="OSN239" s="1"/>
      <c r="OSO239" s="1"/>
      <c r="OSP239" s="1"/>
      <c r="OSQ239" s="1"/>
      <c r="OSR239" s="1"/>
      <c r="OSS239" s="1"/>
      <c r="OST239" s="1"/>
      <c r="OSU239" s="1"/>
      <c r="OSV239" s="1"/>
      <c r="OSW239" s="1"/>
      <c r="OSX239" s="1"/>
      <c r="OSY239" s="1"/>
      <c r="OSZ239" s="1"/>
      <c r="OTA239" s="1"/>
      <c r="OTB239" s="1"/>
      <c r="OTC239" s="1"/>
      <c r="OTD239" s="1"/>
      <c r="OTE239" s="1"/>
      <c r="OTF239" s="1"/>
      <c r="OTG239" s="1"/>
      <c r="OTH239" s="1"/>
      <c r="OTI239" s="1"/>
      <c r="OTJ239" s="1"/>
      <c r="OTK239" s="1"/>
      <c r="OTL239" s="1"/>
      <c r="OTM239" s="1"/>
      <c r="OTN239" s="1"/>
      <c r="OTO239" s="1"/>
      <c r="OTP239" s="1"/>
      <c r="OTQ239" s="1"/>
      <c r="OTR239" s="1"/>
      <c r="OTS239" s="1"/>
      <c r="OTT239" s="1"/>
      <c r="OTU239" s="1"/>
      <c r="OTV239" s="1"/>
      <c r="OTW239" s="1"/>
      <c r="OTX239" s="1"/>
      <c r="OTY239" s="1"/>
      <c r="OTZ239" s="1"/>
      <c r="OUA239" s="1"/>
      <c r="OUB239" s="1"/>
      <c r="OUC239" s="1"/>
      <c r="OUD239" s="1"/>
      <c r="OUE239" s="1"/>
      <c r="OUF239" s="1"/>
      <c r="OUG239" s="1"/>
      <c r="OUH239" s="1"/>
      <c r="OUI239" s="1"/>
      <c r="OUJ239" s="1"/>
      <c r="OUK239" s="1"/>
      <c r="OUL239" s="1"/>
      <c r="OUM239" s="1"/>
      <c r="OUN239" s="1"/>
      <c r="OUO239" s="1"/>
      <c r="OUP239" s="1"/>
      <c r="OUQ239" s="1"/>
      <c r="OUR239" s="1"/>
      <c r="OUS239" s="1"/>
      <c r="OUT239" s="1"/>
      <c r="OUU239" s="1"/>
      <c r="OUV239" s="1"/>
      <c r="OUW239" s="1"/>
      <c r="OUX239" s="1"/>
      <c r="OUY239" s="1"/>
      <c r="OUZ239" s="1"/>
      <c r="OVA239" s="1"/>
      <c r="OVB239" s="1"/>
      <c r="OVC239" s="1"/>
      <c r="OVD239" s="1"/>
      <c r="OVE239" s="1"/>
      <c r="OVF239" s="1"/>
      <c r="OVG239" s="1"/>
      <c r="OVH239" s="1"/>
      <c r="OVI239" s="1"/>
      <c r="OVJ239" s="1"/>
      <c r="OVK239" s="1"/>
      <c r="OVL239" s="1"/>
      <c r="OVM239" s="1"/>
      <c r="OVN239" s="1"/>
      <c r="OVO239" s="1"/>
      <c r="OVP239" s="1"/>
      <c r="OVQ239" s="1"/>
      <c r="OVR239" s="1"/>
      <c r="OVS239" s="1"/>
      <c r="OVT239" s="1"/>
      <c r="OVU239" s="1"/>
      <c r="OVV239" s="1"/>
      <c r="OVW239" s="1"/>
      <c r="OVX239" s="1"/>
      <c r="OVY239" s="1"/>
      <c r="OVZ239" s="1"/>
      <c r="OWA239" s="1"/>
      <c r="OWB239" s="1"/>
      <c r="OWC239" s="1"/>
      <c r="OWD239" s="1"/>
      <c r="OWE239" s="1"/>
      <c r="OWF239" s="1"/>
      <c r="OWG239" s="1"/>
      <c r="OWH239" s="1"/>
      <c r="OWI239" s="1"/>
      <c r="OWJ239" s="1"/>
      <c r="OWK239" s="1"/>
      <c r="OWL239" s="1"/>
      <c r="OWM239" s="1"/>
      <c r="OWN239" s="1"/>
      <c r="OWO239" s="1"/>
      <c r="OWP239" s="1"/>
      <c r="OWQ239" s="1"/>
      <c r="OWR239" s="1"/>
      <c r="OWS239" s="1"/>
      <c r="OWT239" s="1"/>
      <c r="OWU239" s="1"/>
      <c r="OWV239" s="1"/>
      <c r="OWW239" s="1"/>
      <c r="OWX239" s="1"/>
      <c r="OWY239" s="1"/>
      <c r="OWZ239" s="1"/>
      <c r="OXA239" s="1"/>
      <c r="OXB239" s="1"/>
      <c r="OXC239" s="1"/>
      <c r="OXD239" s="1"/>
      <c r="OXE239" s="1"/>
      <c r="OXF239" s="1"/>
      <c r="OXG239" s="1"/>
      <c r="OXH239" s="1"/>
      <c r="OXI239" s="1"/>
      <c r="OXJ239" s="1"/>
      <c r="OXK239" s="1"/>
      <c r="OXL239" s="1"/>
      <c r="OXM239" s="1"/>
      <c r="OXN239" s="1"/>
      <c r="OXO239" s="1"/>
      <c r="OXP239" s="1"/>
      <c r="OXQ239" s="1"/>
      <c r="OXR239" s="1"/>
      <c r="OXS239" s="1"/>
      <c r="OXT239" s="1"/>
      <c r="OXU239" s="1"/>
      <c r="OXV239" s="1"/>
      <c r="OXW239" s="1"/>
      <c r="OXX239" s="1"/>
      <c r="OXY239" s="1"/>
      <c r="OXZ239" s="1"/>
      <c r="OYA239" s="1"/>
      <c r="OYB239" s="1"/>
      <c r="OYC239" s="1"/>
      <c r="OYD239" s="1"/>
      <c r="OYE239" s="1"/>
      <c r="OYF239" s="1"/>
      <c r="OYG239" s="1"/>
      <c r="OYH239" s="1"/>
      <c r="OYI239" s="1"/>
      <c r="OYJ239" s="1"/>
      <c r="OYK239" s="1"/>
      <c r="OYL239" s="1"/>
      <c r="OYM239" s="1"/>
      <c r="OYN239" s="1"/>
      <c r="OYO239" s="1"/>
      <c r="OYP239" s="1"/>
      <c r="OYQ239" s="1"/>
      <c r="OYR239" s="1"/>
      <c r="OYS239" s="1"/>
      <c r="OYT239" s="1"/>
      <c r="OYU239" s="1"/>
      <c r="OYV239" s="1"/>
      <c r="OYW239" s="1"/>
      <c r="OYX239" s="1"/>
      <c r="OYY239" s="1"/>
      <c r="OYZ239" s="1"/>
      <c r="OZA239" s="1"/>
      <c r="OZB239" s="1"/>
      <c r="OZC239" s="1"/>
      <c r="OZD239" s="1"/>
      <c r="OZE239" s="1"/>
      <c r="OZF239" s="1"/>
      <c r="OZG239" s="1"/>
      <c r="OZH239" s="1"/>
      <c r="OZI239" s="1"/>
      <c r="OZJ239" s="1"/>
      <c r="OZK239" s="1"/>
      <c r="OZL239" s="1"/>
      <c r="OZM239" s="1"/>
      <c r="OZN239" s="1"/>
      <c r="OZO239" s="1"/>
      <c r="OZP239" s="1"/>
      <c r="OZQ239" s="1"/>
      <c r="OZR239" s="1"/>
      <c r="OZS239" s="1"/>
      <c r="OZT239" s="1"/>
      <c r="OZU239" s="1"/>
      <c r="OZV239" s="1"/>
      <c r="OZW239" s="1"/>
      <c r="OZX239" s="1"/>
      <c r="OZY239" s="1"/>
      <c r="OZZ239" s="1"/>
      <c r="PAA239" s="1"/>
      <c r="PAB239" s="1"/>
      <c r="PAC239" s="1"/>
      <c r="PAD239" s="1"/>
      <c r="PAE239" s="1"/>
      <c r="PAF239" s="1"/>
      <c r="PAG239" s="1"/>
      <c r="PAH239" s="1"/>
      <c r="PAI239" s="1"/>
      <c r="PAJ239" s="1"/>
      <c r="PAK239" s="1"/>
      <c r="PAL239" s="1"/>
      <c r="PAM239" s="1"/>
      <c r="PAN239" s="1"/>
      <c r="PAO239" s="1"/>
      <c r="PAP239" s="1"/>
      <c r="PAQ239" s="1"/>
      <c r="PAR239" s="1"/>
      <c r="PAS239" s="1"/>
      <c r="PAT239" s="1"/>
      <c r="PAU239" s="1"/>
      <c r="PAV239" s="1"/>
      <c r="PAW239" s="1"/>
      <c r="PAX239" s="1"/>
      <c r="PAY239" s="1"/>
      <c r="PAZ239" s="1"/>
      <c r="PBA239" s="1"/>
      <c r="PBB239" s="1"/>
      <c r="PBC239" s="1"/>
      <c r="PBD239" s="1"/>
      <c r="PBE239" s="1"/>
      <c r="PBF239" s="1"/>
      <c r="PBG239" s="1"/>
      <c r="PBH239" s="1"/>
      <c r="PBI239" s="1"/>
      <c r="PBJ239" s="1"/>
      <c r="PBK239" s="1"/>
      <c r="PBL239" s="1"/>
      <c r="PBM239" s="1"/>
      <c r="PBN239" s="1"/>
      <c r="PBO239" s="1"/>
      <c r="PBP239" s="1"/>
      <c r="PBQ239" s="1"/>
      <c r="PBR239" s="1"/>
      <c r="PBS239" s="1"/>
      <c r="PBT239" s="1"/>
      <c r="PBU239" s="1"/>
      <c r="PBV239" s="1"/>
      <c r="PBW239" s="1"/>
      <c r="PBX239" s="1"/>
      <c r="PBY239" s="1"/>
      <c r="PBZ239" s="1"/>
      <c r="PCA239" s="1"/>
      <c r="PCB239" s="1"/>
      <c r="PCC239" s="1"/>
      <c r="PCD239" s="1"/>
      <c r="PCE239" s="1"/>
      <c r="PCF239" s="1"/>
      <c r="PCG239" s="1"/>
      <c r="PCH239" s="1"/>
      <c r="PCI239" s="1"/>
      <c r="PCJ239" s="1"/>
      <c r="PCK239" s="1"/>
      <c r="PCL239" s="1"/>
      <c r="PCM239" s="1"/>
      <c r="PCN239" s="1"/>
      <c r="PCO239" s="1"/>
      <c r="PCP239" s="1"/>
      <c r="PCQ239" s="1"/>
      <c r="PCR239" s="1"/>
      <c r="PCS239" s="1"/>
      <c r="PCT239" s="1"/>
      <c r="PCU239" s="1"/>
      <c r="PCV239" s="1"/>
      <c r="PCW239" s="1"/>
      <c r="PCX239" s="1"/>
      <c r="PCY239" s="1"/>
      <c r="PCZ239" s="1"/>
      <c r="PDA239" s="1"/>
      <c r="PDB239" s="1"/>
      <c r="PDC239" s="1"/>
      <c r="PDD239" s="1"/>
      <c r="PDE239" s="1"/>
      <c r="PDF239" s="1"/>
      <c r="PDG239" s="1"/>
      <c r="PDH239" s="1"/>
      <c r="PDI239" s="1"/>
      <c r="PDJ239" s="1"/>
      <c r="PDK239" s="1"/>
      <c r="PDL239" s="1"/>
      <c r="PDM239" s="1"/>
      <c r="PDN239" s="1"/>
      <c r="PDO239" s="1"/>
      <c r="PDP239" s="1"/>
      <c r="PDQ239" s="1"/>
      <c r="PDR239" s="1"/>
      <c r="PDS239" s="1"/>
      <c r="PDT239" s="1"/>
      <c r="PDU239" s="1"/>
      <c r="PDV239" s="1"/>
      <c r="PDW239" s="1"/>
      <c r="PDX239" s="1"/>
      <c r="PDY239" s="1"/>
      <c r="PDZ239" s="1"/>
      <c r="PEA239" s="1"/>
      <c r="PEB239" s="1"/>
      <c r="PEC239" s="1"/>
      <c r="PED239" s="1"/>
      <c r="PEE239" s="1"/>
      <c r="PEF239" s="1"/>
      <c r="PEG239" s="1"/>
      <c r="PEH239" s="1"/>
      <c r="PEI239" s="1"/>
      <c r="PEJ239" s="1"/>
      <c r="PEK239" s="1"/>
      <c r="PEL239" s="1"/>
      <c r="PEM239" s="1"/>
      <c r="PEN239" s="1"/>
      <c r="PEO239" s="1"/>
      <c r="PEP239" s="1"/>
      <c r="PEQ239" s="1"/>
      <c r="PER239" s="1"/>
      <c r="PES239" s="1"/>
      <c r="PET239" s="1"/>
      <c r="PEU239" s="1"/>
      <c r="PEV239" s="1"/>
      <c r="PEW239" s="1"/>
      <c r="PEX239" s="1"/>
      <c r="PEY239" s="1"/>
      <c r="PEZ239" s="1"/>
      <c r="PFA239" s="1"/>
      <c r="PFB239" s="1"/>
      <c r="PFC239" s="1"/>
      <c r="PFD239" s="1"/>
      <c r="PFE239" s="1"/>
      <c r="PFF239" s="1"/>
      <c r="PFG239" s="1"/>
      <c r="PFH239" s="1"/>
      <c r="PFI239" s="1"/>
      <c r="PFJ239" s="1"/>
      <c r="PFK239" s="1"/>
      <c r="PFL239" s="1"/>
      <c r="PFM239" s="1"/>
      <c r="PFN239" s="1"/>
      <c r="PFO239" s="1"/>
      <c r="PFP239" s="1"/>
      <c r="PFQ239" s="1"/>
      <c r="PFR239" s="1"/>
      <c r="PFS239" s="1"/>
      <c r="PFT239" s="1"/>
      <c r="PFU239" s="1"/>
      <c r="PFV239" s="1"/>
      <c r="PFW239" s="1"/>
      <c r="PFX239" s="1"/>
      <c r="PFY239" s="1"/>
      <c r="PFZ239" s="1"/>
      <c r="PGA239" s="1"/>
      <c r="PGB239" s="1"/>
      <c r="PGC239" s="1"/>
      <c r="PGD239" s="1"/>
      <c r="PGE239" s="1"/>
      <c r="PGF239" s="1"/>
      <c r="PGG239" s="1"/>
      <c r="PGH239" s="1"/>
      <c r="PGI239" s="1"/>
      <c r="PGJ239" s="1"/>
      <c r="PGK239" s="1"/>
      <c r="PGL239" s="1"/>
      <c r="PGM239" s="1"/>
      <c r="PGN239" s="1"/>
      <c r="PGO239" s="1"/>
      <c r="PGP239" s="1"/>
      <c r="PGQ239" s="1"/>
      <c r="PGR239" s="1"/>
      <c r="PGS239" s="1"/>
      <c r="PGT239" s="1"/>
      <c r="PGU239" s="1"/>
      <c r="PGV239" s="1"/>
      <c r="PGW239" s="1"/>
      <c r="PGX239" s="1"/>
      <c r="PGY239" s="1"/>
      <c r="PGZ239" s="1"/>
      <c r="PHA239" s="1"/>
      <c r="PHB239" s="1"/>
      <c r="PHC239" s="1"/>
      <c r="PHD239" s="1"/>
      <c r="PHE239" s="1"/>
      <c r="PHF239" s="1"/>
      <c r="PHG239" s="1"/>
      <c r="PHH239" s="1"/>
      <c r="PHI239" s="1"/>
      <c r="PHJ239" s="1"/>
      <c r="PHK239" s="1"/>
      <c r="PHL239" s="1"/>
      <c r="PHM239" s="1"/>
      <c r="PHN239" s="1"/>
      <c r="PHO239" s="1"/>
      <c r="PHP239" s="1"/>
      <c r="PHQ239" s="1"/>
      <c r="PHR239" s="1"/>
      <c r="PHS239" s="1"/>
      <c r="PHT239" s="1"/>
      <c r="PHU239" s="1"/>
      <c r="PHV239" s="1"/>
      <c r="PHW239" s="1"/>
      <c r="PHX239" s="1"/>
      <c r="PHY239" s="1"/>
      <c r="PHZ239" s="1"/>
      <c r="PIA239" s="1"/>
      <c r="PIB239" s="1"/>
      <c r="PIC239" s="1"/>
      <c r="PID239" s="1"/>
      <c r="PIE239" s="1"/>
      <c r="PIF239" s="1"/>
      <c r="PIG239" s="1"/>
      <c r="PIH239" s="1"/>
      <c r="PII239" s="1"/>
      <c r="PIJ239" s="1"/>
      <c r="PIK239" s="1"/>
      <c r="PIL239" s="1"/>
      <c r="PIM239" s="1"/>
      <c r="PIN239" s="1"/>
      <c r="PIO239" s="1"/>
      <c r="PIP239" s="1"/>
      <c r="PIQ239" s="1"/>
      <c r="PIR239" s="1"/>
      <c r="PIS239" s="1"/>
      <c r="PIT239" s="1"/>
      <c r="PIU239" s="1"/>
      <c r="PIV239" s="1"/>
      <c r="PIW239" s="1"/>
      <c r="PIX239" s="1"/>
      <c r="PIY239" s="1"/>
      <c r="PIZ239" s="1"/>
      <c r="PJA239" s="1"/>
      <c r="PJB239" s="1"/>
      <c r="PJC239" s="1"/>
      <c r="PJD239" s="1"/>
      <c r="PJE239" s="1"/>
      <c r="PJF239" s="1"/>
      <c r="PJG239" s="1"/>
      <c r="PJH239" s="1"/>
      <c r="PJI239" s="1"/>
      <c r="PJJ239" s="1"/>
      <c r="PJK239" s="1"/>
      <c r="PJL239" s="1"/>
      <c r="PJM239" s="1"/>
      <c r="PJN239" s="1"/>
      <c r="PJO239" s="1"/>
      <c r="PJP239" s="1"/>
      <c r="PJQ239" s="1"/>
      <c r="PJR239" s="1"/>
      <c r="PJS239" s="1"/>
      <c r="PJT239" s="1"/>
      <c r="PJU239" s="1"/>
      <c r="PJV239" s="1"/>
      <c r="PJW239" s="1"/>
      <c r="PJX239" s="1"/>
      <c r="PJY239" s="1"/>
      <c r="PJZ239" s="1"/>
      <c r="PKA239" s="1"/>
      <c r="PKB239" s="1"/>
      <c r="PKC239" s="1"/>
      <c r="PKD239" s="1"/>
      <c r="PKE239" s="1"/>
      <c r="PKF239" s="1"/>
      <c r="PKG239" s="1"/>
      <c r="PKH239" s="1"/>
      <c r="PKI239" s="1"/>
      <c r="PKJ239" s="1"/>
      <c r="PKK239" s="1"/>
      <c r="PKL239" s="1"/>
      <c r="PKM239" s="1"/>
      <c r="PKN239" s="1"/>
      <c r="PKO239" s="1"/>
      <c r="PKP239" s="1"/>
      <c r="PKQ239" s="1"/>
      <c r="PKR239" s="1"/>
      <c r="PKS239" s="1"/>
      <c r="PKT239" s="1"/>
      <c r="PKU239" s="1"/>
      <c r="PKV239" s="1"/>
      <c r="PKW239" s="1"/>
      <c r="PKX239" s="1"/>
      <c r="PKY239" s="1"/>
      <c r="PKZ239" s="1"/>
      <c r="PLA239" s="1"/>
      <c r="PLB239" s="1"/>
      <c r="PLC239" s="1"/>
      <c r="PLD239" s="1"/>
      <c r="PLE239" s="1"/>
      <c r="PLF239" s="1"/>
      <c r="PLG239" s="1"/>
      <c r="PLH239" s="1"/>
      <c r="PLI239" s="1"/>
      <c r="PLJ239" s="1"/>
      <c r="PLK239" s="1"/>
      <c r="PLL239" s="1"/>
      <c r="PLM239" s="1"/>
      <c r="PLN239" s="1"/>
      <c r="PLO239" s="1"/>
      <c r="PLP239" s="1"/>
      <c r="PLQ239" s="1"/>
      <c r="PLR239" s="1"/>
      <c r="PLS239" s="1"/>
      <c r="PLT239" s="1"/>
      <c r="PLU239" s="1"/>
      <c r="PLV239" s="1"/>
      <c r="PLW239" s="1"/>
      <c r="PLX239" s="1"/>
      <c r="PLY239" s="1"/>
      <c r="PLZ239" s="1"/>
      <c r="PMA239" s="1"/>
      <c r="PMB239" s="1"/>
      <c r="PMC239" s="1"/>
      <c r="PMD239" s="1"/>
      <c r="PME239" s="1"/>
      <c r="PMF239" s="1"/>
      <c r="PMG239" s="1"/>
      <c r="PMH239" s="1"/>
      <c r="PMI239" s="1"/>
      <c r="PMJ239" s="1"/>
      <c r="PMK239" s="1"/>
      <c r="PML239" s="1"/>
      <c r="PMM239" s="1"/>
      <c r="PMN239" s="1"/>
      <c r="PMO239" s="1"/>
      <c r="PMP239" s="1"/>
      <c r="PMQ239" s="1"/>
      <c r="PMR239" s="1"/>
      <c r="PMS239" s="1"/>
      <c r="PMT239" s="1"/>
      <c r="PMU239" s="1"/>
      <c r="PMV239" s="1"/>
      <c r="PMW239" s="1"/>
      <c r="PMX239" s="1"/>
      <c r="PMY239" s="1"/>
      <c r="PMZ239" s="1"/>
      <c r="PNA239" s="1"/>
      <c r="PNB239" s="1"/>
      <c r="PNC239" s="1"/>
      <c r="PND239" s="1"/>
      <c r="PNE239" s="1"/>
      <c r="PNF239" s="1"/>
      <c r="PNG239" s="1"/>
      <c r="PNH239" s="1"/>
      <c r="PNI239" s="1"/>
      <c r="PNJ239" s="1"/>
      <c r="PNK239" s="1"/>
      <c r="PNL239" s="1"/>
      <c r="PNM239" s="1"/>
      <c r="PNN239" s="1"/>
      <c r="PNO239" s="1"/>
      <c r="PNP239" s="1"/>
      <c r="PNQ239" s="1"/>
      <c r="PNR239" s="1"/>
      <c r="PNS239" s="1"/>
      <c r="PNT239" s="1"/>
      <c r="PNU239" s="1"/>
      <c r="PNV239" s="1"/>
      <c r="PNW239" s="1"/>
      <c r="PNX239" s="1"/>
      <c r="PNY239" s="1"/>
      <c r="PNZ239" s="1"/>
      <c r="POA239" s="1"/>
      <c r="POB239" s="1"/>
      <c r="POC239" s="1"/>
      <c r="POD239" s="1"/>
      <c r="POE239" s="1"/>
      <c r="POF239" s="1"/>
      <c r="POG239" s="1"/>
      <c r="POH239" s="1"/>
      <c r="POI239" s="1"/>
      <c r="POJ239" s="1"/>
      <c r="POK239" s="1"/>
      <c r="POL239" s="1"/>
      <c r="POM239" s="1"/>
      <c r="PON239" s="1"/>
      <c r="POO239" s="1"/>
      <c r="POP239" s="1"/>
      <c r="POQ239" s="1"/>
      <c r="POR239" s="1"/>
      <c r="POS239" s="1"/>
      <c r="POT239" s="1"/>
      <c r="POU239" s="1"/>
      <c r="POV239" s="1"/>
      <c r="POW239" s="1"/>
      <c r="POX239" s="1"/>
      <c r="POY239" s="1"/>
      <c r="POZ239" s="1"/>
      <c r="PPA239" s="1"/>
      <c r="PPB239" s="1"/>
      <c r="PPC239" s="1"/>
      <c r="PPD239" s="1"/>
      <c r="PPE239" s="1"/>
      <c r="PPF239" s="1"/>
      <c r="PPG239" s="1"/>
      <c r="PPH239" s="1"/>
      <c r="PPI239" s="1"/>
      <c r="PPJ239" s="1"/>
      <c r="PPK239" s="1"/>
      <c r="PPL239" s="1"/>
      <c r="PPM239" s="1"/>
      <c r="PPN239" s="1"/>
      <c r="PPO239" s="1"/>
      <c r="PPP239" s="1"/>
      <c r="PPQ239" s="1"/>
      <c r="PPR239" s="1"/>
      <c r="PPS239" s="1"/>
      <c r="PPT239" s="1"/>
      <c r="PPU239" s="1"/>
      <c r="PPV239" s="1"/>
      <c r="PPW239" s="1"/>
      <c r="PPX239" s="1"/>
      <c r="PPY239" s="1"/>
      <c r="PPZ239" s="1"/>
      <c r="PQA239" s="1"/>
      <c r="PQB239" s="1"/>
      <c r="PQC239" s="1"/>
      <c r="PQD239" s="1"/>
      <c r="PQE239" s="1"/>
      <c r="PQF239" s="1"/>
      <c r="PQG239" s="1"/>
      <c r="PQH239" s="1"/>
      <c r="PQI239" s="1"/>
      <c r="PQJ239" s="1"/>
      <c r="PQK239" s="1"/>
      <c r="PQL239" s="1"/>
      <c r="PQM239" s="1"/>
      <c r="PQN239" s="1"/>
      <c r="PQO239" s="1"/>
      <c r="PQP239" s="1"/>
      <c r="PQQ239" s="1"/>
      <c r="PQR239" s="1"/>
      <c r="PQS239" s="1"/>
      <c r="PQT239" s="1"/>
      <c r="PQU239" s="1"/>
      <c r="PQV239" s="1"/>
      <c r="PQW239" s="1"/>
      <c r="PQX239" s="1"/>
      <c r="PQY239" s="1"/>
      <c r="PQZ239" s="1"/>
      <c r="PRA239" s="1"/>
      <c r="PRB239" s="1"/>
      <c r="PRC239" s="1"/>
      <c r="PRD239" s="1"/>
      <c r="PRE239" s="1"/>
      <c r="PRF239" s="1"/>
      <c r="PRG239" s="1"/>
      <c r="PRH239" s="1"/>
      <c r="PRI239" s="1"/>
      <c r="PRJ239" s="1"/>
      <c r="PRK239" s="1"/>
      <c r="PRL239" s="1"/>
      <c r="PRM239" s="1"/>
      <c r="PRN239" s="1"/>
      <c r="PRO239" s="1"/>
      <c r="PRP239" s="1"/>
      <c r="PRQ239" s="1"/>
      <c r="PRR239" s="1"/>
      <c r="PRS239" s="1"/>
      <c r="PRT239" s="1"/>
      <c r="PRU239" s="1"/>
      <c r="PRV239" s="1"/>
      <c r="PRW239" s="1"/>
      <c r="PRX239" s="1"/>
      <c r="PRY239" s="1"/>
      <c r="PRZ239" s="1"/>
      <c r="PSA239" s="1"/>
      <c r="PSB239" s="1"/>
      <c r="PSC239" s="1"/>
      <c r="PSD239" s="1"/>
      <c r="PSE239" s="1"/>
      <c r="PSF239" s="1"/>
      <c r="PSG239" s="1"/>
      <c r="PSH239" s="1"/>
      <c r="PSI239" s="1"/>
      <c r="PSJ239" s="1"/>
      <c r="PSK239" s="1"/>
      <c r="PSL239" s="1"/>
      <c r="PSM239" s="1"/>
      <c r="PSN239" s="1"/>
      <c r="PSO239" s="1"/>
      <c r="PSP239" s="1"/>
      <c r="PSQ239" s="1"/>
      <c r="PSR239" s="1"/>
      <c r="PSS239" s="1"/>
      <c r="PST239" s="1"/>
      <c r="PSU239" s="1"/>
      <c r="PSV239" s="1"/>
      <c r="PSW239" s="1"/>
      <c r="PSX239" s="1"/>
      <c r="PSY239" s="1"/>
      <c r="PSZ239" s="1"/>
      <c r="PTA239" s="1"/>
      <c r="PTB239" s="1"/>
      <c r="PTC239" s="1"/>
      <c r="PTD239" s="1"/>
      <c r="PTE239" s="1"/>
      <c r="PTF239" s="1"/>
      <c r="PTG239" s="1"/>
      <c r="PTH239" s="1"/>
      <c r="PTI239" s="1"/>
      <c r="PTJ239" s="1"/>
      <c r="PTK239" s="1"/>
      <c r="PTL239" s="1"/>
      <c r="PTM239" s="1"/>
      <c r="PTN239" s="1"/>
      <c r="PTO239" s="1"/>
      <c r="PTP239" s="1"/>
      <c r="PTQ239" s="1"/>
      <c r="PTR239" s="1"/>
      <c r="PTS239" s="1"/>
      <c r="PTT239" s="1"/>
      <c r="PTU239" s="1"/>
      <c r="PTV239" s="1"/>
      <c r="PTW239" s="1"/>
      <c r="PTX239" s="1"/>
      <c r="PTY239" s="1"/>
      <c r="PTZ239" s="1"/>
      <c r="PUA239" s="1"/>
      <c r="PUB239" s="1"/>
      <c r="PUC239" s="1"/>
      <c r="PUD239" s="1"/>
      <c r="PUE239" s="1"/>
      <c r="PUF239" s="1"/>
      <c r="PUG239" s="1"/>
      <c r="PUH239" s="1"/>
      <c r="PUI239" s="1"/>
      <c r="PUJ239" s="1"/>
      <c r="PUK239" s="1"/>
      <c r="PUL239" s="1"/>
      <c r="PUM239" s="1"/>
      <c r="PUN239" s="1"/>
      <c r="PUO239" s="1"/>
      <c r="PUP239" s="1"/>
      <c r="PUQ239" s="1"/>
      <c r="PUR239" s="1"/>
      <c r="PUS239" s="1"/>
      <c r="PUT239" s="1"/>
      <c r="PUU239" s="1"/>
      <c r="PUV239" s="1"/>
      <c r="PUW239" s="1"/>
      <c r="PUX239" s="1"/>
      <c r="PUY239" s="1"/>
      <c r="PUZ239" s="1"/>
      <c r="PVA239" s="1"/>
      <c r="PVB239" s="1"/>
      <c r="PVC239" s="1"/>
      <c r="PVD239" s="1"/>
      <c r="PVE239" s="1"/>
      <c r="PVF239" s="1"/>
      <c r="PVG239" s="1"/>
      <c r="PVH239" s="1"/>
      <c r="PVI239" s="1"/>
      <c r="PVJ239" s="1"/>
      <c r="PVK239" s="1"/>
      <c r="PVL239" s="1"/>
      <c r="PVM239" s="1"/>
      <c r="PVN239" s="1"/>
      <c r="PVO239" s="1"/>
      <c r="PVP239" s="1"/>
      <c r="PVQ239" s="1"/>
      <c r="PVR239" s="1"/>
      <c r="PVS239" s="1"/>
      <c r="PVT239" s="1"/>
      <c r="PVU239" s="1"/>
      <c r="PVV239" s="1"/>
      <c r="PVW239" s="1"/>
      <c r="PVX239" s="1"/>
      <c r="PVY239" s="1"/>
      <c r="PVZ239" s="1"/>
      <c r="PWA239" s="1"/>
      <c r="PWB239" s="1"/>
      <c r="PWC239" s="1"/>
      <c r="PWD239" s="1"/>
      <c r="PWE239" s="1"/>
      <c r="PWF239" s="1"/>
      <c r="PWG239" s="1"/>
      <c r="PWH239" s="1"/>
      <c r="PWI239" s="1"/>
      <c r="PWJ239" s="1"/>
      <c r="PWK239" s="1"/>
      <c r="PWL239" s="1"/>
      <c r="PWM239" s="1"/>
      <c r="PWN239" s="1"/>
      <c r="PWO239" s="1"/>
      <c r="PWP239" s="1"/>
      <c r="PWQ239" s="1"/>
      <c r="PWR239" s="1"/>
      <c r="PWS239" s="1"/>
      <c r="PWT239" s="1"/>
      <c r="PWU239" s="1"/>
      <c r="PWV239" s="1"/>
      <c r="PWW239" s="1"/>
      <c r="PWX239" s="1"/>
      <c r="PWY239" s="1"/>
      <c r="PWZ239" s="1"/>
      <c r="PXA239" s="1"/>
      <c r="PXB239" s="1"/>
      <c r="PXC239" s="1"/>
      <c r="PXD239" s="1"/>
      <c r="PXE239" s="1"/>
      <c r="PXF239" s="1"/>
      <c r="PXG239" s="1"/>
      <c r="PXH239" s="1"/>
      <c r="PXI239" s="1"/>
      <c r="PXJ239" s="1"/>
      <c r="PXK239" s="1"/>
      <c r="PXL239" s="1"/>
      <c r="PXM239" s="1"/>
      <c r="PXN239" s="1"/>
      <c r="PXO239" s="1"/>
      <c r="PXP239" s="1"/>
      <c r="PXQ239" s="1"/>
      <c r="PXR239" s="1"/>
      <c r="PXS239" s="1"/>
      <c r="PXT239" s="1"/>
      <c r="PXU239" s="1"/>
      <c r="PXV239" s="1"/>
      <c r="PXW239" s="1"/>
      <c r="PXX239" s="1"/>
      <c r="PXY239" s="1"/>
      <c r="PXZ239" s="1"/>
      <c r="PYA239" s="1"/>
      <c r="PYB239" s="1"/>
      <c r="PYC239" s="1"/>
      <c r="PYD239" s="1"/>
      <c r="PYE239" s="1"/>
      <c r="PYF239" s="1"/>
      <c r="PYG239" s="1"/>
      <c r="PYH239" s="1"/>
      <c r="PYI239" s="1"/>
      <c r="PYJ239" s="1"/>
      <c r="PYK239" s="1"/>
      <c r="PYL239" s="1"/>
      <c r="PYM239" s="1"/>
      <c r="PYN239" s="1"/>
      <c r="PYO239" s="1"/>
      <c r="PYP239" s="1"/>
      <c r="PYQ239" s="1"/>
      <c r="PYR239" s="1"/>
      <c r="PYS239" s="1"/>
      <c r="PYT239" s="1"/>
      <c r="PYU239" s="1"/>
      <c r="PYV239" s="1"/>
      <c r="PYW239" s="1"/>
      <c r="PYX239" s="1"/>
      <c r="PYY239" s="1"/>
      <c r="PYZ239" s="1"/>
      <c r="PZA239" s="1"/>
      <c r="PZB239" s="1"/>
      <c r="PZC239" s="1"/>
      <c r="PZD239" s="1"/>
      <c r="PZE239" s="1"/>
      <c r="PZF239" s="1"/>
      <c r="PZG239" s="1"/>
      <c r="PZH239" s="1"/>
      <c r="PZI239" s="1"/>
      <c r="PZJ239" s="1"/>
      <c r="PZK239" s="1"/>
      <c r="PZL239" s="1"/>
      <c r="PZM239" s="1"/>
      <c r="PZN239" s="1"/>
      <c r="PZO239" s="1"/>
      <c r="PZP239" s="1"/>
      <c r="PZQ239" s="1"/>
      <c r="PZR239" s="1"/>
      <c r="PZS239" s="1"/>
      <c r="PZT239" s="1"/>
      <c r="PZU239" s="1"/>
      <c r="PZV239" s="1"/>
      <c r="PZW239" s="1"/>
      <c r="PZX239" s="1"/>
      <c r="PZY239" s="1"/>
      <c r="PZZ239" s="1"/>
      <c r="QAA239" s="1"/>
      <c r="QAB239" s="1"/>
      <c r="QAC239" s="1"/>
      <c r="QAD239" s="1"/>
      <c r="QAE239" s="1"/>
      <c r="QAF239" s="1"/>
      <c r="QAG239" s="1"/>
      <c r="QAH239" s="1"/>
      <c r="QAI239" s="1"/>
      <c r="QAJ239" s="1"/>
      <c r="QAK239" s="1"/>
      <c r="QAL239" s="1"/>
      <c r="QAM239" s="1"/>
      <c r="QAN239" s="1"/>
      <c r="QAO239" s="1"/>
      <c r="QAP239" s="1"/>
      <c r="QAQ239" s="1"/>
      <c r="QAR239" s="1"/>
      <c r="QAS239" s="1"/>
      <c r="QAT239" s="1"/>
      <c r="QAU239" s="1"/>
      <c r="QAV239" s="1"/>
      <c r="QAW239" s="1"/>
      <c r="QAX239" s="1"/>
      <c r="QAY239" s="1"/>
      <c r="QAZ239" s="1"/>
      <c r="QBA239" s="1"/>
      <c r="QBB239" s="1"/>
      <c r="QBC239" s="1"/>
      <c r="QBD239" s="1"/>
      <c r="QBE239" s="1"/>
      <c r="QBF239" s="1"/>
      <c r="QBG239" s="1"/>
      <c r="QBH239" s="1"/>
      <c r="QBI239" s="1"/>
      <c r="QBJ239" s="1"/>
      <c r="QBK239" s="1"/>
      <c r="QBL239" s="1"/>
      <c r="QBM239" s="1"/>
      <c r="QBN239" s="1"/>
      <c r="QBO239" s="1"/>
      <c r="QBP239" s="1"/>
      <c r="QBQ239" s="1"/>
      <c r="QBR239" s="1"/>
      <c r="QBS239" s="1"/>
      <c r="QBT239" s="1"/>
      <c r="QBU239" s="1"/>
      <c r="QBV239" s="1"/>
      <c r="QBW239" s="1"/>
      <c r="QBX239" s="1"/>
      <c r="QBY239" s="1"/>
      <c r="QBZ239" s="1"/>
      <c r="QCA239" s="1"/>
      <c r="QCB239" s="1"/>
      <c r="QCC239" s="1"/>
      <c r="QCD239" s="1"/>
      <c r="QCE239" s="1"/>
      <c r="QCF239" s="1"/>
      <c r="QCG239" s="1"/>
      <c r="QCH239" s="1"/>
      <c r="QCI239" s="1"/>
      <c r="QCJ239" s="1"/>
      <c r="QCK239" s="1"/>
      <c r="QCL239" s="1"/>
      <c r="QCM239" s="1"/>
      <c r="QCN239" s="1"/>
      <c r="QCO239" s="1"/>
      <c r="QCP239" s="1"/>
      <c r="QCQ239" s="1"/>
      <c r="QCR239" s="1"/>
      <c r="QCS239" s="1"/>
      <c r="QCT239" s="1"/>
      <c r="QCU239" s="1"/>
      <c r="QCV239" s="1"/>
      <c r="QCW239" s="1"/>
      <c r="QCX239" s="1"/>
      <c r="QCY239" s="1"/>
      <c r="QCZ239" s="1"/>
      <c r="QDA239" s="1"/>
      <c r="QDB239" s="1"/>
      <c r="QDC239" s="1"/>
      <c r="QDD239" s="1"/>
      <c r="QDE239" s="1"/>
      <c r="QDF239" s="1"/>
      <c r="QDG239" s="1"/>
      <c r="QDH239" s="1"/>
      <c r="QDI239" s="1"/>
      <c r="QDJ239" s="1"/>
      <c r="QDK239" s="1"/>
      <c r="QDL239" s="1"/>
      <c r="QDM239" s="1"/>
      <c r="QDN239" s="1"/>
      <c r="QDO239" s="1"/>
      <c r="QDP239" s="1"/>
      <c r="QDQ239" s="1"/>
      <c r="QDR239" s="1"/>
      <c r="QDS239" s="1"/>
      <c r="QDT239" s="1"/>
      <c r="QDU239" s="1"/>
      <c r="QDV239" s="1"/>
      <c r="QDW239" s="1"/>
      <c r="QDX239" s="1"/>
      <c r="QDY239" s="1"/>
      <c r="QDZ239" s="1"/>
      <c r="QEA239" s="1"/>
      <c r="QEB239" s="1"/>
      <c r="QEC239" s="1"/>
      <c r="QED239" s="1"/>
      <c r="QEE239" s="1"/>
      <c r="QEF239" s="1"/>
      <c r="QEG239" s="1"/>
      <c r="QEH239" s="1"/>
      <c r="QEI239" s="1"/>
      <c r="QEJ239" s="1"/>
      <c r="QEK239" s="1"/>
      <c r="QEL239" s="1"/>
      <c r="QEM239" s="1"/>
      <c r="QEN239" s="1"/>
      <c r="QEO239" s="1"/>
      <c r="QEP239" s="1"/>
      <c r="QEQ239" s="1"/>
      <c r="QER239" s="1"/>
      <c r="QES239" s="1"/>
      <c r="QET239" s="1"/>
      <c r="QEU239" s="1"/>
      <c r="QEV239" s="1"/>
      <c r="QEW239" s="1"/>
      <c r="QEX239" s="1"/>
      <c r="QEY239" s="1"/>
      <c r="QEZ239" s="1"/>
      <c r="QFA239" s="1"/>
      <c r="QFB239" s="1"/>
      <c r="QFC239" s="1"/>
      <c r="QFD239" s="1"/>
      <c r="QFE239" s="1"/>
      <c r="QFF239" s="1"/>
      <c r="QFG239" s="1"/>
      <c r="QFH239" s="1"/>
      <c r="QFI239" s="1"/>
      <c r="QFJ239" s="1"/>
      <c r="QFK239" s="1"/>
      <c r="QFL239" s="1"/>
      <c r="QFM239" s="1"/>
      <c r="QFN239" s="1"/>
      <c r="QFO239" s="1"/>
      <c r="QFP239" s="1"/>
      <c r="QFQ239" s="1"/>
      <c r="QFR239" s="1"/>
      <c r="QFS239" s="1"/>
      <c r="QFT239" s="1"/>
      <c r="QFU239" s="1"/>
      <c r="QFV239" s="1"/>
      <c r="QFW239" s="1"/>
      <c r="QFX239" s="1"/>
      <c r="QFY239" s="1"/>
      <c r="QFZ239" s="1"/>
      <c r="QGA239" s="1"/>
      <c r="QGB239" s="1"/>
      <c r="QGC239" s="1"/>
      <c r="QGD239" s="1"/>
      <c r="QGE239" s="1"/>
      <c r="QGF239" s="1"/>
      <c r="QGG239" s="1"/>
      <c r="QGH239" s="1"/>
      <c r="QGI239" s="1"/>
      <c r="QGJ239" s="1"/>
      <c r="QGK239" s="1"/>
      <c r="QGL239" s="1"/>
      <c r="QGM239" s="1"/>
      <c r="QGN239" s="1"/>
      <c r="QGO239" s="1"/>
      <c r="QGP239" s="1"/>
      <c r="QGQ239" s="1"/>
      <c r="QGR239" s="1"/>
      <c r="QGS239" s="1"/>
      <c r="QGT239" s="1"/>
      <c r="QGU239" s="1"/>
      <c r="QGV239" s="1"/>
      <c r="QGW239" s="1"/>
      <c r="QGX239" s="1"/>
      <c r="QGY239" s="1"/>
      <c r="QGZ239" s="1"/>
      <c r="QHA239" s="1"/>
      <c r="QHB239" s="1"/>
      <c r="QHC239" s="1"/>
      <c r="QHD239" s="1"/>
      <c r="QHE239" s="1"/>
      <c r="QHF239" s="1"/>
      <c r="QHG239" s="1"/>
      <c r="QHH239" s="1"/>
      <c r="QHI239" s="1"/>
      <c r="QHJ239" s="1"/>
      <c r="QHK239" s="1"/>
      <c r="QHL239" s="1"/>
      <c r="QHM239" s="1"/>
      <c r="QHN239" s="1"/>
      <c r="QHO239" s="1"/>
      <c r="QHP239" s="1"/>
      <c r="QHQ239" s="1"/>
      <c r="QHR239" s="1"/>
      <c r="QHS239" s="1"/>
      <c r="QHT239" s="1"/>
      <c r="QHU239" s="1"/>
      <c r="QHV239" s="1"/>
      <c r="QHW239" s="1"/>
      <c r="QHX239" s="1"/>
      <c r="QHY239" s="1"/>
      <c r="QHZ239" s="1"/>
      <c r="QIA239" s="1"/>
      <c r="QIB239" s="1"/>
      <c r="QIC239" s="1"/>
      <c r="QID239" s="1"/>
      <c r="QIE239" s="1"/>
      <c r="QIF239" s="1"/>
      <c r="QIG239" s="1"/>
      <c r="QIH239" s="1"/>
      <c r="QII239" s="1"/>
      <c r="QIJ239" s="1"/>
      <c r="QIK239" s="1"/>
      <c r="QIL239" s="1"/>
      <c r="QIM239" s="1"/>
      <c r="QIN239" s="1"/>
      <c r="QIO239" s="1"/>
      <c r="QIP239" s="1"/>
      <c r="QIQ239" s="1"/>
      <c r="QIR239" s="1"/>
      <c r="QIS239" s="1"/>
      <c r="QIT239" s="1"/>
      <c r="QIU239" s="1"/>
      <c r="QIV239" s="1"/>
      <c r="QIW239" s="1"/>
      <c r="QIX239" s="1"/>
      <c r="QIY239" s="1"/>
      <c r="QIZ239" s="1"/>
      <c r="QJA239" s="1"/>
      <c r="QJB239" s="1"/>
      <c r="QJC239" s="1"/>
      <c r="QJD239" s="1"/>
      <c r="QJE239" s="1"/>
      <c r="QJF239" s="1"/>
      <c r="QJG239" s="1"/>
      <c r="QJH239" s="1"/>
      <c r="QJI239" s="1"/>
      <c r="QJJ239" s="1"/>
      <c r="QJK239" s="1"/>
      <c r="QJL239" s="1"/>
      <c r="QJM239" s="1"/>
      <c r="QJN239" s="1"/>
      <c r="QJO239" s="1"/>
      <c r="QJP239" s="1"/>
      <c r="QJQ239" s="1"/>
      <c r="QJR239" s="1"/>
      <c r="QJS239" s="1"/>
      <c r="QJT239" s="1"/>
      <c r="QJU239" s="1"/>
      <c r="QJV239" s="1"/>
      <c r="QJW239" s="1"/>
      <c r="QJX239" s="1"/>
      <c r="QJY239" s="1"/>
      <c r="QJZ239" s="1"/>
      <c r="QKA239" s="1"/>
      <c r="QKB239" s="1"/>
      <c r="QKC239" s="1"/>
      <c r="QKD239" s="1"/>
      <c r="QKE239" s="1"/>
      <c r="QKF239" s="1"/>
      <c r="QKG239" s="1"/>
      <c r="QKH239" s="1"/>
      <c r="QKI239" s="1"/>
      <c r="QKJ239" s="1"/>
      <c r="QKK239" s="1"/>
      <c r="QKL239" s="1"/>
      <c r="QKM239" s="1"/>
      <c r="QKN239" s="1"/>
      <c r="QKO239" s="1"/>
      <c r="QKP239" s="1"/>
      <c r="QKQ239" s="1"/>
      <c r="QKR239" s="1"/>
      <c r="QKS239" s="1"/>
      <c r="QKT239" s="1"/>
      <c r="QKU239" s="1"/>
      <c r="QKV239" s="1"/>
      <c r="QKW239" s="1"/>
      <c r="QKX239" s="1"/>
      <c r="QKY239" s="1"/>
      <c r="QKZ239" s="1"/>
      <c r="QLA239" s="1"/>
      <c r="QLB239" s="1"/>
      <c r="QLC239" s="1"/>
      <c r="QLD239" s="1"/>
      <c r="QLE239" s="1"/>
      <c r="QLF239" s="1"/>
      <c r="QLG239" s="1"/>
      <c r="QLH239" s="1"/>
      <c r="QLI239" s="1"/>
      <c r="QLJ239" s="1"/>
      <c r="QLK239" s="1"/>
      <c r="QLL239" s="1"/>
      <c r="QLM239" s="1"/>
      <c r="QLN239" s="1"/>
      <c r="QLO239" s="1"/>
      <c r="QLP239" s="1"/>
      <c r="QLQ239" s="1"/>
      <c r="QLR239" s="1"/>
      <c r="QLS239" s="1"/>
      <c r="QLT239" s="1"/>
      <c r="QLU239" s="1"/>
      <c r="QLV239" s="1"/>
      <c r="QLW239" s="1"/>
      <c r="QLX239" s="1"/>
      <c r="QLY239" s="1"/>
      <c r="QLZ239" s="1"/>
      <c r="QMA239" s="1"/>
      <c r="QMB239" s="1"/>
      <c r="QMC239" s="1"/>
      <c r="QMD239" s="1"/>
      <c r="QME239" s="1"/>
      <c r="QMF239" s="1"/>
      <c r="QMG239" s="1"/>
      <c r="QMH239" s="1"/>
      <c r="QMI239" s="1"/>
      <c r="QMJ239" s="1"/>
      <c r="QMK239" s="1"/>
      <c r="QML239" s="1"/>
      <c r="QMM239" s="1"/>
      <c r="QMN239" s="1"/>
      <c r="QMO239" s="1"/>
      <c r="QMP239" s="1"/>
      <c r="QMQ239" s="1"/>
      <c r="QMR239" s="1"/>
      <c r="QMS239" s="1"/>
      <c r="QMT239" s="1"/>
      <c r="QMU239" s="1"/>
      <c r="QMV239" s="1"/>
      <c r="QMW239" s="1"/>
      <c r="QMX239" s="1"/>
      <c r="QMY239" s="1"/>
      <c r="QMZ239" s="1"/>
      <c r="QNA239" s="1"/>
      <c r="QNB239" s="1"/>
      <c r="QNC239" s="1"/>
      <c r="QND239" s="1"/>
      <c r="QNE239" s="1"/>
      <c r="QNF239" s="1"/>
      <c r="QNG239" s="1"/>
      <c r="QNH239" s="1"/>
      <c r="QNI239" s="1"/>
      <c r="QNJ239" s="1"/>
      <c r="QNK239" s="1"/>
      <c r="QNL239" s="1"/>
      <c r="QNM239" s="1"/>
      <c r="QNN239" s="1"/>
      <c r="QNO239" s="1"/>
      <c r="QNP239" s="1"/>
      <c r="QNQ239" s="1"/>
      <c r="QNR239" s="1"/>
      <c r="QNS239" s="1"/>
      <c r="QNT239" s="1"/>
      <c r="QNU239" s="1"/>
      <c r="QNV239" s="1"/>
      <c r="QNW239" s="1"/>
      <c r="QNX239" s="1"/>
      <c r="QNY239" s="1"/>
      <c r="QNZ239" s="1"/>
      <c r="QOA239" s="1"/>
      <c r="QOB239" s="1"/>
      <c r="QOC239" s="1"/>
      <c r="QOD239" s="1"/>
      <c r="QOE239" s="1"/>
      <c r="QOF239" s="1"/>
      <c r="QOG239" s="1"/>
      <c r="QOH239" s="1"/>
      <c r="QOI239" s="1"/>
      <c r="QOJ239" s="1"/>
      <c r="QOK239" s="1"/>
      <c r="QOL239" s="1"/>
      <c r="QOM239" s="1"/>
      <c r="QON239" s="1"/>
      <c r="QOO239" s="1"/>
      <c r="QOP239" s="1"/>
      <c r="QOQ239" s="1"/>
      <c r="QOR239" s="1"/>
      <c r="QOS239" s="1"/>
      <c r="QOT239" s="1"/>
      <c r="QOU239" s="1"/>
      <c r="QOV239" s="1"/>
      <c r="QOW239" s="1"/>
      <c r="QOX239" s="1"/>
      <c r="QOY239" s="1"/>
      <c r="QOZ239" s="1"/>
      <c r="QPA239" s="1"/>
      <c r="QPB239" s="1"/>
      <c r="QPC239" s="1"/>
      <c r="QPD239" s="1"/>
      <c r="QPE239" s="1"/>
      <c r="QPF239" s="1"/>
      <c r="QPG239" s="1"/>
      <c r="QPH239" s="1"/>
      <c r="QPI239" s="1"/>
      <c r="QPJ239" s="1"/>
      <c r="QPK239" s="1"/>
      <c r="QPL239" s="1"/>
      <c r="QPM239" s="1"/>
      <c r="QPN239" s="1"/>
      <c r="QPO239" s="1"/>
      <c r="QPP239" s="1"/>
      <c r="QPQ239" s="1"/>
      <c r="QPR239" s="1"/>
      <c r="QPS239" s="1"/>
      <c r="QPT239" s="1"/>
      <c r="QPU239" s="1"/>
      <c r="QPV239" s="1"/>
      <c r="QPW239" s="1"/>
      <c r="QPX239" s="1"/>
      <c r="QPY239" s="1"/>
      <c r="QPZ239" s="1"/>
      <c r="QQA239" s="1"/>
      <c r="QQB239" s="1"/>
      <c r="QQC239" s="1"/>
      <c r="QQD239" s="1"/>
      <c r="QQE239" s="1"/>
      <c r="QQF239" s="1"/>
      <c r="QQG239" s="1"/>
      <c r="QQH239" s="1"/>
      <c r="QQI239" s="1"/>
      <c r="QQJ239" s="1"/>
      <c r="QQK239" s="1"/>
      <c r="QQL239" s="1"/>
      <c r="QQM239" s="1"/>
      <c r="QQN239" s="1"/>
      <c r="QQO239" s="1"/>
      <c r="QQP239" s="1"/>
      <c r="QQQ239" s="1"/>
      <c r="QQR239" s="1"/>
      <c r="QQS239" s="1"/>
      <c r="QQT239" s="1"/>
      <c r="QQU239" s="1"/>
      <c r="QQV239" s="1"/>
      <c r="QQW239" s="1"/>
      <c r="QQX239" s="1"/>
      <c r="QQY239" s="1"/>
      <c r="QQZ239" s="1"/>
      <c r="QRA239" s="1"/>
      <c r="QRB239" s="1"/>
      <c r="QRC239" s="1"/>
      <c r="QRD239" s="1"/>
      <c r="QRE239" s="1"/>
      <c r="QRF239" s="1"/>
      <c r="QRG239" s="1"/>
      <c r="QRH239" s="1"/>
      <c r="QRI239" s="1"/>
      <c r="QRJ239" s="1"/>
      <c r="QRK239" s="1"/>
      <c r="QRL239" s="1"/>
      <c r="QRM239" s="1"/>
      <c r="QRN239" s="1"/>
      <c r="QRO239" s="1"/>
      <c r="QRP239" s="1"/>
      <c r="QRQ239" s="1"/>
      <c r="QRR239" s="1"/>
      <c r="QRS239" s="1"/>
      <c r="QRT239" s="1"/>
      <c r="QRU239" s="1"/>
      <c r="QRV239" s="1"/>
      <c r="QRW239" s="1"/>
      <c r="QRX239" s="1"/>
      <c r="QRY239" s="1"/>
      <c r="QRZ239" s="1"/>
      <c r="QSA239" s="1"/>
      <c r="QSB239" s="1"/>
      <c r="QSC239" s="1"/>
      <c r="QSD239" s="1"/>
      <c r="QSE239" s="1"/>
      <c r="QSF239" s="1"/>
      <c r="QSG239" s="1"/>
      <c r="QSH239" s="1"/>
      <c r="QSI239" s="1"/>
      <c r="QSJ239" s="1"/>
      <c r="QSK239" s="1"/>
      <c r="QSL239" s="1"/>
      <c r="QSM239" s="1"/>
      <c r="QSN239" s="1"/>
      <c r="QSO239" s="1"/>
      <c r="QSP239" s="1"/>
      <c r="QSQ239" s="1"/>
      <c r="QSR239" s="1"/>
      <c r="QSS239" s="1"/>
      <c r="QST239" s="1"/>
      <c r="QSU239" s="1"/>
      <c r="QSV239" s="1"/>
      <c r="QSW239" s="1"/>
      <c r="QSX239" s="1"/>
      <c r="QSY239" s="1"/>
      <c r="QSZ239" s="1"/>
      <c r="QTA239" s="1"/>
      <c r="QTB239" s="1"/>
      <c r="QTC239" s="1"/>
      <c r="QTD239" s="1"/>
      <c r="QTE239" s="1"/>
      <c r="QTF239" s="1"/>
      <c r="QTG239" s="1"/>
      <c r="QTH239" s="1"/>
      <c r="QTI239" s="1"/>
      <c r="QTJ239" s="1"/>
      <c r="QTK239" s="1"/>
      <c r="QTL239" s="1"/>
      <c r="QTM239" s="1"/>
      <c r="QTN239" s="1"/>
      <c r="QTO239" s="1"/>
      <c r="QTP239" s="1"/>
      <c r="QTQ239" s="1"/>
      <c r="QTR239" s="1"/>
      <c r="QTS239" s="1"/>
      <c r="QTT239" s="1"/>
      <c r="QTU239" s="1"/>
      <c r="QTV239" s="1"/>
      <c r="QTW239" s="1"/>
      <c r="QTX239" s="1"/>
      <c r="QTY239" s="1"/>
      <c r="QTZ239" s="1"/>
      <c r="QUA239" s="1"/>
      <c r="QUB239" s="1"/>
      <c r="QUC239" s="1"/>
      <c r="QUD239" s="1"/>
      <c r="QUE239" s="1"/>
      <c r="QUF239" s="1"/>
      <c r="QUG239" s="1"/>
      <c r="QUH239" s="1"/>
      <c r="QUI239" s="1"/>
      <c r="QUJ239" s="1"/>
      <c r="QUK239" s="1"/>
      <c r="QUL239" s="1"/>
      <c r="QUM239" s="1"/>
      <c r="QUN239" s="1"/>
      <c r="QUO239" s="1"/>
      <c r="QUP239" s="1"/>
      <c r="QUQ239" s="1"/>
      <c r="QUR239" s="1"/>
      <c r="QUS239" s="1"/>
      <c r="QUT239" s="1"/>
      <c r="QUU239" s="1"/>
      <c r="QUV239" s="1"/>
      <c r="QUW239" s="1"/>
      <c r="QUX239" s="1"/>
      <c r="QUY239" s="1"/>
      <c r="QUZ239" s="1"/>
      <c r="QVA239" s="1"/>
      <c r="QVB239" s="1"/>
      <c r="QVC239" s="1"/>
      <c r="QVD239" s="1"/>
      <c r="QVE239" s="1"/>
      <c r="QVF239" s="1"/>
      <c r="QVG239" s="1"/>
      <c r="QVH239" s="1"/>
      <c r="QVI239" s="1"/>
      <c r="QVJ239" s="1"/>
      <c r="QVK239" s="1"/>
      <c r="QVL239" s="1"/>
      <c r="QVM239" s="1"/>
      <c r="QVN239" s="1"/>
      <c r="QVO239" s="1"/>
      <c r="QVP239" s="1"/>
      <c r="QVQ239" s="1"/>
      <c r="QVR239" s="1"/>
      <c r="QVS239" s="1"/>
      <c r="QVT239" s="1"/>
      <c r="QVU239" s="1"/>
      <c r="QVV239" s="1"/>
      <c r="QVW239" s="1"/>
      <c r="QVX239" s="1"/>
      <c r="QVY239" s="1"/>
      <c r="QVZ239" s="1"/>
      <c r="QWA239" s="1"/>
      <c r="QWB239" s="1"/>
      <c r="QWC239" s="1"/>
      <c r="QWD239" s="1"/>
      <c r="QWE239" s="1"/>
      <c r="QWF239" s="1"/>
      <c r="QWG239" s="1"/>
      <c r="QWH239" s="1"/>
      <c r="QWI239" s="1"/>
      <c r="QWJ239" s="1"/>
      <c r="QWK239" s="1"/>
      <c r="QWL239" s="1"/>
      <c r="QWM239" s="1"/>
      <c r="QWN239" s="1"/>
      <c r="QWO239" s="1"/>
      <c r="QWP239" s="1"/>
      <c r="QWQ239" s="1"/>
      <c r="QWR239" s="1"/>
      <c r="QWS239" s="1"/>
      <c r="QWT239" s="1"/>
      <c r="QWU239" s="1"/>
      <c r="QWV239" s="1"/>
      <c r="QWW239" s="1"/>
      <c r="QWX239" s="1"/>
      <c r="QWY239" s="1"/>
      <c r="QWZ239" s="1"/>
      <c r="QXA239" s="1"/>
      <c r="QXB239" s="1"/>
      <c r="QXC239" s="1"/>
      <c r="QXD239" s="1"/>
      <c r="QXE239" s="1"/>
      <c r="QXF239" s="1"/>
      <c r="QXG239" s="1"/>
      <c r="QXH239" s="1"/>
      <c r="QXI239" s="1"/>
      <c r="QXJ239" s="1"/>
      <c r="QXK239" s="1"/>
      <c r="QXL239" s="1"/>
      <c r="QXM239" s="1"/>
      <c r="QXN239" s="1"/>
      <c r="QXO239" s="1"/>
      <c r="QXP239" s="1"/>
      <c r="QXQ239" s="1"/>
      <c r="QXR239" s="1"/>
      <c r="QXS239" s="1"/>
      <c r="QXT239" s="1"/>
      <c r="QXU239" s="1"/>
      <c r="QXV239" s="1"/>
      <c r="QXW239" s="1"/>
      <c r="QXX239" s="1"/>
      <c r="QXY239" s="1"/>
      <c r="QXZ239" s="1"/>
      <c r="QYA239" s="1"/>
      <c r="QYB239" s="1"/>
      <c r="QYC239" s="1"/>
      <c r="QYD239" s="1"/>
      <c r="QYE239" s="1"/>
      <c r="QYF239" s="1"/>
      <c r="QYG239" s="1"/>
      <c r="QYH239" s="1"/>
      <c r="QYI239" s="1"/>
      <c r="QYJ239" s="1"/>
      <c r="QYK239" s="1"/>
      <c r="QYL239" s="1"/>
      <c r="QYM239" s="1"/>
      <c r="QYN239" s="1"/>
      <c r="QYO239" s="1"/>
      <c r="QYP239" s="1"/>
      <c r="QYQ239" s="1"/>
      <c r="QYR239" s="1"/>
      <c r="QYS239" s="1"/>
      <c r="QYT239" s="1"/>
      <c r="QYU239" s="1"/>
      <c r="QYV239" s="1"/>
      <c r="QYW239" s="1"/>
      <c r="QYX239" s="1"/>
      <c r="QYY239" s="1"/>
      <c r="QYZ239" s="1"/>
      <c r="QZA239" s="1"/>
      <c r="QZB239" s="1"/>
      <c r="QZC239" s="1"/>
      <c r="QZD239" s="1"/>
      <c r="QZE239" s="1"/>
      <c r="QZF239" s="1"/>
      <c r="QZG239" s="1"/>
      <c r="QZH239" s="1"/>
      <c r="QZI239" s="1"/>
      <c r="QZJ239" s="1"/>
      <c r="QZK239" s="1"/>
      <c r="QZL239" s="1"/>
      <c r="QZM239" s="1"/>
      <c r="QZN239" s="1"/>
      <c r="QZO239" s="1"/>
      <c r="QZP239" s="1"/>
      <c r="QZQ239" s="1"/>
      <c r="QZR239" s="1"/>
      <c r="QZS239" s="1"/>
      <c r="QZT239" s="1"/>
      <c r="QZU239" s="1"/>
      <c r="QZV239" s="1"/>
      <c r="QZW239" s="1"/>
      <c r="QZX239" s="1"/>
      <c r="QZY239" s="1"/>
      <c r="QZZ239" s="1"/>
      <c r="RAA239" s="1"/>
      <c r="RAB239" s="1"/>
      <c r="RAC239" s="1"/>
      <c r="RAD239" s="1"/>
      <c r="RAE239" s="1"/>
      <c r="RAF239" s="1"/>
      <c r="RAG239" s="1"/>
      <c r="RAH239" s="1"/>
      <c r="RAI239" s="1"/>
      <c r="RAJ239" s="1"/>
      <c r="RAK239" s="1"/>
      <c r="RAL239" s="1"/>
      <c r="RAM239" s="1"/>
      <c r="RAN239" s="1"/>
      <c r="RAO239" s="1"/>
      <c r="RAP239" s="1"/>
      <c r="RAQ239" s="1"/>
      <c r="RAR239" s="1"/>
      <c r="RAS239" s="1"/>
      <c r="RAT239" s="1"/>
      <c r="RAU239" s="1"/>
      <c r="RAV239" s="1"/>
      <c r="RAW239" s="1"/>
      <c r="RAX239" s="1"/>
      <c r="RAY239" s="1"/>
      <c r="RAZ239" s="1"/>
      <c r="RBA239" s="1"/>
      <c r="RBB239" s="1"/>
      <c r="RBC239" s="1"/>
      <c r="RBD239" s="1"/>
      <c r="RBE239" s="1"/>
      <c r="RBF239" s="1"/>
      <c r="RBG239" s="1"/>
      <c r="RBH239" s="1"/>
      <c r="RBI239" s="1"/>
      <c r="RBJ239" s="1"/>
      <c r="RBK239" s="1"/>
      <c r="RBL239" s="1"/>
      <c r="RBM239" s="1"/>
      <c r="RBN239" s="1"/>
      <c r="RBO239" s="1"/>
      <c r="RBP239" s="1"/>
      <c r="RBQ239" s="1"/>
      <c r="RBR239" s="1"/>
      <c r="RBS239" s="1"/>
      <c r="RBT239" s="1"/>
      <c r="RBU239" s="1"/>
      <c r="RBV239" s="1"/>
      <c r="RBW239" s="1"/>
      <c r="RBX239" s="1"/>
      <c r="RBY239" s="1"/>
      <c r="RBZ239" s="1"/>
      <c r="RCA239" s="1"/>
      <c r="RCB239" s="1"/>
      <c r="RCC239" s="1"/>
      <c r="RCD239" s="1"/>
      <c r="RCE239" s="1"/>
      <c r="RCF239" s="1"/>
      <c r="RCG239" s="1"/>
      <c r="RCH239" s="1"/>
      <c r="RCI239" s="1"/>
      <c r="RCJ239" s="1"/>
      <c r="RCK239" s="1"/>
      <c r="RCL239" s="1"/>
      <c r="RCM239" s="1"/>
      <c r="RCN239" s="1"/>
      <c r="RCO239" s="1"/>
      <c r="RCP239" s="1"/>
      <c r="RCQ239" s="1"/>
      <c r="RCR239" s="1"/>
      <c r="RCS239" s="1"/>
      <c r="RCT239" s="1"/>
      <c r="RCU239" s="1"/>
      <c r="RCV239" s="1"/>
      <c r="RCW239" s="1"/>
      <c r="RCX239" s="1"/>
      <c r="RCY239" s="1"/>
      <c r="RCZ239" s="1"/>
      <c r="RDA239" s="1"/>
      <c r="RDB239" s="1"/>
      <c r="RDC239" s="1"/>
      <c r="RDD239" s="1"/>
      <c r="RDE239" s="1"/>
      <c r="RDF239" s="1"/>
      <c r="RDG239" s="1"/>
      <c r="RDH239" s="1"/>
      <c r="RDI239" s="1"/>
      <c r="RDJ239" s="1"/>
      <c r="RDK239" s="1"/>
      <c r="RDL239" s="1"/>
      <c r="RDM239" s="1"/>
      <c r="RDN239" s="1"/>
      <c r="RDO239" s="1"/>
      <c r="RDP239" s="1"/>
      <c r="RDQ239" s="1"/>
      <c r="RDR239" s="1"/>
      <c r="RDS239" s="1"/>
      <c r="RDT239" s="1"/>
      <c r="RDU239" s="1"/>
      <c r="RDV239" s="1"/>
      <c r="RDW239" s="1"/>
      <c r="RDX239" s="1"/>
      <c r="RDY239" s="1"/>
      <c r="RDZ239" s="1"/>
      <c r="REA239" s="1"/>
      <c r="REB239" s="1"/>
      <c r="REC239" s="1"/>
      <c r="RED239" s="1"/>
      <c r="REE239" s="1"/>
      <c r="REF239" s="1"/>
      <c r="REG239" s="1"/>
      <c r="REH239" s="1"/>
      <c r="REI239" s="1"/>
      <c r="REJ239" s="1"/>
      <c r="REK239" s="1"/>
      <c r="REL239" s="1"/>
      <c r="REM239" s="1"/>
      <c r="REN239" s="1"/>
      <c r="REO239" s="1"/>
      <c r="REP239" s="1"/>
      <c r="REQ239" s="1"/>
      <c r="RER239" s="1"/>
      <c r="RES239" s="1"/>
      <c r="RET239" s="1"/>
      <c r="REU239" s="1"/>
      <c r="REV239" s="1"/>
      <c r="REW239" s="1"/>
      <c r="REX239" s="1"/>
      <c r="REY239" s="1"/>
      <c r="REZ239" s="1"/>
      <c r="RFA239" s="1"/>
      <c r="RFB239" s="1"/>
      <c r="RFC239" s="1"/>
      <c r="RFD239" s="1"/>
      <c r="RFE239" s="1"/>
      <c r="RFF239" s="1"/>
      <c r="RFG239" s="1"/>
      <c r="RFH239" s="1"/>
      <c r="RFI239" s="1"/>
      <c r="RFJ239" s="1"/>
      <c r="RFK239" s="1"/>
      <c r="RFL239" s="1"/>
      <c r="RFM239" s="1"/>
      <c r="RFN239" s="1"/>
      <c r="RFO239" s="1"/>
      <c r="RFP239" s="1"/>
      <c r="RFQ239" s="1"/>
      <c r="RFR239" s="1"/>
      <c r="RFS239" s="1"/>
      <c r="RFT239" s="1"/>
      <c r="RFU239" s="1"/>
      <c r="RFV239" s="1"/>
      <c r="RFW239" s="1"/>
      <c r="RFX239" s="1"/>
      <c r="RFY239" s="1"/>
      <c r="RFZ239" s="1"/>
      <c r="RGA239" s="1"/>
      <c r="RGB239" s="1"/>
      <c r="RGC239" s="1"/>
      <c r="RGD239" s="1"/>
      <c r="RGE239" s="1"/>
      <c r="RGF239" s="1"/>
      <c r="RGG239" s="1"/>
      <c r="RGH239" s="1"/>
      <c r="RGI239" s="1"/>
      <c r="RGJ239" s="1"/>
      <c r="RGK239" s="1"/>
      <c r="RGL239" s="1"/>
      <c r="RGM239" s="1"/>
      <c r="RGN239" s="1"/>
      <c r="RGO239" s="1"/>
      <c r="RGP239" s="1"/>
      <c r="RGQ239" s="1"/>
      <c r="RGR239" s="1"/>
      <c r="RGS239" s="1"/>
      <c r="RGT239" s="1"/>
      <c r="RGU239" s="1"/>
      <c r="RGV239" s="1"/>
      <c r="RGW239" s="1"/>
      <c r="RGX239" s="1"/>
      <c r="RGY239" s="1"/>
      <c r="RGZ239" s="1"/>
      <c r="RHA239" s="1"/>
      <c r="RHB239" s="1"/>
      <c r="RHC239" s="1"/>
      <c r="RHD239" s="1"/>
      <c r="RHE239" s="1"/>
      <c r="RHF239" s="1"/>
      <c r="RHG239" s="1"/>
      <c r="RHH239" s="1"/>
      <c r="RHI239" s="1"/>
      <c r="RHJ239" s="1"/>
      <c r="RHK239" s="1"/>
      <c r="RHL239" s="1"/>
      <c r="RHM239" s="1"/>
      <c r="RHN239" s="1"/>
      <c r="RHO239" s="1"/>
      <c r="RHP239" s="1"/>
      <c r="RHQ239" s="1"/>
      <c r="RHR239" s="1"/>
      <c r="RHS239" s="1"/>
      <c r="RHT239" s="1"/>
      <c r="RHU239" s="1"/>
      <c r="RHV239" s="1"/>
      <c r="RHW239" s="1"/>
      <c r="RHX239" s="1"/>
      <c r="RHY239" s="1"/>
      <c r="RHZ239" s="1"/>
      <c r="RIA239" s="1"/>
      <c r="RIB239" s="1"/>
      <c r="RIC239" s="1"/>
      <c r="RID239" s="1"/>
      <c r="RIE239" s="1"/>
      <c r="RIF239" s="1"/>
      <c r="RIG239" s="1"/>
      <c r="RIH239" s="1"/>
      <c r="RII239" s="1"/>
      <c r="RIJ239" s="1"/>
      <c r="RIK239" s="1"/>
      <c r="RIL239" s="1"/>
      <c r="RIM239" s="1"/>
      <c r="RIN239" s="1"/>
      <c r="RIO239" s="1"/>
      <c r="RIP239" s="1"/>
      <c r="RIQ239" s="1"/>
      <c r="RIR239" s="1"/>
      <c r="RIS239" s="1"/>
      <c r="RIT239" s="1"/>
      <c r="RIU239" s="1"/>
      <c r="RIV239" s="1"/>
      <c r="RIW239" s="1"/>
      <c r="RIX239" s="1"/>
      <c r="RIY239" s="1"/>
      <c r="RIZ239" s="1"/>
      <c r="RJA239" s="1"/>
      <c r="RJB239" s="1"/>
      <c r="RJC239" s="1"/>
      <c r="RJD239" s="1"/>
      <c r="RJE239" s="1"/>
      <c r="RJF239" s="1"/>
      <c r="RJG239" s="1"/>
      <c r="RJH239" s="1"/>
      <c r="RJI239" s="1"/>
      <c r="RJJ239" s="1"/>
      <c r="RJK239" s="1"/>
      <c r="RJL239" s="1"/>
      <c r="RJM239" s="1"/>
      <c r="RJN239" s="1"/>
      <c r="RJO239" s="1"/>
      <c r="RJP239" s="1"/>
      <c r="RJQ239" s="1"/>
      <c r="RJR239" s="1"/>
      <c r="RJS239" s="1"/>
      <c r="RJT239" s="1"/>
      <c r="RJU239" s="1"/>
      <c r="RJV239" s="1"/>
      <c r="RJW239" s="1"/>
      <c r="RJX239" s="1"/>
      <c r="RJY239" s="1"/>
      <c r="RJZ239" s="1"/>
      <c r="RKA239" s="1"/>
      <c r="RKB239" s="1"/>
      <c r="RKC239" s="1"/>
      <c r="RKD239" s="1"/>
      <c r="RKE239" s="1"/>
      <c r="RKF239" s="1"/>
      <c r="RKG239" s="1"/>
      <c r="RKH239" s="1"/>
      <c r="RKI239" s="1"/>
      <c r="RKJ239" s="1"/>
      <c r="RKK239" s="1"/>
      <c r="RKL239" s="1"/>
      <c r="RKM239" s="1"/>
      <c r="RKN239" s="1"/>
      <c r="RKO239" s="1"/>
      <c r="RKP239" s="1"/>
      <c r="RKQ239" s="1"/>
      <c r="RKR239" s="1"/>
      <c r="RKS239" s="1"/>
      <c r="RKT239" s="1"/>
      <c r="RKU239" s="1"/>
      <c r="RKV239" s="1"/>
      <c r="RKW239" s="1"/>
      <c r="RKX239" s="1"/>
      <c r="RKY239" s="1"/>
      <c r="RKZ239" s="1"/>
      <c r="RLA239" s="1"/>
      <c r="RLB239" s="1"/>
      <c r="RLC239" s="1"/>
      <c r="RLD239" s="1"/>
      <c r="RLE239" s="1"/>
      <c r="RLF239" s="1"/>
      <c r="RLG239" s="1"/>
      <c r="RLH239" s="1"/>
      <c r="RLI239" s="1"/>
      <c r="RLJ239" s="1"/>
      <c r="RLK239" s="1"/>
      <c r="RLL239" s="1"/>
      <c r="RLM239" s="1"/>
      <c r="RLN239" s="1"/>
      <c r="RLO239" s="1"/>
      <c r="RLP239" s="1"/>
      <c r="RLQ239" s="1"/>
      <c r="RLR239" s="1"/>
      <c r="RLS239" s="1"/>
      <c r="RLT239" s="1"/>
      <c r="RLU239" s="1"/>
      <c r="RLV239" s="1"/>
      <c r="RLW239" s="1"/>
      <c r="RLX239" s="1"/>
      <c r="RLY239" s="1"/>
      <c r="RLZ239" s="1"/>
      <c r="RMA239" s="1"/>
      <c r="RMB239" s="1"/>
      <c r="RMC239" s="1"/>
      <c r="RMD239" s="1"/>
      <c r="RME239" s="1"/>
      <c r="RMF239" s="1"/>
      <c r="RMG239" s="1"/>
      <c r="RMH239" s="1"/>
      <c r="RMI239" s="1"/>
      <c r="RMJ239" s="1"/>
      <c r="RMK239" s="1"/>
      <c r="RML239" s="1"/>
      <c r="RMM239" s="1"/>
      <c r="RMN239" s="1"/>
      <c r="RMO239" s="1"/>
      <c r="RMP239" s="1"/>
      <c r="RMQ239" s="1"/>
      <c r="RMR239" s="1"/>
      <c r="RMS239" s="1"/>
      <c r="RMT239" s="1"/>
      <c r="RMU239" s="1"/>
      <c r="RMV239" s="1"/>
      <c r="RMW239" s="1"/>
      <c r="RMX239" s="1"/>
      <c r="RMY239" s="1"/>
      <c r="RMZ239" s="1"/>
      <c r="RNA239" s="1"/>
      <c r="RNB239" s="1"/>
      <c r="RNC239" s="1"/>
      <c r="RND239" s="1"/>
      <c r="RNE239" s="1"/>
      <c r="RNF239" s="1"/>
      <c r="RNG239" s="1"/>
      <c r="RNH239" s="1"/>
      <c r="RNI239" s="1"/>
      <c r="RNJ239" s="1"/>
      <c r="RNK239" s="1"/>
      <c r="RNL239" s="1"/>
      <c r="RNM239" s="1"/>
      <c r="RNN239" s="1"/>
      <c r="RNO239" s="1"/>
      <c r="RNP239" s="1"/>
      <c r="RNQ239" s="1"/>
      <c r="RNR239" s="1"/>
      <c r="RNS239" s="1"/>
      <c r="RNT239" s="1"/>
      <c r="RNU239" s="1"/>
      <c r="RNV239" s="1"/>
      <c r="RNW239" s="1"/>
      <c r="RNX239" s="1"/>
      <c r="RNY239" s="1"/>
      <c r="RNZ239" s="1"/>
      <c r="ROA239" s="1"/>
      <c r="ROB239" s="1"/>
      <c r="ROC239" s="1"/>
      <c r="ROD239" s="1"/>
      <c r="ROE239" s="1"/>
      <c r="ROF239" s="1"/>
      <c r="ROG239" s="1"/>
      <c r="ROH239" s="1"/>
      <c r="ROI239" s="1"/>
      <c r="ROJ239" s="1"/>
      <c r="ROK239" s="1"/>
      <c r="ROL239" s="1"/>
      <c r="ROM239" s="1"/>
      <c r="RON239" s="1"/>
      <c r="ROO239" s="1"/>
      <c r="ROP239" s="1"/>
      <c r="ROQ239" s="1"/>
      <c r="ROR239" s="1"/>
      <c r="ROS239" s="1"/>
      <c r="ROT239" s="1"/>
      <c r="ROU239" s="1"/>
      <c r="ROV239" s="1"/>
      <c r="ROW239" s="1"/>
      <c r="ROX239" s="1"/>
      <c r="ROY239" s="1"/>
      <c r="ROZ239" s="1"/>
      <c r="RPA239" s="1"/>
      <c r="RPB239" s="1"/>
      <c r="RPC239" s="1"/>
      <c r="RPD239" s="1"/>
      <c r="RPE239" s="1"/>
      <c r="RPF239" s="1"/>
      <c r="RPG239" s="1"/>
      <c r="RPH239" s="1"/>
      <c r="RPI239" s="1"/>
      <c r="RPJ239" s="1"/>
      <c r="RPK239" s="1"/>
      <c r="RPL239" s="1"/>
      <c r="RPM239" s="1"/>
      <c r="RPN239" s="1"/>
      <c r="RPO239" s="1"/>
      <c r="RPP239" s="1"/>
      <c r="RPQ239" s="1"/>
      <c r="RPR239" s="1"/>
      <c r="RPS239" s="1"/>
      <c r="RPT239" s="1"/>
      <c r="RPU239" s="1"/>
      <c r="RPV239" s="1"/>
      <c r="RPW239" s="1"/>
      <c r="RPX239" s="1"/>
      <c r="RPY239" s="1"/>
      <c r="RPZ239" s="1"/>
      <c r="RQA239" s="1"/>
      <c r="RQB239" s="1"/>
      <c r="RQC239" s="1"/>
      <c r="RQD239" s="1"/>
      <c r="RQE239" s="1"/>
      <c r="RQF239" s="1"/>
      <c r="RQG239" s="1"/>
      <c r="RQH239" s="1"/>
      <c r="RQI239" s="1"/>
      <c r="RQJ239" s="1"/>
      <c r="RQK239" s="1"/>
      <c r="RQL239" s="1"/>
      <c r="RQM239" s="1"/>
      <c r="RQN239" s="1"/>
      <c r="RQO239" s="1"/>
      <c r="RQP239" s="1"/>
      <c r="RQQ239" s="1"/>
      <c r="RQR239" s="1"/>
      <c r="RQS239" s="1"/>
      <c r="RQT239" s="1"/>
      <c r="RQU239" s="1"/>
      <c r="RQV239" s="1"/>
      <c r="RQW239" s="1"/>
      <c r="RQX239" s="1"/>
      <c r="RQY239" s="1"/>
      <c r="RQZ239" s="1"/>
      <c r="RRA239" s="1"/>
      <c r="RRB239" s="1"/>
      <c r="RRC239" s="1"/>
      <c r="RRD239" s="1"/>
      <c r="RRE239" s="1"/>
      <c r="RRF239" s="1"/>
      <c r="RRG239" s="1"/>
      <c r="RRH239" s="1"/>
      <c r="RRI239" s="1"/>
      <c r="RRJ239" s="1"/>
      <c r="RRK239" s="1"/>
      <c r="RRL239" s="1"/>
      <c r="RRM239" s="1"/>
      <c r="RRN239" s="1"/>
      <c r="RRO239" s="1"/>
      <c r="RRP239" s="1"/>
      <c r="RRQ239" s="1"/>
      <c r="RRR239" s="1"/>
      <c r="RRS239" s="1"/>
      <c r="RRT239" s="1"/>
      <c r="RRU239" s="1"/>
      <c r="RRV239" s="1"/>
      <c r="RRW239" s="1"/>
      <c r="RRX239" s="1"/>
      <c r="RRY239" s="1"/>
      <c r="RRZ239" s="1"/>
      <c r="RSA239" s="1"/>
      <c r="RSB239" s="1"/>
      <c r="RSC239" s="1"/>
      <c r="RSD239" s="1"/>
      <c r="RSE239" s="1"/>
      <c r="RSF239" s="1"/>
      <c r="RSG239" s="1"/>
      <c r="RSH239" s="1"/>
      <c r="RSI239" s="1"/>
      <c r="RSJ239" s="1"/>
      <c r="RSK239" s="1"/>
      <c r="RSL239" s="1"/>
      <c r="RSM239" s="1"/>
      <c r="RSN239" s="1"/>
      <c r="RSO239" s="1"/>
      <c r="RSP239" s="1"/>
      <c r="RSQ239" s="1"/>
      <c r="RSR239" s="1"/>
      <c r="RSS239" s="1"/>
      <c r="RST239" s="1"/>
      <c r="RSU239" s="1"/>
      <c r="RSV239" s="1"/>
      <c r="RSW239" s="1"/>
      <c r="RSX239" s="1"/>
      <c r="RSY239" s="1"/>
      <c r="RSZ239" s="1"/>
      <c r="RTA239" s="1"/>
      <c r="RTB239" s="1"/>
      <c r="RTC239" s="1"/>
      <c r="RTD239" s="1"/>
      <c r="RTE239" s="1"/>
      <c r="RTF239" s="1"/>
      <c r="RTG239" s="1"/>
      <c r="RTH239" s="1"/>
      <c r="RTI239" s="1"/>
      <c r="RTJ239" s="1"/>
      <c r="RTK239" s="1"/>
      <c r="RTL239" s="1"/>
      <c r="RTM239" s="1"/>
      <c r="RTN239" s="1"/>
      <c r="RTO239" s="1"/>
      <c r="RTP239" s="1"/>
      <c r="RTQ239" s="1"/>
      <c r="RTR239" s="1"/>
      <c r="RTS239" s="1"/>
      <c r="RTT239" s="1"/>
      <c r="RTU239" s="1"/>
      <c r="RTV239" s="1"/>
      <c r="RTW239" s="1"/>
      <c r="RTX239" s="1"/>
      <c r="RTY239" s="1"/>
      <c r="RTZ239" s="1"/>
      <c r="RUA239" s="1"/>
      <c r="RUB239" s="1"/>
      <c r="RUC239" s="1"/>
      <c r="RUD239" s="1"/>
      <c r="RUE239" s="1"/>
      <c r="RUF239" s="1"/>
      <c r="RUG239" s="1"/>
      <c r="RUH239" s="1"/>
      <c r="RUI239" s="1"/>
      <c r="RUJ239" s="1"/>
      <c r="RUK239" s="1"/>
      <c r="RUL239" s="1"/>
      <c r="RUM239" s="1"/>
      <c r="RUN239" s="1"/>
      <c r="RUO239" s="1"/>
      <c r="RUP239" s="1"/>
      <c r="RUQ239" s="1"/>
      <c r="RUR239" s="1"/>
      <c r="RUS239" s="1"/>
      <c r="RUT239" s="1"/>
      <c r="RUU239" s="1"/>
      <c r="RUV239" s="1"/>
      <c r="RUW239" s="1"/>
      <c r="RUX239" s="1"/>
      <c r="RUY239" s="1"/>
      <c r="RUZ239" s="1"/>
      <c r="RVA239" s="1"/>
      <c r="RVB239" s="1"/>
      <c r="RVC239" s="1"/>
      <c r="RVD239" s="1"/>
      <c r="RVE239" s="1"/>
      <c r="RVF239" s="1"/>
      <c r="RVG239" s="1"/>
      <c r="RVH239" s="1"/>
      <c r="RVI239" s="1"/>
      <c r="RVJ239" s="1"/>
      <c r="RVK239" s="1"/>
      <c r="RVL239" s="1"/>
      <c r="RVM239" s="1"/>
      <c r="RVN239" s="1"/>
      <c r="RVO239" s="1"/>
      <c r="RVP239" s="1"/>
      <c r="RVQ239" s="1"/>
      <c r="RVR239" s="1"/>
      <c r="RVS239" s="1"/>
      <c r="RVT239" s="1"/>
      <c r="RVU239" s="1"/>
      <c r="RVV239" s="1"/>
      <c r="RVW239" s="1"/>
      <c r="RVX239" s="1"/>
      <c r="RVY239" s="1"/>
      <c r="RVZ239" s="1"/>
      <c r="RWA239" s="1"/>
      <c r="RWB239" s="1"/>
      <c r="RWC239" s="1"/>
      <c r="RWD239" s="1"/>
      <c r="RWE239" s="1"/>
      <c r="RWF239" s="1"/>
      <c r="RWG239" s="1"/>
      <c r="RWH239" s="1"/>
      <c r="RWI239" s="1"/>
      <c r="RWJ239" s="1"/>
      <c r="RWK239" s="1"/>
      <c r="RWL239" s="1"/>
      <c r="RWM239" s="1"/>
      <c r="RWN239" s="1"/>
      <c r="RWO239" s="1"/>
      <c r="RWP239" s="1"/>
      <c r="RWQ239" s="1"/>
      <c r="RWR239" s="1"/>
      <c r="RWS239" s="1"/>
      <c r="RWT239" s="1"/>
      <c r="RWU239" s="1"/>
      <c r="RWV239" s="1"/>
      <c r="RWW239" s="1"/>
      <c r="RWX239" s="1"/>
      <c r="RWY239" s="1"/>
      <c r="RWZ239" s="1"/>
      <c r="RXA239" s="1"/>
      <c r="RXB239" s="1"/>
      <c r="RXC239" s="1"/>
      <c r="RXD239" s="1"/>
      <c r="RXE239" s="1"/>
      <c r="RXF239" s="1"/>
      <c r="RXG239" s="1"/>
      <c r="RXH239" s="1"/>
      <c r="RXI239" s="1"/>
      <c r="RXJ239" s="1"/>
      <c r="RXK239" s="1"/>
      <c r="RXL239" s="1"/>
      <c r="RXM239" s="1"/>
      <c r="RXN239" s="1"/>
      <c r="RXO239" s="1"/>
      <c r="RXP239" s="1"/>
      <c r="RXQ239" s="1"/>
      <c r="RXR239" s="1"/>
      <c r="RXS239" s="1"/>
      <c r="RXT239" s="1"/>
      <c r="RXU239" s="1"/>
      <c r="RXV239" s="1"/>
      <c r="RXW239" s="1"/>
      <c r="RXX239" s="1"/>
      <c r="RXY239" s="1"/>
      <c r="RXZ239" s="1"/>
      <c r="RYA239" s="1"/>
      <c r="RYB239" s="1"/>
      <c r="RYC239" s="1"/>
      <c r="RYD239" s="1"/>
      <c r="RYE239" s="1"/>
      <c r="RYF239" s="1"/>
      <c r="RYG239" s="1"/>
      <c r="RYH239" s="1"/>
      <c r="RYI239" s="1"/>
      <c r="RYJ239" s="1"/>
      <c r="RYK239" s="1"/>
      <c r="RYL239" s="1"/>
      <c r="RYM239" s="1"/>
      <c r="RYN239" s="1"/>
      <c r="RYO239" s="1"/>
      <c r="RYP239" s="1"/>
      <c r="RYQ239" s="1"/>
      <c r="RYR239" s="1"/>
      <c r="RYS239" s="1"/>
      <c r="RYT239" s="1"/>
      <c r="RYU239" s="1"/>
      <c r="RYV239" s="1"/>
      <c r="RYW239" s="1"/>
      <c r="RYX239" s="1"/>
      <c r="RYY239" s="1"/>
      <c r="RYZ239" s="1"/>
      <c r="RZA239" s="1"/>
      <c r="RZB239" s="1"/>
      <c r="RZC239" s="1"/>
      <c r="RZD239" s="1"/>
      <c r="RZE239" s="1"/>
      <c r="RZF239" s="1"/>
      <c r="RZG239" s="1"/>
      <c r="RZH239" s="1"/>
      <c r="RZI239" s="1"/>
      <c r="RZJ239" s="1"/>
      <c r="RZK239" s="1"/>
      <c r="RZL239" s="1"/>
      <c r="RZM239" s="1"/>
      <c r="RZN239" s="1"/>
      <c r="RZO239" s="1"/>
      <c r="RZP239" s="1"/>
      <c r="RZQ239" s="1"/>
      <c r="RZR239" s="1"/>
      <c r="RZS239" s="1"/>
      <c r="RZT239" s="1"/>
      <c r="RZU239" s="1"/>
      <c r="RZV239" s="1"/>
      <c r="RZW239" s="1"/>
      <c r="RZX239" s="1"/>
      <c r="RZY239" s="1"/>
      <c r="RZZ239" s="1"/>
      <c r="SAA239" s="1"/>
      <c r="SAB239" s="1"/>
      <c r="SAC239" s="1"/>
      <c r="SAD239" s="1"/>
      <c r="SAE239" s="1"/>
      <c r="SAF239" s="1"/>
      <c r="SAG239" s="1"/>
      <c r="SAH239" s="1"/>
      <c r="SAI239" s="1"/>
      <c r="SAJ239" s="1"/>
      <c r="SAK239" s="1"/>
      <c r="SAL239" s="1"/>
      <c r="SAM239" s="1"/>
      <c r="SAN239" s="1"/>
      <c r="SAO239" s="1"/>
      <c r="SAP239" s="1"/>
      <c r="SAQ239" s="1"/>
      <c r="SAR239" s="1"/>
      <c r="SAS239" s="1"/>
      <c r="SAT239" s="1"/>
      <c r="SAU239" s="1"/>
      <c r="SAV239" s="1"/>
      <c r="SAW239" s="1"/>
      <c r="SAX239" s="1"/>
      <c r="SAY239" s="1"/>
      <c r="SAZ239" s="1"/>
      <c r="SBA239" s="1"/>
      <c r="SBB239" s="1"/>
      <c r="SBC239" s="1"/>
      <c r="SBD239" s="1"/>
      <c r="SBE239" s="1"/>
      <c r="SBF239" s="1"/>
      <c r="SBG239" s="1"/>
      <c r="SBH239" s="1"/>
      <c r="SBI239" s="1"/>
      <c r="SBJ239" s="1"/>
      <c r="SBK239" s="1"/>
      <c r="SBL239" s="1"/>
      <c r="SBM239" s="1"/>
      <c r="SBN239" s="1"/>
      <c r="SBO239" s="1"/>
      <c r="SBP239" s="1"/>
      <c r="SBQ239" s="1"/>
      <c r="SBR239" s="1"/>
      <c r="SBS239" s="1"/>
      <c r="SBT239" s="1"/>
      <c r="SBU239" s="1"/>
      <c r="SBV239" s="1"/>
      <c r="SBW239" s="1"/>
      <c r="SBX239" s="1"/>
      <c r="SBY239" s="1"/>
      <c r="SBZ239" s="1"/>
      <c r="SCA239" s="1"/>
      <c r="SCB239" s="1"/>
      <c r="SCC239" s="1"/>
      <c r="SCD239" s="1"/>
      <c r="SCE239" s="1"/>
      <c r="SCF239" s="1"/>
      <c r="SCG239" s="1"/>
      <c r="SCH239" s="1"/>
      <c r="SCI239" s="1"/>
      <c r="SCJ239" s="1"/>
      <c r="SCK239" s="1"/>
      <c r="SCL239" s="1"/>
      <c r="SCM239" s="1"/>
      <c r="SCN239" s="1"/>
      <c r="SCO239" s="1"/>
      <c r="SCP239" s="1"/>
      <c r="SCQ239" s="1"/>
      <c r="SCR239" s="1"/>
      <c r="SCS239" s="1"/>
      <c r="SCT239" s="1"/>
      <c r="SCU239" s="1"/>
      <c r="SCV239" s="1"/>
      <c r="SCW239" s="1"/>
      <c r="SCX239" s="1"/>
      <c r="SCY239" s="1"/>
      <c r="SCZ239" s="1"/>
      <c r="SDA239" s="1"/>
      <c r="SDB239" s="1"/>
      <c r="SDC239" s="1"/>
      <c r="SDD239" s="1"/>
      <c r="SDE239" s="1"/>
      <c r="SDF239" s="1"/>
      <c r="SDG239" s="1"/>
      <c r="SDH239" s="1"/>
      <c r="SDI239" s="1"/>
      <c r="SDJ239" s="1"/>
      <c r="SDK239" s="1"/>
      <c r="SDL239" s="1"/>
      <c r="SDM239" s="1"/>
      <c r="SDN239" s="1"/>
      <c r="SDO239" s="1"/>
      <c r="SDP239" s="1"/>
      <c r="SDQ239" s="1"/>
      <c r="SDR239" s="1"/>
      <c r="SDS239" s="1"/>
      <c r="SDT239" s="1"/>
      <c r="SDU239" s="1"/>
      <c r="SDV239" s="1"/>
      <c r="SDW239" s="1"/>
      <c r="SDX239" s="1"/>
      <c r="SDY239" s="1"/>
      <c r="SDZ239" s="1"/>
      <c r="SEA239" s="1"/>
      <c r="SEB239" s="1"/>
      <c r="SEC239" s="1"/>
      <c r="SED239" s="1"/>
      <c r="SEE239" s="1"/>
      <c r="SEF239" s="1"/>
      <c r="SEG239" s="1"/>
      <c r="SEH239" s="1"/>
      <c r="SEI239" s="1"/>
      <c r="SEJ239" s="1"/>
      <c r="SEK239" s="1"/>
      <c r="SEL239" s="1"/>
      <c r="SEM239" s="1"/>
      <c r="SEN239" s="1"/>
      <c r="SEO239" s="1"/>
      <c r="SEP239" s="1"/>
      <c r="SEQ239" s="1"/>
      <c r="SER239" s="1"/>
      <c r="SES239" s="1"/>
      <c r="SET239" s="1"/>
      <c r="SEU239" s="1"/>
      <c r="SEV239" s="1"/>
      <c r="SEW239" s="1"/>
      <c r="SEX239" s="1"/>
      <c r="SEY239" s="1"/>
      <c r="SEZ239" s="1"/>
      <c r="SFA239" s="1"/>
      <c r="SFB239" s="1"/>
      <c r="SFC239" s="1"/>
      <c r="SFD239" s="1"/>
      <c r="SFE239" s="1"/>
      <c r="SFF239" s="1"/>
      <c r="SFG239" s="1"/>
      <c r="SFH239" s="1"/>
      <c r="SFI239" s="1"/>
      <c r="SFJ239" s="1"/>
      <c r="SFK239" s="1"/>
      <c r="SFL239" s="1"/>
      <c r="SFM239" s="1"/>
      <c r="SFN239" s="1"/>
      <c r="SFO239" s="1"/>
      <c r="SFP239" s="1"/>
      <c r="SFQ239" s="1"/>
      <c r="SFR239" s="1"/>
      <c r="SFS239" s="1"/>
      <c r="SFT239" s="1"/>
      <c r="SFU239" s="1"/>
      <c r="SFV239" s="1"/>
      <c r="SFW239" s="1"/>
      <c r="SFX239" s="1"/>
      <c r="SFY239" s="1"/>
      <c r="SFZ239" s="1"/>
      <c r="SGA239" s="1"/>
      <c r="SGB239" s="1"/>
      <c r="SGC239" s="1"/>
      <c r="SGD239" s="1"/>
      <c r="SGE239" s="1"/>
      <c r="SGF239" s="1"/>
      <c r="SGG239" s="1"/>
      <c r="SGH239" s="1"/>
      <c r="SGI239" s="1"/>
      <c r="SGJ239" s="1"/>
      <c r="SGK239" s="1"/>
      <c r="SGL239" s="1"/>
      <c r="SGM239" s="1"/>
      <c r="SGN239" s="1"/>
      <c r="SGO239" s="1"/>
      <c r="SGP239" s="1"/>
      <c r="SGQ239" s="1"/>
      <c r="SGR239" s="1"/>
      <c r="SGS239" s="1"/>
      <c r="SGT239" s="1"/>
      <c r="SGU239" s="1"/>
      <c r="SGV239" s="1"/>
      <c r="SGW239" s="1"/>
      <c r="SGX239" s="1"/>
      <c r="SGY239" s="1"/>
      <c r="SGZ239" s="1"/>
      <c r="SHA239" s="1"/>
      <c r="SHB239" s="1"/>
      <c r="SHC239" s="1"/>
      <c r="SHD239" s="1"/>
      <c r="SHE239" s="1"/>
      <c r="SHF239" s="1"/>
      <c r="SHG239" s="1"/>
      <c r="SHH239" s="1"/>
      <c r="SHI239" s="1"/>
      <c r="SHJ239" s="1"/>
      <c r="SHK239" s="1"/>
      <c r="SHL239" s="1"/>
      <c r="SHM239" s="1"/>
      <c r="SHN239" s="1"/>
      <c r="SHO239" s="1"/>
      <c r="SHP239" s="1"/>
      <c r="SHQ239" s="1"/>
      <c r="SHR239" s="1"/>
      <c r="SHS239" s="1"/>
      <c r="SHT239" s="1"/>
      <c r="SHU239" s="1"/>
      <c r="SHV239" s="1"/>
      <c r="SHW239" s="1"/>
      <c r="SHX239" s="1"/>
      <c r="SHY239" s="1"/>
      <c r="SHZ239" s="1"/>
      <c r="SIA239" s="1"/>
      <c r="SIB239" s="1"/>
      <c r="SIC239" s="1"/>
      <c r="SID239" s="1"/>
      <c r="SIE239" s="1"/>
      <c r="SIF239" s="1"/>
      <c r="SIG239" s="1"/>
      <c r="SIH239" s="1"/>
      <c r="SII239" s="1"/>
      <c r="SIJ239" s="1"/>
      <c r="SIK239" s="1"/>
      <c r="SIL239" s="1"/>
      <c r="SIM239" s="1"/>
      <c r="SIN239" s="1"/>
      <c r="SIO239" s="1"/>
      <c r="SIP239" s="1"/>
      <c r="SIQ239" s="1"/>
      <c r="SIR239" s="1"/>
      <c r="SIS239" s="1"/>
      <c r="SIT239" s="1"/>
      <c r="SIU239" s="1"/>
      <c r="SIV239" s="1"/>
      <c r="SIW239" s="1"/>
      <c r="SIX239" s="1"/>
      <c r="SIY239" s="1"/>
      <c r="SIZ239" s="1"/>
      <c r="SJA239" s="1"/>
      <c r="SJB239" s="1"/>
      <c r="SJC239" s="1"/>
      <c r="SJD239" s="1"/>
      <c r="SJE239" s="1"/>
      <c r="SJF239" s="1"/>
      <c r="SJG239" s="1"/>
      <c r="SJH239" s="1"/>
      <c r="SJI239" s="1"/>
      <c r="SJJ239" s="1"/>
      <c r="SJK239" s="1"/>
      <c r="SJL239" s="1"/>
      <c r="SJM239" s="1"/>
      <c r="SJN239" s="1"/>
      <c r="SJO239" s="1"/>
      <c r="SJP239" s="1"/>
      <c r="SJQ239" s="1"/>
      <c r="SJR239" s="1"/>
      <c r="SJS239" s="1"/>
      <c r="SJT239" s="1"/>
      <c r="SJU239" s="1"/>
      <c r="SJV239" s="1"/>
      <c r="SJW239" s="1"/>
      <c r="SJX239" s="1"/>
      <c r="SJY239" s="1"/>
      <c r="SJZ239" s="1"/>
      <c r="SKA239" s="1"/>
      <c r="SKB239" s="1"/>
      <c r="SKC239" s="1"/>
      <c r="SKD239" s="1"/>
      <c r="SKE239" s="1"/>
      <c r="SKF239" s="1"/>
      <c r="SKG239" s="1"/>
      <c r="SKH239" s="1"/>
      <c r="SKI239" s="1"/>
      <c r="SKJ239" s="1"/>
      <c r="SKK239" s="1"/>
      <c r="SKL239" s="1"/>
      <c r="SKM239" s="1"/>
      <c r="SKN239" s="1"/>
      <c r="SKO239" s="1"/>
      <c r="SKP239" s="1"/>
      <c r="SKQ239" s="1"/>
      <c r="SKR239" s="1"/>
      <c r="SKS239" s="1"/>
      <c r="SKT239" s="1"/>
      <c r="SKU239" s="1"/>
      <c r="SKV239" s="1"/>
      <c r="SKW239" s="1"/>
      <c r="SKX239" s="1"/>
      <c r="SKY239" s="1"/>
      <c r="SKZ239" s="1"/>
      <c r="SLA239" s="1"/>
      <c r="SLB239" s="1"/>
      <c r="SLC239" s="1"/>
      <c r="SLD239" s="1"/>
      <c r="SLE239" s="1"/>
      <c r="SLF239" s="1"/>
      <c r="SLG239" s="1"/>
      <c r="SLH239" s="1"/>
      <c r="SLI239" s="1"/>
      <c r="SLJ239" s="1"/>
      <c r="SLK239" s="1"/>
      <c r="SLL239" s="1"/>
      <c r="SLM239" s="1"/>
      <c r="SLN239" s="1"/>
      <c r="SLO239" s="1"/>
      <c r="SLP239" s="1"/>
      <c r="SLQ239" s="1"/>
      <c r="SLR239" s="1"/>
      <c r="SLS239" s="1"/>
      <c r="SLT239" s="1"/>
      <c r="SLU239" s="1"/>
      <c r="SLV239" s="1"/>
      <c r="SLW239" s="1"/>
      <c r="SLX239" s="1"/>
      <c r="SLY239" s="1"/>
      <c r="SLZ239" s="1"/>
      <c r="SMA239" s="1"/>
      <c r="SMB239" s="1"/>
      <c r="SMC239" s="1"/>
      <c r="SMD239" s="1"/>
      <c r="SME239" s="1"/>
      <c r="SMF239" s="1"/>
      <c r="SMG239" s="1"/>
      <c r="SMH239" s="1"/>
      <c r="SMI239" s="1"/>
      <c r="SMJ239" s="1"/>
      <c r="SMK239" s="1"/>
      <c r="SML239" s="1"/>
      <c r="SMM239" s="1"/>
      <c r="SMN239" s="1"/>
      <c r="SMO239" s="1"/>
      <c r="SMP239" s="1"/>
      <c r="SMQ239" s="1"/>
      <c r="SMR239" s="1"/>
      <c r="SMS239" s="1"/>
      <c r="SMT239" s="1"/>
      <c r="SMU239" s="1"/>
      <c r="SMV239" s="1"/>
      <c r="SMW239" s="1"/>
      <c r="SMX239" s="1"/>
      <c r="SMY239" s="1"/>
      <c r="SMZ239" s="1"/>
      <c r="SNA239" s="1"/>
      <c r="SNB239" s="1"/>
      <c r="SNC239" s="1"/>
      <c r="SND239" s="1"/>
      <c r="SNE239" s="1"/>
      <c r="SNF239" s="1"/>
      <c r="SNG239" s="1"/>
      <c r="SNH239" s="1"/>
      <c r="SNI239" s="1"/>
      <c r="SNJ239" s="1"/>
      <c r="SNK239" s="1"/>
      <c r="SNL239" s="1"/>
      <c r="SNM239" s="1"/>
      <c r="SNN239" s="1"/>
      <c r="SNO239" s="1"/>
      <c r="SNP239" s="1"/>
      <c r="SNQ239" s="1"/>
      <c r="SNR239" s="1"/>
      <c r="SNS239" s="1"/>
      <c r="SNT239" s="1"/>
      <c r="SNU239" s="1"/>
      <c r="SNV239" s="1"/>
      <c r="SNW239" s="1"/>
      <c r="SNX239" s="1"/>
      <c r="SNY239" s="1"/>
      <c r="SNZ239" s="1"/>
      <c r="SOA239" s="1"/>
      <c r="SOB239" s="1"/>
      <c r="SOC239" s="1"/>
      <c r="SOD239" s="1"/>
      <c r="SOE239" s="1"/>
      <c r="SOF239" s="1"/>
      <c r="SOG239" s="1"/>
      <c r="SOH239" s="1"/>
      <c r="SOI239" s="1"/>
      <c r="SOJ239" s="1"/>
      <c r="SOK239" s="1"/>
      <c r="SOL239" s="1"/>
      <c r="SOM239" s="1"/>
      <c r="SON239" s="1"/>
      <c r="SOO239" s="1"/>
      <c r="SOP239" s="1"/>
      <c r="SOQ239" s="1"/>
      <c r="SOR239" s="1"/>
      <c r="SOS239" s="1"/>
      <c r="SOT239" s="1"/>
      <c r="SOU239" s="1"/>
      <c r="SOV239" s="1"/>
      <c r="SOW239" s="1"/>
      <c r="SOX239" s="1"/>
      <c r="SOY239" s="1"/>
      <c r="SOZ239" s="1"/>
      <c r="SPA239" s="1"/>
      <c r="SPB239" s="1"/>
      <c r="SPC239" s="1"/>
      <c r="SPD239" s="1"/>
      <c r="SPE239" s="1"/>
      <c r="SPF239" s="1"/>
      <c r="SPG239" s="1"/>
      <c r="SPH239" s="1"/>
      <c r="SPI239" s="1"/>
      <c r="SPJ239" s="1"/>
      <c r="SPK239" s="1"/>
      <c r="SPL239" s="1"/>
      <c r="SPM239" s="1"/>
      <c r="SPN239" s="1"/>
      <c r="SPO239" s="1"/>
      <c r="SPP239" s="1"/>
      <c r="SPQ239" s="1"/>
      <c r="SPR239" s="1"/>
      <c r="SPS239" s="1"/>
      <c r="SPT239" s="1"/>
      <c r="SPU239" s="1"/>
      <c r="SPV239" s="1"/>
      <c r="SPW239" s="1"/>
      <c r="SPX239" s="1"/>
      <c r="SPY239" s="1"/>
      <c r="SPZ239" s="1"/>
      <c r="SQA239" s="1"/>
      <c r="SQB239" s="1"/>
      <c r="SQC239" s="1"/>
      <c r="SQD239" s="1"/>
      <c r="SQE239" s="1"/>
      <c r="SQF239" s="1"/>
      <c r="SQG239" s="1"/>
      <c r="SQH239" s="1"/>
      <c r="SQI239" s="1"/>
      <c r="SQJ239" s="1"/>
      <c r="SQK239" s="1"/>
      <c r="SQL239" s="1"/>
      <c r="SQM239" s="1"/>
      <c r="SQN239" s="1"/>
      <c r="SQO239" s="1"/>
      <c r="SQP239" s="1"/>
      <c r="SQQ239" s="1"/>
      <c r="SQR239" s="1"/>
      <c r="SQS239" s="1"/>
      <c r="SQT239" s="1"/>
      <c r="SQU239" s="1"/>
      <c r="SQV239" s="1"/>
      <c r="SQW239" s="1"/>
      <c r="SQX239" s="1"/>
      <c r="SQY239" s="1"/>
      <c r="SQZ239" s="1"/>
      <c r="SRA239" s="1"/>
      <c r="SRB239" s="1"/>
      <c r="SRC239" s="1"/>
      <c r="SRD239" s="1"/>
      <c r="SRE239" s="1"/>
      <c r="SRF239" s="1"/>
      <c r="SRG239" s="1"/>
      <c r="SRH239" s="1"/>
      <c r="SRI239" s="1"/>
      <c r="SRJ239" s="1"/>
      <c r="SRK239" s="1"/>
      <c r="SRL239" s="1"/>
      <c r="SRM239" s="1"/>
      <c r="SRN239" s="1"/>
      <c r="SRO239" s="1"/>
      <c r="SRP239" s="1"/>
      <c r="SRQ239" s="1"/>
      <c r="SRR239" s="1"/>
      <c r="SRS239" s="1"/>
      <c r="SRT239" s="1"/>
      <c r="SRU239" s="1"/>
      <c r="SRV239" s="1"/>
      <c r="SRW239" s="1"/>
      <c r="SRX239" s="1"/>
      <c r="SRY239" s="1"/>
      <c r="SRZ239" s="1"/>
      <c r="SSA239" s="1"/>
      <c r="SSB239" s="1"/>
      <c r="SSC239" s="1"/>
      <c r="SSD239" s="1"/>
      <c r="SSE239" s="1"/>
      <c r="SSF239" s="1"/>
      <c r="SSG239" s="1"/>
      <c r="SSH239" s="1"/>
      <c r="SSI239" s="1"/>
      <c r="SSJ239" s="1"/>
      <c r="SSK239" s="1"/>
      <c r="SSL239" s="1"/>
      <c r="SSM239" s="1"/>
      <c r="SSN239" s="1"/>
      <c r="SSO239" s="1"/>
      <c r="SSP239" s="1"/>
      <c r="SSQ239" s="1"/>
      <c r="SSR239" s="1"/>
      <c r="SSS239" s="1"/>
      <c r="SST239" s="1"/>
      <c r="SSU239" s="1"/>
      <c r="SSV239" s="1"/>
      <c r="SSW239" s="1"/>
      <c r="SSX239" s="1"/>
      <c r="SSY239" s="1"/>
      <c r="SSZ239" s="1"/>
      <c r="STA239" s="1"/>
      <c r="STB239" s="1"/>
      <c r="STC239" s="1"/>
      <c r="STD239" s="1"/>
      <c r="STE239" s="1"/>
      <c r="STF239" s="1"/>
      <c r="STG239" s="1"/>
      <c r="STH239" s="1"/>
      <c r="STI239" s="1"/>
      <c r="STJ239" s="1"/>
      <c r="STK239" s="1"/>
      <c r="STL239" s="1"/>
      <c r="STM239" s="1"/>
      <c r="STN239" s="1"/>
      <c r="STO239" s="1"/>
      <c r="STP239" s="1"/>
      <c r="STQ239" s="1"/>
      <c r="STR239" s="1"/>
      <c r="STS239" s="1"/>
      <c r="STT239" s="1"/>
      <c r="STU239" s="1"/>
      <c r="STV239" s="1"/>
      <c r="STW239" s="1"/>
      <c r="STX239" s="1"/>
      <c r="STY239" s="1"/>
      <c r="STZ239" s="1"/>
      <c r="SUA239" s="1"/>
      <c r="SUB239" s="1"/>
      <c r="SUC239" s="1"/>
      <c r="SUD239" s="1"/>
      <c r="SUE239" s="1"/>
      <c r="SUF239" s="1"/>
      <c r="SUG239" s="1"/>
      <c r="SUH239" s="1"/>
      <c r="SUI239" s="1"/>
      <c r="SUJ239" s="1"/>
      <c r="SUK239" s="1"/>
      <c r="SUL239" s="1"/>
      <c r="SUM239" s="1"/>
      <c r="SUN239" s="1"/>
      <c r="SUO239" s="1"/>
      <c r="SUP239" s="1"/>
      <c r="SUQ239" s="1"/>
      <c r="SUR239" s="1"/>
      <c r="SUS239" s="1"/>
      <c r="SUT239" s="1"/>
      <c r="SUU239" s="1"/>
      <c r="SUV239" s="1"/>
      <c r="SUW239" s="1"/>
      <c r="SUX239" s="1"/>
      <c r="SUY239" s="1"/>
      <c r="SUZ239" s="1"/>
      <c r="SVA239" s="1"/>
      <c r="SVB239" s="1"/>
      <c r="SVC239" s="1"/>
      <c r="SVD239" s="1"/>
      <c r="SVE239" s="1"/>
      <c r="SVF239" s="1"/>
      <c r="SVG239" s="1"/>
      <c r="SVH239" s="1"/>
      <c r="SVI239" s="1"/>
      <c r="SVJ239" s="1"/>
      <c r="SVK239" s="1"/>
      <c r="SVL239" s="1"/>
      <c r="SVM239" s="1"/>
      <c r="SVN239" s="1"/>
      <c r="SVO239" s="1"/>
      <c r="SVP239" s="1"/>
      <c r="SVQ239" s="1"/>
      <c r="SVR239" s="1"/>
      <c r="SVS239" s="1"/>
      <c r="SVT239" s="1"/>
      <c r="SVU239" s="1"/>
      <c r="SVV239" s="1"/>
      <c r="SVW239" s="1"/>
      <c r="SVX239" s="1"/>
      <c r="SVY239" s="1"/>
      <c r="SVZ239" s="1"/>
      <c r="SWA239" s="1"/>
      <c r="SWB239" s="1"/>
      <c r="SWC239" s="1"/>
      <c r="SWD239" s="1"/>
      <c r="SWE239" s="1"/>
      <c r="SWF239" s="1"/>
      <c r="SWG239" s="1"/>
      <c r="SWH239" s="1"/>
      <c r="SWI239" s="1"/>
      <c r="SWJ239" s="1"/>
      <c r="SWK239" s="1"/>
      <c r="SWL239" s="1"/>
      <c r="SWM239" s="1"/>
      <c r="SWN239" s="1"/>
      <c r="SWO239" s="1"/>
      <c r="SWP239" s="1"/>
      <c r="SWQ239" s="1"/>
      <c r="SWR239" s="1"/>
      <c r="SWS239" s="1"/>
      <c r="SWT239" s="1"/>
      <c r="SWU239" s="1"/>
      <c r="SWV239" s="1"/>
      <c r="SWW239" s="1"/>
      <c r="SWX239" s="1"/>
      <c r="SWY239" s="1"/>
      <c r="SWZ239" s="1"/>
      <c r="SXA239" s="1"/>
      <c r="SXB239" s="1"/>
      <c r="SXC239" s="1"/>
      <c r="SXD239" s="1"/>
      <c r="SXE239" s="1"/>
      <c r="SXF239" s="1"/>
      <c r="SXG239" s="1"/>
      <c r="SXH239" s="1"/>
      <c r="SXI239" s="1"/>
      <c r="SXJ239" s="1"/>
      <c r="SXK239" s="1"/>
      <c r="SXL239" s="1"/>
      <c r="SXM239" s="1"/>
      <c r="SXN239" s="1"/>
      <c r="SXO239" s="1"/>
      <c r="SXP239" s="1"/>
      <c r="SXQ239" s="1"/>
      <c r="SXR239" s="1"/>
      <c r="SXS239" s="1"/>
      <c r="SXT239" s="1"/>
      <c r="SXU239" s="1"/>
      <c r="SXV239" s="1"/>
      <c r="SXW239" s="1"/>
      <c r="SXX239" s="1"/>
      <c r="SXY239" s="1"/>
      <c r="SXZ239" s="1"/>
      <c r="SYA239" s="1"/>
      <c r="SYB239" s="1"/>
      <c r="SYC239" s="1"/>
      <c r="SYD239" s="1"/>
      <c r="SYE239" s="1"/>
      <c r="SYF239" s="1"/>
      <c r="SYG239" s="1"/>
      <c r="SYH239" s="1"/>
      <c r="SYI239" s="1"/>
      <c r="SYJ239" s="1"/>
      <c r="SYK239" s="1"/>
      <c r="SYL239" s="1"/>
      <c r="SYM239" s="1"/>
      <c r="SYN239" s="1"/>
      <c r="SYO239" s="1"/>
      <c r="SYP239" s="1"/>
      <c r="SYQ239" s="1"/>
      <c r="SYR239" s="1"/>
      <c r="SYS239" s="1"/>
      <c r="SYT239" s="1"/>
      <c r="SYU239" s="1"/>
      <c r="SYV239" s="1"/>
      <c r="SYW239" s="1"/>
      <c r="SYX239" s="1"/>
      <c r="SYY239" s="1"/>
      <c r="SYZ239" s="1"/>
      <c r="SZA239" s="1"/>
      <c r="SZB239" s="1"/>
      <c r="SZC239" s="1"/>
      <c r="SZD239" s="1"/>
      <c r="SZE239" s="1"/>
      <c r="SZF239" s="1"/>
      <c r="SZG239" s="1"/>
      <c r="SZH239" s="1"/>
      <c r="SZI239" s="1"/>
      <c r="SZJ239" s="1"/>
      <c r="SZK239" s="1"/>
      <c r="SZL239" s="1"/>
      <c r="SZM239" s="1"/>
      <c r="SZN239" s="1"/>
      <c r="SZO239" s="1"/>
      <c r="SZP239" s="1"/>
      <c r="SZQ239" s="1"/>
      <c r="SZR239" s="1"/>
      <c r="SZS239" s="1"/>
      <c r="SZT239" s="1"/>
      <c r="SZU239" s="1"/>
      <c r="SZV239" s="1"/>
      <c r="SZW239" s="1"/>
      <c r="SZX239" s="1"/>
      <c r="SZY239" s="1"/>
      <c r="SZZ239" s="1"/>
      <c r="TAA239" s="1"/>
      <c r="TAB239" s="1"/>
      <c r="TAC239" s="1"/>
      <c r="TAD239" s="1"/>
      <c r="TAE239" s="1"/>
      <c r="TAF239" s="1"/>
      <c r="TAG239" s="1"/>
      <c r="TAH239" s="1"/>
      <c r="TAI239" s="1"/>
      <c r="TAJ239" s="1"/>
      <c r="TAK239" s="1"/>
      <c r="TAL239" s="1"/>
      <c r="TAM239" s="1"/>
      <c r="TAN239" s="1"/>
      <c r="TAO239" s="1"/>
      <c r="TAP239" s="1"/>
      <c r="TAQ239" s="1"/>
      <c r="TAR239" s="1"/>
      <c r="TAS239" s="1"/>
      <c r="TAT239" s="1"/>
      <c r="TAU239" s="1"/>
      <c r="TAV239" s="1"/>
      <c r="TAW239" s="1"/>
      <c r="TAX239" s="1"/>
      <c r="TAY239" s="1"/>
      <c r="TAZ239" s="1"/>
      <c r="TBA239" s="1"/>
      <c r="TBB239" s="1"/>
      <c r="TBC239" s="1"/>
      <c r="TBD239" s="1"/>
      <c r="TBE239" s="1"/>
      <c r="TBF239" s="1"/>
      <c r="TBG239" s="1"/>
      <c r="TBH239" s="1"/>
      <c r="TBI239" s="1"/>
      <c r="TBJ239" s="1"/>
      <c r="TBK239" s="1"/>
      <c r="TBL239" s="1"/>
      <c r="TBM239" s="1"/>
      <c r="TBN239" s="1"/>
      <c r="TBO239" s="1"/>
      <c r="TBP239" s="1"/>
      <c r="TBQ239" s="1"/>
      <c r="TBR239" s="1"/>
      <c r="TBS239" s="1"/>
      <c r="TBT239" s="1"/>
      <c r="TBU239" s="1"/>
      <c r="TBV239" s="1"/>
      <c r="TBW239" s="1"/>
      <c r="TBX239" s="1"/>
      <c r="TBY239" s="1"/>
      <c r="TBZ239" s="1"/>
      <c r="TCA239" s="1"/>
      <c r="TCB239" s="1"/>
      <c r="TCC239" s="1"/>
      <c r="TCD239" s="1"/>
      <c r="TCE239" s="1"/>
      <c r="TCF239" s="1"/>
      <c r="TCG239" s="1"/>
      <c r="TCH239" s="1"/>
      <c r="TCI239" s="1"/>
      <c r="TCJ239" s="1"/>
      <c r="TCK239" s="1"/>
      <c r="TCL239" s="1"/>
      <c r="TCM239" s="1"/>
      <c r="TCN239" s="1"/>
      <c r="TCO239" s="1"/>
      <c r="TCP239" s="1"/>
      <c r="TCQ239" s="1"/>
      <c r="TCR239" s="1"/>
      <c r="TCS239" s="1"/>
      <c r="TCT239" s="1"/>
      <c r="TCU239" s="1"/>
      <c r="TCV239" s="1"/>
      <c r="TCW239" s="1"/>
      <c r="TCX239" s="1"/>
      <c r="TCY239" s="1"/>
      <c r="TCZ239" s="1"/>
      <c r="TDA239" s="1"/>
      <c r="TDB239" s="1"/>
      <c r="TDC239" s="1"/>
      <c r="TDD239" s="1"/>
      <c r="TDE239" s="1"/>
      <c r="TDF239" s="1"/>
      <c r="TDG239" s="1"/>
      <c r="TDH239" s="1"/>
      <c r="TDI239" s="1"/>
      <c r="TDJ239" s="1"/>
      <c r="TDK239" s="1"/>
      <c r="TDL239" s="1"/>
      <c r="TDM239" s="1"/>
      <c r="TDN239" s="1"/>
      <c r="TDO239" s="1"/>
      <c r="TDP239" s="1"/>
      <c r="TDQ239" s="1"/>
      <c r="TDR239" s="1"/>
      <c r="TDS239" s="1"/>
      <c r="TDT239" s="1"/>
      <c r="TDU239" s="1"/>
      <c r="TDV239" s="1"/>
      <c r="TDW239" s="1"/>
      <c r="TDX239" s="1"/>
      <c r="TDY239" s="1"/>
      <c r="TDZ239" s="1"/>
      <c r="TEA239" s="1"/>
      <c r="TEB239" s="1"/>
      <c r="TEC239" s="1"/>
      <c r="TED239" s="1"/>
      <c r="TEE239" s="1"/>
      <c r="TEF239" s="1"/>
      <c r="TEG239" s="1"/>
      <c r="TEH239" s="1"/>
      <c r="TEI239" s="1"/>
      <c r="TEJ239" s="1"/>
      <c r="TEK239" s="1"/>
      <c r="TEL239" s="1"/>
      <c r="TEM239" s="1"/>
      <c r="TEN239" s="1"/>
      <c r="TEO239" s="1"/>
      <c r="TEP239" s="1"/>
      <c r="TEQ239" s="1"/>
      <c r="TER239" s="1"/>
      <c r="TES239" s="1"/>
      <c r="TET239" s="1"/>
      <c r="TEU239" s="1"/>
      <c r="TEV239" s="1"/>
      <c r="TEW239" s="1"/>
      <c r="TEX239" s="1"/>
      <c r="TEY239" s="1"/>
      <c r="TEZ239" s="1"/>
      <c r="TFA239" s="1"/>
      <c r="TFB239" s="1"/>
      <c r="TFC239" s="1"/>
      <c r="TFD239" s="1"/>
      <c r="TFE239" s="1"/>
      <c r="TFF239" s="1"/>
      <c r="TFG239" s="1"/>
      <c r="TFH239" s="1"/>
      <c r="TFI239" s="1"/>
      <c r="TFJ239" s="1"/>
      <c r="TFK239" s="1"/>
      <c r="TFL239" s="1"/>
      <c r="TFM239" s="1"/>
      <c r="TFN239" s="1"/>
      <c r="TFO239" s="1"/>
      <c r="TFP239" s="1"/>
      <c r="TFQ239" s="1"/>
      <c r="TFR239" s="1"/>
      <c r="TFS239" s="1"/>
      <c r="TFT239" s="1"/>
      <c r="TFU239" s="1"/>
      <c r="TFV239" s="1"/>
      <c r="TFW239" s="1"/>
      <c r="TFX239" s="1"/>
      <c r="TFY239" s="1"/>
      <c r="TFZ239" s="1"/>
      <c r="TGA239" s="1"/>
      <c r="TGB239" s="1"/>
      <c r="TGC239" s="1"/>
      <c r="TGD239" s="1"/>
      <c r="TGE239" s="1"/>
      <c r="TGF239" s="1"/>
      <c r="TGG239" s="1"/>
      <c r="TGH239" s="1"/>
      <c r="TGI239" s="1"/>
      <c r="TGJ239" s="1"/>
      <c r="TGK239" s="1"/>
      <c r="TGL239" s="1"/>
      <c r="TGM239" s="1"/>
      <c r="TGN239" s="1"/>
      <c r="TGO239" s="1"/>
      <c r="TGP239" s="1"/>
      <c r="TGQ239" s="1"/>
      <c r="TGR239" s="1"/>
      <c r="TGS239" s="1"/>
      <c r="TGT239" s="1"/>
      <c r="TGU239" s="1"/>
      <c r="TGV239" s="1"/>
      <c r="TGW239" s="1"/>
      <c r="TGX239" s="1"/>
      <c r="TGY239" s="1"/>
      <c r="TGZ239" s="1"/>
      <c r="THA239" s="1"/>
      <c r="THB239" s="1"/>
      <c r="THC239" s="1"/>
      <c r="THD239" s="1"/>
      <c r="THE239" s="1"/>
      <c r="THF239" s="1"/>
      <c r="THG239" s="1"/>
      <c r="THH239" s="1"/>
      <c r="THI239" s="1"/>
      <c r="THJ239" s="1"/>
      <c r="THK239" s="1"/>
      <c r="THL239" s="1"/>
      <c r="THM239" s="1"/>
      <c r="THN239" s="1"/>
      <c r="THO239" s="1"/>
      <c r="THP239" s="1"/>
      <c r="THQ239" s="1"/>
      <c r="THR239" s="1"/>
      <c r="THS239" s="1"/>
      <c r="THT239" s="1"/>
      <c r="THU239" s="1"/>
      <c r="THV239" s="1"/>
      <c r="THW239" s="1"/>
      <c r="THX239" s="1"/>
      <c r="THY239" s="1"/>
      <c r="THZ239" s="1"/>
      <c r="TIA239" s="1"/>
      <c r="TIB239" s="1"/>
      <c r="TIC239" s="1"/>
      <c r="TID239" s="1"/>
      <c r="TIE239" s="1"/>
      <c r="TIF239" s="1"/>
      <c r="TIG239" s="1"/>
      <c r="TIH239" s="1"/>
      <c r="TII239" s="1"/>
      <c r="TIJ239" s="1"/>
      <c r="TIK239" s="1"/>
      <c r="TIL239" s="1"/>
      <c r="TIM239" s="1"/>
      <c r="TIN239" s="1"/>
      <c r="TIO239" s="1"/>
      <c r="TIP239" s="1"/>
      <c r="TIQ239" s="1"/>
      <c r="TIR239" s="1"/>
      <c r="TIS239" s="1"/>
      <c r="TIT239" s="1"/>
      <c r="TIU239" s="1"/>
      <c r="TIV239" s="1"/>
      <c r="TIW239" s="1"/>
      <c r="TIX239" s="1"/>
      <c r="TIY239" s="1"/>
      <c r="TIZ239" s="1"/>
      <c r="TJA239" s="1"/>
      <c r="TJB239" s="1"/>
      <c r="TJC239" s="1"/>
      <c r="TJD239" s="1"/>
      <c r="TJE239" s="1"/>
      <c r="TJF239" s="1"/>
      <c r="TJG239" s="1"/>
      <c r="TJH239" s="1"/>
      <c r="TJI239" s="1"/>
      <c r="TJJ239" s="1"/>
      <c r="TJK239" s="1"/>
      <c r="TJL239" s="1"/>
      <c r="TJM239" s="1"/>
      <c r="TJN239" s="1"/>
      <c r="TJO239" s="1"/>
      <c r="TJP239" s="1"/>
      <c r="TJQ239" s="1"/>
      <c r="TJR239" s="1"/>
      <c r="TJS239" s="1"/>
      <c r="TJT239" s="1"/>
      <c r="TJU239" s="1"/>
      <c r="TJV239" s="1"/>
      <c r="TJW239" s="1"/>
      <c r="TJX239" s="1"/>
      <c r="TJY239" s="1"/>
      <c r="TJZ239" s="1"/>
      <c r="TKA239" s="1"/>
      <c r="TKB239" s="1"/>
      <c r="TKC239" s="1"/>
      <c r="TKD239" s="1"/>
      <c r="TKE239" s="1"/>
      <c r="TKF239" s="1"/>
      <c r="TKG239" s="1"/>
      <c r="TKH239" s="1"/>
      <c r="TKI239" s="1"/>
      <c r="TKJ239" s="1"/>
      <c r="TKK239" s="1"/>
      <c r="TKL239" s="1"/>
      <c r="TKM239" s="1"/>
      <c r="TKN239" s="1"/>
      <c r="TKO239" s="1"/>
      <c r="TKP239" s="1"/>
      <c r="TKQ239" s="1"/>
      <c r="TKR239" s="1"/>
      <c r="TKS239" s="1"/>
      <c r="TKT239" s="1"/>
      <c r="TKU239" s="1"/>
      <c r="TKV239" s="1"/>
      <c r="TKW239" s="1"/>
      <c r="TKX239" s="1"/>
      <c r="TKY239" s="1"/>
      <c r="TKZ239" s="1"/>
      <c r="TLA239" s="1"/>
      <c r="TLB239" s="1"/>
      <c r="TLC239" s="1"/>
      <c r="TLD239" s="1"/>
      <c r="TLE239" s="1"/>
      <c r="TLF239" s="1"/>
      <c r="TLG239" s="1"/>
      <c r="TLH239" s="1"/>
      <c r="TLI239" s="1"/>
      <c r="TLJ239" s="1"/>
      <c r="TLK239" s="1"/>
      <c r="TLL239" s="1"/>
      <c r="TLM239" s="1"/>
      <c r="TLN239" s="1"/>
      <c r="TLO239" s="1"/>
      <c r="TLP239" s="1"/>
      <c r="TLQ239" s="1"/>
      <c r="TLR239" s="1"/>
      <c r="TLS239" s="1"/>
      <c r="TLT239" s="1"/>
      <c r="TLU239" s="1"/>
      <c r="TLV239" s="1"/>
      <c r="TLW239" s="1"/>
      <c r="TLX239" s="1"/>
      <c r="TLY239" s="1"/>
      <c r="TLZ239" s="1"/>
      <c r="TMA239" s="1"/>
      <c r="TMB239" s="1"/>
      <c r="TMC239" s="1"/>
      <c r="TMD239" s="1"/>
      <c r="TME239" s="1"/>
      <c r="TMF239" s="1"/>
      <c r="TMG239" s="1"/>
      <c r="TMH239" s="1"/>
      <c r="TMI239" s="1"/>
      <c r="TMJ239" s="1"/>
      <c r="TMK239" s="1"/>
      <c r="TML239" s="1"/>
      <c r="TMM239" s="1"/>
      <c r="TMN239" s="1"/>
      <c r="TMO239" s="1"/>
      <c r="TMP239" s="1"/>
      <c r="TMQ239" s="1"/>
      <c r="TMR239" s="1"/>
      <c r="TMS239" s="1"/>
      <c r="TMT239" s="1"/>
      <c r="TMU239" s="1"/>
      <c r="TMV239" s="1"/>
      <c r="TMW239" s="1"/>
      <c r="TMX239" s="1"/>
      <c r="TMY239" s="1"/>
      <c r="TMZ239" s="1"/>
      <c r="TNA239" s="1"/>
      <c r="TNB239" s="1"/>
      <c r="TNC239" s="1"/>
      <c r="TND239" s="1"/>
      <c r="TNE239" s="1"/>
      <c r="TNF239" s="1"/>
      <c r="TNG239" s="1"/>
      <c r="TNH239" s="1"/>
      <c r="TNI239" s="1"/>
      <c r="TNJ239" s="1"/>
      <c r="TNK239" s="1"/>
      <c r="TNL239" s="1"/>
      <c r="TNM239" s="1"/>
      <c r="TNN239" s="1"/>
      <c r="TNO239" s="1"/>
      <c r="TNP239" s="1"/>
      <c r="TNQ239" s="1"/>
      <c r="TNR239" s="1"/>
      <c r="TNS239" s="1"/>
      <c r="TNT239" s="1"/>
      <c r="TNU239" s="1"/>
      <c r="TNV239" s="1"/>
      <c r="TNW239" s="1"/>
      <c r="TNX239" s="1"/>
      <c r="TNY239" s="1"/>
      <c r="TNZ239" s="1"/>
      <c r="TOA239" s="1"/>
      <c r="TOB239" s="1"/>
      <c r="TOC239" s="1"/>
      <c r="TOD239" s="1"/>
      <c r="TOE239" s="1"/>
      <c r="TOF239" s="1"/>
      <c r="TOG239" s="1"/>
      <c r="TOH239" s="1"/>
      <c r="TOI239" s="1"/>
      <c r="TOJ239" s="1"/>
      <c r="TOK239" s="1"/>
      <c r="TOL239" s="1"/>
      <c r="TOM239" s="1"/>
      <c r="TON239" s="1"/>
      <c r="TOO239" s="1"/>
      <c r="TOP239" s="1"/>
      <c r="TOQ239" s="1"/>
      <c r="TOR239" s="1"/>
      <c r="TOS239" s="1"/>
      <c r="TOT239" s="1"/>
      <c r="TOU239" s="1"/>
      <c r="TOV239" s="1"/>
      <c r="TOW239" s="1"/>
      <c r="TOX239" s="1"/>
      <c r="TOY239" s="1"/>
      <c r="TOZ239" s="1"/>
      <c r="TPA239" s="1"/>
      <c r="TPB239" s="1"/>
      <c r="TPC239" s="1"/>
      <c r="TPD239" s="1"/>
      <c r="TPE239" s="1"/>
      <c r="TPF239" s="1"/>
      <c r="TPG239" s="1"/>
      <c r="TPH239" s="1"/>
      <c r="TPI239" s="1"/>
      <c r="TPJ239" s="1"/>
      <c r="TPK239" s="1"/>
      <c r="TPL239" s="1"/>
      <c r="TPM239" s="1"/>
      <c r="TPN239" s="1"/>
      <c r="TPO239" s="1"/>
      <c r="TPP239" s="1"/>
      <c r="TPQ239" s="1"/>
      <c r="TPR239" s="1"/>
      <c r="TPS239" s="1"/>
      <c r="TPT239" s="1"/>
      <c r="TPU239" s="1"/>
      <c r="TPV239" s="1"/>
      <c r="TPW239" s="1"/>
      <c r="TPX239" s="1"/>
      <c r="TPY239" s="1"/>
      <c r="TPZ239" s="1"/>
      <c r="TQA239" s="1"/>
      <c r="TQB239" s="1"/>
      <c r="TQC239" s="1"/>
      <c r="TQD239" s="1"/>
      <c r="TQE239" s="1"/>
      <c r="TQF239" s="1"/>
      <c r="TQG239" s="1"/>
      <c r="TQH239" s="1"/>
      <c r="TQI239" s="1"/>
      <c r="TQJ239" s="1"/>
      <c r="TQK239" s="1"/>
      <c r="TQL239" s="1"/>
      <c r="TQM239" s="1"/>
      <c r="TQN239" s="1"/>
      <c r="TQO239" s="1"/>
      <c r="TQP239" s="1"/>
      <c r="TQQ239" s="1"/>
      <c r="TQR239" s="1"/>
      <c r="TQS239" s="1"/>
      <c r="TQT239" s="1"/>
      <c r="TQU239" s="1"/>
      <c r="TQV239" s="1"/>
      <c r="TQW239" s="1"/>
      <c r="TQX239" s="1"/>
      <c r="TQY239" s="1"/>
      <c r="TQZ239" s="1"/>
      <c r="TRA239" s="1"/>
      <c r="TRB239" s="1"/>
      <c r="TRC239" s="1"/>
      <c r="TRD239" s="1"/>
      <c r="TRE239" s="1"/>
      <c r="TRF239" s="1"/>
      <c r="TRG239" s="1"/>
      <c r="TRH239" s="1"/>
      <c r="TRI239" s="1"/>
      <c r="TRJ239" s="1"/>
      <c r="TRK239" s="1"/>
      <c r="TRL239" s="1"/>
      <c r="TRM239" s="1"/>
      <c r="TRN239" s="1"/>
      <c r="TRO239" s="1"/>
      <c r="TRP239" s="1"/>
      <c r="TRQ239" s="1"/>
      <c r="TRR239" s="1"/>
      <c r="TRS239" s="1"/>
      <c r="TRT239" s="1"/>
      <c r="TRU239" s="1"/>
      <c r="TRV239" s="1"/>
      <c r="TRW239" s="1"/>
      <c r="TRX239" s="1"/>
      <c r="TRY239" s="1"/>
      <c r="TRZ239" s="1"/>
      <c r="TSA239" s="1"/>
      <c r="TSB239" s="1"/>
      <c r="TSC239" s="1"/>
      <c r="TSD239" s="1"/>
      <c r="TSE239" s="1"/>
      <c r="TSF239" s="1"/>
      <c r="TSG239" s="1"/>
      <c r="TSH239" s="1"/>
      <c r="TSI239" s="1"/>
      <c r="TSJ239" s="1"/>
      <c r="TSK239" s="1"/>
      <c r="TSL239" s="1"/>
      <c r="TSM239" s="1"/>
      <c r="TSN239" s="1"/>
      <c r="TSO239" s="1"/>
      <c r="TSP239" s="1"/>
      <c r="TSQ239" s="1"/>
      <c r="TSR239" s="1"/>
      <c r="TSS239" s="1"/>
      <c r="TST239" s="1"/>
      <c r="TSU239" s="1"/>
      <c r="TSV239" s="1"/>
      <c r="TSW239" s="1"/>
      <c r="TSX239" s="1"/>
      <c r="TSY239" s="1"/>
      <c r="TSZ239" s="1"/>
      <c r="TTA239" s="1"/>
      <c r="TTB239" s="1"/>
      <c r="TTC239" s="1"/>
      <c r="TTD239" s="1"/>
      <c r="TTE239" s="1"/>
      <c r="TTF239" s="1"/>
      <c r="TTG239" s="1"/>
      <c r="TTH239" s="1"/>
      <c r="TTI239" s="1"/>
      <c r="TTJ239" s="1"/>
      <c r="TTK239" s="1"/>
      <c r="TTL239" s="1"/>
      <c r="TTM239" s="1"/>
      <c r="TTN239" s="1"/>
      <c r="TTO239" s="1"/>
      <c r="TTP239" s="1"/>
      <c r="TTQ239" s="1"/>
      <c r="TTR239" s="1"/>
      <c r="TTS239" s="1"/>
      <c r="TTT239" s="1"/>
      <c r="TTU239" s="1"/>
      <c r="TTV239" s="1"/>
      <c r="TTW239" s="1"/>
      <c r="TTX239" s="1"/>
      <c r="TTY239" s="1"/>
      <c r="TTZ239" s="1"/>
      <c r="TUA239" s="1"/>
      <c r="TUB239" s="1"/>
      <c r="TUC239" s="1"/>
      <c r="TUD239" s="1"/>
      <c r="TUE239" s="1"/>
      <c r="TUF239" s="1"/>
      <c r="TUG239" s="1"/>
      <c r="TUH239" s="1"/>
      <c r="TUI239" s="1"/>
      <c r="TUJ239" s="1"/>
      <c r="TUK239" s="1"/>
      <c r="TUL239" s="1"/>
      <c r="TUM239" s="1"/>
      <c r="TUN239" s="1"/>
      <c r="TUO239" s="1"/>
      <c r="TUP239" s="1"/>
      <c r="TUQ239" s="1"/>
      <c r="TUR239" s="1"/>
      <c r="TUS239" s="1"/>
      <c r="TUT239" s="1"/>
      <c r="TUU239" s="1"/>
      <c r="TUV239" s="1"/>
      <c r="TUW239" s="1"/>
      <c r="TUX239" s="1"/>
      <c r="TUY239" s="1"/>
      <c r="TUZ239" s="1"/>
      <c r="TVA239" s="1"/>
      <c r="TVB239" s="1"/>
      <c r="TVC239" s="1"/>
      <c r="TVD239" s="1"/>
      <c r="TVE239" s="1"/>
      <c r="TVF239" s="1"/>
      <c r="TVG239" s="1"/>
      <c r="TVH239" s="1"/>
      <c r="TVI239" s="1"/>
      <c r="TVJ239" s="1"/>
      <c r="TVK239" s="1"/>
      <c r="TVL239" s="1"/>
      <c r="TVM239" s="1"/>
      <c r="TVN239" s="1"/>
      <c r="TVO239" s="1"/>
      <c r="TVP239" s="1"/>
      <c r="TVQ239" s="1"/>
      <c r="TVR239" s="1"/>
      <c r="TVS239" s="1"/>
      <c r="TVT239" s="1"/>
      <c r="TVU239" s="1"/>
      <c r="TVV239" s="1"/>
      <c r="TVW239" s="1"/>
      <c r="TVX239" s="1"/>
      <c r="TVY239" s="1"/>
      <c r="TVZ239" s="1"/>
      <c r="TWA239" s="1"/>
      <c r="TWB239" s="1"/>
      <c r="TWC239" s="1"/>
      <c r="TWD239" s="1"/>
      <c r="TWE239" s="1"/>
      <c r="TWF239" s="1"/>
      <c r="TWG239" s="1"/>
      <c r="TWH239" s="1"/>
      <c r="TWI239" s="1"/>
      <c r="TWJ239" s="1"/>
      <c r="TWK239" s="1"/>
      <c r="TWL239" s="1"/>
      <c r="TWM239" s="1"/>
      <c r="TWN239" s="1"/>
      <c r="TWO239" s="1"/>
      <c r="TWP239" s="1"/>
      <c r="TWQ239" s="1"/>
      <c r="TWR239" s="1"/>
      <c r="TWS239" s="1"/>
      <c r="TWT239" s="1"/>
      <c r="TWU239" s="1"/>
      <c r="TWV239" s="1"/>
      <c r="TWW239" s="1"/>
      <c r="TWX239" s="1"/>
      <c r="TWY239" s="1"/>
      <c r="TWZ239" s="1"/>
      <c r="TXA239" s="1"/>
      <c r="TXB239" s="1"/>
      <c r="TXC239" s="1"/>
      <c r="TXD239" s="1"/>
      <c r="TXE239" s="1"/>
      <c r="TXF239" s="1"/>
      <c r="TXG239" s="1"/>
      <c r="TXH239" s="1"/>
      <c r="TXI239" s="1"/>
      <c r="TXJ239" s="1"/>
      <c r="TXK239" s="1"/>
      <c r="TXL239" s="1"/>
      <c r="TXM239" s="1"/>
      <c r="TXN239" s="1"/>
      <c r="TXO239" s="1"/>
      <c r="TXP239" s="1"/>
      <c r="TXQ239" s="1"/>
      <c r="TXR239" s="1"/>
      <c r="TXS239" s="1"/>
      <c r="TXT239" s="1"/>
      <c r="TXU239" s="1"/>
      <c r="TXV239" s="1"/>
      <c r="TXW239" s="1"/>
      <c r="TXX239" s="1"/>
      <c r="TXY239" s="1"/>
      <c r="TXZ239" s="1"/>
      <c r="TYA239" s="1"/>
      <c r="TYB239" s="1"/>
      <c r="TYC239" s="1"/>
      <c r="TYD239" s="1"/>
      <c r="TYE239" s="1"/>
      <c r="TYF239" s="1"/>
      <c r="TYG239" s="1"/>
      <c r="TYH239" s="1"/>
      <c r="TYI239" s="1"/>
      <c r="TYJ239" s="1"/>
      <c r="TYK239" s="1"/>
      <c r="TYL239" s="1"/>
      <c r="TYM239" s="1"/>
      <c r="TYN239" s="1"/>
      <c r="TYO239" s="1"/>
      <c r="TYP239" s="1"/>
      <c r="TYQ239" s="1"/>
      <c r="TYR239" s="1"/>
      <c r="TYS239" s="1"/>
      <c r="TYT239" s="1"/>
      <c r="TYU239" s="1"/>
      <c r="TYV239" s="1"/>
      <c r="TYW239" s="1"/>
      <c r="TYX239" s="1"/>
      <c r="TYY239" s="1"/>
      <c r="TYZ239" s="1"/>
      <c r="TZA239" s="1"/>
      <c r="TZB239" s="1"/>
      <c r="TZC239" s="1"/>
      <c r="TZD239" s="1"/>
      <c r="TZE239" s="1"/>
      <c r="TZF239" s="1"/>
      <c r="TZG239" s="1"/>
      <c r="TZH239" s="1"/>
      <c r="TZI239" s="1"/>
      <c r="TZJ239" s="1"/>
      <c r="TZK239" s="1"/>
      <c r="TZL239" s="1"/>
      <c r="TZM239" s="1"/>
      <c r="TZN239" s="1"/>
      <c r="TZO239" s="1"/>
      <c r="TZP239" s="1"/>
      <c r="TZQ239" s="1"/>
      <c r="TZR239" s="1"/>
      <c r="TZS239" s="1"/>
      <c r="TZT239" s="1"/>
      <c r="TZU239" s="1"/>
      <c r="TZV239" s="1"/>
      <c r="TZW239" s="1"/>
      <c r="TZX239" s="1"/>
      <c r="TZY239" s="1"/>
      <c r="TZZ239" s="1"/>
      <c r="UAA239" s="1"/>
      <c r="UAB239" s="1"/>
      <c r="UAC239" s="1"/>
      <c r="UAD239" s="1"/>
      <c r="UAE239" s="1"/>
      <c r="UAF239" s="1"/>
      <c r="UAG239" s="1"/>
      <c r="UAH239" s="1"/>
      <c r="UAI239" s="1"/>
      <c r="UAJ239" s="1"/>
      <c r="UAK239" s="1"/>
      <c r="UAL239" s="1"/>
      <c r="UAM239" s="1"/>
      <c r="UAN239" s="1"/>
      <c r="UAO239" s="1"/>
      <c r="UAP239" s="1"/>
      <c r="UAQ239" s="1"/>
      <c r="UAR239" s="1"/>
      <c r="UAS239" s="1"/>
      <c r="UAT239" s="1"/>
      <c r="UAU239" s="1"/>
      <c r="UAV239" s="1"/>
      <c r="UAW239" s="1"/>
      <c r="UAX239" s="1"/>
      <c r="UAY239" s="1"/>
      <c r="UAZ239" s="1"/>
      <c r="UBA239" s="1"/>
      <c r="UBB239" s="1"/>
      <c r="UBC239" s="1"/>
      <c r="UBD239" s="1"/>
      <c r="UBE239" s="1"/>
      <c r="UBF239" s="1"/>
      <c r="UBG239" s="1"/>
      <c r="UBH239" s="1"/>
      <c r="UBI239" s="1"/>
      <c r="UBJ239" s="1"/>
      <c r="UBK239" s="1"/>
      <c r="UBL239" s="1"/>
      <c r="UBM239" s="1"/>
      <c r="UBN239" s="1"/>
      <c r="UBO239" s="1"/>
      <c r="UBP239" s="1"/>
      <c r="UBQ239" s="1"/>
      <c r="UBR239" s="1"/>
      <c r="UBS239" s="1"/>
      <c r="UBT239" s="1"/>
      <c r="UBU239" s="1"/>
      <c r="UBV239" s="1"/>
      <c r="UBW239" s="1"/>
      <c r="UBX239" s="1"/>
      <c r="UBY239" s="1"/>
      <c r="UBZ239" s="1"/>
      <c r="UCA239" s="1"/>
      <c r="UCB239" s="1"/>
      <c r="UCC239" s="1"/>
      <c r="UCD239" s="1"/>
      <c r="UCE239" s="1"/>
      <c r="UCF239" s="1"/>
      <c r="UCG239" s="1"/>
      <c r="UCH239" s="1"/>
      <c r="UCI239" s="1"/>
      <c r="UCJ239" s="1"/>
      <c r="UCK239" s="1"/>
      <c r="UCL239" s="1"/>
      <c r="UCM239" s="1"/>
      <c r="UCN239" s="1"/>
      <c r="UCO239" s="1"/>
      <c r="UCP239" s="1"/>
      <c r="UCQ239" s="1"/>
      <c r="UCR239" s="1"/>
      <c r="UCS239" s="1"/>
      <c r="UCT239" s="1"/>
      <c r="UCU239" s="1"/>
      <c r="UCV239" s="1"/>
      <c r="UCW239" s="1"/>
      <c r="UCX239" s="1"/>
      <c r="UCY239" s="1"/>
      <c r="UCZ239" s="1"/>
      <c r="UDA239" s="1"/>
      <c r="UDB239" s="1"/>
      <c r="UDC239" s="1"/>
      <c r="UDD239" s="1"/>
      <c r="UDE239" s="1"/>
      <c r="UDF239" s="1"/>
      <c r="UDG239" s="1"/>
      <c r="UDH239" s="1"/>
      <c r="UDI239" s="1"/>
      <c r="UDJ239" s="1"/>
      <c r="UDK239" s="1"/>
      <c r="UDL239" s="1"/>
      <c r="UDM239" s="1"/>
      <c r="UDN239" s="1"/>
      <c r="UDO239" s="1"/>
      <c r="UDP239" s="1"/>
      <c r="UDQ239" s="1"/>
      <c r="UDR239" s="1"/>
      <c r="UDS239" s="1"/>
      <c r="UDT239" s="1"/>
      <c r="UDU239" s="1"/>
      <c r="UDV239" s="1"/>
      <c r="UDW239" s="1"/>
      <c r="UDX239" s="1"/>
      <c r="UDY239" s="1"/>
      <c r="UDZ239" s="1"/>
      <c r="UEA239" s="1"/>
      <c r="UEB239" s="1"/>
      <c r="UEC239" s="1"/>
      <c r="UED239" s="1"/>
      <c r="UEE239" s="1"/>
      <c r="UEF239" s="1"/>
      <c r="UEG239" s="1"/>
      <c r="UEH239" s="1"/>
      <c r="UEI239" s="1"/>
      <c r="UEJ239" s="1"/>
      <c r="UEK239" s="1"/>
      <c r="UEL239" s="1"/>
      <c r="UEM239" s="1"/>
      <c r="UEN239" s="1"/>
      <c r="UEO239" s="1"/>
      <c r="UEP239" s="1"/>
      <c r="UEQ239" s="1"/>
      <c r="UER239" s="1"/>
      <c r="UES239" s="1"/>
      <c r="UET239" s="1"/>
      <c r="UEU239" s="1"/>
      <c r="UEV239" s="1"/>
      <c r="UEW239" s="1"/>
      <c r="UEX239" s="1"/>
      <c r="UEY239" s="1"/>
      <c r="UEZ239" s="1"/>
      <c r="UFA239" s="1"/>
      <c r="UFB239" s="1"/>
      <c r="UFC239" s="1"/>
      <c r="UFD239" s="1"/>
      <c r="UFE239" s="1"/>
      <c r="UFF239" s="1"/>
      <c r="UFG239" s="1"/>
      <c r="UFH239" s="1"/>
      <c r="UFI239" s="1"/>
      <c r="UFJ239" s="1"/>
      <c r="UFK239" s="1"/>
      <c r="UFL239" s="1"/>
      <c r="UFM239" s="1"/>
      <c r="UFN239" s="1"/>
      <c r="UFO239" s="1"/>
      <c r="UFP239" s="1"/>
      <c r="UFQ239" s="1"/>
      <c r="UFR239" s="1"/>
      <c r="UFS239" s="1"/>
      <c r="UFT239" s="1"/>
      <c r="UFU239" s="1"/>
      <c r="UFV239" s="1"/>
      <c r="UFW239" s="1"/>
      <c r="UFX239" s="1"/>
      <c r="UFY239" s="1"/>
      <c r="UFZ239" s="1"/>
      <c r="UGA239" s="1"/>
      <c r="UGB239" s="1"/>
      <c r="UGC239" s="1"/>
      <c r="UGD239" s="1"/>
      <c r="UGE239" s="1"/>
      <c r="UGF239" s="1"/>
      <c r="UGG239" s="1"/>
      <c r="UGH239" s="1"/>
      <c r="UGI239" s="1"/>
      <c r="UGJ239" s="1"/>
      <c r="UGK239" s="1"/>
      <c r="UGL239" s="1"/>
      <c r="UGM239" s="1"/>
      <c r="UGN239" s="1"/>
      <c r="UGO239" s="1"/>
      <c r="UGP239" s="1"/>
      <c r="UGQ239" s="1"/>
      <c r="UGR239" s="1"/>
      <c r="UGS239" s="1"/>
      <c r="UGT239" s="1"/>
      <c r="UGU239" s="1"/>
      <c r="UGV239" s="1"/>
      <c r="UGW239" s="1"/>
      <c r="UGX239" s="1"/>
      <c r="UGY239" s="1"/>
      <c r="UGZ239" s="1"/>
      <c r="UHA239" s="1"/>
      <c r="UHB239" s="1"/>
      <c r="UHC239" s="1"/>
      <c r="UHD239" s="1"/>
      <c r="UHE239" s="1"/>
      <c r="UHF239" s="1"/>
      <c r="UHG239" s="1"/>
      <c r="UHH239" s="1"/>
      <c r="UHI239" s="1"/>
      <c r="UHJ239" s="1"/>
      <c r="UHK239" s="1"/>
      <c r="UHL239" s="1"/>
      <c r="UHM239" s="1"/>
      <c r="UHN239" s="1"/>
      <c r="UHO239" s="1"/>
      <c r="UHP239" s="1"/>
      <c r="UHQ239" s="1"/>
      <c r="UHR239" s="1"/>
      <c r="UHS239" s="1"/>
      <c r="UHT239" s="1"/>
      <c r="UHU239" s="1"/>
      <c r="UHV239" s="1"/>
      <c r="UHW239" s="1"/>
      <c r="UHX239" s="1"/>
      <c r="UHY239" s="1"/>
      <c r="UHZ239" s="1"/>
      <c r="UIA239" s="1"/>
      <c r="UIB239" s="1"/>
      <c r="UIC239" s="1"/>
      <c r="UID239" s="1"/>
      <c r="UIE239" s="1"/>
      <c r="UIF239" s="1"/>
      <c r="UIG239" s="1"/>
      <c r="UIH239" s="1"/>
      <c r="UII239" s="1"/>
      <c r="UIJ239" s="1"/>
      <c r="UIK239" s="1"/>
      <c r="UIL239" s="1"/>
      <c r="UIM239" s="1"/>
      <c r="UIN239" s="1"/>
      <c r="UIO239" s="1"/>
      <c r="UIP239" s="1"/>
      <c r="UIQ239" s="1"/>
      <c r="UIR239" s="1"/>
      <c r="UIS239" s="1"/>
      <c r="UIT239" s="1"/>
      <c r="UIU239" s="1"/>
      <c r="UIV239" s="1"/>
      <c r="UIW239" s="1"/>
      <c r="UIX239" s="1"/>
      <c r="UIY239" s="1"/>
      <c r="UIZ239" s="1"/>
      <c r="UJA239" s="1"/>
      <c r="UJB239" s="1"/>
      <c r="UJC239" s="1"/>
      <c r="UJD239" s="1"/>
      <c r="UJE239" s="1"/>
      <c r="UJF239" s="1"/>
      <c r="UJG239" s="1"/>
      <c r="UJH239" s="1"/>
      <c r="UJI239" s="1"/>
      <c r="UJJ239" s="1"/>
      <c r="UJK239" s="1"/>
      <c r="UJL239" s="1"/>
      <c r="UJM239" s="1"/>
      <c r="UJN239" s="1"/>
      <c r="UJO239" s="1"/>
      <c r="UJP239" s="1"/>
      <c r="UJQ239" s="1"/>
      <c r="UJR239" s="1"/>
      <c r="UJS239" s="1"/>
      <c r="UJT239" s="1"/>
      <c r="UJU239" s="1"/>
      <c r="UJV239" s="1"/>
      <c r="UJW239" s="1"/>
      <c r="UJX239" s="1"/>
      <c r="UJY239" s="1"/>
      <c r="UJZ239" s="1"/>
      <c r="UKA239" s="1"/>
      <c r="UKB239" s="1"/>
      <c r="UKC239" s="1"/>
      <c r="UKD239" s="1"/>
      <c r="UKE239" s="1"/>
      <c r="UKF239" s="1"/>
      <c r="UKG239" s="1"/>
      <c r="UKH239" s="1"/>
      <c r="UKI239" s="1"/>
      <c r="UKJ239" s="1"/>
      <c r="UKK239" s="1"/>
      <c r="UKL239" s="1"/>
      <c r="UKM239" s="1"/>
      <c r="UKN239" s="1"/>
      <c r="UKO239" s="1"/>
      <c r="UKP239" s="1"/>
      <c r="UKQ239" s="1"/>
      <c r="UKR239" s="1"/>
      <c r="UKS239" s="1"/>
      <c r="UKT239" s="1"/>
      <c r="UKU239" s="1"/>
      <c r="UKV239" s="1"/>
      <c r="UKW239" s="1"/>
      <c r="UKX239" s="1"/>
      <c r="UKY239" s="1"/>
      <c r="UKZ239" s="1"/>
      <c r="ULA239" s="1"/>
      <c r="ULB239" s="1"/>
      <c r="ULC239" s="1"/>
      <c r="ULD239" s="1"/>
      <c r="ULE239" s="1"/>
      <c r="ULF239" s="1"/>
      <c r="ULG239" s="1"/>
      <c r="ULH239" s="1"/>
      <c r="ULI239" s="1"/>
      <c r="ULJ239" s="1"/>
      <c r="ULK239" s="1"/>
      <c r="ULL239" s="1"/>
      <c r="ULM239" s="1"/>
      <c r="ULN239" s="1"/>
      <c r="ULO239" s="1"/>
      <c r="ULP239" s="1"/>
      <c r="ULQ239" s="1"/>
      <c r="ULR239" s="1"/>
      <c r="ULS239" s="1"/>
      <c r="ULT239" s="1"/>
      <c r="ULU239" s="1"/>
      <c r="ULV239" s="1"/>
      <c r="ULW239" s="1"/>
      <c r="ULX239" s="1"/>
      <c r="ULY239" s="1"/>
      <c r="ULZ239" s="1"/>
      <c r="UMA239" s="1"/>
      <c r="UMB239" s="1"/>
      <c r="UMC239" s="1"/>
      <c r="UMD239" s="1"/>
      <c r="UME239" s="1"/>
      <c r="UMF239" s="1"/>
      <c r="UMG239" s="1"/>
      <c r="UMH239" s="1"/>
      <c r="UMI239" s="1"/>
      <c r="UMJ239" s="1"/>
      <c r="UMK239" s="1"/>
      <c r="UML239" s="1"/>
      <c r="UMM239" s="1"/>
      <c r="UMN239" s="1"/>
      <c r="UMO239" s="1"/>
      <c r="UMP239" s="1"/>
      <c r="UMQ239" s="1"/>
      <c r="UMR239" s="1"/>
      <c r="UMS239" s="1"/>
      <c r="UMT239" s="1"/>
      <c r="UMU239" s="1"/>
      <c r="UMV239" s="1"/>
      <c r="UMW239" s="1"/>
      <c r="UMX239" s="1"/>
      <c r="UMY239" s="1"/>
      <c r="UMZ239" s="1"/>
      <c r="UNA239" s="1"/>
      <c r="UNB239" s="1"/>
      <c r="UNC239" s="1"/>
      <c r="UND239" s="1"/>
      <c r="UNE239" s="1"/>
      <c r="UNF239" s="1"/>
      <c r="UNG239" s="1"/>
      <c r="UNH239" s="1"/>
      <c r="UNI239" s="1"/>
      <c r="UNJ239" s="1"/>
      <c r="UNK239" s="1"/>
      <c r="UNL239" s="1"/>
      <c r="UNM239" s="1"/>
      <c r="UNN239" s="1"/>
      <c r="UNO239" s="1"/>
      <c r="UNP239" s="1"/>
      <c r="UNQ239" s="1"/>
      <c r="UNR239" s="1"/>
      <c r="UNS239" s="1"/>
      <c r="UNT239" s="1"/>
      <c r="UNU239" s="1"/>
      <c r="UNV239" s="1"/>
      <c r="UNW239" s="1"/>
      <c r="UNX239" s="1"/>
      <c r="UNY239" s="1"/>
      <c r="UNZ239" s="1"/>
      <c r="UOA239" s="1"/>
      <c r="UOB239" s="1"/>
      <c r="UOC239" s="1"/>
      <c r="UOD239" s="1"/>
      <c r="UOE239" s="1"/>
      <c r="UOF239" s="1"/>
      <c r="UOG239" s="1"/>
      <c r="UOH239" s="1"/>
      <c r="UOI239" s="1"/>
      <c r="UOJ239" s="1"/>
      <c r="UOK239" s="1"/>
      <c r="UOL239" s="1"/>
      <c r="UOM239" s="1"/>
      <c r="UON239" s="1"/>
      <c r="UOO239" s="1"/>
      <c r="UOP239" s="1"/>
      <c r="UOQ239" s="1"/>
      <c r="UOR239" s="1"/>
      <c r="UOS239" s="1"/>
      <c r="UOT239" s="1"/>
      <c r="UOU239" s="1"/>
      <c r="UOV239" s="1"/>
      <c r="UOW239" s="1"/>
      <c r="UOX239" s="1"/>
      <c r="UOY239" s="1"/>
      <c r="UOZ239" s="1"/>
      <c r="UPA239" s="1"/>
      <c r="UPB239" s="1"/>
      <c r="UPC239" s="1"/>
      <c r="UPD239" s="1"/>
      <c r="UPE239" s="1"/>
      <c r="UPF239" s="1"/>
      <c r="UPG239" s="1"/>
      <c r="UPH239" s="1"/>
      <c r="UPI239" s="1"/>
      <c r="UPJ239" s="1"/>
      <c r="UPK239" s="1"/>
      <c r="UPL239" s="1"/>
      <c r="UPM239" s="1"/>
      <c r="UPN239" s="1"/>
      <c r="UPO239" s="1"/>
      <c r="UPP239" s="1"/>
      <c r="UPQ239" s="1"/>
      <c r="UPR239" s="1"/>
      <c r="UPS239" s="1"/>
      <c r="UPT239" s="1"/>
      <c r="UPU239" s="1"/>
      <c r="UPV239" s="1"/>
      <c r="UPW239" s="1"/>
      <c r="UPX239" s="1"/>
      <c r="UPY239" s="1"/>
      <c r="UPZ239" s="1"/>
      <c r="UQA239" s="1"/>
      <c r="UQB239" s="1"/>
      <c r="UQC239" s="1"/>
      <c r="UQD239" s="1"/>
      <c r="UQE239" s="1"/>
      <c r="UQF239" s="1"/>
      <c r="UQG239" s="1"/>
      <c r="UQH239" s="1"/>
      <c r="UQI239" s="1"/>
      <c r="UQJ239" s="1"/>
      <c r="UQK239" s="1"/>
      <c r="UQL239" s="1"/>
      <c r="UQM239" s="1"/>
      <c r="UQN239" s="1"/>
      <c r="UQO239" s="1"/>
      <c r="UQP239" s="1"/>
      <c r="UQQ239" s="1"/>
      <c r="UQR239" s="1"/>
      <c r="UQS239" s="1"/>
      <c r="UQT239" s="1"/>
      <c r="UQU239" s="1"/>
      <c r="UQV239" s="1"/>
      <c r="UQW239" s="1"/>
      <c r="UQX239" s="1"/>
      <c r="UQY239" s="1"/>
      <c r="UQZ239" s="1"/>
      <c r="URA239" s="1"/>
      <c r="URB239" s="1"/>
      <c r="URC239" s="1"/>
      <c r="URD239" s="1"/>
      <c r="URE239" s="1"/>
      <c r="URF239" s="1"/>
      <c r="URG239" s="1"/>
      <c r="URH239" s="1"/>
      <c r="URI239" s="1"/>
      <c r="URJ239" s="1"/>
      <c r="URK239" s="1"/>
      <c r="URL239" s="1"/>
      <c r="URM239" s="1"/>
      <c r="URN239" s="1"/>
      <c r="URO239" s="1"/>
      <c r="URP239" s="1"/>
      <c r="URQ239" s="1"/>
      <c r="URR239" s="1"/>
      <c r="URS239" s="1"/>
      <c r="URT239" s="1"/>
      <c r="URU239" s="1"/>
      <c r="URV239" s="1"/>
      <c r="URW239" s="1"/>
      <c r="URX239" s="1"/>
      <c r="URY239" s="1"/>
      <c r="URZ239" s="1"/>
      <c r="USA239" s="1"/>
      <c r="USB239" s="1"/>
      <c r="USC239" s="1"/>
      <c r="USD239" s="1"/>
      <c r="USE239" s="1"/>
      <c r="USF239" s="1"/>
      <c r="USG239" s="1"/>
      <c r="USH239" s="1"/>
      <c r="USI239" s="1"/>
      <c r="USJ239" s="1"/>
      <c r="USK239" s="1"/>
      <c r="USL239" s="1"/>
      <c r="USM239" s="1"/>
      <c r="USN239" s="1"/>
      <c r="USO239" s="1"/>
      <c r="USP239" s="1"/>
      <c r="USQ239" s="1"/>
      <c r="USR239" s="1"/>
      <c r="USS239" s="1"/>
      <c r="UST239" s="1"/>
      <c r="USU239" s="1"/>
      <c r="USV239" s="1"/>
      <c r="USW239" s="1"/>
      <c r="USX239" s="1"/>
      <c r="USY239" s="1"/>
      <c r="USZ239" s="1"/>
      <c r="UTA239" s="1"/>
      <c r="UTB239" s="1"/>
      <c r="UTC239" s="1"/>
      <c r="UTD239" s="1"/>
      <c r="UTE239" s="1"/>
      <c r="UTF239" s="1"/>
      <c r="UTG239" s="1"/>
      <c r="UTH239" s="1"/>
      <c r="UTI239" s="1"/>
      <c r="UTJ239" s="1"/>
      <c r="UTK239" s="1"/>
      <c r="UTL239" s="1"/>
      <c r="UTM239" s="1"/>
      <c r="UTN239" s="1"/>
      <c r="UTO239" s="1"/>
      <c r="UTP239" s="1"/>
      <c r="UTQ239" s="1"/>
      <c r="UTR239" s="1"/>
      <c r="UTS239" s="1"/>
      <c r="UTT239" s="1"/>
      <c r="UTU239" s="1"/>
      <c r="UTV239" s="1"/>
      <c r="UTW239" s="1"/>
      <c r="UTX239" s="1"/>
      <c r="UTY239" s="1"/>
      <c r="UTZ239" s="1"/>
      <c r="UUA239" s="1"/>
      <c r="UUB239" s="1"/>
      <c r="UUC239" s="1"/>
      <c r="UUD239" s="1"/>
      <c r="UUE239" s="1"/>
      <c r="UUF239" s="1"/>
      <c r="UUG239" s="1"/>
      <c r="UUH239" s="1"/>
      <c r="UUI239" s="1"/>
      <c r="UUJ239" s="1"/>
      <c r="UUK239" s="1"/>
      <c r="UUL239" s="1"/>
      <c r="UUM239" s="1"/>
      <c r="UUN239" s="1"/>
      <c r="UUO239" s="1"/>
      <c r="UUP239" s="1"/>
      <c r="UUQ239" s="1"/>
      <c r="UUR239" s="1"/>
      <c r="UUS239" s="1"/>
      <c r="UUT239" s="1"/>
      <c r="UUU239" s="1"/>
      <c r="UUV239" s="1"/>
      <c r="UUW239" s="1"/>
      <c r="UUX239" s="1"/>
      <c r="UUY239" s="1"/>
      <c r="UUZ239" s="1"/>
      <c r="UVA239" s="1"/>
      <c r="UVB239" s="1"/>
      <c r="UVC239" s="1"/>
      <c r="UVD239" s="1"/>
      <c r="UVE239" s="1"/>
      <c r="UVF239" s="1"/>
      <c r="UVG239" s="1"/>
      <c r="UVH239" s="1"/>
      <c r="UVI239" s="1"/>
      <c r="UVJ239" s="1"/>
      <c r="UVK239" s="1"/>
      <c r="UVL239" s="1"/>
      <c r="UVM239" s="1"/>
      <c r="UVN239" s="1"/>
      <c r="UVO239" s="1"/>
      <c r="UVP239" s="1"/>
      <c r="UVQ239" s="1"/>
      <c r="UVR239" s="1"/>
      <c r="UVS239" s="1"/>
      <c r="UVT239" s="1"/>
      <c r="UVU239" s="1"/>
      <c r="UVV239" s="1"/>
      <c r="UVW239" s="1"/>
      <c r="UVX239" s="1"/>
      <c r="UVY239" s="1"/>
      <c r="UVZ239" s="1"/>
      <c r="UWA239" s="1"/>
      <c r="UWB239" s="1"/>
      <c r="UWC239" s="1"/>
      <c r="UWD239" s="1"/>
      <c r="UWE239" s="1"/>
      <c r="UWF239" s="1"/>
      <c r="UWG239" s="1"/>
      <c r="UWH239" s="1"/>
      <c r="UWI239" s="1"/>
      <c r="UWJ239" s="1"/>
      <c r="UWK239" s="1"/>
      <c r="UWL239" s="1"/>
      <c r="UWM239" s="1"/>
      <c r="UWN239" s="1"/>
      <c r="UWO239" s="1"/>
      <c r="UWP239" s="1"/>
      <c r="UWQ239" s="1"/>
      <c r="UWR239" s="1"/>
      <c r="UWS239" s="1"/>
      <c r="UWT239" s="1"/>
      <c r="UWU239" s="1"/>
      <c r="UWV239" s="1"/>
      <c r="UWW239" s="1"/>
      <c r="UWX239" s="1"/>
      <c r="UWY239" s="1"/>
      <c r="UWZ239" s="1"/>
      <c r="UXA239" s="1"/>
      <c r="UXB239" s="1"/>
      <c r="UXC239" s="1"/>
      <c r="UXD239" s="1"/>
      <c r="UXE239" s="1"/>
      <c r="UXF239" s="1"/>
      <c r="UXG239" s="1"/>
      <c r="UXH239" s="1"/>
      <c r="UXI239" s="1"/>
      <c r="UXJ239" s="1"/>
      <c r="UXK239" s="1"/>
      <c r="UXL239" s="1"/>
      <c r="UXM239" s="1"/>
      <c r="UXN239" s="1"/>
      <c r="UXO239" s="1"/>
      <c r="UXP239" s="1"/>
      <c r="UXQ239" s="1"/>
      <c r="UXR239" s="1"/>
      <c r="UXS239" s="1"/>
      <c r="UXT239" s="1"/>
      <c r="UXU239" s="1"/>
      <c r="UXV239" s="1"/>
      <c r="UXW239" s="1"/>
      <c r="UXX239" s="1"/>
      <c r="UXY239" s="1"/>
      <c r="UXZ239" s="1"/>
      <c r="UYA239" s="1"/>
      <c r="UYB239" s="1"/>
      <c r="UYC239" s="1"/>
      <c r="UYD239" s="1"/>
      <c r="UYE239" s="1"/>
      <c r="UYF239" s="1"/>
      <c r="UYG239" s="1"/>
      <c r="UYH239" s="1"/>
      <c r="UYI239" s="1"/>
      <c r="UYJ239" s="1"/>
      <c r="UYK239" s="1"/>
      <c r="UYL239" s="1"/>
      <c r="UYM239" s="1"/>
      <c r="UYN239" s="1"/>
      <c r="UYO239" s="1"/>
      <c r="UYP239" s="1"/>
      <c r="UYQ239" s="1"/>
      <c r="UYR239" s="1"/>
      <c r="UYS239" s="1"/>
      <c r="UYT239" s="1"/>
      <c r="UYU239" s="1"/>
      <c r="UYV239" s="1"/>
      <c r="UYW239" s="1"/>
      <c r="UYX239" s="1"/>
      <c r="UYY239" s="1"/>
      <c r="UYZ239" s="1"/>
      <c r="UZA239" s="1"/>
      <c r="UZB239" s="1"/>
      <c r="UZC239" s="1"/>
      <c r="UZD239" s="1"/>
      <c r="UZE239" s="1"/>
      <c r="UZF239" s="1"/>
      <c r="UZG239" s="1"/>
      <c r="UZH239" s="1"/>
      <c r="UZI239" s="1"/>
      <c r="UZJ239" s="1"/>
      <c r="UZK239" s="1"/>
      <c r="UZL239" s="1"/>
      <c r="UZM239" s="1"/>
      <c r="UZN239" s="1"/>
      <c r="UZO239" s="1"/>
      <c r="UZP239" s="1"/>
      <c r="UZQ239" s="1"/>
      <c r="UZR239" s="1"/>
      <c r="UZS239" s="1"/>
      <c r="UZT239" s="1"/>
      <c r="UZU239" s="1"/>
      <c r="UZV239" s="1"/>
      <c r="UZW239" s="1"/>
      <c r="UZX239" s="1"/>
      <c r="UZY239" s="1"/>
      <c r="UZZ239" s="1"/>
      <c r="VAA239" s="1"/>
      <c r="VAB239" s="1"/>
      <c r="VAC239" s="1"/>
      <c r="VAD239" s="1"/>
      <c r="VAE239" s="1"/>
      <c r="VAF239" s="1"/>
      <c r="VAG239" s="1"/>
      <c r="VAH239" s="1"/>
      <c r="VAI239" s="1"/>
      <c r="VAJ239" s="1"/>
      <c r="VAK239" s="1"/>
      <c r="VAL239" s="1"/>
      <c r="VAM239" s="1"/>
      <c r="VAN239" s="1"/>
      <c r="VAO239" s="1"/>
      <c r="VAP239" s="1"/>
      <c r="VAQ239" s="1"/>
      <c r="VAR239" s="1"/>
      <c r="VAS239" s="1"/>
      <c r="VAT239" s="1"/>
      <c r="VAU239" s="1"/>
      <c r="VAV239" s="1"/>
      <c r="VAW239" s="1"/>
      <c r="VAX239" s="1"/>
      <c r="VAY239" s="1"/>
      <c r="VAZ239" s="1"/>
      <c r="VBA239" s="1"/>
      <c r="VBB239" s="1"/>
      <c r="VBC239" s="1"/>
      <c r="VBD239" s="1"/>
      <c r="VBE239" s="1"/>
      <c r="VBF239" s="1"/>
      <c r="VBG239" s="1"/>
      <c r="VBH239" s="1"/>
      <c r="VBI239" s="1"/>
      <c r="VBJ239" s="1"/>
      <c r="VBK239" s="1"/>
      <c r="VBL239" s="1"/>
      <c r="VBM239" s="1"/>
      <c r="VBN239" s="1"/>
      <c r="VBO239" s="1"/>
      <c r="VBP239" s="1"/>
      <c r="VBQ239" s="1"/>
      <c r="VBR239" s="1"/>
      <c r="VBS239" s="1"/>
      <c r="VBT239" s="1"/>
      <c r="VBU239" s="1"/>
      <c r="VBV239" s="1"/>
      <c r="VBW239" s="1"/>
      <c r="VBX239" s="1"/>
      <c r="VBY239" s="1"/>
      <c r="VBZ239" s="1"/>
      <c r="VCA239" s="1"/>
      <c r="VCB239" s="1"/>
      <c r="VCC239" s="1"/>
      <c r="VCD239" s="1"/>
      <c r="VCE239" s="1"/>
      <c r="VCF239" s="1"/>
      <c r="VCG239" s="1"/>
      <c r="VCH239" s="1"/>
      <c r="VCI239" s="1"/>
      <c r="VCJ239" s="1"/>
      <c r="VCK239" s="1"/>
      <c r="VCL239" s="1"/>
      <c r="VCM239" s="1"/>
      <c r="VCN239" s="1"/>
      <c r="VCO239" s="1"/>
      <c r="VCP239" s="1"/>
      <c r="VCQ239" s="1"/>
      <c r="VCR239" s="1"/>
    </row>
    <row r="240" spans="1:14968" s="2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O240" s="3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/>
      <c r="AHA240" s="1"/>
      <c r="AHB240" s="1"/>
      <c r="AHC240" s="1"/>
      <c r="AHD240" s="1"/>
      <c r="AHE240" s="1"/>
      <c r="AHF240" s="1"/>
      <c r="AHG240" s="1"/>
      <c r="AHH240" s="1"/>
      <c r="AHI240" s="1"/>
      <c r="AHJ240" s="1"/>
      <c r="AHK240" s="1"/>
      <c r="AHL240" s="1"/>
      <c r="AHM240" s="1"/>
      <c r="AHN240" s="1"/>
      <c r="AHO240" s="1"/>
      <c r="AHP240" s="1"/>
      <c r="AHQ240" s="1"/>
      <c r="AHR240" s="1"/>
      <c r="AHS240" s="1"/>
      <c r="AHT240" s="1"/>
      <c r="AHU240" s="1"/>
      <c r="AHV240" s="1"/>
      <c r="AHW240" s="1"/>
      <c r="AHX240" s="1"/>
      <c r="AHY240" s="1"/>
      <c r="AHZ240" s="1"/>
      <c r="AIA240" s="1"/>
      <c r="AIB240" s="1"/>
      <c r="AIC240" s="1"/>
      <c r="AID240" s="1"/>
      <c r="AIE240" s="1"/>
      <c r="AIF240" s="1"/>
      <c r="AIG240" s="1"/>
      <c r="AIH240" s="1"/>
      <c r="AII240" s="1"/>
      <c r="AIJ240" s="1"/>
      <c r="AIK240" s="1"/>
      <c r="AIL240" s="1"/>
      <c r="AIM240" s="1"/>
      <c r="AIN240" s="1"/>
      <c r="AIO240" s="1"/>
      <c r="AIP240" s="1"/>
      <c r="AIQ240" s="1"/>
      <c r="AIR240" s="1"/>
      <c r="AIS240" s="1"/>
      <c r="AIT240" s="1"/>
      <c r="AIU240" s="1"/>
      <c r="AIV240" s="1"/>
      <c r="AIW240" s="1"/>
      <c r="AIX240" s="1"/>
      <c r="AIY240" s="1"/>
      <c r="AIZ240" s="1"/>
      <c r="AJA240" s="1"/>
      <c r="AJB240" s="1"/>
      <c r="AJC240" s="1"/>
      <c r="AJD240" s="1"/>
      <c r="AJE240" s="1"/>
      <c r="AJF240" s="1"/>
      <c r="AJG240" s="1"/>
      <c r="AJH240" s="1"/>
      <c r="AJI240" s="1"/>
      <c r="AJJ240" s="1"/>
      <c r="AJK240" s="1"/>
      <c r="AJL240" s="1"/>
      <c r="AJM240" s="1"/>
      <c r="AJN240" s="1"/>
      <c r="AJO240" s="1"/>
      <c r="AJP240" s="1"/>
      <c r="AJQ240" s="1"/>
      <c r="AJR240" s="1"/>
      <c r="AJS240" s="1"/>
      <c r="AJT240" s="1"/>
      <c r="AJU240" s="1"/>
      <c r="AJV240" s="1"/>
      <c r="AJW240" s="1"/>
      <c r="AJX240" s="1"/>
      <c r="AJY240" s="1"/>
      <c r="AJZ240" s="1"/>
      <c r="AKA240" s="1"/>
      <c r="AKB240" s="1"/>
      <c r="AKC240" s="1"/>
      <c r="AKD240" s="1"/>
      <c r="AKE240" s="1"/>
      <c r="AKF240" s="1"/>
      <c r="AKG240" s="1"/>
      <c r="AKH240" s="1"/>
      <c r="AKI240" s="1"/>
      <c r="AKJ240" s="1"/>
      <c r="AKK240" s="1"/>
      <c r="AKL240" s="1"/>
      <c r="AKM240" s="1"/>
      <c r="AKN240" s="1"/>
      <c r="AKO240" s="1"/>
      <c r="AKP240" s="1"/>
      <c r="AKQ240" s="1"/>
      <c r="AKR240" s="1"/>
      <c r="AKS240" s="1"/>
      <c r="AKT240" s="1"/>
      <c r="AKU240" s="1"/>
      <c r="AKV240" s="1"/>
      <c r="AKW240" s="1"/>
      <c r="AKX240" s="1"/>
      <c r="AKY240" s="1"/>
      <c r="AKZ240" s="1"/>
      <c r="ALA240" s="1"/>
      <c r="ALB240" s="1"/>
      <c r="ALC240" s="1"/>
      <c r="ALD240" s="1"/>
      <c r="ALE240" s="1"/>
      <c r="ALF240" s="1"/>
      <c r="ALG240" s="1"/>
      <c r="ALH240" s="1"/>
      <c r="ALI240" s="1"/>
      <c r="ALJ240" s="1"/>
      <c r="ALK240" s="1"/>
      <c r="ALL240" s="1"/>
      <c r="ALM240" s="1"/>
      <c r="ALN240" s="1"/>
      <c r="ALO240" s="1"/>
      <c r="ALP240" s="1"/>
      <c r="ALQ240" s="1"/>
      <c r="ALR240" s="1"/>
      <c r="ALS240" s="1"/>
      <c r="ALT240" s="1"/>
      <c r="ALU240" s="1"/>
      <c r="ALV240" s="1"/>
      <c r="ALW240" s="1"/>
      <c r="ALX240" s="1"/>
      <c r="ALY240" s="1"/>
      <c r="ALZ240" s="1"/>
      <c r="AMA240" s="1"/>
      <c r="AMB240" s="1"/>
      <c r="AMC240" s="1"/>
      <c r="AMD240" s="1"/>
      <c r="AME240" s="1"/>
      <c r="AMF240" s="1"/>
      <c r="AMG240" s="1"/>
      <c r="AMH240" s="1"/>
      <c r="AMI240" s="1"/>
      <c r="AMJ240" s="1"/>
      <c r="AMK240" s="1"/>
      <c r="AML240" s="1"/>
      <c r="AMM240" s="1"/>
      <c r="AMN240" s="1"/>
      <c r="AMO240" s="1"/>
      <c r="AMP240" s="1"/>
      <c r="AMQ240" s="1"/>
      <c r="AMR240" s="1"/>
      <c r="AMS240" s="1"/>
      <c r="AMT240" s="1"/>
      <c r="AMU240" s="1"/>
      <c r="AMV240" s="1"/>
      <c r="AMW240" s="1"/>
      <c r="AMX240" s="1"/>
      <c r="AMY240" s="1"/>
      <c r="AMZ240" s="1"/>
      <c r="ANA240" s="1"/>
      <c r="ANB240" s="1"/>
      <c r="ANC240" s="1"/>
      <c r="AND240" s="1"/>
      <c r="ANE240" s="1"/>
      <c r="ANF240" s="1"/>
      <c r="ANG240" s="1"/>
      <c r="ANH240" s="1"/>
      <c r="ANI240" s="1"/>
      <c r="ANJ240" s="1"/>
      <c r="ANK240" s="1"/>
      <c r="ANL240" s="1"/>
      <c r="ANM240" s="1"/>
      <c r="ANN240" s="1"/>
      <c r="ANO240" s="1"/>
      <c r="ANP240" s="1"/>
      <c r="ANQ240" s="1"/>
      <c r="ANR240" s="1"/>
      <c r="ANS240" s="1"/>
      <c r="ANT240" s="1"/>
      <c r="ANU240" s="1"/>
      <c r="ANV240" s="1"/>
      <c r="ANW240" s="1"/>
      <c r="ANX240" s="1"/>
      <c r="ANY240" s="1"/>
      <c r="ANZ240" s="1"/>
      <c r="AOA240" s="1"/>
      <c r="AOB240" s="1"/>
      <c r="AOC240" s="1"/>
      <c r="AOD240" s="1"/>
      <c r="AOE240" s="1"/>
      <c r="AOF240" s="1"/>
      <c r="AOG240" s="1"/>
      <c r="AOH240" s="1"/>
      <c r="AOI240" s="1"/>
      <c r="AOJ240" s="1"/>
      <c r="AOK240" s="1"/>
      <c r="AOL240" s="1"/>
      <c r="AOM240" s="1"/>
      <c r="AON240" s="1"/>
      <c r="AOO240" s="1"/>
      <c r="AOP240" s="1"/>
      <c r="AOQ240" s="1"/>
      <c r="AOR240" s="1"/>
      <c r="AOS240" s="1"/>
      <c r="AOT240" s="1"/>
      <c r="AOU240" s="1"/>
      <c r="AOV240" s="1"/>
      <c r="AOW240" s="1"/>
      <c r="AOX240" s="1"/>
      <c r="AOY240" s="1"/>
      <c r="AOZ240" s="1"/>
      <c r="APA240" s="1"/>
      <c r="APB240" s="1"/>
      <c r="APC240" s="1"/>
      <c r="APD240" s="1"/>
      <c r="APE240" s="1"/>
      <c r="APF240" s="1"/>
      <c r="APG240" s="1"/>
      <c r="APH240" s="1"/>
      <c r="API240" s="1"/>
      <c r="APJ240" s="1"/>
      <c r="APK240" s="1"/>
      <c r="APL240" s="1"/>
      <c r="APM240" s="1"/>
      <c r="APN240" s="1"/>
      <c r="APO240" s="1"/>
      <c r="APP240" s="1"/>
      <c r="APQ240" s="1"/>
      <c r="APR240" s="1"/>
      <c r="APS240" s="1"/>
      <c r="APT240" s="1"/>
      <c r="APU240" s="1"/>
      <c r="APV240" s="1"/>
      <c r="APW240" s="1"/>
      <c r="APX240" s="1"/>
      <c r="APY240" s="1"/>
      <c r="APZ240" s="1"/>
      <c r="AQA240" s="1"/>
      <c r="AQB240" s="1"/>
      <c r="AQC240" s="1"/>
      <c r="AQD240" s="1"/>
      <c r="AQE240" s="1"/>
      <c r="AQF240" s="1"/>
      <c r="AQG240" s="1"/>
      <c r="AQH240" s="1"/>
      <c r="AQI240" s="1"/>
      <c r="AQJ240" s="1"/>
      <c r="AQK240" s="1"/>
      <c r="AQL240" s="1"/>
      <c r="AQM240" s="1"/>
      <c r="AQN240" s="1"/>
      <c r="AQO240" s="1"/>
      <c r="AQP240" s="1"/>
      <c r="AQQ240" s="1"/>
      <c r="AQR240" s="1"/>
      <c r="AQS240" s="1"/>
      <c r="AQT240" s="1"/>
      <c r="AQU240" s="1"/>
      <c r="AQV240" s="1"/>
      <c r="AQW240" s="1"/>
      <c r="AQX240" s="1"/>
      <c r="AQY240" s="1"/>
      <c r="AQZ240" s="1"/>
      <c r="ARA240" s="1"/>
      <c r="ARB240" s="1"/>
      <c r="ARC240" s="1"/>
      <c r="ARD240" s="1"/>
      <c r="ARE240" s="1"/>
      <c r="ARF240" s="1"/>
      <c r="ARG240" s="1"/>
      <c r="ARH240" s="1"/>
      <c r="ARI240" s="1"/>
      <c r="ARJ240" s="1"/>
      <c r="ARK240" s="1"/>
      <c r="ARL240" s="1"/>
      <c r="ARM240" s="1"/>
      <c r="ARN240" s="1"/>
      <c r="ARO240" s="1"/>
      <c r="ARP240" s="1"/>
      <c r="ARQ240" s="1"/>
      <c r="ARR240" s="1"/>
      <c r="ARS240" s="1"/>
      <c r="ART240" s="1"/>
      <c r="ARU240" s="1"/>
      <c r="ARV240" s="1"/>
      <c r="ARW240" s="1"/>
      <c r="ARX240" s="1"/>
      <c r="ARY240" s="1"/>
      <c r="ARZ240" s="1"/>
      <c r="ASA240" s="1"/>
      <c r="ASB240" s="1"/>
      <c r="ASC240" s="1"/>
      <c r="ASD240" s="1"/>
      <c r="ASE240" s="1"/>
      <c r="ASF240" s="1"/>
      <c r="ASG240" s="1"/>
      <c r="ASH240" s="1"/>
      <c r="ASI240" s="1"/>
      <c r="ASJ240" s="1"/>
      <c r="ASK240" s="1"/>
      <c r="ASL240" s="1"/>
      <c r="ASM240" s="1"/>
      <c r="ASN240" s="1"/>
      <c r="ASO240" s="1"/>
      <c r="ASP240" s="1"/>
      <c r="ASQ240" s="1"/>
      <c r="ASR240" s="1"/>
      <c r="ASS240" s="1"/>
      <c r="AST240" s="1"/>
      <c r="ASU240" s="1"/>
      <c r="ASV240" s="1"/>
      <c r="ASW240" s="1"/>
      <c r="ASX240" s="1"/>
      <c r="ASY240" s="1"/>
      <c r="ASZ240" s="1"/>
      <c r="ATA240" s="1"/>
      <c r="ATB240" s="1"/>
      <c r="ATC240" s="1"/>
      <c r="ATD240" s="1"/>
      <c r="ATE240" s="1"/>
      <c r="ATF240" s="1"/>
      <c r="ATG240" s="1"/>
      <c r="ATH240" s="1"/>
      <c r="ATI240" s="1"/>
      <c r="ATJ240" s="1"/>
      <c r="ATK240" s="1"/>
      <c r="ATL240" s="1"/>
      <c r="ATM240" s="1"/>
      <c r="ATN240" s="1"/>
      <c r="ATO240" s="1"/>
      <c r="ATP240" s="1"/>
      <c r="ATQ240" s="1"/>
      <c r="ATR240" s="1"/>
      <c r="ATS240" s="1"/>
      <c r="ATT240" s="1"/>
      <c r="ATU240" s="1"/>
      <c r="ATV240" s="1"/>
      <c r="ATW240" s="1"/>
      <c r="ATX240" s="1"/>
      <c r="ATY240" s="1"/>
      <c r="ATZ240" s="1"/>
      <c r="AUA240" s="1"/>
      <c r="AUB240" s="1"/>
      <c r="AUC240" s="1"/>
      <c r="AUD240" s="1"/>
      <c r="AUE240" s="1"/>
      <c r="AUF240" s="1"/>
      <c r="AUG240" s="1"/>
      <c r="AUH240" s="1"/>
      <c r="AUI240" s="1"/>
      <c r="AUJ240" s="1"/>
      <c r="AUK240" s="1"/>
      <c r="AUL240" s="1"/>
      <c r="AUM240" s="1"/>
      <c r="AUN240" s="1"/>
      <c r="AUO240" s="1"/>
      <c r="AUP240" s="1"/>
      <c r="AUQ240" s="1"/>
      <c r="AUR240" s="1"/>
      <c r="AUS240" s="1"/>
      <c r="AUT240" s="1"/>
      <c r="AUU240" s="1"/>
      <c r="AUV240" s="1"/>
      <c r="AUW240" s="1"/>
      <c r="AUX240" s="1"/>
      <c r="AUY240" s="1"/>
      <c r="AUZ240" s="1"/>
      <c r="AVA240" s="1"/>
      <c r="AVB240" s="1"/>
      <c r="AVC240" s="1"/>
      <c r="AVD240" s="1"/>
      <c r="AVE240" s="1"/>
      <c r="AVF240" s="1"/>
      <c r="AVG240" s="1"/>
      <c r="AVH240" s="1"/>
      <c r="AVI240" s="1"/>
      <c r="AVJ240" s="1"/>
      <c r="AVK240" s="1"/>
      <c r="AVL240" s="1"/>
      <c r="AVM240" s="1"/>
      <c r="AVN240" s="1"/>
      <c r="AVO240" s="1"/>
      <c r="AVP240" s="1"/>
      <c r="AVQ240" s="1"/>
      <c r="AVR240" s="1"/>
      <c r="AVS240" s="1"/>
      <c r="AVT240" s="1"/>
      <c r="AVU240" s="1"/>
      <c r="AVV240" s="1"/>
      <c r="AVW240" s="1"/>
      <c r="AVX240" s="1"/>
      <c r="AVY240" s="1"/>
      <c r="AVZ240" s="1"/>
      <c r="AWA240" s="1"/>
      <c r="AWB240" s="1"/>
      <c r="AWC240" s="1"/>
      <c r="AWD240" s="1"/>
      <c r="AWE240" s="1"/>
      <c r="AWF240" s="1"/>
      <c r="AWG240" s="1"/>
      <c r="AWH240" s="1"/>
      <c r="AWI240" s="1"/>
      <c r="AWJ240" s="1"/>
      <c r="AWK240" s="1"/>
      <c r="AWL240" s="1"/>
      <c r="AWM240" s="1"/>
      <c r="AWN240" s="1"/>
      <c r="AWO240" s="1"/>
      <c r="AWP240" s="1"/>
      <c r="AWQ240" s="1"/>
      <c r="AWR240" s="1"/>
      <c r="AWS240" s="1"/>
      <c r="AWT240" s="1"/>
      <c r="AWU240" s="1"/>
      <c r="AWV240" s="1"/>
      <c r="AWW240" s="1"/>
      <c r="AWX240" s="1"/>
      <c r="AWY240" s="1"/>
      <c r="AWZ240" s="1"/>
      <c r="AXA240" s="1"/>
      <c r="AXB240" s="1"/>
      <c r="AXC240" s="1"/>
      <c r="AXD240" s="1"/>
      <c r="AXE240" s="1"/>
      <c r="AXF240" s="1"/>
      <c r="AXG240" s="1"/>
      <c r="AXH240" s="1"/>
      <c r="AXI240" s="1"/>
      <c r="AXJ240" s="1"/>
      <c r="AXK240" s="1"/>
      <c r="AXL240" s="1"/>
      <c r="AXM240" s="1"/>
      <c r="AXN240" s="1"/>
      <c r="AXO240" s="1"/>
      <c r="AXP240" s="1"/>
      <c r="AXQ240" s="1"/>
      <c r="AXR240" s="1"/>
      <c r="AXS240" s="1"/>
      <c r="AXT240" s="1"/>
      <c r="AXU240" s="1"/>
      <c r="AXV240" s="1"/>
      <c r="AXW240" s="1"/>
      <c r="AXX240" s="1"/>
      <c r="AXY240" s="1"/>
      <c r="AXZ240" s="1"/>
      <c r="AYA240" s="1"/>
      <c r="AYB240" s="1"/>
      <c r="AYC240" s="1"/>
      <c r="AYD240" s="1"/>
      <c r="AYE240" s="1"/>
      <c r="AYF240" s="1"/>
      <c r="AYG240" s="1"/>
      <c r="AYH240" s="1"/>
      <c r="AYI240" s="1"/>
      <c r="AYJ240" s="1"/>
      <c r="AYK240" s="1"/>
      <c r="AYL240" s="1"/>
      <c r="AYM240" s="1"/>
      <c r="AYN240" s="1"/>
      <c r="AYO240" s="1"/>
      <c r="AYP240" s="1"/>
      <c r="AYQ240" s="1"/>
      <c r="AYR240" s="1"/>
      <c r="AYS240" s="1"/>
      <c r="AYT240" s="1"/>
      <c r="AYU240" s="1"/>
      <c r="AYV240" s="1"/>
      <c r="AYW240" s="1"/>
      <c r="AYX240" s="1"/>
      <c r="AYY240" s="1"/>
      <c r="AYZ240" s="1"/>
      <c r="AZA240" s="1"/>
      <c r="AZB240" s="1"/>
      <c r="AZC240" s="1"/>
      <c r="AZD240" s="1"/>
      <c r="AZE240" s="1"/>
      <c r="AZF240" s="1"/>
      <c r="AZG240" s="1"/>
      <c r="AZH240" s="1"/>
      <c r="AZI240" s="1"/>
      <c r="AZJ240" s="1"/>
      <c r="AZK240" s="1"/>
      <c r="AZL240" s="1"/>
      <c r="AZM240" s="1"/>
      <c r="AZN240" s="1"/>
      <c r="AZO240" s="1"/>
      <c r="AZP240" s="1"/>
      <c r="AZQ240" s="1"/>
      <c r="AZR240" s="1"/>
      <c r="AZS240" s="1"/>
      <c r="AZT240" s="1"/>
      <c r="AZU240" s="1"/>
      <c r="AZV240" s="1"/>
      <c r="AZW240" s="1"/>
      <c r="AZX240" s="1"/>
      <c r="AZY240" s="1"/>
      <c r="AZZ240" s="1"/>
      <c r="BAA240" s="1"/>
      <c r="BAB240" s="1"/>
      <c r="BAC240" s="1"/>
      <c r="BAD240" s="1"/>
      <c r="BAE240" s="1"/>
      <c r="BAF240" s="1"/>
      <c r="BAG240" s="1"/>
      <c r="BAH240" s="1"/>
      <c r="BAI240" s="1"/>
      <c r="BAJ240" s="1"/>
      <c r="BAK240" s="1"/>
      <c r="BAL240" s="1"/>
      <c r="BAM240" s="1"/>
      <c r="BAN240" s="1"/>
      <c r="BAO240" s="1"/>
      <c r="BAP240" s="1"/>
      <c r="BAQ240" s="1"/>
      <c r="BAR240" s="1"/>
      <c r="BAS240" s="1"/>
      <c r="BAT240" s="1"/>
      <c r="BAU240" s="1"/>
      <c r="BAV240" s="1"/>
      <c r="BAW240" s="1"/>
      <c r="BAX240" s="1"/>
      <c r="BAY240" s="1"/>
      <c r="BAZ240" s="1"/>
      <c r="BBA240" s="1"/>
      <c r="BBB240" s="1"/>
      <c r="BBC240" s="1"/>
      <c r="BBD240" s="1"/>
      <c r="BBE240" s="1"/>
      <c r="BBF240" s="1"/>
      <c r="BBG240" s="1"/>
      <c r="BBH240" s="1"/>
      <c r="BBI240" s="1"/>
      <c r="BBJ240" s="1"/>
      <c r="BBK240" s="1"/>
      <c r="BBL240" s="1"/>
      <c r="BBM240" s="1"/>
      <c r="BBN240" s="1"/>
      <c r="BBO240" s="1"/>
      <c r="BBP240" s="1"/>
      <c r="BBQ240" s="1"/>
      <c r="BBR240" s="1"/>
      <c r="BBS240" s="1"/>
      <c r="BBT240" s="1"/>
      <c r="BBU240" s="1"/>
      <c r="BBV240" s="1"/>
      <c r="BBW240" s="1"/>
      <c r="BBX240" s="1"/>
      <c r="BBY240" s="1"/>
      <c r="BBZ240" s="1"/>
      <c r="BCA240" s="1"/>
      <c r="BCB240" s="1"/>
      <c r="BCC240" s="1"/>
      <c r="BCD240" s="1"/>
      <c r="BCE240" s="1"/>
      <c r="BCF240" s="1"/>
      <c r="BCG240" s="1"/>
      <c r="BCH240" s="1"/>
      <c r="BCI240" s="1"/>
      <c r="BCJ240" s="1"/>
      <c r="BCK240" s="1"/>
      <c r="BCL240" s="1"/>
      <c r="BCM240" s="1"/>
      <c r="BCN240" s="1"/>
      <c r="BCO240" s="1"/>
      <c r="BCP240" s="1"/>
      <c r="BCQ240" s="1"/>
      <c r="BCR240" s="1"/>
      <c r="BCS240" s="1"/>
      <c r="BCT240" s="1"/>
      <c r="BCU240" s="1"/>
      <c r="BCV240" s="1"/>
      <c r="BCW240" s="1"/>
      <c r="BCX240" s="1"/>
      <c r="BCY240" s="1"/>
      <c r="BCZ240" s="1"/>
      <c r="BDA240" s="1"/>
      <c r="BDB240" s="1"/>
      <c r="BDC240" s="1"/>
      <c r="BDD240" s="1"/>
      <c r="BDE240" s="1"/>
      <c r="BDF240" s="1"/>
      <c r="BDG240" s="1"/>
      <c r="BDH240" s="1"/>
      <c r="BDI240" s="1"/>
      <c r="BDJ240" s="1"/>
      <c r="BDK240" s="1"/>
      <c r="BDL240" s="1"/>
      <c r="BDM240" s="1"/>
      <c r="BDN240" s="1"/>
      <c r="BDO240" s="1"/>
      <c r="BDP240" s="1"/>
      <c r="BDQ240" s="1"/>
      <c r="BDR240" s="1"/>
      <c r="BDS240" s="1"/>
      <c r="BDT240" s="1"/>
      <c r="BDU240" s="1"/>
      <c r="BDV240" s="1"/>
      <c r="BDW240" s="1"/>
      <c r="BDX240" s="1"/>
      <c r="BDY240" s="1"/>
      <c r="BDZ240" s="1"/>
      <c r="BEA240" s="1"/>
      <c r="BEB240" s="1"/>
      <c r="BEC240" s="1"/>
      <c r="BED240" s="1"/>
      <c r="BEE240" s="1"/>
      <c r="BEF240" s="1"/>
      <c r="BEG240" s="1"/>
      <c r="BEH240" s="1"/>
      <c r="BEI240" s="1"/>
      <c r="BEJ240" s="1"/>
      <c r="BEK240" s="1"/>
      <c r="BEL240" s="1"/>
      <c r="BEM240" s="1"/>
      <c r="BEN240" s="1"/>
      <c r="BEO240" s="1"/>
      <c r="BEP240" s="1"/>
      <c r="BEQ240" s="1"/>
      <c r="BER240" s="1"/>
      <c r="BES240" s="1"/>
      <c r="BET240" s="1"/>
      <c r="BEU240" s="1"/>
      <c r="BEV240" s="1"/>
      <c r="BEW240" s="1"/>
      <c r="BEX240" s="1"/>
      <c r="BEY240" s="1"/>
      <c r="BEZ240" s="1"/>
      <c r="BFA240" s="1"/>
      <c r="BFB240" s="1"/>
      <c r="BFC240" s="1"/>
      <c r="BFD240" s="1"/>
      <c r="BFE240" s="1"/>
      <c r="BFF240" s="1"/>
      <c r="BFG240" s="1"/>
      <c r="BFH240" s="1"/>
      <c r="BFI240" s="1"/>
      <c r="BFJ240" s="1"/>
      <c r="BFK240" s="1"/>
      <c r="BFL240" s="1"/>
      <c r="BFM240" s="1"/>
      <c r="BFN240" s="1"/>
      <c r="BFO240" s="1"/>
      <c r="BFP240" s="1"/>
      <c r="BFQ240" s="1"/>
      <c r="BFR240" s="1"/>
      <c r="BFS240" s="1"/>
      <c r="BFT240" s="1"/>
      <c r="BFU240" s="1"/>
      <c r="BFV240" s="1"/>
      <c r="BFW240" s="1"/>
      <c r="BFX240" s="1"/>
      <c r="BFY240" s="1"/>
      <c r="BFZ240" s="1"/>
      <c r="BGA240" s="1"/>
      <c r="BGB240" s="1"/>
      <c r="BGC240" s="1"/>
      <c r="BGD240" s="1"/>
      <c r="BGE240" s="1"/>
      <c r="BGF240" s="1"/>
      <c r="BGG240" s="1"/>
      <c r="BGH240" s="1"/>
      <c r="BGI240" s="1"/>
      <c r="BGJ240" s="1"/>
      <c r="BGK240" s="1"/>
      <c r="BGL240" s="1"/>
      <c r="BGM240" s="1"/>
      <c r="BGN240" s="1"/>
      <c r="BGO240" s="1"/>
      <c r="BGP240" s="1"/>
      <c r="BGQ240" s="1"/>
      <c r="BGR240" s="1"/>
      <c r="BGS240" s="1"/>
      <c r="BGT240" s="1"/>
      <c r="BGU240" s="1"/>
      <c r="BGV240" s="1"/>
      <c r="BGW240" s="1"/>
      <c r="BGX240" s="1"/>
      <c r="BGY240" s="1"/>
      <c r="BGZ240" s="1"/>
      <c r="BHA240" s="1"/>
      <c r="BHB240" s="1"/>
      <c r="BHC240" s="1"/>
      <c r="BHD240" s="1"/>
      <c r="BHE240" s="1"/>
      <c r="BHF240" s="1"/>
      <c r="BHG240" s="1"/>
      <c r="BHH240" s="1"/>
      <c r="BHI240" s="1"/>
      <c r="BHJ240" s="1"/>
      <c r="BHK240" s="1"/>
      <c r="BHL240" s="1"/>
      <c r="BHM240" s="1"/>
      <c r="BHN240" s="1"/>
      <c r="BHO240" s="1"/>
      <c r="BHP240" s="1"/>
      <c r="BHQ240" s="1"/>
      <c r="BHR240" s="1"/>
      <c r="BHS240" s="1"/>
      <c r="BHT240" s="1"/>
      <c r="BHU240" s="1"/>
      <c r="BHV240" s="1"/>
      <c r="BHW240" s="1"/>
      <c r="BHX240" s="1"/>
      <c r="BHY240" s="1"/>
      <c r="BHZ240" s="1"/>
      <c r="BIA240" s="1"/>
      <c r="BIB240" s="1"/>
      <c r="BIC240" s="1"/>
      <c r="BID240" s="1"/>
      <c r="BIE240" s="1"/>
      <c r="BIF240" s="1"/>
      <c r="BIG240" s="1"/>
      <c r="BIH240" s="1"/>
      <c r="BII240" s="1"/>
      <c r="BIJ240" s="1"/>
      <c r="BIK240" s="1"/>
      <c r="BIL240" s="1"/>
      <c r="BIM240" s="1"/>
      <c r="BIN240" s="1"/>
      <c r="BIO240" s="1"/>
      <c r="BIP240" s="1"/>
      <c r="BIQ240" s="1"/>
      <c r="BIR240" s="1"/>
      <c r="BIS240" s="1"/>
      <c r="BIT240" s="1"/>
      <c r="BIU240" s="1"/>
      <c r="BIV240" s="1"/>
      <c r="BIW240" s="1"/>
      <c r="BIX240" s="1"/>
      <c r="BIY240" s="1"/>
      <c r="BIZ240" s="1"/>
      <c r="BJA240" s="1"/>
      <c r="BJB240" s="1"/>
      <c r="BJC240" s="1"/>
      <c r="BJD240" s="1"/>
      <c r="BJE240" s="1"/>
      <c r="BJF240" s="1"/>
      <c r="BJG240" s="1"/>
      <c r="BJH240" s="1"/>
      <c r="BJI240" s="1"/>
      <c r="BJJ240" s="1"/>
      <c r="BJK240" s="1"/>
      <c r="BJL240" s="1"/>
      <c r="BJM240" s="1"/>
      <c r="BJN240" s="1"/>
      <c r="BJO240" s="1"/>
      <c r="BJP240" s="1"/>
      <c r="BJQ240" s="1"/>
      <c r="BJR240" s="1"/>
      <c r="BJS240" s="1"/>
      <c r="BJT240" s="1"/>
      <c r="BJU240" s="1"/>
      <c r="BJV240" s="1"/>
      <c r="BJW240" s="1"/>
      <c r="BJX240" s="1"/>
      <c r="BJY240" s="1"/>
      <c r="BJZ240" s="1"/>
      <c r="BKA240" s="1"/>
      <c r="BKB240" s="1"/>
      <c r="BKC240" s="1"/>
      <c r="BKD240" s="1"/>
      <c r="BKE240" s="1"/>
      <c r="BKF240" s="1"/>
      <c r="BKG240" s="1"/>
      <c r="BKH240" s="1"/>
      <c r="BKI240" s="1"/>
      <c r="BKJ240" s="1"/>
      <c r="BKK240" s="1"/>
      <c r="BKL240" s="1"/>
      <c r="BKM240" s="1"/>
      <c r="BKN240" s="1"/>
      <c r="BKO240" s="1"/>
      <c r="BKP240" s="1"/>
      <c r="BKQ240" s="1"/>
      <c r="BKR240" s="1"/>
      <c r="BKS240" s="1"/>
      <c r="BKT240" s="1"/>
      <c r="BKU240" s="1"/>
      <c r="BKV240" s="1"/>
      <c r="BKW240" s="1"/>
      <c r="BKX240" s="1"/>
      <c r="BKY240" s="1"/>
      <c r="BKZ240" s="1"/>
      <c r="BLA240" s="1"/>
      <c r="BLB240" s="1"/>
      <c r="BLC240" s="1"/>
      <c r="BLD240" s="1"/>
      <c r="BLE240" s="1"/>
      <c r="BLF240" s="1"/>
      <c r="BLG240" s="1"/>
      <c r="BLH240" s="1"/>
      <c r="BLI240" s="1"/>
      <c r="BLJ240" s="1"/>
      <c r="BLK240" s="1"/>
      <c r="BLL240" s="1"/>
      <c r="BLM240" s="1"/>
      <c r="BLN240" s="1"/>
      <c r="BLO240" s="1"/>
      <c r="BLP240" s="1"/>
      <c r="BLQ240" s="1"/>
      <c r="BLR240" s="1"/>
      <c r="BLS240" s="1"/>
      <c r="BLT240" s="1"/>
      <c r="BLU240" s="1"/>
      <c r="BLV240" s="1"/>
      <c r="BLW240" s="1"/>
      <c r="BLX240" s="1"/>
      <c r="BLY240" s="1"/>
      <c r="BLZ240" s="1"/>
      <c r="BMA240" s="1"/>
      <c r="BMB240" s="1"/>
      <c r="BMC240" s="1"/>
      <c r="BMD240" s="1"/>
      <c r="BME240" s="1"/>
      <c r="BMF240" s="1"/>
      <c r="BMG240" s="1"/>
      <c r="BMH240" s="1"/>
      <c r="BMI240" s="1"/>
      <c r="BMJ240" s="1"/>
      <c r="BMK240" s="1"/>
      <c r="BML240" s="1"/>
      <c r="BMM240" s="1"/>
      <c r="BMN240" s="1"/>
      <c r="BMO240" s="1"/>
      <c r="BMP240" s="1"/>
      <c r="BMQ240" s="1"/>
      <c r="BMR240" s="1"/>
      <c r="BMS240" s="1"/>
      <c r="BMT240" s="1"/>
      <c r="BMU240" s="1"/>
      <c r="BMV240" s="1"/>
      <c r="BMW240" s="1"/>
      <c r="BMX240" s="1"/>
      <c r="BMY240" s="1"/>
      <c r="BMZ240" s="1"/>
      <c r="BNA240" s="1"/>
      <c r="BNB240" s="1"/>
      <c r="BNC240" s="1"/>
      <c r="BND240" s="1"/>
      <c r="BNE240" s="1"/>
      <c r="BNF240" s="1"/>
      <c r="BNG240" s="1"/>
      <c r="BNH240" s="1"/>
      <c r="BNI240" s="1"/>
      <c r="BNJ240" s="1"/>
      <c r="BNK240" s="1"/>
      <c r="BNL240" s="1"/>
      <c r="BNM240" s="1"/>
      <c r="BNN240" s="1"/>
      <c r="BNO240" s="1"/>
      <c r="BNP240" s="1"/>
      <c r="BNQ240" s="1"/>
      <c r="BNR240" s="1"/>
      <c r="BNS240" s="1"/>
      <c r="BNT240" s="1"/>
      <c r="BNU240" s="1"/>
      <c r="BNV240" s="1"/>
      <c r="BNW240" s="1"/>
      <c r="BNX240" s="1"/>
      <c r="BNY240" s="1"/>
      <c r="BNZ240" s="1"/>
      <c r="BOA240" s="1"/>
      <c r="BOB240" s="1"/>
      <c r="BOC240" s="1"/>
      <c r="BOD240" s="1"/>
      <c r="BOE240" s="1"/>
      <c r="BOF240" s="1"/>
      <c r="BOG240" s="1"/>
      <c r="BOH240" s="1"/>
      <c r="BOI240" s="1"/>
      <c r="BOJ240" s="1"/>
      <c r="BOK240" s="1"/>
      <c r="BOL240" s="1"/>
      <c r="BOM240" s="1"/>
      <c r="BON240" s="1"/>
      <c r="BOO240" s="1"/>
      <c r="BOP240" s="1"/>
      <c r="BOQ240" s="1"/>
      <c r="BOR240" s="1"/>
      <c r="BOS240" s="1"/>
      <c r="BOT240" s="1"/>
      <c r="BOU240" s="1"/>
      <c r="BOV240" s="1"/>
      <c r="BOW240" s="1"/>
      <c r="BOX240" s="1"/>
      <c r="BOY240" s="1"/>
      <c r="BOZ240" s="1"/>
      <c r="BPA240" s="1"/>
      <c r="BPB240" s="1"/>
      <c r="BPC240" s="1"/>
      <c r="BPD240" s="1"/>
      <c r="BPE240" s="1"/>
      <c r="BPF240" s="1"/>
      <c r="BPG240" s="1"/>
      <c r="BPH240" s="1"/>
      <c r="BPI240" s="1"/>
      <c r="BPJ240" s="1"/>
      <c r="BPK240" s="1"/>
      <c r="BPL240" s="1"/>
      <c r="BPM240" s="1"/>
      <c r="BPN240" s="1"/>
      <c r="BPO240" s="1"/>
      <c r="BPP240" s="1"/>
      <c r="BPQ240" s="1"/>
      <c r="BPR240" s="1"/>
      <c r="BPS240" s="1"/>
      <c r="BPT240" s="1"/>
      <c r="BPU240" s="1"/>
      <c r="BPV240" s="1"/>
      <c r="BPW240" s="1"/>
      <c r="BPX240" s="1"/>
      <c r="BPY240" s="1"/>
      <c r="BPZ240" s="1"/>
      <c r="BQA240" s="1"/>
      <c r="BQB240" s="1"/>
      <c r="BQC240" s="1"/>
      <c r="BQD240" s="1"/>
      <c r="BQE240" s="1"/>
      <c r="BQF240" s="1"/>
      <c r="BQG240" s="1"/>
      <c r="BQH240" s="1"/>
      <c r="BQI240" s="1"/>
      <c r="BQJ240" s="1"/>
      <c r="BQK240" s="1"/>
      <c r="BQL240" s="1"/>
      <c r="BQM240" s="1"/>
      <c r="BQN240" s="1"/>
      <c r="BQO240" s="1"/>
      <c r="BQP240" s="1"/>
      <c r="BQQ240" s="1"/>
      <c r="BQR240" s="1"/>
      <c r="BQS240" s="1"/>
      <c r="BQT240" s="1"/>
      <c r="BQU240" s="1"/>
      <c r="BQV240" s="1"/>
      <c r="BQW240" s="1"/>
      <c r="BQX240" s="1"/>
      <c r="BQY240" s="1"/>
      <c r="BQZ240" s="1"/>
      <c r="BRA240" s="1"/>
      <c r="BRB240" s="1"/>
      <c r="BRC240" s="1"/>
      <c r="BRD240" s="1"/>
      <c r="BRE240" s="1"/>
      <c r="BRF240" s="1"/>
      <c r="BRG240" s="1"/>
      <c r="BRH240" s="1"/>
      <c r="BRI240" s="1"/>
      <c r="BRJ240" s="1"/>
      <c r="BRK240" s="1"/>
      <c r="BRL240" s="1"/>
      <c r="BRM240" s="1"/>
      <c r="BRN240" s="1"/>
      <c r="BRO240" s="1"/>
      <c r="BRP240" s="1"/>
      <c r="BRQ240" s="1"/>
      <c r="BRR240" s="1"/>
      <c r="BRS240" s="1"/>
      <c r="BRT240" s="1"/>
      <c r="BRU240" s="1"/>
      <c r="BRV240" s="1"/>
      <c r="BRW240" s="1"/>
      <c r="BRX240" s="1"/>
      <c r="BRY240" s="1"/>
      <c r="BRZ240" s="1"/>
      <c r="BSA240" s="1"/>
      <c r="BSB240" s="1"/>
      <c r="BSC240" s="1"/>
      <c r="BSD240" s="1"/>
      <c r="BSE240" s="1"/>
      <c r="BSF240" s="1"/>
      <c r="BSG240" s="1"/>
      <c r="BSH240" s="1"/>
      <c r="BSI240" s="1"/>
      <c r="BSJ240" s="1"/>
      <c r="BSK240" s="1"/>
      <c r="BSL240" s="1"/>
      <c r="BSM240" s="1"/>
      <c r="BSN240" s="1"/>
      <c r="BSO240" s="1"/>
      <c r="BSP240" s="1"/>
      <c r="BSQ240" s="1"/>
      <c r="BSR240" s="1"/>
      <c r="BSS240" s="1"/>
      <c r="BST240" s="1"/>
      <c r="BSU240" s="1"/>
      <c r="BSV240" s="1"/>
      <c r="BSW240" s="1"/>
      <c r="BSX240" s="1"/>
      <c r="BSY240" s="1"/>
      <c r="BSZ240" s="1"/>
      <c r="BTA240" s="1"/>
      <c r="BTB240" s="1"/>
      <c r="BTC240" s="1"/>
      <c r="BTD240" s="1"/>
      <c r="BTE240" s="1"/>
      <c r="BTF240" s="1"/>
      <c r="BTG240" s="1"/>
      <c r="BTH240" s="1"/>
      <c r="BTI240" s="1"/>
      <c r="BTJ240" s="1"/>
      <c r="BTK240" s="1"/>
      <c r="BTL240" s="1"/>
      <c r="BTM240" s="1"/>
      <c r="BTN240" s="1"/>
      <c r="BTO240" s="1"/>
      <c r="BTP240" s="1"/>
      <c r="BTQ240" s="1"/>
      <c r="BTR240" s="1"/>
      <c r="BTS240" s="1"/>
      <c r="BTT240" s="1"/>
      <c r="BTU240" s="1"/>
      <c r="BTV240" s="1"/>
      <c r="BTW240" s="1"/>
      <c r="BTX240" s="1"/>
      <c r="BTY240" s="1"/>
      <c r="BTZ240" s="1"/>
      <c r="BUA240" s="1"/>
      <c r="BUB240" s="1"/>
      <c r="BUC240" s="1"/>
      <c r="BUD240" s="1"/>
      <c r="BUE240" s="1"/>
      <c r="BUF240" s="1"/>
      <c r="BUG240" s="1"/>
      <c r="BUH240" s="1"/>
      <c r="BUI240" s="1"/>
      <c r="BUJ240" s="1"/>
      <c r="BUK240" s="1"/>
      <c r="BUL240" s="1"/>
      <c r="BUM240" s="1"/>
      <c r="BUN240" s="1"/>
      <c r="BUO240" s="1"/>
      <c r="BUP240" s="1"/>
      <c r="BUQ240" s="1"/>
      <c r="BUR240" s="1"/>
      <c r="BUS240" s="1"/>
      <c r="BUT240" s="1"/>
      <c r="BUU240" s="1"/>
      <c r="BUV240" s="1"/>
      <c r="BUW240" s="1"/>
      <c r="BUX240" s="1"/>
      <c r="BUY240" s="1"/>
      <c r="BUZ240" s="1"/>
      <c r="BVA240" s="1"/>
      <c r="BVB240" s="1"/>
      <c r="BVC240" s="1"/>
      <c r="BVD240" s="1"/>
      <c r="BVE240" s="1"/>
      <c r="BVF240" s="1"/>
      <c r="BVG240" s="1"/>
      <c r="BVH240" s="1"/>
      <c r="BVI240" s="1"/>
      <c r="BVJ240" s="1"/>
      <c r="BVK240" s="1"/>
      <c r="BVL240" s="1"/>
      <c r="BVM240" s="1"/>
      <c r="BVN240" s="1"/>
      <c r="BVO240" s="1"/>
      <c r="BVP240" s="1"/>
      <c r="BVQ240" s="1"/>
      <c r="BVR240" s="1"/>
      <c r="BVS240" s="1"/>
      <c r="BVT240" s="1"/>
      <c r="BVU240" s="1"/>
      <c r="BVV240" s="1"/>
      <c r="BVW240" s="1"/>
      <c r="BVX240" s="1"/>
      <c r="BVY240" s="1"/>
      <c r="BVZ240" s="1"/>
      <c r="BWA240" s="1"/>
      <c r="BWB240" s="1"/>
      <c r="BWC240" s="1"/>
      <c r="BWD240" s="1"/>
      <c r="BWE240" s="1"/>
      <c r="BWF240" s="1"/>
      <c r="BWG240" s="1"/>
      <c r="BWH240" s="1"/>
      <c r="BWI240" s="1"/>
      <c r="BWJ240" s="1"/>
      <c r="BWK240" s="1"/>
      <c r="BWL240" s="1"/>
      <c r="BWM240" s="1"/>
      <c r="BWN240" s="1"/>
      <c r="BWO240" s="1"/>
      <c r="BWP240" s="1"/>
      <c r="BWQ240" s="1"/>
      <c r="BWR240" s="1"/>
      <c r="BWS240" s="1"/>
      <c r="BWT240" s="1"/>
      <c r="BWU240" s="1"/>
      <c r="BWV240" s="1"/>
      <c r="BWW240" s="1"/>
      <c r="BWX240" s="1"/>
      <c r="BWY240" s="1"/>
      <c r="BWZ240" s="1"/>
      <c r="BXA240" s="1"/>
      <c r="BXB240" s="1"/>
      <c r="BXC240" s="1"/>
      <c r="BXD240" s="1"/>
      <c r="BXE240" s="1"/>
      <c r="BXF240" s="1"/>
      <c r="BXG240" s="1"/>
      <c r="BXH240" s="1"/>
      <c r="BXI240" s="1"/>
      <c r="BXJ240" s="1"/>
      <c r="BXK240" s="1"/>
      <c r="BXL240" s="1"/>
      <c r="BXM240" s="1"/>
      <c r="BXN240" s="1"/>
      <c r="BXO240" s="1"/>
      <c r="BXP240" s="1"/>
      <c r="BXQ240" s="1"/>
      <c r="BXR240" s="1"/>
      <c r="BXS240" s="1"/>
      <c r="BXT240" s="1"/>
      <c r="BXU240" s="1"/>
      <c r="BXV240" s="1"/>
      <c r="BXW240" s="1"/>
      <c r="BXX240" s="1"/>
      <c r="BXY240" s="1"/>
      <c r="BXZ240" s="1"/>
      <c r="BYA240" s="1"/>
      <c r="BYB240" s="1"/>
      <c r="BYC240" s="1"/>
      <c r="BYD240" s="1"/>
      <c r="BYE240" s="1"/>
      <c r="BYF240" s="1"/>
      <c r="BYG240" s="1"/>
      <c r="BYH240" s="1"/>
      <c r="BYI240" s="1"/>
      <c r="BYJ240" s="1"/>
      <c r="BYK240" s="1"/>
      <c r="BYL240" s="1"/>
      <c r="BYM240" s="1"/>
      <c r="BYN240" s="1"/>
      <c r="BYO240" s="1"/>
      <c r="BYP240" s="1"/>
      <c r="BYQ240" s="1"/>
      <c r="BYR240" s="1"/>
      <c r="BYS240" s="1"/>
      <c r="BYT240" s="1"/>
      <c r="BYU240" s="1"/>
      <c r="BYV240" s="1"/>
      <c r="BYW240" s="1"/>
      <c r="BYX240" s="1"/>
      <c r="BYY240" s="1"/>
      <c r="BYZ240" s="1"/>
      <c r="BZA240" s="1"/>
      <c r="BZB240" s="1"/>
      <c r="BZC240" s="1"/>
      <c r="BZD240" s="1"/>
      <c r="BZE240" s="1"/>
      <c r="BZF240" s="1"/>
      <c r="BZG240" s="1"/>
      <c r="BZH240" s="1"/>
      <c r="BZI240" s="1"/>
      <c r="BZJ240" s="1"/>
      <c r="BZK240" s="1"/>
      <c r="BZL240" s="1"/>
      <c r="BZM240" s="1"/>
      <c r="BZN240" s="1"/>
      <c r="BZO240" s="1"/>
      <c r="BZP240" s="1"/>
      <c r="BZQ240" s="1"/>
      <c r="BZR240" s="1"/>
      <c r="BZS240" s="1"/>
      <c r="BZT240" s="1"/>
      <c r="BZU240" s="1"/>
      <c r="BZV240" s="1"/>
      <c r="BZW240" s="1"/>
      <c r="BZX240" s="1"/>
      <c r="BZY240" s="1"/>
      <c r="BZZ240" s="1"/>
      <c r="CAA240" s="1"/>
      <c r="CAB240" s="1"/>
      <c r="CAC240" s="1"/>
      <c r="CAD240" s="1"/>
      <c r="CAE240" s="1"/>
      <c r="CAF240" s="1"/>
      <c r="CAG240" s="1"/>
      <c r="CAH240" s="1"/>
      <c r="CAI240" s="1"/>
      <c r="CAJ240" s="1"/>
      <c r="CAK240" s="1"/>
      <c r="CAL240" s="1"/>
      <c r="CAM240" s="1"/>
      <c r="CAN240" s="1"/>
      <c r="CAO240" s="1"/>
      <c r="CAP240" s="1"/>
      <c r="CAQ240" s="1"/>
      <c r="CAR240" s="1"/>
      <c r="CAS240" s="1"/>
      <c r="CAT240" s="1"/>
      <c r="CAU240" s="1"/>
      <c r="CAV240" s="1"/>
      <c r="CAW240" s="1"/>
      <c r="CAX240" s="1"/>
      <c r="CAY240" s="1"/>
      <c r="CAZ240" s="1"/>
      <c r="CBA240" s="1"/>
      <c r="CBB240" s="1"/>
      <c r="CBC240" s="1"/>
      <c r="CBD240" s="1"/>
      <c r="CBE240" s="1"/>
      <c r="CBF240" s="1"/>
      <c r="CBG240" s="1"/>
      <c r="CBH240" s="1"/>
      <c r="CBI240" s="1"/>
      <c r="CBJ240" s="1"/>
      <c r="CBK240" s="1"/>
      <c r="CBL240" s="1"/>
      <c r="CBM240" s="1"/>
      <c r="CBN240" s="1"/>
      <c r="CBO240" s="1"/>
      <c r="CBP240" s="1"/>
      <c r="CBQ240" s="1"/>
      <c r="CBR240" s="1"/>
      <c r="CBS240" s="1"/>
      <c r="CBT240" s="1"/>
      <c r="CBU240" s="1"/>
      <c r="CBV240" s="1"/>
      <c r="CBW240" s="1"/>
      <c r="CBX240" s="1"/>
      <c r="CBY240" s="1"/>
      <c r="CBZ240" s="1"/>
      <c r="CCA240" s="1"/>
      <c r="CCB240" s="1"/>
      <c r="CCC240" s="1"/>
      <c r="CCD240" s="1"/>
      <c r="CCE240" s="1"/>
      <c r="CCF240" s="1"/>
      <c r="CCG240" s="1"/>
      <c r="CCH240" s="1"/>
      <c r="CCI240" s="1"/>
      <c r="CCJ240" s="1"/>
      <c r="CCK240" s="1"/>
      <c r="CCL240" s="1"/>
      <c r="CCM240" s="1"/>
      <c r="CCN240" s="1"/>
      <c r="CCO240" s="1"/>
      <c r="CCP240" s="1"/>
      <c r="CCQ240" s="1"/>
      <c r="CCR240" s="1"/>
      <c r="CCS240" s="1"/>
      <c r="CCT240" s="1"/>
      <c r="CCU240" s="1"/>
      <c r="CCV240" s="1"/>
      <c r="CCW240" s="1"/>
      <c r="CCX240" s="1"/>
      <c r="CCY240" s="1"/>
      <c r="CCZ240" s="1"/>
      <c r="CDA240" s="1"/>
      <c r="CDB240" s="1"/>
      <c r="CDC240" s="1"/>
      <c r="CDD240" s="1"/>
      <c r="CDE240" s="1"/>
      <c r="CDF240" s="1"/>
      <c r="CDG240" s="1"/>
      <c r="CDH240" s="1"/>
      <c r="CDI240" s="1"/>
      <c r="CDJ240" s="1"/>
      <c r="CDK240" s="1"/>
      <c r="CDL240" s="1"/>
      <c r="CDM240" s="1"/>
      <c r="CDN240" s="1"/>
      <c r="CDO240" s="1"/>
      <c r="CDP240" s="1"/>
      <c r="CDQ240" s="1"/>
      <c r="CDR240" s="1"/>
      <c r="CDS240" s="1"/>
      <c r="CDT240" s="1"/>
      <c r="CDU240" s="1"/>
      <c r="CDV240" s="1"/>
      <c r="CDW240" s="1"/>
      <c r="CDX240" s="1"/>
      <c r="CDY240" s="1"/>
      <c r="CDZ240" s="1"/>
      <c r="CEA240" s="1"/>
      <c r="CEB240" s="1"/>
      <c r="CEC240" s="1"/>
      <c r="CED240" s="1"/>
      <c r="CEE240" s="1"/>
      <c r="CEF240" s="1"/>
      <c r="CEG240" s="1"/>
      <c r="CEH240" s="1"/>
      <c r="CEI240" s="1"/>
      <c r="CEJ240" s="1"/>
      <c r="CEK240" s="1"/>
      <c r="CEL240" s="1"/>
      <c r="CEM240" s="1"/>
      <c r="CEN240" s="1"/>
      <c r="CEO240" s="1"/>
      <c r="CEP240" s="1"/>
      <c r="CEQ240" s="1"/>
      <c r="CER240" s="1"/>
      <c r="CES240" s="1"/>
      <c r="CET240" s="1"/>
      <c r="CEU240" s="1"/>
      <c r="CEV240" s="1"/>
      <c r="CEW240" s="1"/>
      <c r="CEX240" s="1"/>
      <c r="CEY240" s="1"/>
      <c r="CEZ240" s="1"/>
      <c r="CFA240" s="1"/>
      <c r="CFB240" s="1"/>
      <c r="CFC240" s="1"/>
      <c r="CFD240" s="1"/>
      <c r="CFE240" s="1"/>
      <c r="CFF240" s="1"/>
      <c r="CFG240" s="1"/>
      <c r="CFH240" s="1"/>
      <c r="CFI240" s="1"/>
      <c r="CFJ240" s="1"/>
      <c r="CFK240" s="1"/>
      <c r="CFL240" s="1"/>
      <c r="CFM240" s="1"/>
      <c r="CFN240" s="1"/>
      <c r="CFO240" s="1"/>
      <c r="CFP240" s="1"/>
      <c r="CFQ240" s="1"/>
      <c r="CFR240" s="1"/>
      <c r="CFS240" s="1"/>
      <c r="CFT240" s="1"/>
      <c r="CFU240" s="1"/>
      <c r="CFV240" s="1"/>
      <c r="CFW240" s="1"/>
      <c r="CFX240" s="1"/>
      <c r="CFY240" s="1"/>
      <c r="CFZ240" s="1"/>
      <c r="CGA240" s="1"/>
      <c r="CGB240" s="1"/>
      <c r="CGC240" s="1"/>
      <c r="CGD240" s="1"/>
      <c r="CGE240" s="1"/>
      <c r="CGF240" s="1"/>
      <c r="CGG240" s="1"/>
      <c r="CGH240" s="1"/>
      <c r="CGI240" s="1"/>
      <c r="CGJ240" s="1"/>
      <c r="CGK240" s="1"/>
      <c r="CGL240" s="1"/>
      <c r="CGM240" s="1"/>
      <c r="CGN240" s="1"/>
      <c r="CGO240" s="1"/>
      <c r="CGP240" s="1"/>
      <c r="CGQ240" s="1"/>
      <c r="CGR240" s="1"/>
      <c r="CGS240" s="1"/>
      <c r="CGT240" s="1"/>
      <c r="CGU240" s="1"/>
      <c r="CGV240" s="1"/>
      <c r="CGW240" s="1"/>
      <c r="CGX240" s="1"/>
      <c r="CGY240" s="1"/>
      <c r="CGZ240" s="1"/>
      <c r="CHA240" s="1"/>
      <c r="CHB240" s="1"/>
      <c r="CHC240" s="1"/>
      <c r="CHD240" s="1"/>
      <c r="CHE240" s="1"/>
      <c r="CHF240" s="1"/>
      <c r="CHG240" s="1"/>
      <c r="CHH240" s="1"/>
      <c r="CHI240" s="1"/>
      <c r="CHJ240" s="1"/>
      <c r="CHK240" s="1"/>
      <c r="CHL240" s="1"/>
      <c r="CHM240" s="1"/>
      <c r="CHN240" s="1"/>
      <c r="CHO240" s="1"/>
      <c r="CHP240" s="1"/>
      <c r="CHQ240" s="1"/>
      <c r="CHR240" s="1"/>
      <c r="CHS240" s="1"/>
      <c r="CHT240" s="1"/>
      <c r="CHU240" s="1"/>
      <c r="CHV240" s="1"/>
      <c r="CHW240" s="1"/>
      <c r="CHX240" s="1"/>
      <c r="CHY240" s="1"/>
      <c r="CHZ240" s="1"/>
      <c r="CIA240" s="1"/>
      <c r="CIB240" s="1"/>
      <c r="CIC240" s="1"/>
      <c r="CID240" s="1"/>
      <c r="CIE240" s="1"/>
      <c r="CIF240" s="1"/>
      <c r="CIG240" s="1"/>
      <c r="CIH240" s="1"/>
      <c r="CII240" s="1"/>
      <c r="CIJ240" s="1"/>
      <c r="CIK240" s="1"/>
      <c r="CIL240" s="1"/>
      <c r="CIM240" s="1"/>
      <c r="CIN240" s="1"/>
      <c r="CIO240" s="1"/>
      <c r="CIP240" s="1"/>
      <c r="CIQ240" s="1"/>
      <c r="CIR240" s="1"/>
      <c r="CIS240" s="1"/>
      <c r="CIT240" s="1"/>
      <c r="CIU240" s="1"/>
      <c r="CIV240" s="1"/>
      <c r="CIW240" s="1"/>
      <c r="CIX240" s="1"/>
      <c r="CIY240" s="1"/>
      <c r="CIZ240" s="1"/>
      <c r="CJA240" s="1"/>
      <c r="CJB240" s="1"/>
      <c r="CJC240" s="1"/>
      <c r="CJD240" s="1"/>
      <c r="CJE240" s="1"/>
      <c r="CJF240" s="1"/>
      <c r="CJG240" s="1"/>
      <c r="CJH240" s="1"/>
      <c r="CJI240" s="1"/>
      <c r="CJJ240" s="1"/>
      <c r="CJK240" s="1"/>
      <c r="CJL240" s="1"/>
      <c r="CJM240" s="1"/>
      <c r="CJN240" s="1"/>
      <c r="CJO240" s="1"/>
      <c r="CJP240" s="1"/>
      <c r="CJQ240" s="1"/>
      <c r="CJR240" s="1"/>
      <c r="CJS240" s="1"/>
      <c r="CJT240" s="1"/>
      <c r="CJU240" s="1"/>
      <c r="CJV240" s="1"/>
      <c r="CJW240" s="1"/>
      <c r="CJX240" s="1"/>
      <c r="CJY240" s="1"/>
      <c r="CJZ240" s="1"/>
      <c r="CKA240" s="1"/>
      <c r="CKB240" s="1"/>
      <c r="CKC240" s="1"/>
      <c r="CKD240" s="1"/>
      <c r="CKE240" s="1"/>
      <c r="CKF240" s="1"/>
      <c r="CKG240" s="1"/>
      <c r="CKH240" s="1"/>
      <c r="CKI240" s="1"/>
      <c r="CKJ240" s="1"/>
      <c r="CKK240" s="1"/>
      <c r="CKL240" s="1"/>
      <c r="CKM240" s="1"/>
      <c r="CKN240" s="1"/>
      <c r="CKO240" s="1"/>
      <c r="CKP240" s="1"/>
      <c r="CKQ240" s="1"/>
      <c r="CKR240" s="1"/>
      <c r="CKS240" s="1"/>
      <c r="CKT240" s="1"/>
      <c r="CKU240" s="1"/>
      <c r="CKV240" s="1"/>
      <c r="CKW240" s="1"/>
      <c r="CKX240" s="1"/>
      <c r="CKY240" s="1"/>
      <c r="CKZ240" s="1"/>
      <c r="CLA240" s="1"/>
      <c r="CLB240" s="1"/>
      <c r="CLC240" s="1"/>
      <c r="CLD240" s="1"/>
      <c r="CLE240" s="1"/>
      <c r="CLF240" s="1"/>
      <c r="CLG240" s="1"/>
      <c r="CLH240" s="1"/>
      <c r="CLI240" s="1"/>
      <c r="CLJ240" s="1"/>
      <c r="CLK240" s="1"/>
      <c r="CLL240" s="1"/>
      <c r="CLM240" s="1"/>
      <c r="CLN240" s="1"/>
      <c r="CLO240" s="1"/>
      <c r="CLP240" s="1"/>
      <c r="CLQ240" s="1"/>
      <c r="CLR240" s="1"/>
      <c r="CLS240" s="1"/>
      <c r="CLT240" s="1"/>
      <c r="CLU240" s="1"/>
      <c r="CLV240" s="1"/>
      <c r="CLW240" s="1"/>
      <c r="CLX240" s="1"/>
      <c r="CLY240" s="1"/>
      <c r="CLZ240" s="1"/>
      <c r="CMA240" s="1"/>
      <c r="CMB240" s="1"/>
      <c r="CMC240" s="1"/>
      <c r="CMD240" s="1"/>
      <c r="CME240" s="1"/>
      <c r="CMF240" s="1"/>
      <c r="CMG240" s="1"/>
      <c r="CMH240" s="1"/>
      <c r="CMI240" s="1"/>
      <c r="CMJ240" s="1"/>
      <c r="CMK240" s="1"/>
      <c r="CML240" s="1"/>
      <c r="CMM240" s="1"/>
      <c r="CMN240" s="1"/>
      <c r="CMO240" s="1"/>
      <c r="CMP240" s="1"/>
      <c r="CMQ240" s="1"/>
      <c r="CMR240" s="1"/>
      <c r="CMS240" s="1"/>
      <c r="CMT240" s="1"/>
      <c r="CMU240" s="1"/>
      <c r="CMV240" s="1"/>
      <c r="CMW240" s="1"/>
      <c r="CMX240" s="1"/>
      <c r="CMY240" s="1"/>
      <c r="CMZ240" s="1"/>
      <c r="CNA240" s="1"/>
      <c r="CNB240" s="1"/>
      <c r="CNC240" s="1"/>
      <c r="CND240" s="1"/>
      <c r="CNE240" s="1"/>
      <c r="CNF240" s="1"/>
      <c r="CNG240" s="1"/>
      <c r="CNH240" s="1"/>
      <c r="CNI240" s="1"/>
      <c r="CNJ240" s="1"/>
      <c r="CNK240" s="1"/>
      <c r="CNL240" s="1"/>
      <c r="CNM240" s="1"/>
      <c r="CNN240" s="1"/>
      <c r="CNO240" s="1"/>
      <c r="CNP240" s="1"/>
      <c r="CNQ240" s="1"/>
      <c r="CNR240" s="1"/>
      <c r="CNS240" s="1"/>
      <c r="CNT240" s="1"/>
      <c r="CNU240" s="1"/>
      <c r="CNV240" s="1"/>
      <c r="CNW240" s="1"/>
      <c r="CNX240" s="1"/>
      <c r="CNY240" s="1"/>
      <c r="CNZ240" s="1"/>
      <c r="COA240" s="1"/>
      <c r="COB240" s="1"/>
      <c r="COC240" s="1"/>
      <c r="COD240" s="1"/>
      <c r="COE240" s="1"/>
      <c r="COF240" s="1"/>
      <c r="COG240" s="1"/>
      <c r="COH240" s="1"/>
      <c r="COI240" s="1"/>
      <c r="COJ240" s="1"/>
      <c r="COK240" s="1"/>
      <c r="COL240" s="1"/>
      <c r="COM240" s="1"/>
      <c r="CON240" s="1"/>
      <c r="COO240" s="1"/>
      <c r="COP240" s="1"/>
      <c r="COQ240" s="1"/>
      <c r="COR240" s="1"/>
      <c r="COS240" s="1"/>
      <c r="COT240" s="1"/>
      <c r="COU240" s="1"/>
      <c r="COV240" s="1"/>
      <c r="COW240" s="1"/>
      <c r="COX240" s="1"/>
      <c r="COY240" s="1"/>
      <c r="COZ240" s="1"/>
      <c r="CPA240" s="1"/>
      <c r="CPB240" s="1"/>
      <c r="CPC240" s="1"/>
      <c r="CPD240" s="1"/>
      <c r="CPE240" s="1"/>
      <c r="CPF240" s="1"/>
      <c r="CPG240" s="1"/>
      <c r="CPH240" s="1"/>
      <c r="CPI240" s="1"/>
      <c r="CPJ240" s="1"/>
      <c r="CPK240" s="1"/>
      <c r="CPL240" s="1"/>
      <c r="CPM240" s="1"/>
      <c r="CPN240" s="1"/>
      <c r="CPO240" s="1"/>
      <c r="CPP240" s="1"/>
      <c r="CPQ240" s="1"/>
      <c r="CPR240" s="1"/>
      <c r="CPS240" s="1"/>
      <c r="CPT240" s="1"/>
      <c r="CPU240" s="1"/>
      <c r="CPV240" s="1"/>
      <c r="CPW240" s="1"/>
      <c r="CPX240" s="1"/>
      <c r="CPY240" s="1"/>
      <c r="CPZ240" s="1"/>
      <c r="CQA240" s="1"/>
      <c r="CQB240" s="1"/>
      <c r="CQC240" s="1"/>
      <c r="CQD240" s="1"/>
      <c r="CQE240" s="1"/>
      <c r="CQF240" s="1"/>
      <c r="CQG240" s="1"/>
      <c r="CQH240" s="1"/>
      <c r="CQI240" s="1"/>
      <c r="CQJ240" s="1"/>
      <c r="CQK240" s="1"/>
      <c r="CQL240" s="1"/>
      <c r="CQM240" s="1"/>
      <c r="CQN240" s="1"/>
      <c r="CQO240" s="1"/>
      <c r="CQP240" s="1"/>
      <c r="CQQ240" s="1"/>
      <c r="CQR240" s="1"/>
      <c r="CQS240" s="1"/>
      <c r="CQT240" s="1"/>
      <c r="CQU240" s="1"/>
      <c r="CQV240" s="1"/>
      <c r="CQW240" s="1"/>
      <c r="CQX240" s="1"/>
      <c r="CQY240" s="1"/>
      <c r="CQZ240" s="1"/>
      <c r="CRA240" s="1"/>
      <c r="CRB240" s="1"/>
      <c r="CRC240" s="1"/>
      <c r="CRD240" s="1"/>
      <c r="CRE240" s="1"/>
      <c r="CRF240" s="1"/>
      <c r="CRG240" s="1"/>
      <c r="CRH240" s="1"/>
      <c r="CRI240" s="1"/>
      <c r="CRJ240" s="1"/>
      <c r="CRK240" s="1"/>
      <c r="CRL240" s="1"/>
      <c r="CRM240" s="1"/>
      <c r="CRN240" s="1"/>
      <c r="CRO240" s="1"/>
      <c r="CRP240" s="1"/>
      <c r="CRQ240" s="1"/>
      <c r="CRR240" s="1"/>
      <c r="CRS240" s="1"/>
      <c r="CRT240" s="1"/>
      <c r="CRU240" s="1"/>
      <c r="CRV240" s="1"/>
      <c r="CRW240" s="1"/>
      <c r="CRX240" s="1"/>
      <c r="CRY240" s="1"/>
      <c r="CRZ240" s="1"/>
      <c r="CSA240" s="1"/>
      <c r="CSB240" s="1"/>
      <c r="CSC240" s="1"/>
      <c r="CSD240" s="1"/>
      <c r="CSE240" s="1"/>
      <c r="CSF240" s="1"/>
      <c r="CSG240" s="1"/>
      <c r="CSH240" s="1"/>
      <c r="CSI240" s="1"/>
      <c r="CSJ240" s="1"/>
      <c r="CSK240" s="1"/>
      <c r="CSL240" s="1"/>
      <c r="CSM240" s="1"/>
      <c r="CSN240" s="1"/>
      <c r="CSO240" s="1"/>
      <c r="CSP240" s="1"/>
      <c r="CSQ240" s="1"/>
      <c r="CSR240" s="1"/>
      <c r="CSS240" s="1"/>
      <c r="CST240" s="1"/>
      <c r="CSU240" s="1"/>
      <c r="CSV240" s="1"/>
      <c r="CSW240" s="1"/>
      <c r="CSX240" s="1"/>
      <c r="CSY240" s="1"/>
      <c r="CSZ240" s="1"/>
      <c r="CTA240" s="1"/>
      <c r="CTB240" s="1"/>
      <c r="CTC240" s="1"/>
      <c r="CTD240" s="1"/>
      <c r="CTE240" s="1"/>
      <c r="CTF240" s="1"/>
      <c r="CTG240" s="1"/>
      <c r="CTH240" s="1"/>
      <c r="CTI240" s="1"/>
      <c r="CTJ240" s="1"/>
      <c r="CTK240" s="1"/>
      <c r="CTL240" s="1"/>
      <c r="CTM240" s="1"/>
      <c r="CTN240" s="1"/>
      <c r="CTO240" s="1"/>
      <c r="CTP240" s="1"/>
      <c r="CTQ240" s="1"/>
      <c r="CTR240" s="1"/>
      <c r="CTS240" s="1"/>
      <c r="CTT240" s="1"/>
      <c r="CTU240" s="1"/>
      <c r="CTV240" s="1"/>
      <c r="CTW240" s="1"/>
      <c r="CTX240" s="1"/>
      <c r="CTY240" s="1"/>
      <c r="CTZ240" s="1"/>
      <c r="CUA240" s="1"/>
      <c r="CUB240" s="1"/>
      <c r="CUC240" s="1"/>
      <c r="CUD240" s="1"/>
      <c r="CUE240" s="1"/>
      <c r="CUF240" s="1"/>
      <c r="CUG240" s="1"/>
      <c r="CUH240" s="1"/>
      <c r="CUI240" s="1"/>
      <c r="CUJ240" s="1"/>
      <c r="CUK240" s="1"/>
      <c r="CUL240" s="1"/>
      <c r="CUM240" s="1"/>
      <c r="CUN240" s="1"/>
      <c r="CUO240" s="1"/>
      <c r="CUP240" s="1"/>
      <c r="CUQ240" s="1"/>
      <c r="CUR240" s="1"/>
      <c r="CUS240" s="1"/>
      <c r="CUT240" s="1"/>
      <c r="CUU240" s="1"/>
      <c r="CUV240" s="1"/>
      <c r="CUW240" s="1"/>
      <c r="CUX240" s="1"/>
      <c r="CUY240" s="1"/>
      <c r="CUZ240" s="1"/>
      <c r="CVA240" s="1"/>
      <c r="CVB240" s="1"/>
      <c r="CVC240" s="1"/>
      <c r="CVD240" s="1"/>
      <c r="CVE240" s="1"/>
      <c r="CVF240" s="1"/>
      <c r="CVG240" s="1"/>
      <c r="CVH240" s="1"/>
      <c r="CVI240" s="1"/>
      <c r="CVJ240" s="1"/>
      <c r="CVK240" s="1"/>
      <c r="CVL240" s="1"/>
      <c r="CVM240" s="1"/>
      <c r="CVN240" s="1"/>
      <c r="CVO240" s="1"/>
      <c r="CVP240" s="1"/>
      <c r="CVQ240" s="1"/>
      <c r="CVR240" s="1"/>
      <c r="CVS240" s="1"/>
      <c r="CVT240" s="1"/>
      <c r="CVU240" s="1"/>
      <c r="CVV240" s="1"/>
      <c r="CVW240" s="1"/>
      <c r="CVX240" s="1"/>
      <c r="CVY240" s="1"/>
      <c r="CVZ240" s="1"/>
      <c r="CWA240" s="1"/>
      <c r="CWB240" s="1"/>
      <c r="CWC240" s="1"/>
      <c r="CWD240" s="1"/>
      <c r="CWE240" s="1"/>
      <c r="CWF240" s="1"/>
      <c r="CWG240" s="1"/>
      <c r="CWH240" s="1"/>
      <c r="CWI240" s="1"/>
      <c r="CWJ240" s="1"/>
      <c r="CWK240" s="1"/>
      <c r="CWL240" s="1"/>
      <c r="CWM240" s="1"/>
      <c r="CWN240" s="1"/>
      <c r="CWO240" s="1"/>
      <c r="CWP240" s="1"/>
      <c r="CWQ240" s="1"/>
      <c r="CWR240" s="1"/>
      <c r="CWS240" s="1"/>
      <c r="CWT240" s="1"/>
      <c r="CWU240" s="1"/>
      <c r="CWV240" s="1"/>
      <c r="CWW240" s="1"/>
      <c r="CWX240" s="1"/>
      <c r="CWY240" s="1"/>
      <c r="CWZ240" s="1"/>
      <c r="CXA240" s="1"/>
      <c r="CXB240" s="1"/>
      <c r="CXC240" s="1"/>
      <c r="CXD240" s="1"/>
      <c r="CXE240" s="1"/>
      <c r="CXF240" s="1"/>
      <c r="CXG240" s="1"/>
      <c r="CXH240" s="1"/>
      <c r="CXI240" s="1"/>
      <c r="CXJ240" s="1"/>
      <c r="CXK240" s="1"/>
      <c r="CXL240" s="1"/>
      <c r="CXM240" s="1"/>
      <c r="CXN240" s="1"/>
      <c r="CXO240" s="1"/>
      <c r="CXP240" s="1"/>
      <c r="CXQ240" s="1"/>
      <c r="CXR240" s="1"/>
      <c r="CXS240" s="1"/>
      <c r="CXT240" s="1"/>
      <c r="CXU240" s="1"/>
      <c r="CXV240" s="1"/>
      <c r="CXW240" s="1"/>
      <c r="CXX240" s="1"/>
      <c r="CXY240" s="1"/>
      <c r="CXZ240" s="1"/>
      <c r="CYA240" s="1"/>
      <c r="CYB240" s="1"/>
      <c r="CYC240" s="1"/>
      <c r="CYD240" s="1"/>
      <c r="CYE240" s="1"/>
      <c r="CYF240" s="1"/>
      <c r="CYG240" s="1"/>
      <c r="CYH240" s="1"/>
      <c r="CYI240" s="1"/>
      <c r="CYJ240" s="1"/>
      <c r="CYK240" s="1"/>
      <c r="CYL240" s="1"/>
      <c r="CYM240" s="1"/>
      <c r="CYN240" s="1"/>
      <c r="CYO240" s="1"/>
      <c r="CYP240" s="1"/>
      <c r="CYQ240" s="1"/>
      <c r="CYR240" s="1"/>
      <c r="CYS240" s="1"/>
      <c r="CYT240" s="1"/>
      <c r="CYU240" s="1"/>
      <c r="CYV240" s="1"/>
      <c r="CYW240" s="1"/>
      <c r="CYX240" s="1"/>
      <c r="CYY240" s="1"/>
      <c r="CYZ240" s="1"/>
      <c r="CZA240" s="1"/>
      <c r="CZB240" s="1"/>
      <c r="CZC240" s="1"/>
      <c r="CZD240" s="1"/>
      <c r="CZE240" s="1"/>
      <c r="CZF240" s="1"/>
      <c r="CZG240" s="1"/>
      <c r="CZH240" s="1"/>
      <c r="CZI240" s="1"/>
      <c r="CZJ240" s="1"/>
      <c r="CZK240" s="1"/>
      <c r="CZL240" s="1"/>
      <c r="CZM240" s="1"/>
      <c r="CZN240" s="1"/>
      <c r="CZO240" s="1"/>
      <c r="CZP240" s="1"/>
      <c r="CZQ240" s="1"/>
      <c r="CZR240" s="1"/>
      <c r="CZS240" s="1"/>
      <c r="CZT240" s="1"/>
      <c r="CZU240" s="1"/>
      <c r="CZV240" s="1"/>
      <c r="CZW240" s="1"/>
      <c r="CZX240" s="1"/>
      <c r="CZY240" s="1"/>
      <c r="CZZ240" s="1"/>
      <c r="DAA240" s="1"/>
      <c r="DAB240" s="1"/>
      <c r="DAC240" s="1"/>
      <c r="DAD240" s="1"/>
      <c r="DAE240" s="1"/>
      <c r="DAF240" s="1"/>
      <c r="DAG240" s="1"/>
      <c r="DAH240" s="1"/>
      <c r="DAI240" s="1"/>
      <c r="DAJ240" s="1"/>
      <c r="DAK240" s="1"/>
      <c r="DAL240" s="1"/>
      <c r="DAM240" s="1"/>
      <c r="DAN240" s="1"/>
      <c r="DAO240" s="1"/>
      <c r="DAP240" s="1"/>
      <c r="DAQ240" s="1"/>
      <c r="DAR240" s="1"/>
      <c r="DAS240" s="1"/>
      <c r="DAT240" s="1"/>
      <c r="DAU240" s="1"/>
      <c r="DAV240" s="1"/>
      <c r="DAW240" s="1"/>
      <c r="DAX240" s="1"/>
      <c r="DAY240" s="1"/>
      <c r="DAZ240" s="1"/>
      <c r="DBA240" s="1"/>
      <c r="DBB240" s="1"/>
      <c r="DBC240" s="1"/>
      <c r="DBD240" s="1"/>
      <c r="DBE240" s="1"/>
      <c r="DBF240" s="1"/>
      <c r="DBG240" s="1"/>
      <c r="DBH240" s="1"/>
      <c r="DBI240" s="1"/>
      <c r="DBJ240" s="1"/>
      <c r="DBK240" s="1"/>
      <c r="DBL240" s="1"/>
      <c r="DBM240" s="1"/>
      <c r="DBN240" s="1"/>
      <c r="DBO240" s="1"/>
      <c r="DBP240" s="1"/>
      <c r="DBQ240" s="1"/>
      <c r="DBR240" s="1"/>
      <c r="DBS240" s="1"/>
      <c r="DBT240" s="1"/>
      <c r="DBU240" s="1"/>
      <c r="DBV240" s="1"/>
      <c r="DBW240" s="1"/>
      <c r="DBX240" s="1"/>
      <c r="DBY240" s="1"/>
      <c r="DBZ240" s="1"/>
      <c r="DCA240" s="1"/>
      <c r="DCB240" s="1"/>
      <c r="DCC240" s="1"/>
      <c r="DCD240" s="1"/>
      <c r="DCE240" s="1"/>
      <c r="DCF240" s="1"/>
      <c r="DCG240" s="1"/>
      <c r="DCH240" s="1"/>
      <c r="DCI240" s="1"/>
      <c r="DCJ240" s="1"/>
      <c r="DCK240" s="1"/>
      <c r="DCL240" s="1"/>
      <c r="DCM240" s="1"/>
      <c r="DCN240" s="1"/>
      <c r="DCO240" s="1"/>
      <c r="DCP240" s="1"/>
      <c r="DCQ240" s="1"/>
      <c r="DCR240" s="1"/>
      <c r="DCS240" s="1"/>
      <c r="DCT240" s="1"/>
      <c r="DCU240" s="1"/>
      <c r="DCV240" s="1"/>
      <c r="DCW240" s="1"/>
      <c r="DCX240" s="1"/>
      <c r="DCY240" s="1"/>
      <c r="DCZ240" s="1"/>
      <c r="DDA240" s="1"/>
      <c r="DDB240" s="1"/>
      <c r="DDC240" s="1"/>
      <c r="DDD240" s="1"/>
      <c r="DDE240" s="1"/>
      <c r="DDF240" s="1"/>
      <c r="DDG240" s="1"/>
      <c r="DDH240" s="1"/>
      <c r="DDI240" s="1"/>
      <c r="DDJ240" s="1"/>
      <c r="DDK240" s="1"/>
      <c r="DDL240" s="1"/>
      <c r="DDM240" s="1"/>
      <c r="DDN240" s="1"/>
      <c r="DDO240" s="1"/>
      <c r="DDP240" s="1"/>
      <c r="DDQ240" s="1"/>
      <c r="DDR240" s="1"/>
      <c r="DDS240" s="1"/>
      <c r="DDT240" s="1"/>
      <c r="DDU240" s="1"/>
      <c r="DDV240" s="1"/>
      <c r="DDW240" s="1"/>
      <c r="DDX240" s="1"/>
      <c r="DDY240" s="1"/>
      <c r="DDZ240" s="1"/>
      <c r="DEA240" s="1"/>
      <c r="DEB240" s="1"/>
      <c r="DEC240" s="1"/>
      <c r="DED240" s="1"/>
      <c r="DEE240" s="1"/>
      <c r="DEF240" s="1"/>
      <c r="DEG240" s="1"/>
      <c r="DEH240" s="1"/>
      <c r="DEI240" s="1"/>
      <c r="DEJ240" s="1"/>
      <c r="DEK240" s="1"/>
      <c r="DEL240" s="1"/>
      <c r="DEM240" s="1"/>
      <c r="DEN240" s="1"/>
      <c r="DEO240" s="1"/>
      <c r="DEP240" s="1"/>
      <c r="DEQ240" s="1"/>
      <c r="DER240" s="1"/>
      <c r="DES240" s="1"/>
      <c r="DET240" s="1"/>
      <c r="DEU240" s="1"/>
      <c r="DEV240" s="1"/>
      <c r="DEW240" s="1"/>
      <c r="DEX240" s="1"/>
      <c r="DEY240" s="1"/>
      <c r="DEZ240" s="1"/>
      <c r="DFA240" s="1"/>
      <c r="DFB240" s="1"/>
      <c r="DFC240" s="1"/>
      <c r="DFD240" s="1"/>
      <c r="DFE240" s="1"/>
      <c r="DFF240" s="1"/>
      <c r="DFG240" s="1"/>
      <c r="DFH240" s="1"/>
      <c r="DFI240" s="1"/>
      <c r="DFJ240" s="1"/>
      <c r="DFK240" s="1"/>
      <c r="DFL240" s="1"/>
      <c r="DFM240" s="1"/>
      <c r="DFN240" s="1"/>
      <c r="DFO240" s="1"/>
      <c r="DFP240" s="1"/>
      <c r="DFQ240" s="1"/>
      <c r="DFR240" s="1"/>
      <c r="DFS240" s="1"/>
      <c r="DFT240" s="1"/>
      <c r="DFU240" s="1"/>
      <c r="DFV240" s="1"/>
      <c r="DFW240" s="1"/>
      <c r="DFX240" s="1"/>
      <c r="DFY240" s="1"/>
      <c r="DFZ240" s="1"/>
      <c r="DGA240" s="1"/>
      <c r="DGB240" s="1"/>
      <c r="DGC240" s="1"/>
      <c r="DGD240" s="1"/>
      <c r="DGE240" s="1"/>
      <c r="DGF240" s="1"/>
      <c r="DGG240" s="1"/>
      <c r="DGH240" s="1"/>
      <c r="DGI240" s="1"/>
      <c r="DGJ240" s="1"/>
      <c r="DGK240" s="1"/>
      <c r="DGL240" s="1"/>
      <c r="DGM240" s="1"/>
      <c r="DGN240" s="1"/>
      <c r="DGO240" s="1"/>
      <c r="DGP240" s="1"/>
      <c r="DGQ240" s="1"/>
      <c r="DGR240" s="1"/>
      <c r="DGS240" s="1"/>
      <c r="DGT240" s="1"/>
      <c r="DGU240" s="1"/>
      <c r="DGV240" s="1"/>
      <c r="DGW240" s="1"/>
      <c r="DGX240" s="1"/>
      <c r="DGY240" s="1"/>
      <c r="DGZ240" s="1"/>
      <c r="DHA240" s="1"/>
      <c r="DHB240" s="1"/>
      <c r="DHC240" s="1"/>
      <c r="DHD240" s="1"/>
      <c r="DHE240" s="1"/>
      <c r="DHF240" s="1"/>
      <c r="DHG240" s="1"/>
      <c r="DHH240" s="1"/>
      <c r="DHI240" s="1"/>
      <c r="DHJ240" s="1"/>
      <c r="DHK240" s="1"/>
      <c r="DHL240" s="1"/>
      <c r="DHM240" s="1"/>
      <c r="DHN240" s="1"/>
      <c r="DHO240" s="1"/>
      <c r="DHP240" s="1"/>
      <c r="DHQ240" s="1"/>
      <c r="DHR240" s="1"/>
      <c r="DHS240" s="1"/>
      <c r="DHT240" s="1"/>
      <c r="DHU240" s="1"/>
      <c r="DHV240" s="1"/>
      <c r="DHW240" s="1"/>
      <c r="DHX240" s="1"/>
      <c r="DHY240" s="1"/>
      <c r="DHZ240" s="1"/>
      <c r="DIA240" s="1"/>
      <c r="DIB240" s="1"/>
      <c r="DIC240" s="1"/>
      <c r="DID240" s="1"/>
      <c r="DIE240" s="1"/>
      <c r="DIF240" s="1"/>
      <c r="DIG240" s="1"/>
      <c r="DIH240" s="1"/>
      <c r="DII240" s="1"/>
      <c r="DIJ240" s="1"/>
      <c r="DIK240" s="1"/>
      <c r="DIL240" s="1"/>
      <c r="DIM240" s="1"/>
      <c r="DIN240" s="1"/>
      <c r="DIO240" s="1"/>
      <c r="DIP240" s="1"/>
      <c r="DIQ240" s="1"/>
      <c r="DIR240" s="1"/>
      <c r="DIS240" s="1"/>
      <c r="DIT240" s="1"/>
      <c r="DIU240" s="1"/>
      <c r="DIV240" s="1"/>
      <c r="DIW240" s="1"/>
      <c r="DIX240" s="1"/>
      <c r="DIY240" s="1"/>
      <c r="DIZ240" s="1"/>
      <c r="DJA240" s="1"/>
      <c r="DJB240" s="1"/>
      <c r="DJC240" s="1"/>
      <c r="DJD240" s="1"/>
      <c r="DJE240" s="1"/>
      <c r="DJF240" s="1"/>
      <c r="DJG240" s="1"/>
      <c r="DJH240" s="1"/>
      <c r="DJI240" s="1"/>
      <c r="DJJ240" s="1"/>
      <c r="DJK240" s="1"/>
      <c r="DJL240" s="1"/>
      <c r="DJM240" s="1"/>
      <c r="DJN240" s="1"/>
      <c r="DJO240" s="1"/>
      <c r="DJP240" s="1"/>
      <c r="DJQ240" s="1"/>
      <c r="DJR240" s="1"/>
      <c r="DJS240" s="1"/>
      <c r="DJT240" s="1"/>
      <c r="DJU240" s="1"/>
      <c r="DJV240" s="1"/>
      <c r="DJW240" s="1"/>
      <c r="DJX240" s="1"/>
      <c r="DJY240" s="1"/>
      <c r="DJZ240" s="1"/>
      <c r="DKA240" s="1"/>
      <c r="DKB240" s="1"/>
      <c r="DKC240" s="1"/>
      <c r="DKD240" s="1"/>
      <c r="DKE240" s="1"/>
      <c r="DKF240" s="1"/>
      <c r="DKG240" s="1"/>
      <c r="DKH240" s="1"/>
      <c r="DKI240" s="1"/>
      <c r="DKJ240" s="1"/>
      <c r="DKK240" s="1"/>
      <c r="DKL240" s="1"/>
      <c r="DKM240" s="1"/>
      <c r="DKN240" s="1"/>
      <c r="DKO240" s="1"/>
      <c r="DKP240" s="1"/>
      <c r="DKQ240" s="1"/>
      <c r="DKR240" s="1"/>
      <c r="DKS240" s="1"/>
      <c r="DKT240" s="1"/>
      <c r="DKU240" s="1"/>
      <c r="DKV240" s="1"/>
      <c r="DKW240" s="1"/>
      <c r="DKX240" s="1"/>
      <c r="DKY240" s="1"/>
      <c r="DKZ240" s="1"/>
      <c r="DLA240" s="1"/>
      <c r="DLB240" s="1"/>
      <c r="DLC240" s="1"/>
      <c r="DLD240" s="1"/>
      <c r="DLE240" s="1"/>
      <c r="DLF240" s="1"/>
      <c r="DLG240" s="1"/>
      <c r="DLH240" s="1"/>
      <c r="DLI240" s="1"/>
      <c r="DLJ240" s="1"/>
      <c r="DLK240" s="1"/>
      <c r="DLL240" s="1"/>
      <c r="DLM240" s="1"/>
      <c r="DLN240" s="1"/>
      <c r="DLO240" s="1"/>
      <c r="DLP240" s="1"/>
      <c r="DLQ240" s="1"/>
      <c r="DLR240" s="1"/>
      <c r="DLS240" s="1"/>
      <c r="DLT240" s="1"/>
      <c r="DLU240" s="1"/>
      <c r="DLV240" s="1"/>
      <c r="DLW240" s="1"/>
      <c r="DLX240" s="1"/>
      <c r="DLY240" s="1"/>
      <c r="DLZ240" s="1"/>
      <c r="DMA240" s="1"/>
      <c r="DMB240" s="1"/>
      <c r="DMC240" s="1"/>
      <c r="DMD240" s="1"/>
      <c r="DME240" s="1"/>
      <c r="DMF240" s="1"/>
      <c r="DMG240" s="1"/>
      <c r="DMH240" s="1"/>
      <c r="DMI240" s="1"/>
      <c r="DMJ240" s="1"/>
      <c r="DMK240" s="1"/>
      <c r="DML240" s="1"/>
      <c r="DMM240" s="1"/>
      <c r="DMN240" s="1"/>
      <c r="DMO240" s="1"/>
      <c r="DMP240" s="1"/>
      <c r="DMQ240" s="1"/>
      <c r="DMR240" s="1"/>
      <c r="DMS240" s="1"/>
      <c r="DMT240" s="1"/>
      <c r="DMU240" s="1"/>
      <c r="DMV240" s="1"/>
      <c r="DMW240" s="1"/>
      <c r="DMX240" s="1"/>
      <c r="DMY240" s="1"/>
      <c r="DMZ240" s="1"/>
      <c r="DNA240" s="1"/>
      <c r="DNB240" s="1"/>
      <c r="DNC240" s="1"/>
      <c r="DND240" s="1"/>
      <c r="DNE240" s="1"/>
      <c r="DNF240" s="1"/>
      <c r="DNG240" s="1"/>
      <c r="DNH240" s="1"/>
      <c r="DNI240" s="1"/>
      <c r="DNJ240" s="1"/>
      <c r="DNK240" s="1"/>
      <c r="DNL240" s="1"/>
      <c r="DNM240" s="1"/>
      <c r="DNN240" s="1"/>
      <c r="DNO240" s="1"/>
      <c r="DNP240" s="1"/>
      <c r="DNQ240" s="1"/>
      <c r="DNR240" s="1"/>
      <c r="DNS240" s="1"/>
      <c r="DNT240" s="1"/>
      <c r="DNU240" s="1"/>
      <c r="DNV240" s="1"/>
      <c r="DNW240" s="1"/>
      <c r="DNX240" s="1"/>
      <c r="DNY240" s="1"/>
      <c r="DNZ240" s="1"/>
      <c r="DOA240" s="1"/>
      <c r="DOB240" s="1"/>
      <c r="DOC240" s="1"/>
      <c r="DOD240" s="1"/>
      <c r="DOE240" s="1"/>
      <c r="DOF240" s="1"/>
      <c r="DOG240" s="1"/>
      <c r="DOH240" s="1"/>
      <c r="DOI240" s="1"/>
      <c r="DOJ240" s="1"/>
      <c r="DOK240" s="1"/>
      <c r="DOL240" s="1"/>
      <c r="DOM240" s="1"/>
      <c r="DON240" s="1"/>
      <c r="DOO240" s="1"/>
      <c r="DOP240" s="1"/>
      <c r="DOQ240" s="1"/>
      <c r="DOR240" s="1"/>
      <c r="DOS240" s="1"/>
      <c r="DOT240" s="1"/>
      <c r="DOU240" s="1"/>
      <c r="DOV240" s="1"/>
      <c r="DOW240" s="1"/>
      <c r="DOX240" s="1"/>
      <c r="DOY240" s="1"/>
      <c r="DOZ240" s="1"/>
      <c r="DPA240" s="1"/>
      <c r="DPB240" s="1"/>
      <c r="DPC240" s="1"/>
      <c r="DPD240" s="1"/>
      <c r="DPE240" s="1"/>
      <c r="DPF240" s="1"/>
      <c r="DPG240" s="1"/>
      <c r="DPH240" s="1"/>
      <c r="DPI240" s="1"/>
      <c r="DPJ240" s="1"/>
      <c r="DPK240" s="1"/>
      <c r="DPL240" s="1"/>
      <c r="DPM240" s="1"/>
      <c r="DPN240" s="1"/>
      <c r="DPO240" s="1"/>
      <c r="DPP240" s="1"/>
      <c r="DPQ240" s="1"/>
      <c r="DPR240" s="1"/>
      <c r="DPS240" s="1"/>
      <c r="DPT240" s="1"/>
      <c r="DPU240" s="1"/>
      <c r="DPV240" s="1"/>
      <c r="DPW240" s="1"/>
      <c r="DPX240" s="1"/>
      <c r="DPY240" s="1"/>
      <c r="DPZ240" s="1"/>
      <c r="DQA240" s="1"/>
      <c r="DQB240" s="1"/>
      <c r="DQC240" s="1"/>
      <c r="DQD240" s="1"/>
      <c r="DQE240" s="1"/>
      <c r="DQF240" s="1"/>
      <c r="DQG240" s="1"/>
      <c r="DQH240" s="1"/>
      <c r="DQI240" s="1"/>
      <c r="DQJ240" s="1"/>
      <c r="DQK240" s="1"/>
      <c r="DQL240" s="1"/>
      <c r="DQM240" s="1"/>
      <c r="DQN240" s="1"/>
      <c r="DQO240" s="1"/>
      <c r="DQP240" s="1"/>
      <c r="DQQ240" s="1"/>
      <c r="DQR240" s="1"/>
      <c r="DQS240" s="1"/>
      <c r="DQT240" s="1"/>
      <c r="DQU240" s="1"/>
      <c r="DQV240" s="1"/>
      <c r="DQW240" s="1"/>
      <c r="DQX240" s="1"/>
      <c r="DQY240" s="1"/>
      <c r="DQZ240" s="1"/>
      <c r="DRA240" s="1"/>
      <c r="DRB240" s="1"/>
      <c r="DRC240" s="1"/>
      <c r="DRD240" s="1"/>
      <c r="DRE240" s="1"/>
      <c r="DRF240" s="1"/>
      <c r="DRG240" s="1"/>
      <c r="DRH240" s="1"/>
      <c r="DRI240" s="1"/>
      <c r="DRJ240" s="1"/>
      <c r="DRK240" s="1"/>
      <c r="DRL240" s="1"/>
      <c r="DRM240" s="1"/>
      <c r="DRN240" s="1"/>
      <c r="DRO240" s="1"/>
      <c r="DRP240" s="1"/>
      <c r="DRQ240" s="1"/>
      <c r="DRR240" s="1"/>
      <c r="DRS240" s="1"/>
      <c r="DRT240" s="1"/>
      <c r="DRU240" s="1"/>
      <c r="DRV240" s="1"/>
      <c r="DRW240" s="1"/>
      <c r="DRX240" s="1"/>
      <c r="DRY240" s="1"/>
      <c r="DRZ240" s="1"/>
      <c r="DSA240" s="1"/>
      <c r="DSB240" s="1"/>
      <c r="DSC240" s="1"/>
      <c r="DSD240" s="1"/>
      <c r="DSE240" s="1"/>
      <c r="DSF240" s="1"/>
      <c r="DSG240" s="1"/>
      <c r="DSH240" s="1"/>
      <c r="DSI240" s="1"/>
      <c r="DSJ240" s="1"/>
      <c r="DSK240" s="1"/>
      <c r="DSL240" s="1"/>
      <c r="DSM240" s="1"/>
      <c r="DSN240" s="1"/>
      <c r="DSO240" s="1"/>
      <c r="DSP240" s="1"/>
      <c r="DSQ240" s="1"/>
      <c r="DSR240" s="1"/>
      <c r="DSS240" s="1"/>
      <c r="DST240" s="1"/>
      <c r="DSU240" s="1"/>
      <c r="DSV240" s="1"/>
      <c r="DSW240" s="1"/>
      <c r="DSX240" s="1"/>
      <c r="DSY240" s="1"/>
      <c r="DSZ240" s="1"/>
      <c r="DTA240" s="1"/>
      <c r="DTB240" s="1"/>
      <c r="DTC240" s="1"/>
      <c r="DTD240" s="1"/>
      <c r="DTE240" s="1"/>
      <c r="DTF240" s="1"/>
      <c r="DTG240" s="1"/>
      <c r="DTH240" s="1"/>
      <c r="DTI240" s="1"/>
      <c r="DTJ240" s="1"/>
      <c r="DTK240" s="1"/>
      <c r="DTL240" s="1"/>
      <c r="DTM240" s="1"/>
      <c r="DTN240" s="1"/>
      <c r="DTO240" s="1"/>
      <c r="DTP240" s="1"/>
      <c r="DTQ240" s="1"/>
      <c r="DTR240" s="1"/>
      <c r="DTS240" s="1"/>
      <c r="DTT240" s="1"/>
      <c r="DTU240" s="1"/>
      <c r="DTV240" s="1"/>
      <c r="DTW240" s="1"/>
      <c r="DTX240" s="1"/>
      <c r="DTY240" s="1"/>
      <c r="DTZ240" s="1"/>
      <c r="DUA240" s="1"/>
      <c r="DUB240" s="1"/>
      <c r="DUC240" s="1"/>
      <c r="DUD240" s="1"/>
      <c r="DUE240" s="1"/>
      <c r="DUF240" s="1"/>
      <c r="DUG240" s="1"/>
      <c r="DUH240" s="1"/>
      <c r="DUI240" s="1"/>
      <c r="DUJ240" s="1"/>
      <c r="DUK240" s="1"/>
      <c r="DUL240" s="1"/>
      <c r="DUM240" s="1"/>
      <c r="DUN240" s="1"/>
      <c r="DUO240" s="1"/>
      <c r="DUP240" s="1"/>
      <c r="DUQ240" s="1"/>
      <c r="DUR240" s="1"/>
      <c r="DUS240" s="1"/>
      <c r="DUT240" s="1"/>
      <c r="DUU240" s="1"/>
      <c r="DUV240" s="1"/>
      <c r="DUW240" s="1"/>
      <c r="DUX240" s="1"/>
      <c r="DUY240" s="1"/>
      <c r="DUZ240" s="1"/>
      <c r="DVA240" s="1"/>
      <c r="DVB240" s="1"/>
      <c r="DVC240" s="1"/>
      <c r="DVD240" s="1"/>
      <c r="DVE240" s="1"/>
      <c r="DVF240" s="1"/>
      <c r="DVG240" s="1"/>
      <c r="DVH240" s="1"/>
      <c r="DVI240" s="1"/>
      <c r="DVJ240" s="1"/>
      <c r="DVK240" s="1"/>
      <c r="DVL240" s="1"/>
      <c r="DVM240" s="1"/>
      <c r="DVN240" s="1"/>
      <c r="DVO240" s="1"/>
      <c r="DVP240" s="1"/>
      <c r="DVQ240" s="1"/>
      <c r="DVR240" s="1"/>
      <c r="DVS240" s="1"/>
      <c r="DVT240" s="1"/>
      <c r="DVU240" s="1"/>
      <c r="DVV240" s="1"/>
      <c r="DVW240" s="1"/>
      <c r="DVX240" s="1"/>
      <c r="DVY240" s="1"/>
      <c r="DVZ240" s="1"/>
      <c r="DWA240" s="1"/>
      <c r="DWB240" s="1"/>
      <c r="DWC240" s="1"/>
      <c r="DWD240" s="1"/>
      <c r="DWE240" s="1"/>
      <c r="DWF240" s="1"/>
      <c r="DWG240" s="1"/>
      <c r="DWH240" s="1"/>
      <c r="DWI240" s="1"/>
      <c r="DWJ240" s="1"/>
      <c r="DWK240" s="1"/>
      <c r="DWL240" s="1"/>
      <c r="DWM240" s="1"/>
      <c r="DWN240" s="1"/>
      <c r="DWO240" s="1"/>
      <c r="DWP240" s="1"/>
      <c r="DWQ240" s="1"/>
      <c r="DWR240" s="1"/>
      <c r="DWS240" s="1"/>
      <c r="DWT240" s="1"/>
      <c r="DWU240" s="1"/>
      <c r="DWV240" s="1"/>
      <c r="DWW240" s="1"/>
      <c r="DWX240" s="1"/>
      <c r="DWY240" s="1"/>
      <c r="DWZ240" s="1"/>
      <c r="DXA240" s="1"/>
      <c r="DXB240" s="1"/>
      <c r="DXC240" s="1"/>
      <c r="DXD240" s="1"/>
      <c r="DXE240" s="1"/>
      <c r="DXF240" s="1"/>
      <c r="DXG240" s="1"/>
      <c r="DXH240" s="1"/>
      <c r="DXI240" s="1"/>
      <c r="DXJ240" s="1"/>
      <c r="DXK240" s="1"/>
      <c r="DXL240" s="1"/>
      <c r="DXM240" s="1"/>
      <c r="DXN240" s="1"/>
      <c r="DXO240" s="1"/>
      <c r="DXP240" s="1"/>
      <c r="DXQ240" s="1"/>
      <c r="DXR240" s="1"/>
      <c r="DXS240" s="1"/>
      <c r="DXT240" s="1"/>
      <c r="DXU240" s="1"/>
      <c r="DXV240" s="1"/>
      <c r="DXW240" s="1"/>
      <c r="DXX240" s="1"/>
      <c r="DXY240" s="1"/>
      <c r="DXZ240" s="1"/>
      <c r="DYA240" s="1"/>
      <c r="DYB240" s="1"/>
      <c r="DYC240" s="1"/>
      <c r="DYD240" s="1"/>
      <c r="DYE240" s="1"/>
      <c r="DYF240" s="1"/>
      <c r="DYG240" s="1"/>
      <c r="DYH240" s="1"/>
      <c r="DYI240" s="1"/>
      <c r="DYJ240" s="1"/>
      <c r="DYK240" s="1"/>
      <c r="DYL240" s="1"/>
      <c r="DYM240" s="1"/>
      <c r="DYN240" s="1"/>
      <c r="DYO240" s="1"/>
      <c r="DYP240" s="1"/>
      <c r="DYQ240" s="1"/>
      <c r="DYR240" s="1"/>
      <c r="DYS240" s="1"/>
      <c r="DYT240" s="1"/>
      <c r="DYU240" s="1"/>
      <c r="DYV240" s="1"/>
      <c r="DYW240" s="1"/>
      <c r="DYX240" s="1"/>
      <c r="DYY240" s="1"/>
      <c r="DYZ240" s="1"/>
      <c r="DZA240" s="1"/>
      <c r="DZB240" s="1"/>
      <c r="DZC240" s="1"/>
      <c r="DZD240" s="1"/>
      <c r="DZE240" s="1"/>
      <c r="DZF240" s="1"/>
      <c r="DZG240" s="1"/>
      <c r="DZH240" s="1"/>
      <c r="DZI240" s="1"/>
      <c r="DZJ240" s="1"/>
      <c r="DZK240" s="1"/>
      <c r="DZL240" s="1"/>
      <c r="DZM240" s="1"/>
      <c r="DZN240" s="1"/>
      <c r="DZO240" s="1"/>
      <c r="DZP240" s="1"/>
      <c r="DZQ240" s="1"/>
      <c r="DZR240" s="1"/>
      <c r="DZS240" s="1"/>
      <c r="DZT240" s="1"/>
      <c r="DZU240" s="1"/>
      <c r="DZV240" s="1"/>
      <c r="DZW240" s="1"/>
      <c r="DZX240" s="1"/>
      <c r="DZY240" s="1"/>
      <c r="DZZ240" s="1"/>
      <c r="EAA240" s="1"/>
      <c r="EAB240" s="1"/>
      <c r="EAC240" s="1"/>
      <c r="EAD240" s="1"/>
      <c r="EAE240" s="1"/>
      <c r="EAF240" s="1"/>
      <c r="EAG240" s="1"/>
      <c r="EAH240" s="1"/>
      <c r="EAI240" s="1"/>
      <c r="EAJ240" s="1"/>
      <c r="EAK240" s="1"/>
      <c r="EAL240" s="1"/>
      <c r="EAM240" s="1"/>
      <c r="EAN240" s="1"/>
      <c r="EAO240" s="1"/>
      <c r="EAP240" s="1"/>
      <c r="EAQ240" s="1"/>
      <c r="EAR240" s="1"/>
      <c r="EAS240" s="1"/>
      <c r="EAT240" s="1"/>
      <c r="EAU240" s="1"/>
      <c r="EAV240" s="1"/>
      <c r="EAW240" s="1"/>
      <c r="EAX240" s="1"/>
      <c r="EAY240" s="1"/>
      <c r="EAZ240" s="1"/>
      <c r="EBA240" s="1"/>
      <c r="EBB240" s="1"/>
      <c r="EBC240" s="1"/>
      <c r="EBD240" s="1"/>
      <c r="EBE240" s="1"/>
      <c r="EBF240" s="1"/>
      <c r="EBG240" s="1"/>
      <c r="EBH240" s="1"/>
      <c r="EBI240" s="1"/>
      <c r="EBJ240" s="1"/>
      <c r="EBK240" s="1"/>
      <c r="EBL240" s="1"/>
      <c r="EBM240" s="1"/>
      <c r="EBN240" s="1"/>
      <c r="EBO240" s="1"/>
      <c r="EBP240" s="1"/>
      <c r="EBQ240" s="1"/>
      <c r="EBR240" s="1"/>
      <c r="EBS240" s="1"/>
      <c r="EBT240" s="1"/>
      <c r="EBU240" s="1"/>
      <c r="EBV240" s="1"/>
      <c r="EBW240" s="1"/>
      <c r="EBX240" s="1"/>
      <c r="EBY240" s="1"/>
      <c r="EBZ240" s="1"/>
      <c r="ECA240" s="1"/>
      <c r="ECB240" s="1"/>
      <c r="ECC240" s="1"/>
      <c r="ECD240" s="1"/>
      <c r="ECE240" s="1"/>
      <c r="ECF240" s="1"/>
      <c r="ECG240" s="1"/>
      <c r="ECH240" s="1"/>
      <c r="ECI240" s="1"/>
      <c r="ECJ240" s="1"/>
      <c r="ECK240" s="1"/>
      <c r="ECL240" s="1"/>
      <c r="ECM240" s="1"/>
      <c r="ECN240" s="1"/>
      <c r="ECO240" s="1"/>
      <c r="ECP240" s="1"/>
      <c r="ECQ240" s="1"/>
      <c r="ECR240" s="1"/>
      <c r="ECS240" s="1"/>
      <c r="ECT240" s="1"/>
      <c r="ECU240" s="1"/>
      <c r="ECV240" s="1"/>
      <c r="ECW240" s="1"/>
      <c r="ECX240" s="1"/>
      <c r="ECY240" s="1"/>
      <c r="ECZ240" s="1"/>
      <c r="EDA240" s="1"/>
      <c r="EDB240" s="1"/>
      <c r="EDC240" s="1"/>
      <c r="EDD240" s="1"/>
      <c r="EDE240" s="1"/>
      <c r="EDF240" s="1"/>
      <c r="EDG240" s="1"/>
      <c r="EDH240" s="1"/>
      <c r="EDI240" s="1"/>
      <c r="EDJ240" s="1"/>
      <c r="EDK240" s="1"/>
      <c r="EDL240" s="1"/>
      <c r="EDM240" s="1"/>
      <c r="EDN240" s="1"/>
      <c r="EDO240" s="1"/>
      <c r="EDP240" s="1"/>
      <c r="EDQ240" s="1"/>
      <c r="EDR240" s="1"/>
      <c r="EDS240" s="1"/>
      <c r="EDT240" s="1"/>
      <c r="EDU240" s="1"/>
      <c r="EDV240" s="1"/>
      <c r="EDW240" s="1"/>
      <c r="EDX240" s="1"/>
      <c r="EDY240" s="1"/>
      <c r="EDZ240" s="1"/>
      <c r="EEA240" s="1"/>
      <c r="EEB240" s="1"/>
      <c r="EEC240" s="1"/>
      <c r="EED240" s="1"/>
      <c r="EEE240" s="1"/>
      <c r="EEF240" s="1"/>
      <c r="EEG240" s="1"/>
      <c r="EEH240" s="1"/>
      <c r="EEI240" s="1"/>
      <c r="EEJ240" s="1"/>
      <c r="EEK240" s="1"/>
      <c r="EEL240" s="1"/>
      <c r="EEM240" s="1"/>
      <c r="EEN240" s="1"/>
      <c r="EEO240" s="1"/>
      <c r="EEP240" s="1"/>
      <c r="EEQ240" s="1"/>
      <c r="EER240" s="1"/>
      <c r="EES240" s="1"/>
      <c r="EET240" s="1"/>
      <c r="EEU240" s="1"/>
      <c r="EEV240" s="1"/>
      <c r="EEW240" s="1"/>
      <c r="EEX240" s="1"/>
      <c r="EEY240" s="1"/>
      <c r="EEZ240" s="1"/>
      <c r="EFA240" s="1"/>
      <c r="EFB240" s="1"/>
      <c r="EFC240" s="1"/>
      <c r="EFD240" s="1"/>
      <c r="EFE240" s="1"/>
      <c r="EFF240" s="1"/>
      <c r="EFG240" s="1"/>
      <c r="EFH240" s="1"/>
      <c r="EFI240" s="1"/>
      <c r="EFJ240" s="1"/>
      <c r="EFK240" s="1"/>
      <c r="EFL240" s="1"/>
      <c r="EFM240" s="1"/>
      <c r="EFN240" s="1"/>
      <c r="EFO240" s="1"/>
      <c r="EFP240" s="1"/>
      <c r="EFQ240" s="1"/>
      <c r="EFR240" s="1"/>
      <c r="EFS240" s="1"/>
      <c r="EFT240" s="1"/>
      <c r="EFU240" s="1"/>
      <c r="EFV240" s="1"/>
      <c r="EFW240" s="1"/>
      <c r="EFX240" s="1"/>
      <c r="EFY240" s="1"/>
      <c r="EFZ240" s="1"/>
      <c r="EGA240" s="1"/>
      <c r="EGB240" s="1"/>
      <c r="EGC240" s="1"/>
      <c r="EGD240" s="1"/>
      <c r="EGE240" s="1"/>
      <c r="EGF240" s="1"/>
      <c r="EGG240" s="1"/>
      <c r="EGH240" s="1"/>
      <c r="EGI240" s="1"/>
      <c r="EGJ240" s="1"/>
      <c r="EGK240" s="1"/>
      <c r="EGL240" s="1"/>
      <c r="EGM240" s="1"/>
      <c r="EGN240" s="1"/>
      <c r="EGO240" s="1"/>
      <c r="EGP240" s="1"/>
      <c r="EGQ240" s="1"/>
      <c r="EGR240" s="1"/>
      <c r="EGS240" s="1"/>
      <c r="EGT240" s="1"/>
      <c r="EGU240" s="1"/>
      <c r="EGV240" s="1"/>
      <c r="EGW240" s="1"/>
      <c r="EGX240" s="1"/>
      <c r="EGY240" s="1"/>
      <c r="EGZ240" s="1"/>
      <c r="EHA240" s="1"/>
      <c r="EHB240" s="1"/>
      <c r="EHC240" s="1"/>
      <c r="EHD240" s="1"/>
      <c r="EHE240" s="1"/>
      <c r="EHF240" s="1"/>
      <c r="EHG240" s="1"/>
      <c r="EHH240" s="1"/>
      <c r="EHI240" s="1"/>
      <c r="EHJ240" s="1"/>
      <c r="EHK240" s="1"/>
      <c r="EHL240" s="1"/>
      <c r="EHM240" s="1"/>
      <c r="EHN240" s="1"/>
      <c r="EHO240" s="1"/>
      <c r="EHP240" s="1"/>
      <c r="EHQ240" s="1"/>
      <c r="EHR240" s="1"/>
      <c r="EHS240" s="1"/>
      <c r="EHT240" s="1"/>
      <c r="EHU240" s="1"/>
      <c r="EHV240" s="1"/>
      <c r="EHW240" s="1"/>
      <c r="EHX240" s="1"/>
      <c r="EHY240" s="1"/>
      <c r="EHZ240" s="1"/>
      <c r="EIA240" s="1"/>
      <c r="EIB240" s="1"/>
      <c r="EIC240" s="1"/>
      <c r="EID240" s="1"/>
      <c r="EIE240" s="1"/>
      <c r="EIF240" s="1"/>
      <c r="EIG240" s="1"/>
      <c r="EIH240" s="1"/>
      <c r="EII240" s="1"/>
      <c r="EIJ240" s="1"/>
      <c r="EIK240" s="1"/>
      <c r="EIL240" s="1"/>
      <c r="EIM240" s="1"/>
      <c r="EIN240" s="1"/>
      <c r="EIO240" s="1"/>
      <c r="EIP240" s="1"/>
      <c r="EIQ240" s="1"/>
      <c r="EIR240" s="1"/>
      <c r="EIS240" s="1"/>
      <c r="EIT240" s="1"/>
      <c r="EIU240" s="1"/>
      <c r="EIV240" s="1"/>
      <c r="EIW240" s="1"/>
      <c r="EIX240" s="1"/>
      <c r="EIY240" s="1"/>
      <c r="EIZ240" s="1"/>
      <c r="EJA240" s="1"/>
      <c r="EJB240" s="1"/>
      <c r="EJC240" s="1"/>
      <c r="EJD240" s="1"/>
      <c r="EJE240" s="1"/>
      <c r="EJF240" s="1"/>
      <c r="EJG240" s="1"/>
      <c r="EJH240" s="1"/>
      <c r="EJI240" s="1"/>
      <c r="EJJ240" s="1"/>
      <c r="EJK240" s="1"/>
      <c r="EJL240" s="1"/>
      <c r="EJM240" s="1"/>
      <c r="EJN240" s="1"/>
      <c r="EJO240" s="1"/>
      <c r="EJP240" s="1"/>
      <c r="EJQ240" s="1"/>
      <c r="EJR240" s="1"/>
      <c r="EJS240" s="1"/>
      <c r="EJT240" s="1"/>
      <c r="EJU240" s="1"/>
      <c r="EJV240" s="1"/>
      <c r="EJW240" s="1"/>
      <c r="EJX240" s="1"/>
      <c r="EJY240" s="1"/>
      <c r="EJZ240" s="1"/>
      <c r="EKA240" s="1"/>
      <c r="EKB240" s="1"/>
      <c r="EKC240" s="1"/>
      <c r="EKD240" s="1"/>
      <c r="EKE240" s="1"/>
      <c r="EKF240" s="1"/>
      <c r="EKG240" s="1"/>
      <c r="EKH240" s="1"/>
      <c r="EKI240" s="1"/>
      <c r="EKJ240" s="1"/>
      <c r="EKK240" s="1"/>
      <c r="EKL240" s="1"/>
      <c r="EKM240" s="1"/>
      <c r="EKN240" s="1"/>
      <c r="EKO240" s="1"/>
      <c r="EKP240" s="1"/>
      <c r="EKQ240" s="1"/>
      <c r="EKR240" s="1"/>
      <c r="EKS240" s="1"/>
      <c r="EKT240" s="1"/>
      <c r="EKU240" s="1"/>
      <c r="EKV240" s="1"/>
      <c r="EKW240" s="1"/>
      <c r="EKX240" s="1"/>
      <c r="EKY240" s="1"/>
      <c r="EKZ240" s="1"/>
      <c r="ELA240" s="1"/>
      <c r="ELB240" s="1"/>
      <c r="ELC240" s="1"/>
      <c r="ELD240" s="1"/>
      <c r="ELE240" s="1"/>
      <c r="ELF240" s="1"/>
      <c r="ELG240" s="1"/>
      <c r="ELH240" s="1"/>
      <c r="ELI240" s="1"/>
      <c r="ELJ240" s="1"/>
      <c r="ELK240" s="1"/>
      <c r="ELL240" s="1"/>
      <c r="ELM240" s="1"/>
      <c r="ELN240" s="1"/>
      <c r="ELO240" s="1"/>
      <c r="ELP240" s="1"/>
      <c r="ELQ240" s="1"/>
      <c r="ELR240" s="1"/>
      <c r="ELS240" s="1"/>
      <c r="ELT240" s="1"/>
      <c r="ELU240" s="1"/>
      <c r="ELV240" s="1"/>
      <c r="ELW240" s="1"/>
      <c r="ELX240" s="1"/>
      <c r="ELY240" s="1"/>
      <c r="ELZ240" s="1"/>
      <c r="EMA240" s="1"/>
      <c r="EMB240" s="1"/>
      <c r="EMC240" s="1"/>
      <c r="EMD240" s="1"/>
      <c r="EME240" s="1"/>
      <c r="EMF240" s="1"/>
      <c r="EMG240" s="1"/>
      <c r="EMH240" s="1"/>
      <c r="EMI240" s="1"/>
      <c r="EMJ240" s="1"/>
      <c r="EMK240" s="1"/>
      <c r="EML240" s="1"/>
      <c r="EMM240" s="1"/>
      <c r="EMN240" s="1"/>
      <c r="EMO240" s="1"/>
      <c r="EMP240" s="1"/>
      <c r="EMQ240" s="1"/>
      <c r="EMR240" s="1"/>
      <c r="EMS240" s="1"/>
      <c r="EMT240" s="1"/>
      <c r="EMU240" s="1"/>
      <c r="EMV240" s="1"/>
      <c r="EMW240" s="1"/>
      <c r="EMX240" s="1"/>
      <c r="EMY240" s="1"/>
      <c r="EMZ240" s="1"/>
      <c r="ENA240" s="1"/>
      <c r="ENB240" s="1"/>
      <c r="ENC240" s="1"/>
      <c r="END240" s="1"/>
      <c r="ENE240" s="1"/>
      <c r="ENF240" s="1"/>
      <c r="ENG240" s="1"/>
      <c r="ENH240" s="1"/>
      <c r="ENI240" s="1"/>
      <c r="ENJ240" s="1"/>
      <c r="ENK240" s="1"/>
      <c r="ENL240" s="1"/>
      <c r="ENM240" s="1"/>
      <c r="ENN240" s="1"/>
      <c r="ENO240" s="1"/>
      <c r="ENP240" s="1"/>
      <c r="ENQ240" s="1"/>
      <c r="ENR240" s="1"/>
      <c r="ENS240" s="1"/>
      <c r="ENT240" s="1"/>
      <c r="ENU240" s="1"/>
      <c r="ENV240" s="1"/>
      <c r="ENW240" s="1"/>
      <c r="ENX240" s="1"/>
      <c r="ENY240" s="1"/>
      <c r="ENZ240" s="1"/>
      <c r="EOA240" s="1"/>
      <c r="EOB240" s="1"/>
      <c r="EOC240" s="1"/>
      <c r="EOD240" s="1"/>
      <c r="EOE240" s="1"/>
      <c r="EOF240" s="1"/>
      <c r="EOG240" s="1"/>
      <c r="EOH240" s="1"/>
      <c r="EOI240" s="1"/>
      <c r="EOJ240" s="1"/>
      <c r="EOK240" s="1"/>
      <c r="EOL240" s="1"/>
      <c r="EOM240" s="1"/>
      <c r="EON240" s="1"/>
      <c r="EOO240" s="1"/>
      <c r="EOP240" s="1"/>
      <c r="EOQ240" s="1"/>
      <c r="EOR240" s="1"/>
      <c r="EOS240" s="1"/>
      <c r="EOT240" s="1"/>
      <c r="EOU240" s="1"/>
      <c r="EOV240" s="1"/>
      <c r="EOW240" s="1"/>
      <c r="EOX240" s="1"/>
      <c r="EOY240" s="1"/>
      <c r="EOZ240" s="1"/>
      <c r="EPA240" s="1"/>
      <c r="EPB240" s="1"/>
      <c r="EPC240" s="1"/>
      <c r="EPD240" s="1"/>
      <c r="EPE240" s="1"/>
      <c r="EPF240" s="1"/>
      <c r="EPG240" s="1"/>
      <c r="EPH240" s="1"/>
      <c r="EPI240" s="1"/>
      <c r="EPJ240" s="1"/>
      <c r="EPK240" s="1"/>
      <c r="EPL240" s="1"/>
      <c r="EPM240" s="1"/>
      <c r="EPN240" s="1"/>
      <c r="EPO240" s="1"/>
      <c r="EPP240" s="1"/>
      <c r="EPQ240" s="1"/>
      <c r="EPR240" s="1"/>
      <c r="EPS240" s="1"/>
      <c r="EPT240" s="1"/>
      <c r="EPU240" s="1"/>
      <c r="EPV240" s="1"/>
      <c r="EPW240" s="1"/>
      <c r="EPX240" s="1"/>
      <c r="EPY240" s="1"/>
      <c r="EPZ240" s="1"/>
      <c r="EQA240" s="1"/>
      <c r="EQB240" s="1"/>
      <c r="EQC240" s="1"/>
      <c r="EQD240" s="1"/>
      <c r="EQE240" s="1"/>
      <c r="EQF240" s="1"/>
      <c r="EQG240" s="1"/>
      <c r="EQH240" s="1"/>
      <c r="EQI240" s="1"/>
      <c r="EQJ240" s="1"/>
      <c r="EQK240" s="1"/>
      <c r="EQL240" s="1"/>
      <c r="EQM240" s="1"/>
      <c r="EQN240" s="1"/>
      <c r="EQO240" s="1"/>
      <c r="EQP240" s="1"/>
      <c r="EQQ240" s="1"/>
      <c r="EQR240" s="1"/>
      <c r="EQS240" s="1"/>
      <c r="EQT240" s="1"/>
      <c r="EQU240" s="1"/>
      <c r="EQV240" s="1"/>
      <c r="EQW240" s="1"/>
      <c r="EQX240" s="1"/>
      <c r="EQY240" s="1"/>
      <c r="EQZ240" s="1"/>
      <c r="ERA240" s="1"/>
      <c r="ERB240" s="1"/>
      <c r="ERC240" s="1"/>
      <c r="ERD240" s="1"/>
      <c r="ERE240" s="1"/>
      <c r="ERF240" s="1"/>
      <c r="ERG240" s="1"/>
      <c r="ERH240" s="1"/>
      <c r="ERI240" s="1"/>
      <c r="ERJ240" s="1"/>
      <c r="ERK240" s="1"/>
      <c r="ERL240" s="1"/>
      <c r="ERM240" s="1"/>
      <c r="ERN240" s="1"/>
      <c r="ERO240" s="1"/>
      <c r="ERP240" s="1"/>
      <c r="ERQ240" s="1"/>
      <c r="ERR240" s="1"/>
      <c r="ERS240" s="1"/>
      <c r="ERT240" s="1"/>
      <c r="ERU240" s="1"/>
      <c r="ERV240" s="1"/>
      <c r="ERW240" s="1"/>
      <c r="ERX240" s="1"/>
      <c r="ERY240" s="1"/>
      <c r="ERZ240" s="1"/>
      <c r="ESA240" s="1"/>
      <c r="ESB240" s="1"/>
      <c r="ESC240" s="1"/>
      <c r="ESD240" s="1"/>
      <c r="ESE240" s="1"/>
      <c r="ESF240" s="1"/>
      <c r="ESG240" s="1"/>
      <c r="ESH240" s="1"/>
      <c r="ESI240" s="1"/>
      <c r="ESJ240" s="1"/>
      <c r="ESK240" s="1"/>
      <c r="ESL240" s="1"/>
      <c r="ESM240" s="1"/>
      <c r="ESN240" s="1"/>
      <c r="ESO240" s="1"/>
      <c r="ESP240" s="1"/>
      <c r="ESQ240" s="1"/>
      <c r="ESR240" s="1"/>
      <c r="ESS240" s="1"/>
      <c r="EST240" s="1"/>
      <c r="ESU240" s="1"/>
      <c r="ESV240" s="1"/>
      <c r="ESW240" s="1"/>
      <c r="ESX240" s="1"/>
      <c r="ESY240" s="1"/>
      <c r="ESZ240" s="1"/>
      <c r="ETA240" s="1"/>
      <c r="ETB240" s="1"/>
      <c r="ETC240" s="1"/>
      <c r="ETD240" s="1"/>
      <c r="ETE240" s="1"/>
      <c r="ETF240" s="1"/>
      <c r="ETG240" s="1"/>
      <c r="ETH240" s="1"/>
      <c r="ETI240" s="1"/>
      <c r="ETJ240" s="1"/>
      <c r="ETK240" s="1"/>
      <c r="ETL240" s="1"/>
      <c r="ETM240" s="1"/>
      <c r="ETN240" s="1"/>
      <c r="ETO240" s="1"/>
      <c r="ETP240" s="1"/>
      <c r="ETQ240" s="1"/>
      <c r="ETR240" s="1"/>
      <c r="ETS240" s="1"/>
      <c r="ETT240" s="1"/>
      <c r="ETU240" s="1"/>
      <c r="ETV240" s="1"/>
      <c r="ETW240" s="1"/>
      <c r="ETX240" s="1"/>
      <c r="ETY240" s="1"/>
      <c r="ETZ240" s="1"/>
      <c r="EUA240" s="1"/>
      <c r="EUB240" s="1"/>
      <c r="EUC240" s="1"/>
      <c r="EUD240" s="1"/>
      <c r="EUE240" s="1"/>
      <c r="EUF240" s="1"/>
      <c r="EUG240" s="1"/>
      <c r="EUH240" s="1"/>
      <c r="EUI240" s="1"/>
      <c r="EUJ240" s="1"/>
      <c r="EUK240" s="1"/>
      <c r="EUL240" s="1"/>
      <c r="EUM240" s="1"/>
      <c r="EUN240" s="1"/>
      <c r="EUO240" s="1"/>
      <c r="EUP240" s="1"/>
      <c r="EUQ240" s="1"/>
      <c r="EUR240" s="1"/>
      <c r="EUS240" s="1"/>
      <c r="EUT240" s="1"/>
      <c r="EUU240" s="1"/>
      <c r="EUV240" s="1"/>
      <c r="EUW240" s="1"/>
      <c r="EUX240" s="1"/>
      <c r="EUY240" s="1"/>
      <c r="EUZ240" s="1"/>
      <c r="EVA240" s="1"/>
      <c r="EVB240" s="1"/>
      <c r="EVC240" s="1"/>
      <c r="EVD240" s="1"/>
      <c r="EVE240" s="1"/>
      <c r="EVF240" s="1"/>
      <c r="EVG240" s="1"/>
      <c r="EVH240" s="1"/>
      <c r="EVI240" s="1"/>
      <c r="EVJ240" s="1"/>
      <c r="EVK240" s="1"/>
      <c r="EVL240" s="1"/>
      <c r="EVM240" s="1"/>
      <c r="EVN240" s="1"/>
      <c r="EVO240" s="1"/>
      <c r="EVP240" s="1"/>
      <c r="EVQ240" s="1"/>
      <c r="EVR240" s="1"/>
      <c r="EVS240" s="1"/>
      <c r="EVT240" s="1"/>
      <c r="EVU240" s="1"/>
      <c r="EVV240" s="1"/>
      <c r="EVW240" s="1"/>
      <c r="EVX240" s="1"/>
      <c r="EVY240" s="1"/>
      <c r="EVZ240" s="1"/>
      <c r="EWA240" s="1"/>
      <c r="EWB240" s="1"/>
      <c r="EWC240" s="1"/>
      <c r="EWD240" s="1"/>
      <c r="EWE240" s="1"/>
      <c r="EWF240" s="1"/>
      <c r="EWG240" s="1"/>
      <c r="EWH240" s="1"/>
      <c r="EWI240" s="1"/>
      <c r="EWJ240" s="1"/>
      <c r="EWK240" s="1"/>
      <c r="EWL240" s="1"/>
      <c r="EWM240" s="1"/>
      <c r="EWN240" s="1"/>
      <c r="EWO240" s="1"/>
      <c r="EWP240" s="1"/>
      <c r="EWQ240" s="1"/>
      <c r="EWR240" s="1"/>
      <c r="EWS240" s="1"/>
      <c r="EWT240" s="1"/>
      <c r="EWU240" s="1"/>
      <c r="EWV240" s="1"/>
      <c r="EWW240" s="1"/>
      <c r="EWX240" s="1"/>
      <c r="EWY240" s="1"/>
      <c r="EWZ240" s="1"/>
      <c r="EXA240" s="1"/>
      <c r="EXB240" s="1"/>
      <c r="EXC240" s="1"/>
      <c r="EXD240" s="1"/>
      <c r="EXE240" s="1"/>
      <c r="EXF240" s="1"/>
      <c r="EXG240" s="1"/>
      <c r="EXH240" s="1"/>
      <c r="EXI240" s="1"/>
      <c r="EXJ240" s="1"/>
      <c r="EXK240" s="1"/>
      <c r="EXL240" s="1"/>
      <c r="EXM240" s="1"/>
      <c r="EXN240" s="1"/>
      <c r="EXO240" s="1"/>
      <c r="EXP240" s="1"/>
      <c r="EXQ240" s="1"/>
      <c r="EXR240" s="1"/>
      <c r="EXS240" s="1"/>
      <c r="EXT240" s="1"/>
      <c r="EXU240" s="1"/>
      <c r="EXV240" s="1"/>
      <c r="EXW240" s="1"/>
      <c r="EXX240" s="1"/>
      <c r="EXY240" s="1"/>
      <c r="EXZ240" s="1"/>
      <c r="EYA240" s="1"/>
      <c r="EYB240" s="1"/>
      <c r="EYC240" s="1"/>
      <c r="EYD240" s="1"/>
      <c r="EYE240" s="1"/>
      <c r="EYF240" s="1"/>
      <c r="EYG240" s="1"/>
      <c r="EYH240" s="1"/>
      <c r="EYI240" s="1"/>
      <c r="EYJ240" s="1"/>
      <c r="EYK240" s="1"/>
      <c r="EYL240" s="1"/>
      <c r="EYM240" s="1"/>
      <c r="EYN240" s="1"/>
      <c r="EYO240" s="1"/>
      <c r="EYP240" s="1"/>
      <c r="EYQ240" s="1"/>
      <c r="EYR240" s="1"/>
      <c r="EYS240" s="1"/>
      <c r="EYT240" s="1"/>
      <c r="EYU240" s="1"/>
      <c r="EYV240" s="1"/>
      <c r="EYW240" s="1"/>
      <c r="EYX240" s="1"/>
      <c r="EYY240" s="1"/>
      <c r="EYZ240" s="1"/>
      <c r="EZA240" s="1"/>
      <c r="EZB240" s="1"/>
      <c r="EZC240" s="1"/>
      <c r="EZD240" s="1"/>
      <c r="EZE240" s="1"/>
      <c r="EZF240" s="1"/>
      <c r="EZG240" s="1"/>
      <c r="EZH240" s="1"/>
      <c r="EZI240" s="1"/>
      <c r="EZJ240" s="1"/>
      <c r="EZK240" s="1"/>
      <c r="EZL240" s="1"/>
      <c r="EZM240" s="1"/>
      <c r="EZN240" s="1"/>
      <c r="EZO240" s="1"/>
      <c r="EZP240" s="1"/>
      <c r="EZQ240" s="1"/>
      <c r="EZR240" s="1"/>
      <c r="EZS240" s="1"/>
      <c r="EZT240" s="1"/>
      <c r="EZU240" s="1"/>
      <c r="EZV240" s="1"/>
      <c r="EZW240" s="1"/>
      <c r="EZX240" s="1"/>
      <c r="EZY240" s="1"/>
      <c r="EZZ240" s="1"/>
      <c r="FAA240" s="1"/>
      <c r="FAB240" s="1"/>
      <c r="FAC240" s="1"/>
      <c r="FAD240" s="1"/>
      <c r="FAE240" s="1"/>
      <c r="FAF240" s="1"/>
      <c r="FAG240" s="1"/>
      <c r="FAH240" s="1"/>
      <c r="FAI240" s="1"/>
      <c r="FAJ240" s="1"/>
      <c r="FAK240" s="1"/>
      <c r="FAL240" s="1"/>
      <c r="FAM240" s="1"/>
      <c r="FAN240" s="1"/>
      <c r="FAO240" s="1"/>
      <c r="FAP240" s="1"/>
      <c r="FAQ240" s="1"/>
      <c r="FAR240" s="1"/>
      <c r="FAS240" s="1"/>
      <c r="FAT240" s="1"/>
      <c r="FAU240" s="1"/>
      <c r="FAV240" s="1"/>
      <c r="FAW240" s="1"/>
      <c r="FAX240" s="1"/>
      <c r="FAY240" s="1"/>
      <c r="FAZ240" s="1"/>
      <c r="FBA240" s="1"/>
      <c r="FBB240" s="1"/>
      <c r="FBC240" s="1"/>
      <c r="FBD240" s="1"/>
      <c r="FBE240" s="1"/>
      <c r="FBF240" s="1"/>
      <c r="FBG240" s="1"/>
      <c r="FBH240" s="1"/>
      <c r="FBI240" s="1"/>
      <c r="FBJ240" s="1"/>
      <c r="FBK240" s="1"/>
      <c r="FBL240" s="1"/>
      <c r="FBM240" s="1"/>
      <c r="FBN240" s="1"/>
      <c r="FBO240" s="1"/>
      <c r="FBP240" s="1"/>
      <c r="FBQ240" s="1"/>
      <c r="FBR240" s="1"/>
      <c r="FBS240" s="1"/>
      <c r="FBT240" s="1"/>
      <c r="FBU240" s="1"/>
      <c r="FBV240" s="1"/>
      <c r="FBW240" s="1"/>
      <c r="FBX240" s="1"/>
      <c r="FBY240" s="1"/>
      <c r="FBZ240" s="1"/>
      <c r="FCA240" s="1"/>
      <c r="FCB240" s="1"/>
      <c r="FCC240" s="1"/>
      <c r="FCD240" s="1"/>
      <c r="FCE240" s="1"/>
      <c r="FCF240" s="1"/>
      <c r="FCG240" s="1"/>
      <c r="FCH240" s="1"/>
      <c r="FCI240" s="1"/>
      <c r="FCJ240" s="1"/>
      <c r="FCK240" s="1"/>
      <c r="FCL240" s="1"/>
      <c r="FCM240" s="1"/>
      <c r="FCN240" s="1"/>
      <c r="FCO240" s="1"/>
      <c r="FCP240" s="1"/>
      <c r="FCQ240" s="1"/>
      <c r="FCR240" s="1"/>
      <c r="FCS240" s="1"/>
      <c r="FCT240" s="1"/>
      <c r="FCU240" s="1"/>
      <c r="FCV240" s="1"/>
      <c r="FCW240" s="1"/>
      <c r="FCX240" s="1"/>
      <c r="FCY240" s="1"/>
      <c r="FCZ240" s="1"/>
      <c r="FDA240" s="1"/>
      <c r="FDB240" s="1"/>
      <c r="FDC240" s="1"/>
      <c r="FDD240" s="1"/>
      <c r="FDE240" s="1"/>
      <c r="FDF240" s="1"/>
      <c r="FDG240" s="1"/>
      <c r="FDH240" s="1"/>
      <c r="FDI240" s="1"/>
      <c r="FDJ240" s="1"/>
      <c r="FDK240" s="1"/>
      <c r="FDL240" s="1"/>
      <c r="FDM240" s="1"/>
      <c r="FDN240" s="1"/>
      <c r="FDO240" s="1"/>
      <c r="FDP240" s="1"/>
      <c r="FDQ240" s="1"/>
      <c r="FDR240" s="1"/>
      <c r="FDS240" s="1"/>
      <c r="FDT240" s="1"/>
      <c r="FDU240" s="1"/>
      <c r="FDV240" s="1"/>
      <c r="FDW240" s="1"/>
      <c r="FDX240" s="1"/>
      <c r="FDY240" s="1"/>
      <c r="FDZ240" s="1"/>
      <c r="FEA240" s="1"/>
      <c r="FEB240" s="1"/>
      <c r="FEC240" s="1"/>
      <c r="FED240" s="1"/>
      <c r="FEE240" s="1"/>
      <c r="FEF240" s="1"/>
      <c r="FEG240" s="1"/>
      <c r="FEH240" s="1"/>
      <c r="FEI240" s="1"/>
      <c r="FEJ240" s="1"/>
      <c r="FEK240" s="1"/>
      <c r="FEL240" s="1"/>
      <c r="FEM240" s="1"/>
      <c r="FEN240" s="1"/>
      <c r="FEO240" s="1"/>
      <c r="FEP240" s="1"/>
      <c r="FEQ240" s="1"/>
      <c r="FER240" s="1"/>
      <c r="FES240" s="1"/>
      <c r="FET240" s="1"/>
      <c r="FEU240" s="1"/>
      <c r="FEV240" s="1"/>
      <c r="FEW240" s="1"/>
      <c r="FEX240" s="1"/>
      <c r="FEY240" s="1"/>
      <c r="FEZ240" s="1"/>
      <c r="FFA240" s="1"/>
      <c r="FFB240" s="1"/>
      <c r="FFC240" s="1"/>
      <c r="FFD240" s="1"/>
      <c r="FFE240" s="1"/>
      <c r="FFF240" s="1"/>
      <c r="FFG240" s="1"/>
      <c r="FFH240" s="1"/>
      <c r="FFI240" s="1"/>
      <c r="FFJ240" s="1"/>
      <c r="FFK240" s="1"/>
      <c r="FFL240" s="1"/>
      <c r="FFM240" s="1"/>
      <c r="FFN240" s="1"/>
      <c r="FFO240" s="1"/>
      <c r="FFP240" s="1"/>
      <c r="FFQ240" s="1"/>
      <c r="FFR240" s="1"/>
      <c r="FFS240" s="1"/>
      <c r="FFT240" s="1"/>
      <c r="FFU240" s="1"/>
      <c r="FFV240" s="1"/>
      <c r="FFW240" s="1"/>
      <c r="FFX240" s="1"/>
      <c r="FFY240" s="1"/>
      <c r="FFZ240" s="1"/>
      <c r="FGA240" s="1"/>
      <c r="FGB240" s="1"/>
      <c r="FGC240" s="1"/>
      <c r="FGD240" s="1"/>
      <c r="FGE240" s="1"/>
      <c r="FGF240" s="1"/>
      <c r="FGG240" s="1"/>
      <c r="FGH240" s="1"/>
      <c r="FGI240" s="1"/>
      <c r="FGJ240" s="1"/>
      <c r="FGK240" s="1"/>
      <c r="FGL240" s="1"/>
      <c r="FGM240" s="1"/>
      <c r="FGN240" s="1"/>
      <c r="FGO240" s="1"/>
      <c r="FGP240" s="1"/>
      <c r="FGQ240" s="1"/>
      <c r="FGR240" s="1"/>
      <c r="FGS240" s="1"/>
      <c r="FGT240" s="1"/>
      <c r="FGU240" s="1"/>
      <c r="FGV240" s="1"/>
      <c r="FGW240" s="1"/>
      <c r="FGX240" s="1"/>
      <c r="FGY240" s="1"/>
      <c r="FGZ240" s="1"/>
      <c r="FHA240" s="1"/>
      <c r="FHB240" s="1"/>
      <c r="FHC240" s="1"/>
      <c r="FHD240" s="1"/>
      <c r="FHE240" s="1"/>
      <c r="FHF240" s="1"/>
      <c r="FHG240" s="1"/>
      <c r="FHH240" s="1"/>
      <c r="FHI240" s="1"/>
      <c r="FHJ240" s="1"/>
      <c r="FHK240" s="1"/>
      <c r="FHL240" s="1"/>
      <c r="FHM240" s="1"/>
      <c r="FHN240" s="1"/>
      <c r="FHO240" s="1"/>
      <c r="FHP240" s="1"/>
      <c r="FHQ240" s="1"/>
      <c r="FHR240" s="1"/>
      <c r="FHS240" s="1"/>
      <c r="FHT240" s="1"/>
      <c r="FHU240" s="1"/>
      <c r="FHV240" s="1"/>
      <c r="FHW240" s="1"/>
      <c r="FHX240" s="1"/>
      <c r="FHY240" s="1"/>
      <c r="FHZ240" s="1"/>
      <c r="FIA240" s="1"/>
      <c r="FIB240" s="1"/>
      <c r="FIC240" s="1"/>
      <c r="FID240" s="1"/>
      <c r="FIE240" s="1"/>
      <c r="FIF240" s="1"/>
      <c r="FIG240" s="1"/>
      <c r="FIH240" s="1"/>
      <c r="FII240" s="1"/>
      <c r="FIJ240" s="1"/>
      <c r="FIK240" s="1"/>
      <c r="FIL240" s="1"/>
      <c r="FIM240" s="1"/>
      <c r="FIN240" s="1"/>
      <c r="FIO240" s="1"/>
      <c r="FIP240" s="1"/>
      <c r="FIQ240" s="1"/>
      <c r="FIR240" s="1"/>
      <c r="FIS240" s="1"/>
      <c r="FIT240" s="1"/>
      <c r="FIU240" s="1"/>
      <c r="FIV240" s="1"/>
      <c r="FIW240" s="1"/>
      <c r="FIX240" s="1"/>
      <c r="FIY240" s="1"/>
      <c r="FIZ240" s="1"/>
      <c r="FJA240" s="1"/>
      <c r="FJB240" s="1"/>
      <c r="FJC240" s="1"/>
      <c r="FJD240" s="1"/>
      <c r="FJE240" s="1"/>
      <c r="FJF240" s="1"/>
      <c r="FJG240" s="1"/>
      <c r="FJH240" s="1"/>
      <c r="FJI240" s="1"/>
      <c r="FJJ240" s="1"/>
      <c r="FJK240" s="1"/>
      <c r="FJL240" s="1"/>
      <c r="FJM240" s="1"/>
      <c r="FJN240" s="1"/>
      <c r="FJO240" s="1"/>
      <c r="FJP240" s="1"/>
      <c r="FJQ240" s="1"/>
      <c r="FJR240" s="1"/>
      <c r="FJS240" s="1"/>
      <c r="FJT240" s="1"/>
      <c r="FJU240" s="1"/>
      <c r="FJV240" s="1"/>
      <c r="FJW240" s="1"/>
      <c r="FJX240" s="1"/>
      <c r="FJY240" s="1"/>
      <c r="FJZ240" s="1"/>
      <c r="FKA240" s="1"/>
      <c r="FKB240" s="1"/>
      <c r="FKC240" s="1"/>
      <c r="FKD240" s="1"/>
      <c r="FKE240" s="1"/>
      <c r="FKF240" s="1"/>
      <c r="FKG240" s="1"/>
      <c r="FKH240" s="1"/>
      <c r="FKI240" s="1"/>
      <c r="FKJ240" s="1"/>
      <c r="FKK240" s="1"/>
      <c r="FKL240" s="1"/>
      <c r="FKM240" s="1"/>
      <c r="FKN240" s="1"/>
      <c r="FKO240" s="1"/>
      <c r="FKP240" s="1"/>
      <c r="FKQ240" s="1"/>
      <c r="FKR240" s="1"/>
      <c r="FKS240" s="1"/>
      <c r="FKT240" s="1"/>
      <c r="FKU240" s="1"/>
      <c r="FKV240" s="1"/>
      <c r="FKW240" s="1"/>
      <c r="FKX240" s="1"/>
      <c r="FKY240" s="1"/>
      <c r="FKZ240" s="1"/>
      <c r="FLA240" s="1"/>
      <c r="FLB240" s="1"/>
      <c r="FLC240" s="1"/>
      <c r="FLD240" s="1"/>
      <c r="FLE240" s="1"/>
      <c r="FLF240" s="1"/>
      <c r="FLG240" s="1"/>
      <c r="FLH240" s="1"/>
      <c r="FLI240" s="1"/>
      <c r="FLJ240" s="1"/>
      <c r="FLK240" s="1"/>
      <c r="FLL240" s="1"/>
      <c r="FLM240" s="1"/>
      <c r="FLN240" s="1"/>
      <c r="FLO240" s="1"/>
      <c r="FLP240" s="1"/>
      <c r="FLQ240" s="1"/>
      <c r="FLR240" s="1"/>
      <c r="FLS240" s="1"/>
      <c r="FLT240" s="1"/>
      <c r="FLU240" s="1"/>
      <c r="FLV240" s="1"/>
      <c r="FLW240" s="1"/>
      <c r="FLX240" s="1"/>
      <c r="FLY240" s="1"/>
      <c r="FLZ240" s="1"/>
      <c r="FMA240" s="1"/>
      <c r="FMB240" s="1"/>
      <c r="FMC240" s="1"/>
      <c r="FMD240" s="1"/>
      <c r="FME240" s="1"/>
      <c r="FMF240" s="1"/>
      <c r="FMG240" s="1"/>
      <c r="FMH240" s="1"/>
      <c r="FMI240" s="1"/>
      <c r="FMJ240" s="1"/>
      <c r="FMK240" s="1"/>
      <c r="FML240" s="1"/>
      <c r="FMM240" s="1"/>
      <c r="FMN240" s="1"/>
      <c r="FMO240" s="1"/>
      <c r="FMP240" s="1"/>
      <c r="FMQ240" s="1"/>
      <c r="FMR240" s="1"/>
      <c r="FMS240" s="1"/>
      <c r="FMT240" s="1"/>
      <c r="FMU240" s="1"/>
      <c r="FMV240" s="1"/>
      <c r="FMW240" s="1"/>
      <c r="FMX240" s="1"/>
      <c r="FMY240" s="1"/>
      <c r="FMZ240" s="1"/>
      <c r="FNA240" s="1"/>
      <c r="FNB240" s="1"/>
      <c r="FNC240" s="1"/>
      <c r="FND240" s="1"/>
      <c r="FNE240" s="1"/>
      <c r="FNF240" s="1"/>
      <c r="FNG240" s="1"/>
      <c r="FNH240" s="1"/>
      <c r="FNI240" s="1"/>
      <c r="FNJ240" s="1"/>
      <c r="FNK240" s="1"/>
      <c r="FNL240" s="1"/>
      <c r="FNM240" s="1"/>
      <c r="FNN240" s="1"/>
      <c r="FNO240" s="1"/>
      <c r="FNP240" s="1"/>
      <c r="FNQ240" s="1"/>
      <c r="FNR240" s="1"/>
      <c r="FNS240" s="1"/>
      <c r="FNT240" s="1"/>
      <c r="FNU240" s="1"/>
      <c r="FNV240" s="1"/>
      <c r="FNW240" s="1"/>
      <c r="FNX240" s="1"/>
      <c r="FNY240" s="1"/>
      <c r="FNZ240" s="1"/>
      <c r="FOA240" s="1"/>
      <c r="FOB240" s="1"/>
      <c r="FOC240" s="1"/>
      <c r="FOD240" s="1"/>
      <c r="FOE240" s="1"/>
      <c r="FOF240" s="1"/>
      <c r="FOG240" s="1"/>
      <c r="FOH240" s="1"/>
      <c r="FOI240" s="1"/>
      <c r="FOJ240" s="1"/>
      <c r="FOK240" s="1"/>
      <c r="FOL240" s="1"/>
      <c r="FOM240" s="1"/>
      <c r="FON240" s="1"/>
      <c r="FOO240" s="1"/>
      <c r="FOP240" s="1"/>
      <c r="FOQ240" s="1"/>
      <c r="FOR240" s="1"/>
      <c r="FOS240" s="1"/>
      <c r="FOT240" s="1"/>
      <c r="FOU240" s="1"/>
      <c r="FOV240" s="1"/>
      <c r="FOW240" s="1"/>
      <c r="FOX240" s="1"/>
      <c r="FOY240" s="1"/>
      <c r="FOZ240" s="1"/>
      <c r="FPA240" s="1"/>
      <c r="FPB240" s="1"/>
      <c r="FPC240" s="1"/>
      <c r="FPD240" s="1"/>
      <c r="FPE240" s="1"/>
      <c r="FPF240" s="1"/>
      <c r="FPG240" s="1"/>
      <c r="FPH240" s="1"/>
      <c r="FPI240" s="1"/>
      <c r="FPJ240" s="1"/>
      <c r="FPK240" s="1"/>
      <c r="FPL240" s="1"/>
      <c r="FPM240" s="1"/>
      <c r="FPN240" s="1"/>
      <c r="FPO240" s="1"/>
      <c r="FPP240" s="1"/>
      <c r="FPQ240" s="1"/>
      <c r="FPR240" s="1"/>
      <c r="FPS240" s="1"/>
      <c r="FPT240" s="1"/>
      <c r="FPU240" s="1"/>
      <c r="FPV240" s="1"/>
      <c r="FPW240" s="1"/>
      <c r="FPX240" s="1"/>
      <c r="FPY240" s="1"/>
      <c r="FPZ240" s="1"/>
      <c r="FQA240" s="1"/>
      <c r="FQB240" s="1"/>
      <c r="FQC240" s="1"/>
      <c r="FQD240" s="1"/>
      <c r="FQE240" s="1"/>
      <c r="FQF240" s="1"/>
      <c r="FQG240" s="1"/>
      <c r="FQH240" s="1"/>
      <c r="FQI240" s="1"/>
      <c r="FQJ240" s="1"/>
      <c r="FQK240" s="1"/>
      <c r="FQL240" s="1"/>
      <c r="FQM240" s="1"/>
      <c r="FQN240" s="1"/>
      <c r="FQO240" s="1"/>
      <c r="FQP240" s="1"/>
      <c r="FQQ240" s="1"/>
      <c r="FQR240" s="1"/>
      <c r="FQS240" s="1"/>
      <c r="FQT240" s="1"/>
      <c r="FQU240" s="1"/>
      <c r="FQV240" s="1"/>
      <c r="FQW240" s="1"/>
      <c r="FQX240" s="1"/>
      <c r="FQY240" s="1"/>
      <c r="FQZ240" s="1"/>
      <c r="FRA240" s="1"/>
      <c r="FRB240" s="1"/>
      <c r="FRC240" s="1"/>
      <c r="FRD240" s="1"/>
      <c r="FRE240" s="1"/>
      <c r="FRF240" s="1"/>
      <c r="FRG240" s="1"/>
      <c r="FRH240" s="1"/>
      <c r="FRI240" s="1"/>
      <c r="FRJ240" s="1"/>
      <c r="FRK240" s="1"/>
      <c r="FRL240" s="1"/>
      <c r="FRM240" s="1"/>
      <c r="FRN240" s="1"/>
      <c r="FRO240" s="1"/>
      <c r="FRP240" s="1"/>
      <c r="FRQ240" s="1"/>
      <c r="FRR240" s="1"/>
      <c r="FRS240" s="1"/>
      <c r="FRT240" s="1"/>
      <c r="FRU240" s="1"/>
      <c r="FRV240" s="1"/>
      <c r="FRW240" s="1"/>
      <c r="FRX240" s="1"/>
      <c r="FRY240" s="1"/>
      <c r="FRZ240" s="1"/>
      <c r="FSA240" s="1"/>
      <c r="FSB240" s="1"/>
      <c r="FSC240" s="1"/>
      <c r="FSD240" s="1"/>
      <c r="FSE240" s="1"/>
      <c r="FSF240" s="1"/>
      <c r="FSG240" s="1"/>
      <c r="FSH240" s="1"/>
      <c r="FSI240" s="1"/>
      <c r="FSJ240" s="1"/>
      <c r="FSK240" s="1"/>
      <c r="FSL240" s="1"/>
      <c r="FSM240" s="1"/>
      <c r="FSN240" s="1"/>
      <c r="FSO240" s="1"/>
      <c r="FSP240" s="1"/>
      <c r="FSQ240" s="1"/>
      <c r="FSR240" s="1"/>
      <c r="FSS240" s="1"/>
      <c r="FST240" s="1"/>
      <c r="FSU240" s="1"/>
      <c r="FSV240" s="1"/>
      <c r="FSW240" s="1"/>
      <c r="FSX240" s="1"/>
      <c r="FSY240" s="1"/>
      <c r="FSZ240" s="1"/>
      <c r="FTA240" s="1"/>
      <c r="FTB240" s="1"/>
      <c r="FTC240" s="1"/>
      <c r="FTD240" s="1"/>
      <c r="FTE240" s="1"/>
      <c r="FTF240" s="1"/>
      <c r="FTG240" s="1"/>
      <c r="FTH240" s="1"/>
      <c r="FTI240" s="1"/>
      <c r="FTJ240" s="1"/>
      <c r="FTK240" s="1"/>
      <c r="FTL240" s="1"/>
      <c r="FTM240" s="1"/>
      <c r="FTN240" s="1"/>
      <c r="FTO240" s="1"/>
      <c r="FTP240" s="1"/>
      <c r="FTQ240" s="1"/>
      <c r="FTR240" s="1"/>
      <c r="FTS240" s="1"/>
      <c r="FTT240" s="1"/>
      <c r="FTU240" s="1"/>
      <c r="FTV240" s="1"/>
      <c r="FTW240" s="1"/>
      <c r="FTX240" s="1"/>
      <c r="FTY240" s="1"/>
      <c r="FTZ240" s="1"/>
      <c r="FUA240" s="1"/>
      <c r="FUB240" s="1"/>
      <c r="FUC240" s="1"/>
      <c r="FUD240" s="1"/>
      <c r="FUE240" s="1"/>
      <c r="FUF240" s="1"/>
      <c r="FUG240" s="1"/>
      <c r="FUH240" s="1"/>
      <c r="FUI240" s="1"/>
      <c r="FUJ240" s="1"/>
      <c r="FUK240" s="1"/>
      <c r="FUL240" s="1"/>
      <c r="FUM240" s="1"/>
      <c r="FUN240" s="1"/>
      <c r="FUO240" s="1"/>
      <c r="FUP240" s="1"/>
      <c r="FUQ240" s="1"/>
      <c r="FUR240" s="1"/>
      <c r="FUS240" s="1"/>
      <c r="FUT240" s="1"/>
      <c r="FUU240" s="1"/>
      <c r="FUV240" s="1"/>
      <c r="FUW240" s="1"/>
      <c r="FUX240" s="1"/>
      <c r="FUY240" s="1"/>
      <c r="FUZ240" s="1"/>
      <c r="FVA240" s="1"/>
      <c r="FVB240" s="1"/>
      <c r="FVC240" s="1"/>
      <c r="FVD240" s="1"/>
      <c r="FVE240" s="1"/>
      <c r="FVF240" s="1"/>
      <c r="FVG240" s="1"/>
      <c r="FVH240" s="1"/>
      <c r="FVI240" s="1"/>
      <c r="FVJ240" s="1"/>
      <c r="FVK240" s="1"/>
      <c r="FVL240" s="1"/>
      <c r="FVM240" s="1"/>
      <c r="FVN240" s="1"/>
      <c r="FVO240" s="1"/>
      <c r="FVP240" s="1"/>
      <c r="FVQ240" s="1"/>
      <c r="FVR240" s="1"/>
      <c r="FVS240" s="1"/>
      <c r="FVT240" s="1"/>
      <c r="FVU240" s="1"/>
      <c r="FVV240" s="1"/>
      <c r="FVW240" s="1"/>
      <c r="FVX240" s="1"/>
      <c r="FVY240" s="1"/>
      <c r="FVZ240" s="1"/>
      <c r="FWA240" s="1"/>
      <c r="FWB240" s="1"/>
      <c r="FWC240" s="1"/>
      <c r="FWD240" s="1"/>
      <c r="FWE240" s="1"/>
      <c r="FWF240" s="1"/>
      <c r="FWG240" s="1"/>
      <c r="FWH240" s="1"/>
      <c r="FWI240" s="1"/>
      <c r="FWJ240" s="1"/>
      <c r="FWK240" s="1"/>
      <c r="FWL240" s="1"/>
      <c r="FWM240" s="1"/>
      <c r="FWN240" s="1"/>
      <c r="FWO240" s="1"/>
      <c r="FWP240" s="1"/>
      <c r="FWQ240" s="1"/>
      <c r="FWR240" s="1"/>
      <c r="FWS240" s="1"/>
      <c r="FWT240" s="1"/>
      <c r="FWU240" s="1"/>
      <c r="FWV240" s="1"/>
      <c r="FWW240" s="1"/>
      <c r="FWX240" s="1"/>
      <c r="FWY240" s="1"/>
      <c r="FWZ240" s="1"/>
      <c r="FXA240" s="1"/>
      <c r="FXB240" s="1"/>
      <c r="FXC240" s="1"/>
      <c r="FXD240" s="1"/>
      <c r="FXE240" s="1"/>
      <c r="FXF240" s="1"/>
      <c r="FXG240" s="1"/>
      <c r="FXH240" s="1"/>
      <c r="FXI240" s="1"/>
      <c r="FXJ240" s="1"/>
      <c r="FXK240" s="1"/>
      <c r="FXL240" s="1"/>
      <c r="FXM240" s="1"/>
      <c r="FXN240" s="1"/>
      <c r="FXO240" s="1"/>
      <c r="FXP240" s="1"/>
      <c r="FXQ240" s="1"/>
      <c r="FXR240" s="1"/>
      <c r="FXS240" s="1"/>
      <c r="FXT240" s="1"/>
      <c r="FXU240" s="1"/>
      <c r="FXV240" s="1"/>
      <c r="FXW240" s="1"/>
      <c r="FXX240" s="1"/>
      <c r="FXY240" s="1"/>
      <c r="FXZ240" s="1"/>
      <c r="FYA240" s="1"/>
      <c r="FYB240" s="1"/>
      <c r="FYC240" s="1"/>
      <c r="FYD240" s="1"/>
      <c r="FYE240" s="1"/>
      <c r="FYF240" s="1"/>
      <c r="FYG240" s="1"/>
      <c r="FYH240" s="1"/>
      <c r="FYI240" s="1"/>
      <c r="FYJ240" s="1"/>
      <c r="FYK240" s="1"/>
      <c r="FYL240" s="1"/>
      <c r="FYM240" s="1"/>
      <c r="FYN240" s="1"/>
      <c r="FYO240" s="1"/>
      <c r="FYP240" s="1"/>
      <c r="FYQ240" s="1"/>
      <c r="FYR240" s="1"/>
      <c r="FYS240" s="1"/>
      <c r="FYT240" s="1"/>
      <c r="FYU240" s="1"/>
      <c r="FYV240" s="1"/>
      <c r="FYW240" s="1"/>
      <c r="FYX240" s="1"/>
      <c r="FYY240" s="1"/>
      <c r="FYZ240" s="1"/>
      <c r="FZA240" s="1"/>
      <c r="FZB240" s="1"/>
      <c r="FZC240" s="1"/>
      <c r="FZD240" s="1"/>
      <c r="FZE240" s="1"/>
      <c r="FZF240" s="1"/>
      <c r="FZG240" s="1"/>
      <c r="FZH240" s="1"/>
      <c r="FZI240" s="1"/>
      <c r="FZJ240" s="1"/>
      <c r="FZK240" s="1"/>
      <c r="FZL240" s="1"/>
      <c r="FZM240" s="1"/>
      <c r="FZN240" s="1"/>
      <c r="FZO240" s="1"/>
      <c r="FZP240" s="1"/>
      <c r="FZQ240" s="1"/>
      <c r="FZR240" s="1"/>
      <c r="FZS240" s="1"/>
      <c r="FZT240" s="1"/>
      <c r="FZU240" s="1"/>
      <c r="FZV240" s="1"/>
      <c r="FZW240" s="1"/>
      <c r="FZX240" s="1"/>
      <c r="FZY240" s="1"/>
      <c r="FZZ240" s="1"/>
      <c r="GAA240" s="1"/>
      <c r="GAB240" s="1"/>
      <c r="GAC240" s="1"/>
      <c r="GAD240" s="1"/>
      <c r="GAE240" s="1"/>
      <c r="GAF240" s="1"/>
      <c r="GAG240" s="1"/>
      <c r="GAH240" s="1"/>
      <c r="GAI240" s="1"/>
      <c r="GAJ240" s="1"/>
      <c r="GAK240" s="1"/>
      <c r="GAL240" s="1"/>
      <c r="GAM240" s="1"/>
      <c r="GAN240" s="1"/>
      <c r="GAO240" s="1"/>
      <c r="GAP240" s="1"/>
      <c r="GAQ240" s="1"/>
      <c r="GAR240" s="1"/>
      <c r="GAS240" s="1"/>
      <c r="GAT240" s="1"/>
      <c r="GAU240" s="1"/>
      <c r="GAV240" s="1"/>
      <c r="GAW240" s="1"/>
      <c r="GAX240" s="1"/>
      <c r="GAY240" s="1"/>
      <c r="GAZ240" s="1"/>
      <c r="GBA240" s="1"/>
      <c r="GBB240" s="1"/>
      <c r="GBC240" s="1"/>
      <c r="GBD240" s="1"/>
      <c r="GBE240" s="1"/>
      <c r="GBF240" s="1"/>
      <c r="GBG240" s="1"/>
      <c r="GBH240" s="1"/>
      <c r="GBI240" s="1"/>
      <c r="GBJ240" s="1"/>
      <c r="GBK240" s="1"/>
      <c r="GBL240" s="1"/>
      <c r="GBM240" s="1"/>
      <c r="GBN240" s="1"/>
      <c r="GBO240" s="1"/>
      <c r="GBP240" s="1"/>
      <c r="GBQ240" s="1"/>
      <c r="GBR240" s="1"/>
      <c r="GBS240" s="1"/>
      <c r="GBT240" s="1"/>
      <c r="GBU240" s="1"/>
      <c r="GBV240" s="1"/>
      <c r="GBW240" s="1"/>
      <c r="GBX240" s="1"/>
      <c r="GBY240" s="1"/>
      <c r="GBZ240" s="1"/>
      <c r="GCA240" s="1"/>
      <c r="GCB240" s="1"/>
      <c r="GCC240" s="1"/>
      <c r="GCD240" s="1"/>
      <c r="GCE240" s="1"/>
      <c r="GCF240" s="1"/>
      <c r="GCG240" s="1"/>
      <c r="GCH240" s="1"/>
      <c r="GCI240" s="1"/>
      <c r="GCJ240" s="1"/>
      <c r="GCK240" s="1"/>
      <c r="GCL240" s="1"/>
      <c r="GCM240" s="1"/>
      <c r="GCN240" s="1"/>
      <c r="GCO240" s="1"/>
      <c r="GCP240" s="1"/>
      <c r="GCQ240" s="1"/>
      <c r="GCR240" s="1"/>
      <c r="GCS240" s="1"/>
      <c r="GCT240" s="1"/>
      <c r="GCU240" s="1"/>
      <c r="GCV240" s="1"/>
      <c r="GCW240" s="1"/>
      <c r="GCX240" s="1"/>
      <c r="GCY240" s="1"/>
      <c r="GCZ240" s="1"/>
      <c r="GDA240" s="1"/>
      <c r="GDB240" s="1"/>
      <c r="GDC240" s="1"/>
      <c r="GDD240" s="1"/>
      <c r="GDE240" s="1"/>
      <c r="GDF240" s="1"/>
      <c r="GDG240" s="1"/>
      <c r="GDH240" s="1"/>
      <c r="GDI240" s="1"/>
      <c r="GDJ240" s="1"/>
      <c r="GDK240" s="1"/>
      <c r="GDL240" s="1"/>
      <c r="GDM240" s="1"/>
      <c r="GDN240" s="1"/>
      <c r="GDO240" s="1"/>
      <c r="GDP240" s="1"/>
      <c r="GDQ240" s="1"/>
      <c r="GDR240" s="1"/>
      <c r="GDS240" s="1"/>
      <c r="GDT240" s="1"/>
      <c r="GDU240" s="1"/>
      <c r="GDV240" s="1"/>
      <c r="GDW240" s="1"/>
      <c r="GDX240" s="1"/>
      <c r="GDY240" s="1"/>
      <c r="GDZ240" s="1"/>
      <c r="GEA240" s="1"/>
      <c r="GEB240" s="1"/>
      <c r="GEC240" s="1"/>
      <c r="GED240" s="1"/>
      <c r="GEE240" s="1"/>
      <c r="GEF240" s="1"/>
      <c r="GEG240" s="1"/>
      <c r="GEH240" s="1"/>
      <c r="GEI240" s="1"/>
      <c r="GEJ240" s="1"/>
      <c r="GEK240" s="1"/>
      <c r="GEL240" s="1"/>
      <c r="GEM240" s="1"/>
      <c r="GEN240" s="1"/>
      <c r="GEO240" s="1"/>
      <c r="GEP240" s="1"/>
      <c r="GEQ240" s="1"/>
      <c r="GER240" s="1"/>
      <c r="GES240" s="1"/>
      <c r="GET240" s="1"/>
      <c r="GEU240" s="1"/>
      <c r="GEV240" s="1"/>
      <c r="GEW240" s="1"/>
      <c r="GEX240" s="1"/>
      <c r="GEY240" s="1"/>
      <c r="GEZ240" s="1"/>
      <c r="GFA240" s="1"/>
      <c r="GFB240" s="1"/>
      <c r="GFC240" s="1"/>
      <c r="GFD240" s="1"/>
      <c r="GFE240" s="1"/>
      <c r="GFF240" s="1"/>
      <c r="GFG240" s="1"/>
      <c r="GFH240" s="1"/>
      <c r="GFI240" s="1"/>
      <c r="GFJ240" s="1"/>
      <c r="GFK240" s="1"/>
      <c r="GFL240" s="1"/>
      <c r="GFM240" s="1"/>
      <c r="GFN240" s="1"/>
      <c r="GFO240" s="1"/>
      <c r="GFP240" s="1"/>
      <c r="GFQ240" s="1"/>
      <c r="GFR240" s="1"/>
      <c r="GFS240" s="1"/>
      <c r="GFT240" s="1"/>
      <c r="GFU240" s="1"/>
      <c r="GFV240" s="1"/>
      <c r="GFW240" s="1"/>
      <c r="GFX240" s="1"/>
      <c r="GFY240" s="1"/>
      <c r="GFZ240" s="1"/>
      <c r="GGA240" s="1"/>
      <c r="GGB240" s="1"/>
      <c r="GGC240" s="1"/>
      <c r="GGD240" s="1"/>
      <c r="GGE240" s="1"/>
      <c r="GGF240" s="1"/>
      <c r="GGG240" s="1"/>
      <c r="GGH240" s="1"/>
      <c r="GGI240" s="1"/>
      <c r="GGJ240" s="1"/>
      <c r="GGK240" s="1"/>
      <c r="GGL240" s="1"/>
      <c r="GGM240" s="1"/>
      <c r="GGN240" s="1"/>
      <c r="GGO240" s="1"/>
      <c r="GGP240" s="1"/>
      <c r="GGQ240" s="1"/>
      <c r="GGR240" s="1"/>
      <c r="GGS240" s="1"/>
      <c r="GGT240" s="1"/>
      <c r="GGU240" s="1"/>
      <c r="GGV240" s="1"/>
      <c r="GGW240" s="1"/>
      <c r="GGX240" s="1"/>
      <c r="GGY240" s="1"/>
      <c r="GGZ240" s="1"/>
      <c r="GHA240" s="1"/>
      <c r="GHB240" s="1"/>
      <c r="GHC240" s="1"/>
      <c r="GHD240" s="1"/>
      <c r="GHE240" s="1"/>
      <c r="GHF240" s="1"/>
      <c r="GHG240" s="1"/>
      <c r="GHH240" s="1"/>
      <c r="GHI240" s="1"/>
      <c r="GHJ240" s="1"/>
      <c r="GHK240" s="1"/>
      <c r="GHL240" s="1"/>
      <c r="GHM240" s="1"/>
      <c r="GHN240" s="1"/>
      <c r="GHO240" s="1"/>
      <c r="GHP240" s="1"/>
      <c r="GHQ240" s="1"/>
      <c r="GHR240" s="1"/>
      <c r="GHS240" s="1"/>
      <c r="GHT240" s="1"/>
      <c r="GHU240" s="1"/>
      <c r="GHV240" s="1"/>
      <c r="GHW240" s="1"/>
      <c r="GHX240" s="1"/>
      <c r="GHY240" s="1"/>
      <c r="GHZ240" s="1"/>
      <c r="GIA240" s="1"/>
      <c r="GIB240" s="1"/>
      <c r="GIC240" s="1"/>
      <c r="GID240" s="1"/>
      <c r="GIE240" s="1"/>
      <c r="GIF240" s="1"/>
      <c r="GIG240" s="1"/>
      <c r="GIH240" s="1"/>
      <c r="GII240" s="1"/>
      <c r="GIJ240" s="1"/>
      <c r="GIK240" s="1"/>
      <c r="GIL240" s="1"/>
      <c r="GIM240" s="1"/>
      <c r="GIN240" s="1"/>
      <c r="GIO240" s="1"/>
      <c r="GIP240" s="1"/>
      <c r="GIQ240" s="1"/>
      <c r="GIR240" s="1"/>
      <c r="GIS240" s="1"/>
      <c r="GIT240" s="1"/>
      <c r="GIU240" s="1"/>
      <c r="GIV240" s="1"/>
      <c r="GIW240" s="1"/>
      <c r="GIX240" s="1"/>
      <c r="GIY240" s="1"/>
      <c r="GIZ240" s="1"/>
      <c r="GJA240" s="1"/>
      <c r="GJB240" s="1"/>
      <c r="GJC240" s="1"/>
      <c r="GJD240" s="1"/>
      <c r="GJE240" s="1"/>
      <c r="GJF240" s="1"/>
      <c r="GJG240" s="1"/>
      <c r="GJH240" s="1"/>
      <c r="GJI240" s="1"/>
      <c r="GJJ240" s="1"/>
      <c r="GJK240" s="1"/>
      <c r="GJL240" s="1"/>
      <c r="GJM240" s="1"/>
      <c r="GJN240" s="1"/>
      <c r="GJO240" s="1"/>
      <c r="GJP240" s="1"/>
      <c r="GJQ240" s="1"/>
      <c r="GJR240" s="1"/>
      <c r="GJS240" s="1"/>
      <c r="GJT240" s="1"/>
      <c r="GJU240" s="1"/>
      <c r="GJV240" s="1"/>
      <c r="GJW240" s="1"/>
      <c r="GJX240" s="1"/>
      <c r="GJY240" s="1"/>
      <c r="GJZ240" s="1"/>
      <c r="GKA240" s="1"/>
      <c r="GKB240" s="1"/>
      <c r="GKC240" s="1"/>
      <c r="GKD240" s="1"/>
      <c r="GKE240" s="1"/>
      <c r="GKF240" s="1"/>
      <c r="GKG240" s="1"/>
      <c r="GKH240" s="1"/>
      <c r="GKI240" s="1"/>
      <c r="GKJ240" s="1"/>
      <c r="GKK240" s="1"/>
      <c r="GKL240" s="1"/>
      <c r="GKM240" s="1"/>
      <c r="GKN240" s="1"/>
      <c r="GKO240" s="1"/>
      <c r="GKP240" s="1"/>
      <c r="GKQ240" s="1"/>
      <c r="GKR240" s="1"/>
      <c r="GKS240" s="1"/>
      <c r="GKT240" s="1"/>
      <c r="GKU240" s="1"/>
      <c r="GKV240" s="1"/>
      <c r="GKW240" s="1"/>
      <c r="GKX240" s="1"/>
      <c r="GKY240" s="1"/>
      <c r="GKZ240" s="1"/>
      <c r="GLA240" s="1"/>
      <c r="GLB240" s="1"/>
      <c r="GLC240" s="1"/>
      <c r="GLD240" s="1"/>
      <c r="GLE240" s="1"/>
      <c r="GLF240" s="1"/>
      <c r="GLG240" s="1"/>
      <c r="GLH240" s="1"/>
      <c r="GLI240" s="1"/>
      <c r="GLJ240" s="1"/>
      <c r="GLK240" s="1"/>
      <c r="GLL240" s="1"/>
      <c r="GLM240" s="1"/>
      <c r="GLN240" s="1"/>
      <c r="GLO240" s="1"/>
      <c r="GLP240" s="1"/>
      <c r="GLQ240" s="1"/>
      <c r="GLR240" s="1"/>
      <c r="GLS240" s="1"/>
      <c r="GLT240" s="1"/>
      <c r="GLU240" s="1"/>
      <c r="GLV240" s="1"/>
      <c r="GLW240" s="1"/>
      <c r="GLX240" s="1"/>
      <c r="GLY240" s="1"/>
      <c r="GLZ240" s="1"/>
      <c r="GMA240" s="1"/>
      <c r="GMB240" s="1"/>
      <c r="GMC240" s="1"/>
      <c r="GMD240" s="1"/>
      <c r="GME240" s="1"/>
      <c r="GMF240" s="1"/>
      <c r="GMG240" s="1"/>
      <c r="GMH240" s="1"/>
      <c r="GMI240" s="1"/>
      <c r="GMJ240" s="1"/>
      <c r="GMK240" s="1"/>
      <c r="GML240" s="1"/>
      <c r="GMM240" s="1"/>
      <c r="GMN240" s="1"/>
      <c r="GMO240" s="1"/>
      <c r="GMP240" s="1"/>
      <c r="GMQ240" s="1"/>
      <c r="GMR240" s="1"/>
      <c r="GMS240" s="1"/>
      <c r="GMT240" s="1"/>
      <c r="GMU240" s="1"/>
      <c r="GMV240" s="1"/>
      <c r="GMW240" s="1"/>
      <c r="GMX240" s="1"/>
      <c r="GMY240" s="1"/>
      <c r="GMZ240" s="1"/>
      <c r="GNA240" s="1"/>
      <c r="GNB240" s="1"/>
      <c r="GNC240" s="1"/>
      <c r="GND240" s="1"/>
      <c r="GNE240" s="1"/>
      <c r="GNF240" s="1"/>
      <c r="GNG240" s="1"/>
      <c r="GNH240" s="1"/>
      <c r="GNI240" s="1"/>
      <c r="GNJ240" s="1"/>
      <c r="GNK240" s="1"/>
      <c r="GNL240" s="1"/>
      <c r="GNM240" s="1"/>
      <c r="GNN240" s="1"/>
      <c r="GNO240" s="1"/>
      <c r="GNP240" s="1"/>
      <c r="GNQ240" s="1"/>
      <c r="GNR240" s="1"/>
      <c r="GNS240" s="1"/>
      <c r="GNT240" s="1"/>
      <c r="GNU240" s="1"/>
      <c r="GNV240" s="1"/>
      <c r="GNW240" s="1"/>
      <c r="GNX240" s="1"/>
      <c r="GNY240" s="1"/>
      <c r="GNZ240" s="1"/>
      <c r="GOA240" s="1"/>
      <c r="GOB240" s="1"/>
      <c r="GOC240" s="1"/>
      <c r="GOD240" s="1"/>
      <c r="GOE240" s="1"/>
      <c r="GOF240" s="1"/>
      <c r="GOG240" s="1"/>
      <c r="GOH240" s="1"/>
      <c r="GOI240" s="1"/>
      <c r="GOJ240" s="1"/>
      <c r="GOK240" s="1"/>
      <c r="GOL240" s="1"/>
      <c r="GOM240" s="1"/>
      <c r="GON240" s="1"/>
      <c r="GOO240" s="1"/>
      <c r="GOP240" s="1"/>
      <c r="GOQ240" s="1"/>
      <c r="GOR240" s="1"/>
      <c r="GOS240" s="1"/>
      <c r="GOT240" s="1"/>
      <c r="GOU240" s="1"/>
      <c r="GOV240" s="1"/>
      <c r="GOW240" s="1"/>
      <c r="GOX240" s="1"/>
      <c r="GOY240" s="1"/>
      <c r="GOZ240" s="1"/>
      <c r="GPA240" s="1"/>
      <c r="GPB240" s="1"/>
      <c r="GPC240" s="1"/>
      <c r="GPD240" s="1"/>
      <c r="GPE240" s="1"/>
      <c r="GPF240" s="1"/>
      <c r="GPG240" s="1"/>
      <c r="GPH240" s="1"/>
      <c r="GPI240" s="1"/>
      <c r="GPJ240" s="1"/>
      <c r="GPK240" s="1"/>
      <c r="GPL240" s="1"/>
      <c r="GPM240" s="1"/>
      <c r="GPN240" s="1"/>
      <c r="GPO240" s="1"/>
      <c r="GPP240" s="1"/>
      <c r="GPQ240" s="1"/>
      <c r="GPR240" s="1"/>
      <c r="GPS240" s="1"/>
      <c r="GPT240" s="1"/>
      <c r="GPU240" s="1"/>
      <c r="GPV240" s="1"/>
      <c r="GPW240" s="1"/>
      <c r="GPX240" s="1"/>
      <c r="GPY240" s="1"/>
      <c r="GPZ240" s="1"/>
      <c r="GQA240" s="1"/>
      <c r="GQB240" s="1"/>
      <c r="GQC240" s="1"/>
      <c r="GQD240" s="1"/>
      <c r="GQE240" s="1"/>
      <c r="GQF240" s="1"/>
      <c r="GQG240" s="1"/>
      <c r="GQH240" s="1"/>
      <c r="GQI240" s="1"/>
      <c r="GQJ240" s="1"/>
      <c r="GQK240" s="1"/>
      <c r="GQL240" s="1"/>
      <c r="GQM240" s="1"/>
      <c r="GQN240" s="1"/>
      <c r="GQO240" s="1"/>
      <c r="GQP240" s="1"/>
      <c r="GQQ240" s="1"/>
      <c r="GQR240" s="1"/>
      <c r="GQS240" s="1"/>
      <c r="GQT240" s="1"/>
      <c r="GQU240" s="1"/>
      <c r="GQV240" s="1"/>
      <c r="GQW240" s="1"/>
      <c r="GQX240" s="1"/>
      <c r="GQY240" s="1"/>
      <c r="GQZ240" s="1"/>
      <c r="GRA240" s="1"/>
      <c r="GRB240" s="1"/>
      <c r="GRC240" s="1"/>
      <c r="GRD240" s="1"/>
      <c r="GRE240" s="1"/>
      <c r="GRF240" s="1"/>
      <c r="GRG240" s="1"/>
      <c r="GRH240" s="1"/>
      <c r="GRI240" s="1"/>
      <c r="GRJ240" s="1"/>
      <c r="GRK240" s="1"/>
      <c r="GRL240" s="1"/>
      <c r="GRM240" s="1"/>
      <c r="GRN240" s="1"/>
      <c r="GRO240" s="1"/>
      <c r="GRP240" s="1"/>
      <c r="GRQ240" s="1"/>
      <c r="GRR240" s="1"/>
      <c r="GRS240" s="1"/>
      <c r="GRT240" s="1"/>
      <c r="GRU240" s="1"/>
      <c r="GRV240" s="1"/>
      <c r="GRW240" s="1"/>
      <c r="GRX240" s="1"/>
      <c r="GRY240" s="1"/>
      <c r="GRZ240" s="1"/>
      <c r="GSA240" s="1"/>
      <c r="GSB240" s="1"/>
      <c r="GSC240" s="1"/>
      <c r="GSD240" s="1"/>
      <c r="GSE240" s="1"/>
      <c r="GSF240" s="1"/>
      <c r="GSG240" s="1"/>
      <c r="GSH240" s="1"/>
      <c r="GSI240" s="1"/>
      <c r="GSJ240" s="1"/>
      <c r="GSK240" s="1"/>
      <c r="GSL240" s="1"/>
      <c r="GSM240" s="1"/>
      <c r="GSN240" s="1"/>
      <c r="GSO240" s="1"/>
      <c r="GSP240" s="1"/>
      <c r="GSQ240" s="1"/>
      <c r="GSR240" s="1"/>
      <c r="GSS240" s="1"/>
      <c r="GST240" s="1"/>
      <c r="GSU240" s="1"/>
      <c r="GSV240" s="1"/>
      <c r="GSW240" s="1"/>
      <c r="GSX240" s="1"/>
      <c r="GSY240" s="1"/>
      <c r="GSZ240" s="1"/>
      <c r="GTA240" s="1"/>
      <c r="GTB240" s="1"/>
      <c r="GTC240" s="1"/>
      <c r="GTD240" s="1"/>
      <c r="GTE240" s="1"/>
      <c r="GTF240" s="1"/>
      <c r="GTG240" s="1"/>
      <c r="GTH240" s="1"/>
      <c r="GTI240" s="1"/>
      <c r="GTJ240" s="1"/>
      <c r="GTK240" s="1"/>
      <c r="GTL240" s="1"/>
      <c r="GTM240" s="1"/>
      <c r="GTN240" s="1"/>
      <c r="GTO240" s="1"/>
      <c r="GTP240" s="1"/>
      <c r="GTQ240" s="1"/>
      <c r="GTR240" s="1"/>
      <c r="GTS240" s="1"/>
      <c r="GTT240" s="1"/>
      <c r="GTU240" s="1"/>
      <c r="GTV240" s="1"/>
      <c r="GTW240" s="1"/>
      <c r="GTX240" s="1"/>
      <c r="GTY240" s="1"/>
      <c r="GTZ240" s="1"/>
      <c r="GUA240" s="1"/>
      <c r="GUB240" s="1"/>
      <c r="GUC240" s="1"/>
      <c r="GUD240" s="1"/>
      <c r="GUE240" s="1"/>
      <c r="GUF240" s="1"/>
      <c r="GUG240" s="1"/>
      <c r="GUH240" s="1"/>
      <c r="GUI240" s="1"/>
      <c r="GUJ240" s="1"/>
      <c r="GUK240" s="1"/>
      <c r="GUL240" s="1"/>
      <c r="GUM240" s="1"/>
      <c r="GUN240" s="1"/>
      <c r="GUO240" s="1"/>
      <c r="GUP240" s="1"/>
      <c r="GUQ240" s="1"/>
      <c r="GUR240" s="1"/>
      <c r="GUS240" s="1"/>
      <c r="GUT240" s="1"/>
      <c r="GUU240" s="1"/>
      <c r="GUV240" s="1"/>
      <c r="GUW240" s="1"/>
      <c r="GUX240" s="1"/>
      <c r="GUY240" s="1"/>
      <c r="GUZ240" s="1"/>
      <c r="GVA240" s="1"/>
      <c r="GVB240" s="1"/>
      <c r="GVC240" s="1"/>
      <c r="GVD240" s="1"/>
      <c r="GVE240" s="1"/>
      <c r="GVF240" s="1"/>
      <c r="GVG240" s="1"/>
      <c r="GVH240" s="1"/>
      <c r="GVI240" s="1"/>
      <c r="GVJ240" s="1"/>
      <c r="GVK240" s="1"/>
      <c r="GVL240" s="1"/>
      <c r="GVM240" s="1"/>
      <c r="GVN240" s="1"/>
      <c r="GVO240" s="1"/>
      <c r="GVP240" s="1"/>
      <c r="GVQ240" s="1"/>
      <c r="GVR240" s="1"/>
      <c r="GVS240" s="1"/>
      <c r="GVT240" s="1"/>
      <c r="GVU240" s="1"/>
      <c r="GVV240" s="1"/>
      <c r="GVW240" s="1"/>
      <c r="GVX240" s="1"/>
      <c r="GVY240" s="1"/>
      <c r="GVZ240" s="1"/>
      <c r="GWA240" s="1"/>
      <c r="GWB240" s="1"/>
      <c r="GWC240" s="1"/>
      <c r="GWD240" s="1"/>
      <c r="GWE240" s="1"/>
      <c r="GWF240" s="1"/>
      <c r="GWG240" s="1"/>
      <c r="GWH240" s="1"/>
      <c r="GWI240" s="1"/>
      <c r="GWJ240" s="1"/>
      <c r="GWK240" s="1"/>
      <c r="GWL240" s="1"/>
      <c r="GWM240" s="1"/>
      <c r="GWN240" s="1"/>
      <c r="GWO240" s="1"/>
      <c r="GWP240" s="1"/>
      <c r="GWQ240" s="1"/>
      <c r="GWR240" s="1"/>
      <c r="GWS240" s="1"/>
      <c r="GWT240" s="1"/>
      <c r="GWU240" s="1"/>
      <c r="GWV240" s="1"/>
      <c r="GWW240" s="1"/>
      <c r="GWX240" s="1"/>
      <c r="GWY240" s="1"/>
      <c r="GWZ240" s="1"/>
      <c r="GXA240" s="1"/>
      <c r="GXB240" s="1"/>
      <c r="GXC240" s="1"/>
      <c r="GXD240" s="1"/>
      <c r="GXE240" s="1"/>
      <c r="GXF240" s="1"/>
      <c r="GXG240" s="1"/>
      <c r="GXH240" s="1"/>
      <c r="GXI240" s="1"/>
      <c r="GXJ240" s="1"/>
      <c r="GXK240" s="1"/>
      <c r="GXL240" s="1"/>
      <c r="GXM240" s="1"/>
      <c r="GXN240" s="1"/>
      <c r="GXO240" s="1"/>
      <c r="GXP240" s="1"/>
      <c r="GXQ240" s="1"/>
      <c r="GXR240" s="1"/>
      <c r="GXS240" s="1"/>
      <c r="GXT240" s="1"/>
      <c r="GXU240" s="1"/>
      <c r="GXV240" s="1"/>
      <c r="GXW240" s="1"/>
      <c r="GXX240" s="1"/>
      <c r="GXY240" s="1"/>
      <c r="GXZ240" s="1"/>
      <c r="GYA240" s="1"/>
      <c r="GYB240" s="1"/>
      <c r="GYC240" s="1"/>
      <c r="GYD240" s="1"/>
      <c r="GYE240" s="1"/>
      <c r="GYF240" s="1"/>
      <c r="GYG240" s="1"/>
      <c r="GYH240" s="1"/>
      <c r="GYI240" s="1"/>
      <c r="GYJ240" s="1"/>
      <c r="GYK240" s="1"/>
      <c r="GYL240" s="1"/>
      <c r="GYM240" s="1"/>
      <c r="GYN240" s="1"/>
      <c r="GYO240" s="1"/>
      <c r="GYP240" s="1"/>
      <c r="GYQ240" s="1"/>
      <c r="GYR240" s="1"/>
      <c r="GYS240" s="1"/>
      <c r="GYT240" s="1"/>
      <c r="GYU240" s="1"/>
      <c r="GYV240" s="1"/>
      <c r="GYW240" s="1"/>
      <c r="GYX240" s="1"/>
      <c r="GYY240" s="1"/>
      <c r="GYZ240" s="1"/>
      <c r="GZA240" s="1"/>
      <c r="GZB240" s="1"/>
      <c r="GZC240" s="1"/>
      <c r="GZD240" s="1"/>
      <c r="GZE240" s="1"/>
      <c r="GZF240" s="1"/>
      <c r="GZG240" s="1"/>
      <c r="GZH240" s="1"/>
      <c r="GZI240" s="1"/>
      <c r="GZJ240" s="1"/>
      <c r="GZK240" s="1"/>
      <c r="GZL240" s="1"/>
      <c r="GZM240" s="1"/>
      <c r="GZN240" s="1"/>
      <c r="GZO240" s="1"/>
      <c r="GZP240" s="1"/>
      <c r="GZQ240" s="1"/>
      <c r="GZR240" s="1"/>
      <c r="GZS240" s="1"/>
      <c r="GZT240" s="1"/>
      <c r="GZU240" s="1"/>
      <c r="GZV240" s="1"/>
      <c r="GZW240" s="1"/>
      <c r="GZX240" s="1"/>
      <c r="GZY240" s="1"/>
      <c r="GZZ240" s="1"/>
      <c r="HAA240" s="1"/>
      <c r="HAB240" s="1"/>
      <c r="HAC240" s="1"/>
      <c r="HAD240" s="1"/>
      <c r="HAE240" s="1"/>
      <c r="HAF240" s="1"/>
      <c r="HAG240" s="1"/>
      <c r="HAH240" s="1"/>
      <c r="HAI240" s="1"/>
      <c r="HAJ240" s="1"/>
      <c r="HAK240" s="1"/>
      <c r="HAL240" s="1"/>
      <c r="HAM240" s="1"/>
      <c r="HAN240" s="1"/>
      <c r="HAO240" s="1"/>
      <c r="HAP240" s="1"/>
      <c r="HAQ240" s="1"/>
      <c r="HAR240" s="1"/>
      <c r="HAS240" s="1"/>
      <c r="HAT240" s="1"/>
      <c r="HAU240" s="1"/>
      <c r="HAV240" s="1"/>
      <c r="HAW240" s="1"/>
      <c r="HAX240" s="1"/>
      <c r="HAY240" s="1"/>
      <c r="HAZ240" s="1"/>
      <c r="HBA240" s="1"/>
      <c r="HBB240" s="1"/>
      <c r="HBC240" s="1"/>
      <c r="HBD240" s="1"/>
      <c r="HBE240" s="1"/>
      <c r="HBF240" s="1"/>
      <c r="HBG240" s="1"/>
      <c r="HBH240" s="1"/>
      <c r="HBI240" s="1"/>
      <c r="HBJ240" s="1"/>
      <c r="HBK240" s="1"/>
      <c r="HBL240" s="1"/>
      <c r="HBM240" s="1"/>
      <c r="HBN240" s="1"/>
      <c r="HBO240" s="1"/>
      <c r="HBP240" s="1"/>
      <c r="HBQ240" s="1"/>
      <c r="HBR240" s="1"/>
      <c r="HBS240" s="1"/>
      <c r="HBT240" s="1"/>
      <c r="HBU240" s="1"/>
      <c r="HBV240" s="1"/>
      <c r="HBW240" s="1"/>
      <c r="HBX240" s="1"/>
      <c r="HBY240" s="1"/>
      <c r="HBZ240" s="1"/>
      <c r="HCA240" s="1"/>
      <c r="HCB240" s="1"/>
      <c r="HCC240" s="1"/>
      <c r="HCD240" s="1"/>
      <c r="HCE240" s="1"/>
      <c r="HCF240" s="1"/>
      <c r="HCG240" s="1"/>
      <c r="HCH240" s="1"/>
      <c r="HCI240" s="1"/>
      <c r="HCJ240" s="1"/>
      <c r="HCK240" s="1"/>
      <c r="HCL240" s="1"/>
      <c r="HCM240" s="1"/>
      <c r="HCN240" s="1"/>
      <c r="HCO240" s="1"/>
      <c r="HCP240" s="1"/>
      <c r="HCQ240" s="1"/>
      <c r="HCR240" s="1"/>
      <c r="HCS240" s="1"/>
      <c r="HCT240" s="1"/>
      <c r="HCU240" s="1"/>
      <c r="HCV240" s="1"/>
      <c r="HCW240" s="1"/>
      <c r="HCX240" s="1"/>
      <c r="HCY240" s="1"/>
      <c r="HCZ240" s="1"/>
      <c r="HDA240" s="1"/>
      <c r="HDB240" s="1"/>
      <c r="HDC240" s="1"/>
      <c r="HDD240" s="1"/>
      <c r="HDE240" s="1"/>
      <c r="HDF240" s="1"/>
      <c r="HDG240" s="1"/>
      <c r="HDH240" s="1"/>
      <c r="HDI240" s="1"/>
      <c r="HDJ240" s="1"/>
      <c r="HDK240" s="1"/>
      <c r="HDL240" s="1"/>
      <c r="HDM240" s="1"/>
      <c r="HDN240" s="1"/>
      <c r="HDO240" s="1"/>
      <c r="HDP240" s="1"/>
      <c r="HDQ240" s="1"/>
      <c r="HDR240" s="1"/>
      <c r="HDS240" s="1"/>
      <c r="HDT240" s="1"/>
      <c r="HDU240" s="1"/>
      <c r="HDV240" s="1"/>
      <c r="HDW240" s="1"/>
      <c r="HDX240" s="1"/>
      <c r="HDY240" s="1"/>
      <c r="HDZ240" s="1"/>
      <c r="HEA240" s="1"/>
      <c r="HEB240" s="1"/>
      <c r="HEC240" s="1"/>
      <c r="HED240" s="1"/>
      <c r="HEE240" s="1"/>
      <c r="HEF240" s="1"/>
      <c r="HEG240" s="1"/>
      <c r="HEH240" s="1"/>
      <c r="HEI240" s="1"/>
      <c r="HEJ240" s="1"/>
      <c r="HEK240" s="1"/>
      <c r="HEL240" s="1"/>
      <c r="HEM240" s="1"/>
      <c r="HEN240" s="1"/>
      <c r="HEO240" s="1"/>
      <c r="HEP240" s="1"/>
      <c r="HEQ240" s="1"/>
      <c r="HER240" s="1"/>
      <c r="HES240" s="1"/>
      <c r="HET240" s="1"/>
      <c r="HEU240" s="1"/>
      <c r="HEV240" s="1"/>
      <c r="HEW240" s="1"/>
      <c r="HEX240" s="1"/>
      <c r="HEY240" s="1"/>
      <c r="HEZ240" s="1"/>
      <c r="HFA240" s="1"/>
      <c r="HFB240" s="1"/>
      <c r="HFC240" s="1"/>
      <c r="HFD240" s="1"/>
      <c r="HFE240" s="1"/>
      <c r="HFF240" s="1"/>
      <c r="HFG240" s="1"/>
      <c r="HFH240" s="1"/>
      <c r="HFI240" s="1"/>
      <c r="HFJ240" s="1"/>
      <c r="HFK240" s="1"/>
      <c r="HFL240" s="1"/>
      <c r="HFM240" s="1"/>
      <c r="HFN240" s="1"/>
      <c r="HFO240" s="1"/>
      <c r="HFP240" s="1"/>
      <c r="HFQ240" s="1"/>
      <c r="HFR240" s="1"/>
      <c r="HFS240" s="1"/>
      <c r="HFT240" s="1"/>
      <c r="HFU240" s="1"/>
      <c r="HFV240" s="1"/>
      <c r="HFW240" s="1"/>
      <c r="HFX240" s="1"/>
      <c r="HFY240" s="1"/>
      <c r="HFZ240" s="1"/>
      <c r="HGA240" s="1"/>
      <c r="HGB240" s="1"/>
      <c r="HGC240" s="1"/>
      <c r="HGD240" s="1"/>
      <c r="HGE240" s="1"/>
      <c r="HGF240" s="1"/>
      <c r="HGG240" s="1"/>
      <c r="HGH240" s="1"/>
      <c r="HGI240" s="1"/>
      <c r="HGJ240" s="1"/>
      <c r="HGK240" s="1"/>
      <c r="HGL240" s="1"/>
      <c r="HGM240" s="1"/>
      <c r="HGN240" s="1"/>
      <c r="HGO240" s="1"/>
      <c r="HGP240" s="1"/>
      <c r="HGQ240" s="1"/>
      <c r="HGR240" s="1"/>
      <c r="HGS240" s="1"/>
      <c r="HGT240" s="1"/>
      <c r="HGU240" s="1"/>
      <c r="HGV240" s="1"/>
      <c r="HGW240" s="1"/>
      <c r="HGX240" s="1"/>
      <c r="HGY240" s="1"/>
      <c r="HGZ240" s="1"/>
      <c r="HHA240" s="1"/>
      <c r="HHB240" s="1"/>
      <c r="HHC240" s="1"/>
      <c r="HHD240" s="1"/>
      <c r="HHE240" s="1"/>
      <c r="HHF240" s="1"/>
      <c r="HHG240" s="1"/>
      <c r="HHH240" s="1"/>
      <c r="HHI240" s="1"/>
      <c r="HHJ240" s="1"/>
      <c r="HHK240" s="1"/>
      <c r="HHL240" s="1"/>
      <c r="HHM240" s="1"/>
      <c r="HHN240" s="1"/>
      <c r="HHO240" s="1"/>
      <c r="HHP240" s="1"/>
      <c r="HHQ240" s="1"/>
      <c r="HHR240" s="1"/>
      <c r="HHS240" s="1"/>
      <c r="HHT240" s="1"/>
      <c r="HHU240" s="1"/>
      <c r="HHV240" s="1"/>
      <c r="HHW240" s="1"/>
      <c r="HHX240" s="1"/>
      <c r="HHY240" s="1"/>
      <c r="HHZ240" s="1"/>
      <c r="HIA240" s="1"/>
      <c r="HIB240" s="1"/>
      <c r="HIC240" s="1"/>
      <c r="HID240" s="1"/>
      <c r="HIE240" s="1"/>
      <c r="HIF240" s="1"/>
      <c r="HIG240" s="1"/>
      <c r="HIH240" s="1"/>
      <c r="HII240" s="1"/>
      <c r="HIJ240" s="1"/>
      <c r="HIK240" s="1"/>
      <c r="HIL240" s="1"/>
      <c r="HIM240" s="1"/>
      <c r="HIN240" s="1"/>
      <c r="HIO240" s="1"/>
      <c r="HIP240" s="1"/>
      <c r="HIQ240" s="1"/>
      <c r="HIR240" s="1"/>
      <c r="HIS240" s="1"/>
      <c r="HIT240" s="1"/>
      <c r="HIU240" s="1"/>
      <c r="HIV240" s="1"/>
      <c r="HIW240" s="1"/>
      <c r="HIX240" s="1"/>
      <c r="HIY240" s="1"/>
      <c r="HIZ240" s="1"/>
      <c r="HJA240" s="1"/>
      <c r="HJB240" s="1"/>
      <c r="HJC240" s="1"/>
      <c r="HJD240" s="1"/>
      <c r="HJE240" s="1"/>
      <c r="HJF240" s="1"/>
      <c r="HJG240" s="1"/>
      <c r="HJH240" s="1"/>
      <c r="HJI240" s="1"/>
      <c r="HJJ240" s="1"/>
      <c r="HJK240" s="1"/>
      <c r="HJL240" s="1"/>
      <c r="HJM240" s="1"/>
      <c r="HJN240" s="1"/>
      <c r="HJO240" s="1"/>
      <c r="HJP240" s="1"/>
      <c r="HJQ240" s="1"/>
      <c r="HJR240" s="1"/>
      <c r="HJS240" s="1"/>
      <c r="HJT240" s="1"/>
      <c r="HJU240" s="1"/>
      <c r="HJV240" s="1"/>
      <c r="HJW240" s="1"/>
      <c r="HJX240" s="1"/>
      <c r="HJY240" s="1"/>
      <c r="HJZ240" s="1"/>
      <c r="HKA240" s="1"/>
      <c r="HKB240" s="1"/>
      <c r="HKC240" s="1"/>
      <c r="HKD240" s="1"/>
      <c r="HKE240" s="1"/>
      <c r="HKF240" s="1"/>
      <c r="HKG240" s="1"/>
      <c r="HKH240" s="1"/>
      <c r="HKI240" s="1"/>
      <c r="HKJ240" s="1"/>
      <c r="HKK240" s="1"/>
      <c r="HKL240" s="1"/>
      <c r="HKM240" s="1"/>
      <c r="HKN240" s="1"/>
      <c r="HKO240" s="1"/>
      <c r="HKP240" s="1"/>
      <c r="HKQ240" s="1"/>
      <c r="HKR240" s="1"/>
      <c r="HKS240" s="1"/>
      <c r="HKT240" s="1"/>
      <c r="HKU240" s="1"/>
      <c r="HKV240" s="1"/>
      <c r="HKW240" s="1"/>
      <c r="HKX240" s="1"/>
      <c r="HKY240" s="1"/>
      <c r="HKZ240" s="1"/>
      <c r="HLA240" s="1"/>
      <c r="HLB240" s="1"/>
      <c r="HLC240" s="1"/>
      <c r="HLD240" s="1"/>
      <c r="HLE240" s="1"/>
      <c r="HLF240" s="1"/>
      <c r="HLG240" s="1"/>
      <c r="HLH240" s="1"/>
      <c r="HLI240" s="1"/>
      <c r="HLJ240" s="1"/>
      <c r="HLK240" s="1"/>
      <c r="HLL240" s="1"/>
      <c r="HLM240" s="1"/>
      <c r="HLN240" s="1"/>
      <c r="HLO240" s="1"/>
      <c r="HLP240" s="1"/>
      <c r="HLQ240" s="1"/>
      <c r="HLR240" s="1"/>
      <c r="HLS240" s="1"/>
      <c r="HLT240" s="1"/>
      <c r="HLU240" s="1"/>
      <c r="HLV240" s="1"/>
      <c r="HLW240" s="1"/>
      <c r="HLX240" s="1"/>
      <c r="HLY240" s="1"/>
      <c r="HLZ240" s="1"/>
      <c r="HMA240" s="1"/>
      <c r="HMB240" s="1"/>
      <c r="HMC240" s="1"/>
      <c r="HMD240" s="1"/>
      <c r="HME240" s="1"/>
      <c r="HMF240" s="1"/>
      <c r="HMG240" s="1"/>
      <c r="HMH240" s="1"/>
      <c r="HMI240" s="1"/>
      <c r="HMJ240" s="1"/>
      <c r="HMK240" s="1"/>
      <c r="HML240" s="1"/>
      <c r="HMM240" s="1"/>
      <c r="HMN240" s="1"/>
      <c r="HMO240" s="1"/>
      <c r="HMP240" s="1"/>
      <c r="HMQ240" s="1"/>
      <c r="HMR240" s="1"/>
      <c r="HMS240" s="1"/>
      <c r="HMT240" s="1"/>
      <c r="HMU240" s="1"/>
      <c r="HMV240" s="1"/>
      <c r="HMW240" s="1"/>
      <c r="HMX240" s="1"/>
      <c r="HMY240" s="1"/>
      <c r="HMZ240" s="1"/>
      <c r="HNA240" s="1"/>
      <c r="HNB240" s="1"/>
      <c r="HNC240" s="1"/>
      <c r="HND240" s="1"/>
      <c r="HNE240" s="1"/>
      <c r="HNF240" s="1"/>
      <c r="HNG240" s="1"/>
      <c r="HNH240" s="1"/>
      <c r="HNI240" s="1"/>
      <c r="HNJ240" s="1"/>
      <c r="HNK240" s="1"/>
      <c r="HNL240" s="1"/>
      <c r="HNM240" s="1"/>
      <c r="HNN240" s="1"/>
      <c r="HNO240" s="1"/>
      <c r="HNP240" s="1"/>
      <c r="HNQ240" s="1"/>
      <c r="HNR240" s="1"/>
      <c r="HNS240" s="1"/>
      <c r="HNT240" s="1"/>
      <c r="HNU240" s="1"/>
      <c r="HNV240" s="1"/>
      <c r="HNW240" s="1"/>
      <c r="HNX240" s="1"/>
      <c r="HNY240" s="1"/>
      <c r="HNZ240" s="1"/>
      <c r="HOA240" s="1"/>
      <c r="HOB240" s="1"/>
      <c r="HOC240" s="1"/>
      <c r="HOD240" s="1"/>
      <c r="HOE240" s="1"/>
      <c r="HOF240" s="1"/>
      <c r="HOG240" s="1"/>
      <c r="HOH240" s="1"/>
      <c r="HOI240" s="1"/>
      <c r="HOJ240" s="1"/>
      <c r="HOK240" s="1"/>
      <c r="HOL240" s="1"/>
      <c r="HOM240" s="1"/>
      <c r="HON240" s="1"/>
      <c r="HOO240" s="1"/>
      <c r="HOP240" s="1"/>
      <c r="HOQ240" s="1"/>
      <c r="HOR240" s="1"/>
      <c r="HOS240" s="1"/>
      <c r="HOT240" s="1"/>
      <c r="HOU240" s="1"/>
      <c r="HOV240" s="1"/>
      <c r="HOW240" s="1"/>
      <c r="HOX240" s="1"/>
      <c r="HOY240" s="1"/>
      <c r="HOZ240" s="1"/>
      <c r="HPA240" s="1"/>
      <c r="HPB240" s="1"/>
      <c r="HPC240" s="1"/>
      <c r="HPD240" s="1"/>
      <c r="HPE240" s="1"/>
      <c r="HPF240" s="1"/>
      <c r="HPG240" s="1"/>
      <c r="HPH240" s="1"/>
      <c r="HPI240" s="1"/>
      <c r="HPJ240" s="1"/>
      <c r="HPK240" s="1"/>
      <c r="HPL240" s="1"/>
      <c r="HPM240" s="1"/>
      <c r="HPN240" s="1"/>
      <c r="HPO240" s="1"/>
      <c r="HPP240" s="1"/>
      <c r="HPQ240" s="1"/>
      <c r="HPR240" s="1"/>
      <c r="HPS240" s="1"/>
      <c r="HPT240" s="1"/>
      <c r="HPU240" s="1"/>
      <c r="HPV240" s="1"/>
      <c r="HPW240" s="1"/>
      <c r="HPX240" s="1"/>
      <c r="HPY240" s="1"/>
      <c r="HPZ240" s="1"/>
      <c r="HQA240" s="1"/>
      <c r="HQB240" s="1"/>
      <c r="HQC240" s="1"/>
      <c r="HQD240" s="1"/>
      <c r="HQE240" s="1"/>
      <c r="HQF240" s="1"/>
      <c r="HQG240" s="1"/>
      <c r="HQH240" s="1"/>
      <c r="HQI240" s="1"/>
      <c r="HQJ240" s="1"/>
      <c r="HQK240" s="1"/>
      <c r="HQL240" s="1"/>
      <c r="HQM240" s="1"/>
      <c r="HQN240" s="1"/>
      <c r="HQO240" s="1"/>
      <c r="HQP240" s="1"/>
      <c r="HQQ240" s="1"/>
      <c r="HQR240" s="1"/>
      <c r="HQS240" s="1"/>
      <c r="HQT240" s="1"/>
      <c r="HQU240" s="1"/>
      <c r="HQV240" s="1"/>
      <c r="HQW240" s="1"/>
      <c r="HQX240" s="1"/>
      <c r="HQY240" s="1"/>
      <c r="HQZ240" s="1"/>
      <c r="HRA240" s="1"/>
      <c r="HRB240" s="1"/>
      <c r="HRC240" s="1"/>
      <c r="HRD240" s="1"/>
      <c r="HRE240" s="1"/>
      <c r="HRF240" s="1"/>
      <c r="HRG240" s="1"/>
      <c r="HRH240" s="1"/>
      <c r="HRI240" s="1"/>
      <c r="HRJ240" s="1"/>
      <c r="HRK240" s="1"/>
      <c r="HRL240" s="1"/>
      <c r="HRM240" s="1"/>
      <c r="HRN240" s="1"/>
      <c r="HRO240" s="1"/>
      <c r="HRP240" s="1"/>
      <c r="HRQ240" s="1"/>
      <c r="HRR240" s="1"/>
      <c r="HRS240" s="1"/>
      <c r="HRT240" s="1"/>
      <c r="HRU240" s="1"/>
      <c r="HRV240" s="1"/>
      <c r="HRW240" s="1"/>
      <c r="HRX240" s="1"/>
      <c r="HRY240" s="1"/>
      <c r="HRZ240" s="1"/>
      <c r="HSA240" s="1"/>
      <c r="HSB240" s="1"/>
      <c r="HSC240" s="1"/>
      <c r="HSD240" s="1"/>
      <c r="HSE240" s="1"/>
      <c r="HSF240" s="1"/>
      <c r="HSG240" s="1"/>
      <c r="HSH240" s="1"/>
      <c r="HSI240" s="1"/>
      <c r="HSJ240" s="1"/>
      <c r="HSK240" s="1"/>
      <c r="HSL240" s="1"/>
      <c r="HSM240" s="1"/>
      <c r="HSN240" s="1"/>
      <c r="HSO240" s="1"/>
      <c r="HSP240" s="1"/>
      <c r="HSQ240" s="1"/>
      <c r="HSR240" s="1"/>
      <c r="HSS240" s="1"/>
      <c r="HST240" s="1"/>
      <c r="HSU240" s="1"/>
      <c r="HSV240" s="1"/>
      <c r="HSW240" s="1"/>
      <c r="HSX240" s="1"/>
      <c r="HSY240" s="1"/>
      <c r="HSZ240" s="1"/>
      <c r="HTA240" s="1"/>
      <c r="HTB240" s="1"/>
      <c r="HTC240" s="1"/>
      <c r="HTD240" s="1"/>
      <c r="HTE240" s="1"/>
      <c r="HTF240" s="1"/>
      <c r="HTG240" s="1"/>
      <c r="HTH240" s="1"/>
      <c r="HTI240" s="1"/>
      <c r="HTJ240" s="1"/>
      <c r="HTK240" s="1"/>
      <c r="HTL240" s="1"/>
      <c r="HTM240" s="1"/>
      <c r="HTN240" s="1"/>
      <c r="HTO240" s="1"/>
      <c r="HTP240" s="1"/>
      <c r="HTQ240" s="1"/>
      <c r="HTR240" s="1"/>
      <c r="HTS240" s="1"/>
      <c r="HTT240" s="1"/>
      <c r="HTU240" s="1"/>
      <c r="HTV240" s="1"/>
      <c r="HTW240" s="1"/>
      <c r="HTX240" s="1"/>
      <c r="HTY240" s="1"/>
      <c r="HTZ240" s="1"/>
      <c r="HUA240" s="1"/>
      <c r="HUB240" s="1"/>
      <c r="HUC240" s="1"/>
      <c r="HUD240" s="1"/>
      <c r="HUE240" s="1"/>
      <c r="HUF240" s="1"/>
      <c r="HUG240" s="1"/>
      <c r="HUH240" s="1"/>
      <c r="HUI240" s="1"/>
      <c r="HUJ240" s="1"/>
      <c r="HUK240" s="1"/>
      <c r="HUL240" s="1"/>
      <c r="HUM240" s="1"/>
      <c r="HUN240" s="1"/>
      <c r="HUO240" s="1"/>
      <c r="HUP240" s="1"/>
      <c r="HUQ240" s="1"/>
      <c r="HUR240" s="1"/>
      <c r="HUS240" s="1"/>
      <c r="HUT240" s="1"/>
      <c r="HUU240" s="1"/>
      <c r="HUV240" s="1"/>
      <c r="HUW240" s="1"/>
      <c r="HUX240" s="1"/>
      <c r="HUY240" s="1"/>
      <c r="HUZ240" s="1"/>
      <c r="HVA240" s="1"/>
      <c r="HVB240" s="1"/>
      <c r="HVC240" s="1"/>
      <c r="HVD240" s="1"/>
      <c r="HVE240" s="1"/>
      <c r="HVF240" s="1"/>
      <c r="HVG240" s="1"/>
      <c r="HVH240" s="1"/>
      <c r="HVI240" s="1"/>
      <c r="HVJ240" s="1"/>
      <c r="HVK240" s="1"/>
      <c r="HVL240" s="1"/>
      <c r="HVM240" s="1"/>
      <c r="HVN240" s="1"/>
      <c r="HVO240" s="1"/>
      <c r="HVP240" s="1"/>
      <c r="HVQ240" s="1"/>
      <c r="HVR240" s="1"/>
      <c r="HVS240" s="1"/>
      <c r="HVT240" s="1"/>
      <c r="HVU240" s="1"/>
      <c r="HVV240" s="1"/>
      <c r="HVW240" s="1"/>
      <c r="HVX240" s="1"/>
      <c r="HVY240" s="1"/>
      <c r="HVZ240" s="1"/>
      <c r="HWA240" s="1"/>
      <c r="HWB240" s="1"/>
      <c r="HWC240" s="1"/>
      <c r="HWD240" s="1"/>
      <c r="HWE240" s="1"/>
      <c r="HWF240" s="1"/>
      <c r="HWG240" s="1"/>
      <c r="HWH240" s="1"/>
      <c r="HWI240" s="1"/>
      <c r="HWJ240" s="1"/>
      <c r="HWK240" s="1"/>
      <c r="HWL240" s="1"/>
      <c r="HWM240" s="1"/>
      <c r="HWN240" s="1"/>
      <c r="HWO240" s="1"/>
      <c r="HWP240" s="1"/>
      <c r="HWQ240" s="1"/>
      <c r="HWR240" s="1"/>
      <c r="HWS240" s="1"/>
      <c r="HWT240" s="1"/>
      <c r="HWU240" s="1"/>
      <c r="HWV240" s="1"/>
      <c r="HWW240" s="1"/>
      <c r="HWX240" s="1"/>
      <c r="HWY240" s="1"/>
      <c r="HWZ240" s="1"/>
      <c r="HXA240" s="1"/>
      <c r="HXB240" s="1"/>
      <c r="HXC240" s="1"/>
      <c r="HXD240" s="1"/>
      <c r="HXE240" s="1"/>
      <c r="HXF240" s="1"/>
      <c r="HXG240" s="1"/>
      <c r="HXH240" s="1"/>
      <c r="HXI240" s="1"/>
      <c r="HXJ240" s="1"/>
      <c r="HXK240" s="1"/>
      <c r="HXL240" s="1"/>
      <c r="HXM240" s="1"/>
      <c r="HXN240" s="1"/>
      <c r="HXO240" s="1"/>
      <c r="HXP240" s="1"/>
      <c r="HXQ240" s="1"/>
      <c r="HXR240" s="1"/>
      <c r="HXS240" s="1"/>
      <c r="HXT240" s="1"/>
      <c r="HXU240" s="1"/>
      <c r="HXV240" s="1"/>
      <c r="HXW240" s="1"/>
      <c r="HXX240" s="1"/>
      <c r="HXY240" s="1"/>
      <c r="HXZ240" s="1"/>
      <c r="HYA240" s="1"/>
      <c r="HYB240" s="1"/>
      <c r="HYC240" s="1"/>
      <c r="HYD240" s="1"/>
      <c r="HYE240" s="1"/>
      <c r="HYF240" s="1"/>
      <c r="HYG240" s="1"/>
      <c r="HYH240" s="1"/>
      <c r="HYI240" s="1"/>
      <c r="HYJ240" s="1"/>
      <c r="HYK240" s="1"/>
      <c r="HYL240" s="1"/>
      <c r="HYM240" s="1"/>
      <c r="HYN240" s="1"/>
      <c r="HYO240" s="1"/>
      <c r="HYP240" s="1"/>
      <c r="HYQ240" s="1"/>
      <c r="HYR240" s="1"/>
      <c r="HYS240" s="1"/>
      <c r="HYT240" s="1"/>
      <c r="HYU240" s="1"/>
      <c r="HYV240" s="1"/>
      <c r="HYW240" s="1"/>
      <c r="HYX240" s="1"/>
      <c r="HYY240" s="1"/>
      <c r="HYZ240" s="1"/>
      <c r="HZA240" s="1"/>
      <c r="HZB240" s="1"/>
      <c r="HZC240" s="1"/>
      <c r="HZD240" s="1"/>
      <c r="HZE240" s="1"/>
      <c r="HZF240" s="1"/>
      <c r="HZG240" s="1"/>
      <c r="HZH240" s="1"/>
      <c r="HZI240" s="1"/>
      <c r="HZJ240" s="1"/>
      <c r="HZK240" s="1"/>
      <c r="HZL240" s="1"/>
      <c r="HZM240" s="1"/>
      <c r="HZN240" s="1"/>
      <c r="HZO240" s="1"/>
      <c r="HZP240" s="1"/>
      <c r="HZQ240" s="1"/>
      <c r="HZR240" s="1"/>
      <c r="HZS240" s="1"/>
      <c r="HZT240" s="1"/>
      <c r="HZU240" s="1"/>
      <c r="HZV240" s="1"/>
      <c r="HZW240" s="1"/>
      <c r="HZX240" s="1"/>
      <c r="HZY240" s="1"/>
      <c r="HZZ240" s="1"/>
      <c r="IAA240" s="1"/>
      <c r="IAB240" s="1"/>
      <c r="IAC240" s="1"/>
      <c r="IAD240" s="1"/>
      <c r="IAE240" s="1"/>
      <c r="IAF240" s="1"/>
      <c r="IAG240" s="1"/>
      <c r="IAH240" s="1"/>
      <c r="IAI240" s="1"/>
      <c r="IAJ240" s="1"/>
      <c r="IAK240" s="1"/>
      <c r="IAL240" s="1"/>
      <c r="IAM240" s="1"/>
      <c r="IAN240" s="1"/>
      <c r="IAO240" s="1"/>
      <c r="IAP240" s="1"/>
      <c r="IAQ240" s="1"/>
      <c r="IAR240" s="1"/>
      <c r="IAS240" s="1"/>
      <c r="IAT240" s="1"/>
      <c r="IAU240" s="1"/>
      <c r="IAV240" s="1"/>
      <c r="IAW240" s="1"/>
      <c r="IAX240" s="1"/>
      <c r="IAY240" s="1"/>
      <c r="IAZ240" s="1"/>
      <c r="IBA240" s="1"/>
      <c r="IBB240" s="1"/>
      <c r="IBC240" s="1"/>
      <c r="IBD240" s="1"/>
      <c r="IBE240" s="1"/>
      <c r="IBF240" s="1"/>
      <c r="IBG240" s="1"/>
      <c r="IBH240" s="1"/>
      <c r="IBI240" s="1"/>
      <c r="IBJ240" s="1"/>
      <c r="IBK240" s="1"/>
      <c r="IBL240" s="1"/>
      <c r="IBM240" s="1"/>
      <c r="IBN240" s="1"/>
      <c r="IBO240" s="1"/>
      <c r="IBP240" s="1"/>
      <c r="IBQ240" s="1"/>
      <c r="IBR240" s="1"/>
      <c r="IBS240" s="1"/>
      <c r="IBT240" s="1"/>
      <c r="IBU240" s="1"/>
      <c r="IBV240" s="1"/>
      <c r="IBW240" s="1"/>
      <c r="IBX240" s="1"/>
      <c r="IBY240" s="1"/>
      <c r="IBZ240" s="1"/>
      <c r="ICA240" s="1"/>
      <c r="ICB240" s="1"/>
      <c r="ICC240" s="1"/>
      <c r="ICD240" s="1"/>
      <c r="ICE240" s="1"/>
      <c r="ICF240" s="1"/>
      <c r="ICG240" s="1"/>
      <c r="ICH240" s="1"/>
      <c r="ICI240" s="1"/>
      <c r="ICJ240" s="1"/>
      <c r="ICK240" s="1"/>
      <c r="ICL240" s="1"/>
      <c r="ICM240" s="1"/>
      <c r="ICN240" s="1"/>
      <c r="ICO240" s="1"/>
      <c r="ICP240" s="1"/>
      <c r="ICQ240" s="1"/>
      <c r="ICR240" s="1"/>
      <c r="ICS240" s="1"/>
      <c r="ICT240" s="1"/>
      <c r="ICU240" s="1"/>
      <c r="ICV240" s="1"/>
      <c r="ICW240" s="1"/>
      <c r="ICX240" s="1"/>
      <c r="ICY240" s="1"/>
      <c r="ICZ240" s="1"/>
      <c r="IDA240" s="1"/>
      <c r="IDB240" s="1"/>
      <c r="IDC240" s="1"/>
      <c r="IDD240" s="1"/>
      <c r="IDE240" s="1"/>
      <c r="IDF240" s="1"/>
      <c r="IDG240" s="1"/>
      <c r="IDH240" s="1"/>
      <c r="IDI240" s="1"/>
      <c r="IDJ240" s="1"/>
      <c r="IDK240" s="1"/>
      <c r="IDL240" s="1"/>
      <c r="IDM240" s="1"/>
      <c r="IDN240" s="1"/>
      <c r="IDO240" s="1"/>
      <c r="IDP240" s="1"/>
      <c r="IDQ240" s="1"/>
      <c r="IDR240" s="1"/>
      <c r="IDS240" s="1"/>
      <c r="IDT240" s="1"/>
      <c r="IDU240" s="1"/>
      <c r="IDV240" s="1"/>
      <c r="IDW240" s="1"/>
      <c r="IDX240" s="1"/>
      <c r="IDY240" s="1"/>
      <c r="IDZ240" s="1"/>
      <c r="IEA240" s="1"/>
      <c r="IEB240" s="1"/>
      <c r="IEC240" s="1"/>
      <c r="IED240" s="1"/>
      <c r="IEE240" s="1"/>
      <c r="IEF240" s="1"/>
      <c r="IEG240" s="1"/>
      <c r="IEH240" s="1"/>
      <c r="IEI240" s="1"/>
      <c r="IEJ240" s="1"/>
      <c r="IEK240" s="1"/>
      <c r="IEL240" s="1"/>
      <c r="IEM240" s="1"/>
      <c r="IEN240" s="1"/>
      <c r="IEO240" s="1"/>
      <c r="IEP240" s="1"/>
      <c r="IEQ240" s="1"/>
      <c r="IER240" s="1"/>
      <c r="IES240" s="1"/>
      <c r="IET240" s="1"/>
      <c r="IEU240" s="1"/>
      <c r="IEV240" s="1"/>
      <c r="IEW240" s="1"/>
      <c r="IEX240" s="1"/>
      <c r="IEY240" s="1"/>
      <c r="IEZ240" s="1"/>
      <c r="IFA240" s="1"/>
      <c r="IFB240" s="1"/>
      <c r="IFC240" s="1"/>
      <c r="IFD240" s="1"/>
      <c r="IFE240" s="1"/>
      <c r="IFF240" s="1"/>
      <c r="IFG240" s="1"/>
      <c r="IFH240" s="1"/>
      <c r="IFI240" s="1"/>
      <c r="IFJ240" s="1"/>
      <c r="IFK240" s="1"/>
      <c r="IFL240" s="1"/>
      <c r="IFM240" s="1"/>
      <c r="IFN240" s="1"/>
      <c r="IFO240" s="1"/>
      <c r="IFP240" s="1"/>
      <c r="IFQ240" s="1"/>
      <c r="IFR240" s="1"/>
      <c r="IFS240" s="1"/>
      <c r="IFT240" s="1"/>
      <c r="IFU240" s="1"/>
      <c r="IFV240" s="1"/>
      <c r="IFW240" s="1"/>
      <c r="IFX240" s="1"/>
      <c r="IFY240" s="1"/>
      <c r="IFZ240" s="1"/>
      <c r="IGA240" s="1"/>
      <c r="IGB240" s="1"/>
      <c r="IGC240" s="1"/>
      <c r="IGD240" s="1"/>
      <c r="IGE240" s="1"/>
      <c r="IGF240" s="1"/>
      <c r="IGG240" s="1"/>
      <c r="IGH240" s="1"/>
      <c r="IGI240" s="1"/>
      <c r="IGJ240" s="1"/>
      <c r="IGK240" s="1"/>
      <c r="IGL240" s="1"/>
      <c r="IGM240" s="1"/>
      <c r="IGN240" s="1"/>
      <c r="IGO240" s="1"/>
      <c r="IGP240" s="1"/>
      <c r="IGQ240" s="1"/>
      <c r="IGR240" s="1"/>
      <c r="IGS240" s="1"/>
      <c r="IGT240" s="1"/>
      <c r="IGU240" s="1"/>
      <c r="IGV240" s="1"/>
      <c r="IGW240" s="1"/>
      <c r="IGX240" s="1"/>
      <c r="IGY240" s="1"/>
      <c r="IGZ240" s="1"/>
      <c r="IHA240" s="1"/>
      <c r="IHB240" s="1"/>
      <c r="IHC240" s="1"/>
      <c r="IHD240" s="1"/>
      <c r="IHE240" s="1"/>
      <c r="IHF240" s="1"/>
      <c r="IHG240" s="1"/>
      <c r="IHH240" s="1"/>
      <c r="IHI240" s="1"/>
      <c r="IHJ240" s="1"/>
      <c r="IHK240" s="1"/>
      <c r="IHL240" s="1"/>
      <c r="IHM240" s="1"/>
      <c r="IHN240" s="1"/>
      <c r="IHO240" s="1"/>
      <c r="IHP240" s="1"/>
      <c r="IHQ240" s="1"/>
      <c r="IHR240" s="1"/>
      <c r="IHS240" s="1"/>
      <c r="IHT240" s="1"/>
      <c r="IHU240" s="1"/>
      <c r="IHV240" s="1"/>
      <c r="IHW240" s="1"/>
      <c r="IHX240" s="1"/>
      <c r="IHY240" s="1"/>
      <c r="IHZ240" s="1"/>
      <c r="IIA240" s="1"/>
      <c r="IIB240" s="1"/>
      <c r="IIC240" s="1"/>
      <c r="IID240" s="1"/>
      <c r="IIE240" s="1"/>
      <c r="IIF240" s="1"/>
      <c r="IIG240" s="1"/>
      <c r="IIH240" s="1"/>
      <c r="III240" s="1"/>
      <c r="IIJ240" s="1"/>
      <c r="IIK240" s="1"/>
      <c r="IIL240" s="1"/>
      <c r="IIM240" s="1"/>
      <c r="IIN240" s="1"/>
      <c r="IIO240" s="1"/>
      <c r="IIP240" s="1"/>
      <c r="IIQ240" s="1"/>
      <c r="IIR240" s="1"/>
      <c r="IIS240" s="1"/>
      <c r="IIT240" s="1"/>
      <c r="IIU240" s="1"/>
      <c r="IIV240" s="1"/>
      <c r="IIW240" s="1"/>
      <c r="IIX240" s="1"/>
      <c r="IIY240" s="1"/>
      <c r="IIZ240" s="1"/>
      <c r="IJA240" s="1"/>
      <c r="IJB240" s="1"/>
      <c r="IJC240" s="1"/>
      <c r="IJD240" s="1"/>
      <c r="IJE240" s="1"/>
      <c r="IJF240" s="1"/>
      <c r="IJG240" s="1"/>
      <c r="IJH240" s="1"/>
      <c r="IJI240" s="1"/>
      <c r="IJJ240" s="1"/>
      <c r="IJK240" s="1"/>
      <c r="IJL240" s="1"/>
      <c r="IJM240" s="1"/>
      <c r="IJN240" s="1"/>
      <c r="IJO240" s="1"/>
      <c r="IJP240" s="1"/>
      <c r="IJQ240" s="1"/>
      <c r="IJR240" s="1"/>
      <c r="IJS240" s="1"/>
      <c r="IJT240" s="1"/>
      <c r="IJU240" s="1"/>
      <c r="IJV240" s="1"/>
      <c r="IJW240" s="1"/>
      <c r="IJX240" s="1"/>
      <c r="IJY240" s="1"/>
      <c r="IJZ240" s="1"/>
      <c r="IKA240" s="1"/>
      <c r="IKB240" s="1"/>
      <c r="IKC240" s="1"/>
      <c r="IKD240" s="1"/>
      <c r="IKE240" s="1"/>
      <c r="IKF240" s="1"/>
      <c r="IKG240" s="1"/>
      <c r="IKH240" s="1"/>
      <c r="IKI240" s="1"/>
      <c r="IKJ240" s="1"/>
      <c r="IKK240" s="1"/>
      <c r="IKL240" s="1"/>
      <c r="IKM240" s="1"/>
      <c r="IKN240" s="1"/>
      <c r="IKO240" s="1"/>
      <c r="IKP240" s="1"/>
      <c r="IKQ240" s="1"/>
      <c r="IKR240" s="1"/>
      <c r="IKS240" s="1"/>
      <c r="IKT240" s="1"/>
      <c r="IKU240" s="1"/>
      <c r="IKV240" s="1"/>
      <c r="IKW240" s="1"/>
      <c r="IKX240" s="1"/>
      <c r="IKY240" s="1"/>
      <c r="IKZ240" s="1"/>
      <c r="ILA240" s="1"/>
      <c r="ILB240" s="1"/>
      <c r="ILC240" s="1"/>
      <c r="ILD240" s="1"/>
      <c r="ILE240" s="1"/>
      <c r="ILF240" s="1"/>
      <c r="ILG240" s="1"/>
      <c r="ILH240" s="1"/>
      <c r="ILI240" s="1"/>
      <c r="ILJ240" s="1"/>
      <c r="ILK240" s="1"/>
      <c r="ILL240" s="1"/>
      <c r="ILM240" s="1"/>
      <c r="ILN240" s="1"/>
      <c r="ILO240" s="1"/>
      <c r="ILP240" s="1"/>
      <c r="ILQ240" s="1"/>
      <c r="ILR240" s="1"/>
      <c r="ILS240" s="1"/>
      <c r="ILT240" s="1"/>
      <c r="ILU240" s="1"/>
      <c r="ILV240" s="1"/>
      <c r="ILW240" s="1"/>
      <c r="ILX240" s="1"/>
      <c r="ILY240" s="1"/>
      <c r="ILZ240" s="1"/>
      <c r="IMA240" s="1"/>
      <c r="IMB240" s="1"/>
      <c r="IMC240" s="1"/>
      <c r="IMD240" s="1"/>
      <c r="IME240" s="1"/>
      <c r="IMF240" s="1"/>
      <c r="IMG240" s="1"/>
      <c r="IMH240" s="1"/>
      <c r="IMI240" s="1"/>
      <c r="IMJ240" s="1"/>
      <c r="IMK240" s="1"/>
      <c r="IML240" s="1"/>
      <c r="IMM240" s="1"/>
      <c r="IMN240" s="1"/>
      <c r="IMO240" s="1"/>
      <c r="IMP240" s="1"/>
      <c r="IMQ240" s="1"/>
      <c r="IMR240" s="1"/>
      <c r="IMS240" s="1"/>
      <c r="IMT240" s="1"/>
      <c r="IMU240" s="1"/>
      <c r="IMV240" s="1"/>
      <c r="IMW240" s="1"/>
      <c r="IMX240" s="1"/>
      <c r="IMY240" s="1"/>
      <c r="IMZ240" s="1"/>
      <c r="INA240" s="1"/>
      <c r="INB240" s="1"/>
      <c r="INC240" s="1"/>
      <c r="IND240" s="1"/>
      <c r="INE240" s="1"/>
      <c r="INF240" s="1"/>
      <c r="ING240" s="1"/>
      <c r="INH240" s="1"/>
      <c r="INI240" s="1"/>
      <c r="INJ240" s="1"/>
      <c r="INK240" s="1"/>
      <c r="INL240" s="1"/>
      <c r="INM240" s="1"/>
      <c r="INN240" s="1"/>
      <c r="INO240" s="1"/>
      <c r="INP240" s="1"/>
      <c r="INQ240" s="1"/>
      <c r="INR240" s="1"/>
      <c r="INS240" s="1"/>
      <c r="INT240" s="1"/>
      <c r="INU240" s="1"/>
      <c r="INV240" s="1"/>
      <c r="INW240" s="1"/>
      <c r="INX240" s="1"/>
      <c r="INY240" s="1"/>
      <c r="INZ240" s="1"/>
      <c r="IOA240" s="1"/>
      <c r="IOB240" s="1"/>
      <c r="IOC240" s="1"/>
      <c r="IOD240" s="1"/>
      <c r="IOE240" s="1"/>
      <c r="IOF240" s="1"/>
      <c r="IOG240" s="1"/>
      <c r="IOH240" s="1"/>
      <c r="IOI240" s="1"/>
      <c r="IOJ240" s="1"/>
      <c r="IOK240" s="1"/>
      <c r="IOL240" s="1"/>
      <c r="IOM240" s="1"/>
      <c r="ION240" s="1"/>
      <c r="IOO240" s="1"/>
      <c r="IOP240" s="1"/>
      <c r="IOQ240" s="1"/>
      <c r="IOR240" s="1"/>
      <c r="IOS240" s="1"/>
      <c r="IOT240" s="1"/>
      <c r="IOU240" s="1"/>
      <c r="IOV240" s="1"/>
      <c r="IOW240" s="1"/>
      <c r="IOX240" s="1"/>
      <c r="IOY240" s="1"/>
      <c r="IOZ240" s="1"/>
      <c r="IPA240" s="1"/>
      <c r="IPB240" s="1"/>
      <c r="IPC240" s="1"/>
      <c r="IPD240" s="1"/>
      <c r="IPE240" s="1"/>
      <c r="IPF240" s="1"/>
      <c r="IPG240" s="1"/>
      <c r="IPH240" s="1"/>
      <c r="IPI240" s="1"/>
      <c r="IPJ240" s="1"/>
      <c r="IPK240" s="1"/>
      <c r="IPL240" s="1"/>
      <c r="IPM240" s="1"/>
      <c r="IPN240" s="1"/>
      <c r="IPO240" s="1"/>
      <c r="IPP240" s="1"/>
      <c r="IPQ240" s="1"/>
      <c r="IPR240" s="1"/>
      <c r="IPS240" s="1"/>
      <c r="IPT240" s="1"/>
      <c r="IPU240" s="1"/>
      <c r="IPV240" s="1"/>
      <c r="IPW240" s="1"/>
      <c r="IPX240" s="1"/>
      <c r="IPY240" s="1"/>
      <c r="IPZ240" s="1"/>
      <c r="IQA240" s="1"/>
      <c r="IQB240" s="1"/>
      <c r="IQC240" s="1"/>
      <c r="IQD240" s="1"/>
      <c r="IQE240" s="1"/>
      <c r="IQF240" s="1"/>
      <c r="IQG240" s="1"/>
      <c r="IQH240" s="1"/>
      <c r="IQI240" s="1"/>
      <c r="IQJ240" s="1"/>
      <c r="IQK240" s="1"/>
      <c r="IQL240" s="1"/>
      <c r="IQM240" s="1"/>
      <c r="IQN240" s="1"/>
      <c r="IQO240" s="1"/>
      <c r="IQP240" s="1"/>
      <c r="IQQ240" s="1"/>
      <c r="IQR240" s="1"/>
      <c r="IQS240" s="1"/>
      <c r="IQT240" s="1"/>
      <c r="IQU240" s="1"/>
      <c r="IQV240" s="1"/>
      <c r="IQW240" s="1"/>
      <c r="IQX240" s="1"/>
      <c r="IQY240" s="1"/>
      <c r="IQZ240" s="1"/>
      <c r="IRA240" s="1"/>
      <c r="IRB240" s="1"/>
      <c r="IRC240" s="1"/>
      <c r="IRD240" s="1"/>
      <c r="IRE240" s="1"/>
      <c r="IRF240" s="1"/>
      <c r="IRG240" s="1"/>
      <c r="IRH240" s="1"/>
      <c r="IRI240" s="1"/>
      <c r="IRJ240" s="1"/>
      <c r="IRK240" s="1"/>
      <c r="IRL240" s="1"/>
      <c r="IRM240" s="1"/>
      <c r="IRN240" s="1"/>
      <c r="IRO240" s="1"/>
      <c r="IRP240" s="1"/>
      <c r="IRQ240" s="1"/>
      <c r="IRR240" s="1"/>
      <c r="IRS240" s="1"/>
      <c r="IRT240" s="1"/>
      <c r="IRU240" s="1"/>
      <c r="IRV240" s="1"/>
      <c r="IRW240" s="1"/>
      <c r="IRX240" s="1"/>
      <c r="IRY240" s="1"/>
      <c r="IRZ240" s="1"/>
      <c r="ISA240" s="1"/>
      <c r="ISB240" s="1"/>
      <c r="ISC240" s="1"/>
      <c r="ISD240" s="1"/>
      <c r="ISE240" s="1"/>
      <c r="ISF240" s="1"/>
      <c r="ISG240" s="1"/>
      <c r="ISH240" s="1"/>
      <c r="ISI240" s="1"/>
      <c r="ISJ240" s="1"/>
      <c r="ISK240" s="1"/>
      <c r="ISL240" s="1"/>
      <c r="ISM240" s="1"/>
      <c r="ISN240" s="1"/>
      <c r="ISO240" s="1"/>
      <c r="ISP240" s="1"/>
      <c r="ISQ240" s="1"/>
      <c r="ISR240" s="1"/>
      <c r="ISS240" s="1"/>
      <c r="IST240" s="1"/>
      <c r="ISU240" s="1"/>
      <c r="ISV240" s="1"/>
      <c r="ISW240" s="1"/>
      <c r="ISX240" s="1"/>
      <c r="ISY240" s="1"/>
      <c r="ISZ240" s="1"/>
      <c r="ITA240" s="1"/>
      <c r="ITB240" s="1"/>
      <c r="ITC240" s="1"/>
      <c r="ITD240" s="1"/>
      <c r="ITE240" s="1"/>
      <c r="ITF240" s="1"/>
      <c r="ITG240" s="1"/>
      <c r="ITH240" s="1"/>
      <c r="ITI240" s="1"/>
      <c r="ITJ240" s="1"/>
      <c r="ITK240" s="1"/>
      <c r="ITL240" s="1"/>
      <c r="ITM240" s="1"/>
      <c r="ITN240" s="1"/>
      <c r="ITO240" s="1"/>
      <c r="ITP240" s="1"/>
      <c r="ITQ240" s="1"/>
      <c r="ITR240" s="1"/>
      <c r="ITS240" s="1"/>
      <c r="ITT240" s="1"/>
      <c r="ITU240" s="1"/>
      <c r="ITV240" s="1"/>
      <c r="ITW240" s="1"/>
      <c r="ITX240" s="1"/>
      <c r="ITY240" s="1"/>
      <c r="ITZ240" s="1"/>
      <c r="IUA240" s="1"/>
      <c r="IUB240" s="1"/>
      <c r="IUC240" s="1"/>
      <c r="IUD240" s="1"/>
      <c r="IUE240" s="1"/>
      <c r="IUF240" s="1"/>
      <c r="IUG240" s="1"/>
      <c r="IUH240" s="1"/>
      <c r="IUI240" s="1"/>
      <c r="IUJ240" s="1"/>
      <c r="IUK240" s="1"/>
      <c r="IUL240" s="1"/>
      <c r="IUM240" s="1"/>
      <c r="IUN240" s="1"/>
      <c r="IUO240" s="1"/>
      <c r="IUP240" s="1"/>
      <c r="IUQ240" s="1"/>
      <c r="IUR240" s="1"/>
      <c r="IUS240" s="1"/>
      <c r="IUT240" s="1"/>
      <c r="IUU240" s="1"/>
      <c r="IUV240" s="1"/>
      <c r="IUW240" s="1"/>
      <c r="IUX240" s="1"/>
      <c r="IUY240" s="1"/>
      <c r="IUZ240" s="1"/>
      <c r="IVA240" s="1"/>
      <c r="IVB240" s="1"/>
      <c r="IVC240" s="1"/>
      <c r="IVD240" s="1"/>
      <c r="IVE240" s="1"/>
      <c r="IVF240" s="1"/>
      <c r="IVG240" s="1"/>
      <c r="IVH240" s="1"/>
      <c r="IVI240" s="1"/>
      <c r="IVJ240" s="1"/>
      <c r="IVK240" s="1"/>
      <c r="IVL240" s="1"/>
      <c r="IVM240" s="1"/>
      <c r="IVN240" s="1"/>
      <c r="IVO240" s="1"/>
      <c r="IVP240" s="1"/>
      <c r="IVQ240" s="1"/>
      <c r="IVR240" s="1"/>
      <c r="IVS240" s="1"/>
      <c r="IVT240" s="1"/>
      <c r="IVU240" s="1"/>
      <c r="IVV240" s="1"/>
      <c r="IVW240" s="1"/>
      <c r="IVX240" s="1"/>
      <c r="IVY240" s="1"/>
      <c r="IVZ240" s="1"/>
      <c r="IWA240" s="1"/>
      <c r="IWB240" s="1"/>
      <c r="IWC240" s="1"/>
      <c r="IWD240" s="1"/>
      <c r="IWE240" s="1"/>
      <c r="IWF240" s="1"/>
      <c r="IWG240" s="1"/>
      <c r="IWH240" s="1"/>
      <c r="IWI240" s="1"/>
      <c r="IWJ240" s="1"/>
      <c r="IWK240" s="1"/>
      <c r="IWL240" s="1"/>
      <c r="IWM240" s="1"/>
      <c r="IWN240" s="1"/>
      <c r="IWO240" s="1"/>
      <c r="IWP240" s="1"/>
      <c r="IWQ240" s="1"/>
      <c r="IWR240" s="1"/>
      <c r="IWS240" s="1"/>
      <c r="IWT240" s="1"/>
      <c r="IWU240" s="1"/>
      <c r="IWV240" s="1"/>
      <c r="IWW240" s="1"/>
      <c r="IWX240" s="1"/>
      <c r="IWY240" s="1"/>
      <c r="IWZ240" s="1"/>
      <c r="IXA240" s="1"/>
      <c r="IXB240" s="1"/>
      <c r="IXC240" s="1"/>
      <c r="IXD240" s="1"/>
      <c r="IXE240" s="1"/>
      <c r="IXF240" s="1"/>
      <c r="IXG240" s="1"/>
      <c r="IXH240" s="1"/>
      <c r="IXI240" s="1"/>
      <c r="IXJ240" s="1"/>
      <c r="IXK240" s="1"/>
      <c r="IXL240" s="1"/>
      <c r="IXM240" s="1"/>
      <c r="IXN240" s="1"/>
      <c r="IXO240" s="1"/>
      <c r="IXP240" s="1"/>
      <c r="IXQ240" s="1"/>
      <c r="IXR240" s="1"/>
      <c r="IXS240" s="1"/>
      <c r="IXT240" s="1"/>
      <c r="IXU240" s="1"/>
      <c r="IXV240" s="1"/>
      <c r="IXW240" s="1"/>
      <c r="IXX240" s="1"/>
      <c r="IXY240" s="1"/>
      <c r="IXZ240" s="1"/>
      <c r="IYA240" s="1"/>
      <c r="IYB240" s="1"/>
      <c r="IYC240" s="1"/>
      <c r="IYD240" s="1"/>
      <c r="IYE240" s="1"/>
      <c r="IYF240" s="1"/>
      <c r="IYG240" s="1"/>
      <c r="IYH240" s="1"/>
      <c r="IYI240" s="1"/>
      <c r="IYJ240" s="1"/>
      <c r="IYK240" s="1"/>
      <c r="IYL240" s="1"/>
      <c r="IYM240" s="1"/>
      <c r="IYN240" s="1"/>
      <c r="IYO240" s="1"/>
      <c r="IYP240" s="1"/>
      <c r="IYQ240" s="1"/>
      <c r="IYR240" s="1"/>
      <c r="IYS240" s="1"/>
      <c r="IYT240" s="1"/>
      <c r="IYU240" s="1"/>
      <c r="IYV240" s="1"/>
      <c r="IYW240" s="1"/>
      <c r="IYX240" s="1"/>
      <c r="IYY240" s="1"/>
      <c r="IYZ240" s="1"/>
      <c r="IZA240" s="1"/>
      <c r="IZB240" s="1"/>
      <c r="IZC240" s="1"/>
      <c r="IZD240" s="1"/>
      <c r="IZE240" s="1"/>
      <c r="IZF240" s="1"/>
      <c r="IZG240" s="1"/>
      <c r="IZH240" s="1"/>
      <c r="IZI240" s="1"/>
      <c r="IZJ240" s="1"/>
      <c r="IZK240" s="1"/>
      <c r="IZL240" s="1"/>
      <c r="IZM240" s="1"/>
      <c r="IZN240" s="1"/>
      <c r="IZO240" s="1"/>
      <c r="IZP240" s="1"/>
      <c r="IZQ240" s="1"/>
      <c r="IZR240" s="1"/>
      <c r="IZS240" s="1"/>
      <c r="IZT240" s="1"/>
      <c r="IZU240" s="1"/>
      <c r="IZV240" s="1"/>
      <c r="IZW240" s="1"/>
      <c r="IZX240" s="1"/>
      <c r="IZY240" s="1"/>
      <c r="IZZ240" s="1"/>
      <c r="JAA240" s="1"/>
      <c r="JAB240" s="1"/>
      <c r="JAC240" s="1"/>
      <c r="JAD240" s="1"/>
      <c r="JAE240" s="1"/>
      <c r="JAF240" s="1"/>
      <c r="JAG240" s="1"/>
      <c r="JAH240" s="1"/>
      <c r="JAI240" s="1"/>
      <c r="JAJ240" s="1"/>
      <c r="JAK240" s="1"/>
      <c r="JAL240" s="1"/>
      <c r="JAM240" s="1"/>
      <c r="JAN240" s="1"/>
      <c r="JAO240" s="1"/>
      <c r="JAP240" s="1"/>
      <c r="JAQ240" s="1"/>
      <c r="JAR240" s="1"/>
      <c r="JAS240" s="1"/>
      <c r="JAT240" s="1"/>
      <c r="JAU240" s="1"/>
      <c r="JAV240" s="1"/>
      <c r="JAW240" s="1"/>
      <c r="JAX240" s="1"/>
      <c r="JAY240" s="1"/>
      <c r="JAZ240" s="1"/>
      <c r="JBA240" s="1"/>
      <c r="JBB240" s="1"/>
      <c r="JBC240" s="1"/>
      <c r="JBD240" s="1"/>
      <c r="JBE240" s="1"/>
      <c r="JBF240" s="1"/>
      <c r="JBG240" s="1"/>
      <c r="JBH240" s="1"/>
      <c r="JBI240" s="1"/>
      <c r="JBJ240" s="1"/>
      <c r="JBK240" s="1"/>
      <c r="JBL240" s="1"/>
      <c r="JBM240" s="1"/>
      <c r="JBN240" s="1"/>
      <c r="JBO240" s="1"/>
      <c r="JBP240" s="1"/>
      <c r="JBQ240" s="1"/>
      <c r="JBR240" s="1"/>
      <c r="JBS240" s="1"/>
      <c r="JBT240" s="1"/>
      <c r="JBU240" s="1"/>
      <c r="JBV240" s="1"/>
      <c r="JBW240" s="1"/>
      <c r="JBX240" s="1"/>
      <c r="JBY240" s="1"/>
      <c r="JBZ240" s="1"/>
      <c r="JCA240" s="1"/>
      <c r="JCB240" s="1"/>
      <c r="JCC240" s="1"/>
      <c r="JCD240" s="1"/>
      <c r="JCE240" s="1"/>
      <c r="JCF240" s="1"/>
      <c r="JCG240" s="1"/>
      <c r="JCH240" s="1"/>
      <c r="JCI240" s="1"/>
      <c r="JCJ240" s="1"/>
      <c r="JCK240" s="1"/>
      <c r="JCL240" s="1"/>
      <c r="JCM240" s="1"/>
      <c r="JCN240" s="1"/>
      <c r="JCO240" s="1"/>
      <c r="JCP240" s="1"/>
      <c r="JCQ240" s="1"/>
      <c r="JCR240" s="1"/>
      <c r="JCS240" s="1"/>
      <c r="JCT240" s="1"/>
      <c r="JCU240" s="1"/>
      <c r="JCV240" s="1"/>
      <c r="JCW240" s="1"/>
      <c r="JCX240" s="1"/>
      <c r="JCY240" s="1"/>
      <c r="JCZ240" s="1"/>
      <c r="JDA240" s="1"/>
      <c r="JDB240" s="1"/>
      <c r="JDC240" s="1"/>
      <c r="JDD240" s="1"/>
      <c r="JDE240" s="1"/>
      <c r="JDF240" s="1"/>
      <c r="JDG240" s="1"/>
      <c r="JDH240" s="1"/>
      <c r="JDI240" s="1"/>
      <c r="JDJ240" s="1"/>
      <c r="JDK240" s="1"/>
      <c r="JDL240" s="1"/>
      <c r="JDM240" s="1"/>
      <c r="JDN240" s="1"/>
      <c r="JDO240" s="1"/>
      <c r="JDP240" s="1"/>
      <c r="JDQ240" s="1"/>
      <c r="JDR240" s="1"/>
      <c r="JDS240" s="1"/>
      <c r="JDT240" s="1"/>
      <c r="JDU240" s="1"/>
      <c r="JDV240" s="1"/>
      <c r="JDW240" s="1"/>
      <c r="JDX240" s="1"/>
      <c r="JDY240" s="1"/>
      <c r="JDZ240" s="1"/>
      <c r="JEA240" s="1"/>
      <c r="JEB240" s="1"/>
      <c r="JEC240" s="1"/>
      <c r="JED240" s="1"/>
      <c r="JEE240" s="1"/>
      <c r="JEF240" s="1"/>
      <c r="JEG240" s="1"/>
      <c r="JEH240" s="1"/>
      <c r="JEI240" s="1"/>
      <c r="JEJ240" s="1"/>
      <c r="JEK240" s="1"/>
      <c r="JEL240" s="1"/>
      <c r="JEM240" s="1"/>
      <c r="JEN240" s="1"/>
      <c r="JEO240" s="1"/>
      <c r="JEP240" s="1"/>
      <c r="JEQ240" s="1"/>
      <c r="JER240" s="1"/>
      <c r="JES240" s="1"/>
      <c r="JET240" s="1"/>
      <c r="JEU240" s="1"/>
      <c r="JEV240" s="1"/>
      <c r="JEW240" s="1"/>
      <c r="JEX240" s="1"/>
      <c r="JEY240" s="1"/>
      <c r="JEZ240" s="1"/>
      <c r="JFA240" s="1"/>
      <c r="JFB240" s="1"/>
      <c r="JFC240" s="1"/>
      <c r="JFD240" s="1"/>
      <c r="JFE240" s="1"/>
      <c r="JFF240" s="1"/>
      <c r="JFG240" s="1"/>
      <c r="JFH240" s="1"/>
      <c r="JFI240" s="1"/>
      <c r="JFJ240" s="1"/>
      <c r="JFK240" s="1"/>
      <c r="JFL240" s="1"/>
      <c r="JFM240" s="1"/>
      <c r="JFN240" s="1"/>
      <c r="JFO240" s="1"/>
      <c r="JFP240" s="1"/>
      <c r="JFQ240" s="1"/>
      <c r="JFR240" s="1"/>
      <c r="JFS240" s="1"/>
      <c r="JFT240" s="1"/>
      <c r="JFU240" s="1"/>
      <c r="JFV240" s="1"/>
      <c r="JFW240" s="1"/>
      <c r="JFX240" s="1"/>
      <c r="JFY240" s="1"/>
      <c r="JFZ240" s="1"/>
      <c r="JGA240" s="1"/>
      <c r="JGB240" s="1"/>
      <c r="JGC240" s="1"/>
      <c r="JGD240" s="1"/>
      <c r="JGE240" s="1"/>
      <c r="JGF240" s="1"/>
      <c r="JGG240" s="1"/>
      <c r="JGH240" s="1"/>
      <c r="JGI240" s="1"/>
      <c r="JGJ240" s="1"/>
      <c r="JGK240" s="1"/>
      <c r="JGL240" s="1"/>
      <c r="JGM240" s="1"/>
      <c r="JGN240" s="1"/>
      <c r="JGO240" s="1"/>
      <c r="JGP240" s="1"/>
      <c r="JGQ240" s="1"/>
      <c r="JGR240" s="1"/>
      <c r="JGS240" s="1"/>
      <c r="JGT240" s="1"/>
      <c r="JGU240" s="1"/>
      <c r="JGV240" s="1"/>
      <c r="JGW240" s="1"/>
      <c r="JGX240" s="1"/>
      <c r="JGY240" s="1"/>
      <c r="JGZ240" s="1"/>
      <c r="JHA240" s="1"/>
      <c r="JHB240" s="1"/>
      <c r="JHC240" s="1"/>
      <c r="JHD240" s="1"/>
      <c r="JHE240" s="1"/>
      <c r="JHF240" s="1"/>
      <c r="JHG240" s="1"/>
      <c r="JHH240" s="1"/>
      <c r="JHI240" s="1"/>
      <c r="JHJ240" s="1"/>
      <c r="JHK240" s="1"/>
      <c r="JHL240" s="1"/>
      <c r="JHM240" s="1"/>
      <c r="JHN240" s="1"/>
      <c r="JHO240" s="1"/>
      <c r="JHP240" s="1"/>
      <c r="JHQ240" s="1"/>
      <c r="JHR240" s="1"/>
      <c r="JHS240" s="1"/>
      <c r="JHT240" s="1"/>
      <c r="JHU240" s="1"/>
      <c r="JHV240" s="1"/>
      <c r="JHW240" s="1"/>
      <c r="JHX240" s="1"/>
      <c r="JHY240" s="1"/>
      <c r="JHZ240" s="1"/>
      <c r="JIA240" s="1"/>
      <c r="JIB240" s="1"/>
      <c r="JIC240" s="1"/>
      <c r="JID240" s="1"/>
      <c r="JIE240" s="1"/>
      <c r="JIF240" s="1"/>
      <c r="JIG240" s="1"/>
      <c r="JIH240" s="1"/>
      <c r="JII240" s="1"/>
      <c r="JIJ240" s="1"/>
      <c r="JIK240" s="1"/>
      <c r="JIL240" s="1"/>
      <c r="JIM240" s="1"/>
      <c r="JIN240" s="1"/>
      <c r="JIO240" s="1"/>
      <c r="JIP240" s="1"/>
      <c r="JIQ240" s="1"/>
      <c r="JIR240" s="1"/>
      <c r="JIS240" s="1"/>
      <c r="JIT240" s="1"/>
      <c r="JIU240" s="1"/>
      <c r="JIV240" s="1"/>
      <c r="JIW240" s="1"/>
      <c r="JIX240" s="1"/>
      <c r="JIY240" s="1"/>
      <c r="JIZ240" s="1"/>
      <c r="JJA240" s="1"/>
      <c r="JJB240" s="1"/>
      <c r="JJC240" s="1"/>
      <c r="JJD240" s="1"/>
      <c r="JJE240" s="1"/>
      <c r="JJF240" s="1"/>
      <c r="JJG240" s="1"/>
      <c r="JJH240" s="1"/>
      <c r="JJI240" s="1"/>
      <c r="JJJ240" s="1"/>
      <c r="JJK240" s="1"/>
      <c r="JJL240" s="1"/>
      <c r="JJM240" s="1"/>
      <c r="JJN240" s="1"/>
      <c r="JJO240" s="1"/>
      <c r="JJP240" s="1"/>
      <c r="JJQ240" s="1"/>
      <c r="JJR240" s="1"/>
      <c r="JJS240" s="1"/>
      <c r="JJT240" s="1"/>
      <c r="JJU240" s="1"/>
      <c r="JJV240" s="1"/>
      <c r="JJW240" s="1"/>
      <c r="JJX240" s="1"/>
      <c r="JJY240" s="1"/>
      <c r="JJZ240" s="1"/>
      <c r="JKA240" s="1"/>
      <c r="JKB240" s="1"/>
      <c r="JKC240" s="1"/>
      <c r="JKD240" s="1"/>
      <c r="JKE240" s="1"/>
      <c r="JKF240" s="1"/>
      <c r="JKG240" s="1"/>
      <c r="JKH240" s="1"/>
      <c r="JKI240" s="1"/>
      <c r="JKJ240" s="1"/>
      <c r="JKK240" s="1"/>
      <c r="JKL240" s="1"/>
      <c r="JKM240" s="1"/>
      <c r="JKN240" s="1"/>
      <c r="JKO240" s="1"/>
      <c r="JKP240" s="1"/>
      <c r="JKQ240" s="1"/>
      <c r="JKR240" s="1"/>
      <c r="JKS240" s="1"/>
      <c r="JKT240" s="1"/>
      <c r="JKU240" s="1"/>
      <c r="JKV240" s="1"/>
      <c r="JKW240" s="1"/>
      <c r="JKX240" s="1"/>
      <c r="JKY240" s="1"/>
      <c r="JKZ240" s="1"/>
      <c r="JLA240" s="1"/>
      <c r="JLB240" s="1"/>
      <c r="JLC240" s="1"/>
      <c r="JLD240" s="1"/>
      <c r="JLE240" s="1"/>
      <c r="JLF240" s="1"/>
      <c r="JLG240" s="1"/>
      <c r="JLH240" s="1"/>
      <c r="JLI240" s="1"/>
      <c r="JLJ240" s="1"/>
      <c r="JLK240" s="1"/>
      <c r="JLL240" s="1"/>
      <c r="JLM240" s="1"/>
      <c r="JLN240" s="1"/>
      <c r="JLO240" s="1"/>
      <c r="JLP240" s="1"/>
      <c r="JLQ240" s="1"/>
      <c r="JLR240" s="1"/>
      <c r="JLS240" s="1"/>
      <c r="JLT240" s="1"/>
      <c r="JLU240" s="1"/>
      <c r="JLV240" s="1"/>
      <c r="JLW240" s="1"/>
      <c r="JLX240" s="1"/>
      <c r="JLY240" s="1"/>
      <c r="JLZ240" s="1"/>
      <c r="JMA240" s="1"/>
      <c r="JMB240" s="1"/>
      <c r="JMC240" s="1"/>
      <c r="JMD240" s="1"/>
      <c r="JME240" s="1"/>
      <c r="JMF240" s="1"/>
      <c r="JMG240" s="1"/>
      <c r="JMH240" s="1"/>
      <c r="JMI240" s="1"/>
      <c r="JMJ240" s="1"/>
      <c r="JMK240" s="1"/>
      <c r="JML240" s="1"/>
      <c r="JMM240" s="1"/>
      <c r="JMN240" s="1"/>
      <c r="JMO240" s="1"/>
      <c r="JMP240" s="1"/>
      <c r="JMQ240" s="1"/>
      <c r="JMR240" s="1"/>
      <c r="JMS240" s="1"/>
      <c r="JMT240" s="1"/>
      <c r="JMU240" s="1"/>
      <c r="JMV240" s="1"/>
      <c r="JMW240" s="1"/>
      <c r="JMX240" s="1"/>
      <c r="JMY240" s="1"/>
      <c r="JMZ240" s="1"/>
      <c r="JNA240" s="1"/>
      <c r="JNB240" s="1"/>
      <c r="JNC240" s="1"/>
      <c r="JND240" s="1"/>
      <c r="JNE240" s="1"/>
      <c r="JNF240" s="1"/>
      <c r="JNG240" s="1"/>
      <c r="JNH240" s="1"/>
      <c r="JNI240" s="1"/>
      <c r="JNJ240" s="1"/>
      <c r="JNK240" s="1"/>
      <c r="JNL240" s="1"/>
      <c r="JNM240" s="1"/>
      <c r="JNN240" s="1"/>
      <c r="JNO240" s="1"/>
      <c r="JNP240" s="1"/>
      <c r="JNQ240" s="1"/>
      <c r="JNR240" s="1"/>
      <c r="JNS240" s="1"/>
      <c r="JNT240" s="1"/>
      <c r="JNU240" s="1"/>
      <c r="JNV240" s="1"/>
      <c r="JNW240" s="1"/>
      <c r="JNX240" s="1"/>
      <c r="JNY240" s="1"/>
      <c r="JNZ240" s="1"/>
      <c r="JOA240" s="1"/>
      <c r="JOB240" s="1"/>
      <c r="JOC240" s="1"/>
      <c r="JOD240" s="1"/>
      <c r="JOE240" s="1"/>
      <c r="JOF240" s="1"/>
      <c r="JOG240" s="1"/>
      <c r="JOH240" s="1"/>
      <c r="JOI240" s="1"/>
      <c r="JOJ240" s="1"/>
      <c r="JOK240" s="1"/>
      <c r="JOL240" s="1"/>
      <c r="JOM240" s="1"/>
      <c r="JON240" s="1"/>
      <c r="JOO240" s="1"/>
      <c r="JOP240" s="1"/>
      <c r="JOQ240" s="1"/>
      <c r="JOR240" s="1"/>
      <c r="JOS240" s="1"/>
      <c r="JOT240" s="1"/>
      <c r="JOU240" s="1"/>
      <c r="JOV240" s="1"/>
      <c r="JOW240" s="1"/>
      <c r="JOX240" s="1"/>
      <c r="JOY240" s="1"/>
      <c r="JOZ240" s="1"/>
      <c r="JPA240" s="1"/>
      <c r="JPB240" s="1"/>
      <c r="JPC240" s="1"/>
      <c r="JPD240" s="1"/>
      <c r="JPE240" s="1"/>
      <c r="JPF240" s="1"/>
      <c r="JPG240" s="1"/>
      <c r="JPH240" s="1"/>
      <c r="JPI240" s="1"/>
      <c r="JPJ240" s="1"/>
      <c r="JPK240" s="1"/>
      <c r="JPL240" s="1"/>
      <c r="JPM240" s="1"/>
      <c r="JPN240" s="1"/>
      <c r="JPO240" s="1"/>
      <c r="JPP240" s="1"/>
      <c r="JPQ240" s="1"/>
      <c r="JPR240" s="1"/>
      <c r="JPS240" s="1"/>
      <c r="JPT240" s="1"/>
      <c r="JPU240" s="1"/>
      <c r="JPV240" s="1"/>
      <c r="JPW240" s="1"/>
      <c r="JPX240" s="1"/>
      <c r="JPY240" s="1"/>
      <c r="JPZ240" s="1"/>
      <c r="JQA240" s="1"/>
      <c r="JQB240" s="1"/>
      <c r="JQC240" s="1"/>
      <c r="JQD240" s="1"/>
      <c r="JQE240" s="1"/>
      <c r="JQF240" s="1"/>
      <c r="JQG240" s="1"/>
      <c r="JQH240" s="1"/>
      <c r="JQI240" s="1"/>
      <c r="JQJ240" s="1"/>
      <c r="JQK240" s="1"/>
      <c r="JQL240" s="1"/>
      <c r="JQM240" s="1"/>
      <c r="JQN240" s="1"/>
      <c r="JQO240" s="1"/>
      <c r="JQP240" s="1"/>
      <c r="JQQ240" s="1"/>
      <c r="JQR240" s="1"/>
      <c r="JQS240" s="1"/>
      <c r="JQT240" s="1"/>
      <c r="JQU240" s="1"/>
      <c r="JQV240" s="1"/>
      <c r="JQW240" s="1"/>
      <c r="JQX240" s="1"/>
      <c r="JQY240" s="1"/>
      <c r="JQZ240" s="1"/>
      <c r="JRA240" s="1"/>
      <c r="JRB240" s="1"/>
      <c r="JRC240" s="1"/>
      <c r="JRD240" s="1"/>
      <c r="JRE240" s="1"/>
      <c r="JRF240" s="1"/>
      <c r="JRG240" s="1"/>
      <c r="JRH240" s="1"/>
      <c r="JRI240" s="1"/>
      <c r="JRJ240" s="1"/>
      <c r="JRK240" s="1"/>
      <c r="JRL240" s="1"/>
      <c r="JRM240" s="1"/>
      <c r="JRN240" s="1"/>
      <c r="JRO240" s="1"/>
      <c r="JRP240" s="1"/>
      <c r="JRQ240" s="1"/>
      <c r="JRR240" s="1"/>
      <c r="JRS240" s="1"/>
      <c r="JRT240" s="1"/>
      <c r="JRU240" s="1"/>
      <c r="JRV240" s="1"/>
      <c r="JRW240" s="1"/>
      <c r="JRX240" s="1"/>
      <c r="JRY240" s="1"/>
      <c r="JRZ240" s="1"/>
      <c r="JSA240" s="1"/>
      <c r="JSB240" s="1"/>
      <c r="JSC240" s="1"/>
      <c r="JSD240" s="1"/>
      <c r="JSE240" s="1"/>
      <c r="JSF240" s="1"/>
      <c r="JSG240" s="1"/>
      <c r="JSH240" s="1"/>
      <c r="JSI240" s="1"/>
      <c r="JSJ240" s="1"/>
      <c r="JSK240" s="1"/>
      <c r="JSL240" s="1"/>
      <c r="JSM240" s="1"/>
      <c r="JSN240" s="1"/>
      <c r="JSO240" s="1"/>
      <c r="JSP240" s="1"/>
      <c r="JSQ240" s="1"/>
      <c r="JSR240" s="1"/>
      <c r="JSS240" s="1"/>
      <c r="JST240" s="1"/>
      <c r="JSU240" s="1"/>
      <c r="JSV240" s="1"/>
      <c r="JSW240" s="1"/>
      <c r="JSX240" s="1"/>
      <c r="JSY240" s="1"/>
      <c r="JSZ240" s="1"/>
      <c r="JTA240" s="1"/>
      <c r="JTB240" s="1"/>
      <c r="JTC240" s="1"/>
      <c r="JTD240" s="1"/>
      <c r="JTE240" s="1"/>
      <c r="JTF240" s="1"/>
      <c r="JTG240" s="1"/>
      <c r="JTH240" s="1"/>
      <c r="JTI240" s="1"/>
      <c r="JTJ240" s="1"/>
      <c r="JTK240" s="1"/>
      <c r="JTL240" s="1"/>
      <c r="JTM240" s="1"/>
      <c r="JTN240" s="1"/>
      <c r="JTO240" s="1"/>
      <c r="JTP240" s="1"/>
      <c r="JTQ240" s="1"/>
      <c r="JTR240" s="1"/>
      <c r="JTS240" s="1"/>
      <c r="JTT240" s="1"/>
      <c r="JTU240" s="1"/>
      <c r="JTV240" s="1"/>
      <c r="JTW240" s="1"/>
      <c r="JTX240" s="1"/>
      <c r="JTY240" s="1"/>
      <c r="JTZ240" s="1"/>
      <c r="JUA240" s="1"/>
      <c r="JUB240" s="1"/>
      <c r="JUC240" s="1"/>
      <c r="JUD240" s="1"/>
      <c r="JUE240" s="1"/>
      <c r="JUF240" s="1"/>
      <c r="JUG240" s="1"/>
      <c r="JUH240" s="1"/>
      <c r="JUI240" s="1"/>
      <c r="JUJ240" s="1"/>
      <c r="JUK240" s="1"/>
      <c r="JUL240" s="1"/>
      <c r="JUM240" s="1"/>
      <c r="JUN240" s="1"/>
      <c r="JUO240" s="1"/>
      <c r="JUP240" s="1"/>
      <c r="JUQ240" s="1"/>
      <c r="JUR240" s="1"/>
      <c r="JUS240" s="1"/>
      <c r="JUT240" s="1"/>
      <c r="JUU240" s="1"/>
      <c r="JUV240" s="1"/>
      <c r="JUW240" s="1"/>
      <c r="JUX240" s="1"/>
      <c r="JUY240" s="1"/>
      <c r="JUZ240" s="1"/>
      <c r="JVA240" s="1"/>
      <c r="JVB240" s="1"/>
      <c r="JVC240" s="1"/>
      <c r="JVD240" s="1"/>
      <c r="JVE240" s="1"/>
      <c r="JVF240" s="1"/>
      <c r="JVG240" s="1"/>
      <c r="JVH240" s="1"/>
      <c r="JVI240" s="1"/>
      <c r="JVJ240" s="1"/>
      <c r="JVK240" s="1"/>
      <c r="JVL240" s="1"/>
      <c r="JVM240" s="1"/>
      <c r="JVN240" s="1"/>
      <c r="JVO240" s="1"/>
      <c r="JVP240" s="1"/>
      <c r="JVQ240" s="1"/>
      <c r="JVR240" s="1"/>
      <c r="JVS240" s="1"/>
      <c r="JVT240" s="1"/>
      <c r="JVU240" s="1"/>
      <c r="JVV240" s="1"/>
      <c r="JVW240" s="1"/>
      <c r="JVX240" s="1"/>
      <c r="JVY240" s="1"/>
      <c r="JVZ240" s="1"/>
      <c r="JWA240" s="1"/>
      <c r="JWB240" s="1"/>
      <c r="JWC240" s="1"/>
      <c r="JWD240" s="1"/>
      <c r="JWE240" s="1"/>
      <c r="JWF240" s="1"/>
      <c r="JWG240" s="1"/>
      <c r="JWH240" s="1"/>
      <c r="JWI240" s="1"/>
      <c r="JWJ240" s="1"/>
      <c r="JWK240" s="1"/>
      <c r="JWL240" s="1"/>
      <c r="JWM240" s="1"/>
      <c r="JWN240" s="1"/>
      <c r="JWO240" s="1"/>
      <c r="JWP240" s="1"/>
      <c r="JWQ240" s="1"/>
      <c r="JWR240" s="1"/>
      <c r="JWS240" s="1"/>
      <c r="JWT240" s="1"/>
      <c r="JWU240" s="1"/>
      <c r="JWV240" s="1"/>
      <c r="JWW240" s="1"/>
      <c r="JWX240" s="1"/>
      <c r="JWY240" s="1"/>
      <c r="JWZ240" s="1"/>
      <c r="JXA240" s="1"/>
      <c r="JXB240" s="1"/>
      <c r="JXC240" s="1"/>
      <c r="JXD240" s="1"/>
      <c r="JXE240" s="1"/>
      <c r="JXF240" s="1"/>
      <c r="JXG240" s="1"/>
      <c r="JXH240" s="1"/>
      <c r="JXI240" s="1"/>
      <c r="JXJ240" s="1"/>
      <c r="JXK240" s="1"/>
      <c r="JXL240" s="1"/>
      <c r="JXM240" s="1"/>
      <c r="JXN240" s="1"/>
      <c r="JXO240" s="1"/>
      <c r="JXP240" s="1"/>
      <c r="JXQ240" s="1"/>
      <c r="JXR240" s="1"/>
      <c r="JXS240" s="1"/>
      <c r="JXT240" s="1"/>
      <c r="JXU240" s="1"/>
      <c r="JXV240" s="1"/>
      <c r="JXW240" s="1"/>
      <c r="JXX240" s="1"/>
      <c r="JXY240" s="1"/>
      <c r="JXZ240" s="1"/>
      <c r="JYA240" s="1"/>
      <c r="JYB240" s="1"/>
      <c r="JYC240" s="1"/>
      <c r="JYD240" s="1"/>
      <c r="JYE240" s="1"/>
      <c r="JYF240" s="1"/>
      <c r="JYG240" s="1"/>
      <c r="JYH240" s="1"/>
      <c r="JYI240" s="1"/>
      <c r="JYJ240" s="1"/>
      <c r="JYK240" s="1"/>
      <c r="JYL240" s="1"/>
      <c r="JYM240" s="1"/>
      <c r="JYN240" s="1"/>
      <c r="JYO240" s="1"/>
      <c r="JYP240" s="1"/>
      <c r="JYQ240" s="1"/>
      <c r="JYR240" s="1"/>
      <c r="JYS240" s="1"/>
      <c r="JYT240" s="1"/>
      <c r="JYU240" s="1"/>
      <c r="JYV240" s="1"/>
      <c r="JYW240" s="1"/>
      <c r="JYX240" s="1"/>
      <c r="JYY240" s="1"/>
      <c r="JYZ240" s="1"/>
      <c r="JZA240" s="1"/>
      <c r="JZB240" s="1"/>
      <c r="JZC240" s="1"/>
      <c r="JZD240" s="1"/>
      <c r="JZE240" s="1"/>
      <c r="JZF240" s="1"/>
      <c r="JZG240" s="1"/>
      <c r="JZH240" s="1"/>
      <c r="JZI240" s="1"/>
      <c r="JZJ240" s="1"/>
      <c r="JZK240" s="1"/>
      <c r="JZL240" s="1"/>
      <c r="JZM240" s="1"/>
      <c r="JZN240" s="1"/>
      <c r="JZO240" s="1"/>
      <c r="JZP240" s="1"/>
      <c r="JZQ240" s="1"/>
      <c r="JZR240" s="1"/>
      <c r="JZS240" s="1"/>
      <c r="JZT240" s="1"/>
      <c r="JZU240" s="1"/>
      <c r="JZV240" s="1"/>
      <c r="JZW240" s="1"/>
      <c r="JZX240" s="1"/>
      <c r="JZY240" s="1"/>
      <c r="JZZ240" s="1"/>
      <c r="KAA240" s="1"/>
      <c r="KAB240" s="1"/>
      <c r="KAC240" s="1"/>
      <c r="KAD240" s="1"/>
      <c r="KAE240" s="1"/>
      <c r="KAF240" s="1"/>
      <c r="KAG240" s="1"/>
      <c r="KAH240" s="1"/>
      <c r="KAI240" s="1"/>
      <c r="KAJ240" s="1"/>
      <c r="KAK240" s="1"/>
      <c r="KAL240" s="1"/>
      <c r="KAM240" s="1"/>
      <c r="KAN240" s="1"/>
      <c r="KAO240" s="1"/>
      <c r="KAP240" s="1"/>
      <c r="KAQ240" s="1"/>
      <c r="KAR240" s="1"/>
      <c r="KAS240" s="1"/>
      <c r="KAT240" s="1"/>
      <c r="KAU240" s="1"/>
      <c r="KAV240" s="1"/>
      <c r="KAW240" s="1"/>
      <c r="KAX240" s="1"/>
      <c r="KAY240" s="1"/>
      <c r="KAZ240" s="1"/>
      <c r="KBA240" s="1"/>
      <c r="KBB240" s="1"/>
      <c r="KBC240" s="1"/>
      <c r="KBD240" s="1"/>
      <c r="KBE240" s="1"/>
      <c r="KBF240" s="1"/>
      <c r="KBG240" s="1"/>
      <c r="KBH240" s="1"/>
      <c r="KBI240" s="1"/>
      <c r="KBJ240" s="1"/>
      <c r="KBK240" s="1"/>
      <c r="KBL240" s="1"/>
      <c r="KBM240" s="1"/>
      <c r="KBN240" s="1"/>
      <c r="KBO240" s="1"/>
      <c r="KBP240" s="1"/>
      <c r="KBQ240" s="1"/>
      <c r="KBR240" s="1"/>
      <c r="KBS240" s="1"/>
      <c r="KBT240" s="1"/>
      <c r="KBU240" s="1"/>
      <c r="KBV240" s="1"/>
      <c r="KBW240" s="1"/>
      <c r="KBX240" s="1"/>
      <c r="KBY240" s="1"/>
      <c r="KBZ240" s="1"/>
      <c r="KCA240" s="1"/>
      <c r="KCB240" s="1"/>
      <c r="KCC240" s="1"/>
      <c r="KCD240" s="1"/>
      <c r="KCE240" s="1"/>
      <c r="KCF240" s="1"/>
      <c r="KCG240" s="1"/>
      <c r="KCH240" s="1"/>
      <c r="KCI240" s="1"/>
      <c r="KCJ240" s="1"/>
      <c r="KCK240" s="1"/>
      <c r="KCL240" s="1"/>
      <c r="KCM240" s="1"/>
      <c r="KCN240" s="1"/>
      <c r="KCO240" s="1"/>
      <c r="KCP240" s="1"/>
      <c r="KCQ240" s="1"/>
      <c r="KCR240" s="1"/>
      <c r="KCS240" s="1"/>
      <c r="KCT240" s="1"/>
      <c r="KCU240" s="1"/>
      <c r="KCV240" s="1"/>
      <c r="KCW240" s="1"/>
      <c r="KCX240" s="1"/>
      <c r="KCY240" s="1"/>
      <c r="KCZ240" s="1"/>
      <c r="KDA240" s="1"/>
      <c r="KDB240" s="1"/>
      <c r="KDC240" s="1"/>
      <c r="KDD240" s="1"/>
      <c r="KDE240" s="1"/>
      <c r="KDF240" s="1"/>
      <c r="KDG240" s="1"/>
      <c r="KDH240" s="1"/>
      <c r="KDI240" s="1"/>
      <c r="KDJ240" s="1"/>
      <c r="KDK240" s="1"/>
      <c r="KDL240" s="1"/>
      <c r="KDM240" s="1"/>
      <c r="KDN240" s="1"/>
      <c r="KDO240" s="1"/>
      <c r="KDP240" s="1"/>
      <c r="KDQ240" s="1"/>
      <c r="KDR240" s="1"/>
      <c r="KDS240" s="1"/>
      <c r="KDT240" s="1"/>
      <c r="KDU240" s="1"/>
      <c r="KDV240" s="1"/>
      <c r="KDW240" s="1"/>
      <c r="KDX240" s="1"/>
      <c r="KDY240" s="1"/>
      <c r="KDZ240" s="1"/>
      <c r="KEA240" s="1"/>
      <c r="KEB240" s="1"/>
      <c r="KEC240" s="1"/>
      <c r="KED240" s="1"/>
      <c r="KEE240" s="1"/>
      <c r="KEF240" s="1"/>
      <c r="KEG240" s="1"/>
      <c r="KEH240" s="1"/>
      <c r="KEI240" s="1"/>
      <c r="KEJ240" s="1"/>
      <c r="KEK240" s="1"/>
      <c r="KEL240" s="1"/>
      <c r="KEM240" s="1"/>
      <c r="KEN240" s="1"/>
      <c r="KEO240" s="1"/>
      <c r="KEP240" s="1"/>
      <c r="KEQ240" s="1"/>
      <c r="KER240" s="1"/>
      <c r="KES240" s="1"/>
      <c r="KET240" s="1"/>
      <c r="KEU240" s="1"/>
      <c r="KEV240" s="1"/>
      <c r="KEW240" s="1"/>
      <c r="KEX240" s="1"/>
      <c r="KEY240" s="1"/>
      <c r="KEZ240" s="1"/>
      <c r="KFA240" s="1"/>
      <c r="KFB240" s="1"/>
      <c r="KFC240" s="1"/>
      <c r="KFD240" s="1"/>
      <c r="KFE240" s="1"/>
      <c r="KFF240" s="1"/>
      <c r="KFG240" s="1"/>
      <c r="KFH240" s="1"/>
      <c r="KFI240" s="1"/>
      <c r="KFJ240" s="1"/>
      <c r="KFK240" s="1"/>
      <c r="KFL240" s="1"/>
      <c r="KFM240" s="1"/>
      <c r="KFN240" s="1"/>
      <c r="KFO240" s="1"/>
      <c r="KFP240" s="1"/>
      <c r="KFQ240" s="1"/>
      <c r="KFR240" s="1"/>
      <c r="KFS240" s="1"/>
      <c r="KFT240" s="1"/>
      <c r="KFU240" s="1"/>
      <c r="KFV240" s="1"/>
      <c r="KFW240" s="1"/>
      <c r="KFX240" s="1"/>
      <c r="KFY240" s="1"/>
      <c r="KFZ240" s="1"/>
      <c r="KGA240" s="1"/>
      <c r="KGB240" s="1"/>
      <c r="KGC240" s="1"/>
      <c r="KGD240" s="1"/>
      <c r="KGE240" s="1"/>
      <c r="KGF240" s="1"/>
      <c r="KGG240" s="1"/>
      <c r="KGH240" s="1"/>
      <c r="KGI240" s="1"/>
      <c r="KGJ240" s="1"/>
      <c r="KGK240" s="1"/>
      <c r="KGL240" s="1"/>
      <c r="KGM240" s="1"/>
      <c r="KGN240" s="1"/>
      <c r="KGO240" s="1"/>
      <c r="KGP240" s="1"/>
      <c r="KGQ240" s="1"/>
      <c r="KGR240" s="1"/>
      <c r="KGS240" s="1"/>
      <c r="KGT240" s="1"/>
      <c r="KGU240" s="1"/>
      <c r="KGV240" s="1"/>
      <c r="KGW240" s="1"/>
      <c r="KGX240" s="1"/>
      <c r="KGY240" s="1"/>
      <c r="KGZ240" s="1"/>
      <c r="KHA240" s="1"/>
      <c r="KHB240" s="1"/>
      <c r="KHC240" s="1"/>
      <c r="KHD240" s="1"/>
      <c r="KHE240" s="1"/>
      <c r="KHF240" s="1"/>
      <c r="KHG240" s="1"/>
      <c r="KHH240" s="1"/>
      <c r="KHI240" s="1"/>
      <c r="KHJ240" s="1"/>
      <c r="KHK240" s="1"/>
      <c r="KHL240" s="1"/>
      <c r="KHM240" s="1"/>
      <c r="KHN240" s="1"/>
      <c r="KHO240" s="1"/>
      <c r="KHP240" s="1"/>
      <c r="KHQ240" s="1"/>
      <c r="KHR240" s="1"/>
      <c r="KHS240" s="1"/>
      <c r="KHT240" s="1"/>
      <c r="KHU240" s="1"/>
      <c r="KHV240" s="1"/>
      <c r="KHW240" s="1"/>
      <c r="KHX240" s="1"/>
      <c r="KHY240" s="1"/>
      <c r="KHZ240" s="1"/>
      <c r="KIA240" s="1"/>
      <c r="KIB240" s="1"/>
      <c r="KIC240" s="1"/>
      <c r="KID240" s="1"/>
      <c r="KIE240" s="1"/>
      <c r="KIF240" s="1"/>
      <c r="KIG240" s="1"/>
      <c r="KIH240" s="1"/>
      <c r="KII240" s="1"/>
      <c r="KIJ240" s="1"/>
      <c r="KIK240" s="1"/>
      <c r="KIL240" s="1"/>
      <c r="KIM240" s="1"/>
      <c r="KIN240" s="1"/>
      <c r="KIO240" s="1"/>
      <c r="KIP240" s="1"/>
      <c r="KIQ240" s="1"/>
      <c r="KIR240" s="1"/>
      <c r="KIS240" s="1"/>
      <c r="KIT240" s="1"/>
      <c r="KIU240" s="1"/>
      <c r="KIV240" s="1"/>
      <c r="KIW240" s="1"/>
      <c r="KIX240" s="1"/>
      <c r="KIY240" s="1"/>
      <c r="KIZ240" s="1"/>
      <c r="KJA240" s="1"/>
      <c r="KJB240" s="1"/>
      <c r="KJC240" s="1"/>
      <c r="KJD240" s="1"/>
      <c r="KJE240" s="1"/>
      <c r="KJF240" s="1"/>
      <c r="KJG240" s="1"/>
      <c r="KJH240" s="1"/>
      <c r="KJI240" s="1"/>
      <c r="KJJ240" s="1"/>
      <c r="KJK240" s="1"/>
      <c r="KJL240" s="1"/>
      <c r="KJM240" s="1"/>
      <c r="KJN240" s="1"/>
      <c r="KJO240" s="1"/>
      <c r="KJP240" s="1"/>
      <c r="KJQ240" s="1"/>
      <c r="KJR240" s="1"/>
      <c r="KJS240" s="1"/>
      <c r="KJT240" s="1"/>
      <c r="KJU240" s="1"/>
      <c r="KJV240" s="1"/>
      <c r="KJW240" s="1"/>
      <c r="KJX240" s="1"/>
      <c r="KJY240" s="1"/>
      <c r="KJZ240" s="1"/>
      <c r="KKA240" s="1"/>
      <c r="KKB240" s="1"/>
      <c r="KKC240" s="1"/>
      <c r="KKD240" s="1"/>
      <c r="KKE240" s="1"/>
      <c r="KKF240" s="1"/>
      <c r="KKG240" s="1"/>
      <c r="KKH240" s="1"/>
      <c r="KKI240" s="1"/>
      <c r="KKJ240" s="1"/>
      <c r="KKK240" s="1"/>
      <c r="KKL240" s="1"/>
      <c r="KKM240" s="1"/>
      <c r="KKN240" s="1"/>
      <c r="KKO240" s="1"/>
      <c r="KKP240" s="1"/>
      <c r="KKQ240" s="1"/>
      <c r="KKR240" s="1"/>
      <c r="KKS240" s="1"/>
      <c r="KKT240" s="1"/>
      <c r="KKU240" s="1"/>
      <c r="KKV240" s="1"/>
      <c r="KKW240" s="1"/>
      <c r="KKX240" s="1"/>
      <c r="KKY240" s="1"/>
      <c r="KKZ240" s="1"/>
      <c r="KLA240" s="1"/>
      <c r="KLB240" s="1"/>
      <c r="KLC240" s="1"/>
      <c r="KLD240" s="1"/>
      <c r="KLE240" s="1"/>
      <c r="KLF240" s="1"/>
      <c r="KLG240" s="1"/>
      <c r="KLH240" s="1"/>
      <c r="KLI240" s="1"/>
      <c r="KLJ240" s="1"/>
      <c r="KLK240" s="1"/>
      <c r="KLL240" s="1"/>
      <c r="KLM240" s="1"/>
      <c r="KLN240" s="1"/>
      <c r="KLO240" s="1"/>
      <c r="KLP240" s="1"/>
      <c r="KLQ240" s="1"/>
      <c r="KLR240" s="1"/>
      <c r="KLS240" s="1"/>
      <c r="KLT240" s="1"/>
      <c r="KLU240" s="1"/>
      <c r="KLV240" s="1"/>
      <c r="KLW240" s="1"/>
      <c r="KLX240" s="1"/>
      <c r="KLY240" s="1"/>
      <c r="KLZ240" s="1"/>
      <c r="KMA240" s="1"/>
      <c r="KMB240" s="1"/>
      <c r="KMC240" s="1"/>
      <c r="KMD240" s="1"/>
      <c r="KME240" s="1"/>
      <c r="KMF240" s="1"/>
      <c r="KMG240" s="1"/>
      <c r="KMH240" s="1"/>
      <c r="KMI240" s="1"/>
      <c r="KMJ240" s="1"/>
      <c r="KMK240" s="1"/>
      <c r="KML240" s="1"/>
      <c r="KMM240" s="1"/>
      <c r="KMN240" s="1"/>
      <c r="KMO240" s="1"/>
      <c r="KMP240" s="1"/>
      <c r="KMQ240" s="1"/>
      <c r="KMR240" s="1"/>
      <c r="KMS240" s="1"/>
      <c r="KMT240" s="1"/>
      <c r="KMU240" s="1"/>
      <c r="KMV240" s="1"/>
      <c r="KMW240" s="1"/>
      <c r="KMX240" s="1"/>
      <c r="KMY240" s="1"/>
      <c r="KMZ240" s="1"/>
      <c r="KNA240" s="1"/>
      <c r="KNB240" s="1"/>
      <c r="KNC240" s="1"/>
      <c r="KND240" s="1"/>
      <c r="KNE240" s="1"/>
      <c r="KNF240" s="1"/>
      <c r="KNG240" s="1"/>
      <c r="KNH240" s="1"/>
      <c r="KNI240" s="1"/>
      <c r="KNJ240" s="1"/>
      <c r="KNK240" s="1"/>
      <c r="KNL240" s="1"/>
      <c r="KNM240" s="1"/>
      <c r="KNN240" s="1"/>
      <c r="KNO240" s="1"/>
      <c r="KNP240" s="1"/>
      <c r="KNQ240" s="1"/>
      <c r="KNR240" s="1"/>
      <c r="KNS240" s="1"/>
      <c r="KNT240" s="1"/>
      <c r="KNU240" s="1"/>
      <c r="KNV240" s="1"/>
      <c r="KNW240" s="1"/>
      <c r="KNX240" s="1"/>
      <c r="KNY240" s="1"/>
      <c r="KNZ240" s="1"/>
      <c r="KOA240" s="1"/>
      <c r="KOB240" s="1"/>
      <c r="KOC240" s="1"/>
      <c r="KOD240" s="1"/>
      <c r="KOE240" s="1"/>
      <c r="KOF240" s="1"/>
      <c r="KOG240" s="1"/>
      <c r="KOH240" s="1"/>
      <c r="KOI240" s="1"/>
      <c r="KOJ240" s="1"/>
      <c r="KOK240" s="1"/>
      <c r="KOL240" s="1"/>
      <c r="KOM240" s="1"/>
      <c r="KON240" s="1"/>
      <c r="KOO240" s="1"/>
      <c r="KOP240" s="1"/>
      <c r="KOQ240" s="1"/>
      <c r="KOR240" s="1"/>
      <c r="KOS240" s="1"/>
      <c r="KOT240" s="1"/>
      <c r="KOU240" s="1"/>
      <c r="KOV240" s="1"/>
      <c r="KOW240" s="1"/>
      <c r="KOX240" s="1"/>
      <c r="KOY240" s="1"/>
      <c r="KOZ240" s="1"/>
      <c r="KPA240" s="1"/>
      <c r="KPB240" s="1"/>
      <c r="KPC240" s="1"/>
      <c r="KPD240" s="1"/>
      <c r="KPE240" s="1"/>
      <c r="KPF240" s="1"/>
      <c r="KPG240" s="1"/>
      <c r="KPH240" s="1"/>
      <c r="KPI240" s="1"/>
      <c r="KPJ240" s="1"/>
      <c r="KPK240" s="1"/>
      <c r="KPL240" s="1"/>
      <c r="KPM240" s="1"/>
      <c r="KPN240" s="1"/>
      <c r="KPO240" s="1"/>
      <c r="KPP240" s="1"/>
      <c r="KPQ240" s="1"/>
      <c r="KPR240" s="1"/>
      <c r="KPS240" s="1"/>
      <c r="KPT240" s="1"/>
      <c r="KPU240" s="1"/>
      <c r="KPV240" s="1"/>
      <c r="KPW240" s="1"/>
      <c r="KPX240" s="1"/>
      <c r="KPY240" s="1"/>
      <c r="KPZ240" s="1"/>
      <c r="KQA240" s="1"/>
      <c r="KQB240" s="1"/>
      <c r="KQC240" s="1"/>
      <c r="KQD240" s="1"/>
      <c r="KQE240" s="1"/>
      <c r="KQF240" s="1"/>
      <c r="KQG240" s="1"/>
      <c r="KQH240" s="1"/>
      <c r="KQI240" s="1"/>
      <c r="KQJ240" s="1"/>
      <c r="KQK240" s="1"/>
      <c r="KQL240" s="1"/>
      <c r="KQM240" s="1"/>
      <c r="KQN240" s="1"/>
      <c r="KQO240" s="1"/>
      <c r="KQP240" s="1"/>
      <c r="KQQ240" s="1"/>
      <c r="KQR240" s="1"/>
      <c r="KQS240" s="1"/>
      <c r="KQT240" s="1"/>
      <c r="KQU240" s="1"/>
      <c r="KQV240" s="1"/>
      <c r="KQW240" s="1"/>
      <c r="KQX240" s="1"/>
      <c r="KQY240" s="1"/>
      <c r="KQZ240" s="1"/>
      <c r="KRA240" s="1"/>
      <c r="KRB240" s="1"/>
      <c r="KRC240" s="1"/>
      <c r="KRD240" s="1"/>
      <c r="KRE240" s="1"/>
      <c r="KRF240" s="1"/>
      <c r="KRG240" s="1"/>
      <c r="KRH240" s="1"/>
      <c r="KRI240" s="1"/>
      <c r="KRJ240" s="1"/>
      <c r="KRK240" s="1"/>
      <c r="KRL240" s="1"/>
      <c r="KRM240" s="1"/>
      <c r="KRN240" s="1"/>
      <c r="KRO240" s="1"/>
      <c r="KRP240" s="1"/>
      <c r="KRQ240" s="1"/>
      <c r="KRR240" s="1"/>
      <c r="KRS240" s="1"/>
      <c r="KRT240" s="1"/>
      <c r="KRU240" s="1"/>
      <c r="KRV240" s="1"/>
      <c r="KRW240" s="1"/>
      <c r="KRX240" s="1"/>
      <c r="KRY240" s="1"/>
      <c r="KRZ240" s="1"/>
      <c r="KSA240" s="1"/>
      <c r="KSB240" s="1"/>
      <c r="KSC240" s="1"/>
      <c r="KSD240" s="1"/>
      <c r="KSE240" s="1"/>
      <c r="KSF240" s="1"/>
      <c r="KSG240" s="1"/>
      <c r="KSH240" s="1"/>
      <c r="KSI240" s="1"/>
      <c r="KSJ240" s="1"/>
      <c r="KSK240" s="1"/>
      <c r="KSL240" s="1"/>
      <c r="KSM240" s="1"/>
      <c r="KSN240" s="1"/>
      <c r="KSO240" s="1"/>
      <c r="KSP240" s="1"/>
      <c r="KSQ240" s="1"/>
      <c r="KSR240" s="1"/>
      <c r="KSS240" s="1"/>
      <c r="KST240" s="1"/>
      <c r="KSU240" s="1"/>
      <c r="KSV240" s="1"/>
      <c r="KSW240" s="1"/>
      <c r="KSX240" s="1"/>
      <c r="KSY240" s="1"/>
      <c r="KSZ240" s="1"/>
      <c r="KTA240" s="1"/>
      <c r="KTB240" s="1"/>
      <c r="KTC240" s="1"/>
      <c r="KTD240" s="1"/>
      <c r="KTE240" s="1"/>
      <c r="KTF240" s="1"/>
      <c r="KTG240" s="1"/>
      <c r="KTH240" s="1"/>
      <c r="KTI240" s="1"/>
      <c r="KTJ240" s="1"/>
      <c r="KTK240" s="1"/>
      <c r="KTL240" s="1"/>
      <c r="KTM240" s="1"/>
      <c r="KTN240" s="1"/>
      <c r="KTO240" s="1"/>
      <c r="KTP240" s="1"/>
      <c r="KTQ240" s="1"/>
      <c r="KTR240" s="1"/>
      <c r="KTS240" s="1"/>
      <c r="KTT240" s="1"/>
      <c r="KTU240" s="1"/>
      <c r="KTV240" s="1"/>
      <c r="KTW240" s="1"/>
      <c r="KTX240" s="1"/>
      <c r="KTY240" s="1"/>
      <c r="KTZ240" s="1"/>
      <c r="KUA240" s="1"/>
      <c r="KUB240" s="1"/>
      <c r="KUC240" s="1"/>
      <c r="KUD240" s="1"/>
      <c r="KUE240" s="1"/>
      <c r="KUF240" s="1"/>
      <c r="KUG240" s="1"/>
      <c r="KUH240" s="1"/>
      <c r="KUI240" s="1"/>
      <c r="KUJ240" s="1"/>
      <c r="KUK240" s="1"/>
      <c r="KUL240" s="1"/>
      <c r="KUM240" s="1"/>
      <c r="KUN240" s="1"/>
      <c r="KUO240" s="1"/>
      <c r="KUP240" s="1"/>
      <c r="KUQ240" s="1"/>
      <c r="KUR240" s="1"/>
      <c r="KUS240" s="1"/>
      <c r="KUT240" s="1"/>
      <c r="KUU240" s="1"/>
      <c r="KUV240" s="1"/>
      <c r="KUW240" s="1"/>
      <c r="KUX240" s="1"/>
      <c r="KUY240" s="1"/>
      <c r="KUZ240" s="1"/>
      <c r="KVA240" s="1"/>
      <c r="KVB240" s="1"/>
      <c r="KVC240" s="1"/>
      <c r="KVD240" s="1"/>
      <c r="KVE240" s="1"/>
      <c r="KVF240" s="1"/>
      <c r="KVG240" s="1"/>
      <c r="KVH240" s="1"/>
      <c r="KVI240" s="1"/>
      <c r="KVJ240" s="1"/>
      <c r="KVK240" s="1"/>
      <c r="KVL240" s="1"/>
      <c r="KVM240" s="1"/>
      <c r="KVN240" s="1"/>
      <c r="KVO240" s="1"/>
      <c r="KVP240" s="1"/>
      <c r="KVQ240" s="1"/>
      <c r="KVR240" s="1"/>
      <c r="KVS240" s="1"/>
      <c r="KVT240" s="1"/>
      <c r="KVU240" s="1"/>
      <c r="KVV240" s="1"/>
      <c r="KVW240" s="1"/>
      <c r="KVX240" s="1"/>
      <c r="KVY240" s="1"/>
      <c r="KVZ240" s="1"/>
      <c r="KWA240" s="1"/>
      <c r="KWB240" s="1"/>
      <c r="KWC240" s="1"/>
      <c r="KWD240" s="1"/>
      <c r="KWE240" s="1"/>
      <c r="KWF240" s="1"/>
      <c r="KWG240" s="1"/>
      <c r="KWH240" s="1"/>
      <c r="KWI240" s="1"/>
      <c r="KWJ240" s="1"/>
      <c r="KWK240" s="1"/>
      <c r="KWL240" s="1"/>
      <c r="KWM240" s="1"/>
      <c r="KWN240" s="1"/>
      <c r="KWO240" s="1"/>
      <c r="KWP240" s="1"/>
      <c r="KWQ240" s="1"/>
      <c r="KWR240" s="1"/>
      <c r="KWS240" s="1"/>
      <c r="KWT240" s="1"/>
      <c r="KWU240" s="1"/>
      <c r="KWV240" s="1"/>
      <c r="KWW240" s="1"/>
      <c r="KWX240" s="1"/>
      <c r="KWY240" s="1"/>
      <c r="KWZ240" s="1"/>
      <c r="KXA240" s="1"/>
      <c r="KXB240" s="1"/>
      <c r="KXC240" s="1"/>
      <c r="KXD240" s="1"/>
      <c r="KXE240" s="1"/>
      <c r="KXF240" s="1"/>
      <c r="KXG240" s="1"/>
      <c r="KXH240" s="1"/>
      <c r="KXI240" s="1"/>
      <c r="KXJ240" s="1"/>
      <c r="KXK240" s="1"/>
      <c r="KXL240" s="1"/>
      <c r="KXM240" s="1"/>
      <c r="KXN240" s="1"/>
      <c r="KXO240" s="1"/>
      <c r="KXP240" s="1"/>
      <c r="KXQ240" s="1"/>
      <c r="KXR240" s="1"/>
      <c r="KXS240" s="1"/>
      <c r="KXT240" s="1"/>
      <c r="KXU240" s="1"/>
      <c r="KXV240" s="1"/>
      <c r="KXW240" s="1"/>
      <c r="KXX240" s="1"/>
      <c r="KXY240" s="1"/>
      <c r="KXZ240" s="1"/>
      <c r="KYA240" s="1"/>
      <c r="KYB240" s="1"/>
      <c r="KYC240" s="1"/>
      <c r="KYD240" s="1"/>
      <c r="KYE240" s="1"/>
      <c r="KYF240" s="1"/>
      <c r="KYG240" s="1"/>
      <c r="KYH240" s="1"/>
      <c r="KYI240" s="1"/>
      <c r="KYJ240" s="1"/>
      <c r="KYK240" s="1"/>
      <c r="KYL240" s="1"/>
      <c r="KYM240" s="1"/>
      <c r="KYN240" s="1"/>
      <c r="KYO240" s="1"/>
      <c r="KYP240" s="1"/>
      <c r="KYQ240" s="1"/>
      <c r="KYR240" s="1"/>
      <c r="KYS240" s="1"/>
      <c r="KYT240" s="1"/>
      <c r="KYU240" s="1"/>
      <c r="KYV240" s="1"/>
      <c r="KYW240" s="1"/>
      <c r="KYX240" s="1"/>
      <c r="KYY240" s="1"/>
      <c r="KYZ240" s="1"/>
      <c r="KZA240" s="1"/>
      <c r="KZB240" s="1"/>
      <c r="KZC240" s="1"/>
      <c r="KZD240" s="1"/>
      <c r="KZE240" s="1"/>
      <c r="KZF240" s="1"/>
      <c r="KZG240" s="1"/>
      <c r="KZH240" s="1"/>
      <c r="KZI240" s="1"/>
      <c r="KZJ240" s="1"/>
      <c r="KZK240" s="1"/>
      <c r="KZL240" s="1"/>
      <c r="KZM240" s="1"/>
      <c r="KZN240" s="1"/>
      <c r="KZO240" s="1"/>
      <c r="KZP240" s="1"/>
      <c r="KZQ240" s="1"/>
      <c r="KZR240" s="1"/>
      <c r="KZS240" s="1"/>
      <c r="KZT240" s="1"/>
      <c r="KZU240" s="1"/>
      <c r="KZV240" s="1"/>
      <c r="KZW240" s="1"/>
      <c r="KZX240" s="1"/>
      <c r="KZY240" s="1"/>
      <c r="KZZ240" s="1"/>
      <c r="LAA240" s="1"/>
      <c r="LAB240" s="1"/>
      <c r="LAC240" s="1"/>
      <c r="LAD240" s="1"/>
      <c r="LAE240" s="1"/>
      <c r="LAF240" s="1"/>
      <c r="LAG240" s="1"/>
      <c r="LAH240" s="1"/>
      <c r="LAI240" s="1"/>
      <c r="LAJ240" s="1"/>
      <c r="LAK240" s="1"/>
      <c r="LAL240" s="1"/>
      <c r="LAM240" s="1"/>
      <c r="LAN240" s="1"/>
      <c r="LAO240" s="1"/>
      <c r="LAP240" s="1"/>
      <c r="LAQ240" s="1"/>
      <c r="LAR240" s="1"/>
      <c r="LAS240" s="1"/>
      <c r="LAT240" s="1"/>
      <c r="LAU240" s="1"/>
      <c r="LAV240" s="1"/>
      <c r="LAW240" s="1"/>
      <c r="LAX240" s="1"/>
      <c r="LAY240" s="1"/>
      <c r="LAZ240" s="1"/>
      <c r="LBA240" s="1"/>
      <c r="LBB240" s="1"/>
      <c r="LBC240" s="1"/>
      <c r="LBD240" s="1"/>
      <c r="LBE240" s="1"/>
      <c r="LBF240" s="1"/>
      <c r="LBG240" s="1"/>
      <c r="LBH240" s="1"/>
      <c r="LBI240" s="1"/>
      <c r="LBJ240" s="1"/>
      <c r="LBK240" s="1"/>
      <c r="LBL240" s="1"/>
      <c r="LBM240" s="1"/>
      <c r="LBN240" s="1"/>
      <c r="LBO240" s="1"/>
      <c r="LBP240" s="1"/>
      <c r="LBQ240" s="1"/>
      <c r="LBR240" s="1"/>
      <c r="LBS240" s="1"/>
      <c r="LBT240" s="1"/>
      <c r="LBU240" s="1"/>
      <c r="LBV240" s="1"/>
      <c r="LBW240" s="1"/>
      <c r="LBX240" s="1"/>
      <c r="LBY240" s="1"/>
      <c r="LBZ240" s="1"/>
      <c r="LCA240" s="1"/>
      <c r="LCB240" s="1"/>
      <c r="LCC240" s="1"/>
      <c r="LCD240" s="1"/>
      <c r="LCE240" s="1"/>
      <c r="LCF240" s="1"/>
      <c r="LCG240" s="1"/>
      <c r="LCH240" s="1"/>
      <c r="LCI240" s="1"/>
      <c r="LCJ240" s="1"/>
      <c r="LCK240" s="1"/>
      <c r="LCL240" s="1"/>
      <c r="LCM240" s="1"/>
      <c r="LCN240" s="1"/>
      <c r="LCO240" s="1"/>
      <c r="LCP240" s="1"/>
      <c r="LCQ240" s="1"/>
      <c r="LCR240" s="1"/>
      <c r="LCS240" s="1"/>
      <c r="LCT240" s="1"/>
      <c r="LCU240" s="1"/>
      <c r="LCV240" s="1"/>
      <c r="LCW240" s="1"/>
      <c r="LCX240" s="1"/>
      <c r="LCY240" s="1"/>
      <c r="LCZ240" s="1"/>
      <c r="LDA240" s="1"/>
      <c r="LDB240" s="1"/>
      <c r="LDC240" s="1"/>
      <c r="LDD240" s="1"/>
      <c r="LDE240" s="1"/>
      <c r="LDF240" s="1"/>
      <c r="LDG240" s="1"/>
      <c r="LDH240" s="1"/>
      <c r="LDI240" s="1"/>
      <c r="LDJ240" s="1"/>
      <c r="LDK240" s="1"/>
      <c r="LDL240" s="1"/>
      <c r="LDM240" s="1"/>
      <c r="LDN240" s="1"/>
      <c r="LDO240" s="1"/>
      <c r="LDP240" s="1"/>
      <c r="LDQ240" s="1"/>
      <c r="LDR240" s="1"/>
      <c r="LDS240" s="1"/>
      <c r="LDT240" s="1"/>
      <c r="LDU240" s="1"/>
      <c r="LDV240" s="1"/>
      <c r="LDW240" s="1"/>
      <c r="LDX240" s="1"/>
      <c r="LDY240" s="1"/>
      <c r="LDZ240" s="1"/>
      <c r="LEA240" s="1"/>
      <c r="LEB240" s="1"/>
      <c r="LEC240" s="1"/>
      <c r="LED240" s="1"/>
      <c r="LEE240" s="1"/>
      <c r="LEF240" s="1"/>
      <c r="LEG240" s="1"/>
      <c r="LEH240" s="1"/>
      <c r="LEI240" s="1"/>
      <c r="LEJ240" s="1"/>
      <c r="LEK240" s="1"/>
      <c r="LEL240" s="1"/>
      <c r="LEM240" s="1"/>
      <c r="LEN240" s="1"/>
      <c r="LEO240" s="1"/>
      <c r="LEP240" s="1"/>
      <c r="LEQ240" s="1"/>
      <c r="LER240" s="1"/>
      <c r="LES240" s="1"/>
      <c r="LET240" s="1"/>
      <c r="LEU240" s="1"/>
      <c r="LEV240" s="1"/>
      <c r="LEW240" s="1"/>
      <c r="LEX240" s="1"/>
      <c r="LEY240" s="1"/>
      <c r="LEZ240" s="1"/>
      <c r="LFA240" s="1"/>
      <c r="LFB240" s="1"/>
      <c r="LFC240" s="1"/>
      <c r="LFD240" s="1"/>
      <c r="LFE240" s="1"/>
      <c r="LFF240" s="1"/>
      <c r="LFG240" s="1"/>
      <c r="LFH240" s="1"/>
      <c r="LFI240" s="1"/>
      <c r="LFJ240" s="1"/>
      <c r="LFK240" s="1"/>
      <c r="LFL240" s="1"/>
      <c r="LFM240" s="1"/>
      <c r="LFN240" s="1"/>
      <c r="LFO240" s="1"/>
      <c r="LFP240" s="1"/>
      <c r="LFQ240" s="1"/>
      <c r="LFR240" s="1"/>
      <c r="LFS240" s="1"/>
      <c r="LFT240" s="1"/>
      <c r="LFU240" s="1"/>
      <c r="LFV240" s="1"/>
      <c r="LFW240" s="1"/>
      <c r="LFX240" s="1"/>
      <c r="LFY240" s="1"/>
      <c r="LFZ240" s="1"/>
      <c r="LGA240" s="1"/>
      <c r="LGB240" s="1"/>
      <c r="LGC240" s="1"/>
      <c r="LGD240" s="1"/>
      <c r="LGE240" s="1"/>
      <c r="LGF240" s="1"/>
      <c r="LGG240" s="1"/>
      <c r="LGH240" s="1"/>
      <c r="LGI240" s="1"/>
      <c r="LGJ240" s="1"/>
      <c r="LGK240" s="1"/>
      <c r="LGL240" s="1"/>
      <c r="LGM240" s="1"/>
      <c r="LGN240" s="1"/>
      <c r="LGO240" s="1"/>
      <c r="LGP240" s="1"/>
      <c r="LGQ240" s="1"/>
      <c r="LGR240" s="1"/>
      <c r="LGS240" s="1"/>
      <c r="LGT240" s="1"/>
      <c r="LGU240" s="1"/>
      <c r="LGV240" s="1"/>
      <c r="LGW240" s="1"/>
      <c r="LGX240" s="1"/>
      <c r="LGY240" s="1"/>
      <c r="LGZ240" s="1"/>
      <c r="LHA240" s="1"/>
      <c r="LHB240" s="1"/>
      <c r="LHC240" s="1"/>
      <c r="LHD240" s="1"/>
      <c r="LHE240" s="1"/>
      <c r="LHF240" s="1"/>
      <c r="LHG240" s="1"/>
      <c r="LHH240" s="1"/>
      <c r="LHI240" s="1"/>
      <c r="LHJ240" s="1"/>
      <c r="LHK240" s="1"/>
      <c r="LHL240" s="1"/>
      <c r="LHM240" s="1"/>
      <c r="LHN240" s="1"/>
      <c r="LHO240" s="1"/>
      <c r="LHP240" s="1"/>
      <c r="LHQ240" s="1"/>
      <c r="LHR240" s="1"/>
      <c r="LHS240" s="1"/>
      <c r="LHT240" s="1"/>
      <c r="LHU240" s="1"/>
      <c r="LHV240" s="1"/>
      <c r="LHW240" s="1"/>
      <c r="LHX240" s="1"/>
      <c r="LHY240" s="1"/>
      <c r="LHZ240" s="1"/>
      <c r="LIA240" s="1"/>
      <c r="LIB240" s="1"/>
      <c r="LIC240" s="1"/>
      <c r="LID240" s="1"/>
      <c r="LIE240" s="1"/>
      <c r="LIF240" s="1"/>
      <c r="LIG240" s="1"/>
      <c r="LIH240" s="1"/>
      <c r="LII240" s="1"/>
      <c r="LIJ240" s="1"/>
      <c r="LIK240" s="1"/>
      <c r="LIL240" s="1"/>
      <c r="LIM240" s="1"/>
      <c r="LIN240" s="1"/>
      <c r="LIO240" s="1"/>
      <c r="LIP240" s="1"/>
      <c r="LIQ240" s="1"/>
      <c r="LIR240" s="1"/>
      <c r="LIS240" s="1"/>
      <c r="LIT240" s="1"/>
      <c r="LIU240" s="1"/>
      <c r="LIV240" s="1"/>
      <c r="LIW240" s="1"/>
      <c r="LIX240" s="1"/>
      <c r="LIY240" s="1"/>
      <c r="LIZ240" s="1"/>
      <c r="LJA240" s="1"/>
      <c r="LJB240" s="1"/>
      <c r="LJC240" s="1"/>
      <c r="LJD240" s="1"/>
      <c r="LJE240" s="1"/>
      <c r="LJF240" s="1"/>
      <c r="LJG240" s="1"/>
      <c r="LJH240" s="1"/>
      <c r="LJI240" s="1"/>
      <c r="LJJ240" s="1"/>
      <c r="LJK240" s="1"/>
      <c r="LJL240" s="1"/>
      <c r="LJM240" s="1"/>
      <c r="LJN240" s="1"/>
      <c r="LJO240" s="1"/>
      <c r="LJP240" s="1"/>
      <c r="LJQ240" s="1"/>
      <c r="LJR240" s="1"/>
      <c r="LJS240" s="1"/>
      <c r="LJT240" s="1"/>
      <c r="LJU240" s="1"/>
      <c r="LJV240" s="1"/>
      <c r="LJW240" s="1"/>
      <c r="LJX240" s="1"/>
      <c r="LJY240" s="1"/>
      <c r="LJZ240" s="1"/>
      <c r="LKA240" s="1"/>
      <c r="LKB240" s="1"/>
      <c r="LKC240" s="1"/>
      <c r="LKD240" s="1"/>
      <c r="LKE240" s="1"/>
      <c r="LKF240" s="1"/>
      <c r="LKG240" s="1"/>
      <c r="LKH240" s="1"/>
      <c r="LKI240" s="1"/>
      <c r="LKJ240" s="1"/>
      <c r="LKK240" s="1"/>
      <c r="LKL240" s="1"/>
      <c r="LKM240" s="1"/>
      <c r="LKN240" s="1"/>
      <c r="LKO240" s="1"/>
      <c r="LKP240" s="1"/>
      <c r="LKQ240" s="1"/>
      <c r="LKR240" s="1"/>
      <c r="LKS240" s="1"/>
      <c r="LKT240" s="1"/>
      <c r="LKU240" s="1"/>
      <c r="LKV240" s="1"/>
      <c r="LKW240" s="1"/>
      <c r="LKX240" s="1"/>
      <c r="LKY240" s="1"/>
      <c r="LKZ240" s="1"/>
      <c r="LLA240" s="1"/>
      <c r="LLB240" s="1"/>
      <c r="LLC240" s="1"/>
      <c r="LLD240" s="1"/>
      <c r="LLE240" s="1"/>
      <c r="LLF240" s="1"/>
      <c r="LLG240" s="1"/>
      <c r="LLH240" s="1"/>
      <c r="LLI240" s="1"/>
      <c r="LLJ240" s="1"/>
      <c r="LLK240" s="1"/>
      <c r="LLL240" s="1"/>
      <c r="LLM240" s="1"/>
      <c r="LLN240" s="1"/>
      <c r="LLO240" s="1"/>
      <c r="LLP240" s="1"/>
      <c r="LLQ240" s="1"/>
      <c r="LLR240" s="1"/>
      <c r="LLS240" s="1"/>
      <c r="LLT240" s="1"/>
      <c r="LLU240" s="1"/>
      <c r="LLV240" s="1"/>
      <c r="LLW240" s="1"/>
      <c r="LLX240" s="1"/>
      <c r="LLY240" s="1"/>
      <c r="LLZ240" s="1"/>
      <c r="LMA240" s="1"/>
      <c r="LMB240" s="1"/>
      <c r="LMC240" s="1"/>
      <c r="LMD240" s="1"/>
      <c r="LME240" s="1"/>
      <c r="LMF240" s="1"/>
      <c r="LMG240" s="1"/>
      <c r="LMH240" s="1"/>
      <c r="LMI240" s="1"/>
      <c r="LMJ240" s="1"/>
      <c r="LMK240" s="1"/>
      <c r="LML240" s="1"/>
      <c r="LMM240" s="1"/>
      <c r="LMN240" s="1"/>
      <c r="LMO240" s="1"/>
      <c r="LMP240" s="1"/>
      <c r="LMQ240" s="1"/>
      <c r="LMR240" s="1"/>
      <c r="LMS240" s="1"/>
      <c r="LMT240" s="1"/>
      <c r="LMU240" s="1"/>
      <c r="LMV240" s="1"/>
      <c r="LMW240" s="1"/>
      <c r="LMX240" s="1"/>
      <c r="LMY240" s="1"/>
      <c r="LMZ240" s="1"/>
      <c r="LNA240" s="1"/>
      <c r="LNB240" s="1"/>
      <c r="LNC240" s="1"/>
      <c r="LND240" s="1"/>
      <c r="LNE240" s="1"/>
      <c r="LNF240" s="1"/>
      <c r="LNG240" s="1"/>
      <c r="LNH240" s="1"/>
      <c r="LNI240" s="1"/>
      <c r="LNJ240" s="1"/>
      <c r="LNK240" s="1"/>
      <c r="LNL240" s="1"/>
      <c r="LNM240" s="1"/>
      <c r="LNN240" s="1"/>
      <c r="LNO240" s="1"/>
      <c r="LNP240" s="1"/>
      <c r="LNQ240" s="1"/>
      <c r="LNR240" s="1"/>
      <c r="LNS240" s="1"/>
      <c r="LNT240" s="1"/>
      <c r="LNU240" s="1"/>
      <c r="LNV240" s="1"/>
      <c r="LNW240" s="1"/>
      <c r="LNX240" s="1"/>
      <c r="LNY240" s="1"/>
      <c r="LNZ240" s="1"/>
      <c r="LOA240" s="1"/>
      <c r="LOB240" s="1"/>
      <c r="LOC240" s="1"/>
      <c r="LOD240" s="1"/>
      <c r="LOE240" s="1"/>
      <c r="LOF240" s="1"/>
      <c r="LOG240" s="1"/>
      <c r="LOH240" s="1"/>
      <c r="LOI240" s="1"/>
      <c r="LOJ240" s="1"/>
      <c r="LOK240" s="1"/>
      <c r="LOL240" s="1"/>
      <c r="LOM240" s="1"/>
      <c r="LON240" s="1"/>
      <c r="LOO240" s="1"/>
      <c r="LOP240" s="1"/>
      <c r="LOQ240" s="1"/>
      <c r="LOR240" s="1"/>
      <c r="LOS240" s="1"/>
      <c r="LOT240" s="1"/>
      <c r="LOU240" s="1"/>
      <c r="LOV240" s="1"/>
      <c r="LOW240" s="1"/>
      <c r="LOX240" s="1"/>
      <c r="LOY240" s="1"/>
      <c r="LOZ240" s="1"/>
      <c r="LPA240" s="1"/>
      <c r="LPB240" s="1"/>
      <c r="LPC240" s="1"/>
      <c r="LPD240" s="1"/>
      <c r="LPE240" s="1"/>
      <c r="LPF240" s="1"/>
      <c r="LPG240" s="1"/>
      <c r="LPH240" s="1"/>
      <c r="LPI240" s="1"/>
      <c r="LPJ240" s="1"/>
      <c r="LPK240" s="1"/>
      <c r="LPL240" s="1"/>
      <c r="LPM240" s="1"/>
      <c r="LPN240" s="1"/>
      <c r="LPO240" s="1"/>
      <c r="LPP240" s="1"/>
      <c r="LPQ240" s="1"/>
      <c r="LPR240" s="1"/>
      <c r="LPS240" s="1"/>
      <c r="LPT240" s="1"/>
      <c r="LPU240" s="1"/>
      <c r="LPV240" s="1"/>
      <c r="LPW240" s="1"/>
      <c r="LPX240" s="1"/>
      <c r="LPY240" s="1"/>
      <c r="LPZ240" s="1"/>
      <c r="LQA240" s="1"/>
      <c r="LQB240" s="1"/>
      <c r="LQC240" s="1"/>
      <c r="LQD240" s="1"/>
      <c r="LQE240" s="1"/>
      <c r="LQF240" s="1"/>
      <c r="LQG240" s="1"/>
      <c r="LQH240" s="1"/>
      <c r="LQI240" s="1"/>
      <c r="LQJ240" s="1"/>
      <c r="LQK240" s="1"/>
      <c r="LQL240" s="1"/>
      <c r="LQM240" s="1"/>
      <c r="LQN240" s="1"/>
      <c r="LQO240" s="1"/>
      <c r="LQP240" s="1"/>
      <c r="LQQ240" s="1"/>
      <c r="LQR240" s="1"/>
      <c r="LQS240" s="1"/>
      <c r="LQT240" s="1"/>
      <c r="LQU240" s="1"/>
      <c r="LQV240" s="1"/>
      <c r="LQW240" s="1"/>
      <c r="LQX240" s="1"/>
      <c r="LQY240" s="1"/>
      <c r="LQZ240" s="1"/>
      <c r="LRA240" s="1"/>
      <c r="LRB240" s="1"/>
      <c r="LRC240" s="1"/>
      <c r="LRD240" s="1"/>
      <c r="LRE240" s="1"/>
      <c r="LRF240" s="1"/>
      <c r="LRG240" s="1"/>
      <c r="LRH240" s="1"/>
      <c r="LRI240" s="1"/>
      <c r="LRJ240" s="1"/>
      <c r="LRK240" s="1"/>
      <c r="LRL240" s="1"/>
      <c r="LRM240" s="1"/>
      <c r="LRN240" s="1"/>
      <c r="LRO240" s="1"/>
      <c r="LRP240" s="1"/>
      <c r="LRQ240" s="1"/>
      <c r="LRR240" s="1"/>
      <c r="LRS240" s="1"/>
      <c r="LRT240" s="1"/>
      <c r="LRU240" s="1"/>
      <c r="LRV240" s="1"/>
      <c r="LRW240" s="1"/>
      <c r="LRX240" s="1"/>
      <c r="LRY240" s="1"/>
      <c r="LRZ240" s="1"/>
      <c r="LSA240" s="1"/>
      <c r="LSB240" s="1"/>
      <c r="LSC240" s="1"/>
      <c r="LSD240" s="1"/>
      <c r="LSE240" s="1"/>
      <c r="LSF240" s="1"/>
      <c r="LSG240" s="1"/>
      <c r="LSH240" s="1"/>
      <c r="LSI240" s="1"/>
      <c r="LSJ240" s="1"/>
      <c r="LSK240" s="1"/>
      <c r="LSL240" s="1"/>
      <c r="LSM240" s="1"/>
      <c r="LSN240" s="1"/>
      <c r="LSO240" s="1"/>
      <c r="LSP240" s="1"/>
      <c r="LSQ240" s="1"/>
      <c r="LSR240" s="1"/>
      <c r="LSS240" s="1"/>
      <c r="LST240" s="1"/>
      <c r="LSU240" s="1"/>
      <c r="LSV240" s="1"/>
      <c r="LSW240" s="1"/>
      <c r="LSX240" s="1"/>
      <c r="LSY240" s="1"/>
      <c r="LSZ240" s="1"/>
      <c r="LTA240" s="1"/>
      <c r="LTB240" s="1"/>
      <c r="LTC240" s="1"/>
      <c r="LTD240" s="1"/>
      <c r="LTE240" s="1"/>
      <c r="LTF240" s="1"/>
      <c r="LTG240" s="1"/>
      <c r="LTH240" s="1"/>
      <c r="LTI240" s="1"/>
      <c r="LTJ240" s="1"/>
      <c r="LTK240" s="1"/>
      <c r="LTL240" s="1"/>
      <c r="LTM240" s="1"/>
      <c r="LTN240" s="1"/>
      <c r="LTO240" s="1"/>
      <c r="LTP240" s="1"/>
      <c r="LTQ240" s="1"/>
      <c r="LTR240" s="1"/>
      <c r="LTS240" s="1"/>
      <c r="LTT240" s="1"/>
      <c r="LTU240" s="1"/>
      <c r="LTV240" s="1"/>
      <c r="LTW240" s="1"/>
      <c r="LTX240" s="1"/>
      <c r="LTY240" s="1"/>
      <c r="LTZ240" s="1"/>
      <c r="LUA240" s="1"/>
      <c r="LUB240" s="1"/>
      <c r="LUC240" s="1"/>
      <c r="LUD240" s="1"/>
      <c r="LUE240" s="1"/>
      <c r="LUF240" s="1"/>
      <c r="LUG240" s="1"/>
      <c r="LUH240" s="1"/>
      <c r="LUI240" s="1"/>
      <c r="LUJ240" s="1"/>
      <c r="LUK240" s="1"/>
      <c r="LUL240" s="1"/>
      <c r="LUM240" s="1"/>
      <c r="LUN240" s="1"/>
      <c r="LUO240" s="1"/>
      <c r="LUP240" s="1"/>
      <c r="LUQ240" s="1"/>
      <c r="LUR240" s="1"/>
      <c r="LUS240" s="1"/>
      <c r="LUT240" s="1"/>
      <c r="LUU240" s="1"/>
      <c r="LUV240" s="1"/>
      <c r="LUW240" s="1"/>
      <c r="LUX240" s="1"/>
      <c r="LUY240" s="1"/>
      <c r="LUZ240" s="1"/>
      <c r="LVA240" s="1"/>
      <c r="LVB240" s="1"/>
      <c r="LVC240" s="1"/>
      <c r="LVD240" s="1"/>
      <c r="LVE240" s="1"/>
      <c r="LVF240" s="1"/>
      <c r="LVG240" s="1"/>
      <c r="LVH240" s="1"/>
      <c r="LVI240" s="1"/>
      <c r="LVJ240" s="1"/>
      <c r="LVK240" s="1"/>
      <c r="LVL240" s="1"/>
      <c r="LVM240" s="1"/>
      <c r="LVN240" s="1"/>
      <c r="LVO240" s="1"/>
      <c r="LVP240" s="1"/>
      <c r="LVQ240" s="1"/>
      <c r="LVR240" s="1"/>
      <c r="LVS240" s="1"/>
      <c r="LVT240" s="1"/>
      <c r="LVU240" s="1"/>
      <c r="LVV240" s="1"/>
      <c r="LVW240" s="1"/>
      <c r="LVX240" s="1"/>
      <c r="LVY240" s="1"/>
      <c r="LVZ240" s="1"/>
      <c r="LWA240" s="1"/>
      <c r="LWB240" s="1"/>
      <c r="LWC240" s="1"/>
      <c r="LWD240" s="1"/>
      <c r="LWE240" s="1"/>
      <c r="LWF240" s="1"/>
      <c r="LWG240" s="1"/>
      <c r="LWH240" s="1"/>
      <c r="LWI240" s="1"/>
      <c r="LWJ240" s="1"/>
      <c r="LWK240" s="1"/>
      <c r="LWL240" s="1"/>
      <c r="LWM240" s="1"/>
      <c r="LWN240" s="1"/>
      <c r="LWO240" s="1"/>
      <c r="LWP240" s="1"/>
      <c r="LWQ240" s="1"/>
      <c r="LWR240" s="1"/>
      <c r="LWS240" s="1"/>
      <c r="LWT240" s="1"/>
      <c r="LWU240" s="1"/>
      <c r="LWV240" s="1"/>
      <c r="LWW240" s="1"/>
      <c r="LWX240" s="1"/>
      <c r="LWY240" s="1"/>
      <c r="LWZ240" s="1"/>
      <c r="LXA240" s="1"/>
      <c r="LXB240" s="1"/>
      <c r="LXC240" s="1"/>
      <c r="LXD240" s="1"/>
      <c r="LXE240" s="1"/>
      <c r="LXF240" s="1"/>
      <c r="LXG240" s="1"/>
      <c r="LXH240" s="1"/>
      <c r="LXI240" s="1"/>
      <c r="LXJ240" s="1"/>
      <c r="LXK240" s="1"/>
      <c r="LXL240" s="1"/>
      <c r="LXM240" s="1"/>
      <c r="LXN240" s="1"/>
      <c r="LXO240" s="1"/>
      <c r="LXP240" s="1"/>
      <c r="LXQ240" s="1"/>
      <c r="LXR240" s="1"/>
      <c r="LXS240" s="1"/>
      <c r="LXT240" s="1"/>
      <c r="LXU240" s="1"/>
      <c r="LXV240" s="1"/>
      <c r="LXW240" s="1"/>
      <c r="LXX240" s="1"/>
      <c r="LXY240" s="1"/>
      <c r="LXZ240" s="1"/>
      <c r="LYA240" s="1"/>
      <c r="LYB240" s="1"/>
      <c r="LYC240" s="1"/>
      <c r="LYD240" s="1"/>
      <c r="LYE240" s="1"/>
      <c r="LYF240" s="1"/>
      <c r="LYG240" s="1"/>
      <c r="LYH240" s="1"/>
      <c r="LYI240" s="1"/>
      <c r="LYJ240" s="1"/>
      <c r="LYK240" s="1"/>
      <c r="LYL240" s="1"/>
      <c r="LYM240" s="1"/>
      <c r="LYN240" s="1"/>
      <c r="LYO240" s="1"/>
      <c r="LYP240" s="1"/>
      <c r="LYQ240" s="1"/>
      <c r="LYR240" s="1"/>
      <c r="LYS240" s="1"/>
      <c r="LYT240" s="1"/>
      <c r="LYU240" s="1"/>
      <c r="LYV240" s="1"/>
      <c r="LYW240" s="1"/>
      <c r="LYX240" s="1"/>
      <c r="LYY240" s="1"/>
      <c r="LYZ240" s="1"/>
      <c r="LZA240" s="1"/>
      <c r="LZB240" s="1"/>
      <c r="LZC240" s="1"/>
      <c r="LZD240" s="1"/>
      <c r="LZE240" s="1"/>
      <c r="LZF240" s="1"/>
      <c r="LZG240" s="1"/>
      <c r="LZH240" s="1"/>
      <c r="LZI240" s="1"/>
      <c r="LZJ240" s="1"/>
      <c r="LZK240" s="1"/>
      <c r="LZL240" s="1"/>
      <c r="LZM240" s="1"/>
      <c r="LZN240" s="1"/>
      <c r="LZO240" s="1"/>
      <c r="LZP240" s="1"/>
      <c r="LZQ240" s="1"/>
      <c r="LZR240" s="1"/>
      <c r="LZS240" s="1"/>
      <c r="LZT240" s="1"/>
      <c r="LZU240" s="1"/>
      <c r="LZV240" s="1"/>
      <c r="LZW240" s="1"/>
      <c r="LZX240" s="1"/>
      <c r="LZY240" s="1"/>
      <c r="LZZ240" s="1"/>
      <c r="MAA240" s="1"/>
      <c r="MAB240" s="1"/>
      <c r="MAC240" s="1"/>
      <c r="MAD240" s="1"/>
      <c r="MAE240" s="1"/>
      <c r="MAF240" s="1"/>
      <c r="MAG240" s="1"/>
      <c r="MAH240" s="1"/>
      <c r="MAI240" s="1"/>
      <c r="MAJ240" s="1"/>
      <c r="MAK240" s="1"/>
      <c r="MAL240" s="1"/>
      <c r="MAM240" s="1"/>
      <c r="MAN240" s="1"/>
      <c r="MAO240" s="1"/>
      <c r="MAP240" s="1"/>
      <c r="MAQ240" s="1"/>
      <c r="MAR240" s="1"/>
      <c r="MAS240" s="1"/>
      <c r="MAT240" s="1"/>
      <c r="MAU240" s="1"/>
      <c r="MAV240" s="1"/>
      <c r="MAW240" s="1"/>
      <c r="MAX240" s="1"/>
      <c r="MAY240" s="1"/>
      <c r="MAZ240" s="1"/>
      <c r="MBA240" s="1"/>
      <c r="MBB240" s="1"/>
      <c r="MBC240" s="1"/>
      <c r="MBD240" s="1"/>
      <c r="MBE240" s="1"/>
      <c r="MBF240" s="1"/>
      <c r="MBG240" s="1"/>
      <c r="MBH240" s="1"/>
      <c r="MBI240" s="1"/>
      <c r="MBJ240" s="1"/>
      <c r="MBK240" s="1"/>
      <c r="MBL240" s="1"/>
      <c r="MBM240" s="1"/>
      <c r="MBN240" s="1"/>
      <c r="MBO240" s="1"/>
      <c r="MBP240" s="1"/>
      <c r="MBQ240" s="1"/>
      <c r="MBR240" s="1"/>
      <c r="MBS240" s="1"/>
      <c r="MBT240" s="1"/>
      <c r="MBU240" s="1"/>
      <c r="MBV240" s="1"/>
      <c r="MBW240" s="1"/>
      <c r="MBX240" s="1"/>
      <c r="MBY240" s="1"/>
      <c r="MBZ240" s="1"/>
      <c r="MCA240" s="1"/>
      <c r="MCB240" s="1"/>
      <c r="MCC240" s="1"/>
      <c r="MCD240" s="1"/>
      <c r="MCE240" s="1"/>
      <c r="MCF240" s="1"/>
      <c r="MCG240" s="1"/>
      <c r="MCH240" s="1"/>
      <c r="MCI240" s="1"/>
      <c r="MCJ240" s="1"/>
      <c r="MCK240" s="1"/>
      <c r="MCL240" s="1"/>
      <c r="MCM240" s="1"/>
      <c r="MCN240" s="1"/>
      <c r="MCO240" s="1"/>
      <c r="MCP240" s="1"/>
      <c r="MCQ240" s="1"/>
      <c r="MCR240" s="1"/>
      <c r="MCS240" s="1"/>
      <c r="MCT240" s="1"/>
      <c r="MCU240" s="1"/>
      <c r="MCV240" s="1"/>
      <c r="MCW240" s="1"/>
      <c r="MCX240" s="1"/>
      <c r="MCY240" s="1"/>
      <c r="MCZ240" s="1"/>
      <c r="MDA240" s="1"/>
      <c r="MDB240" s="1"/>
      <c r="MDC240" s="1"/>
      <c r="MDD240" s="1"/>
      <c r="MDE240" s="1"/>
      <c r="MDF240" s="1"/>
      <c r="MDG240" s="1"/>
      <c r="MDH240" s="1"/>
      <c r="MDI240" s="1"/>
      <c r="MDJ240" s="1"/>
      <c r="MDK240" s="1"/>
      <c r="MDL240" s="1"/>
      <c r="MDM240" s="1"/>
      <c r="MDN240" s="1"/>
      <c r="MDO240" s="1"/>
      <c r="MDP240" s="1"/>
      <c r="MDQ240" s="1"/>
      <c r="MDR240" s="1"/>
      <c r="MDS240" s="1"/>
      <c r="MDT240" s="1"/>
      <c r="MDU240" s="1"/>
      <c r="MDV240" s="1"/>
      <c r="MDW240" s="1"/>
      <c r="MDX240" s="1"/>
      <c r="MDY240" s="1"/>
      <c r="MDZ240" s="1"/>
      <c r="MEA240" s="1"/>
      <c r="MEB240" s="1"/>
      <c r="MEC240" s="1"/>
      <c r="MED240" s="1"/>
      <c r="MEE240" s="1"/>
      <c r="MEF240" s="1"/>
      <c r="MEG240" s="1"/>
      <c r="MEH240" s="1"/>
      <c r="MEI240" s="1"/>
      <c r="MEJ240" s="1"/>
      <c r="MEK240" s="1"/>
      <c r="MEL240" s="1"/>
      <c r="MEM240" s="1"/>
      <c r="MEN240" s="1"/>
      <c r="MEO240" s="1"/>
      <c r="MEP240" s="1"/>
      <c r="MEQ240" s="1"/>
      <c r="MER240" s="1"/>
      <c r="MES240" s="1"/>
      <c r="MET240" s="1"/>
      <c r="MEU240" s="1"/>
      <c r="MEV240" s="1"/>
      <c r="MEW240" s="1"/>
      <c r="MEX240" s="1"/>
      <c r="MEY240" s="1"/>
      <c r="MEZ240" s="1"/>
      <c r="MFA240" s="1"/>
      <c r="MFB240" s="1"/>
      <c r="MFC240" s="1"/>
      <c r="MFD240" s="1"/>
      <c r="MFE240" s="1"/>
      <c r="MFF240" s="1"/>
      <c r="MFG240" s="1"/>
      <c r="MFH240" s="1"/>
      <c r="MFI240" s="1"/>
      <c r="MFJ240" s="1"/>
      <c r="MFK240" s="1"/>
      <c r="MFL240" s="1"/>
      <c r="MFM240" s="1"/>
      <c r="MFN240" s="1"/>
      <c r="MFO240" s="1"/>
      <c r="MFP240" s="1"/>
      <c r="MFQ240" s="1"/>
      <c r="MFR240" s="1"/>
      <c r="MFS240" s="1"/>
      <c r="MFT240" s="1"/>
      <c r="MFU240" s="1"/>
      <c r="MFV240" s="1"/>
      <c r="MFW240" s="1"/>
      <c r="MFX240" s="1"/>
      <c r="MFY240" s="1"/>
      <c r="MFZ240" s="1"/>
      <c r="MGA240" s="1"/>
      <c r="MGB240" s="1"/>
      <c r="MGC240" s="1"/>
      <c r="MGD240" s="1"/>
      <c r="MGE240" s="1"/>
      <c r="MGF240" s="1"/>
      <c r="MGG240" s="1"/>
      <c r="MGH240" s="1"/>
      <c r="MGI240" s="1"/>
      <c r="MGJ240" s="1"/>
      <c r="MGK240" s="1"/>
      <c r="MGL240" s="1"/>
      <c r="MGM240" s="1"/>
      <c r="MGN240" s="1"/>
      <c r="MGO240" s="1"/>
      <c r="MGP240" s="1"/>
      <c r="MGQ240" s="1"/>
      <c r="MGR240" s="1"/>
      <c r="MGS240" s="1"/>
      <c r="MGT240" s="1"/>
      <c r="MGU240" s="1"/>
      <c r="MGV240" s="1"/>
      <c r="MGW240" s="1"/>
      <c r="MGX240" s="1"/>
      <c r="MGY240" s="1"/>
      <c r="MGZ240" s="1"/>
      <c r="MHA240" s="1"/>
      <c r="MHB240" s="1"/>
      <c r="MHC240" s="1"/>
      <c r="MHD240" s="1"/>
      <c r="MHE240" s="1"/>
      <c r="MHF240" s="1"/>
      <c r="MHG240" s="1"/>
      <c r="MHH240" s="1"/>
      <c r="MHI240" s="1"/>
      <c r="MHJ240" s="1"/>
      <c r="MHK240" s="1"/>
      <c r="MHL240" s="1"/>
      <c r="MHM240" s="1"/>
      <c r="MHN240" s="1"/>
      <c r="MHO240" s="1"/>
      <c r="MHP240" s="1"/>
      <c r="MHQ240" s="1"/>
      <c r="MHR240" s="1"/>
      <c r="MHS240" s="1"/>
      <c r="MHT240" s="1"/>
      <c r="MHU240" s="1"/>
      <c r="MHV240" s="1"/>
      <c r="MHW240" s="1"/>
      <c r="MHX240" s="1"/>
      <c r="MHY240" s="1"/>
      <c r="MHZ240" s="1"/>
      <c r="MIA240" s="1"/>
      <c r="MIB240" s="1"/>
      <c r="MIC240" s="1"/>
      <c r="MID240" s="1"/>
      <c r="MIE240" s="1"/>
      <c r="MIF240" s="1"/>
      <c r="MIG240" s="1"/>
      <c r="MIH240" s="1"/>
      <c r="MII240" s="1"/>
      <c r="MIJ240" s="1"/>
      <c r="MIK240" s="1"/>
      <c r="MIL240" s="1"/>
      <c r="MIM240" s="1"/>
      <c r="MIN240" s="1"/>
      <c r="MIO240" s="1"/>
      <c r="MIP240" s="1"/>
      <c r="MIQ240" s="1"/>
      <c r="MIR240" s="1"/>
      <c r="MIS240" s="1"/>
      <c r="MIT240" s="1"/>
      <c r="MIU240" s="1"/>
      <c r="MIV240" s="1"/>
      <c r="MIW240" s="1"/>
      <c r="MIX240" s="1"/>
      <c r="MIY240" s="1"/>
      <c r="MIZ240" s="1"/>
      <c r="MJA240" s="1"/>
      <c r="MJB240" s="1"/>
      <c r="MJC240" s="1"/>
      <c r="MJD240" s="1"/>
      <c r="MJE240" s="1"/>
      <c r="MJF240" s="1"/>
      <c r="MJG240" s="1"/>
      <c r="MJH240" s="1"/>
      <c r="MJI240" s="1"/>
      <c r="MJJ240" s="1"/>
      <c r="MJK240" s="1"/>
      <c r="MJL240" s="1"/>
      <c r="MJM240" s="1"/>
      <c r="MJN240" s="1"/>
      <c r="MJO240" s="1"/>
      <c r="MJP240" s="1"/>
      <c r="MJQ240" s="1"/>
      <c r="MJR240" s="1"/>
      <c r="MJS240" s="1"/>
      <c r="MJT240" s="1"/>
      <c r="MJU240" s="1"/>
      <c r="MJV240" s="1"/>
      <c r="MJW240" s="1"/>
      <c r="MJX240" s="1"/>
      <c r="MJY240" s="1"/>
      <c r="MJZ240" s="1"/>
      <c r="MKA240" s="1"/>
      <c r="MKB240" s="1"/>
      <c r="MKC240" s="1"/>
      <c r="MKD240" s="1"/>
      <c r="MKE240" s="1"/>
      <c r="MKF240" s="1"/>
      <c r="MKG240" s="1"/>
      <c r="MKH240" s="1"/>
      <c r="MKI240" s="1"/>
      <c r="MKJ240" s="1"/>
      <c r="MKK240" s="1"/>
      <c r="MKL240" s="1"/>
      <c r="MKM240" s="1"/>
      <c r="MKN240" s="1"/>
      <c r="MKO240" s="1"/>
      <c r="MKP240" s="1"/>
      <c r="MKQ240" s="1"/>
      <c r="MKR240" s="1"/>
      <c r="MKS240" s="1"/>
      <c r="MKT240" s="1"/>
      <c r="MKU240" s="1"/>
      <c r="MKV240" s="1"/>
      <c r="MKW240" s="1"/>
      <c r="MKX240" s="1"/>
      <c r="MKY240" s="1"/>
      <c r="MKZ240" s="1"/>
      <c r="MLA240" s="1"/>
      <c r="MLB240" s="1"/>
      <c r="MLC240" s="1"/>
      <c r="MLD240" s="1"/>
      <c r="MLE240" s="1"/>
      <c r="MLF240" s="1"/>
      <c r="MLG240" s="1"/>
      <c r="MLH240" s="1"/>
      <c r="MLI240" s="1"/>
      <c r="MLJ240" s="1"/>
      <c r="MLK240" s="1"/>
      <c r="MLL240" s="1"/>
      <c r="MLM240" s="1"/>
      <c r="MLN240" s="1"/>
      <c r="MLO240" s="1"/>
      <c r="MLP240" s="1"/>
      <c r="MLQ240" s="1"/>
      <c r="MLR240" s="1"/>
      <c r="MLS240" s="1"/>
      <c r="MLT240" s="1"/>
      <c r="MLU240" s="1"/>
      <c r="MLV240" s="1"/>
      <c r="MLW240" s="1"/>
      <c r="MLX240" s="1"/>
      <c r="MLY240" s="1"/>
      <c r="MLZ240" s="1"/>
      <c r="MMA240" s="1"/>
      <c r="MMB240" s="1"/>
      <c r="MMC240" s="1"/>
      <c r="MMD240" s="1"/>
      <c r="MME240" s="1"/>
      <c r="MMF240" s="1"/>
      <c r="MMG240" s="1"/>
      <c r="MMH240" s="1"/>
      <c r="MMI240" s="1"/>
      <c r="MMJ240" s="1"/>
      <c r="MMK240" s="1"/>
      <c r="MML240" s="1"/>
      <c r="MMM240" s="1"/>
      <c r="MMN240" s="1"/>
      <c r="MMO240" s="1"/>
      <c r="MMP240" s="1"/>
      <c r="MMQ240" s="1"/>
      <c r="MMR240" s="1"/>
      <c r="MMS240" s="1"/>
      <c r="MMT240" s="1"/>
      <c r="MMU240" s="1"/>
      <c r="MMV240" s="1"/>
      <c r="MMW240" s="1"/>
      <c r="MMX240" s="1"/>
      <c r="MMY240" s="1"/>
      <c r="MMZ240" s="1"/>
      <c r="MNA240" s="1"/>
      <c r="MNB240" s="1"/>
      <c r="MNC240" s="1"/>
      <c r="MND240" s="1"/>
      <c r="MNE240" s="1"/>
      <c r="MNF240" s="1"/>
      <c r="MNG240" s="1"/>
      <c r="MNH240" s="1"/>
      <c r="MNI240" s="1"/>
      <c r="MNJ240" s="1"/>
      <c r="MNK240" s="1"/>
      <c r="MNL240" s="1"/>
      <c r="MNM240" s="1"/>
      <c r="MNN240" s="1"/>
      <c r="MNO240" s="1"/>
      <c r="MNP240" s="1"/>
      <c r="MNQ240" s="1"/>
      <c r="MNR240" s="1"/>
      <c r="MNS240" s="1"/>
      <c r="MNT240" s="1"/>
      <c r="MNU240" s="1"/>
      <c r="MNV240" s="1"/>
      <c r="MNW240" s="1"/>
      <c r="MNX240" s="1"/>
      <c r="MNY240" s="1"/>
      <c r="MNZ240" s="1"/>
      <c r="MOA240" s="1"/>
      <c r="MOB240" s="1"/>
      <c r="MOC240" s="1"/>
      <c r="MOD240" s="1"/>
      <c r="MOE240" s="1"/>
      <c r="MOF240" s="1"/>
      <c r="MOG240" s="1"/>
      <c r="MOH240" s="1"/>
      <c r="MOI240" s="1"/>
      <c r="MOJ240" s="1"/>
      <c r="MOK240" s="1"/>
      <c r="MOL240" s="1"/>
      <c r="MOM240" s="1"/>
      <c r="MON240" s="1"/>
      <c r="MOO240" s="1"/>
      <c r="MOP240" s="1"/>
      <c r="MOQ240" s="1"/>
      <c r="MOR240" s="1"/>
      <c r="MOS240" s="1"/>
      <c r="MOT240" s="1"/>
      <c r="MOU240" s="1"/>
      <c r="MOV240" s="1"/>
      <c r="MOW240" s="1"/>
      <c r="MOX240" s="1"/>
      <c r="MOY240" s="1"/>
      <c r="MOZ240" s="1"/>
      <c r="MPA240" s="1"/>
      <c r="MPB240" s="1"/>
      <c r="MPC240" s="1"/>
      <c r="MPD240" s="1"/>
      <c r="MPE240" s="1"/>
      <c r="MPF240" s="1"/>
      <c r="MPG240" s="1"/>
      <c r="MPH240" s="1"/>
      <c r="MPI240" s="1"/>
      <c r="MPJ240" s="1"/>
      <c r="MPK240" s="1"/>
      <c r="MPL240" s="1"/>
      <c r="MPM240" s="1"/>
      <c r="MPN240" s="1"/>
      <c r="MPO240" s="1"/>
      <c r="MPP240" s="1"/>
      <c r="MPQ240" s="1"/>
      <c r="MPR240" s="1"/>
      <c r="MPS240" s="1"/>
      <c r="MPT240" s="1"/>
      <c r="MPU240" s="1"/>
      <c r="MPV240" s="1"/>
      <c r="MPW240" s="1"/>
      <c r="MPX240" s="1"/>
      <c r="MPY240" s="1"/>
      <c r="MPZ240" s="1"/>
      <c r="MQA240" s="1"/>
      <c r="MQB240" s="1"/>
      <c r="MQC240" s="1"/>
      <c r="MQD240" s="1"/>
      <c r="MQE240" s="1"/>
      <c r="MQF240" s="1"/>
      <c r="MQG240" s="1"/>
      <c r="MQH240" s="1"/>
      <c r="MQI240" s="1"/>
      <c r="MQJ240" s="1"/>
      <c r="MQK240" s="1"/>
      <c r="MQL240" s="1"/>
      <c r="MQM240" s="1"/>
      <c r="MQN240" s="1"/>
      <c r="MQO240" s="1"/>
      <c r="MQP240" s="1"/>
      <c r="MQQ240" s="1"/>
      <c r="MQR240" s="1"/>
      <c r="MQS240" s="1"/>
      <c r="MQT240" s="1"/>
      <c r="MQU240" s="1"/>
      <c r="MQV240" s="1"/>
      <c r="MQW240" s="1"/>
      <c r="MQX240" s="1"/>
      <c r="MQY240" s="1"/>
      <c r="MQZ240" s="1"/>
      <c r="MRA240" s="1"/>
      <c r="MRB240" s="1"/>
      <c r="MRC240" s="1"/>
      <c r="MRD240" s="1"/>
      <c r="MRE240" s="1"/>
      <c r="MRF240" s="1"/>
      <c r="MRG240" s="1"/>
      <c r="MRH240" s="1"/>
      <c r="MRI240" s="1"/>
      <c r="MRJ240" s="1"/>
      <c r="MRK240" s="1"/>
      <c r="MRL240" s="1"/>
      <c r="MRM240" s="1"/>
      <c r="MRN240" s="1"/>
      <c r="MRO240" s="1"/>
      <c r="MRP240" s="1"/>
      <c r="MRQ240" s="1"/>
      <c r="MRR240" s="1"/>
      <c r="MRS240" s="1"/>
      <c r="MRT240" s="1"/>
      <c r="MRU240" s="1"/>
      <c r="MRV240" s="1"/>
      <c r="MRW240" s="1"/>
      <c r="MRX240" s="1"/>
      <c r="MRY240" s="1"/>
      <c r="MRZ240" s="1"/>
      <c r="MSA240" s="1"/>
      <c r="MSB240" s="1"/>
      <c r="MSC240" s="1"/>
      <c r="MSD240" s="1"/>
      <c r="MSE240" s="1"/>
      <c r="MSF240" s="1"/>
      <c r="MSG240" s="1"/>
      <c r="MSH240" s="1"/>
      <c r="MSI240" s="1"/>
      <c r="MSJ240" s="1"/>
      <c r="MSK240" s="1"/>
      <c r="MSL240" s="1"/>
      <c r="MSM240" s="1"/>
      <c r="MSN240" s="1"/>
      <c r="MSO240" s="1"/>
      <c r="MSP240" s="1"/>
      <c r="MSQ240" s="1"/>
      <c r="MSR240" s="1"/>
      <c r="MSS240" s="1"/>
      <c r="MST240" s="1"/>
      <c r="MSU240" s="1"/>
      <c r="MSV240" s="1"/>
      <c r="MSW240" s="1"/>
      <c r="MSX240" s="1"/>
      <c r="MSY240" s="1"/>
      <c r="MSZ240" s="1"/>
      <c r="MTA240" s="1"/>
      <c r="MTB240" s="1"/>
      <c r="MTC240" s="1"/>
      <c r="MTD240" s="1"/>
      <c r="MTE240" s="1"/>
      <c r="MTF240" s="1"/>
      <c r="MTG240" s="1"/>
      <c r="MTH240" s="1"/>
      <c r="MTI240" s="1"/>
      <c r="MTJ240" s="1"/>
      <c r="MTK240" s="1"/>
      <c r="MTL240" s="1"/>
      <c r="MTM240" s="1"/>
      <c r="MTN240" s="1"/>
      <c r="MTO240" s="1"/>
      <c r="MTP240" s="1"/>
      <c r="MTQ240" s="1"/>
      <c r="MTR240" s="1"/>
      <c r="MTS240" s="1"/>
      <c r="MTT240" s="1"/>
      <c r="MTU240" s="1"/>
      <c r="MTV240" s="1"/>
      <c r="MTW240" s="1"/>
      <c r="MTX240" s="1"/>
      <c r="MTY240" s="1"/>
      <c r="MTZ240" s="1"/>
      <c r="MUA240" s="1"/>
      <c r="MUB240" s="1"/>
      <c r="MUC240" s="1"/>
      <c r="MUD240" s="1"/>
      <c r="MUE240" s="1"/>
      <c r="MUF240" s="1"/>
      <c r="MUG240" s="1"/>
      <c r="MUH240" s="1"/>
      <c r="MUI240" s="1"/>
      <c r="MUJ240" s="1"/>
      <c r="MUK240" s="1"/>
      <c r="MUL240" s="1"/>
      <c r="MUM240" s="1"/>
      <c r="MUN240" s="1"/>
      <c r="MUO240" s="1"/>
      <c r="MUP240" s="1"/>
      <c r="MUQ240" s="1"/>
      <c r="MUR240" s="1"/>
      <c r="MUS240" s="1"/>
      <c r="MUT240" s="1"/>
      <c r="MUU240" s="1"/>
      <c r="MUV240" s="1"/>
      <c r="MUW240" s="1"/>
      <c r="MUX240" s="1"/>
      <c r="MUY240" s="1"/>
      <c r="MUZ240" s="1"/>
      <c r="MVA240" s="1"/>
      <c r="MVB240" s="1"/>
      <c r="MVC240" s="1"/>
      <c r="MVD240" s="1"/>
      <c r="MVE240" s="1"/>
      <c r="MVF240" s="1"/>
      <c r="MVG240" s="1"/>
      <c r="MVH240" s="1"/>
      <c r="MVI240" s="1"/>
      <c r="MVJ240" s="1"/>
      <c r="MVK240" s="1"/>
      <c r="MVL240" s="1"/>
      <c r="MVM240" s="1"/>
      <c r="MVN240" s="1"/>
      <c r="MVO240" s="1"/>
      <c r="MVP240" s="1"/>
      <c r="MVQ240" s="1"/>
      <c r="MVR240" s="1"/>
      <c r="MVS240" s="1"/>
      <c r="MVT240" s="1"/>
      <c r="MVU240" s="1"/>
      <c r="MVV240" s="1"/>
      <c r="MVW240" s="1"/>
      <c r="MVX240" s="1"/>
      <c r="MVY240" s="1"/>
      <c r="MVZ240" s="1"/>
      <c r="MWA240" s="1"/>
      <c r="MWB240" s="1"/>
      <c r="MWC240" s="1"/>
      <c r="MWD240" s="1"/>
      <c r="MWE240" s="1"/>
      <c r="MWF240" s="1"/>
      <c r="MWG240" s="1"/>
      <c r="MWH240" s="1"/>
      <c r="MWI240" s="1"/>
      <c r="MWJ240" s="1"/>
      <c r="MWK240" s="1"/>
      <c r="MWL240" s="1"/>
      <c r="MWM240" s="1"/>
      <c r="MWN240" s="1"/>
      <c r="MWO240" s="1"/>
      <c r="MWP240" s="1"/>
      <c r="MWQ240" s="1"/>
      <c r="MWR240" s="1"/>
      <c r="MWS240" s="1"/>
      <c r="MWT240" s="1"/>
      <c r="MWU240" s="1"/>
      <c r="MWV240" s="1"/>
      <c r="MWW240" s="1"/>
      <c r="MWX240" s="1"/>
      <c r="MWY240" s="1"/>
      <c r="MWZ240" s="1"/>
      <c r="MXA240" s="1"/>
      <c r="MXB240" s="1"/>
      <c r="MXC240" s="1"/>
      <c r="MXD240" s="1"/>
      <c r="MXE240" s="1"/>
      <c r="MXF240" s="1"/>
      <c r="MXG240" s="1"/>
      <c r="MXH240" s="1"/>
      <c r="MXI240" s="1"/>
      <c r="MXJ240" s="1"/>
      <c r="MXK240" s="1"/>
      <c r="MXL240" s="1"/>
      <c r="MXM240" s="1"/>
      <c r="MXN240" s="1"/>
      <c r="MXO240" s="1"/>
      <c r="MXP240" s="1"/>
      <c r="MXQ240" s="1"/>
      <c r="MXR240" s="1"/>
      <c r="MXS240" s="1"/>
      <c r="MXT240" s="1"/>
      <c r="MXU240" s="1"/>
      <c r="MXV240" s="1"/>
      <c r="MXW240" s="1"/>
      <c r="MXX240" s="1"/>
      <c r="MXY240" s="1"/>
      <c r="MXZ240" s="1"/>
      <c r="MYA240" s="1"/>
      <c r="MYB240" s="1"/>
      <c r="MYC240" s="1"/>
      <c r="MYD240" s="1"/>
      <c r="MYE240" s="1"/>
      <c r="MYF240" s="1"/>
      <c r="MYG240" s="1"/>
      <c r="MYH240" s="1"/>
      <c r="MYI240" s="1"/>
      <c r="MYJ240" s="1"/>
      <c r="MYK240" s="1"/>
      <c r="MYL240" s="1"/>
      <c r="MYM240" s="1"/>
      <c r="MYN240" s="1"/>
      <c r="MYO240" s="1"/>
      <c r="MYP240" s="1"/>
      <c r="MYQ240" s="1"/>
      <c r="MYR240" s="1"/>
      <c r="MYS240" s="1"/>
      <c r="MYT240" s="1"/>
      <c r="MYU240" s="1"/>
      <c r="MYV240" s="1"/>
      <c r="MYW240" s="1"/>
      <c r="MYX240" s="1"/>
      <c r="MYY240" s="1"/>
      <c r="MYZ240" s="1"/>
      <c r="MZA240" s="1"/>
      <c r="MZB240" s="1"/>
      <c r="MZC240" s="1"/>
      <c r="MZD240" s="1"/>
      <c r="MZE240" s="1"/>
      <c r="MZF240" s="1"/>
      <c r="MZG240" s="1"/>
      <c r="MZH240" s="1"/>
      <c r="MZI240" s="1"/>
      <c r="MZJ240" s="1"/>
      <c r="MZK240" s="1"/>
      <c r="MZL240" s="1"/>
      <c r="MZM240" s="1"/>
      <c r="MZN240" s="1"/>
      <c r="MZO240" s="1"/>
      <c r="MZP240" s="1"/>
      <c r="MZQ240" s="1"/>
      <c r="MZR240" s="1"/>
      <c r="MZS240" s="1"/>
      <c r="MZT240" s="1"/>
      <c r="MZU240" s="1"/>
      <c r="MZV240" s="1"/>
      <c r="MZW240" s="1"/>
      <c r="MZX240" s="1"/>
      <c r="MZY240" s="1"/>
      <c r="MZZ240" s="1"/>
      <c r="NAA240" s="1"/>
      <c r="NAB240" s="1"/>
      <c r="NAC240" s="1"/>
      <c r="NAD240" s="1"/>
      <c r="NAE240" s="1"/>
      <c r="NAF240" s="1"/>
      <c r="NAG240" s="1"/>
      <c r="NAH240" s="1"/>
      <c r="NAI240" s="1"/>
      <c r="NAJ240" s="1"/>
      <c r="NAK240" s="1"/>
      <c r="NAL240" s="1"/>
      <c r="NAM240" s="1"/>
      <c r="NAN240" s="1"/>
      <c r="NAO240" s="1"/>
      <c r="NAP240" s="1"/>
      <c r="NAQ240" s="1"/>
      <c r="NAR240" s="1"/>
      <c r="NAS240" s="1"/>
      <c r="NAT240" s="1"/>
      <c r="NAU240" s="1"/>
      <c r="NAV240" s="1"/>
      <c r="NAW240" s="1"/>
      <c r="NAX240" s="1"/>
      <c r="NAY240" s="1"/>
      <c r="NAZ240" s="1"/>
      <c r="NBA240" s="1"/>
      <c r="NBB240" s="1"/>
      <c r="NBC240" s="1"/>
      <c r="NBD240" s="1"/>
      <c r="NBE240" s="1"/>
      <c r="NBF240" s="1"/>
      <c r="NBG240" s="1"/>
      <c r="NBH240" s="1"/>
      <c r="NBI240" s="1"/>
      <c r="NBJ240" s="1"/>
      <c r="NBK240" s="1"/>
      <c r="NBL240" s="1"/>
      <c r="NBM240" s="1"/>
      <c r="NBN240" s="1"/>
      <c r="NBO240" s="1"/>
      <c r="NBP240" s="1"/>
      <c r="NBQ240" s="1"/>
      <c r="NBR240" s="1"/>
      <c r="NBS240" s="1"/>
      <c r="NBT240" s="1"/>
      <c r="NBU240" s="1"/>
      <c r="NBV240" s="1"/>
      <c r="NBW240" s="1"/>
      <c r="NBX240" s="1"/>
      <c r="NBY240" s="1"/>
      <c r="NBZ240" s="1"/>
      <c r="NCA240" s="1"/>
      <c r="NCB240" s="1"/>
      <c r="NCC240" s="1"/>
      <c r="NCD240" s="1"/>
      <c r="NCE240" s="1"/>
      <c r="NCF240" s="1"/>
      <c r="NCG240" s="1"/>
      <c r="NCH240" s="1"/>
      <c r="NCI240" s="1"/>
      <c r="NCJ240" s="1"/>
      <c r="NCK240" s="1"/>
      <c r="NCL240" s="1"/>
      <c r="NCM240" s="1"/>
      <c r="NCN240" s="1"/>
      <c r="NCO240" s="1"/>
      <c r="NCP240" s="1"/>
      <c r="NCQ240" s="1"/>
      <c r="NCR240" s="1"/>
      <c r="NCS240" s="1"/>
      <c r="NCT240" s="1"/>
      <c r="NCU240" s="1"/>
      <c r="NCV240" s="1"/>
      <c r="NCW240" s="1"/>
      <c r="NCX240" s="1"/>
      <c r="NCY240" s="1"/>
      <c r="NCZ240" s="1"/>
      <c r="NDA240" s="1"/>
      <c r="NDB240" s="1"/>
      <c r="NDC240" s="1"/>
      <c r="NDD240" s="1"/>
      <c r="NDE240" s="1"/>
      <c r="NDF240" s="1"/>
      <c r="NDG240" s="1"/>
      <c r="NDH240" s="1"/>
      <c r="NDI240" s="1"/>
      <c r="NDJ240" s="1"/>
      <c r="NDK240" s="1"/>
      <c r="NDL240" s="1"/>
      <c r="NDM240" s="1"/>
      <c r="NDN240" s="1"/>
      <c r="NDO240" s="1"/>
      <c r="NDP240" s="1"/>
      <c r="NDQ240" s="1"/>
      <c r="NDR240" s="1"/>
      <c r="NDS240" s="1"/>
      <c r="NDT240" s="1"/>
      <c r="NDU240" s="1"/>
      <c r="NDV240" s="1"/>
      <c r="NDW240" s="1"/>
      <c r="NDX240" s="1"/>
      <c r="NDY240" s="1"/>
      <c r="NDZ240" s="1"/>
      <c r="NEA240" s="1"/>
      <c r="NEB240" s="1"/>
      <c r="NEC240" s="1"/>
      <c r="NED240" s="1"/>
      <c r="NEE240" s="1"/>
      <c r="NEF240" s="1"/>
      <c r="NEG240" s="1"/>
      <c r="NEH240" s="1"/>
      <c r="NEI240" s="1"/>
      <c r="NEJ240" s="1"/>
      <c r="NEK240" s="1"/>
      <c r="NEL240" s="1"/>
      <c r="NEM240" s="1"/>
      <c r="NEN240" s="1"/>
      <c r="NEO240" s="1"/>
      <c r="NEP240" s="1"/>
      <c r="NEQ240" s="1"/>
      <c r="NER240" s="1"/>
      <c r="NES240" s="1"/>
      <c r="NET240" s="1"/>
      <c r="NEU240" s="1"/>
      <c r="NEV240" s="1"/>
      <c r="NEW240" s="1"/>
      <c r="NEX240" s="1"/>
      <c r="NEY240" s="1"/>
      <c r="NEZ240" s="1"/>
      <c r="NFA240" s="1"/>
      <c r="NFB240" s="1"/>
      <c r="NFC240" s="1"/>
      <c r="NFD240" s="1"/>
      <c r="NFE240" s="1"/>
      <c r="NFF240" s="1"/>
      <c r="NFG240" s="1"/>
      <c r="NFH240" s="1"/>
      <c r="NFI240" s="1"/>
      <c r="NFJ240" s="1"/>
      <c r="NFK240" s="1"/>
      <c r="NFL240" s="1"/>
      <c r="NFM240" s="1"/>
      <c r="NFN240" s="1"/>
      <c r="NFO240" s="1"/>
      <c r="NFP240" s="1"/>
      <c r="NFQ240" s="1"/>
      <c r="NFR240" s="1"/>
      <c r="NFS240" s="1"/>
      <c r="NFT240" s="1"/>
      <c r="NFU240" s="1"/>
      <c r="NFV240" s="1"/>
      <c r="NFW240" s="1"/>
      <c r="NFX240" s="1"/>
      <c r="NFY240" s="1"/>
      <c r="NFZ240" s="1"/>
      <c r="NGA240" s="1"/>
      <c r="NGB240" s="1"/>
      <c r="NGC240" s="1"/>
      <c r="NGD240" s="1"/>
      <c r="NGE240" s="1"/>
      <c r="NGF240" s="1"/>
      <c r="NGG240" s="1"/>
      <c r="NGH240" s="1"/>
      <c r="NGI240" s="1"/>
      <c r="NGJ240" s="1"/>
      <c r="NGK240" s="1"/>
      <c r="NGL240" s="1"/>
      <c r="NGM240" s="1"/>
      <c r="NGN240" s="1"/>
      <c r="NGO240" s="1"/>
      <c r="NGP240" s="1"/>
      <c r="NGQ240" s="1"/>
      <c r="NGR240" s="1"/>
      <c r="NGS240" s="1"/>
      <c r="NGT240" s="1"/>
      <c r="NGU240" s="1"/>
      <c r="NGV240" s="1"/>
      <c r="NGW240" s="1"/>
      <c r="NGX240" s="1"/>
      <c r="NGY240" s="1"/>
      <c r="NGZ240" s="1"/>
      <c r="NHA240" s="1"/>
      <c r="NHB240" s="1"/>
      <c r="NHC240" s="1"/>
      <c r="NHD240" s="1"/>
      <c r="NHE240" s="1"/>
      <c r="NHF240" s="1"/>
      <c r="NHG240" s="1"/>
      <c r="NHH240" s="1"/>
      <c r="NHI240" s="1"/>
      <c r="NHJ240" s="1"/>
      <c r="NHK240" s="1"/>
      <c r="NHL240" s="1"/>
      <c r="NHM240" s="1"/>
      <c r="NHN240" s="1"/>
      <c r="NHO240" s="1"/>
      <c r="NHP240" s="1"/>
      <c r="NHQ240" s="1"/>
      <c r="NHR240" s="1"/>
      <c r="NHS240" s="1"/>
      <c r="NHT240" s="1"/>
      <c r="NHU240" s="1"/>
      <c r="NHV240" s="1"/>
      <c r="NHW240" s="1"/>
      <c r="NHX240" s="1"/>
      <c r="NHY240" s="1"/>
      <c r="NHZ240" s="1"/>
      <c r="NIA240" s="1"/>
      <c r="NIB240" s="1"/>
      <c r="NIC240" s="1"/>
      <c r="NID240" s="1"/>
      <c r="NIE240" s="1"/>
      <c r="NIF240" s="1"/>
      <c r="NIG240" s="1"/>
      <c r="NIH240" s="1"/>
      <c r="NII240" s="1"/>
      <c r="NIJ240" s="1"/>
      <c r="NIK240" s="1"/>
      <c r="NIL240" s="1"/>
      <c r="NIM240" s="1"/>
      <c r="NIN240" s="1"/>
      <c r="NIO240" s="1"/>
      <c r="NIP240" s="1"/>
      <c r="NIQ240" s="1"/>
      <c r="NIR240" s="1"/>
      <c r="NIS240" s="1"/>
      <c r="NIT240" s="1"/>
      <c r="NIU240" s="1"/>
      <c r="NIV240" s="1"/>
      <c r="NIW240" s="1"/>
      <c r="NIX240" s="1"/>
      <c r="NIY240" s="1"/>
      <c r="NIZ240" s="1"/>
      <c r="NJA240" s="1"/>
      <c r="NJB240" s="1"/>
      <c r="NJC240" s="1"/>
      <c r="NJD240" s="1"/>
      <c r="NJE240" s="1"/>
      <c r="NJF240" s="1"/>
      <c r="NJG240" s="1"/>
      <c r="NJH240" s="1"/>
      <c r="NJI240" s="1"/>
      <c r="NJJ240" s="1"/>
      <c r="NJK240" s="1"/>
      <c r="NJL240" s="1"/>
      <c r="NJM240" s="1"/>
      <c r="NJN240" s="1"/>
      <c r="NJO240" s="1"/>
      <c r="NJP240" s="1"/>
      <c r="NJQ240" s="1"/>
      <c r="NJR240" s="1"/>
      <c r="NJS240" s="1"/>
      <c r="NJT240" s="1"/>
      <c r="NJU240" s="1"/>
      <c r="NJV240" s="1"/>
      <c r="NJW240" s="1"/>
      <c r="NJX240" s="1"/>
      <c r="NJY240" s="1"/>
      <c r="NJZ240" s="1"/>
      <c r="NKA240" s="1"/>
      <c r="NKB240" s="1"/>
      <c r="NKC240" s="1"/>
      <c r="NKD240" s="1"/>
      <c r="NKE240" s="1"/>
      <c r="NKF240" s="1"/>
      <c r="NKG240" s="1"/>
      <c r="NKH240" s="1"/>
      <c r="NKI240" s="1"/>
      <c r="NKJ240" s="1"/>
      <c r="NKK240" s="1"/>
      <c r="NKL240" s="1"/>
      <c r="NKM240" s="1"/>
      <c r="NKN240" s="1"/>
      <c r="NKO240" s="1"/>
      <c r="NKP240" s="1"/>
      <c r="NKQ240" s="1"/>
      <c r="NKR240" s="1"/>
      <c r="NKS240" s="1"/>
      <c r="NKT240" s="1"/>
      <c r="NKU240" s="1"/>
      <c r="NKV240" s="1"/>
      <c r="NKW240" s="1"/>
      <c r="NKX240" s="1"/>
      <c r="NKY240" s="1"/>
      <c r="NKZ240" s="1"/>
      <c r="NLA240" s="1"/>
      <c r="NLB240" s="1"/>
      <c r="NLC240" s="1"/>
      <c r="NLD240" s="1"/>
      <c r="NLE240" s="1"/>
      <c r="NLF240" s="1"/>
      <c r="NLG240" s="1"/>
      <c r="NLH240" s="1"/>
      <c r="NLI240" s="1"/>
      <c r="NLJ240" s="1"/>
      <c r="NLK240" s="1"/>
      <c r="NLL240" s="1"/>
      <c r="NLM240" s="1"/>
      <c r="NLN240" s="1"/>
      <c r="NLO240" s="1"/>
      <c r="NLP240" s="1"/>
      <c r="NLQ240" s="1"/>
      <c r="NLR240" s="1"/>
      <c r="NLS240" s="1"/>
      <c r="NLT240" s="1"/>
      <c r="NLU240" s="1"/>
      <c r="NLV240" s="1"/>
      <c r="NLW240" s="1"/>
      <c r="NLX240" s="1"/>
      <c r="NLY240" s="1"/>
      <c r="NLZ240" s="1"/>
      <c r="NMA240" s="1"/>
      <c r="NMB240" s="1"/>
      <c r="NMC240" s="1"/>
      <c r="NMD240" s="1"/>
      <c r="NME240" s="1"/>
      <c r="NMF240" s="1"/>
      <c r="NMG240" s="1"/>
      <c r="NMH240" s="1"/>
      <c r="NMI240" s="1"/>
      <c r="NMJ240" s="1"/>
      <c r="NMK240" s="1"/>
      <c r="NML240" s="1"/>
      <c r="NMM240" s="1"/>
      <c r="NMN240" s="1"/>
      <c r="NMO240" s="1"/>
      <c r="NMP240" s="1"/>
      <c r="NMQ240" s="1"/>
      <c r="NMR240" s="1"/>
      <c r="NMS240" s="1"/>
      <c r="NMT240" s="1"/>
      <c r="NMU240" s="1"/>
      <c r="NMV240" s="1"/>
      <c r="NMW240" s="1"/>
      <c r="NMX240" s="1"/>
      <c r="NMY240" s="1"/>
      <c r="NMZ240" s="1"/>
      <c r="NNA240" s="1"/>
      <c r="NNB240" s="1"/>
      <c r="NNC240" s="1"/>
      <c r="NND240" s="1"/>
      <c r="NNE240" s="1"/>
      <c r="NNF240" s="1"/>
      <c r="NNG240" s="1"/>
      <c r="NNH240" s="1"/>
      <c r="NNI240" s="1"/>
      <c r="NNJ240" s="1"/>
      <c r="NNK240" s="1"/>
      <c r="NNL240" s="1"/>
      <c r="NNM240" s="1"/>
      <c r="NNN240" s="1"/>
      <c r="NNO240" s="1"/>
      <c r="NNP240" s="1"/>
      <c r="NNQ240" s="1"/>
      <c r="NNR240" s="1"/>
      <c r="NNS240" s="1"/>
      <c r="NNT240" s="1"/>
      <c r="NNU240" s="1"/>
      <c r="NNV240" s="1"/>
      <c r="NNW240" s="1"/>
      <c r="NNX240" s="1"/>
      <c r="NNY240" s="1"/>
      <c r="NNZ240" s="1"/>
      <c r="NOA240" s="1"/>
      <c r="NOB240" s="1"/>
      <c r="NOC240" s="1"/>
      <c r="NOD240" s="1"/>
      <c r="NOE240" s="1"/>
      <c r="NOF240" s="1"/>
      <c r="NOG240" s="1"/>
      <c r="NOH240" s="1"/>
      <c r="NOI240" s="1"/>
      <c r="NOJ240" s="1"/>
      <c r="NOK240" s="1"/>
      <c r="NOL240" s="1"/>
      <c r="NOM240" s="1"/>
      <c r="NON240" s="1"/>
      <c r="NOO240" s="1"/>
      <c r="NOP240" s="1"/>
      <c r="NOQ240" s="1"/>
      <c r="NOR240" s="1"/>
      <c r="NOS240" s="1"/>
      <c r="NOT240" s="1"/>
      <c r="NOU240" s="1"/>
      <c r="NOV240" s="1"/>
      <c r="NOW240" s="1"/>
      <c r="NOX240" s="1"/>
      <c r="NOY240" s="1"/>
      <c r="NOZ240" s="1"/>
      <c r="NPA240" s="1"/>
      <c r="NPB240" s="1"/>
      <c r="NPC240" s="1"/>
      <c r="NPD240" s="1"/>
      <c r="NPE240" s="1"/>
      <c r="NPF240" s="1"/>
      <c r="NPG240" s="1"/>
      <c r="NPH240" s="1"/>
      <c r="NPI240" s="1"/>
      <c r="NPJ240" s="1"/>
      <c r="NPK240" s="1"/>
      <c r="NPL240" s="1"/>
      <c r="NPM240" s="1"/>
      <c r="NPN240" s="1"/>
      <c r="NPO240" s="1"/>
      <c r="NPP240" s="1"/>
      <c r="NPQ240" s="1"/>
      <c r="NPR240" s="1"/>
      <c r="NPS240" s="1"/>
      <c r="NPT240" s="1"/>
      <c r="NPU240" s="1"/>
      <c r="NPV240" s="1"/>
      <c r="NPW240" s="1"/>
      <c r="NPX240" s="1"/>
      <c r="NPY240" s="1"/>
      <c r="NPZ240" s="1"/>
      <c r="NQA240" s="1"/>
      <c r="NQB240" s="1"/>
      <c r="NQC240" s="1"/>
      <c r="NQD240" s="1"/>
      <c r="NQE240" s="1"/>
      <c r="NQF240" s="1"/>
      <c r="NQG240" s="1"/>
      <c r="NQH240" s="1"/>
      <c r="NQI240" s="1"/>
      <c r="NQJ240" s="1"/>
      <c r="NQK240" s="1"/>
      <c r="NQL240" s="1"/>
      <c r="NQM240" s="1"/>
      <c r="NQN240" s="1"/>
      <c r="NQO240" s="1"/>
      <c r="NQP240" s="1"/>
      <c r="NQQ240" s="1"/>
      <c r="NQR240" s="1"/>
      <c r="NQS240" s="1"/>
      <c r="NQT240" s="1"/>
      <c r="NQU240" s="1"/>
      <c r="NQV240" s="1"/>
      <c r="NQW240" s="1"/>
      <c r="NQX240" s="1"/>
      <c r="NQY240" s="1"/>
      <c r="NQZ240" s="1"/>
      <c r="NRA240" s="1"/>
      <c r="NRB240" s="1"/>
      <c r="NRC240" s="1"/>
      <c r="NRD240" s="1"/>
      <c r="NRE240" s="1"/>
      <c r="NRF240" s="1"/>
      <c r="NRG240" s="1"/>
      <c r="NRH240" s="1"/>
      <c r="NRI240" s="1"/>
      <c r="NRJ240" s="1"/>
      <c r="NRK240" s="1"/>
      <c r="NRL240" s="1"/>
      <c r="NRM240" s="1"/>
      <c r="NRN240" s="1"/>
      <c r="NRO240" s="1"/>
      <c r="NRP240" s="1"/>
      <c r="NRQ240" s="1"/>
      <c r="NRR240" s="1"/>
      <c r="NRS240" s="1"/>
      <c r="NRT240" s="1"/>
      <c r="NRU240" s="1"/>
      <c r="NRV240" s="1"/>
      <c r="NRW240" s="1"/>
      <c r="NRX240" s="1"/>
      <c r="NRY240" s="1"/>
      <c r="NRZ240" s="1"/>
      <c r="NSA240" s="1"/>
      <c r="NSB240" s="1"/>
      <c r="NSC240" s="1"/>
      <c r="NSD240" s="1"/>
      <c r="NSE240" s="1"/>
      <c r="NSF240" s="1"/>
      <c r="NSG240" s="1"/>
      <c r="NSH240" s="1"/>
      <c r="NSI240" s="1"/>
      <c r="NSJ240" s="1"/>
      <c r="NSK240" s="1"/>
      <c r="NSL240" s="1"/>
      <c r="NSM240" s="1"/>
      <c r="NSN240" s="1"/>
      <c r="NSO240" s="1"/>
      <c r="NSP240" s="1"/>
      <c r="NSQ240" s="1"/>
      <c r="NSR240" s="1"/>
      <c r="NSS240" s="1"/>
      <c r="NST240" s="1"/>
      <c r="NSU240" s="1"/>
      <c r="NSV240" s="1"/>
      <c r="NSW240" s="1"/>
      <c r="NSX240" s="1"/>
      <c r="NSY240" s="1"/>
      <c r="NSZ240" s="1"/>
      <c r="NTA240" s="1"/>
      <c r="NTB240" s="1"/>
      <c r="NTC240" s="1"/>
      <c r="NTD240" s="1"/>
      <c r="NTE240" s="1"/>
      <c r="NTF240" s="1"/>
      <c r="NTG240" s="1"/>
      <c r="NTH240" s="1"/>
      <c r="NTI240" s="1"/>
      <c r="NTJ240" s="1"/>
      <c r="NTK240" s="1"/>
      <c r="NTL240" s="1"/>
      <c r="NTM240" s="1"/>
      <c r="NTN240" s="1"/>
      <c r="NTO240" s="1"/>
      <c r="NTP240" s="1"/>
      <c r="NTQ240" s="1"/>
      <c r="NTR240" s="1"/>
      <c r="NTS240" s="1"/>
      <c r="NTT240" s="1"/>
      <c r="NTU240" s="1"/>
      <c r="NTV240" s="1"/>
      <c r="NTW240" s="1"/>
      <c r="NTX240" s="1"/>
      <c r="NTY240" s="1"/>
      <c r="NTZ240" s="1"/>
      <c r="NUA240" s="1"/>
      <c r="NUB240" s="1"/>
      <c r="NUC240" s="1"/>
      <c r="NUD240" s="1"/>
      <c r="NUE240" s="1"/>
      <c r="NUF240" s="1"/>
      <c r="NUG240" s="1"/>
      <c r="NUH240" s="1"/>
      <c r="NUI240" s="1"/>
      <c r="NUJ240" s="1"/>
      <c r="NUK240" s="1"/>
      <c r="NUL240" s="1"/>
      <c r="NUM240" s="1"/>
      <c r="NUN240" s="1"/>
      <c r="NUO240" s="1"/>
      <c r="NUP240" s="1"/>
      <c r="NUQ240" s="1"/>
      <c r="NUR240" s="1"/>
      <c r="NUS240" s="1"/>
      <c r="NUT240" s="1"/>
      <c r="NUU240" s="1"/>
      <c r="NUV240" s="1"/>
      <c r="NUW240" s="1"/>
      <c r="NUX240" s="1"/>
      <c r="NUY240" s="1"/>
      <c r="NUZ240" s="1"/>
      <c r="NVA240" s="1"/>
      <c r="NVB240" s="1"/>
      <c r="NVC240" s="1"/>
      <c r="NVD240" s="1"/>
      <c r="NVE240" s="1"/>
      <c r="NVF240" s="1"/>
      <c r="NVG240" s="1"/>
      <c r="NVH240" s="1"/>
      <c r="NVI240" s="1"/>
      <c r="NVJ240" s="1"/>
      <c r="NVK240" s="1"/>
      <c r="NVL240" s="1"/>
      <c r="NVM240" s="1"/>
      <c r="NVN240" s="1"/>
      <c r="NVO240" s="1"/>
      <c r="NVP240" s="1"/>
      <c r="NVQ240" s="1"/>
      <c r="NVR240" s="1"/>
      <c r="NVS240" s="1"/>
      <c r="NVT240" s="1"/>
      <c r="NVU240" s="1"/>
      <c r="NVV240" s="1"/>
      <c r="NVW240" s="1"/>
      <c r="NVX240" s="1"/>
      <c r="NVY240" s="1"/>
      <c r="NVZ240" s="1"/>
      <c r="NWA240" s="1"/>
      <c r="NWB240" s="1"/>
      <c r="NWC240" s="1"/>
      <c r="NWD240" s="1"/>
      <c r="NWE240" s="1"/>
      <c r="NWF240" s="1"/>
      <c r="NWG240" s="1"/>
      <c r="NWH240" s="1"/>
      <c r="NWI240" s="1"/>
      <c r="NWJ240" s="1"/>
      <c r="NWK240" s="1"/>
      <c r="NWL240" s="1"/>
      <c r="NWM240" s="1"/>
      <c r="NWN240" s="1"/>
      <c r="NWO240" s="1"/>
      <c r="NWP240" s="1"/>
      <c r="NWQ240" s="1"/>
      <c r="NWR240" s="1"/>
      <c r="NWS240" s="1"/>
      <c r="NWT240" s="1"/>
      <c r="NWU240" s="1"/>
      <c r="NWV240" s="1"/>
      <c r="NWW240" s="1"/>
      <c r="NWX240" s="1"/>
      <c r="NWY240" s="1"/>
      <c r="NWZ240" s="1"/>
      <c r="NXA240" s="1"/>
      <c r="NXB240" s="1"/>
      <c r="NXC240" s="1"/>
      <c r="NXD240" s="1"/>
      <c r="NXE240" s="1"/>
      <c r="NXF240" s="1"/>
      <c r="NXG240" s="1"/>
      <c r="NXH240" s="1"/>
      <c r="NXI240" s="1"/>
      <c r="NXJ240" s="1"/>
      <c r="NXK240" s="1"/>
      <c r="NXL240" s="1"/>
      <c r="NXM240" s="1"/>
      <c r="NXN240" s="1"/>
      <c r="NXO240" s="1"/>
      <c r="NXP240" s="1"/>
      <c r="NXQ240" s="1"/>
      <c r="NXR240" s="1"/>
      <c r="NXS240" s="1"/>
      <c r="NXT240" s="1"/>
      <c r="NXU240" s="1"/>
      <c r="NXV240" s="1"/>
      <c r="NXW240" s="1"/>
      <c r="NXX240" s="1"/>
      <c r="NXY240" s="1"/>
      <c r="NXZ240" s="1"/>
      <c r="NYA240" s="1"/>
      <c r="NYB240" s="1"/>
      <c r="NYC240" s="1"/>
      <c r="NYD240" s="1"/>
      <c r="NYE240" s="1"/>
      <c r="NYF240" s="1"/>
      <c r="NYG240" s="1"/>
      <c r="NYH240" s="1"/>
      <c r="NYI240" s="1"/>
      <c r="NYJ240" s="1"/>
      <c r="NYK240" s="1"/>
      <c r="NYL240" s="1"/>
      <c r="NYM240" s="1"/>
      <c r="NYN240" s="1"/>
      <c r="NYO240" s="1"/>
      <c r="NYP240" s="1"/>
      <c r="NYQ240" s="1"/>
      <c r="NYR240" s="1"/>
      <c r="NYS240" s="1"/>
      <c r="NYT240" s="1"/>
      <c r="NYU240" s="1"/>
      <c r="NYV240" s="1"/>
      <c r="NYW240" s="1"/>
      <c r="NYX240" s="1"/>
      <c r="NYY240" s="1"/>
      <c r="NYZ240" s="1"/>
      <c r="NZA240" s="1"/>
      <c r="NZB240" s="1"/>
      <c r="NZC240" s="1"/>
      <c r="NZD240" s="1"/>
      <c r="NZE240" s="1"/>
      <c r="NZF240" s="1"/>
      <c r="NZG240" s="1"/>
      <c r="NZH240" s="1"/>
      <c r="NZI240" s="1"/>
      <c r="NZJ240" s="1"/>
      <c r="NZK240" s="1"/>
      <c r="NZL240" s="1"/>
      <c r="NZM240" s="1"/>
      <c r="NZN240" s="1"/>
      <c r="NZO240" s="1"/>
      <c r="NZP240" s="1"/>
      <c r="NZQ240" s="1"/>
      <c r="NZR240" s="1"/>
      <c r="NZS240" s="1"/>
      <c r="NZT240" s="1"/>
      <c r="NZU240" s="1"/>
      <c r="NZV240" s="1"/>
      <c r="NZW240" s="1"/>
      <c r="NZX240" s="1"/>
      <c r="NZY240" s="1"/>
      <c r="NZZ240" s="1"/>
      <c r="OAA240" s="1"/>
      <c r="OAB240" s="1"/>
      <c r="OAC240" s="1"/>
      <c r="OAD240" s="1"/>
      <c r="OAE240" s="1"/>
      <c r="OAF240" s="1"/>
      <c r="OAG240" s="1"/>
      <c r="OAH240" s="1"/>
      <c r="OAI240" s="1"/>
      <c r="OAJ240" s="1"/>
      <c r="OAK240" s="1"/>
      <c r="OAL240" s="1"/>
      <c r="OAM240" s="1"/>
      <c r="OAN240" s="1"/>
      <c r="OAO240" s="1"/>
      <c r="OAP240" s="1"/>
      <c r="OAQ240" s="1"/>
      <c r="OAR240" s="1"/>
      <c r="OAS240" s="1"/>
      <c r="OAT240" s="1"/>
      <c r="OAU240" s="1"/>
      <c r="OAV240" s="1"/>
      <c r="OAW240" s="1"/>
      <c r="OAX240" s="1"/>
      <c r="OAY240" s="1"/>
      <c r="OAZ240" s="1"/>
      <c r="OBA240" s="1"/>
      <c r="OBB240" s="1"/>
      <c r="OBC240" s="1"/>
      <c r="OBD240" s="1"/>
      <c r="OBE240" s="1"/>
      <c r="OBF240" s="1"/>
      <c r="OBG240" s="1"/>
      <c r="OBH240" s="1"/>
      <c r="OBI240" s="1"/>
      <c r="OBJ240" s="1"/>
      <c r="OBK240" s="1"/>
      <c r="OBL240" s="1"/>
      <c r="OBM240" s="1"/>
      <c r="OBN240" s="1"/>
      <c r="OBO240" s="1"/>
      <c r="OBP240" s="1"/>
      <c r="OBQ240" s="1"/>
      <c r="OBR240" s="1"/>
      <c r="OBS240" s="1"/>
      <c r="OBT240" s="1"/>
      <c r="OBU240" s="1"/>
      <c r="OBV240" s="1"/>
      <c r="OBW240" s="1"/>
      <c r="OBX240" s="1"/>
      <c r="OBY240" s="1"/>
      <c r="OBZ240" s="1"/>
      <c r="OCA240" s="1"/>
      <c r="OCB240" s="1"/>
      <c r="OCC240" s="1"/>
      <c r="OCD240" s="1"/>
      <c r="OCE240" s="1"/>
      <c r="OCF240" s="1"/>
      <c r="OCG240" s="1"/>
      <c r="OCH240" s="1"/>
      <c r="OCI240" s="1"/>
      <c r="OCJ240" s="1"/>
      <c r="OCK240" s="1"/>
      <c r="OCL240" s="1"/>
      <c r="OCM240" s="1"/>
      <c r="OCN240" s="1"/>
      <c r="OCO240" s="1"/>
      <c r="OCP240" s="1"/>
      <c r="OCQ240" s="1"/>
      <c r="OCR240" s="1"/>
      <c r="OCS240" s="1"/>
      <c r="OCT240" s="1"/>
      <c r="OCU240" s="1"/>
      <c r="OCV240" s="1"/>
      <c r="OCW240" s="1"/>
      <c r="OCX240" s="1"/>
      <c r="OCY240" s="1"/>
      <c r="OCZ240" s="1"/>
      <c r="ODA240" s="1"/>
      <c r="ODB240" s="1"/>
      <c r="ODC240" s="1"/>
      <c r="ODD240" s="1"/>
      <c r="ODE240" s="1"/>
      <c r="ODF240" s="1"/>
      <c r="ODG240" s="1"/>
      <c r="ODH240" s="1"/>
      <c r="ODI240" s="1"/>
      <c r="ODJ240" s="1"/>
      <c r="ODK240" s="1"/>
      <c r="ODL240" s="1"/>
      <c r="ODM240" s="1"/>
      <c r="ODN240" s="1"/>
      <c r="ODO240" s="1"/>
      <c r="ODP240" s="1"/>
      <c r="ODQ240" s="1"/>
      <c r="ODR240" s="1"/>
      <c r="ODS240" s="1"/>
      <c r="ODT240" s="1"/>
      <c r="ODU240" s="1"/>
      <c r="ODV240" s="1"/>
      <c r="ODW240" s="1"/>
      <c r="ODX240" s="1"/>
      <c r="ODY240" s="1"/>
      <c r="ODZ240" s="1"/>
      <c r="OEA240" s="1"/>
      <c r="OEB240" s="1"/>
      <c r="OEC240" s="1"/>
      <c r="OED240" s="1"/>
      <c r="OEE240" s="1"/>
      <c r="OEF240" s="1"/>
      <c r="OEG240" s="1"/>
      <c r="OEH240" s="1"/>
      <c r="OEI240" s="1"/>
      <c r="OEJ240" s="1"/>
      <c r="OEK240" s="1"/>
      <c r="OEL240" s="1"/>
      <c r="OEM240" s="1"/>
      <c r="OEN240" s="1"/>
      <c r="OEO240" s="1"/>
      <c r="OEP240" s="1"/>
      <c r="OEQ240" s="1"/>
      <c r="OER240" s="1"/>
      <c r="OES240" s="1"/>
      <c r="OET240" s="1"/>
      <c r="OEU240" s="1"/>
      <c r="OEV240" s="1"/>
      <c r="OEW240" s="1"/>
      <c r="OEX240" s="1"/>
      <c r="OEY240" s="1"/>
      <c r="OEZ240" s="1"/>
      <c r="OFA240" s="1"/>
      <c r="OFB240" s="1"/>
      <c r="OFC240" s="1"/>
      <c r="OFD240" s="1"/>
      <c r="OFE240" s="1"/>
      <c r="OFF240" s="1"/>
      <c r="OFG240" s="1"/>
      <c r="OFH240" s="1"/>
      <c r="OFI240" s="1"/>
      <c r="OFJ240" s="1"/>
      <c r="OFK240" s="1"/>
      <c r="OFL240" s="1"/>
      <c r="OFM240" s="1"/>
      <c r="OFN240" s="1"/>
      <c r="OFO240" s="1"/>
      <c r="OFP240" s="1"/>
      <c r="OFQ240" s="1"/>
      <c r="OFR240" s="1"/>
      <c r="OFS240" s="1"/>
      <c r="OFT240" s="1"/>
      <c r="OFU240" s="1"/>
      <c r="OFV240" s="1"/>
      <c r="OFW240" s="1"/>
      <c r="OFX240" s="1"/>
      <c r="OFY240" s="1"/>
      <c r="OFZ240" s="1"/>
      <c r="OGA240" s="1"/>
      <c r="OGB240" s="1"/>
      <c r="OGC240" s="1"/>
      <c r="OGD240" s="1"/>
      <c r="OGE240" s="1"/>
      <c r="OGF240" s="1"/>
      <c r="OGG240" s="1"/>
      <c r="OGH240" s="1"/>
      <c r="OGI240" s="1"/>
      <c r="OGJ240" s="1"/>
      <c r="OGK240" s="1"/>
      <c r="OGL240" s="1"/>
      <c r="OGM240" s="1"/>
      <c r="OGN240" s="1"/>
      <c r="OGO240" s="1"/>
      <c r="OGP240" s="1"/>
      <c r="OGQ240" s="1"/>
      <c r="OGR240" s="1"/>
      <c r="OGS240" s="1"/>
      <c r="OGT240" s="1"/>
      <c r="OGU240" s="1"/>
      <c r="OGV240" s="1"/>
      <c r="OGW240" s="1"/>
      <c r="OGX240" s="1"/>
      <c r="OGY240" s="1"/>
      <c r="OGZ240" s="1"/>
      <c r="OHA240" s="1"/>
      <c r="OHB240" s="1"/>
      <c r="OHC240" s="1"/>
      <c r="OHD240" s="1"/>
      <c r="OHE240" s="1"/>
      <c r="OHF240" s="1"/>
      <c r="OHG240" s="1"/>
      <c r="OHH240" s="1"/>
      <c r="OHI240" s="1"/>
      <c r="OHJ240" s="1"/>
      <c r="OHK240" s="1"/>
      <c r="OHL240" s="1"/>
      <c r="OHM240" s="1"/>
      <c r="OHN240" s="1"/>
      <c r="OHO240" s="1"/>
      <c r="OHP240" s="1"/>
      <c r="OHQ240" s="1"/>
      <c r="OHR240" s="1"/>
      <c r="OHS240" s="1"/>
      <c r="OHT240" s="1"/>
      <c r="OHU240" s="1"/>
      <c r="OHV240" s="1"/>
      <c r="OHW240" s="1"/>
      <c r="OHX240" s="1"/>
      <c r="OHY240" s="1"/>
      <c r="OHZ240" s="1"/>
      <c r="OIA240" s="1"/>
      <c r="OIB240" s="1"/>
      <c r="OIC240" s="1"/>
      <c r="OID240" s="1"/>
      <c r="OIE240" s="1"/>
      <c r="OIF240" s="1"/>
      <c r="OIG240" s="1"/>
      <c r="OIH240" s="1"/>
      <c r="OII240" s="1"/>
      <c r="OIJ240" s="1"/>
      <c r="OIK240" s="1"/>
      <c r="OIL240" s="1"/>
      <c r="OIM240" s="1"/>
      <c r="OIN240" s="1"/>
      <c r="OIO240" s="1"/>
      <c r="OIP240" s="1"/>
      <c r="OIQ240" s="1"/>
      <c r="OIR240" s="1"/>
      <c r="OIS240" s="1"/>
      <c r="OIT240" s="1"/>
      <c r="OIU240" s="1"/>
      <c r="OIV240" s="1"/>
      <c r="OIW240" s="1"/>
      <c r="OIX240" s="1"/>
      <c r="OIY240" s="1"/>
      <c r="OIZ240" s="1"/>
      <c r="OJA240" s="1"/>
      <c r="OJB240" s="1"/>
      <c r="OJC240" s="1"/>
      <c r="OJD240" s="1"/>
      <c r="OJE240" s="1"/>
      <c r="OJF240" s="1"/>
      <c r="OJG240" s="1"/>
      <c r="OJH240" s="1"/>
      <c r="OJI240" s="1"/>
      <c r="OJJ240" s="1"/>
      <c r="OJK240" s="1"/>
      <c r="OJL240" s="1"/>
      <c r="OJM240" s="1"/>
      <c r="OJN240" s="1"/>
      <c r="OJO240" s="1"/>
      <c r="OJP240" s="1"/>
      <c r="OJQ240" s="1"/>
      <c r="OJR240" s="1"/>
      <c r="OJS240" s="1"/>
      <c r="OJT240" s="1"/>
      <c r="OJU240" s="1"/>
      <c r="OJV240" s="1"/>
      <c r="OJW240" s="1"/>
      <c r="OJX240" s="1"/>
      <c r="OJY240" s="1"/>
      <c r="OJZ240" s="1"/>
      <c r="OKA240" s="1"/>
      <c r="OKB240" s="1"/>
      <c r="OKC240" s="1"/>
      <c r="OKD240" s="1"/>
      <c r="OKE240" s="1"/>
      <c r="OKF240" s="1"/>
      <c r="OKG240" s="1"/>
      <c r="OKH240" s="1"/>
      <c r="OKI240" s="1"/>
      <c r="OKJ240" s="1"/>
      <c r="OKK240" s="1"/>
      <c r="OKL240" s="1"/>
      <c r="OKM240" s="1"/>
      <c r="OKN240" s="1"/>
      <c r="OKO240" s="1"/>
      <c r="OKP240" s="1"/>
      <c r="OKQ240" s="1"/>
      <c r="OKR240" s="1"/>
      <c r="OKS240" s="1"/>
      <c r="OKT240" s="1"/>
      <c r="OKU240" s="1"/>
      <c r="OKV240" s="1"/>
      <c r="OKW240" s="1"/>
      <c r="OKX240" s="1"/>
      <c r="OKY240" s="1"/>
      <c r="OKZ240" s="1"/>
      <c r="OLA240" s="1"/>
      <c r="OLB240" s="1"/>
      <c r="OLC240" s="1"/>
      <c r="OLD240" s="1"/>
      <c r="OLE240" s="1"/>
      <c r="OLF240" s="1"/>
      <c r="OLG240" s="1"/>
      <c r="OLH240" s="1"/>
      <c r="OLI240" s="1"/>
      <c r="OLJ240" s="1"/>
      <c r="OLK240" s="1"/>
      <c r="OLL240" s="1"/>
      <c r="OLM240" s="1"/>
      <c r="OLN240" s="1"/>
      <c r="OLO240" s="1"/>
      <c r="OLP240" s="1"/>
      <c r="OLQ240" s="1"/>
      <c r="OLR240" s="1"/>
      <c r="OLS240" s="1"/>
      <c r="OLT240" s="1"/>
      <c r="OLU240" s="1"/>
      <c r="OLV240" s="1"/>
      <c r="OLW240" s="1"/>
      <c r="OLX240" s="1"/>
      <c r="OLY240" s="1"/>
      <c r="OLZ240" s="1"/>
      <c r="OMA240" s="1"/>
      <c r="OMB240" s="1"/>
      <c r="OMC240" s="1"/>
      <c r="OMD240" s="1"/>
      <c r="OME240" s="1"/>
      <c r="OMF240" s="1"/>
      <c r="OMG240" s="1"/>
      <c r="OMH240" s="1"/>
      <c r="OMI240" s="1"/>
      <c r="OMJ240" s="1"/>
      <c r="OMK240" s="1"/>
      <c r="OML240" s="1"/>
      <c r="OMM240" s="1"/>
      <c r="OMN240" s="1"/>
      <c r="OMO240" s="1"/>
      <c r="OMP240" s="1"/>
      <c r="OMQ240" s="1"/>
      <c r="OMR240" s="1"/>
      <c r="OMS240" s="1"/>
      <c r="OMT240" s="1"/>
      <c r="OMU240" s="1"/>
      <c r="OMV240" s="1"/>
      <c r="OMW240" s="1"/>
      <c r="OMX240" s="1"/>
      <c r="OMY240" s="1"/>
      <c r="OMZ240" s="1"/>
      <c r="ONA240" s="1"/>
      <c r="ONB240" s="1"/>
      <c r="ONC240" s="1"/>
      <c r="OND240" s="1"/>
      <c r="ONE240" s="1"/>
      <c r="ONF240" s="1"/>
      <c r="ONG240" s="1"/>
      <c r="ONH240" s="1"/>
      <c r="ONI240" s="1"/>
      <c r="ONJ240" s="1"/>
      <c r="ONK240" s="1"/>
      <c r="ONL240" s="1"/>
      <c r="ONM240" s="1"/>
      <c r="ONN240" s="1"/>
      <c r="ONO240" s="1"/>
      <c r="ONP240" s="1"/>
      <c r="ONQ240" s="1"/>
      <c r="ONR240" s="1"/>
      <c r="ONS240" s="1"/>
      <c r="ONT240" s="1"/>
      <c r="ONU240" s="1"/>
      <c r="ONV240" s="1"/>
      <c r="ONW240" s="1"/>
      <c r="ONX240" s="1"/>
      <c r="ONY240" s="1"/>
      <c r="ONZ240" s="1"/>
      <c r="OOA240" s="1"/>
      <c r="OOB240" s="1"/>
      <c r="OOC240" s="1"/>
      <c r="OOD240" s="1"/>
      <c r="OOE240" s="1"/>
      <c r="OOF240" s="1"/>
      <c r="OOG240" s="1"/>
      <c r="OOH240" s="1"/>
      <c r="OOI240" s="1"/>
      <c r="OOJ240" s="1"/>
      <c r="OOK240" s="1"/>
      <c r="OOL240" s="1"/>
      <c r="OOM240" s="1"/>
      <c r="OON240" s="1"/>
      <c r="OOO240" s="1"/>
      <c r="OOP240" s="1"/>
      <c r="OOQ240" s="1"/>
      <c r="OOR240" s="1"/>
      <c r="OOS240" s="1"/>
      <c r="OOT240" s="1"/>
      <c r="OOU240" s="1"/>
      <c r="OOV240" s="1"/>
      <c r="OOW240" s="1"/>
      <c r="OOX240" s="1"/>
      <c r="OOY240" s="1"/>
      <c r="OOZ240" s="1"/>
      <c r="OPA240" s="1"/>
      <c r="OPB240" s="1"/>
      <c r="OPC240" s="1"/>
      <c r="OPD240" s="1"/>
      <c r="OPE240" s="1"/>
      <c r="OPF240" s="1"/>
      <c r="OPG240" s="1"/>
      <c r="OPH240" s="1"/>
      <c r="OPI240" s="1"/>
      <c r="OPJ240" s="1"/>
      <c r="OPK240" s="1"/>
      <c r="OPL240" s="1"/>
      <c r="OPM240" s="1"/>
      <c r="OPN240" s="1"/>
      <c r="OPO240" s="1"/>
      <c r="OPP240" s="1"/>
      <c r="OPQ240" s="1"/>
      <c r="OPR240" s="1"/>
      <c r="OPS240" s="1"/>
      <c r="OPT240" s="1"/>
      <c r="OPU240" s="1"/>
      <c r="OPV240" s="1"/>
      <c r="OPW240" s="1"/>
      <c r="OPX240" s="1"/>
      <c r="OPY240" s="1"/>
      <c r="OPZ240" s="1"/>
      <c r="OQA240" s="1"/>
      <c r="OQB240" s="1"/>
      <c r="OQC240" s="1"/>
      <c r="OQD240" s="1"/>
      <c r="OQE240" s="1"/>
      <c r="OQF240" s="1"/>
      <c r="OQG240" s="1"/>
      <c r="OQH240" s="1"/>
      <c r="OQI240" s="1"/>
      <c r="OQJ240" s="1"/>
      <c r="OQK240" s="1"/>
      <c r="OQL240" s="1"/>
      <c r="OQM240" s="1"/>
      <c r="OQN240" s="1"/>
      <c r="OQO240" s="1"/>
      <c r="OQP240" s="1"/>
      <c r="OQQ240" s="1"/>
      <c r="OQR240" s="1"/>
      <c r="OQS240" s="1"/>
      <c r="OQT240" s="1"/>
      <c r="OQU240" s="1"/>
      <c r="OQV240" s="1"/>
      <c r="OQW240" s="1"/>
      <c r="OQX240" s="1"/>
      <c r="OQY240" s="1"/>
      <c r="OQZ240" s="1"/>
      <c r="ORA240" s="1"/>
      <c r="ORB240" s="1"/>
      <c r="ORC240" s="1"/>
      <c r="ORD240" s="1"/>
      <c r="ORE240" s="1"/>
      <c r="ORF240" s="1"/>
      <c r="ORG240" s="1"/>
      <c r="ORH240" s="1"/>
      <c r="ORI240" s="1"/>
      <c r="ORJ240" s="1"/>
      <c r="ORK240" s="1"/>
      <c r="ORL240" s="1"/>
      <c r="ORM240" s="1"/>
      <c r="ORN240" s="1"/>
      <c r="ORO240" s="1"/>
      <c r="ORP240" s="1"/>
      <c r="ORQ240" s="1"/>
      <c r="ORR240" s="1"/>
      <c r="ORS240" s="1"/>
      <c r="ORT240" s="1"/>
      <c r="ORU240" s="1"/>
      <c r="ORV240" s="1"/>
      <c r="ORW240" s="1"/>
      <c r="ORX240" s="1"/>
      <c r="ORY240" s="1"/>
      <c r="ORZ240" s="1"/>
      <c r="OSA240" s="1"/>
      <c r="OSB240" s="1"/>
      <c r="OSC240" s="1"/>
      <c r="OSD240" s="1"/>
      <c r="OSE240" s="1"/>
      <c r="OSF240" s="1"/>
      <c r="OSG240" s="1"/>
      <c r="OSH240" s="1"/>
      <c r="OSI240" s="1"/>
      <c r="OSJ240" s="1"/>
      <c r="OSK240" s="1"/>
      <c r="OSL240" s="1"/>
      <c r="OSM240" s="1"/>
      <c r="OSN240" s="1"/>
      <c r="OSO240" s="1"/>
      <c r="OSP240" s="1"/>
      <c r="OSQ240" s="1"/>
      <c r="OSR240" s="1"/>
      <c r="OSS240" s="1"/>
      <c r="OST240" s="1"/>
      <c r="OSU240" s="1"/>
      <c r="OSV240" s="1"/>
      <c r="OSW240" s="1"/>
      <c r="OSX240" s="1"/>
      <c r="OSY240" s="1"/>
      <c r="OSZ240" s="1"/>
      <c r="OTA240" s="1"/>
      <c r="OTB240" s="1"/>
      <c r="OTC240" s="1"/>
      <c r="OTD240" s="1"/>
      <c r="OTE240" s="1"/>
      <c r="OTF240" s="1"/>
      <c r="OTG240" s="1"/>
      <c r="OTH240" s="1"/>
      <c r="OTI240" s="1"/>
      <c r="OTJ240" s="1"/>
      <c r="OTK240" s="1"/>
      <c r="OTL240" s="1"/>
      <c r="OTM240" s="1"/>
      <c r="OTN240" s="1"/>
      <c r="OTO240" s="1"/>
      <c r="OTP240" s="1"/>
      <c r="OTQ240" s="1"/>
      <c r="OTR240" s="1"/>
      <c r="OTS240" s="1"/>
      <c r="OTT240" s="1"/>
      <c r="OTU240" s="1"/>
      <c r="OTV240" s="1"/>
      <c r="OTW240" s="1"/>
      <c r="OTX240" s="1"/>
      <c r="OTY240" s="1"/>
      <c r="OTZ240" s="1"/>
      <c r="OUA240" s="1"/>
      <c r="OUB240" s="1"/>
      <c r="OUC240" s="1"/>
      <c r="OUD240" s="1"/>
      <c r="OUE240" s="1"/>
      <c r="OUF240" s="1"/>
      <c r="OUG240" s="1"/>
      <c r="OUH240" s="1"/>
      <c r="OUI240" s="1"/>
      <c r="OUJ240" s="1"/>
      <c r="OUK240" s="1"/>
      <c r="OUL240" s="1"/>
      <c r="OUM240" s="1"/>
      <c r="OUN240" s="1"/>
      <c r="OUO240" s="1"/>
      <c r="OUP240" s="1"/>
      <c r="OUQ240" s="1"/>
      <c r="OUR240" s="1"/>
      <c r="OUS240" s="1"/>
      <c r="OUT240" s="1"/>
      <c r="OUU240" s="1"/>
      <c r="OUV240" s="1"/>
      <c r="OUW240" s="1"/>
      <c r="OUX240" s="1"/>
      <c r="OUY240" s="1"/>
      <c r="OUZ240" s="1"/>
      <c r="OVA240" s="1"/>
      <c r="OVB240" s="1"/>
      <c r="OVC240" s="1"/>
      <c r="OVD240" s="1"/>
      <c r="OVE240" s="1"/>
      <c r="OVF240" s="1"/>
      <c r="OVG240" s="1"/>
      <c r="OVH240" s="1"/>
      <c r="OVI240" s="1"/>
      <c r="OVJ240" s="1"/>
      <c r="OVK240" s="1"/>
      <c r="OVL240" s="1"/>
      <c r="OVM240" s="1"/>
      <c r="OVN240" s="1"/>
      <c r="OVO240" s="1"/>
      <c r="OVP240" s="1"/>
      <c r="OVQ240" s="1"/>
      <c r="OVR240" s="1"/>
      <c r="OVS240" s="1"/>
      <c r="OVT240" s="1"/>
      <c r="OVU240" s="1"/>
      <c r="OVV240" s="1"/>
      <c r="OVW240" s="1"/>
      <c r="OVX240" s="1"/>
      <c r="OVY240" s="1"/>
      <c r="OVZ240" s="1"/>
      <c r="OWA240" s="1"/>
      <c r="OWB240" s="1"/>
      <c r="OWC240" s="1"/>
      <c r="OWD240" s="1"/>
      <c r="OWE240" s="1"/>
      <c r="OWF240" s="1"/>
      <c r="OWG240" s="1"/>
      <c r="OWH240" s="1"/>
      <c r="OWI240" s="1"/>
      <c r="OWJ240" s="1"/>
      <c r="OWK240" s="1"/>
      <c r="OWL240" s="1"/>
      <c r="OWM240" s="1"/>
      <c r="OWN240" s="1"/>
      <c r="OWO240" s="1"/>
      <c r="OWP240" s="1"/>
      <c r="OWQ240" s="1"/>
      <c r="OWR240" s="1"/>
      <c r="OWS240" s="1"/>
      <c r="OWT240" s="1"/>
      <c r="OWU240" s="1"/>
      <c r="OWV240" s="1"/>
      <c r="OWW240" s="1"/>
      <c r="OWX240" s="1"/>
      <c r="OWY240" s="1"/>
      <c r="OWZ240" s="1"/>
      <c r="OXA240" s="1"/>
      <c r="OXB240" s="1"/>
      <c r="OXC240" s="1"/>
      <c r="OXD240" s="1"/>
      <c r="OXE240" s="1"/>
      <c r="OXF240" s="1"/>
      <c r="OXG240" s="1"/>
      <c r="OXH240" s="1"/>
      <c r="OXI240" s="1"/>
      <c r="OXJ240" s="1"/>
      <c r="OXK240" s="1"/>
      <c r="OXL240" s="1"/>
      <c r="OXM240" s="1"/>
      <c r="OXN240" s="1"/>
      <c r="OXO240" s="1"/>
      <c r="OXP240" s="1"/>
      <c r="OXQ240" s="1"/>
      <c r="OXR240" s="1"/>
      <c r="OXS240" s="1"/>
      <c r="OXT240" s="1"/>
      <c r="OXU240" s="1"/>
      <c r="OXV240" s="1"/>
      <c r="OXW240" s="1"/>
      <c r="OXX240" s="1"/>
      <c r="OXY240" s="1"/>
      <c r="OXZ240" s="1"/>
      <c r="OYA240" s="1"/>
      <c r="OYB240" s="1"/>
      <c r="OYC240" s="1"/>
      <c r="OYD240" s="1"/>
      <c r="OYE240" s="1"/>
      <c r="OYF240" s="1"/>
      <c r="OYG240" s="1"/>
      <c r="OYH240" s="1"/>
      <c r="OYI240" s="1"/>
      <c r="OYJ240" s="1"/>
      <c r="OYK240" s="1"/>
      <c r="OYL240" s="1"/>
      <c r="OYM240" s="1"/>
      <c r="OYN240" s="1"/>
      <c r="OYO240" s="1"/>
      <c r="OYP240" s="1"/>
      <c r="OYQ240" s="1"/>
      <c r="OYR240" s="1"/>
      <c r="OYS240" s="1"/>
      <c r="OYT240" s="1"/>
      <c r="OYU240" s="1"/>
      <c r="OYV240" s="1"/>
      <c r="OYW240" s="1"/>
      <c r="OYX240" s="1"/>
      <c r="OYY240" s="1"/>
      <c r="OYZ240" s="1"/>
      <c r="OZA240" s="1"/>
      <c r="OZB240" s="1"/>
      <c r="OZC240" s="1"/>
      <c r="OZD240" s="1"/>
      <c r="OZE240" s="1"/>
      <c r="OZF240" s="1"/>
      <c r="OZG240" s="1"/>
      <c r="OZH240" s="1"/>
      <c r="OZI240" s="1"/>
      <c r="OZJ240" s="1"/>
      <c r="OZK240" s="1"/>
      <c r="OZL240" s="1"/>
      <c r="OZM240" s="1"/>
      <c r="OZN240" s="1"/>
      <c r="OZO240" s="1"/>
      <c r="OZP240" s="1"/>
      <c r="OZQ240" s="1"/>
      <c r="OZR240" s="1"/>
      <c r="OZS240" s="1"/>
      <c r="OZT240" s="1"/>
      <c r="OZU240" s="1"/>
      <c r="OZV240" s="1"/>
      <c r="OZW240" s="1"/>
      <c r="OZX240" s="1"/>
      <c r="OZY240" s="1"/>
      <c r="OZZ240" s="1"/>
      <c r="PAA240" s="1"/>
      <c r="PAB240" s="1"/>
      <c r="PAC240" s="1"/>
      <c r="PAD240" s="1"/>
      <c r="PAE240" s="1"/>
      <c r="PAF240" s="1"/>
      <c r="PAG240" s="1"/>
      <c r="PAH240" s="1"/>
      <c r="PAI240" s="1"/>
      <c r="PAJ240" s="1"/>
      <c r="PAK240" s="1"/>
      <c r="PAL240" s="1"/>
      <c r="PAM240" s="1"/>
      <c r="PAN240" s="1"/>
      <c r="PAO240" s="1"/>
      <c r="PAP240" s="1"/>
      <c r="PAQ240" s="1"/>
      <c r="PAR240" s="1"/>
      <c r="PAS240" s="1"/>
      <c r="PAT240" s="1"/>
      <c r="PAU240" s="1"/>
      <c r="PAV240" s="1"/>
      <c r="PAW240" s="1"/>
      <c r="PAX240" s="1"/>
      <c r="PAY240" s="1"/>
      <c r="PAZ240" s="1"/>
      <c r="PBA240" s="1"/>
      <c r="PBB240" s="1"/>
      <c r="PBC240" s="1"/>
      <c r="PBD240" s="1"/>
      <c r="PBE240" s="1"/>
      <c r="PBF240" s="1"/>
      <c r="PBG240" s="1"/>
      <c r="PBH240" s="1"/>
      <c r="PBI240" s="1"/>
      <c r="PBJ240" s="1"/>
      <c r="PBK240" s="1"/>
      <c r="PBL240" s="1"/>
      <c r="PBM240" s="1"/>
      <c r="PBN240" s="1"/>
      <c r="PBO240" s="1"/>
      <c r="PBP240" s="1"/>
      <c r="PBQ240" s="1"/>
      <c r="PBR240" s="1"/>
      <c r="PBS240" s="1"/>
      <c r="PBT240" s="1"/>
      <c r="PBU240" s="1"/>
      <c r="PBV240" s="1"/>
      <c r="PBW240" s="1"/>
      <c r="PBX240" s="1"/>
      <c r="PBY240" s="1"/>
      <c r="PBZ240" s="1"/>
      <c r="PCA240" s="1"/>
      <c r="PCB240" s="1"/>
      <c r="PCC240" s="1"/>
      <c r="PCD240" s="1"/>
      <c r="PCE240" s="1"/>
      <c r="PCF240" s="1"/>
      <c r="PCG240" s="1"/>
      <c r="PCH240" s="1"/>
      <c r="PCI240" s="1"/>
      <c r="PCJ240" s="1"/>
      <c r="PCK240" s="1"/>
      <c r="PCL240" s="1"/>
      <c r="PCM240" s="1"/>
      <c r="PCN240" s="1"/>
      <c r="PCO240" s="1"/>
      <c r="PCP240" s="1"/>
      <c r="PCQ240" s="1"/>
      <c r="PCR240" s="1"/>
      <c r="PCS240" s="1"/>
      <c r="PCT240" s="1"/>
      <c r="PCU240" s="1"/>
      <c r="PCV240" s="1"/>
      <c r="PCW240" s="1"/>
      <c r="PCX240" s="1"/>
      <c r="PCY240" s="1"/>
      <c r="PCZ240" s="1"/>
      <c r="PDA240" s="1"/>
      <c r="PDB240" s="1"/>
      <c r="PDC240" s="1"/>
      <c r="PDD240" s="1"/>
      <c r="PDE240" s="1"/>
      <c r="PDF240" s="1"/>
      <c r="PDG240" s="1"/>
      <c r="PDH240" s="1"/>
      <c r="PDI240" s="1"/>
      <c r="PDJ240" s="1"/>
      <c r="PDK240" s="1"/>
      <c r="PDL240" s="1"/>
      <c r="PDM240" s="1"/>
      <c r="PDN240" s="1"/>
      <c r="PDO240" s="1"/>
      <c r="PDP240" s="1"/>
      <c r="PDQ240" s="1"/>
      <c r="PDR240" s="1"/>
      <c r="PDS240" s="1"/>
      <c r="PDT240" s="1"/>
      <c r="PDU240" s="1"/>
      <c r="PDV240" s="1"/>
      <c r="PDW240" s="1"/>
      <c r="PDX240" s="1"/>
      <c r="PDY240" s="1"/>
      <c r="PDZ240" s="1"/>
      <c r="PEA240" s="1"/>
      <c r="PEB240" s="1"/>
      <c r="PEC240" s="1"/>
      <c r="PED240" s="1"/>
      <c r="PEE240" s="1"/>
      <c r="PEF240" s="1"/>
      <c r="PEG240" s="1"/>
      <c r="PEH240" s="1"/>
      <c r="PEI240" s="1"/>
      <c r="PEJ240" s="1"/>
      <c r="PEK240" s="1"/>
      <c r="PEL240" s="1"/>
      <c r="PEM240" s="1"/>
      <c r="PEN240" s="1"/>
      <c r="PEO240" s="1"/>
      <c r="PEP240" s="1"/>
      <c r="PEQ240" s="1"/>
      <c r="PER240" s="1"/>
      <c r="PES240" s="1"/>
      <c r="PET240" s="1"/>
      <c r="PEU240" s="1"/>
      <c r="PEV240" s="1"/>
      <c r="PEW240" s="1"/>
      <c r="PEX240" s="1"/>
      <c r="PEY240" s="1"/>
      <c r="PEZ240" s="1"/>
      <c r="PFA240" s="1"/>
      <c r="PFB240" s="1"/>
      <c r="PFC240" s="1"/>
      <c r="PFD240" s="1"/>
      <c r="PFE240" s="1"/>
      <c r="PFF240" s="1"/>
      <c r="PFG240" s="1"/>
      <c r="PFH240" s="1"/>
      <c r="PFI240" s="1"/>
      <c r="PFJ240" s="1"/>
      <c r="PFK240" s="1"/>
      <c r="PFL240" s="1"/>
      <c r="PFM240" s="1"/>
      <c r="PFN240" s="1"/>
      <c r="PFO240" s="1"/>
      <c r="PFP240" s="1"/>
      <c r="PFQ240" s="1"/>
      <c r="PFR240" s="1"/>
      <c r="PFS240" s="1"/>
      <c r="PFT240" s="1"/>
      <c r="PFU240" s="1"/>
      <c r="PFV240" s="1"/>
      <c r="PFW240" s="1"/>
      <c r="PFX240" s="1"/>
      <c r="PFY240" s="1"/>
      <c r="PFZ240" s="1"/>
      <c r="PGA240" s="1"/>
      <c r="PGB240" s="1"/>
      <c r="PGC240" s="1"/>
      <c r="PGD240" s="1"/>
      <c r="PGE240" s="1"/>
      <c r="PGF240" s="1"/>
      <c r="PGG240" s="1"/>
      <c r="PGH240" s="1"/>
      <c r="PGI240" s="1"/>
      <c r="PGJ240" s="1"/>
      <c r="PGK240" s="1"/>
      <c r="PGL240" s="1"/>
      <c r="PGM240" s="1"/>
      <c r="PGN240" s="1"/>
      <c r="PGO240" s="1"/>
      <c r="PGP240" s="1"/>
      <c r="PGQ240" s="1"/>
      <c r="PGR240" s="1"/>
      <c r="PGS240" s="1"/>
      <c r="PGT240" s="1"/>
      <c r="PGU240" s="1"/>
      <c r="PGV240" s="1"/>
      <c r="PGW240" s="1"/>
      <c r="PGX240" s="1"/>
      <c r="PGY240" s="1"/>
      <c r="PGZ240" s="1"/>
      <c r="PHA240" s="1"/>
      <c r="PHB240" s="1"/>
      <c r="PHC240" s="1"/>
      <c r="PHD240" s="1"/>
      <c r="PHE240" s="1"/>
      <c r="PHF240" s="1"/>
      <c r="PHG240" s="1"/>
      <c r="PHH240" s="1"/>
      <c r="PHI240" s="1"/>
      <c r="PHJ240" s="1"/>
      <c r="PHK240" s="1"/>
      <c r="PHL240" s="1"/>
      <c r="PHM240" s="1"/>
      <c r="PHN240" s="1"/>
      <c r="PHO240" s="1"/>
      <c r="PHP240" s="1"/>
      <c r="PHQ240" s="1"/>
      <c r="PHR240" s="1"/>
      <c r="PHS240" s="1"/>
      <c r="PHT240" s="1"/>
      <c r="PHU240" s="1"/>
      <c r="PHV240" s="1"/>
      <c r="PHW240" s="1"/>
      <c r="PHX240" s="1"/>
      <c r="PHY240" s="1"/>
      <c r="PHZ240" s="1"/>
      <c r="PIA240" s="1"/>
      <c r="PIB240" s="1"/>
      <c r="PIC240" s="1"/>
      <c r="PID240" s="1"/>
      <c r="PIE240" s="1"/>
      <c r="PIF240" s="1"/>
      <c r="PIG240" s="1"/>
      <c r="PIH240" s="1"/>
      <c r="PII240" s="1"/>
      <c r="PIJ240" s="1"/>
      <c r="PIK240" s="1"/>
      <c r="PIL240" s="1"/>
      <c r="PIM240" s="1"/>
      <c r="PIN240" s="1"/>
      <c r="PIO240" s="1"/>
      <c r="PIP240" s="1"/>
      <c r="PIQ240" s="1"/>
      <c r="PIR240" s="1"/>
      <c r="PIS240" s="1"/>
      <c r="PIT240" s="1"/>
      <c r="PIU240" s="1"/>
      <c r="PIV240" s="1"/>
      <c r="PIW240" s="1"/>
      <c r="PIX240" s="1"/>
      <c r="PIY240" s="1"/>
      <c r="PIZ240" s="1"/>
      <c r="PJA240" s="1"/>
      <c r="PJB240" s="1"/>
      <c r="PJC240" s="1"/>
      <c r="PJD240" s="1"/>
      <c r="PJE240" s="1"/>
      <c r="PJF240" s="1"/>
      <c r="PJG240" s="1"/>
      <c r="PJH240" s="1"/>
      <c r="PJI240" s="1"/>
      <c r="PJJ240" s="1"/>
      <c r="PJK240" s="1"/>
      <c r="PJL240" s="1"/>
      <c r="PJM240" s="1"/>
      <c r="PJN240" s="1"/>
      <c r="PJO240" s="1"/>
      <c r="PJP240" s="1"/>
      <c r="PJQ240" s="1"/>
      <c r="PJR240" s="1"/>
      <c r="PJS240" s="1"/>
      <c r="PJT240" s="1"/>
      <c r="PJU240" s="1"/>
      <c r="PJV240" s="1"/>
      <c r="PJW240" s="1"/>
      <c r="PJX240" s="1"/>
      <c r="PJY240" s="1"/>
      <c r="PJZ240" s="1"/>
      <c r="PKA240" s="1"/>
      <c r="PKB240" s="1"/>
      <c r="PKC240" s="1"/>
      <c r="PKD240" s="1"/>
      <c r="PKE240" s="1"/>
      <c r="PKF240" s="1"/>
      <c r="PKG240" s="1"/>
      <c r="PKH240" s="1"/>
      <c r="PKI240" s="1"/>
      <c r="PKJ240" s="1"/>
      <c r="PKK240" s="1"/>
      <c r="PKL240" s="1"/>
      <c r="PKM240" s="1"/>
      <c r="PKN240" s="1"/>
      <c r="PKO240" s="1"/>
      <c r="PKP240" s="1"/>
      <c r="PKQ240" s="1"/>
      <c r="PKR240" s="1"/>
      <c r="PKS240" s="1"/>
      <c r="PKT240" s="1"/>
      <c r="PKU240" s="1"/>
      <c r="PKV240" s="1"/>
      <c r="PKW240" s="1"/>
      <c r="PKX240" s="1"/>
      <c r="PKY240" s="1"/>
      <c r="PKZ240" s="1"/>
      <c r="PLA240" s="1"/>
      <c r="PLB240" s="1"/>
      <c r="PLC240" s="1"/>
      <c r="PLD240" s="1"/>
      <c r="PLE240" s="1"/>
      <c r="PLF240" s="1"/>
      <c r="PLG240" s="1"/>
      <c r="PLH240" s="1"/>
      <c r="PLI240" s="1"/>
      <c r="PLJ240" s="1"/>
      <c r="PLK240" s="1"/>
      <c r="PLL240" s="1"/>
      <c r="PLM240" s="1"/>
      <c r="PLN240" s="1"/>
      <c r="PLO240" s="1"/>
      <c r="PLP240" s="1"/>
      <c r="PLQ240" s="1"/>
      <c r="PLR240" s="1"/>
      <c r="PLS240" s="1"/>
      <c r="PLT240" s="1"/>
      <c r="PLU240" s="1"/>
      <c r="PLV240" s="1"/>
      <c r="PLW240" s="1"/>
      <c r="PLX240" s="1"/>
      <c r="PLY240" s="1"/>
      <c r="PLZ240" s="1"/>
      <c r="PMA240" s="1"/>
      <c r="PMB240" s="1"/>
      <c r="PMC240" s="1"/>
      <c r="PMD240" s="1"/>
      <c r="PME240" s="1"/>
      <c r="PMF240" s="1"/>
      <c r="PMG240" s="1"/>
      <c r="PMH240" s="1"/>
      <c r="PMI240" s="1"/>
      <c r="PMJ240" s="1"/>
      <c r="PMK240" s="1"/>
      <c r="PML240" s="1"/>
      <c r="PMM240" s="1"/>
      <c r="PMN240" s="1"/>
      <c r="PMO240" s="1"/>
      <c r="PMP240" s="1"/>
      <c r="PMQ240" s="1"/>
      <c r="PMR240" s="1"/>
      <c r="PMS240" s="1"/>
      <c r="PMT240" s="1"/>
      <c r="PMU240" s="1"/>
      <c r="PMV240" s="1"/>
      <c r="PMW240" s="1"/>
      <c r="PMX240" s="1"/>
      <c r="PMY240" s="1"/>
      <c r="PMZ240" s="1"/>
      <c r="PNA240" s="1"/>
      <c r="PNB240" s="1"/>
      <c r="PNC240" s="1"/>
      <c r="PND240" s="1"/>
      <c r="PNE240" s="1"/>
      <c r="PNF240" s="1"/>
      <c r="PNG240" s="1"/>
      <c r="PNH240" s="1"/>
      <c r="PNI240" s="1"/>
      <c r="PNJ240" s="1"/>
      <c r="PNK240" s="1"/>
      <c r="PNL240" s="1"/>
      <c r="PNM240" s="1"/>
      <c r="PNN240" s="1"/>
      <c r="PNO240" s="1"/>
      <c r="PNP240" s="1"/>
      <c r="PNQ240" s="1"/>
      <c r="PNR240" s="1"/>
      <c r="PNS240" s="1"/>
      <c r="PNT240" s="1"/>
      <c r="PNU240" s="1"/>
      <c r="PNV240" s="1"/>
      <c r="PNW240" s="1"/>
      <c r="PNX240" s="1"/>
      <c r="PNY240" s="1"/>
      <c r="PNZ240" s="1"/>
      <c r="POA240" s="1"/>
      <c r="POB240" s="1"/>
      <c r="POC240" s="1"/>
      <c r="POD240" s="1"/>
      <c r="POE240" s="1"/>
      <c r="POF240" s="1"/>
      <c r="POG240" s="1"/>
      <c r="POH240" s="1"/>
      <c r="POI240" s="1"/>
      <c r="POJ240" s="1"/>
      <c r="POK240" s="1"/>
      <c r="POL240" s="1"/>
      <c r="POM240" s="1"/>
      <c r="PON240" s="1"/>
      <c r="POO240" s="1"/>
      <c r="POP240" s="1"/>
      <c r="POQ240" s="1"/>
      <c r="POR240" s="1"/>
      <c r="POS240" s="1"/>
      <c r="POT240" s="1"/>
      <c r="POU240" s="1"/>
      <c r="POV240" s="1"/>
      <c r="POW240" s="1"/>
      <c r="POX240" s="1"/>
      <c r="POY240" s="1"/>
      <c r="POZ240" s="1"/>
      <c r="PPA240" s="1"/>
      <c r="PPB240" s="1"/>
      <c r="PPC240" s="1"/>
      <c r="PPD240" s="1"/>
      <c r="PPE240" s="1"/>
      <c r="PPF240" s="1"/>
      <c r="PPG240" s="1"/>
      <c r="PPH240" s="1"/>
      <c r="PPI240" s="1"/>
      <c r="PPJ240" s="1"/>
      <c r="PPK240" s="1"/>
      <c r="PPL240" s="1"/>
      <c r="PPM240" s="1"/>
      <c r="PPN240" s="1"/>
      <c r="PPO240" s="1"/>
      <c r="PPP240" s="1"/>
      <c r="PPQ240" s="1"/>
      <c r="PPR240" s="1"/>
      <c r="PPS240" s="1"/>
      <c r="PPT240" s="1"/>
      <c r="PPU240" s="1"/>
      <c r="PPV240" s="1"/>
      <c r="PPW240" s="1"/>
      <c r="PPX240" s="1"/>
      <c r="PPY240" s="1"/>
      <c r="PPZ240" s="1"/>
      <c r="PQA240" s="1"/>
      <c r="PQB240" s="1"/>
      <c r="PQC240" s="1"/>
      <c r="PQD240" s="1"/>
      <c r="PQE240" s="1"/>
      <c r="PQF240" s="1"/>
      <c r="PQG240" s="1"/>
      <c r="PQH240" s="1"/>
      <c r="PQI240" s="1"/>
      <c r="PQJ240" s="1"/>
      <c r="PQK240" s="1"/>
      <c r="PQL240" s="1"/>
      <c r="PQM240" s="1"/>
      <c r="PQN240" s="1"/>
      <c r="PQO240" s="1"/>
      <c r="PQP240" s="1"/>
      <c r="PQQ240" s="1"/>
      <c r="PQR240" s="1"/>
      <c r="PQS240" s="1"/>
      <c r="PQT240" s="1"/>
      <c r="PQU240" s="1"/>
      <c r="PQV240" s="1"/>
      <c r="PQW240" s="1"/>
      <c r="PQX240" s="1"/>
      <c r="PQY240" s="1"/>
      <c r="PQZ240" s="1"/>
      <c r="PRA240" s="1"/>
      <c r="PRB240" s="1"/>
      <c r="PRC240" s="1"/>
      <c r="PRD240" s="1"/>
      <c r="PRE240" s="1"/>
      <c r="PRF240" s="1"/>
      <c r="PRG240" s="1"/>
      <c r="PRH240" s="1"/>
      <c r="PRI240" s="1"/>
      <c r="PRJ240" s="1"/>
      <c r="PRK240" s="1"/>
      <c r="PRL240" s="1"/>
      <c r="PRM240" s="1"/>
      <c r="PRN240" s="1"/>
      <c r="PRO240" s="1"/>
      <c r="PRP240" s="1"/>
      <c r="PRQ240" s="1"/>
      <c r="PRR240" s="1"/>
      <c r="PRS240" s="1"/>
      <c r="PRT240" s="1"/>
      <c r="PRU240" s="1"/>
      <c r="PRV240" s="1"/>
      <c r="PRW240" s="1"/>
      <c r="PRX240" s="1"/>
      <c r="PRY240" s="1"/>
      <c r="PRZ240" s="1"/>
      <c r="PSA240" s="1"/>
      <c r="PSB240" s="1"/>
      <c r="PSC240" s="1"/>
      <c r="PSD240" s="1"/>
      <c r="PSE240" s="1"/>
      <c r="PSF240" s="1"/>
      <c r="PSG240" s="1"/>
      <c r="PSH240" s="1"/>
      <c r="PSI240" s="1"/>
      <c r="PSJ240" s="1"/>
      <c r="PSK240" s="1"/>
      <c r="PSL240" s="1"/>
      <c r="PSM240" s="1"/>
      <c r="PSN240" s="1"/>
      <c r="PSO240" s="1"/>
      <c r="PSP240" s="1"/>
      <c r="PSQ240" s="1"/>
      <c r="PSR240" s="1"/>
      <c r="PSS240" s="1"/>
      <c r="PST240" s="1"/>
      <c r="PSU240" s="1"/>
      <c r="PSV240" s="1"/>
      <c r="PSW240" s="1"/>
      <c r="PSX240" s="1"/>
      <c r="PSY240" s="1"/>
      <c r="PSZ240" s="1"/>
      <c r="PTA240" s="1"/>
      <c r="PTB240" s="1"/>
      <c r="PTC240" s="1"/>
      <c r="PTD240" s="1"/>
      <c r="PTE240" s="1"/>
      <c r="PTF240" s="1"/>
      <c r="PTG240" s="1"/>
      <c r="PTH240" s="1"/>
      <c r="PTI240" s="1"/>
      <c r="PTJ240" s="1"/>
      <c r="PTK240" s="1"/>
      <c r="PTL240" s="1"/>
      <c r="PTM240" s="1"/>
      <c r="PTN240" s="1"/>
      <c r="PTO240" s="1"/>
      <c r="PTP240" s="1"/>
      <c r="PTQ240" s="1"/>
      <c r="PTR240" s="1"/>
      <c r="PTS240" s="1"/>
      <c r="PTT240" s="1"/>
      <c r="PTU240" s="1"/>
      <c r="PTV240" s="1"/>
      <c r="PTW240" s="1"/>
      <c r="PTX240" s="1"/>
      <c r="PTY240" s="1"/>
      <c r="PTZ240" s="1"/>
      <c r="PUA240" s="1"/>
      <c r="PUB240" s="1"/>
      <c r="PUC240" s="1"/>
      <c r="PUD240" s="1"/>
      <c r="PUE240" s="1"/>
      <c r="PUF240" s="1"/>
      <c r="PUG240" s="1"/>
      <c r="PUH240" s="1"/>
      <c r="PUI240" s="1"/>
      <c r="PUJ240" s="1"/>
      <c r="PUK240" s="1"/>
      <c r="PUL240" s="1"/>
      <c r="PUM240" s="1"/>
      <c r="PUN240" s="1"/>
      <c r="PUO240" s="1"/>
      <c r="PUP240" s="1"/>
      <c r="PUQ240" s="1"/>
      <c r="PUR240" s="1"/>
      <c r="PUS240" s="1"/>
      <c r="PUT240" s="1"/>
      <c r="PUU240" s="1"/>
      <c r="PUV240" s="1"/>
      <c r="PUW240" s="1"/>
      <c r="PUX240" s="1"/>
      <c r="PUY240" s="1"/>
      <c r="PUZ240" s="1"/>
      <c r="PVA240" s="1"/>
      <c r="PVB240" s="1"/>
      <c r="PVC240" s="1"/>
      <c r="PVD240" s="1"/>
      <c r="PVE240" s="1"/>
      <c r="PVF240" s="1"/>
      <c r="PVG240" s="1"/>
      <c r="PVH240" s="1"/>
      <c r="PVI240" s="1"/>
      <c r="PVJ240" s="1"/>
      <c r="PVK240" s="1"/>
      <c r="PVL240" s="1"/>
      <c r="PVM240" s="1"/>
      <c r="PVN240" s="1"/>
      <c r="PVO240" s="1"/>
      <c r="PVP240" s="1"/>
      <c r="PVQ240" s="1"/>
      <c r="PVR240" s="1"/>
      <c r="PVS240" s="1"/>
      <c r="PVT240" s="1"/>
      <c r="PVU240" s="1"/>
      <c r="PVV240" s="1"/>
      <c r="PVW240" s="1"/>
      <c r="PVX240" s="1"/>
      <c r="PVY240" s="1"/>
      <c r="PVZ240" s="1"/>
      <c r="PWA240" s="1"/>
      <c r="PWB240" s="1"/>
      <c r="PWC240" s="1"/>
      <c r="PWD240" s="1"/>
      <c r="PWE240" s="1"/>
      <c r="PWF240" s="1"/>
      <c r="PWG240" s="1"/>
      <c r="PWH240" s="1"/>
      <c r="PWI240" s="1"/>
      <c r="PWJ240" s="1"/>
      <c r="PWK240" s="1"/>
      <c r="PWL240" s="1"/>
      <c r="PWM240" s="1"/>
      <c r="PWN240" s="1"/>
      <c r="PWO240" s="1"/>
      <c r="PWP240" s="1"/>
      <c r="PWQ240" s="1"/>
      <c r="PWR240" s="1"/>
      <c r="PWS240" s="1"/>
      <c r="PWT240" s="1"/>
      <c r="PWU240" s="1"/>
      <c r="PWV240" s="1"/>
      <c r="PWW240" s="1"/>
      <c r="PWX240" s="1"/>
      <c r="PWY240" s="1"/>
      <c r="PWZ240" s="1"/>
      <c r="PXA240" s="1"/>
      <c r="PXB240" s="1"/>
      <c r="PXC240" s="1"/>
      <c r="PXD240" s="1"/>
      <c r="PXE240" s="1"/>
      <c r="PXF240" s="1"/>
      <c r="PXG240" s="1"/>
      <c r="PXH240" s="1"/>
      <c r="PXI240" s="1"/>
      <c r="PXJ240" s="1"/>
      <c r="PXK240" s="1"/>
      <c r="PXL240" s="1"/>
      <c r="PXM240" s="1"/>
      <c r="PXN240" s="1"/>
      <c r="PXO240" s="1"/>
      <c r="PXP240" s="1"/>
      <c r="PXQ240" s="1"/>
      <c r="PXR240" s="1"/>
      <c r="PXS240" s="1"/>
      <c r="PXT240" s="1"/>
      <c r="PXU240" s="1"/>
      <c r="PXV240" s="1"/>
      <c r="PXW240" s="1"/>
      <c r="PXX240" s="1"/>
      <c r="PXY240" s="1"/>
      <c r="PXZ240" s="1"/>
      <c r="PYA240" s="1"/>
      <c r="PYB240" s="1"/>
      <c r="PYC240" s="1"/>
      <c r="PYD240" s="1"/>
      <c r="PYE240" s="1"/>
      <c r="PYF240" s="1"/>
      <c r="PYG240" s="1"/>
      <c r="PYH240" s="1"/>
      <c r="PYI240" s="1"/>
      <c r="PYJ240" s="1"/>
      <c r="PYK240" s="1"/>
      <c r="PYL240" s="1"/>
      <c r="PYM240" s="1"/>
      <c r="PYN240" s="1"/>
      <c r="PYO240" s="1"/>
      <c r="PYP240" s="1"/>
      <c r="PYQ240" s="1"/>
      <c r="PYR240" s="1"/>
      <c r="PYS240" s="1"/>
      <c r="PYT240" s="1"/>
      <c r="PYU240" s="1"/>
      <c r="PYV240" s="1"/>
      <c r="PYW240" s="1"/>
      <c r="PYX240" s="1"/>
      <c r="PYY240" s="1"/>
      <c r="PYZ240" s="1"/>
      <c r="PZA240" s="1"/>
      <c r="PZB240" s="1"/>
      <c r="PZC240" s="1"/>
      <c r="PZD240" s="1"/>
      <c r="PZE240" s="1"/>
      <c r="PZF240" s="1"/>
      <c r="PZG240" s="1"/>
      <c r="PZH240" s="1"/>
      <c r="PZI240" s="1"/>
      <c r="PZJ240" s="1"/>
      <c r="PZK240" s="1"/>
      <c r="PZL240" s="1"/>
      <c r="PZM240" s="1"/>
      <c r="PZN240" s="1"/>
      <c r="PZO240" s="1"/>
      <c r="PZP240" s="1"/>
      <c r="PZQ240" s="1"/>
      <c r="PZR240" s="1"/>
      <c r="PZS240" s="1"/>
      <c r="PZT240" s="1"/>
      <c r="PZU240" s="1"/>
      <c r="PZV240" s="1"/>
      <c r="PZW240" s="1"/>
      <c r="PZX240" s="1"/>
      <c r="PZY240" s="1"/>
      <c r="PZZ240" s="1"/>
      <c r="QAA240" s="1"/>
      <c r="QAB240" s="1"/>
      <c r="QAC240" s="1"/>
      <c r="QAD240" s="1"/>
      <c r="QAE240" s="1"/>
      <c r="QAF240" s="1"/>
      <c r="QAG240" s="1"/>
      <c r="QAH240" s="1"/>
      <c r="QAI240" s="1"/>
      <c r="QAJ240" s="1"/>
      <c r="QAK240" s="1"/>
      <c r="QAL240" s="1"/>
      <c r="QAM240" s="1"/>
      <c r="QAN240" s="1"/>
      <c r="QAO240" s="1"/>
      <c r="QAP240" s="1"/>
      <c r="QAQ240" s="1"/>
      <c r="QAR240" s="1"/>
      <c r="QAS240" s="1"/>
      <c r="QAT240" s="1"/>
      <c r="QAU240" s="1"/>
      <c r="QAV240" s="1"/>
      <c r="QAW240" s="1"/>
      <c r="QAX240" s="1"/>
      <c r="QAY240" s="1"/>
      <c r="QAZ240" s="1"/>
      <c r="QBA240" s="1"/>
      <c r="QBB240" s="1"/>
      <c r="QBC240" s="1"/>
      <c r="QBD240" s="1"/>
      <c r="QBE240" s="1"/>
      <c r="QBF240" s="1"/>
      <c r="QBG240" s="1"/>
      <c r="QBH240" s="1"/>
      <c r="QBI240" s="1"/>
      <c r="QBJ240" s="1"/>
      <c r="QBK240" s="1"/>
      <c r="QBL240" s="1"/>
      <c r="QBM240" s="1"/>
      <c r="QBN240" s="1"/>
      <c r="QBO240" s="1"/>
      <c r="QBP240" s="1"/>
      <c r="QBQ240" s="1"/>
      <c r="QBR240" s="1"/>
      <c r="QBS240" s="1"/>
      <c r="QBT240" s="1"/>
      <c r="QBU240" s="1"/>
      <c r="QBV240" s="1"/>
      <c r="QBW240" s="1"/>
      <c r="QBX240" s="1"/>
      <c r="QBY240" s="1"/>
      <c r="QBZ240" s="1"/>
      <c r="QCA240" s="1"/>
      <c r="QCB240" s="1"/>
      <c r="QCC240" s="1"/>
      <c r="QCD240" s="1"/>
      <c r="QCE240" s="1"/>
      <c r="QCF240" s="1"/>
      <c r="QCG240" s="1"/>
      <c r="QCH240" s="1"/>
      <c r="QCI240" s="1"/>
      <c r="QCJ240" s="1"/>
      <c r="QCK240" s="1"/>
      <c r="QCL240" s="1"/>
      <c r="QCM240" s="1"/>
      <c r="QCN240" s="1"/>
      <c r="QCO240" s="1"/>
      <c r="QCP240" s="1"/>
      <c r="QCQ240" s="1"/>
      <c r="QCR240" s="1"/>
      <c r="QCS240" s="1"/>
      <c r="QCT240" s="1"/>
      <c r="QCU240" s="1"/>
      <c r="QCV240" s="1"/>
      <c r="QCW240" s="1"/>
      <c r="QCX240" s="1"/>
      <c r="QCY240" s="1"/>
      <c r="QCZ240" s="1"/>
      <c r="QDA240" s="1"/>
      <c r="QDB240" s="1"/>
      <c r="QDC240" s="1"/>
      <c r="QDD240" s="1"/>
      <c r="QDE240" s="1"/>
      <c r="QDF240" s="1"/>
      <c r="QDG240" s="1"/>
      <c r="QDH240" s="1"/>
      <c r="QDI240" s="1"/>
      <c r="QDJ240" s="1"/>
      <c r="QDK240" s="1"/>
      <c r="QDL240" s="1"/>
      <c r="QDM240" s="1"/>
      <c r="QDN240" s="1"/>
      <c r="QDO240" s="1"/>
      <c r="QDP240" s="1"/>
      <c r="QDQ240" s="1"/>
      <c r="QDR240" s="1"/>
      <c r="QDS240" s="1"/>
      <c r="QDT240" s="1"/>
      <c r="QDU240" s="1"/>
      <c r="QDV240" s="1"/>
      <c r="QDW240" s="1"/>
      <c r="QDX240" s="1"/>
      <c r="QDY240" s="1"/>
      <c r="QDZ240" s="1"/>
      <c r="QEA240" s="1"/>
      <c r="QEB240" s="1"/>
      <c r="QEC240" s="1"/>
      <c r="QED240" s="1"/>
      <c r="QEE240" s="1"/>
      <c r="QEF240" s="1"/>
      <c r="QEG240" s="1"/>
      <c r="QEH240" s="1"/>
      <c r="QEI240" s="1"/>
      <c r="QEJ240" s="1"/>
      <c r="QEK240" s="1"/>
      <c r="QEL240" s="1"/>
      <c r="QEM240" s="1"/>
      <c r="QEN240" s="1"/>
      <c r="QEO240" s="1"/>
      <c r="QEP240" s="1"/>
      <c r="QEQ240" s="1"/>
      <c r="QER240" s="1"/>
      <c r="QES240" s="1"/>
      <c r="QET240" s="1"/>
      <c r="QEU240" s="1"/>
      <c r="QEV240" s="1"/>
      <c r="QEW240" s="1"/>
      <c r="QEX240" s="1"/>
      <c r="QEY240" s="1"/>
      <c r="QEZ240" s="1"/>
      <c r="QFA240" s="1"/>
      <c r="QFB240" s="1"/>
      <c r="QFC240" s="1"/>
      <c r="QFD240" s="1"/>
      <c r="QFE240" s="1"/>
      <c r="QFF240" s="1"/>
      <c r="QFG240" s="1"/>
      <c r="QFH240" s="1"/>
      <c r="QFI240" s="1"/>
      <c r="QFJ240" s="1"/>
      <c r="QFK240" s="1"/>
      <c r="QFL240" s="1"/>
      <c r="QFM240" s="1"/>
      <c r="QFN240" s="1"/>
      <c r="QFO240" s="1"/>
      <c r="QFP240" s="1"/>
      <c r="QFQ240" s="1"/>
      <c r="QFR240" s="1"/>
      <c r="QFS240" s="1"/>
      <c r="QFT240" s="1"/>
      <c r="QFU240" s="1"/>
      <c r="QFV240" s="1"/>
      <c r="QFW240" s="1"/>
      <c r="QFX240" s="1"/>
      <c r="QFY240" s="1"/>
      <c r="QFZ240" s="1"/>
      <c r="QGA240" s="1"/>
      <c r="QGB240" s="1"/>
      <c r="QGC240" s="1"/>
      <c r="QGD240" s="1"/>
      <c r="QGE240" s="1"/>
      <c r="QGF240" s="1"/>
      <c r="QGG240" s="1"/>
      <c r="QGH240" s="1"/>
      <c r="QGI240" s="1"/>
      <c r="QGJ240" s="1"/>
      <c r="QGK240" s="1"/>
      <c r="QGL240" s="1"/>
      <c r="QGM240" s="1"/>
      <c r="QGN240" s="1"/>
      <c r="QGO240" s="1"/>
      <c r="QGP240" s="1"/>
      <c r="QGQ240" s="1"/>
      <c r="QGR240" s="1"/>
      <c r="QGS240" s="1"/>
      <c r="QGT240" s="1"/>
      <c r="QGU240" s="1"/>
      <c r="QGV240" s="1"/>
      <c r="QGW240" s="1"/>
      <c r="QGX240" s="1"/>
      <c r="QGY240" s="1"/>
      <c r="QGZ240" s="1"/>
      <c r="QHA240" s="1"/>
      <c r="QHB240" s="1"/>
      <c r="QHC240" s="1"/>
      <c r="QHD240" s="1"/>
      <c r="QHE240" s="1"/>
      <c r="QHF240" s="1"/>
      <c r="QHG240" s="1"/>
      <c r="QHH240" s="1"/>
      <c r="QHI240" s="1"/>
      <c r="QHJ240" s="1"/>
      <c r="QHK240" s="1"/>
      <c r="QHL240" s="1"/>
      <c r="QHM240" s="1"/>
      <c r="QHN240" s="1"/>
      <c r="QHO240" s="1"/>
      <c r="QHP240" s="1"/>
      <c r="QHQ240" s="1"/>
      <c r="QHR240" s="1"/>
      <c r="QHS240" s="1"/>
      <c r="QHT240" s="1"/>
      <c r="QHU240" s="1"/>
      <c r="QHV240" s="1"/>
      <c r="QHW240" s="1"/>
      <c r="QHX240" s="1"/>
      <c r="QHY240" s="1"/>
      <c r="QHZ240" s="1"/>
      <c r="QIA240" s="1"/>
      <c r="QIB240" s="1"/>
      <c r="QIC240" s="1"/>
      <c r="QID240" s="1"/>
      <c r="QIE240" s="1"/>
      <c r="QIF240" s="1"/>
      <c r="QIG240" s="1"/>
      <c r="QIH240" s="1"/>
      <c r="QII240" s="1"/>
      <c r="QIJ240" s="1"/>
      <c r="QIK240" s="1"/>
      <c r="QIL240" s="1"/>
      <c r="QIM240" s="1"/>
      <c r="QIN240" s="1"/>
      <c r="QIO240" s="1"/>
      <c r="QIP240" s="1"/>
      <c r="QIQ240" s="1"/>
      <c r="QIR240" s="1"/>
      <c r="QIS240" s="1"/>
      <c r="QIT240" s="1"/>
      <c r="QIU240" s="1"/>
      <c r="QIV240" s="1"/>
      <c r="QIW240" s="1"/>
      <c r="QIX240" s="1"/>
      <c r="QIY240" s="1"/>
      <c r="QIZ240" s="1"/>
      <c r="QJA240" s="1"/>
      <c r="QJB240" s="1"/>
      <c r="QJC240" s="1"/>
      <c r="QJD240" s="1"/>
      <c r="QJE240" s="1"/>
      <c r="QJF240" s="1"/>
      <c r="QJG240" s="1"/>
      <c r="QJH240" s="1"/>
      <c r="QJI240" s="1"/>
      <c r="QJJ240" s="1"/>
      <c r="QJK240" s="1"/>
      <c r="QJL240" s="1"/>
      <c r="QJM240" s="1"/>
      <c r="QJN240" s="1"/>
      <c r="QJO240" s="1"/>
      <c r="QJP240" s="1"/>
      <c r="QJQ240" s="1"/>
      <c r="QJR240" s="1"/>
      <c r="QJS240" s="1"/>
      <c r="QJT240" s="1"/>
      <c r="QJU240" s="1"/>
      <c r="QJV240" s="1"/>
      <c r="QJW240" s="1"/>
      <c r="QJX240" s="1"/>
      <c r="QJY240" s="1"/>
      <c r="QJZ240" s="1"/>
      <c r="QKA240" s="1"/>
      <c r="QKB240" s="1"/>
      <c r="QKC240" s="1"/>
      <c r="QKD240" s="1"/>
      <c r="QKE240" s="1"/>
      <c r="QKF240" s="1"/>
      <c r="QKG240" s="1"/>
      <c r="QKH240" s="1"/>
      <c r="QKI240" s="1"/>
      <c r="QKJ240" s="1"/>
      <c r="QKK240" s="1"/>
      <c r="QKL240" s="1"/>
      <c r="QKM240" s="1"/>
      <c r="QKN240" s="1"/>
      <c r="QKO240" s="1"/>
      <c r="QKP240" s="1"/>
      <c r="QKQ240" s="1"/>
      <c r="QKR240" s="1"/>
      <c r="QKS240" s="1"/>
      <c r="QKT240" s="1"/>
      <c r="QKU240" s="1"/>
      <c r="QKV240" s="1"/>
      <c r="QKW240" s="1"/>
      <c r="QKX240" s="1"/>
      <c r="QKY240" s="1"/>
      <c r="QKZ240" s="1"/>
      <c r="QLA240" s="1"/>
      <c r="QLB240" s="1"/>
      <c r="QLC240" s="1"/>
      <c r="QLD240" s="1"/>
      <c r="QLE240" s="1"/>
      <c r="QLF240" s="1"/>
      <c r="QLG240" s="1"/>
      <c r="QLH240" s="1"/>
      <c r="QLI240" s="1"/>
      <c r="QLJ240" s="1"/>
      <c r="QLK240" s="1"/>
      <c r="QLL240" s="1"/>
      <c r="QLM240" s="1"/>
      <c r="QLN240" s="1"/>
      <c r="QLO240" s="1"/>
      <c r="QLP240" s="1"/>
      <c r="QLQ240" s="1"/>
      <c r="QLR240" s="1"/>
      <c r="QLS240" s="1"/>
      <c r="QLT240" s="1"/>
      <c r="QLU240" s="1"/>
      <c r="QLV240" s="1"/>
      <c r="QLW240" s="1"/>
      <c r="QLX240" s="1"/>
      <c r="QLY240" s="1"/>
      <c r="QLZ240" s="1"/>
      <c r="QMA240" s="1"/>
      <c r="QMB240" s="1"/>
      <c r="QMC240" s="1"/>
      <c r="QMD240" s="1"/>
      <c r="QME240" s="1"/>
      <c r="QMF240" s="1"/>
      <c r="QMG240" s="1"/>
      <c r="QMH240" s="1"/>
      <c r="QMI240" s="1"/>
      <c r="QMJ240" s="1"/>
      <c r="QMK240" s="1"/>
      <c r="QML240" s="1"/>
      <c r="QMM240" s="1"/>
      <c r="QMN240" s="1"/>
      <c r="QMO240" s="1"/>
      <c r="QMP240" s="1"/>
      <c r="QMQ240" s="1"/>
      <c r="QMR240" s="1"/>
      <c r="QMS240" s="1"/>
      <c r="QMT240" s="1"/>
      <c r="QMU240" s="1"/>
      <c r="QMV240" s="1"/>
      <c r="QMW240" s="1"/>
      <c r="QMX240" s="1"/>
      <c r="QMY240" s="1"/>
      <c r="QMZ240" s="1"/>
      <c r="QNA240" s="1"/>
      <c r="QNB240" s="1"/>
      <c r="QNC240" s="1"/>
      <c r="QND240" s="1"/>
      <c r="QNE240" s="1"/>
      <c r="QNF240" s="1"/>
      <c r="QNG240" s="1"/>
      <c r="QNH240" s="1"/>
      <c r="QNI240" s="1"/>
      <c r="QNJ240" s="1"/>
      <c r="QNK240" s="1"/>
      <c r="QNL240" s="1"/>
      <c r="QNM240" s="1"/>
      <c r="QNN240" s="1"/>
      <c r="QNO240" s="1"/>
      <c r="QNP240" s="1"/>
      <c r="QNQ240" s="1"/>
      <c r="QNR240" s="1"/>
      <c r="QNS240" s="1"/>
      <c r="QNT240" s="1"/>
      <c r="QNU240" s="1"/>
      <c r="QNV240" s="1"/>
      <c r="QNW240" s="1"/>
      <c r="QNX240" s="1"/>
      <c r="QNY240" s="1"/>
      <c r="QNZ240" s="1"/>
      <c r="QOA240" s="1"/>
      <c r="QOB240" s="1"/>
      <c r="QOC240" s="1"/>
      <c r="QOD240" s="1"/>
      <c r="QOE240" s="1"/>
      <c r="QOF240" s="1"/>
      <c r="QOG240" s="1"/>
      <c r="QOH240" s="1"/>
      <c r="QOI240" s="1"/>
      <c r="QOJ240" s="1"/>
      <c r="QOK240" s="1"/>
      <c r="QOL240" s="1"/>
      <c r="QOM240" s="1"/>
      <c r="QON240" s="1"/>
      <c r="QOO240" s="1"/>
      <c r="QOP240" s="1"/>
      <c r="QOQ240" s="1"/>
      <c r="QOR240" s="1"/>
      <c r="QOS240" s="1"/>
      <c r="QOT240" s="1"/>
      <c r="QOU240" s="1"/>
      <c r="QOV240" s="1"/>
      <c r="QOW240" s="1"/>
      <c r="QOX240" s="1"/>
      <c r="QOY240" s="1"/>
      <c r="QOZ240" s="1"/>
      <c r="QPA240" s="1"/>
      <c r="QPB240" s="1"/>
      <c r="QPC240" s="1"/>
      <c r="QPD240" s="1"/>
      <c r="QPE240" s="1"/>
      <c r="QPF240" s="1"/>
      <c r="QPG240" s="1"/>
      <c r="QPH240" s="1"/>
      <c r="QPI240" s="1"/>
      <c r="QPJ240" s="1"/>
      <c r="QPK240" s="1"/>
      <c r="QPL240" s="1"/>
      <c r="QPM240" s="1"/>
      <c r="QPN240" s="1"/>
      <c r="QPO240" s="1"/>
      <c r="QPP240" s="1"/>
      <c r="QPQ240" s="1"/>
      <c r="QPR240" s="1"/>
      <c r="QPS240" s="1"/>
      <c r="QPT240" s="1"/>
      <c r="QPU240" s="1"/>
      <c r="QPV240" s="1"/>
      <c r="QPW240" s="1"/>
      <c r="QPX240" s="1"/>
      <c r="QPY240" s="1"/>
      <c r="QPZ240" s="1"/>
      <c r="QQA240" s="1"/>
      <c r="QQB240" s="1"/>
      <c r="QQC240" s="1"/>
      <c r="QQD240" s="1"/>
      <c r="QQE240" s="1"/>
      <c r="QQF240" s="1"/>
      <c r="QQG240" s="1"/>
      <c r="QQH240" s="1"/>
      <c r="QQI240" s="1"/>
      <c r="QQJ240" s="1"/>
      <c r="QQK240" s="1"/>
      <c r="QQL240" s="1"/>
      <c r="QQM240" s="1"/>
      <c r="QQN240" s="1"/>
      <c r="QQO240" s="1"/>
      <c r="QQP240" s="1"/>
      <c r="QQQ240" s="1"/>
      <c r="QQR240" s="1"/>
      <c r="QQS240" s="1"/>
      <c r="QQT240" s="1"/>
      <c r="QQU240" s="1"/>
      <c r="QQV240" s="1"/>
      <c r="QQW240" s="1"/>
      <c r="QQX240" s="1"/>
      <c r="QQY240" s="1"/>
      <c r="QQZ240" s="1"/>
      <c r="QRA240" s="1"/>
      <c r="QRB240" s="1"/>
      <c r="QRC240" s="1"/>
      <c r="QRD240" s="1"/>
      <c r="QRE240" s="1"/>
      <c r="QRF240" s="1"/>
      <c r="QRG240" s="1"/>
      <c r="QRH240" s="1"/>
      <c r="QRI240" s="1"/>
      <c r="QRJ240" s="1"/>
      <c r="QRK240" s="1"/>
      <c r="QRL240" s="1"/>
      <c r="QRM240" s="1"/>
      <c r="QRN240" s="1"/>
      <c r="QRO240" s="1"/>
      <c r="QRP240" s="1"/>
      <c r="QRQ240" s="1"/>
      <c r="QRR240" s="1"/>
      <c r="QRS240" s="1"/>
      <c r="QRT240" s="1"/>
      <c r="QRU240" s="1"/>
      <c r="QRV240" s="1"/>
      <c r="QRW240" s="1"/>
      <c r="QRX240" s="1"/>
      <c r="QRY240" s="1"/>
      <c r="QRZ240" s="1"/>
      <c r="QSA240" s="1"/>
      <c r="QSB240" s="1"/>
      <c r="QSC240" s="1"/>
      <c r="QSD240" s="1"/>
      <c r="QSE240" s="1"/>
      <c r="QSF240" s="1"/>
      <c r="QSG240" s="1"/>
      <c r="QSH240" s="1"/>
      <c r="QSI240" s="1"/>
      <c r="QSJ240" s="1"/>
      <c r="QSK240" s="1"/>
      <c r="QSL240" s="1"/>
      <c r="QSM240" s="1"/>
      <c r="QSN240" s="1"/>
      <c r="QSO240" s="1"/>
      <c r="QSP240" s="1"/>
      <c r="QSQ240" s="1"/>
      <c r="QSR240" s="1"/>
      <c r="QSS240" s="1"/>
      <c r="QST240" s="1"/>
      <c r="QSU240" s="1"/>
      <c r="QSV240" s="1"/>
      <c r="QSW240" s="1"/>
      <c r="QSX240" s="1"/>
      <c r="QSY240" s="1"/>
      <c r="QSZ240" s="1"/>
      <c r="QTA240" s="1"/>
      <c r="QTB240" s="1"/>
      <c r="QTC240" s="1"/>
      <c r="QTD240" s="1"/>
      <c r="QTE240" s="1"/>
      <c r="QTF240" s="1"/>
      <c r="QTG240" s="1"/>
      <c r="QTH240" s="1"/>
      <c r="QTI240" s="1"/>
      <c r="QTJ240" s="1"/>
      <c r="QTK240" s="1"/>
      <c r="QTL240" s="1"/>
      <c r="QTM240" s="1"/>
      <c r="QTN240" s="1"/>
      <c r="QTO240" s="1"/>
      <c r="QTP240" s="1"/>
      <c r="QTQ240" s="1"/>
      <c r="QTR240" s="1"/>
      <c r="QTS240" s="1"/>
      <c r="QTT240" s="1"/>
      <c r="QTU240" s="1"/>
      <c r="QTV240" s="1"/>
      <c r="QTW240" s="1"/>
      <c r="QTX240" s="1"/>
      <c r="QTY240" s="1"/>
      <c r="QTZ240" s="1"/>
      <c r="QUA240" s="1"/>
      <c r="QUB240" s="1"/>
      <c r="QUC240" s="1"/>
      <c r="QUD240" s="1"/>
      <c r="QUE240" s="1"/>
      <c r="QUF240" s="1"/>
      <c r="QUG240" s="1"/>
      <c r="QUH240" s="1"/>
      <c r="QUI240" s="1"/>
      <c r="QUJ240" s="1"/>
      <c r="QUK240" s="1"/>
      <c r="QUL240" s="1"/>
      <c r="QUM240" s="1"/>
      <c r="QUN240" s="1"/>
      <c r="QUO240" s="1"/>
      <c r="QUP240" s="1"/>
      <c r="QUQ240" s="1"/>
      <c r="QUR240" s="1"/>
      <c r="QUS240" s="1"/>
      <c r="QUT240" s="1"/>
      <c r="QUU240" s="1"/>
      <c r="QUV240" s="1"/>
      <c r="QUW240" s="1"/>
      <c r="QUX240" s="1"/>
      <c r="QUY240" s="1"/>
      <c r="QUZ240" s="1"/>
      <c r="QVA240" s="1"/>
      <c r="QVB240" s="1"/>
      <c r="QVC240" s="1"/>
      <c r="QVD240" s="1"/>
      <c r="QVE240" s="1"/>
      <c r="QVF240" s="1"/>
      <c r="QVG240" s="1"/>
      <c r="QVH240" s="1"/>
      <c r="QVI240" s="1"/>
      <c r="QVJ240" s="1"/>
      <c r="QVK240" s="1"/>
      <c r="QVL240" s="1"/>
      <c r="QVM240" s="1"/>
      <c r="QVN240" s="1"/>
      <c r="QVO240" s="1"/>
      <c r="QVP240" s="1"/>
      <c r="QVQ240" s="1"/>
      <c r="QVR240" s="1"/>
      <c r="QVS240" s="1"/>
      <c r="QVT240" s="1"/>
      <c r="QVU240" s="1"/>
      <c r="QVV240" s="1"/>
      <c r="QVW240" s="1"/>
      <c r="QVX240" s="1"/>
      <c r="QVY240" s="1"/>
      <c r="QVZ240" s="1"/>
      <c r="QWA240" s="1"/>
      <c r="QWB240" s="1"/>
      <c r="QWC240" s="1"/>
      <c r="QWD240" s="1"/>
      <c r="QWE240" s="1"/>
      <c r="QWF240" s="1"/>
      <c r="QWG240" s="1"/>
      <c r="QWH240" s="1"/>
      <c r="QWI240" s="1"/>
      <c r="QWJ240" s="1"/>
      <c r="QWK240" s="1"/>
      <c r="QWL240" s="1"/>
      <c r="QWM240" s="1"/>
      <c r="QWN240" s="1"/>
      <c r="QWO240" s="1"/>
      <c r="QWP240" s="1"/>
      <c r="QWQ240" s="1"/>
      <c r="QWR240" s="1"/>
      <c r="QWS240" s="1"/>
      <c r="QWT240" s="1"/>
      <c r="QWU240" s="1"/>
      <c r="QWV240" s="1"/>
      <c r="QWW240" s="1"/>
      <c r="QWX240" s="1"/>
      <c r="QWY240" s="1"/>
      <c r="QWZ240" s="1"/>
      <c r="QXA240" s="1"/>
      <c r="QXB240" s="1"/>
      <c r="QXC240" s="1"/>
      <c r="QXD240" s="1"/>
      <c r="QXE240" s="1"/>
      <c r="QXF240" s="1"/>
      <c r="QXG240" s="1"/>
      <c r="QXH240" s="1"/>
      <c r="QXI240" s="1"/>
      <c r="QXJ240" s="1"/>
      <c r="QXK240" s="1"/>
      <c r="QXL240" s="1"/>
      <c r="QXM240" s="1"/>
      <c r="QXN240" s="1"/>
      <c r="QXO240" s="1"/>
      <c r="QXP240" s="1"/>
      <c r="QXQ240" s="1"/>
      <c r="QXR240" s="1"/>
      <c r="QXS240" s="1"/>
      <c r="QXT240" s="1"/>
      <c r="QXU240" s="1"/>
      <c r="QXV240" s="1"/>
      <c r="QXW240" s="1"/>
      <c r="QXX240" s="1"/>
      <c r="QXY240" s="1"/>
      <c r="QXZ240" s="1"/>
      <c r="QYA240" s="1"/>
      <c r="QYB240" s="1"/>
      <c r="QYC240" s="1"/>
      <c r="QYD240" s="1"/>
      <c r="QYE240" s="1"/>
      <c r="QYF240" s="1"/>
      <c r="QYG240" s="1"/>
      <c r="QYH240" s="1"/>
      <c r="QYI240" s="1"/>
      <c r="QYJ240" s="1"/>
      <c r="QYK240" s="1"/>
      <c r="QYL240" s="1"/>
      <c r="QYM240" s="1"/>
      <c r="QYN240" s="1"/>
      <c r="QYO240" s="1"/>
      <c r="QYP240" s="1"/>
      <c r="QYQ240" s="1"/>
      <c r="QYR240" s="1"/>
      <c r="QYS240" s="1"/>
      <c r="QYT240" s="1"/>
      <c r="QYU240" s="1"/>
      <c r="QYV240" s="1"/>
      <c r="QYW240" s="1"/>
      <c r="QYX240" s="1"/>
      <c r="QYY240" s="1"/>
      <c r="QYZ240" s="1"/>
      <c r="QZA240" s="1"/>
      <c r="QZB240" s="1"/>
      <c r="QZC240" s="1"/>
      <c r="QZD240" s="1"/>
      <c r="QZE240" s="1"/>
      <c r="QZF240" s="1"/>
      <c r="QZG240" s="1"/>
      <c r="QZH240" s="1"/>
      <c r="QZI240" s="1"/>
      <c r="QZJ240" s="1"/>
      <c r="QZK240" s="1"/>
      <c r="QZL240" s="1"/>
      <c r="QZM240" s="1"/>
      <c r="QZN240" s="1"/>
      <c r="QZO240" s="1"/>
      <c r="QZP240" s="1"/>
      <c r="QZQ240" s="1"/>
      <c r="QZR240" s="1"/>
      <c r="QZS240" s="1"/>
      <c r="QZT240" s="1"/>
      <c r="QZU240" s="1"/>
      <c r="QZV240" s="1"/>
      <c r="QZW240" s="1"/>
      <c r="QZX240" s="1"/>
      <c r="QZY240" s="1"/>
      <c r="QZZ240" s="1"/>
      <c r="RAA240" s="1"/>
      <c r="RAB240" s="1"/>
      <c r="RAC240" s="1"/>
      <c r="RAD240" s="1"/>
      <c r="RAE240" s="1"/>
      <c r="RAF240" s="1"/>
      <c r="RAG240" s="1"/>
      <c r="RAH240" s="1"/>
      <c r="RAI240" s="1"/>
      <c r="RAJ240" s="1"/>
      <c r="RAK240" s="1"/>
      <c r="RAL240" s="1"/>
      <c r="RAM240" s="1"/>
      <c r="RAN240" s="1"/>
      <c r="RAO240" s="1"/>
      <c r="RAP240" s="1"/>
      <c r="RAQ240" s="1"/>
      <c r="RAR240" s="1"/>
      <c r="RAS240" s="1"/>
      <c r="RAT240" s="1"/>
      <c r="RAU240" s="1"/>
      <c r="RAV240" s="1"/>
      <c r="RAW240" s="1"/>
      <c r="RAX240" s="1"/>
      <c r="RAY240" s="1"/>
      <c r="RAZ240" s="1"/>
      <c r="RBA240" s="1"/>
      <c r="RBB240" s="1"/>
      <c r="RBC240" s="1"/>
      <c r="RBD240" s="1"/>
      <c r="RBE240" s="1"/>
      <c r="RBF240" s="1"/>
      <c r="RBG240" s="1"/>
      <c r="RBH240" s="1"/>
      <c r="RBI240" s="1"/>
      <c r="RBJ240" s="1"/>
      <c r="RBK240" s="1"/>
      <c r="RBL240" s="1"/>
      <c r="RBM240" s="1"/>
      <c r="RBN240" s="1"/>
      <c r="RBO240" s="1"/>
      <c r="RBP240" s="1"/>
      <c r="RBQ240" s="1"/>
      <c r="RBR240" s="1"/>
      <c r="RBS240" s="1"/>
      <c r="RBT240" s="1"/>
      <c r="RBU240" s="1"/>
      <c r="RBV240" s="1"/>
      <c r="RBW240" s="1"/>
      <c r="RBX240" s="1"/>
      <c r="RBY240" s="1"/>
      <c r="RBZ240" s="1"/>
      <c r="RCA240" s="1"/>
      <c r="RCB240" s="1"/>
      <c r="RCC240" s="1"/>
      <c r="RCD240" s="1"/>
      <c r="RCE240" s="1"/>
      <c r="RCF240" s="1"/>
      <c r="RCG240" s="1"/>
      <c r="RCH240" s="1"/>
      <c r="RCI240" s="1"/>
      <c r="RCJ240" s="1"/>
      <c r="RCK240" s="1"/>
      <c r="RCL240" s="1"/>
      <c r="RCM240" s="1"/>
      <c r="RCN240" s="1"/>
      <c r="RCO240" s="1"/>
      <c r="RCP240" s="1"/>
      <c r="RCQ240" s="1"/>
      <c r="RCR240" s="1"/>
      <c r="RCS240" s="1"/>
      <c r="RCT240" s="1"/>
      <c r="RCU240" s="1"/>
      <c r="RCV240" s="1"/>
      <c r="RCW240" s="1"/>
      <c r="RCX240" s="1"/>
      <c r="RCY240" s="1"/>
      <c r="RCZ240" s="1"/>
      <c r="RDA240" s="1"/>
      <c r="RDB240" s="1"/>
      <c r="RDC240" s="1"/>
      <c r="RDD240" s="1"/>
      <c r="RDE240" s="1"/>
      <c r="RDF240" s="1"/>
      <c r="RDG240" s="1"/>
      <c r="RDH240" s="1"/>
      <c r="RDI240" s="1"/>
      <c r="RDJ240" s="1"/>
      <c r="RDK240" s="1"/>
      <c r="RDL240" s="1"/>
      <c r="RDM240" s="1"/>
      <c r="RDN240" s="1"/>
      <c r="RDO240" s="1"/>
      <c r="RDP240" s="1"/>
      <c r="RDQ240" s="1"/>
      <c r="RDR240" s="1"/>
      <c r="RDS240" s="1"/>
      <c r="RDT240" s="1"/>
      <c r="RDU240" s="1"/>
      <c r="RDV240" s="1"/>
      <c r="RDW240" s="1"/>
      <c r="RDX240" s="1"/>
      <c r="RDY240" s="1"/>
      <c r="RDZ240" s="1"/>
      <c r="REA240" s="1"/>
      <c r="REB240" s="1"/>
      <c r="REC240" s="1"/>
      <c r="RED240" s="1"/>
      <c r="REE240" s="1"/>
      <c r="REF240" s="1"/>
      <c r="REG240" s="1"/>
      <c r="REH240" s="1"/>
      <c r="REI240" s="1"/>
      <c r="REJ240" s="1"/>
      <c r="REK240" s="1"/>
      <c r="REL240" s="1"/>
      <c r="REM240" s="1"/>
      <c r="REN240" s="1"/>
      <c r="REO240" s="1"/>
      <c r="REP240" s="1"/>
      <c r="REQ240" s="1"/>
      <c r="RER240" s="1"/>
      <c r="RES240" s="1"/>
      <c r="RET240" s="1"/>
      <c r="REU240" s="1"/>
      <c r="REV240" s="1"/>
      <c r="REW240" s="1"/>
      <c r="REX240" s="1"/>
      <c r="REY240" s="1"/>
      <c r="REZ240" s="1"/>
      <c r="RFA240" s="1"/>
      <c r="RFB240" s="1"/>
      <c r="RFC240" s="1"/>
      <c r="RFD240" s="1"/>
      <c r="RFE240" s="1"/>
      <c r="RFF240" s="1"/>
      <c r="RFG240" s="1"/>
      <c r="RFH240" s="1"/>
      <c r="RFI240" s="1"/>
      <c r="RFJ240" s="1"/>
      <c r="RFK240" s="1"/>
      <c r="RFL240" s="1"/>
      <c r="RFM240" s="1"/>
      <c r="RFN240" s="1"/>
      <c r="RFO240" s="1"/>
      <c r="RFP240" s="1"/>
      <c r="RFQ240" s="1"/>
      <c r="RFR240" s="1"/>
      <c r="RFS240" s="1"/>
      <c r="RFT240" s="1"/>
      <c r="RFU240" s="1"/>
      <c r="RFV240" s="1"/>
      <c r="RFW240" s="1"/>
      <c r="RFX240" s="1"/>
      <c r="RFY240" s="1"/>
      <c r="RFZ240" s="1"/>
      <c r="RGA240" s="1"/>
      <c r="RGB240" s="1"/>
      <c r="RGC240" s="1"/>
      <c r="RGD240" s="1"/>
      <c r="RGE240" s="1"/>
      <c r="RGF240" s="1"/>
      <c r="RGG240" s="1"/>
      <c r="RGH240" s="1"/>
      <c r="RGI240" s="1"/>
      <c r="RGJ240" s="1"/>
      <c r="RGK240" s="1"/>
      <c r="RGL240" s="1"/>
      <c r="RGM240" s="1"/>
      <c r="RGN240" s="1"/>
      <c r="RGO240" s="1"/>
      <c r="RGP240" s="1"/>
      <c r="RGQ240" s="1"/>
      <c r="RGR240" s="1"/>
      <c r="RGS240" s="1"/>
      <c r="RGT240" s="1"/>
      <c r="RGU240" s="1"/>
      <c r="RGV240" s="1"/>
      <c r="RGW240" s="1"/>
      <c r="RGX240" s="1"/>
      <c r="RGY240" s="1"/>
      <c r="RGZ240" s="1"/>
      <c r="RHA240" s="1"/>
      <c r="RHB240" s="1"/>
      <c r="RHC240" s="1"/>
      <c r="RHD240" s="1"/>
      <c r="RHE240" s="1"/>
      <c r="RHF240" s="1"/>
      <c r="RHG240" s="1"/>
      <c r="RHH240" s="1"/>
      <c r="RHI240" s="1"/>
      <c r="RHJ240" s="1"/>
      <c r="RHK240" s="1"/>
      <c r="RHL240" s="1"/>
      <c r="RHM240" s="1"/>
      <c r="RHN240" s="1"/>
      <c r="RHO240" s="1"/>
      <c r="RHP240" s="1"/>
      <c r="RHQ240" s="1"/>
      <c r="RHR240" s="1"/>
      <c r="RHS240" s="1"/>
      <c r="RHT240" s="1"/>
      <c r="RHU240" s="1"/>
      <c r="RHV240" s="1"/>
      <c r="RHW240" s="1"/>
      <c r="RHX240" s="1"/>
      <c r="RHY240" s="1"/>
      <c r="RHZ240" s="1"/>
      <c r="RIA240" s="1"/>
      <c r="RIB240" s="1"/>
      <c r="RIC240" s="1"/>
      <c r="RID240" s="1"/>
      <c r="RIE240" s="1"/>
      <c r="RIF240" s="1"/>
      <c r="RIG240" s="1"/>
      <c r="RIH240" s="1"/>
      <c r="RII240" s="1"/>
      <c r="RIJ240" s="1"/>
      <c r="RIK240" s="1"/>
      <c r="RIL240" s="1"/>
      <c r="RIM240" s="1"/>
      <c r="RIN240" s="1"/>
      <c r="RIO240" s="1"/>
      <c r="RIP240" s="1"/>
      <c r="RIQ240" s="1"/>
      <c r="RIR240" s="1"/>
      <c r="RIS240" s="1"/>
      <c r="RIT240" s="1"/>
      <c r="RIU240" s="1"/>
      <c r="RIV240" s="1"/>
      <c r="RIW240" s="1"/>
      <c r="RIX240" s="1"/>
      <c r="RIY240" s="1"/>
      <c r="RIZ240" s="1"/>
      <c r="RJA240" s="1"/>
      <c r="RJB240" s="1"/>
      <c r="RJC240" s="1"/>
      <c r="RJD240" s="1"/>
      <c r="RJE240" s="1"/>
      <c r="RJF240" s="1"/>
      <c r="RJG240" s="1"/>
      <c r="RJH240" s="1"/>
      <c r="RJI240" s="1"/>
      <c r="RJJ240" s="1"/>
      <c r="RJK240" s="1"/>
      <c r="RJL240" s="1"/>
      <c r="RJM240" s="1"/>
      <c r="RJN240" s="1"/>
      <c r="RJO240" s="1"/>
      <c r="RJP240" s="1"/>
      <c r="RJQ240" s="1"/>
      <c r="RJR240" s="1"/>
      <c r="RJS240" s="1"/>
      <c r="RJT240" s="1"/>
      <c r="RJU240" s="1"/>
      <c r="RJV240" s="1"/>
      <c r="RJW240" s="1"/>
      <c r="RJX240" s="1"/>
      <c r="RJY240" s="1"/>
      <c r="RJZ240" s="1"/>
      <c r="RKA240" s="1"/>
      <c r="RKB240" s="1"/>
      <c r="RKC240" s="1"/>
      <c r="RKD240" s="1"/>
      <c r="RKE240" s="1"/>
      <c r="RKF240" s="1"/>
      <c r="RKG240" s="1"/>
      <c r="RKH240" s="1"/>
      <c r="RKI240" s="1"/>
      <c r="RKJ240" s="1"/>
      <c r="RKK240" s="1"/>
      <c r="RKL240" s="1"/>
      <c r="RKM240" s="1"/>
      <c r="RKN240" s="1"/>
      <c r="RKO240" s="1"/>
      <c r="RKP240" s="1"/>
      <c r="RKQ240" s="1"/>
      <c r="RKR240" s="1"/>
      <c r="RKS240" s="1"/>
      <c r="RKT240" s="1"/>
      <c r="RKU240" s="1"/>
      <c r="RKV240" s="1"/>
      <c r="RKW240" s="1"/>
      <c r="RKX240" s="1"/>
      <c r="RKY240" s="1"/>
      <c r="RKZ240" s="1"/>
      <c r="RLA240" s="1"/>
      <c r="RLB240" s="1"/>
      <c r="RLC240" s="1"/>
      <c r="RLD240" s="1"/>
      <c r="RLE240" s="1"/>
      <c r="RLF240" s="1"/>
      <c r="RLG240" s="1"/>
      <c r="RLH240" s="1"/>
      <c r="RLI240" s="1"/>
      <c r="RLJ240" s="1"/>
      <c r="RLK240" s="1"/>
      <c r="RLL240" s="1"/>
      <c r="RLM240" s="1"/>
      <c r="RLN240" s="1"/>
      <c r="RLO240" s="1"/>
      <c r="RLP240" s="1"/>
      <c r="RLQ240" s="1"/>
      <c r="RLR240" s="1"/>
      <c r="RLS240" s="1"/>
      <c r="RLT240" s="1"/>
      <c r="RLU240" s="1"/>
      <c r="RLV240" s="1"/>
      <c r="RLW240" s="1"/>
      <c r="RLX240" s="1"/>
      <c r="RLY240" s="1"/>
      <c r="RLZ240" s="1"/>
      <c r="RMA240" s="1"/>
      <c r="RMB240" s="1"/>
      <c r="RMC240" s="1"/>
      <c r="RMD240" s="1"/>
      <c r="RME240" s="1"/>
      <c r="RMF240" s="1"/>
      <c r="RMG240" s="1"/>
      <c r="RMH240" s="1"/>
      <c r="RMI240" s="1"/>
      <c r="RMJ240" s="1"/>
      <c r="RMK240" s="1"/>
      <c r="RML240" s="1"/>
      <c r="RMM240" s="1"/>
      <c r="RMN240" s="1"/>
      <c r="RMO240" s="1"/>
      <c r="RMP240" s="1"/>
      <c r="RMQ240" s="1"/>
      <c r="RMR240" s="1"/>
      <c r="RMS240" s="1"/>
      <c r="RMT240" s="1"/>
      <c r="RMU240" s="1"/>
      <c r="RMV240" s="1"/>
      <c r="RMW240" s="1"/>
      <c r="RMX240" s="1"/>
      <c r="RMY240" s="1"/>
      <c r="RMZ240" s="1"/>
      <c r="RNA240" s="1"/>
      <c r="RNB240" s="1"/>
      <c r="RNC240" s="1"/>
      <c r="RND240" s="1"/>
      <c r="RNE240" s="1"/>
      <c r="RNF240" s="1"/>
      <c r="RNG240" s="1"/>
      <c r="RNH240" s="1"/>
      <c r="RNI240" s="1"/>
      <c r="RNJ240" s="1"/>
      <c r="RNK240" s="1"/>
      <c r="RNL240" s="1"/>
      <c r="RNM240" s="1"/>
      <c r="RNN240" s="1"/>
      <c r="RNO240" s="1"/>
      <c r="RNP240" s="1"/>
      <c r="RNQ240" s="1"/>
      <c r="RNR240" s="1"/>
      <c r="RNS240" s="1"/>
      <c r="RNT240" s="1"/>
      <c r="RNU240" s="1"/>
      <c r="RNV240" s="1"/>
      <c r="RNW240" s="1"/>
      <c r="RNX240" s="1"/>
      <c r="RNY240" s="1"/>
      <c r="RNZ240" s="1"/>
      <c r="ROA240" s="1"/>
      <c r="ROB240" s="1"/>
      <c r="ROC240" s="1"/>
      <c r="ROD240" s="1"/>
      <c r="ROE240" s="1"/>
      <c r="ROF240" s="1"/>
      <c r="ROG240" s="1"/>
      <c r="ROH240" s="1"/>
      <c r="ROI240" s="1"/>
      <c r="ROJ240" s="1"/>
      <c r="ROK240" s="1"/>
      <c r="ROL240" s="1"/>
      <c r="ROM240" s="1"/>
      <c r="RON240" s="1"/>
      <c r="ROO240" s="1"/>
      <c r="ROP240" s="1"/>
      <c r="ROQ240" s="1"/>
      <c r="ROR240" s="1"/>
      <c r="ROS240" s="1"/>
      <c r="ROT240" s="1"/>
      <c r="ROU240" s="1"/>
      <c r="ROV240" s="1"/>
      <c r="ROW240" s="1"/>
      <c r="ROX240" s="1"/>
      <c r="ROY240" s="1"/>
      <c r="ROZ240" s="1"/>
      <c r="RPA240" s="1"/>
      <c r="RPB240" s="1"/>
      <c r="RPC240" s="1"/>
      <c r="RPD240" s="1"/>
      <c r="RPE240" s="1"/>
      <c r="RPF240" s="1"/>
      <c r="RPG240" s="1"/>
      <c r="RPH240" s="1"/>
      <c r="RPI240" s="1"/>
      <c r="RPJ240" s="1"/>
      <c r="RPK240" s="1"/>
      <c r="RPL240" s="1"/>
      <c r="RPM240" s="1"/>
      <c r="RPN240" s="1"/>
      <c r="RPO240" s="1"/>
      <c r="RPP240" s="1"/>
      <c r="RPQ240" s="1"/>
      <c r="RPR240" s="1"/>
      <c r="RPS240" s="1"/>
      <c r="RPT240" s="1"/>
      <c r="RPU240" s="1"/>
      <c r="RPV240" s="1"/>
      <c r="RPW240" s="1"/>
      <c r="RPX240" s="1"/>
      <c r="RPY240" s="1"/>
      <c r="RPZ240" s="1"/>
      <c r="RQA240" s="1"/>
      <c r="RQB240" s="1"/>
      <c r="RQC240" s="1"/>
      <c r="RQD240" s="1"/>
      <c r="RQE240" s="1"/>
      <c r="RQF240" s="1"/>
      <c r="RQG240" s="1"/>
      <c r="RQH240" s="1"/>
      <c r="RQI240" s="1"/>
      <c r="RQJ240" s="1"/>
      <c r="RQK240" s="1"/>
      <c r="RQL240" s="1"/>
      <c r="RQM240" s="1"/>
      <c r="RQN240" s="1"/>
      <c r="RQO240" s="1"/>
      <c r="RQP240" s="1"/>
      <c r="RQQ240" s="1"/>
      <c r="RQR240" s="1"/>
      <c r="RQS240" s="1"/>
      <c r="RQT240" s="1"/>
      <c r="RQU240" s="1"/>
      <c r="RQV240" s="1"/>
      <c r="RQW240" s="1"/>
      <c r="RQX240" s="1"/>
      <c r="RQY240" s="1"/>
      <c r="RQZ240" s="1"/>
      <c r="RRA240" s="1"/>
      <c r="RRB240" s="1"/>
      <c r="RRC240" s="1"/>
      <c r="RRD240" s="1"/>
      <c r="RRE240" s="1"/>
      <c r="RRF240" s="1"/>
      <c r="RRG240" s="1"/>
      <c r="RRH240" s="1"/>
      <c r="RRI240" s="1"/>
      <c r="RRJ240" s="1"/>
      <c r="RRK240" s="1"/>
      <c r="RRL240" s="1"/>
      <c r="RRM240" s="1"/>
      <c r="RRN240" s="1"/>
      <c r="RRO240" s="1"/>
      <c r="RRP240" s="1"/>
      <c r="RRQ240" s="1"/>
      <c r="RRR240" s="1"/>
      <c r="RRS240" s="1"/>
      <c r="RRT240" s="1"/>
      <c r="RRU240" s="1"/>
      <c r="RRV240" s="1"/>
      <c r="RRW240" s="1"/>
      <c r="RRX240" s="1"/>
      <c r="RRY240" s="1"/>
      <c r="RRZ240" s="1"/>
      <c r="RSA240" s="1"/>
      <c r="RSB240" s="1"/>
      <c r="RSC240" s="1"/>
      <c r="RSD240" s="1"/>
      <c r="RSE240" s="1"/>
      <c r="RSF240" s="1"/>
      <c r="RSG240" s="1"/>
      <c r="RSH240" s="1"/>
      <c r="RSI240" s="1"/>
      <c r="RSJ240" s="1"/>
      <c r="RSK240" s="1"/>
      <c r="RSL240" s="1"/>
      <c r="RSM240" s="1"/>
      <c r="RSN240" s="1"/>
      <c r="RSO240" s="1"/>
      <c r="RSP240" s="1"/>
      <c r="RSQ240" s="1"/>
      <c r="RSR240" s="1"/>
      <c r="RSS240" s="1"/>
      <c r="RST240" s="1"/>
      <c r="RSU240" s="1"/>
      <c r="RSV240" s="1"/>
      <c r="RSW240" s="1"/>
      <c r="RSX240" s="1"/>
      <c r="RSY240" s="1"/>
      <c r="RSZ240" s="1"/>
      <c r="RTA240" s="1"/>
      <c r="RTB240" s="1"/>
      <c r="RTC240" s="1"/>
      <c r="RTD240" s="1"/>
      <c r="RTE240" s="1"/>
      <c r="RTF240" s="1"/>
      <c r="RTG240" s="1"/>
      <c r="RTH240" s="1"/>
      <c r="RTI240" s="1"/>
      <c r="RTJ240" s="1"/>
      <c r="RTK240" s="1"/>
      <c r="RTL240" s="1"/>
      <c r="RTM240" s="1"/>
      <c r="RTN240" s="1"/>
      <c r="RTO240" s="1"/>
      <c r="RTP240" s="1"/>
      <c r="RTQ240" s="1"/>
      <c r="RTR240" s="1"/>
      <c r="RTS240" s="1"/>
      <c r="RTT240" s="1"/>
      <c r="RTU240" s="1"/>
      <c r="RTV240" s="1"/>
      <c r="RTW240" s="1"/>
      <c r="RTX240" s="1"/>
      <c r="RTY240" s="1"/>
      <c r="RTZ240" s="1"/>
      <c r="RUA240" s="1"/>
      <c r="RUB240" s="1"/>
      <c r="RUC240" s="1"/>
      <c r="RUD240" s="1"/>
      <c r="RUE240" s="1"/>
      <c r="RUF240" s="1"/>
      <c r="RUG240" s="1"/>
      <c r="RUH240" s="1"/>
      <c r="RUI240" s="1"/>
      <c r="RUJ240" s="1"/>
      <c r="RUK240" s="1"/>
      <c r="RUL240" s="1"/>
      <c r="RUM240" s="1"/>
      <c r="RUN240" s="1"/>
      <c r="RUO240" s="1"/>
      <c r="RUP240" s="1"/>
      <c r="RUQ240" s="1"/>
      <c r="RUR240" s="1"/>
      <c r="RUS240" s="1"/>
      <c r="RUT240" s="1"/>
      <c r="RUU240" s="1"/>
      <c r="RUV240" s="1"/>
      <c r="RUW240" s="1"/>
      <c r="RUX240" s="1"/>
      <c r="RUY240" s="1"/>
      <c r="RUZ240" s="1"/>
      <c r="RVA240" s="1"/>
      <c r="RVB240" s="1"/>
      <c r="RVC240" s="1"/>
      <c r="RVD240" s="1"/>
      <c r="RVE240" s="1"/>
      <c r="RVF240" s="1"/>
      <c r="RVG240" s="1"/>
      <c r="RVH240" s="1"/>
      <c r="RVI240" s="1"/>
      <c r="RVJ240" s="1"/>
      <c r="RVK240" s="1"/>
      <c r="RVL240" s="1"/>
      <c r="RVM240" s="1"/>
      <c r="RVN240" s="1"/>
      <c r="RVO240" s="1"/>
      <c r="RVP240" s="1"/>
      <c r="RVQ240" s="1"/>
      <c r="RVR240" s="1"/>
      <c r="RVS240" s="1"/>
      <c r="RVT240" s="1"/>
      <c r="RVU240" s="1"/>
      <c r="RVV240" s="1"/>
      <c r="RVW240" s="1"/>
      <c r="RVX240" s="1"/>
      <c r="RVY240" s="1"/>
      <c r="RVZ240" s="1"/>
      <c r="RWA240" s="1"/>
      <c r="RWB240" s="1"/>
      <c r="RWC240" s="1"/>
      <c r="RWD240" s="1"/>
      <c r="RWE240" s="1"/>
      <c r="RWF240" s="1"/>
      <c r="RWG240" s="1"/>
      <c r="RWH240" s="1"/>
      <c r="RWI240" s="1"/>
      <c r="RWJ240" s="1"/>
      <c r="RWK240" s="1"/>
      <c r="RWL240" s="1"/>
      <c r="RWM240" s="1"/>
      <c r="RWN240" s="1"/>
      <c r="RWO240" s="1"/>
      <c r="RWP240" s="1"/>
      <c r="RWQ240" s="1"/>
      <c r="RWR240" s="1"/>
      <c r="RWS240" s="1"/>
      <c r="RWT240" s="1"/>
      <c r="RWU240" s="1"/>
      <c r="RWV240" s="1"/>
      <c r="RWW240" s="1"/>
      <c r="RWX240" s="1"/>
      <c r="RWY240" s="1"/>
      <c r="RWZ240" s="1"/>
      <c r="RXA240" s="1"/>
      <c r="RXB240" s="1"/>
      <c r="RXC240" s="1"/>
      <c r="RXD240" s="1"/>
      <c r="RXE240" s="1"/>
      <c r="RXF240" s="1"/>
      <c r="RXG240" s="1"/>
      <c r="RXH240" s="1"/>
      <c r="RXI240" s="1"/>
      <c r="RXJ240" s="1"/>
      <c r="RXK240" s="1"/>
      <c r="RXL240" s="1"/>
      <c r="RXM240" s="1"/>
      <c r="RXN240" s="1"/>
      <c r="RXO240" s="1"/>
      <c r="RXP240" s="1"/>
      <c r="RXQ240" s="1"/>
      <c r="RXR240" s="1"/>
      <c r="RXS240" s="1"/>
      <c r="RXT240" s="1"/>
      <c r="RXU240" s="1"/>
      <c r="RXV240" s="1"/>
      <c r="RXW240" s="1"/>
      <c r="RXX240" s="1"/>
      <c r="RXY240" s="1"/>
      <c r="RXZ240" s="1"/>
      <c r="RYA240" s="1"/>
      <c r="RYB240" s="1"/>
      <c r="RYC240" s="1"/>
      <c r="RYD240" s="1"/>
      <c r="RYE240" s="1"/>
      <c r="RYF240" s="1"/>
      <c r="RYG240" s="1"/>
      <c r="RYH240" s="1"/>
      <c r="RYI240" s="1"/>
      <c r="RYJ240" s="1"/>
      <c r="RYK240" s="1"/>
      <c r="RYL240" s="1"/>
      <c r="RYM240" s="1"/>
      <c r="RYN240" s="1"/>
      <c r="RYO240" s="1"/>
      <c r="RYP240" s="1"/>
      <c r="RYQ240" s="1"/>
      <c r="RYR240" s="1"/>
      <c r="RYS240" s="1"/>
      <c r="RYT240" s="1"/>
      <c r="RYU240" s="1"/>
      <c r="RYV240" s="1"/>
      <c r="RYW240" s="1"/>
      <c r="RYX240" s="1"/>
      <c r="RYY240" s="1"/>
      <c r="RYZ240" s="1"/>
      <c r="RZA240" s="1"/>
      <c r="RZB240" s="1"/>
      <c r="RZC240" s="1"/>
      <c r="RZD240" s="1"/>
      <c r="RZE240" s="1"/>
      <c r="RZF240" s="1"/>
      <c r="RZG240" s="1"/>
      <c r="RZH240" s="1"/>
      <c r="RZI240" s="1"/>
      <c r="RZJ240" s="1"/>
      <c r="RZK240" s="1"/>
      <c r="RZL240" s="1"/>
      <c r="RZM240" s="1"/>
      <c r="RZN240" s="1"/>
      <c r="RZO240" s="1"/>
      <c r="RZP240" s="1"/>
      <c r="RZQ240" s="1"/>
      <c r="RZR240" s="1"/>
      <c r="RZS240" s="1"/>
      <c r="RZT240" s="1"/>
      <c r="RZU240" s="1"/>
      <c r="RZV240" s="1"/>
      <c r="RZW240" s="1"/>
      <c r="RZX240" s="1"/>
      <c r="RZY240" s="1"/>
      <c r="RZZ240" s="1"/>
      <c r="SAA240" s="1"/>
      <c r="SAB240" s="1"/>
      <c r="SAC240" s="1"/>
      <c r="SAD240" s="1"/>
      <c r="SAE240" s="1"/>
      <c r="SAF240" s="1"/>
      <c r="SAG240" s="1"/>
      <c r="SAH240" s="1"/>
      <c r="SAI240" s="1"/>
      <c r="SAJ240" s="1"/>
      <c r="SAK240" s="1"/>
      <c r="SAL240" s="1"/>
      <c r="SAM240" s="1"/>
      <c r="SAN240" s="1"/>
      <c r="SAO240" s="1"/>
      <c r="SAP240" s="1"/>
      <c r="SAQ240" s="1"/>
      <c r="SAR240" s="1"/>
      <c r="SAS240" s="1"/>
      <c r="SAT240" s="1"/>
      <c r="SAU240" s="1"/>
      <c r="SAV240" s="1"/>
      <c r="SAW240" s="1"/>
      <c r="SAX240" s="1"/>
      <c r="SAY240" s="1"/>
      <c r="SAZ240" s="1"/>
      <c r="SBA240" s="1"/>
      <c r="SBB240" s="1"/>
      <c r="SBC240" s="1"/>
      <c r="SBD240" s="1"/>
      <c r="SBE240" s="1"/>
      <c r="SBF240" s="1"/>
      <c r="SBG240" s="1"/>
      <c r="SBH240" s="1"/>
      <c r="SBI240" s="1"/>
      <c r="SBJ240" s="1"/>
      <c r="SBK240" s="1"/>
      <c r="SBL240" s="1"/>
      <c r="SBM240" s="1"/>
      <c r="SBN240" s="1"/>
      <c r="SBO240" s="1"/>
      <c r="SBP240" s="1"/>
      <c r="SBQ240" s="1"/>
      <c r="SBR240" s="1"/>
      <c r="SBS240" s="1"/>
      <c r="SBT240" s="1"/>
      <c r="SBU240" s="1"/>
      <c r="SBV240" s="1"/>
      <c r="SBW240" s="1"/>
      <c r="SBX240" s="1"/>
      <c r="SBY240" s="1"/>
      <c r="SBZ240" s="1"/>
      <c r="SCA240" s="1"/>
      <c r="SCB240" s="1"/>
      <c r="SCC240" s="1"/>
      <c r="SCD240" s="1"/>
      <c r="SCE240" s="1"/>
      <c r="SCF240" s="1"/>
      <c r="SCG240" s="1"/>
      <c r="SCH240" s="1"/>
      <c r="SCI240" s="1"/>
      <c r="SCJ240" s="1"/>
      <c r="SCK240" s="1"/>
      <c r="SCL240" s="1"/>
      <c r="SCM240" s="1"/>
      <c r="SCN240" s="1"/>
      <c r="SCO240" s="1"/>
      <c r="SCP240" s="1"/>
      <c r="SCQ240" s="1"/>
      <c r="SCR240" s="1"/>
      <c r="SCS240" s="1"/>
      <c r="SCT240" s="1"/>
      <c r="SCU240" s="1"/>
      <c r="SCV240" s="1"/>
      <c r="SCW240" s="1"/>
      <c r="SCX240" s="1"/>
      <c r="SCY240" s="1"/>
      <c r="SCZ240" s="1"/>
      <c r="SDA240" s="1"/>
      <c r="SDB240" s="1"/>
      <c r="SDC240" s="1"/>
      <c r="SDD240" s="1"/>
      <c r="SDE240" s="1"/>
      <c r="SDF240" s="1"/>
      <c r="SDG240" s="1"/>
      <c r="SDH240" s="1"/>
      <c r="SDI240" s="1"/>
      <c r="SDJ240" s="1"/>
      <c r="SDK240" s="1"/>
      <c r="SDL240" s="1"/>
      <c r="SDM240" s="1"/>
      <c r="SDN240" s="1"/>
      <c r="SDO240" s="1"/>
      <c r="SDP240" s="1"/>
      <c r="SDQ240" s="1"/>
      <c r="SDR240" s="1"/>
      <c r="SDS240" s="1"/>
      <c r="SDT240" s="1"/>
      <c r="SDU240" s="1"/>
      <c r="SDV240" s="1"/>
      <c r="SDW240" s="1"/>
      <c r="SDX240" s="1"/>
      <c r="SDY240" s="1"/>
      <c r="SDZ240" s="1"/>
      <c r="SEA240" s="1"/>
      <c r="SEB240" s="1"/>
      <c r="SEC240" s="1"/>
      <c r="SED240" s="1"/>
      <c r="SEE240" s="1"/>
      <c r="SEF240" s="1"/>
      <c r="SEG240" s="1"/>
      <c r="SEH240" s="1"/>
      <c r="SEI240" s="1"/>
      <c r="SEJ240" s="1"/>
      <c r="SEK240" s="1"/>
      <c r="SEL240" s="1"/>
      <c r="SEM240" s="1"/>
      <c r="SEN240" s="1"/>
      <c r="SEO240" s="1"/>
      <c r="SEP240" s="1"/>
      <c r="SEQ240" s="1"/>
      <c r="SER240" s="1"/>
      <c r="SES240" s="1"/>
      <c r="SET240" s="1"/>
      <c r="SEU240" s="1"/>
      <c r="SEV240" s="1"/>
      <c r="SEW240" s="1"/>
      <c r="SEX240" s="1"/>
      <c r="SEY240" s="1"/>
      <c r="SEZ240" s="1"/>
      <c r="SFA240" s="1"/>
      <c r="SFB240" s="1"/>
      <c r="SFC240" s="1"/>
      <c r="SFD240" s="1"/>
      <c r="SFE240" s="1"/>
      <c r="SFF240" s="1"/>
      <c r="SFG240" s="1"/>
      <c r="SFH240" s="1"/>
      <c r="SFI240" s="1"/>
      <c r="SFJ240" s="1"/>
      <c r="SFK240" s="1"/>
      <c r="SFL240" s="1"/>
      <c r="SFM240" s="1"/>
      <c r="SFN240" s="1"/>
      <c r="SFO240" s="1"/>
      <c r="SFP240" s="1"/>
      <c r="SFQ240" s="1"/>
      <c r="SFR240" s="1"/>
      <c r="SFS240" s="1"/>
      <c r="SFT240" s="1"/>
      <c r="SFU240" s="1"/>
      <c r="SFV240" s="1"/>
      <c r="SFW240" s="1"/>
      <c r="SFX240" s="1"/>
      <c r="SFY240" s="1"/>
      <c r="SFZ240" s="1"/>
      <c r="SGA240" s="1"/>
      <c r="SGB240" s="1"/>
      <c r="SGC240" s="1"/>
      <c r="SGD240" s="1"/>
      <c r="SGE240" s="1"/>
      <c r="SGF240" s="1"/>
      <c r="SGG240" s="1"/>
      <c r="SGH240" s="1"/>
      <c r="SGI240" s="1"/>
      <c r="SGJ240" s="1"/>
      <c r="SGK240" s="1"/>
      <c r="SGL240" s="1"/>
      <c r="SGM240" s="1"/>
      <c r="SGN240" s="1"/>
      <c r="SGO240" s="1"/>
      <c r="SGP240" s="1"/>
      <c r="SGQ240" s="1"/>
      <c r="SGR240" s="1"/>
      <c r="SGS240" s="1"/>
      <c r="SGT240" s="1"/>
      <c r="SGU240" s="1"/>
      <c r="SGV240" s="1"/>
      <c r="SGW240" s="1"/>
      <c r="SGX240" s="1"/>
      <c r="SGY240" s="1"/>
      <c r="SGZ240" s="1"/>
      <c r="SHA240" s="1"/>
      <c r="SHB240" s="1"/>
      <c r="SHC240" s="1"/>
      <c r="SHD240" s="1"/>
      <c r="SHE240" s="1"/>
      <c r="SHF240" s="1"/>
      <c r="SHG240" s="1"/>
      <c r="SHH240" s="1"/>
      <c r="SHI240" s="1"/>
      <c r="SHJ240" s="1"/>
      <c r="SHK240" s="1"/>
      <c r="SHL240" s="1"/>
      <c r="SHM240" s="1"/>
      <c r="SHN240" s="1"/>
      <c r="SHO240" s="1"/>
      <c r="SHP240" s="1"/>
      <c r="SHQ240" s="1"/>
      <c r="SHR240" s="1"/>
      <c r="SHS240" s="1"/>
      <c r="SHT240" s="1"/>
      <c r="SHU240" s="1"/>
      <c r="SHV240" s="1"/>
      <c r="SHW240" s="1"/>
      <c r="SHX240" s="1"/>
      <c r="SHY240" s="1"/>
      <c r="SHZ240" s="1"/>
      <c r="SIA240" s="1"/>
      <c r="SIB240" s="1"/>
      <c r="SIC240" s="1"/>
      <c r="SID240" s="1"/>
      <c r="SIE240" s="1"/>
      <c r="SIF240" s="1"/>
      <c r="SIG240" s="1"/>
      <c r="SIH240" s="1"/>
      <c r="SII240" s="1"/>
      <c r="SIJ240" s="1"/>
      <c r="SIK240" s="1"/>
      <c r="SIL240" s="1"/>
      <c r="SIM240" s="1"/>
      <c r="SIN240" s="1"/>
      <c r="SIO240" s="1"/>
      <c r="SIP240" s="1"/>
      <c r="SIQ240" s="1"/>
      <c r="SIR240" s="1"/>
      <c r="SIS240" s="1"/>
      <c r="SIT240" s="1"/>
      <c r="SIU240" s="1"/>
      <c r="SIV240" s="1"/>
      <c r="SIW240" s="1"/>
      <c r="SIX240" s="1"/>
      <c r="SIY240" s="1"/>
      <c r="SIZ240" s="1"/>
      <c r="SJA240" s="1"/>
      <c r="SJB240" s="1"/>
      <c r="SJC240" s="1"/>
      <c r="SJD240" s="1"/>
      <c r="SJE240" s="1"/>
      <c r="SJF240" s="1"/>
      <c r="SJG240" s="1"/>
      <c r="SJH240" s="1"/>
      <c r="SJI240" s="1"/>
      <c r="SJJ240" s="1"/>
      <c r="SJK240" s="1"/>
      <c r="SJL240" s="1"/>
      <c r="SJM240" s="1"/>
      <c r="SJN240" s="1"/>
      <c r="SJO240" s="1"/>
      <c r="SJP240" s="1"/>
      <c r="SJQ240" s="1"/>
      <c r="SJR240" s="1"/>
      <c r="SJS240" s="1"/>
      <c r="SJT240" s="1"/>
      <c r="SJU240" s="1"/>
      <c r="SJV240" s="1"/>
      <c r="SJW240" s="1"/>
      <c r="SJX240" s="1"/>
      <c r="SJY240" s="1"/>
      <c r="SJZ240" s="1"/>
      <c r="SKA240" s="1"/>
      <c r="SKB240" s="1"/>
      <c r="SKC240" s="1"/>
      <c r="SKD240" s="1"/>
      <c r="SKE240" s="1"/>
      <c r="SKF240" s="1"/>
      <c r="SKG240" s="1"/>
      <c r="SKH240" s="1"/>
      <c r="SKI240" s="1"/>
      <c r="SKJ240" s="1"/>
      <c r="SKK240" s="1"/>
      <c r="SKL240" s="1"/>
      <c r="SKM240" s="1"/>
      <c r="SKN240" s="1"/>
      <c r="SKO240" s="1"/>
      <c r="SKP240" s="1"/>
      <c r="SKQ240" s="1"/>
      <c r="SKR240" s="1"/>
      <c r="SKS240" s="1"/>
      <c r="SKT240" s="1"/>
      <c r="SKU240" s="1"/>
      <c r="SKV240" s="1"/>
      <c r="SKW240" s="1"/>
      <c r="SKX240" s="1"/>
      <c r="SKY240" s="1"/>
      <c r="SKZ240" s="1"/>
      <c r="SLA240" s="1"/>
      <c r="SLB240" s="1"/>
      <c r="SLC240" s="1"/>
      <c r="SLD240" s="1"/>
      <c r="SLE240" s="1"/>
      <c r="SLF240" s="1"/>
      <c r="SLG240" s="1"/>
      <c r="SLH240" s="1"/>
      <c r="SLI240" s="1"/>
      <c r="SLJ240" s="1"/>
      <c r="SLK240" s="1"/>
      <c r="SLL240" s="1"/>
      <c r="SLM240" s="1"/>
      <c r="SLN240" s="1"/>
      <c r="SLO240" s="1"/>
      <c r="SLP240" s="1"/>
      <c r="SLQ240" s="1"/>
      <c r="SLR240" s="1"/>
      <c r="SLS240" s="1"/>
      <c r="SLT240" s="1"/>
      <c r="SLU240" s="1"/>
      <c r="SLV240" s="1"/>
      <c r="SLW240" s="1"/>
      <c r="SLX240" s="1"/>
      <c r="SLY240" s="1"/>
      <c r="SLZ240" s="1"/>
      <c r="SMA240" s="1"/>
      <c r="SMB240" s="1"/>
      <c r="SMC240" s="1"/>
      <c r="SMD240" s="1"/>
      <c r="SME240" s="1"/>
      <c r="SMF240" s="1"/>
      <c r="SMG240" s="1"/>
      <c r="SMH240" s="1"/>
      <c r="SMI240" s="1"/>
      <c r="SMJ240" s="1"/>
      <c r="SMK240" s="1"/>
      <c r="SML240" s="1"/>
      <c r="SMM240" s="1"/>
      <c r="SMN240" s="1"/>
      <c r="SMO240" s="1"/>
      <c r="SMP240" s="1"/>
      <c r="SMQ240" s="1"/>
      <c r="SMR240" s="1"/>
      <c r="SMS240" s="1"/>
      <c r="SMT240" s="1"/>
      <c r="SMU240" s="1"/>
      <c r="SMV240" s="1"/>
      <c r="SMW240" s="1"/>
      <c r="SMX240" s="1"/>
      <c r="SMY240" s="1"/>
      <c r="SMZ240" s="1"/>
      <c r="SNA240" s="1"/>
      <c r="SNB240" s="1"/>
      <c r="SNC240" s="1"/>
      <c r="SND240" s="1"/>
      <c r="SNE240" s="1"/>
      <c r="SNF240" s="1"/>
      <c r="SNG240" s="1"/>
      <c r="SNH240" s="1"/>
      <c r="SNI240" s="1"/>
      <c r="SNJ240" s="1"/>
      <c r="SNK240" s="1"/>
      <c r="SNL240" s="1"/>
      <c r="SNM240" s="1"/>
      <c r="SNN240" s="1"/>
      <c r="SNO240" s="1"/>
      <c r="SNP240" s="1"/>
      <c r="SNQ240" s="1"/>
      <c r="SNR240" s="1"/>
      <c r="SNS240" s="1"/>
      <c r="SNT240" s="1"/>
      <c r="SNU240" s="1"/>
      <c r="SNV240" s="1"/>
      <c r="SNW240" s="1"/>
      <c r="SNX240" s="1"/>
      <c r="SNY240" s="1"/>
      <c r="SNZ240" s="1"/>
      <c r="SOA240" s="1"/>
      <c r="SOB240" s="1"/>
      <c r="SOC240" s="1"/>
      <c r="SOD240" s="1"/>
      <c r="SOE240" s="1"/>
      <c r="SOF240" s="1"/>
      <c r="SOG240" s="1"/>
      <c r="SOH240" s="1"/>
      <c r="SOI240" s="1"/>
      <c r="SOJ240" s="1"/>
      <c r="SOK240" s="1"/>
      <c r="SOL240" s="1"/>
      <c r="SOM240" s="1"/>
      <c r="SON240" s="1"/>
      <c r="SOO240" s="1"/>
      <c r="SOP240" s="1"/>
      <c r="SOQ240" s="1"/>
      <c r="SOR240" s="1"/>
      <c r="SOS240" s="1"/>
      <c r="SOT240" s="1"/>
      <c r="SOU240" s="1"/>
      <c r="SOV240" s="1"/>
      <c r="SOW240" s="1"/>
      <c r="SOX240" s="1"/>
      <c r="SOY240" s="1"/>
      <c r="SOZ240" s="1"/>
      <c r="SPA240" s="1"/>
      <c r="SPB240" s="1"/>
      <c r="SPC240" s="1"/>
      <c r="SPD240" s="1"/>
      <c r="SPE240" s="1"/>
      <c r="SPF240" s="1"/>
      <c r="SPG240" s="1"/>
      <c r="SPH240" s="1"/>
      <c r="SPI240" s="1"/>
      <c r="SPJ240" s="1"/>
      <c r="SPK240" s="1"/>
      <c r="SPL240" s="1"/>
      <c r="SPM240" s="1"/>
      <c r="SPN240" s="1"/>
      <c r="SPO240" s="1"/>
      <c r="SPP240" s="1"/>
      <c r="SPQ240" s="1"/>
      <c r="SPR240" s="1"/>
      <c r="SPS240" s="1"/>
      <c r="SPT240" s="1"/>
      <c r="SPU240" s="1"/>
      <c r="SPV240" s="1"/>
      <c r="SPW240" s="1"/>
      <c r="SPX240" s="1"/>
      <c r="SPY240" s="1"/>
      <c r="SPZ240" s="1"/>
      <c r="SQA240" s="1"/>
      <c r="SQB240" s="1"/>
      <c r="SQC240" s="1"/>
      <c r="SQD240" s="1"/>
      <c r="SQE240" s="1"/>
      <c r="SQF240" s="1"/>
      <c r="SQG240" s="1"/>
      <c r="SQH240" s="1"/>
      <c r="SQI240" s="1"/>
      <c r="SQJ240" s="1"/>
      <c r="SQK240" s="1"/>
      <c r="SQL240" s="1"/>
      <c r="SQM240" s="1"/>
      <c r="SQN240" s="1"/>
      <c r="SQO240" s="1"/>
      <c r="SQP240" s="1"/>
      <c r="SQQ240" s="1"/>
      <c r="SQR240" s="1"/>
      <c r="SQS240" s="1"/>
      <c r="SQT240" s="1"/>
      <c r="SQU240" s="1"/>
      <c r="SQV240" s="1"/>
      <c r="SQW240" s="1"/>
      <c r="SQX240" s="1"/>
      <c r="SQY240" s="1"/>
      <c r="SQZ240" s="1"/>
      <c r="SRA240" s="1"/>
      <c r="SRB240" s="1"/>
      <c r="SRC240" s="1"/>
      <c r="SRD240" s="1"/>
      <c r="SRE240" s="1"/>
      <c r="SRF240" s="1"/>
      <c r="SRG240" s="1"/>
      <c r="SRH240" s="1"/>
      <c r="SRI240" s="1"/>
      <c r="SRJ240" s="1"/>
      <c r="SRK240" s="1"/>
      <c r="SRL240" s="1"/>
      <c r="SRM240" s="1"/>
      <c r="SRN240" s="1"/>
      <c r="SRO240" s="1"/>
      <c r="SRP240" s="1"/>
      <c r="SRQ240" s="1"/>
      <c r="SRR240" s="1"/>
      <c r="SRS240" s="1"/>
      <c r="SRT240" s="1"/>
      <c r="SRU240" s="1"/>
      <c r="SRV240" s="1"/>
      <c r="SRW240" s="1"/>
      <c r="SRX240" s="1"/>
      <c r="SRY240" s="1"/>
      <c r="SRZ240" s="1"/>
      <c r="SSA240" s="1"/>
      <c r="SSB240" s="1"/>
      <c r="SSC240" s="1"/>
      <c r="SSD240" s="1"/>
      <c r="SSE240" s="1"/>
      <c r="SSF240" s="1"/>
      <c r="SSG240" s="1"/>
      <c r="SSH240" s="1"/>
      <c r="SSI240" s="1"/>
      <c r="SSJ240" s="1"/>
      <c r="SSK240" s="1"/>
      <c r="SSL240" s="1"/>
      <c r="SSM240" s="1"/>
      <c r="SSN240" s="1"/>
      <c r="SSO240" s="1"/>
      <c r="SSP240" s="1"/>
      <c r="SSQ240" s="1"/>
      <c r="SSR240" s="1"/>
      <c r="SSS240" s="1"/>
      <c r="SST240" s="1"/>
      <c r="SSU240" s="1"/>
      <c r="SSV240" s="1"/>
      <c r="SSW240" s="1"/>
      <c r="SSX240" s="1"/>
      <c r="SSY240" s="1"/>
      <c r="SSZ240" s="1"/>
      <c r="STA240" s="1"/>
      <c r="STB240" s="1"/>
      <c r="STC240" s="1"/>
      <c r="STD240" s="1"/>
      <c r="STE240" s="1"/>
      <c r="STF240" s="1"/>
      <c r="STG240" s="1"/>
      <c r="STH240" s="1"/>
      <c r="STI240" s="1"/>
      <c r="STJ240" s="1"/>
      <c r="STK240" s="1"/>
      <c r="STL240" s="1"/>
      <c r="STM240" s="1"/>
      <c r="STN240" s="1"/>
      <c r="STO240" s="1"/>
      <c r="STP240" s="1"/>
      <c r="STQ240" s="1"/>
      <c r="STR240" s="1"/>
      <c r="STS240" s="1"/>
      <c r="STT240" s="1"/>
      <c r="STU240" s="1"/>
      <c r="STV240" s="1"/>
      <c r="STW240" s="1"/>
      <c r="STX240" s="1"/>
      <c r="STY240" s="1"/>
      <c r="STZ240" s="1"/>
      <c r="SUA240" s="1"/>
      <c r="SUB240" s="1"/>
      <c r="SUC240" s="1"/>
      <c r="SUD240" s="1"/>
      <c r="SUE240" s="1"/>
      <c r="SUF240" s="1"/>
      <c r="SUG240" s="1"/>
      <c r="SUH240" s="1"/>
      <c r="SUI240" s="1"/>
      <c r="SUJ240" s="1"/>
      <c r="SUK240" s="1"/>
      <c r="SUL240" s="1"/>
      <c r="SUM240" s="1"/>
      <c r="SUN240" s="1"/>
      <c r="SUO240" s="1"/>
      <c r="SUP240" s="1"/>
      <c r="SUQ240" s="1"/>
      <c r="SUR240" s="1"/>
      <c r="SUS240" s="1"/>
      <c r="SUT240" s="1"/>
      <c r="SUU240" s="1"/>
      <c r="SUV240" s="1"/>
      <c r="SUW240" s="1"/>
      <c r="SUX240" s="1"/>
      <c r="SUY240" s="1"/>
      <c r="SUZ240" s="1"/>
      <c r="SVA240" s="1"/>
      <c r="SVB240" s="1"/>
      <c r="SVC240" s="1"/>
      <c r="SVD240" s="1"/>
      <c r="SVE240" s="1"/>
      <c r="SVF240" s="1"/>
      <c r="SVG240" s="1"/>
      <c r="SVH240" s="1"/>
      <c r="SVI240" s="1"/>
      <c r="SVJ240" s="1"/>
      <c r="SVK240" s="1"/>
      <c r="SVL240" s="1"/>
      <c r="SVM240" s="1"/>
      <c r="SVN240" s="1"/>
      <c r="SVO240" s="1"/>
      <c r="SVP240" s="1"/>
      <c r="SVQ240" s="1"/>
      <c r="SVR240" s="1"/>
      <c r="SVS240" s="1"/>
      <c r="SVT240" s="1"/>
      <c r="SVU240" s="1"/>
      <c r="SVV240" s="1"/>
      <c r="SVW240" s="1"/>
      <c r="SVX240" s="1"/>
      <c r="SVY240" s="1"/>
      <c r="SVZ240" s="1"/>
      <c r="SWA240" s="1"/>
      <c r="SWB240" s="1"/>
      <c r="SWC240" s="1"/>
      <c r="SWD240" s="1"/>
      <c r="SWE240" s="1"/>
      <c r="SWF240" s="1"/>
      <c r="SWG240" s="1"/>
      <c r="SWH240" s="1"/>
      <c r="SWI240" s="1"/>
      <c r="SWJ240" s="1"/>
      <c r="SWK240" s="1"/>
      <c r="SWL240" s="1"/>
      <c r="SWM240" s="1"/>
      <c r="SWN240" s="1"/>
      <c r="SWO240" s="1"/>
      <c r="SWP240" s="1"/>
      <c r="SWQ240" s="1"/>
      <c r="SWR240" s="1"/>
      <c r="SWS240" s="1"/>
      <c r="SWT240" s="1"/>
      <c r="SWU240" s="1"/>
      <c r="SWV240" s="1"/>
      <c r="SWW240" s="1"/>
      <c r="SWX240" s="1"/>
      <c r="SWY240" s="1"/>
      <c r="SWZ240" s="1"/>
      <c r="SXA240" s="1"/>
      <c r="SXB240" s="1"/>
      <c r="SXC240" s="1"/>
      <c r="SXD240" s="1"/>
      <c r="SXE240" s="1"/>
      <c r="SXF240" s="1"/>
      <c r="SXG240" s="1"/>
      <c r="SXH240" s="1"/>
      <c r="SXI240" s="1"/>
      <c r="SXJ240" s="1"/>
      <c r="SXK240" s="1"/>
      <c r="SXL240" s="1"/>
      <c r="SXM240" s="1"/>
      <c r="SXN240" s="1"/>
      <c r="SXO240" s="1"/>
      <c r="SXP240" s="1"/>
      <c r="SXQ240" s="1"/>
      <c r="SXR240" s="1"/>
      <c r="SXS240" s="1"/>
      <c r="SXT240" s="1"/>
      <c r="SXU240" s="1"/>
      <c r="SXV240" s="1"/>
      <c r="SXW240" s="1"/>
      <c r="SXX240" s="1"/>
      <c r="SXY240" s="1"/>
      <c r="SXZ240" s="1"/>
      <c r="SYA240" s="1"/>
      <c r="SYB240" s="1"/>
      <c r="SYC240" s="1"/>
      <c r="SYD240" s="1"/>
      <c r="SYE240" s="1"/>
      <c r="SYF240" s="1"/>
      <c r="SYG240" s="1"/>
      <c r="SYH240" s="1"/>
      <c r="SYI240" s="1"/>
      <c r="SYJ240" s="1"/>
      <c r="SYK240" s="1"/>
      <c r="SYL240" s="1"/>
      <c r="SYM240" s="1"/>
      <c r="SYN240" s="1"/>
      <c r="SYO240" s="1"/>
      <c r="SYP240" s="1"/>
      <c r="SYQ240" s="1"/>
      <c r="SYR240" s="1"/>
      <c r="SYS240" s="1"/>
      <c r="SYT240" s="1"/>
      <c r="SYU240" s="1"/>
      <c r="SYV240" s="1"/>
      <c r="SYW240" s="1"/>
      <c r="SYX240" s="1"/>
      <c r="SYY240" s="1"/>
      <c r="SYZ240" s="1"/>
      <c r="SZA240" s="1"/>
      <c r="SZB240" s="1"/>
      <c r="SZC240" s="1"/>
      <c r="SZD240" s="1"/>
      <c r="SZE240" s="1"/>
      <c r="SZF240" s="1"/>
      <c r="SZG240" s="1"/>
      <c r="SZH240" s="1"/>
      <c r="SZI240" s="1"/>
      <c r="SZJ240" s="1"/>
      <c r="SZK240" s="1"/>
      <c r="SZL240" s="1"/>
      <c r="SZM240" s="1"/>
      <c r="SZN240" s="1"/>
      <c r="SZO240" s="1"/>
      <c r="SZP240" s="1"/>
      <c r="SZQ240" s="1"/>
      <c r="SZR240" s="1"/>
      <c r="SZS240" s="1"/>
      <c r="SZT240" s="1"/>
      <c r="SZU240" s="1"/>
      <c r="SZV240" s="1"/>
      <c r="SZW240" s="1"/>
      <c r="SZX240" s="1"/>
      <c r="SZY240" s="1"/>
      <c r="SZZ240" s="1"/>
      <c r="TAA240" s="1"/>
      <c r="TAB240" s="1"/>
      <c r="TAC240" s="1"/>
      <c r="TAD240" s="1"/>
      <c r="TAE240" s="1"/>
      <c r="TAF240" s="1"/>
      <c r="TAG240" s="1"/>
      <c r="TAH240" s="1"/>
      <c r="TAI240" s="1"/>
      <c r="TAJ240" s="1"/>
      <c r="TAK240" s="1"/>
      <c r="TAL240" s="1"/>
      <c r="TAM240" s="1"/>
      <c r="TAN240" s="1"/>
      <c r="TAO240" s="1"/>
      <c r="TAP240" s="1"/>
      <c r="TAQ240" s="1"/>
      <c r="TAR240" s="1"/>
      <c r="TAS240" s="1"/>
      <c r="TAT240" s="1"/>
      <c r="TAU240" s="1"/>
      <c r="TAV240" s="1"/>
      <c r="TAW240" s="1"/>
      <c r="TAX240" s="1"/>
      <c r="TAY240" s="1"/>
      <c r="TAZ240" s="1"/>
      <c r="TBA240" s="1"/>
      <c r="TBB240" s="1"/>
      <c r="TBC240" s="1"/>
      <c r="TBD240" s="1"/>
      <c r="TBE240" s="1"/>
      <c r="TBF240" s="1"/>
      <c r="TBG240" s="1"/>
      <c r="TBH240" s="1"/>
      <c r="TBI240" s="1"/>
      <c r="TBJ240" s="1"/>
      <c r="TBK240" s="1"/>
      <c r="TBL240" s="1"/>
      <c r="TBM240" s="1"/>
      <c r="TBN240" s="1"/>
      <c r="TBO240" s="1"/>
      <c r="TBP240" s="1"/>
      <c r="TBQ240" s="1"/>
      <c r="TBR240" s="1"/>
      <c r="TBS240" s="1"/>
      <c r="TBT240" s="1"/>
      <c r="TBU240" s="1"/>
      <c r="TBV240" s="1"/>
      <c r="TBW240" s="1"/>
      <c r="TBX240" s="1"/>
      <c r="TBY240" s="1"/>
      <c r="TBZ240" s="1"/>
      <c r="TCA240" s="1"/>
      <c r="TCB240" s="1"/>
      <c r="TCC240" s="1"/>
      <c r="TCD240" s="1"/>
      <c r="TCE240" s="1"/>
      <c r="TCF240" s="1"/>
      <c r="TCG240" s="1"/>
      <c r="TCH240" s="1"/>
      <c r="TCI240" s="1"/>
      <c r="TCJ240" s="1"/>
      <c r="TCK240" s="1"/>
      <c r="TCL240" s="1"/>
      <c r="TCM240" s="1"/>
      <c r="TCN240" s="1"/>
      <c r="TCO240" s="1"/>
      <c r="TCP240" s="1"/>
      <c r="TCQ240" s="1"/>
      <c r="TCR240" s="1"/>
      <c r="TCS240" s="1"/>
      <c r="TCT240" s="1"/>
      <c r="TCU240" s="1"/>
      <c r="TCV240" s="1"/>
      <c r="TCW240" s="1"/>
      <c r="TCX240" s="1"/>
      <c r="TCY240" s="1"/>
      <c r="TCZ240" s="1"/>
      <c r="TDA240" s="1"/>
      <c r="TDB240" s="1"/>
      <c r="TDC240" s="1"/>
      <c r="TDD240" s="1"/>
      <c r="TDE240" s="1"/>
      <c r="TDF240" s="1"/>
      <c r="TDG240" s="1"/>
      <c r="TDH240" s="1"/>
      <c r="TDI240" s="1"/>
      <c r="TDJ240" s="1"/>
      <c r="TDK240" s="1"/>
      <c r="TDL240" s="1"/>
      <c r="TDM240" s="1"/>
      <c r="TDN240" s="1"/>
      <c r="TDO240" s="1"/>
      <c r="TDP240" s="1"/>
      <c r="TDQ240" s="1"/>
      <c r="TDR240" s="1"/>
      <c r="TDS240" s="1"/>
      <c r="TDT240" s="1"/>
      <c r="TDU240" s="1"/>
      <c r="TDV240" s="1"/>
      <c r="TDW240" s="1"/>
      <c r="TDX240" s="1"/>
      <c r="TDY240" s="1"/>
      <c r="TDZ240" s="1"/>
      <c r="TEA240" s="1"/>
      <c r="TEB240" s="1"/>
      <c r="TEC240" s="1"/>
      <c r="TED240" s="1"/>
      <c r="TEE240" s="1"/>
      <c r="TEF240" s="1"/>
      <c r="TEG240" s="1"/>
      <c r="TEH240" s="1"/>
      <c r="TEI240" s="1"/>
      <c r="TEJ240" s="1"/>
      <c r="TEK240" s="1"/>
      <c r="TEL240" s="1"/>
      <c r="TEM240" s="1"/>
      <c r="TEN240" s="1"/>
      <c r="TEO240" s="1"/>
      <c r="TEP240" s="1"/>
      <c r="TEQ240" s="1"/>
      <c r="TER240" s="1"/>
      <c r="TES240" s="1"/>
      <c r="TET240" s="1"/>
      <c r="TEU240" s="1"/>
      <c r="TEV240" s="1"/>
      <c r="TEW240" s="1"/>
      <c r="TEX240" s="1"/>
      <c r="TEY240" s="1"/>
      <c r="TEZ240" s="1"/>
      <c r="TFA240" s="1"/>
      <c r="TFB240" s="1"/>
      <c r="TFC240" s="1"/>
      <c r="TFD240" s="1"/>
      <c r="TFE240" s="1"/>
      <c r="TFF240" s="1"/>
      <c r="TFG240" s="1"/>
      <c r="TFH240" s="1"/>
      <c r="TFI240" s="1"/>
      <c r="TFJ240" s="1"/>
      <c r="TFK240" s="1"/>
      <c r="TFL240" s="1"/>
      <c r="TFM240" s="1"/>
      <c r="TFN240" s="1"/>
      <c r="TFO240" s="1"/>
      <c r="TFP240" s="1"/>
      <c r="TFQ240" s="1"/>
      <c r="TFR240" s="1"/>
      <c r="TFS240" s="1"/>
      <c r="TFT240" s="1"/>
      <c r="TFU240" s="1"/>
      <c r="TFV240" s="1"/>
      <c r="TFW240" s="1"/>
      <c r="TFX240" s="1"/>
      <c r="TFY240" s="1"/>
      <c r="TFZ240" s="1"/>
      <c r="TGA240" s="1"/>
      <c r="TGB240" s="1"/>
      <c r="TGC240" s="1"/>
      <c r="TGD240" s="1"/>
      <c r="TGE240" s="1"/>
      <c r="TGF240" s="1"/>
      <c r="TGG240" s="1"/>
      <c r="TGH240" s="1"/>
      <c r="TGI240" s="1"/>
      <c r="TGJ240" s="1"/>
      <c r="TGK240" s="1"/>
      <c r="TGL240" s="1"/>
      <c r="TGM240" s="1"/>
      <c r="TGN240" s="1"/>
      <c r="TGO240" s="1"/>
      <c r="TGP240" s="1"/>
      <c r="TGQ240" s="1"/>
      <c r="TGR240" s="1"/>
      <c r="TGS240" s="1"/>
      <c r="TGT240" s="1"/>
      <c r="TGU240" s="1"/>
      <c r="TGV240" s="1"/>
      <c r="TGW240" s="1"/>
      <c r="TGX240" s="1"/>
      <c r="TGY240" s="1"/>
      <c r="TGZ240" s="1"/>
      <c r="THA240" s="1"/>
      <c r="THB240" s="1"/>
      <c r="THC240" s="1"/>
      <c r="THD240" s="1"/>
      <c r="THE240" s="1"/>
      <c r="THF240" s="1"/>
      <c r="THG240" s="1"/>
      <c r="THH240" s="1"/>
      <c r="THI240" s="1"/>
      <c r="THJ240" s="1"/>
      <c r="THK240" s="1"/>
      <c r="THL240" s="1"/>
      <c r="THM240" s="1"/>
      <c r="THN240" s="1"/>
      <c r="THO240" s="1"/>
      <c r="THP240" s="1"/>
      <c r="THQ240" s="1"/>
      <c r="THR240" s="1"/>
      <c r="THS240" s="1"/>
      <c r="THT240" s="1"/>
      <c r="THU240" s="1"/>
      <c r="THV240" s="1"/>
      <c r="THW240" s="1"/>
      <c r="THX240" s="1"/>
      <c r="THY240" s="1"/>
      <c r="THZ240" s="1"/>
      <c r="TIA240" s="1"/>
      <c r="TIB240" s="1"/>
      <c r="TIC240" s="1"/>
      <c r="TID240" s="1"/>
      <c r="TIE240" s="1"/>
      <c r="TIF240" s="1"/>
      <c r="TIG240" s="1"/>
      <c r="TIH240" s="1"/>
      <c r="TII240" s="1"/>
      <c r="TIJ240" s="1"/>
      <c r="TIK240" s="1"/>
      <c r="TIL240" s="1"/>
      <c r="TIM240" s="1"/>
      <c r="TIN240" s="1"/>
      <c r="TIO240" s="1"/>
      <c r="TIP240" s="1"/>
      <c r="TIQ240" s="1"/>
      <c r="TIR240" s="1"/>
      <c r="TIS240" s="1"/>
      <c r="TIT240" s="1"/>
      <c r="TIU240" s="1"/>
      <c r="TIV240" s="1"/>
      <c r="TIW240" s="1"/>
      <c r="TIX240" s="1"/>
      <c r="TIY240" s="1"/>
      <c r="TIZ240" s="1"/>
      <c r="TJA240" s="1"/>
      <c r="TJB240" s="1"/>
      <c r="TJC240" s="1"/>
      <c r="TJD240" s="1"/>
      <c r="TJE240" s="1"/>
      <c r="TJF240" s="1"/>
      <c r="TJG240" s="1"/>
      <c r="TJH240" s="1"/>
      <c r="TJI240" s="1"/>
      <c r="TJJ240" s="1"/>
      <c r="TJK240" s="1"/>
      <c r="TJL240" s="1"/>
      <c r="TJM240" s="1"/>
      <c r="TJN240" s="1"/>
      <c r="TJO240" s="1"/>
      <c r="TJP240" s="1"/>
      <c r="TJQ240" s="1"/>
      <c r="TJR240" s="1"/>
      <c r="TJS240" s="1"/>
      <c r="TJT240" s="1"/>
      <c r="TJU240" s="1"/>
      <c r="TJV240" s="1"/>
      <c r="TJW240" s="1"/>
      <c r="TJX240" s="1"/>
      <c r="TJY240" s="1"/>
      <c r="TJZ240" s="1"/>
      <c r="TKA240" s="1"/>
      <c r="TKB240" s="1"/>
      <c r="TKC240" s="1"/>
      <c r="TKD240" s="1"/>
      <c r="TKE240" s="1"/>
      <c r="TKF240" s="1"/>
      <c r="TKG240" s="1"/>
      <c r="TKH240" s="1"/>
      <c r="TKI240" s="1"/>
      <c r="TKJ240" s="1"/>
      <c r="TKK240" s="1"/>
      <c r="TKL240" s="1"/>
      <c r="TKM240" s="1"/>
      <c r="TKN240" s="1"/>
      <c r="TKO240" s="1"/>
      <c r="TKP240" s="1"/>
      <c r="TKQ240" s="1"/>
      <c r="TKR240" s="1"/>
      <c r="TKS240" s="1"/>
      <c r="TKT240" s="1"/>
      <c r="TKU240" s="1"/>
      <c r="TKV240" s="1"/>
      <c r="TKW240" s="1"/>
      <c r="TKX240" s="1"/>
      <c r="TKY240" s="1"/>
      <c r="TKZ240" s="1"/>
      <c r="TLA240" s="1"/>
      <c r="TLB240" s="1"/>
      <c r="TLC240" s="1"/>
      <c r="TLD240" s="1"/>
      <c r="TLE240" s="1"/>
      <c r="TLF240" s="1"/>
      <c r="TLG240" s="1"/>
      <c r="TLH240" s="1"/>
      <c r="TLI240" s="1"/>
      <c r="TLJ240" s="1"/>
      <c r="TLK240" s="1"/>
      <c r="TLL240" s="1"/>
      <c r="TLM240" s="1"/>
      <c r="TLN240" s="1"/>
      <c r="TLO240" s="1"/>
      <c r="TLP240" s="1"/>
      <c r="TLQ240" s="1"/>
      <c r="TLR240" s="1"/>
      <c r="TLS240" s="1"/>
      <c r="TLT240" s="1"/>
      <c r="TLU240" s="1"/>
      <c r="TLV240" s="1"/>
      <c r="TLW240" s="1"/>
      <c r="TLX240" s="1"/>
      <c r="TLY240" s="1"/>
      <c r="TLZ240" s="1"/>
      <c r="TMA240" s="1"/>
      <c r="TMB240" s="1"/>
      <c r="TMC240" s="1"/>
      <c r="TMD240" s="1"/>
      <c r="TME240" s="1"/>
      <c r="TMF240" s="1"/>
      <c r="TMG240" s="1"/>
      <c r="TMH240" s="1"/>
      <c r="TMI240" s="1"/>
      <c r="TMJ240" s="1"/>
      <c r="TMK240" s="1"/>
      <c r="TML240" s="1"/>
      <c r="TMM240" s="1"/>
      <c r="TMN240" s="1"/>
      <c r="TMO240" s="1"/>
      <c r="TMP240" s="1"/>
      <c r="TMQ240" s="1"/>
      <c r="TMR240" s="1"/>
      <c r="TMS240" s="1"/>
      <c r="TMT240" s="1"/>
      <c r="TMU240" s="1"/>
      <c r="TMV240" s="1"/>
      <c r="TMW240" s="1"/>
      <c r="TMX240" s="1"/>
      <c r="TMY240" s="1"/>
      <c r="TMZ240" s="1"/>
      <c r="TNA240" s="1"/>
      <c r="TNB240" s="1"/>
      <c r="TNC240" s="1"/>
      <c r="TND240" s="1"/>
      <c r="TNE240" s="1"/>
      <c r="TNF240" s="1"/>
      <c r="TNG240" s="1"/>
      <c r="TNH240" s="1"/>
      <c r="TNI240" s="1"/>
      <c r="TNJ240" s="1"/>
      <c r="TNK240" s="1"/>
      <c r="TNL240" s="1"/>
      <c r="TNM240" s="1"/>
      <c r="TNN240" s="1"/>
      <c r="TNO240" s="1"/>
      <c r="TNP240" s="1"/>
      <c r="TNQ240" s="1"/>
      <c r="TNR240" s="1"/>
      <c r="TNS240" s="1"/>
      <c r="TNT240" s="1"/>
      <c r="TNU240" s="1"/>
      <c r="TNV240" s="1"/>
      <c r="TNW240" s="1"/>
      <c r="TNX240" s="1"/>
      <c r="TNY240" s="1"/>
      <c r="TNZ240" s="1"/>
      <c r="TOA240" s="1"/>
      <c r="TOB240" s="1"/>
      <c r="TOC240" s="1"/>
      <c r="TOD240" s="1"/>
      <c r="TOE240" s="1"/>
      <c r="TOF240" s="1"/>
      <c r="TOG240" s="1"/>
      <c r="TOH240" s="1"/>
      <c r="TOI240" s="1"/>
      <c r="TOJ240" s="1"/>
      <c r="TOK240" s="1"/>
      <c r="TOL240" s="1"/>
      <c r="TOM240" s="1"/>
      <c r="TON240" s="1"/>
      <c r="TOO240" s="1"/>
      <c r="TOP240" s="1"/>
      <c r="TOQ240" s="1"/>
      <c r="TOR240" s="1"/>
      <c r="TOS240" s="1"/>
      <c r="TOT240" s="1"/>
      <c r="TOU240" s="1"/>
      <c r="TOV240" s="1"/>
      <c r="TOW240" s="1"/>
      <c r="TOX240" s="1"/>
      <c r="TOY240" s="1"/>
      <c r="TOZ240" s="1"/>
      <c r="TPA240" s="1"/>
      <c r="TPB240" s="1"/>
      <c r="TPC240" s="1"/>
      <c r="TPD240" s="1"/>
      <c r="TPE240" s="1"/>
      <c r="TPF240" s="1"/>
      <c r="TPG240" s="1"/>
      <c r="TPH240" s="1"/>
      <c r="TPI240" s="1"/>
      <c r="TPJ240" s="1"/>
      <c r="TPK240" s="1"/>
      <c r="TPL240" s="1"/>
      <c r="TPM240" s="1"/>
      <c r="TPN240" s="1"/>
      <c r="TPO240" s="1"/>
      <c r="TPP240" s="1"/>
      <c r="TPQ240" s="1"/>
      <c r="TPR240" s="1"/>
      <c r="TPS240" s="1"/>
      <c r="TPT240" s="1"/>
      <c r="TPU240" s="1"/>
      <c r="TPV240" s="1"/>
      <c r="TPW240" s="1"/>
      <c r="TPX240" s="1"/>
      <c r="TPY240" s="1"/>
      <c r="TPZ240" s="1"/>
      <c r="TQA240" s="1"/>
      <c r="TQB240" s="1"/>
      <c r="TQC240" s="1"/>
      <c r="TQD240" s="1"/>
      <c r="TQE240" s="1"/>
      <c r="TQF240" s="1"/>
      <c r="TQG240" s="1"/>
      <c r="TQH240" s="1"/>
      <c r="TQI240" s="1"/>
      <c r="TQJ240" s="1"/>
      <c r="TQK240" s="1"/>
      <c r="TQL240" s="1"/>
      <c r="TQM240" s="1"/>
      <c r="TQN240" s="1"/>
      <c r="TQO240" s="1"/>
      <c r="TQP240" s="1"/>
      <c r="TQQ240" s="1"/>
      <c r="TQR240" s="1"/>
      <c r="TQS240" s="1"/>
      <c r="TQT240" s="1"/>
      <c r="TQU240" s="1"/>
      <c r="TQV240" s="1"/>
      <c r="TQW240" s="1"/>
      <c r="TQX240" s="1"/>
      <c r="TQY240" s="1"/>
      <c r="TQZ240" s="1"/>
      <c r="TRA240" s="1"/>
      <c r="TRB240" s="1"/>
      <c r="TRC240" s="1"/>
      <c r="TRD240" s="1"/>
      <c r="TRE240" s="1"/>
      <c r="TRF240" s="1"/>
      <c r="TRG240" s="1"/>
      <c r="TRH240" s="1"/>
      <c r="TRI240" s="1"/>
      <c r="TRJ240" s="1"/>
      <c r="TRK240" s="1"/>
      <c r="TRL240" s="1"/>
      <c r="TRM240" s="1"/>
      <c r="TRN240" s="1"/>
      <c r="TRO240" s="1"/>
      <c r="TRP240" s="1"/>
      <c r="TRQ240" s="1"/>
      <c r="TRR240" s="1"/>
      <c r="TRS240" s="1"/>
      <c r="TRT240" s="1"/>
      <c r="TRU240" s="1"/>
      <c r="TRV240" s="1"/>
      <c r="TRW240" s="1"/>
      <c r="TRX240" s="1"/>
      <c r="TRY240" s="1"/>
      <c r="TRZ240" s="1"/>
      <c r="TSA240" s="1"/>
      <c r="TSB240" s="1"/>
      <c r="TSC240" s="1"/>
      <c r="TSD240" s="1"/>
      <c r="TSE240" s="1"/>
      <c r="TSF240" s="1"/>
      <c r="TSG240" s="1"/>
      <c r="TSH240" s="1"/>
      <c r="TSI240" s="1"/>
      <c r="TSJ240" s="1"/>
      <c r="TSK240" s="1"/>
      <c r="TSL240" s="1"/>
      <c r="TSM240" s="1"/>
      <c r="TSN240" s="1"/>
      <c r="TSO240" s="1"/>
      <c r="TSP240" s="1"/>
      <c r="TSQ240" s="1"/>
      <c r="TSR240" s="1"/>
      <c r="TSS240" s="1"/>
      <c r="TST240" s="1"/>
      <c r="TSU240" s="1"/>
      <c r="TSV240" s="1"/>
      <c r="TSW240" s="1"/>
      <c r="TSX240" s="1"/>
      <c r="TSY240" s="1"/>
      <c r="TSZ240" s="1"/>
      <c r="TTA240" s="1"/>
      <c r="TTB240" s="1"/>
      <c r="TTC240" s="1"/>
      <c r="TTD240" s="1"/>
      <c r="TTE240" s="1"/>
      <c r="TTF240" s="1"/>
      <c r="TTG240" s="1"/>
      <c r="TTH240" s="1"/>
      <c r="TTI240" s="1"/>
      <c r="TTJ240" s="1"/>
      <c r="TTK240" s="1"/>
      <c r="TTL240" s="1"/>
      <c r="TTM240" s="1"/>
      <c r="TTN240" s="1"/>
      <c r="TTO240" s="1"/>
      <c r="TTP240" s="1"/>
      <c r="TTQ240" s="1"/>
      <c r="TTR240" s="1"/>
      <c r="TTS240" s="1"/>
      <c r="TTT240" s="1"/>
      <c r="TTU240" s="1"/>
      <c r="TTV240" s="1"/>
      <c r="TTW240" s="1"/>
      <c r="TTX240" s="1"/>
      <c r="TTY240" s="1"/>
      <c r="TTZ240" s="1"/>
      <c r="TUA240" s="1"/>
      <c r="TUB240" s="1"/>
      <c r="TUC240" s="1"/>
      <c r="TUD240" s="1"/>
      <c r="TUE240" s="1"/>
      <c r="TUF240" s="1"/>
      <c r="TUG240" s="1"/>
      <c r="TUH240" s="1"/>
      <c r="TUI240" s="1"/>
      <c r="TUJ240" s="1"/>
      <c r="TUK240" s="1"/>
      <c r="TUL240" s="1"/>
      <c r="TUM240" s="1"/>
      <c r="TUN240" s="1"/>
      <c r="TUO240" s="1"/>
      <c r="TUP240" s="1"/>
      <c r="TUQ240" s="1"/>
      <c r="TUR240" s="1"/>
      <c r="TUS240" s="1"/>
      <c r="TUT240" s="1"/>
      <c r="TUU240" s="1"/>
      <c r="TUV240" s="1"/>
      <c r="TUW240" s="1"/>
      <c r="TUX240" s="1"/>
      <c r="TUY240" s="1"/>
      <c r="TUZ240" s="1"/>
      <c r="TVA240" s="1"/>
      <c r="TVB240" s="1"/>
      <c r="TVC240" s="1"/>
      <c r="TVD240" s="1"/>
      <c r="TVE240" s="1"/>
      <c r="TVF240" s="1"/>
      <c r="TVG240" s="1"/>
      <c r="TVH240" s="1"/>
      <c r="TVI240" s="1"/>
      <c r="TVJ240" s="1"/>
      <c r="TVK240" s="1"/>
      <c r="TVL240" s="1"/>
      <c r="TVM240" s="1"/>
      <c r="TVN240" s="1"/>
      <c r="TVO240" s="1"/>
      <c r="TVP240" s="1"/>
      <c r="TVQ240" s="1"/>
      <c r="TVR240" s="1"/>
      <c r="TVS240" s="1"/>
      <c r="TVT240" s="1"/>
      <c r="TVU240" s="1"/>
      <c r="TVV240" s="1"/>
      <c r="TVW240" s="1"/>
      <c r="TVX240" s="1"/>
      <c r="TVY240" s="1"/>
      <c r="TVZ240" s="1"/>
      <c r="TWA240" s="1"/>
      <c r="TWB240" s="1"/>
      <c r="TWC240" s="1"/>
      <c r="TWD240" s="1"/>
      <c r="TWE240" s="1"/>
      <c r="TWF240" s="1"/>
      <c r="TWG240" s="1"/>
      <c r="TWH240" s="1"/>
      <c r="TWI240" s="1"/>
      <c r="TWJ240" s="1"/>
      <c r="TWK240" s="1"/>
      <c r="TWL240" s="1"/>
      <c r="TWM240" s="1"/>
      <c r="TWN240" s="1"/>
      <c r="TWO240" s="1"/>
      <c r="TWP240" s="1"/>
      <c r="TWQ240" s="1"/>
      <c r="TWR240" s="1"/>
      <c r="TWS240" s="1"/>
      <c r="TWT240" s="1"/>
      <c r="TWU240" s="1"/>
      <c r="TWV240" s="1"/>
      <c r="TWW240" s="1"/>
      <c r="TWX240" s="1"/>
      <c r="TWY240" s="1"/>
      <c r="TWZ240" s="1"/>
      <c r="TXA240" s="1"/>
      <c r="TXB240" s="1"/>
      <c r="TXC240" s="1"/>
      <c r="TXD240" s="1"/>
      <c r="TXE240" s="1"/>
      <c r="TXF240" s="1"/>
      <c r="TXG240" s="1"/>
      <c r="TXH240" s="1"/>
      <c r="TXI240" s="1"/>
      <c r="TXJ240" s="1"/>
      <c r="TXK240" s="1"/>
      <c r="TXL240" s="1"/>
      <c r="TXM240" s="1"/>
      <c r="TXN240" s="1"/>
      <c r="TXO240" s="1"/>
      <c r="TXP240" s="1"/>
      <c r="TXQ240" s="1"/>
      <c r="TXR240" s="1"/>
      <c r="TXS240" s="1"/>
      <c r="TXT240" s="1"/>
      <c r="TXU240" s="1"/>
      <c r="TXV240" s="1"/>
      <c r="TXW240" s="1"/>
      <c r="TXX240" s="1"/>
      <c r="TXY240" s="1"/>
      <c r="TXZ240" s="1"/>
      <c r="TYA240" s="1"/>
      <c r="TYB240" s="1"/>
      <c r="TYC240" s="1"/>
      <c r="TYD240" s="1"/>
      <c r="TYE240" s="1"/>
      <c r="TYF240" s="1"/>
      <c r="TYG240" s="1"/>
      <c r="TYH240" s="1"/>
      <c r="TYI240" s="1"/>
      <c r="TYJ240" s="1"/>
      <c r="TYK240" s="1"/>
      <c r="TYL240" s="1"/>
      <c r="TYM240" s="1"/>
      <c r="TYN240" s="1"/>
      <c r="TYO240" s="1"/>
      <c r="TYP240" s="1"/>
      <c r="TYQ240" s="1"/>
      <c r="TYR240" s="1"/>
      <c r="TYS240" s="1"/>
      <c r="TYT240" s="1"/>
      <c r="TYU240" s="1"/>
      <c r="TYV240" s="1"/>
      <c r="TYW240" s="1"/>
      <c r="TYX240" s="1"/>
      <c r="TYY240" s="1"/>
      <c r="TYZ240" s="1"/>
      <c r="TZA240" s="1"/>
      <c r="TZB240" s="1"/>
      <c r="TZC240" s="1"/>
      <c r="TZD240" s="1"/>
      <c r="TZE240" s="1"/>
      <c r="TZF240" s="1"/>
      <c r="TZG240" s="1"/>
      <c r="TZH240" s="1"/>
      <c r="TZI240" s="1"/>
      <c r="TZJ240" s="1"/>
      <c r="TZK240" s="1"/>
      <c r="TZL240" s="1"/>
      <c r="TZM240" s="1"/>
      <c r="TZN240" s="1"/>
      <c r="TZO240" s="1"/>
      <c r="TZP240" s="1"/>
      <c r="TZQ240" s="1"/>
      <c r="TZR240" s="1"/>
      <c r="TZS240" s="1"/>
      <c r="TZT240" s="1"/>
      <c r="TZU240" s="1"/>
      <c r="TZV240" s="1"/>
      <c r="TZW240" s="1"/>
      <c r="TZX240" s="1"/>
      <c r="TZY240" s="1"/>
      <c r="TZZ240" s="1"/>
      <c r="UAA240" s="1"/>
      <c r="UAB240" s="1"/>
      <c r="UAC240" s="1"/>
      <c r="UAD240" s="1"/>
      <c r="UAE240" s="1"/>
      <c r="UAF240" s="1"/>
      <c r="UAG240" s="1"/>
      <c r="UAH240" s="1"/>
      <c r="UAI240" s="1"/>
      <c r="UAJ240" s="1"/>
      <c r="UAK240" s="1"/>
      <c r="UAL240" s="1"/>
      <c r="UAM240" s="1"/>
      <c r="UAN240" s="1"/>
      <c r="UAO240" s="1"/>
      <c r="UAP240" s="1"/>
      <c r="UAQ240" s="1"/>
      <c r="UAR240" s="1"/>
      <c r="UAS240" s="1"/>
      <c r="UAT240" s="1"/>
      <c r="UAU240" s="1"/>
      <c r="UAV240" s="1"/>
      <c r="UAW240" s="1"/>
      <c r="UAX240" s="1"/>
      <c r="UAY240" s="1"/>
      <c r="UAZ240" s="1"/>
      <c r="UBA240" s="1"/>
      <c r="UBB240" s="1"/>
      <c r="UBC240" s="1"/>
      <c r="UBD240" s="1"/>
      <c r="UBE240" s="1"/>
      <c r="UBF240" s="1"/>
      <c r="UBG240" s="1"/>
      <c r="UBH240" s="1"/>
      <c r="UBI240" s="1"/>
      <c r="UBJ240" s="1"/>
      <c r="UBK240" s="1"/>
      <c r="UBL240" s="1"/>
      <c r="UBM240" s="1"/>
      <c r="UBN240" s="1"/>
      <c r="UBO240" s="1"/>
      <c r="UBP240" s="1"/>
      <c r="UBQ240" s="1"/>
      <c r="UBR240" s="1"/>
      <c r="UBS240" s="1"/>
      <c r="UBT240" s="1"/>
      <c r="UBU240" s="1"/>
      <c r="UBV240" s="1"/>
      <c r="UBW240" s="1"/>
      <c r="UBX240" s="1"/>
      <c r="UBY240" s="1"/>
      <c r="UBZ240" s="1"/>
      <c r="UCA240" s="1"/>
      <c r="UCB240" s="1"/>
      <c r="UCC240" s="1"/>
      <c r="UCD240" s="1"/>
      <c r="UCE240" s="1"/>
      <c r="UCF240" s="1"/>
      <c r="UCG240" s="1"/>
      <c r="UCH240" s="1"/>
      <c r="UCI240" s="1"/>
      <c r="UCJ240" s="1"/>
      <c r="UCK240" s="1"/>
      <c r="UCL240" s="1"/>
      <c r="UCM240" s="1"/>
      <c r="UCN240" s="1"/>
      <c r="UCO240" s="1"/>
      <c r="UCP240" s="1"/>
      <c r="UCQ240" s="1"/>
      <c r="UCR240" s="1"/>
      <c r="UCS240" s="1"/>
      <c r="UCT240" s="1"/>
      <c r="UCU240" s="1"/>
      <c r="UCV240" s="1"/>
      <c r="UCW240" s="1"/>
      <c r="UCX240" s="1"/>
      <c r="UCY240" s="1"/>
      <c r="UCZ240" s="1"/>
      <c r="UDA240" s="1"/>
      <c r="UDB240" s="1"/>
      <c r="UDC240" s="1"/>
      <c r="UDD240" s="1"/>
      <c r="UDE240" s="1"/>
      <c r="UDF240" s="1"/>
      <c r="UDG240" s="1"/>
      <c r="UDH240" s="1"/>
      <c r="UDI240" s="1"/>
      <c r="UDJ240" s="1"/>
      <c r="UDK240" s="1"/>
      <c r="UDL240" s="1"/>
      <c r="UDM240" s="1"/>
      <c r="UDN240" s="1"/>
      <c r="UDO240" s="1"/>
      <c r="UDP240" s="1"/>
      <c r="UDQ240" s="1"/>
      <c r="UDR240" s="1"/>
      <c r="UDS240" s="1"/>
      <c r="UDT240" s="1"/>
      <c r="UDU240" s="1"/>
      <c r="UDV240" s="1"/>
      <c r="UDW240" s="1"/>
      <c r="UDX240" s="1"/>
      <c r="UDY240" s="1"/>
      <c r="UDZ240" s="1"/>
      <c r="UEA240" s="1"/>
      <c r="UEB240" s="1"/>
      <c r="UEC240" s="1"/>
      <c r="UED240" s="1"/>
      <c r="UEE240" s="1"/>
      <c r="UEF240" s="1"/>
      <c r="UEG240" s="1"/>
      <c r="UEH240" s="1"/>
      <c r="UEI240" s="1"/>
      <c r="UEJ240" s="1"/>
      <c r="UEK240" s="1"/>
      <c r="UEL240" s="1"/>
      <c r="UEM240" s="1"/>
      <c r="UEN240" s="1"/>
      <c r="UEO240" s="1"/>
      <c r="UEP240" s="1"/>
      <c r="UEQ240" s="1"/>
      <c r="UER240" s="1"/>
      <c r="UES240" s="1"/>
      <c r="UET240" s="1"/>
      <c r="UEU240" s="1"/>
      <c r="UEV240" s="1"/>
      <c r="UEW240" s="1"/>
      <c r="UEX240" s="1"/>
      <c r="UEY240" s="1"/>
      <c r="UEZ240" s="1"/>
      <c r="UFA240" s="1"/>
      <c r="UFB240" s="1"/>
      <c r="UFC240" s="1"/>
      <c r="UFD240" s="1"/>
      <c r="UFE240" s="1"/>
      <c r="UFF240" s="1"/>
      <c r="UFG240" s="1"/>
      <c r="UFH240" s="1"/>
      <c r="UFI240" s="1"/>
      <c r="UFJ240" s="1"/>
      <c r="UFK240" s="1"/>
      <c r="UFL240" s="1"/>
      <c r="UFM240" s="1"/>
      <c r="UFN240" s="1"/>
      <c r="UFO240" s="1"/>
      <c r="UFP240" s="1"/>
      <c r="UFQ240" s="1"/>
      <c r="UFR240" s="1"/>
      <c r="UFS240" s="1"/>
      <c r="UFT240" s="1"/>
      <c r="UFU240" s="1"/>
      <c r="UFV240" s="1"/>
      <c r="UFW240" s="1"/>
      <c r="UFX240" s="1"/>
      <c r="UFY240" s="1"/>
      <c r="UFZ240" s="1"/>
      <c r="UGA240" s="1"/>
      <c r="UGB240" s="1"/>
      <c r="UGC240" s="1"/>
      <c r="UGD240" s="1"/>
      <c r="UGE240" s="1"/>
      <c r="UGF240" s="1"/>
      <c r="UGG240" s="1"/>
      <c r="UGH240" s="1"/>
      <c r="UGI240" s="1"/>
      <c r="UGJ240" s="1"/>
      <c r="UGK240" s="1"/>
      <c r="UGL240" s="1"/>
      <c r="UGM240" s="1"/>
      <c r="UGN240" s="1"/>
      <c r="UGO240" s="1"/>
      <c r="UGP240" s="1"/>
      <c r="UGQ240" s="1"/>
      <c r="UGR240" s="1"/>
      <c r="UGS240" s="1"/>
      <c r="UGT240" s="1"/>
      <c r="UGU240" s="1"/>
      <c r="UGV240" s="1"/>
      <c r="UGW240" s="1"/>
      <c r="UGX240" s="1"/>
      <c r="UGY240" s="1"/>
      <c r="UGZ240" s="1"/>
      <c r="UHA240" s="1"/>
      <c r="UHB240" s="1"/>
      <c r="UHC240" s="1"/>
      <c r="UHD240" s="1"/>
      <c r="UHE240" s="1"/>
      <c r="UHF240" s="1"/>
      <c r="UHG240" s="1"/>
      <c r="UHH240" s="1"/>
      <c r="UHI240" s="1"/>
      <c r="UHJ240" s="1"/>
      <c r="UHK240" s="1"/>
      <c r="UHL240" s="1"/>
      <c r="UHM240" s="1"/>
      <c r="UHN240" s="1"/>
      <c r="UHO240" s="1"/>
      <c r="UHP240" s="1"/>
      <c r="UHQ240" s="1"/>
      <c r="UHR240" s="1"/>
      <c r="UHS240" s="1"/>
      <c r="UHT240" s="1"/>
      <c r="UHU240" s="1"/>
      <c r="UHV240" s="1"/>
      <c r="UHW240" s="1"/>
      <c r="UHX240" s="1"/>
      <c r="UHY240" s="1"/>
      <c r="UHZ240" s="1"/>
      <c r="UIA240" s="1"/>
      <c r="UIB240" s="1"/>
      <c r="UIC240" s="1"/>
      <c r="UID240" s="1"/>
      <c r="UIE240" s="1"/>
      <c r="UIF240" s="1"/>
      <c r="UIG240" s="1"/>
      <c r="UIH240" s="1"/>
      <c r="UII240" s="1"/>
      <c r="UIJ240" s="1"/>
      <c r="UIK240" s="1"/>
      <c r="UIL240" s="1"/>
      <c r="UIM240" s="1"/>
      <c r="UIN240" s="1"/>
      <c r="UIO240" s="1"/>
      <c r="UIP240" s="1"/>
      <c r="UIQ240" s="1"/>
      <c r="UIR240" s="1"/>
      <c r="UIS240" s="1"/>
      <c r="UIT240" s="1"/>
      <c r="UIU240" s="1"/>
      <c r="UIV240" s="1"/>
      <c r="UIW240" s="1"/>
      <c r="UIX240" s="1"/>
      <c r="UIY240" s="1"/>
      <c r="UIZ240" s="1"/>
      <c r="UJA240" s="1"/>
      <c r="UJB240" s="1"/>
      <c r="UJC240" s="1"/>
      <c r="UJD240" s="1"/>
      <c r="UJE240" s="1"/>
      <c r="UJF240" s="1"/>
      <c r="UJG240" s="1"/>
      <c r="UJH240" s="1"/>
      <c r="UJI240" s="1"/>
      <c r="UJJ240" s="1"/>
      <c r="UJK240" s="1"/>
      <c r="UJL240" s="1"/>
      <c r="UJM240" s="1"/>
      <c r="UJN240" s="1"/>
      <c r="UJO240" s="1"/>
      <c r="UJP240" s="1"/>
      <c r="UJQ240" s="1"/>
      <c r="UJR240" s="1"/>
      <c r="UJS240" s="1"/>
      <c r="UJT240" s="1"/>
      <c r="UJU240" s="1"/>
      <c r="UJV240" s="1"/>
      <c r="UJW240" s="1"/>
      <c r="UJX240" s="1"/>
      <c r="UJY240" s="1"/>
      <c r="UJZ240" s="1"/>
      <c r="UKA240" s="1"/>
      <c r="UKB240" s="1"/>
      <c r="UKC240" s="1"/>
      <c r="UKD240" s="1"/>
      <c r="UKE240" s="1"/>
      <c r="UKF240" s="1"/>
      <c r="UKG240" s="1"/>
      <c r="UKH240" s="1"/>
      <c r="UKI240" s="1"/>
      <c r="UKJ240" s="1"/>
      <c r="UKK240" s="1"/>
      <c r="UKL240" s="1"/>
      <c r="UKM240" s="1"/>
      <c r="UKN240" s="1"/>
      <c r="UKO240" s="1"/>
      <c r="UKP240" s="1"/>
      <c r="UKQ240" s="1"/>
      <c r="UKR240" s="1"/>
      <c r="UKS240" s="1"/>
      <c r="UKT240" s="1"/>
      <c r="UKU240" s="1"/>
      <c r="UKV240" s="1"/>
      <c r="UKW240" s="1"/>
      <c r="UKX240" s="1"/>
      <c r="UKY240" s="1"/>
      <c r="UKZ240" s="1"/>
      <c r="ULA240" s="1"/>
      <c r="ULB240" s="1"/>
      <c r="ULC240" s="1"/>
      <c r="ULD240" s="1"/>
      <c r="ULE240" s="1"/>
      <c r="ULF240" s="1"/>
      <c r="ULG240" s="1"/>
      <c r="ULH240" s="1"/>
      <c r="ULI240" s="1"/>
      <c r="ULJ240" s="1"/>
      <c r="ULK240" s="1"/>
      <c r="ULL240" s="1"/>
      <c r="ULM240" s="1"/>
      <c r="ULN240" s="1"/>
      <c r="ULO240" s="1"/>
      <c r="ULP240" s="1"/>
      <c r="ULQ240" s="1"/>
      <c r="ULR240" s="1"/>
      <c r="ULS240" s="1"/>
      <c r="ULT240" s="1"/>
      <c r="ULU240" s="1"/>
      <c r="ULV240" s="1"/>
      <c r="ULW240" s="1"/>
      <c r="ULX240" s="1"/>
      <c r="ULY240" s="1"/>
      <c r="ULZ240" s="1"/>
      <c r="UMA240" s="1"/>
      <c r="UMB240" s="1"/>
      <c r="UMC240" s="1"/>
      <c r="UMD240" s="1"/>
      <c r="UME240" s="1"/>
      <c r="UMF240" s="1"/>
      <c r="UMG240" s="1"/>
      <c r="UMH240" s="1"/>
      <c r="UMI240" s="1"/>
      <c r="UMJ240" s="1"/>
      <c r="UMK240" s="1"/>
      <c r="UML240" s="1"/>
      <c r="UMM240" s="1"/>
      <c r="UMN240" s="1"/>
      <c r="UMO240" s="1"/>
      <c r="UMP240" s="1"/>
      <c r="UMQ240" s="1"/>
      <c r="UMR240" s="1"/>
      <c r="UMS240" s="1"/>
      <c r="UMT240" s="1"/>
      <c r="UMU240" s="1"/>
      <c r="UMV240" s="1"/>
      <c r="UMW240" s="1"/>
      <c r="UMX240" s="1"/>
      <c r="UMY240" s="1"/>
      <c r="UMZ240" s="1"/>
      <c r="UNA240" s="1"/>
      <c r="UNB240" s="1"/>
      <c r="UNC240" s="1"/>
      <c r="UND240" s="1"/>
      <c r="UNE240" s="1"/>
      <c r="UNF240" s="1"/>
      <c r="UNG240" s="1"/>
      <c r="UNH240" s="1"/>
      <c r="UNI240" s="1"/>
      <c r="UNJ240" s="1"/>
      <c r="UNK240" s="1"/>
      <c r="UNL240" s="1"/>
      <c r="UNM240" s="1"/>
      <c r="UNN240" s="1"/>
      <c r="UNO240" s="1"/>
      <c r="UNP240" s="1"/>
      <c r="UNQ240" s="1"/>
      <c r="UNR240" s="1"/>
      <c r="UNS240" s="1"/>
      <c r="UNT240" s="1"/>
      <c r="UNU240" s="1"/>
      <c r="UNV240" s="1"/>
      <c r="UNW240" s="1"/>
      <c r="UNX240" s="1"/>
      <c r="UNY240" s="1"/>
      <c r="UNZ240" s="1"/>
      <c r="UOA240" s="1"/>
      <c r="UOB240" s="1"/>
      <c r="UOC240" s="1"/>
      <c r="UOD240" s="1"/>
      <c r="UOE240" s="1"/>
      <c r="UOF240" s="1"/>
      <c r="UOG240" s="1"/>
      <c r="UOH240" s="1"/>
      <c r="UOI240" s="1"/>
      <c r="UOJ240" s="1"/>
      <c r="UOK240" s="1"/>
      <c r="UOL240" s="1"/>
      <c r="UOM240" s="1"/>
      <c r="UON240" s="1"/>
      <c r="UOO240" s="1"/>
      <c r="UOP240" s="1"/>
      <c r="UOQ240" s="1"/>
      <c r="UOR240" s="1"/>
      <c r="UOS240" s="1"/>
      <c r="UOT240" s="1"/>
      <c r="UOU240" s="1"/>
      <c r="UOV240" s="1"/>
      <c r="UOW240" s="1"/>
      <c r="UOX240" s="1"/>
      <c r="UOY240" s="1"/>
      <c r="UOZ240" s="1"/>
      <c r="UPA240" s="1"/>
      <c r="UPB240" s="1"/>
      <c r="UPC240" s="1"/>
      <c r="UPD240" s="1"/>
      <c r="UPE240" s="1"/>
      <c r="UPF240" s="1"/>
      <c r="UPG240" s="1"/>
      <c r="UPH240" s="1"/>
      <c r="UPI240" s="1"/>
      <c r="UPJ240" s="1"/>
      <c r="UPK240" s="1"/>
      <c r="UPL240" s="1"/>
      <c r="UPM240" s="1"/>
      <c r="UPN240" s="1"/>
      <c r="UPO240" s="1"/>
      <c r="UPP240" s="1"/>
      <c r="UPQ240" s="1"/>
      <c r="UPR240" s="1"/>
      <c r="UPS240" s="1"/>
      <c r="UPT240" s="1"/>
      <c r="UPU240" s="1"/>
      <c r="UPV240" s="1"/>
      <c r="UPW240" s="1"/>
      <c r="UPX240" s="1"/>
      <c r="UPY240" s="1"/>
      <c r="UPZ240" s="1"/>
      <c r="UQA240" s="1"/>
      <c r="UQB240" s="1"/>
      <c r="UQC240" s="1"/>
      <c r="UQD240" s="1"/>
      <c r="UQE240" s="1"/>
      <c r="UQF240" s="1"/>
      <c r="UQG240" s="1"/>
      <c r="UQH240" s="1"/>
      <c r="UQI240" s="1"/>
      <c r="UQJ240" s="1"/>
      <c r="UQK240" s="1"/>
      <c r="UQL240" s="1"/>
      <c r="UQM240" s="1"/>
      <c r="UQN240" s="1"/>
      <c r="UQO240" s="1"/>
      <c r="UQP240" s="1"/>
      <c r="UQQ240" s="1"/>
      <c r="UQR240" s="1"/>
      <c r="UQS240" s="1"/>
      <c r="UQT240" s="1"/>
      <c r="UQU240" s="1"/>
      <c r="UQV240" s="1"/>
      <c r="UQW240" s="1"/>
      <c r="UQX240" s="1"/>
      <c r="UQY240" s="1"/>
      <c r="UQZ240" s="1"/>
      <c r="URA240" s="1"/>
      <c r="URB240" s="1"/>
      <c r="URC240" s="1"/>
      <c r="URD240" s="1"/>
      <c r="URE240" s="1"/>
      <c r="URF240" s="1"/>
      <c r="URG240" s="1"/>
      <c r="URH240" s="1"/>
      <c r="URI240" s="1"/>
      <c r="URJ240" s="1"/>
      <c r="URK240" s="1"/>
      <c r="URL240" s="1"/>
      <c r="URM240" s="1"/>
      <c r="URN240" s="1"/>
      <c r="URO240" s="1"/>
      <c r="URP240" s="1"/>
      <c r="URQ240" s="1"/>
      <c r="URR240" s="1"/>
      <c r="URS240" s="1"/>
      <c r="URT240" s="1"/>
      <c r="URU240" s="1"/>
      <c r="URV240" s="1"/>
      <c r="URW240" s="1"/>
      <c r="URX240" s="1"/>
      <c r="URY240" s="1"/>
      <c r="URZ240" s="1"/>
      <c r="USA240" s="1"/>
      <c r="USB240" s="1"/>
      <c r="USC240" s="1"/>
      <c r="USD240" s="1"/>
      <c r="USE240" s="1"/>
      <c r="USF240" s="1"/>
      <c r="USG240" s="1"/>
      <c r="USH240" s="1"/>
      <c r="USI240" s="1"/>
      <c r="USJ240" s="1"/>
      <c r="USK240" s="1"/>
      <c r="USL240" s="1"/>
      <c r="USM240" s="1"/>
      <c r="USN240" s="1"/>
      <c r="USO240" s="1"/>
      <c r="USP240" s="1"/>
      <c r="USQ240" s="1"/>
      <c r="USR240" s="1"/>
      <c r="USS240" s="1"/>
      <c r="UST240" s="1"/>
      <c r="USU240" s="1"/>
      <c r="USV240" s="1"/>
      <c r="USW240" s="1"/>
      <c r="USX240" s="1"/>
      <c r="USY240" s="1"/>
      <c r="USZ240" s="1"/>
      <c r="UTA240" s="1"/>
      <c r="UTB240" s="1"/>
      <c r="UTC240" s="1"/>
      <c r="UTD240" s="1"/>
      <c r="UTE240" s="1"/>
      <c r="UTF240" s="1"/>
      <c r="UTG240" s="1"/>
      <c r="UTH240" s="1"/>
      <c r="UTI240" s="1"/>
      <c r="UTJ240" s="1"/>
      <c r="UTK240" s="1"/>
      <c r="UTL240" s="1"/>
      <c r="UTM240" s="1"/>
      <c r="UTN240" s="1"/>
      <c r="UTO240" s="1"/>
      <c r="UTP240" s="1"/>
      <c r="UTQ240" s="1"/>
      <c r="UTR240" s="1"/>
      <c r="UTS240" s="1"/>
      <c r="UTT240" s="1"/>
      <c r="UTU240" s="1"/>
      <c r="UTV240" s="1"/>
      <c r="UTW240" s="1"/>
      <c r="UTX240" s="1"/>
      <c r="UTY240" s="1"/>
      <c r="UTZ240" s="1"/>
      <c r="UUA240" s="1"/>
      <c r="UUB240" s="1"/>
      <c r="UUC240" s="1"/>
      <c r="UUD240" s="1"/>
      <c r="UUE240" s="1"/>
      <c r="UUF240" s="1"/>
      <c r="UUG240" s="1"/>
      <c r="UUH240" s="1"/>
      <c r="UUI240" s="1"/>
      <c r="UUJ240" s="1"/>
      <c r="UUK240" s="1"/>
      <c r="UUL240" s="1"/>
      <c r="UUM240" s="1"/>
      <c r="UUN240" s="1"/>
      <c r="UUO240" s="1"/>
      <c r="UUP240" s="1"/>
      <c r="UUQ240" s="1"/>
      <c r="UUR240" s="1"/>
      <c r="UUS240" s="1"/>
      <c r="UUT240" s="1"/>
      <c r="UUU240" s="1"/>
      <c r="UUV240" s="1"/>
      <c r="UUW240" s="1"/>
      <c r="UUX240" s="1"/>
      <c r="UUY240" s="1"/>
      <c r="UUZ240" s="1"/>
      <c r="UVA240" s="1"/>
      <c r="UVB240" s="1"/>
      <c r="UVC240" s="1"/>
      <c r="UVD240" s="1"/>
      <c r="UVE240" s="1"/>
      <c r="UVF240" s="1"/>
      <c r="UVG240" s="1"/>
      <c r="UVH240" s="1"/>
      <c r="UVI240" s="1"/>
      <c r="UVJ240" s="1"/>
      <c r="UVK240" s="1"/>
      <c r="UVL240" s="1"/>
      <c r="UVM240" s="1"/>
      <c r="UVN240" s="1"/>
      <c r="UVO240" s="1"/>
      <c r="UVP240" s="1"/>
      <c r="UVQ240" s="1"/>
      <c r="UVR240" s="1"/>
      <c r="UVS240" s="1"/>
      <c r="UVT240" s="1"/>
      <c r="UVU240" s="1"/>
      <c r="UVV240" s="1"/>
      <c r="UVW240" s="1"/>
      <c r="UVX240" s="1"/>
      <c r="UVY240" s="1"/>
      <c r="UVZ240" s="1"/>
      <c r="UWA240" s="1"/>
      <c r="UWB240" s="1"/>
      <c r="UWC240" s="1"/>
      <c r="UWD240" s="1"/>
      <c r="UWE240" s="1"/>
      <c r="UWF240" s="1"/>
      <c r="UWG240" s="1"/>
      <c r="UWH240" s="1"/>
      <c r="UWI240" s="1"/>
      <c r="UWJ240" s="1"/>
      <c r="UWK240" s="1"/>
      <c r="UWL240" s="1"/>
      <c r="UWM240" s="1"/>
      <c r="UWN240" s="1"/>
      <c r="UWO240" s="1"/>
      <c r="UWP240" s="1"/>
      <c r="UWQ240" s="1"/>
      <c r="UWR240" s="1"/>
      <c r="UWS240" s="1"/>
      <c r="UWT240" s="1"/>
      <c r="UWU240" s="1"/>
      <c r="UWV240" s="1"/>
      <c r="UWW240" s="1"/>
      <c r="UWX240" s="1"/>
      <c r="UWY240" s="1"/>
      <c r="UWZ240" s="1"/>
      <c r="UXA240" s="1"/>
      <c r="UXB240" s="1"/>
      <c r="UXC240" s="1"/>
      <c r="UXD240" s="1"/>
      <c r="UXE240" s="1"/>
      <c r="UXF240" s="1"/>
      <c r="UXG240" s="1"/>
      <c r="UXH240" s="1"/>
      <c r="UXI240" s="1"/>
      <c r="UXJ240" s="1"/>
      <c r="UXK240" s="1"/>
      <c r="UXL240" s="1"/>
      <c r="UXM240" s="1"/>
      <c r="UXN240" s="1"/>
      <c r="UXO240" s="1"/>
      <c r="UXP240" s="1"/>
      <c r="UXQ240" s="1"/>
      <c r="UXR240" s="1"/>
      <c r="UXS240" s="1"/>
      <c r="UXT240" s="1"/>
      <c r="UXU240" s="1"/>
      <c r="UXV240" s="1"/>
      <c r="UXW240" s="1"/>
      <c r="UXX240" s="1"/>
      <c r="UXY240" s="1"/>
      <c r="UXZ240" s="1"/>
      <c r="UYA240" s="1"/>
      <c r="UYB240" s="1"/>
      <c r="UYC240" s="1"/>
      <c r="UYD240" s="1"/>
      <c r="UYE240" s="1"/>
      <c r="UYF240" s="1"/>
      <c r="UYG240" s="1"/>
      <c r="UYH240" s="1"/>
      <c r="UYI240" s="1"/>
      <c r="UYJ240" s="1"/>
      <c r="UYK240" s="1"/>
      <c r="UYL240" s="1"/>
      <c r="UYM240" s="1"/>
      <c r="UYN240" s="1"/>
      <c r="UYO240" s="1"/>
      <c r="UYP240" s="1"/>
      <c r="UYQ240" s="1"/>
      <c r="UYR240" s="1"/>
      <c r="UYS240" s="1"/>
      <c r="UYT240" s="1"/>
      <c r="UYU240" s="1"/>
      <c r="UYV240" s="1"/>
      <c r="UYW240" s="1"/>
      <c r="UYX240" s="1"/>
      <c r="UYY240" s="1"/>
      <c r="UYZ240" s="1"/>
      <c r="UZA240" s="1"/>
      <c r="UZB240" s="1"/>
      <c r="UZC240" s="1"/>
      <c r="UZD240" s="1"/>
      <c r="UZE240" s="1"/>
      <c r="UZF240" s="1"/>
      <c r="UZG240" s="1"/>
      <c r="UZH240" s="1"/>
      <c r="UZI240" s="1"/>
      <c r="UZJ240" s="1"/>
      <c r="UZK240" s="1"/>
      <c r="UZL240" s="1"/>
      <c r="UZM240" s="1"/>
      <c r="UZN240" s="1"/>
      <c r="UZO240" s="1"/>
      <c r="UZP240" s="1"/>
      <c r="UZQ240" s="1"/>
      <c r="UZR240" s="1"/>
      <c r="UZS240" s="1"/>
      <c r="UZT240" s="1"/>
      <c r="UZU240" s="1"/>
      <c r="UZV240" s="1"/>
      <c r="UZW240" s="1"/>
      <c r="UZX240" s="1"/>
      <c r="UZY240" s="1"/>
      <c r="UZZ240" s="1"/>
      <c r="VAA240" s="1"/>
      <c r="VAB240" s="1"/>
      <c r="VAC240" s="1"/>
      <c r="VAD240" s="1"/>
      <c r="VAE240" s="1"/>
      <c r="VAF240" s="1"/>
      <c r="VAG240" s="1"/>
      <c r="VAH240" s="1"/>
      <c r="VAI240" s="1"/>
      <c r="VAJ240" s="1"/>
      <c r="VAK240" s="1"/>
      <c r="VAL240" s="1"/>
      <c r="VAM240" s="1"/>
      <c r="VAN240" s="1"/>
      <c r="VAO240" s="1"/>
      <c r="VAP240" s="1"/>
      <c r="VAQ240" s="1"/>
      <c r="VAR240" s="1"/>
      <c r="VAS240" s="1"/>
      <c r="VAT240" s="1"/>
      <c r="VAU240" s="1"/>
      <c r="VAV240" s="1"/>
      <c r="VAW240" s="1"/>
      <c r="VAX240" s="1"/>
      <c r="VAY240" s="1"/>
      <c r="VAZ240" s="1"/>
      <c r="VBA240" s="1"/>
      <c r="VBB240" s="1"/>
      <c r="VBC240" s="1"/>
      <c r="VBD240" s="1"/>
      <c r="VBE240" s="1"/>
      <c r="VBF240" s="1"/>
      <c r="VBG240" s="1"/>
      <c r="VBH240" s="1"/>
      <c r="VBI240" s="1"/>
      <c r="VBJ240" s="1"/>
      <c r="VBK240" s="1"/>
      <c r="VBL240" s="1"/>
      <c r="VBM240" s="1"/>
      <c r="VBN240" s="1"/>
      <c r="VBO240" s="1"/>
      <c r="VBP240" s="1"/>
      <c r="VBQ240" s="1"/>
      <c r="VBR240" s="1"/>
      <c r="VBS240" s="1"/>
      <c r="VBT240" s="1"/>
      <c r="VBU240" s="1"/>
      <c r="VBV240" s="1"/>
      <c r="VBW240" s="1"/>
      <c r="VBX240" s="1"/>
      <c r="VBY240" s="1"/>
      <c r="VBZ240" s="1"/>
      <c r="VCA240" s="1"/>
      <c r="VCB240" s="1"/>
      <c r="VCC240" s="1"/>
      <c r="VCD240" s="1"/>
      <c r="VCE240" s="1"/>
      <c r="VCF240" s="1"/>
      <c r="VCG240" s="1"/>
      <c r="VCH240" s="1"/>
      <c r="VCI240" s="1"/>
      <c r="VCJ240" s="1"/>
      <c r="VCK240" s="1"/>
      <c r="VCL240" s="1"/>
      <c r="VCM240" s="1"/>
      <c r="VCN240" s="1"/>
      <c r="VCO240" s="1"/>
      <c r="VCP240" s="1"/>
      <c r="VCQ240" s="1"/>
      <c r="VCR240" s="1"/>
    </row>
  </sheetData>
  <mergeCells count="6">
    <mergeCell ref="B5:B6"/>
    <mergeCell ref="C5:C6"/>
    <mergeCell ref="D5:D6"/>
    <mergeCell ref="E5:E6"/>
    <mergeCell ref="B2:AK2"/>
    <mergeCell ref="F5:AI5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Lodinstinct Fujitsu</cp:lastModifiedBy>
  <dcterms:created xsi:type="dcterms:W3CDTF">2022-09-06T08:59:53Z</dcterms:created>
  <dcterms:modified xsi:type="dcterms:W3CDTF">2022-12-05T10:01:50Z</dcterms:modified>
</cp:coreProperties>
</file>