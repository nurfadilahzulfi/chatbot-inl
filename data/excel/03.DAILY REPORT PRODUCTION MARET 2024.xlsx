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94C7414F-1581-4326-AA2E-1D1159B165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et - 24" sheetId="1" r:id="rId1"/>
  </sheets>
  <definedNames>
    <definedName name="_xlnm.Print_Area" localSheetId="0">'Maret - 24'!$B$150:$AL$251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59" authorId="0" shapeId="0" xr:uid="{21878268-CC66-4C73-967A-49D291448C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Cut Off BE Metabent jam 22.38 WIB 2.312 kg
</t>
        </r>
      </text>
    </comment>
  </commentList>
</comments>
</file>

<file path=xl/sharedStrings.xml><?xml version="1.0" encoding="utf-8"?>
<sst xmlns="http://schemas.openxmlformats.org/spreadsheetml/2006/main" count="486" uniqueCount="139">
  <si>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</si>
  <si>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</si>
  <si>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</si>
  <si>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</si>
  <si>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</si>
  <si>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</si>
  <si>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</si>
  <si>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</si>
  <si>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</si>
  <si>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</si>
  <si>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</si>
  <si>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</si>
  <si>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</si>
  <si>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</si>
  <si>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</si>
  <si>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</si>
  <si>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</si>
  <si>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</si>
  <si>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</si>
  <si>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</si>
  <si>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</si>
  <si>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</si>
  <si>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</si>
  <si>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</si>
  <si>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</si>
  <si>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</si>
  <si>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</si>
  <si>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</si>
  <si>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</si>
  <si>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</si>
  <si>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</si>
  <si>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</si>
  <si>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</si>
  <si>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</si>
  <si>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</si>
  <si>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</si>
  <si>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</si>
  <si>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</si>
  <si>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</si>
  <si>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</si>
  <si>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</si>
  <si>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</si>
  <si>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</si>
  <si>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</si>
  <si>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</si>
  <si>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</si>
  <si>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</si>
  <si>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</si>
  <si>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</si>
  <si>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</si>
  <si>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</si>
  <si>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</si>
  <si>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</si>
  <si>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</si>
  <si>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</si>
  <si>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</si>
  <si>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</si>
  <si>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</si>
  <si>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</si>
  <si>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</si>
  <si>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</si>
  <si>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</si>
  <si>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</si>
  <si>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</si>
  <si>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</si>
  <si>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</si>
  <si>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</si>
  <si>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</si>
  <si>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</si>
  <si>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</si>
  <si>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</si>
  <si>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</si>
  <si>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</si>
  <si>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</si>
  <si>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</si>
  <si>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</si>
  <si>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</si>
  <si>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</si>
  <si>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</si>
  <si>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</si>
  <si>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</si>
  <si>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</si>
  <si>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</si>
  <si>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</si>
  <si>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</si>
  <si>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</si>
  <si>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</si>
  <si>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</si>
  <si>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</si>
  <si>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</si>
  <si>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</si>
  <si>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</si>
  <si>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</si>
  <si>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</si>
  <si>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</si>
  <si>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</si>
  <si>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</si>
  <si>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</si>
  <si>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</si>
  <si>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</si>
  <si>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</si>
  <si>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</si>
  <si>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</si>
  <si>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</si>
  <si>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</si>
  <si>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</si>
  <si>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</si>
  <si>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</si>
  <si>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</si>
  <si>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</si>
  <si>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</si>
  <si>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</si>
  <si>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</si>
  <si>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</si>
  <si>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TOTAL
(Kg)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</si>
  <si>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</si>
  <si>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</si>
  <si>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</si>
  <si>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</si>
  <si>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</si>
  <si>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</si>
  <si>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</si>
  <si>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</si>
  <si>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</si>
  <si>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</si>
  <si>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</si>
  <si>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</si>
  <si>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</si>
  <si>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</si>
  <si>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</si>
  <si>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</si>
  <si>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</si>
  <si>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</si>
  <si>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</si>
  <si>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</si>
  <si>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</si>
  <si>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Maret</t>
  </si>
  <si>
    <t>m3</t>
  </si>
  <si>
    <t>Incoming 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</si>
</sst>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theme="4" tint="0.3999755851924192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4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166" fontId="2" fillId="0" borderId="0" xfId="0" applyNumberFormat="1" applyFont="1"/>
    <xf numFmtId="166" fontId="3" fillId="0" borderId="0" xfId="0" applyNumberFormat="1" applyFont="1"/>
    <xf numFmtId="0" fontId="3" fillId="0" borderId="0" xfId="0" applyFont="1"/>
    <xf numFmtId="172" fontId="3" fillId="0" borderId="2" xfId="1" applyNumberFormat="1" applyFont="1" applyFill="1" applyBorder="1"/>
    <xf numFmtId="41" fontId="2" fillId="0" borderId="0" xfId="0" applyNumberFormat="1" applyFont="1"/>
    <xf numFmtId="169" fontId="2" fillId="0" borderId="0" xfId="0" applyNumberFormat="1" applyFont="1"/>
    <xf numFmtId="43" fontId="2" fillId="0" borderId="0" xfId="0" applyNumberFormat="1" applyFont="1"/>
    <xf numFmtId="166" fontId="2" fillId="0" borderId="0" xfId="1" applyNumberFormat="1" applyFont="1"/>
    <xf numFmtId="0" fontId="3" fillId="2" borderId="14" xfId="0" applyFont="1" applyFill="1" applyBorder="1" applyAlignment="1">
      <alignment horizontal="center" vertical="center" wrapText="1"/>
    </xf>
    <xf numFmtId="0" fontId="2" fillId="5" borderId="0" xfId="0" applyFont="1" applyFill="1"/>
    <xf numFmtId="166" fontId="2" fillId="6" borderId="4" xfId="1" applyNumberFormat="1" applyFont="1" applyFill="1" applyBorder="1"/>
    <xf numFmtId="0" fontId="5" fillId="5" borderId="0" xfId="0" applyFont="1" applyFill="1"/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0" fontId="3" fillId="4" borderId="6" xfId="0" quotePrefix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0" fontId="3" fillId="6" borderId="4" xfId="0" quotePrefix="1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166" fontId="3" fillId="6" borderId="13" xfId="1" applyNumberFormat="1" applyFont="1" applyFill="1" applyBorder="1"/>
    <xf numFmtId="166" fontId="3" fillId="0" borderId="4" xfId="1" applyNumberFormat="1" applyFont="1" applyFill="1" applyBorder="1"/>
    <xf numFmtId="166" fontId="2" fillId="6" borderId="2" xfId="1" applyNumberFormat="1" applyFont="1" applyFill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0" fontId="3" fillId="2" borderId="2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4" borderId="28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 applyAlignment="1">
      <alignment horizontal="right" vertical="center"/>
    </xf>
    <xf numFmtId="166" fontId="2" fillId="4" borderId="17" xfId="1" applyNumberFormat="1" applyFont="1" applyFill="1" applyBorder="1"/>
    <xf numFmtId="166" fontId="2" fillId="4" borderId="29" xfId="1" applyNumberFormat="1" applyFont="1" applyFill="1" applyBorder="1"/>
    <xf numFmtId="0" fontId="3" fillId="4" borderId="13" xfId="0" quotePrefix="1" applyFont="1" applyFill="1" applyBorder="1"/>
    <xf numFmtId="0" fontId="3" fillId="0" borderId="3" xfId="0" applyFont="1" applyBorder="1" applyAlignment="1">
      <alignment horizontal="center"/>
    </xf>
    <xf numFmtId="0" fontId="7" fillId="0" borderId="28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3" fillId="5" borderId="6" xfId="1" applyNumberFormat="1" applyFont="1" applyFill="1" applyBorder="1"/>
    <xf numFmtId="166" fontId="2" fillId="0" borderId="17" xfId="1" applyNumberFormat="1" applyFont="1" applyFill="1" applyBorder="1"/>
    <xf numFmtId="166" fontId="2" fillId="0" borderId="29" xfId="1" applyNumberFormat="1" applyFont="1" applyFill="1" applyBorder="1"/>
    <xf numFmtId="0" fontId="8" fillId="0" borderId="3" xfId="0" applyFont="1" applyBorder="1"/>
    <xf numFmtId="0" fontId="2" fillId="0" borderId="8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2" fillId="0" borderId="18" xfId="1" applyNumberFormat="1" applyFont="1" applyFill="1" applyBorder="1"/>
    <xf numFmtId="166" fontId="2" fillId="0" borderId="30" xfId="1" applyNumberFormat="1" applyFont="1" applyFill="1" applyBorder="1"/>
    <xf numFmtId="166" fontId="2" fillId="0" borderId="3" xfId="0" applyNumberFormat="1" applyFont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18" xfId="1" applyNumberFormat="1" applyFont="1" applyFill="1" applyBorder="1"/>
    <xf numFmtId="166" fontId="2" fillId="6" borderId="30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0" fontId="2" fillId="0" borderId="8" xfId="0" quotePrefix="1" applyFont="1" applyBorder="1"/>
    <xf numFmtId="2" fontId="2" fillId="0" borderId="0" xfId="0" applyNumberFormat="1" applyFont="1"/>
    <xf numFmtId="165" fontId="2" fillId="0" borderId="18" xfId="2" applyNumberFormat="1" applyFont="1" applyFill="1" applyBorder="1"/>
    <xf numFmtId="165" fontId="2" fillId="0" borderId="30" xfId="2" applyNumberFormat="1" applyFont="1" applyFill="1" applyBorder="1"/>
    <xf numFmtId="164" fontId="2" fillId="0" borderId="3" xfId="0" applyNumberFormat="1" applyFont="1" applyBorder="1"/>
    <xf numFmtId="0" fontId="8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6" borderId="8" xfId="0" quotePrefix="1" applyFont="1" applyFill="1" applyBorder="1"/>
    <xf numFmtId="0" fontId="7" fillId="0" borderId="28" xfId="0" applyFont="1" applyBorder="1"/>
    <xf numFmtId="0" fontId="7" fillId="0" borderId="6" xfId="0" applyFont="1" applyBorder="1" applyAlignment="1">
      <alignment horizontal="center"/>
    </xf>
    <xf numFmtId="166" fontId="8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166" fontId="2" fillId="6" borderId="19" xfId="1" applyNumberFormat="1" applyFont="1" applyFill="1" applyBorder="1"/>
    <xf numFmtId="166" fontId="2" fillId="6" borderId="31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7" fillId="5" borderId="28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8" xfId="1" applyNumberFormat="1" applyFont="1" applyFill="1" applyBorder="1"/>
    <xf numFmtId="166" fontId="2" fillId="5" borderId="30" xfId="1" applyNumberFormat="1" applyFont="1" applyFill="1" applyBorder="1"/>
    <xf numFmtId="41" fontId="9" fillId="3" borderId="6" xfId="2" applyFont="1" applyFill="1" applyBorder="1" applyAlignment="1">
      <alignment horizontal="center"/>
    </xf>
    <xf numFmtId="166" fontId="3" fillId="0" borderId="6" xfId="1" applyNumberFormat="1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166" fontId="3" fillId="0" borderId="17" xfId="1" applyNumberFormat="1" applyFont="1" applyFill="1" applyBorder="1" applyAlignment="1">
      <alignment horizontal="center"/>
    </xf>
    <xf numFmtId="166" fontId="3" fillId="0" borderId="29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6" borderId="8" xfId="0" applyFont="1" applyFill="1" applyBorder="1" applyAlignment="1">
      <alignment vertical="center"/>
    </xf>
    <xf numFmtId="41" fontId="9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30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8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0" fontId="3" fillId="4" borderId="28" xfId="0" quotePrefix="1" applyFont="1" applyFill="1" applyBorder="1"/>
    <xf numFmtId="0" fontId="3" fillId="4" borderId="6" xfId="0" applyFont="1" applyFill="1" applyBorder="1" applyAlignment="1">
      <alignment horizontal="center"/>
    </xf>
    <xf numFmtId="0" fontId="3" fillId="5" borderId="18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28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2" xfId="0" quotePrefix="1" applyFont="1" applyBorder="1"/>
    <xf numFmtId="0" fontId="3" fillId="0" borderId="12" xfId="0" quotePrefix="1" applyFont="1" applyBorder="1" applyAlignment="1">
      <alignment horizontal="center"/>
    </xf>
    <xf numFmtId="0" fontId="2" fillId="0" borderId="35" xfId="0" applyFont="1" applyBorder="1"/>
    <xf numFmtId="0" fontId="3" fillId="0" borderId="11" xfId="0" quotePrefix="1" applyFont="1" applyBorder="1" applyAlignment="1">
      <alignment horizontal="center"/>
    </xf>
    <xf numFmtId="0" fontId="2" fillId="0" borderId="37" xfId="0" applyFont="1" applyBorder="1"/>
    <xf numFmtId="0" fontId="3" fillId="0" borderId="2" xfId="0" quotePrefix="1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8" xfId="0" quotePrefix="1" applyFont="1" applyFill="1" applyBorder="1"/>
    <xf numFmtId="0" fontId="3" fillId="5" borderId="6" xfId="0" quotePrefix="1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6" fontId="3" fillId="0" borderId="18" xfId="1" applyNumberFormat="1" applyFont="1" applyFill="1" applyBorder="1"/>
    <xf numFmtId="166" fontId="3" fillId="0" borderId="30" xfId="1" applyNumberFormat="1" applyFont="1" applyFill="1" applyBorder="1"/>
    <xf numFmtId="164" fontId="3" fillId="0" borderId="3" xfId="0" applyNumberFormat="1" applyFont="1" applyBorder="1"/>
    <xf numFmtId="0" fontId="3" fillId="0" borderId="8" xfId="0" quotePrefix="1" applyFont="1" applyBorder="1"/>
    <xf numFmtId="0" fontId="3" fillId="3" borderId="4" xfId="0" applyFont="1" applyFill="1" applyBorder="1" applyAlignment="1">
      <alignment horizontal="center"/>
    </xf>
    <xf numFmtId="0" fontId="4" fillId="0" borderId="8" xfId="0" quotePrefix="1" applyFont="1" applyBorder="1"/>
    <xf numFmtId="165" fontId="2" fillId="0" borderId="4" xfId="1" applyNumberFormat="1" applyFont="1" applyFill="1" applyBorder="1"/>
    <xf numFmtId="165" fontId="2" fillId="0" borderId="30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18" xfId="1" applyNumberFormat="1" applyFont="1" applyFill="1" applyBorder="1" applyAlignment="1">
      <alignment vertical="center"/>
    </xf>
    <xf numFmtId="166" fontId="2" fillId="0" borderId="30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38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2" fillId="0" borderId="3" xfId="0" applyNumberFormat="1" applyFont="1" applyBorder="1" applyAlignment="1">
      <alignment vertical="center"/>
    </xf>
    <xf numFmtId="166" fontId="2" fillId="0" borderId="0" xfId="1" applyNumberFormat="1" applyFont="1" applyFill="1" applyBorder="1"/>
    <xf numFmtId="166" fontId="2" fillId="0" borderId="0" xfId="1" applyNumberFormat="1" applyFont="1" applyFill="1" applyBorder="1" applyAlignment="1">
      <alignment vertical="center"/>
    </xf>
    <xf numFmtId="166" fontId="2" fillId="0" borderId="31" xfId="1" applyNumberFormat="1" applyFont="1" applyFill="1" applyBorder="1" applyAlignment="1">
      <alignment vertical="center"/>
    </xf>
    <xf numFmtId="166" fontId="2" fillId="4" borderId="17" xfId="1" applyNumberFormat="1" applyFont="1" applyFill="1" applyBorder="1" applyAlignment="1">
      <alignment vertical="center"/>
    </xf>
    <xf numFmtId="166" fontId="2" fillId="4" borderId="29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0" fontId="4" fillId="0" borderId="8" xfId="0" applyFont="1" applyBorder="1" applyAlignment="1">
      <alignment vertical="center"/>
    </xf>
    <xf numFmtId="166" fontId="2" fillId="0" borderId="7" xfId="0" applyNumberFormat="1" applyFont="1" applyBorder="1"/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8" xfId="1" applyNumberFormat="1" applyFont="1" applyFill="1" applyBorder="1"/>
    <xf numFmtId="166" fontId="2" fillId="4" borderId="30" xfId="1" applyNumberFormat="1" applyFont="1" applyFill="1" applyBorder="1"/>
    <xf numFmtId="166" fontId="2" fillId="0" borderId="3" xfId="1" applyNumberFormat="1" applyFont="1" applyFill="1" applyBorder="1"/>
    <xf numFmtId="0" fontId="2" fillId="6" borderId="28" xfId="0" applyFont="1" applyFill="1" applyBorder="1" applyAlignment="1">
      <alignment vertical="center"/>
    </xf>
    <xf numFmtId="0" fontId="2" fillId="6" borderId="37" xfId="0" applyFont="1" applyFill="1" applyBorder="1" applyAlignment="1">
      <alignment vertical="center"/>
    </xf>
    <xf numFmtId="166" fontId="2" fillId="6" borderId="7" xfId="0" applyNumberFormat="1" applyFont="1" applyFill="1" applyBorder="1"/>
    <xf numFmtId="0" fontId="3" fillId="6" borderId="26" xfId="0" applyFont="1" applyFill="1" applyBorder="1" applyAlignment="1">
      <alignment vertical="center"/>
    </xf>
    <xf numFmtId="168" fontId="2" fillId="0" borderId="18" xfId="1" applyNumberFormat="1" applyFont="1" applyFill="1" applyBorder="1"/>
    <xf numFmtId="168" fontId="2" fillId="0" borderId="30" xfId="1" applyNumberFormat="1" applyFont="1" applyFill="1" applyBorder="1"/>
    <xf numFmtId="173" fontId="2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4" fillId="0" borderId="3" xfId="0" applyFont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37" xfId="0" quotePrefix="1" applyFont="1" applyBorder="1"/>
    <xf numFmtId="168" fontId="3" fillId="0" borderId="2" xfId="1" applyNumberFormat="1" applyFont="1" applyFill="1" applyBorder="1"/>
    <xf numFmtId="168" fontId="3" fillId="0" borderId="31" xfId="1" applyNumberFormat="1" applyFont="1" applyFill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8" xfId="1" applyNumberFormat="1" applyFont="1" applyFill="1" applyBorder="1"/>
    <xf numFmtId="168" fontId="3" fillId="4" borderId="30" xfId="1" applyNumberFormat="1" applyFont="1" applyFill="1" applyBorder="1"/>
    <xf numFmtId="166" fontId="3" fillId="0" borderId="3" xfId="0" applyNumberFormat="1" applyFont="1" applyBorder="1"/>
    <xf numFmtId="166" fontId="3" fillId="3" borderId="4" xfId="1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11" fillId="0" borderId="0" xfId="0" applyFont="1"/>
    <xf numFmtId="0" fontId="11" fillId="5" borderId="0" xfId="0" applyFont="1" applyFill="1"/>
    <xf numFmtId="0" fontId="11" fillId="0" borderId="0" xfId="0" applyFont="1" applyAlignment="1">
      <alignment vertical="center"/>
    </xf>
    <xf numFmtId="0" fontId="2" fillId="0" borderId="42" xfId="0" applyFont="1" applyBorder="1"/>
    <xf numFmtId="0" fontId="2" fillId="8" borderId="4" xfId="0" applyFont="1" applyFill="1" applyBorder="1"/>
    <xf numFmtId="0" fontId="2" fillId="0" borderId="4" xfId="0" applyFont="1" applyBorder="1"/>
    <xf numFmtId="0" fontId="2" fillId="0" borderId="30" xfId="0" applyFont="1" applyBorder="1"/>
    <xf numFmtId="0" fontId="3" fillId="0" borderId="42" xfId="0" applyFont="1" applyBorder="1"/>
    <xf numFmtId="0" fontId="3" fillId="0" borderId="4" xfId="0" applyFont="1" applyBorder="1"/>
    <xf numFmtId="0" fontId="2" fillId="0" borderId="43" xfId="0" applyFont="1" applyBorder="1"/>
    <xf numFmtId="0" fontId="2" fillId="8" borderId="16" xfId="0" applyFont="1" applyFill="1" applyBorder="1"/>
    <xf numFmtId="0" fontId="3" fillId="5" borderId="16" xfId="0" applyFont="1" applyFill="1" applyBorder="1" applyAlignment="1">
      <alignment horizontal="center"/>
    </xf>
    <xf numFmtId="0" fontId="2" fillId="0" borderId="16" xfId="0" applyFont="1" applyBorder="1"/>
    <xf numFmtId="0" fontId="2" fillId="0" borderId="39" xfId="0" applyFont="1" applyBorder="1"/>
    <xf numFmtId="166" fontId="3" fillId="0" borderId="3" xfId="1" applyNumberFormat="1" applyFont="1" applyBorder="1"/>
    <xf numFmtId="0" fontId="3" fillId="0" borderId="20" xfId="0" applyFont="1" applyBorder="1" applyAlignment="1">
      <alignment horizontal="center"/>
    </xf>
    <xf numFmtId="164" fontId="2" fillId="0" borderId="6" xfId="1" applyNumberFormat="1" applyFont="1" applyFill="1" applyBorder="1"/>
    <xf numFmtId="164" fontId="2" fillId="0" borderId="4" xfId="1" applyNumberFormat="1" applyFont="1" applyFill="1" applyBorder="1"/>
    <xf numFmtId="164" fontId="2" fillId="0" borderId="30" xfId="1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right"/>
    </xf>
    <xf numFmtId="164" fontId="2" fillId="5" borderId="4" xfId="1" applyNumberFormat="1" applyFont="1" applyFill="1" applyBorder="1"/>
    <xf numFmtId="164" fontId="2" fillId="7" borderId="3" xfId="1" applyNumberFormat="1" applyFont="1" applyFill="1" applyBorder="1"/>
    <xf numFmtId="164" fontId="2" fillId="5" borderId="30" xfId="1" applyNumberFormat="1" applyFont="1" applyFill="1" applyBorder="1"/>
    <xf numFmtId="164" fontId="2" fillId="0" borderId="0" xfId="1" applyNumberFormat="1" applyFont="1" applyFill="1" applyBorder="1"/>
    <xf numFmtId="164" fontId="2" fillId="0" borderId="18" xfId="1" applyNumberFormat="1" applyFont="1" applyFill="1" applyBorder="1"/>
    <xf numFmtId="164" fontId="2" fillId="0" borderId="4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7" xfId="1" applyNumberFormat="1" applyFont="1" applyFill="1" applyBorder="1"/>
    <xf numFmtId="164" fontId="2" fillId="4" borderId="29" xfId="1" applyNumberFormat="1" applyFont="1" applyFill="1" applyBorder="1"/>
    <xf numFmtId="164" fontId="2" fillId="0" borderId="38" xfId="1" applyNumberFormat="1" applyFont="1" applyFill="1" applyBorder="1"/>
    <xf numFmtId="164" fontId="3" fillId="0" borderId="4" xfId="1" applyNumberFormat="1" applyFont="1" applyFill="1" applyBorder="1"/>
    <xf numFmtId="164" fontId="3" fillId="0" borderId="18" xfId="1" applyNumberFormat="1" applyFont="1" applyFill="1" applyBorder="1"/>
    <xf numFmtId="164" fontId="3" fillId="0" borderId="30" xfId="1" applyNumberFormat="1" applyFont="1" applyFill="1" applyBorder="1"/>
    <xf numFmtId="164" fontId="3" fillId="0" borderId="0" xfId="1" applyNumberFormat="1" applyFont="1" applyFill="1" applyBorder="1"/>
    <xf numFmtId="164" fontId="2" fillId="0" borderId="18" xfId="1" applyNumberFormat="1" applyFont="1" applyFill="1" applyBorder="1" applyAlignment="1">
      <alignment vertical="center"/>
    </xf>
    <xf numFmtId="164" fontId="2" fillId="0" borderId="3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2" fillId="4" borderId="17" xfId="1" applyNumberFormat="1" applyFont="1" applyFill="1" applyBorder="1" applyAlignment="1">
      <alignment horizontal="center"/>
    </xf>
    <xf numFmtId="164" fontId="2" fillId="4" borderId="29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30" xfId="1" applyNumberFormat="1" applyFont="1" applyFill="1" applyBorder="1"/>
    <xf numFmtId="164" fontId="2" fillId="6" borderId="2" xfId="1" applyNumberFormat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31" xfId="1" applyNumberFormat="1" applyFont="1" applyFill="1" applyBorder="1"/>
    <xf numFmtId="164" fontId="2" fillId="6" borderId="14" xfId="1" applyNumberFormat="1" applyFont="1" applyFill="1" applyBorder="1" applyAlignment="1">
      <alignment horizontal="center"/>
    </xf>
    <xf numFmtId="164" fontId="2" fillId="6" borderId="14" xfId="1" applyNumberFormat="1" applyFont="1" applyFill="1" applyBorder="1"/>
    <xf numFmtId="164" fontId="2" fillId="6" borderId="27" xfId="1" applyNumberFormat="1" applyFont="1" applyFill="1" applyBorder="1"/>
    <xf numFmtId="164" fontId="3" fillId="3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vertical="center"/>
    </xf>
    <xf numFmtId="164" fontId="10" fillId="0" borderId="4" xfId="1" applyNumberFormat="1" applyFont="1" applyFill="1" applyBorder="1" applyAlignment="1">
      <alignment vertical="center"/>
    </xf>
    <xf numFmtId="164" fontId="3" fillId="0" borderId="18" xfId="1" applyNumberFormat="1" applyFont="1" applyFill="1" applyBorder="1" applyAlignment="1">
      <alignment vertical="center"/>
    </xf>
    <xf numFmtId="164" fontId="3" fillId="0" borderId="30" xfId="1" applyNumberFormat="1" applyFont="1" applyFill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5" fontId="2" fillId="0" borderId="0" xfId="0" applyNumberFormat="1" applyFont="1"/>
    <xf numFmtId="164" fontId="2" fillId="0" borderId="4" xfId="1" applyNumberFormat="1" applyFont="1" applyBorder="1"/>
    <xf numFmtId="166" fontId="2" fillId="0" borderId="0" xfId="0" applyNumberFormat="1" applyFont="1" applyAlignment="1">
      <alignment vertical="center"/>
    </xf>
    <xf numFmtId="0" fontId="9" fillId="3" borderId="6" xfId="0" applyFont="1" applyFill="1" applyBorder="1" applyAlignment="1">
      <alignment horizontal="center"/>
    </xf>
    <xf numFmtId="176" fontId="2" fillId="0" borderId="6" xfId="1" applyNumberFormat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4" borderId="5" xfId="0" applyFont="1" applyFill="1" applyBorder="1"/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33" xfId="1" applyNumberFormat="1" applyFont="1" applyFill="1" applyBorder="1"/>
    <xf numFmtId="166" fontId="2" fillId="0" borderId="34" xfId="1" applyNumberFormat="1" applyFont="1" applyFill="1" applyBorder="1"/>
    <xf numFmtId="166" fontId="2" fillId="0" borderId="9" xfId="0" applyNumberFormat="1" applyFont="1" applyBorder="1"/>
    <xf numFmtId="0" fontId="2" fillId="3" borderId="11" xfId="0" applyFont="1" applyFill="1" applyBorder="1" applyAlignment="1">
      <alignment horizontal="center"/>
    </xf>
    <xf numFmtId="1" fontId="2" fillId="0" borderId="0" xfId="0" applyNumberFormat="1" applyFont="1"/>
    <xf numFmtId="175" fontId="2" fillId="0" borderId="4" xfId="1" applyNumberFormat="1" applyFont="1" applyFill="1" applyBorder="1"/>
    <xf numFmtId="175" fontId="2" fillId="0" borderId="30" xfId="1" applyNumberFormat="1" applyFont="1" applyFill="1" applyBorder="1"/>
    <xf numFmtId="175" fontId="2" fillId="0" borderId="3" xfId="1" applyNumberFormat="1" applyFont="1" applyBorder="1"/>
    <xf numFmtId="173" fontId="2" fillId="3" borderId="6" xfId="1" applyNumberFormat="1" applyFont="1" applyFill="1" applyBorder="1" applyAlignment="1">
      <alignment horizontal="center"/>
    </xf>
    <xf numFmtId="174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5" fontId="2" fillId="5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41" fontId="2" fillId="0" borderId="4" xfId="2" applyFont="1" applyFill="1" applyBorder="1"/>
    <xf numFmtId="41" fontId="2" fillId="0" borderId="30" xfId="2" applyFont="1" applyFill="1" applyBorder="1"/>
    <xf numFmtId="165" fontId="3" fillId="5" borderId="3" xfId="2" applyNumberFormat="1" applyFont="1" applyFill="1" applyBorder="1"/>
    <xf numFmtId="0" fontId="2" fillId="4" borderId="6" xfId="0" quotePrefix="1" applyFont="1" applyFill="1" applyBorder="1" applyAlignment="1">
      <alignment horizontal="center"/>
    </xf>
    <xf numFmtId="0" fontId="2" fillId="4" borderId="17" xfId="0" quotePrefix="1" applyFont="1" applyFill="1" applyBorder="1" applyAlignment="1">
      <alignment horizontal="center"/>
    </xf>
    <xf numFmtId="0" fontId="2" fillId="4" borderId="29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166" fontId="2" fillId="6" borderId="5" xfId="0" applyNumberFormat="1" applyFont="1" applyFill="1" applyBorder="1"/>
    <xf numFmtId="165" fontId="3" fillId="6" borderId="26" xfId="2" applyNumberFormat="1" applyFont="1" applyFill="1" applyBorder="1" applyAlignment="1">
      <alignment horizontal="left" vertical="top"/>
    </xf>
    <xf numFmtId="165" fontId="3" fillId="6" borderId="14" xfId="2" quotePrefix="1" applyNumberFormat="1" applyFont="1" applyFill="1" applyBorder="1" applyAlignment="1">
      <alignment horizontal="center"/>
    </xf>
    <xf numFmtId="165" fontId="3" fillId="6" borderId="14" xfId="2" applyNumberFormat="1" applyFont="1" applyFill="1" applyBorder="1"/>
    <xf numFmtId="165" fontId="3" fillId="6" borderId="27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14" fillId="0" borderId="4" xfId="1" applyNumberFormat="1" applyFont="1" applyFill="1" applyBorder="1"/>
    <xf numFmtId="168" fontId="2" fillId="0" borderId="3" xfId="0" applyNumberFormat="1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68" fontId="2" fillId="0" borderId="38" xfId="1" applyNumberFormat="1" applyFont="1" applyFill="1" applyBorder="1"/>
    <xf numFmtId="168" fontId="3" fillId="0" borderId="7" xfId="0" applyNumberFormat="1" applyFont="1" applyBorder="1"/>
    <xf numFmtId="167" fontId="4" fillId="0" borderId="3" xfId="0" applyNumberFormat="1" applyFont="1" applyBorder="1"/>
    <xf numFmtId="166" fontId="4" fillId="0" borderId="3" xfId="0" applyNumberFormat="1" applyFont="1" applyBorder="1" applyAlignment="1">
      <alignment vertical="center"/>
    </xf>
    <xf numFmtId="0" fontId="3" fillId="5" borderId="3" xfId="0" quotePrefix="1" applyFont="1" applyFill="1" applyBorder="1"/>
    <xf numFmtId="166" fontId="2" fillId="0" borderId="4" xfId="1" applyNumberFormat="1" applyFont="1" applyBorder="1"/>
    <xf numFmtId="177" fontId="2" fillId="0" borderId="3" xfId="1" applyNumberFormat="1" applyFont="1" applyBorder="1"/>
    <xf numFmtId="166" fontId="2" fillId="0" borderId="1" xfId="1" applyNumberFormat="1" applyFont="1" applyBorder="1"/>
    <xf numFmtId="164" fontId="2" fillId="0" borderId="3" xfId="1" applyNumberFormat="1" applyFont="1" applyFill="1" applyBorder="1"/>
    <xf numFmtId="164" fontId="2" fillId="5" borderId="13" xfId="1" applyNumberFormat="1" applyFont="1" applyFill="1" applyBorder="1"/>
    <xf numFmtId="164" fontId="2" fillId="0" borderId="10" xfId="1" applyNumberFormat="1" applyFont="1" applyFill="1" applyBorder="1"/>
    <xf numFmtId="164" fontId="2" fillId="3" borderId="12" xfId="1" applyNumberFormat="1" applyFont="1" applyFill="1" applyBorder="1" applyAlignment="1">
      <alignment horizontal="center"/>
    </xf>
    <xf numFmtId="164" fontId="2" fillId="0" borderId="11" xfId="1" applyNumberFormat="1" applyFont="1" applyFill="1" applyBorder="1"/>
    <xf numFmtId="164" fontId="2" fillId="0" borderId="36" xfId="1" applyNumberFormat="1" applyFont="1" applyFill="1" applyBorder="1"/>
    <xf numFmtId="164" fontId="5" fillId="0" borderId="6" xfId="1" applyNumberFormat="1" applyFont="1" applyFill="1" applyBorder="1"/>
    <xf numFmtId="164" fontId="5" fillId="0" borderId="29" xfId="1" applyNumberFormat="1" applyFont="1" applyFill="1" applyBorder="1"/>
    <xf numFmtId="164" fontId="5" fillId="0" borderId="5" xfId="1" applyNumberFormat="1" applyFont="1" applyFill="1" applyBorder="1"/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29" xfId="1" applyNumberFormat="1" applyFont="1" applyFill="1" applyBorder="1"/>
    <xf numFmtId="177" fontId="2" fillId="0" borderId="16" xfId="1" applyNumberFormat="1" applyFont="1" applyBorder="1"/>
    <xf numFmtId="166" fontId="2" fillId="0" borderId="4" xfId="0" applyNumberFormat="1" applyFont="1" applyBorder="1"/>
    <xf numFmtId="164" fontId="2" fillId="0" borderId="4" xfId="0" applyNumberFormat="1" applyFont="1" applyBorder="1"/>
    <xf numFmtId="164" fontId="2" fillId="0" borderId="16" xfId="0" applyNumberFormat="1" applyFont="1" applyBorder="1"/>
    <xf numFmtId="41" fontId="2" fillId="5" borderId="0" xfId="0" applyNumberFormat="1" applyFont="1" applyFill="1"/>
    <xf numFmtId="41" fontId="2" fillId="0" borderId="0" xfId="0" applyNumberFormat="1" applyFont="1" applyAlignment="1">
      <alignment vertical="center"/>
    </xf>
    <xf numFmtId="41" fontId="5" fillId="5" borderId="0" xfId="0" applyNumberFormat="1" applyFont="1" applyFill="1"/>
    <xf numFmtId="41" fontId="3" fillId="0" borderId="0" xfId="0" applyNumberFormat="1" applyFont="1"/>
    <xf numFmtId="0" fontId="2" fillId="0" borderId="30" xfId="1" applyNumberFormat="1" applyFont="1" applyFill="1" applyBorder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2" borderId="24" xfId="0" applyFont="1" applyFill="1" applyBorder="1" applyAlignment="1"/>
    <xf numFmtId="0" fontId="6" fillId="2" borderId="25" xfId="0" applyFont="1" applyFill="1" applyBorder="1" applyAlignment="1"/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OS281"/>
  <sheetViews>
    <sheetView tabSelected="1" view="pageBreakPreview" topLeftCell="A210" zoomScale="70" zoomScaleNormal="80" zoomScaleSheetLayoutView="70" workbookViewId="0">
      <selection activeCell="G258" sqref="G258"/>
    </sheetView>
  </sheetViews>
  <sheetFormatPr defaultColWidth="9" defaultRowHeight="15" x14ac:dyDescent="0.25"/>
  <cols>
    <col min="1" max="1" width="6.42578125" style="3" customWidth="1"/>
    <col min="2" max="2" width="4.7109375" style="38" customWidth="1"/>
    <col min="3" max="3" width="36.85546875" style="3" customWidth="1"/>
    <col min="4" max="4" width="14.7109375" style="3" customWidth="1"/>
    <col min="5" max="5" width="8.140625" style="14" customWidth="1"/>
    <col min="6" max="6" width="13.5703125" style="3" customWidth="1"/>
    <col min="7" max="7" width="15.28515625" style="3" customWidth="1"/>
    <col min="8" max="8" width="13.5703125" style="3" customWidth="1"/>
    <col min="9" max="11" width="14.5703125" style="3" customWidth="1"/>
    <col min="12" max="14" width="13.5703125" style="3" customWidth="1"/>
    <col min="15" max="15" width="15.140625" style="3" customWidth="1"/>
    <col min="16" max="17" width="13.5703125" style="3" customWidth="1"/>
    <col min="18" max="18" width="14.28515625" style="3" customWidth="1"/>
    <col min="19" max="19" width="14.5703125" style="3" customWidth="1"/>
    <col min="20" max="22" width="13.5703125" style="3" customWidth="1"/>
    <col min="23" max="23" width="15.7109375" style="3" customWidth="1"/>
    <col min="24" max="28" width="13.5703125" style="3" customWidth="1"/>
    <col min="29" max="29" width="13.140625" style="3" customWidth="1"/>
    <col min="30" max="36" width="13.5703125" style="3" customWidth="1"/>
    <col min="37" max="37" width="9.42578125" style="3" customWidth="1"/>
    <col min="38" max="38" width="25.7109375" style="3" customWidth="1"/>
    <col min="39" max="39" width="9" style="3"/>
    <col min="40" max="40" width="12.42578125" style="3" bestFit="1" customWidth="1"/>
    <col min="41" max="14888" width="9" style="3"/>
    <col min="14889" max="16384" width="9" style="190"/>
  </cols>
  <sheetData>
    <row r="1" spans="2:107" x14ac:dyDescent="0.25">
      <c r="B1" s="35"/>
      <c r="R1" s="3">
        <v>1242.3240000000001</v>
      </c>
      <c r="DC1" s="16"/>
    </row>
    <row r="2" spans="2:107" ht="18" x14ac:dyDescent="0.25">
      <c r="B2" s="328" t="s">
        <v>96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6"/>
      <c r="DC2" s="16"/>
    </row>
    <row r="3" spans="2:107" x14ac:dyDescent="0.25">
      <c r="B3" s="37"/>
      <c r="Y3" s="12"/>
      <c r="DC3" s="16"/>
    </row>
    <row r="4" spans="2:107" ht="15.75" thickBot="1" x14ac:dyDescent="0.3">
      <c r="C4" s="39"/>
      <c r="D4" s="19"/>
      <c r="Z4" s="12"/>
      <c r="AB4" s="12"/>
      <c r="DC4" s="16"/>
    </row>
    <row r="5" spans="2:107" ht="15" customHeight="1" x14ac:dyDescent="0.25">
      <c r="B5" s="333" t="s">
        <v>110</v>
      </c>
      <c r="C5" s="335" t="s">
        <v>111</v>
      </c>
      <c r="D5" s="337" t="s">
        <v>112</v>
      </c>
      <c r="E5" s="339" t="s">
        <v>113</v>
      </c>
      <c r="F5" s="329" t="s">
        <v>136</v>
      </c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42"/>
      <c r="AG5" s="342"/>
      <c r="AH5" s="342"/>
      <c r="AI5" s="342"/>
      <c r="AJ5" s="343"/>
      <c r="AL5" s="331" t="s">
        <v>114</v>
      </c>
      <c r="DC5" s="16"/>
    </row>
    <row r="6" spans="2:107" x14ac:dyDescent="0.25">
      <c r="B6" s="334"/>
      <c r="C6" s="336"/>
      <c r="D6" s="338"/>
      <c r="E6" s="340"/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  <c r="N6" s="20">
        <v>9</v>
      </c>
      <c r="O6" s="20">
        <v>10</v>
      </c>
      <c r="P6" s="20">
        <v>11</v>
      </c>
      <c r="Q6" s="20">
        <v>12</v>
      </c>
      <c r="R6" s="20">
        <v>13</v>
      </c>
      <c r="S6" s="20">
        <v>14</v>
      </c>
      <c r="T6" s="20">
        <v>15</v>
      </c>
      <c r="U6" s="20">
        <v>16</v>
      </c>
      <c r="V6" s="20">
        <v>17</v>
      </c>
      <c r="W6" s="20">
        <v>18</v>
      </c>
      <c r="X6" s="20">
        <v>19</v>
      </c>
      <c r="Y6" s="20">
        <v>20</v>
      </c>
      <c r="Z6" s="20">
        <v>21</v>
      </c>
      <c r="AA6" s="20">
        <v>22</v>
      </c>
      <c r="AB6" s="20">
        <v>23</v>
      </c>
      <c r="AC6" s="20">
        <v>24</v>
      </c>
      <c r="AD6" s="20">
        <v>25</v>
      </c>
      <c r="AE6" s="20">
        <v>26</v>
      </c>
      <c r="AF6" s="20">
        <v>27</v>
      </c>
      <c r="AG6" s="40">
        <v>28</v>
      </c>
      <c r="AH6" s="40">
        <v>29</v>
      </c>
      <c r="AI6" s="40">
        <v>30</v>
      </c>
      <c r="AJ6" s="41">
        <v>31</v>
      </c>
      <c r="AL6" s="332"/>
      <c r="DC6" s="16"/>
    </row>
    <row r="7" spans="2:107" x14ac:dyDescent="0.25">
      <c r="B7" s="42">
        <v>1</v>
      </c>
      <c r="C7" s="43" t="s">
        <v>95</v>
      </c>
      <c r="D7" s="44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45"/>
      <c r="AD7" s="25"/>
      <c r="AE7" s="25"/>
      <c r="AF7" s="25"/>
      <c r="AG7" s="46"/>
      <c r="AH7" s="46"/>
      <c r="AI7" s="46"/>
      <c r="AJ7" s="47"/>
      <c r="AK7" s="12"/>
      <c r="AL7" s="48" t="s">
        <v>94</v>
      </c>
      <c r="DC7" s="16"/>
    </row>
    <row r="8" spans="2:107" x14ac:dyDescent="0.25">
      <c r="B8" s="49"/>
      <c r="C8" s="50" t="s">
        <v>18</v>
      </c>
      <c r="D8" s="51"/>
      <c r="E8" s="52"/>
      <c r="F8" s="53"/>
      <c r="G8" s="206"/>
      <c r="H8" s="53"/>
      <c r="I8" s="53"/>
      <c r="J8" s="54"/>
      <c r="K8" s="53"/>
      <c r="L8" s="53"/>
      <c r="M8" s="53"/>
      <c r="N8" s="53"/>
      <c r="O8" s="53"/>
      <c r="P8" s="53"/>
      <c r="Q8" s="53"/>
      <c r="R8" s="53"/>
      <c r="S8" s="53"/>
      <c r="T8" s="54"/>
      <c r="U8" s="55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6"/>
      <c r="AH8" s="56"/>
      <c r="AI8" s="56"/>
      <c r="AJ8" s="57"/>
      <c r="AK8" s="12"/>
      <c r="AL8" s="58" t="s">
        <v>18</v>
      </c>
      <c r="DC8" s="16"/>
    </row>
    <row r="9" spans="2:107" x14ac:dyDescent="0.25">
      <c r="B9" s="49"/>
      <c r="C9" s="59" t="s">
        <v>93</v>
      </c>
      <c r="D9" s="60"/>
      <c r="E9" s="61" t="s">
        <v>92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/>
      <c r="AG9" s="62"/>
      <c r="AH9" s="62"/>
      <c r="AI9" s="62"/>
      <c r="AJ9" s="63">
        <v>1</v>
      </c>
      <c r="AK9" s="12"/>
      <c r="AL9" s="64">
        <v>27</v>
      </c>
      <c r="DC9" s="16"/>
    </row>
    <row r="10" spans="2:107" x14ac:dyDescent="0.25">
      <c r="B10" s="49"/>
      <c r="C10" s="59" t="s">
        <v>138</v>
      </c>
      <c r="D10" s="60"/>
      <c r="E10" s="61" t="s">
        <v>16</v>
      </c>
      <c r="F10" s="1">
        <v>1132360</v>
      </c>
      <c r="G10" s="1">
        <v>1208909</v>
      </c>
      <c r="H10" s="1">
        <v>658440</v>
      </c>
      <c r="I10" s="1">
        <v>518109</v>
      </c>
      <c r="J10" s="1">
        <v>331517</v>
      </c>
      <c r="K10" s="1">
        <v>1782545</v>
      </c>
      <c r="L10" s="1">
        <v>920168</v>
      </c>
      <c r="M10" s="1">
        <v>706286</v>
      </c>
      <c r="N10" s="1">
        <v>1683066</v>
      </c>
      <c r="O10" s="1">
        <v>81880</v>
      </c>
      <c r="P10" s="1">
        <v>776879</v>
      </c>
      <c r="Q10" s="1">
        <v>683915</v>
      </c>
      <c r="R10" s="1">
        <v>567886</v>
      </c>
      <c r="S10" s="1">
        <v>566513</v>
      </c>
      <c r="T10" s="1">
        <v>644904</v>
      </c>
      <c r="U10" s="1">
        <v>831475</v>
      </c>
      <c r="V10" s="1"/>
      <c r="W10" s="1"/>
      <c r="X10" s="1">
        <v>20711</v>
      </c>
      <c r="Y10" s="1">
        <v>395976</v>
      </c>
      <c r="Z10" s="1">
        <v>312512</v>
      </c>
      <c r="AA10" s="1">
        <v>195240</v>
      </c>
      <c r="AB10" s="1">
        <v>647271</v>
      </c>
      <c r="AC10" s="1">
        <v>50410</v>
      </c>
      <c r="AD10" s="1">
        <v>157371</v>
      </c>
      <c r="AE10" s="1">
        <v>465510</v>
      </c>
      <c r="AF10" s="1">
        <v>806800</v>
      </c>
      <c r="AG10" s="62">
        <v>343200</v>
      </c>
      <c r="AH10" s="62">
        <v>0</v>
      </c>
      <c r="AI10" s="62">
        <v>137500</v>
      </c>
      <c r="AJ10" s="63"/>
      <c r="AK10" s="12"/>
      <c r="AL10" s="64">
        <v>16627353</v>
      </c>
      <c r="DC10" s="16"/>
    </row>
    <row r="11" spans="2:107" x14ac:dyDescent="0.25">
      <c r="B11" s="49"/>
      <c r="C11" s="59" t="s">
        <v>115</v>
      </c>
      <c r="D11" s="60"/>
      <c r="E11" s="5" t="s">
        <v>29</v>
      </c>
      <c r="F11" s="207">
        <v>10.658090909090909</v>
      </c>
      <c r="G11" s="207">
        <v>43.536090909090909</v>
      </c>
      <c r="H11" s="207">
        <v>21.4895</v>
      </c>
      <c r="I11" s="207">
        <v>26.044863636363637</v>
      </c>
      <c r="J11" s="207">
        <v>39.314363636363638</v>
      </c>
      <c r="K11" s="207">
        <v>4.987772727272727</v>
      </c>
      <c r="L11" s="207">
        <v>22.057590909090909</v>
      </c>
      <c r="M11" s="207">
        <v>41.894863636363631</v>
      </c>
      <c r="N11" s="207">
        <v>53.083136363636363</v>
      </c>
      <c r="O11" s="207">
        <v>53.338818181818183</v>
      </c>
      <c r="P11" s="207">
        <v>51.085272727272738</v>
      </c>
      <c r="Q11" s="207">
        <v>18.249000000000002</v>
      </c>
      <c r="R11" s="207">
        <v>40.373136363636362</v>
      </c>
      <c r="S11" s="207">
        <v>41.130772727272728</v>
      </c>
      <c r="T11" s="207">
        <v>52.267772727272721</v>
      </c>
      <c r="U11" s="207">
        <v>59.931045454545448</v>
      </c>
      <c r="V11" s="207">
        <v>40.105454545454542</v>
      </c>
      <c r="W11" s="207">
        <v>2.7889090909090912</v>
      </c>
      <c r="X11" s="207">
        <v>50.857090909090907</v>
      </c>
      <c r="Y11" s="207">
        <v>26.979545454545455</v>
      </c>
      <c r="Z11" s="207">
        <v>0</v>
      </c>
      <c r="AA11" s="207">
        <v>15.965727272727273</v>
      </c>
      <c r="AB11" s="207">
        <v>13.856136363636365</v>
      </c>
      <c r="AC11" s="207">
        <v>25.856545454545454</v>
      </c>
      <c r="AD11" s="207">
        <v>7.6214090909090908</v>
      </c>
      <c r="AE11" s="207">
        <v>0</v>
      </c>
      <c r="AF11" s="207">
        <v>0</v>
      </c>
      <c r="AG11" s="207">
        <v>0</v>
      </c>
      <c r="AH11" s="207">
        <v>0</v>
      </c>
      <c r="AI11" s="207">
        <v>0</v>
      </c>
      <c r="AJ11" s="208">
        <v>8.5220909090909078</v>
      </c>
      <c r="AK11" s="12"/>
      <c r="AL11" s="305">
        <v>24.903064516129028</v>
      </c>
      <c r="DC11" s="16"/>
    </row>
    <row r="12" spans="2:107" s="3" customFormat="1" x14ac:dyDescent="0.25">
      <c r="B12" s="49"/>
      <c r="C12" s="65" t="s">
        <v>107</v>
      </c>
      <c r="D12" s="66">
        <v>39088000</v>
      </c>
      <c r="E12" s="67" t="s">
        <v>16</v>
      </c>
      <c r="F12" s="22">
        <v>234478</v>
      </c>
      <c r="G12" s="22">
        <v>957794</v>
      </c>
      <c r="H12" s="22">
        <v>472769</v>
      </c>
      <c r="I12" s="22">
        <v>572987</v>
      </c>
      <c r="J12" s="22">
        <v>864916</v>
      </c>
      <c r="K12" s="22">
        <v>109731</v>
      </c>
      <c r="L12" s="22">
        <v>485267</v>
      </c>
      <c r="M12" s="22">
        <v>921687</v>
      </c>
      <c r="N12" s="22">
        <v>1167829</v>
      </c>
      <c r="O12" s="22">
        <v>1173454</v>
      </c>
      <c r="P12" s="22">
        <v>1123876</v>
      </c>
      <c r="Q12" s="22">
        <v>401478</v>
      </c>
      <c r="R12" s="22">
        <v>888209</v>
      </c>
      <c r="S12" s="22">
        <v>904877</v>
      </c>
      <c r="T12" s="22">
        <v>1149891</v>
      </c>
      <c r="U12" s="22">
        <v>1318483</v>
      </c>
      <c r="V12" s="22">
        <v>882320</v>
      </c>
      <c r="W12" s="22">
        <v>61356</v>
      </c>
      <c r="X12" s="22">
        <v>1118856</v>
      </c>
      <c r="Y12" s="22">
        <v>593550</v>
      </c>
      <c r="Z12" s="22"/>
      <c r="AA12" s="22">
        <v>351246</v>
      </c>
      <c r="AB12" s="22">
        <v>304835</v>
      </c>
      <c r="AC12" s="22">
        <v>568844</v>
      </c>
      <c r="AD12" s="22">
        <v>167671</v>
      </c>
      <c r="AE12" s="22"/>
      <c r="AF12" s="22"/>
      <c r="AG12" s="68"/>
      <c r="AH12" s="68"/>
      <c r="AI12" s="68"/>
      <c r="AJ12" s="69">
        <v>187486</v>
      </c>
      <c r="AL12" s="70">
        <v>16983890</v>
      </c>
      <c r="BV12" s="16"/>
      <c r="DC12" s="16"/>
    </row>
    <row r="13" spans="2:107" s="3" customFormat="1" x14ac:dyDescent="0.25">
      <c r="B13" s="49"/>
      <c r="C13" s="65" t="s">
        <v>108</v>
      </c>
      <c r="D13" s="66">
        <v>33181000</v>
      </c>
      <c r="E13" s="67" t="s">
        <v>16</v>
      </c>
      <c r="F13" s="22">
        <v>23488.660777479905</v>
      </c>
      <c r="G13" s="22">
        <v>957794</v>
      </c>
      <c r="H13" s="22">
        <v>472769</v>
      </c>
      <c r="I13" s="22">
        <v>572987</v>
      </c>
      <c r="J13" s="22">
        <v>864916</v>
      </c>
      <c r="K13" s="22">
        <v>-13529.747811412308</v>
      </c>
      <c r="L13" s="22">
        <v>485267</v>
      </c>
      <c r="M13" s="22">
        <v>921687</v>
      </c>
      <c r="N13" s="22">
        <v>1167829</v>
      </c>
      <c r="O13" s="22">
        <v>1173454</v>
      </c>
      <c r="P13" s="22">
        <v>1123876</v>
      </c>
      <c r="Q13" s="22">
        <v>401478</v>
      </c>
      <c r="R13" s="22">
        <v>888209</v>
      </c>
      <c r="S13" s="22">
        <v>904877</v>
      </c>
      <c r="T13" s="22">
        <v>696307.39794187853</v>
      </c>
      <c r="U13" s="22">
        <v>1189980.1744121327</v>
      </c>
      <c r="V13" s="22">
        <v>882320</v>
      </c>
      <c r="W13" s="22">
        <v>61356</v>
      </c>
      <c r="X13" s="22">
        <v>1118856</v>
      </c>
      <c r="Y13" s="22">
        <v>593550</v>
      </c>
      <c r="Z13" s="22">
        <v>0</v>
      </c>
      <c r="AA13" s="22">
        <v>351246</v>
      </c>
      <c r="AB13" s="22">
        <v>304835</v>
      </c>
      <c r="AC13" s="22">
        <v>568844</v>
      </c>
      <c r="AD13" s="22">
        <v>167671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69">
        <v>187486</v>
      </c>
      <c r="AL13" s="71">
        <v>16067553.485320078</v>
      </c>
      <c r="DC13" s="16"/>
    </row>
    <row r="14" spans="2:107" s="3" customFormat="1" x14ac:dyDescent="0.25">
      <c r="B14" s="49"/>
      <c r="C14" s="65" t="s">
        <v>109</v>
      </c>
      <c r="D14" s="66">
        <v>5907000</v>
      </c>
      <c r="E14" s="67" t="s">
        <v>16</v>
      </c>
      <c r="F14" s="22">
        <v>210989.3392225201</v>
      </c>
      <c r="G14" s="22">
        <v>0</v>
      </c>
      <c r="H14" s="22">
        <v>0</v>
      </c>
      <c r="I14" s="22">
        <v>0</v>
      </c>
      <c r="J14" s="22">
        <v>0</v>
      </c>
      <c r="K14" s="22">
        <v>123260.74781141231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453583.60205812141</v>
      </c>
      <c r="U14" s="22">
        <v>128502.82558786721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69">
        <v>0</v>
      </c>
      <c r="AL14" s="71">
        <v>916336.51467992098</v>
      </c>
      <c r="DC14" s="16"/>
    </row>
    <row r="15" spans="2:107" s="3" customFormat="1" x14ac:dyDescent="0.25">
      <c r="B15" s="49"/>
      <c r="C15" s="72" t="s">
        <v>91</v>
      </c>
      <c r="D15" s="209">
        <v>5</v>
      </c>
      <c r="E15" s="5" t="s">
        <v>29</v>
      </c>
      <c r="F15" s="4">
        <v>4.24</v>
      </c>
      <c r="G15" s="4">
        <v>4.2699999999999996</v>
      </c>
      <c r="H15" s="4">
        <v>4.28</v>
      </c>
      <c r="I15" s="4">
        <v>4.33</v>
      </c>
      <c r="J15" s="4">
        <v>3.84</v>
      </c>
      <c r="K15" s="3">
        <v>3.88</v>
      </c>
      <c r="L15" s="4">
        <v>4.3099999999999996</v>
      </c>
      <c r="M15" s="4">
        <v>4.2300000000000004</v>
      </c>
      <c r="N15" s="4">
        <v>4.1399999999999997</v>
      </c>
      <c r="O15" s="4">
        <v>4.01</v>
      </c>
      <c r="P15" s="4">
        <v>4.21</v>
      </c>
      <c r="Q15" s="4">
        <v>4.21</v>
      </c>
      <c r="R15" s="4">
        <v>4.28</v>
      </c>
      <c r="S15" s="73">
        <v>4.1900000000000004</v>
      </c>
      <c r="T15" s="4">
        <v>4.12</v>
      </c>
      <c r="U15" s="4">
        <v>4.1500000000000004</v>
      </c>
      <c r="V15" s="4">
        <v>3.99</v>
      </c>
      <c r="W15" s="4">
        <v>3.83</v>
      </c>
      <c r="X15" s="4">
        <v>4.04</v>
      </c>
      <c r="Y15" s="4">
        <v>4.08</v>
      </c>
      <c r="Z15" s="4"/>
      <c r="AA15" s="4">
        <v>4.16</v>
      </c>
      <c r="AB15" s="4">
        <v>4.18</v>
      </c>
      <c r="AC15" s="4">
        <v>4.2</v>
      </c>
      <c r="AD15" s="4">
        <v>4.07</v>
      </c>
      <c r="AE15" s="4"/>
      <c r="AF15" s="4"/>
      <c r="AG15" s="74"/>
      <c r="AH15" s="74"/>
      <c r="AI15" s="74"/>
      <c r="AJ15" s="75"/>
      <c r="AL15" s="76">
        <v>4.1350000000000007</v>
      </c>
      <c r="DC15" s="16"/>
    </row>
    <row r="16" spans="2:107" s="3" customFormat="1" x14ac:dyDescent="0.25">
      <c r="B16" s="49"/>
      <c r="C16" s="72" t="s">
        <v>90</v>
      </c>
      <c r="D16" s="209">
        <v>0.5</v>
      </c>
      <c r="E16" s="5" t="s">
        <v>29</v>
      </c>
      <c r="F16" s="4">
        <v>0.4</v>
      </c>
      <c r="G16" s="4">
        <v>0.42</v>
      </c>
      <c r="H16" s="4">
        <v>0.42</v>
      </c>
      <c r="I16" s="4">
        <v>0.43</v>
      </c>
      <c r="J16" s="4">
        <v>0.48</v>
      </c>
      <c r="K16" s="73">
        <v>0.48</v>
      </c>
      <c r="L16" s="4">
        <v>0.42</v>
      </c>
      <c r="M16" s="4">
        <v>0.41</v>
      </c>
      <c r="N16" s="4">
        <v>0.41</v>
      </c>
      <c r="O16" s="4">
        <v>0.41</v>
      </c>
      <c r="P16" s="4">
        <v>0.42</v>
      </c>
      <c r="Q16" s="4">
        <v>0.42</v>
      </c>
      <c r="R16" s="4">
        <v>0.44</v>
      </c>
      <c r="S16" s="73">
        <v>0.42</v>
      </c>
      <c r="T16" s="4">
        <v>0.4</v>
      </c>
      <c r="U16" s="4">
        <v>0.41</v>
      </c>
      <c r="V16" s="4">
        <v>0.43</v>
      </c>
      <c r="W16" s="4">
        <v>0.46</v>
      </c>
      <c r="X16" s="4">
        <v>0.43</v>
      </c>
      <c r="Y16" s="4">
        <v>0.39</v>
      </c>
      <c r="Z16" s="4"/>
      <c r="AA16" s="4">
        <v>0.42</v>
      </c>
      <c r="AB16" s="4">
        <v>0.42</v>
      </c>
      <c r="AC16" s="4">
        <v>0.4</v>
      </c>
      <c r="AD16" s="4">
        <v>0.43</v>
      </c>
      <c r="AE16" s="4"/>
      <c r="AF16" s="4"/>
      <c r="AG16" s="74"/>
      <c r="AH16" s="74"/>
      <c r="AI16" s="74"/>
      <c r="AJ16" s="75"/>
      <c r="AL16" s="76">
        <v>0.42375000000000007</v>
      </c>
      <c r="BV16" s="16"/>
      <c r="DC16" s="16"/>
    </row>
    <row r="17" spans="1:14936" s="3" customFormat="1" x14ac:dyDescent="0.25">
      <c r="B17" s="49"/>
      <c r="C17" s="72" t="s">
        <v>89</v>
      </c>
      <c r="D17" s="210" t="s">
        <v>88</v>
      </c>
      <c r="E17" s="5" t="s">
        <v>29</v>
      </c>
      <c r="F17" s="4">
        <v>2.21</v>
      </c>
      <c r="G17" s="4">
        <v>2.21</v>
      </c>
      <c r="H17" s="4">
        <v>2.21</v>
      </c>
      <c r="I17" s="4">
        <v>2.21</v>
      </c>
      <c r="J17" s="4">
        <v>2.21</v>
      </c>
      <c r="K17" s="3">
        <v>2.2200000000000002</v>
      </c>
      <c r="L17" s="4">
        <v>2.21</v>
      </c>
      <c r="M17" s="4">
        <v>2.21</v>
      </c>
      <c r="N17" s="4">
        <v>2.21</v>
      </c>
      <c r="O17" s="4">
        <v>2.21</v>
      </c>
      <c r="P17" s="4">
        <v>2.21</v>
      </c>
      <c r="Q17" s="4">
        <v>2.21</v>
      </c>
      <c r="R17" s="4">
        <v>2.21</v>
      </c>
      <c r="S17" s="3">
        <v>2.21</v>
      </c>
      <c r="T17" s="4">
        <v>2.21</v>
      </c>
      <c r="U17" s="4">
        <v>2.21</v>
      </c>
      <c r="V17" s="4">
        <v>2.21</v>
      </c>
      <c r="W17" s="4">
        <v>2.21</v>
      </c>
      <c r="X17" s="4">
        <v>2.21</v>
      </c>
      <c r="Y17" s="4">
        <v>2.21</v>
      </c>
      <c r="Z17" s="4"/>
      <c r="AA17" s="4">
        <v>2.21</v>
      </c>
      <c r="AB17" s="4">
        <v>2.21</v>
      </c>
      <c r="AC17" s="4">
        <v>2.21</v>
      </c>
      <c r="AD17" s="4">
        <v>2.21</v>
      </c>
      <c r="AE17" s="4"/>
      <c r="AF17" s="4"/>
      <c r="AG17" s="74"/>
      <c r="AH17" s="74"/>
      <c r="AI17" s="74"/>
      <c r="AJ17" s="75"/>
      <c r="AL17" s="76">
        <v>2.2104166666666671</v>
      </c>
      <c r="DC17" s="16"/>
    </row>
    <row r="18" spans="1:14936" s="3" customFormat="1" x14ac:dyDescent="0.25">
      <c r="B18" s="49"/>
      <c r="C18" s="77" t="s">
        <v>87</v>
      </c>
      <c r="D18" s="78"/>
      <c r="E18" s="7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62"/>
      <c r="AH18" s="62"/>
      <c r="AI18" s="62"/>
      <c r="AJ18" s="63"/>
      <c r="AK18" s="21"/>
      <c r="AL18" s="80" t="s">
        <v>87</v>
      </c>
      <c r="DC18" s="16"/>
    </row>
    <row r="19" spans="1:14936" s="3" customFormat="1" x14ac:dyDescent="0.25">
      <c r="B19" s="81"/>
      <c r="C19" s="82" t="s">
        <v>86</v>
      </c>
      <c r="D19" s="66">
        <v>36820896</v>
      </c>
      <c r="E19" s="29" t="s">
        <v>16</v>
      </c>
      <c r="F19" s="22">
        <v>223800</v>
      </c>
      <c r="G19" s="22">
        <v>910812</v>
      </c>
      <c r="H19" s="22">
        <v>449208</v>
      </c>
      <c r="I19" s="22">
        <v>542903</v>
      </c>
      <c r="J19" s="22">
        <v>817062</v>
      </c>
      <c r="K19" s="22">
        <v>104291</v>
      </c>
      <c r="L19" s="22">
        <v>464750</v>
      </c>
      <c r="M19" s="22">
        <v>873068</v>
      </c>
      <c r="N19" s="22">
        <v>1108317</v>
      </c>
      <c r="O19" s="22">
        <v>1118216</v>
      </c>
      <c r="P19" s="22">
        <v>1067124</v>
      </c>
      <c r="Q19" s="22">
        <v>378600</v>
      </c>
      <c r="R19" s="22">
        <v>841035</v>
      </c>
      <c r="S19" s="22">
        <v>858738</v>
      </c>
      <c r="T19" s="22">
        <v>1084970</v>
      </c>
      <c r="U19" s="22">
        <v>1257682</v>
      </c>
      <c r="V19" s="22">
        <v>839742</v>
      </c>
      <c r="W19" s="22">
        <v>58090</v>
      </c>
      <c r="X19" s="22">
        <v>1062607</v>
      </c>
      <c r="Y19" s="22">
        <v>562063</v>
      </c>
      <c r="Z19" s="22"/>
      <c r="AA19" s="22">
        <v>331243</v>
      </c>
      <c r="AB19" s="22">
        <v>287820</v>
      </c>
      <c r="AC19" s="22">
        <v>538274</v>
      </c>
      <c r="AD19" s="22">
        <v>159890</v>
      </c>
      <c r="AE19" s="22">
        <v>162429</v>
      </c>
      <c r="AF19" s="22">
        <v>15244</v>
      </c>
      <c r="AG19" s="68"/>
      <c r="AH19" s="68"/>
      <c r="AI19" s="68"/>
      <c r="AJ19" s="69"/>
      <c r="AL19" s="70">
        <v>16117978</v>
      </c>
      <c r="AQ19" s="12"/>
      <c r="DC19" s="16"/>
      <c r="UZT19" s="190"/>
      <c r="UZU19" s="190"/>
      <c r="UZV19" s="190"/>
      <c r="UZW19" s="190"/>
      <c r="UZX19" s="190"/>
      <c r="UZY19" s="190"/>
      <c r="UZZ19" s="190"/>
      <c r="VAA19" s="190"/>
      <c r="VAB19" s="190"/>
      <c r="VAC19" s="190"/>
      <c r="VAD19" s="190"/>
      <c r="VAE19" s="190"/>
      <c r="VAF19" s="190"/>
      <c r="VAG19" s="190"/>
      <c r="VAH19" s="190"/>
      <c r="VAI19" s="190"/>
      <c r="VAJ19" s="190"/>
      <c r="VAK19" s="190"/>
      <c r="VAL19" s="190"/>
      <c r="VAM19" s="190"/>
      <c r="VAN19" s="190"/>
      <c r="VAO19" s="190"/>
      <c r="VAP19" s="190"/>
      <c r="VAQ19" s="190"/>
      <c r="VAR19" s="190"/>
      <c r="VAS19" s="190"/>
      <c r="VAT19" s="190"/>
      <c r="VAU19" s="190"/>
      <c r="VAV19" s="190"/>
      <c r="VAW19" s="190"/>
      <c r="VAX19" s="190"/>
      <c r="VAY19" s="190"/>
      <c r="VAZ19" s="190"/>
      <c r="VBA19" s="190"/>
      <c r="VBB19" s="190"/>
      <c r="VBC19" s="190"/>
      <c r="VBD19" s="190"/>
      <c r="VBE19" s="190"/>
      <c r="VBF19" s="190"/>
      <c r="VBG19" s="190"/>
      <c r="VBH19" s="190"/>
      <c r="VBI19" s="190"/>
      <c r="VBJ19" s="190"/>
      <c r="VBK19" s="190"/>
      <c r="VBL19" s="190"/>
    </row>
    <row r="20" spans="1:14936" s="3" customFormat="1" x14ac:dyDescent="0.25">
      <c r="B20" s="81"/>
      <c r="C20" s="82" t="s">
        <v>72</v>
      </c>
      <c r="D20" s="66">
        <v>1954400</v>
      </c>
      <c r="E20" s="29" t="s">
        <v>16</v>
      </c>
      <c r="F20" s="22">
        <v>9281</v>
      </c>
      <c r="G20" s="22">
        <v>39923</v>
      </c>
      <c r="H20" s="22">
        <v>20041</v>
      </c>
      <c r="I20" s="22">
        <v>26305</v>
      </c>
      <c r="J20" s="22">
        <v>42438</v>
      </c>
      <c r="K20" s="22">
        <v>4676</v>
      </c>
      <c r="L20" s="22">
        <v>17374</v>
      </c>
      <c r="M20" s="22">
        <v>41853</v>
      </c>
      <c r="N20" s="22">
        <v>50878</v>
      </c>
      <c r="O20" s="22">
        <v>46757</v>
      </c>
      <c r="P20" s="22">
        <v>48105</v>
      </c>
      <c r="Q20" s="22">
        <v>19798</v>
      </c>
      <c r="R20" s="22">
        <v>40413</v>
      </c>
      <c r="S20" s="22">
        <v>39975</v>
      </c>
      <c r="T20" s="22">
        <v>56949</v>
      </c>
      <c r="U20" s="22">
        <v>51508</v>
      </c>
      <c r="V20" s="22">
        <v>36904</v>
      </c>
      <c r="W20" s="22">
        <v>2821</v>
      </c>
      <c r="X20" s="22">
        <v>47708</v>
      </c>
      <c r="Y20" s="22">
        <v>27656</v>
      </c>
      <c r="Z20" s="22"/>
      <c r="AA20" s="22">
        <v>17473</v>
      </c>
      <c r="AB20" s="22">
        <v>14989</v>
      </c>
      <c r="AC20" s="22">
        <v>27043</v>
      </c>
      <c r="AD20" s="22">
        <v>6741</v>
      </c>
      <c r="AE20" s="22">
        <v>12458</v>
      </c>
      <c r="AF20" s="22"/>
      <c r="AG20" s="68"/>
      <c r="AH20" s="68"/>
      <c r="AI20" s="68"/>
      <c r="AJ20" s="69">
        <v>3083</v>
      </c>
      <c r="AL20" s="70">
        <v>753150</v>
      </c>
      <c r="DC20" s="16"/>
      <c r="UZT20" s="190"/>
      <c r="UZU20" s="190"/>
      <c r="UZV20" s="190"/>
      <c r="UZW20" s="190"/>
      <c r="UZX20" s="190"/>
      <c r="UZY20" s="190"/>
      <c r="UZZ20" s="190"/>
      <c r="VAA20" s="190"/>
      <c r="VAB20" s="190"/>
      <c r="VAC20" s="190"/>
      <c r="VAD20" s="190"/>
      <c r="VAE20" s="190"/>
      <c r="VAF20" s="190"/>
      <c r="VAG20" s="190"/>
      <c r="VAH20" s="190"/>
      <c r="VAI20" s="190"/>
      <c r="VAJ20" s="190"/>
      <c r="VAK20" s="190"/>
      <c r="VAL20" s="190"/>
      <c r="VAM20" s="190"/>
      <c r="VAN20" s="190"/>
      <c r="VAO20" s="190"/>
      <c r="VAP20" s="190"/>
      <c r="VAQ20" s="190"/>
      <c r="VAR20" s="190"/>
      <c r="VAS20" s="190"/>
      <c r="VAT20" s="190"/>
      <c r="VAU20" s="190"/>
      <c r="VAV20" s="190"/>
      <c r="VAW20" s="190"/>
      <c r="VAX20" s="190"/>
      <c r="VAY20" s="190"/>
      <c r="VAZ20" s="190"/>
      <c r="VBA20" s="190"/>
      <c r="VBB20" s="190"/>
      <c r="VBC20" s="190"/>
      <c r="VBD20" s="190"/>
      <c r="VBE20" s="190"/>
      <c r="VBF20" s="190"/>
      <c r="VBG20" s="190"/>
      <c r="VBH20" s="190"/>
      <c r="VBI20" s="190"/>
      <c r="VBJ20" s="190"/>
      <c r="VBK20" s="190"/>
      <c r="VBL20" s="190"/>
    </row>
    <row r="21" spans="1:14936" x14ac:dyDescent="0.25">
      <c r="B21" s="81"/>
      <c r="C21" s="83" t="s">
        <v>85</v>
      </c>
      <c r="D21" s="256"/>
      <c r="E21" s="8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6"/>
      <c r="AH21" s="56"/>
      <c r="AI21" s="56"/>
      <c r="AJ21" s="57"/>
      <c r="AL21" s="85" t="s">
        <v>71</v>
      </c>
      <c r="DC21" s="16"/>
    </row>
    <row r="22" spans="1:14936" s="3" customFormat="1" x14ac:dyDescent="0.25">
      <c r="B22" s="81"/>
      <c r="C22" s="82" t="s">
        <v>84</v>
      </c>
      <c r="D22" s="86">
        <v>27546000</v>
      </c>
      <c r="E22" s="29" t="s">
        <v>16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1452313</v>
      </c>
      <c r="Y22" s="22">
        <v>247592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69">
        <v>0</v>
      </c>
      <c r="AL22" s="70">
        <v>1699905</v>
      </c>
      <c r="DC22" s="16"/>
    </row>
    <row r="23" spans="1:14936" x14ac:dyDescent="0.25">
      <c r="B23" s="81"/>
      <c r="C23" s="82" t="s">
        <v>83</v>
      </c>
      <c r="D23" s="86">
        <v>22588000</v>
      </c>
      <c r="E23" s="29" t="s">
        <v>16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>
        <v>1191305</v>
      </c>
      <c r="Y23" s="22">
        <v>203582</v>
      </c>
      <c r="Z23" s="22"/>
      <c r="AA23" s="22"/>
      <c r="AB23" s="22"/>
      <c r="AC23" s="22"/>
      <c r="AD23" s="22"/>
      <c r="AE23" s="22"/>
      <c r="AF23" s="22"/>
      <c r="AG23" s="68"/>
      <c r="AH23" s="68"/>
      <c r="AI23" s="68"/>
      <c r="AJ23" s="69"/>
      <c r="AL23" s="70">
        <v>1394887</v>
      </c>
      <c r="DC23" s="16"/>
    </row>
    <row r="24" spans="1:14936" x14ac:dyDescent="0.25">
      <c r="B24" s="81"/>
      <c r="C24" s="82" t="s">
        <v>82</v>
      </c>
      <c r="D24" s="86">
        <v>4958000</v>
      </c>
      <c r="E24" s="29" t="s">
        <v>16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>
        <v>261008</v>
      </c>
      <c r="Y24" s="34">
        <v>44010</v>
      </c>
      <c r="Z24" s="34"/>
      <c r="AA24" s="34"/>
      <c r="AB24" s="34"/>
      <c r="AC24" s="34"/>
      <c r="AD24" s="34"/>
      <c r="AE24" s="34"/>
      <c r="AF24" s="34"/>
      <c r="AG24" s="87"/>
      <c r="AH24" s="87"/>
      <c r="AI24" s="87"/>
      <c r="AJ24" s="88"/>
      <c r="AL24" s="70">
        <v>305018</v>
      </c>
      <c r="AN24" s="12">
        <f>AL24+AL28+AL33+AL37+AL43</f>
        <v>5612076</v>
      </c>
      <c r="DC24" s="16"/>
    </row>
    <row r="25" spans="1:14936" s="191" customFormat="1" x14ac:dyDescent="0.25">
      <c r="A25" s="21"/>
      <c r="B25" s="89"/>
      <c r="C25" s="90" t="s">
        <v>116</v>
      </c>
      <c r="D25" s="86"/>
      <c r="E25" s="91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3"/>
      <c r="AH25" s="93"/>
      <c r="AI25" s="93"/>
      <c r="AJ25" s="94"/>
      <c r="AK25" s="21"/>
      <c r="AL25" s="85" t="s">
        <v>118</v>
      </c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322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</row>
    <row r="26" spans="1:14936" x14ac:dyDescent="0.25">
      <c r="B26" s="81"/>
      <c r="C26" s="82" t="s">
        <v>84</v>
      </c>
      <c r="D26" s="86">
        <v>0</v>
      </c>
      <c r="E26" s="29" t="s">
        <v>16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/>
      <c r="AC26" s="22"/>
      <c r="AD26" s="22"/>
      <c r="AE26" s="22"/>
      <c r="AF26" s="22"/>
      <c r="AG26" s="68"/>
      <c r="AH26" s="68">
        <v>0</v>
      </c>
      <c r="AI26" s="68">
        <v>0</v>
      </c>
      <c r="AJ26" s="69"/>
      <c r="AL26" s="70">
        <v>0</v>
      </c>
      <c r="DC26" s="16"/>
    </row>
    <row r="27" spans="1:14936" x14ac:dyDescent="0.25">
      <c r="B27" s="81"/>
      <c r="C27" s="82" t="s">
        <v>117</v>
      </c>
      <c r="D27" s="86"/>
      <c r="E27" s="29" t="s">
        <v>16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68"/>
      <c r="AH27" s="68"/>
      <c r="AI27" s="68"/>
      <c r="AJ27" s="69"/>
      <c r="AL27" s="70">
        <v>0</v>
      </c>
      <c r="DC27" s="16"/>
    </row>
    <row r="28" spans="1:14936" x14ac:dyDescent="0.25">
      <c r="B28" s="81"/>
      <c r="C28" s="82" t="s">
        <v>82</v>
      </c>
      <c r="D28" s="86"/>
      <c r="E28" s="29" t="s">
        <v>16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34"/>
      <c r="AB28" s="22"/>
      <c r="AC28" s="22"/>
      <c r="AD28" s="22"/>
      <c r="AE28" s="22"/>
      <c r="AF28" s="22"/>
      <c r="AG28" s="68"/>
      <c r="AH28" s="68"/>
      <c r="AI28" s="68"/>
      <c r="AJ28" s="69"/>
      <c r="AL28" s="70">
        <v>0</v>
      </c>
      <c r="DC28" s="16"/>
    </row>
    <row r="29" spans="1:14936" x14ac:dyDescent="0.25">
      <c r="B29" s="81"/>
      <c r="C29" s="83" t="s">
        <v>119</v>
      </c>
      <c r="D29" s="95"/>
      <c r="E29" s="84"/>
      <c r="F29" s="53"/>
      <c r="G29" s="53"/>
      <c r="H29" s="53"/>
      <c r="I29" s="257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96"/>
      <c r="Z29" s="97"/>
      <c r="AA29" s="92"/>
      <c r="AB29" s="96"/>
      <c r="AC29" s="96"/>
      <c r="AD29" s="96"/>
      <c r="AE29" s="96"/>
      <c r="AF29" s="96"/>
      <c r="AG29" s="98"/>
      <c r="AH29" s="98"/>
      <c r="AI29" s="98"/>
      <c r="AJ29" s="99"/>
      <c r="AL29" s="85" t="s">
        <v>120</v>
      </c>
      <c r="DC29" s="16"/>
    </row>
    <row r="30" spans="1:14936" s="192" customFormat="1" x14ac:dyDescent="0.2">
      <c r="A30" s="9"/>
      <c r="B30" s="100"/>
      <c r="C30" s="101" t="s">
        <v>80</v>
      </c>
      <c r="D30" s="102"/>
      <c r="E30" s="103" t="s">
        <v>16</v>
      </c>
      <c r="F30" s="22">
        <v>210989.3392225201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>
        <v>453583.60205812141</v>
      </c>
      <c r="U30" s="22">
        <v>128502.82558786721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104"/>
      <c r="AK30" s="9"/>
      <c r="AL30" s="105">
        <v>793075.76686850865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323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</row>
    <row r="31" spans="1:14936" s="3" customFormat="1" x14ac:dyDescent="0.25">
      <c r="B31" s="81"/>
      <c r="C31" s="82" t="s">
        <v>79</v>
      </c>
      <c r="D31" s="86">
        <v>1001606.94</v>
      </c>
      <c r="E31" s="29" t="s">
        <v>16</v>
      </c>
      <c r="F31" s="22">
        <v>201381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427975</v>
      </c>
      <c r="U31" s="22">
        <v>122577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69">
        <v>0</v>
      </c>
      <c r="AL31" s="105">
        <v>751933</v>
      </c>
      <c r="DC31" s="16"/>
    </row>
    <row r="32" spans="1:14936" s="3" customFormat="1" x14ac:dyDescent="0.25">
      <c r="B32" s="81"/>
      <c r="C32" s="82" t="s">
        <v>121</v>
      </c>
      <c r="D32" s="86">
        <v>701124.85800000001</v>
      </c>
      <c r="E32" s="29" t="s">
        <v>16</v>
      </c>
      <c r="F32" s="22">
        <v>151447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>
        <v>299965</v>
      </c>
      <c r="U32" s="22">
        <v>92567</v>
      </c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68"/>
      <c r="AH32" s="68"/>
      <c r="AI32" s="68"/>
      <c r="AJ32" s="69"/>
      <c r="AL32" s="106">
        <v>543979</v>
      </c>
      <c r="DC32" s="16"/>
    </row>
    <row r="33" spans="1:14888" s="3" customFormat="1" x14ac:dyDescent="0.25">
      <c r="B33" s="81"/>
      <c r="C33" s="65" t="s">
        <v>82</v>
      </c>
      <c r="D33" s="86">
        <v>300482.08199999999</v>
      </c>
      <c r="E33" s="29" t="s">
        <v>16</v>
      </c>
      <c r="F33" s="22">
        <v>49934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>
        <v>128010</v>
      </c>
      <c r="U33" s="22">
        <v>30010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68"/>
      <c r="AH33" s="68"/>
      <c r="AI33" s="68"/>
      <c r="AJ33" s="69"/>
      <c r="AL33" s="105">
        <v>207954</v>
      </c>
      <c r="DC33" s="16"/>
    </row>
    <row r="34" spans="1:14888" s="191" customFormat="1" x14ac:dyDescent="0.25">
      <c r="A34" s="21"/>
      <c r="B34" s="89"/>
      <c r="C34" s="83" t="s">
        <v>122</v>
      </c>
      <c r="D34" s="107"/>
      <c r="E34" s="91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3"/>
      <c r="AH34" s="93"/>
      <c r="AI34" s="93"/>
      <c r="AJ34" s="94"/>
      <c r="AK34" s="21"/>
      <c r="AL34" s="85" t="s">
        <v>123</v>
      </c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322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1"/>
      <c r="QW34" s="21"/>
      <c r="QX34" s="21"/>
      <c r="QY34" s="21"/>
      <c r="QZ34" s="21"/>
      <c r="RA34" s="21"/>
      <c r="RB34" s="21"/>
      <c r="RC34" s="21"/>
      <c r="RD34" s="21"/>
      <c r="RE34" s="21"/>
      <c r="RF34" s="21"/>
      <c r="RG34" s="21"/>
      <c r="RH34" s="21"/>
      <c r="RI34" s="21"/>
      <c r="RJ34" s="21"/>
      <c r="RK34" s="21"/>
      <c r="RL34" s="21"/>
      <c r="RM34" s="21"/>
      <c r="RN34" s="21"/>
      <c r="RO34" s="21"/>
      <c r="RP34" s="21"/>
      <c r="RQ34" s="21"/>
      <c r="RR34" s="21"/>
      <c r="RS34" s="21"/>
      <c r="RT34" s="21"/>
      <c r="RU34" s="21"/>
      <c r="RV34" s="21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21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UX34" s="21"/>
      <c r="UY34" s="21"/>
      <c r="UZ34" s="21"/>
      <c r="VA34" s="21"/>
      <c r="VB34" s="21"/>
      <c r="VC34" s="21"/>
      <c r="VD34" s="21"/>
      <c r="VE34" s="21"/>
      <c r="VF34" s="21"/>
      <c r="VG34" s="21"/>
      <c r="VH34" s="21"/>
      <c r="VI34" s="21"/>
      <c r="VJ34" s="21"/>
      <c r="VK34" s="21"/>
      <c r="VL34" s="21"/>
      <c r="VM34" s="21"/>
      <c r="VN34" s="21"/>
      <c r="VO34" s="21"/>
      <c r="VP34" s="21"/>
      <c r="VQ34" s="21"/>
      <c r="VR34" s="21"/>
      <c r="VS34" s="21"/>
      <c r="VT34" s="21"/>
      <c r="VU34" s="21"/>
      <c r="VV34" s="21"/>
      <c r="VW34" s="21"/>
      <c r="VX34" s="21"/>
      <c r="VY34" s="21"/>
      <c r="VZ34" s="21"/>
      <c r="WA34" s="21"/>
      <c r="WB34" s="21"/>
      <c r="WC34" s="21"/>
      <c r="WD34" s="21"/>
      <c r="WE34" s="21"/>
      <c r="WF34" s="21"/>
      <c r="WG34" s="21"/>
      <c r="WH34" s="21"/>
      <c r="WI34" s="21"/>
      <c r="WJ34" s="21"/>
      <c r="WK34" s="21"/>
      <c r="WL34" s="21"/>
      <c r="WM34" s="21"/>
      <c r="WN34" s="21"/>
      <c r="WO34" s="21"/>
      <c r="WP34" s="21"/>
      <c r="WQ34" s="21"/>
      <c r="WR34" s="21"/>
      <c r="WS34" s="21"/>
      <c r="WT34" s="21"/>
      <c r="WU34" s="21"/>
      <c r="WV34" s="21"/>
      <c r="WW34" s="21"/>
      <c r="WX34" s="21"/>
      <c r="WY34" s="21"/>
      <c r="WZ34" s="21"/>
      <c r="XA34" s="21"/>
      <c r="XB34" s="21"/>
      <c r="XC34" s="21"/>
      <c r="XD34" s="21"/>
      <c r="XE34" s="21"/>
      <c r="XF34" s="21"/>
      <c r="XG34" s="21"/>
      <c r="XH34" s="21"/>
      <c r="XI34" s="21"/>
      <c r="XJ34" s="21"/>
      <c r="XK34" s="21"/>
      <c r="XL34" s="21"/>
      <c r="XM34" s="21"/>
      <c r="XN34" s="21"/>
      <c r="XO34" s="21"/>
      <c r="XP34" s="21"/>
      <c r="XQ34" s="21"/>
      <c r="XR34" s="21"/>
      <c r="XS34" s="21"/>
      <c r="XT34" s="21"/>
      <c r="XU34" s="21"/>
      <c r="XV34" s="21"/>
      <c r="XW34" s="21"/>
      <c r="XX34" s="21"/>
      <c r="XY34" s="21"/>
      <c r="XZ34" s="21"/>
      <c r="YA34" s="21"/>
      <c r="YB34" s="21"/>
      <c r="YC34" s="21"/>
      <c r="YD34" s="21"/>
      <c r="YE34" s="21"/>
      <c r="YF34" s="21"/>
      <c r="YG34" s="21"/>
      <c r="YH34" s="21"/>
      <c r="YI34" s="21"/>
      <c r="YJ34" s="21"/>
      <c r="YK34" s="21"/>
      <c r="YL34" s="21"/>
      <c r="YM34" s="21"/>
      <c r="YN34" s="21"/>
      <c r="YO34" s="21"/>
      <c r="YP34" s="21"/>
      <c r="YQ34" s="21"/>
      <c r="YR34" s="21"/>
      <c r="YS34" s="21"/>
      <c r="YT34" s="21"/>
      <c r="YU34" s="21"/>
      <c r="YV34" s="21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  <c r="AAY34" s="21"/>
      <c r="AAZ34" s="21"/>
      <c r="ABA34" s="21"/>
      <c r="ABB34" s="21"/>
      <c r="ABC34" s="21"/>
      <c r="ABD34" s="21"/>
      <c r="ABE34" s="21"/>
      <c r="ABF34" s="21"/>
      <c r="ABG34" s="21"/>
      <c r="ABH34" s="21"/>
      <c r="ABI34" s="21"/>
      <c r="ABJ34" s="21"/>
      <c r="ABK34" s="21"/>
      <c r="ABL34" s="21"/>
      <c r="ABM34" s="21"/>
      <c r="ABN34" s="21"/>
      <c r="ABO34" s="21"/>
      <c r="ABP34" s="21"/>
      <c r="ABQ34" s="21"/>
      <c r="ABR34" s="21"/>
      <c r="ABS34" s="21"/>
      <c r="ABT34" s="21"/>
      <c r="ABU34" s="21"/>
      <c r="ABV34" s="21"/>
      <c r="ABW34" s="21"/>
      <c r="ABX34" s="21"/>
      <c r="ABY34" s="21"/>
      <c r="ABZ34" s="21"/>
      <c r="ACA34" s="21"/>
      <c r="ACB34" s="21"/>
      <c r="ACC34" s="21"/>
      <c r="ACD34" s="21"/>
      <c r="ACE34" s="21"/>
      <c r="ACF34" s="21"/>
      <c r="ACG34" s="21"/>
      <c r="ACH34" s="21"/>
      <c r="ACI34" s="21"/>
      <c r="ACJ34" s="21"/>
      <c r="ACK34" s="21"/>
      <c r="ACL34" s="21"/>
      <c r="ACM34" s="21"/>
      <c r="ACN34" s="21"/>
      <c r="ACO34" s="21"/>
      <c r="ACP34" s="21"/>
      <c r="ACQ34" s="21"/>
      <c r="ACR34" s="21"/>
      <c r="ACS34" s="21"/>
      <c r="ACT34" s="21"/>
      <c r="ACU34" s="21"/>
      <c r="ACV34" s="21"/>
      <c r="ACW34" s="21"/>
      <c r="ACX34" s="21"/>
      <c r="ACY34" s="21"/>
      <c r="ACZ34" s="21"/>
      <c r="ADA34" s="21"/>
      <c r="ADB34" s="21"/>
      <c r="ADC34" s="21"/>
      <c r="ADD34" s="21"/>
      <c r="ADE34" s="21"/>
      <c r="ADF34" s="21"/>
      <c r="ADG34" s="21"/>
      <c r="ADH34" s="21"/>
      <c r="ADI34" s="21"/>
      <c r="ADJ34" s="21"/>
      <c r="ADK34" s="21"/>
      <c r="ADL34" s="21"/>
      <c r="ADM34" s="21"/>
      <c r="ADN34" s="21"/>
      <c r="ADO34" s="21"/>
      <c r="ADP34" s="21"/>
      <c r="ADQ34" s="21"/>
      <c r="ADR34" s="21"/>
      <c r="ADS34" s="21"/>
      <c r="ADT34" s="21"/>
      <c r="ADU34" s="21"/>
      <c r="ADV34" s="21"/>
      <c r="ADW34" s="21"/>
      <c r="ADX34" s="21"/>
      <c r="ADY34" s="21"/>
      <c r="ADZ34" s="21"/>
      <c r="AEA34" s="21"/>
      <c r="AEB34" s="21"/>
      <c r="AEC34" s="21"/>
      <c r="AED34" s="21"/>
      <c r="AEE34" s="21"/>
      <c r="AEF34" s="21"/>
      <c r="AEG34" s="21"/>
      <c r="AEH34" s="21"/>
      <c r="AEI34" s="21"/>
      <c r="AEJ34" s="21"/>
      <c r="AEK34" s="21"/>
      <c r="AEL34" s="21"/>
      <c r="AEM34" s="21"/>
      <c r="AEN34" s="21"/>
      <c r="AEO34" s="21"/>
      <c r="AEP34" s="21"/>
      <c r="AEQ34" s="21"/>
      <c r="AER34" s="21"/>
      <c r="AES34" s="21"/>
      <c r="AET34" s="21"/>
      <c r="AEU34" s="21"/>
      <c r="AEV34" s="21"/>
      <c r="AEW34" s="21"/>
      <c r="AEX34" s="21"/>
      <c r="AEY34" s="21"/>
      <c r="AEZ34" s="21"/>
      <c r="AFA34" s="21"/>
      <c r="AFB34" s="21"/>
      <c r="AFC34" s="21"/>
      <c r="AFD34" s="21"/>
      <c r="AFE34" s="21"/>
      <c r="AFF34" s="21"/>
      <c r="AFG34" s="21"/>
      <c r="AFH34" s="21"/>
      <c r="AFI34" s="21"/>
      <c r="AFJ34" s="21"/>
      <c r="AFK34" s="21"/>
      <c r="AFL34" s="21"/>
      <c r="AFM34" s="21"/>
      <c r="AFN34" s="21"/>
      <c r="AFO34" s="21"/>
      <c r="AFP34" s="21"/>
      <c r="AFQ34" s="21"/>
      <c r="AFR34" s="21"/>
      <c r="AFS34" s="21"/>
      <c r="AFT34" s="21"/>
      <c r="AFU34" s="21"/>
      <c r="AFV34" s="21"/>
      <c r="AFW34" s="21"/>
      <c r="AFX34" s="21"/>
      <c r="AFY34" s="21"/>
      <c r="AFZ34" s="21"/>
      <c r="AGA34" s="21"/>
      <c r="AGB34" s="21"/>
      <c r="AGC34" s="21"/>
      <c r="AGD34" s="21"/>
      <c r="AGE34" s="21"/>
      <c r="AGF34" s="21"/>
      <c r="AGG34" s="21"/>
      <c r="AGH34" s="21"/>
      <c r="AGI34" s="21"/>
      <c r="AGJ34" s="21"/>
      <c r="AGK34" s="21"/>
      <c r="AGL34" s="21"/>
      <c r="AGM34" s="21"/>
      <c r="AGN34" s="21"/>
      <c r="AGO34" s="21"/>
      <c r="AGP34" s="21"/>
      <c r="AGQ34" s="21"/>
      <c r="AGR34" s="21"/>
      <c r="AGS34" s="21"/>
      <c r="AGT34" s="21"/>
      <c r="AGU34" s="21"/>
      <c r="AGV34" s="21"/>
      <c r="AGW34" s="21"/>
      <c r="AGX34" s="21"/>
      <c r="AGY34" s="21"/>
      <c r="AGZ34" s="21"/>
      <c r="AHA34" s="21"/>
      <c r="AHB34" s="21"/>
      <c r="AHC34" s="21"/>
      <c r="AHD34" s="21"/>
      <c r="AHE34" s="21"/>
      <c r="AHF34" s="21"/>
      <c r="AHG34" s="21"/>
      <c r="AHH34" s="21"/>
      <c r="AHI34" s="21"/>
      <c r="AHJ34" s="21"/>
      <c r="AHK34" s="21"/>
      <c r="AHL34" s="21"/>
      <c r="AHM34" s="21"/>
      <c r="AHN34" s="21"/>
      <c r="AHO34" s="21"/>
      <c r="AHP34" s="21"/>
      <c r="AHQ34" s="21"/>
      <c r="AHR34" s="21"/>
      <c r="AHS34" s="21"/>
      <c r="AHT34" s="21"/>
      <c r="AHU34" s="21"/>
      <c r="AHV34" s="21"/>
      <c r="AHW34" s="21"/>
      <c r="AHX34" s="21"/>
      <c r="AHY34" s="21"/>
      <c r="AHZ34" s="21"/>
      <c r="AIA34" s="21"/>
      <c r="AIB34" s="21"/>
      <c r="AIC34" s="21"/>
      <c r="AID34" s="21"/>
      <c r="AIE34" s="21"/>
      <c r="AIF34" s="21"/>
      <c r="AIG34" s="21"/>
      <c r="AIH34" s="21"/>
      <c r="AII34" s="21"/>
      <c r="AIJ34" s="21"/>
      <c r="AIK34" s="21"/>
      <c r="AIL34" s="21"/>
      <c r="AIM34" s="21"/>
      <c r="AIN34" s="21"/>
      <c r="AIO34" s="21"/>
      <c r="AIP34" s="21"/>
      <c r="AIQ34" s="21"/>
      <c r="AIR34" s="21"/>
      <c r="AIS34" s="21"/>
      <c r="AIT34" s="21"/>
      <c r="AIU34" s="21"/>
      <c r="AIV34" s="21"/>
      <c r="AIW34" s="21"/>
      <c r="AIX34" s="21"/>
      <c r="AIY34" s="21"/>
      <c r="AIZ34" s="21"/>
      <c r="AJA34" s="21"/>
      <c r="AJB34" s="21"/>
      <c r="AJC34" s="21"/>
      <c r="AJD34" s="21"/>
      <c r="AJE34" s="21"/>
      <c r="AJF34" s="21"/>
      <c r="AJG34" s="21"/>
      <c r="AJH34" s="21"/>
      <c r="AJI34" s="21"/>
      <c r="AJJ34" s="21"/>
      <c r="AJK34" s="21"/>
      <c r="AJL34" s="21"/>
      <c r="AJM34" s="21"/>
      <c r="AJN34" s="21"/>
      <c r="AJO34" s="21"/>
      <c r="AJP34" s="21"/>
      <c r="AJQ34" s="21"/>
      <c r="AJR34" s="21"/>
      <c r="AJS34" s="21"/>
      <c r="AJT34" s="21"/>
      <c r="AJU34" s="21"/>
      <c r="AJV34" s="21"/>
      <c r="AJW34" s="21"/>
      <c r="AJX34" s="21"/>
      <c r="AJY34" s="21"/>
      <c r="AJZ34" s="21"/>
      <c r="AKA34" s="21"/>
      <c r="AKB34" s="21"/>
      <c r="AKC34" s="21"/>
      <c r="AKD34" s="21"/>
      <c r="AKE34" s="21"/>
      <c r="AKF34" s="21"/>
      <c r="AKG34" s="21"/>
      <c r="AKH34" s="21"/>
      <c r="AKI34" s="21"/>
      <c r="AKJ34" s="21"/>
      <c r="AKK34" s="21"/>
      <c r="AKL34" s="21"/>
      <c r="AKM34" s="21"/>
      <c r="AKN34" s="21"/>
      <c r="AKO34" s="21"/>
      <c r="AKP34" s="21"/>
      <c r="AKQ34" s="21"/>
      <c r="AKR34" s="21"/>
      <c r="AKS34" s="21"/>
      <c r="AKT34" s="21"/>
      <c r="AKU34" s="21"/>
      <c r="AKV34" s="21"/>
      <c r="AKW34" s="21"/>
      <c r="AKX34" s="21"/>
      <c r="AKY34" s="21"/>
      <c r="AKZ34" s="21"/>
      <c r="ALA34" s="21"/>
      <c r="ALB34" s="21"/>
      <c r="ALC34" s="21"/>
      <c r="ALD34" s="21"/>
      <c r="ALE34" s="21"/>
      <c r="ALF34" s="21"/>
      <c r="ALG34" s="21"/>
      <c r="ALH34" s="21"/>
      <c r="ALI34" s="21"/>
      <c r="ALJ34" s="21"/>
      <c r="ALK34" s="21"/>
      <c r="ALL34" s="21"/>
      <c r="ALM34" s="21"/>
      <c r="ALN34" s="21"/>
      <c r="ALO34" s="21"/>
      <c r="ALP34" s="21"/>
      <c r="ALQ34" s="21"/>
      <c r="ALR34" s="21"/>
      <c r="ALS34" s="21"/>
      <c r="ALT34" s="21"/>
      <c r="ALU34" s="21"/>
      <c r="ALV34" s="21"/>
      <c r="ALW34" s="21"/>
      <c r="ALX34" s="21"/>
      <c r="ALY34" s="21"/>
      <c r="ALZ34" s="21"/>
      <c r="AMA34" s="21"/>
      <c r="AMB34" s="21"/>
      <c r="AMC34" s="21"/>
      <c r="AMD34" s="21"/>
      <c r="AME34" s="21"/>
      <c r="AMF34" s="21"/>
      <c r="AMG34" s="21"/>
      <c r="AMH34" s="21"/>
      <c r="AMI34" s="21"/>
      <c r="AMJ34" s="21"/>
      <c r="AMK34" s="21"/>
      <c r="AML34" s="21"/>
      <c r="AMM34" s="21"/>
      <c r="AMN34" s="21"/>
      <c r="AMO34" s="21"/>
      <c r="AMP34" s="21"/>
      <c r="AMQ34" s="21"/>
      <c r="AMR34" s="21"/>
      <c r="AMS34" s="21"/>
      <c r="AMT34" s="21"/>
      <c r="AMU34" s="21"/>
      <c r="AMV34" s="21"/>
      <c r="AMW34" s="21"/>
      <c r="AMX34" s="21"/>
      <c r="AMY34" s="21"/>
      <c r="AMZ34" s="21"/>
      <c r="ANA34" s="21"/>
      <c r="ANB34" s="21"/>
      <c r="ANC34" s="21"/>
      <c r="AND34" s="21"/>
      <c r="ANE34" s="21"/>
      <c r="ANF34" s="21"/>
      <c r="ANG34" s="21"/>
      <c r="ANH34" s="21"/>
      <c r="ANI34" s="21"/>
      <c r="ANJ34" s="21"/>
      <c r="ANK34" s="21"/>
      <c r="ANL34" s="21"/>
      <c r="ANM34" s="21"/>
      <c r="ANN34" s="21"/>
      <c r="ANO34" s="21"/>
      <c r="ANP34" s="21"/>
      <c r="ANQ34" s="21"/>
      <c r="ANR34" s="21"/>
      <c r="ANS34" s="21"/>
      <c r="ANT34" s="21"/>
      <c r="ANU34" s="21"/>
      <c r="ANV34" s="21"/>
      <c r="ANW34" s="21"/>
      <c r="ANX34" s="21"/>
      <c r="ANY34" s="21"/>
      <c r="ANZ34" s="21"/>
      <c r="AOA34" s="21"/>
      <c r="AOB34" s="21"/>
      <c r="AOC34" s="21"/>
      <c r="AOD34" s="21"/>
      <c r="AOE34" s="21"/>
      <c r="AOF34" s="21"/>
      <c r="AOG34" s="21"/>
      <c r="AOH34" s="21"/>
      <c r="AOI34" s="21"/>
      <c r="AOJ34" s="21"/>
      <c r="AOK34" s="21"/>
      <c r="AOL34" s="21"/>
      <c r="AOM34" s="21"/>
      <c r="AON34" s="21"/>
      <c r="AOO34" s="21"/>
      <c r="AOP34" s="21"/>
      <c r="AOQ34" s="21"/>
      <c r="AOR34" s="21"/>
      <c r="AOS34" s="21"/>
      <c r="AOT34" s="21"/>
      <c r="AOU34" s="21"/>
      <c r="AOV34" s="21"/>
      <c r="AOW34" s="21"/>
      <c r="AOX34" s="21"/>
      <c r="AOY34" s="21"/>
      <c r="AOZ34" s="21"/>
      <c r="APA34" s="21"/>
      <c r="APB34" s="21"/>
      <c r="APC34" s="21"/>
      <c r="APD34" s="21"/>
      <c r="APE34" s="21"/>
      <c r="APF34" s="21"/>
      <c r="APG34" s="21"/>
      <c r="APH34" s="21"/>
      <c r="API34" s="21"/>
      <c r="APJ34" s="21"/>
      <c r="APK34" s="21"/>
      <c r="APL34" s="21"/>
      <c r="APM34" s="21"/>
      <c r="APN34" s="21"/>
      <c r="APO34" s="21"/>
      <c r="APP34" s="21"/>
      <c r="APQ34" s="21"/>
      <c r="APR34" s="21"/>
      <c r="APS34" s="21"/>
      <c r="APT34" s="21"/>
      <c r="APU34" s="21"/>
      <c r="APV34" s="21"/>
      <c r="APW34" s="21"/>
      <c r="APX34" s="21"/>
      <c r="APY34" s="21"/>
      <c r="APZ34" s="21"/>
      <c r="AQA34" s="21"/>
      <c r="AQB34" s="21"/>
      <c r="AQC34" s="21"/>
      <c r="AQD34" s="21"/>
      <c r="AQE34" s="21"/>
      <c r="AQF34" s="21"/>
      <c r="AQG34" s="21"/>
      <c r="AQH34" s="21"/>
      <c r="AQI34" s="21"/>
      <c r="AQJ34" s="21"/>
      <c r="AQK34" s="21"/>
      <c r="AQL34" s="21"/>
      <c r="AQM34" s="21"/>
      <c r="AQN34" s="21"/>
      <c r="AQO34" s="21"/>
      <c r="AQP34" s="21"/>
      <c r="AQQ34" s="21"/>
      <c r="AQR34" s="21"/>
      <c r="AQS34" s="21"/>
      <c r="AQT34" s="21"/>
      <c r="AQU34" s="21"/>
      <c r="AQV34" s="21"/>
      <c r="AQW34" s="21"/>
      <c r="AQX34" s="21"/>
      <c r="AQY34" s="21"/>
      <c r="AQZ34" s="21"/>
      <c r="ARA34" s="21"/>
      <c r="ARB34" s="21"/>
      <c r="ARC34" s="21"/>
      <c r="ARD34" s="21"/>
      <c r="ARE34" s="21"/>
      <c r="ARF34" s="21"/>
      <c r="ARG34" s="21"/>
      <c r="ARH34" s="21"/>
      <c r="ARI34" s="21"/>
      <c r="ARJ34" s="21"/>
      <c r="ARK34" s="21"/>
      <c r="ARL34" s="21"/>
      <c r="ARM34" s="21"/>
      <c r="ARN34" s="21"/>
      <c r="ARO34" s="21"/>
      <c r="ARP34" s="21"/>
      <c r="ARQ34" s="21"/>
      <c r="ARR34" s="21"/>
      <c r="ARS34" s="21"/>
      <c r="ART34" s="21"/>
      <c r="ARU34" s="21"/>
      <c r="ARV34" s="21"/>
      <c r="ARW34" s="21"/>
      <c r="ARX34" s="21"/>
      <c r="ARY34" s="21"/>
      <c r="ARZ34" s="21"/>
      <c r="ASA34" s="21"/>
      <c r="ASB34" s="21"/>
      <c r="ASC34" s="21"/>
      <c r="ASD34" s="21"/>
      <c r="ASE34" s="21"/>
      <c r="ASF34" s="21"/>
      <c r="ASG34" s="21"/>
      <c r="ASH34" s="21"/>
      <c r="ASI34" s="21"/>
      <c r="ASJ34" s="21"/>
      <c r="ASK34" s="21"/>
      <c r="ASL34" s="21"/>
      <c r="ASM34" s="21"/>
      <c r="ASN34" s="21"/>
      <c r="ASO34" s="21"/>
      <c r="ASP34" s="21"/>
      <c r="ASQ34" s="21"/>
      <c r="ASR34" s="21"/>
      <c r="ASS34" s="21"/>
      <c r="AST34" s="21"/>
      <c r="ASU34" s="21"/>
      <c r="ASV34" s="21"/>
      <c r="ASW34" s="21"/>
      <c r="ASX34" s="21"/>
      <c r="ASY34" s="21"/>
      <c r="ASZ34" s="21"/>
      <c r="ATA34" s="21"/>
      <c r="ATB34" s="21"/>
      <c r="ATC34" s="21"/>
      <c r="ATD34" s="21"/>
      <c r="ATE34" s="21"/>
      <c r="ATF34" s="21"/>
      <c r="ATG34" s="21"/>
      <c r="ATH34" s="21"/>
      <c r="ATI34" s="21"/>
      <c r="ATJ34" s="21"/>
      <c r="ATK34" s="21"/>
      <c r="ATL34" s="21"/>
      <c r="ATM34" s="21"/>
      <c r="ATN34" s="21"/>
      <c r="ATO34" s="21"/>
      <c r="ATP34" s="21"/>
      <c r="ATQ34" s="21"/>
      <c r="ATR34" s="21"/>
      <c r="ATS34" s="21"/>
      <c r="ATT34" s="21"/>
      <c r="ATU34" s="21"/>
      <c r="ATV34" s="21"/>
      <c r="ATW34" s="21"/>
      <c r="ATX34" s="21"/>
      <c r="ATY34" s="21"/>
      <c r="ATZ34" s="21"/>
      <c r="AUA34" s="21"/>
      <c r="AUB34" s="21"/>
      <c r="AUC34" s="21"/>
      <c r="AUD34" s="21"/>
      <c r="AUE34" s="21"/>
      <c r="AUF34" s="21"/>
      <c r="AUG34" s="21"/>
      <c r="AUH34" s="21"/>
      <c r="AUI34" s="21"/>
      <c r="AUJ34" s="21"/>
      <c r="AUK34" s="21"/>
      <c r="AUL34" s="21"/>
      <c r="AUM34" s="21"/>
      <c r="AUN34" s="21"/>
      <c r="AUO34" s="21"/>
      <c r="AUP34" s="21"/>
      <c r="AUQ34" s="21"/>
      <c r="AUR34" s="21"/>
      <c r="AUS34" s="21"/>
      <c r="AUT34" s="21"/>
      <c r="AUU34" s="21"/>
      <c r="AUV34" s="21"/>
      <c r="AUW34" s="21"/>
      <c r="AUX34" s="21"/>
      <c r="AUY34" s="21"/>
      <c r="AUZ34" s="21"/>
      <c r="AVA34" s="21"/>
      <c r="AVB34" s="21"/>
      <c r="AVC34" s="21"/>
      <c r="AVD34" s="21"/>
      <c r="AVE34" s="21"/>
      <c r="AVF34" s="21"/>
      <c r="AVG34" s="21"/>
      <c r="AVH34" s="21"/>
      <c r="AVI34" s="21"/>
      <c r="AVJ34" s="21"/>
      <c r="AVK34" s="21"/>
      <c r="AVL34" s="21"/>
      <c r="AVM34" s="21"/>
      <c r="AVN34" s="21"/>
      <c r="AVO34" s="21"/>
      <c r="AVP34" s="21"/>
      <c r="AVQ34" s="21"/>
      <c r="AVR34" s="21"/>
      <c r="AVS34" s="21"/>
      <c r="AVT34" s="21"/>
      <c r="AVU34" s="21"/>
      <c r="AVV34" s="21"/>
      <c r="AVW34" s="21"/>
      <c r="AVX34" s="21"/>
      <c r="AVY34" s="21"/>
      <c r="AVZ34" s="21"/>
      <c r="AWA34" s="21"/>
      <c r="AWB34" s="21"/>
      <c r="AWC34" s="21"/>
      <c r="AWD34" s="21"/>
      <c r="AWE34" s="21"/>
      <c r="AWF34" s="21"/>
      <c r="AWG34" s="21"/>
      <c r="AWH34" s="21"/>
      <c r="AWI34" s="21"/>
      <c r="AWJ34" s="21"/>
      <c r="AWK34" s="21"/>
      <c r="AWL34" s="21"/>
      <c r="AWM34" s="21"/>
      <c r="AWN34" s="21"/>
      <c r="AWO34" s="21"/>
      <c r="AWP34" s="21"/>
      <c r="AWQ34" s="21"/>
      <c r="AWR34" s="21"/>
      <c r="AWS34" s="21"/>
      <c r="AWT34" s="21"/>
      <c r="AWU34" s="21"/>
      <c r="AWV34" s="21"/>
      <c r="AWW34" s="21"/>
      <c r="AWX34" s="21"/>
      <c r="AWY34" s="21"/>
      <c r="AWZ34" s="21"/>
      <c r="AXA34" s="21"/>
      <c r="AXB34" s="21"/>
      <c r="AXC34" s="21"/>
      <c r="AXD34" s="21"/>
      <c r="AXE34" s="21"/>
      <c r="AXF34" s="21"/>
      <c r="AXG34" s="21"/>
      <c r="AXH34" s="21"/>
      <c r="AXI34" s="21"/>
      <c r="AXJ34" s="21"/>
      <c r="AXK34" s="21"/>
      <c r="AXL34" s="21"/>
      <c r="AXM34" s="21"/>
      <c r="AXN34" s="21"/>
      <c r="AXO34" s="21"/>
      <c r="AXP34" s="21"/>
      <c r="AXQ34" s="21"/>
      <c r="AXR34" s="21"/>
      <c r="AXS34" s="21"/>
      <c r="AXT34" s="21"/>
      <c r="AXU34" s="21"/>
      <c r="AXV34" s="21"/>
      <c r="AXW34" s="21"/>
      <c r="AXX34" s="21"/>
      <c r="AXY34" s="21"/>
      <c r="AXZ34" s="21"/>
      <c r="AYA34" s="21"/>
      <c r="AYB34" s="21"/>
      <c r="AYC34" s="21"/>
      <c r="AYD34" s="21"/>
      <c r="AYE34" s="21"/>
      <c r="AYF34" s="21"/>
      <c r="AYG34" s="21"/>
      <c r="AYH34" s="21"/>
      <c r="AYI34" s="21"/>
      <c r="AYJ34" s="21"/>
      <c r="AYK34" s="21"/>
      <c r="AYL34" s="21"/>
      <c r="AYM34" s="21"/>
      <c r="AYN34" s="21"/>
      <c r="AYO34" s="21"/>
      <c r="AYP34" s="21"/>
      <c r="AYQ34" s="21"/>
      <c r="AYR34" s="21"/>
      <c r="AYS34" s="21"/>
      <c r="AYT34" s="21"/>
      <c r="AYU34" s="21"/>
      <c r="AYV34" s="21"/>
      <c r="AYW34" s="21"/>
      <c r="AYX34" s="21"/>
      <c r="AYY34" s="21"/>
      <c r="AYZ34" s="21"/>
      <c r="AZA34" s="21"/>
      <c r="AZB34" s="21"/>
      <c r="AZC34" s="21"/>
      <c r="AZD34" s="21"/>
      <c r="AZE34" s="21"/>
      <c r="AZF34" s="21"/>
      <c r="AZG34" s="21"/>
      <c r="AZH34" s="21"/>
      <c r="AZI34" s="21"/>
      <c r="AZJ34" s="21"/>
      <c r="AZK34" s="21"/>
      <c r="AZL34" s="21"/>
      <c r="AZM34" s="21"/>
      <c r="AZN34" s="21"/>
      <c r="AZO34" s="21"/>
      <c r="AZP34" s="21"/>
      <c r="AZQ34" s="21"/>
      <c r="AZR34" s="21"/>
      <c r="AZS34" s="21"/>
      <c r="AZT34" s="21"/>
      <c r="AZU34" s="21"/>
      <c r="AZV34" s="21"/>
      <c r="AZW34" s="21"/>
      <c r="AZX34" s="21"/>
      <c r="AZY34" s="21"/>
      <c r="AZZ34" s="21"/>
      <c r="BAA34" s="21"/>
      <c r="BAB34" s="21"/>
      <c r="BAC34" s="21"/>
      <c r="BAD34" s="21"/>
      <c r="BAE34" s="21"/>
      <c r="BAF34" s="21"/>
      <c r="BAG34" s="21"/>
      <c r="BAH34" s="21"/>
      <c r="BAI34" s="21"/>
      <c r="BAJ34" s="21"/>
      <c r="BAK34" s="21"/>
      <c r="BAL34" s="21"/>
      <c r="BAM34" s="21"/>
      <c r="BAN34" s="21"/>
      <c r="BAO34" s="21"/>
      <c r="BAP34" s="21"/>
      <c r="BAQ34" s="21"/>
      <c r="BAR34" s="21"/>
      <c r="BAS34" s="21"/>
      <c r="BAT34" s="21"/>
      <c r="BAU34" s="21"/>
      <c r="BAV34" s="21"/>
      <c r="BAW34" s="21"/>
      <c r="BAX34" s="21"/>
      <c r="BAY34" s="21"/>
      <c r="BAZ34" s="21"/>
      <c r="BBA34" s="21"/>
      <c r="BBB34" s="21"/>
      <c r="BBC34" s="21"/>
      <c r="BBD34" s="21"/>
      <c r="BBE34" s="21"/>
      <c r="BBF34" s="21"/>
      <c r="BBG34" s="21"/>
      <c r="BBH34" s="21"/>
      <c r="BBI34" s="21"/>
      <c r="BBJ34" s="21"/>
      <c r="BBK34" s="21"/>
      <c r="BBL34" s="21"/>
      <c r="BBM34" s="21"/>
      <c r="BBN34" s="21"/>
      <c r="BBO34" s="21"/>
      <c r="BBP34" s="21"/>
      <c r="BBQ34" s="21"/>
      <c r="BBR34" s="21"/>
      <c r="BBS34" s="21"/>
      <c r="BBT34" s="21"/>
      <c r="BBU34" s="21"/>
      <c r="BBV34" s="21"/>
      <c r="BBW34" s="21"/>
      <c r="BBX34" s="21"/>
      <c r="BBY34" s="21"/>
      <c r="BBZ34" s="21"/>
      <c r="BCA34" s="21"/>
      <c r="BCB34" s="21"/>
      <c r="BCC34" s="21"/>
      <c r="BCD34" s="21"/>
      <c r="BCE34" s="21"/>
      <c r="BCF34" s="21"/>
      <c r="BCG34" s="21"/>
      <c r="BCH34" s="21"/>
      <c r="BCI34" s="21"/>
      <c r="BCJ34" s="21"/>
      <c r="BCK34" s="21"/>
      <c r="BCL34" s="21"/>
      <c r="BCM34" s="21"/>
      <c r="BCN34" s="21"/>
      <c r="BCO34" s="21"/>
      <c r="BCP34" s="21"/>
      <c r="BCQ34" s="21"/>
      <c r="BCR34" s="21"/>
      <c r="BCS34" s="21"/>
      <c r="BCT34" s="21"/>
      <c r="BCU34" s="21"/>
      <c r="BCV34" s="21"/>
      <c r="BCW34" s="21"/>
      <c r="BCX34" s="21"/>
      <c r="BCY34" s="21"/>
      <c r="BCZ34" s="21"/>
      <c r="BDA34" s="21"/>
      <c r="BDB34" s="21"/>
      <c r="BDC34" s="21"/>
      <c r="BDD34" s="21"/>
      <c r="BDE34" s="21"/>
      <c r="BDF34" s="21"/>
      <c r="BDG34" s="21"/>
      <c r="BDH34" s="21"/>
      <c r="BDI34" s="21"/>
      <c r="BDJ34" s="21"/>
      <c r="BDK34" s="21"/>
      <c r="BDL34" s="21"/>
      <c r="BDM34" s="21"/>
      <c r="BDN34" s="21"/>
      <c r="BDO34" s="21"/>
      <c r="BDP34" s="21"/>
      <c r="BDQ34" s="21"/>
      <c r="BDR34" s="21"/>
      <c r="BDS34" s="21"/>
      <c r="BDT34" s="21"/>
      <c r="BDU34" s="21"/>
      <c r="BDV34" s="21"/>
      <c r="BDW34" s="21"/>
      <c r="BDX34" s="21"/>
      <c r="BDY34" s="21"/>
      <c r="BDZ34" s="21"/>
      <c r="BEA34" s="21"/>
      <c r="BEB34" s="21"/>
      <c r="BEC34" s="21"/>
      <c r="BED34" s="21"/>
      <c r="BEE34" s="21"/>
      <c r="BEF34" s="21"/>
      <c r="BEG34" s="21"/>
      <c r="BEH34" s="21"/>
      <c r="BEI34" s="21"/>
      <c r="BEJ34" s="21"/>
      <c r="BEK34" s="21"/>
      <c r="BEL34" s="21"/>
      <c r="BEM34" s="21"/>
      <c r="BEN34" s="21"/>
      <c r="BEO34" s="21"/>
      <c r="BEP34" s="21"/>
      <c r="BEQ34" s="21"/>
      <c r="BER34" s="21"/>
      <c r="BES34" s="21"/>
      <c r="BET34" s="21"/>
      <c r="BEU34" s="21"/>
      <c r="BEV34" s="21"/>
      <c r="BEW34" s="21"/>
      <c r="BEX34" s="21"/>
      <c r="BEY34" s="21"/>
      <c r="BEZ34" s="21"/>
      <c r="BFA34" s="21"/>
      <c r="BFB34" s="21"/>
      <c r="BFC34" s="21"/>
      <c r="BFD34" s="21"/>
      <c r="BFE34" s="21"/>
      <c r="BFF34" s="21"/>
      <c r="BFG34" s="21"/>
      <c r="BFH34" s="21"/>
      <c r="BFI34" s="21"/>
      <c r="BFJ34" s="21"/>
      <c r="BFK34" s="21"/>
      <c r="BFL34" s="21"/>
      <c r="BFM34" s="21"/>
      <c r="BFN34" s="21"/>
      <c r="BFO34" s="21"/>
      <c r="BFP34" s="21"/>
      <c r="BFQ34" s="21"/>
      <c r="BFR34" s="21"/>
      <c r="BFS34" s="21"/>
      <c r="BFT34" s="21"/>
      <c r="BFU34" s="21"/>
      <c r="BFV34" s="21"/>
      <c r="BFW34" s="21"/>
      <c r="BFX34" s="21"/>
      <c r="BFY34" s="21"/>
      <c r="BFZ34" s="21"/>
      <c r="BGA34" s="21"/>
      <c r="BGB34" s="21"/>
      <c r="BGC34" s="21"/>
      <c r="BGD34" s="21"/>
      <c r="BGE34" s="21"/>
      <c r="BGF34" s="21"/>
      <c r="BGG34" s="21"/>
      <c r="BGH34" s="21"/>
      <c r="BGI34" s="21"/>
      <c r="BGJ34" s="21"/>
      <c r="BGK34" s="21"/>
      <c r="BGL34" s="21"/>
      <c r="BGM34" s="21"/>
      <c r="BGN34" s="21"/>
      <c r="BGO34" s="21"/>
      <c r="BGP34" s="21"/>
      <c r="BGQ34" s="21"/>
      <c r="BGR34" s="21"/>
      <c r="BGS34" s="21"/>
      <c r="BGT34" s="21"/>
      <c r="BGU34" s="21"/>
      <c r="BGV34" s="21"/>
      <c r="BGW34" s="21"/>
      <c r="BGX34" s="21"/>
      <c r="BGY34" s="21"/>
      <c r="BGZ34" s="21"/>
      <c r="BHA34" s="21"/>
      <c r="BHB34" s="21"/>
      <c r="BHC34" s="21"/>
      <c r="BHD34" s="21"/>
      <c r="BHE34" s="21"/>
      <c r="BHF34" s="21"/>
      <c r="BHG34" s="21"/>
      <c r="BHH34" s="21"/>
      <c r="BHI34" s="21"/>
      <c r="BHJ34" s="21"/>
      <c r="BHK34" s="21"/>
      <c r="BHL34" s="21"/>
      <c r="BHM34" s="21"/>
      <c r="BHN34" s="21"/>
      <c r="BHO34" s="21"/>
      <c r="BHP34" s="21"/>
      <c r="BHQ34" s="21"/>
      <c r="BHR34" s="21"/>
      <c r="BHS34" s="21"/>
      <c r="BHT34" s="21"/>
      <c r="BHU34" s="21"/>
      <c r="BHV34" s="21"/>
      <c r="BHW34" s="21"/>
      <c r="BHX34" s="21"/>
      <c r="BHY34" s="21"/>
      <c r="BHZ34" s="21"/>
      <c r="BIA34" s="21"/>
      <c r="BIB34" s="21"/>
      <c r="BIC34" s="21"/>
      <c r="BID34" s="21"/>
      <c r="BIE34" s="21"/>
      <c r="BIF34" s="21"/>
      <c r="BIG34" s="21"/>
      <c r="BIH34" s="21"/>
      <c r="BII34" s="21"/>
      <c r="BIJ34" s="21"/>
      <c r="BIK34" s="21"/>
      <c r="BIL34" s="21"/>
      <c r="BIM34" s="21"/>
      <c r="BIN34" s="21"/>
      <c r="BIO34" s="21"/>
      <c r="BIP34" s="21"/>
      <c r="BIQ34" s="21"/>
      <c r="BIR34" s="21"/>
      <c r="BIS34" s="21"/>
      <c r="BIT34" s="21"/>
      <c r="BIU34" s="21"/>
      <c r="BIV34" s="21"/>
      <c r="BIW34" s="21"/>
      <c r="BIX34" s="21"/>
      <c r="BIY34" s="21"/>
      <c r="BIZ34" s="21"/>
      <c r="BJA34" s="21"/>
      <c r="BJB34" s="21"/>
      <c r="BJC34" s="21"/>
      <c r="BJD34" s="21"/>
      <c r="BJE34" s="21"/>
      <c r="BJF34" s="21"/>
      <c r="BJG34" s="21"/>
      <c r="BJH34" s="21"/>
      <c r="BJI34" s="21"/>
      <c r="BJJ34" s="21"/>
      <c r="BJK34" s="21"/>
      <c r="BJL34" s="21"/>
      <c r="BJM34" s="21"/>
      <c r="BJN34" s="21"/>
      <c r="BJO34" s="21"/>
      <c r="BJP34" s="21"/>
      <c r="BJQ34" s="21"/>
      <c r="BJR34" s="21"/>
      <c r="BJS34" s="21"/>
      <c r="BJT34" s="21"/>
      <c r="BJU34" s="21"/>
      <c r="BJV34" s="21"/>
      <c r="BJW34" s="21"/>
      <c r="BJX34" s="21"/>
      <c r="BJY34" s="21"/>
      <c r="BJZ34" s="21"/>
      <c r="BKA34" s="21"/>
      <c r="BKB34" s="21"/>
      <c r="BKC34" s="21"/>
      <c r="BKD34" s="21"/>
      <c r="BKE34" s="21"/>
      <c r="BKF34" s="21"/>
      <c r="BKG34" s="21"/>
      <c r="BKH34" s="21"/>
      <c r="BKI34" s="21"/>
      <c r="BKJ34" s="21"/>
      <c r="BKK34" s="21"/>
      <c r="BKL34" s="21"/>
      <c r="BKM34" s="21"/>
      <c r="BKN34" s="21"/>
      <c r="BKO34" s="21"/>
      <c r="BKP34" s="21"/>
      <c r="BKQ34" s="21"/>
      <c r="BKR34" s="21"/>
      <c r="BKS34" s="21"/>
      <c r="BKT34" s="21"/>
      <c r="BKU34" s="21"/>
      <c r="BKV34" s="21"/>
      <c r="BKW34" s="21"/>
      <c r="BKX34" s="21"/>
      <c r="BKY34" s="21"/>
      <c r="BKZ34" s="21"/>
      <c r="BLA34" s="21"/>
      <c r="BLB34" s="21"/>
      <c r="BLC34" s="21"/>
      <c r="BLD34" s="21"/>
      <c r="BLE34" s="21"/>
      <c r="BLF34" s="21"/>
      <c r="BLG34" s="21"/>
      <c r="BLH34" s="21"/>
      <c r="BLI34" s="21"/>
      <c r="BLJ34" s="21"/>
      <c r="BLK34" s="21"/>
      <c r="BLL34" s="21"/>
      <c r="BLM34" s="21"/>
      <c r="BLN34" s="21"/>
      <c r="BLO34" s="21"/>
      <c r="BLP34" s="21"/>
      <c r="BLQ34" s="21"/>
      <c r="BLR34" s="21"/>
      <c r="BLS34" s="21"/>
      <c r="BLT34" s="21"/>
      <c r="BLU34" s="21"/>
      <c r="BLV34" s="21"/>
      <c r="BLW34" s="21"/>
      <c r="BLX34" s="21"/>
      <c r="BLY34" s="21"/>
      <c r="BLZ34" s="21"/>
      <c r="BMA34" s="21"/>
      <c r="BMB34" s="21"/>
      <c r="BMC34" s="21"/>
      <c r="BMD34" s="21"/>
      <c r="BME34" s="21"/>
      <c r="BMF34" s="21"/>
      <c r="BMG34" s="21"/>
      <c r="BMH34" s="21"/>
      <c r="BMI34" s="21"/>
      <c r="BMJ34" s="21"/>
      <c r="BMK34" s="21"/>
      <c r="BML34" s="21"/>
      <c r="BMM34" s="21"/>
      <c r="BMN34" s="21"/>
      <c r="BMO34" s="21"/>
      <c r="BMP34" s="21"/>
      <c r="BMQ34" s="21"/>
      <c r="BMR34" s="21"/>
      <c r="BMS34" s="21"/>
      <c r="BMT34" s="21"/>
      <c r="BMU34" s="21"/>
      <c r="BMV34" s="21"/>
      <c r="BMW34" s="21"/>
      <c r="BMX34" s="21"/>
      <c r="BMY34" s="21"/>
      <c r="BMZ34" s="21"/>
      <c r="BNA34" s="21"/>
      <c r="BNB34" s="21"/>
      <c r="BNC34" s="21"/>
      <c r="BND34" s="21"/>
      <c r="BNE34" s="21"/>
      <c r="BNF34" s="21"/>
      <c r="BNG34" s="21"/>
      <c r="BNH34" s="21"/>
      <c r="BNI34" s="21"/>
      <c r="BNJ34" s="21"/>
      <c r="BNK34" s="21"/>
      <c r="BNL34" s="21"/>
      <c r="BNM34" s="21"/>
      <c r="BNN34" s="21"/>
      <c r="BNO34" s="21"/>
      <c r="BNP34" s="21"/>
      <c r="BNQ34" s="21"/>
      <c r="BNR34" s="21"/>
      <c r="BNS34" s="21"/>
      <c r="BNT34" s="21"/>
      <c r="BNU34" s="21"/>
      <c r="BNV34" s="21"/>
      <c r="BNW34" s="21"/>
      <c r="BNX34" s="21"/>
      <c r="BNY34" s="21"/>
      <c r="BNZ34" s="21"/>
      <c r="BOA34" s="21"/>
      <c r="BOB34" s="21"/>
      <c r="BOC34" s="21"/>
      <c r="BOD34" s="21"/>
      <c r="BOE34" s="21"/>
      <c r="BOF34" s="21"/>
      <c r="BOG34" s="21"/>
      <c r="BOH34" s="21"/>
      <c r="BOI34" s="21"/>
      <c r="BOJ34" s="21"/>
      <c r="BOK34" s="21"/>
      <c r="BOL34" s="21"/>
      <c r="BOM34" s="21"/>
      <c r="BON34" s="21"/>
      <c r="BOO34" s="21"/>
      <c r="BOP34" s="21"/>
      <c r="BOQ34" s="21"/>
      <c r="BOR34" s="21"/>
      <c r="BOS34" s="21"/>
      <c r="BOT34" s="21"/>
      <c r="BOU34" s="21"/>
      <c r="BOV34" s="21"/>
      <c r="BOW34" s="21"/>
      <c r="BOX34" s="21"/>
      <c r="BOY34" s="21"/>
      <c r="BOZ34" s="21"/>
      <c r="BPA34" s="21"/>
      <c r="BPB34" s="21"/>
      <c r="BPC34" s="21"/>
      <c r="BPD34" s="21"/>
      <c r="BPE34" s="21"/>
      <c r="BPF34" s="21"/>
      <c r="BPG34" s="21"/>
      <c r="BPH34" s="21"/>
      <c r="BPI34" s="21"/>
      <c r="BPJ34" s="21"/>
      <c r="BPK34" s="21"/>
      <c r="BPL34" s="21"/>
      <c r="BPM34" s="21"/>
      <c r="BPN34" s="21"/>
      <c r="BPO34" s="21"/>
      <c r="BPP34" s="21"/>
      <c r="BPQ34" s="21"/>
      <c r="BPR34" s="21"/>
      <c r="BPS34" s="21"/>
      <c r="BPT34" s="21"/>
      <c r="BPU34" s="21"/>
      <c r="BPV34" s="21"/>
      <c r="BPW34" s="21"/>
      <c r="BPX34" s="21"/>
      <c r="BPY34" s="21"/>
      <c r="BPZ34" s="21"/>
      <c r="BQA34" s="21"/>
      <c r="BQB34" s="21"/>
      <c r="BQC34" s="21"/>
      <c r="BQD34" s="21"/>
      <c r="BQE34" s="21"/>
      <c r="BQF34" s="21"/>
      <c r="BQG34" s="21"/>
      <c r="BQH34" s="21"/>
      <c r="BQI34" s="21"/>
      <c r="BQJ34" s="21"/>
      <c r="BQK34" s="21"/>
      <c r="BQL34" s="21"/>
      <c r="BQM34" s="21"/>
      <c r="BQN34" s="21"/>
      <c r="BQO34" s="21"/>
      <c r="BQP34" s="21"/>
      <c r="BQQ34" s="21"/>
      <c r="BQR34" s="21"/>
      <c r="BQS34" s="21"/>
      <c r="BQT34" s="21"/>
      <c r="BQU34" s="21"/>
      <c r="BQV34" s="21"/>
      <c r="BQW34" s="21"/>
      <c r="BQX34" s="21"/>
      <c r="BQY34" s="21"/>
      <c r="BQZ34" s="21"/>
      <c r="BRA34" s="21"/>
      <c r="BRB34" s="21"/>
      <c r="BRC34" s="21"/>
      <c r="BRD34" s="21"/>
      <c r="BRE34" s="21"/>
      <c r="BRF34" s="21"/>
      <c r="BRG34" s="21"/>
      <c r="BRH34" s="21"/>
      <c r="BRI34" s="21"/>
      <c r="BRJ34" s="21"/>
      <c r="BRK34" s="21"/>
      <c r="BRL34" s="21"/>
      <c r="BRM34" s="21"/>
      <c r="BRN34" s="21"/>
      <c r="BRO34" s="21"/>
      <c r="BRP34" s="21"/>
      <c r="BRQ34" s="21"/>
      <c r="BRR34" s="21"/>
      <c r="BRS34" s="21"/>
      <c r="BRT34" s="21"/>
      <c r="BRU34" s="21"/>
      <c r="BRV34" s="21"/>
      <c r="BRW34" s="21"/>
      <c r="BRX34" s="21"/>
      <c r="BRY34" s="21"/>
      <c r="BRZ34" s="21"/>
      <c r="BSA34" s="21"/>
      <c r="BSB34" s="21"/>
      <c r="BSC34" s="21"/>
      <c r="BSD34" s="21"/>
      <c r="BSE34" s="21"/>
      <c r="BSF34" s="21"/>
      <c r="BSG34" s="21"/>
      <c r="BSH34" s="21"/>
      <c r="BSI34" s="21"/>
      <c r="BSJ34" s="21"/>
      <c r="BSK34" s="21"/>
      <c r="BSL34" s="21"/>
      <c r="BSM34" s="21"/>
      <c r="BSN34" s="21"/>
      <c r="BSO34" s="21"/>
      <c r="BSP34" s="21"/>
      <c r="BSQ34" s="21"/>
      <c r="BSR34" s="21"/>
      <c r="BSS34" s="21"/>
      <c r="BST34" s="21"/>
      <c r="BSU34" s="21"/>
      <c r="BSV34" s="21"/>
      <c r="BSW34" s="21"/>
      <c r="BSX34" s="21"/>
      <c r="BSY34" s="21"/>
      <c r="BSZ34" s="21"/>
      <c r="BTA34" s="21"/>
      <c r="BTB34" s="21"/>
      <c r="BTC34" s="21"/>
      <c r="BTD34" s="21"/>
      <c r="BTE34" s="21"/>
      <c r="BTF34" s="21"/>
      <c r="BTG34" s="21"/>
      <c r="BTH34" s="21"/>
      <c r="BTI34" s="21"/>
      <c r="BTJ34" s="21"/>
      <c r="BTK34" s="21"/>
      <c r="BTL34" s="21"/>
      <c r="BTM34" s="21"/>
      <c r="BTN34" s="21"/>
      <c r="BTO34" s="21"/>
      <c r="BTP34" s="21"/>
      <c r="BTQ34" s="21"/>
      <c r="BTR34" s="21"/>
      <c r="BTS34" s="21"/>
      <c r="BTT34" s="21"/>
      <c r="BTU34" s="21"/>
      <c r="BTV34" s="21"/>
      <c r="BTW34" s="21"/>
      <c r="BTX34" s="21"/>
      <c r="BTY34" s="21"/>
      <c r="BTZ34" s="21"/>
      <c r="BUA34" s="21"/>
      <c r="BUB34" s="21"/>
      <c r="BUC34" s="21"/>
      <c r="BUD34" s="21"/>
      <c r="BUE34" s="21"/>
      <c r="BUF34" s="21"/>
      <c r="BUG34" s="21"/>
      <c r="BUH34" s="21"/>
      <c r="BUI34" s="21"/>
      <c r="BUJ34" s="21"/>
      <c r="BUK34" s="21"/>
      <c r="BUL34" s="21"/>
      <c r="BUM34" s="21"/>
      <c r="BUN34" s="21"/>
      <c r="BUO34" s="21"/>
      <c r="BUP34" s="21"/>
      <c r="BUQ34" s="21"/>
      <c r="BUR34" s="21"/>
      <c r="BUS34" s="21"/>
      <c r="BUT34" s="21"/>
      <c r="BUU34" s="21"/>
      <c r="BUV34" s="21"/>
      <c r="BUW34" s="21"/>
      <c r="BUX34" s="21"/>
      <c r="BUY34" s="21"/>
      <c r="BUZ34" s="21"/>
      <c r="BVA34" s="21"/>
      <c r="BVB34" s="21"/>
      <c r="BVC34" s="21"/>
      <c r="BVD34" s="21"/>
      <c r="BVE34" s="21"/>
      <c r="BVF34" s="21"/>
      <c r="BVG34" s="21"/>
      <c r="BVH34" s="21"/>
      <c r="BVI34" s="21"/>
      <c r="BVJ34" s="21"/>
      <c r="BVK34" s="21"/>
      <c r="BVL34" s="21"/>
      <c r="BVM34" s="21"/>
      <c r="BVN34" s="21"/>
      <c r="BVO34" s="21"/>
      <c r="BVP34" s="21"/>
      <c r="BVQ34" s="21"/>
      <c r="BVR34" s="21"/>
      <c r="BVS34" s="21"/>
      <c r="BVT34" s="21"/>
      <c r="BVU34" s="21"/>
      <c r="BVV34" s="21"/>
      <c r="BVW34" s="21"/>
      <c r="BVX34" s="21"/>
      <c r="BVY34" s="21"/>
      <c r="BVZ34" s="21"/>
      <c r="BWA34" s="21"/>
      <c r="BWB34" s="21"/>
      <c r="BWC34" s="21"/>
      <c r="BWD34" s="21"/>
      <c r="BWE34" s="21"/>
      <c r="BWF34" s="21"/>
      <c r="BWG34" s="21"/>
      <c r="BWH34" s="21"/>
      <c r="BWI34" s="21"/>
      <c r="BWJ34" s="21"/>
      <c r="BWK34" s="21"/>
      <c r="BWL34" s="21"/>
      <c r="BWM34" s="21"/>
      <c r="BWN34" s="21"/>
      <c r="BWO34" s="21"/>
      <c r="BWP34" s="21"/>
      <c r="BWQ34" s="21"/>
      <c r="BWR34" s="21"/>
      <c r="BWS34" s="21"/>
      <c r="BWT34" s="21"/>
      <c r="BWU34" s="21"/>
      <c r="BWV34" s="21"/>
      <c r="BWW34" s="21"/>
      <c r="BWX34" s="21"/>
      <c r="BWY34" s="21"/>
      <c r="BWZ34" s="21"/>
      <c r="BXA34" s="21"/>
      <c r="BXB34" s="21"/>
      <c r="BXC34" s="21"/>
      <c r="BXD34" s="21"/>
      <c r="BXE34" s="21"/>
      <c r="BXF34" s="21"/>
      <c r="BXG34" s="21"/>
      <c r="BXH34" s="21"/>
      <c r="BXI34" s="21"/>
      <c r="BXJ34" s="21"/>
      <c r="BXK34" s="21"/>
      <c r="BXL34" s="21"/>
      <c r="BXM34" s="21"/>
      <c r="BXN34" s="21"/>
      <c r="BXO34" s="21"/>
      <c r="BXP34" s="21"/>
      <c r="BXQ34" s="21"/>
      <c r="BXR34" s="21"/>
      <c r="BXS34" s="21"/>
      <c r="BXT34" s="21"/>
      <c r="BXU34" s="21"/>
      <c r="BXV34" s="21"/>
      <c r="BXW34" s="21"/>
      <c r="BXX34" s="21"/>
      <c r="BXY34" s="21"/>
      <c r="BXZ34" s="21"/>
      <c r="BYA34" s="21"/>
      <c r="BYB34" s="21"/>
      <c r="BYC34" s="21"/>
      <c r="BYD34" s="21"/>
      <c r="BYE34" s="21"/>
      <c r="BYF34" s="21"/>
      <c r="BYG34" s="21"/>
      <c r="BYH34" s="21"/>
      <c r="BYI34" s="21"/>
      <c r="BYJ34" s="21"/>
      <c r="BYK34" s="21"/>
      <c r="BYL34" s="21"/>
      <c r="BYM34" s="21"/>
      <c r="BYN34" s="21"/>
      <c r="BYO34" s="21"/>
      <c r="BYP34" s="21"/>
      <c r="BYQ34" s="21"/>
      <c r="BYR34" s="21"/>
      <c r="BYS34" s="21"/>
      <c r="BYT34" s="21"/>
      <c r="BYU34" s="21"/>
      <c r="BYV34" s="21"/>
      <c r="BYW34" s="21"/>
      <c r="BYX34" s="21"/>
      <c r="BYY34" s="21"/>
      <c r="BYZ34" s="21"/>
      <c r="BZA34" s="21"/>
      <c r="BZB34" s="21"/>
      <c r="BZC34" s="21"/>
      <c r="BZD34" s="21"/>
      <c r="BZE34" s="21"/>
      <c r="BZF34" s="21"/>
      <c r="BZG34" s="21"/>
      <c r="BZH34" s="21"/>
      <c r="BZI34" s="21"/>
      <c r="BZJ34" s="21"/>
      <c r="BZK34" s="21"/>
      <c r="BZL34" s="21"/>
      <c r="BZM34" s="21"/>
      <c r="BZN34" s="21"/>
      <c r="BZO34" s="21"/>
      <c r="BZP34" s="21"/>
      <c r="BZQ34" s="21"/>
      <c r="BZR34" s="21"/>
      <c r="BZS34" s="21"/>
      <c r="BZT34" s="21"/>
      <c r="BZU34" s="21"/>
      <c r="BZV34" s="21"/>
      <c r="BZW34" s="21"/>
      <c r="BZX34" s="21"/>
      <c r="BZY34" s="21"/>
      <c r="BZZ34" s="21"/>
      <c r="CAA34" s="21"/>
      <c r="CAB34" s="21"/>
      <c r="CAC34" s="21"/>
      <c r="CAD34" s="21"/>
      <c r="CAE34" s="21"/>
      <c r="CAF34" s="21"/>
      <c r="CAG34" s="21"/>
      <c r="CAH34" s="21"/>
      <c r="CAI34" s="21"/>
      <c r="CAJ34" s="21"/>
      <c r="CAK34" s="21"/>
      <c r="CAL34" s="21"/>
      <c r="CAM34" s="21"/>
      <c r="CAN34" s="21"/>
      <c r="CAO34" s="21"/>
      <c r="CAP34" s="21"/>
      <c r="CAQ34" s="21"/>
      <c r="CAR34" s="21"/>
      <c r="CAS34" s="21"/>
      <c r="CAT34" s="21"/>
      <c r="CAU34" s="21"/>
      <c r="CAV34" s="21"/>
      <c r="CAW34" s="21"/>
      <c r="CAX34" s="21"/>
      <c r="CAY34" s="21"/>
      <c r="CAZ34" s="21"/>
      <c r="CBA34" s="21"/>
      <c r="CBB34" s="21"/>
      <c r="CBC34" s="21"/>
      <c r="CBD34" s="21"/>
      <c r="CBE34" s="21"/>
      <c r="CBF34" s="21"/>
      <c r="CBG34" s="21"/>
      <c r="CBH34" s="21"/>
      <c r="CBI34" s="21"/>
      <c r="CBJ34" s="21"/>
      <c r="CBK34" s="21"/>
      <c r="CBL34" s="21"/>
      <c r="CBM34" s="21"/>
      <c r="CBN34" s="21"/>
      <c r="CBO34" s="21"/>
      <c r="CBP34" s="21"/>
      <c r="CBQ34" s="21"/>
      <c r="CBR34" s="21"/>
      <c r="CBS34" s="21"/>
      <c r="CBT34" s="21"/>
      <c r="CBU34" s="21"/>
      <c r="CBV34" s="21"/>
      <c r="CBW34" s="21"/>
      <c r="CBX34" s="21"/>
      <c r="CBY34" s="21"/>
      <c r="CBZ34" s="21"/>
      <c r="CCA34" s="21"/>
      <c r="CCB34" s="21"/>
      <c r="CCC34" s="21"/>
      <c r="CCD34" s="21"/>
      <c r="CCE34" s="21"/>
      <c r="CCF34" s="21"/>
      <c r="CCG34" s="21"/>
      <c r="CCH34" s="21"/>
      <c r="CCI34" s="21"/>
      <c r="CCJ34" s="21"/>
      <c r="CCK34" s="21"/>
      <c r="CCL34" s="21"/>
      <c r="CCM34" s="21"/>
      <c r="CCN34" s="21"/>
      <c r="CCO34" s="21"/>
      <c r="CCP34" s="21"/>
      <c r="CCQ34" s="21"/>
      <c r="CCR34" s="21"/>
      <c r="CCS34" s="21"/>
      <c r="CCT34" s="21"/>
      <c r="CCU34" s="21"/>
      <c r="CCV34" s="21"/>
      <c r="CCW34" s="21"/>
      <c r="CCX34" s="21"/>
      <c r="CCY34" s="21"/>
      <c r="CCZ34" s="21"/>
      <c r="CDA34" s="21"/>
      <c r="CDB34" s="21"/>
      <c r="CDC34" s="21"/>
      <c r="CDD34" s="21"/>
      <c r="CDE34" s="21"/>
      <c r="CDF34" s="21"/>
      <c r="CDG34" s="21"/>
      <c r="CDH34" s="21"/>
      <c r="CDI34" s="21"/>
      <c r="CDJ34" s="21"/>
      <c r="CDK34" s="21"/>
      <c r="CDL34" s="21"/>
      <c r="CDM34" s="21"/>
      <c r="CDN34" s="21"/>
      <c r="CDO34" s="21"/>
      <c r="CDP34" s="21"/>
      <c r="CDQ34" s="21"/>
      <c r="CDR34" s="21"/>
      <c r="CDS34" s="21"/>
      <c r="CDT34" s="21"/>
      <c r="CDU34" s="21"/>
      <c r="CDV34" s="21"/>
      <c r="CDW34" s="21"/>
      <c r="CDX34" s="21"/>
      <c r="CDY34" s="21"/>
      <c r="CDZ34" s="21"/>
      <c r="CEA34" s="21"/>
      <c r="CEB34" s="21"/>
      <c r="CEC34" s="21"/>
      <c r="CED34" s="21"/>
      <c r="CEE34" s="21"/>
      <c r="CEF34" s="21"/>
      <c r="CEG34" s="21"/>
      <c r="CEH34" s="21"/>
      <c r="CEI34" s="21"/>
      <c r="CEJ34" s="21"/>
      <c r="CEK34" s="21"/>
      <c r="CEL34" s="21"/>
      <c r="CEM34" s="21"/>
      <c r="CEN34" s="21"/>
      <c r="CEO34" s="21"/>
      <c r="CEP34" s="21"/>
      <c r="CEQ34" s="21"/>
      <c r="CER34" s="21"/>
      <c r="CES34" s="21"/>
      <c r="CET34" s="21"/>
      <c r="CEU34" s="21"/>
      <c r="CEV34" s="21"/>
      <c r="CEW34" s="21"/>
      <c r="CEX34" s="21"/>
      <c r="CEY34" s="21"/>
      <c r="CEZ34" s="21"/>
      <c r="CFA34" s="21"/>
      <c r="CFB34" s="21"/>
      <c r="CFC34" s="21"/>
      <c r="CFD34" s="21"/>
      <c r="CFE34" s="21"/>
      <c r="CFF34" s="21"/>
      <c r="CFG34" s="21"/>
      <c r="CFH34" s="21"/>
      <c r="CFI34" s="21"/>
      <c r="CFJ34" s="21"/>
      <c r="CFK34" s="21"/>
      <c r="CFL34" s="21"/>
      <c r="CFM34" s="21"/>
      <c r="CFN34" s="21"/>
      <c r="CFO34" s="21"/>
      <c r="CFP34" s="21"/>
      <c r="CFQ34" s="21"/>
      <c r="CFR34" s="21"/>
      <c r="CFS34" s="21"/>
      <c r="CFT34" s="21"/>
      <c r="CFU34" s="21"/>
      <c r="CFV34" s="21"/>
      <c r="CFW34" s="21"/>
      <c r="CFX34" s="21"/>
      <c r="CFY34" s="21"/>
      <c r="CFZ34" s="21"/>
      <c r="CGA34" s="21"/>
      <c r="CGB34" s="21"/>
      <c r="CGC34" s="21"/>
      <c r="CGD34" s="21"/>
      <c r="CGE34" s="21"/>
      <c r="CGF34" s="21"/>
      <c r="CGG34" s="21"/>
      <c r="CGH34" s="21"/>
      <c r="CGI34" s="21"/>
      <c r="CGJ34" s="21"/>
      <c r="CGK34" s="21"/>
      <c r="CGL34" s="21"/>
      <c r="CGM34" s="21"/>
      <c r="CGN34" s="21"/>
      <c r="CGO34" s="21"/>
      <c r="CGP34" s="21"/>
      <c r="CGQ34" s="21"/>
      <c r="CGR34" s="21"/>
      <c r="CGS34" s="21"/>
      <c r="CGT34" s="21"/>
      <c r="CGU34" s="21"/>
      <c r="CGV34" s="21"/>
      <c r="CGW34" s="21"/>
      <c r="CGX34" s="21"/>
      <c r="CGY34" s="21"/>
      <c r="CGZ34" s="21"/>
      <c r="CHA34" s="21"/>
      <c r="CHB34" s="21"/>
      <c r="CHC34" s="21"/>
      <c r="CHD34" s="21"/>
      <c r="CHE34" s="21"/>
      <c r="CHF34" s="21"/>
      <c r="CHG34" s="21"/>
      <c r="CHH34" s="21"/>
      <c r="CHI34" s="21"/>
      <c r="CHJ34" s="21"/>
      <c r="CHK34" s="21"/>
      <c r="CHL34" s="21"/>
      <c r="CHM34" s="21"/>
      <c r="CHN34" s="21"/>
      <c r="CHO34" s="21"/>
      <c r="CHP34" s="21"/>
      <c r="CHQ34" s="21"/>
      <c r="CHR34" s="21"/>
      <c r="CHS34" s="21"/>
      <c r="CHT34" s="21"/>
      <c r="CHU34" s="21"/>
      <c r="CHV34" s="21"/>
      <c r="CHW34" s="21"/>
      <c r="CHX34" s="21"/>
      <c r="CHY34" s="21"/>
      <c r="CHZ34" s="21"/>
      <c r="CIA34" s="21"/>
      <c r="CIB34" s="21"/>
      <c r="CIC34" s="21"/>
      <c r="CID34" s="21"/>
      <c r="CIE34" s="21"/>
      <c r="CIF34" s="21"/>
      <c r="CIG34" s="21"/>
      <c r="CIH34" s="21"/>
      <c r="CII34" s="21"/>
      <c r="CIJ34" s="21"/>
      <c r="CIK34" s="21"/>
      <c r="CIL34" s="21"/>
      <c r="CIM34" s="21"/>
      <c r="CIN34" s="21"/>
      <c r="CIO34" s="21"/>
      <c r="CIP34" s="21"/>
      <c r="CIQ34" s="21"/>
      <c r="CIR34" s="21"/>
      <c r="CIS34" s="21"/>
      <c r="CIT34" s="21"/>
      <c r="CIU34" s="21"/>
      <c r="CIV34" s="21"/>
      <c r="CIW34" s="21"/>
      <c r="CIX34" s="21"/>
      <c r="CIY34" s="21"/>
      <c r="CIZ34" s="21"/>
      <c r="CJA34" s="21"/>
      <c r="CJB34" s="21"/>
      <c r="CJC34" s="21"/>
      <c r="CJD34" s="21"/>
      <c r="CJE34" s="21"/>
      <c r="CJF34" s="21"/>
      <c r="CJG34" s="21"/>
      <c r="CJH34" s="21"/>
      <c r="CJI34" s="21"/>
      <c r="CJJ34" s="21"/>
      <c r="CJK34" s="21"/>
      <c r="CJL34" s="21"/>
      <c r="CJM34" s="21"/>
      <c r="CJN34" s="21"/>
      <c r="CJO34" s="21"/>
      <c r="CJP34" s="21"/>
      <c r="CJQ34" s="21"/>
      <c r="CJR34" s="21"/>
      <c r="CJS34" s="21"/>
      <c r="CJT34" s="21"/>
      <c r="CJU34" s="21"/>
      <c r="CJV34" s="21"/>
      <c r="CJW34" s="21"/>
      <c r="CJX34" s="21"/>
      <c r="CJY34" s="21"/>
      <c r="CJZ34" s="21"/>
      <c r="CKA34" s="21"/>
      <c r="CKB34" s="21"/>
      <c r="CKC34" s="21"/>
      <c r="CKD34" s="21"/>
      <c r="CKE34" s="21"/>
      <c r="CKF34" s="21"/>
      <c r="CKG34" s="21"/>
      <c r="CKH34" s="21"/>
      <c r="CKI34" s="21"/>
      <c r="CKJ34" s="21"/>
      <c r="CKK34" s="21"/>
      <c r="CKL34" s="21"/>
      <c r="CKM34" s="21"/>
      <c r="CKN34" s="21"/>
      <c r="CKO34" s="21"/>
      <c r="CKP34" s="21"/>
      <c r="CKQ34" s="21"/>
      <c r="CKR34" s="21"/>
      <c r="CKS34" s="21"/>
      <c r="CKT34" s="21"/>
      <c r="CKU34" s="21"/>
      <c r="CKV34" s="21"/>
      <c r="CKW34" s="21"/>
      <c r="CKX34" s="21"/>
      <c r="CKY34" s="21"/>
      <c r="CKZ34" s="21"/>
      <c r="CLA34" s="21"/>
      <c r="CLB34" s="21"/>
      <c r="CLC34" s="21"/>
      <c r="CLD34" s="21"/>
      <c r="CLE34" s="21"/>
      <c r="CLF34" s="21"/>
      <c r="CLG34" s="21"/>
      <c r="CLH34" s="21"/>
      <c r="CLI34" s="21"/>
      <c r="CLJ34" s="21"/>
      <c r="CLK34" s="21"/>
      <c r="CLL34" s="21"/>
      <c r="CLM34" s="21"/>
      <c r="CLN34" s="21"/>
      <c r="CLO34" s="21"/>
      <c r="CLP34" s="21"/>
      <c r="CLQ34" s="21"/>
      <c r="CLR34" s="21"/>
      <c r="CLS34" s="21"/>
      <c r="CLT34" s="21"/>
      <c r="CLU34" s="21"/>
      <c r="CLV34" s="21"/>
      <c r="CLW34" s="21"/>
      <c r="CLX34" s="21"/>
      <c r="CLY34" s="21"/>
      <c r="CLZ34" s="21"/>
      <c r="CMA34" s="21"/>
      <c r="CMB34" s="21"/>
      <c r="CMC34" s="21"/>
      <c r="CMD34" s="21"/>
      <c r="CME34" s="21"/>
      <c r="CMF34" s="21"/>
      <c r="CMG34" s="21"/>
      <c r="CMH34" s="21"/>
      <c r="CMI34" s="21"/>
      <c r="CMJ34" s="21"/>
      <c r="CMK34" s="21"/>
      <c r="CML34" s="21"/>
      <c r="CMM34" s="21"/>
      <c r="CMN34" s="21"/>
      <c r="CMO34" s="21"/>
      <c r="CMP34" s="21"/>
      <c r="CMQ34" s="21"/>
      <c r="CMR34" s="21"/>
      <c r="CMS34" s="21"/>
      <c r="CMT34" s="21"/>
      <c r="CMU34" s="21"/>
      <c r="CMV34" s="21"/>
      <c r="CMW34" s="21"/>
      <c r="CMX34" s="21"/>
      <c r="CMY34" s="21"/>
      <c r="CMZ34" s="21"/>
      <c r="CNA34" s="21"/>
      <c r="CNB34" s="21"/>
      <c r="CNC34" s="21"/>
      <c r="CND34" s="21"/>
      <c r="CNE34" s="21"/>
      <c r="CNF34" s="21"/>
      <c r="CNG34" s="21"/>
      <c r="CNH34" s="21"/>
      <c r="CNI34" s="21"/>
      <c r="CNJ34" s="21"/>
      <c r="CNK34" s="21"/>
      <c r="CNL34" s="21"/>
      <c r="CNM34" s="21"/>
      <c r="CNN34" s="21"/>
      <c r="CNO34" s="21"/>
      <c r="CNP34" s="21"/>
      <c r="CNQ34" s="21"/>
      <c r="CNR34" s="21"/>
      <c r="CNS34" s="21"/>
      <c r="CNT34" s="21"/>
      <c r="CNU34" s="21"/>
      <c r="CNV34" s="21"/>
      <c r="CNW34" s="21"/>
      <c r="CNX34" s="21"/>
      <c r="CNY34" s="21"/>
      <c r="CNZ34" s="21"/>
      <c r="COA34" s="21"/>
      <c r="COB34" s="21"/>
      <c r="COC34" s="21"/>
      <c r="COD34" s="21"/>
      <c r="COE34" s="21"/>
      <c r="COF34" s="21"/>
      <c r="COG34" s="21"/>
      <c r="COH34" s="21"/>
      <c r="COI34" s="21"/>
      <c r="COJ34" s="21"/>
      <c r="COK34" s="21"/>
      <c r="COL34" s="21"/>
      <c r="COM34" s="21"/>
      <c r="CON34" s="21"/>
      <c r="COO34" s="21"/>
      <c r="COP34" s="21"/>
      <c r="COQ34" s="21"/>
      <c r="COR34" s="21"/>
      <c r="COS34" s="21"/>
      <c r="COT34" s="21"/>
      <c r="COU34" s="21"/>
      <c r="COV34" s="21"/>
      <c r="COW34" s="21"/>
      <c r="COX34" s="21"/>
      <c r="COY34" s="21"/>
      <c r="COZ34" s="21"/>
      <c r="CPA34" s="21"/>
      <c r="CPB34" s="21"/>
      <c r="CPC34" s="21"/>
      <c r="CPD34" s="21"/>
      <c r="CPE34" s="21"/>
      <c r="CPF34" s="21"/>
      <c r="CPG34" s="21"/>
      <c r="CPH34" s="21"/>
      <c r="CPI34" s="21"/>
      <c r="CPJ34" s="21"/>
      <c r="CPK34" s="21"/>
      <c r="CPL34" s="21"/>
      <c r="CPM34" s="21"/>
      <c r="CPN34" s="21"/>
      <c r="CPO34" s="21"/>
      <c r="CPP34" s="21"/>
      <c r="CPQ34" s="21"/>
      <c r="CPR34" s="21"/>
      <c r="CPS34" s="21"/>
      <c r="CPT34" s="21"/>
      <c r="CPU34" s="21"/>
      <c r="CPV34" s="21"/>
      <c r="CPW34" s="21"/>
      <c r="CPX34" s="21"/>
      <c r="CPY34" s="21"/>
      <c r="CPZ34" s="21"/>
      <c r="CQA34" s="21"/>
      <c r="CQB34" s="21"/>
      <c r="CQC34" s="21"/>
      <c r="CQD34" s="21"/>
      <c r="CQE34" s="21"/>
      <c r="CQF34" s="21"/>
      <c r="CQG34" s="21"/>
      <c r="CQH34" s="21"/>
      <c r="CQI34" s="21"/>
      <c r="CQJ34" s="21"/>
      <c r="CQK34" s="21"/>
      <c r="CQL34" s="21"/>
      <c r="CQM34" s="21"/>
      <c r="CQN34" s="21"/>
      <c r="CQO34" s="21"/>
      <c r="CQP34" s="21"/>
      <c r="CQQ34" s="21"/>
      <c r="CQR34" s="21"/>
      <c r="CQS34" s="21"/>
      <c r="CQT34" s="21"/>
      <c r="CQU34" s="21"/>
      <c r="CQV34" s="21"/>
      <c r="CQW34" s="21"/>
      <c r="CQX34" s="21"/>
      <c r="CQY34" s="21"/>
      <c r="CQZ34" s="21"/>
      <c r="CRA34" s="21"/>
      <c r="CRB34" s="21"/>
      <c r="CRC34" s="21"/>
      <c r="CRD34" s="21"/>
      <c r="CRE34" s="21"/>
      <c r="CRF34" s="21"/>
      <c r="CRG34" s="21"/>
      <c r="CRH34" s="21"/>
      <c r="CRI34" s="21"/>
      <c r="CRJ34" s="21"/>
      <c r="CRK34" s="21"/>
      <c r="CRL34" s="21"/>
      <c r="CRM34" s="21"/>
      <c r="CRN34" s="21"/>
      <c r="CRO34" s="21"/>
      <c r="CRP34" s="21"/>
      <c r="CRQ34" s="21"/>
      <c r="CRR34" s="21"/>
      <c r="CRS34" s="21"/>
      <c r="CRT34" s="21"/>
      <c r="CRU34" s="21"/>
      <c r="CRV34" s="21"/>
      <c r="CRW34" s="21"/>
      <c r="CRX34" s="21"/>
      <c r="CRY34" s="21"/>
      <c r="CRZ34" s="21"/>
      <c r="CSA34" s="21"/>
      <c r="CSB34" s="21"/>
      <c r="CSC34" s="21"/>
      <c r="CSD34" s="21"/>
      <c r="CSE34" s="21"/>
      <c r="CSF34" s="21"/>
      <c r="CSG34" s="21"/>
      <c r="CSH34" s="21"/>
      <c r="CSI34" s="21"/>
      <c r="CSJ34" s="21"/>
      <c r="CSK34" s="21"/>
      <c r="CSL34" s="21"/>
      <c r="CSM34" s="21"/>
      <c r="CSN34" s="21"/>
      <c r="CSO34" s="21"/>
      <c r="CSP34" s="21"/>
      <c r="CSQ34" s="21"/>
      <c r="CSR34" s="21"/>
      <c r="CSS34" s="21"/>
      <c r="CST34" s="21"/>
      <c r="CSU34" s="21"/>
      <c r="CSV34" s="21"/>
      <c r="CSW34" s="21"/>
      <c r="CSX34" s="21"/>
      <c r="CSY34" s="21"/>
      <c r="CSZ34" s="21"/>
      <c r="CTA34" s="21"/>
      <c r="CTB34" s="21"/>
      <c r="CTC34" s="21"/>
      <c r="CTD34" s="21"/>
      <c r="CTE34" s="21"/>
      <c r="CTF34" s="21"/>
      <c r="CTG34" s="21"/>
      <c r="CTH34" s="21"/>
      <c r="CTI34" s="21"/>
      <c r="CTJ34" s="21"/>
      <c r="CTK34" s="21"/>
      <c r="CTL34" s="21"/>
      <c r="CTM34" s="21"/>
      <c r="CTN34" s="21"/>
      <c r="CTO34" s="21"/>
      <c r="CTP34" s="21"/>
      <c r="CTQ34" s="21"/>
      <c r="CTR34" s="21"/>
      <c r="CTS34" s="21"/>
      <c r="CTT34" s="21"/>
      <c r="CTU34" s="21"/>
      <c r="CTV34" s="21"/>
      <c r="CTW34" s="21"/>
      <c r="CTX34" s="21"/>
      <c r="CTY34" s="21"/>
      <c r="CTZ34" s="21"/>
      <c r="CUA34" s="21"/>
      <c r="CUB34" s="21"/>
      <c r="CUC34" s="21"/>
      <c r="CUD34" s="21"/>
      <c r="CUE34" s="21"/>
      <c r="CUF34" s="21"/>
      <c r="CUG34" s="21"/>
      <c r="CUH34" s="21"/>
      <c r="CUI34" s="21"/>
      <c r="CUJ34" s="21"/>
      <c r="CUK34" s="21"/>
      <c r="CUL34" s="21"/>
      <c r="CUM34" s="21"/>
      <c r="CUN34" s="21"/>
      <c r="CUO34" s="21"/>
      <c r="CUP34" s="21"/>
      <c r="CUQ34" s="21"/>
      <c r="CUR34" s="21"/>
      <c r="CUS34" s="21"/>
      <c r="CUT34" s="21"/>
      <c r="CUU34" s="21"/>
      <c r="CUV34" s="21"/>
      <c r="CUW34" s="21"/>
      <c r="CUX34" s="21"/>
      <c r="CUY34" s="21"/>
      <c r="CUZ34" s="21"/>
      <c r="CVA34" s="21"/>
      <c r="CVB34" s="21"/>
      <c r="CVC34" s="21"/>
      <c r="CVD34" s="21"/>
      <c r="CVE34" s="21"/>
      <c r="CVF34" s="21"/>
      <c r="CVG34" s="21"/>
      <c r="CVH34" s="21"/>
      <c r="CVI34" s="21"/>
      <c r="CVJ34" s="21"/>
      <c r="CVK34" s="21"/>
      <c r="CVL34" s="21"/>
      <c r="CVM34" s="21"/>
      <c r="CVN34" s="21"/>
      <c r="CVO34" s="21"/>
      <c r="CVP34" s="21"/>
      <c r="CVQ34" s="21"/>
      <c r="CVR34" s="21"/>
      <c r="CVS34" s="21"/>
      <c r="CVT34" s="21"/>
      <c r="CVU34" s="21"/>
      <c r="CVV34" s="21"/>
      <c r="CVW34" s="21"/>
      <c r="CVX34" s="21"/>
      <c r="CVY34" s="21"/>
      <c r="CVZ34" s="21"/>
      <c r="CWA34" s="21"/>
      <c r="CWB34" s="21"/>
      <c r="CWC34" s="21"/>
      <c r="CWD34" s="21"/>
      <c r="CWE34" s="21"/>
      <c r="CWF34" s="21"/>
      <c r="CWG34" s="21"/>
      <c r="CWH34" s="21"/>
      <c r="CWI34" s="21"/>
      <c r="CWJ34" s="21"/>
      <c r="CWK34" s="21"/>
      <c r="CWL34" s="21"/>
      <c r="CWM34" s="21"/>
      <c r="CWN34" s="21"/>
      <c r="CWO34" s="21"/>
      <c r="CWP34" s="21"/>
      <c r="CWQ34" s="21"/>
      <c r="CWR34" s="21"/>
      <c r="CWS34" s="21"/>
      <c r="CWT34" s="21"/>
      <c r="CWU34" s="21"/>
      <c r="CWV34" s="21"/>
      <c r="CWW34" s="21"/>
      <c r="CWX34" s="21"/>
      <c r="CWY34" s="21"/>
      <c r="CWZ34" s="21"/>
      <c r="CXA34" s="21"/>
      <c r="CXB34" s="21"/>
      <c r="CXC34" s="21"/>
      <c r="CXD34" s="21"/>
      <c r="CXE34" s="21"/>
      <c r="CXF34" s="21"/>
      <c r="CXG34" s="21"/>
      <c r="CXH34" s="21"/>
      <c r="CXI34" s="21"/>
      <c r="CXJ34" s="21"/>
      <c r="CXK34" s="21"/>
      <c r="CXL34" s="21"/>
      <c r="CXM34" s="21"/>
      <c r="CXN34" s="21"/>
      <c r="CXO34" s="21"/>
      <c r="CXP34" s="21"/>
      <c r="CXQ34" s="21"/>
      <c r="CXR34" s="21"/>
      <c r="CXS34" s="21"/>
      <c r="CXT34" s="21"/>
      <c r="CXU34" s="21"/>
      <c r="CXV34" s="21"/>
      <c r="CXW34" s="21"/>
      <c r="CXX34" s="21"/>
      <c r="CXY34" s="21"/>
      <c r="CXZ34" s="21"/>
      <c r="CYA34" s="21"/>
      <c r="CYB34" s="21"/>
      <c r="CYC34" s="21"/>
      <c r="CYD34" s="21"/>
      <c r="CYE34" s="21"/>
      <c r="CYF34" s="21"/>
      <c r="CYG34" s="21"/>
      <c r="CYH34" s="21"/>
      <c r="CYI34" s="21"/>
      <c r="CYJ34" s="21"/>
      <c r="CYK34" s="21"/>
      <c r="CYL34" s="21"/>
      <c r="CYM34" s="21"/>
      <c r="CYN34" s="21"/>
      <c r="CYO34" s="21"/>
      <c r="CYP34" s="21"/>
      <c r="CYQ34" s="21"/>
      <c r="CYR34" s="21"/>
      <c r="CYS34" s="21"/>
      <c r="CYT34" s="21"/>
      <c r="CYU34" s="21"/>
      <c r="CYV34" s="21"/>
      <c r="CYW34" s="21"/>
      <c r="CYX34" s="21"/>
      <c r="CYY34" s="21"/>
      <c r="CYZ34" s="21"/>
      <c r="CZA34" s="21"/>
      <c r="CZB34" s="21"/>
      <c r="CZC34" s="21"/>
      <c r="CZD34" s="21"/>
      <c r="CZE34" s="21"/>
      <c r="CZF34" s="21"/>
      <c r="CZG34" s="21"/>
      <c r="CZH34" s="21"/>
      <c r="CZI34" s="21"/>
      <c r="CZJ34" s="21"/>
      <c r="CZK34" s="21"/>
      <c r="CZL34" s="21"/>
      <c r="CZM34" s="21"/>
      <c r="CZN34" s="21"/>
      <c r="CZO34" s="21"/>
      <c r="CZP34" s="21"/>
      <c r="CZQ34" s="21"/>
      <c r="CZR34" s="21"/>
      <c r="CZS34" s="21"/>
      <c r="CZT34" s="21"/>
      <c r="CZU34" s="21"/>
      <c r="CZV34" s="21"/>
      <c r="CZW34" s="21"/>
      <c r="CZX34" s="21"/>
      <c r="CZY34" s="21"/>
      <c r="CZZ34" s="21"/>
      <c r="DAA34" s="21"/>
      <c r="DAB34" s="21"/>
      <c r="DAC34" s="21"/>
      <c r="DAD34" s="21"/>
      <c r="DAE34" s="21"/>
      <c r="DAF34" s="21"/>
      <c r="DAG34" s="21"/>
      <c r="DAH34" s="21"/>
      <c r="DAI34" s="21"/>
      <c r="DAJ34" s="21"/>
      <c r="DAK34" s="21"/>
      <c r="DAL34" s="21"/>
      <c r="DAM34" s="21"/>
      <c r="DAN34" s="21"/>
      <c r="DAO34" s="21"/>
      <c r="DAP34" s="21"/>
      <c r="DAQ34" s="21"/>
      <c r="DAR34" s="21"/>
      <c r="DAS34" s="21"/>
      <c r="DAT34" s="21"/>
      <c r="DAU34" s="21"/>
      <c r="DAV34" s="21"/>
      <c r="DAW34" s="21"/>
      <c r="DAX34" s="21"/>
      <c r="DAY34" s="21"/>
      <c r="DAZ34" s="21"/>
      <c r="DBA34" s="21"/>
      <c r="DBB34" s="21"/>
      <c r="DBC34" s="21"/>
      <c r="DBD34" s="21"/>
      <c r="DBE34" s="21"/>
      <c r="DBF34" s="21"/>
      <c r="DBG34" s="21"/>
      <c r="DBH34" s="21"/>
      <c r="DBI34" s="21"/>
      <c r="DBJ34" s="21"/>
      <c r="DBK34" s="21"/>
      <c r="DBL34" s="21"/>
      <c r="DBM34" s="21"/>
      <c r="DBN34" s="21"/>
      <c r="DBO34" s="21"/>
      <c r="DBP34" s="21"/>
      <c r="DBQ34" s="21"/>
      <c r="DBR34" s="21"/>
      <c r="DBS34" s="21"/>
      <c r="DBT34" s="21"/>
      <c r="DBU34" s="21"/>
      <c r="DBV34" s="21"/>
      <c r="DBW34" s="21"/>
      <c r="DBX34" s="21"/>
      <c r="DBY34" s="21"/>
      <c r="DBZ34" s="21"/>
      <c r="DCA34" s="21"/>
      <c r="DCB34" s="21"/>
      <c r="DCC34" s="21"/>
      <c r="DCD34" s="21"/>
      <c r="DCE34" s="21"/>
      <c r="DCF34" s="21"/>
      <c r="DCG34" s="21"/>
      <c r="DCH34" s="21"/>
      <c r="DCI34" s="21"/>
      <c r="DCJ34" s="21"/>
      <c r="DCK34" s="21"/>
      <c r="DCL34" s="21"/>
      <c r="DCM34" s="21"/>
      <c r="DCN34" s="21"/>
      <c r="DCO34" s="21"/>
      <c r="DCP34" s="21"/>
      <c r="DCQ34" s="21"/>
      <c r="DCR34" s="21"/>
      <c r="DCS34" s="21"/>
      <c r="DCT34" s="21"/>
      <c r="DCU34" s="21"/>
      <c r="DCV34" s="21"/>
      <c r="DCW34" s="21"/>
      <c r="DCX34" s="21"/>
      <c r="DCY34" s="21"/>
      <c r="DCZ34" s="21"/>
      <c r="DDA34" s="21"/>
      <c r="DDB34" s="21"/>
      <c r="DDC34" s="21"/>
      <c r="DDD34" s="21"/>
      <c r="DDE34" s="21"/>
      <c r="DDF34" s="21"/>
      <c r="DDG34" s="21"/>
      <c r="DDH34" s="21"/>
      <c r="DDI34" s="21"/>
      <c r="DDJ34" s="21"/>
      <c r="DDK34" s="21"/>
      <c r="DDL34" s="21"/>
      <c r="DDM34" s="21"/>
      <c r="DDN34" s="21"/>
      <c r="DDO34" s="21"/>
      <c r="DDP34" s="21"/>
      <c r="DDQ34" s="21"/>
      <c r="DDR34" s="21"/>
      <c r="DDS34" s="21"/>
      <c r="DDT34" s="21"/>
      <c r="DDU34" s="21"/>
      <c r="DDV34" s="21"/>
      <c r="DDW34" s="21"/>
      <c r="DDX34" s="21"/>
      <c r="DDY34" s="21"/>
      <c r="DDZ34" s="21"/>
      <c r="DEA34" s="21"/>
      <c r="DEB34" s="21"/>
      <c r="DEC34" s="21"/>
      <c r="DED34" s="21"/>
      <c r="DEE34" s="21"/>
      <c r="DEF34" s="21"/>
      <c r="DEG34" s="21"/>
      <c r="DEH34" s="21"/>
      <c r="DEI34" s="21"/>
      <c r="DEJ34" s="21"/>
      <c r="DEK34" s="21"/>
      <c r="DEL34" s="21"/>
      <c r="DEM34" s="21"/>
      <c r="DEN34" s="21"/>
      <c r="DEO34" s="21"/>
      <c r="DEP34" s="21"/>
      <c r="DEQ34" s="21"/>
      <c r="DER34" s="21"/>
      <c r="DES34" s="21"/>
      <c r="DET34" s="21"/>
      <c r="DEU34" s="21"/>
      <c r="DEV34" s="21"/>
      <c r="DEW34" s="21"/>
      <c r="DEX34" s="21"/>
      <c r="DEY34" s="21"/>
      <c r="DEZ34" s="21"/>
      <c r="DFA34" s="21"/>
      <c r="DFB34" s="21"/>
      <c r="DFC34" s="21"/>
      <c r="DFD34" s="21"/>
      <c r="DFE34" s="21"/>
      <c r="DFF34" s="21"/>
      <c r="DFG34" s="21"/>
      <c r="DFH34" s="21"/>
      <c r="DFI34" s="21"/>
      <c r="DFJ34" s="21"/>
      <c r="DFK34" s="21"/>
      <c r="DFL34" s="21"/>
      <c r="DFM34" s="21"/>
      <c r="DFN34" s="21"/>
      <c r="DFO34" s="21"/>
      <c r="DFP34" s="21"/>
      <c r="DFQ34" s="21"/>
      <c r="DFR34" s="21"/>
      <c r="DFS34" s="21"/>
      <c r="DFT34" s="21"/>
      <c r="DFU34" s="21"/>
      <c r="DFV34" s="21"/>
      <c r="DFW34" s="21"/>
      <c r="DFX34" s="21"/>
      <c r="DFY34" s="21"/>
      <c r="DFZ34" s="21"/>
      <c r="DGA34" s="21"/>
      <c r="DGB34" s="21"/>
      <c r="DGC34" s="21"/>
      <c r="DGD34" s="21"/>
      <c r="DGE34" s="21"/>
      <c r="DGF34" s="21"/>
      <c r="DGG34" s="21"/>
      <c r="DGH34" s="21"/>
      <c r="DGI34" s="21"/>
      <c r="DGJ34" s="21"/>
      <c r="DGK34" s="21"/>
      <c r="DGL34" s="21"/>
      <c r="DGM34" s="21"/>
      <c r="DGN34" s="21"/>
      <c r="DGO34" s="21"/>
      <c r="DGP34" s="21"/>
      <c r="DGQ34" s="21"/>
      <c r="DGR34" s="21"/>
      <c r="DGS34" s="21"/>
      <c r="DGT34" s="21"/>
      <c r="DGU34" s="21"/>
      <c r="DGV34" s="21"/>
      <c r="DGW34" s="21"/>
      <c r="DGX34" s="21"/>
      <c r="DGY34" s="21"/>
      <c r="DGZ34" s="21"/>
      <c r="DHA34" s="21"/>
      <c r="DHB34" s="21"/>
      <c r="DHC34" s="21"/>
      <c r="DHD34" s="21"/>
      <c r="DHE34" s="21"/>
      <c r="DHF34" s="21"/>
      <c r="DHG34" s="21"/>
      <c r="DHH34" s="21"/>
      <c r="DHI34" s="21"/>
      <c r="DHJ34" s="21"/>
      <c r="DHK34" s="21"/>
      <c r="DHL34" s="21"/>
      <c r="DHM34" s="21"/>
      <c r="DHN34" s="21"/>
      <c r="DHO34" s="21"/>
      <c r="DHP34" s="21"/>
      <c r="DHQ34" s="21"/>
      <c r="DHR34" s="21"/>
      <c r="DHS34" s="21"/>
      <c r="DHT34" s="21"/>
      <c r="DHU34" s="21"/>
      <c r="DHV34" s="21"/>
      <c r="DHW34" s="21"/>
      <c r="DHX34" s="21"/>
      <c r="DHY34" s="21"/>
      <c r="DHZ34" s="21"/>
      <c r="DIA34" s="21"/>
      <c r="DIB34" s="21"/>
      <c r="DIC34" s="21"/>
      <c r="DID34" s="21"/>
      <c r="DIE34" s="21"/>
      <c r="DIF34" s="21"/>
      <c r="DIG34" s="21"/>
      <c r="DIH34" s="21"/>
      <c r="DII34" s="21"/>
      <c r="DIJ34" s="21"/>
      <c r="DIK34" s="21"/>
      <c r="DIL34" s="21"/>
      <c r="DIM34" s="21"/>
      <c r="DIN34" s="21"/>
      <c r="DIO34" s="21"/>
      <c r="DIP34" s="21"/>
      <c r="DIQ34" s="21"/>
      <c r="DIR34" s="21"/>
      <c r="DIS34" s="21"/>
      <c r="DIT34" s="21"/>
      <c r="DIU34" s="21"/>
      <c r="DIV34" s="21"/>
      <c r="DIW34" s="21"/>
      <c r="DIX34" s="21"/>
      <c r="DIY34" s="21"/>
      <c r="DIZ34" s="21"/>
      <c r="DJA34" s="21"/>
      <c r="DJB34" s="21"/>
      <c r="DJC34" s="21"/>
      <c r="DJD34" s="21"/>
      <c r="DJE34" s="21"/>
      <c r="DJF34" s="21"/>
      <c r="DJG34" s="21"/>
      <c r="DJH34" s="21"/>
      <c r="DJI34" s="21"/>
      <c r="DJJ34" s="21"/>
      <c r="DJK34" s="21"/>
      <c r="DJL34" s="21"/>
      <c r="DJM34" s="21"/>
      <c r="DJN34" s="21"/>
      <c r="DJO34" s="21"/>
      <c r="DJP34" s="21"/>
      <c r="DJQ34" s="21"/>
      <c r="DJR34" s="21"/>
      <c r="DJS34" s="21"/>
      <c r="DJT34" s="21"/>
      <c r="DJU34" s="21"/>
      <c r="DJV34" s="21"/>
      <c r="DJW34" s="21"/>
      <c r="DJX34" s="21"/>
      <c r="DJY34" s="21"/>
      <c r="DJZ34" s="21"/>
      <c r="DKA34" s="21"/>
      <c r="DKB34" s="21"/>
      <c r="DKC34" s="21"/>
      <c r="DKD34" s="21"/>
      <c r="DKE34" s="21"/>
      <c r="DKF34" s="21"/>
      <c r="DKG34" s="21"/>
      <c r="DKH34" s="21"/>
      <c r="DKI34" s="21"/>
      <c r="DKJ34" s="21"/>
      <c r="DKK34" s="21"/>
      <c r="DKL34" s="21"/>
      <c r="DKM34" s="21"/>
      <c r="DKN34" s="21"/>
      <c r="DKO34" s="21"/>
      <c r="DKP34" s="21"/>
      <c r="DKQ34" s="21"/>
      <c r="DKR34" s="21"/>
      <c r="DKS34" s="21"/>
      <c r="DKT34" s="21"/>
      <c r="DKU34" s="21"/>
      <c r="DKV34" s="21"/>
      <c r="DKW34" s="21"/>
      <c r="DKX34" s="21"/>
      <c r="DKY34" s="21"/>
      <c r="DKZ34" s="21"/>
      <c r="DLA34" s="21"/>
      <c r="DLB34" s="21"/>
      <c r="DLC34" s="21"/>
      <c r="DLD34" s="21"/>
      <c r="DLE34" s="21"/>
      <c r="DLF34" s="21"/>
      <c r="DLG34" s="21"/>
      <c r="DLH34" s="21"/>
      <c r="DLI34" s="21"/>
      <c r="DLJ34" s="21"/>
      <c r="DLK34" s="21"/>
      <c r="DLL34" s="21"/>
      <c r="DLM34" s="21"/>
      <c r="DLN34" s="21"/>
      <c r="DLO34" s="21"/>
      <c r="DLP34" s="21"/>
      <c r="DLQ34" s="21"/>
      <c r="DLR34" s="21"/>
      <c r="DLS34" s="21"/>
      <c r="DLT34" s="21"/>
      <c r="DLU34" s="21"/>
      <c r="DLV34" s="21"/>
      <c r="DLW34" s="21"/>
      <c r="DLX34" s="21"/>
      <c r="DLY34" s="21"/>
      <c r="DLZ34" s="21"/>
      <c r="DMA34" s="21"/>
      <c r="DMB34" s="21"/>
      <c r="DMC34" s="21"/>
      <c r="DMD34" s="21"/>
      <c r="DME34" s="21"/>
      <c r="DMF34" s="21"/>
      <c r="DMG34" s="21"/>
      <c r="DMH34" s="21"/>
      <c r="DMI34" s="21"/>
      <c r="DMJ34" s="21"/>
      <c r="DMK34" s="21"/>
      <c r="DML34" s="21"/>
      <c r="DMM34" s="21"/>
      <c r="DMN34" s="21"/>
      <c r="DMO34" s="21"/>
      <c r="DMP34" s="21"/>
      <c r="DMQ34" s="21"/>
      <c r="DMR34" s="21"/>
      <c r="DMS34" s="21"/>
      <c r="DMT34" s="21"/>
      <c r="DMU34" s="21"/>
      <c r="DMV34" s="21"/>
      <c r="DMW34" s="21"/>
      <c r="DMX34" s="21"/>
      <c r="DMY34" s="21"/>
      <c r="DMZ34" s="21"/>
      <c r="DNA34" s="21"/>
      <c r="DNB34" s="21"/>
      <c r="DNC34" s="21"/>
      <c r="DND34" s="21"/>
      <c r="DNE34" s="21"/>
      <c r="DNF34" s="21"/>
      <c r="DNG34" s="21"/>
      <c r="DNH34" s="21"/>
      <c r="DNI34" s="21"/>
      <c r="DNJ34" s="21"/>
      <c r="DNK34" s="21"/>
      <c r="DNL34" s="21"/>
      <c r="DNM34" s="21"/>
      <c r="DNN34" s="21"/>
      <c r="DNO34" s="21"/>
      <c r="DNP34" s="21"/>
      <c r="DNQ34" s="21"/>
      <c r="DNR34" s="21"/>
      <c r="DNS34" s="21"/>
      <c r="DNT34" s="21"/>
      <c r="DNU34" s="21"/>
      <c r="DNV34" s="21"/>
      <c r="DNW34" s="21"/>
      <c r="DNX34" s="21"/>
      <c r="DNY34" s="21"/>
      <c r="DNZ34" s="21"/>
      <c r="DOA34" s="21"/>
      <c r="DOB34" s="21"/>
      <c r="DOC34" s="21"/>
      <c r="DOD34" s="21"/>
      <c r="DOE34" s="21"/>
      <c r="DOF34" s="21"/>
      <c r="DOG34" s="21"/>
      <c r="DOH34" s="21"/>
      <c r="DOI34" s="21"/>
      <c r="DOJ34" s="21"/>
      <c r="DOK34" s="21"/>
      <c r="DOL34" s="21"/>
      <c r="DOM34" s="21"/>
      <c r="DON34" s="21"/>
      <c r="DOO34" s="21"/>
      <c r="DOP34" s="21"/>
      <c r="DOQ34" s="21"/>
      <c r="DOR34" s="21"/>
      <c r="DOS34" s="21"/>
      <c r="DOT34" s="21"/>
      <c r="DOU34" s="21"/>
      <c r="DOV34" s="21"/>
      <c r="DOW34" s="21"/>
      <c r="DOX34" s="21"/>
      <c r="DOY34" s="21"/>
      <c r="DOZ34" s="21"/>
      <c r="DPA34" s="21"/>
      <c r="DPB34" s="21"/>
      <c r="DPC34" s="21"/>
      <c r="DPD34" s="21"/>
      <c r="DPE34" s="21"/>
      <c r="DPF34" s="21"/>
      <c r="DPG34" s="21"/>
      <c r="DPH34" s="21"/>
      <c r="DPI34" s="21"/>
      <c r="DPJ34" s="21"/>
      <c r="DPK34" s="21"/>
      <c r="DPL34" s="21"/>
      <c r="DPM34" s="21"/>
      <c r="DPN34" s="21"/>
      <c r="DPO34" s="21"/>
      <c r="DPP34" s="21"/>
      <c r="DPQ34" s="21"/>
      <c r="DPR34" s="21"/>
      <c r="DPS34" s="21"/>
      <c r="DPT34" s="21"/>
      <c r="DPU34" s="21"/>
      <c r="DPV34" s="21"/>
      <c r="DPW34" s="21"/>
      <c r="DPX34" s="21"/>
      <c r="DPY34" s="21"/>
      <c r="DPZ34" s="21"/>
      <c r="DQA34" s="21"/>
      <c r="DQB34" s="21"/>
      <c r="DQC34" s="21"/>
      <c r="DQD34" s="21"/>
      <c r="DQE34" s="21"/>
      <c r="DQF34" s="21"/>
      <c r="DQG34" s="21"/>
      <c r="DQH34" s="21"/>
      <c r="DQI34" s="21"/>
      <c r="DQJ34" s="21"/>
      <c r="DQK34" s="21"/>
      <c r="DQL34" s="21"/>
      <c r="DQM34" s="21"/>
      <c r="DQN34" s="21"/>
      <c r="DQO34" s="21"/>
      <c r="DQP34" s="21"/>
      <c r="DQQ34" s="21"/>
      <c r="DQR34" s="21"/>
      <c r="DQS34" s="21"/>
      <c r="DQT34" s="21"/>
      <c r="DQU34" s="21"/>
      <c r="DQV34" s="21"/>
      <c r="DQW34" s="21"/>
      <c r="DQX34" s="21"/>
      <c r="DQY34" s="21"/>
      <c r="DQZ34" s="21"/>
      <c r="DRA34" s="21"/>
      <c r="DRB34" s="21"/>
      <c r="DRC34" s="21"/>
      <c r="DRD34" s="21"/>
      <c r="DRE34" s="21"/>
      <c r="DRF34" s="21"/>
      <c r="DRG34" s="21"/>
      <c r="DRH34" s="21"/>
      <c r="DRI34" s="21"/>
      <c r="DRJ34" s="21"/>
      <c r="DRK34" s="21"/>
      <c r="DRL34" s="21"/>
      <c r="DRM34" s="21"/>
      <c r="DRN34" s="21"/>
      <c r="DRO34" s="21"/>
      <c r="DRP34" s="21"/>
      <c r="DRQ34" s="21"/>
      <c r="DRR34" s="21"/>
      <c r="DRS34" s="21"/>
      <c r="DRT34" s="21"/>
      <c r="DRU34" s="21"/>
      <c r="DRV34" s="21"/>
      <c r="DRW34" s="21"/>
      <c r="DRX34" s="21"/>
      <c r="DRY34" s="21"/>
      <c r="DRZ34" s="21"/>
      <c r="DSA34" s="21"/>
      <c r="DSB34" s="21"/>
      <c r="DSC34" s="21"/>
      <c r="DSD34" s="21"/>
      <c r="DSE34" s="21"/>
      <c r="DSF34" s="21"/>
      <c r="DSG34" s="21"/>
      <c r="DSH34" s="21"/>
      <c r="DSI34" s="21"/>
      <c r="DSJ34" s="21"/>
      <c r="DSK34" s="21"/>
      <c r="DSL34" s="21"/>
      <c r="DSM34" s="21"/>
      <c r="DSN34" s="21"/>
      <c r="DSO34" s="21"/>
      <c r="DSP34" s="21"/>
      <c r="DSQ34" s="21"/>
      <c r="DSR34" s="21"/>
      <c r="DSS34" s="21"/>
      <c r="DST34" s="21"/>
      <c r="DSU34" s="21"/>
      <c r="DSV34" s="21"/>
      <c r="DSW34" s="21"/>
      <c r="DSX34" s="21"/>
      <c r="DSY34" s="21"/>
      <c r="DSZ34" s="21"/>
      <c r="DTA34" s="21"/>
      <c r="DTB34" s="21"/>
      <c r="DTC34" s="21"/>
      <c r="DTD34" s="21"/>
      <c r="DTE34" s="21"/>
      <c r="DTF34" s="21"/>
      <c r="DTG34" s="21"/>
      <c r="DTH34" s="21"/>
      <c r="DTI34" s="21"/>
      <c r="DTJ34" s="21"/>
      <c r="DTK34" s="21"/>
      <c r="DTL34" s="21"/>
      <c r="DTM34" s="21"/>
      <c r="DTN34" s="21"/>
      <c r="DTO34" s="21"/>
      <c r="DTP34" s="21"/>
      <c r="DTQ34" s="21"/>
      <c r="DTR34" s="21"/>
      <c r="DTS34" s="21"/>
      <c r="DTT34" s="21"/>
      <c r="DTU34" s="21"/>
      <c r="DTV34" s="21"/>
      <c r="DTW34" s="21"/>
      <c r="DTX34" s="21"/>
      <c r="DTY34" s="21"/>
      <c r="DTZ34" s="21"/>
      <c r="DUA34" s="21"/>
      <c r="DUB34" s="21"/>
      <c r="DUC34" s="21"/>
      <c r="DUD34" s="21"/>
      <c r="DUE34" s="21"/>
      <c r="DUF34" s="21"/>
      <c r="DUG34" s="21"/>
      <c r="DUH34" s="21"/>
      <c r="DUI34" s="21"/>
      <c r="DUJ34" s="21"/>
      <c r="DUK34" s="21"/>
      <c r="DUL34" s="21"/>
      <c r="DUM34" s="21"/>
      <c r="DUN34" s="21"/>
      <c r="DUO34" s="21"/>
      <c r="DUP34" s="21"/>
      <c r="DUQ34" s="21"/>
      <c r="DUR34" s="21"/>
      <c r="DUS34" s="21"/>
      <c r="DUT34" s="21"/>
      <c r="DUU34" s="21"/>
      <c r="DUV34" s="21"/>
      <c r="DUW34" s="21"/>
      <c r="DUX34" s="21"/>
      <c r="DUY34" s="21"/>
      <c r="DUZ34" s="21"/>
      <c r="DVA34" s="21"/>
      <c r="DVB34" s="21"/>
      <c r="DVC34" s="21"/>
      <c r="DVD34" s="21"/>
      <c r="DVE34" s="21"/>
      <c r="DVF34" s="21"/>
      <c r="DVG34" s="21"/>
      <c r="DVH34" s="21"/>
      <c r="DVI34" s="21"/>
      <c r="DVJ34" s="21"/>
      <c r="DVK34" s="21"/>
      <c r="DVL34" s="21"/>
      <c r="DVM34" s="21"/>
      <c r="DVN34" s="21"/>
      <c r="DVO34" s="21"/>
      <c r="DVP34" s="21"/>
      <c r="DVQ34" s="21"/>
      <c r="DVR34" s="21"/>
      <c r="DVS34" s="21"/>
      <c r="DVT34" s="21"/>
      <c r="DVU34" s="21"/>
      <c r="DVV34" s="21"/>
      <c r="DVW34" s="21"/>
      <c r="DVX34" s="21"/>
      <c r="DVY34" s="21"/>
      <c r="DVZ34" s="21"/>
      <c r="DWA34" s="21"/>
      <c r="DWB34" s="21"/>
      <c r="DWC34" s="21"/>
      <c r="DWD34" s="21"/>
      <c r="DWE34" s="21"/>
      <c r="DWF34" s="21"/>
      <c r="DWG34" s="21"/>
      <c r="DWH34" s="21"/>
      <c r="DWI34" s="21"/>
      <c r="DWJ34" s="21"/>
      <c r="DWK34" s="21"/>
      <c r="DWL34" s="21"/>
      <c r="DWM34" s="21"/>
      <c r="DWN34" s="21"/>
      <c r="DWO34" s="21"/>
      <c r="DWP34" s="21"/>
      <c r="DWQ34" s="21"/>
      <c r="DWR34" s="21"/>
      <c r="DWS34" s="21"/>
      <c r="DWT34" s="21"/>
      <c r="DWU34" s="21"/>
      <c r="DWV34" s="21"/>
      <c r="DWW34" s="21"/>
      <c r="DWX34" s="21"/>
      <c r="DWY34" s="21"/>
      <c r="DWZ34" s="21"/>
      <c r="DXA34" s="21"/>
      <c r="DXB34" s="21"/>
      <c r="DXC34" s="21"/>
      <c r="DXD34" s="21"/>
      <c r="DXE34" s="21"/>
      <c r="DXF34" s="21"/>
      <c r="DXG34" s="21"/>
      <c r="DXH34" s="21"/>
      <c r="DXI34" s="21"/>
      <c r="DXJ34" s="21"/>
      <c r="DXK34" s="21"/>
      <c r="DXL34" s="21"/>
      <c r="DXM34" s="21"/>
      <c r="DXN34" s="21"/>
      <c r="DXO34" s="21"/>
      <c r="DXP34" s="21"/>
      <c r="DXQ34" s="21"/>
      <c r="DXR34" s="21"/>
      <c r="DXS34" s="21"/>
      <c r="DXT34" s="21"/>
      <c r="DXU34" s="21"/>
      <c r="DXV34" s="21"/>
      <c r="DXW34" s="21"/>
      <c r="DXX34" s="21"/>
      <c r="DXY34" s="21"/>
      <c r="DXZ34" s="21"/>
      <c r="DYA34" s="21"/>
      <c r="DYB34" s="21"/>
      <c r="DYC34" s="21"/>
      <c r="DYD34" s="21"/>
      <c r="DYE34" s="21"/>
      <c r="DYF34" s="21"/>
      <c r="DYG34" s="21"/>
      <c r="DYH34" s="21"/>
      <c r="DYI34" s="21"/>
      <c r="DYJ34" s="21"/>
      <c r="DYK34" s="21"/>
      <c r="DYL34" s="21"/>
      <c r="DYM34" s="21"/>
      <c r="DYN34" s="21"/>
      <c r="DYO34" s="21"/>
      <c r="DYP34" s="21"/>
      <c r="DYQ34" s="21"/>
      <c r="DYR34" s="21"/>
      <c r="DYS34" s="21"/>
      <c r="DYT34" s="21"/>
      <c r="DYU34" s="21"/>
      <c r="DYV34" s="21"/>
      <c r="DYW34" s="21"/>
      <c r="DYX34" s="21"/>
      <c r="DYY34" s="21"/>
      <c r="DYZ34" s="21"/>
      <c r="DZA34" s="21"/>
      <c r="DZB34" s="21"/>
      <c r="DZC34" s="21"/>
      <c r="DZD34" s="21"/>
      <c r="DZE34" s="21"/>
      <c r="DZF34" s="21"/>
      <c r="DZG34" s="21"/>
      <c r="DZH34" s="21"/>
      <c r="DZI34" s="21"/>
      <c r="DZJ34" s="21"/>
      <c r="DZK34" s="21"/>
      <c r="DZL34" s="21"/>
      <c r="DZM34" s="21"/>
      <c r="DZN34" s="21"/>
      <c r="DZO34" s="21"/>
      <c r="DZP34" s="21"/>
      <c r="DZQ34" s="21"/>
      <c r="DZR34" s="21"/>
      <c r="DZS34" s="21"/>
      <c r="DZT34" s="21"/>
      <c r="DZU34" s="21"/>
      <c r="DZV34" s="21"/>
      <c r="DZW34" s="21"/>
      <c r="DZX34" s="21"/>
      <c r="DZY34" s="21"/>
      <c r="DZZ34" s="21"/>
      <c r="EAA34" s="21"/>
      <c r="EAB34" s="21"/>
      <c r="EAC34" s="21"/>
      <c r="EAD34" s="21"/>
      <c r="EAE34" s="21"/>
      <c r="EAF34" s="21"/>
      <c r="EAG34" s="21"/>
      <c r="EAH34" s="21"/>
      <c r="EAI34" s="21"/>
      <c r="EAJ34" s="21"/>
      <c r="EAK34" s="21"/>
      <c r="EAL34" s="21"/>
      <c r="EAM34" s="21"/>
      <c r="EAN34" s="21"/>
      <c r="EAO34" s="21"/>
      <c r="EAP34" s="21"/>
      <c r="EAQ34" s="21"/>
      <c r="EAR34" s="21"/>
      <c r="EAS34" s="21"/>
      <c r="EAT34" s="21"/>
      <c r="EAU34" s="21"/>
      <c r="EAV34" s="21"/>
      <c r="EAW34" s="21"/>
      <c r="EAX34" s="21"/>
      <c r="EAY34" s="21"/>
      <c r="EAZ34" s="21"/>
      <c r="EBA34" s="21"/>
      <c r="EBB34" s="21"/>
      <c r="EBC34" s="21"/>
      <c r="EBD34" s="21"/>
      <c r="EBE34" s="21"/>
      <c r="EBF34" s="21"/>
      <c r="EBG34" s="21"/>
      <c r="EBH34" s="21"/>
      <c r="EBI34" s="21"/>
      <c r="EBJ34" s="21"/>
      <c r="EBK34" s="21"/>
      <c r="EBL34" s="21"/>
      <c r="EBM34" s="21"/>
      <c r="EBN34" s="21"/>
      <c r="EBO34" s="21"/>
      <c r="EBP34" s="21"/>
      <c r="EBQ34" s="21"/>
      <c r="EBR34" s="21"/>
      <c r="EBS34" s="21"/>
      <c r="EBT34" s="21"/>
      <c r="EBU34" s="21"/>
      <c r="EBV34" s="21"/>
      <c r="EBW34" s="21"/>
      <c r="EBX34" s="21"/>
      <c r="EBY34" s="21"/>
      <c r="EBZ34" s="21"/>
      <c r="ECA34" s="21"/>
      <c r="ECB34" s="21"/>
      <c r="ECC34" s="21"/>
      <c r="ECD34" s="21"/>
      <c r="ECE34" s="21"/>
      <c r="ECF34" s="21"/>
      <c r="ECG34" s="21"/>
      <c r="ECH34" s="21"/>
      <c r="ECI34" s="21"/>
      <c r="ECJ34" s="21"/>
      <c r="ECK34" s="21"/>
      <c r="ECL34" s="21"/>
      <c r="ECM34" s="21"/>
      <c r="ECN34" s="21"/>
      <c r="ECO34" s="21"/>
      <c r="ECP34" s="21"/>
      <c r="ECQ34" s="21"/>
      <c r="ECR34" s="21"/>
      <c r="ECS34" s="21"/>
      <c r="ECT34" s="21"/>
      <c r="ECU34" s="21"/>
      <c r="ECV34" s="21"/>
      <c r="ECW34" s="21"/>
      <c r="ECX34" s="21"/>
      <c r="ECY34" s="21"/>
      <c r="ECZ34" s="21"/>
      <c r="EDA34" s="21"/>
      <c r="EDB34" s="21"/>
      <c r="EDC34" s="21"/>
      <c r="EDD34" s="21"/>
      <c r="EDE34" s="21"/>
      <c r="EDF34" s="21"/>
      <c r="EDG34" s="21"/>
      <c r="EDH34" s="21"/>
      <c r="EDI34" s="21"/>
      <c r="EDJ34" s="21"/>
      <c r="EDK34" s="21"/>
      <c r="EDL34" s="21"/>
      <c r="EDM34" s="21"/>
      <c r="EDN34" s="21"/>
      <c r="EDO34" s="21"/>
      <c r="EDP34" s="21"/>
      <c r="EDQ34" s="21"/>
      <c r="EDR34" s="21"/>
      <c r="EDS34" s="21"/>
      <c r="EDT34" s="21"/>
      <c r="EDU34" s="21"/>
      <c r="EDV34" s="21"/>
      <c r="EDW34" s="21"/>
      <c r="EDX34" s="21"/>
      <c r="EDY34" s="21"/>
      <c r="EDZ34" s="21"/>
      <c r="EEA34" s="21"/>
      <c r="EEB34" s="21"/>
      <c r="EEC34" s="21"/>
      <c r="EED34" s="21"/>
      <c r="EEE34" s="21"/>
      <c r="EEF34" s="21"/>
      <c r="EEG34" s="21"/>
      <c r="EEH34" s="21"/>
      <c r="EEI34" s="21"/>
      <c r="EEJ34" s="21"/>
      <c r="EEK34" s="21"/>
      <c r="EEL34" s="21"/>
      <c r="EEM34" s="21"/>
      <c r="EEN34" s="21"/>
      <c r="EEO34" s="21"/>
      <c r="EEP34" s="21"/>
      <c r="EEQ34" s="21"/>
      <c r="EER34" s="21"/>
      <c r="EES34" s="21"/>
      <c r="EET34" s="21"/>
      <c r="EEU34" s="21"/>
      <c r="EEV34" s="21"/>
      <c r="EEW34" s="21"/>
      <c r="EEX34" s="21"/>
      <c r="EEY34" s="21"/>
      <c r="EEZ34" s="21"/>
      <c r="EFA34" s="21"/>
      <c r="EFB34" s="21"/>
      <c r="EFC34" s="21"/>
      <c r="EFD34" s="21"/>
      <c r="EFE34" s="21"/>
      <c r="EFF34" s="21"/>
      <c r="EFG34" s="21"/>
      <c r="EFH34" s="21"/>
      <c r="EFI34" s="21"/>
      <c r="EFJ34" s="21"/>
      <c r="EFK34" s="21"/>
      <c r="EFL34" s="21"/>
      <c r="EFM34" s="21"/>
      <c r="EFN34" s="21"/>
      <c r="EFO34" s="21"/>
      <c r="EFP34" s="21"/>
      <c r="EFQ34" s="21"/>
      <c r="EFR34" s="21"/>
      <c r="EFS34" s="21"/>
      <c r="EFT34" s="21"/>
      <c r="EFU34" s="21"/>
      <c r="EFV34" s="21"/>
      <c r="EFW34" s="21"/>
      <c r="EFX34" s="21"/>
      <c r="EFY34" s="21"/>
      <c r="EFZ34" s="21"/>
      <c r="EGA34" s="21"/>
      <c r="EGB34" s="21"/>
      <c r="EGC34" s="21"/>
      <c r="EGD34" s="21"/>
      <c r="EGE34" s="21"/>
      <c r="EGF34" s="21"/>
      <c r="EGG34" s="21"/>
      <c r="EGH34" s="21"/>
      <c r="EGI34" s="21"/>
      <c r="EGJ34" s="21"/>
      <c r="EGK34" s="21"/>
      <c r="EGL34" s="21"/>
      <c r="EGM34" s="21"/>
      <c r="EGN34" s="21"/>
      <c r="EGO34" s="21"/>
      <c r="EGP34" s="21"/>
      <c r="EGQ34" s="21"/>
      <c r="EGR34" s="21"/>
      <c r="EGS34" s="21"/>
      <c r="EGT34" s="21"/>
      <c r="EGU34" s="21"/>
      <c r="EGV34" s="21"/>
      <c r="EGW34" s="21"/>
      <c r="EGX34" s="21"/>
      <c r="EGY34" s="21"/>
      <c r="EGZ34" s="21"/>
      <c r="EHA34" s="21"/>
      <c r="EHB34" s="21"/>
      <c r="EHC34" s="21"/>
      <c r="EHD34" s="21"/>
      <c r="EHE34" s="21"/>
      <c r="EHF34" s="21"/>
      <c r="EHG34" s="21"/>
      <c r="EHH34" s="21"/>
      <c r="EHI34" s="21"/>
      <c r="EHJ34" s="21"/>
      <c r="EHK34" s="21"/>
      <c r="EHL34" s="21"/>
      <c r="EHM34" s="21"/>
      <c r="EHN34" s="21"/>
      <c r="EHO34" s="21"/>
      <c r="EHP34" s="21"/>
      <c r="EHQ34" s="21"/>
      <c r="EHR34" s="21"/>
      <c r="EHS34" s="21"/>
      <c r="EHT34" s="21"/>
      <c r="EHU34" s="21"/>
      <c r="EHV34" s="21"/>
      <c r="EHW34" s="21"/>
      <c r="EHX34" s="21"/>
      <c r="EHY34" s="21"/>
      <c r="EHZ34" s="21"/>
      <c r="EIA34" s="21"/>
      <c r="EIB34" s="21"/>
      <c r="EIC34" s="21"/>
      <c r="EID34" s="21"/>
      <c r="EIE34" s="21"/>
      <c r="EIF34" s="21"/>
      <c r="EIG34" s="21"/>
      <c r="EIH34" s="21"/>
      <c r="EII34" s="21"/>
      <c r="EIJ34" s="21"/>
      <c r="EIK34" s="21"/>
      <c r="EIL34" s="21"/>
      <c r="EIM34" s="21"/>
      <c r="EIN34" s="21"/>
      <c r="EIO34" s="21"/>
      <c r="EIP34" s="21"/>
      <c r="EIQ34" s="21"/>
      <c r="EIR34" s="21"/>
      <c r="EIS34" s="21"/>
      <c r="EIT34" s="21"/>
      <c r="EIU34" s="21"/>
      <c r="EIV34" s="21"/>
      <c r="EIW34" s="21"/>
      <c r="EIX34" s="21"/>
      <c r="EIY34" s="21"/>
      <c r="EIZ34" s="21"/>
      <c r="EJA34" s="21"/>
      <c r="EJB34" s="21"/>
      <c r="EJC34" s="21"/>
      <c r="EJD34" s="21"/>
      <c r="EJE34" s="21"/>
      <c r="EJF34" s="21"/>
      <c r="EJG34" s="21"/>
      <c r="EJH34" s="21"/>
      <c r="EJI34" s="21"/>
      <c r="EJJ34" s="21"/>
      <c r="EJK34" s="21"/>
      <c r="EJL34" s="21"/>
      <c r="EJM34" s="21"/>
      <c r="EJN34" s="21"/>
      <c r="EJO34" s="21"/>
      <c r="EJP34" s="21"/>
      <c r="EJQ34" s="21"/>
      <c r="EJR34" s="21"/>
      <c r="EJS34" s="21"/>
      <c r="EJT34" s="21"/>
      <c r="EJU34" s="21"/>
      <c r="EJV34" s="21"/>
      <c r="EJW34" s="21"/>
      <c r="EJX34" s="21"/>
      <c r="EJY34" s="21"/>
      <c r="EJZ34" s="21"/>
      <c r="EKA34" s="21"/>
      <c r="EKB34" s="21"/>
      <c r="EKC34" s="21"/>
      <c r="EKD34" s="21"/>
      <c r="EKE34" s="21"/>
      <c r="EKF34" s="21"/>
      <c r="EKG34" s="21"/>
      <c r="EKH34" s="21"/>
      <c r="EKI34" s="21"/>
      <c r="EKJ34" s="21"/>
      <c r="EKK34" s="21"/>
      <c r="EKL34" s="21"/>
      <c r="EKM34" s="21"/>
      <c r="EKN34" s="21"/>
      <c r="EKO34" s="21"/>
      <c r="EKP34" s="21"/>
      <c r="EKQ34" s="21"/>
      <c r="EKR34" s="21"/>
      <c r="EKS34" s="21"/>
      <c r="EKT34" s="21"/>
      <c r="EKU34" s="21"/>
      <c r="EKV34" s="21"/>
      <c r="EKW34" s="21"/>
      <c r="EKX34" s="21"/>
      <c r="EKY34" s="21"/>
      <c r="EKZ34" s="21"/>
      <c r="ELA34" s="21"/>
      <c r="ELB34" s="21"/>
      <c r="ELC34" s="21"/>
      <c r="ELD34" s="21"/>
      <c r="ELE34" s="21"/>
      <c r="ELF34" s="21"/>
      <c r="ELG34" s="21"/>
      <c r="ELH34" s="21"/>
      <c r="ELI34" s="21"/>
      <c r="ELJ34" s="21"/>
      <c r="ELK34" s="21"/>
      <c r="ELL34" s="21"/>
      <c r="ELM34" s="21"/>
      <c r="ELN34" s="21"/>
      <c r="ELO34" s="21"/>
      <c r="ELP34" s="21"/>
      <c r="ELQ34" s="21"/>
      <c r="ELR34" s="21"/>
      <c r="ELS34" s="21"/>
      <c r="ELT34" s="21"/>
      <c r="ELU34" s="21"/>
      <c r="ELV34" s="21"/>
      <c r="ELW34" s="21"/>
      <c r="ELX34" s="21"/>
      <c r="ELY34" s="21"/>
      <c r="ELZ34" s="21"/>
      <c r="EMA34" s="21"/>
      <c r="EMB34" s="21"/>
      <c r="EMC34" s="21"/>
      <c r="EMD34" s="21"/>
      <c r="EME34" s="21"/>
      <c r="EMF34" s="21"/>
      <c r="EMG34" s="21"/>
      <c r="EMH34" s="21"/>
      <c r="EMI34" s="21"/>
      <c r="EMJ34" s="21"/>
      <c r="EMK34" s="21"/>
      <c r="EML34" s="21"/>
      <c r="EMM34" s="21"/>
      <c r="EMN34" s="21"/>
      <c r="EMO34" s="21"/>
      <c r="EMP34" s="21"/>
      <c r="EMQ34" s="21"/>
      <c r="EMR34" s="21"/>
      <c r="EMS34" s="21"/>
      <c r="EMT34" s="21"/>
      <c r="EMU34" s="21"/>
      <c r="EMV34" s="21"/>
      <c r="EMW34" s="21"/>
      <c r="EMX34" s="21"/>
      <c r="EMY34" s="21"/>
      <c r="EMZ34" s="21"/>
      <c r="ENA34" s="21"/>
      <c r="ENB34" s="21"/>
      <c r="ENC34" s="21"/>
      <c r="END34" s="21"/>
      <c r="ENE34" s="21"/>
      <c r="ENF34" s="21"/>
      <c r="ENG34" s="21"/>
      <c r="ENH34" s="21"/>
      <c r="ENI34" s="21"/>
      <c r="ENJ34" s="21"/>
      <c r="ENK34" s="21"/>
      <c r="ENL34" s="21"/>
      <c r="ENM34" s="21"/>
      <c r="ENN34" s="21"/>
      <c r="ENO34" s="21"/>
      <c r="ENP34" s="21"/>
      <c r="ENQ34" s="21"/>
      <c r="ENR34" s="21"/>
      <c r="ENS34" s="21"/>
      <c r="ENT34" s="21"/>
      <c r="ENU34" s="21"/>
      <c r="ENV34" s="21"/>
      <c r="ENW34" s="21"/>
      <c r="ENX34" s="21"/>
      <c r="ENY34" s="21"/>
      <c r="ENZ34" s="21"/>
      <c r="EOA34" s="21"/>
      <c r="EOB34" s="21"/>
      <c r="EOC34" s="21"/>
      <c r="EOD34" s="21"/>
      <c r="EOE34" s="21"/>
      <c r="EOF34" s="21"/>
      <c r="EOG34" s="21"/>
      <c r="EOH34" s="21"/>
      <c r="EOI34" s="21"/>
      <c r="EOJ34" s="21"/>
      <c r="EOK34" s="21"/>
      <c r="EOL34" s="21"/>
      <c r="EOM34" s="21"/>
      <c r="EON34" s="21"/>
      <c r="EOO34" s="21"/>
      <c r="EOP34" s="21"/>
      <c r="EOQ34" s="21"/>
      <c r="EOR34" s="21"/>
      <c r="EOS34" s="21"/>
      <c r="EOT34" s="21"/>
      <c r="EOU34" s="21"/>
      <c r="EOV34" s="21"/>
      <c r="EOW34" s="21"/>
      <c r="EOX34" s="21"/>
      <c r="EOY34" s="21"/>
      <c r="EOZ34" s="21"/>
      <c r="EPA34" s="21"/>
      <c r="EPB34" s="21"/>
      <c r="EPC34" s="21"/>
      <c r="EPD34" s="21"/>
      <c r="EPE34" s="21"/>
      <c r="EPF34" s="21"/>
      <c r="EPG34" s="21"/>
      <c r="EPH34" s="21"/>
      <c r="EPI34" s="21"/>
      <c r="EPJ34" s="21"/>
      <c r="EPK34" s="21"/>
      <c r="EPL34" s="21"/>
      <c r="EPM34" s="21"/>
      <c r="EPN34" s="21"/>
      <c r="EPO34" s="21"/>
      <c r="EPP34" s="21"/>
      <c r="EPQ34" s="21"/>
      <c r="EPR34" s="21"/>
      <c r="EPS34" s="21"/>
      <c r="EPT34" s="21"/>
      <c r="EPU34" s="21"/>
      <c r="EPV34" s="21"/>
      <c r="EPW34" s="21"/>
      <c r="EPX34" s="21"/>
      <c r="EPY34" s="21"/>
      <c r="EPZ34" s="21"/>
      <c r="EQA34" s="21"/>
      <c r="EQB34" s="21"/>
      <c r="EQC34" s="21"/>
      <c r="EQD34" s="21"/>
      <c r="EQE34" s="21"/>
      <c r="EQF34" s="21"/>
      <c r="EQG34" s="21"/>
      <c r="EQH34" s="21"/>
      <c r="EQI34" s="21"/>
      <c r="EQJ34" s="21"/>
      <c r="EQK34" s="21"/>
      <c r="EQL34" s="21"/>
      <c r="EQM34" s="21"/>
      <c r="EQN34" s="21"/>
      <c r="EQO34" s="21"/>
      <c r="EQP34" s="21"/>
      <c r="EQQ34" s="21"/>
      <c r="EQR34" s="21"/>
      <c r="EQS34" s="21"/>
      <c r="EQT34" s="21"/>
      <c r="EQU34" s="21"/>
      <c r="EQV34" s="21"/>
      <c r="EQW34" s="21"/>
      <c r="EQX34" s="21"/>
      <c r="EQY34" s="21"/>
      <c r="EQZ34" s="21"/>
      <c r="ERA34" s="21"/>
      <c r="ERB34" s="21"/>
      <c r="ERC34" s="21"/>
      <c r="ERD34" s="21"/>
      <c r="ERE34" s="21"/>
      <c r="ERF34" s="21"/>
      <c r="ERG34" s="21"/>
      <c r="ERH34" s="21"/>
      <c r="ERI34" s="21"/>
      <c r="ERJ34" s="21"/>
      <c r="ERK34" s="21"/>
      <c r="ERL34" s="21"/>
      <c r="ERM34" s="21"/>
      <c r="ERN34" s="21"/>
      <c r="ERO34" s="21"/>
      <c r="ERP34" s="21"/>
      <c r="ERQ34" s="21"/>
      <c r="ERR34" s="21"/>
      <c r="ERS34" s="21"/>
      <c r="ERT34" s="21"/>
      <c r="ERU34" s="21"/>
      <c r="ERV34" s="21"/>
      <c r="ERW34" s="21"/>
      <c r="ERX34" s="21"/>
      <c r="ERY34" s="21"/>
      <c r="ERZ34" s="21"/>
      <c r="ESA34" s="21"/>
      <c r="ESB34" s="21"/>
      <c r="ESC34" s="21"/>
      <c r="ESD34" s="21"/>
      <c r="ESE34" s="21"/>
      <c r="ESF34" s="21"/>
      <c r="ESG34" s="21"/>
      <c r="ESH34" s="21"/>
      <c r="ESI34" s="21"/>
      <c r="ESJ34" s="21"/>
      <c r="ESK34" s="21"/>
      <c r="ESL34" s="21"/>
      <c r="ESM34" s="21"/>
      <c r="ESN34" s="21"/>
      <c r="ESO34" s="21"/>
      <c r="ESP34" s="21"/>
      <c r="ESQ34" s="21"/>
      <c r="ESR34" s="21"/>
      <c r="ESS34" s="21"/>
      <c r="EST34" s="21"/>
      <c r="ESU34" s="21"/>
      <c r="ESV34" s="21"/>
      <c r="ESW34" s="21"/>
      <c r="ESX34" s="21"/>
      <c r="ESY34" s="21"/>
      <c r="ESZ34" s="21"/>
      <c r="ETA34" s="21"/>
      <c r="ETB34" s="21"/>
      <c r="ETC34" s="21"/>
      <c r="ETD34" s="21"/>
      <c r="ETE34" s="21"/>
      <c r="ETF34" s="21"/>
      <c r="ETG34" s="21"/>
      <c r="ETH34" s="21"/>
      <c r="ETI34" s="21"/>
      <c r="ETJ34" s="21"/>
      <c r="ETK34" s="21"/>
      <c r="ETL34" s="21"/>
      <c r="ETM34" s="21"/>
      <c r="ETN34" s="21"/>
      <c r="ETO34" s="21"/>
      <c r="ETP34" s="21"/>
      <c r="ETQ34" s="21"/>
      <c r="ETR34" s="21"/>
      <c r="ETS34" s="21"/>
      <c r="ETT34" s="21"/>
      <c r="ETU34" s="21"/>
      <c r="ETV34" s="21"/>
      <c r="ETW34" s="21"/>
      <c r="ETX34" s="21"/>
      <c r="ETY34" s="21"/>
      <c r="ETZ34" s="21"/>
      <c r="EUA34" s="21"/>
      <c r="EUB34" s="21"/>
      <c r="EUC34" s="21"/>
      <c r="EUD34" s="21"/>
      <c r="EUE34" s="21"/>
      <c r="EUF34" s="21"/>
      <c r="EUG34" s="21"/>
      <c r="EUH34" s="21"/>
      <c r="EUI34" s="21"/>
      <c r="EUJ34" s="21"/>
      <c r="EUK34" s="21"/>
      <c r="EUL34" s="21"/>
      <c r="EUM34" s="21"/>
      <c r="EUN34" s="21"/>
      <c r="EUO34" s="21"/>
      <c r="EUP34" s="21"/>
      <c r="EUQ34" s="21"/>
      <c r="EUR34" s="21"/>
      <c r="EUS34" s="21"/>
      <c r="EUT34" s="21"/>
      <c r="EUU34" s="21"/>
      <c r="EUV34" s="21"/>
      <c r="EUW34" s="21"/>
      <c r="EUX34" s="21"/>
      <c r="EUY34" s="21"/>
      <c r="EUZ34" s="21"/>
      <c r="EVA34" s="21"/>
      <c r="EVB34" s="21"/>
      <c r="EVC34" s="21"/>
      <c r="EVD34" s="21"/>
      <c r="EVE34" s="21"/>
      <c r="EVF34" s="21"/>
      <c r="EVG34" s="21"/>
      <c r="EVH34" s="21"/>
      <c r="EVI34" s="21"/>
      <c r="EVJ34" s="21"/>
      <c r="EVK34" s="21"/>
      <c r="EVL34" s="21"/>
      <c r="EVM34" s="21"/>
      <c r="EVN34" s="21"/>
      <c r="EVO34" s="21"/>
      <c r="EVP34" s="21"/>
      <c r="EVQ34" s="21"/>
      <c r="EVR34" s="21"/>
      <c r="EVS34" s="21"/>
      <c r="EVT34" s="21"/>
      <c r="EVU34" s="21"/>
      <c r="EVV34" s="21"/>
      <c r="EVW34" s="21"/>
      <c r="EVX34" s="21"/>
      <c r="EVY34" s="21"/>
      <c r="EVZ34" s="21"/>
      <c r="EWA34" s="21"/>
      <c r="EWB34" s="21"/>
      <c r="EWC34" s="21"/>
      <c r="EWD34" s="21"/>
      <c r="EWE34" s="21"/>
      <c r="EWF34" s="21"/>
      <c r="EWG34" s="21"/>
      <c r="EWH34" s="21"/>
      <c r="EWI34" s="21"/>
      <c r="EWJ34" s="21"/>
      <c r="EWK34" s="21"/>
      <c r="EWL34" s="21"/>
      <c r="EWM34" s="21"/>
      <c r="EWN34" s="21"/>
      <c r="EWO34" s="21"/>
      <c r="EWP34" s="21"/>
      <c r="EWQ34" s="21"/>
      <c r="EWR34" s="21"/>
      <c r="EWS34" s="21"/>
      <c r="EWT34" s="21"/>
      <c r="EWU34" s="21"/>
      <c r="EWV34" s="21"/>
      <c r="EWW34" s="21"/>
      <c r="EWX34" s="21"/>
      <c r="EWY34" s="21"/>
      <c r="EWZ34" s="21"/>
      <c r="EXA34" s="21"/>
      <c r="EXB34" s="21"/>
      <c r="EXC34" s="21"/>
      <c r="EXD34" s="21"/>
      <c r="EXE34" s="21"/>
      <c r="EXF34" s="21"/>
      <c r="EXG34" s="21"/>
      <c r="EXH34" s="21"/>
      <c r="EXI34" s="21"/>
      <c r="EXJ34" s="21"/>
      <c r="EXK34" s="21"/>
      <c r="EXL34" s="21"/>
      <c r="EXM34" s="21"/>
      <c r="EXN34" s="21"/>
      <c r="EXO34" s="21"/>
      <c r="EXP34" s="21"/>
      <c r="EXQ34" s="21"/>
      <c r="EXR34" s="21"/>
      <c r="EXS34" s="21"/>
      <c r="EXT34" s="21"/>
      <c r="EXU34" s="21"/>
      <c r="EXV34" s="21"/>
      <c r="EXW34" s="21"/>
      <c r="EXX34" s="21"/>
      <c r="EXY34" s="21"/>
      <c r="EXZ34" s="21"/>
      <c r="EYA34" s="21"/>
      <c r="EYB34" s="21"/>
      <c r="EYC34" s="21"/>
      <c r="EYD34" s="21"/>
      <c r="EYE34" s="21"/>
      <c r="EYF34" s="21"/>
      <c r="EYG34" s="21"/>
      <c r="EYH34" s="21"/>
      <c r="EYI34" s="21"/>
      <c r="EYJ34" s="21"/>
      <c r="EYK34" s="21"/>
      <c r="EYL34" s="21"/>
      <c r="EYM34" s="21"/>
      <c r="EYN34" s="21"/>
      <c r="EYO34" s="21"/>
      <c r="EYP34" s="21"/>
      <c r="EYQ34" s="21"/>
      <c r="EYR34" s="21"/>
      <c r="EYS34" s="21"/>
      <c r="EYT34" s="21"/>
      <c r="EYU34" s="21"/>
      <c r="EYV34" s="21"/>
      <c r="EYW34" s="21"/>
      <c r="EYX34" s="21"/>
      <c r="EYY34" s="21"/>
      <c r="EYZ34" s="21"/>
      <c r="EZA34" s="21"/>
      <c r="EZB34" s="21"/>
      <c r="EZC34" s="21"/>
      <c r="EZD34" s="21"/>
      <c r="EZE34" s="21"/>
      <c r="EZF34" s="21"/>
      <c r="EZG34" s="21"/>
      <c r="EZH34" s="21"/>
      <c r="EZI34" s="21"/>
      <c r="EZJ34" s="21"/>
      <c r="EZK34" s="21"/>
      <c r="EZL34" s="21"/>
      <c r="EZM34" s="21"/>
      <c r="EZN34" s="21"/>
      <c r="EZO34" s="21"/>
      <c r="EZP34" s="21"/>
      <c r="EZQ34" s="21"/>
      <c r="EZR34" s="21"/>
      <c r="EZS34" s="21"/>
      <c r="EZT34" s="21"/>
      <c r="EZU34" s="21"/>
      <c r="EZV34" s="21"/>
      <c r="EZW34" s="21"/>
      <c r="EZX34" s="21"/>
      <c r="EZY34" s="21"/>
      <c r="EZZ34" s="21"/>
      <c r="FAA34" s="21"/>
      <c r="FAB34" s="21"/>
      <c r="FAC34" s="21"/>
      <c r="FAD34" s="21"/>
      <c r="FAE34" s="21"/>
      <c r="FAF34" s="21"/>
      <c r="FAG34" s="21"/>
      <c r="FAH34" s="21"/>
      <c r="FAI34" s="21"/>
      <c r="FAJ34" s="21"/>
      <c r="FAK34" s="21"/>
      <c r="FAL34" s="21"/>
      <c r="FAM34" s="21"/>
      <c r="FAN34" s="21"/>
      <c r="FAO34" s="21"/>
      <c r="FAP34" s="21"/>
      <c r="FAQ34" s="21"/>
      <c r="FAR34" s="21"/>
      <c r="FAS34" s="21"/>
      <c r="FAT34" s="21"/>
      <c r="FAU34" s="21"/>
      <c r="FAV34" s="21"/>
      <c r="FAW34" s="21"/>
      <c r="FAX34" s="21"/>
      <c r="FAY34" s="21"/>
      <c r="FAZ34" s="21"/>
      <c r="FBA34" s="21"/>
      <c r="FBB34" s="21"/>
      <c r="FBC34" s="21"/>
      <c r="FBD34" s="21"/>
      <c r="FBE34" s="21"/>
      <c r="FBF34" s="21"/>
      <c r="FBG34" s="21"/>
      <c r="FBH34" s="21"/>
      <c r="FBI34" s="21"/>
      <c r="FBJ34" s="21"/>
      <c r="FBK34" s="21"/>
      <c r="FBL34" s="21"/>
      <c r="FBM34" s="21"/>
      <c r="FBN34" s="21"/>
      <c r="FBO34" s="21"/>
      <c r="FBP34" s="21"/>
      <c r="FBQ34" s="21"/>
      <c r="FBR34" s="21"/>
      <c r="FBS34" s="21"/>
      <c r="FBT34" s="21"/>
      <c r="FBU34" s="21"/>
      <c r="FBV34" s="21"/>
      <c r="FBW34" s="21"/>
      <c r="FBX34" s="21"/>
      <c r="FBY34" s="21"/>
      <c r="FBZ34" s="21"/>
      <c r="FCA34" s="21"/>
      <c r="FCB34" s="21"/>
      <c r="FCC34" s="21"/>
      <c r="FCD34" s="21"/>
      <c r="FCE34" s="21"/>
      <c r="FCF34" s="21"/>
      <c r="FCG34" s="21"/>
      <c r="FCH34" s="21"/>
      <c r="FCI34" s="21"/>
      <c r="FCJ34" s="21"/>
      <c r="FCK34" s="21"/>
      <c r="FCL34" s="21"/>
      <c r="FCM34" s="21"/>
      <c r="FCN34" s="21"/>
      <c r="FCO34" s="21"/>
      <c r="FCP34" s="21"/>
      <c r="FCQ34" s="21"/>
      <c r="FCR34" s="21"/>
      <c r="FCS34" s="21"/>
      <c r="FCT34" s="21"/>
      <c r="FCU34" s="21"/>
      <c r="FCV34" s="21"/>
      <c r="FCW34" s="21"/>
      <c r="FCX34" s="21"/>
      <c r="FCY34" s="21"/>
      <c r="FCZ34" s="21"/>
      <c r="FDA34" s="21"/>
      <c r="FDB34" s="21"/>
      <c r="FDC34" s="21"/>
      <c r="FDD34" s="21"/>
      <c r="FDE34" s="21"/>
      <c r="FDF34" s="21"/>
      <c r="FDG34" s="21"/>
      <c r="FDH34" s="21"/>
      <c r="FDI34" s="21"/>
      <c r="FDJ34" s="21"/>
      <c r="FDK34" s="21"/>
      <c r="FDL34" s="21"/>
      <c r="FDM34" s="21"/>
      <c r="FDN34" s="21"/>
      <c r="FDO34" s="21"/>
      <c r="FDP34" s="21"/>
      <c r="FDQ34" s="21"/>
      <c r="FDR34" s="21"/>
      <c r="FDS34" s="21"/>
      <c r="FDT34" s="21"/>
      <c r="FDU34" s="21"/>
      <c r="FDV34" s="21"/>
      <c r="FDW34" s="21"/>
      <c r="FDX34" s="21"/>
      <c r="FDY34" s="21"/>
      <c r="FDZ34" s="21"/>
      <c r="FEA34" s="21"/>
      <c r="FEB34" s="21"/>
      <c r="FEC34" s="21"/>
      <c r="FED34" s="21"/>
      <c r="FEE34" s="21"/>
      <c r="FEF34" s="21"/>
      <c r="FEG34" s="21"/>
      <c r="FEH34" s="21"/>
      <c r="FEI34" s="21"/>
      <c r="FEJ34" s="21"/>
      <c r="FEK34" s="21"/>
      <c r="FEL34" s="21"/>
      <c r="FEM34" s="21"/>
      <c r="FEN34" s="21"/>
      <c r="FEO34" s="21"/>
      <c r="FEP34" s="21"/>
      <c r="FEQ34" s="21"/>
      <c r="FER34" s="21"/>
      <c r="FES34" s="21"/>
      <c r="FET34" s="21"/>
      <c r="FEU34" s="21"/>
      <c r="FEV34" s="21"/>
      <c r="FEW34" s="21"/>
      <c r="FEX34" s="21"/>
      <c r="FEY34" s="21"/>
      <c r="FEZ34" s="21"/>
      <c r="FFA34" s="21"/>
      <c r="FFB34" s="21"/>
      <c r="FFC34" s="21"/>
      <c r="FFD34" s="21"/>
      <c r="FFE34" s="21"/>
      <c r="FFF34" s="21"/>
      <c r="FFG34" s="21"/>
      <c r="FFH34" s="21"/>
      <c r="FFI34" s="21"/>
      <c r="FFJ34" s="21"/>
      <c r="FFK34" s="21"/>
      <c r="FFL34" s="21"/>
      <c r="FFM34" s="21"/>
      <c r="FFN34" s="21"/>
      <c r="FFO34" s="21"/>
      <c r="FFP34" s="21"/>
      <c r="FFQ34" s="21"/>
      <c r="FFR34" s="21"/>
      <c r="FFS34" s="21"/>
      <c r="FFT34" s="21"/>
      <c r="FFU34" s="21"/>
      <c r="FFV34" s="21"/>
      <c r="FFW34" s="21"/>
      <c r="FFX34" s="21"/>
      <c r="FFY34" s="21"/>
      <c r="FFZ34" s="21"/>
      <c r="FGA34" s="21"/>
      <c r="FGB34" s="21"/>
      <c r="FGC34" s="21"/>
      <c r="FGD34" s="21"/>
      <c r="FGE34" s="21"/>
      <c r="FGF34" s="21"/>
      <c r="FGG34" s="21"/>
      <c r="FGH34" s="21"/>
      <c r="FGI34" s="21"/>
      <c r="FGJ34" s="21"/>
      <c r="FGK34" s="21"/>
      <c r="FGL34" s="21"/>
      <c r="FGM34" s="21"/>
      <c r="FGN34" s="21"/>
      <c r="FGO34" s="21"/>
      <c r="FGP34" s="21"/>
      <c r="FGQ34" s="21"/>
      <c r="FGR34" s="21"/>
      <c r="FGS34" s="21"/>
      <c r="FGT34" s="21"/>
      <c r="FGU34" s="21"/>
      <c r="FGV34" s="21"/>
      <c r="FGW34" s="21"/>
      <c r="FGX34" s="21"/>
      <c r="FGY34" s="21"/>
      <c r="FGZ34" s="21"/>
      <c r="FHA34" s="21"/>
      <c r="FHB34" s="21"/>
      <c r="FHC34" s="21"/>
      <c r="FHD34" s="21"/>
      <c r="FHE34" s="21"/>
      <c r="FHF34" s="21"/>
      <c r="FHG34" s="21"/>
      <c r="FHH34" s="21"/>
      <c r="FHI34" s="21"/>
      <c r="FHJ34" s="21"/>
      <c r="FHK34" s="21"/>
      <c r="FHL34" s="21"/>
      <c r="FHM34" s="21"/>
      <c r="FHN34" s="21"/>
      <c r="FHO34" s="21"/>
      <c r="FHP34" s="21"/>
      <c r="FHQ34" s="21"/>
      <c r="FHR34" s="21"/>
      <c r="FHS34" s="21"/>
      <c r="FHT34" s="21"/>
      <c r="FHU34" s="21"/>
      <c r="FHV34" s="21"/>
      <c r="FHW34" s="21"/>
      <c r="FHX34" s="21"/>
      <c r="FHY34" s="21"/>
      <c r="FHZ34" s="21"/>
      <c r="FIA34" s="21"/>
      <c r="FIB34" s="21"/>
      <c r="FIC34" s="21"/>
      <c r="FID34" s="21"/>
      <c r="FIE34" s="21"/>
      <c r="FIF34" s="21"/>
      <c r="FIG34" s="21"/>
      <c r="FIH34" s="21"/>
      <c r="FII34" s="21"/>
      <c r="FIJ34" s="21"/>
      <c r="FIK34" s="21"/>
      <c r="FIL34" s="21"/>
      <c r="FIM34" s="21"/>
      <c r="FIN34" s="21"/>
      <c r="FIO34" s="21"/>
      <c r="FIP34" s="21"/>
      <c r="FIQ34" s="21"/>
      <c r="FIR34" s="21"/>
      <c r="FIS34" s="21"/>
      <c r="FIT34" s="21"/>
      <c r="FIU34" s="21"/>
      <c r="FIV34" s="21"/>
      <c r="FIW34" s="21"/>
      <c r="FIX34" s="21"/>
      <c r="FIY34" s="21"/>
      <c r="FIZ34" s="21"/>
      <c r="FJA34" s="21"/>
      <c r="FJB34" s="21"/>
      <c r="FJC34" s="21"/>
      <c r="FJD34" s="21"/>
      <c r="FJE34" s="21"/>
      <c r="FJF34" s="21"/>
      <c r="FJG34" s="21"/>
      <c r="FJH34" s="21"/>
      <c r="FJI34" s="21"/>
      <c r="FJJ34" s="21"/>
      <c r="FJK34" s="21"/>
      <c r="FJL34" s="21"/>
      <c r="FJM34" s="21"/>
      <c r="FJN34" s="21"/>
      <c r="FJO34" s="21"/>
      <c r="FJP34" s="21"/>
      <c r="FJQ34" s="21"/>
      <c r="FJR34" s="21"/>
      <c r="FJS34" s="21"/>
      <c r="FJT34" s="21"/>
      <c r="FJU34" s="21"/>
      <c r="FJV34" s="21"/>
      <c r="FJW34" s="21"/>
      <c r="FJX34" s="21"/>
      <c r="FJY34" s="21"/>
      <c r="FJZ34" s="21"/>
      <c r="FKA34" s="21"/>
      <c r="FKB34" s="21"/>
      <c r="FKC34" s="21"/>
      <c r="FKD34" s="21"/>
      <c r="FKE34" s="21"/>
      <c r="FKF34" s="21"/>
      <c r="FKG34" s="21"/>
      <c r="FKH34" s="21"/>
      <c r="FKI34" s="21"/>
      <c r="FKJ34" s="21"/>
      <c r="FKK34" s="21"/>
      <c r="FKL34" s="21"/>
      <c r="FKM34" s="21"/>
      <c r="FKN34" s="21"/>
      <c r="FKO34" s="21"/>
      <c r="FKP34" s="21"/>
      <c r="FKQ34" s="21"/>
      <c r="FKR34" s="21"/>
      <c r="FKS34" s="21"/>
      <c r="FKT34" s="21"/>
      <c r="FKU34" s="21"/>
      <c r="FKV34" s="21"/>
      <c r="FKW34" s="21"/>
      <c r="FKX34" s="21"/>
      <c r="FKY34" s="21"/>
      <c r="FKZ34" s="21"/>
      <c r="FLA34" s="21"/>
      <c r="FLB34" s="21"/>
      <c r="FLC34" s="21"/>
      <c r="FLD34" s="21"/>
      <c r="FLE34" s="21"/>
      <c r="FLF34" s="21"/>
      <c r="FLG34" s="21"/>
      <c r="FLH34" s="21"/>
      <c r="FLI34" s="21"/>
      <c r="FLJ34" s="21"/>
      <c r="FLK34" s="21"/>
      <c r="FLL34" s="21"/>
      <c r="FLM34" s="21"/>
      <c r="FLN34" s="21"/>
      <c r="FLO34" s="21"/>
      <c r="FLP34" s="21"/>
      <c r="FLQ34" s="21"/>
      <c r="FLR34" s="21"/>
      <c r="FLS34" s="21"/>
      <c r="FLT34" s="21"/>
      <c r="FLU34" s="21"/>
      <c r="FLV34" s="21"/>
      <c r="FLW34" s="21"/>
      <c r="FLX34" s="21"/>
      <c r="FLY34" s="21"/>
      <c r="FLZ34" s="21"/>
      <c r="FMA34" s="21"/>
      <c r="FMB34" s="21"/>
      <c r="FMC34" s="21"/>
      <c r="FMD34" s="21"/>
      <c r="FME34" s="21"/>
      <c r="FMF34" s="21"/>
      <c r="FMG34" s="21"/>
      <c r="FMH34" s="21"/>
      <c r="FMI34" s="21"/>
      <c r="FMJ34" s="21"/>
      <c r="FMK34" s="21"/>
      <c r="FML34" s="21"/>
      <c r="FMM34" s="21"/>
      <c r="FMN34" s="21"/>
      <c r="FMO34" s="21"/>
      <c r="FMP34" s="21"/>
      <c r="FMQ34" s="21"/>
      <c r="FMR34" s="21"/>
      <c r="FMS34" s="21"/>
      <c r="FMT34" s="21"/>
      <c r="FMU34" s="21"/>
      <c r="FMV34" s="21"/>
      <c r="FMW34" s="21"/>
      <c r="FMX34" s="21"/>
      <c r="FMY34" s="21"/>
      <c r="FMZ34" s="21"/>
      <c r="FNA34" s="21"/>
      <c r="FNB34" s="21"/>
      <c r="FNC34" s="21"/>
      <c r="FND34" s="21"/>
      <c r="FNE34" s="21"/>
      <c r="FNF34" s="21"/>
      <c r="FNG34" s="21"/>
      <c r="FNH34" s="21"/>
      <c r="FNI34" s="21"/>
      <c r="FNJ34" s="21"/>
      <c r="FNK34" s="21"/>
      <c r="FNL34" s="21"/>
      <c r="FNM34" s="21"/>
      <c r="FNN34" s="21"/>
      <c r="FNO34" s="21"/>
      <c r="FNP34" s="21"/>
      <c r="FNQ34" s="21"/>
      <c r="FNR34" s="21"/>
      <c r="FNS34" s="21"/>
      <c r="FNT34" s="21"/>
      <c r="FNU34" s="21"/>
      <c r="FNV34" s="21"/>
      <c r="FNW34" s="21"/>
      <c r="FNX34" s="21"/>
      <c r="FNY34" s="21"/>
      <c r="FNZ34" s="21"/>
      <c r="FOA34" s="21"/>
      <c r="FOB34" s="21"/>
      <c r="FOC34" s="21"/>
      <c r="FOD34" s="21"/>
      <c r="FOE34" s="21"/>
      <c r="FOF34" s="21"/>
      <c r="FOG34" s="21"/>
      <c r="FOH34" s="21"/>
      <c r="FOI34" s="21"/>
      <c r="FOJ34" s="21"/>
      <c r="FOK34" s="21"/>
      <c r="FOL34" s="21"/>
      <c r="FOM34" s="21"/>
      <c r="FON34" s="21"/>
      <c r="FOO34" s="21"/>
      <c r="FOP34" s="21"/>
      <c r="FOQ34" s="21"/>
      <c r="FOR34" s="21"/>
      <c r="FOS34" s="21"/>
      <c r="FOT34" s="21"/>
      <c r="FOU34" s="21"/>
      <c r="FOV34" s="21"/>
      <c r="FOW34" s="21"/>
      <c r="FOX34" s="21"/>
      <c r="FOY34" s="21"/>
      <c r="FOZ34" s="21"/>
      <c r="FPA34" s="21"/>
      <c r="FPB34" s="21"/>
      <c r="FPC34" s="21"/>
      <c r="FPD34" s="21"/>
      <c r="FPE34" s="21"/>
      <c r="FPF34" s="21"/>
      <c r="FPG34" s="21"/>
      <c r="FPH34" s="21"/>
      <c r="FPI34" s="21"/>
      <c r="FPJ34" s="21"/>
      <c r="FPK34" s="21"/>
      <c r="FPL34" s="21"/>
      <c r="FPM34" s="21"/>
      <c r="FPN34" s="21"/>
      <c r="FPO34" s="21"/>
      <c r="FPP34" s="21"/>
      <c r="FPQ34" s="21"/>
      <c r="FPR34" s="21"/>
      <c r="FPS34" s="21"/>
      <c r="FPT34" s="21"/>
      <c r="FPU34" s="21"/>
      <c r="FPV34" s="21"/>
      <c r="FPW34" s="21"/>
      <c r="FPX34" s="21"/>
      <c r="FPY34" s="21"/>
      <c r="FPZ34" s="21"/>
      <c r="FQA34" s="21"/>
      <c r="FQB34" s="21"/>
      <c r="FQC34" s="21"/>
      <c r="FQD34" s="21"/>
      <c r="FQE34" s="21"/>
      <c r="FQF34" s="21"/>
      <c r="FQG34" s="21"/>
      <c r="FQH34" s="21"/>
      <c r="FQI34" s="21"/>
      <c r="FQJ34" s="21"/>
      <c r="FQK34" s="21"/>
      <c r="FQL34" s="21"/>
      <c r="FQM34" s="21"/>
      <c r="FQN34" s="21"/>
      <c r="FQO34" s="21"/>
      <c r="FQP34" s="21"/>
      <c r="FQQ34" s="21"/>
      <c r="FQR34" s="21"/>
      <c r="FQS34" s="21"/>
      <c r="FQT34" s="21"/>
      <c r="FQU34" s="21"/>
      <c r="FQV34" s="21"/>
      <c r="FQW34" s="21"/>
      <c r="FQX34" s="21"/>
      <c r="FQY34" s="21"/>
      <c r="FQZ34" s="21"/>
      <c r="FRA34" s="21"/>
      <c r="FRB34" s="21"/>
      <c r="FRC34" s="21"/>
      <c r="FRD34" s="21"/>
      <c r="FRE34" s="21"/>
      <c r="FRF34" s="21"/>
      <c r="FRG34" s="21"/>
      <c r="FRH34" s="21"/>
      <c r="FRI34" s="21"/>
      <c r="FRJ34" s="21"/>
      <c r="FRK34" s="21"/>
      <c r="FRL34" s="21"/>
      <c r="FRM34" s="21"/>
      <c r="FRN34" s="21"/>
      <c r="FRO34" s="21"/>
      <c r="FRP34" s="21"/>
      <c r="FRQ34" s="21"/>
      <c r="FRR34" s="21"/>
      <c r="FRS34" s="21"/>
      <c r="FRT34" s="21"/>
      <c r="FRU34" s="21"/>
      <c r="FRV34" s="21"/>
      <c r="FRW34" s="21"/>
      <c r="FRX34" s="21"/>
      <c r="FRY34" s="21"/>
      <c r="FRZ34" s="21"/>
      <c r="FSA34" s="21"/>
      <c r="FSB34" s="21"/>
      <c r="FSC34" s="21"/>
      <c r="FSD34" s="21"/>
      <c r="FSE34" s="21"/>
      <c r="FSF34" s="21"/>
      <c r="FSG34" s="21"/>
      <c r="FSH34" s="21"/>
      <c r="FSI34" s="21"/>
      <c r="FSJ34" s="21"/>
      <c r="FSK34" s="21"/>
      <c r="FSL34" s="21"/>
      <c r="FSM34" s="21"/>
      <c r="FSN34" s="21"/>
      <c r="FSO34" s="21"/>
      <c r="FSP34" s="21"/>
      <c r="FSQ34" s="21"/>
      <c r="FSR34" s="21"/>
      <c r="FSS34" s="21"/>
      <c r="FST34" s="21"/>
      <c r="FSU34" s="21"/>
      <c r="FSV34" s="21"/>
      <c r="FSW34" s="21"/>
      <c r="FSX34" s="21"/>
      <c r="FSY34" s="21"/>
      <c r="FSZ34" s="21"/>
      <c r="FTA34" s="21"/>
      <c r="FTB34" s="21"/>
      <c r="FTC34" s="21"/>
      <c r="FTD34" s="21"/>
      <c r="FTE34" s="21"/>
      <c r="FTF34" s="21"/>
      <c r="FTG34" s="21"/>
      <c r="FTH34" s="21"/>
      <c r="FTI34" s="21"/>
      <c r="FTJ34" s="21"/>
      <c r="FTK34" s="21"/>
      <c r="FTL34" s="21"/>
      <c r="FTM34" s="21"/>
      <c r="FTN34" s="21"/>
      <c r="FTO34" s="21"/>
      <c r="FTP34" s="21"/>
      <c r="FTQ34" s="21"/>
      <c r="FTR34" s="21"/>
      <c r="FTS34" s="21"/>
      <c r="FTT34" s="21"/>
      <c r="FTU34" s="21"/>
      <c r="FTV34" s="21"/>
      <c r="FTW34" s="21"/>
      <c r="FTX34" s="21"/>
      <c r="FTY34" s="21"/>
      <c r="FTZ34" s="21"/>
      <c r="FUA34" s="21"/>
      <c r="FUB34" s="21"/>
      <c r="FUC34" s="21"/>
      <c r="FUD34" s="21"/>
      <c r="FUE34" s="21"/>
      <c r="FUF34" s="21"/>
      <c r="FUG34" s="21"/>
      <c r="FUH34" s="21"/>
      <c r="FUI34" s="21"/>
      <c r="FUJ34" s="21"/>
      <c r="FUK34" s="21"/>
      <c r="FUL34" s="21"/>
      <c r="FUM34" s="21"/>
      <c r="FUN34" s="21"/>
      <c r="FUO34" s="21"/>
      <c r="FUP34" s="21"/>
      <c r="FUQ34" s="21"/>
      <c r="FUR34" s="21"/>
      <c r="FUS34" s="21"/>
      <c r="FUT34" s="21"/>
      <c r="FUU34" s="21"/>
      <c r="FUV34" s="21"/>
      <c r="FUW34" s="21"/>
      <c r="FUX34" s="21"/>
      <c r="FUY34" s="21"/>
      <c r="FUZ34" s="21"/>
      <c r="FVA34" s="21"/>
      <c r="FVB34" s="21"/>
      <c r="FVC34" s="21"/>
      <c r="FVD34" s="21"/>
      <c r="FVE34" s="21"/>
      <c r="FVF34" s="21"/>
      <c r="FVG34" s="21"/>
      <c r="FVH34" s="21"/>
      <c r="FVI34" s="21"/>
      <c r="FVJ34" s="21"/>
      <c r="FVK34" s="21"/>
      <c r="FVL34" s="21"/>
      <c r="FVM34" s="21"/>
      <c r="FVN34" s="21"/>
      <c r="FVO34" s="21"/>
      <c r="FVP34" s="21"/>
      <c r="FVQ34" s="21"/>
      <c r="FVR34" s="21"/>
      <c r="FVS34" s="21"/>
      <c r="FVT34" s="21"/>
      <c r="FVU34" s="21"/>
      <c r="FVV34" s="21"/>
      <c r="FVW34" s="21"/>
      <c r="FVX34" s="21"/>
      <c r="FVY34" s="21"/>
      <c r="FVZ34" s="21"/>
      <c r="FWA34" s="21"/>
      <c r="FWB34" s="21"/>
      <c r="FWC34" s="21"/>
      <c r="FWD34" s="21"/>
      <c r="FWE34" s="21"/>
      <c r="FWF34" s="21"/>
      <c r="FWG34" s="21"/>
      <c r="FWH34" s="21"/>
      <c r="FWI34" s="21"/>
      <c r="FWJ34" s="21"/>
      <c r="FWK34" s="21"/>
      <c r="FWL34" s="21"/>
      <c r="FWM34" s="21"/>
      <c r="FWN34" s="21"/>
      <c r="FWO34" s="21"/>
      <c r="FWP34" s="21"/>
      <c r="FWQ34" s="21"/>
      <c r="FWR34" s="21"/>
      <c r="FWS34" s="21"/>
      <c r="FWT34" s="21"/>
      <c r="FWU34" s="21"/>
      <c r="FWV34" s="21"/>
      <c r="FWW34" s="21"/>
      <c r="FWX34" s="21"/>
      <c r="FWY34" s="21"/>
      <c r="FWZ34" s="21"/>
      <c r="FXA34" s="21"/>
      <c r="FXB34" s="21"/>
      <c r="FXC34" s="21"/>
      <c r="FXD34" s="21"/>
      <c r="FXE34" s="21"/>
      <c r="FXF34" s="21"/>
      <c r="FXG34" s="21"/>
      <c r="FXH34" s="21"/>
      <c r="FXI34" s="21"/>
      <c r="FXJ34" s="21"/>
      <c r="FXK34" s="21"/>
      <c r="FXL34" s="21"/>
      <c r="FXM34" s="21"/>
      <c r="FXN34" s="21"/>
      <c r="FXO34" s="21"/>
      <c r="FXP34" s="21"/>
      <c r="FXQ34" s="21"/>
      <c r="FXR34" s="21"/>
      <c r="FXS34" s="21"/>
      <c r="FXT34" s="21"/>
      <c r="FXU34" s="21"/>
      <c r="FXV34" s="21"/>
      <c r="FXW34" s="21"/>
      <c r="FXX34" s="21"/>
      <c r="FXY34" s="21"/>
      <c r="FXZ34" s="21"/>
      <c r="FYA34" s="21"/>
      <c r="FYB34" s="21"/>
      <c r="FYC34" s="21"/>
      <c r="FYD34" s="21"/>
      <c r="FYE34" s="21"/>
      <c r="FYF34" s="21"/>
      <c r="FYG34" s="21"/>
      <c r="FYH34" s="21"/>
      <c r="FYI34" s="21"/>
      <c r="FYJ34" s="21"/>
      <c r="FYK34" s="21"/>
      <c r="FYL34" s="21"/>
      <c r="FYM34" s="21"/>
      <c r="FYN34" s="21"/>
      <c r="FYO34" s="21"/>
      <c r="FYP34" s="21"/>
      <c r="FYQ34" s="21"/>
      <c r="FYR34" s="21"/>
      <c r="FYS34" s="21"/>
      <c r="FYT34" s="21"/>
      <c r="FYU34" s="21"/>
      <c r="FYV34" s="21"/>
      <c r="FYW34" s="21"/>
      <c r="FYX34" s="21"/>
      <c r="FYY34" s="21"/>
      <c r="FYZ34" s="21"/>
      <c r="FZA34" s="21"/>
      <c r="FZB34" s="21"/>
      <c r="FZC34" s="21"/>
      <c r="FZD34" s="21"/>
      <c r="FZE34" s="21"/>
      <c r="FZF34" s="21"/>
      <c r="FZG34" s="21"/>
      <c r="FZH34" s="21"/>
      <c r="FZI34" s="21"/>
      <c r="FZJ34" s="21"/>
      <c r="FZK34" s="21"/>
      <c r="FZL34" s="21"/>
      <c r="FZM34" s="21"/>
      <c r="FZN34" s="21"/>
      <c r="FZO34" s="21"/>
      <c r="FZP34" s="21"/>
      <c r="FZQ34" s="21"/>
      <c r="FZR34" s="21"/>
      <c r="FZS34" s="21"/>
      <c r="FZT34" s="21"/>
      <c r="FZU34" s="21"/>
      <c r="FZV34" s="21"/>
      <c r="FZW34" s="21"/>
      <c r="FZX34" s="21"/>
      <c r="FZY34" s="21"/>
      <c r="FZZ34" s="21"/>
      <c r="GAA34" s="21"/>
      <c r="GAB34" s="21"/>
      <c r="GAC34" s="21"/>
      <c r="GAD34" s="21"/>
      <c r="GAE34" s="21"/>
      <c r="GAF34" s="21"/>
      <c r="GAG34" s="21"/>
      <c r="GAH34" s="21"/>
      <c r="GAI34" s="21"/>
      <c r="GAJ34" s="21"/>
      <c r="GAK34" s="21"/>
      <c r="GAL34" s="21"/>
      <c r="GAM34" s="21"/>
      <c r="GAN34" s="21"/>
      <c r="GAO34" s="21"/>
      <c r="GAP34" s="21"/>
      <c r="GAQ34" s="21"/>
      <c r="GAR34" s="21"/>
      <c r="GAS34" s="21"/>
      <c r="GAT34" s="21"/>
      <c r="GAU34" s="21"/>
      <c r="GAV34" s="21"/>
      <c r="GAW34" s="21"/>
      <c r="GAX34" s="21"/>
      <c r="GAY34" s="21"/>
      <c r="GAZ34" s="21"/>
      <c r="GBA34" s="21"/>
      <c r="GBB34" s="21"/>
      <c r="GBC34" s="21"/>
      <c r="GBD34" s="21"/>
      <c r="GBE34" s="21"/>
      <c r="GBF34" s="21"/>
      <c r="GBG34" s="21"/>
      <c r="GBH34" s="21"/>
      <c r="GBI34" s="21"/>
      <c r="GBJ34" s="21"/>
      <c r="GBK34" s="21"/>
      <c r="GBL34" s="21"/>
      <c r="GBM34" s="21"/>
      <c r="GBN34" s="21"/>
      <c r="GBO34" s="21"/>
      <c r="GBP34" s="21"/>
      <c r="GBQ34" s="21"/>
      <c r="GBR34" s="21"/>
      <c r="GBS34" s="21"/>
      <c r="GBT34" s="21"/>
      <c r="GBU34" s="21"/>
      <c r="GBV34" s="21"/>
      <c r="GBW34" s="21"/>
      <c r="GBX34" s="21"/>
      <c r="GBY34" s="21"/>
      <c r="GBZ34" s="21"/>
      <c r="GCA34" s="21"/>
      <c r="GCB34" s="21"/>
      <c r="GCC34" s="21"/>
      <c r="GCD34" s="21"/>
      <c r="GCE34" s="21"/>
      <c r="GCF34" s="21"/>
      <c r="GCG34" s="21"/>
      <c r="GCH34" s="21"/>
      <c r="GCI34" s="21"/>
      <c r="GCJ34" s="21"/>
      <c r="GCK34" s="21"/>
      <c r="GCL34" s="21"/>
      <c r="GCM34" s="21"/>
      <c r="GCN34" s="21"/>
      <c r="GCO34" s="21"/>
      <c r="GCP34" s="21"/>
      <c r="GCQ34" s="21"/>
      <c r="GCR34" s="21"/>
      <c r="GCS34" s="21"/>
      <c r="GCT34" s="21"/>
      <c r="GCU34" s="21"/>
      <c r="GCV34" s="21"/>
      <c r="GCW34" s="21"/>
      <c r="GCX34" s="21"/>
      <c r="GCY34" s="21"/>
      <c r="GCZ34" s="21"/>
      <c r="GDA34" s="21"/>
      <c r="GDB34" s="21"/>
      <c r="GDC34" s="21"/>
      <c r="GDD34" s="21"/>
      <c r="GDE34" s="21"/>
      <c r="GDF34" s="21"/>
      <c r="GDG34" s="21"/>
      <c r="GDH34" s="21"/>
      <c r="GDI34" s="21"/>
      <c r="GDJ34" s="21"/>
      <c r="GDK34" s="21"/>
      <c r="GDL34" s="21"/>
      <c r="GDM34" s="21"/>
      <c r="GDN34" s="21"/>
      <c r="GDO34" s="21"/>
      <c r="GDP34" s="21"/>
      <c r="GDQ34" s="21"/>
      <c r="GDR34" s="21"/>
      <c r="GDS34" s="21"/>
      <c r="GDT34" s="21"/>
      <c r="GDU34" s="21"/>
      <c r="GDV34" s="21"/>
      <c r="GDW34" s="21"/>
      <c r="GDX34" s="21"/>
      <c r="GDY34" s="21"/>
      <c r="GDZ34" s="21"/>
      <c r="GEA34" s="21"/>
      <c r="GEB34" s="21"/>
      <c r="GEC34" s="21"/>
      <c r="GED34" s="21"/>
      <c r="GEE34" s="21"/>
      <c r="GEF34" s="21"/>
      <c r="GEG34" s="21"/>
      <c r="GEH34" s="21"/>
      <c r="GEI34" s="21"/>
      <c r="GEJ34" s="21"/>
      <c r="GEK34" s="21"/>
      <c r="GEL34" s="21"/>
      <c r="GEM34" s="21"/>
      <c r="GEN34" s="21"/>
      <c r="GEO34" s="21"/>
      <c r="GEP34" s="21"/>
      <c r="GEQ34" s="21"/>
      <c r="GER34" s="21"/>
      <c r="GES34" s="21"/>
      <c r="GET34" s="21"/>
      <c r="GEU34" s="21"/>
      <c r="GEV34" s="21"/>
      <c r="GEW34" s="21"/>
      <c r="GEX34" s="21"/>
      <c r="GEY34" s="21"/>
      <c r="GEZ34" s="21"/>
      <c r="GFA34" s="21"/>
      <c r="GFB34" s="21"/>
      <c r="GFC34" s="21"/>
      <c r="GFD34" s="21"/>
      <c r="GFE34" s="21"/>
      <c r="GFF34" s="21"/>
      <c r="GFG34" s="21"/>
      <c r="GFH34" s="21"/>
      <c r="GFI34" s="21"/>
      <c r="GFJ34" s="21"/>
      <c r="GFK34" s="21"/>
      <c r="GFL34" s="21"/>
      <c r="GFM34" s="21"/>
      <c r="GFN34" s="21"/>
      <c r="GFO34" s="21"/>
      <c r="GFP34" s="21"/>
      <c r="GFQ34" s="21"/>
      <c r="GFR34" s="21"/>
      <c r="GFS34" s="21"/>
      <c r="GFT34" s="21"/>
      <c r="GFU34" s="21"/>
      <c r="GFV34" s="21"/>
      <c r="GFW34" s="21"/>
      <c r="GFX34" s="21"/>
      <c r="GFY34" s="21"/>
      <c r="GFZ34" s="21"/>
      <c r="GGA34" s="21"/>
      <c r="GGB34" s="21"/>
      <c r="GGC34" s="21"/>
      <c r="GGD34" s="21"/>
      <c r="GGE34" s="21"/>
      <c r="GGF34" s="21"/>
      <c r="GGG34" s="21"/>
      <c r="GGH34" s="21"/>
      <c r="GGI34" s="21"/>
      <c r="GGJ34" s="21"/>
      <c r="GGK34" s="21"/>
      <c r="GGL34" s="21"/>
      <c r="GGM34" s="21"/>
      <c r="GGN34" s="21"/>
      <c r="GGO34" s="21"/>
      <c r="GGP34" s="21"/>
      <c r="GGQ34" s="21"/>
      <c r="GGR34" s="21"/>
      <c r="GGS34" s="21"/>
      <c r="GGT34" s="21"/>
      <c r="GGU34" s="21"/>
      <c r="GGV34" s="21"/>
      <c r="GGW34" s="21"/>
      <c r="GGX34" s="21"/>
      <c r="GGY34" s="21"/>
      <c r="GGZ34" s="21"/>
      <c r="GHA34" s="21"/>
      <c r="GHB34" s="21"/>
      <c r="GHC34" s="21"/>
      <c r="GHD34" s="21"/>
      <c r="GHE34" s="21"/>
      <c r="GHF34" s="21"/>
      <c r="GHG34" s="21"/>
      <c r="GHH34" s="21"/>
      <c r="GHI34" s="21"/>
      <c r="GHJ34" s="21"/>
      <c r="GHK34" s="21"/>
      <c r="GHL34" s="21"/>
      <c r="GHM34" s="21"/>
      <c r="GHN34" s="21"/>
      <c r="GHO34" s="21"/>
      <c r="GHP34" s="21"/>
      <c r="GHQ34" s="21"/>
      <c r="GHR34" s="21"/>
      <c r="GHS34" s="21"/>
      <c r="GHT34" s="21"/>
      <c r="GHU34" s="21"/>
      <c r="GHV34" s="21"/>
      <c r="GHW34" s="21"/>
      <c r="GHX34" s="21"/>
      <c r="GHY34" s="21"/>
      <c r="GHZ34" s="21"/>
      <c r="GIA34" s="21"/>
      <c r="GIB34" s="21"/>
      <c r="GIC34" s="21"/>
      <c r="GID34" s="21"/>
      <c r="GIE34" s="21"/>
      <c r="GIF34" s="21"/>
      <c r="GIG34" s="21"/>
      <c r="GIH34" s="21"/>
      <c r="GII34" s="21"/>
      <c r="GIJ34" s="21"/>
      <c r="GIK34" s="21"/>
      <c r="GIL34" s="21"/>
      <c r="GIM34" s="21"/>
      <c r="GIN34" s="21"/>
      <c r="GIO34" s="21"/>
      <c r="GIP34" s="21"/>
      <c r="GIQ34" s="21"/>
      <c r="GIR34" s="21"/>
      <c r="GIS34" s="21"/>
      <c r="GIT34" s="21"/>
      <c r="GIU34" s="21"/>
      <c r="GIV34" s="21"/>
      <c r="GIW34" s="21"/>
      <c r="GIX34" s="21"/>
      <c r="GIY34" s="21"/>
      <c r="GIZ34" s="21"/>
      <c r="GJA34" s="21"/>
      <c r="GJB34" s="21"/>
      <c r="GJC34" s="21"/>
      <c r="GJD34" s="21"/>
      <c r="GJE34" s="21"/>
      <c r="GJF34" s="21"/>
      <c r="GJG34" s="21"/>
      <c r="GJH34" s="21"/>
      <c r="GJI34" s="21"/>
      <c r="GJJ34" s="21"/>
      <c r="GJK34" s="21"/>
      <c r="GJL34" s="21"/>
      <c r="GJM34" s="21"/>
      <c r="GJN34" s="21"/>
      <c r="GJO34" s="21"/>
      <c r="GJP34" s="21"/>
      <c r="GJQ34" s="21"/>
      <c r="GJR34" s="21"/>
      <c r="GJS34" s="21"/>
      <c r="GJT34" s="21"/>
      <c r="GJU34" s="21"/>
      <c r="GJV34" s="21"/>
      <c r="GJW34" s="21"/>
      <c r="GJX34" s="21"/>
      <c r="GJY34" s="21"/>
      <c r="GJZ34" s="21"/>
      <c r="GKA34" s="21"/>
      <c r="GKB34" s="21"/>
      <c r="GKC34" s="21"/>
      <c r="GKD34" s="21"/>
      <c r="GKE34" s="21"/>
      <c r="GKF34" s="21"/>
      <c r="GKG34" s="21"/>
      <c r="GKH34" s="21"/>
      <c r="GKI34" s="21"/>
      <c r="GKJ34" s="21"/>
      <c r="GKK34" s="21"/>
      <c r="GKL34" s="21"/>
      <c r="GKM34" s="21"/>
      <c r="GKN34" s="21"/>
      <c r="GKO34" s="21"/>
      <c r="GKP34" s="21"/>
      <c r="GKQ34" s="21"/>
      <c r="GKR34" s="21"/>
      <c r="GKS34" s="21"/>
      <c r="GKT34" s="21"/>
      <c r="GKU34" s="21"/>
      <c r="GKV34" s="21"/>
      <c r="GKW34" s="21"/>
      <c r="GKX34" s="21"/>
      <c r="GKY34" s="21"/>
      <c r="GKZ34" s="21"/>
      <c r="GLA34" s="21"/>
      <c r="GLB34" s="21"/>
      <c r="GLC34" s="21"/>
      <c r="GLD34" s="21"/>
      <c r="GLE34" s="21"/>
      <c r="GLF34" s="21"/>
      <c r="GLG34" s="21"/>
      <c r="GLH34" s="21"/>
      <c r="GLI34" s="21"/>
      <c r="GLJ34" s="21"/>
      <c r="GLK34" s="21"/>
      <c r="GLL34" s="21"/>
      <c r="GLM34" s="21"/>
      <c r="GLN34" s="21"/>
      <c r="GLO34" s="21"/>
      <c r="GLP34" s="21"/>
      <c r="GLQ34" s="21"/>
      <c r="GLR34" s="21"/>
      <c r="GLS34" s="21"/>
      <c r="GLT34" s="21"/>
      <c r="GLU34" s="21"/>
      <c r="GLV34" s="21"/>
      <c r="GLW34" s="21"/>
      <c r="GLX34" s="21"/>
      <c r="GLY34" s="21"/>
      <c r="GLZ34" s="21"/>
      <c r="GMA34" s="21"/>
      <c r="GMB34" s="21"/>
      <c r="GMC34" s="21"/>
      <c r="GMD34" s="21"/>
      <c r="GME34" s="21"/>
      <c r="GMF34" s="21"/>
      <c r="GMG34" s="21"/>
      <c r="GMH34" s="21"/>
      <c r="GMI34" s="21"/>
      <c r="GMJ34" s="21"/>
      <c r="GMK34" s="21"/>
      <c r="GML34" s="21"/>
      <c r="GMM34" s="21"/>
      <c r="GMN34" s="21"/>
      <c r="GMO34" s="21"/>
      <c r="GMP34" s="21"/>
      <c r="GMQ34" s="21"/>
      <c r="GMR34" s="21"/>
      <c r="GMS34" s="21"/>
      <c r="GMT34" s="21"/>
      <c r="GMU34" s="21"/>
      <c r="GMV34" s="21"/>
      <c r="GMW34" s="21"/>
      <c r="GMX34" s="21"/>
      <c r="GMY34" s="21"/>
      <c r="GMZ34" s="21"/>
      <c r="GNA34" s="21"/>
      <c r="GNB34" s="21"/>
      <c r="GNC34" s="21"/>
      <c r="GND34" s="21"/>
      <c r="GNE34" s="21"/>
      <c r="GNF34" s="21"/>
      <c r="GNG34" s="21"/>
      <c r="GNH34" s="21"/>
      <c r="GNI34" s="21"/>
      <c r="GNJ34" s="21"/>
      <c r="GNK34" s="21"/>
      <c r="GNL34" s="21"/>
      <c r="GNM34" s="21"/>
      <c r="GNN34" s="21"/>
      <c r="GNO34" s="21"/>
      <c r="GNP34" s="21"/>
      <c r="GNQ34" s="21"/>
      <c r="GNR34" s="21"/>
      <c r="GNS34" s="21"/>
      <c r="GNT34" s="21"/>
      <c r="GNU34" s="21"/>
      <c r="GNV34" s="21"/>
      <c r="GNW34" s="21"/>
      <c r="GNX34" s="21"/>
      <c r="GNY34" s="21"/>
      <c r="GNZ34" s="21"/>
      <c r="GOA34" s="21"/>
      <c r="GOB34" s="21"/>
      <c r="GOC34" s="21"/>
      <c r="GOD34" s="21"/>
      <c r="GOE34" s="21"/>
      <c r="GOF34" s="21"/>
      <c r="GOG34" s="21"/>
      <c r="GOH34" s="21"/>
      <c r="GOI34" s="21"/>
      <c r="GOJ34" s="21"/>
      <c r="GOK34" s="21"/>
      <c r="GOL34" s="21"/>
      <c r="GOM34" s="21"/>
      <c r="GON34" s="21"/>
      <c r="GOO34" s="21"/>
      <c r="GOP34" s="21"/>
      <c r="GOQ34" s="21"/>
      <c r="GOR34" s="21"/>
      <c r="GOS34" s="21"/>
      <c r="GOT34" s="21"/>
      <c r="GOU34" s="21"/>
      <c r="GOV34" s="21"/>
      <c r="GOW34" s="21"/>
      <c r="GOX34" s="21"/>
      <c r="GOY34" s="21"/>
      <c r="GOZ34" s="21"/>
      <c r="GPA34" s="21"/>
      <c r="GPB34" s="21"/>
      <c r="GPC34" s="21"/>
      <c r="GPD34" s="21"/>
      <c r="GPE34" s="21"/>
      <c r="GPF34" s="21"/>
      <c r="GPG34" s="21"/>
      <c r="GPH34" s="21"/>
      <c r="GPI34" s="21"/>
      <c r="GPJ34" s="21"/>
      <c r="GPK34" s="21"/>
      <c r="GPL34" s="21"/>
      <c r="GPM34" s="21"/>
      <c r="GPN34" s="21"/>
      <c r="GPO34" s="21"/>
      <c r="GPP34" s="21"/>
      <c r="GPQ34" s="21"/>
      <c r="GPR34" s="21"/>
      <c r="GPS34" s="21"/>
      <c r="GPT34" s="21"/>
      <c r="GPU34" s="21"/>
      <c r="GPV34" s="21"/>
      <c r="GPW34" s="21"/>
      <c r="GPX34" s="21"/>
      <c r="GPY34" s="21"/>
      <c r="GPZ34" s="21"/>
      <c r="GQA34" s="21"/>
      <c r="GQB34" s="21"/>
      <c r="GQC34" s="21"/>
      <c r="GQD34" s="21"/>
      <c r="GQE34" s="21"/>
      <c r="GQF34" s="21"/>
      <c r="GQG34" s="21"/>
      <c r="GQH34" s="21"/>
      <c r="GQI34" s="21"/>
      <c r="GQJ34" s="21"/>
      <c r="GQK34" s="21"/>
      <c r="GQL34" s="21"/>
      <c r="GQM34" s="21"/>
      <c r="GQN34" s="21"/>
      <c r="GQO34" s="21"/>
      <c r="GQP34" s="21"/>
      <c r="GQQ34" s="21"/>
      <c r="GQR34" s="21"/>
      <c r="GQS34" s="21"/>
      <c r="GQT34" s="21"/>
      <c r="GQU34" s="21"/>
      <c r="GQV34" s="21"/>
      <c r="GQW34" s="21"/>
      <c r="GQX34" s="21"/>
      <c r="GQY34" s="21"/>
      <c r="GQZ34" s="21"/>
      <c r="GRA34" s="21"/>
      <c r="GRB34" s="21"/>
      <c r="GRC34" s="21"/>
      <c r="GRD34" s="21"/>
      <c r="GRE34" s="21"/>
      <c r="GRF34" s="21"/>
      <c r="GRG34" s="21"/>
      <c r="GRH34" s="21"/>
      <c r="GRI34" s="21"/>
      <c r="GRJ34" s="21"/>
      <c r="GRK34" s="21"/>
      <c r="GRL34" s="21"/>
      <c r="GRM34" s="21"/>
      <c r="GRN34" s="21"/>
      <c r="GRO34" s="21"/>
      <c r="GRP34" s="21"/>
      <c r="GRQ34" s="21"/>
      <c r="GRR34" s="21"/>
      <c r="GRS34" s="21"/>
      <c r="GRT34" s="21"/>
      <c r="GRU34" s="21"/>
      <c r="GRV34" s="21"/>
      <c r="GRW34" s="21"/>
      <c r="GRX34" s="21"/>
      <c r="GRY34" s="21"/>
      <c r="GRZ34" s="21"/>
      <c r="GSA34" s="21"/>
      <c r="GSB34" s="21"/>
      <c r="GSC34" s="21"/>
      <c r="GSD34" s="21"/>
      <c r="GSE34" s="21"/>
      <c r="GSF34" s="21"/>
      <c r="GSG34" s="21"/>
      <c r="GSH34" s="21"/>
      <c r="GSI34" s="21"/>
      <c r="GSJ34" s="21"/>
      <c r="GSK34" s="21"/>
      <c r="GSL34" s="21"/>
      <c r="GSM34" s="21"/>
      <c r="GSN34" s="21"/>
      <c r="GSO34" s="21"/>
      <c r="GSP34" s="21"/>
      <c r="GSQ34" s="21"/>
      <c r="GSR34" s="21"/>
      <c r="GSS34" s="21"/>
      <c r="GST34" s="21"/>
      <c r="GSU34" s="21"/>
      <c r="GSV34" s="21"/>
      <c r="GSW34" s="21"/>
      <c r="GSX34" s="21"/>
      <c r="GSY34" s="21"/>
      <c r="GSZ34" s="21"/>
      <c r="GTA34" s="21"/>
      <c r="GTB34" s="21"/>
      <c r="GTC34" s="21"/>
      <c r="GTD34" s="21"/>
      <c r="GTE34" s="21"/>
      <c r="GTF34" s="21"/>
      <c r="GTG34" s="21"/>
      <c r="GTH34" s="21"/>
      <c r="GTI34" s="21"/>
      <c r="GTJ34" s="21"/>
      <c r="GTK34" s="21"/>
      <c r="GTL34" s="21"/>
      <c r="GTM34" s="21"/>
      <c r="GTN34" s="21"/>
      <c r="GTO34" s="21"/>
      <c r="GTP34" s="21"/>
      <c r="GTQ34" s="21"/>
      <c r="GTR34" s="21"/>
      <c r="GTS34" s="21"/>
      <c r="GTT34" s="21"/>
      <c r="GTU34" s="21"/>
      <c r="GTV34" s="21"/>
      <c r="GTW34" s="21"/>
      <c r="GTX34" s="21"/>
      <c r="GTY34" s="21"/>
      <c r="GTZ34" s="21"/>
      <c r="GUA34" s="21"/>
      <c r="GUB34" s="21"/>
      <c r="GUC34" s="21"/>
      <c r="GUD34" s="21"/>
      <c r="GUE34" s="21"/>
      <c r="GUF34" s="21"/>
      <c r="GUG34" s="21"/>
      <c r="GUH34" s="21"/>
      <c r="GUI34" s="21"/>
      <c r="GUJ34" s="21"/>
      <c r="GUK34" s="21"/>
      <c r="GUL34" s="21"/>
      <c r="GUM34" s="21"/>
      <c r="GUN34" s="21"/>
      <c r="GUO34" s="21"/>
      <c r="GUP34" s="21"/>
      <c r="GUQ34" s="21"/>
      <c r="GUR34" s="21"/>
      <c r="GUS34" s="21"/>
      <c r="GUT34" s="21"/>
      <c r="GUU34" s="21"/>
      <c r="GUV34" s="21"/>
      <c r="GUW34" s="21"/>
      <c r="GUX34" s="21"/>
      <c r="GUY34" s="21"/>
      <c r="GUZ34" s="21"/>
      <c r="GVA34" s="21"/>
      <c r="GVB34" s="21"/>
      <c r="GVC34" s="21"/>
      <c r="GVD34" s="21"/>
      <c r="GVE34" s="21"/>
      <c r="GVF34" s="21"/>
      <c r="GVG34" s="21"/>
      <c r="GVH34" s="21"/>
      <c r="GVI34" s="21"/>
      <c r="GVJ34" s="21"/>
      <c r="GVK34" s="21"/>
      <c r="GVL34" s="21"/>
      <c r="GVM34" s="21"/>
      <c r="GVN34" s="21"/>
      <c r="GVO34" s="21"/>
      <c r="GVP34" s="21"/>
      <c r="GVQ34" s="21"/>
      <c r="GVR34" s="21"/>
      <c r="GVS34" s="21"/>
      <c r="GVT34" s="21"/>
      <c r="GVU34" s="21"/>
      <c r="GVV34" s="21"/>
      <c r="GVW34" s="21"/>
      <c r="GVX34" s="21"/>
      <c r="GVY34" s="21"/>
      <c r="GVZ34" s="21"/>
      <c r="GWA34" s="21"/>
      <c r="GWB34" s="21"/>
      <c r="GWC34" s="21"/>
      <c r="GWD34" s="21"/>
      <c r="GWE34" s="21"/>
      <c r="GWF34" s="21"/>
      <c r="GWG34" s="21"/>
      <c r="GWH34" s="21"/>
      <c r="GWI34" s="21"/>
      <c r="GWJ34" s="21"/>
      <c r="GWK34" s="21"/>
      <c r="GWL34" s="21"/>
      <c r="GWM34" s="21"/>
      <c r="GWN34" s="21"/>
      <c r="GWO34" s="21"/>
      <c r="GWP34" s="21"/>
      <c r="GWQ34" s="21"/>
      <c r="GWR34" s="21"/>
      <c r="GWS34" s="21"/>
      <c r="GWT34" s="21"/>
      <c r="GWU34" s="21"/>
      <c r="GWV34" s="21"/>
      <c r="GWW34" s="21"/>
      <c r="GWX34" s="21"/>
      <c r="GWY34" s="21"/>
      <c r="GWZ34" s="21"/>
      <c r="GXA34" s="21"/>
      <c r="GXB34" s="21"/>
      <c r="GXC34" s="21"/>
      <c r="GXD34" s="21"/>
      <c r="GXE34" s="21"/>
      <c r="GXF34" s="21"/>
      <c r="GXG34" s="21"/>
      <c r="GXH34" s="21"/>
      <c r="GXI34" s="21"/>
      <c r="GXJ34" s="21"/>
      <c r="GXK34" s="21"/>
      <c r="GXL34" s="21"/>
      <c r="GXM34" s="21"/>
      <c r="GXN34" s="21"/>
      <c r="GXO34" s="21"/>
      <c r="GXP34" s="21"/>
      <c r="GXQ34" s="21"/>
      <c r="GXR34" s="21"/>
      <c r="GXS34" s="21"/>
      <c r="GXT34" s="21"/>
      <c r="GXU34" s="21"/>
      <c r="GXV34" s="21"/>
      <c r="GXW34" s="21"/>
      <c r="GXX34" s="21"/>
      <c r="GXY34" s="21"/>
      <c r="GXZ34" s="21"/>
      <c r="GYA34" s="21"/>
      <c r="GYB34" s="21"/>
      <c r="GYC34" s="21"/>
      <c r="GYD34" s="21"/>
      <c r="GYE34" s="21"/>
      <c r="GYF34" s="21"/>
      <c r="GYG34" s="21"/>
      <c r="GYH34" s="21"/>
      <c r="GYI34" s="21"/>
      <c r="GYJ34" s="21"/>
      <c r="GYK34" s="21"/>
      <c r="GYL34" s="21"/>
      <c r="GYM34" s="21"/>
      <c r="GYN34" s="21"/>
      <c r="GYO34" s="21"/>
      <c r="GYP34" s="21"/>
      <c r="GYQ34" s="21"/>
      <c r="GYR34" s="21"/>
      <c r="GYS34" s="21"/>
      <c r="GYT34" s="21"/>
      <c r="GYU34" s="21"/>
      <c r="GYV34" s="21"/>
      <c r="GYW34" s="21"/>
      <c r="GYX34" s="21"/>
      <c r="GYY34" s="21"/>
      <c r="GYZ34" s="21"/>
      <c r="GZA34" s="21"/>
      <c r="GZB34" s="21"/>
      <c r="GZC34" s="21"/>
      <c r="GZD34" s="21"/>
      <c r="GZE34" s="21"/>
      <c r="GZF34" s="21"/>
      <c r="GZG34" s="21"/>
      <c r="GZH34" s="21"/>
      <c r="GZI34" s="21"/>
      <c r="GZJ34" s="21"/>
      <c r="GZK34" s="21"/>
      <c r="GZL34" s="21"/>
      <c r="GZM34" s="21"/>
      <c r="GZN34" s="21"/>
      <c r="GZO34" s="21"/>
      <c r="GZP34" s="21"/>
      <c r="GZQ34" s="21"/>
      <c r="GZR34" s="21"/>
      <c r="GZS34" s="21"/>
      <c r="GZT34" s="21"/>
      <c r="GZU34" s="21"/>
      <c r="GZV34" s="21"/>
      <c r="GZW34" s="21"/>
      <c r="GZX34" s="21"/>
      <c r="GZY34" s="21"/>
      <c r="GZZ34" s="21"/>
      <c r="HAA34" s="21"/>
      <c r="HAB34" s="21"/>
      <c r="HAC34" s="21"/>
      <c r="HAD34" s="21"/>
      <c r="HAE34" s="21"/>
      <c r="HAF34" s="21"/>
      <c r="HAG34" s="21"/>
      <c r="HAH34" s="21"/>
      <c r="HAI34" s="21"/>
      <c r="HAJ34" s="21"/>
      <c r="HAK34" s="21"/>
      <c r="HAL34" s="21"/>
      <c r="HAM34" s="21"/>
      <c r="HAN34" s="21"/>
      <c r="HAO34" s="21"/>
      <c r="HAP34" s="21"/>
      <c r="HAQ34" s="21"/>
      <c r="HAR34" s="21"/>
      <c r="HAS34" s="21"/>
      <c r="HAT34" s="21"/>
      <c r="HAU34" s="21"/>
      <c r="HAV34" s="21"/>
      <c r="HAW34" s="21"/>
      <c r="HAX34" s="21"/>
      <c r="HAY34" s="21"/>
      <c r="HAZ34" s="21"/>
      <c r="HBA34" s="21"/>
      <c r="HBB34" s="21"/>
      <c r="HBC34" s="21"/>
      <c r="HBD34" s="21"/>
      <c r="HBE34" s="21"/>
      <c r="HBF34" s="21"/>
      <c r="HBG34" s="21"/>
      <c r="HBH34" s="21"/>
      <c r="HBI34" s="21"/>
      <c r="HBJ34" s="21"/>
      <c r="HBK34" s="21"/>
      <c r="HBL34" s="21"/>
      <c r="HBM34" s="21"/>
      <c r="HBN34" s="21"/>
      <c r="HBO34" s="21"/>
      <c r="HBP34" s="21"/>
      <c r="HBQ34" s="21"/>
      <c r="HBR34" s="21"/>
      <c r="HBS34" s="21"/>
      <c r="HBT34" s="21"/>
      <c r="HBU34" s="21"/>
      <c r="HBV34" s="21"/>
      <c r="HBW34" s="21"/>
      <c r="HBX34" s="21"/>
      <c r="HBY34" s="21"/>
      <c r="HBZ34" s="21"/>
      <c r="HCA34" s="21"/>
      <c r="HCB34" s="21"/>
      <c r="HCC34" s="21"/>
      <c r="HCD34" s="21"/>
      <c r="HCE34" s="21"/>
      <c r="HCF34" s="21"/>
      <c r="HCG34" s="21"/>
      <c r="HCH34" s="21"/>
      <c r="HCI34" s="21"/>
      <c r="HCJ34" s="21"/>
      <c r="HCK34" s="21"/>
      <c r="HCL34" s="21"/>
      <c r="HCM34" s="21"/>
      <c r="HCN34" s="21"/>
      <c r="HCO34" s="21"/>
      <c r="HCP34" s="21"/>
      <c r="HCQ34" s="21"/>
      <c r="HCR34" s="21"/>
      <c r="HCS34" s="21"/>
      <c r="HCT34" s="21"/>
      <c r="HCU34" s="21"/>
      <c r="HCV34" s="21"/>
      <c r="HCW34" s="21"/>
      <c r="HCX34" s="21"/>
      <c r="HCY34" s="21"/>
      <c r="HCZ34" s="21"/>
      <c r="HDA34" s="21"/>
      <c r="HDB34" s="21"/>
      <c r="HDC34" s="21"/>
      <c r="HDD34" s="21"/>
      <c r="HDE34" s="21"/>
      <c r="HDF34" s="21"/>
      <c r="HDG34" s="21"/>
      <c r="HDH34" s="21"/>
      <c r="HDI34" s="21"/>
      <c r="HDJ34" s="21"/>
      <c r="HDK34" s="21"/>
      <c r="HDL34" s="21"/>
      <c r="HDM34" s="21"/>
      <c r="HDN34" s="21"/>
      <c r="HDO34" s="21"/>
      <c r="HDP34" s="21"/>
      <c r="HDQ34" s="21"/>
      <c r="HDR34" s="21"/>
      <c r="HDS34" s="21"/>
      <c r="HDT34" s="21"/>
      <c r="HDU34" s="21"/>
      <c r="HDV34" s="21"/>
      <c r="HDW34" s="21"/>
      <c r="HDX34" s="21"/>
      <c r="HDY34" s="21"/>
      <c r="HDZ34" s="21"/>
      <c r="HEA34" s="21"/>
      <c r="HEB34" s="21"/>
      <c r="HEC34" s="21"/>
      <c r="HED34" s="21"/>
      <c r="HEE34" s="21"/>
      <c r="HEF34" s="21"/>
      <c r="HEG34" s="21"/>
      <c r="HEH34" s="21"/>
      <c r="HEI34" s="21"/>
      <c r="HEJ34" s="21"/>
      <c r="HEK34" s="21"/>
      <c r="HEL34" s="21"/>
      <c r="HEM34" s="21"/>
      <c r="HEN34" s="21"/>
      <c r="HEO34" s="21"/>
      <c r="HEP34" s="21"/>
      <c r="HEQ34" s="21"/>
      <c r="HER34" s="21"/>
      <c r="HES34" s="21"/>
      <c r="HET34" s="21"/>
      <c r="HEU34" s="21"/>
      <c r="HEV34" s="21"/>
      <c r="HEW34" s="21"/>
      <c r="HEX34" s="21"/>
      <c r="HEY34" s="21"/>
      <c r="HEZ34" s="21"/>
      <c r="HFA34" s="21"/>
      <c r="HFB34" s="21"/>
      <c r="HFC34" s="21"/>
      <c r="HFD34" s="21"/>
      <c r="HFE34" s="21"/>
      <c r="HFF34" s="21"/>
      <c r="HFG34" s="21"/>
      <c r="HFH34" s="21"/>
      <c r="HFI34" s="21"/>
      <c r="HFJ34" s="21"/>
      <c r="HFK34" s="21"/>
      <c r="HFL34" s="21"/>
      <c r="HFM34" s="21"/>
      <c r="HFN34" s="21"/>
      <c r="HFO34" s="21"/>
      <c r="HFP34" s="21"/>
      <c r="HFQ34" s="21"/>
      <c r="HFR34" s="21"/>
      <c r="HFS34" s="21"/>
      <c r="HFT34" s="21"/>
      <c r="HFU34" s="21"/>
      <c r="HFV34" s="21"/>
      <c r="HFW34" s="21"/>
      <c r="HFX34" s="21"/>
      <c r="HFY34" s="21"/>
      <c r="HFZ34" s="21"/>
      <c r="HGA34" s="21"/>
      <c r="HGB34" s="21"/>
      <c r="HGC34" s="21"/>
      <c r="HGD34" s="21"/>
      <c r="HGE34" s="21"/>
      <c r="HGF34" s="21"/>
      <c r="HGG34" s="21"/>
      <c r="HGH34" s="21"/>
      <c r="HGI34" s="21"/>
      <c r="HGJ34" s="21"/>
      <c r="HGK34" s="21"/>
      <c r="HGL34" s="21"/>
      <c r="HGM34" s="21"/>
      <c r="HGN34" s="21"/>
      <c r="HGO34" s="21"/>
      <c r="HGP34" s="21"/>
      <c r="HGQ34" s="21"/>
      <c r="HGR34" s="21"/>
      <c r="HGS34" s="21"/>
      <c r="HGT34" s="21"/>
      <c r="HGU34" s="21"/>
      <c r="HGV34" s="21"/>
      <c r="HGW34" s="21"/>
      <c r="HGX34" s="21"/>
      <c r="HGY34" s="21"/>
      <c r="HGZ34" s="21"/>
      <c r="HHA34" s="21"/>
      <c r="HHB34" s="21"/>
      <c r="HHC34" s="21"/>
      <c r="HHD34" s="21"/>
      <c r="HHE34" s="21"/>
      <c r="HHF34" s="21"/>
      <c r="HHG34" s="21"/>
      <c r="HHH34" s="21"/>
      <c r="HHI34" s="21"/>
      <c r="HHJ34" s="21"/>
      <c r="HHK34" s="21"/>
      <c r="HHL34" s="21"/>
      <c r="HHM34" s="21"/>
      <c r="HHN34" s="21"/>
      <c r="HHO34" s="21"/>
      <c r="HHP34" s="21"/>
      <c r="HHQ34" s="21"/>
      <c r="HHR34" s="21"/>
      <c r="HHS34" s="21"/>
      <c r="HHT34" s="21"/>
      <c r="HHU34" s="21"/>
      <c r="HHV34" s="21"/>
      <c r="HHW34" s="21"/>
      <c r="HHX34" s="21"/>
      <c r="HHY34" s="21"/>
      <c r="HHZ34" s="21"/>
      <c r="HIA34" s="21"/>
      <c r="HIB34" s="21"/>
      <c r="HIC34" s="21"/>
      <c r="HID34" s="21"/>
      <c r="HIE34" s="21"/>
      <c r="HIF34" s="21"/>
      <c r="HIG34" s="21"/>
      <c r="HIH34" s="21"/>
      <c r="HII34" s="21"/>
      <c r="HIJ34" s="21"/>
      <c r="HIK34" s="21"/>
      <c r="HIL34" s="21"/>
      <c r="HIM34" s="21"/>
      <c r="HIN34" s="21"/>
      <c r="HIO34" s="21"/>
      <c r="HIP34" s="21"/>
      <c r="HIQ34" s="21"/>
      <c r="HIR34" s="21"/>
      <c r="HIS34" s="21"/>
      <c r="HIT34" s="21"/>
      <c r="HIU34" s="21"/>
      <c r="HIV34" s="21"/>
      <c r="HIW34" s="21"/>
      <c r="HIX34" s="21"/>
      <c r="HIY34" s="21"/>
      <c r="HIZ34" s="21"/>
      <c r="HJA34" s="21"/>
      <c r="HJB34" s="21"/>
      <c r="HJC34" s="21"/>
      <c r="HJD34" s="21"/>
      <c r="HJE34" s="21"/>
      <c r="HJF34" s="21"/>
      <c r="HJG34" s="21"/>
      <c r="HJH34" s="21"/>
      <c r="HJI34" s="21"/>
      <c r="HJJ34" s="21"/>
      <c r="HJK34" s="21"/>
      <c r="HJL34" s="21"/>
      <c r="HJM34" s="21"/>
      <c r="HJN34" s="21"/>
      <c r="HJO34" s="21"/>
      <c r="HJP34" s="21"/>
      <c r="HJQ34" s="21"/>
      <c r="HJR34" s="21"/>
      <c r="HJS34" s="21"/>
      <c r="HJT34" s="21"/>
      <c r="HJU34" s="21"/>
      <c r="HJV34" s="21"/>
      <c r="HJW34" s="21"/>
      <c r="HJX34" s="21"/>
      <c r="HJY34" s="21"/>
      <c r="HJZ34" s="21"/>
      <c r="HKA34" s="21"/>
      <c r="HKB34" s="21"/>
      <c r="HKC34" s="21"/>
      <c r="HKD34" s="21"/>
      <c r="HKE34" s="21"/>
      <c r="HKF34" s="21"/>
      <c r="HKG34" s="21"/>
      <c r="HKH34" s="21"/>
      <c r="HKI34" s="21"/>
      <c r="HKJ34" s="21"/>
      <c r="HKK34" s="21"/>
      <c r="HKL34" s="21"/>
      <c r="HKM34" s="21"/>
      <c r="HKN34" s="21"/>
      <c r="HKO34" s="21"/>
      <c r="HKP34" s="21"/>
      <c r="HKQ34" s="21"/>
      <c r="HKR34" s="21"/>
      <c r="HKS34" s="21"/>
      <c r="HKT34" s="21"/>
      <c r="HKU34" s="21"/>
      <c r="HKV34" s="21"/>
      <c r="HKW34" s="21"/>
      <c r="HKX34" s="21"/>
      <c r="HKY34" s="21"/>
      <c r="HKZ34" s="21"/>
      <c r="HLA34" s="21"/>
      <c r="HLB34" s="21"/>
      <c r="HLC34" s="21"/>
      <c r="HLD34" s="21"/>
      <c r="HLE34" s="21"/>
      <c r="HLF34" s="21"/>
      <c r="HLG34" s="21"/>
      <c r="HLH34" s="21"/>
      <c r="HLI34" s="21"/>
      <c r="HLJ34" s="21"/>
      <c r="HLK34" s="21"/>
      <c r="HLL34" s="21"/>
      <c r="HLM34" s="21"/>
      <c r="HLN34" s="21"/>
      <c r="HLO34" s="21"/>
      <c r="HLP34" s="21"/>
      <c r="HLQ34" s="21"/>
      <c r="HLR34" s="21"/>
      <c r="HLS34" s="21"/>
      <c r="HLT34" s="21"/>
      <c r="HLU34" s="21"/>
      <c r="HLV34" s="21"/>
      <c r="HLW34" s="21"/>
      <c r="HLX34" s="21"/>
      <c r="HLY34" s="21"/>
      <c r="HLZ34" s="21"/>
      <c r="HMA34" s="21"/>
      <c r="HMB34" s="21"/>
      <c r="HMC34" s="21"/>
      <c r="HMD34" s="21"/>
      <c r="HME34" s="21"/>
      <c r="HMF34" s="21"/>
      <c r="HMG34" s="21"/>
      <c r="HMH34" s="21"/>
      <c r="HMI34" s="21"/>
      <c r="HMJ34" s="21"/>
      <c r="HMK34" s="21"/>
      <c r="HML34" s="21"/>
      <c r="HMM34" s="21"/>
      <c r="HMN34" s="21"/>
      <c r="HMO34" s="21"/>
      <c r="HMP34" s="21"/>
      <c r="HMQ34" s="21"/>
      <c r="HMR34" s="21"/>
      <c r="HMS34" s="21"/>
      <c r="HMT34" s="21"/>
      <c r="HMU34" s="21"/>
      <c r="HMV34" s="21"/>
      <c r="HMW34" s="21"/>
      <c r="HMX34" s="21"/>
      <c r="HMY34" s="21"/>
      <c r="HMZ34" s="21"/>
      <c r="HNA34" s="21"/>
      <c r="HNB34" s="21"/>
      <c r="HNC34" s="21"/>
      <c r="HND34" s="21"/>
      <c r="HNE34" s="21"/>
      <c r="HNF34" s="21"/>
      <c r="HNG34" s="21"/>
      <c r="HNH34" s="21"/>
      <c r="HNI34" s="21"/>
      <c r="HNJ34" s="21"/>
      <c r="HNK34" s="21"/>
      <c r="HNL34" s="21"/>
      <c r="HNM34" s="21"/>
      <c r="HNN34" s="21"/>
      <c r="HNO34" s="21"/>
      <c r="HNP34" s="21"/>
      <c r="HNQ34" s="21"/>
      <c r="HNR34" s="21"/>
      <c r="HNS34" s="21"/>
      <c r="HNT34" s="21"/>
      <c r="HNU34" s="21"/>
      <c r="HNV34" s="21"/>
      <c r="HNW34" s="21"/>
      <c r="HNX34" s="21"/>
      <c r="HNY34" s="21"/>
      <c r="HNZ34" s="21"/>
      <c r="HOA34" s="21"/>
      <c r="HOB34" s="21"/>
      <c r="HOC34" s="21"/>
      <c r="HOD34" s="21"/>
      <c r="HOE34" s="21"/>
      <c r="HOF34" s="21"/>
      <c r="HOG34" s="21"/>
      <c r="HOH34" s="21"/>
      <c r="HOI34" s="21"/>
      <c r="HOJ34" s="21"/>
      <c r="HOK34" s="21"/>
      <c r="HOL34" s="21"/>
      <c r="HOM34" s="21"/>
      <c r="HON34" s="21"/>
      <c r="HOO34" s="21"/>
      <c r="HOP34" s="21"/>
      <c r="HOQ34" s="21"/>
      <c r="HOR34" s="21"/>
      <c r="HOS34" s="21"/>
      <c r="HOT34" s="21"/>
      <c r="HOU34" s="21"/>
      <c r="HOV34" s="21"/>
      <c r="HOW34" s="21"/>
      <c r="HOX34" s="21"/>
      <c r="HOY34" s="21"/>
      <c r="HOZ34" s="21"/>
      <c r="HPA34" s="21"/>
      <c r="HPB34" s="21"/>
      <c r="HPC34" s="21"/>
      <c r="HPD34" s="21"/>
      <c r="HPE34" s="21"/>
      <c r="HPF34" s="21"/>
      <c r="HPG34" s="21"/>
      <c r="HPH34" s="21"/>
      <c r="HPI34" s="21"/>
      <c r="HPJ34" s="21"/>
      <c r="HPK34" s="21"/>
      <c r="HPL34" s="21"/>
      <c r="HPM34" s="21"/>
      <c r="HPN34" s="21"/>
      <c r="HPO34" s="21"/>
      <c r="HPP34" s="21"/>
      <c r="HPQ34" s="21"/>
      <c r="HPR34" s="21"/>
      <c r="HPS34" s="21"/>
      <c r="HPT34" s="21"/>
      <c r="HPU34" s="21"/>
      <c r="HPV34" s="21"/>
      <c r="HPW34" s="21"/>
      <c r="HPX34" s="21"/>
      <c r="HPY34" s="21"/>
      <c r="HPZ34" s="21"/>
      <c r="HQA34" s="21"/>
      <c r="HQB34" s="21"/>
      <c r="HQC34" s="21"/>
      <c r="HQD34" s="21"/>
      <c r="HQE34" s="21"/>
      <c r="HQF34" s="21"/>
      <c r="HQG34" s="21"/>
      <c r="HQH34" s="21"/>
      <c r="HQI34" s="21"/>
      <c r="HQJ34" s="21"/>
      <c r="HQK34" s="21"/>
      <c r="HQL34" s="21"/>
      <c r="HQM34" s="21"/>
      <c r="HQN34" s="21"/>
      <c r="HQO34" s="21"/>
      <c r="HQP34" s="21"/>
      <c r="HQQ34" s="21"/>
      <c r="HQR34" s="21"/>
      <c r="HQS34" s="21"/>
      <c r="HQT34" s="21"/>
      <c r="HQU34" s="21"/>
      <c r="HQV34" s="21"/>
      <c r="HQW34" s="21"/>
      <c r="HQX34" s="21"/>
      <c r="HQY34" s="21"/>
      <c r="HQZ34" s="21"/>
      <c r="HRA34" s="21"/>
      <c r="HRB34" s="21"/>
      <c r="HRC34" s="21"/>
      <c r="HRD34" s="21"/>
      <c r="HRE34" s="21"/>
      <c r="HRF34" s="21"/>
      <c r="HRG34" s="21"/>
      <c r="HRH34" s="21"/>
      <c r="HRI34" s="21"/>
      <c r="HRJ34" s="21"/>
      <c r="HRK34" s="21"/>
      <c r="HRL34" s="21"/>
      <c r="HRM34" s="21"/>
      <c r="HRN34" s="21"/>
      <c r="HRO34" s="21"/>
      <c r="HRP34" s="21"/>
      <c r="HRQ34" s="21"/>
      <c r="HRR34" s="21"/>
      <c r="HRS34" s="21"/>
      <c r="HRT34" s="21"/>
      <c r="HRU34" s="21"/>
      <c r="HRV34" s="21"/>
      <c r="HRW34" s="21"/>
      <c r="HRX34" s="21"/>
      <c r="HRY34" s="21"/>
      <c r="HRZ34" s="21"/>
      <c r="HSA34" s="21"/>
      <c r="HSB34" s="21"/>
      <c r="HSC34" s="21"/>
      <c r="HSD34" s="21"/>
      <c r="HSE34" s="21"/>
      <c r="HSF34" s="21"/>
      <c r="HSG34" s="21"/>
      <c r="HSH34" s="21"/>
      <c r="HSI34" s="21"/>
      <c r="HSJ34" s="21"/>
      <c r="HSK34" s="21"/>
      <c r="HSL34" s="21"/>
      <c r="HSM34" s="21"/>
      <c r="HSN34" s="21"/>
      <c r="HSO34" s="21"/>
      <c r="HSP34" s="21"/>
      <c r="HSQ34" s="21"/>
      <c r="HSR34" s="21"/>
      <c r="HSS34" s="21"/>
      <c r="HST34" s="21"/>
      <c r="HSU34" s="21"/>
      <c r="HSV34" s="21"/>
      <c r="HSW34" s="21"/>
      <c r="HSX34" s="21"/>
      <c r="HSY34" s="21"/>
      <c r="HSZ34" s="21"/>
      <c r="HTA34" s="21"/>
      <c r="HTB34" s="21"/>
      <c r="HTC34" s="21"/>
      <c r="HTD34" s="21"/>
      <c r="HTE34" s="21"/>
      <c r="HTF34" s="21"/>
      <c r="HTG34" s="21"/>
      <c r="HTH34" s="21"/>
      <c r="HTI34" s="21"/>
      <c r="HTJ34" s="21"/>
      <c r="HTK34" s="21"/>
      <c r="HTL34" s="21"/>
      <c r="HTM34" s="21"/>
      <c r="HTN34" s="21"/>
      <c r="HTO34" s="21"/>
      <c r="HTP34" s="21"/>
      <c r="HTQ34" s="21"/>
      <c r="HTR34" s="21"/>
      <c r="HTS34" s="21"/>
      <c r="HTT34" s="21"/>
      <c r="HTU34" s="21"/>
      <c r="HTV34" s="21"/>
      <c r="HTW34" s="21"/>
      <c r="HTX34" s="21"/>
      <c r="HTY34" s="21"/>
      <c r="HTZ34" s="21"/>
      <c r="HUA34" s="21"/>
      <c r="HUB34" s="21"/>
      <c r="HUC34" s="21"/>
      <c r="HUD34" s="21"/>
      <c r="HUE34" s="21"/>
      <c r="HUF34" s="21"/>
      <c r="HUG34" s="21"/>
      <c r="HUH34" s="21"/>
      <c r="HUI34" s="21"/>
      <c r="HUJ34" s="21"/>
      <c r="HUK34" s="21"/>
      <c r="HUL34" s="21"/>
      <c r="HUM34" s="21"/>
      <c r="HUN34" s="21"/>
      <c r="HUO34" s="21"/>
      <c r="HUP34" s="21"/>
      <c r="HUQ34" s="21"/>
      <c r="HUR34" s="21"/>
      <c r="HUS34" s="21"/>
      <c r="HUT34" s="21"/>
      <c r="HUU34" s="21"/>
      <c r="HUV34" s="21"/>
      <c r="HUW34" s="21"/>
      <c r="HUX34" s="21"/>
      <c r="HUY34" s="21"/>
      <c r="HUZ34" s="21"/>
      <c r="HVA34" s="21"/>
      <c r="HVB34" s="21"/>
      <c r="HVC34" s="21"/>
      <c r="HVD34" s="21"/>
      <c r="HVE34" s="21"/>
      <c r="HVF34" s="21"/>
      <c r="HVG34" s="21"/>
      <c r="HVH34" s="21"/>
      <c r="HVI34" s="21"/>
      <c r="HVJ34" s="21"/>
      <c r="HVK34" s="21"/>
      <c r="HVL34" s="21"/>
      <c r="HVM34" s="21"/>
      <c r="HVN34" s="21"/>
      <c r="HVO34" s="21"/>
      <c r="HVP34" s="21"/>
      <c r="HVQ34" s="21"/>
      <c r="HVR34" s="21"/>
      <c r="HVS34" s="21"/>
      <c r="HVT34" s="21"/>
      <c r="HVU34" s="21"/>
      <c r="HVV34" s="21"/>
      <c r="HVW34" s="21"/>
      <c r="HVX34" s="21"/>
      <c r="HVY34" s="21"/>
      <c r="HVZ34" s="21"/>
      <c r="HWA34" s="21"/>
      <c r="HWB34" s="21"/>
      <c r="HWC34" s="21"/>
      <c r="HWD34" s="21"/>
      <c r="HWE34" s="21"/>
      <c r="HWF34" s="21"/>
      <c r="HWG34" s="21"/>
      <c r="HWH34" s="21"/>
      <c r="HWI34" s="21"/>
      <c r="HWJ34" s="21"/>
      <c r="HWK34" s="21"/>
      <c r="HWL34" s="21"/>
      <c r="HWM34" s="21"/>
      <c r="HWN34" s="21"/>
      <c r="HWO34" s="21"/>
      <c r="HWP34" s="21"/>
      <c r="HWQ34" s="21"/>
      <c r="HWR34" s="21"/>
      <c r="HWS34" s="21"/>
      <c r="HWT34" s="21"/>
      <c r="HWU34" s="21"/>
      <c r="HWV34" s="21"/>
      <c r="HWW34" s="21"/>
      <c r="HWX34" s="21"/>
      <c r="HWY34" s="21"/>
      <c r="HWZ34" s="21"/>
      <c r="HXA34" s="21"/>
      <c r="HXB34" s="21"/>
      <c r="HXC34" s="21"/>
      <c r="HXD34" s="21"/>
      <c r="HXE34" s="21"/>
      <c r="HXF34" s="21"/>
      <c r="HXG34" s="21"/>
      <c r="HXH34" s="21"/>
      <c r="HXI34" s="21"/>
      <c r="HXJ34" s="21"/>
      <c r="HXK34" s="21"/>
      <c r="HXL34" s="21"/>
      <c r="HXM34" s="21"/>
      <c r="HXN34" s="21"/>
      <c r="HXO34" s="21"/>
      <c r="HXP34" s="21"/>
      <c r="HXQ34" s="21"/>
      <c r="HXR34" s="21"/>
      <c r="HXS34" s="21"/>
      <c r="HXT34" s="21"/>
      <c r="HXU34" s="21"/>
      <c r="HXV34" s="21"/>
      <c r="HXW34" s="21"/>
      <c r="HXX34" s="21"/>
      <c r="HXY34" s="21"/>
      <c r="HXZ34" s="21"/>
      <c r="HYA34" s="21"/>
      <c r="HYB34" s="21"/>
      <c r="HYC34" s="21"/>
      <c r="HYD34" s="21"/>
      <c r="HYE34" s="21"/>
      <c r="HYF34" s="21"/>
      <c r="HYG34" s="21"/>
      <c r="HYH34" s="21"/>
      <c r="HYI34" s="21"/>
      <c r="HYJ34" s="21"/>
      <c r="HYK34" s="21"/>
      <c r="HYL34" s="21"/>
      <c r="HYM34" s="21"/>
      <c r="HYN34" s="21"/>
      <c r="HYO34" s="21"/>
      <c r="HYP34" s="21"/>
      <c r="HYQ34" s="21"/>
      <c r="HYR34" s="21"/>
      <c r="HYS34" s="21"/>
      <c r="HYT34" s="21"/>
      <c r="HYU34" s="21"/>
      <c r="HYV34" s="21"/>
      <c r="HYW34" s="21"/>
      <c r="HYX34" s="21"/>
      <c r="HYY34" s="21"/>
      <c r="HYZ34" s="21"/>
      <c r="HZA34" s="21"/>
      <c r="HZB34" s="21"/>
      <c r="HZC34" s="21"/>
      <c r="HZD34" s="21"/>
      <c r="HZE34" s="21"/>
      <c r="HZF34" s="21"/>
      <c r="HZG34" s="21"/>
      <c r="HZH34" s="21"/>
      <c r="HZI34" s="21"/>
      <c r="HZJ34" s="21"/>
      <c r="HZK34" s="21"/>
      <c r="HZL34" s="21"/>
      <c r="HZM34" s="21"/>
      <c r="HZN34" s="21"/>
      <c r="HZO34" s="21"/>
      <c r="HZP34" s="21"/>
      <c r="HZQ34" s="21"/>
      <c r="HZR34" s="21"/>
      <c r="HZS34" s="21"/>
      <c r="HZT34" s="21"/>
      <c r="HZU34" s="21"/>
      <c r="HZV34" s="21"/>
      <c r="HZW34" s="21"/>
      <c r="HZX34" s="21"/>
      <c r="HZY34" s="21"/>
      <c r="HZZ34" s="21"/>
      <c r="IAA34" s="21"/>
      <c r="IAB34" s="21"/>
      <c r="IAC34" s="21"/>
      <c r="IAD34" s="21"/>
      <c r="IAE34" s="21"/>
      <c r="IAF34" s="21"/>
      <c r="IAG34" s="21"/>
      <c r="IAH34" s="21"/>
      <c r="IAI34" s="21"/>
      <c r="IAJ34" s="21"/>
      <c r="IAK34" s="21"/>
      <c r="IAL34" s="21"/>
      <c r="IAM34" s="21"/>
      <c r="IAN34" s="21"/>
      <c r="IAO34" s="21"/>
      <c r="IAP34" s="21"/>
      <c r="IAQ34" s="21"/>
      <c r="IAR34" s="21"/>
      <c r="IAS34" s="21"/>
      <c r="IAT34" s="21"/>
      <c r="IAU34" s="21"/>
      <c r="IAV34" s="21"/>
      <c r="IAW34" s="21"/>
      <c r="IAX34" s="21"/>
      <c r="IAY34" s="21"/>
      <c r="IAZ34" s="21"/>
      <c r="IBA34" s="21"/>
      <c r="IBB34" s="21"/>
      <c r="IBC34" s="21"/>
      <c r="IBD34" s="21"/>
      <c r="IBE34" s="21"/>
      <c r="IBF34" s="21"/>
      <c r="IBG34" s="21"/>
      <c r="IBH34" s="21"/>
      <c r="IBI34" s="21"/>
      <c r="IBJ34" s="21"/>
      <c r="IBK34" s="21"/>
      <c r="IBL34" s="21"/>
      <c r="IBM34" s="21"/>
      <c r="IBN34" s="21"/>
      <c r="IBO34" s="21"/>
      <c r="IBP34" s="21"/>
      <c r="IBQ34" s="21"/>
      <c r="IBR34" s="21"/>
      <c r="IBS34" s="21"/>
      <c r="IBT34" s="21"/>
      <c r="IBU34" s="21"/>
      <c r="IBV34" s="21"/>
      <c r="IBW34" s="21"/>
      <c r="IBX34" s="21"/>
      <c r="IBY34" s="21"/>
      <c r="IBZ34" s="21"/>
      <c r="ICA34" s="21"/>
      <c r="ICB34" s="21"/>
      <c r="ICC34" s="21"/>
      <c r="ICD34" s="21"/>
      <c r="ICE34" s="21"/>
      <c r="ICF34" s="21"/>
      <c r="ICG34" s="21"/>
      <c r="ICH34" s="21"/>
      <c r="ICI34" s="21"/>
      <c r="ICJ34" s="21"/>
      <c r="ICK34" s="21"/>
      <c r="ICL34" s="21"/>
      <c r="ICM34" s="21"/>
      <c r="ICN34" s="21"/>
      <c r="ICO34" s="21"/>
      <c r="ICP34" s="21"/>
      <c r="ICQ34" s="21"/>
      <c r="ICR34" s="21"/>
      <c r="ICS34" s="21"/>
      <c r="ICT34" s="21"/>
      <c r="ICU34" s="21"/>
      <c r="ICV34" s="21"/>
      <c r="ICW34" s="21"/>
      <c r="ICX34" s="21"/>
      <c r="ICY34" s="21"/>
      <c r="ICZ34" s="21"/>
      <c r="IDA34" s="21"/>
      <c r="IDB34" s="21"/>
      <c r="IDC34" s="21"/>
      <c r="IDD34" s="21"/>
      <c r="IDE34" s="21"/>
      <c r="IDF34" s="21"/>
      <c r="IDG34" s="21"/>
      <c r="IDH34" s="21"/>
      <c r="IDI34" s="21"/>
      <c r="IDJ34" s="21"/>
      <c r="IDK34" s="21"/>
      <c r="IDL34" s="21"/>
      <c r="IDM34" s="21"/>
      <c r="IDN34" s="21"/>
      <c r="IDO34" s="21"/>
      <c r="IDP34" s="21"/>
      <c r="IDQ34" s="21"/>
      <c r="IDR34" s="21"/>
      <c r="IDS34" s="21"/>
      <c r="IDT34" s="21"/>
      <c r="IDU34" s="21"/>
      <c r="IDV34" s="21"/>
      <c r="IDW34" s="21"/>
      <c r="IDX34" s="21"/>
      <c r="IDY34" s="21"/>
      <c r="IDZ34" s="21"/>
      <c r="IEA34" s="21"/>
      <c r="IEB34" s="21"/>
      <c r="IEC34" s="21"/>
      <c r="IED34" s="21"/>
      <c r="IEE34" s="21"/>
      <c r="IEF34" s="21"/>
      <c r="IEG34" s="21"/>
      <c r="IEH34" s="21"/>
      <c r="IEI34" s="21"/>
      <c r="IEJ34" s="21"/>
      <c r="IEK34" s="21"/>
      <c r="IEL34" s="21"/>
      <c r="IEM34" s="21"/>
      <c r="IEN34" s="21"/>
      <c r="IEO34" s="21"/>
      <c r="IEP34" s="21"/>
      <c r="IEQ34" s="21"/>
      <c r="IER34" s="21"/>
      <c r="IES34" s="21"/>
      <c r="IET34" s="21"/>
      <c r="IEU34" s="21"/>
      <c r="IEV34" s="21"/>
      <c r="IEW34" s="21"/>
      <c r="IEX34" s="21"/>
      <c r="IEY34" s="21"/>
      <c r="IEZ34" s="21"/>
      <c r="IFA34" s="21"/>
      <c r="IFB34" s="21"/>
      <c r="IFC34" s="21"/>
      <c r="IFD34" s="21"/>
      <c r="IFE34" s="21"/>
      <c r="IFF34" s="21"/>
      <c r="IFG34" s="21"/>
      <c r="IFH34" s="21"/>
      <c r="IFI34" s="21"/>
      <c r="IFJ34" s="21"/>
      <c r="IFK34" s="21"/>
      <c r="IFL34" s="21"/>
      <c r="IFM34" s="21"/>
      <c r="IFN34" s="21"/>
      <c r="IFO34" s="21"/>
      <c r="IFP34" s="21"/>
      <c r="IFQ34" s="21"/>
      <c r="IFR34" s="21"/>
      <c r="IFS34" s="21"/>
      <c r="IFT34" s="21"/>
      <c r="IFU34" s="21"/>
      <c r="IFV34" s="21"/>
      <c r="IFW34" s="21"/>
      <c r="IFX34" s="21"/>
      <c r="IFY34" s="21"/>
      <c r="IFZ34" s="21"/>
      <c r="IGA34" s="21"/>
      <c r="IGB34" s="21"/>
      <c r="IGC34" s="21"/>
      <c r="IGD34" s="21"/>
      <c r="IGE34" s="21"/>
      <c r="IGF34" s="21"/>
      <c r="IGG34" s="21"/>
      <c r="IGH34" s="21"/>
      <c r="IGI34" s="21"/>
      <c r="IGJ34" s="21"/>
      <c r="IGK34" s="21"/>
      <c r="IGL34" s="21"/>
      <c r="IGM34" s="21"/>
      <c r="IGN34" s="21"/>
      <c r="IGO34" s="21"/>
      <c r="IGP34" s="21"/>
      <c r="IGQ34" s="21"/>
      <c r="IGR34" s="21"/>
      <c r="IGS34" s="21"/>
      <c r="IGT34" s="21"/>
      <c r="IGU34" s="21"/>
      <c r="IGV34" s="21"/>
      <c r="IGW34" s="21"/>
      <c r="IGX34" s="21"/>
      <c r="IGY34" s="21"/>
      <c r="IGZ34" s="21"/>
      <c r="IHA34" s="21"/>
      <c r="IHB34" s="21"/>
      <c r="IHC34" s="21"/>
      <c r="IHD34" s="21"/>
      <c r="IHE34" s="21"/>
      <c r="IHF34" s="21"/>
      <c r="IHG34" s="21"/>
      <c r="IHH34" s="21"/>
      <c r="IHI34" s="21"/>
      <c r="IHJ34" s="21"/>
      <c r="IHK34" s="21"/>
      <c r="IHL34" s="21"/>
      <c r="IHM34" s="21"/>
      <c r="IHN34" s="21"/>
      <c r="IHO34" s="21"/>
      <c r="IHP34" s="21"/>
      <c r="IHQ34" s="21"/>
      <c r="IHR34" s="21"/>
      <c r="IHS34" s="21"/>
      <c r="IHT34" s="21"/>
      <c r="IHU34" s="21"/>
      <c r="IHV34" s="21"/>
      <c r="IHW34" s="21"/>
      <c r="IHX34" s="21"/>
      <c r="IHY34" s="21"/>
      <c r="IHZ34" s="21"/>
      <c r="IIA34" s="21"/>
      <c r="IIB34" s="21"/>
      <c r="IIC34" s="21"/>
      <c r="IID34" s="21"/>
      <c r="IIE34" s="21"/>
      <c r="IIF34" s="21"/>
      <c r="IIG34" s="21"/>
      <c r="IIH34" s="21"/>
      <c r="III34" s="21"/>
      <c r="IIJ34" s="21"/>
      <c r="IIK34" s="21"/>
      <c r="IIL34" s="21"/>
      <c r="IIM34" s="21"/>
      <c r="IIN34" s="21"/>
      <c r="IIO34" s="21"/>
      <c r="IIP34" s="21"/>
      <c r="IIQ34" s="21"/>
      <c r="IIR34" s="21"/>
      <c r="IIS34" s="21"/>
      <c r="IIT34" s="21"/>
      <c r="IIU34" s="21"/>
      <c r="IIV34" s="21"/>
      <c r="IIW34" s="21"/>
      <c r="IIX34" s="21"/>
      <c r="IIY34" s="21"/>
      <c r="IIZ34" s="21"/>
      <c r="IJA34" s="21"/>
      <c r="IJB34" s="21"/>
      <c r="IJC34" s="21"/>
      <c r="IJD34" s="21"/>
      <c r="IJE34" s="21"/>
      <c r="IJF34" s="21"/>
      <c r="IJG34" s="21"/>
      <c r="IJH34" s="21"/>
      <c r="IJI34" s="21"/>
      <c r="IJJ34" s="21"/>
      <c r="IJK34" s="21"/>
      <c r="IJL34" s="21"/>
      <c r="IJM34" s="21"/>
      <c r="IJN34" s="21"/>
      <c r="IJO34" s="21"/>
      <c r="IJP34" s="21"/>
      <c r="IJQ34" s="21"/>
      <c r="IJR34" s="21"/>
      <c r="IJS34" s="21"/>
      <c r="IJT34" s="21"/>
      <c r="IJU34" s="21"/>
      <c r="IJV34" s="21"/>
      <c r="IJW34" s="21"/>
      <c r="IJX34" s="21"/>
      <c r="IJY34" s="21"/>
      <c r="IJZ34" s="21"/>
      <c r="IKA34" s="21"/>
      <c r="IKB34" s="21"/>
      <c r="IKC34" s="21"/>
      <c r="IKD34" s="21"/>
      <c r="IKE34" s="21"/>
      <c r="IKF34" s="21"/>
      <c r="IKG34" s="21"/>
      <c r="IKH34" s="21"/>
      <c r="IKI34" s="21"/>
      <c r="IKJ34" s="21"/>
      <c r="IKK34" s="21"/>
      <c r="IKL34" s="21"/>
      <c r="IKM34" s="21"/>
      <c r="IKN34" s="21"/>
      <c r="IKO34" s="21"/>
      <c r="IKP34" s="21"/>
      <c r="IKQ34" s="21"/>
      <c r="IKR34" s="21"/>
      <c r="IKS34" s="21"/>
      <c r="IKT34" s="21"/>
      <c r="IKU34" s="21"/>
      <c r="IKV34" s="21"/>
      <c r="IKW34" s="21"/>
      <c r="IKX34" s="21"/>
      <c r="IKY34" s="21"/>
      <c r="IKZ34" s="21"/>
      <c r="ILA34" s="21"/>
      <c r="ILB34" s="21"/>
      <c r="ILC34" s="21"/>
      <c r="ILD34" s="21"/>
      <c r="ILE34" s="21"/>
      <c r="ILF34" s="21"/>
      <c r="ILG34" s="21"/>
      <c r="ILH34" s="21"/>
      <c r="ILI34" s="21"/>
      <c r="ILJ34" s="21"/>
      <c r="ILK34" s="21"/>
      <c r="ILL34" s="21"/>
      <c r="ILM34" s="21"/>
      <c r="ILN34" s="21"/>
      <c r="ILO34" s="21"/>
      <c r="ILP34" s="21"/>
      <c r="ILQ34" s="21"/>
      <c r="ILR34" s="21"/>
      <c r="ILS34" s="21"/>
      <c r="ILT34" s="21"/>
      <c r="ILU34" s="21"/>
      <c r="ILV34" s="21"/>
      <c r="ILW34" s="21"/>
      <c r="ILX34" s="21"/>
      <c r="ILY34" s="21"/>
      <c r="ILZ34" s="21"/>
      <c r="IMA34" s="21"/>
      <c r="IMB34" s="21"/>
      <c r="IMC34" s="21"/>
      <c r="IMD34" s="21"/>
      <c r="IME34" s="21"/>
      <c r="IMF34" s="21"/>
      <c r="IMG34" s="21"/>
      <c r="IMH34" s="21"/>
      <c r="IMI34" s="21"/>
      <c r="IMJ34" s="21"/>
      <c r="IMK34" s="21"/>
      <c r="IML34" s="21"/>
      <c r="IMM34" s="21"/>
      <c r="IMN34" s="21"/>
      <c r="IMO34" s="21"/>
      <c r="IMP34" s="21"/>
      <c r="IMQ34" s="21"/>
      <c r="IMR34" s="21"/>
      <c r="IMS34" s="21"/>
      <c r="IMT34" s="21"/>
      <c r="IMU34" s="21"/>
      <c r="IMV34" s="21"/>
      <c r="IMW34" s="21"/>
      <c r="IMX34" s="21"/>
      <c r="IMY34" s="21"/>
      <c r="IMZ34" s="21"/>
      <c r="INA34" s="21"/>
      <c r="INB34" s="21"/>
      <c r="INC34" s="21"/>
      <c r="IND34" s="21"/>
      <c r="INE34" s="21"/>
      <c r="INF34" s="21"/>
      <c r="ING34" s="21"/>
      <c r="INH34" s="21"/>
      <c r="INI34" s="21"/>
      <c r="INJ34" s="21"/>
      <c r="INK34" s="21"/>
      <c r="INL34" s="21"/>
      <c r="INM34" s="21"/>
      <c r="INN34" s="21"/>
      <c r="INO34" s="21"/>
      <c r="INP34" s="21"/>
      <c r="INQ34" s="21"/>
      <c r="INR34" s="21"/>
      <c r="INS34" s="21"/>
      <c r="INT34" s="21"/>
      <c r="INU34" s="21"/>
      <c r="INV34" s="21"/>
      <c r="INW34" s="21"/>
      <c r="INX34" s="21"/>
      <c r="INY34" s="21"/>
      <c r="INZ34" s="21"/>
      <c r="IOA34" s="21"/>
      <c r="IOB34" s="21"/>
      <c r="IOC34" s="21"/>
      <c r="IOD34" s="21"/>
      <c r="IOE34" s="21"/>
      <c r="IOF34" s="21"/>
      <c r="IOG34" s="21"/>
      <c r="IOH34" s="21"/>
      <c r="IOI34" s="21"/>
      <c r="IOJ34" s="21"/>
      <c r="IOK34" s="21"/>
      <c r="IOL34" s="21"/>
      <c r="IOM34" s="21"/>
      <c r="ION34" s="21"/>
      <c r="IOO34" s="21"/>
      <c r="IOP34" s="21"/>
      <c r="IOQ34" s="21"/>
      <c r="IOR34" s="21"/>
      <c r="IOS34" s="21"/>
      <c r="IOT34" s="21"/>
      <c r="IOU34" s="21"/>
      <c r="IOV34" s="21"/>
      <c r="IOW34" s="21"/>
      <c r="IOX34" s="21"/>
      <c r="IOY34" s="21"/>
      <c r="IOZ34" s="21"/>
      <c r="IPA34" s="21"/>
      <c r="IPB34" s="21"/>
      <c r="IPC34" s="21"/>
      <c r="IPD34" s="21"/>
      <c r="IPE34" s="21"/>
      <c r="IPF34" s="21"/>
      <c r="IPG34" s="21"/>
      <c r="IPH34" s="21"/>
      <c r="IPI34" s="21"/>
      <c r="IPJ34" s="21"/>
      <c r="IPK34" s="21"/>
      <c r="IPL34" s="21"/>
      <c r="IPM34" s="21"/>
      <c r="IPN34" s="21"/>
      <c r="IPO34" s="21"/>
      <c r="IPP34" s="21"/>
      <c r="IPQ34" s="21"/>
      <c r="IPR34" s="21"/>
      <c r="IPS34" s="21"/>
      <c r="IPT34" s="21"/>
      <c r="IPU34" s="21"/>
      <c r="IPV34" s="21"/>
      <c r="IPW34" s="21"/>
      <c r="IPX34" s="21"/>
      <c r="IPY34" s="21"/>
      <c r="IPZ34" s="21"/>
      <c r="IQA34" s="21"/>
      <c r="IQB34" s="21"/>
      <c r="IQC34" s="21"/>
      <c r="IQD34" s="21"/>
      <c r="IQE34" s="21"/>
      <c r="IQF34" s="21"/>
      <c r="IQG34" s="21"/>
      <c r="IQH34" s="21"/>
      <c r="IQI34" s="21"/>
      <c r="IQJ34" s="21"/>
      <c r="IQK34" s="21"/>
      <c r="IQL34" s="21"/>
      <c r="IQM34" s="21"/>
      <c r="IQN34" s="21"/>
      <c r="IQO34" s="21"/>
      <c r="IQP34" s="21"/>
      <c r="IQQ34" s="21"/>
      <c r="IQR34" s="21"/>
      <c r="IQS34" s="21"/>
      <c r="IQT34" s="21"/>
      <c r="IQU34" s="21"/>
      <c r="IQV34" s="21"/>
      <c r="IQW34" s="21"/>
      <c r="IQX34" s="21"/>
      <c r="IQY34" s="21"/>
      <c r="IQZ34" s="21"/>
      <c r="IRA34" s="21"/>
      <c r="IRB34" s="21"/>
      <c r="IRC34" s="21"/>
      <c r="IRD34" s="21"/>
      <c r="IRE34" s="21"/>
      <c r="IRF34" s="21"/>
      <c r="IRG34" s="21"/>
      <c r="IRH34" s="21"/>
      <c r="IRI34" s="21"/>
      <c r="IRJ34" s="21"/>
      <c r="IRK34" s="21"/>
      <c r="IRL34" s="21"/>
      <c r="IRM34" s="21"/>
      <c r="IRN34" s="21"/>
      <c r="IRO34" s="21"/>
      <c r="IRP34" s="21"/>
      <c r="IRQ34" s="21"/>
      <c r="IRR34" s="21"/>
      <c r="IRS34" s="21"/>
      <c r="IRT34" s="21"/>
      <c r="IRU34" s="21"/>
      <c r="IRV34" s="21"/>
      <c r="IRW34" s="21"/>
      <c r="IRX34" s="21"/>
      <c r="IRY34" s="21"/>
      <c r="IRZ34" s="21"/>
      <c r="ISA34" s="21"/>
      <c r="ISB34" s="21"/>
      <c r="ISC34" s="21"/>
      <c r="ISD34" s="21"/>
      <c r="ISE34" s="21"/>
      <c r="ISF34" s="21"/>
      <c r="ISG34" s="21"/>
      <c r="ISH34" s="21"/>
      <c r="ISI34" s="21"/>
      <c r="ISJ34" s="21"/>
      <c r="ISK34" s="21"/>
      <c r="ISL34" s="21"/>
      <c r="ISM34" s="21"/>
      <c r="ISN34" s="21"/>
      <c r="ISO34" s="21"/>
      <c r="ISP34" s="21"/>
      <c r="ISQ34" s="21"/>
      <c r="ISR34" s="21"/>
      <c r="ISS34" s="21"/>
      <c r="IST34" s="21"/>
      <c r="ISU34" s="21"/>
      <c r="ISV34" s="21"/>
      <c r="ISW34" s="21"/>
      <c r="ISX34" s="21"/>
      <c r="ISY34" s="21"/>
      <c r="ISZ34" s="21"/>
      <c r="ITA34" s="21"/>
      <c r="ITB34" s="21"/>
      <c r="ITC34" s="21"/>
      <c r="ITD34" s="21"/>
      <c r="ITE34" s="21"/>
      <c r="ITF34" s="21"/>
      <c r="ITG34" s="21"/>
      <c r="ITH34" s="21"/>
      <c r="ITI34" s="21"/>
      <c r="ITJ34" s="21"/>
      <c r="ITK34" s="21"/>
      <c r="ITL34" s="21"/>
      <c r="ITM34" s="21"/>
      <c r="ITN34" s="21"/>
      <c r="ITO34" s="21"/>
      <c r="ITP34" s="21"/>
      <c r="ITQ34" s="21"/>
      <c r="ITR34" s="21"/>
      <c r="ITS34" s="21"/>
      <c r="ITT34" s="21"/>
      <c r="ITU34" s="21"/>
      <c r="ITV34" s="21"/>
      <c r="ITW34" s="21"/>
      <c r="ITX34" s="21"/>
      <c r="ITY34" s="21"/>
      <c r="ITZ34" s="21"/>
      <c r="IUA34" s="21"/>
      <c r="IUB34" s="21"/>
      <c r="IUC34" s="21"/>
      <c r="IUD34" s="21"/>
      <c r="IUE34" s="21"/>
      <c r="IUF34" s="21"/>
      <c r="IUG34" s="21"/>
      <c r="IUH34" s="21"/>
      <c r="IUI34" s="21"/>
      <c r="IUJ34" s="21"/>
      <c r="IUK34" s="21"/>
      <c r="IUL34" s="21"/>
      <c r="IUM34" s="21"/>
      <c r="IUN34" s="21"/>
      <c r="IUO34" s="21"/>
      <c r="IUP34" s="21"/>
      <c r="IUQ34" s="21"/>
      <c r="IUR34" s="21"/>
      <c r="IUS34" s="21"/>
      <c r="IUT34" s="21"/>
      <c r="IUU34" s="21"/>
      <c r="IUV34" s="21"/>
      <c r="IUW34" s="21"/>
      <c r="IUX34" s="21"/>
      <c r="IUY34" s="21"/>
      <c r="IUZ34" s="21"/>
      <c r="IVA34" s="21"/>
      <c r="IVB34" s="21"/>
      <c r="IVC34" s="21"/>
      <c r="IVD34" s="21"/>
      <c r="IVE34" s="21"/>
      <c r="IVF34" s="21"/>
      <c r="IVG34" s="21"/>
      <c r="IVH34" s="21"/>
      <c r="IVI34" s="21"/>
      <c r="IVJ34" s="21"/>
      <c r="IVK34" s="21"/>
      <c r="IVL34" s="21"/>
      <c r="IVM34" s="21"/>
      <c r="IVN34" s="21"/>
      <c r="IVO34" s="21"/>
      <c r="IVP34" s="21"/>
      <c r="IVQ34" s="21"/>
      <c r="IVR34" s="21"/>
      <c r="IVS34" s="21"/>
      <c r="IVT34" s="21"/>
      <c r="IVU34" s="21"/>
      <c r="IVV34" s="21"/>
      <c r="IVW34" s="21"/>
      <c r="IVX34" s="21"/>
      <c r="IVY34" s="21"/>
      <c r="IVZ34" s="21"/>
      <c r="IWA34" s="21"/>
      <c r="IWB34" s="21"/>
      <c r="IWC34" s="21"/>
      <c r="IWD34" s="21"/>
      <c r="IWE34" s="21"/>
      <c r="IWF34" s="21"/>
      <c r="IWG34" s="21"/>
      <c r="IWH34" s="21"/>
      <c r="IWI34" s="21"/>
      <c r="IWJ34" s="21"/>
      <c r="IWK34" s="21"/>
      <c r="IWL34" s="21"/>
      <c r="IWM34" s="21"/>
      <c r="IWN34" s="21"/>
      <c r="IWO34" s="21"/>
      <c r="IWP34" s="21"/>
      <c r="IWQ34" s="21"/>
      <c r="IWR34" s="21"/>
      <c r="IWS34" s="21"/>
      <c r="IWT34" s="21"/>
      <c r="IWU34" s="21"/>
      <c r="IWV34" s="21"/>
      <c r="IWW34" s="21"/>
      <c r="IWX34" s="21"/>
      <c r="IWY34" s="21"/>
      <c r="IWZ34" s="21"/>
      <c r="IXA34" s="21"/>
      <c r="IXB34" s="21"/>
      <c r="IXC34" s="21"/>
      <c r="IXD34" s="21"/>
      <c r="IXE34" s="21"/>
      <c r="IXF34" s="21"/>
      <c r="IXG34" s="21"/>
      <c r="IXH34" s="21"/>
      <c r="IXI34" s="21"/>
      <c r="IXJ34" s="21"/>
      <c r="IXK34" s="21"/>
      <c r="IXL34" s="21"/>
      <c r="IXM34" s="21"/>
      <c r="IXN34" s="21"/>
      <c r="IXO34" s="21"/>
      <c r="IXP34" s="21"/>
      <c r="IXQ34" s="21"/>
      <c r="IXR34" s="21"/>
      <c r="IXS34" s="21"/>
      <c r="IXT34" s="21"/>
      <c r="IXU34" s="21"/>
      <c r="IXV34" s="21"/>
      <c r="IXW34" s="21"/>
      <c r="IXX34" s="21"/>
      <c r="IXY34" s="21"/>
      <c r="IXZ34" s="21"/>
      <c r="IYA34" s="21"/>
      <c r="IYB34" s="21"/>
      <c r="IYC34" s="21"/>
      <c r="IYD34" s="21"/>
      <c r="IYE34" s="21"/>
      <c r="IYF34" s="21"/>
      <c r="IYG34" s="21"/>
      <c r="IYH34" s="21"/>
      <c r="IYI34" s="21"/>
      <c r="IYJ34" s="21"/>
      <c r="IYK34" s="21"/>
      <c r="IYL34" s="21"/>
      <c r="IYM34" s="21"/>
      <c r="IYN34" s="21"/>
      <c r="IYO34" s="21"/>
      <c r="IYP34" s="21"/>
      <c r="IYQ34" s="21"/>
      <c r="IYR34" s="21"/>
      <c r="IYS34" s="21"/>
      <c r="IYT34" s="21"/>
      <c r="IYU34" s="21"/>
      <c r="IYV34" s="21"/>
      <c r="IYW34" s="21"/>
      <c r="IYX34" s="21"/>
      <c r="IYY34" s="21"/>
      <c r="IYZ34" s="21"/>
      <c r="IZA34" s="21"/>
      <c r="IZB34" s="21"/>
      <c r="IZC34" s="21"/>
      <c r="IZD34" s="21"/>
      <c r="IZE34" s="21"/>
      <c r="IZF34" s="21"/>
      <c r="IZG34" s="21"/>
      <c r="IZH34" s="21"/>
      <c r="IZI34" s="21"/>
      <c r="IZJ34" s="21"/>
      <c r="IZK34" s="21"/>
      <c r="IZL34" s="21"/>
      <c r="IZM34" s="21"/>
      <c r="IZN34" s="21"/>
      <c r="IZO34" s="21"/>
      <c r="IZP34" s="21"/>
      <c r="IZQ34" s="21"/>
      <c r="IZR34" s="21"/>
      <c r="IZS34" s="21"/>
      <c r="IZT34" s="21"/>
      <c r="IZU34" s="21"/>
      <c r="IZV34" s="21"/>
      <c r="IZW34" s="21"/>
      <c r="IZX34" s="21"/>
      <c r="IZY34" s="21"/>
      <c r="IZZ34" s="21"/>
      <c r="JAA34" s="21"/>
      <c r="JAB34" s="21"/>
      <c r="JAC34" s="21"/>
      <c r="JAD34" s="21"/>
      <c r="JAE34" s="21"/>
      <c r="JAF34" s="21"/>
      <c r="JAG34" s="21"/>
      <c r="JAH34" s="21"/>
      <c r="JAI34" s="21"/>
      <c r="JAJ34" s="21"/>
      <c r="JAK34" s="21"/>
      <c r="JAL34" s="21"/>
      <c r="JAM34" s="21"/>
      <c r="JAN34" s="21"/>
      <c r="JAO34" s="21"/>
      <c r="JAP34" s="21"/>
      <c r="JAQ34" s="21"/>
      <c r="JAR34" s="21"/>
      <c r="JAS34" s="21"/>
      <c r="JAT34" s="21"/>
      <c r="JAU34" s="21"/>
      <c r="JAV34" s="21"/>
      <c r="JAW34" s="21"/>
      <c r="JAX34" s="21"/>
      <c r="JAY34" s="21"/>
      <c r="JAZ34" s="21"/>
      <c r="JBA34" s="21"/>
      <c r="JBB34" s="21"/>
      <c r="JBC34" s="21"/>
      <c r="JBD34" s="21"/>
      <c r="JBE34" s="21"/>
      <c r="JBF34" s="21"/>
      <c r="JBG34" s="21"/>
      <c r="JBH34" s="21"/>
      <c r="JBI34" s="21"/>
      <c r="JBJ34" s="21"/>
      <c r="JBK34" s="21"/>
      <c r="JBL34" s="21"/>
      <c r="JBM34" s="21"/>
      <c r="JBN34" s="21"/>
      <c r="JBO34" s="21"/>
      <c r="JBP34" s="21"/>
      <c r="JBQ34" s="21"/>
      <c r="JBR34" s="21"/>
      <c r="JBS34" s="21"/>
      <c r="JBT34" s="21"/>
      <c r="JBU34" s="21"/>
      <c r="JBV34" s="21"/>
      <c r="JBW34" s="21"/>
      <c r="JBX34" s="21"/>
      <c r="JBY34" s="21"/>
      <c r="JBZ34" s="21"/>
      <c r="JCA34" s="21"/>
      <c r="JCB34" s="21"/>
      <c r="JCC34" s="21"/>
      <c r="JCD34" s="21"/>
      <c r="JCE34" s="21"/>
      <c r="JCF34" s="21"/>
      <c r="JCG34" s="21"/>
      <c r="JCH34" s="21"/>
      <c r="JCI34" s="21"/>
      <c r="JCJ34" s="21"/>
      <c r="JCK34" s="21"/>
      <c r="JCL34" s="21"/>
      <c r="JCM34" s="21"/>
      <c r="JCN34" s="21"/>
      <c r="JCO34" s="21"/>
      <c r="JCP34" s="21"/>
      <c r="JCQ34" s="21"/>
      <c r="JCR34" s="21"/>
      <c r="JCS34" s="21"/>
      <c r="JCT34" s="21"/>
      <c r="JCU34" s="21"/>
      <c r="JCV34" s="21"/>
      <c r="JCW34" s="21"/>
      <c r="JCX34" s="21"/>
      <c r="JCY34" s="21"/>
      <c r="JCZ34" s="21"/>
      <c r="JDA34" s="21"/>
      <c r="JDB34" s="21"/>
      <c r="JDC34" s="21"/>
      <c r="JDD34" s="21"/>
      <c r="JDE34" s="21"/>
      <c r="JDF34" s="21"/>
      <c r="JDG34" s="21"/>
      <c r="JDH34" s="21"/>
      <c r="JDI34" s="21"/>
      <c r="JDJ34" s="21"/>
      <c r="JDK34" s="21"/>
      <c r="JDL34" s="21"/>
      <c r="JDM34" s="21"/>
      <c r="JDN34" s="21"/>
      <c r="JDO34" s="21"/>
      <c r="JDP34" s="21"/>
      <c r="JDQ34" s="21"/>
      <c r="JDR34" s="21"/>
      <c r="JDS34" s="21"/>
      <c r="JDT34" s="21"/>
      <c r="JDU34" s="21"/>
      <c r="JDV34" s="21"/>
      <c r="JDW34" s="21"/>
      <c r="JDX34" s="21"/>
      <c r="JDY34" s="21"/>
      <c r="JDZ34" s="21"/>
      <c r="JEA34" s="21"/>
      <c r="JEB34" s="21"/>
      <c r="JEC34" s="21"/>
      <c r="JED34" s="21"/>
      <c r="JEE34" s="21"/>
      <c r="JEF34" s="21"/>
      <c r="JEG34" s="21"/>
      <c r="JEH34" s="21"/>
      <c r="JEI34" s="21"/>
      <c r="JEJ34" s="21"/>
      <c r="JEK34" s="21"/>
      <c r="JEL34" s="21"/>
      <c r="JEM34" s="21"/>
      <c r="JEN34" s="21"/>
      <c r="JEO34" s="21"/>
      <c r="JEP34" s="21"/>
      <c r="JEQ34" s="21"/>
      <c r="JER34" s="21"/>
      <c r="JES34" s="21"/>
      <c r="JET34" s="21"/>
      <c r="JEU34" s="21"/>
      <c r="JEV34" s="21"/>
      <c r="JEW34" s="21"/>
      <c r="JEX34" s="21"/>
      <c r="JEY34" s="21"/>
      <c r="JEZ34" s="21"/>
      <c r="JFA34" s="21"/>
      <c r="JFB34" s="21"/>
      <c r="JFC34" s="21"/>
      <c r="JFD34" s="21"/>
      <c r="JFE34" s="21"/>
      <c r="JFF34" s="21"/>
      <c r="JFG34" s="21"/>
      <c r="JFH34" s="21"/>
      <c r="JFI34" s="21"/>
      <c r="JFJ34" s="21"/>
      <c r="JFK34" s="21"/>
      <c r="JFL34" s="21"/>
      <c r="JFM34" s="21"/>
      <c r="JFN34" s="21"/>
      <c r="JFO34" s="21"/>
      <c r="JFP34" s="21"/>
      <c r="JFQ34" s="21"/>
      <c r="JFR34" s="21"/>
      <c r="JFS34" s="21"/>
      <c r="JFT34" s="21"/>
      <c r="JFU34" s="21"/>
      <c r="JFV34" s="21"/>
      <c r="JFW34" s="21"/>
      <c r="JFX34" s="21"/>
      <c r="JFY34" s="21"/>
      <c r="JFZ34" s="21"/>
      <c r="JGA34" s="21"/>
      <c r="JGB34" s="21"/>
      <c r="JGC34" s="21"/>
      <c r="JGD34" s="21"/>
      <c r="JGE34" s="21"/>
      <c r="JGF34" s="21"/>
      <c r="JGG34" s="21"/>
      <c r="JGH34" s="21"/>
      <c r="JGI34" s="21"/>
      <c r="JGJ34" s="21"/>
      <c r="JGK34" s="21"/>
      <c r="JGL34" s="21"/>
      <c r="JGM34" s="21"/>
      <c r="JGN34" s="21"/>
      <c r="JGO34" s="21"/>
      <c r="JGP34" s="21"/>
      <c r="JGQ34" s="21"/>
      <c r="JGR34" s="21"/>
      <c r="JGS34" s="21"/>
      <c r="JGT34" s="21"/>
      <c r="JGU34" s="21"/>
      <c r="JGV34" s="21"/>
      <c r="JGW34" s="21"/>
      <c r="JGX34" s="21"/>
      <c r="JGY34" s="21"/>
      <c r="JGZ34" s="21"/>
      <c r="JHA34" s="21"/>
      <c r="JHB34" s="21"/>
      <c r="JHC34" s="21"/>
      <c r="JHD34" s="21"/>
      <c r="JHE34" s="21"/>
      <c r="JHF34" s="21"/>
      <c r="JHG34" s="21"/>
      <c r="JHH34" s="21"/>
      <c r="JHI34" s="21"/>
      <c r="JHJ34" s="21"/>
      <c r="JHK34" s="21"/>
      <c r="JHL34" s="21"/>
      <c r="JHM34" s="21"/>
      <c r="JHN34" s="21"/>
      <c r="JHO34" s="21"/>
      <c r="JHP34" s="21"/>
      <c r="JHQ34" s="21"/>
      <c r="JHR34" s="21"/>
      <c r="JHS34" s="21"/>
      <c r="JHT34" s="21"/>
      <c r="JHU34" s="21"/>
      <c r="JHV34" s="21"/>
      <c r="JHW34" s="21"/>
      <c r="JHX34" s="21"/>
      <c r="JHY34" s="21"/>
      <c r="JHZ34" s="21"/>
      <c r="JIA34" s="21"/>
      <c r="JIB34" s="21"/>
      <c r="JIC34" s="21"/>
      <c r="JID34" s="21"/>
      <c r="JIE34" s="21"/>
      <c r="JIF34" s="21"/>
      <c r="JIG34" s="21"/>
      <c r="JIH34" s="21"/>
      <c r="JII34" s="21"/>
      <c r="JIJ34" s="21"/>
      <c r="JIK34" s="21"/>
      <c r="JIL34" s="21"/>
      <c r="JIM34" s="21"/>
      <c r="JIN34" s="21"/>
      <c r="JIO34" s="21"/>
      <c r="JIP34" s="21"/>
      <c r="JIQ34" s="21"/>
      <c r="JIR34" s="21"/>
      <c r="JIS34" s="21"/>
      <c r="JIT34" s="21"/>
      <c r="JIU34" s="21"/>
      <c r="JIV34" s="21"/>
      <c r="JIW34" s="21"/>
      <c r="JIX34" s="21"/>
      <c r="JIY34" s="21"/>
      <c r="JIZ34" s="21"/>
      <c r="JJA34" s="21"/>
      <c r="JJB34" s="21"/>
      <c r="JJC34" s="21"/>
      <c r="JJD34" s="21"/>
      <c r="JJE34" s="21"/>
      <c r="JJF34" s="21"/>
      <c r="JJG34" s="21"/>
      <c r="JJH34" s="21"/>
      <c r="JJI34" s="21"/>
      <c r="JJJ34" s="21"/>
      <c r="JJK34" s="21"/>
      <c r="JJL34" s="21"/>
      <c r="JJM34" s="21"/>
      <c r="JJN34" s="21"/>
      <c r="JJO34" s="21"/>
      <c r="JJP34" s="21"/>
      <c r="JJQ34" s="21"/>
      <c r="JJR34" s="21"/>
      <c r="JJS34" s="21"/>
      <c r="JJT34" s="21"/>
      <c r="JJU34" s="21"/>
      <c r="JJV34" s="21"/>
      <c r="JJW34" s="21"/>
      <c r="JJX34" s="21"/>
      <c r="JJY34" s="21"/>
      <c r="JJZ34" s="21"/>
      <c r="JKA34" s="21"/>
      <c r="JKB34" s="21"/>
      <c r="JKC34" s="21"/>
      <c r="JKD34" s="21"/>
      <c r="JKE34" s="21"/>
      <c r="JKF34" s="21"/>
      <c r="JKG34" s="21"/>
      <c r="JKH34" s="21"/>
      <c r="JKI34" s="21"/>
      <c r="JKJ34" s="21"/>
      <c r="JKK34" s="21"/>
      <c r="JKL34" s="21"/>
      <c r="JKM34" s="21"/>
      <c r="JKN34" s="21"/>
      <c r="JKO34" s="21"/>
      <c r="JKP34" s="21"/>
      <c r="JKQ34" s="21"/>
      <c r="JKR34" s="21"/>
      <c r="JKS34" s="21"/>
      <c r="JKT34" s="21"/>
      <c r="JKU34" s="21"/>
      <c r="JKV34" s="21"/>
      <c r="JKW34" s="21"/>
      <c r="JKX34" s="21"/>
      <c r="JKY34" s="21"/>
      <c r="JKZ34" s="21"/>
      <c r="JLA34" s="21"/>
      <c r="JLB34" s="21"/>
      <c r="JLC34" s="21"/>
      <c r="JLD34" s="21"/>
      <c r="JLE34" s="21"/>
      <c r="JLF34" s="21"/>
      <c r="JLG34" s="21"/>
      <c r="JLH34" s="21"/>
      <c r="JLI34" s="21"/>
      <c r="JLJ34" s="21"/>
      <c r="JLK34" s="21"/>
      <c r="JLL34" s="21"/>
      <c r="JLM34" s="21"/>
      <c r="JLN34" s="21"/>
      <c r="JLO34" s="21"/>
      <c r="JLP34" s="21"/>
      <c r="JLQ34" s="21"/>
      <c r="JLR34" s="21"/>
      <c r="JLS34" s="21"/>
      <c r="JLT34" s="21"/>
      <c r="JLU34" s="21"/>
      <c r="JLV34" s="21"/>
      <c r="JLW34" s="21"/>
      <c r="JLX34" s="21"/>
      <c r="JLY34" s="21"/>
      <c r="JLZ34" s="21"/>
      <c r="JMA34" s="21"/>
      <c r="JMB34" s="21"/>
      <c r="JMC34" s="21"/>
      <c r="JMD34" s="21"/>
      <c r="JME34" s="21"/>
      <c r="JMF34" s="21"/>
      <c r="JMG34" s="21"/>
      <c r="JMH34" s="21"/>
      <c r="JMI34" s="21"/>
      <c r="JMJ34" s="21"/>
      <c r="JMK34" s="21"/>
      <c r="JML34" s="21"/>
      <c r="JMM34" s="21"/>
      <c r="JMN34" s="21"/>
      <c r="JMO34" s="21"/>
      <c r="JMP34" s="21"/>
      <c r="JMQ34" s="21"/>
      <c r="JMR34" s="21"/>
      <c r="JMS34" s="21"/>
      <c r="JMT34" s="21"/>
      <c r="JMU34" s="21"/>
      <c r="JMV34" s="21"/>
      <c r="JMW34" s="21"/>
      <c r="JMX34" s="21"/>
      <c r="JMY34" s="21"/>
      <c r="JMZ34" s="21"/>
      <c r="JNA34" s="21"/>
      <c r="JNB34" s="21"/>
      <c r="JNC34" s="21"/>
      <c r="JND34" s="21"/>
      <c r="JNE34" s="21"/>
      <c r="JNF34" s="21"/>
      <c r="JNG34" s="21"/>
      <c r="JNH34" s="21"/>
      <c r="JNI34" s="21"/>
      <c r="JNJ34" s="21"/>
      <c r="JNK34" s="21"/>
      <c r="JNL34" s="21"/>
      <c r="JNM34" s="21"/>
      <c r="JNN34" s="21"/>
      <c r="JNO34" s="21"/>
      <c r="JNP34" s="21"/>
      <c r="JNQ34" s="21"/>
      <c r="JNR34" s="21"/>
      <c r="JNS34" s="21"/>
      <c r="JNT34" s="21"/>
      <c r="JNU34" s="21"/>
      <c r="JNV34" s="21"/>
      <c r="JNW34" s="21"/>
      <c r="JNX34" s="21"/>
      <c r="JNY34" s="21"/>
      <c r="JNZ34" s="21"/>
      <c r="JOA34" s="21"/>
      <c r="JOB34" s="21"/>
      <c r="JOC34" s="21"/>
      <c r="JOD34" s="21"/>
      <c r="JOE34" s="21"/>
      <c r="JOF34" s="21"/>
      <c r="JOG34" s="21"/>
      <c r="JOH34" s="21"/>
      <c r="JOI34" s="21"/>
      <c r="JOJ34" s="21"/>
      <c r="JOK34" s="21"/>
      <c r="JOL34" s="21"/>
      <c r="JOM34" s="21"/>
      <c r="JON34" s="21"/>
      <c r="JOO34" s="21"/>
      <c r="JOP34" s="21"/>
      <c r="JOQ34" s="21"/>
      <c r="JOR34" s="21"/>
      <c r="JOS34" s="21"/>
      <c r="JOT34" s="21"/>
      <c r="JOU34" s="21"/>
      <c r="JOV34" s="21"/>
      <c r="JOW34" s="21"/>
      <c r="JOX34" s="21"/>
      <c r="JOY34" s="21"/>
      <c r="JOZ34" s="21"/>
      <c r="JPA34" s="21"/>
      <c r="JPB34" s="21"/>
      <c r="JPC34" s="21"/>
      <c r="JPD34" s="21"/>
      <c r="JPE34" s="21"/>
      <c r="JPF34" s="21"/>
      <c r="JPG34" s="21"/>
      <c r="JPH34" s="21"/>
      <c r="JPI34" s="21"/>
      <c r="JPJ34" s="21"/>
      <c r="JPK34" s="21"/>
      <c r="JPL34" s="21"/>
      <c r="JPM34" s="21"/>
      <c r="JPN34" s="21"/>
      <c r="JPO34" s="21"/>
      <c r="JPP34" s="21"/>
      <c r="JPQ34" s="21"/>
      <c r="JPR34" s="21"/>
      <c r="JPS34" s="21"/>
      <c r="JPT34" s="21"/>
      <c r="JPU34" s="21"/>
      <c r="JPV34" s="21"/>
      <c r="JPW34" s="21"/>
      <c r="JPX34" s="21"/>
      <c r="JPY34" s="21"/>
      <c r="JPZ34" s="21"/>
      <c r="JQA34" s="21"/>
      <c r="JQB34" s="21"/>
      <c r="JQC34" s="21"/>
      <c r="JQD34" s="21"/>
      <c r="JQE34" s="21"/>
      <c r="JQF34" s="21"/>
      <c r="JQG34" s="21"/>
      <c r="JQH34" s="21"/>
      <c r="JQI34" s="21"/>
      <c r="JQJ34" s="21"/>
      <c r="JQK34" s="21"/>
      <c r="JQL34" s="21"/>
      <c r="JQM34" s="21"/>
      <c r="JQN34" s="21"/>
      <c r="JQO34" s="21"/>
      <c r="JQP34" s="21"/>
      <c r="JQQ34" s="21"/>
      <c r="JQR34" s="21"/>
      <c r="JQS34" s="21"/>
      <c r="JQT34" s="21"/>
      <c r="JQU34" s="21"/>
      <c r="JQV34" s="21"/>
      <c r="JQW34" s="21"/>
      <c r="JQX34" s="21"/>
      <c r="JQY34" s="21"/>
      <c r="JQZ34" s="21"/>
      <c r="JRA34" s="21"/>
      <c r="JRB34" s="21"/>
      <c r="JRC34" s="21"/>
      <c r="JRD34" s="21"/>
      <c r="JRE34" s="21"/>
      <c r="JRF34" s="21"/>
      <c r="JRG34" s="21"/>
      <c r="JRH34" s="21"/>
      <c r="JRI34" s="21"/>
      <c r="JRJ34" s="21"/>
      <c r="JRK34" s="21"/>
      <c r="JRL34" s="21"/>
      <c r="JRM34" s="21"/>
      <c r="JRN34" s="21"/>
      <c r="JRO34" s="21"/>
      <c r="JRP34" s="21"/>
      <c r="JRQ34" s="21"/>
      <c r="JRR34" s="21"/>
      <c r="JRS34" s="21"/>
      <c r="JRT34" s="21"/>
      <c r="JRU34" s="21"/>
      <c r="JRV34" s="21"/>
      <c r="JRW34" s="21"/>
      <c r="JRX34" s="21"/>
      <c r="JRY34" s="21"/>
      <c r="JRZ34" s="21"/>
      <c r="JSA34" s="21"/>
      <c r="JSB34" s="21"/>
      <c r="JSC34" s="21"/>
      <c r="JSD34" s="21"/>
      <c r="JSE34" s="21"/>
      <c r="JSF34" s="21"/>
      <c r="JSG34" s="21"/>
      <c r="JSH34" s="21"/>
      <c r="JSI34" s="21"/>
      <c r="JSJ34" s="21"/>
      <c r="JSK34" s="21"/>
      <c r="JSL34" s="21"/>
      <c r="JSM34" s="21"/>
      <c r="JSN34" s="21"/>
      <c r="JSO34" s="21"/>
      <c r="JSP34" s="21"/>
      <c r="JSQ34" s="21"/>
      <c r="JSR34" s="21"/>
      <c r="JSS34" s="21"/>
      <c r="JST34" s="21"/>
      <c r="JSU34" s="21"/>
      <c r="JSV34" s="21"/>
      <c r="JSW34" s="21"/>
      <c r="JSX34" s="21"/>
      <c r="JSY34" s="21"/>
      <c r="JSZ34" s="21"/>
      <c r="JTA34" s="21"/>
      <c r="JTB34" s="21"/>
      <c r="JTC34" s="21"/>
      <c r="JTD34" s="21"/>
      <c r="JTE34" s="21"/>
      <c r="JTF34" s="21"/>
      <c r="JTG34" s="21"/>
      <c r="JTH34" s="21"/>
      <c r="JTI34" s="21"/>
      <c r="JTJ34" s="21"/>
      <c r="JTK34" s="21"/>
      <c r="JTL34" s="21"/>
      <c r="JTM34" s="21"/>
      <c r="JTN34" s="21"/>
      <c r="JTO34" s="21"/>
      <c r="JTP34" s="21"/>
      <c r="JTQ34" s="21"/>
      <c r="JTR34" s="21"/>
      <c r="JTS34" s="21"/>
      <c r="JTT34" s="21"/>
      <c r="JTU34" s="21"/>
      <c r="JTV34" s="21"/>
      <c r="JTW34" s="21"/>
      <c r="JTX34" s="21"/>
      <c r="JTY34" s="21"/>
      <c r="JTZ34" s="21"/>
      <c r="JUA34" s="21"/>
      <c r="JUB34" s="21"/>
      <c r="JUC34" s="21"/>
      <c r="JUD34" s="21"/>
      <c r="JUE34" s="21"/>
      <c r="JUF34" s="21"/>
      <c r="JUG34" s="21"/>
      <c r="JUH34" s="21"/>
      <c r="JUI34" s="21"/>
      <c r="JUJ34" s="21"/>
      <c r="JUK34" s="21"/>
      <c r="JUL34" s="21"/>
      <c r="JUM34" s="21"/>
      <c r="JUN34" s="21"/>
      <c r="JUO34" s="21"/>
      <c r="JUP34" s="21"/>
      <c r="JUQ34" s="21"/>
      <c r="JUR34" s="21"/>
      <c r="JUS34" s="21"/>
      <c r="JUT34" s="21"/>
      <c r="JUU34" s="21"/>
      <c r="JUV34" s="21"/>
      <c r="JUW34" s="21"/>
      <c r="JUX34" s="21"/>
      <c r="JUY34" s="21"/>
      <c r="JUZ34" s="21"/>
      <c r="JVA34" s="21"/>
      <c r="JVB34" s="21"/>
      <c r="JVC34" s="21"/>
      <c r="JVD34" s="21"/>
      <c r="JVE34" s="21"/>
      <c r="JVF34" s="21"/>
      <c r="JVG34" s="21"/>
      <c r="JVH34" s="21"/>
      <c r="JVI34" s="21"/>
      <c r="JVJ34" s="21"/>
      <c r="JVK34" s="21"/>
      <c r="JVL34" s="21"/>
      <c r="JVM34" s="21"/>
      <c r="JVN34" s="21"/>
      <c r="JVO34" s="21"/>
      <c r="JVP34" s="21"/>
      <c r="JVQ34" s="21"/>
      <c r="JVR34" s="21"/>
      <c r="JVS34" s="21"/>
      <c r="JVT34" s="21"/>
      <c r="JVU34" s="21"/>
      <c r="JVV34" s="21"/>
      <c r="JVW34" s="21"/>
      <c r="JVX34" s="21"/>
      <c r="JVY34" s="21"/>
      <c r="JVZ34" s="21"/>
      <c r="JWA34" s="21"/>
      <c r="JWB34" s="21"/>
      <c r="JWC34" s="21"/>
      <c r="JWD34" s="21"/>
      <c r="JWE34" s="21"/>
      <c r="JWF34" s="21"/>
      <c r="JWG34" s="21"/>
      <c r="JWH34" s="21"/>
      <c r="JWI34" s="21"/>
      <c r="JWJ34" s="21"/>
      <c r="JWK34" s="21"/>
      <c r="JWL34" s="21"/>
      <c r="JWM34" s="21"/>
      <c r="JWN34" s="21"/>
      <c r="JWO34" s="21"/>
      <c r="JWP34" s="21"/>
      <c r="JWQ34" s="21"/>
      <c r="JWR34" s="21"/>
      <c r="JWS34" s="21"/>
      <c r="JWT34" s="21"/>
      <c r="JWU34" s="21"/>
      <c r="JWV34" s="21"/>
      <c r="JWW34" s="21"/>
      <c r="JWX34" s="21"/>
      <c r="JWY34" s="21"/>
      <c r="JWZ34" s="21"/>
      <c r="JXA34" s="21"/>
      <c r="JXB34" s="21"/>
      <c r="JXC34" s="21"/>
      <c r="JXD34" s="21"/>
      <c r="JXE34" s="21"/>
      <c r="JXF34" s="21"/>
      <c r="JXG34" s="21"/>
      <c r="JXH34" s="21"/>
      <c r="JXI34" s="21"/>
      <c r="JXJ34" s="21"/>
      <c r="JXK34" s="21"/>
      <c r="JXL34" s="21"/>
      <c r="JXM34" s="21"/>
      <c r="JXN34" s="21"/>
      <c r="JXO34" s="21"/>
      <c r="JXP34" s="21"/>
      <c r="JXQ34" s="21"/>
      <c r="JXR34" s="21"/>
      <c r="JXS34" s="21"/>
      <c r="JXT34" s="21"/>
      <c r="JXU34" s="21"/>
      <c r="JXV34" s="21"/>
      <c r="JXW34" s="21"/>
      <c r="JXX34" s="21"/>
      <c r="JXY34" s="21"/>
      <c r="JXZ34" s="21"/>
      <c r="JYA34" s="21"/>
      <c r="JYB34" s="21"/>
      <c r="JYC34" s="21"/>
      <c r="JYD34" s="21"/>
      <c r="JYE34" s="21"/>
      <c r="JYF34" s="21"/>
      <c r="JYG34" s="21"/>
      <c r="JYH34" s="21"/>
      <c r="JYI34" s="21"/>
      <c r="JYJ34" s="21"/>
      <c r="JYK34" s="21"/>
      <c r="JYL34" s="21"/>
      <c r="JYM34" s="21"/>
      <c r="JYN34" s="21"/>
      <c r="JYO34" s="21"/>
      <c r="JYP34" s="21"/>
      <c r="JYQ34" s="21"/>
      <c r="JYR34" s="21"/>
      <c r="JYS34" s="21"/>
      <c r="JYT34" s="21"/>
      <c r="JYU34" s="21"/>
      <c r="JYV34" s="21"/>
      <c r="JYW34" s="21"/>
      <c r="JYX34" s="21"/>
      <c r="JYY34" s="21"/>
      <c r="JYZ34" s="21"/>
      <c r="JZA34" s="21"/>
      <c r="JZB34" s="21"/>
      <c r="JZC34" s="21"/>
      <c r="JZD34" s="21"/>
      <c r="JZE34" s="21"/>
      <c r="JZF34" s="21"/>
      <c r="JZG34" s="21"/>
      <c r="JZH34" s="21"/>
      <c r="JZI34" s="21"/>
      <c r="JZJ34" s="21"/>
      <c r="JZK34" s="21"/>
      <c r="JZL34" s="21"/>
      <c r="JZM34" s="21"/>
      <c r="JZN34" s="21"/>
      <c r="JZO34" s="21"/>
      <c r="JZP34" s="21"/>
      <c r="JZQ34" s="21"/>
      <c r="JZR34" s="21"/>
      <c r="JZS34" s="21"/>
      <c r="JZT34" s="21"/>
      <c r="JZU34" s="21"/>
      <c r="JZV34" s="21"/>
      <c r="JZW34" s="21"/>
      <c r="JZX34" s="21"/>
      <c r="JZY34" s="21"/>
      <c r="JZZ34" s="21"/>
      <c r="KAA34" s="21"/>
      <c r="KAB34" s="21"/>
      <c r="KAC34" s="21"/>
      <c r="KAD34" s="21"/>
      <c r="KAE34" s="21"/>
      <c r="KAF34" s="21"/>
      <c r="KAG34" s="21"/>
      <c r="KAH34" s="21"/>
      <c r="KAI34" s="21"/>
      <c r="KAJ34" s="21"/>
      <c r="KAK34" s="21"/>
      <c r="KAL34" s="21"/>
      <c r="KAM34" s="21"/>
      <c r="KAN34" s="21"/>
      <c r="KAO34" s="21"/>
      <c r="KAP34" s="21"/>
      <c r="KAQ34" s="21"/>
      <c r="KAR34" s="21"/>
      <c r="KAS34" s="21"/>
      <c r="KAT34" s="21"/>
      <c r="KAU34" s="21"/>
      <c r="KAV34" s="21"/>
      <c r="KAW34" s="21"/>
      <c r="KAX34" s="21"/>
      <c r="KAY34" s="21"/>
      <c r="KAZ34" s="21"/>
      <c r="KBA34" s="21"/>
      <c r="KBB34" s="21"/>
      <c r="KBC34" s="21"/>
      <c r="KBD34" s="21"/>
      <c r="KBE34" s="21"/>
      <c r="KBF34" s="21"/>
      <c r="KBG34" s="21"/>
      <c r="KBH34" s="21"/>
      <c r="KBI34" s="21"/>
      <c r="KBJ34" s="21"/>
      <c r="KBK34" s="21"/>
      <c r="KBL34" s="21"/>
      <c r="KBM34" s="21"/>
      <c r="KBN34" s="21"/>
      <c r="KBO34" s="21"/>
      <c r="KBP34" s="21"/>
      <c r="KBQ34" s="21"/>
      <c r="KBR34" s="21"/>
      <c r="KBS34" s="21"/>
      <c r="KBT34" s="21"/>
      <c r="KBU34" s="21"/>
      <c r="KBV34" s="21"/>
      <c r="KBW34" s="21"/>
      <c r="KBX34" s="21"/>
      <c r="KBY34" s="21"/>
      <c r="KBZ34" s="21"/>
      <c r="KCA34" s="21"/>
      <c r="KCB34" s="21"/>
      <c r="KCC34" s="21"/>
      <c r="KCD34" s="21"/>
      <c r="KCE34" s="21"/>
      <c r="KCF34" s="21"/>
      <c r="KCG34" s="21"/>
      <c r="KCH34" s="21"/>
      <c r="KCI34" s="21"/>
      <c r="KCJ34" s="21"/>
      <c r="KCK34" s="21"/>
      <c r="KCL34" s="21"/>
      <c r="KCM34" s="21"/>
      <c r="KCN34" s="21"/>
      <c r="KCO34" s="21"/>
      <c r="KCP34" s="21"/>
      <c r="KCQ34" s="21"/>
      <c r="KCR34" s="21"/>
      <c r="KCS34" s="21"/>
      <c r="KCT34" s="21"/>
      <c r="KCU34" s="21"/>
      <c r="KCV34" s="21"/>
      <c r="KCW34" s="21"/>
      <c r="KCX34" s="21"/>
      <c r="KCY34" s="21"/>
      <c r="KCZ34" s="21"/>
      <c r="KDA34" s="21"/>
      <c r="KDB34" s="21"/>
      <c r="KDC34" s="21"/>
      <c r="KDD34" s="21"/>
      <c r="KDE34" s="21"/>
      <c r="KDF34" s="21"/>
      <c r="KDG34" s="21"/>
      <c r="KDH34" s="21"/>
      <c r="KDI34" s="21"/>
      <c r="KDJ34" s="21"/>
      <c r="KDK34" s="21"/>
      <c r="KDL34" s="21"/>
      <c r="KDM34" s="21"/>
      <c r="KDN34" s="21"/>
      <c r="KDO34" s="21"/>
      <c r="KDP34" s="21"/>
      <c r="KDQ34" s="21"/>
      <c r="KDR34" s="21"/>
      <c r="KDS34" s="21"/>
      <c r="KDT34" s="21"/>
      <c r="KDU34" s="21"/>
      <c r="KDV34" s="21"/>
      <c r="KDW34" s="21"/>
      <c r="KDX34" s="21"/>
      <c r="KDY34" s="21"/>
      <c r="KDZ34" s="21"/>
      <c r="KEA34" s="21"/>
      <c r="KEB34" s="21"/>
      <c r="KEC34" s="21"/>
      <c r="KED34" s="21"/>
      <c r="KEE34" s="21"/>
      <c r="KEF34" s="21"/>
      <c r="KEG34" s="21"/>
      <c r="KEH34" s="21"/>
      <c r="KEI34" s="21"/>
      <c r="KEJ34" s="21"/>
      <c r="KEK34" s="21"/>
      <c r="KEL34" s="21"/>
      <c r="KEM34" s="21"/>
      <c r="KEN34" s="21"/>
      <c r="KEO34" s="21"/>
      <c r="KEP34" s="21"/>
      <c r="KEQ34" s="21"/>
      <c r="KER34" s="21"/>
      <c r="KES34" s="21"/>
      <c r="KET34" s="21"/>
      <c r="KEU34" s="21"/>
      <c r="KEV34" s="21"/>
      <c r="KEW34" s="21"/>
      <c r="KEX34" s="21"/>
      <c r="KEY34" s="21"/>
      <c r="KEZ34" s="21"/>
      <c r="KFA34" s="21"/>
      <c r="KFB34" s="21"/>
      <c r="KFC34" s="21"/>
      <c r="KFD34" s="21"/>
      <c r="KFE34" s="21"/>
      <c r="KFF34" s="21"/>
      <c r="KFG34" s="21"/>
      <c r="KFH34" s="21"/>
      <c r="KFI34" s="21"/>
      <c r="KFJ34" s="21"/>
      <c r="KFK34" s="21"/>
      <c r="KFL34" s="21"/>
      <c r="KFM34" s="21"/>
      <c r="KFN34" s="21"/>
      <c r="KFO34" s="21"/>
      <c r="KFP34" s="21"/>
      <c r="KFQ34" s="21"/>
      <c r="KFR34" s="21"/>
      <c r="KFS34" s="21"/>
      <c r="KFT34" s="21"/>
      <c r="KFU34" s="21"/>
      <c r="KFV34" s="21"/>
      <c r="KFW34" s="21"/>
      <c r="KFX34" s="21"/>
      <c r="KFY34" s="21"/>
      <c r="KFZ34" s="21"/>
      <c r="KGA34" s="21"/>
      <c r="KGB34" s="21"/>
      <c r="KGC34" s="21"/>
      <c r="KGD34" s="21"/>
      <c r="KGE34" s="21"/>
      <c r="KGF34" s="21"/>
      <c r="KGG34" s="21"/>
      <c r="KGH34" s="21"/>
      <c r="KGI34" s="21"/>
      <c r="KGJ34" s="21"/>
      <c r="KGK34" s="21"/>
      <c r="KGL34" s="21"/>
      <c r="KGM34" s="21"/>
      <c r="KGN34" s="21"/>
      <c r="KGO34" s="21"/>
      <c r="KGP34" s="21"/>
      <c r="KGQ34" s="21"/>
      <c r="KGR34" s="21"/>
      <c r="KGS34" s="21"/>
      <c r="KGT34" s="21"/>
      <c r="KGU34" s="21"/>
      <c r="KGV34" s="21"/>
      <c r="KGW34" s="21"/>
      <c r="KGX34" s="21"/>
      <c r="KGY34" s="21"/>
      <c r="KGZ34" s="21"/>
      <c r="KHA34" s="21"/>
      <c r="KHB34" s="21"/>
      <c r="KHC34" s="21"/>
      <c r="KHD34" s="21"/>
      <c r="KHE34" s="21"/>
      <c r="KHF34" s="21"/>
      <c r="KHG34" s="21"/>
      <c r="KHH34" s="21"/>
      <c r="KHI34" s="21"/>
      <c r="KHJ34" s="21"/>
      <c r="KHK34" s="21"/>
      <c r="KHL34" s="21"/>
      <c r="KHM34" s="21"/>
      <c r="KHN34" s="21"/>
      <c r="KHO34" s="21"/>
      <c r="KHP34" s="21"/>
      <c r="KHQ34" s="21"/>
      <c r="KHR34" s="21"/>
      <c r="KHS34" s="21"/>
      <c r="KHT34" s="21"/>
      <c r="KHU34" s="21"/>
      <c r="KHV34" s="21"/>
      <c r="KHW34" s="21"/>
      <c r="KHX34" s="21"/>
      <c r="KHY34" s="21"/>
      <c r="KHZ34" s="21"/>
      <c r="KIA34" s="21"/>
      <c r="KIB34" s="21"/>
      <c r="KIC34" s="21"/>
      <c r="KID34" s="21"/>
      <c r="KIE34" s="21"/>
      <c r="KIF34" s="21"/>
      <c r="KIG34" s="21"/>
      <c r="KIH34" s="21"/>
      <c r="KII34" s="21"/>
      <c r="KIJ34" s="21"/>
      <c r="KIK34" s="21"/>
      <c r="KIL34" s="21"/>
      <c r="KIM34" s="21"/>
      <c r="KIN34" s="21"/>
      <c r="KIO34" s="21"/>
      <c r="KIP34" s="21"/>
      <c r="KIQ34" s="21"/>
      <c r="KIR34" s="21"/>
      <c r="KIS34" s="21"/>
      <c r="KIT34" s="21"/>
      <c r="KIU34" s="21"/>
      <c r="KIV34" s="21"/>
      <c r="KIW34" s="21"/>
      <c r="KIX34" s="21"/>
      <c r="KIY34" s="21"/>
      <c r="KIZ34" s="21"/>
      <c r="KJA34" s="21"/>
      <c r="KJB34" s="21"/>
      <c r="KJC34" s="21"/>
      <c r="KJD34" s="21"/>
      <c r="KJE34" s="21"/>
      <c r="KJF34" s="21"/>
      <c r="KJG34" s="21"/>
      <c r="KJH34" s="21"/>
      <c r="KJI34" s="21"/>
      <c r="KJJ34" s="21"/>
      <c r="KJK34" s="21"/>
      <c r="KJL34" s="21"/>
      <c r="KJM34" s="21"/>
      <c r="KJN34" s="21"/>
      <c r="KJO34" s="21"/>
      <c r="KJP34" s="21"/>
      <c r="KJQ34" s="21"/>
      <c r="KJR34" s="21"/>
      <c r="KJS34" s="21"/>
      <c r="KJT34" s="21"/>
      <c r="KJU34" s="21"/>
      <c r="KJV34" s="21"/>
      <c r="KJW34" s="21"/>
      <c r="KJX34" s="21"/>
      <c r="KJY34" s="21"/>
      <c r="KJZ34" s="21"/>
      <c r="KKA34" s="21"/>
      <c r="KKB34" s="21"/>
      <c r="KKC34" s="21"/>
      <c r="KKD34" s="21"/>
      <c r="KKE34" s="21"/>
      <c r="KKF34" s="21"/>
      <c r="KKG34" s="21"/>
      <c r="KKH34" s="21"/>
      <c r="KKI34" s="21"/>
      <c r="KKJ34" s="21"/>
      <c r="KKK34" s="21"/>
      <c r="KKL34" s="21"/>
      <c r="KKM34" s="21"/>
      <c r="KKN34" s="21"/>
      <c r="KKO34" s="21"/>
      <c r="KKP34" s="21"/>
      <c r="KKQ34" s="21"/>
      <c r="KKR34" s="21"/>
      <c r="KKS34" s="21"/>
      <c r="KKT34" s="21"/>
      <c r="KKU34" s="21"/>
      <c r="KKV34" s="21"/>
      <c r="KKW34" s="21"/>
      <c r="KKX34" s="21"/>
      <c r="KKY34" s="21"/>
      <c r="KKZ34" s="21"/>
      <c r="KLA34" s="21"/>
      <c r="KLB34" s="21"/>
      <c r="KLC34" s="21"/>
      <c r="KLD34" s="21"/>
      <c r="KLE34" s="21"/>
      <c r="KLF34" s="21"/>
      <c r="KLG34" s="21"/>
      <c r="KLH34" s="21"/>
      <c r="KLI34" s="21"/>
      <c r="KLJ34" s="21"/>
      <c r="KLK34" s="21"/>
      <c r="KLL34" s="21"/>
      <c r="KLM34" s="21"/>
      <c r="KLN34" s="21"/>
      <c r="KLO34" s="21"/>
      <c r="KLP34" s="21"/>
      <c r="KLQ34" s="21"/>
      <c r="KLR34" s="21"/>
      <c r="KLS34" s="21"/>
      <c r="KLT34" s="21"/>
      <c r="KLU34" s="21"/>
      <c r="KLV34" s="21"/>
      <c r="KLW34" s="21"/>
      <c r="KLX34" s="21"/>
      <c r="KLY34" s="21"/>
      <c r="KLZ34" s="21"/>
      <c r="KMA34" s="21"/>
      <c r="KMB34" s="21"/>
      <c r="KMC34" s="21"/>
      <c r="KMD34" s="21"/>
      <c r="KME34" s="21"/>
      <c r="KMF34" s="21"/>
      <c r="KMG34" s="21"/>
      <c r="KMH34" s="21"/>
      <c r="KMI34" s="21"/>
      <c r="KMJ34" s="21"/>
      <c r="KMK34" s="21"/>
      <c r="KML34" s="21"/>
      <c r="KMM34" s="21"/>
      <c r="KMN34" s="21"/>
      <c r="KMO34" s="21"/>
      <c r="KMP34" s="21"/>
      <c r="KMQ34" s="21"/>
      <c r="KMR34" s="21"/>
      <c r="KMS34" s="21"/>
      <c r="KMT34" s="21"/>
      <c r="KMU34" s="21"/>
      <c r="KMV34" s="21"/>
      <c r="KMW34" s="21"/>
      <c r="KMX34" s="21"/>
      <c r="KMY34" s="21"/>
      <c r="KMZ34" s="21"/>
      <c r="KNA34" s="21"/>
      <c r="KNB34" s="21"/>
      <c r="KNC34" s="21"/>
      <c r="KND34" s="21"/>
      <c r="KNE34" s="21"/>
      <c r="KNF34" s="21"/>
      <c r="KNG34" s="21"/>
      <c r="KNH34" s="21"/>
      <c r="KNI34" s="21"/>
      <c r="KNJ34" s="21"/>
      <c r="KNK34" s="21"/>
      <c r="KNL34" s="21"/>
      <c r="KNM34" s="21"/>
      <c r="KNN34" s="21"/>
      <c r="KNO34" s="21"/>
      <c r="KNP34" s="21"/>
      <c r="KNQ34" s="21"/>
      <c r="KNR34" s="21"/>
      <c r="KNS34" s="21"/>
      <c r="KNT34" s="21"/>
      <c r="KNU34" s="21"/>
      <c r="KNV34" s="21"/>
      <c r="KNW34" s="21"/>
      <c r="KNX34" s="21"/>
      <c r="KNY34" s="21"/>
      <c r="KNZ34" s="21"/>
      <c r="KOA34" s="21"/>
      <c r="KOB34" s="21"/>
      <c r="KOC34" s="21"/>
      <c r="KOD34" s="21"/>
      <c r="KOE34" s="21"/>
      <c r="KOF34" s="21"/>
      <c r="KOG34" s="21"/>
      <c r="KOH34" s="21"/>
      <c r="KOI34" s="21"/>
      <c r="KOJ34" s="21"/>
      <c r="KOK34" s="21"/>
      <c r="KOL34" s="21"/>
      <c r="KOM34" s="21"/>
      <c r="KON34" s="21"/>
      <c r="KOO34" s="21"/>
      <c r="KOP34" s="21"/>
      <c r="KOQ34" s="21"/>
      <c r="KOR34" s="21"/>
      <c r="KOS34" s="21"/>
      <c r="KOT34" s="21"/>
      <c r="KOU34" s="21"/>
      <c r="KOV34" s="21"/>
      <c r="KOW34" s="21"/>
      <c r="KOX34" s="21"/>
      <c r="KOY34" s="21"/>
      <c r="KOZ34" s="21"/>
      <c r="KPA34" s="21"/>
      <c r="KPB34" s="21"/>
      <c r="KPC34" s="21"/>
      <c r="KPD34" s="21"/>
      <c r="KPE34" s="21"/>
      <c r="KPF34" s="21"/>
      <c r="KPG34" s="21"/>
      <c r="KPH34" s="21"/>
      <c r="KPI34" s="21"/>
      <c r="KPJ34" s="21"/>
      <c r="KPK34" s="21"/>
      <c r="KPL34" s="21"/>
      <c r="KPM34" s="21"/>
      <c r="KPN34" s="21"/>
      <c r="KPO34" s="21"/>
      <c r="KPP34" s="21"/>
      <c r="KPQ34" s="21"/>
      <c r="KPR34" s="21"/>
      <c r="KPS34" s="21"/>
      <c r="KPT34" s="21"/>
      <c r="KPU34" s="21"/>
      <c r="KPV34" s="21"/>
      <c r="KPW34" s="21"/>
      <c r="KPX34" s="21"/>
      <c r="KPY34" s="21"/>
      <c r="KPZ34" s="21"/>
      <c r="KQA34" s="21"/>
      <c r="KQB34" s="21"/>
      <c r="KQC34" s="21"/>
      <c r="KQD34" s="21"/>
      <c r="KQE34" s="21"/>
      <c r="KQF34" s="21"/>
      <c r="KQG34" s="21"/>
      <c r="KQH34" s="21"/>
      <c r="KQI34" s="21"/>
      <c r="KQJ34" s="21"/>
      <c r="KQK34" s="21"/>
      <c r="KQL34" s="21"/>
      <c r="KQM34" s="21"/>
      <c r="KQN34" s="21"/>
      <c r="KQO34" s="21"/>
      <c r="KQP34" s="21"/>
      <c r="KQQ34" s="21"/>
      <c r="KQR34" s="21"/>
      <c r="KQS34" s="21"/>
      <c r="KQT34" s="21"/>
      <c r="KQU34" s="21"/>
      <c r="KQV34" s="21"/>
      <c r="KQW34" s="21"/>
      <c r="KQX34" s="21"/>
      <c r="KQY34" s="21"/>
      <c r="KQZ34" s="21"/>
      <c r="KRA34" s="21"/>
      <c r="KRB34" s="21"/>
      <c r="KRC34" s="21"/>
      <c r="KRD34" s="21"/>
      <c r="KRE34" s="21"/>
      <c r="KRF34" s="21"/>
      <c r="KRG34" s="21"/>
      <c r="KRH34" s="21"/>
      <c r="KRI34" s="21"/>
      <c r="KRJ34" s="21"/>
      <c r="KRK34" s="21"/>
      <c r="KRL34" s="21"/>
      <c r="KRM34" s="21"/>
      <c r="KRN34" s="21"/>
      <c r="KRO34" s="21"/>
      <c r="KRP34" s="21"/>
      <c r="KRQ34" s="21"/>
      <c r="KRR34" s="21"/>
      <c r="KRS34" s="21"/>
      <c r="KRT34" s="21"/>
      <c r="KRU34" s="21"/>
      <c r="KRV34" s="21"/>
      <c r="KRW34" s="21"/>
      <c r="KRX34" s="21"/>
      <c r="KRY34" s="21"/>
      <c r="KRZ34" s="21"/>
      <c r="KSA34" s="21"/>
      <c r="KSB34" s="21"/>
      <c r="KSC34" s="21"/>
      <c r="KSD34" s="21"/>
      <c r="KSE34" s="21"/>
      <c r="KSF34" s="21"/>
      <c r="KSG34" s="21"/>
      <c r="KSH34" s="21"/>
      <c r="KSI34" s="21"/>
      <c r="KSJ34" s="21"/>
      <c r="KSK34" s="21"/>
      <c r="KSL34" s="21"/>
      <c r="KSM34" s="21"/>
      <c r="KSN34" s="21"/>
      <c r="KSO34" s="21"/>
      <c r="KSP34" s="21"/>
      <c r="KSQ34" s="21"/>
      <c r="KSR34" s="21"/>
      <c r="KSS34" s="21"/>
      <c r="KST34" s="21"/>
      <c r="KSU34" s="21"/>
      <c r="KSV34" s="21"/>
      <c r="KSW34" s="21"/>
      <c r="KSX34" s="21"/>
      <c r="KSY34" s="21"/>
      <c r="KSZ34" s="21"/>
      <c r="KTA34" s="21"/>
      <c r="KTB34" s="21"/>
      <c r="KTC34" s="21"/>
      <c r="KTD34" s="21"/>
      <c r="KTE34" s="21"/>
      <c r="KTF34" s="21"/>
      <c r="KTG34" s="21"/>
      <c r="KTH34" s="21"/>
      <c r="KTI34" s="21"/>
      <c r="KTJ34" s="21"/>
      <c r="KTK34" s="21"/>
      <c r="KTL34" s="21"/>
      <c r="KTM34" s="21"/>
      <c r="KTN34" s="21"/>
      <c r="KTO34" s="21"/>
      <c r="KTP34" s="21"/>
      <c r="KTQ34" s="21"/>
      <c r="KTR34" s="21"/>
      <c r="KTS34" s="21"/>
      <c r="KTT34" s="21"/>
      <c r="KTU34" s="21"/>
      <c r="KTV34" s="21"/>
      <c r="KTW34" s="21"/>
      <c r="KTX34" s="21"/>
      <c r="KTY34" s="21"/>
      <c r="KTZ34" s="21"/>
      <c r="KUA34" s="21"/>
      <c r="KUB34" s="21"/>
      <c r="KUC34" s="21"/>
      <c r="KUD34" s="21"/>
      <c r="KUE34" s="21"/>
      <c r="KUF34" s="21"/>
      <c r="KUG34" s="21"/>
      <c r="KUH34" s="21"/>
      <c r="KUI34" s="21"/>
      <c r="KUJ34" s="21"/>
      <c r="KUK34" s="21"/>
      <c r="KUL34" s="21"/>
      <c r="KUM34" s="21"/>
      <c r="KUN34" s="21"/>
      <c r="KUO34" s="21"/>
      <c r="KUP34" s="21"/>
      <c r="KUQ34" s="21"/>
      <c r="KUR34" s="21"/>
      <c r="KUS34" s="21"/>
      <c r="KUT34" s="21"/>
      <c r="KUU34" s="21"/>
      <c r="KUV34" s="21"/>
      <c r="KUW34" s="21"/>
      <c r="KUX34" s="21"/>
      <c r="KUY34" s="21"/>
      <c r="KUZ34" s="21"/>
      <c r="KVA34" s="21"/>
      <c r="KVB34" s="21"/>
      <c r="KVC34" s="21"/>
      <c r="KVD34" s="21"/>
      <c r="KVE34" s="21"/>
      <c r="KVF34" s="21"/>
      <c r="KVG34" s="21"/>
      <c r="KVH34" s="21"/>
      <c r="KVI34" s="21"/>
      <c r="KVJ34" s="21"/>
      <c r="KVK34" s="21"/>
      <c r="KVL34" s="21"/>
      <c r="KVM34" s="21"/>
      <c r="KVN34" s="21"/>
      <c r="KVO34" s="21"/>
      <c r="KVP34" s="21"/>
      <c r="KVQ34" s="21"/>
      <c r="KVR34" s="21"/>
      <c r="KVS34" s="21"/>
      <c r="KVT34" s="21"/>
      <c r="KVU34" s="21"/>
      <c r="KVV34" s="21"/>
      <c r="KVW34" s="21"/>
      <c r="KVX34" s="21"/>
      <c r="KVY34" s="21"/>
      <c r="KVZ34" s="21"/>
      <c r="KWA34" s="21"/>
      <c r="KWB34" s="21"/>
      <c r="KWC34" s="21"/>
      <c r="KWD34" s="21"/>
      <c r="KWE34" s="21"/>
      <c r="KWF34" s="21"/>
      <c r="KWG34" s="21"/>
      <c r="KWH34" s="21"/>
      <c r="KWI34" s="21"/>
      <c r="KWJ34" s="21"/>
      <c r="KWK34" s="21"/>
      <c r="KWL34" s="21"/>
      <c r="KWM34" s="21"/>
      <c r="KWN34" s="21"/>
      <c r="KWO34" s="21"/>
      <c r="KWP34" s="21"/>
      <c r="KWQ34" s="21"/>
      <c r="KWR34" s="21"/>
      <c r="KWS34" s="21"/>
      <c r="KWT34" s="21"/>
      <c r="KWU34" s="21"/>
      <c r="KWV34" s="21"/>
      <c r="KWW34" s="21"/>
      <c r="KWX34" s="21"/>
      <c r="KWY34" s="21"/>
      <c r="KWZ34" s="21"/>
      <c r="KXA34" s="21"/>
      <c r="KXB34" s="21"/>
      <c r="KXC34" s="21"/>
      <c r="KXD34" s="21"/>
      <c r="KXE34" s="21"/>
      <c r="KXF34" s="21"/>
      <c r="KXG34" s="21"/>
      <c r="KXH34" s="21"/>
      <c r="KXI34" s="21"/>
      <c r="KXJ34" s="21"/>
      <c r="KXK34" s="21"/>
      <c r="KXL34" s="21"/>
      <c r="KXM34" s="21"/>
      <c r="KXN34" s="21"/>
      <c r="KXO34" s="21"/>
      <c r="KXP34" s="21"/>
      <c r="KXQ34" s="21"/>
      <c r="KXR34" s="21"/>
      <c r="KXS34" s="21"/>
      <c r="KXT34" s="21"/>
      <c r="KXU34" s="21"/>
      <c r="KXV34" s="21"/>
      <c r="KXW34" s="21"/>
      <c r="KXX34" s="21"/>
      <c r="KXY34" s="21"/>
      <c r="KXZ34" s="21"/>
      <c r="KYA34" s="21"/>
      <c r="KYB34" s="21"/>
      <c r="KYC34" s="21"/>
      <c r="KYD34" s="21"/>
      <c r="KYE34" s="21"/>
      <c r="KYF34" s="21"/>
      <c r="KYG34" s="21"/>
      <c r="KYH34" s="21"/>
      <c r="KYI34" s="21"/>
      <c r="KYJ34" s="21"/>
      <c r="KYK34" s="21"/>
      <c r="KYL34" s="21"/>
      <c r="KYM34" s="21"/>
      <c r="KYN34" s="21"/>
      <c r="KYO34" s="21"/>
      <c r="KYP34" s="21"/>
      <c r="KYQ34" s="21"/>
      <c r="KYR34" s="21"/>
      <c r="KYS34" s="21"/>
      <c r="KYT34" s="21"/>
      <c r="KYU34" s="21"/>
      <c r="KYV34" s="21"/>
      <c r="KYW34" s="21"/>
      <c r="KYX34" s="21"/>
      <c r="KYY34" s="21"/>
      <c r="KYZ34" s="21"/>
      <c r="KZA34" s="21"/>
      <c r="KZB34" s="21"/>
      <c r="KZC34" s="21"/>
      <c r="KZD34" s="21"/>
      <c r="KZE34" s="21"/>
      <c r="KZF34" s="21"/>
      <c r="KZG34" s="21"/>
      <c r="KZH34" s="21"/>
      <c r="KZI34" s="21"/>
      <c r="KZJ34" s="21"/>
      <c r="KZK34" s="21"/>
      <c r="KZL34" s="21"/>
      <c r="KZM34" s="21"/>
      <c r="KZN34" s="21"/>
      <c r="KZO34" s="21"/>
      <c r="KZP34" s="21"/>
      <c r="KZQ34" s="21"/>
      <c r="KZR34" s="21"/>
      <c r="KZS34" s="21"/>
      <c r="KZT34" s="21"/>
      <c r="KZU34" s="21"/>
      <c r="KZV34" s="21"/>
      <c r="KZW34" s="21"/>
      <c r="KZX34" s="21"/>
      <c r="KZY34" s="21"/>
      <c r="KZZ34" s="21"/>
      <c r="LAA34" s="21"/>
      <c r="LAB34" s="21"/>
      <c r="LAC34" s="21"/>
      <c r="LAD34" s="21"/>
      <c r="LAE34" s="21"/>
      <c r="LAF34" s="21"/>
      <c r="LAG34" s="21"/>
      <c r="LAH34" s="21"/>
      <c r="LAI34" s="21"/>
      <c r="LAJ34" s="21"/>
      <c r="LAK34" s="21"/>
      <c r="LAL34" s="21"/>
      <c r="LAM34" s="21"/>
      <c r="LAN34" s="21"/>
      <c r="LAO34" s="21"/>
      <c r="LAP34" s="21"/>
      <c r="LAQ34" s="21"/>
      <c r="LAR34" s="21"/>
      <c r="LAS34" s="21"/>
      <c r="LAT34" s="21"/>
      <c r="LAU34" s="21"/>
      <c r="LAV34" s="21"/>
      <c r="LAW34" s="21"/>
      <c r="LAX34" s="21"/>
      <c r="LAY34" s="21"/>
      <c r="LAZ34" s="21"/>
      <c r="LBA34" s="21"/>
      <c r="LBB34" s="21"/>
      <c r="LBC34" s="21"/>
      <c r="LBD34" s="21"/>
      <c r="LBE34" s="21"/>
      <c r="LBF34" s="21"/>
      <c r="LBG34" s="21"/>
      <c r="LBH34" s="21"/>
      <c r="LBI34" s="21"/>
      <c r="LBJ34" s="21"/>
      <c r="LBK34" s="21"/>
      <c r="LBL34" s="21"/>
      <c r="LBM34" s="21"/>
      <c r="LBN34" s="21"/>
      <c r="LBO34" s="21"/>
      <c r="LBP34" s="21"/>
      <c r="LBQ34" s="21"/>
      <c r="LBR34" s="21"/>
      <c r="LBS34" s="21"/>
      <c r="LBT34" s="21"/>
      <c r="LBU34" s="21"/>
      <c r="LBV34" s="21"/>
      <c r="LBW34" s="21"/>
      <c r="LBX34" s="21"/>
      <c r="LBY34" s="21"/>
      <c r="LBZ34" s="21"/>
      <c r="LCA34" s="21"/>
      <c r="LCB34" s="21"/>
      <c r="LCC34" s="21"/>
      <c r="LCD34" s="21"/>
      <c r="LCE34" s="21"/>
      <c r="LCF34" s="21"/>
      <c r="LCG34" s="21"/>
      <c r="LCH34" s="21"/>
      <c r="LCI34" s="21"/>
      <c r="LCJ34" s="21"/>
      <c r="LCK34" s="21"/>
      <c r="LCL34" s="21"/>
      <c r="LCM34" s="21"/>
      <c r="LCN34" s="21"/>
      <c r="LCO34" s="21"/>
      <c r="LCP34" s="21"/>
      <c r="LCQ34" s="21"/>
      <c r="LCR34" s="21"/>
      <c r="LCS34" s="21"/>
      <c r="LCT34" s="21"/>
      <c r="LCU34" s="21"/>
      <c r="LCV34" s="21"/>
      <c r="LCW34" s="21"/>
      <c r="LCX34" s="21"/>
      <c r="LCY34" s="21"/>
      <c r="LCZ34" s="21"/>
      <c r="LDA34" s="21"/>
      <c r="LDB34" s="21"/>
      <c r="LDC34" s="21"/>
      <c r="LDD34" s="21"/>
      <c r="LDE34" s="21"/>
      <c r="LDF34" s="21"/>
      <c r="LDG34" s="21"/>
      <c r="LDH34" s="21"/>
      <c r="LDI34" s="21"/>
      <c r="LDJ34" s="21"/>
      <c r="LDK34" s="21"/>
      <c r="LDL34" s="21"/>
      <c r="LDM34" s="21"/>
      <c r="LDN34" s="21"/>
      <c r="LDO34" s="21"/>
      <c r="LDP34" s="21"/>
      <c r="LDQ34" s="21"/>
      <c r="LDR34" s="21"/>
      <c r="LDS34" s="21"/>
      <c r="LDT34" s="21"/>
      <c r="LDU34" s="21"/>
      <c r="LDV34" s="21"/>
      <c r="LDW34" s="21"/>
      <c r="LDX34" s="21"/>
      <c r="LDY34" s="21"/>
      <c r="LDZ34" s="21"/>
      <c r="LEA34" s="21"/>
      <c r="LEB34" s="21"/>
      <c r="LEC34" s="21"/>
      <c r="LED34" s="21"/>
      <c r="LEE34" s="21"/>
      <c r="LEF34" s="21"/>
      <c r="LEG34" s="21"/>
      <c r="LEH34" s="21"/>
      <c r="LEI34" s="21"/>
      <c r="LEJ34" s="21"/>
      <c r="LEK34" s="21"/>
      <c r="LEL34" s="21"/>
      <c r="LEM34" s="21"/>
      <c r="LEN34" s="21"/>
      <c r="LEO34" s="21"/>
      <c r="LEP34" s="21"/>
      <c r="LEQ34" s="21"/>
      <c r="LER34" s="21"/>
      <c r="LES34" s="21"/>
      <c r="LET34" s="21"/>
      <c r="LEU34" s="21"/>
      <c r="LEV34" s="21"/>
      <c r="LEW34" s="21"/>
      <c r="LEX34" s="21"/>
      <c r="LEY34" s="21"/>
      <c r="LEZ34" s="21"/>
      <c r="LFA34" s="21"/>
      <c r="LFB34" s="21"/>
      <c r="LFC34" s="21"/>
      <c r="LFD34" s="21"/>
      <c r="LFE34" s="21"/>
      <c r="LFF34" s="21"/>
      <c r="LFG34" s="21"/>
      <c r="LFH34" s="21"/>
      <c r="LFI34" s="21"/>
      <c r="LFJ34" s="21"/>
      <c r="LFK34" s="21"/>
      <c r="LFL34" s="21"/>
      <c r="LFM34" s="21"/>
      <c r="LFN34" s="21"/>
      <c r="LFO34" s="21"/>
      <c r="LFP34" s="21"/>
      <c r="LFQ34" s="21"/>
      <c r="LFR34" s="21"/>
      <c r="LFS34" s="21"/>
      <c r="LFT34" s="21"/>
      <c r="LFU34" s="21"/>
      <c r="LFV34" s="21"/>
      <c r="LFW34" s="21"/>
      <c r="LFX34" s="21"/>
      <c r="LFY34" s="21"/>
      <c r="LFZ34" s="21"/>
      <c r="LGA34" s="21"/>
      <c r="LGB34" s="21"/>
      <c r="LGC34" s="21"/>
      <c r="LGD34" s="21"/>
      <c r="LGE34" s="21"/>
      <c r="LGF34" s="21"/>
      <c r="LGG34" s="21"/>
      <c r="LGH34" s="21"/>
      <c r="LGI34" s="21"/>
      <c r="LGJ34" s="21"/>
      <c r="LGK34" s="21"/>
      <c r="LGL34" s="21"/>
      <c r="LGM34" s="21"/>
      <c r="LGN34" s="21"/>
      <c r="LGO34" s="21"/>
      <c r="LGP34" s="21"/>
      <c r="LGQ34" s="21"/>
      <c r="LGR34" s="21"/>
      <c r="LGS34" s="21"/>
      <c r="LGT34" s="21"/>
      <c r="LGU34" s="21"/>
      <c r="LGV34" s="21"/>
      <c r="LGW34" s="21"/>
      <c r="LGX34" s="21"/>
      <c r="LGY34" s="21"/>
      <c r="LGZ34" s="21"/>
      <c r="LHA34" s="21"/>
      <c r="LHB34" s="21"/>
      <c r="LHC34" s="21"/>
      <c r="LHD34" s="21"/>
      <c r="LHE34" s="21"/>
      <c r="LHF34" s="21"/>
      <c r="LHG34" s="21"/>
      <c r="LHH34" s="21"/>
      <c r="LHI34" s="21"/>
      <c r="LHJ34" s="21"/>
      <c r="LHK34" s="21"/>
      <c r="LHL34" s="21"/>
      <c r="LHM34" s="21"/>
      <c r="LHN34" s="21"/>
      <c r="LHO34" s="21"/>
      <c r="LHP34" s="21"/>
      <c r="LHQ34" s="21"/>
      <c r="LHR34" s="21"/>
      <c r="LHS34" s="21"/>
      <c r="LHT34" s="21"/>
      <c r="LHU34" s="21"/>
      <c r="LHV34" s="21"/>
      <c r="LHW34" s="21"/>
      <c r="LHX34" s="21"/>
      <c r="LHY34" s="21"/>
      <c r="LHZ34" s="21"/>
      <c r="LIA34" s="21"/>
      <c r="LIB34" s="21"/>
      <c r="LIC34" s="21"/>
      <c r="LID34" s="21"/>
      <c r="LIE34" s="21"/>
      <c r="LIF34" s="21"/>
      <c r="LIG34" s="21"/>
      <c r="LIH34" s="21"/>
      <c r="LII34" s="21"/>
      <c r="LIJ34" s="21"/>
      <c r="LIK34" s="21"/>
      <c r="LIL34" s="21"/>
      <c r="LIM34" s="21"/>
      <c r="LIN34" s="21"/>
      <c r="LIO34" s="21"/>
      <c r="LIP34" s="21"/>
      <c r="LIQ34" s="21"/>
      <c r="LIR34" s="21"/>
      <c r="LIS34" s="21"/>
      <c r="LIT34" s="21"/>
      <c r="LIU34" s="21"/>
      <c r="LIV34" s="21"/>
      <c r="LIW34" s="21"/>
      <c r="LIX34" s="21"/>
      <c r="LIY34" s="21"/>
      <c r="LIZ34" s="21"/>
      <c r="LJA34" s="21"/>
      <c r="LJB34" s="21"/>
      <c r="LJC34" s="21"/>
      <c r="LJD34" s="21"/>
      <c r="LJE34" s="21"/>
      <c r="LJF34" s="21"/>
      <c r="LJG34" s="21"/>
      <c r="LJH34" s="21"/>
      <c r="LJI34" s="21"/>
      <c r="LJJ34" s="21"/>
      <c r="LJK34" s="21"/>
      <c r="LJL34" s="21"/>
      <c r="LJM34" s="21"/>
      <c r="LJN34" s="21"/>
      <c r="LJO34" s="21"/>
      <c r="LJP34" s="21"/>
      <c r="LJQ34" s="21"/>
      <c r="LJR34" s="21"/>
      <c r="LJS34" s="21"/>
      <c r="LJT34" s="21"/>
      <c r="LJU34" s="21"/>
      <c r="LJV34" s="21"/>
      <c r="LJW34" s="21"/>
      <c r="LJX34" s="21"/>
      <c r="LJY34" s="21"/>
      <c r="LJZ34" s="21"/>
      <c r="LKA34" s="21"/>
      <c r="LKB34" s="21"/>
      <c r="LKC34" s="21"/>
      <c r="LKD34" s="21"/>
      <c r="LKE34" s="21"/>
      <c r="LKF34" s="21"/>
      <c r="LKG34" s="21"/>
      <c r="LKH34" s="21"/>
      <c r="LKI34" s="21"/>
      <c r="LKJ34" s="21"/>
      <c r="LKK34" s="21"/>
      <c r="LKL34" s="21"/>
      <c r="LKM34" s="21"/>
      <c r="LKN34" s="21"/>
      <c r="LKO34" s="21"/>
      <c r="LKP34" s="21"/>
      <c r="LKQ34" s="21"/>
      <c r="LKR34" s="21"/>
      <c r="LKS34" s="21"/>
      <c r="LKT34" s="21"/>
      <c r="LKU34" s="21"/>
      <c r="LKV34" s="21"/>
      <c r="LKW34" s="21"/>
      <c r="LKX34" s="21"/>
      <c r="LKY34" s="21"/>
      <c r="LKZ34" s="21"/>
      <c r="LLA34" s="21"/>
      <c r="LLB34" s="21"/>
      <c r="LLC34" s="21"/>
      <c r="LLD34" s="21"/>
      <c r="LLE34" s="21"/>
      <c r="LLF34" s="21"/>
      <c r="LLG34" s="21"/>
      <c r="LLH34" s="21"/>
      <c r="LLI34" s="21"/>
      <c r="LLJ34" s="21"/>
      <c r="LLK34" s="21"/>
      <c r="LLL34" s="21"/>
      <c r="LLM34" s="21"/>
      <c r="LLN34" s="21"/>
      <c r="LLO34" s="21"/>
      <c r="LLP34" s="21"/>
      <c r="LLQ34" s="21"/>
      <c r="LLR34" s="21"/>
      <c r="LLS34" s="21"/>
      <c r="LLT34" s="21"/>
      <c r="LLU34" s="21"/>
      <c r="LLV34" s="21"/>
      <c r="LLW34" s="21"/>
      <c r="LLX34" s="21"/>
      <c r="LLY34" s="21"/>
      <c r="LLZ34" s="21"/>
      <c r="LMA34" s="21"/>
      <c r="LMB34" s="21"/>
      <c r="LMC34" s="21"/>
      <c r="LMD34" s="21"/>
      <c r="LME34" s="21"/>
      <c r="LMF34" s="21"/>
      <c r="LMG34" s="21"/>
      <c r="LMH34" s="21"/>
      <c r="LMI34" s="21"/>
      <c r="LMJ34" s="21"/>
      <c r="LMK34" s="21"/>
      <c r="LML34" s="21"/>
      <c r="LMM34" s="21"/>
      <c r="LMN34" s="21"/>
      <c r="LMO34" s="21"/>
      <c r="LMP34" s="21"/>
      <c r="LMQ34" s="21"/>
      <c r="LMR34" s="21"/>
      <c r="LMS34" s="21"/>
      <c r="LMT34" s="21"/>
      <c r="LMU34" s="21"/>
      <c r="LMV34" s="21"/>
      <c r="LMW34" s="21"/>
      <c r="LMX34" s="21"/>
      <c r="LMY34" s="21"/>
      <c r="LMZ34" s="21"/>
      <c r="LNA34" s="21"/>
      <c r="LNB34" s="21"/>
      <c r="LNC34" s="21"/>
      <c r="LND34" s="21"/>
      <c r="LNE34" s="21"/>
      <c r="LNF34" s="21"/>
      <c r="LNG34" s="21"/>
      <c r="LNH34" s="21"/>
      <c r="LNI34" s="21"/>
      <c r="LNJ34" s="21"/>
      <c r="LNK34" s="21"/>
      <c r="LNL34" s="21"/>
      <c r="LNM34" s="21"/>
      <c r="LNN34" s="21"/>
      <c r="LNO34" s="21"/>
      <c r="LNP34" s="21"/>
      <c r="LNQ34" s="21"/>
      <c r="LNR34" s="21"/>
      <c r="LNS34" s="21"/>
      <c r="LNT34" s="21"/>
      <c r="LNU34" s="21"/>
      <c r="LNV34" s="21"/>
      <c r="LNW34" s="21"/>
      <c r="LNX34" s="21"/>
      <c r="LNY34" s="21"/>
      <c r="LNZ34" s="21"/>
      <c r="LOA34" s="21"/>
      <c r="LOB34" s="21"/>
      <c r="LOC34" s="21"/>
      <c r="LOD34" s="21"/>
      <c r="LOE34" s="21"/>
      <c r="LOF34" s="21"/>
      <c r="LOG34" s="21"/>
      <c r="LOH34" s="21"/>
      <c r="LOI34" s="21"/>
      <c r="LOJ34" s="21"/>
      <c r="LOK34" s="21"/>
      <c r="LOL34" s="21"/>
      <c r="LOM34" s="21"/>
      <c r="LON34" s="21"/>
      <c r="LOO34" s="21"/>
      <c r="LOP34" s="21"/>
      <c r="LOQ34" s="21"/>
      <c r="LOR34" s="21"/>
      <c r="LOS34" s="21"/>
      <c r="LOT34" s="21"/>
      <c r="LOU34" s="21"/>
      <c r="LOV34" s="21"/>
      <c r="LOW34" s="21"/>
      <c r="LOX34" s="21"/>
      <c r="LOY34" s="21"/>
      <c r="LOZ34" s="21"/>
      <c r="LPA34" s="21"/>
      <c r="LPB34" s="21"/>
      <c r="LPC34" s="21"/>
      <c r="LPD34" s="21"/>
      <c r="LPE34" s="21"/>
      <c r="LPF34" s="21"/>
      <c r="LPG34" s="21"/>
      <c r="LPH34" s="21"/>
      <c r="LPI34" s="21"/>
      <c r="LPJ34" s="21"/>
      <c r="LPK34" s="21"/>
      <c r="LPL34" s="21"/>
      <c r="LPM34" s="21"/>
      <c r="LPN34" s="21"/>
      <c r="LPO34" s="21"/>
      <c r="LPP34" s="21"/>
      <c r="LPQ34" s="21"/>
      <c r="LPR34" s="21"/>
      <c r="LPS34" s="21"/>
      <c r="LPT34" s="21"/>
      <c r="LPU34" s="21"/>
      <c r="LPV34" s="21"/>
      <c r="LPW34" s="21"/>
      <c r="LPX34" s="21"/>
      <c r="LPY34" s="21"/>
      <c r="LPZ34" s="21"/>
      <c r="LQA34" s="21"/>
      <c r="LQB34" s="21"/>
      <c r="LQC34" s="21"/>
      <c r="LQD34" s="21"/>
      <c r="LQE34" s="21"/>
      <c r="LQF34" s="21"/>
      <c r="LQG34" s="21"/>
      <c r="LQH34" s="21"/>
      <c r="LQI34" s="21"/>
      <c r="LQJ34" s="21"/>
      <c r="LQK34" s="21"/>
      <c r="LQL34" s="21"/>
      <c r="LQM34" s="21"/>
      <c r="LQN34" s="21"/>
      <c r="LQO34" s="21"/>
      <c r="LQP34" s="21"/>
      <c r="LQQ34" s="21"/>
      <c r="LQR34" s="21"/>
      <c r="LQS34" s="21"/>
      <c r="LQT34" s="21"/>
      <c r="LQU34" s="21"/>
      <c r="LQV34" s="21"/>
      <c r="LQW34" s="21"/>
      <c r="LQX34" s="21"/>
      <c r="LQY34" s="21"/>
      <c r="LQZ34" s="21"/>
      <c r="LRA34" s="21"/>
      <c r="LRB34" s="21"/>
      <c r="LRC34" s="21"/>
      <c r="LRD34" s="21"/>
      <c r="LRE34" s="21"/>
      <c r="LRF34" s="21"/>
      <c r="LRG34" s="21"/>
      <c r="LRH34" s="21"/>
      <c r="LRI34" s="21"/>
      <c r="LRJ34" s="21"/>
      <c r="LRK34" s="21"/>
      <c r="LRL34" s="21"/>
      <c r="LRM34" s="21"/>
      <c r="LRN34" s="21"/>
      <c r="LRO34" s="21"/>
      <c r="LRP34" s="21"/>
      <c r="LRQ34" s="21"/>
      <c r="LRR34" s="21"/>
      <c r="LRS34" s="21"/>
      <c r="LRT34" s="21"/>
      <c r="LRU34" s="21"/>
      <c r="LRV34" s="21"/>
      <c r="LRW34" s="21"/>
      <c r="LRX34" s="21"/>
      <c r="LRY34" s="21"/>
      <c r="LRZ34" s="21"/>
      <c r="LSA34" s="21"/>
      <c r="LSB34" s="21"/>
      <c r="LSC34" s="21"/>
      <c r="LSD34" s="21"/>
      <c r="LSE34" s="21"/>
      <c r="LSF34" s="21"/>
      <c r="LSG34" s="21"/>
      <c r="LSH34" s="21"/>
      <c r="LSI34" s="21"/>
      <c r="LSJ34" s="21"/>
      <c r="LSK34" s="21"/>
      <c r="LSL34" s="21"/>
      <c r="LSM34" s="21"/>
      <c r="LSN34" s="21"/>
      <c r="LSO34" s="21"/>
      <c r="LSP34" s="21"/>
      <c r="LSQ34" s="21"/>
      <c r="LSR34" s="21"/>
      <c r="LSS34" s="21"/>
      <c r="LST34" s="21"/>
      <c r="LSU34" s="21"/>
      <c r="LSV34" s="21"/>
      <c r="LSW34" s="21"/>
      <c r="LSX34" s="21"/>
      <c r="LSY34" s="21"/>
      <c r="LSZ34" s="21"/>
      <c r="LTA34" s="21"/>
      <c r="LTB34" s="21"/>
      <c r="LTC34" s="21"/>
      <c r="LTD34" s="21"/>
      <c r="LTE34" s="21"/>
      <c r="LTF34" s="21"/>
      <c r="LTG34" s="21"/>
      <c r="LTH34" s="21"/>
      <c r="LTI34" s="21"/>
      <c r="LTJ34" s="21"/>
      <c r="LTK34" s="21"/>
      <c r="LTL34" s="21"/>
      <c r="LTM34" s="21"/>
      <c r="LTN34" s="21"/>
      <c r="LTO34" s="21"/>
      <c r="LTP34" s="21"/>
      <c r="LTQ34" s="21"/>
      <c r="LTR34" s="21"/>
      <c r="LTS34" s="21"/>
      <c r="LTT34" s="21"/>
      <c r="LTU34" s="21"/>
      <c r="LTV34" s="21"/>
      <c r="LTW34" s="21"/>
      <c r="LTX34" s="21"/>
      <c r="LTY34" s="21"/>
      <c r="LTZ34" s="21"/>
      <c r="LUA34" s="21"/>
      <c r="LUB34" s="21"/>
      <c r="LUC34" s="21"/>
      <c r="LUD34" s="21"/>
      <c r="LUE34" s="21"/>
      <c r="LUF34" s="21"/>
      <c r="LUG34" s="21"/>
      <c r="LUH34" s="21"/>
      <c r="LUI34" s="21"/>
      <c r="LUJ34" s="21"/>
      <c r="LUK34" s="21"/>
      <c r="LUL34" s="21"/>
      <c r="LUM34" s="21"/>
      <c r="LUN34" s="21"/>
      <c r="LUO34" s="21"/>
      <c r="LUP34" s="21"/>
      <c r="LUQ34" s="21"/>
      <c r="LUR34" s="21"/>
      <c r="LUS34" s="21"/>
      <c r="LUT34" s="21"/>
      <c r="LUU34" s="21"/>
      <c r="LUV34" s="21"/>
      <c r="LUW34" s="21"/>
      <c r="LUX34" s="21"/>
      <c r="LUY34" s="21"/>
      <c r="LUZ34" s="21"/>
      <c r="LVA34" s="21"/>
      <c r="LVB34" s="21"/>
      <c r="LVC34" s="21"/>
      <c r="LVD34" s="21"/>
      <c r="LVE34" s="21"/>
      <c r="LVF34" s="21"/>
      <c r="LVG34" s="21"/>
      <c r="LVH34" s="21"/>
      <c r="LVI34" s="21"/>
      <c r="LVJ34" s="21"/>
      <c r="LVK34" s="21"/>
      <c r="LVL34" s="21"/>
      <c r="LVM34" s="21"/>
      <c r="LVN34" s="21"/>
      <c r="LVO34" s="21"/>
      <c r="LVP34" s="21"/>
      <c r="LVQ34" s="21"/>
      <c r="LVR34" s="21"/>
      <c r="LVS34" s="21"/>
      <c r="LVT34" s="21"/>
      <c r="LVU34" s="21"/>
      <c r="LVV34" s="21"/>
      <c r="LVW34" s="21"/>
      <c r="LVX34" s="21"/>
      <c r="LVY34" s="21"/>
      <c r="LVZ34" s="21"/>
      <c r="LWA34" s="21"/>
      <c r="LWB34" s="21"/>
      <c r="LWC34" s="21"/>
      <c r="LWD34" s="21"/>
      <c r="LWE34" s="21"/>
      <c r="LWF34" s="21"/>
      <c r="LWG34" s="21"/>
      <c r="LWH34" s="21"/>
      <c r="LWI34" s="21"/>
      <c r="LWJ34" s="21"/>
      <c r="LWK34" s="21"/>
      <c r="LWL34" s="21"/>
      <c r="LWM34" s="21"/>
      <c r="LWN34" s="21"/>
      <c r="LWO34" s="21"/>
      <c r="LWP34" s="21"/>
      <c r="LWQ34" s="21"/>
      <c r="LWR34" s="21"/>
      <c r="LWS34" s="21"/>
      <c r="LWT34" s="21"/>
      <c r="LWU34" s="21"/>
      <c r="LWV34" s="21"/>
      <c r="LWW34" s="21"/>
      <c r="LWX34" s="21"/>
      <c r="LWY34" s="21"/>
      <c r="LWZ34" s="21"/>
      <c r="LXA34" s="21"/>
      <c r="LXB34" s="21"/>
      <c r="LXC34" s="21"/>
      <c r="LXD34" s="21"/>
      <c r="LXE34" s="21"/>
      <c r="LXF34" s="21"/>
      <c r="LXG34" s="21"/>
      <c r="LXH34" s="21"/>
      <c r="LXI34" s="21"/>
      <c r="LXJ34" s="21"/>
      <c r="LXK34" s="21"/>
      <c r="LXL34" s="21"/>
      <c r="LXM34" s="21"/>
      <c r="LXN34" s="21"/>
      <c r="LXO34" s="21"/>
      <c r="LXP34" s="21"/>
      <c r="LXQ34" s="21"/>
      <c r="LXR34" s="21"/>
      <c r="LXS34" s="21"/>
      <c r="LXT34" s="21"/>
      <c r="LXU34" s="21"/>
      <c r="LXV34" s="21"/>
      <c r="LXW34" s="21"/>
      <c r="LXX34" s="21"/>
      <c r="LXY34" s="21"/>
      <c r="LXZ34" s="21"/>
      <c r="LYA34" s="21"/>
      <c r="LYB34" s="21"/>
      <c r="LYC34" s="21"/>
      <c r="LYD34" s="21"/>
      <c r="LYE34" s="21"/>
      <c r="LYF34" s="21"/>
      <c r="LYG34" s="21"/>
      <c r="LYH34" s="21"/>
      <c r="LYI34" s="21"/>
      <c r="LYJ34" s="21"/>
      <c r="LYK34" s="21"/>
      <c r="LYL34" s="21"/>
      <c r="LYM34" s="21"/>
      <c r="LYN34" s="21"/>
      <c r="LYO34" s="21"/>
      <c r="LYP34" s="21"/>
      <c r="LYQ34" s="21"/>
      <c r="LYR34" s="21"/>
      <c r="LYS34" s="21"/>
      <c r="LYT34" s="21"/>
      <c r="LYU34" s="21"/>
      <c r="LYV34" s="21"/>
      <c r="LYW34" s="21"/>
      <c r="LYX34" s="21"/>
      <c r="LYY34" s="21"/>
      <c r="LYZ34" s="21"/>
      <c r="LZA34" s="21"/>
      <c r="LZB34" s="21"/>
      <c r="LZC34" s="21"/>
      <c r="LZD34" s="21"/>
      <c r="LZE34" s="21"/>
      <c r="LZF34" s="21"/>
      <c r="LZG34" s="21"/>
      <c r="LZH34" s="21"/>
      <c r="LZI34" s="21"/>
      <c r="LZJ34" s="21"/>
      <c r="LZK34" s="21"/>
      <c r="LZL34" s="21"/>
      <c r="LZM34" s="21"/>
      <c r="LZN34" s="21"/>
      <c r="LZO34" s="21"/>
      <c r="LZP34" s="21"/>
      <c r="LZQ34" s="21"/>
      <c r="LZR34" s="21"/>
      <c r="LZS34" s="21"/>
      <c r="LZT34" s="21"/>
      <c r="LZU34" s="21"/>
      <c r="LZV34" s="21"/>
      <c r="LZW34" s="21"/>
      <c r="LZX34" s="21"/>
      <c r="LZY34" s="21"/>
      <c r="LZZ34" s="21"/>
      <c r="MAA34" s="21"/>
      <c r="MAB34" s="21"/>
      <c r="MAC34" s="21"/>
      <c r="MAD34" s="21"/>
      <c r="MAE34" s="21"/>
      <c r="MAF34" s="21"/>
      <c r="MAG34" s="21"/>
      <c r="MAH34" s="21"/>
      <c r="MAI34" s="21"/>
      <c r="MAJ34" s="21"/>
      <c r="MAK34" s="21"/>
      <c r="MAL34" s="21"/>
      <c r="MAM34" s="21"/>
      <c r="MAN34" s="21"/>
      <c r="MAO34" s="21"/>
      <c r="MAP34" s="21"/>
      <c r="MAQ34" s="21"/>
      <c r="MAR34" s="21"/>
      <c r="MAS34" s="21"/>
      <c r="MAT34" s="21"/>
      <c r="MAU34" s="21"/>
      <c r="MAV34" s="21"/>
      <c r="MAW34" s="21"/>
      <c r="MAX34" s="21"/>
      <c r="MAY34" s="21"/>
      <c r="MAZ34" s="21"/>
      <c r="MBA34" s="21"/>
      <c r="MBB34" s="21"/>
      <c r="MBC34" s="21"/>
      <c r="MBD34" s="21"/>
      <c r="MBE34" s="21"/>
      <c r="MBF34" s="21"/>
      <c r="MBG34" s="21"/>
      <c r="MBH34" s="21"/>
      <c r="MBI34" s="21"/>
      <c r="MBJ34" s="21"/>
      <c r="MBK34" s="21"/>
      <c r="MBL34" s="21"/>
      <c r="MBM34" s="21"/>
      <c r="MBN34" s="21"/>
      <c r="MBO34" s="21"/>
      <c r="MBP34" s="21"/>
      <c r="MBQ34" s="21"/>
      <c r="MBR34" s="21"/>
      <c r="MBS34" s="21"/>
      <c r="MBT34" s="21"/>
      <c r="MBU34" s="21"/>
      <c r="MBV34" s="21"/>
      <c r="MBW34" s="21"/>
      <c r="MBX34" s="21"/>
      <c r="MBY34" s="21"/>
      <c r="MBZ34" s="21"/>
      <c r="MCA34" s="21"/>
      <c r="MCB34" s="21"/>
      <c r="MCC34" s="21"/>
      <c r="MCD34" s="21"/>
      <c r="MCE34" s="21"/>
      <c r="MCF34" s="21"/>
      <c r="MCG34" s="21"/>
      <c r="MCH34" s="21"/>
      <c r="MCI34" s="21"/>
      <c r="MCJ34" s="21"/>
      <c r="MCK34" s="21"/>
      <c r="MCL34" s="21"/>
      <c r="MCM34" s="21"/>
      <c r="MCN34" s="21"/>
      <c r="MCO34" s="21"/>
      <c r="MCP34" s="21"/>
      <c r="MCQ34" s="21"/>
      <c r="MCR34" s="21"/>
      <c r="MCS34" s="21"/>
      <c r="MCT34" s="21"/>
      <c r="MCU34" s="21"/>
      <c r="MCV34" s="21"/>
      <c r="MCW34" s="21"/>
      <c r="MCX34" s="21"/>
      <c r="MCY34" s="21"/>
      <c r="MCZ34" s="21"/>
      <c r="MDA34" s="21"/>
      <c r="MDB34" s="21"/>
      <c r="MDC34" s="21"/>
      <c r="MDD34" s="21"/>
      <c r="MDE34" s="21"/>
      <c r="MDF34" s="21"/>
      <c r="MDG34" s="21"/>
      <c r="MDH34" s="21"/>
      <c r="MDI34" s="21"/>
      <c r="MDJ34" s="21"/>
      <c r="MDK34" s="21"/>
      <c r="MDL34" s="21"/>
      <c r="MDM34" s="21"/>
      <c r="MDN34" s="21"/>
      <c r="MDO34" s="21"/>
      <c r="MDP34" s="21"/>
      <c r="MDQ34" s="21"/>
      <c r="MDR34" s="21"/>
      <c r="MDS34" s="21"/>
      <c r="MDT34" s="21"/>
      <c r="MDU34" s="21"/>
      <c r="MDV34" s="21"/>
      <c r="MDW34" s="21"/>
      <c r="MDX34" s="21"/>
      <c r="MDY34" s="21"/>
      <c r="MDZ34" s="21"/>
      <c r="MEA34" s="21"/>
      <c r="MEB34" s="21"/>
      <c r="MEC34" s="21"/>
      <c r="MED34" s="21"/>
      <c r="MEE34" s="21"/>
      <c r="MEF34" s="21"/>
      <c r="MEG34" s="21"/>
      <c r="MEH34" s="21"/>
      <c r="MEI34" s="21"/>
      <c r="MEJ34" s="21"/>
      <c r="MEK34" s="21"/>
      <c r="MEL34" s="21"/>
      <c r="MEM34" s="21"/>
      <c r="MEN34" s="21"/>
      <c r="MEO34" s="21"/>
      <c r="MEP34" s="21"/>
      <c r="MEQ34" s="21"/>
      <c r="MER34" s="21"/>
      <c r="MES34" s="21"/>
      <c r="MET34" s="21"/>
      <c r="MEU34" s="21"/>
      <c r="MEV34" s="21"/>
      <c r="MEW34" s="21"/>
      <c r="MEX34" s="21"/>
      <c r="MEY34" s="21"/>
      <c r="MEZ34" s="21"/>
      <c r="MFA34" s="21"/>
      <c r="MFB34" s="21"/>
      <c r="MFC34" s="21"/>
      <c r="MFD34" s="21"/>
      <c r="MFE34" s="21"/>
      <c r="MFF34" s="21"/>
      <c r="MFG34" s="21"/>
      <c r="MFH34" s="21"/>
      <c r="MFI34" s="21"/>
      <c r="MFJ34" s="21"/>
      <c r="MFK34" s="21"/>
      <c r="MFL34" s="21"/>
      <c r="MFM34" s="21"/>
      <c r="MFN34" s="21"/>
      <c r="MFO34" s="21"/>
      <c r="MFP34" s="21"/>
      <c r="MFQ34" s="21"/>
      <c r="MFR34" s="21"/>
      <c r="MFS34" s="21"/>
      <c r="MFT34" s="21"/>
      <c r="MFU34" s="21"/>
      <c r="MFV34" s="21"/>
      <c r="MFW34" s="21"/>
      <c r="MFX34" s="21"/>
      <c r="MFY34" s="21"/>
      <c r="MFZ34" s="21"/>
      <c r="MGA34" s="21"/>
      <c r="MGB34" s="21"/>
      <c r="MGC34" s="21"/>
      <c r="MGD34" s="21"/>
      <c r="MGE34" s="21"/>
      <c r="MGF34" s="21"/>
      <c r="MGG34" s="21"/>
      <c r="MGH34" s="21"/>
      <c r="MGI34" s="21"/>
      <c r="MGJ34" s="21"/>
      <c r="MGK34" s="21"/>
      <c r="MGL34" s="21"/>
      <c r="MGM34" s="21"/>
      <c r="MGN34" s="21"/>
      <c r="MGO34" s="21"/>
      <c r="MGP34" s="21"/>
      <c r="MGQ34" s="21"/>
      <c r="MGR34" s="21"/>
      <c r="MGS34" s="21"/>
      <c r="MGT34" s="21"/>
      <c r="MGU34" s="21"/>
      <c r="MGV34" s="21"/>
      <c r="MGW34" s="21"/>
      <c r="MGX34" s="21"/>
      <c r="MGY34" s="21"/>
      <c r="MGZ34" s="21"/>
      <c r="MHA34" s="21"/>
      <c r="MHB34" s="21"/>
      <c r="MHC34" s="21"/>
      <c r="MHD34" s="21"/>
      <c r="MHE34" s="21"/>
      <c r="MHF34" s="21"/>
      <c r="MHG34" s="21"/>
      <c r="MHH34" s="21"/>
      <c r="MHI34" s="21"/>
      <c r="MHJ34" s="21"/>
      <c r="MHK34" s="21"/>
      <c r="MHL34" s="21"/>
      <c r="MHM34" s="21"/>
      <c r="MHN34" s="21"/>
      <c r="MHO34" s="21"/>
      <c r="MHP34" s="21"/>
      <c r="MHQ34" s="21"/>
      <c r="MHR34" s="21"/>
      <c r="MHS34" s="21"/>
      <c r="MHT34" s="21"/>
      <c r="MHU34" s="21"/>
      <c r="MHV34" s="21"/>
      <c r="MHW34" s="21"/>
      <c r="MHX34" s="21"/>
      <c r="MHY34" s="21"/>
      <c r="MHZ34" s="21"/>
      <c r="MIA34" s="21"/>
      <c r="MIB34" s="21"/>
      <c r="MIC34" s="21"/>
      <c r="MID34" s="21"/>
      <c r="MIE34" s="21"/>
      <c r="MIF34" s="21"/>
      <c r="MIG34" s="21"/>
      <c r="MIH34" s="21"/>
      <c r="MII34" s="21"/>
      <c r="MIJ34" s="21"/>
      <c r="MIK34" s="21"/>
      <c r="MIL34" s="21"/>
      <c r="MIM34" s="21"/>
      <c r="MIN34" s="21"/>
      <c r="MIO34" s="21"/>
      <c r="MIP34" s="21"/>
      <c r="MIQ34" s="21"/>
      <c r="MIR34" s="21"/>
      <c r="MIS34" s="21"/>
      <c r="MIT34" s="21"/>
      <c r="MIU34" s="21"/>
      <c r="MIV34" s="21"/>
      <c r="MIW34" s="21"/>
      <c r="MIX34" s="21"/>
      <c r="MIY34" s="21"/>
      <c r="MIZ34" s="21"/>
      <c r="MJA34" s="21"/>
      <c r="MJB34" s="21"/>
      <c r="MJC34" s="21"/>
      <c r="MJD34" s="21"/>
      <c r="MJE34" s="21"/>
      <c r="MJF34" s="21"/>
      <c r="MJG34" s="21"/>
      <c r="MJH34" s="21"/>
      <c r="MJI34" s="21"/>
      <c r="MJJ34" s="21"/>
      <c r="MJK34" s="21"/>
      <c r="MJL34" s="21"/>
      <c r="MJM34" s="21"/>
      <c r="MJN34" s="21"/>
      <c r="MJO34" s="21"/>
      <c r="MJP34" s="21"/>
      <c r="MJQ34" s="21"/>
      <c r="MJR34" s="21"/>
      <c r="MJS34" s="21"/>
      <c r="MJT34" s="21"/>
      <c r="MJU34" s="21"/>
      <c r="MJV34" s="21"/>
      <c r="MJW34" s="21"/>
      <c r="MJX34" s="21"/>
      <c r="MJY34" s="21"/>
      <c r="MJZ34" s="21"/>
      <c r="MKA34" s="21"/>
      <c r="MKB34" s="21"/>
      <c r="MKC34" s="21"/>
      <c r="MKD34" s="21"/>
      <c r="MKE34" s="21"/>
      <c r="MKF34" s="21"/>
      <c r="MKG34" s="21"/>
      <c r="MKH34" s="21"/>
      <c r="MKI34" s="21"/>
      <c r="MKJ34" s="21"/>
      <c r="MKK34" s="21"/>
      <c r="MKL34" s="21"/>
      <c r="MKM34" s="21"/>
      <c r="MKN34" s="21"/>
      <c r="MKO34" s="21"/>
      <c r="MKP34" s="21"/>
      <c r="MKQ34" s="21"/>
      <c r="MKR34" s="21"/>
      <c r="MKS34" s="21"/>
      <c r="MKT34" s="21"/>
      <c r="MKU34" s="21"/>
      <c r="MKV34" s="21"/>
      <c r="MKW34" s="21"/>
      <c r="MKX34" s="21"/>
      <c r="MKY34" s="21"/>
      <c r="MKZ34" s="21"/>
      <c r="MLA34" s="21"/>
      <c r="MLB34" s="21"/>
      <c r="MLC34" s="21"/>
      <c r="MLD34" s="21"/>
      <c r="MLE34" s="21"/>
      <c r="MLF34" s="21"/>
      <c r="MLG34" s="21"/>
      <c r="MLH34" s="21"/>
      <c r="MLI34" s="21"/>
      <c r="MLJ34" s="21"/>
      <c r="MLK34" s="21"/>
      <c r="MLL34" s="21"/>
      <c r="MLM34" s="21"/>
      <c r="MLN34" s="21"/>
      <c r="MLO34" s="21"/>
      <c r="MLP34" s="21"/>
      <c r="MLQ34" s="21"/>
      <c r="MLR34" s="21"/>
      <c r="MLS34" s="21"/>
      <c r="MLT34" s="21"/>
      <c r="MLU34" s="21"/>
      <c r="MLV34" s="21"/>
      <c r="MLW34" s="21"/>
      <c r="MLX34" s="21"/>
      <c r="MLY34" s="21"/>
      <c r="MLZ34" s="21"/>
      <c r="MMA34" s="21"/>
      <c r="MMB34" s="21"/>
      <c r="MMC34" s="21"/>
      <c r="MMD34" s="21"/>
      <c r="MME34" s="21"/>
      <c r="MMF34" s="21"/>
      <c r="MMG34" s="21"/>
      <c r="MMH34" s="21"/>
      <c r="MMI34" s="21"/>
      <c r="MMJ34" s="21"/>
      <c r="MMK34" s="21"/>
      <c r="MML34" s="21"/>
      <c r="MMM34" s="21"/>
      <c r="MMN34" s="21"/>
      <c r="MMO34" s="21"/>
      <c r="MMP34" s="21"/>
      <c r="MMQ34" s="21"/>
      <c r="MMR34" s="21"/>
      <c r="MMS34" s="21"/>
      <c r="MMT34" s="21"/>
      <c r="MMU34" s="21"/>
      <c r="MMV34" s="21"/>
      <c r="MMW34" s="21"/>
      <c r="MMX34" s="21"/>
      <c r="MMY34" s="21"/>
      <c r="MMZ34" s="21"/>
      <c r="MNA34" s="21"/>
      <c r="MNB34" s="21"/>
      <c r="MNC34" s="21"/>
      <c r="MND34" s="21"/>
      <c r="MNE34" s="21"/>
      <c r="MNF34" s="21"/>
      <c r="MNG34" s="21"/>
      <c r="MNH34" s="21"/>
      <c r="MNI34" s="21"/>
      <c r="MNJ34" s="21"/>
      <c r="MNK34" s="21"/>
      <c r="MNL34" s="21"/>
      <c r="MNM34" s="21"/>
      <c r="MNN34" s="21"/>
      <c r="MNO34" s="21"/>
      <c r="MNP34" s="21"/>
      <c r="MNQ34" s="21"/>
      <c r="MNR34" s="21"/>
      <c r="MNS34" s="21"/>
      <c r="MNT34" s="21"/>
      <c r="MNU34" s="21"/>
      <c r="MNV34" s="21"/>
      <c r="MNW34" s="21"/>
      <c r="MNX34" s="21"/>
      <c r="MNY34" s="21"/>
      <c r="MNZ34" s="21"/>
      <c r="MOA34" s="21"/>
      <c r="MOB34" s="21"/>
      <c r="MOC34" s="21"/>
      <c r="MOD34" s="21"/>
      <c r="MOE34" s="21"/>
      <c r="MOF34" s="21"/>
      <c r="MOG34" s="21"/>
      <c r="MOH34" s="21"/>
      <c r="MOI34" s="21"/>
      <c r="MOJ34" s="21"/>
      <c r="MOK34" s="21"/>
      <c r="MOL34" s="21"/>
      <c r="MOM34" s="21"/>
      <c r="MON34" s="21"/>
      <c r="MOO34" s="21"/>
      <c r="MOP34" s="21"/>
      <c r="MOQ34" s="21"/>
      <c r="MOR34" s="21"/>
      <c r="MOS34" s="21"/>
      <c r="MOT34" s="21"/>
      <c r="MOU34" s="21"/>
      <c r="MOV34" s="21"/>
      <c r="MOW34" s="21"/>
      <c r="MOX34" s="21"/>
      <c r="MOY34" s="21"/>
      <c r="MOZ34" s="21"/>
      <c r="MPA34" s="21"/>
      <c r="MPB34" s="21"/>
      <c r="MPC34" s="21"/>
      <c r="MPD34" s="21"/>
      <c r="MPE34" s="21"/>
      <c r="MPF34" s="21"/>
      <c r="MPG34" s="21"/>
      <c r="MPH34" s="21"/>
      <c r="MPI34" s="21"/>
      <c r="MPJ34" s="21"/>
      <c r="MPK34" s="21"/>
      <c r="MPL34" s="21"/>
      <c r="MPM34" s="21"/>
      <c r="MPN34" s="21"/>
      <c r="MPO34" s="21"/>
      <c r="MPP34" s="21"/>
      <c r="MPQ34" s="21"/>
      <c r="MPR34" s="21"/>
      <c r="MPS34" s="21"/>
      <c r="MPT34" s="21"/>
      <c r="MPU34" s="21"/>
      <c r="MPV34" s="21"/>
      <c r="MPW34" s="21"/>
      <c r="MPX34" s="21"/>
      <c r="MPY34" s="21"/>
      <c r="MPZ34" s="21"/>
      <c r="MQA34" s="21"/>
      <c r="MQB34" s="21"/>
      <c r="MQC34" s="21"/>
      <c r="MQD34" s="21"/>
      <c r="MQE34" s="21"/>
      <c r="MQF34" s="21"/>
      <c r="MQG34" s="21"/>
      <c r="MQH34" s="21"/>
      <c r="MQI34" s="21"/>
      <c r="MQJ34" s="21"/>
      <c r="MQK34" s="21"/>
      <c r="MQL34" s="21"/>
      <c r="MQM34" s="21"/>
      <c r="MQN34" s="21"/>
      <c r="MQO34" s="21"/>
      <c r="MQP34" s="21"/>
      <c r="MQQ34" s="21"/>
      <c r="MQR34" s="21"/>
      <c r="MQS34" s="21"/>
      <c r="MQT34" s="21"/>
      <c r="MQU34" s="21"/>
      <c r="MQV34" s="21"/>
      <c r="MQW34" s="21"/>
      <c r="MQX34" s="21"/>
      <c r="MQY34" s="21"/>
      <c r="MQZ34" s="21"/>
      <c r="MRA34" s="21"/>
      <c r="MRB34" s="21"/>
      <c r="MRC34" s="21"/>
      <c r="MRD34" s="21"/>
      <c r="MRE34" s="21"/>
      <c r="MRF34" s="21"/>
      <c r="MRG34" s="21"/>
      <c r="MRH34" s="21"/>
      <c r="MRI34" s="21"/>
      <c r="MRJ34" s="21"/>
      <c r="MRK34" s="21"/>
      <c r="MRL34" s="21"/>
      <c r="MRM34" s="21"/>
      <c r="MRN34" s="21"/>
      <c r="MRO34" s="21"/>
      <c r="MRP34" s="21"/>
      <c r="MRQ34" s="21"/>
      <c r="MRR34" s="21"/>
      <c r="MRS34" s="21"/>
      <c r="MRT34" s="21"/>
      <c r="MRU34" s="21"/>
      <c r="MRV34" s="21"/>
      <c r="MRW34" s="21"/>
      <c r="MRX34" s="21"/>
      <c r="MRY34" s="21"/>
      <c r="MRZ34" s="21"/>
      <c r="MSA34" s="21"/>
      <c r="MSB34" s="21"/>
      <c r="MSC34" s="21"/>
      <c r="MSD34" s="21"/>
      <c r="MSE34" s="21"/>
      <c r="MSF34" s="21"/>
      <c r="MSG34" s="21"/>
      <c r="MSH34" s="21"/>
      <c r="MSI34" s="21"/>
      <c r="MSJ34" s="21"/>
      <c r="MSK34" s="21"/>
      <c r="MSL34" s="21"/>
      <c r="MSM34" s="21"/>
      <c r="MSN34" s="21"/>
      <c r="MSO34" s="21"/>
      <c r="MSP34" s="21"/>
      <c r="MSQ34" s="21"/>
      <c r="MSR34" s="21"/>
      <c r="MSS34" s="21"/>
      <c r="MST34" s="21"/>
      <c r="MSU34" s="21"/>
      <c r="MSV34" s="21"/>
      <c r="MSW34" s="21"/>
      <c r="MSX34" s="21"/>
      <c r="MSY34" s="21"/>
      <c r="MSZ34" s="21"/>
      <c r="MTA34" s="21"/>
      <c r="MTB34" s="21"/>
      <c r="MTC34" s="21"/>
      <c r="MTD34" s="21"/>
      <c r="MTE34" s="21"/>
      <c r="MTF34" s="21"/>
      <c r="MTG34" s="21"/>
      <c r="MTH34" s="21"/>
      <c r="MTI34" s="21"/>
      <c r="MTJ34" s="21"/>
      <c r="MTK34" s="21"/>
      <c r="MTL34" s="21"/>
      <c r="MTM34" s="21"/>
      <c r="MTN34" s="21"/>
      <c r="MTO34" s="21"/>
      <c r="MTP34" s="21"/>
      <c r="MTQ34" s="21"/>
      <c r="MTR34" s="21"/>
      <c r="MTS34" s="21"/>
      <c r="MTT34" s="21"/>
      <c r="MTU34" s="21"/>
      <c r="MTV34" s="21"/>
      <c r="MTW34" s="21"/>
      <c r="MTX34" s="21"/>
      <c r="MTY34" s="21"/>
      <c r="MTZ34" s="21"/>
      <c r="MUA34" s="21"/>
      <c r="MUB34" s="21"/>
      <c r="MUC34" s="21"/>
      <c r="MUD34" s="21"/>
      <c r="MUE34" s="21"/>
      <c r="MUF34" s="21"/>
      <c r="MUG34" s="21"/>
      <c r="MUH34" s="21"/>
      <c r="MUI34" s="21"/>
      <c r="MUJ34" s="21"/>
      <c r="MUK34" s="21"/>
      <c r="MUL34" s="21"/>
      <c r="MUM34" s="21"/>
      <c r="MUN34" s="21"/>
      <c r="MUO34" s="21"/>
      <c r="MUP34" s="21"/>
      <c r="MUQ34" s="21"/>
      <c r="MUR34" s="21"/>
      <c r="MUS34" s="21"/>
      <c r="MUT34" s="21"/>
      <c r="MUU34" s="21"/>
      <c r="MUV34" s="21"/>
      <c r="MUW34" s="21"/>
      <c r="MUX34" s="21"/>
      <c r="MUY34" s="21"/>
      <c r="MUZ34" s="21"/>
      <c r="MVA34" s="21"/>
      <c r="MVB34" s="21"/>
      <c r="MVC34" s="21"/>
      <c r="MVD34" s="21"/>
      <c r="MVE34" s="21"/>
      <c r="MVF34" s="21"/>
      <c r="MVG34" s="21"/>
      <c r="MVH34" s="21"/>
      <c r="MVI34" s="21"/>
      <c r="MVJ34" s="21"/>
      <c r="MVK34" s="21"/>
      <c r="MVL34" s="21"/>
      <c r="MVM34" s="21"/>
      <c r="MVN34" s="21"/>
      <c r="MVO34" s="21"/>
      <c r="MVP34" s="21"/>
      <c r="MVQ34" s="21"/>
      <c r="MVR34" s="21"/>
      <c r="MVS34" s="21"/>
      <c r="MVT34" s="21"/>
      <c r="MVU34" s="21"/>
      <c r="MVV34" s="21"/>
      <c r="MVW34" s="21"/>
      <c r="MVX34" s="21"/>
      <c r="MVY34" s="21"/>
      <c r="MVZ34" s="21"/>
      <c r="MWA34" s="21"/>
      <c r="MWB34" s="21"/>
      <c r="MWC34" s="21"/>
      <c r="MWD34" s="21"/>
      <c r="MWE34" s="21"/>
      <c r="MWF34" s="21"/>
      <c r="MWG34" s="21"/>
      <c r="MWH34" s="21"/>
      <c r="MWI34" s="21"/>
      <c r="MWJ34" s="21"/>
      <c r="MWK34" s="21"/>
      <c r="MWL34" s="21"/>
      <c r="MWM34" s="21"/>
      <c r="MWN34" s="21"/>
      <c r="MWO34" s="21"/>
      <c r="MWP34" s="21"/>
      <c r="MWQ34" s="21"/>
      <c r="MWR34" s="21"/>
      <c r="MWS34" s="21"/>
      <c r="MWT34" s="21"/>
      <c r="MWU34" s="21"/>
      <c r="MWV34" s="21"/>
      <c r="MWW34" s="21"/>
      <c r="MWX34" s="21"/>
      <c r="MWY34" s="21"/>
      <c r="MWZ34" s="21"/>
      <c r="MXA34" s="21"/>
      <c r="MXB34" s="21"/>
      <c r="MXC34" s="21"/>
      <c r="MXD34" s="21"/>
      <c r="MXE34" s="21"/>
      <c r="MXF34" s="21"/>
      <c r="MXG34" s="21"/>
      <c r="MXH34" s="21"/>
      <c r="MXI34" s="21"/>
      <c r="MXJ34" s="21"/>
      <c r="MXK34" s="21"/>
      <c r="MXL34" s="21"/>
      <c r="MXM34" s="21"/>
      <c r="MXN34" s="21"/>
      <c r="MXO34" s="21"/>
      <c r="MXP34" s="21"/>
      <c r="MXQ34" s="21"/>
      <c r="MXR34" s="21"/>
      <c r="MXS34" s="21"/>
      <c r="MXT34" s="21"/>
      <c r="MXU34" s="21"/>
      <c r="MXV34" s="21"/>
      <c r="MXW34" s="21"/>
      <c r="MXX34" s="21"/>
      <c r="MXY34" s="21"/>
      <c r="MXZ34" s="21"/>
      <c r="MYA34" s="21"/>
      <c r="MYB34" s="21"/>
      <c r="MYC34" s="21"/>
      <c r="MYD34" s="21"/>
      <c r="MYE34" s="21"/>
      <c r="MYF34" s="21"/>
      <c r="MYG34" s="21"/>
      <c r="MYH34" s="21"/>
      <c r="MYI34" s="21"/>
      <c r="MYJ34" s="21"/>
      <c r="MYK34" s="21"/>
      <c r="MYL34" s="21"/>
      <c r="MYM34" s="21"/>
      <c r="MYN34" s="21"/>
      <c r="MYO34" s="21"/>
      <c r="MYP34" s="21"/>
      <c r="MYQ34" s="21"/>
      <c r="MYR34" s="21"/>
      <c r="MYS34" s="21"/>
      <c r="MYT34" s="21"/>
      <c r="MYU34" s="21"/>
      <c r="MYV34" s="21"/>
      <c r="MYW34" s="21"/>
      <c r="MYX34" s="21"/>
      <c r="MYY34" s="21"/>
      <c r="MYZ34" s="21"/>
      <c r="MZA34" s="21"/>
      <c r="MZB34" s="21"/>
      <c r="MZC34" s="21"/>
      <c r="MZD34" s="21"/>
      <c r="MZE34" s="21"/>
      <c r="MZF34" s="21"/>
      <c r="MZG34" s="21"/>
      <c r="MZH34" s="21"/>
      <c r="MZI34" s="21"/>
      <c r="MZJ34" s="21"/>
      <c r="MZK34" s="21"/>
      <c r="MZL34" s="21"/>
      <c r="MZM34" s="21"/>
      <c r="MZN34" s="21"/>
      <c r="MZO34" s="21"/>
      <c r="MZP34" s="21"/>
      <c r="MZQ34" s="21"/>
      <c r="MZR34" s="21"/>
      <c r="MZS34" s="21"/>
      <c r="MZT34" s="21"/>
      <c r="MZU34" s="21"/>
      <c r="MZV34" s="21"/>
      <c r="MZW34" s="21"/>
      <c r="MZX34" s="21"/>
      <c r="MZY34" s="21"/>
      <c r="MZZ34" s="21"/>
      <c r="NAA34" s="21"/>
      <c r="NAB34" s="21"/>
      <c r="NAC34" s="21"/>
      <c r="NAD34" s="21"/>
      <c r="NAE34" s="21"/>
      <c r="NAF34" s="21"/>
      <c r="NAG34" s="21"/>
      <c r="NAH34" s="21"/>
      <c r="NAI34" s="21"/>
      <c r="NAJ34" s="21"/>
      <c r="NAK34" s="21"/>
      <c r="NAL34" s="21"/>
      <c r="NAM34" s="21"/>
      <c r="NAN34" s="21"/>
      <c r="NAO34" s="21"/>
      <c r="NAP34" s="21"/>
      <c r="NAQ34" s="21"/>
      <c r="NAR34" s="21"/>
      <c r="NAS34" s="21"/>
      <c r="NAT34" s="21"/>
      <c r="NAU34" s="21"/>
      <c r="NAV34" s="21"/>
      <c r="NAW34" s="21"/>
      <c r="NAX34" s="21"/>
      <c r="NAY34" s="21"/>
      <c r="NAZ34" s="21"/>
      <c r="NBA34" s="21"/>
      <c r="NBB34" s="21"/>
      <c r="NBC34" s="21"/>
      <c r="NBD34" s="21"/>
      <c r="NBE34" s="21"/>
      <c r="NBF34" s="21"/>
      <c r="NBG34" s="21"/>
      <c r="NBH34" s="21"/>
      <c r="NBI34" s="21"/>
      <c r="NBJ34" s="21"/>
      <c r="NBK34" s="21"/>
      <c r="NBL34" s="21"/>
      <c r="NBM34" s="21"/>
      <c r="NBN34" s="21"/>
      <c r="NBO34" s="21"/>
      <c r="NBP34" s="21"/>
      <c r="NBQ34" s="21"/>
      <c r="NBR34" s="21"/>
      <c r="NBS34" s="21"/>
      <c r="NBT34" s="21"/>
      <c r="NBU34" s="21"/>
      <c r="NBV34" s="21"/>
      <c r="NBW34" s="21"/>
      <c r="NBX34" s="21"/>
      <c r="NBY34" s="21"/>
      <c r="NBZ34" s="21"/>
      <c r="NCA34" s="21"/>
      <c r="NCB34" s="21"/>
      <c r="NCC34" s="21"/>
      <c r="NCD34" s="21"/>
      <c r="NCE34" s="21"/>
      <c r="NCF34" s="21"/>
      <c r="NCG34" s="21"/>
      <c r="NCH34" s="21"/>
      <c r="NCI34" s="21"/>
      <c r="NCJ34" s="21"/>
      <c r="NCK34" s="21"/>
      <c r="NCL34" s="21"/>
      <c r="NCM34" s="21"/>
      <c r="NCN34" s="21"/>
      <c r="NCO34" s="21"/>
      <c r="NCP34" s="21"/>
      <c r="NCQ34" s="21"/>
      <c r="NCR34" s="21"/>
      <c r="NCS34" s="21"/>
      <c r="NCT34" s="21"/>
      <c r="NCU34" s="21"/>
      <c r="NCV34" s="21"/>
      <c r="NCW34" s="21"/>
      <c r="NCX34" s="21"/>
      <c r="NCY34" s="21"/>
      <c r="NCZ34" s="21"/>
      <c r="NDA34" s="21"/>
      <c r="NDB34" s="21"/>
      <c r="NDC34" s="21"/>
      <c r="NDD34" s="21"/>
      <c r="NDE34" s="21"/>
      <c r="NDF34" s="21"/>
      <c r="NDG34" s="21"/>
      <c r="NDH34" s="21"/>
      <c r="NDI34" s="21"/>
      <c r="NDJ34" s="21"/>
      <c r="NDK34" s="21"/>
      <c r="NDL34" s="21"/>
      <c r="NDM34" s="21"/>
      <c r="NDN34" s="21"/>
      <c r="NDO34" s="21"/>
      <c r="NDP34" s="21"/>
      <c r="NDQ34" s="21"/>
      <c r="NDR34" s="21"/>
      <c r="NDS34" s="21"/>
      <c r="NDT34" s="21"/>
      <c r="NDU34" s="21"/>
      <c r="NDV34" s="21"/>
      <c r="NDW34" s="21"/>
      <c r="NDX34" s="21"/>
      <c r="NDY34" s="21"/>
      <c r="NDZ34" s="21"/>
      <c r="NEA34" s="21"/>
      <c r="NEB34" s="21"/>
      <c r="NEC34" s="21"/>
      <c r="NED34" s="21"/>
      <c r="NEE34" s="21"/>
      <c r="NEF34" s="21"/>
      <c r="NEG34" s="21"/>
      <c r="NEH34" s="21"/>
      <c r="NEI34" s="21"/>
      <c r="NEJ34" s="21"/>
      <c r="NEK34" s="21"/>
      <c r="NEL34" s="21"/>
      <c r="NEM34" s="21"/>
      <c r="NEN34" s="21"/>
      <c r="NEO34" s="21"/>
      <c r="NEP34" s="21"/>
      <c r="NEQ34" s="21"/>
      <c r="NER34" s="21"/>
      <c r="NES34" s="21"/>
      <c r="NET34" s="21"/>
      <c r="NEU34" s="21"/>
      <c r="NEV34" s="21"/>
      <c r="NEW34" s="21"/>
      <c r="NEX34" s="21"/>
      <c r="NEY34" s="21"/>
      <c r="NEZ34" s="21"/>
      <c r="NFA34" s="21"/>
      <c r="NFB34" s="21"/>
      <c r="NFC34" s="21"/>
      <c r="NFD34" s="21"/>
      <c r="NFE34" s="21"/>
      <c r="NFF34" s="21"/>
      <c r="NFG34" s="21"/>
      <c r="NFH34" s="21"/>
      <c r="NFI34" s="21"/>
      <c r="NFJ34" s="21"/>
      <c r="NFK34" s="21"/>
      <c r="NFL34" s="21"/>
      <c r="NFM34" s="21"/>
      <c r="NFN34" s="21"/>
      <c r="NFO34" s="21"/>
      <c r="NFP34" s="21"/>
      <c r="NFQ34" s="21"/>
      <c r="NFR34" s="21"/>
      <c r="NFS34" s="21"/>
      <c r="NFT34" s="21"/>
      <c r="NFU34" s="21"/>
      <c r="NFV34" s="21"/>
      <c r="NFW34" s="21"/>
      <c r="NFX34" s="21"/>
      <c r="NFY34" s="21"/>
      <c r="NFZ34" s="21"/>
      <c r="NGA34" s="21"/>
      <c r="NGB34" s="21"/>
      <c r="NGC34" s="21"/>
      <c r="NGD34" s="21"/>
      <c r="NGE34" s="21"/>
      <c r="NGF34" s="21"/>
      <c r="NGG34" s="21"/>
      <c r="NGH34" s="21"/>
      <c r="NGI34" s="21"/>
      <c r="NGJ34" s="21"/>
      <c r="NGK34" s="21"/>
      <c r="NGL34" s="21"/>
      <c r="NGM34" s="21"/>
      <c r="NGN34" s="21"/>
      <c r="NGO34" s="21"/>
      <c r="NGP34" s="21"/>
      <c r="NGQ34" s="21"/>
      <c r="NGR34" s="21"/>
      <c r="NGS34" s="21"/>
      <c r="NGT34" s="21"/>
      <c r="NGU34" s="21"/>
      <c r="NGV34" s="21"/>
      <c r="NGW34" s="21"/>
      <c r="NGX34" s="21"/>
      <c r="NGY34" s="21"/>
      <c r="NGZ34" s="21"/>
      <c r="NHA34" s="21"/>
      <c r="NHB34" s="21"/>
      <c r="NHC34" s="21"/>
      <c r="NHD34" s="21"/>
      <c r="NHE34" s="21"/>
      <c r="NHF34" s="21"/>
      <c r="NHG34" s="21"/>
      <c r="NHH34" s="21"/>
      <c r="NHI34" s="21"/>
      <c r="NHJ34" s="21"/>
      <c r="NHK34" s="21"/>
      <c r="NHL34" s="21"/>
      <c r="NHM34" s="21"/>
      <c r="NHN34" s="21"/>
      <c r="NHO34" s="21"/>
      <c r="NHP34" s="21"/>
      <c r="NHQ34" s="21"/>
      <c r="NHR34" s="21"/>
      <c r="NHS34" s="21"/>
      <c r="NHT34" s="21"/>
      <c r="NHU34" s="21"/>
      <c r="NHV34" s="21"/>
      <c r="NHW34" s="21"/>
      <c r="NHX34" s="21"/>
      <c r="NHY34" s="21"/>
      <c r="NHZ34" s="21"/>
      <c r="NIA34" s="21"/>
      <c r="NIB34" s="21"/>
      <c r="NIC34" s="21"/>
      <c r="NID34" s="21"/>
      <c r="NIE34" s="21"/>
      <c r="NIF34" s="21"/>
      <c r="NIG34" s="21"/>
      <c r="NIH34" s="21"/>
      <c r="NII34" s="21"/>
      <c r="NIJ34" s="21"/>
      <c r="NIK34" s="21"/>
      <c r="NIL34" s="21"/>
      <c r="NIM34" s="21"/>
      <c r="NIN34" s="21"/>
      <c r="NIO34" s="21"/>
      <c r="NIP34" s="21"/>
      <c r="NIQ34" s="21"/>
      <c r="NIR34" s="21"/>
      <c r="NIS34" s="21"/>
      <c r="NIT34" s="21"/>
      <c r="NIU34" s="21"/>
      <c r="NIV34" s="21"/>
      <c r="NIW34" s="21"/>
      <c r="NIX34" s="21"/>
      <c r="NIY34" s="21"/>
      <c r="NIZ34" s="21"/>
      <c r="NJA34" s="21"/>
      <c r="NJB34" s="21"/>
      <c r="NJC34" s="21"/>
      <c r="NJD34" s="21"/>
      <c r="NJE34" s="21"/>
      <c r="NJF34" s="21"/>
      <c r="NJG34" s="21"/>
      <c r="NJH34" s="21"/>
      <c r="NJI34" s="21"/>
      <c r="NJJ34" s="21"/>
      <c r="NJK34" s="21"/>
      <c r="NJL34" s="21"/>
      <c r="NJM34" s="21"/>
      <c r="NJN34" s="21"/>
      <c r="NJO34" s="21"/>
      <c r="NJP34" s="21"/>
      <c r="NJQ34" s="21"/>
      <c r="NJR34" s="21"/>
      <c r="NJS34" s="21"/>
      <c r="NJT34" s="21"/>
      <c r="NJU34" s="21"/>
      <c r="NJV34" s="21"/>
      <c r="NJW34" s="21"/>
      <c r="NJX34" s="21"/>
      <c r="NJY34" s="21"/>
      <c r="NJZ34" s="21"/>
      <c r="NKA34" s="21"/>
      <c r="NKB34" s="21"/>
      <c r="NKC34" s="21"/>
      <c r="NKD34" s="21"/>
      <c r="NKE34" s="21"/>
      <c r="NKF34" s="21"/>
      <c r="NKG34" s="21"/>
      <c r="NKH34" s="21"/>
      <c r="NKI34" s="21"/>
      <c r="NKJ34" s="21"/>
      <c r="NKK34" s="21"/>
      <c r="NKL34" s="21"/>
      <c r="NKM34" s="21"/>
      <c r="NKN34" s="21"/>
      <c r="NKO34" s="21"/>
      <c r="NKP34" s="21"/>
      <c r="NKQ34" s="21"/>
      <c r="NKR34" s="21"/>
      <c r="NKS34" s="21"/>
      <c r="NKT34" s="21"/>
      <c r="NKU34" s="21"/>
      <c r="NKV34" s="21"/>
      <c r="NKW34" s="21"/>
      <c r="NKX34" s="21"/>
      <c r="NKY34" s="21"/>
      <c r="NKZ34" s="21"/>
      <c r="NLA34" s="21"/>
      <c r="NLB34" s="21"/>
      <c r="NLC34" s="21"/>
      <c r="NLD34" s="21"/>
      <c r="NLE34" s="21"/>
      <c r="NLF34" s="21"/>
      <c r="NLG34" s="21"/>
      <c r="NLH34" s="21"/>
      <c r="NLI34" s="21"/>
      <c r="NLJ34" s="21"/>
      <c r="NLK34" s="21"/>
      <c r="NLL34" s="21"/>
      <c r="NLM34" s="21"/>
      <c r="NLN34" s="21"/>
      <c r="NLO34" s="21"/>
      <c r="NLP34" s="21"/>
      <c r="NLQ34" s="21"/>
      <c r="NLR34" s="21"/>
      <c r="NLS34" s="21"/>
      <c r="NLT34" s="21"/>
      <c r="NLU34" s="21"/>
      <c r="NLV34" s="21"/>
      <c r="NLW34" s="21"/>
      <c r="NLX34" s="21"/>
      <c r="NLY34" s="21"/>
      <c r="NLZ34" s="21"/>
      <c r="NMA34" s="21"/>
      <c r="NMB34" s="21"/>
      <c r="NMC34" s="21"/>
      <c r="NMD34" s="21"/>
      <c r="NME34" s="21"/>
      <c r="NMF34" s="21"/>
      <c r="NMG34" s="21"/>
      <c r="NMH34" s="21"/>
      <c r="NMI34" s="21"/>
      <c r="NMJ34" s="21"/>
      <c r="NMK34" s="21"/>
      <c r="NML34" s="21"/>
      <c r="NMM34" s="21"/>
      <c r="NMN34" s="21"/>
      <c r="NMO34" s="21"/>
      <c r="NMP34" s="21"/>
      <c r="NMQ34" s="21"/>
      <c r="NMR34" s="21"/>
      <c r="NMS34" s="21"/>
      <c r="NMT34" s="21"/>
      <c r="NMU34" s="21"/>
      <c r="NMV34" s="21"/>
      <c r="NMW34" s="21"/>
      <c r="NMX34" s="21"/>
      <c r="NMY34" s="21"/>
      <c r="NMZ34" s="21"/>
      <c r="NNA34" s="21"/>
      <c r="NNB34" s="21"/>
      <c r="NNC34" s="21"/>
      <c r="NND34" s="21"/>
      <c r="NNE34" s="21"/>
      <c r="NNF34" s="21"/>
      <c r="NNG34" s="21"/>
      <c r="NNH34" s="21"/>
      <c r="NNI34" s="21"/>
      <c r="NNJ34" s="21"/>
      <c r="NNK34" s="21"/>
      <c r="NNL34" s="21"/>
      <c r="NNM34" s="21"/>
      <c r="NNN34" s="21"/>
      <c r="NNO34" s="21"/>
      <c r="NNP34" s="21"/>
      <c r="NNQ34" s="21"/>
      <c r="NNR34" s="21"/>
      <c r="NNS34" s="21"/>
      <c r="NNT34" s="21"/>
      <c r="NNU34" s="21"/>
      <c r="NNV34" s="21"/>
      <c r="NNW34" s="21"/>
      <c r="NNX34" s="21"/>
      <c r="NNY34" s="21"/>
      <c r="NNZ34" s="21"/>
      <c r="NOA34" s="21"/>
      <c r="NOB34" s="21"/>
      <c r="NOC34" s="21"/>
      <c r="NOD34" s="21"/>
      <c r="NOE34" s="21"/>
      <c r="NOF34" s="21"/>
      <c r="NOG34" s="21"/>
      <c r="NOH34" s="21"/>
      <c r="NOI34" s="21"/>
      <c r="NOJ34" s="21"/>
      <c r="NOK34" s="21"/>
      <c r="NOL34" s="21"/>
      <c r="NOM34" s="21"/>
      <c r="NON34" s="21"/>
      <c r="NOO34" s="21"/>
      <c r="NOP34" s="21"/>
      <c r="NOQ34" s="21"/>
      <c r="NOR34" s="21"/>
      <c r="NOS34" s="21"/>
      <c r="NOT34" s="21"/>
      <c r="NOU34" s="21"/>
      <c r="NOV34" s="21"/>
      <c r="NOW34" s="21"/>
      <c r="NOX34" s="21"/>
      <c r="NOY34" s="21"/>
      <c r="NOZ34" s="21"/>
      <c r="NPA34" s="21"/>
      <c r="NPB34" s="21"/>
      <c r="NPC34" s="21"/>
      <c r="NPD34" s="21"/>
      <c r="NPE34" s="21"/>
      <c r="NPF34" s="21"/>
      <c r="NPG34" s="21"/>
      <c r="NPH34" s="21"/>
      <c r="NPI34" s="21"/>
      <c r="NPJ34" s="21"/>
      <c r="NPK34" s="21"/>
      <c r="NPL34" s="21"/>
      <c r="NPM34" s="21"/>
      <c r="NPN34" s="21"/>
      <c r="NPO34" s="21"/>
      <c r="NPP34" s="21"/>
      <c r="NPQ34" s="21"/>
      <c r="NPR34" s="21"/>
      <c r="NPS34" s="21"/>
      <c r="NPT34" s="21"/>
      <c r="NPU34" s="21"/>
      <c r="NPV34" s="21"/>
      <c r="NPW34" s="21"/>
      <c r="NPX34" s="21"/>
      <c r="NPY34" s="21"/>
      <c r="NPZ34" s="21"/>
      <c r="NQA34" s="21"/>
      <c r="NQB34" s="21"/>
      <c r="NQC34" s="21"/>
      <c r="NQD34" s="21"/>
      <c r="NQE34" s="21"/>
      <c r="NQF34" s="21"/>
      <c r="NQG34" s="21"/>
      <c r="NQH34" s="21"/>
      <c r="NQI34" s="21"/>
      <c r="NQJ34" s="21"/>
      <c r="NQK34" s="21"/>
      <c r="NQL34" s="21"/>
      <c r="NQM34" s="21"/>
      <c r="NQN34" s="21"/>
      <c r="NQO34" s="21"/>
      <c r="NQP34" s="21"/>
      <c r="NQQ34" s="21"/>
      <c r="NQR34" s="21"/>
      <c r="NQS34" s="21"/>
      <c r="NQT34" s="21"/>
      <c r="NQU34" s="21"/>
      <c r="NQV34" s="21"/>
      <c r="NQW34" s="21"/>
      <c r="NQX34" s="21"/>
      <c r="NQY34" s="21"/>
      <c r="NQZ34" s="21"/>
      <c r="NRA34" s="21"/>
      <c r="NRB34" s="21"/>
      <c r="NRC34" s="21"/>
      <c r="NRD34" s="21"/>
      <c r="NRE34" s="21"/>
      <c r="NRF34" s="21"/>
      <c r="NRG34" s="21"/>
      <c r="NRH34" s="21"/>
      <c r="NRI34" s="21"/>
      <c r="NRJ34" s="21"/>
      <c r="NRK34" s="21"/>
      <c r="NRL34" s="21"/>
      <c r="NRM34" s="21"/>
      <c r="NRN34" s="21"/>
      <c r="NRO34" s="21"/>
      <c r="NRP34" s="21"/>
      <c r="NRQ34" s="21"/>
      <c r="NRR34" s="21"/>
      <c r="NRS34" s="21"/>
      <c r="NRT34" s="21"/>
      <c r="NRU34" s="21"/>
      <c r="NRV34" s="21"/>
      <c r="NRW34" s="21"/>
      <c r="NRX34" s="21"/>
      <c r="NRY34" s="21"/>
      <c r="NRZ34" s="21"/>
      <c r="NSA34" s="21"/>
      <c r="NSB34" s="21"/>
      <c r="NSC34" s="21"/>
      <c r="NSD34" s="21"/>
      <c r="NSE34" s="21"/>
      <c r="NSF34" s="21"/>
      <c r="NSG34" s="21"/>
      <c r="NSH34" s="21"/>
      <c r="NSI34" s="21"/>
      <c r="NSJ34" s="21"/>
      <c r="NSK34" s="21"/>
      <c r="NSL34" s="21"/>
      <c r="NSM34" s="21"/>
      <c r="NSN34" s="21"/>
      <c r="NSO34" s="21"/>
      <c r="NSP34" s="21"/>
      <c r="NSQ34" s="21"/>
      <c r="NSR34" s="21"/>
      <c r="NSS34" s="21"/>
      <c r="NST34" s="21"/>
      <c r="NSU34" s="21"/>
      <c r="NSV34" s="21"/>
      <c r="NSW34" s="21"/>
      <c r="NSX34" s="21"/>
      <c r="NSY34" s="21"/>
      <c r="NSZ34" s="21"/>
      <c r="NTA34" s="21"/>
      <c r="NTB34" s="21"/>
      <c r="NTC34" s="21"/>
      <c r="NTD34" s="21"/>
      <c r="NTE34" s="21"/>
      <c r="NTF34" s="21"/>
      <c r="NTG34" s="21"/>
      <c r="NTH34" s="21"/>
      <c r="NTI34" s="21"/>
      <c r="NTJ34" s="21"/>
      <c r="NTK34" s="21"/>
      <c r="NTL34" s="21"/>
      <c r="NTM34" s="21"/>
      <c r="NTN34" s="21"/>
      <c r="NTO34" s="21"/>
      <c r="NTP34" s="21"/>
      <c r="NTQ34" s="21"/>
      <c r="NTR34" s="21"/>
      <c r="NTS34" s="21"/>
      <c r="NTT34" s="21"/>
      <c r="NTU34" s="21"/>
      <c r="NTV34" s="21"/>
      <c r="NTW34" s="21"/>
      <c r="NTX34" s="21"/>
      <c r="NTY34" s="21"/>
      <c r="NTZ34" s="21"/>
      <c r="NUA34" s="21"/>
      <c r="NUB34" s="21"/>
      <c r="NUC34" s="21"/>
      <c r="NUD34" s="21"/>
      <c r="NUE34" s="21"/>
      <c r="NUF34" s="21"/>
      <c r="NUG34" s="21"/>
      <c r="NUH34" s="21"/>
      <c r="NUI34" s="21"/>
      <c r="NUJ34" s="21"/>
      <c r="NUK34" s="21"/>
      <c r="NUL34" s="21"/>
      <c r="NUM34" s="21"/>
      <c r="NUN34" s="21"/>
      <c r="NUO34" s="21"/>
      <c r="NUP34" s="21"/>
      <c r="NUQ34" s="21"/>
      <c r="NUR34" s="21"/>
      <c r="NUS34" s="21"/>
      <c r="NUT34" s="21"/>
      <c r="NUU34" s="21"/>
      <c r="NUV34" s="21"/>
      <c r="NUW34" s="21"/>
      <c r="NUX34" s="21"/>
      <c r="NUY34" s="21"/>
      <c r="NUZ34" s="21"/>
      <c r="NVA34" s="21"/>
      <c r="NVB34" s="21"/>
      <c r="NVC34" s="21"/>
      <c r="NVD34" s="21"/>
      <c r="NVE34" s="21"/>
      <c r="NVF34" s="21"/>
      <c r="NVG34" s="21"/>
      <c r="NVH34" s="21"/>
      <c r="NVI34" s="21"/>
      <c r="NVJ34" s="21"/>
      <c r="NVK34" s="21"/>
      <c r="NVL34" s="21"/>
      <c r="NVM34" s="21"/>
      <c r="NVN34" s="21"/>
      <c r="NVO34" s="21"/>
      <c r="NVP34" s="21"/>
      <c r="NVQ34" s="21"/>
      <c r="NVR34" s="21"/>
      <c r="NVS34" s="21"/>
      <c r="NVT34" s="21"/>
      <c r="NVU34" s="21"/>
      <c r="NVV34" s="21"/>
      <c r="NVW34" s="21"/>
      <c r="NVX34" s="21"/>
      <c r="NVY34" s="21"/>
      <c r="NVZ34" s="21"/>
      <c r="NWA34" s="21"/>
      <c r="NWB34" s="21"/>
      <c r="NWC34" s="21"/>
      <c r="NWD34" s="21"/>
      <c r="NWE34" s="21"/>
      <c r="NWF34" s="21"/>
      <c r="NWG34" s="21"/>
      <c r="NWH34" s="21"/>
      <c r="NWI34" s="21"/>
      <c r="NWJ34" s="21"/>
      <c r="NWK34" s="21"/>
      <c r="NWL34" s="21"/>
      <c r="NWM34" s="21"/>
      <c r="NWN34" s="21"/>
      <c r="NWO34" s="21"/>
      <c r="NWP34" s="21"/>
      <c r="NWQ34" s="21"/>
      <c r="NWR34" s="21"/>
      <c r="NWS34" s="21"/>
      <c r="NWT34" s="21"/>
      <c r="NWU34" s="21"/>
      <c r="NWV34" s="21"/>
      <c r="NWW34" s="21"/>
      <c r="NWX34" s="21"/>
      <c r="NWY34" s="21"/>
      <c r="NWZ34" s="21"/>
      <c r="NXA34" s="21"/>
      <c r="NXB34" s="21"/>
      <c r="NXC34" s="21"/>
      <c r="NXD34" s="21"/>
      <c r="NXE34" s="21"/>
      <c r="NXF34" s="21"/>
      <c r="NXG34" s="21"/>
      <c r="NXH34" s="21"/>
      <c r="NXI34" s="21"/>
      <c r="NXJ34" s="21"/>
      <c r="NXK34" s="21"/>
      <c r="NXL34" s="21"/>
      <c r="NXM34" s="21"/>
      <c r="NXN34" s="21"/>
      <c r="NXO34" s="21"/>
      <c r="NXP34" s="21"/>
      <c r="NXQ34" s="21"/>
      <c r="NXR34" s="21"/>
      <c r="NXS34" s="21"/>
      <c r="NXT34" s="21"/>
      <c r="NXU34" s="21"/>
      <c r="NXV34" s="21"/>
      <c r="NXW34" s="21"/>
      <c r="NXX34" s="21"/>
      <c r="NXY34" s="21"/>
      <c r="NXZ34" s="21"/>
      <c r="NYA34" s="21"/>
      <c r="NYB34" s="21"/>
      <c r="NYC34" s="21"/>
      <c r="NYD34" s="21"/>
      <c r="NYE34" s="21"/>
      <c r="NYF34" s="21"/>
      <c r="NYG34" s="21"/>
      <c r="NYH34" s="21"/>
      <c r="NYI34" s="21"/>
      <c r="NYJ34" s="21"/>
      <c r="NYK34" s="21"/>
      <c r="NYL34" s="21"/>
      <c r="NYM34" s="21"/>
      <c r="NYN34" s="21"/>
      <c r="NYO34" s="21"/>
      <c r="NYP34" s="21"/>
      <c r="NYQ34" s="21"/>
      <c r="NYR34" s="21"/>
      <c r="NYS34" s="21"/>
      <c r="NYT34" s="21"/>
      <c r="NYU34" s="21"/>
      <c r="NYV34" s="21"/>
      <c r="NYW34" s="21"/>
      <c r="NYX34" s="21"/>
      <c r="NYY34" s="21"/>
      <c r="NYZ34" s="21"/>
      <c r="NZA34" s="21"/>
      <c r="NZB34" s="21"/>
      <c r="NZC34" s="21"/>
      <c r="NZD34" s="21"/>
      <c r="NZE34" s="21"/>
      <c r="NZF34" s="21"/>
      <c r="NZG34" s="21"/>
      <c r="NZH34" s="21"/>
      <c r="NZI34" s="21"/>
      <c r="NZJ34" s="21"/>
      <c r="NZK34" s="21"/>
      <c r="NZL34" s="21"/>
      <c r="NZM34" s="21"/>
      <c r="NZN34" s="21"/>
      <c r="NZO34" s="21"/>
      <c r="NZP34" s="21"/>
      <c r="NZQ34" s="21"/>
      <c r="NZR34" s="21"/>
      <c r="NZS34" s="21"/>
      <c r="NZT34" s="21"/>
      <c r="NZU34" s="21"/>
      <c r="NZV34" s="21"/>
      <c r="NZW34" s="21"/>
      <c r="NZX34" s="21"/>
      <c r="NZY34" s="21"/>
      <c r="NZZ34" s="21"/>
      <c r="OAA34" s="21"/>
      <c r="OAB34" s="21"/>
      <c r="OAC34" s="21"/>
      <c r="OAD34" s="21"/>
      <c r="OAE34" s="21"/>
      <c r="OAF34" s="21"/>
      <c r="OAG34" s="21"/>
      <c r="OAH34" s="21"/>
      <c r="OAI34" s="21"/>
      <c r="OAJ34" s="21"/>
      <c r="OAK34" s="21"/>
      <c r="OAL34" s="21"/>
      <c r="OAM34" s="21"/>
      <c r="OAN34" s="21"/>
      <c r="OAO34" s="21"/>
      <c r="OAP34" s="21"/>
      <c r="OAQ34" s="21"/>
      <c r="OAR34" s="21"/>
      <c r="OAS34" s="21"/>
      <c r="OAT34" s="21"/>
      <c r="OAU34" s="21"/>
      <c r="OAV34" s="21"/>
      <c r="OAW34" s="21"/>
      <c r="OAX34" s="21"/>
      <c r="OAY34" s="21"/>
      <c r="OAZ34" s="21"/>
      <c r="OBA34" s="21"/>
      <c r="OBB34" s="21"/>
      <c r="OBC34" s="21"/>
      <c r="OBD34" s="21"/>
      <c r="OBE34" s="21"/>
      <c r="OBF34" s="21"/>
      <c r="OBG34" s="21"/>
      <c r="OBH34" s="21"/>
      <c r="OBI34" s="21"/>
      <c r="OBJ34" s="21"/>
      <c r="OBK34" s="21"/>
      <c r="OBL34" s="21"/>
      <c r="OBM34" s="21"/>
      <c r="OBN34" s="21"/>
      <c r="OBO34" s="21"/>
      <c r="OBP34" s="21"/>
      <c r="OBQ34" s="21"/>
      <c r="OBR34" s="21"/>
      <c r="OBS34" s="21"/>
      <c r="OBT34" s="21"/>
      <c r="OBU34" s="21"/>
      <c r="OBV34" s="21"/>
      <c r="OBW34" s="21"/>
      <c r="OBX34" s="21"/>
      <c r="OBY34" s="21"/>
      <c r="OBZ34" s="21"/>
      <c r="OCA34" s="21"/>
      <c r="OCB34" s="21"/>
      <c r="OCC34" s="21"/>
      <c r="OCD34" s="21"/>
      <c r="OCE34" s="21"/>
      <c r="OCF34" s="21"/>
      <c r="OCG34" s="21"/>
      <c r="OCH34" s="21"/>
      <c r="OCI34" s="21"/>
      <c r="OCJ34" s="21"/>
      <c r="OCK34" s="21"/>
      <c r="OCL34" s="21"/>
      <c r="OCM34" s="21"/>
      <c r="OCN34" s="21"/>
      <c r="OCO34" s="21"/>
      <c r="OCP34" s="21"/>
      <c r="OCQ34" s="21"/>
      <c r="OCR34" s="21"/>
      <c r="OCS34" s="21"/>
      <c r="OCT34" s="21"/>
      <c r="OCU34" s="21"/>
      <c r="OCV34" s="21"/>
      <c r="OCW34" s="21"/>
      <c r="OCX34" s="21"/>
      <c r="OCY34" s="21"/>
      <c r="OCZ34" s="21"/>
      <c r="ODA34" s="21"/>
      <c r="ODB34" s="21"/>
      <c r="ODC34" s="21"/>
      <c r="ODD34" s="21"/>
      <c r="ODE34" s="21"/>
      <c r="ODF34" s="21"/>
      <c r="ODG34" s="21"/>
      <c r="ODH34" s="21"/>
      <c r="ODI34" s="21"/>
      <c r="ODJ34" s="21"/>
      <c r="ODK34" s="21"/>
      <c r="ODL34" s="21"/>
      <c r="ODM34" s="21"/>
      <c r="ODN34" s="21"/>
      <c r="ODO34" s="21"/>
      <c r="ODP34" s="21"/>
      <c r="ODQ34" s="21"/>
      <c r="ODR34" s="21"/>
      <c r="ODS34" s="21"/>
      <c r="ODT34" s="21"/>
      <c r="ODU34" s="21"/>
      <c r="ODV34" s="21"/>
      <c r="ODW34" s="21"/>
      <c r="ODX34" s="21"/>
      <c r="ODY34" s="21"/>
      <c r="ODZ34" s="21"/>
      <c r="OEA34" s="21"/>
      <c r="OEB34" s="21"/>
      <c r="OEC34" s="21"/>
      <c r="OED34" s="21"/>
      <c r="OEE34" s="21"/>
      <c r="OEF34" s="21"/>
      <c r="OEG34" s="21"/>
      <c r="OEH34" s="21"/>
      <c r="OEI34" s="21"/>
      <c r="OEJ34" s="21"/>
      <c r="OEK34" s="21"/>
      <c r="OEL34" s="21"/>
      <c r="OEM34" s="21"/>
      <c r="OEN34" s="21"/>
      <c r="OEO34" s="21"/>
      <c r="OEP34" s="21"/>
      <c r="OEQ34" s="21"/>
      <c r="OER34" s="21"/>
      <c r="OES34" s="21"/>
      <c r="OET34" s="21"/>
      <c r="OEU34" s="21"/>
      <c r="OEV34" s="21"/>
      <c r="OEW34" s="21"/>
      <c r="OEX34" s="21"/>
      <c r="OEY34" s="21"/>
      <c r="OEZ34" s="21"/>
      <c r="OFA34" s="21"/>
      <c r="OFB34" s="21"/>
      <c r="OFC34" s="21"/>
      <c r="OFD34" s="21"/>
      <c r="OFE34" s="21"/>
      <c r="OFF34" s="21"/>
      <c r="OFG34" s="21"/>
      <c r="OFH34" s="21"/>
      <c r="OFI34" s="21"/>
      <c r="OFJ34" s="21"/>
      <c r="OFK34" s="21"/>
      <c r="OFL34" s="21"/>
      <c r="OFM34" s="21"/>
      <c r="OFN34" s="21"/>
      <c r="OFO34" s="21"/>
      <c r="OFP34" s="21"/>
      <c r="OFQ34" s="21"/>
      <c r="OFR34" s="21"/>
      <c r="OFS34" s="21"/>
      <c r="OFT34" s="21"/>
      <c r="OFU34" s="21"/>
      <c r="OFV34" s="21"/>
      <c r="OFW34" s="21"/>
      <c r="OFX34" s="21"/>
      <c r="OFY34" s="21"/>
      <c r="OFZ34" s="21"/>
      <c r="OGA34" s="21"/>
      <c r="OGB34" s="21"/>
      <c r="OGC34" s="21"/>
      <c r="OGD34" s="21"/>
      <c r="OGE34" s="21"/>
      <c r="OGF34" s="21"/>
      <c r="OGG34" s="21"/>
      <c r="OGH34" s="21"/>
      <c r="OGI34" s="21"/>
      <c r="OGJ34" s="21"/>
      <c r="OGK34" s="21"/>
      <c r="OGL34" s="21"/>
      <c r="OGM34" s="21"/>
      <c r="OGN34" s="21"/>
      <c r="OGO34" s="21"/>
      <c r="OGP34" s="21"/>
      <c r="OGQ34" s="21"/>
      <c r="OGR34" s="21"/>
      <c r="OGS34" s="21"/>
      <c r="OGT34" s="21"/>
      <c r="OGU34" s="21"/>
      <c r="OGV34" s="21"/>
      <c r="OGW34" s="21"/>
      <c r="OGX34" s="21"/>
      <c r="OGY34" s="21"/>
      <c r="OGZ34" s="21"/>
      <c r="OHA34" s="21"/>
      <c r="OHB34" s="21"/>
      <c r="OHC34" s="21"/>
      <c r="OHD34" s="21"/>
      <c r="OHE34" s="21"/>
      <c r="OHF34" s="21"/>
      <c r="OHG34" s="21"/>
      <c r="OHH34" s="21"/>
      <c r="OHI34" s="21"/>
      <c r="OHJ34" s="21"/>
      <c r="OHK34" s="21"/>
      <c r="OHL34" s="21"/>
      <c r="OHM34" s="21"/>
      <c r="OHN34" s="21"/>
      <c r="OHO34" s="21"/>
      <c r="OHP34" s="21"/>
      <c r="OHQ34" s="21"/>
      <c r="OHR34" s="21"/>
      <c r="OHS34" s="21"/>
      <c r="OHT34" s="21"/>
      <c r="OHU34" s="21"/>
      <c r="OHV34" s="21"/>
      <c r="OHW34" s="21"/>
      <c r="OHX34" s="21"/>
      <c r="OHY34" s="21"/>
      <c r="OHZ34" s="21"/>
      <c r="OIA34" s="21"/>
      <c r="OIB34" s="21"/>
      <c r="OIC34" s="21"/>
      <c r="OID34" s="21"/>
      <c r="OIE34" s="21"/>
      <c r="OIF34" s="21"/>
      <c r="OIG34" s="21"/>
      <c r="OIH34" s="21"/>
      <c r="OII34" s="21"/>
      <c r="OIJ34" s="21"/>
      <c r="OIK34" s="21"/>
      <c r="OIL34" s="21"/>
      <c r="OIM34" s="21"/>
      <c r="OIN34" s="21"/>
      <c r="OIO34" s="21"/>
      <c r="OIP34" s="21"/>
      <c r="OIQ34" s="21"/>
      <c r="OIR34" s="21"/>
      <c r="OIS34" s="21"/>
      <c r="OIT34" s="21"/>
      <c r="OIU34" s="21"/>
      <c r="OIV34" s="21"/>
      <c r="OIW34" s="21"/>
      <c r="OIX34" s="21"/>
      <c r="OIY34" s="21"/>
      <c r="OIZ34" s="21"/>
      <c r="OJA34" s="21"/>
      <c r="OJB34" s="21"/>
      <c r="OJC34" s="21"/>
      <c r="OJD34" s="21"/>
      <c r="OJE34" s="21"/>
      <c r="OJF34" s="21"/>
      <c r="OJG34" s="21"/>
      <c r="OJH34" s="21"/>
      <c r="OJI34" s="21"/>
      <c r="OJJ34" s="21"/>
      <c r="OJK34" s="21"/>
      <c r="OJL34" s="21"/>
      <c r="OJM34" s="21"/>
      <c r="OJN34" s="21"/>
      <c r="OJO34" s="21"/>
      <c r="OJP34" s="21"/>
      <c r="OJQ34" s="21"/>
      <c r="OJR34" s="21"/>
      <c r="OJS34" s="21"/>
      <c r="OJT34" s="21"/>
      <c r="OJU34" s="21"/>
      <c r="OJV34" s="21"/>
      <c r="OJW34" s="21"/>
      <c r="OJX34" s="21"/>
      <c r="OJY34" s="21"/>
      <c r="OJZ34" s="21"/>
      <c r="OKA34" s="21"/>
      <c r="OKB34" s="21"/>
      <c r="OKC34" s="21"/>
      <c r="OKD34" s="21"/>
      <c r="OKE34" s="21"/>
      <c r="OKF34" s="21"/>
      <c r="OKG34" s="21"/>
      <c r="OKH34" s="21"/>
      <c r="OKI34" s="21"/>
      <c r="OKJ34" s="21"/>
      <c r="OKK34" s="21"/>
      <c r="OKL34" s="21"/>
      <c r="OKM34" s="21"/>
      <c r="OKN34" s="21"/>
      <c r="OKO34" s="21"/>
      <c r="OKP34" s="21"/>
      <c r="OKQ34" s="21"/>
      <c r="OKR34" s="21"/>
      <c r="OKS34" s="21"/>
      <c r="OKT34" s="21"/>
      <c r="OKU34" s="21"/>
      <c r="OKV34" s="21"/>
      <c r="OKW34" s="21"/>
      <c r="OKX34" s="21"/>
      <c r="OKY34" s="21"/>
      <c r="OKZ34" s="21"/>
      <c r="OLA34" s="21"/>
      <c r="OLB34" s="21"/>
      <c r="OLC34" s="21"/>
      <c r="OLD34" s="21"/>
      <c r="OLE34" s="21"/>
      <c r="OLF34" s="21"/>
      <c r="OLG34" s="21"/>
      <c r="OLH34" s="21"/>
      <c r="OLI34" s="21"/>
      <c r="OLJ34" s="21"/>
      <c r="OLK34" s="21"/>
      <c r="OLL34" s="21"/>
      <c r="OLM34" s="21"/>
      <c r="OLN34" s="21"/>
      <c r="OLO34" s="21"/>
      <c r="OLP34" s="21"/>
      <c r="OLQ34" s="21"/>
      <c r="OLR34" s="21"/>
      <c r="OLS34" s="21"/>
      <c r="OLT34" s="21"/>
      <c r="OLU34" s="21"/>
      <c r="OLV34" s="21"/>
      <c r="OLW34" s="21"/>
      <c r="OLX34" s="21"/>
      <c r="OLY34" s="21"/>
      <c r="OLZ34" s="21"/>
      <c r="OMA34" s="21"/>
      <c r="OMB34" s="21"/>
      <c r="OMC34" s="21"/>
      <c r="OMD34" s="21"/>
      <c r="OME34" s="21"/>
      <c r="OMF34" s="21"/>
      <c r="OMG34" s="21"/>
      <c r="OMH34" s="21"/>
      <c r="OMI34" s="21"/>
      <c r="OMJ34" s="21"/>
      <c r="OMK34" s="21"/>
      <c r="OML34" s="21"/>
      <c r="OMM34" s="21"/>
      <c r="OMN34" s="21"/>
      <c r="OMO34" s="21"/>
      <c r="OMP34" s="21"/>
      <c r="OMQ34" s="21"/>
      <c r="OMR34" s="21"/>
      <c r="OMS34" s="21"/>
      <c r="OMT34" s="21"/>
      <c r="OMU34" s="21"/>
      <c r="OMV34" s="21"/>
      <c r="OMW34" s="21"/>
      <c r="OMX34" s="21"/>
      <c r="OMY34" s="21"/>
      <c r="OMZ34" s="21"/>
      <c r="ONA34" s="21"/>
      <c r="ONB34" s="21"/>
      <c r="ONC34" s="21"/>
      <c r="OND34" s="21"/>
      <c r="ONE34" s="21"/>
      <c r="ONF34" s="21"/>
      <c r="ONG34" s="21"/>
      <c r="ONH34" s="21"/>
      <c r="ONI34" s="21"/>
      <c r="ONJ34" s="21"/>
      <c r="ONK34" s="21"/>
      <c r="ONL34" s="21"/>
      <c r="ONM34" s="21"/>
      <c r="ONN34" s="21"/>
      <c r="ONO34" s="21"/>
      <c r="ONP34" s="21"/>
      <c r="ONQ34" s="21"/>
      <c r="ONR34" s="21"/>
      <c r="ONS34" s="21"/>
      <c r="ONT34" s="21"/>
      <c r="ONU34" s="21"/>
      <c r="ONV34" s="21"/>
      <c r="ONW34" s="21"/>
      <c r="ONX34" s="21"/>
      <c r="ONY34" s="21"/>
      <c r="ONZ34" s="21"/>
      <c r="OOA34" s="21"/>
      <c r="OOB34" s="21"/>
      <c r="OOC34" s="21"/>
      <c r="OOD34" s="21"/>
      <c r="OOE34" s="21"/>
      <c r="OOF34" s="21"/>
      <c r="OOG34" s="21"/>
      <c r="OOH34" s="21"/>
      <c r="OOI34" s="21"/>
      <c r="OOJ34" s="21"/>
      <c r="OOK34" s="21"/>
      <c r="OOL34" s="21"/>
      <c r="OOM34" s="21"/>
      <c r="OON34" s="21"/>
      <c r="OOO34" s="21"/>
      <c r="OOP34" s="21"/>
      <c r="OOQ34" s="21"/>
      <c r="OOR34" s="21"/>
      <c r="OOS34" s="21"/>
      <c r="OOT34" s="21"/>
      <c r="OOU34" s="21"/>
      <c r="OOV34" s="21"/>
      <c r="OOW34" s="21"/>
      <c r="OOX34" s="21"/>
      <c r="OOY34" s="21"/>
      <c r="OOZ34" s="21"/>
      <c r="OPA34" s="21"/>
      <c r="OPB34" s="21"/>
      <c r="OPC34" s="21"/>
      <c r="OPD34" s="21"/>
      <c r="OPE34" s="21"/>
      <c r="OPF34" s="21"/>
      <c r="OPG34" s="21"/>
      <c r="OPH34" s="21"/>
      <c r="OPI34" s="21"/>
      <c r="OPJ34" s="21"/>
      <c r="OPK34" s="21"/>
      <c r="OPL34" s="21"/>
      <c r="OPM34" s="21"/>
      <c r="OPN34" s="21"/>
      <c r="OPO34" s="21"/>
      <c r="OPP34" s="21"/>
      <c r="OPQ34" s="21"/>
      <c r="OPR34" s="21"/>
      <c r="OPS34" s="21"/>
      <c r="OPT34" s="21"/>
      <c r="OPU34" s="21"/>
      <c r="OPV34" s="21"/>
      <c r="OPW34" s="21"/>
      <c r="OPX34" s="21"/>
      <c r="OPY34" s="21"/>
      <c r="OPZ34" s="21"/>
      <c r="OQA34" s="21"/>
      <c r="OQB34" s="21"/>
      <c r="OQC34" s="21"/>
      <c r="OQD34" s="21"/>
      <c r="OQE34" s="21"/>
      <c r="OQF34" s="21"/>
      <c r="OQG34" s="21"/>
      <c r="OQH34" s="21"/>
      <c r="OQI34" s="21"/>
      <c r="OQJ34" s="21"/>
      <c r="OQK34" s="21"/>
      <c r="OQL34" s="21"/>
      <c r="OQM34" s="21"/>
      <c r="OQN34" s="21"/>
      <c r="OQO34" s="21"/>
      <c r="OQP34" s="21"/>
      <c r="OQQ34" s="21"/>
      <c r="OQR34" s="21"/>
      <c r="OQS34" s="21"/>
      <c r="OQT34" s="21"/>
      <c r="OQU34" s="21"/>
      <c r="OQV34" s="21"/>
      <c r="OQW34" s="21"/>
      <c r="OQX34" s="21"/>
      <c r="OQY34" s="21"/>
      <c r="OQZ34" s="21"/>
      <c r="ORA34" s="21"/>
      <c r="ORB34" s="21"/>
      <c r="ORC34" s="21"/>
      <c r="ORD34" s="21"/>
      <c r="ORE34" s="21"/>
      <c r="ORF34" s="21"/>
      <c r="ORG34" s="21"/>
      <c r="ORH34" s="21"/>
      <c r="ORI34" s="21"/>
      <c r="ORJ34" s="21"/>
      <c r="ORK34" s="21"/>
      <c r="ORL34" s="21"/>
      <c r="ORM34" s="21"/>
      <c r="ORN34" s="21"/>
      <c r="ORO34" s="21"/>
      <c r="ORP34" s="21"/>
      <c r="ORQ34" s="21"/>
      <c r="ORR34" s="21"/>
      <c r="ORS34" s="21"/>
      <c r="ORT34" s="21"/>
      <c r="ORU34" s="21"/>
      <c r="ORV34" s="21"/>
      <c r="ORW34" s="21"/>
      <c r="ORX34" s="21"/>
      <c r="ORY34" s="21"/>
      <c r="ORZ34" s="21"/>
      <c r="OSA34" s="21"/>
      <c r="OSB34" s="21"/>
      <c r="OSC34" s="21"/>
      <c r="OSD34" s="21"/>
      <c r="OSE34" s="21"/>
      <c r="OSF34" s="21"/>
      <c r="OSG34" s="21"/>
      <c r="OSH34" s="21"/>
      <c r="OSI34" s="21"/>
      <c r="OSJ34" s="21"/>
      <c r="OSK34" s="21"/>
      <c r="OSL34" s="21"/>
      <c r="OSM34" s="21"/>
      <c r="OSN34" s="21"/>
      <c r="OSO34" s="21"/>
      <c r="OSP34" s="21"/>
      <c r="OSQ34" s="21"/>
      <c r="OSR34" s="21"/>
      <c r="OSS34" s="21"/>
      <c r="OST34" s="21"/>
      <c r="OSU34" s="21"/>
      <c r="OSV34" s="21"/>
      <c r="OSW34" s="21"/>
      <c r="OSX34" s="21"/>
      <c r="OSY34" s="21"/>
      <c r="OSZ34" s="21"/>
      <c r="OTA34" s="21"/>
      <c r="OTB34" s="21"/>
      <c r="OTC34" s="21"/>
      <c r="OTD34" s="21"/>
      <c r="OTE34" s="21"/>
      <c r="OTF34" s="21"/>
      <c r="OTG34" s="21"/>
      <c r="OTH34" s="21"/>
      <c r="OTI34" s="21"/>
      <c r="OTJ34" s="21"/>
      <c r="OTK34" s="21"/>
      <c r="OTL34" s="21"/>
      <c r="OTM34" s="21"/>
      <c r="OTN34" s="21"/>
      <c r="OTO34" s="21"/>
      <c r="OTP34" s="21"/>
      <c r="OTQ34" s="21"/>
      <c r="OTR34" s="21"/>
      <c r="OTS34" s="21"/>
      <c r="OTT34" s="21"/>
      <c r="OTU34" s="21"/>
      <c r="OTV34" s="21"/>
      <c r="OTW34" s="21"/>
      <c r="OTX34" s="21"/>
      <c r="OTY34" s="21"/>
      <c r="OTZ34" s="21"/>
      <c r="OUA34" s="21"/>
      <c r="OUB34" s="21"/>
      <c r="OUC34" s="21"/>
      <c r="OUD34" s="21"/>
      <c r="OUE34" s="21"/>
      <c r="OUF34" s="21"/>
      <c r="OUG34" s="21"/>
      <c r="OUH34" s="21"/>
      <c r="OUI34" s="21"/>
      <c r="OUJ34" s="21"/>
      <c r="OUK34" s="21"/>
      <c r="OUL34" s="21"/>
      <c r="OUM34" s="21"/>
      <c r="OUN34" s="21"/>
      <c r="OUO34" s="21"/>
      <c r="OUP34" s="21"/>
      <c r="OUQ34" s="21"/>
      <c r="OUR34" s="21"/>
      <c r="OUS34" s="21"/>
      <c r="OUT34" s="21"/>
      <c r="OUU34" s="21"/>
      <c r="OUV34" s="21"/>
      <c r="OUW34" s="21"/>
      <c r="OUX34" s="21"/>
      <c r="OUY34" s="21"/>
      <c r="OUZ34" s="21"/>
      <c r="OVA34" s="21"/>
      <c r="OVB34" s="21"/>
      <c r="OVC34" s="21"/>
      <c r="OVD34" s="21"/>
      <c r="OVE34" s="21"/>
      <c r="OVF34" s="21"/>
      <c r="OVG34" s="21"/>
      <c r="OVH34" s="21"/>
      <c r="OVI34" s="21"/>
      <c r="OVJ34" s="21"/>
      <c r="OVK34" s="21"/>
      <c r="OVL34" s="21"/>
      <c r="OVM34" s="21"/>
      <c r="OVN34" s="21"/>
      <c r="OVO34" s="21"/>
      <c r="OVP34" s="21"/>
      <c r="OVQ34" s="21"/>
      <c r="OVR34" s="21"/>
      <c r="OVS34" s="21"/>
      <c r="OVT34" s="21"/>
      <c r="OVU34" s="21"/>
      <c r="OVV34" s="21"/>
      <c r="OVW34" s="21"/>
      <c r="OVX34" s="21"/>
      <c r="OVY34" s="21"/>
      <c r="OVZ34" s="21"/>
      <c r="OWA34" s="21"/>
      <c r="OWB34" s="21"/>
      <c r="OWC34" s="21"/>
      <c r="OWD34" s="21"/>
      <c r="OWE34" s="21"/>
      <c r="OWF34" s="21"/>
      <c r="OWG34" s="21"/>
      <c r="OWH34" s="21"/>
      <c r="OWI34" s="21"/>
      <c r="OWJ34" s="21"/>
      <c r="OWK34" s="21"/>
      <c r="OWL34" s="21"/>
      <c r="OWM34" s="21"/>
      <c r="OWN34" s="21"/>
      <c r="OWO34" s="21"/>
      <c r="OWP34" s="21"/>
      <c r="OWQ34" s="21"/>
      <c r="OWR34" s="21"/>
      <c r="OWS34" s="21"/>
      <c r="OWT34" s="21"/>
      <c r="OWU34" s="21"/>
      <c r="OWV34" s="21"/>
      <c r="OWW34" s="21"/>
      <c r="OWX34" s="21"/>
      <c r="OWY34" s="21"/>
      <c r="OWZ34" s="21"/>
      <c r="OXA34" s="21"/>
      <c r="OXB34" s="21"/>
      <c r="OXC34" s="21"/>
      <c r="OXD34" s="21"/>
      <c r="OXE34" s="21"/>
      <c r="OXF34" s="21"/>
      <c r="OXG34" s="21"/>
      <c r="OXH34" s="21"/>
      <c r="OXI34" s="21"/>
      <c r="OXJ34" s="21"/>
      <c r="OXK34" s="21"/>
      <c r="OXL34" s="21"/>
      <c r="OXM34" s="21"/>
      <c r="OXN34" s="21"/>
      <c r="OXO34" s="21"/>
      <c r="OXP34" s="21"/>
      <c r="OXQ34" s="21"/>
      <c r="OXR34" s="21"/>
      <c r="OXS34" s="21"/>
      <c r="OXT34" s="21"/>
      <c r="OXU34" s="21"/>
      <c r="OXV34" s="21"/>
      <c r="OXW34" s="21"/>
      <c r="OXX34" s="21"/>
      <c r="OXY34" s="21"/>
      <c r="OXZ34" s="21"/>
      <c r="OYA34" s="21"/>
      <c r="OYB34" s="21"/>
      <c r="OYC34" s="21"/>
      <c r="OYD34" s="21"/>
      <c r="OYE34" s="21"/>
      <c r="OYF34" s="21"/>
      <c r="OYG34" s="21"/>
      <c r="OYH34" s="21"/>
      <c r="OYI34" s="21"/>
      <c r="OYJ34" s="21"/>
      <c r="OYK34" s="21"/>
      <c r="OYL34" s="21"/>
      <c r="OYM34" s="21"/>
      <c r="OYN34" s="21"/>
      <c r="OYO34" s="21"/>
      <c r="OYP34" s="21"/>
      <c r="OYQ34" s="21"/>
      <c r="OYR34" s="21"/>
      <c r="OYS34" s="21"/>
      <c r="OYT34" s="21"/>
      <c r="OYU34" s="21"/>
      <c r="OYV34" s="21"/>
      <c r="OYW34" s="21"/>
      <c r="OYX34" s="21"/>
      <c r="OYY34" s="21"/>
      <c r="OYZ34" s="21"/>
      <c r="OZA34" s="21"/>
      <c r="OZB34" s="21"/>
      <c r="OZC34" s="21"/>
      <c r="OZD34" s="21"/>
      <c r="OZE34" s="21"/>
      <c r="OZF34" s="21"/>
      <c r="OZG34" s="21"/>
      <c r="OZH34" s="21"/>
      <c r="OZI34" s="21"/>
      <c r="OZJ34" s="21"/>
      <c r="OZK34" s="21"/>
      <c r="OZL34" s="21"/>
      <c r="OZM34" s="21"/>
      <c r="OZN34" s="21"/>
      <c r="OZO34" s="21"/>
      <c r="OZP34" s="21"/>
      <c r="OZQ34" s="21"/>
      <c r="OZR34" s="21"/>
      <c r="OZS34" s="21"/>
      <c r="OZT34" s="21"/>
      <c r="OZU34" s="21"/>
      <c r="OZV34" s="21"/>
      <c r="OZW34" s="21"/>
      <c r="OZX34" s="21"/>
      <c r="OZY34" s="21"/>
      <c r="OZZ34" s="21"/>
      <c r="PAA34" s="21"/>
      <c r="PAB34" s="21"/>
      <c r="PAC34" s="21"/>
      <c r="PAD34" s="21"/>
      <c r="PAE34" s="21"/>
      <c r="PAF34" s="21"/>
      <c r="PAG34" s="21"/>
      <c r="PAH34" s="21"/>
      <c r="PAI34" s="21"/>
      <c r="PAJ34" s="21"/>
      <c r="PAK34" s="21"/>
      <c r="PAL34" s="21"/>
      <c r="PAM34" s="21"/>
      <c r="PAN34" s="21"/>
      <c r="PAO34" s="21"/>
      <c r="PAP34" s="21"/>
      <c r="PAQ34" s="21"/>
      <c r="PAR34" s="21"/>
      <c r="PAS34" s="21"/>
      <c r="PAT34" s="21"/>
      <c r="PAU34" s="21"/>
      <c r="PAV34" s="21"/>
      <c r="PAW34" s="21"/>
      <c r="PAX34" s="21"/>
      <c r="PAY34" s="21"/>
      <c r="PAZ34" s="21"/>
      <c r="PBA34" s="21"/>
      <c r="PBB34" s="21"/>
      <c r="PBC34" s="21"/>
      <c r="PBD34" s="21"/>
      <c r="PBE34" s="21"/>
      <c r="PBF34" s="21"/>
      <c r="PBG34" s="21"/>
      <c r="PBH34" s="21"/>
      <c r="PBI34" s="21"/>
      <c r="PBJ34" s="21"/>
      <c r="PBK34" s="21"/>
      <c r="PBL34" s="21"/>
      <c r="PBM34" s="21"/>
      <c r="PBN34" s="21"/>
      <c r="PBO34" s="21"/>
      <c r="PBP34" s="21"/>
      <c r="PBQ34" s="21"/>
      <c r="PBR34" s="21"/>
      <c r="PBS34" s="21"/>
      <c r="PBT34" s="21"/>
      <c r="PBU34" s="21"/>
      <c r="PBV34" s="21"/>
      <c r="PBW34" s="21"/>
      <c r="PBX34" s="21"/>
      <c r="PBY34" s="21"/>
      <c r="PBZ34" s="21"/>
      <c r="PCA34" s="21"/>
      <c r="PCB34" s="21"/>
      <c r="PCC34" s="21"/>
      <c r="PCD34" s="21"/>
      <c r="PCE34" s="21"/>
      <c r="PCF34" s="21"/>
      <c r="PCG34" s="21"/>
      <c r="PCH34" s="21"/>
      <c r="PCI34" s="21"/>
      <c r="PCJ34" s="21"/>
      <c r="PCK34" s="21"/>
      <c r="PCL34" s="21"/>
      <c r="PCM34" s="21"/>
      <c r="PCN34" s="21"/>
      <c r="PCO34" s="21"/>
      <c r="PCP34" s="21"/>
      <c r="PCQ34" s="21"/>
      <c r="PCR34" s="21"/>
      <c r="PCS34" s="21"/>
      <c r="PCT34" s="21"/>
      <c r="PCU34" s="21"/>
      <c r="PCV34" s="21"/>
      <c r="PCW34" s="21"/>
      <c r="PCX34" s="21"/>
      <c r="PCY34" s="21"/>
      <c r="PCZ34" s="21"/>
      <c r="PDA34" s="21"/>
      <c r="PDB34" s="21"/>
      <c r="PDC34" s="21"/>
      <c r="PDD34" s="21"/>
      <c r="PDE34" s="21"/>
      <c r="PDF34" s="21"/>
      <c r="PDG34" s="21"/>
      <c r="PDH34" s="21"/>
      <c r="PDI34" s="21"/>
      <c r="PDJ34" s="21"/>
      <c r="PDK34" s="21"/>
      <c r="PDL34" s="21"/>
      <c r="PDM34" s="21"/>
      <c r="PDN34" s="21"/>
      <c r="PDO34" s="21"/>
      <c r="PDP34" s="21"/>
      <c r="PDQ34" s="21"/>
      <c r="PDR34" s="21"/>
      <c r="PDS34" s="21"/>
      <c r="PDT34" s="21"/>
      <c r="PDU34" s="21"/>
      <c r="PDV34" s="21"/>
      <c r="PDW34" s="21"/>
      <c r="PDX34" s="21"/>
      <c r="PDY34" s="21"/>
      <c r="PDZ34" s="21"/>
      <c r="PEA34" s="21"/>
      <c r="PEB34" s="21"/>
      <c r="PEC34" s="21"/>
      <c r="PED34" s="21"/>
      <c r="PEE34" s="21"/>
      <c r="PEF34" s="21"/>
      <c r="PEG34" s="21"/>
      <c r="PEH34" s="21"/>
      <c r="PEI34" s="21"/>
      <c r="PEJ34" s="21"/>
      <c r="PEK34" s="21"/>
      <c r="PEL34" s="21"/>
      <c r="PEM34" s="21"/>
      <c r="PEN34" s="21"/>
      <c r="PEO34" s="21"/>
      <c r="PEP34" s="21"/>
      <c r="PEQ34" s="21"/>
      <c r="PER34" s="21"/>
      <c r="PES34" s="21"/>
      <c r="PET34" s="21"/>
      <c r="PEU34" s="21"/>
      <c r="PEV34" s="21"/>
      <c r="PEW34" s="21"/>
      <c r="PEX34" s="21"/>
      <c r="PEY34" s="21"/>
      <c r="PEZ34" s="21"/>
      <c r="PFA34" s="21"/>
      <c r="PFB34" s="21"/>
      <c r="PFC34" s="21"/>
      <c r="PFD34" s="21"/>
      <c r="PFE34" s="21"/>
      <c r="PFF34" s="21"/>
      <c r="PFG34" s="21"/>
      <c r="PFH34" s="21"/>
      <c r="PFI34" s="21"/>
      <c r="PFJ34" s="21"/>
      <c r="PFK34" s="21"/>
      <c r="PFL34" s="21"/>
      <c r="PFM34" s="21"/>
      <c r="PFN34" s="21"/>
      <c r="PFO34" s="21"/>
      <c r="PFP34" s="21"/>
      <c r="PFQ34" s="21"/>
      <c r="PFR34" s="21"/>
      <c r="PFS34" s="21"/>
      <c r="PFT34" s="21"/>
      <c r="PFU34" s="21"/>
      <c r="PFV34" s="21"/>
      <c r="PFW34" s="21"/>
      <c r="PFX34" s="21"/>
      <c r="PFY34" s="21"/>
      <c r="PFZ34" s="21"/>
      <c r="PGA34" s="21"/>
      <c r="PGB34" s="21"/>
      <c r="PGC34" s="21"/>
      <c r="PGD34" s="21"/>
      <c r="PGE34" s="21"/>
      <c r="PGF34" s="21"/>
      <c r="PGG34" s="21"/>
      <c r="PGH34" s="21"/>
      <c r="PGI34" s="21"/>
      <c r="PGJ34" s="21"/>
      <c r="PGK34" s="21"/>
      <c r="PGL34" s="21"/>
      <c r="PGM34" s="21"/>
      <c r="PGN34" s="21"/>
      <c r="PGO34" s="21"/>
      <c r="PGP34" s="21"/>
      <c r="PGQ34" s="21"/>
      <c r="PGR34" s="21"/>
      <c r="PGS34" s="21"/>
      <c r="PGT34" s="21"/>
      <c r="PGU34" s="21"/>
      <c r="PGV34" s="21"/>
      <c r="PGW34" s="21"/>
      <c r="PGX34" s="21"/>
      <c r="PGY34" s="21"/>
      <c r="PGZ34" s="21"/>
      <c r="PHA34" s="21"/>
      <c r="PHB34" s="21"/>
      <c r="PHC34" s="21"/>
      <c r="PHD34" s="21"/>
      <c r="PHE34" s="21"/>
      <c r="PHF34" s="21"/>
      <c r="PHG34" s="21"/>
      <c r="PHH34" s="21"/>
      <c r="PHI34" s="21"/>
      <c r="PHJ34" s="21"/>
      <c r="PHK34" s="21"/>
      <c r="PHL34" s="21"/>
      <c r="PHM34" s="21"/>
      <c r="PHN34" s="21"/>
      <c r="PHO34" s="21"/>
      <c r="PHP34" s="21"/>
      <c r="PHQ34" s="21"/>
      <c r="PHR34" s="21"/>
      <c r="PHS34" s="21"/>
      <c r="PHT34" s="21"/>
      <c r="PHU34" s="21"/>
      <c r="PHV34" s="21"/>
      <c r="PHW34" s="21"/>
      <c r="PHX34" s="21"/>
      <c r="PHY34" s="21"/>
      <c r="PHZ34" s="21"/>
      <c r="PIA34" s="21"/>
      <c r="PIB34" s="21"/>
      <c r="PIC34" s="21"/>
      <c r="PID34" s="21"/>
      <c r="PIE34" s="21"/>
      <c r="PIF34" s="21"/>
      <c r="PIG34" s="21"/>
      <c r="PIH34" s="21"/>
      <c r="PII34" s="21"/>
      <c r="PIJ34" s="21"/>
      <c r="PIK34" s="21"/>
      <c r="PIL34" s="21"/>
      <c r="PIM34" s="21"/>
      <c r="PIN34" s="21"/>
      <c r="PIO34" s="21"/>
      <c r="PIP34" s="21"/>
      <c r="PIQ34" s="21"/>
      <c r="PIR34" s="21"/>
      <c r="PIS34" s="21"/>
      <c r="PIT34" s="21"/>
      <c r="PIU34" s="21"/>
      <c r="PIV34" s="21"/>
      <c r="PIW34" s="21"/>
      <c r="PIX34" s="21"/>
      <c r="PIY34" s="21"/>
      <c r="PIZ34" s="21"/>
      <c r="PJA34" s="21"/>
      <c r="PJB34" s="21"/>
      <c r="PJC34" s="21"/>
      <c r="PJD34" s="21"/>
      <c r="PJE34" s="21"/>
      <c r="PJF34" s="21"/>
      <c r="PJG34" s="21"/>
      <c r="PJH34" s="21"/>
      <c r="PJI34" s="21"/>
      <c r="PJJ34" s="21"/>
      <c r="PJK34" s="21"/>
      <c r="PJL34" s="21"/>
      <c r="PJM34" s="21"/>
      <c r="PJN34" s="21"/>
      <c r="PJO34" s="21"/>
      <c r="PJP34" s="21"/>
      <c r="PJQ34" s="21"/>
      <c r="PJR34" s="21"/>
      <c r="PJS34" s="21"/>
      <c r="PJT34" s="21"/>
      <c r="PJU34" s="21"/>
      <c r="PJV34" s="21"/>
      <c r="PJW34" s="21"/>
      <c r="PJX34" s="21"/>
      <c r="PJY34" s="21"/>
      <c r="PJZ34" s="21"/>
      <c r="PKA34" s="21"/>
      <c r="PKB34" s="21"/>
      <c r="PKC34" s="21"/>
      <c r="PKD34" s="21"/>
      <c r="PKE34" s="21"/>
      <c r="PKF34" s="21"/>
      <c r="PKG34" s="21"/>
      <c r="PKH34" s="21"/>
      <c r="PKI34" s="21"/>
      <c r="PKJ34" s="21"/>
      <c r="PKK34" s="21"/>
      <c r="PKL34" s="21"/>
      <c r="PKM34" s="21"/>
      <c r="PKN34" s="21"/>
      <c r="PKO34" s="21"/>
      <c r="PKP34" s="21"/>
      <c r="PKQ34" s="21"/>
      <c r="PKR34" s="21"/>
      <c r="PKS34" s="21"/>
      <c r="PKT34" s="21"/>
      <c r="PKU34" s="21"/>
      <c r="PKV34" s="21"/>
      <c r="PKW34" s="21"/>
      <c r="PKX34" s="21"/>
      <c r="PKY34" s="21"/>
      <c r="PKZ34" s="21"/>
      <c r="PLA34" s="21"/>
      <c r="PLB34" s="21"/>
      <c r="PLC34" s="21"/>
      <c r="PLD34" s="21"/>
      <c r="PLE34" s="21"/>
      <c r="PLF34" s="21"/>
      <c r="PLG34" s="21"/>
      <c r="PLH34" s="21"/>
      <c r="PLI34" s="21"/>
      <c r="PLJ34" s="21"/>
      <c r="PLK34" s="21"/>
      <c r="PLL34" s="21"/>
      <c r="PLM34" s="21"/>
      <c r="PLN34" s="21"/>
      <c r="PLO34" s="21"/>
      <c r="PLP34" s="21"/>
      <c r="PLQ34" s="21"/>
      <c r="PLR34" s="21"/>
      <c r="PLS34" s="21"/>
      <c r="PLT34" s="21"/>
      <c r="PLU34" s="21"/>
      <c r="PLV34" s="21"/>
      <c r="PLW34" s="21"/>
      <c r="PLX34" s="21"/>
      <c r="PLY34" s="21"/>
      <c r="PLZ34" s="21"/>
      <c r="PMA34" s="21"/>
      <c r="PMB34" s="21"/>
      <c r="PMC34" s="21"/>
      <c r="PMD34" s="21"/>
      <c r="PME34" s="21"/>
      <c r="PMF34" s="21"/>
      <c r="PMG34" s="21"/>
      <c r="PMH34" s="21"/>
      <c r="PMI34" s="21"/>
      <c r="PMJ34" s="21"/>
      <c r="PMK34" s="21"/>
      <c r="PML34" s="21"/>
      <c r="PMM34" s="21"/>
      <c r="PMN34" s="21"/>
      <c r="PMO34" s="21"/>
      <c r="PMP34" s="21"/>
      <c r="PMQ34" s="21"/>
      <c r="PMR34" s="21"/>
      <c r="PMS34" s="21"/>
      <c r="PMT34" s="21"/>
      <c r="PMU34" s="21"/>
      <c r="PMV34" s="21"/>
      <c r="PMW34" s="21"/>
      <c r="PMX34" s="21"/>
      <c r="PMY34" s="21"/>
      <c r="PMZ34" s="21"/>
      <c r="PNA34" s="21"/>
      <c r="PNB34" s="21"/>
      <c r="PNC34" s="21"/>
      <c r="PND34" s="21"/>
      <c r="PNE34" s="21"/>
      <c r="PNF34" s="21"/>
      <c r="PNG34" s="21"/>
      <c r="PNH34" s="21"/>
      <c r="PNI34" s="21"/>
      <c r="PNJ34" s="21"/>
      <c r="PNK34" s="21"/>
      <c r="PNL34" s="21"/>
      <c r="PNM34" s="21"/>
      <c r="PNN34" s="21"/>
      <c r="PNO34" s="21"/>
      <c r="PNP34" s="21"/>
      <c r="PNQ34" s="21"/>
      <c r="PNR34" s="21"/>
      <c r="PNS34" s="21"/>
      <c r="PNT34" s="21"/>
      <c r="PNU34" s="21"/>
      <c r="PNV34" s="21"/>
      <c r="PNW34" s="21"/>
      <c r="PNX34" s="21"/>
      <c r="PNY34" s="21"/>
      <c r="PNZ34" s="21"/>
      <c r="POA34" s="21"/>
      <c r="POB34" s="21"/>
      <c r="POC34" s="21"/>
      <c r="POD34" s="21"/>
      <c r="POE34" s="21"/>
      <c r="POF34" s="21"/>
      <c r="POG34" s="21"/>
      <c r="POH34" s="21"/>
      <c r="POI34" s="21"/>
      <c r="POJ34" s="21"/>
      <c r="POK34" s="21"/>
      <c r="POL34" s="21"/>
      <c r="POM34" s="21"/>
      <c r="PON34" s="21"/>
      <c r="POO34" s="21"/>
      <c r="POP34" s="21"/>
      <c r="POQ34" s="21"/>
      <c r="POR34" s="21"/>
      <c r="POS34" s="21"/>
      <c r="POT34" s="21"/>
      <c r="POU34" s="21"/>
      <c r="POV34" s="21"/>
      <c r="POW34" s="21"/>
      <c r="POX34" s="21"/>
      <c r="POY34" s="21"/>
      <c r="POZ34" s="21"/>
      <c r="PPA34" s="21"/>
      <c r="PPB34" s="21"/>
      <c r="PPC34" s="21"/>
      <c r="PPD34" s="21"/>
      <c r="PPE34" s="21"/>
      <c r="PPF34" s="21"/>
      <c r="PPG34" s="21"/>
      <c r="PPH34" s="21"/>
      <c r="PPI34" s="21"/>
      <c r="PPJ34" s="21"/>
      <c r="PPK34" s="21"/>
      <c r="PPL34" s="21"/>
      <c r="PPM34" s="21"/>
      <c r="PPN34" s="21"/>
      <c r="PPO34" s="21"/>
      <c r="PPP34" s="21"/>
      <c r="PPQ34" s="21"/>
      <c r="PPR34" s="21"/>
      <c r="PPS34" s="21"/>
      <c r="PPT34" s="21"/>
      <c r="PPU34" s="21"/>
      <c r="PPV34" s="21"/>
      <c r="PPW34" s="21"/>
      <c r="PPX34" s="21"/>
      <c r="PPY34" s="21"/>
      <c r="PPZ34" s="21"/>
      <c r="PQA34" s="21"/>
      <c r="PQB34" s="21"/>
      <c r="PQC34" s="21"/>
      <c r="PQD34" s="21"/>
      <c r="PQE34" s="21"/>
      <c r="PQF34" s="21"/>
      <c r="PQG34" s="21"/>
      <c r="PQH34" s="21"/>
      <c r="PQI34" s="21"/>
      <c r="PQJ34" s="21"/>
      <c r="PQK34" s="21"/>
      <c r="PQL34" s="21"/>
      <c r="PQM34" s="21"/>
      <c r="PQN34" s="21"/>
      <c r="PQO34" s="21"/>
      <c r="PQP34" s="21"/>
      <c r="PQQ34" s="21"/>
      <c r="PQR34" s="21"/>
      <c r="PQS34" s="21"/>
      <c r="PQT34" s="21"/>
      <c r="PQU34" s="21"/>
      <c r="PQV34" s="21"/>
      <c r="PQW34" s="21"/>
      <c r="PQX34" s="21"/>
      <c r="PQY34" s="21"/>
      <c r="PQZ34" s="21"/>
      <c r="PRA34" s="21"/>
      <c r="PRB34" s="21"/>
      <c r="PRC34" s="21"/>
      <c r="PRD34" s="21"/>
      <c r="PRE34" s="21"/>
      <c r="PRF34" s="21"/>
      <c r="PRG34" s="21"/>
      <c r="PRH34" s="21"/>
      <c r="PRI34" s="21"/>
      <c r="PRJ34" s="21"/>
      <c r="PRK34" s="21"/>
      <c r="PRL34" s="21"/>
      <c r="PRM34" s="21"/>
      <c r="PRN34" s="21"/>
      <c r="PRO34" s="21"/>
      <c r="PRP34" s="21"/>
      <c r="PRQ34" s="21"/>
      <c r="PRR34" s="21"/>
      <c r="PRS34" s="21"/>
      <c r="PRT34" s="21"/>
      <c r="PRU34" s="21"/>
      <c r="PRV34" s="21"/>
      <c r="PRW34" s="21"/>
      <c r="PRX34" s="21"/>
      <c r="PRY34" s="21"/>
      <c r="PRZ34" s="21"/>
      <c r="PSA34" s="21"/>
      <c r="PSB34" s="21"/>
      <c r="PSC34" s="21"/>
      <c r="PSD34" s="21"/>
      <c r="PSE34" s="21"/>
      <c r="PSF34" s="21"/>
      <c r="PSG34" s="21"/>
      <c r="PSH34" s="21"/>
      <c r="PSI34" s="21"/>
      <c r="PSJ34" s="21"/>
      <c r="PSK34" s="21"/>
      <c r="PSL34" s="21"/>
      <c r="PSM34" s="21"/>
      <c r="PSN34" s="21"/>
      <c r="PSO34" s="21"/>
      <c r="PSP34" s="21"/>
      <c r="PSQ34" s="21"/>
      <c r="PSR34" s="21"/>
      <c r="PSS34" s="21"/>
      <c r="PST34" s="21"/>
      <c r="PSU34" s="21"/>
      <c r="PSV34" s="21"/>
      <c r="PSW34" s="21"/>
      <c r="PSX34" s="21"/>
      <c r="PSY34" s="21"/>
      <c r="PSZ34" s="21"/>
      <c r="PTA34" s="21"/>
      <c r="PTB34" s="21"/>
      <c r="PTC34" s="21"/>
      <c r="PTD34" s="21"/>
      <c r="PTE34" s="21"/>
      <c r="PTF34" s="21"/>
      <c r="PTG34" s="21"/>
      <c r="PTH34" s="21"/>
      <c r="PTI34" s="21"/>
      <c r="PTJ34" s="21"/>
      <c r="PTK34" s="21"/>
      <c r="PTL34" s="21"/>
      <c r="PTM34" s="21"/>
      <c r="PTN34" s="21"/>
      <c r="PTO34" s="21"/>
      <c r="PTP34" s="21"/>
      <c r="PTQ34" s="21"/>
      <c r="PTR34" s="21"/>
      <c r="PTS34" s="21"/>
      <c r="PTT34" s="21"/>
      <c r="PTU34" s="21"/>
      <c r="PTV34" s="21"/>
      <c r="PTW34" s="21"/>
      <c r="PTX34" s="21"/>
      <c r="PTY34" s="21"/>
      <c r="PTZ34" s="21"/>
      <c r="PUA34" s="21"/>
      <c r="PUB34" s="21"/>
      <c r="PUC34" s="21"/>
      <c r="PUD34" s="21"/>
      <c r="PUE34" s="21"/>
      <c r="PUF34" s="21"/>
      <c r="PUG34" s="21"/>
      <c r="PUH34" s="21"/>
      <c r="PUI34" s="21"/>
      <c r="PUJ34" s="21"/>
      <c r="PUK34" s="21"/>
      <c r="PUL34" s="21"/>
      <c r="PUM34" s="21"/>
      <c r="PUN34" s="21"/>
      <c r="PUO34" s="21"/>
      <c r="PUP34" s="21"/>
      <c r="PUQ34" s="21"/>
      <c r="PUR34" s="21"/>
      <c r="PUS34" s="21"/>
      <c r="PUT34" s="21"/>
      <c r="PUU34" s="21"/>
      <c r="PUV34" s="21"/>
      <c r="PUW34" s="21"/>
      <c r="PUX34" s="21"/>
      <c r="PUY34" s="21"/>
      <c r="PUZ34" s="21"/>
      <c r="PVA34" s="21"/>
      <c r="PVB34" s="21"/>
      <c r="PVC34" s="21"/>
      <c r="PVD34" s="21"/>
      <c r="PVE34" s="21"/>
      <c r="PVF34" s="21"/>
      <c r="PVG34" s="21"/>
      <c r="PVH34" s="21"/>
      <c r="PVI34" s="21"/>
      <c r="PVJ34" s="21"/>
      <c r="PVK34" s="21"/>
      <c r="PVL34" s="21"/>
      <c r="PVM34" s="21"/>
      <c r="PVN34" s="21"/>
      <c r="PVO34" s="21"/>
      <c r="PVP34" s="21"/>
      <c r="PVQ34" s="21"/>
      <c r="PVR34" s="21"/>
      <c r="PVS34" s="21"/>
      <c r="PVT34" s="21"/>
      <c r="PVU34" s="21"/>
      <c r="PVV34" s="21"/>
      <c r="PVW34" s="21"/>
      <c r="PVX34" s="21"/>
      <c r="PVY34" s="21"/>
      <c r="PVZ34" s="21"/>
      <c r="PWA34" s="21"/>
      <c r="PWB34" s="21"/>
      <c r="PWC34" s="21"/>
      <c r="PWD34" s="21"/>
      <c r="PWE34" s="21"/>
      <c r="PWF34" s="21"/>
      <c r="PWG34" s="21"/>
      <c r="PWH34" s="21"/>
      <c r="PWI34" s="21"/>
      <c r="PWJ34" s="21"/>
      <c r="PWK34" s="21"/>
      <c r="PWL34" s="21"/>
      <c r="PWM34" s="21"/>
      <c r="PWN34" s="21"/>
      <c r="PWO34" s="21"/>
      <c r="PWP34" s="21"/>
      <c r="PWQ34" s="21"/>
      <c r="PWR34" s="21"/>
      <c r="PWS34" s="21"/>
      <c r="PWT34" s="21"/>
      <c r="PWU34" s="21"/>
      <c r="PWV34" s="21"/>
      <c r="PWW34" s="21"/>
      <c r="PWX34" s="21"/>
      <c r="PWY34" s="21"/>
      <c r="PWZ34" s="21"/>
      <c r="PXA34" s="21"/>
      <c r="PXB34" s="21"/>
      <c r="PXC34" s="21"/>
      <c r="PXD34" s="21"/>
      <c r="PXE34" s="21"/>
      <c r="PXF34" s="21"/>
      <c r="PXG34" s="21"/>
      <c r="PXH34" s="21"/>
      <c r="PXI34" s="21"/>
      <c r="PXJ34" s="21"/>
      <c r="PXK34" s="21"/>
      <c r="PXL34" s="21"/>
      <c r="PXM34" s="21"/>
      <c r="PXN34" s="21"/>
      <c r="PXO34" s="21"/>
      <c r="PXP34" s="21"/>
      <c r="PXQ34" s="21"/>
      <c r="PXR34" s="21"/>
      <c r="PXS34" s="21"/>
      <c r="PXT34" s="21"/>
      <c r="PXU34" s="21"/>
      <c r="PXV34" s="21"/>
      <c r="PXW34" s="21"/>
      <c r="PXX34" s="21"/>
      <c r="PXY34" s="21"/>
      <c r="PXZ34" s="21"/>
      <c r="PYA34" s="21"/>
      <c r="PYB34" s="21"/>
      <c r="PYC34" s="21"/>
      <c r="PYD34" s="21"/>
      <c r="PYE34" s="21"/>
      <c r="PYF34" s="21"/>
      <c r="PYG34" s="21"/>
      <c r="PYH34" s="21"/>
      <c r="PYI34" s="21"/>
      <c r="PYJ34" s="21"/>
      <c r="PYK34" s="21"/>
      <c r="PYL34" s="21"/>
      <c r="PYM34" s="21"/>
      <c r="PYN34" s="21"/>
      <c r="PYO34" s="21"/>
      <c r="PYP34" s="21"/>
      <c r="PYQ34" s="21"/>
      <c r="PYR34" s="21"/>
      <c r="PYS34" s="21"/>
      <c r="PYT34" s="21"/>
      <c r="PYU34" s="21"/>
      <c r="PYV34" s="21"/>
      <c r="PYW34" s="21"/>
      <c r="PYX34" s="21"/>
      <c r="PYY34" s="21"/>
      <c r="PYZ34" s="21"/>
      <c r="PZA34" s="21"/>
      <c r="PZB34" s="21"/>
      <c r="PZC34" s="21"/>
      <c r="PZD34" s="21"/>
      <c r="PZE34" s="21"/>
      <c r="PZF34" s="21"/>
      <c r="PZG34" s="21"/>
      <c r="PZH34" s="21"/>
      <c r="PZI34" s="21"/>
      <c r="PZJ34" s="21"/>
      <c r="PZK34" s="21"/>
      <c r="PZL34" s="21"/>
      <c r="PZM34" s="21"/>
      <c r="PZN34" s="21"/>
      <c r="PZO34" s="21"/>
      <c r="PZP34" s="21"/>
      <c r="PZQ34" s="21"/>
      <c r="PZR34" s="21"/>
      <c r="PZS34" s="21"/>
      <c r="PZT34" s="21"/>
      <c r="PZU34" s="21"/>
      <c r="PZV34" s="21"/>
      <c r="PZW34" s="21"/>
      <c r="PZX34" s="21"/>
      <c r="PZY34" s="21"/>
      <c r="PZZ34" s="21"/>
      <c r="QAA34" s="21"/>
      <c r="QAB34" s="21"/>
      <c r="QAC34" s="21"/>
      <c r="QAD34" s="21"/>
      <c r="QAE34" s="21"/>
      <c r="QAF34" s="21"/>
      <c r="QAG34" s="21"/>
      <c r="QAH34" s="21"/>
      <c r="QAI34" s="21"/>
      <c r="QAJ34" s="21"/>
      <c r="QAK34" s="21"/>
      <c r="QAL34" s="21"/>
      <c r="QAM34" s="21"/>
      <c r="QAN34" s="21"/>
      <c r="QAO34" s="21"/>
      <c r="QAP34" s="21"/>
      <c r="QAQ34" s="21"/>
      <c r="QAR34" s="21"/>
      <c r="QAS34" s="21"/>
      <c r="QAT34" s="21"/>
      <c r="QAU34" s="21"/>
      <c r="QAV34" s="21"/>
      <c r="QAW34" s="21"/>
      <c r="QAX34" s="21"/>
      <c r="QAY34" s="21"/>
      <c r="QAZ34" s="21"/>
      <c r="QBA34" s="21"/>
      <c r="QBB34" s="21"/>
      <c r="QBC34" s="21"/>
      <c r="QBD34" s="21"/>
      <c r="QBE34" s="21"/>
      <c r="QBF34" s="21"/>
      <c r="QBG34" s="21"/>
      <c r="QBH34" s="21"/>
      <c r="QBI34" s="21"/>
      <c r="QBJ34" s="21"/>
      <c r="QBK34" s="21"/>
      <c r="QBL34" s="21"/>
      <c r="QBM34" s="21"/>
      <c r="QBN34" s="21"/>
      <c r="QBO34" s="21"/>
      <c r="QBP34" s="21"/>
      <c r="QBQ34" s="21"/>
      <c r="QBR34" s="21"/>
      <c r="QBS34" s="21"/>
      <c r="QBT34" s="21"/>
      <c r="QBU34" s="21"/>
      <c r="QBV34" s="21"/>
      <c r="QBW34" s="21"/>
      <c r="QBX34" s="21"/>
      <c r="QBY34" s="21"/>
      <c r="QBZ34" s="21"/>
      <c r="QCA34" s="21"/>
      <c r="QCB34" s="21"/>
      <c r="QCC34" s="21"/>
      <c r="QCD34" s="21"/>
      <c r="QCE34" s="21"/>
      <c r="QCF34" s="21"/>
      <c r="QCG34" s="21"/>
      <c r="QCH34" s="21"/>
      <c r="QCI34" s="21"/>
      <c r="QCJ34" s="21"/>
      <c r="QCK34" s="21"/>
      <c r="QCL34" s="21"/>
      <c r="QCM34" s="21"/>
      <c r="QCN34" s="21"/>
      <c r="QCO34" s="21"/>
      <c r="QCP34" s="21"/>
      <c r="QCQ34" s="21"/>
      <c r="QCR34" s="21"/>
      <c r="QCS34" s="21"/>
      <c r="QCT34" s="21"/>
      <c r="QCU34" s="21"/>
      <c r="QCV34" s="21"/>
      <c r="QCW34" s="21"/>
      <c r="QCX34" s="21"/>
      <c r="QCY34" s="21"/>
      <c r="QCZ34" s="21"/>
      <c r="QDA34" s="21"/>
      <c r="QDB34" s="21"/>
      <c r="QDC34" s="21"/>
      <c r="QDD34" s="21"/>
      <c r="QDE34" s="21"/>
      <c r="QDF34" s="21"/>
      <c r="QDG34" s="21"/>
      <c r="QDH34" s="21"/>
      <c r="QDI34" s="21"/>
      <c r="QDJ34" s="21"/>
      <c r="QDK34" s="21"/>
      <c r="QDL34" s="21"/>
      <c r="QDM34" s="21"/>
      <c r="QDN34" s="21"/>
      <c r="QDO34" s="21"/>
      <c r="QDP34" s="21"/>
      <c r="QDQ34" s="21"/>
      <c r="QDR34" s="21"/>
      <c r="QDS34" s="21"/>
      <c r="QDT34" s="21"/>
      <c r="QDU34" s="21"/>
      <c r="QDV34" s="21"/>
      <c r="QDW34" s="21"/>
      <c r="QDX34" s="21"/>
      <c r="QDY34" s="21"/>
      <c r="QDZ34" s="21"/>
      <c r="QEA34" s="21"/>
      <c r="QEB34" s="21"/>
      <c r="QEC34" s="21"/>
      <c r="QED34" s="21"/>
      <c r="QEE34" s="21"/>
      <c r="QEF34" s="21"/>
      <c r="QEG34" s="21"/>
      <c r="QEH34" s="21"/>
      <c r="QEI34" s="21"/>
      <c r="QEJ34" s="21"/>
      <c r="QEK34" s="21"/>
      <c r="QEL34" s="21"/>
      <c r="QEM34" s="21"/>
      <c r="QEN34" s="21"/>
      <c r="QEO34" s="21"/>
      <c r="QEP34" s="21"/>
      <c r="QEQ34" s="21"/>
      <c r="QER34" s="21"/>
      <c r="QES34" s="21"/>
      <c r="QET34" s="21"/>
      <c r="QEU34" s="21"/>
      <c r="QEV34" s="21"/>
      <c r="QEW34" s="21"/>
      <c r="QEX34" s="21"/>
      <c r="QEY34" s="21"/>
      <c r="QEZ34" s="21"/>
      <c r="QFA34" s="21"/>
      <c r="QFB34" s="21"/>
      <c r="QFC34" s="21"/>
      <c r="QFD34" s="21"/>
      <c r="QFE34" s="21"/>
      <c r="QFF34" s="21"/>
      <c r="QFG34" s="21"/>
      <c r="QFH34" s="21"/>
      <c r="QFI34" s="21"/>
      <c r="QFJ34" s="21"/>
      <c r="QFK34" s="21"/>
      <c r="QFL34" s="21"/>
      <c r="QFM34" s="21"/>
      <c r="QFN34" s="21"/>
      <c r="QFO34" s="21"/>
      <c r="QFP34" s="21"/>
      <c r="QFQ34" s="21"/>
      <c r="QFR34" s="21"/>
      <c r="QFS34" s="21"/>
      <c r="QFT34" s="21"/>
      <c r="QFU34" s="21"/>
      <c r="QFV34" s="21"/>
      <c r="QFW34" s="21"/>
      <c r="QFX34" s="21"/>
      <c r="QFY34" s="21"/>
      <c r="QFZ34" s="21"/>
      <c r="QGA34" s="21"/>
      <c r="QGB34" s="21"/>
      <c r="QGC34" s="21"/>
      <c r="QGD34" s="21"/>
      <c r="QGE34" s="21"/>
      <c r="QGF34" s="21"/>
      <c r="QGG34" s="21"/>
      <c r="QGH34" s="21"/>
      <c r="QGI34" s="21"/>
      <c r="QGJ34" s="21"/>
      <c r="QGK34" s="21"/>
      <c r="QGL34" s="21"/>
      <c r="QGM34" s="21"/>
      <c r="QGN34" s="21"/>
      <c r="QGO34" s="21"/>
      <c r="QGP34" s="21"/>
      <c r="QGQ34" s="21"/>
      <c r="QGR34" s="21"/>
      <c r="QGS34" s="21"/>
      <c r="QGT34" s="21"/>
      <c r="QGU34" s="21"/>
      <c r="QGV34" s="21"/>
      <c r="QGW34" s="21"/>
      <c r="QGX34" s="21"/>
      <c r="QGY34" s="21"/>
      <c r="QGZ34" s="21"/>
      <c r="QHA34" s="21"/>
      <c r="QHB34" s="21"/>
      <c r="QHC34" s="21"/>
      <c r="QHD34" s="21"/>
      <c r="QHE34" s="21"/>
      <c r="QHF34" s="21"/>
      <c r="QHG34" s="21"/>
      <c r="QHH34" s="21"/>
      <c r="QHI34" s="21"/>
      <c r="QHJ34" s="21"/>
      <c r="QHK34" s="21"/>
      <c r="QHL34" s="21"/>
      <c r="QHM34" s="21"/>
      <c r="QHN34" s="21"/>
      <c r="QHO34" s="21"/>
      <c r="QHP34" s="21"/>
      <c r="QHQ34" s="21"/>
      <c r="QHR34" s="21"/>
      <c r="QHS34" s="21"/>
      <c r="QHT34" s="21"/>
      <c r="QHU34" s="21"/>
      <c r="QHV34" s="21"/>
      <c r="QHW34" s="21"/>
      <c r="QHX34" s="21"/>
      <c r="QHY34" s="21"/>
      <c r="QHZ34" s="21"/>
      <c r="QIA34" s="21"/>
      <c r="QIB34" s="21"/>
      <c r="QIC34" s="21"/>
      <c r="QID34" s="21"/>
      <c r="QIE34" s="21"/>
      <c r="QIF34" s="21"/>
      <c r="QIG34" s="21"/>
      <c r="QIH34" s="21"/>
      <c r="QII34" s="21"/>
      <c r="QIJ34" s="21"/>
      <c r="QIK34" s="21"/>
      <c r="QIL34" s="21"/>
      <c r="QIM34" s="21"/>
      <c r="QIN34" s="21"/>
      <c r="QIO34" s="21"/>
      <c r="QIP34" s="21"/>
      <c r="QIQ34" s="21"/>
      <c r="QIR34" s="21"/>
      <c r="QIS34" s="21"/>
      <c r="QIT34" s="21"/>
      <c r="QIU34" s="21"/>
      <c r="QIV34" s="21"/>
      <c r="QIW34" s="21"/>
      <c r="QIX34" s="21"/>
      <c r="QIY34" s="21"/>
      <c r="QIZ34" s="21"/>
      <c r="QJA34" s="21"/>
      <c r="QJB34" s="21"/>
      <c r="QJC34" s="21"/>
      <c r="QJD34" s="21"/>
      <c r="QJE34" s="21"/>
      <c r="QJF34" s="21"/>
      <c r="QJG34" s="21"/>
      <c r="QJH34" s="21"/>
      <c r="QJI34" s="21"/>
      <c r="QJJ34" s="21"/>
      <c r="QJK34" s="21"/>
      <c r="QJL34" s="21"/>
      <c r="QJM34" s="21"/>
      <c r="QJN34" s="21"/>
      <c r="QJO34" s="21"/>
      <c r="QJP34" s="21"/>
      <c r="QJQ34" s="21"/>
      <c r="QJR34" s="21"/>
      <c r="QJS34" s="21"/>
      <c r="QJT34" s="21"/>
      <c r="QJU34" s="21"/>
      <c r="QJV34" s="21"/>
      <c r="QJW34" s="21"/>
      <c r="QJX34" s="21"/>
      <c r="QJY34" s="21"/>
      <c r="QJZ34" s="21"/>
      <c r="QKA34" s="21"/>
      <c r="QKB34" s="21"/>
      <c r="QKC34" s="21"/>
      <c r="QKD34" s="21"/>
      <c r="QKE34" s="21"/>
      <c r="QKF34" s="21"/>
      <c r="QKG34" s="21"/>
      <c r="QKH34" s="21"/>
      <c r="QKI34" s="21"/>
      <c r="QKJ34" s="21"/>
      <c r="QKK34" s="21"/>
      <c r="QKL34" s="21"/>
      <c r="QKM34" s="21"/>
      <c r="QKN34" s="21"/>
      <c r="QKO34" s="21"/>
      <c r="QKP34" s="21"/>
      <c r="QKQ34" s="21"/>
      <c r="QKR34" s="21"/>
      <c r="QKS34" s="21"/>
      <c r="QKT34" s="21"/>
      <c r="QKU34" s="21"/>
      <c r="QKV34" s="21"/>
      <c r="QKW34" s="21"/>
      <c r="QKX34" s="21"/>
      <c r="QKY34" s="21"/>
      <c r="QKZ34" s="21"/>
      <c r="QLA34" s="21"/>
      <c r="QLB34" s="21"/>
      <c r="QLC34" s="21"/>
      <c r="QLD34" s="21"/>
      <c r="QLE34" s="21"/>
      <c r="QLF34" s="21"/>
      <c r="QLG34" s="21"/>
      <c r="QLH34" s="21"/>
      <c r="QLI34" s="21"/>
      <c r="QLJ34" s="21"/>
      <c r="QLK34" s="21"/>
      <c r="QLL34" s="21"/>
      <c r="QLM34" s="21"/>
      <c r="QLN34" s="21"/>
      <c r="QLO34" s="21"/>
      <c r="QLP34" s="21"/>
      <c r="QLQ34" s="21"/>
      <c r="QLR34" s="21"/>
      <c r="QLS34" s="21"/>
      <c r="QLT34" s="21"/>
      <c r="QLU34" s="21"/>
      <c r="QLV34" s="21"/>
      <c r="QLW34" s="21"/>
      <c r="QLX34" s="21"/>
      <c r="QLY34" s="21"/>
      <c r="QLZ34" s="21"/>
      <c r="QMA34" s="21"/>
      <c r="QMB34" s="21"/>
      <c r="QMC34" s="21"/>
      <c r="QMD34" s="21"/>
      <c r="QME34" s="21"/>
      <c r="QMF34" s="21"/>
      <c r="QMG34" s="21"/>
      <c r="QMH34" s="21"/>
      <c r="QMI34" s="21"/>
      <c r="QMJ34" s="21"/>
      <c r="QMK34" s="21"/>
      <c r="QML34" s="21"/>
      <c r="QMM34" s="21"/>
      <c r="QMN34" s="21"/>
      <c r="QMO34" s="21"/>
      <c r="QMP34" s="21"/>
      <c r="QMQ34" s="21"/>
      <c r="QMR34" s="21"/>
      <c r="QMS34" s="21"/>
      <c r="QMT34" s="21"/>
      <c r="QMU34" s="21"/>
      <c r="QMV34" s="21"/>
      <c r="QMW34" s="21"/>
      <c r="QMX34" s="21"/>
      <c r="QMY34" s="21"/>
      <c r="QMZ34" s="21"/>
      <c r="QNA34" s="21"/>
      <c r="QNB34" s="21"/>
      <c r="QNC34" s="21"/>
      <c r="QND34" s="21"/>
      <c r="QNE34" s="21"/>
      <c r="QNF34" s="21"/>
      <c r="QNG34" s="21"/>
      <c r="QNH34" s="21"/>
      <c r="QNI34" s="21"/>
      <c r="QNJ34" s="21"/>
      <c r="QNK34" s="21"/>
      <c r="QNL34" s="21"/>
      <c r="QNM34" s="21"/>
      <c r="QNN34" s="21"/>
      <c r="QNO34" s="21"/>
      <c r="QNP34" s="21"/>
      <c r="QNQ34" s="21"/>
      <c r="QNR34" s="21"/>
      <c r="QNS34" s="21"/>
      <c r="QNT34" s="21"/>
      <c r="QNU34" s="21"/>
      <c r="QNV34" s="21"/>
      <c r="QNW34" s="21"/>
      <c r="QNX34" s="21"/>
      <c r="QNY34" s="21"/>
      <c r="QNZ34" s="21"/>
      <c r="QOA34" s="21"/>
      <c r="QOB34" s="21"/>
      <c r="QOC34" s="21"/>
      <c r="QOD34" s="21"/>
      <c r="QOE34" s="21"/>
      <c r="QOF34" s="21"/>
      <c r="QOG34" s="21"/>
      <c r="QOH34" s="21"/>
      <c r="QOI34" s="21"/>
      <c r="QOJ34" s="21"/>
      <c r="QOK34" s="21"/>
      <c r="QOL34" s="21"/>
      <c r="QOM34" s="21"/>
      <c r="QON34" s="21"/>
      <c r="QOO34" s="21"/>
      <c r="QOP34" s="21"/>
      <c r="QOQ34" s="21"/>
      <c r="QOR34" s="21"/>
      <c r="QOS34" s="21"/>
      <c r="QOT34" s="21"/>
      <c r="QOU34" s="21"/>
      <c r="QOV34" s="21"/>
      <c r="QOW34" s="21"/>
      <c r="QOX34" s="21"/>
      <c r="QOY34" s="21"/>
      <c r="QOZ34" s="21"/>
      <c r="QPA34" s="21"/>
      <c r="QPB34" s="21"/>
      <c r="QPC34" s="21"/>
      <c r="QPD34" s="21"/>
      <c r="QPE34" s="21"/>
      <c r="QPF34" s="21"/>
      <c r="QPG34" s="21"/>
      <c r="QPH34" s="21"/>
      <c r="QPI34" s="21"/>
      <c r="QPJ34" s="21"/>
      <c r="QPK34" s="21"/>
      <c r="QPL34" s="21"/>
      <c r="QPM34" s="21"/>
      <c r="QPN34" s="21"/>
      <c r="QPO34" s="21"/>
      <c r="QPP34" s="21"/>
      <c r="QPQ34" s="21"/>
      <c r="QPR34" s="21"/>
      <c r="QPS34" s="21"/>
      <c r="QPT34" s="21"/>
      <c r="QPU34" s="21"/>
      <c r="QPV34" s="21"/>
      <c r="QPW34" s="21"/>
      <c r="QPX34" s="21"/>
      <c r="QPY34" s="21"/>
      <c r="QPZ34" s="21"/>
      <c r="QQA34" s="21"/>
      <c r="QQB34" s="21"/>
      <c r="QQC34" s="21"/>
      <c r="QQD34" s="21"/>
      <c r="QQE34" s="21"/>
      <c r="QQF34" s="21"/>
      <c r="QQG34" s="21"/>
      <c r="QQH34" s="21"/>
      <c r="QQI34" s="21"/>
      <c r="QQJ34" s="21"/>
      <c r="QQK34" s="21"/>
      <c r="QQL34" s="21"/>
      <c r="QQM34" s="21"/>
      <c r="QQN34" s="21"/>
      <c r="QQO34" s="21"/>
      <c r="QQP34" s="21"/>
      <c r="QQQ34" s="21"/>
      <c r="QQR34" s="21"/>
      <c r="QQS34" s="21"/>
      <c r="QQT34" s="21"/>
      <c r="QQU34" s="21"/>
      <c r="QQV34" s="21"/>
      <c r="QQW34" s="21"/>
      <c r="QQX34" s="21"/>
      <c r="QQY34" s="21"/>
      <c r="QQZ34" s="21"/>
      <c r="QRA34" s="21"/>
      <c r="QRB34" s="21"/>
      <c r="QRC34" s="21"/>
      <c r="QRD34" s="21"/>
      <c r="QRE34" s="21"/>
      <c r="QRF34" s="21"/>
      <c r="QRG34" s="21"/>
      <c r="QRH34" s="21"/>
      <c r="QRI34" s="21"/>
      <c r="QRJ34" s="21"/>
      <c r="QRK34" s="21"/>
      <c r="QRL34" s="21"/>
      <c r="QRM34" s="21"/>
      <c r="QRN34" s="21"/>
      <c r="QRO34" s="21"/>
      <c r="QRP34" s="21"/>
      <c r="QRQ34" s="21"/>
      <c r="QRR34" s="21"/>
      <c r="QRS34" s="21"/>
      <c r="QRT34" s="21"/>
      <c r="QRU34" s="21"/>
      <c r="QRV34" s="21"/>
      <c r="QRW34" s="21"/>
      <c r="QRX34" s="21"/>
      <c r="QRY34" s="21"/>
      <c r="QRZ34" s="21"/>
      <c r="QSA34" s="21"/>
      <c r="QSB34" s="21"/>
      <c r="QSC34" s="21"/>
      <c r="QSD34" s="21"/>
      <c r="QSE34" s="21"/>
      <c r="QSF34" s="21"/>
      <c r="QSG34" s="21"/>
      <c r="QSH34" s="21"/>
      <c r="QSI34" s="21"/>
      <c r="QSJ34" s="21"/>
      <c r="QSK34" s="21"/>
      <c r="QSL34" s="21"/>
      <c r="QSM34" s="21"/>
      <c r="QSN34" s="21"/>
      <c r="QSO34" s="21"/>
      <c r="QSP34" s="21"/>
      <c r="QSQ34" s="21"/>
      <c r="QSR34" s="21"/>
      <c r="QSS34" s="21"/>
      <c r="QST34" s="21"/>
      <c r="QSU34" s="21"/>
      <c r="QSV34" s="21"/>
      <c r="QSW34" s="21"/>
      <c r="QSX34" s="21"/>
      <c r="QSY34" s="21"/>
      <c r="QSZ34" s="21"/>
      <c r="QTA34" s="21"/>
      <c r="QTB34" s="21"/>
      <c r="QTC34" s="21"/>
      <c r="QTD34" s="21"/>
      <c r="QTE34" s="21"/>
      <c r="QTF34" s="21"/>
      <c r="QTG34" s="21"/>
      <c r="QTH34" s="21"/>
      <c r="QTI34" s="21"/>
      <c r="QTJ34" s="21"/>
      <c r="QTK34" s="21"/>
      <c r="QTL34" s="21"/>
      <c r="QTM34" s="21"/>
      <c r="QTN34" s="21"/>
      <c r="QTO34" s="21"/>
      <c r="QTP34" s="21"/>
      <c r="QTQ34" s="21"/>
      <c r="QTR34" s="21"/>
      <c r="QTS34" s="21"/>
      <c r="QTT34" s="21"/>
      <c r="QTU34" s="21"/>
      <c r="QTV34" s="21"/>
      <c r="QTW34" s="21"/>
      <c r="QTX34" s="21"/>
      <c r="QTY34" s="21"/>
      <c r="QTZ34" s="21"/>
      <c r="QUA34" s="21"/>
      <c r="QUB34" s="21"/>
      <c r="QUC34" s="21"/>
      <c r="QUD34" s="21"/>
      <c r="QUE34" s="21"/>
      <c r="QUF34" s="21"/>
      <c r="QUG34" s="21"/>
      <c r="QUH34" s="21"/>
      <c r="QUI34" s="21"/>
      <c r="QUJ34" s="21"/>
      <c r="QUK34" s="21"/>
      <c r="QUL34" s="21"/>
      <c r="QUM34" s="21"/>
      <c r="QUN34" s="21"/>
      <c r="QUO34" s="21"/>
      <c r="QUP34" s="21"/>
      <c r="QUQ34" s="21"/>
      <c r="QUR34" s="21"/>
      <c r="QUS34" s="21"/>
      <c r="QUT34" s="21"/>
      <c r="QUU34" s="21"/>
      <c r="QUV34" s="21"/>
      <c r="QUW34" s="21"/>
      <c r="QUX34" s="21"/>
      <c r="QUY34" s="21"/>
      <c r="QUZ34" s="21"/>
      <c r="QVA34" s="21"/>
      <c r="QVB34" s="21"/>
      <c r="QVC34" s="21"/>
      <c r="QVD34" s="21"/>
      <c r="QVE34" s="21"/>
      <c r="QVF34" s="21"/>
      <c r="QVG34" s="21"/>
      <c r="QVH34" s="21"/>
      <c r="QVI34" s="21"/>
      <c r="QVJ34" s="21"/>
      <c r="QVK34" s="21"/>
      <c r="QVL34" s="21"/>
      <c r="QVM34" s="21"/>
      <c r="QVN34" s="21"/>
      <c r="QVO34" s="21"/>
      <c r="QVP34" s="21"/>
      <c r="QVQ34" s="21"/>
      <c r="QVR34" s="21"/>
      <c r="QVS34" s="21"/>
      <c r="QVT34" s="21"/>
      <c r="QVU34" s="21"/>
      <c r="QVV34" s="21"/>
      <c r="QVW34" s="21"/>
      <c r="QVX34" s="21"/>
      <c r="QVY34" s="21"/>
      <c r="QVZ34" s="21"/>
      <c r="QWA34" s="21"/>
      <c r="QWB34" s="21"/>
      <c r="QWC34" s="21"/>
      <c r="QWD34" s="21"/>
      <c r="QWE34" s="21"/>
      <c r="QWF34" s="21"/>
      <c r="QWG34" s="21"/>
      <c r="QWH34" s="21"/>
      <c r="QWI34" s="21"/>
      <c r="QWJ34" s="21"/>
      <c r="QWK34" s="21"/>
      <c r="QWL34" s="21"/>
      <c r="QWM34" s="21"/>
      <c r="QWN34" s="21"/>
      <c r="QWO34" s="21"/>
      <c r="QWP34" s="21"/>
      <c r="QWQ34" s="21"/>
      <c r="QWR34" s="21"/>
      <c r="QWS34" s="21"/>
      <c r="QWT34" s="21"/>
      <c r="QWU34" s="21"/>
      <c r="QWV34" s="21"/>
      <c r="QWW34" s="21"/>
      <c r="QWX34" s="21"/>
      <c r="QWY34" s="21"/>
      <c r="QWZ34" s="21"/>
      <c r="QXA34" s="21"/>
      <c r="QXB34" s="21"/>
      <c r="QXC34" s="21"/>
      <c r="QXD34" s="21"/>
      <c r="QXE34" s="21"/>
      <c r="QXF34" s="21"/>
      <c r="QXG34" s="21"/>
      <c r="QXH34" s="21"/>
      <c r="QXI34" s="21"/>
      <c r="QXJ34" s="21"/>
      <c r="QXK34" s="21"/>
      <c r="QXL34" s="21"/>
      <c r="QXM34" s="21"/>
      <c r="QXN34" s="21"/>
      <c r="QXO34" s="21"/>
      <c r="QXP34" s="21"/>
      <c r="QXQ34" s="21"/>
      <c r="QXR34" s="21"/>
      <c r="QXS34" s="21"/>
      <c r="QXT34" s="21"/>
      <c r="QXU34" s="21"/>
      <c r="QXV34" s="21"/>
      <c r="QXW34" s="21"/>
      <c r="QXX34" s="21"/>
      <c r="QXY34" s="21"/>
      <c r="QXZ34" s="21"/>
      <c r="QYA34" s="21"/>
      <c r="QYB34" s="21"/>
      <c r="QYC34" s="21"/>
      <c r="QYD34" s="21"/>
      <c r="QYE34" s="21"/>
      <c r="QYF34" s="21"/>
      <c r="QYG34" s="21"/>
      <c r="QYH34" s="21"/>
      <c r="QYI34" s="21"/>
      <c r="QYJ34" s="21"/>
      <c r="QYK34" s="21"/>
      <c r="QYL34" s="21"/>
      <c r="QYM34" s="21"/>
      <c r="QYN34" s="21"/>
      <c r="QYO34" s="21"/>
      <c r="QYP34" s="21"/>
      <c r="QYQ34" s="21"/>
      <c r="QYR34" s="21"/>
      <c r="QYS34" s="21"/>
      <c r="QYT34" s="21"/>
      <c r="QYU34" s="21"/>
      <c r="QYV34" s="21"/>
      <c r="QYW34" s="21"/>
      <c r="QYX34" s="21"/>
      <c r="QYY34" s="21"/>
      <c r="QYZ34" s="21"/>
      <c r="QZA34" s="21"/>
      <c r="QZB34" s="21"/>
      <c r="QZC34" s="21"/>
      <c r="QZD34" s="21"/>
      <c r="QZE34" s="21"/>
      <c r="QZF34" s="21"/>
      <c r="QZG34" s="21"/>
      <c r="QZH34" s="21"/>
      <c r="QZI34" s="21"/>
      <c r="QZJ34" s="21"/>
      <c r="QZK34" s="21"/>
      <c r="QZL34" s="21"/>
      <c r="QZM34" s="21"/>
      <c r="QZN34" s="21"/>
      <c r="QZO34" s="21"/>
      <c r="QZP34" s="21"/>
      <c r="QZQ34" s="21"/>
      <c r="QZR34" s="21"/>
      <c r="QZS34" s="21"/>
      <c r="QZT34" s="21"/>
      <c r="QZU34" s="21"/>
      <c r="QZV34" s="21"/>
      <c r="QZW34" s="21"/>
      <c r="QZX34" s="21"/>
      <c r="QZY34" s="21"/>
      <c r="QZZ34" s="21"/>
      <c r="RAA34" s="21"/>
      <c r="RAB34" s="21"/>
      <c r="RAC34" s="21"/>
      <c r="RAD34" s="21"/>
      <c r="RAE34" s="21"/>
      <c r="RAF34" s="21"/>
      <c r="RAG34" s="21"/>
      <c r="RAH34" s="21"/>
      <c r="RAI34" s="21"/>
      <c r="RAJ34" s="21"/>
      <c r="RAK34" s="21"/>
      <c r="RAL34" s="21"/>
      <c r="RAM34" s="21"/>
      <c r="RAN34" s="21"/>
      <c r="RAO34" s="21"/>
      <c r="RAP34" s="21"/>
      <c r="RAQ34" s="21"/>
      <c r="RAR34" s="21"/>
      <c r="RAS34" s="21"/>
      <c r="RAT34" s="21"/>
      <c r="RAU34" s="21"/>
      <c r="RAV34" s="21"/>
      <c r="RAW34" s="21"/>
      <c r="RAX34" s="21"/>
      <c r="RAY34" s="21"/>
      <c r="RAZ34" s="21"/>
      <c r="RBA34" s="21"/>
      <c r="RBB34" s="21"/>
      <c r="RBC34" s="21"/>
      <c r="RBD34" s="21"/>
      <c r="RBE34" s="21"/>
      <c r="RBF34" s="21"/>
      <c r="RBG34" s="21"/>
      <c r="RBH34" s="21"/>
      <c r="RBI34" s="21"/>
      <c r="RBJ34" s="21"/>
      <c r="RBK34" s="21"/>
      <c r="RBL34" s="21"/>
      <c r="RBM34" s="21"/>
      <c r="RBN34" s="21"/>
      <c r="RBO34" s="21"/>
      <c r="RBP34" s="21"/>
      <c r="RBQ34" s="21"/>
      <c r="RBR34" s="21"/>
      <c r="RBS34" s="21"/>
      <c r="RBT34" s="21"/>
      <c r="RBU34" s="21"/>
      <c r="RBV34" s="21"/>
      <c r="RBW34" s="21"/>
      <c r="RBX34" s="21"/>
      <c r="RBY34" s="21"/>
      <c r="RBZ34" s="21"/>
      <c r="RCA34" s="21"/>
      <c r="RCB34" s="21"/>
      <c r="RCC34" s="21"/>
      <c r="RCD34" s="21"/>
      <c r="RCE34" s="21"/>
      <c r="RCF34" s="21"/>
      <c r="RCG34" s="21"/>
      <c r="RCH34" s="21"/>
      <c r="RCI34" s="21"/>
      <c r="RCJ34" s="21"/>
      <c r="RCK34" s="21"/>
      <c r="RCL34" s="21"/>
      <c r="RCM34" s="21"/>
      <c r="RCN34" s="21"/>
      <c r="RCO34" s="21"/>
      <c r="RCP34" s="21"/>
      <c r="RCQ34" s="21"/>
      <c r="RCR34" s="21"/>
      <c r="RCS34" s="21"/>
      <c r="RCT34" s="21"/>
      <c r="RCU34" s="21"/>
      <c r="RCV34" s="21"/>
      <c r="RCW34" s="21"/>
      <c r="RCX34" s="21"/>
      <c r="RCY34" s="21"/>
      <c r="RCZ34" s="21"/>
      <c r="RDA34" s="21"/>
      <c r="RDB34" s="21"/>
      <c r="RDC34" s="21"/>
      <c r="RDD34" s="21"/>
      <c r="RDE34" s="21"/>
      <c r="RDF34" s="21"/>
      <c r="RDG34" s="21"/>
      <c r="RDH34" s="21"/>
      <c r="RDI34" s="21"/>
      <c r="RDJ34" s="21"/>
      <c r="RDK34" s="21"/>
      <c r="RDL34" s="21"/>
      <c r="RDM34" s="21"/>
      <c r="RDN34" s="21"/>
      <c r="RDO34" s="21"/>
      <c r="RDP34" s="21"/>
      <c r="RDQ34" s="21"/>
      <c r="RDR34" s="21"/>
      <c r="RDS34" s="21"/>
      <c r="RDT34" s="21"/>
      <c r="RDU34" s="21"/>
      <c r="RDV34" s="21"/>
      <c r="RDW34" s="21"/>
      <c r="RDX34" s="21"/>
      <c r="RDY34" s="21"/>
      <c r="RDZ34" s="21"/>
      <c r="REA34" s="21"/>
      <c r="REB34" s="21"/>
      <c r="REC34" s="21"/>
      <c r="RED34" s="21"/>
      <c r="REE34" s="21"/>
      <c r="REF34" s="21"/>
      <c r="REG34" s="21"/>
      <c r="REH34" s="21"/>
      <c r="REI34" s="21"/>
      <c r="REJ34" s="21"/>
      <c r="REK34" s="21"/>
      <c r="REL34" s="21"/>
      <c r="REM34" s="21"/>
      <c r="REN34" s="21"/>
      <c r="REO34" s="21"/>
      <c r="REP34" s="21"/>
      <c r="REQ34" s="21"/>
      <c r="RER34" s="21"/>
      <c r="RES34" s="21"/>
      <c r="RET34" s="21"/>
      <c r="REU34" s="21"/>
      <c r="REV34" s="21"/>
      <c r="REW34" s="21"/>
      <c r="REX34" s="21"/>
      <c r="REY34" s="21"/>
      <c r="REZ34" s="21"/>
      <c r="RFA34" s="21"/>
      <c r="RFB34" s="21"/>
      <c r="RFC34" s="21"/>
      <c r="RFD34" s="21"/>
      <c r="RFE34" s="21"/>
      <c r="RFF34" s="21"/>
      <c r="RFG34" s="21"/>
      <c r="RFH34" s="21"/>
      <c r="RFI34" s="21"/>
      <c r="RFJ34" s="21"/>
      <c r="RFK34" s="21"/>
      <c r="RFL34" s="21"/>
      <c r="RFM34" s="21"/>
      <c r="RFN34" s="21"/>
      <c r="RFO34" s="21"/>
      <c r="RFP34" s="21"/>
      <c r="RFQ34" s="21"/>
      <c r="RFR34" s="21"/>
      <c r="RFS34" s="21"/>
      <c r="RFT34" s="21"/>
      <c r="RFU34" s="21"/>
      <c r="RFV34" s="21"/>
      <c r="RFW34" s="21"/>
      <c r="RFX34" s="21"/>
      <c r="RFY34" s="21"/>
      <c r="RFZ34" s="21"/>
      <c r="RGA34" s="21"/>
      <c r="RGB34" s="21"/>
      <c r="RGC34" s="21"/>
      <c r="RGD34" s="21"/>
      <c r="RGE34" s="21"/>
      <c r="RGF34" s="21"/>
      <c r="RGG34" s="21"/>
      <c r="RGH34" s="21"/>
      <c r="RGI34" s="21"/>
      <c r="RGJ34" s="21"/>
      <c r="RGK34" s="21"/>
      <c r="RGL34" s="21"/>
      <c r="RGM34" s="21"/>
      <c r="RGN34" s="21"/>
      <c r="RGO34" s="21"/>
      <c r="RGP34" s="21"/>
      <c r="RGQ34" s="21"/>
      <c r="RGR34" s="21"/>
      <c r="RGS34" s="21"/>
      <c r="RGT34" s="21"/>
      <c r="RGU34" s="21"/>
      <c r="RGV34" s="21"/>
      <c r="RGW34" s="21"/>
      <c r="RGX34" s="21"/>
      <c r="RGY34" s="21"/>
      <c r="RGZ34" s="21"/>
      <c r="RHA34" s="21"/>
      <c r="RHB34" s="21"/>
      <c r="RHC34" s="21"/>
      <c r="RHD34" s="21"/>
      <c r="RHE34" s="21"/>
      <c r="RHF34" s="21"/>
      <c r="RHG34" s="21"/>
      <c r="RHH34" s="21"/>
      <c r="RHI34" s="21"/>
      <c r="RHJ34" s="21"/>
      <c r="RHK34" s="21"/>
      <c r="RHL34" s="21"/>
      <c r="RHM34" s="21"/>
      <c r="RHN34" s="21"/>
      <c r="RHO34" s="21"/>
      <c r="RHP34" s="21"/>
      <c r="RHQ34" s="21"/>
      <c r="RHR34" s="21"/>
      <c r="RHS34" s="21"/>
      <c r="RHT34" s="21"/>
      <c r="RHU34" s="21"/>
      <c r="RHV34" s="21"/>
      <c r="RHW34" s="21"/>
      <c r="RHX34" s="21"/>
      <c r="RHY34" s="21"/>
      <c r="RHZ34" s="21"/>
      <c r="RIA34" s="21"/>
      <c r="RIB34" s="21"/>
      <c r="RIC34" s="21"/>
      <c r="RID34" s="21"/>
      <c r="RIE34" s="21"/>
      <c r="RIF34" s="21"/>
      <c r="RIG34" s="21"/>
      <c r="RIH34" s="21"/>
      <c r="RII34" s="21"/>
      <c r="RIJ34" s="21"/>
      <c r="RIK34" s="21"/>
      <c r="RIL34" s="21"/>
      <c r="RIM34" s="21"/>
      <c r="RIN34" s="21"/>
      <c r="RIO34" s="21"/>
      <c r="RIP34" s="21"/>
      <c r="RIQ34" s="21"/>
      <c r="RIR34" s="21"/>
      <c r="RIS34" s="21"/>
      <c r="RIT34" s="21"/>
      <c r="RIU34" s="21"/>
      <c r="RIV34" s="21"/>
      <c r="RIW34" s="21"/>
      <c r="RIX34" s="21"/>
      <c r="RIY34" s="21"/>
      <c r="RIZ34" s="21"/>
      <c r="RJA34" s="21"/>
      <c r="RJB34" s="21"/>
      <c r="RJC34" s="21"/>
      <c r="RJD34" s="21"/>
      <c r="RJE34" s="21"/>
      <c r="RJF34" s="21"/>
      <c r="RJG34" s="21"/>
      <c r="RJH34" s="21"/>
      <c r="RJI34" s="21"/>
      <c r="RJJ34" s="21"/>
      <c r="RJK34" s="21"/>
      <c r="RJL34" s="21"/>
      <c r="RJM34" s="21"/>
      <c r="RJN34" s="21"/>
      <c r="RJO34" s="21"/>
      <c r="RJP34" s="21"/>
      <c r="RJQ34" s="21"/>
      <c r="RJR34" s="21"/>
      <c r="RJS34" s="21"/>
      <c r="RJT34" s="21"/>
      <c r="RJU34" s="21"/>
      <c r="RJV34" s="21"/>
      <c r="RJW34" s="21"/>
      <c r="RJX34" s="21"/>
      <c r="RJY34" s="21"/>
      <c r="RJZ34" s="21"/>
      <c r="RKA34" s="21"/>
      <c r="RKB34" s="21"/>
      <c r="RKC34" s="21"/>
      <c r="RKD34" s="21"/>
      <c r="RKE34" s="21"/>
      <c r="RKF34" s="21"/>
      <c r="RKG34" s="21"/>
      <c r="RKH34" s="21"/>
      <c r="RKI34" s="21"/>
      <c r="RKJ34" s="21"/>
      <c r="RKK34" s="21"/>
      <c r="RKL34" s="21"/>
      <c r="RKM34" s="21"/>
      <c r="RKN34" s="21"/>
      <c r="RKO34" s="21"/>
      <c r="RKP34" s="21"/>
      <c r="RKQ34" s="21"/>
      <c r="RKR34" s="21"/>
      <c r="RKS34" s="21"/>
      <c r="RKT34" s="21"/>
      <c r="RKU34" s="21"/>
      <c r="RKV34" s="21"/>
      <c r="RKW34" s="21"/>
      <c r="RKX34" s="21"/>
      <c r="RKY34" s="21"/>
      <c r="RKZ34" s="21"/>
      <c r="RLA34" s="21"/>
      <c r="RLB34" s="21"/>
      <c r="RLC34" s="21"/>
      <c r="RLD34" s="21"/>
      <c r="RLE34" s="21"/>
      <c r="RLF34" s="21"/>
      <c r="RLG34" s="21"/>
      <c r="RLH34" s="21"/>
      <c r="RLI34" s="21"/>
      <c r="RLJ34" s="21"/>
      <c r="RLK34" s="21"/>
      <c r="RLL34" s="21"/>
      <c r="RLM34" s="21"/>
      <c r="RLN34" s="21"/>
      <c r="RLO34" s="21"/>
      <c r="RLP34" s="21"/>
      <c r="RLQ34" s="21"/>
      <c r="RLR34" s="21"/>
      <c r="RLS34" s="21"/>
      <c r="RLT34" s="21"/>
      <c r="RLU34" s="21"/>
      <c r="RLV34" s="21"/>
      <c r="RLW34" s="21"/>
      <c r="RLX34" s="21"/>
      <c r="RLY34" s="21"/>
      <c r="RLZ34" s="21"/>
      <c r="RMA34" s="21"/>
      <c r="RMB34" s="21"/>
      <c r="RMC34" s="21"/>
      <c r="RMD34" s="21"/>
      <c r="RME34" s="21"/>
      <c r="RMF34" s="21"/>
      <c r="RMG34" s="21"/>
      <c r="RMH34" s="21"/>
      <c r="RMI34" s="21"/>
      <c r="RMJ34" s="21"/>
      <c r="RMK34" s="21"/>
      <c r="RML34" s="21"/>
      <c r="RMM34" s="21"/>
      <c r="RMN34" s="21"/>
      <c r="RMO34" s="21"/>
      <c r="RMP34" s="21"/>
      <c r="RMQ34" s="21"/>
      <c r="RMR34" s="21"/>
      <c r="RMS34" s="21"/>
      <c r="RMT34" s="21"/>
      <c r="RMU34" s="21"/>
      <c r="RMV34" s="21"/>
      <c r="RMW34" s="21"/>
      <c r="RMX34" s="21"/>
      <c r="RMY34" s="21"/>
      <c r="RMZ34" s="21"/>
      <c r="RNA34" s="21"/>
      <c r="RNB34" s="21"/>
      <c r="RNC34" s="21"/>
      <c r="RND34" s="21"/>
      <c r="RNE34" s="21"/>
      <c r="RNF34" s="21"/>
      <c r="RNG34" s="21"/>
      <c r="RNH34" s="21"/>
      <c r="RNI34" s="21"/>
      <c r="RNJ34" s="21"/>
      <c r="RNK34" s="21"/>
      <c r="RNL34" s="21"/>
      <c r="RNM34" s="21"/>
      <c r="RNN34" s="21"/>
      <c r="RNO34" s="21"/>
      <c r="RNP34" s="21"/>
      <c r="RNQ34" s="21"/>
      <c r="RNR34" s="21"/>
      <c r="RNS34" s="21"/>
      <c r="RNT34" s="21"/>
      <c r="RNU34" s="21"/>
      <c r="RNV34" s="21"/>
      <c r="RNW34" s="21"/>
      <c r="RNX34" s="21"/>
      <c r="RNY34" s="21"/>
      <c r="RNZ34" s="21"/>
      <c r="ROA34" s="21"/>
      <c r="ROB34" s="21"/>
      <c r="ROC34" s="21"/>
      <c r="ROD34" s="21"/>
      <c r="ROE34" s="21"/>
      <c r="ROF34" s="21"/>
      <c r="ROG34" s="21"/>
      <c r="ROH34" s="21"/>
      <c r="ROI34" s="21"/>
      <c r="ROJ34" s="21"/>
      <c r="ROK34" s="21"/>
      <c r="ROL34" s="21"/>
      <c r="ROM34" s="21"/>
      <c r="RON34" s="21"/>
      <c r="ROO34" s="21"/>
      <c r="ROP34" s="21"/>
      <c r="ROQ34" s="21"/>
      <c r="ROR34" s="21"/>
      <c r="ROS34" s="21"/>
      <c r="ROT34" s="21"/>
      <c r="ROU34" s="21"/>
      <c r="ROV34" s="21"/>
      <c r="ROW34" s="21"/>
      <c r="ROX34" s="21"/>
      <c r="ROY34" s="21"/>
      <c r="ROZ34" s="21"/>
      <c r="RPA34" s="21"/>
      <c r="RPB34" s="21"/>
      <c r="RPC34" s="21"/>
      <c r="RPD34" s="21"/>
      <c r="RPE34" s="21"/>
      <c r="RPF34" s="21"/>
      <c r="RPG34" s="21"/>
      <c r="RPH34" s="21"/>
      <c r="RPI34" s="21"/>
      <c r="RPJ34" s="21"/>
      <c r="RPK34" s="21"/>
      <c r="RPL34" s="21"/>
      <c r="RPM34" s="21"/>
      <c r="RPN34" s="21"/>
      <c r="RPO34" s="21"/>
      <c r="RPP34" s="21"/>
      <c r="RPQ34" s="21"/>
      <c r="RPR34" s="21"/>
      <c r="RPS34" s="21"/>
      <c r="RPT34" s="21"/>
      <c r="RPU34" s="21"/>
      <c r="RPV34" s="21"/>
      <c r="RPW34" s="21"/>
      <c r="RPX34" s="21"/>
      <c r="RPY34" s="21"/>
      <c r="RPZ34" s="21"/>
      <c r="RQA34" s="21"/>
      <c r="RQB34" s="21"/>
      <c r="RQC34" s="21"/>
      <c r="RQD34" s="21"/>
      <c r="RQE34" s="21"/>
      <c r="RQF34" s="21"/>
      <c r="RQG34" s="21"/>
      <c r="RQH34" s="21"/>
      <c r="RQI34" s="21"/>
      <c r="RQJ34" s="21"/>
      <c r="RQK34" s="21"/>
      <c r="RQL34" s="21"/>
      <c r="RQM34" s="21"/>
      <c r="RQN34" s="21"/>
      <c r="RQO34" s="21"/>
      <c r="RQP34" s="21"/>
      <c r="RQQ34" s="21"/>
      <c r="RQR34" s="21"/>
      <c r="RQS34" s="21"/>
      <c r="RQT34" s="21"/>
      <c r="RQU34" s="21"/>
      <c r="RQV34" s="21"/>
      <c r="RQW34" s="21"/>
      <c r="RQX34" s="21"/>
      <c r="RQY34" s="21"/>
      <c r="RQZ34" s="21"/>
      <c r="RRA34" s="21"/>
      <c r="RRB34" s="21"/>
      <c r="RRC34" s="21"/>
      <c r="RRD34" s="21"/>
      <c r="RRE34" s="21"/>
      <c r="RRF34" s="21"/>
      <c r="RRG34" s="21"/>
      <c r="RRH34" s="21"/>
      <c r="RRI34" s="21"/>
      <c r="RRJ34" s="21"/>
      <c r="RRK34" s="21"/>
      <c r="RRL34" s="21"/>
      <c r="RRM34" s="21"/>
      <c r="RRN34" s="21"/>
      <c r="RRO34" s="21"/>
      <c r="RRP34" s="21"/>
      <c r="RRQ34" s="21"/>
      <c r="RRR34" s="21"/>
      <c r="RRS34" s="21"/>
      <c r="RRT34" s="21"/>
      <c r="RRU34" s="21"/>
      <c r="RRV34" s="21"/>
      <c r="RRW34" s="21"/>
      <c r="RRX34" s="21"/>
      <c r="RRY34" s="21"/>
      <c r="RRZ34" s="21"/>
      <c r="RSA34" s="21"/>
      <c r="RSB34" s="21"/>
      <c r="RSC34" s="21"/>
      <c r="RSD34" s="21"/>
      <c r="RSE34" s="21"/>
      <c r="RSF34" s="21"/>
      <c r="RSG34" s="21"/>
      <c r="RSH34" s="21"/>
      <c r="RSI34" s="21"/>
      <c r="RSJ34" s="21"/>
      <c r="RSK34" s="21"/>
      <c r="RSL34" s="21"/>
      <c r="RSM34" s="21"/>
      <c r="RSN34" s="21"/>
      <c r="RSO34" s="21"/>
      <c r="RSP34" s="21"/>
      <c r="RSQ34" s="21"/>
      <c r="RSR34" s="21"/>
      <c r="RSS34" s="21"/>
      <c r="RST34" s="21"/>
      <c r="RSU34" s="21"/>
      <c r="RSV34" s="21"/>
      <c r="RSW34" s="21"/>
      <c r="RSX34" s="21"/>
      <c r="RSY34" s="21"/>
      <c r="RSZ34" s="21"/>
      <c r="RTA34" s="21"/>
      <c r="RTB34" s="21"/>
      <c r="RTC34" s="21"/>
      <c r="RTD34" s="21"/>
      <c r="RTE34" s="21"/>
      <c r="RTF34" s="21"/>
      <c r="RTG34" s="21"/>
      <c r="RTH34" s="21"/>
      <c r="RTI34" s="21"/>
      <c r="RTJ34" s="21"/>
      <c r="RTK34" s="21"/>
      <c r="RTL34" s="21"/>
      <c r="RTM34" s="21"/>
      <c r="RTN34" s="21"/>
      <c r="RTO34" s="21"/>
      <c r="RTP34" s="21"/>
      <c r="RTQ34" s="21"/>
      <c r="RTR34" s="21"/>
      <c r="RTS34" s="21"/>
      <c r="RTT34" s="21"/>
      <c r="RTU34" s="21"/>
      <c r="RTV34" s="21"/>
      <c r="RTW34" s="21"/>
      <c r="RTX34" s="21"/>
      <c r="RTY34" s="21"/>
      <c r="RTZ34" s="21"/>
      <c r="RUA34" s="21"/>
      <c r="RUB34" s="21"/>
      <c r="RUC34" s="21"/>
      <c r="RUD34" s="21"/>
      <c r="RUE34" s="21"/>
      <c r="RUF34" s="21"/>
      <c r="RUG34" s="21"/>
      <c r="RUH34" s="21"/>
      <c r="RUI34" s="21"/>
      <c r="RUJ34" s="21"/>
      <c r="RUK34" s="21"/>
      <c r="RUL34" s="21"/>
      <c r="RUM34" s="21"/>
      <c r="RUN34" s="21"/>
      <c r="RUO34" s="21"/>
      <c r="RUP34" s="21"/>
      <c r="RUQ34" s="21"/>
      <c r="RUR34" s="21"/>
      <c r="RUS34" s="21"/>
      <c r="RUT34" s="21"/>
      <c r="RUU34" s="21"/>
      <c r="RUV34" s="21"/>
      <c r="RUW34" s="21"/>
      <c r="RUX34" s="21"/>
      <c r="RUY34" s="21"/>
      <c r="RUZ34" s="21"/>
      <c r="RVA34" s="21"/>
      <c r="RVB34" s="21"/>
      <c r="RVC34" s="21"/>
      <c r="RVD34" s="21"/>
      <c r="RVE34" s="21"/>
      <c r="RVF34" s="21"/>
      <c r="RVG34" s="21"/>
      <c r="RVH34" s="21"/>
      <c r="RVI34" s="21"/>
      <c r="RVJ34" s="21"/>
      <c r="RVK34" s="21"/>
      <c r="RVL34" s="21"/>
      <c r="RVM34" s="21"/>
      <c r="RVN34" s="21"/>
      <c r="RVO34" s="21"/>
      <c r="RVP34" s="21"/>
      <c r="RVQ34" s="21"/>
      <c r="RVR34" s="21"/>
      <c r="RVS34" s="21"/>
      <c r="RVT34" s="21"/>
      <c r="RVU34" s="21"/>
      <c r="RVV34" s="21"/>
      <c r="RVW34" s="21"/>
      <c r="RVX34" s="21"/>
      <c r="RVY34" s="21"/>
      <c r="RVZ34" s="21"/>
      <c r="RWA34" s="21"/>
      <c r="RWB34" s="21"/>
      <c r="RWC34" s="21"/>
      <c r="RWD34" s="21"/>
      <c r="RWE34" s="21"/>
      <c r="RWF34" s="21"/>
      <c r="RWG34" s="21"/>
      <c r="RWH34" s="21"/>
      <c r="RWI34" s="21"/>
      <c r="RWJ34" s="21"/>
      <c r="RWK34" s="21"/>
      <c r="RWL34" s="21"/>
      <c r="RWM34" s="21"/>
      <c r="RWN34" s="21"/>
      <c r="RWO34" s="21"/>
      <c r="RWP34" s="21"/>
      <c r="RWQ34" s="21"/>
      <c r="RWR34" s="21"/>
      <c r="RWS34" s="21"/>
      <c r="RWT34" s="21"/>
      <c r="RWU34" s="21"/>
      <c r="RWV34" s="21"/>
      <c r="RWW34" s="21"/>
      <c r="RWX34" s="21"/>
      <c r="RWY34" s="21"/>
      <c r="RWZ34" s="21"/>
      <c r="RXA34" s="21"/>
      <c r="RXB34" s="21"/>
      <c r="RXC34" s="21"/>
      <c r="RXD34" s="21"/>
      <c r="RXE34" s="21"/>
      <c r="RXF34" s="21"/>
      <c r="RXG34" s="21"/>
      <c r="RXH34" s="21"/>
      <c r="RXI34" s="21"/>
      <c r="RXJ34" s="21"/>
      <c r="RXK34" s="21"/>
      <c r="RXL34" s="21"/>
      <c r="RXM34" s="21"/>
      <c r="RXN34" s="21"/>
      <c r="RXO34" s="21"/>
      <c r="RXP34" s="21"/>
      <c r="RXQ34" s="21"/>
      <c r="RXR34" s="21"/>
      <c r="RXS34" s="21"/>
      <c r="RXT34" s="21"/>
      <c r="RXU34" s="21"/>
      <c r="RXV34" s="21"/>
      <c r="RXW34" s="21"/>
      <c r="RXX34" s="21"/>
      <c r="RXY34" s="21"/>
      <c r="RXZ34" s="21"/>
      <c r="RYA34" s="21"/>
      <c r="RYB34" s="21"/>
      <c r="RYC34" s="21"/>
      <c r="RYD34" s="21"/>
      <c r="RYE34" s="21"/>
      <c r="RYF34" s="21"/>
      <c r="RYG34" s="21"/>
      <c r="RYH34" s="21"/>
      <c r="RYI34" s="21"/>
      <c r="RYJ34" s="21"/>
      <c r="RYK34" s="21"/>
      <c r="RYL34" s="21"/>
      <c r="RYM34" s="21"/>
      <c r="RYN34" s="21"/>
      <c r="RYO34" s="21"/>
      <c r="RYP34" s="21"/>
      <c r="RYQ34" s="21"/>
      <c r="RYR34" s="21"/>
      <c r="RYS34" s="21"/>
      <c r="RYT34" s="21"/>
      <c r="RYU34" s="21"/>
      <c r="RYV34" s="21"/>
      <c r="RYW34" s="21"/>
      <c r="RYX34" s="21"/>
      <c r="RYY34" s="21"/>
      <c r="RYZ34" s="21"/>
      <c r="RZA34" s="21"/>
      <c r="RZB34" s="21"/>
      <c r="RZC34" s="21"/>
      <c r="RZD34" s="21"/>
      <c r="RZE34" s="21"/>
      <c r="RZF34" s="21"/>
      <c r="RZG34" s="21"/>
      <c r="RZH34" s="21"/>
      <c r="RZI34" s="21"/>
      <c r="RZJ34" s="21"/>
      <c r="RZK34" s="21"/>
      <c r="RZL34" s="21"/>
      <c r="RZM34" s="21"/>
      <c r="RZN34" s="21"/>
      <c r="RZO34" s="21"/>
      <c r="RZP34" s="21"/>
      <c r="RZQ34" s="21"/>
      <c r="RZR34" s="21"/>
      <c r="RZS34" s="21"/>
      <c r="RZT34" s="21"/>
      <c r="RZU34" s="21"/>
      <c r="RZV34" s="21"/>
      <c r="RZW34" s="21"/>
      <c r="RZX34" s="21"/>
      <c r="RZY34" s="21"/>
      <c r="RZZ34" s="21"/>
      <c r="SAA34" s="21"/>
      <c r="SAB34" s="21"/>
      <c r="SAC34" s="21"/>
      <c r="SAD34" s="21"/>
      <c r="SAE34" s="21"/>
      <c r="SAF34" s="21"/>
      <c r="SAG34" s="21"/>
      <c r="SAH34" s="21"/>
      <c r="SAI34" s="21"/>
      <c r="SAJ34" s="21"/>
      <c r="SAK34" s="21"/>
      <c r="SAL34" s="21"/>
      <c r="SAM34" s="21"/>
      <c r="SAN34" s="21"/>
      <c r="SAO34" s="21"/>
      <c r="SAP34" s="21"/>
      <c r="SAQ34" s="21"/>
      <c r="SAR34" s="21"/>
      <c r="SAS34" s="21"/>
      <c r="SAT34" s="21"/>
      <c r="SAU34" s="21"/>
      <c r="SAV34" s="21"/>
      <c r="SAW34" s="21"/>
      <c r="SAX34" s="21"/>
      <c r="SAY34" s="21"/>
      <c r="SAZ34" s="21"/>
      <c r="SBA34" s="21"/>
      <c r="SBB34" s="21"/>
      <c r="SBC34" s="21"/>
      <c r="SBD34" s="21"/>
      <c r="SBE34" s="21"/>
      <c r="SBF34" s="21"/>
      <c r="SBG34" s="21"/>
      <c r="SBH34" s="21"/>
      <c r="SBI34" s="21"/>
      <c r="SBJ34" s="21"/>
      <c r="SBK34" s="21"/>
      <c r="SBL34" s="21"/>
      <c r="SBM34" s="21"/>
      <c r="SBN34" s="21"/>
      <c r="SBO34" s="21"/>
      <c r="SBP34" s="21"/>
      <c r="SBQ34" s="21"/>
      <c r="SBR34" s="21"/>
      <c r="SBS34" s="21"/>
      <c r="SBT34" s="21"/>
      <c r="SBU34" s="21"/>
      <c r="SBV34" s="21"/>
      <c r="SBW34" s="21"/>
      <c r="SBX34" s="21"/>
      <c r="SBY34" s="21"/>
      <c r="SBZ34" s="21"/>
      <c r="SCA34" s="21"/>
      <c r="SCB34" s="21"/>
      <c r="SCC34" s="21"/>
      <c r="SCD34" s="21"/>
      <c r="SCE34" s="21"/>
      <c r="SCF34" s="21"/>
      <c r="SCG34" s="21"/>
      <c r="SCH34" s="21"/>
      <c r="SCI34" s="21"/>
      <c r="SCJ34" s="21"/>
      <c r="SCK34" s="21"/>
      <c r="SCL34" s="21"/>
      <c r="SCM34" s="21"/>
      <c r="SCN34" s="21"/>
      <c r="SCO34" s="21"/>
      <c r="SCP34" s="21"/>
      <c r="SCQ34" s="21"/>
      <c r="SCR34" s="21"/>
      <c r="SCS34" s="21"/>
      <c r="SCT34" s="21"/>
      <c r="SCU34" s="21"/>
      <c r="SCV34" s="21"/>
      <c r="SCW34" s="21"/>
      <c r="SCX34" s="21"/>
      <c r="SCY34" s="21"/>
      <c r="SCZ34" s="21"/>
      <c r="SDA34" s="21"/>
      <c r="SDB34" s="21"/>
      <c r="SDC34" s="21"/>
      <c r="SDD34" s="21"/>
      <c r="SDE34" s="21"/>
      <c r="SDF34" s="21"/>
      <c r="SDG34" s="21"/>
      <c r="SDH34" s="21"/>
      <c r="SDI34" s="21"/>
      <c r="SDJ34" s="21"/>
      <c r="SDK34" s="21"/>
      <c r="SDL34" s="21"/>
      <c r="SDM34" s="21"/>
      <c r="SDN34" s="21"/>
      <c r="SDO34" s="21"/>
      <c r="SDP34" s="21"/>
      <c r="SDQ34" s="21"/>
      <c r="SDR34" s="21"/>
      <c r="SDS34" s="21"/>
      <c r="SDT34" s="21"/>
      <c r="SDU34" s="21"/>
      <c r="SDV34" s="21"/>
      <c r="SDW34" s="21"/>
      <c r="SDX34" s="21"/>
      <c r="SDY34" s="21"/>
      <c r="SDZ34" s="21"/>
      <c r="SEA34" s="21"/>
      <c r="SEB34" s="21"/>
      <c r="SEC34" s="21"/>
      <c r="SED34" s="21"/>
      <c r="SEE34" s="21"/>
      <c r="SEF34" s="21"/>
      <c r="SEG34" s="21"/>
      <c r="SEH34" s="21"/>
      <c r="SEI34" s="21"/>
      <c r="SEJ34" s="21"/>
      <c r="SEK34" s="21"/>
      <c r="SEL34" s="21"/>
      <c r="SEM34" s="21"/>
      <c r="SEN34" s="21"/>
      <c r="SEO34" s="21"/>
      <c r="SEP34" s="21"/>
      <c r="SEQ34" s="21"/>
      <c r="SER34" s="21"/>
      <c r="SES34" s="21"/>
      <c r="SET34" s="21"/>
      <c r="SEU34" s="21"/>
      <c r="SEV34" s="21"/>
      <c r="SEW34" s="21"/>
      <c r="SEX34" s="21"/>
      <c r="SEY34" s="21"/>
      <c r="SEZ34" s="21"/>
      <c r="SFA34" s="21"/>
      <c r="SFB34" s="21"/>
      <c r="SFC34" s="21"/>
      <c r="SFD34" s="21"/>
      <c r="SFE34" s="21"/>
      <c r="SFF34" s="21"/>
      <c r="SFG34" s="21"/>
      <c r="SFH34" s="21"/>
      <c r="SFI34" s="21"/>
      <c r="SFJ34" s="21"/>
      <c r="SFK34" s="21"/>
      <c r="SFL34" s="21"/>
      <c r="SFM34" s="21"/>
      <c r="SFN34" s="21"/>
      <c r="SFO34" s="21"/>
      <c r="SFP34" s="21"/>
      <c r="SFQ34" s="21"/>
      <c r="SFR34" s="21"/>
      <c r="SFS34" s="21"/>
      <c r="SFT34" s="21"/>
      <c r="SFU34" s="21"/>
      <c r="SFV34" s="21"/>
      <c r="SFW34" s="21"/>
      <c r="SFX34" s="21"/>
      <c r="SFY34" s="21"/>
      <c r="SFZ34" s="21"/>
      <c r="SGA34" s="21"/>
      <c r="SGB34" s="21"/>
      <c r="SGC34" s="21"/>
      <c r="SGD34" s="21"/>
      <c r="SGE34" s="21"/>
      <c r="SGF34" s="21"/>
      <c r="SGG34" s="21"/>
      <c r="SGH34" s="21"/>
      <c r="SGI34" s="21"/>
      <c r="SGJ34" s="21"/>
      <c r="SGK34" s="21"/>
      <c r="SGL34" s="21"/>
      <c r="SGM34" s="21"/>
      <c r="SGN34" s="21"/>
      <c r="SGO34" s="21"/>
      <c r="SGP34" s="21"/>
      <c r="SGQ34" s="21"/>
      <c r="SGR34" s="21"/>
      <c r="SGS34" s="21"/>
      <c r="SGT34" s="21"/>
      <c r="SGU34" s="21"/>
      <c r="SGV34" s="21"/>
      <c r="SGW34" s="21"/>
      <c r="SGX34" s="21"/>
      <c r="SGY34" s="21"/>
      <c r="SGZ34" s="21"/>
      <c r="SHA34" s="21"/>
      <c r="SHB34" s="21"/>
      <c r="SHC34" s="21"/>
      <c r="SHD34" s="21"/>
      <c r="SHE34" s="21"/>
      <c r="SHF34" s="21"/>
      <c r="SHG34" s="21"/>
      <c r="SHH34" s="21"/>
      <c r="SHI34" s="21"/>
      <c r="SHJ34" s="21"/>
      <c r="SHK34" s="21"/>
      <c r="SHL34" s="21"/>
      <c r="SHM34" s="21"/>
      <c r="SHN34" s="21"/>
      <c r="SHO34" s="21"/>
      <c r="SHP34" s="21"/>
      <c r="SHQ34" s="21"/>
      <c r="SHR34" s="21"/>
      <c r="SHS34" s="21"/>
      <c r="SHT34" s="21"/>
      <c r="SHU34" s="21"/>
      <c r="SHV34" s="21"/>
      <c r="SHW34" s="21"/>
      <c r="SHX34" s="21"/>
      <c r="SHY34" s="21"/>
      <c r="SHZ34" s="21"/>
      <c r="SIA34" s="21"/>
      <c r="SIB34" s="21"/>
      <c r="SIC34" s="21"/>
      <c r="SID34" s="21"/>
      <c r="SIE34" s="21"/>
      <c r="SIF34" s="21"/>
      <c r="SIG34" s="21"/>
      <c r="SIH34" s="21"/>
      <c r="SII34" s="21"/>
      <c r="SIJ34" s="21"/>
      <c r="SIK34" s="21"/>
      <c r="SIL34" s="21"/>
      <c r="SIM34" s="21"/>
      <c r="SIN34" s="21"/>
      <c r="SIO34" s="21"/>
      <c r="SIP34" s="21"/>
      <c r="SIQ34" s="21"/>
      <c r="SIR34" s="21"/>
      <c r="SIS34" s="21"/>
      <c r="SIT34" s="21"/>
      <c r="SIU34" s="21"/>
      <c r="SIV34" s="21"/>
      <c r="SIW34" s="21"/>
      <c r="SIX34" s="21"/>
      <c r="SIY34" s="21"/>
      <c r="SIZ34" s="21"/>
      <c r="SJA34" s="21"/>
      <c r="SJB34" s="21"/>
      <c r="SJC34" s="21"/>
      <c r="SJD34" s="21"/>
      <c r="SJE34" s="21"/>
      <c r="SJF34" s="21"/>
      <c r="SJG34" s="21"/>
      <c r="SJH34" s="21"/>
      <c r="SJI34" s="21"/>
      <c r="SJJ34" s="21"/>
      <c r="SJK34" s="21"/>
      <c r="SJL34" s="21"/>
      <c r="SJM34" s="21"/>
      <c r="SJN34" s="21"/>
      <c r="SJO34" s="21"/>
      <c r="SJP34" s="21"/>
      <c r="SJQ34" s="21"/>
      <c r="SJR34" s="21"/>
      <c r="SJS34" s="21"/>
      <c r="SJT34" s="21"/>
      <c r="SJU34" s="21"/>
      <c r="SJV34" s="21"/>
      <c r="SJW34" s="21"/>
      <c r="SJX34" s="21"/>
      <c r="SJY34" s="21"/>
      <c r="SJZ34" s="21"/>
      <c r="SKA34" s="21"/>
      <c r="SKB34" s="21"/>
      <c r="SKC34" s="21"/>
      <c r="SKD34" s="21"/>
      <c r="SKE34" s="21"/>
      <c r="SKF34" s="21"/>
      <c r="SKG34" s="21"/>
      <c r="SKH34" s="21"/>
      <c r="SKI34" s="21"/>
      <c r="SKJ34" s="21"/>
      <c r="SKK34" s="21"/>
      <c r="SKL34" s="21"/>
      <c r="SKM34" s="21"/>
      <c r="SKN34" s="21"/>
      <c r="SKO34" s="21"/>
      <c r="SKP34" s="21"/>
      <c r="SKQ34" s="21"/>
      <c r="SKR34" s="21"/>
      <c r="SKS34" s="21"/>
      <c r="SKT34" s="21"/>
      <c r="SKU34" s="21"/>
      <c r="SKV34" s="21"/>
      <c r="SKW34" s="21"/>
      <c r="SKX34" s="21"/>
      <c r="SKY34" s="21"/>
      <c r="SKZ34" s="21"/>
      <c r="SLA34" s="21"/>
      <c r="SLB34" s="21"/>
      <c r="SLC34" s="21"/>
      <c r="SLD34" s="21"/>
      <c r="SLE34" s="21"/>
      <c r="SLF34" s="21"/>
      <c r="SLG34" s="21"/>
      <c r="SLH34" s="21"/>
      <c r="SLI34" s="21"/>
      <c r="SLJ34" s="21"/>
      <c r="SLK34" s="21"/>
      <c r="SLL34" s="21"/>
      <c r="SLM34" s="21"/>
      <c r="SLN34" s="21"/>
      <c r="SLO34" s="21"/>
      <c r="SLP34" s="21"/>
      <c r="SLQ34" s="21"/>
      <c r="SLR34" s="21"/>
      <c r="SLS34" s="21"/>
      <c r="SLT34" s="21"/>
      <c r="SLU34" s="21"/>
      <c r="SLV34" s="21"/>
      <c r="SLW34" s="21"/>
      <c r="SLX34" s="21"/>
      <c r="SLY34" s="21"/>
      <c r="SLZ34" s="21"/>
      <c r="SMA34" s="21"/>
      <c r="SMB34" s="21"/>
      <c r="SMC34" s="21"/>
      <c r="SMD34" s="21"/>
      <c r="SME34" s="21"/>
      <c r="SMF34" s="21"/>
      <c r="SMG34" s="21"/>
      <c r="SMH34" s="21"/>
      <c r="SMI34" s="21"/>
      <c r="SMJ34" s="21"/>
      <c r="SMK34" s="21"/>
      <c r="SML34" s="21"/>
      <c r="SMM34" s="21"/>
      <c r="SMN34" s="21"/>
      <c r="SMO34" s="21"/>
      <c r="SMP34" s="21"/>
      <c r="SMQ34" s="21"/>
      <c r="SMR34" s="21"/>
      <c r="SMS34" s="21"/>
      <c r="SMT34" s="21"/>
      <c r="SMU34" s="21"/>
      <c r="SMV34" s="21"/>
      <c r="SMW34" s="21"/>
      <c r="SMX34" s="21"/>
      <c r="SMY34" s="21"/>
      <c r="SMZ34" s="21"/>
      <c r="SNA34" s="21"/>
      <c r="SNB34" s="21"/>
      <c r="SNC34" s="21"/>
      <c r="SND34" s="21"/>
      <c r="SNE34" s="21"/>
      <c r="SNF34" s="21"/>
      <c r="SNG34" s="21"/>
      <c r="SNH34" s="21"/>
      <c r="SNI34" s="21"/>
      <c r="SNJ34" s="21"/>
      <c r="SNK34" s="21"/>
      <c r="SNL34" s="21"/>
      <c r="SNM34" s="21"/>
      <c r="SNN34" s="21"/>
      <c r="SNO34" s="21"/>
      <c r="SNP34" s="21"/>
      <c r="SNQ34" s="21"/>
      <c r="SNR34" s="21"/>
      <c r="SNS34" s="21"/>
      <c r="SNT34" s="21"/>
      <c r="SNU34" s="21"/>
      <c r="SNV34" s="21"/>
      <c r="SNW34" s="21"/>
      <c r="SNX34" s="21"/>
      <c r="SNY34" s="21"/>
      <c r="SNZ34" s="21"/>
      <c r="SOA34" s="21"/>
      <c r="SOB34" s="21"/>
      <c r="SOC34" s="21"/>
      <c r="SOD34" s="21"/>
      <c r="SOE34" s="21"/>
      <c r="SOF34" s="21"/>
      <c r="SOG34" s="21"/>
      <c r="SOH34" s="21"/>
      <c r="SOI34" s="21"/>
      <c r="SOJ34" s="21"/>
      <c r="SOK34" s="21"/>
      <c r="SOL34" s="21"/>
      <c r="SOM34" s="21"/>
      <c r="SON34" s="21"/>
      <c r="SOO34" s="21"/>
      <c r="SOP34" s="21"/>
      <c r="SOQ34" s="21"/>
      <c r="SOR34" s="21"/>
      <c r="SOS34" s="21"/>
      <c r="SOT34" s="21"/>
      <c r="SOU34" s="21"/>
      <c r="SOV34" s="21"/>
      <c r="SOW34" s="21"/>
      <c r="SOX34" s="21"/>
      <c r="SOY34" s="21"/>
      <c r="SOZ34" s="21"/>
      <c r="SPA34" s="21"/>
      <c r="SPB34" s="21"/>
      <c r="SPC34" s="21"/>
      <c r="SPD34" s="21"/>
      <c r="SPE34" s="21"/>
      <c r="SPF34" s="21"/>
      <c r="SPG34" s="21"/>
      <c r="SPH34" s="21"/>
      <c r="SPI34" s="21"/>
      <c r="SPJ34" s="21"/>
      <c r="SPK34" s="21"/>
      <c r="SPL34" s="21"/>
      <c r="SPM34" s="21"/>
      <c r="SPN34" s="21"/>
      <c r="SPO34" s="21"/>
      <c r="SPP34" s="21"/>
      <c r="SPQ34" s="21"/>
      <c r="SPR34" s="21"/>
      <c r="SPS34" s="21"/>
      <c r="SPT34" s="21"/>
      <c r="SPU34" s="21"/>
      <c r="SPV34" s="21"/>
      <c r="SPW34" s="21"/>
      <c r="SPX34" s="21"/>
      <c r="SPY34" s="21"/>
      <c r="SPZ34" s="21"/>
      <c r="SQA34" s="21"/>
      <c r="SQB34" s="21"/>
      <c r="SQC34" s="21"/>
      <c r="SQD34" s="21"/>
      <c r="SQE34" s="21"/>
      <c r="SQF34" s="21"/>
      <c r="SQG34" s="21"/>
      <c r="SQH34" s="21"/>
      <c r="SQI34" s="21"/>
      <c r="SQJ34" s="21"/>
      <c r="SQK34" s="21"/>
      <c r="SQL34" s="21"/>
      <c r="SQM34" s="21"/>
      <c r="SQN34" s="21"/>
      <c r="SQO34" s="21"/>
      <c r="SQP34" s="21"/>
      <c r="SQQ34" s="21"/>
      <c r="SQR34" s="21"/>
      <c r="SQS34" s="21"/>
      <c r="SQT34" s="21"/>
      <c r="SQU34" s="21"/>
      <c r="SQV34" s="21"/>
      <c r="SQW34" s="21"/>
      <c r="SQX34" s="21"/>
      <c r="SQY34" s="21"/>
      <c r="SQZ34" s="21"/>
      <c r="SRA34" s="21"/>
      <c r="SRB34" s="21"/>
      <c r="SRC34" s="21"/>
      <c r="SRD34" s="21"/>
      <c r="SRE34" s="21"/>
      <c r="SRF34" s="21"/>
      <c r="SRG34" s="21"/>
      <c r="SRH34" s="21"/>
      <c r="SRI34" s="21"/>
      <c r="SRJ34" s="21"/>
      <c r="SRK34" s="21"/>
      <c r="SRL34" s="21"/>
      <c r="SRM34" s="21"/>
      <c r="SRN34" s="21"/>
      <c r="SRO34" s="21"/>
      <c r="SRP34" s="21"/>
      <c r="SRQ34" s="21"/>
      <c r="SRR34" s="21"/>
      <c r="SRS34" s="21"/>
      <c r="SRT34" s="21"/>
      <c r="SRU34" s="21"/>
      <c r="SRV34" s="21"/>
      <c r="SRW34" s="21"/>
      <c r="SRX34" s="21"/>
      <c r="SRY34" s="21"/>
      <c r="SRZ34" s="21"/>
      <c r="SSA34" s="21"/>
      <c r="SSB34" s="21"/>
      <c r="SSC34" s="21"/>
      <c r="SSD34" s="21"/>
      <c r="SSE34" s="21"/>
      <c r="SSF34" s="21"/>
      <c r="SSG34" s="21"/>
      <c r="SSH34" s="21"/>
      <c r="SSI34" s="21"/>
      <c r="SSJ34" s="21"/>
      <c r="SSK34" s="21"/>
      <c r="SSL34" s="21"/>
      <c r="SSM34" s="21"/>
      <c r="SSN34" s="21"/>
      <c r="SSO34" s="21"/>
      <c r="SSP34" s="21"/>
      <c r="SSQ34" s="21"/>
      <c r="SSR34" s="21"/>
      <c r="SSS34" s="21"/>
      <c r="SST34" s="21"/>
      <c r="SSU34" s="21"/>
      <c r="SSV34" s="21"/>
      <c r="SSW34" s="21"/>
      <c r="SSX34" s="21"/>
      <c r="SSY34" s="21"/>
      <c r="SSZ34" s="21"/>
      <c r="STA34" s="21"/>
      <c r="STB34" s="21"/>
      <c r="STC34" s="21"/>
      <c r="STD34" s="21"/>
      <c r="STE34" s="21"/>
      <c r="STF34" s="21"/>
      <c r="STG34" s="21"/>
      <c r="STH34" s="21"/>
      <c r="STI34" s="21"/>
      <c r="STJ34" s="21"/>
      <c r="STK34" s="21"/>
      <c r="STL34" s="21"/>
      <c r="STM34" s="21"/>
      <c r="STN34" s="21"/>
      <c r="STO34" s="21"/>
      <c r="STP34" s="21"/>
      <c r="STQ34" s="21"/>
      <c r="STR34" s="21"/>
      <c r="STS34" s="21"/>
      <c r="STT34" s="21"/>
      <c r="STU34" s="21"/>
      <c r="STV34" s="21"/>
      <c r="STW34" s="21"/>
      <c r="STX34" s="21"/>
      <c r="STY34" s="21"/>
      <c r="STZ34" s="21"/>
      <c r="SUA34" s="21"/>
      <c r="SUB34" s="21"/>
      <c r="SUC34" s="21"/>
      <c r="SUD34" s="21"/>
      <c r="SUE34" s="21"/>
      <c r="SUF34" s="21"/>
      <c r="SUG34" s="21"/>
      <c r="SUH34" s="21"/>
      <c r="SUI34" s="21"/>
      <c r="SUJ34" s="21"/>
      <c r="SUK34" s="21"/>
      <c r="SUL34" s="21"/>
      <c r="SUM34" s="21"/>
      <c r="SUN34" s="21"/>
      <c r="SUO34" s="21"/>
      <c r="SUP34" s="21"/>
      <c r="SUQ34" s="21"/>
      <c r="SUR34" s="21"/>
      <c r="SUS34" s="21"/>
      <c r="SUT34" s="21"/>
      <c r="SUU34" s="21"/>
      <c r="SUV34" s="21"/>
      <c r="SUW34" s="21"/>
      <c r="SUX34" s="21"/>
      <c r="SUY34" s="21"/>
      <c r="SUZ34" s="21"/>
      <c r="SVA34" s="21"/>
      <c r="SVB34" s="21"/>
      <c r="SVC34" s="21"/>
      <c r="SVD34" s="21"/>
      <c r="SVE34" s="21"/>
      <c r="SVF34" s="21"/>
      <c r="SVG34" s="21"/>
      <c r="SVH34" s="21"/>
      <c r="SVI34" s="21"/>
      <c r="SVJ34" s="21"/>
      <c r="SVK34" s="21"/>
      <c r="SVL34" s="21"/>
      <c r="SVM34" s="21"/>
      <c r="SVN34" s="21"/>
      <c r="SVO34" s="21"/>
      <c r="SVP34" s="21"/>
      <c r="SVQ34" s="21"/>
      <c r="SVR34" s="21"/>
      <c r="SVS34" s="21"/>
      <c r="SVT34" s="21"/>
      <c r="SVU34" s="21"/>
      <c r="SVV34" s="21"/>
      <c r="SVW34" s="21"/>
      <c r="SVX34" s="21"/>
      <c r="SVY34" s="21"/>
      <c r="SVZ34" s="21"/>
      <c r="SWA34" s="21"/>
      <c r="SWB34" s="21"/>
      <c r="SWC34" s="21"/>
      <c r="SWD34" s="21"/>
      <c r="SWE34" s="21"/>
      <c r="SWF34" s="21"/>
      <c r="SWG34" s="21"/>
      <c r="SWH34" s="21"/>
      <c r="SWI34" s="21"/>
      <c r="SWJ34" s="21"/>
      <c r="SWK34" s="21"/>
      <c r="SWL34" s="21"/>
      <c r="SWM34" s="21"/>
      <c r="SWN34" s="21"/>
      <c r="SWO34" s="21"/>
      <c r="SWP34" s="21"/>
      <c r="SWQ34" s="21"/>
      <c r="SWR34" s="21"/>
      <c r="SWS34" s="21"/>
      <c r="SWT34" s="21"/>
      <c r="SWU34" s="21"/>
      <c r="SWV34" s="21"/>
      <c r="SWW34" s="21"/>
      <c r="SWX34" s="21"/>
      <c r="SWY34" s="21"/>
      <c r="SWZ34" s="21"/>
      <c r="SXA34" s="21"/>
      <c r="SXB34" s="21"/>
      <c r="SXC34" s="21"/>
      <c r="SXD34" s="21"/>
      <c r="SXE34" s="21"/>
      <c r="SXF34" s="21"/>
      <c r="SXG34" s="21"/>
      <c r="SXH34" s="21"/>
      <c r="SXI34" s="21"/>
      <c r="SXJ34" s="21"/>
      <c r="SXK34" s="21"/>
      <c r="SXL34" s="21"/>
      <c r="SXM34" s="21"/>
      <c r="SXN34" s="21"/>
      <c r="SXO34" s="21"/>
      <c r="SXP34" s="21"/>
      <c r="SXQ34" s="21"/>
      <c r="SXR34" s="21"/>
      <c r="SXS34" s="21"/>
      <c r="SXT34" s="21"/>
      <c r="SXU34" s="21"/>
      <c r="SXV34" s="21"/>
      <c r="SXW34" s="21"/>
      <c r="SXX34" s="21"/>
      <c r="SXY34" s="21"/>
      <c r="SXZ34" s="21"/>
      <c r="SYA34" s="21"/>
      <c r="SYB34" s="21"/>
      <c r="SYC34" s="21"/>
      <c r="SYD34" s="21"/>
      <c r="SYE34" s="21"/>
      <c r="SYF34" s="21"/>
      <c r="SYG34" s="21"/>
      <c r="SYH34" s="21"/>
      <c r="SYI34" s="21"/>
      <c r="SYJ34" s="21"/>
      <c r="SYK34" s="21"/>
      <c r="SYL34" s="21"/>
      <c r="SYM34" s="21"/>
      <c r="SYN34" s="21"/>
      <c r="SYO34" s="21"/>
      <c r="SYP34" s="21"/>
      <c r="SYQ34" s="21"/>
      <c r="SYR34" s="21"/>
      <c r="SYS34" s="21"/>
      <c r="SYT34" s="21"/>
      <c r="SYU34" s="21"/>
      <c r="SYV34" s="21"/>
      <c r="SYW34" s="21"/>
      <c r="SYX34" s="21"/>
      <c r="SYY34" s="21"/>
      <c r="SYZ34" s="21"/>
      <c r="SZA34" s="21"/>
      <c r="SZB34" s="21"/>
      <c r="SZC34" s="21"/>
      <c r="SZD34" s="21"/>
      <c r="SZE34" s="21"/>
      <c r="SZF34" s="21"/>
      <c r="SZG34" s="21"/>
      <c r="SZH34" s="21"/>
      <c r="SZI34" s="21"/>
      <c r="SZJ34" s="21"/>
      <c r="SZK34" s="21"/>
      <c r="SZL34" s="21"/>
      <c r="SZM34" s="21"/>
      <c r="SZN34" s="21"/>
      <c r="SZO34" s="21"/>
      <c r="SZP34" s="21"/>
      <c r="SZQ34" s="21"/>
      <c r="SZR34" s="21"/>
      <c r="SZS34" s="21"/>
      <c r="SZT34" s="21"/>
      <c r="SZU34" s="21"/>
      <c r="SZV34" s="21"/>
      <c r="SZW34" s="21"/>
      <c r="SZX34" s="21"/>
      <c r="SZY34" s="21"/>
      <c r="SZZ34" s="21"/>
      <c r="TAA34" s="21"/>
      <c r="TAB34" s="21"/>
      <c r="TAC34" s="21"/>
      <c r="TAD34" s="21"/>
      <c r="TAE34" s="21"/>
      <c r="TAF34" s="21"/>
      <c r="TAG34" s="21"/>
      <c r="TAH34" s="21"/>
      <c r="TAI34" s="21"/>
      <c r="TAJ34" s="21"/>
      <c r="TAK34" s="21"/>
      <c r="TAL34" s="21"/>
      <c r="TAM34" s="21"/>
      <c r="TAN34" s="21"/>
      <c r="TAO34" s="21"/>
      <c r="TAP34" s="21"/>
      <c r="TAQ34" s="21"/>
      <c r="TAR34" s="21"/>
      <c r="TAS34" s="21"/>
      <c r="TAT34" s="21"/>
      <c r="TAU34" s="21"/>
      <c r="TAV34" s="21"/>
      <c r="TAW34" s="21"/>
      <c r="TAX34" s="21"/>
      <c r="TAY34" s="21"/>
      <c r="TAZ34" s="21"/>
      <c r="TBA34" s="21"/>
      <c r="TBB34" s="21"/>
      <c r="TBC34" s="21"/>
      <c r="TBD34" s="21"/>
      <c r="TBE34" s="21"/>
      <c r="TBF34" s="21"/>
      <c r="TBG34" s="21"/>
      <c r="TBH34" s="21"/>
      <c r="TBI34" s="21"/>
      <c r="TBJ34" s="21"/>
      <c r="TBK34" s="21"/>
      <c r="TBL34" s="21"/>
      <c r="TBM34" s="21"/>
      <c r="TBN34" s="21"/>
      <c r="TBO34" s="21"/>
      <c r="TBP34" s="21"/>
      <c r="TBQ34" s="21"/>
      <c r="TBR34" s="21"/>
      <c r="TBS34" s="21"/>
      <c r="TBT34" s="21"/>
      <c r="TBU34" s="21"/>
      <c r="TBV34" s="21"/>
      <c r="TBW34" s="21"/>
      <c r="TBX34" s="21"/>
      <c r="TBY34" s="21"/>
      <c r="TBZ34" s="21"/>
      <c r="TCA34" s="21"/>
      <c r="TCB34" s="21"/>
      <c r="TCC34" s="21"/>
      <c r="TCD34" s="21"/>
      <c r="TCE34" s="21"/>
      <c r="TCF34" s="21"/>
      <c r="TCG34" s="21"/>
      <c r="TCH34" s="21"/>
      <c r="TCI34" s="21"/>
      <c r="TCJ34" s="21"/>
      <c r="TCK34" s="21"/>
      <c r="TCL34" s="21"/>
      <c r="TCM34" s="21"/>
      <c r="TCN34" s="21"/>
      <c r="TCO34" s="21"/>
      <c r="TCP34" s="21"/>
      <c r="TCQ34" s="21"/>
      <c r="TCR34" s="21"/>
      <c r="TCS34" s="21"/>
      <c r="TCT34" s="21"/>
      <c r="TCU34" s="21"/>
      <c r="TCV34" s="21"/>
      <c r="TCW34" s="21"/>
      <c r="TCX34" s="21"/>
      <c r="TCY34" s="21"/>
      <c r="TCZ34" s="21"/>
      <c r="TDA34" s="21"/>
      <c r="TDB34" s="21"/>
      <c r="TDC34" s="21"/>
      <c r="TDD34" s="21"/>
      <c r="TDE34" s="21"/>
      <c r="TDF34" s="21"/>
      <c r="TDG34" s="21"/>
      <c r="TDH34" s="21"/>
      <c r="TDI34" s="21"/>
      <c r="TDJ34" s="21"/>
      <c r="TDK34" s="21"/>
      <c r="TDL34" s="21"/>
      <c r="TDM34" s="21"/>
      <c r="TDN34" s="21"/>
      <c r="TDO34" s="21"/>
      <c r="TDP34" s="21"/>
      <c r="TDQ34" s="21"/>
      <c r="TDR34" s="21"/>
      <c r="TDS34" s="21"/>
      <c r="TDT34" s="21"/>
      <c r="TDU34" s="21"/>
      <c r="TDV34" s="21"/>
      <c r="TDW34" s="21"/>
      <c r="TDX34" s="21"/>
      <c r="TDY34" s="21"/>
      <c r="TDZ34" s="21"/>
      <c r="TEA34" s="21"/>
      <c r="TEB34" s="21"/>
      <c r="TEC34" s="21"/>
      <c r="TED34" s="21"/>
      <c r="TEE34" s="21"/>
      <c r="TEF34" s="21"/>
      <c r="TEG34" s="21"/>
      <c r="TEH34" s="21"/>
      <c r="TEI34" s="21"/>
      <c r="TEJ34" s="21"/>
      <c r="TEK34" s="21"/>
      <c r="TEL34" s="21"/>
      <c r="TEM34" s="21"/>
      <c r="TEN34" s="21"/>
      <c r="TEO34" s="21"/>
      <c r="TEP34" s="21"/>
      <c r="TEQ34" s="21"/>
      <c r="TER34" s="21"/>
      <c r="TES34" s="21"/>
      <c r="TET34" s="21"/>
      <c r="TEU34" s="21"/>
      <c r="TEV34" s="21"/>
      <c r="TEW34" s="21"/>
      <c r="TEX34" s="21"/>
      <c r="TEY34" s="21"/>
      <c r="TEZ34" s="21"/>
      <c r="TFA34" s="21"/>
      <c r="TFB34" s="21"/>
      <c r="TFC34" s="21"/>
      <c r="TFD34" s="21"/>
      <c r="TFE34" s="21"/>
      <c r="TFF34" s="21"/>
      <c r="TFG34" s="21"/>
      <c r="TFH34" s="21"/>
      <c r="TFI34" s="21"/>
      <c r="TFJ34" s="21"/>
      <c r="TFK34" s="21"/>
      <c r="TFL34" s="21"/>
      <c r="TFM34" s="21"/>
      <c r="TFN34" s="21"/>
      <c r="TFO34" s="21"/>
      <c r="TFP34" s="21"/>
      <c r="TFQ34" s="21"/>
      <c r="TFR34" s="21"/>
      <c r="TFS34" s="21"/>
      <c r="TFT34" s="21"/>
      <c r="TFU34" s="21"/>
      <c r="TFV34" s="21"/>
      <c r="TFW34" s="21"/>
      <c r="TFX34" s="21"/>
      <c r="TFY34" s="21"/>
      <c r="TFZ34" s="21"/>
      <c r="TGA34" s="21"/>
      <c r="TGB34" s="21"/>
      <c r="TGC34" s="21"/>
      <c r="TGD34" s="21"/>
      <c r="TGE34" s="21"/>
      <c r="TGF34" s="21"/>
      <c r="TGG34" s="21"/>
      <c r="TGH34" s="21"/>
      <c r="TGI34" s="21"/>
      <c r="TGJ34" s="21"/>
      <c r="TGK34" s="21"/>
      <c r="TGL34" s="21"/>
      <c r="TGM34" s="21"/>
      <c r="TGN34" s="21"/>
      <c r="TGO34" s="21"/>
      <c r="TGP34" s="21"/>
      <c r="TGQ34" s="21"/>
      <c r="TGR34" s="21"/>
      <c r="TGS34" s="21"/>
      <c r="TGT34" s="21"/>
      <c r="TGU34" s="21"/>
      <c r="TGV34" s="21"/>
      <c r="TGW34" s="21"/>
      <c r="TGX34" s="21"/>
      <c r="TGY34" s="21"/>
      <c r="TGZ34" s="21"/>
      <c r="THA34" s="21"/>
      <c r="THB34" s="21"/>
      <c r="THC34" s="21"/>
      <c r="THD34" s="21"/>
      <c r="THE34" s="21"/>
      <c r="THF34" s="21"/>
      <c r="THG34" s="21"/>
      <c r="THH34" s="21"/>
      <c r="THI34" s="21"/>
      <c r="THJ34" s="21"/>
      <c r="THK34" s="21"/>
      <c r="THL34" s="21"/>
      <c r="THM34" s="21"/>
      <c r="THN34" s="21"/>
      <c r="THO34" s="21"/>
      <c r="THP34" s="21"/>
      <c r="THQ34" s="21"/>
      <c r="THR34" s="21"/>
      <c r="THS34" s="21"/>
      <c r="THT34" s="21"/>
      <c r="THU34" s="21"/>
      <c r="THV34" s="21"/>
      <c r="THW34" s="21"/>
      <c r="THX34" s="21"/>
      <c r="THY34" s="21"/>
      <c r="THZ34" s="21"/>
      <c r="TIA34" s="21"/>
      <c r="TIB34" s="21"/>
      <c r="TIC34" s="21"/>
      <c r="TID34" s="21"/>
      <c r="TIE34" s="21"/>
      <c r="TIF34" s="21"/>
      <c r="TIG34" s="21"/>
      <c r="TIH34" s="21"/>
      <c r="TII34" s="21"/>
      <c r="TIJ34" s="21"/>
      <c r="TIK34" s="21"/>
      <c r="TIL34" s="21"/>
      <c r="TIM34" s="21"/>
      <c r="TIN34" s="21"/>
      <c r="TIO34" s="21"/>
      <c r="TIP34" s="21"/>
      <c r="TIQ34" s="21"/>
      <c r="TIR34" s="21"/>
      <c r="TIS34" s="21"/>
      <c r="TIT34" s="21"/>
      <c r="TIU34" s="21"/>
      <c r="TIV34" s="21"/>
      <c r="TIW34" s="21"/>
      <c r="TIX34" s="21"/>
      <c r="TIY34" s="21"/>
      <c r="TIZ34" s="21"/>
      <c r="TJA34" s="21"/>
      <c r="TJB34" s="21"/>
      <c r="TJC34" s="21"/>
      <c r="TJD34" s="21"/>
      <c r="TJE34" s="21"/>
      <c r="TJF34" s="21"/>
      <c r="TJG34" s="21"/>
      <c r="TJH34" s="21"/>
      <c r="TJI34" s="21"/>
      <c r="TJJ34" s="21"/>
      <c r="TJK34" s="21"/>
      <c r="TJL34" s="21"/>
      <c r="TJM34" s="21"/>
      <c r="TJN34" s="21"/>
      <c r="TJO34" s="21"/>
      <c r="TJP34" s="21"/>
      <c r="TJQ34" s="21"/>
      <c r="TJR34" s="21"/>
      <c r="TJS34" s="21"/>
      <c r="TJT34" s="21"/>
      <c r="TJU34" s="21"/>
      <c r="TJV34" s="21"/>
      <c r="TJW34" s="21"/>
      <c r="TJX34" s="21"/>
      <c r="TJY34" s="21"/>
      <c r="TJZ34" s="21"/>
      <c r="TKA34" s="21"/>
      <c r="TKB34" s="21"/>
      <c r="TKC34" s="21"/>
      <c r="TKD34" s="21"/>
      <c r="TKE34" s="21"/>
      <c r="TKF34" s="21"/>
      <c r="TKG34" s="21"/>
      <c r="TKH34" s="21"/>
      <c r="TKI34" s="21"/>
      <c r="TKJ34" s="21"/>
      <c r="TKK34" s="21"/>
      <c r="TKL34" s="21"/>
      <c r="TKM34" s="21"/>
      <c r="TKN34" s="21"/>
      <c r="TKO34" s="21"/>
      <c r="TKP34" s="21"/>
      <c r="TKQ34" s="21"/>
      <c r="TKR34" s="21"/>
      <c r="TKS34" s="21"/>
      <c r="TKT34" s="21"/>
      <c r="TKU34" s="21"/>
      <c r="TKV34" s="21"/>
      <c r="TKW34" s="21"/>
      <c r="TKX34" s="21"/>
      <c r="TKY34" s="21"/>
      <c r="TKZ34" s="21"/>
      <c r="TLA34" s="21"/>
      <c r="TLB34" s="21"/>
      <c r="TLC34" s="21"/>
      <c r="TLD34" s="21"/>
      <c r="TLE34" s="21"/>
      <c r="TLF34" s="21"/>
      <c r="TLG34" s="21"/>
      <c r="TLH34" s="21"/>
      <c r="TLI34" s="21"/>
      <c r="TLJ34" s="21"/>
      <c r="TLK34" s="21"/>
      <c r="TLL34" s="21"/>
      <c r="TLM34" s="21"/>
      <c r="TLN34" s="21"/>
      <c r="TLO34" s="21"/>
      <c r="TLP34" s="21"/>
      <c r="TLQ34" s="21"/>
      <c r="TLR34" s="21"/>
      <c r="TLS34" s="21"/>
      <c r="TLT34" s="21"/>
      <c r="TLU34" s="21"/>
      <c r="TLV34" s="21"/>
      <c r="TLW34" s="21"/>
      <c r="TLX34" s="21"/>
      <c r="TLY34" s="21"/>
      <c r="TLZ34" s="21"/>
      <c r="TMA34" s="21"/>
      <c r="TMB34" s="21"/>
      <c r="TMC34" s="21"/>
      <c r="TMD34" s="21"/>
      <c r="TME34" s="21"/>
      <c r="TMF34" s="21"/>
      <c r="TMG34" s="21"/>
      <c r="TMH34" s="21"/>
      <c r="TMI34" s="21"/>
      <c r="TMJ34" s="21"/>
      <c r="TMK34" s="21"/>
      <c r="TML34" s="21"/>
      <c r="TMM34" s="21"/>
      <c r="TMN34" s="21"/>
      <c r="TMO34" s="21"/>
      <c r="TMP34" s="21"/>
      <c r="TMQ34" s="21"/>
      <c r="TMR34" s="21"/>
      <c r="TMS34" s="21"/>
      <c r="TMT34" s="21"/>
      <c r="TMU34" s="21"/>
      <c r="TMV34" s="21"/>
      <c r="TMW34" s="21"/>
      <c r="TMX34" s="21"/>
      <c r="TMY34" s="21"/>
      <c r="TMZ34" s="21"/>
      <c r="TNA34" s="21"/>
      <c r="TNB34" s="21"/>
      <c r="TNC34" s="21"/>
      <c r="TND34" s="21"/>
      <c r="TNE34" s="21"/>
      <c r="TNF34" s="21"/>
      <c r="TNG34" s="21"/>
      <c r="TNH34" s="21"/>
      <c r="TNI34" s="21"/>
      <c r="TNJ34" s="21"/>
      <c r="TNK34" s="21"/>
      <c r="TNL34" s="21"/>
      <c r="TNM34" s="21"/>
      <c r="TNN34" s="21"/>
      <c r="TNO34" s="21"/>
      <c r="TNP34" s="21"/>
      <c r="TNQ34" s="21"/>
      <c r="TNR34" s="21"/>
      <c r="TNS34" s="21"/>
      <c r="TNT34" s="21"/>
      <c r="TNU34" s="21"/>
      <c r="TNV34" s="21"/>
      <c r="TNW34" s="21"/>
      <c r="TNX34" s="21"/>
      <c r="TNY34" s="21"/>
      <c r="TNZ34" s="21"/>
      <c r="TOA34" s="21"/>
      <c r="TOB34" s="21"/>
      <c r="TOC34" s="21"/>
      <c r="TOD34" s="21"/>
      <c r="TOE34" s="21"/>
      <c r="TOF34" s="21"/>
      <c r="TOG34" s="21"/>
      <c r="TOH34" s="21"/>
      <c r="TOI34" s="21"/>
      <c r="TOJ34" s="21"/>
      <c r="TOK34" s="21"/>
      <c r="TOL34" s="21"/>
      <c r="TOM34" s="21"/>
      <c r="TON34" s="21"/>
      <c r="TOO34" s="21"/>
      <c r="TOP34" s="21"/>
      <c r="TOQ34" s="21"/>
      <c r="TOR34" s="21"/>
      <c r="TOS34" s="21"/>
      <c r="TOT34" s="21"/>
      <c r="TOU34" s="21"/>
      <c r="TOV34" s="21"/>
      <c r="TOW34" s="21"/>
      <c r="TOX34" s="21"/>
      <c r="TOY34" s="21"/>
      <c r="TOZ34" s="21"/>
      <c r="TPA34" s="21"/>
      <c r="TPB34" s="21"/>
      <c r="TPC34" s="21"/>
      <c r="TPD34" s="21"/>
      <c r="TPE34" s="21"/>
      <c r="TPF34" s="21"/>
      <c r="TPG34" s="21"/>
      <c r="TPH34" s="21"/>
      <c r="TPI34" s="21"/>
      <c r="TPJ34" s="21"/>
      <c r="TPK34" s="21"/>
      <c r="TPL34" s="21"/>
      <c r="TPM34" s="21"/>
      <c r="TPN34" s="21"/>
      <c r="TPO34" s="21"/>
      <c r="TPP34" s="21"/>
      <c r="TPQ34" s="21"/>
      <c r="TPR34" s="21"/>
      <c r="TPS34" s="21"/>
      <c r="TPT34" s="21"/>
      <c r="TPU34" s="21"/>
      <c r="TPV34" s="21"/>
      <c r="TPW34" s="21"/>
      <c r="TPX34" s="21"/>
      <c r="TPY34" s="21"/>
      <c r="TPZ34" s="21"/>
      <c r="TQA34" s="21"/>
      <c r="TQB34" s="21"/>
      <c r="TQC34" s="21"/>
      <c r="TQD34" s="21"/>
      <c r="TQE34" s="21"/>
      <c r="TQF34" s="21"/>
      <c r="TQG34" s="21"/>
      <c r="TQH34" s="21"/>
      <c r="TQI34" s="21"/>
      <c r="TQJ34" s="21"/>
      <c r="TQK34" s="21"/>
      <c r="TQL34" s="21"/>
      <c r="TQM34" s="21"/>
      <c r="TQN34" s="21"/>
      <c r="TQO34" s="21"/>
      <c r="TQP34" s="21"/>
      <c r="TQQ34" s="21"/>
      <c r="TQR34" s="21"/>
      <c r="TQS34" s="21"/>
      <c r="TQT34" s="21"/>
      <c r="TQU34" s="21"/>
      <c r="TQV34" s="21"/>
      <c r="TQW34" s="21"/>
      <c r="TQX34" s="21"/>
      <c r="TQY34" s="21"/>
      <c r="TQZ34" s="21"/>
      <c r="TRA34" s="21"/>
      <c r="TRB34" s="21"/>
      <c r="TRC34" s="21"/>
      <c r="TRD34" s="21"/>
      <c r="TRE34" s="21"/>
      <c r="TRF34" s="21"/>
      <c r="TRG34" s="21"/>
      <c r="TRH34" s="21"/>
      <c r="TRI34" s="21"/>
      <c r="TRJ34" s="21"/>
      <c r="TRK34" s="21"/>
      <c r="TRL34" s="21"/>
      <c r="TRM34" s="21"/>
      <c r="TRN34" s="21"/>
      <c r="TRO34" s="21"/>
      <c r="TRP34" s="21"/>
      <c r="TRQ34" s="21"/>
      <c r="TRR34" s="21"/>
      <c r="TRS34" s="21"/>
      <c r="TRT34" s="21"/>
      <c r="TRU34" s="21"/>
      <c r="TRV34" s="21"/>
      <c r="TRW34" s="21"/>
      <c r="TRX34" s="21"/>
      <c r="TRY34" s="21"/>
      <c r="TRZ34" s="21"/>
      <c r="TSA34" s="21"/>
      <c r="TSB34" s="21"/>
      <c r="TSC34" s="21"/>
      <c r="TSD34" s="21"/>
      <c r="TSE34" s="21"/>
      <c r="TSF34" s="21"/>
      <c r="TSG34" s="21"/>
      <c r="TSH34" s="21"/>
      <c r="TSI34" s="21"/>
      <c r="TSJ34" s="21"/>
      <c r="TSK34" s="21"/>
      <c r="TSL34" s="21"/>
      <c r="TSM34" s="21"/>
      <c r="TSN34" s="21"/>
      <c r="TSO34" s="21"/>
      <c r="TSP34" s="21"/>
      <c r="TSQ34" s="21"/>
      <c r="TSR34" s="21"/>
      <c r="TSS34" s="21"/>
      <c r="TST34" s="21"/>
      <c r="TSU34" s="21"/>
      <c r="TSV34" s="21"/>
      <c r="TSW34" s="21"/>
      <c r="TSX34" s="21"/>
      <c r="TSY34" s="21"/>
      <c r="TSZ34" s="21"/>
      <c r="TTA34" s="21"/>
      <c r="TTB34" s="21"/>
      <c r="TTC34" s="21"/>
      <c r="TTD34" s="21"/>
      <c r="TTE34" s="21"/>
      <c r="TTF34" s="21"/>
      <c r="TTG34" s="21"/>
      <c r="TTH34" s="21"/>
      <c r="TTI34" s="21"/>
      <c r="TTJ34" s="21"/>
      <c r="TTK34" s="21"/>
      <c r="TTL34" s="21"/>
      <c r="TTM34" s="21"/>
      <c r="TTN34" s="21"/>
      <c r="TTO34" s="21"/>
      <c r="TTP34" s="21"/>
      <c r="TTQ34" s="21"/>
      <c r="TTR34" s="21"/>
      <c r="TTS34" s="21"/>
      <c r="TTT34" s="21"/>
      <c r="TTU34" s="21"/>
      <c r="TTV34" s="21"/>
      <c r="TTW34" s="21"/>
      <c r="TTX34" s="21"/>
      <c r="TTY34" s="21"/>
      <c r="TTZ34" s="21"/>
      <c r="TUA34" s="21"/>
      <c r="TUB34" s="21"/>
      <c r="TUC34" s="21"/>
      <c r="TUD34" s="21"/>
      <c r="TUE34" s="21"/>
      <c r="TUF34" s="21"/>
      <c r="TUG34" s="21"/>
      <c r="TUH34" s="21"/>
      <c r="TUI34" s="21"/>
      <c r="TUJ34" s="21"/>
      <c r="TUK34" s="21"/>
      <c r="TUL34" s="21"/>
      <c r="TUM34" s="21"/>
      <c r="TUN34" s="21"/>
      <c r="TUO34" s="21"/>
      <c r="TUP34" s="21"/>
      <c r="TUQ34" s="21"/>
      <c r="TUR34" s="21"/>
      <c r="TUS34" s="21"/>
      <c r="TUT34" s="21"/>
      <c r="TUU34" s="21"/>
      <c r="TUV34" s="21"/>
      <c r="TUW34" s="21"/>
      <c r="TUX34" s="21"/>
      <c r="TUY34" s="21"/>
      <c r="TUZ34" s="21"/>
      <c r="TVA34" s="21"/>
      <c r="TVB34" s="21"/>
      <c r="TVC34" s="21"/>
      <c r="TVD34" s="21"/>
      <c r="TVE34" s="21"/>
      <c r="TVF34" s="21"/>
      <c r="TVG34" s="21"/>
      <c r="TVH34" s="21"/>
      <c r="TVI34" s="21"/>
      <c r="TVJ34" s="21"/>
      <c r="TVK34" s="21"/>
      <c r="TVL34" s="21"/>
      <c r="TVM34" s="21"/>
      <c r="TVN34" s="21"/>
      <c r="TVO34" s="21"/>
      <c r="TVP34" s="21"/>
      <c r="TVQ34" s="21"/>
      <c r="TVR34" s="21"/>
      <c r="TVS34" s="21"/>
      <c r="TVT34" s="21"/>
      <c r="TVU34" s="21"/>
      <c r="TVV34" s="21"/>
      <c r="TVW34" s="21"/>
      <c r="TVX34" s="21"/>
      <c r="TVY34" s="21"/>
      <c r="TVZ34" s="21"/>
      <c r="TWA34" s="21"/>
      <c r="TWB34" s="21"/>
      <c r="TWC34" s="21"/>
      <c r="TWD34" s="21"/>
      <c r="TWE34" s="21"/>
      <c r="TWF34" s="21"/>
      <c r="TWG34" s="21"/>
      <c r="TWH34" s="21"/>
      <c r="TWI34" s="21"/>
      <c r="TWJ34" s="21"/>
      <c r="TWK34" s="21"/>
      <c r="TWL34" s="21"/>
      <c r="TWM34" s="21"/>
      <c r="TWN34" s="21"/>
      <c r="TWO34" s="21"/>
      <c r="TWP34" s="21"/>
      <c r="TWQ34" s="21"/>
      <c r="TWR34" s="21"/>
      <c r="TWS34" s="21"/>
      <c r="TWT34" s="21"/>
      <c r="TWU34" s="21"/>
      <c r="TWV34" s="21"/>
      <c r="TWW34" s="21"/>
      <c r="TWX34" s="21"/>
      <c r="TWY34" s="21"/>
      <c r="TWZ34" s="21"/>
      <c r="TXA34" s="21"/>
      <c r="TXB34" s="21"/>
      <c r="TXC34" s="21"/>
      <c r="TXD34" s="21"/>
      <c r="TXE34" s="21"/>
      <c r="TXF34" s="21"/>
      <c r="TXG34" s="21"/>
      <c r="TXH34" s="21"/>
      <c r="TXI34" s="21"/>
      <c r="TXJ34" s="21"/>
      <c r="TXK34" s="21"/>
      <c r="TXL34" s="21"/>
      <c r="TXM34" s="21"/>
      <c r="TXN34" s="21"/>
      <c r="TXO34" s="21"/>
      <c r="TXP34" s="21"/>
      <c r="TXQ34" s="21"/>
      <c r="TXR34" s="21"/>
      <c r="TXS34" s="21"/>
      <c r="TXT34" s="21"/>
      <c r="TXU34" s="21"/>
      <c r="TXV34" s="21"/>
      <c r="TXW34" s="21"/>
      <c r="TXX34" s="21"/>
      <c r="TXY34" s="21"/>
      <c r="TXZ34" s="21"/>
      <c r="TYA34" s="21"/>
      <c r="TYB34" s="21"/>
      <c r="TYC34" s="21"/>
      <c r="TYD34" s="21"/>
      <c r="TYE34" s="21"/>
      <c r="TYF34" s="21"/>
      <c r="TYG34" s="21"/>
      <c r="TYH34" s="21"/>
      <c r="TYI34" s="21"/>
      <c r="TYJ34" s="21"/>
      <c r="TYK34" s="21"/>
      <c r="TYL34" s="21"/>
      <c r="TYM34" s="21"/>
      <c r="TYN34" s="21"/>
      <c r="TYO34" s="21"/>
      <c r="TYP34" s="21"/>
      <c r="TYQ34" s="21"/>
      <c r="TYR34" s="21"/>
      <c r="TYS34" s="21"/>
      <c r="TYT34" s="21"/>
      <c r="TYU34" s="21"/>
      <c r="TYV34" s="21"/>
      <c r="TYW34" s="21"/>
      <c r="TYX34" s="21"/>
      <c r="TYY34" s="21"/>
      <c r="TYZ34" s="21"/>
      <c r="TZA34" s="21"/>
      <c r="TZB34" s="21"/>
      <c r="TZC34" s="21"/>
      <c r="TZD34" s="21"/>
      <c r="TZE34" s="21"/>
      <c r="TZF34" s="21"/>
      <c r="TZG34" s="21"/>
      <c r="TZH34" s="21"/>
      <c r="TZI34" s="21"/>
      <c r="TZJ34" s="21"/>
      <c r="TZK34" s="21"/>
      <c r="TZL34" s="21"/>
      <c r="TZM34" s="21"/>
      <c r="TZN34" s="21"/>
      <c r="TZO34" s="21"/>
      <c r="TZP34" s="21"/>
      <c r="TZQ34" s="21"/>
      <c r="TZR34" s="21"/>
      <c r="TZS34" s="21"/>
      <c r="TZT34" s="21"/>
      <c r="TZU34" s="21"/>
      <c r="TZV34" s="21"/>
      <c r="TZW34" s="21"/>
      <c r="TZX34" s="21"/>
      <c r="TZY34" s="21"/>
      <c r="TZZ34" s="21"/>
      <c r="UAA34" s="21"/>
      <c r="UAB34" s="21"/>
      <c r="UAC34" s="21"/>
      <c r="UAD34" s="21"/>
      <c r="UAE34" s="21"/>
      <c r="UAF34" s="21"/>
      <c r="UAG34" s="21"/>
      <c r="UAH34" s="21"/>
      <c r="UAI34" s="21"/>
      <c r="UAJ34" s="21"/>
      <c r="UAK34" s="21"/>
      <c r="UAL34" s="21"/>
      <c r="UAM34" s="21"/>
      <c r="UAN34" s="21"/>
      <c r="UAO34" s="21"/>
      <c r="UAP34" s="21"/>
      <c r="UAQ34" s="21"/>
      <c r="UAR34" s="21"/>
      <c r="UAS34" s="21"/>
      <c r="UAT34" s="21"/>
      <c r="UAU34" s="21"/>
      <c r="UAV34" s="21"/>
      <c r="UAW34" s="21"/>
      <c r="UAX34" s="21"/>
      <c r="UAY34" s="21"/>
      <c r="UAZ34" s="21"/>
      <c r="UBA34" s="21"/>
      <c r="UBB34" s="21"/>
      <c r="UBC34" s="21"/>
      <c r="UBD34" s="21"/>
      <c r="UBE34" s="21"/>
      <c r="UBF34" s="21"/>
      <c r="UBG34" s="21"/>
      <c r="UBH34" s="21"/>
      <c r="UBI34" s="21"/>
      <c r="UBJ34" s="21"/>
      <c r="UBK34" s="21"/>
      <c r="UBL34" s="21"/>
      <c r="UBM34" s="21"/>
      <c r="UBN34" s="21"/>
      <c r="UBO34" s="21"/>
      <c r="UBP34" s="21"/>
      <c r="UBQ34" s="21"/>
      <c r="UBR34" s="21"/>
      <c r="UBS34" s="21"/>
      <c r="UBT34" s="21"/>
      <c r="UBU34" s="21"/>
      <c r="UBV34" s="21"/>
      <c r="UBW34" s="21"/>
      <c r="UBX34" s="21"/>
      <c r="UBY34" s="21"/>
      <c r="UBZ34" s="21"/>
      <c r="UCA34" s="21"/>
      <c r="UCB34" s="21"/>
      <c r="UCC34" s="21"/>
      <c r="UCD34" s="21"/>
      <c r="UCE34" s="21"/>
      <c r="UCF34" s="21"/>
      <c r="UCG34" s="21"/>
      <c r="UCH34" s="21"/>
      <c r="UCI34" s="21"/>
      <c r="UCJ34" s="21"/>
      <c r="UCK34" s="21"/>
      <c r="UCL34" s="21"/>
      <c r="UCM34" s="21"/>
      <c r="UCN34" s="21"/>
      <c r="UCO34" s="21"/>
      <c r="UCP34" s="21"/>
      <c r="UCQ34" s="21"/>
      <c r="UCR34" s="21"/>
      <c r="UCS34" s="21"/>
      <c r="UCT34" s="21"/>
      <c r="UCU34" s="21"/>
      <c r="UCV34" s="21"/>
      <c r="UCW34" s="21"/>
      <c r="UCX34" s="21"/>
      <c r="UCY34" s="21"/>
      <c r="UCZ34" s="21"/>
      <c r="UDA34" s="21"/>
      <c r="UDB34" s="21"/>
      <c r="UDC34" s="21"/>
      <c r="UDD34" s="21"/>
      <c r="UDE34" s="21"/>
      <c r="UDF34" s="21"/>
      <c r="UDG34" s="21"/>
      <c r="UDH34" s="21"/>
      <c r="UDI34" s="21"/>
      <c r="UDJ34" s="21"/>
      <c r="UDK34" s="21"/>
      <c r="UDL34" s="21"/>
      <c r="UDM34" s="21"/>
      <c r="UDN34" s="21"/>
      <c r="UDO34" s="21"/>
      <c r="UDP34" s="21"/>
      <c r="UDQ34" s="21"/>
      <c r="UDR34" s="21"/>
      <c r="UDS34" s="21"/>
      <c r="UDT34" s="21"/>
      <c r="UDU34" s="21"/>
      <c r="UDV34" s="21"/>
      <c r="UDW34" s="21"/>
      <c r="UDX34" s="21"/>
      <c r="UDY34" s="21"/>
      <c r="UDZ34" s="21"/>
      <c r="UEA34" s="21"/>
      <c r="UEB34" s="21"/>
      <c r="UEC34" s="21"/>
      <c r="UED34" s="21"/>
      <c r="UEE34" s="21"/>
      <c r="UEF34" s="21"/>
      <c r="UEG34" s="21"/>
      <c r="UEH34" s="21"/>
      <c r="UEI34" s="21"/>
      <c r="UEJ34" s="21"/>
      <c r="UEK34" s="21"/>
      <c r="UEL34" s="21"/>
      <c r="UEM34" s="21"/>
      <c r="UEN34" s="21"/>
      <c r="UEO34" s="21"/>
      <c r="UEP34" s="21"/>
      <c r="UEQ34" s="21"/>
      <c r="UER34" s="21"/>
      <c r="UES34" s="21"/>
      <c r="UET34" s="21"/>
      <c r="UEU34" s="21"/>
      <c r="UEV34" s="21"/>
      <c r="UEW34" s="21"/>
      <c r="UEX34" s="21"/>
      <c r="UEY34" s="21"/>
      <c r="UEZ34" s="21"/>
      <c r="UFA34" s="21"/>
      <c r="UFB34" s="21"/>
      <c r="UFC34" s="21"/>
      <c r="UFD34" s="21"/>
      <c r="UFE34" s="21"/>
      <c r="UFF34" s="21"/>
      <c r="UFG34" s="21"/>
      <c r="UFH34" s="21"/>
      <c r="UFI34" s="21"/>
      <c r="UFJ34" s="21"/>
      <c r="UFK34" s="21"/>
      <c r="UFL34" s="21"/>
      <c r="UFM34" s="21"/>
      <c r="UFN34" s="21"/>
      <c r="UFO34" s="21"/>
      <c r="UFP34" s="21"/>
      <c r="UFQ34" s="21"/>
      <c r="UFR34" s="21"/>
      <c r="UFS34" s="21"/>
      <c r="UFT34" s="21"/>
      <c r="UFU34" s="21"/>
      <c r="UFV34" s="21"/>
      <c r="UFW34" s="21"/>
      <c r="UFX34" s="21"/>
      <c r="UFY34" s="21"/>
      <c r="UFZ34" s="21"/>
      <c r="UGA34" s="21"/>
      <c r="UGB34" s="21"/>
      <c r="UGC34" s="21"/>
      <c r="UGD34" s="21"/>
      <c r="UGE34" s="21"/>
      <c r="UGF34" s="21"/>
      <c r="UGG34" s="21"/>
      <c r="UGH34" s="21"/>
      <c r="UGI34" s="21"/>
      <c r="UGJ34" s="21"/>
      <c r="UGK34" s="21"/>
      <c r="UGL34" s="21"/>
      <c r="UGM34" s="21"/>
      <c r="UGN34" s="21"/>
      <c r="UGO34" s="21"/>
      <c r="UGP34" s="21"/>
      <c r="UGQ34" s="21"/>
      <c r="UGR34" s="21"/>
      <c r="UGS34" s="21"/>
      <c r="UGT34" s="21"/>
      <c r="UGU34" s="21"/>
      <c r="UGV34" s="21"/>
      <c r="UGW34" s="21"/>
      <c r="UGX34" s="21"/>
      <c r="UGY34" s="21"/>
      <c r="UGZ34" s="21"/>
      <c r="UHA34" s="21"/>
      <c r="UHB34" s="21"/>
      <c r="UHC34" s="21"/>
      <c r="UHD34" s="21"/>
      <c r="UHE34" s="21"/>
      <c r="UHF34" s="21"/>
      <c r="UHG34" s="21"/>
      <c r="UHH34" s="21"/>
      <c r="UHI34" s="21"/>
      <c r="UHJ34" s="21"/>
      <c r="UHK34" s="21"/>
      <c r="UHL34" s="21"/>
      <c r="UHM34" s="21"/>
      <c r="UHN34" s="21"/>
      <c r="UHO34" s="21"/>
      <c r="UHP34" s="21"/>
      <c r="UHQ34" s="21"/>
      <c r="UHR34" s="21"/>
      <c r="UHS34" s="21"/>
      <c r="UHT34" s="21"/>
      <c r="UHU34" s="21"/>
      <c r="UHV34" s="21"/>
      <c r="UHW34" s="21"/>
      <c r="UHX34" s="21"/>
      <c r="UHY34" s="21"/>
      <c r="UHZ34" s="21"/>
      <c r="UIA34" s="21"/>
      <c r="UIB34" s="21"/>
      <c r="UIC34" s="21"/>
      <c r="UID34" s="21"/>
      <c r="UIE34" s="21"/>
      <c r="UIF34" s="21"/>
      <c r="UIG34" s="21"/>
      <c r="UIH34" s="21"/>
      <c r="UII34" s="21"/>
      <c r="UIJ34" s="21"/>
      <c r="UIK34" s="21"/>
      <c r="UIL34" s="21"/>
      <c r="UIM34" s="21"/>
      <c r="UIN34" s="21"/>
      <c r="UIO34" s="21"/>
      <c r="UIP34" s="21"/>
      <c r="UIQ34" s="21"/>
      <c r="UIR34" s="21"/>
      <c r="UIS34" s="21"/>
      <c r="UIT34" s="21"/>
      <c r="UIU34" s="21"/>
      <c r="UIV34" s="21"/>
      <c r="UIW34" s="21"/>
      <c r="UIX34" s="21"/>
      <c r="UIY34" s="21"/>
      <c r="UIZ34" s="21"/>
      <c r="UJA34" s="21"/>
      <c r="UJB34" s="21"/>
      <c r="UJC34" s="21"/>
      <c r="UJD34" s="21"/>
      <c r="UJE34" s="21"/>
      <c r="UJF34" s="21"/>
      <c r="UJG34" s="21"/>
      <c r="UJH34" s="21"/>
      <c r="UJI34" s="21"/>
      <c r="UJJ34" s="21"/>
      <c r="UJK34" s="21"/>
      <c r="UJL34" s="21"/>
      <c r="UJM34" s="21"/>
      <c r="UJN34" s="21"/>
      <c r="UJO34" s="21"/>
      <c r="UJP34" s="21"/>
      <c r="UJQ34" s="21"/>
      <c r="UJR34" s="21"/>
      <c r="UJS34" s="21"/>
      <c r="UJT34" s="21"/>
      <c r="UJU34" s="21"/>
      <c r="UJV34" s="21"/>
      <c r="UJW34" s="21"/>
      <c r="UJX34" s="21"/>
      <c r="UJY34" s="21"/>
      <c r="UJZ34" s="21"/>
      <c r="UKA34" s="21"/>
      <c r="UKB34" s="21"/>
      <c r="UKC34" s="21"/>
      <c r="UKD34" s="21"/>
      <c r="UKE34" s="21"/>
      <c r="UKF34" s="21"/>
      <c r="UKG34" s="21"/>
      <c r="UKH34" s="21"/>
      <c r="UKI34" s="21"/>
      <c r="UKJ34" s="21"/>
      <c r="UKK34" s="21"/>
      <c r="UKL34" s="21"/>
      <c r="UKM34" s="21"/>
      <c r="UKN34" s="21"/>
      <c r="UKO34" s="21"/>
      <c r="UKP34" s="21"/>
      <c r="UKQ34" s="21"/>
      <c r="UKR34" s="21"/>
      <c r="UKS34" s="21"/>
      <c r="UKT34" s="21"/>
      <c r="UKU34" s="21"/>
      <c r="UKV34" s="21"/>
      <c r="UKW34" s="21"/>
      <c r="UKX34" s="21"/>
      <c r="UKY34" s="21"/>
      <c r="UKZ34" s="21"/>
      <c r="ULA34" s="21"/>
      <c r="ULB34" s="21"/>
      <c r="ULC34" s="21"/>
      <c r="ULD34" s="21"/>
      <c r="ULE34" s="21"/>
      <c r="ULF34" s="21"/>
      <c r="ULG34" s="21"/>
      <c r="ULH34" s="21"/>
      <c r="ULI34" s="21"/>
      <c r="ULJ34" s="21"/>
      <c r="ULK34" s="21"/>
      <c r="ULL34" s="21"/>
      <c r="ULM34" s="21"/>
      <c r="ULN34" s="21"/>
      <c r="ULO34" s="21"/>
      <c r="ULP34" s="21"/>
      <c r="ULQ34" s="21"/>
      <c r="ULR34" s="21"/>
      <c r="ULS34" s="21"/>
      <c r="ULT34" s="21"/>
      <c r="ULU34" s="21"/>
      <c r="ULV34" s="21"/>
      <c r="ULW34" s="21"/>
      <c r="ULX34" s="21"/>
      <c r="ULY34" s="21"/>
      <c r="ULZ34" s="21"/>
      <c r="UMA34" s="21"/>
      <c r="UMB34" s="21"/>
      <c r="UMC34" s="21"/>
      <c r="UMD34" s="21"/>
      <c r="UME34" s="21"/>
      <c r="UMF34" s="21"/>
      <c r="UMG34" s="21"/>
      <c r="UMH34" s="21"/>
      <c r="UMI34" s="21"/>
      <c r="UMJ34" s="21"/>
      <c r="UMK34" s="21"/>
      <c r="UML34" s="21"/>
      <c r="UMM34" s="21"/>
      <c r="UMN34" s="21"/>
      <c r="UMO34" s="21"/>
      <c r="UMP34" s="21"/>
      <c r="UMQ34" s="21"/>
      <c r="UMR34" s="21"/>
      <c r="UMS34" s="21"/>
      <c r="UMT34" s="21"/>
      <c r="UMU34" s="21"/>
      <c r="UMV34" s="21"/>
      <c r="UMW34" s="21"/>
      <c r="UMX34" s="21"/>
      <c r="UMY34" s="21"/>
      <c r="UMZ34" s="21"/>
      <c r="UNA34" s="21"/>
      <c r="UNB34" s="21"/>
      <c r="UNC34" s="21"/>
      <c r="UND34" s="21"/>
      <c r="UNE34" s="21"/>
      <c r="UNF34" s="21"/>
      <c r="UNG34" s="21"/>
      <c r="UNH34" s="21"/>
      <c r="UNI34" s="21"/>
      <c r="UNJ34" s="21"/>
      <c r="UNK34" s="21"/>
      <c r="UNL34" s="21"/>
      <c r="UNM34" s="21"/>
      <c r="UNN34" s="21"/>
      <c r="UNO34" s="21"/>
      <c r="UNP34" s="21"/>
      <c r="UNQ34" s="21"/>
      <c r="UNR34" s="21"/>
      <c r="UNS34" s="21"/>
      <c r="UNT34" s="21"/>
      <c r="UNU34" s="21"/>
      <c r="UNV34" s="21"/>
      <c r="UNW34" s="21"/>
      <c r="UNX34" s="21"/>
      <c r="UNY34" s="21"/>
      <c r="UNZ34" s="21"/>
      <c r="UOA34" s="21"/>
      <c r="UOB34" s="21"/>
      <c r="UOC34" s="21"/>
      <c r="UOD34" s="21"/>
      <c r="UOE34" s="21"/>
      <c r="UOF34" s="21"/>
      <c r="UOG34" s="21"/>
      <c r="UOH34" s="21"/>
      <c r="UOI34" s="21"/>
      <c r="UOJ34" s="21"/>
      <c r="UOK34" s="21"/>
      <c r="UOL34" s="21"/>
      <c r="UOM34" s="21"/>
      <c r="UON34" s="21"/>
      <c r="UOO34" s="21"/>
      <c r="UOP34" s="21"/>
      <c r="UOQ34" s="21"/>
      <c r="UOR34" s="21"/>
      <c r="UOS34" s="21"/>
      <c r="UOT34" s="21"/>
      <c r="UOU34" s="21"/>
      <c r="UOV34" s="21"/>
      <c r="UOW34" s="21"/>
      <c r="UOX34" s="21"/>
      <c r="UOY34" s="21"/>
      <c r="UOZ34" s="21"/>
      <c r="UPA34" s="21"/>
      <c r="UPB34" s="21"/>
      <c r="UPC34" s="21"/>
      <c r="UPD34" s="21"/>
      <c r="UPE34" s="21"/>
      <c r="UPF34" s="21"/>
      <c r="UPG34" s="21"/>
      <c r="UPH34" s="21"/>
      <c r="UPI34" s="21"/>
      <c r="UPJ34" s="21"/>
      <c r="UPK34" s="21"/>
      <c r="UPL34" s="21"/>
      <c r="UPM34" s="21"/>
      <c r="UPN34" s="21"/>
      <c r="UPO34" s="21"/>
      <c r="UPP34" s="21"/>
      <c r="UPQ34" s="21"/>
      <c r="UPR34" s="21"/>
      <c r="UPS34" s="21"/>
      <c r="UPT34" s="21"/>
      <c r="UPU34" s="21"/>
      <c r="UPV34" s="21"/>
      <c r="UPW34" s="21"/>
      <c r="UPX34" s="21"/>
      <c r="UPY34" s="21"/>
      <c r="UPZ34" s="21"/>
      <c r="UQA34" s="21"/>
      <c r="UQB34" s="21"/>
      <c r="UQC34" s="21"/>
      <c r="UQD34" s="21"/>
      <c r="UQE34" s="21"/>
      <c r="UQF34" s="21"/>
      <c r="UQG34" s="21"/>
      <c r="UQH34" s="21"/>
      <c r="UQI34" s="21"/>
      <c r="UQJ34" s="21"/>
      <c r="UQK34" s="21"/>
      <c r="UQL34" s="21"/>
      <c r="UQM34" s="21"/>
      <c r="UQN34" s="21"/>
      <c r="UQO34" s="21"/>
      <c r="UQP34" s="21"/>
      <c r="UQQ34" s="21"/>
      <c r="UQR34" s="21"/>
      <c r="UQS34" s="21"/>
      <c r="UQT34" s="21"/>
      <c r="UQU34" s="21"/>
      <c r="UQV34" s="21"/>
      <c r="UQW34" s="21"/>
      <c r="UQX34" s="21"/>
      <c r="UQY34" s="21"/>
      <c r="UQZ34" s="21"/>
      <c r="URA34" s="21"/>
      <c r="URB34" s="21"/>
      <c r="URC34" s="21"/>
      <c r="URD34" s="21"/>
      <c r="URE34" s="21"/>
      <c r="URF34" s="21"/>
      <c r="URG34" s="21"/>
      <c r="URH34" s="21"/>
      <c r="URI34" s="21"/>
      <c r="URJ34" s="21"/>
      <c r="URK34" s="21"/>
      <c r="URL34" s="21"/>
      <c r="URM34" s="21"/>
      <c r="URN34" s="21"/>
      <c r="URO34" s="21"/>
      <c r="URP34" s="21"/>
      <c r="URQ34" s="21"/>
      <c r="URR34" s="21"/>
      <c r="URS34" s="21"/>
      <c r="URT34" s="21"/>
      <c r="URU34" s="21"/>
      <c r="URV34" s="21"/>
      <c r="URW34" s="21"/>
      <c r="URX34" s="21"/>
      <c r="URY34" s="21"/>
      <c r="URZ34" s="21"/>
      <c r="USA34" s="21"/>
      <c r="USB34" s="21"/>
      <c r="USC34" s="21"/>
      <c r="USD34" s="21"/>
      <c r="USE34" s="21"/>
      <c r="USF34" s="21"/>
      <c r="USG34" s="21"/>
      <c r="USH34" s="21"/>
      <c r="USI34" s="21"/>
      <c r="USJ34" s="21"/>
      <c r="USK34" s="21"/>
      <c r="USL34" s="21"/>
      <c r="USM34" s="21"/>
      <c r="USN34" s="21"/>
      <c r="USO34" s="21"/>
      <c r="USP34" s="21"/>
      <c r="USQ34" s="21"/>
      <c r="USR34" s="21"/>
      <c r="USS34" s="21"/>
      <c r="UST34" s="21"/>
      <c r="USU34" s="21"/>
      <c r="USV34" s="21"/>
      <c r="USW34" s="21"/>
      <c r="USX34" s="21"/>
      <c r="USY34" s="21"/>
      <c r="USZ34" s="21"/>
      <c r="UTA34" s="21"/>
      <c r="UTB34" s="21"/>
      <c r="UTC34" s="21"/>
      <c r="UTD34" s="21"/>
      <c r="UTE34" s="21"/>
      <c r="UTF34" s="21"/>
      <c r="UTG34" s="21"/>
      <c r="UTH34" s="21"/>
      <c r="UTI34" s="21"/>
      <c r="UTJ34" s="21"/>
      <c r="UTK34" s="21"/>
      <c r="UTL34" s="21"/>
      <c r="UTM34" s="21"/>
      <c r="UTN34" s="21"/>
      <c r="UTO34" s="21"/>
      <c r="UTP34" s="21"/>
      <c r="UTQ34" s="21"/>
      <c r="UTR34" s="21"/>
      <c r="UTS34" s="21"/>
      <c r="UTT34" s="21"/>
      <c r="UTU34" s="21"/>
      <c r="UTV34" s="21"/>
      <c r="UTW34" s="21"/>
      <c r="UTX34" s="21"/>
      <c r="UTY34" s="21"/>
      <c r="UTZ34" s="21"/>
      <c r="UUA34" s="21"/>
      <c r="UUB34" s="21"/>
      <c r="UUC34" s="21"/>
      <c r="UUD34" s="21"/>
      <c r="UUE34" s="21"/>
      <c r="UUF34" s="21"/>
      <c r="UUG34" s="21"/>
      <c r="UUH34" s="21"/>
      <c r="UUI34" s="21"/>
      <c r="UUJ34" s="21"/>
      <c r="UUK34" s="21"/>
      <c r="UUL34" s="21"/>
      <c r="UUM34" s="21"/>
      <c r="UUN34" s="21"/>
      <c r="UUO34" s="21"/>
      <c r="UUP34" s="21"/>
      <c r="UUQ34" s="21"/>
      <c r="UUR34" s="21"/>
      <c r="UUS34" s="21"/>
      <c r="UUT34" s="21"/>
      <c r="UUU34" s="21"/>
      <c r="UUV34" s="21"/>
      <c r="UUW34" s="21"/>
      <c r="UUX34" s="21"/>
      <c r="UUY34" s="21"/>
      <c r="UUZ34" s="21"/>
      <c r="UVA34" s="21"/>
      <c r="UVB34" s="21"/>
      <c r="UVC34" s="21"/>
      <c r="UVD34" s="21"/>
      <c r="UVE34" s="21"/>
      <c r="UVF34" s="21"/>
      <c r="UVG34" s="21"/>
      <c r="UVH34" s="21"/>
      <c r="UVI34" s="21"/>
      <c r="UVJ34" s="21"/>
      <c r="UVK34" s="21"/>
      <c r="UVL34" s="21"/>
      <c r="UVM34" s="21"/>
      <c r="UVN34" s="21"/>
      <c r="UVO34" s="21"/>
      <c r="UVP34" s="21"/>
      <c r="UVQ34" s="21"/>
      <c r="UVR34" s="21"/>
      <c r="UVS34" s="21"/>
      <c r="UVT34" s="21"/>
      <c r="UVU34" s="21"/>
      <c r="UVV34" s="21"/>
      <c r="UVW34" s="21"/>
      <c r="UVX34" s="21"/>
      <c r="UVY34" s="21"/>
      <c r="UVZ34" s="21"/>
      <c r="UWA34" s="21"/>
      <c r="UWB34" s="21"/>
      <c r="UWC34" s="21"/>
      <c r="UWD34" s="21"/>
      <c r="UWE34" s="21"/>
      <c r="UWF34" s="21"/>
      <c r="UWG34" s="21"/>
      <c r="UWH34" s="21"/>
      <c r="UWI34" s="21"/>
      <c r="UWJ34" s="21"/>
      <c r="UWK34" s="21"/>
      <c r="UWL34" s="21"/>
      <c r="UWM34" s="21"/>
      <c r="UWN34" s="21"/>
      <c r="UWO34" s="21"/>
      <c r="UWP34" s="21"/>
      <c r="UWQ34" s="21"/>
      <c r="UWR34" s="21"/>
      <c r="UWS34" s="21"/>
      <c r="UWT34" s="21"/>
      <c r="UWU34" s="21"/>
      <c r="UWV34" s="21"/>
      <c r="UWW34" s="21"/>
      <c r="UWX34" s="21"/>
      <c r="UWY34" s="21"/>
      <c r="UWZ34" s="21"/>
      <c r="UXA34" s="21"/>
      <c r="UXB34" s="21"/>
      <c r="UXC34" s="21"/>
      <c r="UXD34" s="21"/>
      <c r="UXE34" s="21"/>
      <c r="UXF34" s="21"/>
      <c r="UXG34" s="21"/>
      <c r="UXH34" s="21"/>
      <c r="UXI34" s="21"/>
      <c r="UXJ34" s="21"/>
      <c r="UXK34" s="21"/>
      <c r="UXL34" s="21"/>
      <c r="UXM34" s="21"/>
      <c r="UXN34" s="21"/>
      <c r="UXO34" s="21"/>
      <c r="UXP34" s="21"/>
      <c r="UXQ34" s="21"/>
      <c r="UXR34" s="21"/>
      <c r="UXS34" s="21"/>
      <c r="UXT34" s="21"/>
      <c r="UXU34" s="21"/>
      <c r="UXV34" s="21"/>
      <c r="UXW34" s="21"/>
      <c r="UXX34" s="21"/>
      <c r="UXY34" s="21"/>
      <c r="UXZ34" s="21"/>
      <c r="UYA34" s="21"/>
      <c r="UYB34" s="21"/>
      <c r="UYC34" s="21"/>
      <c r="UYD34" s="21"/>
      <c r="UYE34" s="21"/>
      <c r="UYF34" s="21"/>
      <c r="UYG34" s="21"/>
      <c r="UYH34" s="21"/>
      <c r="UYI34" s="21"/>
      <c r="UYJ34" s="21"/>
      <c r="UYK34" s="21"/>
      <c r="UYL34" s="21"/>
      <c r="UYM34" s="21"/>
      <c r="UYN34" s="21"/>
      <c r="UYO34" s="21"/>
      <c r="UYP34" s="21"/>
      <c r="UYQ34" s="21"/>
      <c r="UYR34" s="21"/>
      <c r="UYS34" s="21"/>
      <c r="UYT34" s="21"/>
      <c r="UYU34" s="21"/>
      <c r="UYV34" s="21"/>
      <c r="UYW34" s="21"/>
      <c r="UYX34" s="21"/>
      <c r="UYY34" s="21"/>
      <c r="UYZ34" s="21"/>
      <c r="UZA34" s="21"/>
      <c r="UZB34" s="21"/>
      <c r="UZC34" s="21"/>
      <c r="UZD34" s="21"/>
      <c r="UZE34" s="21"/>
      <c r="UZF34" s="21"/>
      <c r="UZG34" s="21"/>
      <c r="UZH34" s="21"/>
      <c r="UZI34" s="21"/>
      <c r="UZJ34" s="21"/>
      <c r="UZK34" s="21"/>
      <c r="UZL34" s="21"/>
      <c r="UZM34" s="21"/>
      <c r="UZN34" s="21"/>
      <c r="UZO34" s="21"/>
      <c r="UZP34" s="21"/>
    </row>
    <row r="35" spans="1:14888" x14ac:dyDescent="0.25">
      <c r="B35" s="81"/>
      <c r="C35" s="82" t="s">
        <v>84</v>
      </c>
      <c r="D35" s="86">
        <v>0</v>
      </c>
      <c r="E35" s="29" t="s">
        <v>16</v>
      </c>
      <c r="F35" s="22">
        <v>0</v>
      </c>
      <c r="G35" s="22">
        <v>315636</v>
      </c>
      <c r="H35" s="22">
        <v>420809</v>
      </c>
      <c r="I35" s="22">
        <v>356919</v>
      </c>
      <c r="J35" s="22">
        <v>499855</v>
      </c>
      <c r="K35" s="22">
        <v>486768</v>
      </c>
      <c r="L35" s="22">
        <v>554980</v>
      </c>
      <c r="M35" s="22">
        <v>631293</v>
      </c>
      <c r="N35" s="22">
        <v>467580</v>
      </c>
      <c r="O35" s="22">
        <v>568505</v>
      </c>
      <c r="P35" s="22">
        <v>337768</v>
      </c>
      <c r="Q35" s="22">
        <v>756407</v>
      </c>
      <c r="R35" s="22">
        <v>989068</v>
      </c>
      <c r="S35" s="22">
        <v>1290245</v>
      </c>
      <c r="T35" s="22">
        <v>364341</v>
      </c>
      <c r="U35" s="22">
        <v>1148701</v>
      </c>
      <c r="V35" s="22">
        <v>708057</v>
      </c>
      <c r="W35" s="22">
        <v>1095388</v>
      </c>
      <c r="X35" s="22">
        <v>180070</v>
      </c>
      <c r="Y35" s="22">
        <v>628868</v>
      </c>
      <c r="Z35" s="22">
        <v>637201</v>
      </c>
      <c r="AA35" s="22">
        <v>0</v>
      </c>
      <c r="AB35" s="22">
        <v>0</v>
      </c>
      <c r="AC35" s="22">
        <v>0</v>
      </c>
      <c r="AD35" s="22">
        <v>1265751</v>
      </c>
      <c r="AE35" s="22">
        <v>0</v>
      </c>
      <c r="AF35" s="22">
        <v>0</v>
      </c>
      <c r="AG35" s="22">
        <v>0</v>
      </c>
      <c r="AH35" s="22">
        <v>0</v>
      </c>
      <c r="AI35" s="68"/>
      <c r="AJ35" s="69">
        <v>0</v>
      </c>
      <c r="AL35" s="70">
        <v>13704210</v>
      </c>
      <c r="DC35" s="16"/>
    </row>
    <row r="36" spans="1:14888" x14ac:dyDescent="0.25">
      <c r="B36" s="81"/>
      <c r="C36" s="82" t="s">
        <v>124</v>
      </c>
      <c r="D36" s="86"/>
      <c r="E36" s="29" t="s">
        <v>16</v>
      </c>
      <c r="F36" s="22"/>
      <c r="G36" s="22">
        <v>179645</v>
      </c>
      <c r="H36" s="22">
        <v>294776</v>
      </c>
      <c r="I36" s="22">
        <v>250848</v>
      </c>
      <c r="J36" s="22">
        <v>350537</v>
      </c>
      <c r="K36" s="22">
        <v>341605</v>
      </c>
      <c r="L36" s="22">
        <v>388622</v>
      </c>
      <c r="M36" s="22">
        <v>442029</v>
      </c>
      <c r="N36" s="22">
        <v>329383</v>
      </c>
      <c r="O36" s="22">
        <v>398463</v>
      </c>
      <c r="P36" s="22">
        <v>236628</v>
      </c>
      <c r="Q36" s="22">
        <v>457032</v>
      </c>
      <c r="R36" s="22">
        <v>678625</v>
      </c>
      <c r="S36" s="22">
        <v>840950</v>
      </c>
      <c r="T36" s="22">
        <v>219333</v>
      </c>
      <c r="U36" s="22">
        <v>718859</v>
      </c>
      <c r="V36" s="22">
        <v>430557</v>
      </c>
      <c r="W36" s="22">
        <v>659437</v>
      </c>
      <c r="X36" s="22">
        <v>130020</v>
      </c>
      <c r="Y36" s="22">
        <v>379329</v>
      </c>
      <c r="Z36" s="22">
        <v>382473</v>
      </c>
      <c r="AA36" s="22"/>
      <c r="AB36" s="22"/>
      <c r="AC36" s="22"/>
      <c r="AD36" s="22">
        <v>542805</v>
      </c>
      <c r="AE36" s="22"/>
      <c r="AF36" s="22"/>
      <c r="AG36" s="68"/>
      <c r="AH36" s="68"/>
      <c r="AI36" s="68"/>
      <c r="AJ36" s="69"/>
      <c r="AL36" s="70">
        <v>8651956</v>
      </c>
      <c r="DC36" s="16"/>
    </row>
    <row r="37" spans="1:14888" x14ac:dyDescent="0.25">
      <c r="B37" s="81"/>
      <c r="C37" s="82" t="s">
        <v>82</v>
      </c>
      <c r="D37" s="86"/>
      <c r="E37" s="29" t="s">
        <v>16</v>
      </c>
      <c r="F37" s="22"/>
      <c r="G37" s="22">
        <v>135991</v>
      </c>
      <c r="H37" s="22">
        <v>126033</v>
      </c>
      <c r="I37" s="22">
        <v>106071</v>
      </c>
      <c r="J37" s="22">
        <v>149318</v>
      </c>
      <c r="K37" s="22">
        <v>145163</v>
      </c>
      <c r="L37" s="22">
        <v>166358</v>
      </c>
      <c r="M37" s="22">
        <v>189264</v>
      </c>
      <c r="N37" s="22">
        <v>138197</v>
      </c>
      <c r="O37" s="22">
        <v>170042</v>
      </c>
      <c r="P37" s="22">
        <v>101140</v>
      </c>
      <c r="Q37" s="22">
        <v>299375</v>
      </c>
      <c r="R37" s="22">
        <v>310443</v>
      </c>
      <c r="S37" s="22">
        <v>449295</v>
      </c>
      <c r="T37" s="22">
        <v>145008</v>
      </c>
      <c r="U37" s="22">
        <v>429842</v>
      </c>
      <c r="V37" s="22">
        <v>277500</v>
      </c>
      <c r="W37" s="22">
        <v>435951</v>
      </c>
      <c r="X37" s="22">
        <v>50050</v>
      </c>
      <c r="Y37" s="22">
        <v>249539</v>
      </c>
      <c r="Z37" s="22">
        <v>254728</v>
      </c>
      <c r="AA37" s="34"/>
      <c r="AB37" s="22"/>
      <c r="AC37" s="22"/>
      <c r="AD37" s="22">
        <v>722946</v>
      </c>
      <c r="AE37" s="22"/>
      <c r="AF37" s="22"/>
      <c r="AG37" s="68"/>
      <c r="AH37" s="68"/>
      <c r="AI37" s="68"/>
      <c r="AJ37" s="69"/>
      <c r="AL37" s="70">
        <v>5052254</v>
      </c>
      <c r="DC37" s="16"/>
    </row>
    <row r="38" spans="1:14888" x14ac:dyDescent="0.25">
      <c r="B38" s="81"/>
      <c r="C38" s="83" t="s">
        <v>81</v>
      </c>
      <c r="D38" s="95"/>
      <c r="E38" s="84"/>
      <c r="F38" s="53"/>
      <c r="G38" s="53"/>
      <c r="H38" s="53"/>
      <c r="I38" s="257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96"/>
      <c r="AE38" s="96"/>
      <c r="AF38" s="96"/>
      <c r="AG38" s="98"/>
      <c r="AH38" s="98"/>
      <c r="AI38" s="98"/>
      <c r="AJ38" s="99"/>
      <c r="AL38" s="85" t="s">
        <v>69</v>
      </c>
      <c r="DC38" s="16"/>
    </row>
    <row r="39" spans="1:14888" s="192" customFormat="1" x14ac:dyDescent="0.2">
      <c r="A39" s="9"/>
      <c r="B39" s="100"/>
      <c r="C39" s="101" t="s">
        <v>80</v>
      </c>
      <c r="D39" s="102"/>
      <c r="E39" s="103" t="s">
        <v>16</v>
      </c>
      <c r="F39" s="22"/>
      <c r="G39" s="22"/>
      <c r="H39" s="22"/>
      <c r="I39" s="22"/>
      <c r="J39" s="22"/>
      <c r="K39" s="22">
        <v>123260.74781141231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08"/>
      <c r="AG39" s="109"/>
      <c r="AH39" s="109"/>
      <c r="AI39" s="109"/>
      <c r="AJ39" s="104"/>
      <c r="AK39" s="9"/>
      <c r="AL39" s="105">
        <v>123260.74781141231</v>
      </c>
      <c r="AM39" s="9"/>
      <c r="AN39" s="9"/>
      <c r="AO39" s="9"/>
      <c r="AP39" s="9"/>
      <c r="AQ39" s="323"/>
      <c r="AR39" s="323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255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323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</row>
    <row r="40" spans="1:14888" s="3" customFormat="1" x14ac:dyDescent="0.25">
      <c r="B40" s="81"/>
      <c r="C40" s="82" t="s">
        <v>79</v>
      </c>
      <c r="D40" s="86">
        <v>11218000</v>
      </c>
      <c r="E40" s="29" t="s">
        <v>16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117150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69">
        <v>0</v>
      </c>
      <c r="AL40" s="70">
        <v>117150</v>
      </c>
      <c r="AQ40" s="16"/>
      <c r="AR40" s="16"/>
      <c r="BV40" s="253"/>
      <c r="DC40" s="16"/>
    </row>
    <row r="41" spans="1:14888" s="3" customFormat="1" x14ac:dyDescent="0.25">
      <c r="B41" s="81"/>
      <c r="C41" s="82" t="s">
        <v>78</v>
      </c>
      <c r="D41" s="86"/>
      <c r="E41" s="29" t="s">
        <v>16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68"/>
      <c r="AH41" s="68"/>
      <c r="AI41" s="68"/>
      <c r="AJ41" s="69"/>
      <c r="AL41" s="70">
        <v>0</v>
      </c>
      <c r="AQ41" s="16"/>
      <c r="AR41" s="16"/>
      <c r="DC41" s="16"/>
    </row>
    <row r="42" spans="1:14888" s="3" customFormat="1" x14ac:dyDescent="0.25">
      <c r="B42" s="81"/>
      <c r="C42" s="82" t="s">
        <v>77</v>
      </c>
      <c r="D42" s="86">
        <v>6731000</v>
      </c>
      <c r="E42" s="29" t="s">
        <v>16</v>
      </c>
      <c r="F42" s="22"/>
      <c r="G42" s="22"/>
      <c r="H42" s="22"/>
      <c r="I42" s="22"/>
      <c r="J42" s="22"/>
      <c r="K42" s="22">
        <v>70300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68"/>
      <c r="AH42" s="68"/>
      <c r="AI42" s="68"/>
      <c r="AJ42" s="69"/>
      <c r="AL42" s="70">
        <v>70300</v>
      </c>
      <c r="AQ42" s="16"/>
      <c r="AR42" s="16"/>
      <c r="BV42" s="16"/>
      <c r="DC42" s="16"/>
    </row>
    <row r="43" spans="1:14888" s="3" customFormat="1" x14ac:dyDescent="0.25">
      <c r="B43" s="81"/>
      <c r="C43" s="82" t="s">
        <v>76</v>
      </c>
      <c r="D43" s="86">
        <v>4487000</v>
      </c>
      <c r="E43" s="29" t="s">
        <v>16</v>
      </c>
      <c r="F43" s="22"/>
      <c r="G43" s="22"/>
      <c r="H43" s="22"/>
      <c r="I43" s="22"/>
      <c r="J43" s="22"/>
      <c r="K43" s="22">
        <v>46850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68"/>
      <c r="AH43" s="68"/>
      <c r="AI43" s="68"/>
      <c r="AJ43" s="69"/>
      <c r="AL43" s="70">
        <v>46850</v>
      </c>
      <c r="DC43" s="16"/>
    </row>
    <row r="44" spans="1:14888" s="3" customFormat="1" x14ac:dyDescent="0.25">
      <c r="B44" s="81"/>
      <c r="C44" s="110" t="s">
        <v>125</v>
      </c>
      <c r="D44" s="107">
        <v>100</v>
      </c>
      <c r="E44" s="5" t="s">
        <v>29</v>
      </c>
      <c r="F44" s="211">
        <v>10.069050000000001</v>
      </c>
      <c r="G44" s="211">
        <v>15.7818</v>
      </c>
      <c r="H44" s="211">
        <v>21.040450000000003</v>
      </c>
      <c r="I44" s="211">
        <v>17.845949999999998</v>
      </c>
      <c r="J44" s="211">
        <v>24.992750000000001</v>
      </c>
      <c r="K44" s="211">
        <v>30.195899999999998</v>
      </c>
      <c r="L44" s="211">
        <v>27.749000000000002</v>
      </c>
      <c r="M44" s="211">
        <v>31.56465</v>
      </c>
      <c r="N44" s="211">
        <v>23.379000000000001</v>
      </c>
      <c r="O44" s="211">
        <v>28.425250000000002</v>
      </c>
      <c r="P44" s="211">
        <v>16.888399999999997</v>
      </c>
      <c r="Q44" s="211">
        <v>37.820350000000005</v>
      </c>
      <c r="R44" s="211">
        <v>49.453399999999995</v>
      </c>
      <c r="S44" s="211">
        <v>64.512249999999995</v>
      </c>
      <c r="T44" s="211">
        <v>39.6158</v>
      </c>
      <c r="U44" s="211">
        <v>63.563900000000004</v>
      </c>
      <c r="V44" s="211">
        <v>35.402850000000001</v>
      </c>
      <c r="W44" s="211">
        <v>54.769400000000005</v>
      </c>
      <c r="X44" s="211">
        <v>81.619150000000005</v>
      </c>
      <c r="Y44" s="211">
        <v>43.823</v>
      </c>
      <c r="Z44" s="211">
        <v>31.860050000000001</v>
      </c>
      <c r="AA44" s="211">
        <v>0</v>
      </c>
      <c r="AB44" s="211">
        <v>0</v>
      </c>
      <c r="AC44" s="211">
        <v>0</v>
      </c>
      <c r="AD44" s="211">
        <v>63.287550000000003</v>
      </c>
      <c r="AE44" s="211">
        <v>0</v>
      </c>
      <c r="AF44" s="211">
        <v>0</v>
      </c>
      <c r="AG44" s="211">
        <v>0</v>
      </c>
      <c r="AH44" s="211">
        <v>0</v>
      </c>
      <c r="AI44" s="211">
        <v>0</v>
      </c>
      <c r="AJ44" s="211">
        <v>0</v>
      </c>
      <c r="AK44" s="21"/>
      <c r="AL44" s="306">
        <v>26.247093548387095</v>
      </c>
      <c r="DC44" s="16"/>
    </row>
    <row r="45" spans="1:14888" x14ac:dyDescent="0.25">
      <c r="B45" s="49"/>
      <c r="C45" s="111" t="s">
        <v>75</v>
      </c>
      <c r="D45" s="258"/>
      <c r="E45" s="11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46"/>
      <c r="AH45" s="46"/>
      <c r="AI45" s="46"/>
      <c r="AJ45" s="47"/>
      <c r="AL45" s="259" t="s">
        <v>74</v>
      </c>
      <c r="DC45" s="16"/>
    </row>
    <row r="46" spans="1:14888" x14ac:dyDescent="0.25">
      <c r="B46" s="81"/>
      <c r="C46" s="110" t="s">
        <v>73</v>
      </c>
      <c r="D46" s="209">
        <v>94.2</v>
      </c>
      <c r="E46" s="91" t="s">
        <v>29</v>
      </c>
      <c r="F46" s="207">
        <v>95.446054640520657</v>
      </c>
      <c r="G46" s="207">
        <v>95.094769856566231</v>
      </c>
      <c r="H46" s="207">
        <v>95.016382207801271</v>
      </c>
      <c r="I46" s="207">
        <v>94.749619101305953</v>
      </c>
      <c r="J46" s="207">
        <v>94.467208376304754</v>
      </c>
      <c r="K46" s="207">
        <v>95.042421922701877</v>
      </c>
      <c r="L46" s="207">
        <v>95.772018290961469</v>
      </c>
      <c r="M46" s="207">
        <v>94.72499883366045</v>
      </c>
      <c r="N46" s="207">
        <v>94.904048452299094</v>
      </c>
      <c r="O46" s="207">
        <v>95.292700012101022</v>
      </c>
      <c r="P46" s="207">
        <v>94.950332598969993</v>
      </c>
      <c r="Q46" s="207">
        <v>94.301555751498213</v>
      </c>
      <c r="R46" s="207">
        <v>94.688862643814687</v>
      </c>
      <c r="S46" s="207">
        <v>94.901074952728379</v>
      </c>
      <c r="T46" s="207">
        <v>94.35416052478017</v>
      </c>
      <c r="U46" s="207">
        <v>95.388563978450989</v>
      </c>
      <c r="V46" s="207">
        <v>95.174313174358502</v>
      </c>
      <c r="W46" s="207">
        <v>94.676967207771042</v>
      </c>
      <c r="X46" s="207">
        <v>94.972632760605478</v>
      </c>
      <c r="Y46" s="207">
        <v>94.69513941538203</v>
      </c>
      <c r="Z46" s="207" t="e">
        <v>#DIV/0!</v>
      </c>
      <c r="AA46" s="207">
        <v>94.305130876935252</v>
      </c>
      <c r="AB46" s="207">
        <v>94.418291862811031</v>
      </c>
      <c r="AC46" s="207">
        <v>94.625943140825953</v>
      </c>
      <c r="AD46" s="207">
        <v>95.359364469705554</v>
      </c>
      <c r="AE46" s="207" t="e">
        <v>#DIV/0!</v>
      </c>
      <c r="AF46" s="207" t="e">
        <v>#DIV/0!</v>
      </c>
      <c r="AG46" s="207" t="e">
        <v>#DIV/0!</v>
      </c>
      <c r="AH46" s="207" t="e">
        <v>#DIV/0!</v>
      </c>
      <c r="AI46" s="207" t="e">
        <v>#DIV/0!</v>
      </c>
      <c r="AJ46" s="208">
        <v>0</v>
      </c>
      <c r="AK46" s="21"/>
      <c r="AL46" s="212">
        <v>94.901568486371502</v>
      </c>
      <c r="DC46" s="16"/>
    </row>
    <row r="47" spans="1:14888" x14ac:dyDescent="0.25">
      <c r="B47" s="81"/>
      <c r="C47" s="110" t="s">
        <v>72</v>
      </c>
      <c r="D47" s="209">
        <v>5</v>
      </c>
      <c r="E47" s="91" t="s">
        <v>29</v>
      </c>
      <c r="F47" s="207">
        <v>3.9581538566517969</v>
      </c>
      <c r="G47" s="207">
        <v>4.1682240648824278</v>
      </c>
      <c r="H47" s="207">
        <v>4.2390681284094347</v>
      </c>
      <c r="I47" s="207">
        <v>4.5908545918144741</v>
      </c>
      <c r="J47" s="207">
        <v>4.9066036470593675</v>
      </c>
      <c r="K47" s="207">
        <v>4.2613299796775745</v>
      </c>
      <c r="L47" s="207">
        <v>3.580297032355384</v>
      </c>
      <c r="M47" s="207">
        <v>4.5409124789652022</v>
      </c>
      <c r="N47" s="207">
        <v>4.3566309793642732</v>
      </c>
      <c r="O47" s="207">
        <v>3.9845618149497124</v>
      </c>
      <c r="P47" s="207">
        <v>4.2802764717815842</v>
      </c>
      <c r="Q47" s="207">
        <v>4.9312789243744364</v>
      </c>
      <c r="R47" s="207">
        <v>4.5499426373747616</v>
      </c>
      <c r="S47" s="207">
        <v>4.4177274922448024</v>
      </c>
      <c r="T47" s="207">
        <v>4.9525563727344588</v>
      </c>
      <c r="U47" s="207">
        <v>3.9066108550508427</v>
      </c>
      <c r="V47" s="207">
        <v>4.182609484087406</v>
      </c>
      <c r="W47" s="207">
        <v>4.5977573505443639</v>
      </c>
      <c r="X47" s="207">
        <v>4.2639982267601901</v>
      </c>
      <c r="Y47" s="207">
        <v>4.65942212113554</v>
      </c>
      <c r="Z47" s="207" t="e">
        <v>#DIV/0!</v>
      </c>
      <c r="AA47" s="207">
        <v>4.9745762229320762</v>
      </c>
      <c r="AB47" s="207">
        <v>4.9170862925845134</v>
      </c>
      <c r="AC47" s="207">
        <v>4.7540274662297568</v>
      </c>
      <c r="AD47" s="207">
        <v>4.0203732309105327</v>
      </c>
      <c r="AE47" s="207" t="e">
        <v>#DIV/0!</v>
      </c>
      <c r="AF47" s="207" t="e">
        <v>#DIV/0!</v>
      </c>
      <c r="AG47" s="207" t="e">
        <v>#DIV/0!</v>
      </c>
      <c r="AH47" s="207" t="e">
        <v>#DIV/0!</v>
      </c>
      <c r="AI47" s="207" t="e">
        <v>#DIV/0!</v>
      </c>
      <c r="AJ47" s="208">
        <v>1.6443894477454317</v>
      </c>
      <c r="AK47" s="21"/>
      <c r="AL47" s="212">
        <v>4.434496455170164</v>
      </c>
      <c r="BR47" s="12"/>
      <c r="DC47" s="16"/>
    </row>
    <row r="48" spans="1:14888" x14ac:dyDescent="0.25">
      <c r="B48" s="81"/>
      <c r="C48" s="110" t="s">
        <v>71</v>
      </c>
      <c r="D48" s="209">
        <v>82</v>
      </c>
      <c r="E48" s="91" t="s">
        <v>29</v>
      </c>
      <c r="F48" s="207" t="e">
        <v>#DIV/0!</v>
      </c>
      <c r="G48" s="207" t="e">
        <v>#DIV/0!</v>
      </c>
      <c r="H48" s="207" t="e">
        <v>#DIV/0!</v>
      </c>
      <c r="I48" s="207" t="e">
        <v>#DIV/0!</v>
      </c>
      <c r="J48" s="207" t="e">
        <v>#DIV/0!</v>
      </c>
      <c r="K48" s="207" t="e">
        <v>#DIV/0!</v>
      </c>
      <c r="L48" s="207" t="e">
        <v>#DIV/0!</v>
      </c>
      <c r="M48" s="207" t="e">
        <v>#DIV/0!</v>
      </c>
      <c r="N48" s="207" t="e">
        <v>#DIV/0!</v>
      </c>
      <c r="O48" s="207" t="e">
        <v>#DIV/0!</v>
      </c>
      <c r="P48" s="207" t="e">
        <v>#DIV/0!</v>
      </c>
      <c r="Q48" s="207" t="e">
        <v>#DIV/0!</v>
      </c>
      <c r="R48" s="207" t="e">
        <v>#DIV/0!</v>
      </c>
      <c r="S48" s="207" t="e">
        <v>#DIV/0!</v>
      </c>
      <c r="T48" s="207" t="e">
        <v>#DIV/0!</v>
      </c>
      <c r="U48" s="207" t="e">
        <v>#DIV/0!</v>
      </c>
      <c r="V48" s="207" t="e">
        <v>#DIV/0!</v>
      </c>
      <c r="W48" s="207" t="e">
        <v>#DIV/0!</v>
      </c>
      <c r="X48" s="207">
        <v>82.028116528599554</v>
      </c>
      <c r="Y48" s="207">
        <v>82.224789169278495</v>
      </c>
      <c r="Z48" s="207" t="e">
        <v>#DIV/0!</v>
      </c>
      <c r="AA48" s="207" t="e">
        <v>#DIV/0!</v>
      </c>
      <c r="AB48" s="207" t="e">
        <v>#DIV/0!</v>
      </c>
      <c r="AC48" s="207" t="e">
        <v>#DIV/0!</v>
      </c>
      <c r="AD48" s="207" t="e">
        <v>#DIV/0!</v>
      </c>
      <c r="AE48" s="207" t="e">
        <v>#DIV/0!</v>
      </c>
      <c r="AF48" s="207" t="e">
        <v>#DIV/0!</v>
      </c>
      <c r="AG48" s="207" t="e">
        <v>#DIV/0!</v>
      </c>
      <c r="AH48" s="207" t="e">
        <v>#DIV/0!</v>
      </c>
      <c r="AI48" s="207" t="e">
        <v>#DIV/0!</v>
      </c>
      <c r="AJ48" s="208" t="e">
        <v>#DIV/0!</v>
      </c>
      <c r="AK48" s="21"/>
      <c r="AL48" s="212">
        <v>82.056761995523274</v>
      </c>
      <c r="DC48" s="16"/>
    </row>
    <row r="49" spans="2:107 14889:14902" x14ac:dyDescent="0.25">
      <c r="B49" s="81"/>
      <c r="C49" s="110" t="s">
        <v>70</v>
      </c>
      <c r="D49" s="209">
        <v>18</v>
      </c>
      <c r="E49" s="91" t="s">
        <v>29</v>
      </c>
      <c r="F49" s="207" t="e">
        <v>#DIV/0!</v>
      </c>
      <c r="G49" s="207" t="e">
        <v>#DIV/0!</v>
      </c>
      <c r="H49" s="207" t="e">
        <v>#DIV/0!</v>
      </c>
      <c r="I49" s="207" t="e">
        <v>#DIV/0!</v>
      </c>
      <c r="J49" s="207" t="e">
        <v>#DIV/0!</v>
      </c>
      <c r="K49" s="207" t="e">
        <v>#DIV/0!</v>
      </c>
      <c r="L49" s="207" t="e">
        <v>#DIV/0!</v>
      </c>
      <c r="M49" s="207" t="e">
        <v>#DIV/0!</v>
      </c>
      <c r="N49" s="207" t="e">
        <v>#DIV/0!</v>
      </c>
      <c r="O49" s="207" t="e">
        <v>#DIV/0!</v>
      </c>
      <c r="P49" s="207" t="e">
        <v>#DIV/0!</v>
      </c>
      <c r="Q49" s="207" t="e">
        <v>#DIV/0!</v>
      </c>
      <c r="R49" s="207" t="e">
        <v>#DIV/0!</v>
      </c>
      <c r="S49" s="207" t="e">
        <v>#DIV/0!</v>
      </c>
      <c r="T49" s="207" t="e">
        <v>#DIV/0!</v>
      </c>
      <c r="U49" s="207" t="e">
        <v>#DIV/0!</v>
      </c>
      <c r="V49" s="207" t="e">
        <v>#DIV/0!</v>
      </c>
      <c r="W49" s="207" t="e">
        <v>#DIV/0!</v>
      </c>
      <c r="X49" s="207">
        <v>17.971883471400449</v>
      </c>
      <c r="Y49" s="207">
        <v>17.775210830721512</v>
      </c>
      <c r="Z49" s="207" t="e">
        <v>#DIV/0!</v>
      </c>
      <c r="AA49" s="207" t="e">
        <v>#DIV/0!</v>
      </c>
      <c r="AB49" s="207" t="e">
        <v>#DIV/0!</v>
      </c>
      <c r="AC49" s="207" t="e">
        <v>#DIV/0!</v>
      </c>
      <c r="AD49" s="207" t="e">
        <v>#DIV/0!</v>
      </c>
      <c r="AE49" s="207" t="e">
        <v>#DIV/0!</v>
      </c>
      <c r="AF49" s="207" t="e">
        <v>#DIV/0!</v>
      </c>
      <c r="AG49" s="207" t="e">
        <v>#DIV/0!</v>
      </c>
      <c r="AH49" s="207" t="e">
        <v>#DIV/0!</v>
      </c>
      <c r="AI49" s="207" t="e">
        <v>#DIV/0!</v>
      </c>
      <c r="AJ49" s="208" t="e">
        <v>#DIV/0!</v>
      </c>
      <c r="AK49" s="21"/>
      <c r="AL49" s="212">
        <v>17.943238004476722</v>
      </c>
      <c r="DC49" s="16"/>
    </row>
    <row r="50" spans="2:107 14889:14902" x14ac:dyDescent="0.25">
      <c r="B50" s="81"/>
      <c r="C50" s="110" t="s">
        <v>118</v>
      </c>
      <c r="D50" s="209">
        <v>75</v>
      </c>
      <c r="E50" s="113"/>
      <c r="F50" s="211" t="e">
        <v>#DIV/0!</v>
      </c>
      <c r="G50" s="211" t="e">
        <v>#DIV/0!</v>
      </c>
      <c r="H50" s="211" t="e">
        <v>#DIV/0!</v>
      </c>
      <c r="I50" s="211" t="e">
        <v>#DIV/0!</v>
      </c>
      <c r="J50" s="211" t="e">
        <v>#DIV/0!</v>
      </c>
      <c r="K50" s="211" t="e">
        <v>#DIV/0!</v>
      </c>
      <c r="L50" s="211" t="e">
        <v>#DIV/0!</v>
      </c>
      <c r="M50" s="211" t="e">
        <v>#DIV/0!</v>
      </c>
      <c r="N50" s="211" t="e">
        <v>#DIV/0!</v>
      </c>
      <c r="O50" s="211" t="e">
        <v>#DIV/0!</v>
      </c>
      <c r="P50" s="211" t="e">
        <v>#DIV/0!</v>
      </c>
      <c r="Q50" s="211" t="e">
        <v>#DIV/0!</v>
      </c>
      <c r="R50" s="211" t="e">
        <v>#DIV/0!</v>
      </c>
      <c r="S50" s="211" t="e">
        <v>#DIV/0!</v>
      </c>
      <c r="T50" s="211" t="e">
        <v>#DIV/0!</v>
      </c>
      <c r="U50" s="211" t="e">
        <v>#DIV/0!</v>
      </c>
      <c r="V50" s="211" t="e">
        <v>#DIV/0!</v>
      </c>
      <c r="W50" s="211" t="e">
        <v>#DIV/0!</v>
      </c>
      <c r="X50" s="211" t="e">
        <v>#DIV/0!</v>
      </c>
      <c r="Y50" s="211" t="e">
        <v>#DIV/0!</v>
      </c>
      <c r="Z50" s="211" t="e">
        <v>#DIV/0!</v>
      </c>
      <c r="AA50" s="211" t="e">
        <v>#DIV/0!</v>
      </c>
      <c r="AB50" s="211" t="e">
        <v>#DIV/0!</v>
      </c>
      <c r="AC50" s="211" t="e">
        <v>#DIV/0!</v>
      </c>
      <c r="AD50" s="211" t="e">
        <v>#DIV/0!</v>
      </c>
      <c r="AE50" s="211" t="e">
        <v>#DIV/0!</v>
      </c>
      <c r="AF50" s="211" t="e">
        <v>#DIV/0!</v>
      </c>
      <c r="AG50" s="211" t="e">
        <v>#DIV/0!</v>
      </c>
      <c r="AH50" s="211" t="e">
        <v>#DIV/0!</v>
      </c>
      <c r="AI50" s="211" t="e">
        <v>#DIV/0!</v>
      </c>
      <c r="AJ50" s="213" t="e">
        <v>#DIV/0!</v>
      </c>
      <c r="AK50" s="21"/>
      <c r="AL50" s="212" t="e">
        <v>#DIV/0!</v>
      </c>
      <c r="DC50" s="16"/>
    </row>
    <row r="51" spans="2:107 14889:14902" x14ac:dyDescent="0.25">
      <c r="B51" s="81"/>
      <c r="C51" s="110" t="s">
        <v>70</v>
      </c>
      <c r="D51" s="209">
        <v>25</v>
      </c>
      <c r="E51" s="113"/>
      <c r="F51" s="211" t="e">
        <v>#DIV/0!</v>
      </c>
      <c r="G51" s="211" t="e">
        <v>#DIV/0!</v>
      </c>
      <c r="H51" s="211" t="e">
        <v>#DIV/0!</v>
      </c>
      <c r="I51" s="211" t="e">
        <v>#DIV/0!</v>
      </c>
      <c r="J51" s="211" t="e">
        <v>#DIV/0!</v>
      </c>
      <c r="K51" s="211" t="e">
        <v>#DIV/0!</v>
      </c>
      <c r="L51" s="211" t="e">
        <v>#DIV/0!</v>
      </c>
      <c r="M51" s="211" t="e">
        <v>#DIV/0!</v>
      </c>
      <c r="N51" s="211" t="e">
        <v>#DIV/0!</v>
      </c>
      <c r="O51" s="211" t="e">
        <v>#DIV/0!</v>
      </c>
      <c r="P51" s="211" t="e">
        <v>#DIV/0!</v>
      </c>
      <c r="Q51" s="211" t="e">
        <v>#DIV/0!</v>
      </c>
      <c r="R51" s="211" t="e">
        <v>#DIV/0!</v>
      </c>
      <c r="S51" s="211" t="e">
        <v>#DIV/0!</v>
      </c>
      <c r="T51" s="211" t="e">
        <v>#DIV/0!</v>
      </c>
      <c r="U51" s="211" t="e">
        <v>#DIV/0!</v>
      </c>
      <c r="V51" s="211" t="e">
        <v>#DIV/0!</v>
      </c>
      <c r="W51" s="211" t="e">
        <v>#DIV/0!</v>
      </c>
      <c r="X51" s="211" t="e">
        <v>#DIV/0!</v>
      </c>
      <c r="Y51" s="211" t="e">
        <v>#DIV/0!</v>
      </c>
      <c r="Z51" s="211" t="e">
        <v>#DIV/0!</v>
      </c>
      <c r="AA51" s="211" t="e">
        <v>#DIV/0!</v>
      </c>
      <c r="AB51" s="211" t="e">
        <v>#DIV/0!</v>
      </c>
      <c r="AC51" s="211" t="e">
        <v>#DIV/0!</v>
      </c>
      <c r="AD51" s="211" t="e">
        <v>#DIV/0!</v>
      </c>
      <c r="AE51" s="211" t="e">
        <v>#DIV/0!</v>
      </c>
      <c r="AF51" s="211" t="e">
        <v>#DIV/0!</v>
      </c>
      <c r="AG51" s="211" t="e">
        <v>#DIV/0!</v>
      </c>
      <c r="AH51" s="211" t="e">
        <v>#DIV/0!</v>
      </c>
      <c r="AI51" s="211" t="e">
        <v>#DIV/0!</v>
      </c>
      <c r="AJ51" s="213" t="e">
        <v>#DIV/0!</v>
      </c>
      <c r="AK51" s="21"/>
      <c r="AL51" s="212" t="e">
        <v>#DIV/0!</v>
      </c>
      <c r="DC51" s="16"/>
    </row>
    <row r="52" spans="2:107 14889:14902" x14ac:dyDescent="0.25">
      <c r="B52" s="81"/>
      <c r="C52" s="110" t="s">
        <v>120</v>
      </c>
      <c r="D52" s="209">
        <v>75</v>
      </c>
      <c r="E52" s="91" t="s">
        <v>29</v>
      </c>
      <c r="F52" s="207">
        <v>75.204214896142147</v>
      </c>
      <c r="G52" s="207" t="e">
        <v>#DIV/0!</v>
      </c>
      <c r="H52" s="207" t="e">
        <v>#DIV/0!</v>
      </c>
      <c r="I52" s="207" t="e">
        <v>#DIV/0!</v>
      </c>
      <c r="J52" s="207" t="e">
        <v>#DIV/0!</v>
      </c>
      <c r="K52" s="207" t="e">
        <v>#DIV/0!</v>
      </c>
      <c r="L52" s="207" t="e">
        <v>#DIV/0!</v>
      </c>
      <c r="M52" s="207" t="e">
        <v>#DIV/0!</v>
      </c>
      <c r="N52" s="207" t="e">
        <v>#DIV/0!</v>
      </c>
      <c r="O52" s="207" t="e">
        <v>#DIV/0!</v>
      </c>
      <c r="P52" s="207" t="e">
        <v>#DIV/0!</v>
      </c>
      <c r="Q52" s="207" t="e">
        <v>#DIV/0!</v>
      </c>
      <c r="R52" s="207" t="e">
        <v>#DIV/0!</v>
      </c>
      <c r="S52" s="207" t="e">
        <v>#DIV/0!</v>
      </c>
      <c r="T52" s="207">
        <v>70.089374379344591</v>
      </c>
      <c r="U52" s="207">
        <v>75.517429860414282</v>
      </c>
      <c r="V52" s="207" t="e">
        <v>#DIV/0!</v>
      </c>
      <c r="W52" s="207" t="e">
        <v>#DIV/0!</v>
      </c>
      <c r="X52" s="207" t="e">
        <v>#DIV/0!</v>
      </c>
      <c r="Y52" s="207" t="e">
        <v>#DIV/0!</v>
      </c>
      <c r="Z52" s="207" t="e">
        <v>#DIV/0!</v>
      </c>
      <c r="AA52" s="207" t="e">
        <v>#DIV/0!</v>
      </c>
      <c r="AB52" s="207" t="e">
        <v>#DIV/0!</v>
      </c>
      <c r="AC52" s="207" t="e">
        <v>#DIV/0!</v>
      </c>
      <c r="AD52" s="207" t="e">
        <v>#DIV/0!</v>
      </c>
      <c r="AE52" s="207" t="e">
        <v>#DIV/0!</v>
      </c>
      <c r="AF52" s="207" t="e">
        <v>#DIV/0!</v>
      </c>
      <c r="AG52" s="207" t="e">
        <v>#DIV/0!</v>
      </c>
      <c r="AH52" s="207" t="e">
        <v>#DIV/0!</v>
      </c>
      <c r="AI52" s="207" t="e">
        <v>#DIV/0!</v>
      </c>
      <c r="AJ52" s="208" t="e">
        <v>#DIV/0!</v>
      </c>
      <c r="AK52" s="21"/>
      <c r="AL52" s="212">
        <v>72.34407852827313</v>
      </c>
      <c r="BR52" s="12"/>
      <c r="DC52" s="16"/>
    </row>
    <row r="53" spans="2:107 14889:14902" x14ac:dyDescent="0.25">
      <c r="B53" s="81"/>
      <c r="C53" s="110" t="s">
        <v>70</v>
      </c>
      <c r="D53" s="209">
        <v>25</v>
      </c>
      <c r="E53" s="91" t="s">
        <v>29</v>
      </c>
      <c r="F53" s="207">
        <v>24.795785103857863</v>
      </c>
      <c r="G53" s="207" t="e">
        <v>#DIV/0!</v>
      </c>
      <c r="H53" s="207" t="e">
        <v>#DIV/0!</v>
      </c>
      <c r="I53" s="207" t="e">
        <v>#DIV/0!</v>
      </c>
      <c r="J53" s="207" t="e">
        <v>#DIV/0!</v>
      </c>
      <c r="K53" s="207" t="e">
        <v>#DIV/0!</v>
      </c>
      <c r="L53" s="207" t="e">
        <v>#DIV/0!</v>
      </c>
      <c r="M53" s="207" t="e">
        <v>#DIV/0!</v>
      </c>
      <c r="N53" s="207" t="e">
        <v>#DIV/0!</v>
      </c>
      <c r="O53" s="207" t="e">
        <v>#DIV/0!</v>
      </c>
      <c r="P53" s="207" t="e">
        <v>#DIV/0!</v>
      </c>
      <c r="Q53" s="207" t="e">
        <v>#DIV/0!</v>
      </c>
      <c r="R53" s="207" t="e">
        <v>#DIV/0!</v>
      </c>
      <c r="S53" s="207" t="e">
        <v>#DIV/0!</v>
      </c>
      <c r="T53" s="207">
        <v>29.910625620655413</v>
      </c>
      <c r="U53" s="207">
        <v>24.482570139585729</v>
      </c>
      <c r="V53" s="207" t="e">
        <v>#DIV/0!</v>
      </c>
      <c r="W53" s="207" t="e">
        <v>#DIV/0!</v>
      </c>
      <c r="X53" s="207" t="e">
        <v>#DIV/0!</v>
      </c>
      <c r="Y53" s="207" t="e">
        <v>#DIV/0!</v>
      </c>
      <c r="Z53" s="207" t="e">
        <v>#DIV/0!</v>
      </c>
      <c r="AA53" s="207" t="e">
        <v>#DIV/0!</v>
      </c>
      <c r="AB53" s="207" t="e">
        <v>#DIV/0!</v>
      </c>
      <c r="AC53" s="207" t="e">
        <v>#DIV/0!</v>
      </c>
      <c r="AD53" s="207" t="e">
        <v>#DIV/0!</v>
      </c>
      <c r="AE53" s="207" t="e">
        <v>#DIV/0!</v>
      </c>
      <c r="AF53" s="207" t="e">
        <v>#DIV/0!</v>
      </c>
      <c r="AG53" s="207" t="e">
        <v>#DIV/0!</v>
      </c>
      <c r="AH53" s="207" t="e">
        <v>#DIV/0!</v>
      </c>
      <c r="AI53" s="207" t="e">
        <v>#DIV/0!</v>
      </c>
      <c r="AJ53" s="208" t="e">
        <v>#DIV/0!</v>
      </c>
      <c r="AK53" s="214"/>
      <c r="AL53" s="212">
        <v>27.65592147172687</v>
      </c>
      <c r="DC53" s="16"/>
    </row>
    <row r="54" spans="2:107 14889:14902" x14ac:dyDescent="0.25">
      <c r="B54" s="81"/>
      <c r="C54" s="110" t="s">
        <v>123</v>
      </c>
      <c r="D54" s="209">
        <v>70</v>
      </c>
      <c r="E54" s="91" t="s">
        <v>29</v>
      </c>
      <c r="F54" s="207" t="e">
        <v>#DIV/0!</v>
      </c>
      <c r="G54" s="207">
        <v>56.915244141986342</v>
      </c>
      <c r="H54" s="207">
        <v>70.049832584379132</v>
      </c>
      <c r="I54" s="207">
        <v>70.281492439461061</v>
      </c>
      <c r="J54" s="207">
        <v>70.127737043742684</v>
      </c>
      <c r="K54" s="207">
        <v>70.178195772934941</v>
      </c>
      <c r="L54" s="207">
        <v>70.024505387581542</v>
      </c>
      <c r="M54" s="207">
        <v>70.019626385846195</v>
      </c>
      <c r="N54" s="207">
        <v>70.444202061679277</v>
      </c>
      <c r="O54" s="207">
        <v>70.089621023561804</v>
      </c>
      <c r="P54" s="207">
        <v>70.056370052817314</v>
      </c>
      <c r="Q54" s="207">
        <v>60.421439780435662</v>
      </c>
      <c r="R54" s="207">
        <v>68.6125726441458</v>
      </c>
      <c r="S54" s="207">
        <v>65.177543799820967</v>
      </c>
      <c r="T54" s="207">
        <v>60.199922599981882</v>
      </c>
      <c r="U54" s="207">
        <v>62.580166640405125</v>
      </c>
      <c r="V54" s="207">
        <v>60.808240014575098</v>
      </c>
      <c r="W54" s="207">
        <v>60.20122550183131</v>
      </c>
      <c r="X54" s="207">
        <v>72.205253512522901</v>
      </c>
      <c r="Y54" s="207">
        <v>60.319335695249244</v>
      </c>
      <c r="Z54" s="207">
        <v>60.023917099941784</v>
      </c>
      <c r="AA54" s="207" t="e">
        <v>#DIV/0!</v>
      </c>
      <c r="AB54" s="207" t="e">
        <v>#DIV/0!</v>
      </c>
      <c r="AC54" s="207" t="e">
        <v>#DIV/0!</v>
      </c>
      <c r="AD54" s="207">
        <v>42.884026953168515</v>
      </c>
      <c r="AE54" s="207" t="e">
        <v>#DIV/0!</v>
      </c>
      <c r="AF54" s="207" t="e">
        <v>#DIV/0!</v>
      </c>
      <c r="AG54" s="207" t="e">
        <v>#DIV/0!</v>
      </c>
      <c r="AH54" s="207" t="e">
        <v>#DIV/0!</v>
      </c>
      <c r="AI54" s="207" t="e">
        <v>#DIV/0!</v>
      </c>
      <c r="AJ54" s="207" t="e">
        <v>#DIV/0!</v>
      </c>
      <c r="AK54" s="214"/>
      <c r="AL54" s="212">
        <v>63.133562605943716</v>
      </c>
      <c r="DC54" s="16"/>
    </row>
    <row r="55" spans="2:107 14889:14902" x14ac:dyDescent="0.25">
      <c r="B55" s="81"/>
      <c r="C55" s="110" t="s">
        <v>70</v>
      </c>
      <c r="D55" s="209">
        <v>30</v>
      </c>
      <c r="E55" s="91" t="s">
        <v>29</v>
      </c>
      <c r="F55" s="207" t="e">
        <v>#DIV/0!</v>
      </c>
      <c r="G55" s="207">
        <v>43.084755858013665</v>
      </c>
      <c r="H55" s="207">
        <v>29.950167415620864</v>
      </c>
      <c r="I55" s="207">
        <v>29.718507560538949</v>
      </c>
      <c r="J55" s="207">
        <v>29.872262956257316</v>
      </c>
      <c r="K55" s="207">
        <v>29.821804227065051</v>
      </c>
      <c r="L55" s="207">
        <v>29.975494612418462</v>
      </c>
      <c r="M55" s="207">
        <v>29.980373614153809</v>
      </c>
      <c r="N55" s="207">
        <v>29.555797938320715</v>
      </c>
      <c r="O55" s="207">
        <v>29.910378976438203</v>
      </c>
      <c r="P55" s="207">
        <v>29.943629947182682</v>
      </c>
      <c r="Q55" s="207">
        <v>39.578560219564338</v>
      </c>
      <c r="R55" s="207">
        <v>31.387427355854197</v>
      </c>
      <c r="S55" s="207">
        <v>34.822456200179033</v>
      </c>
      <c r="T55" s="207">
        <v>39.800077400018111</v>
      </c>
      <c r="U55" s="207">
        <v>37.419833359594882</v>
      </c>
      <c r="V55" s="207">
        <v>39.191759985424902</v>
      </c>
      <c r="W55" s="207">
        <v>39.79877449816869</v>
      </c>
      <c r="X55" s="207">
        <v>27.794746487477092</v>
      </c>
      <c r="Y55" s="207">
        <v>39.680664304750756</v>
      </c>
      <c r="Z55" s="207">
        <v>39.976082900058223</v>
      </c>
      <c r="AA55" s="207" t="e">
        <v>#DIV/0!</v>
      </c>
      <c r="AB55" s="207" t="e">
        <v>#DIV/0!</v>
      </c>
      <c r="AC55" s="207" t="e">
        <v>#DIV/0!</v>
      </c>
      <c r="AD55" s="207">
        <v>57.115973046831478</v>
      </c>
      <c r="AE55" s="207" t="e">
        <v>#DIV/0!</v>
      </c>
      <c r="AF55" s="207" t="e">
        <v>#DIV/0!</v>
      </c>
      <c r="AG55" s="207" t="e">
        <v>#DIV/0!</v>
      </c>
      <c r="AH55" s="207" t="e">
        <v>#DIV/0!</v>
      </c>
      <c r="AI55" s="207" t="e">
        <v>#DIV/0!</v>
      </c>
      <c r="AJ55" s="207" t="e">
        <v>#DIV/0!</v>
      </c>
      <c r="AK55" s="214"/>
      <c r="AL55" s="212">
        <v>36.866437394056277</v>
      </c>
      <c r="DC55" s="16"/>
    </row>
    <row r="56" spans="2:107 14889:14902" x14ac:dyDescent="0.25">
      <c r="B56" s="81"/>
      <c r="C56" s="110" t="s">
        <v>69</v>
      </c>
      <c r="D56" s="209">
        <v>60</v>
      </c>
      <c r="E56" s="91" t="s">
        <v>29</v>
      </c>
      <c r="F56" s="207" t="e">
        <v>#DIV/0!</v>
      </c>
      <c r="G56" s="207" t="e">
        <v>#DIV/0!</v>
      </c>
      <c r="H56" s="207" t="e">
        <v>#DIV/0!</v>
      </c>
      <c r="I56" s="207" t="e">
        <v>#DIV/0!</v>
      </c>
      <c r="J56" s="207" t="e">
        <v>#DIV/0!</v>
      </c>
      <c r="K56" s="207">
        <v>60.008536064874093</v>
      </c>
      <c r="L56" s="207" t="e">
        <v>#DIV/0!</v>
      </c>
      <c r="M56" s="207" t="e">
        <v>#DIV/0!</v>
      </c>
      <c r="N56" s="207" t="e">
        <v>#DIV/0!</v>
      </c>
      <c r="O56" s="207" t="e">
        <v>#DIV/0!</v>
      </c>
      <c r="P56" s="207" t="e">
        <v>#DIV/0!</v>
      </c>
      <c r="Q56" s="207" t="e">
        <v>#DIV/0!</v>
      </c>
      <c r="R56" s="207" t="e">
        <v>#DIV/0!</v>
      </c>
      <c r="S56" s="207" t="e">
        <v>#DIV/0!</v>
      </c>
      <c r="T56" s="207" t="e">
        <v>#DIV/0!</v>
      </c>
      <c r="U56" s="207" t="e">
        <v>#DIV/0!</v>
      </c>
      <c r="V56" s="207" t="e">
        <v>#DIV/0!</v>
      </c>
      <c r="W56" s="207" t="e">
        <v>#DIV/0!</v>
      </c>
      <c r="X56" s="207" t="e">
        <v>#DIV/0!</v>
      </c>
      <c r="Y56" s="207" t="e">
        <v>#DIV/0!</v>
      </c>
      <c r="Z56" s="207" t="e">
        <v>#DIV/0!</v>
      </c>
      <c r="AA56" s="207" t="e">
        <v>#DIV/0!</v>
      </c>
      <c r="AB56" s="207" t="e">
        <v>#DIV/0!</v>
      </c>
      <c r="AC56" s="207" t="e">
        <v>#DIV/0!</v>
      </c>
      <c r="AD56" s="207" t="e">
        <v>#DIV/0!</v>
      </c>
      <c r="AE56" s="207" t="e">
        <v>#DIV/0!</v>
      </c>
      <c r="AF56" s="207" t="e">
        <v>#DIV/0!</v>
      </c>
      <c r="AG56" s="207" t="e">
        <v>#DIV/0!</v>
      </c>
      <c r="AH56" s="207" t="e">
        <v>#DIV/0!</v>
      </c>
      <c r="AI56" s="207" t="e">
        <v>#DIV/0!</v>
      </c>
      <c r="AJ56" s="208" t="e">
        <v>#DIV/0!</v>
      </c>
      <c r="AK56" s="21"/>
      <c r="AL56" s="212">
        <v>60.008536064874093</v>
      </c>
      <c r="DC56" s="16"/>
    </row>
    <row r="57" spans="2:107 14889:14902" ht="15.75" thickBot="1" x14ac:dyDescent="0.3">
      <c r="B57" s="114"/>
      <c r="C57" s="110" t="s">
        <v>68</v>
      </c>
      <c r="D57" s="209">
        <v>40</v>
      </c>
      <c r="E57" s="91" t="s">
        <v>29</v>
      </c>
      <c r="F57" s="207" t="e">
        <v>#DIV/0!</v>
      </c>
      <c r="G57" s="207" t="e">
        <v>#DIV/0!</v>
      </c>
      <c r="H57" s="207" t="e">
        <v>#DIV/0!</v>
      </c>
      <c r="I57" s="207" t="e">
        <v>#DIV/0!</v>
      </c>
      <c r="J57" s="207" t="e">
        <v>#DIV/0!</v>
      </c>
      <c r="K57" s="207">
        <v>39.991463935125907</v>
      </c>
      <c r="L57" s="207" t="e">
        <v>#DIV/0!</v>
      </c>
      <c r="M57" s="207" t="e">
        <v>#DIV/0!</v>
      </c>
      <c r="N57" s="207" t="e">
        <v>#DIV/0!</v>
      </c>
      <c r="O57" s="207" t="e">
        <v>#DIV/0!</v>
      </c>
      <c r="P57" s="207" t="e">
        <v>#DIV/0!</v>
      </c>
      <c r="Q57" s="207" t="e">
        <v>#DIV/0!</v>
      </c>
      <c r="R57" s="207" t="e">
        <v>#DIV/0!</v>
      </c>
      <c r="S57" s="207" t="e">
        <v>#DIV/0!</v>
      </c>
      <c r="T57" s="207" t="e">
        <v>#DIV/0!</v>
      </c>
      <c r="U57" s="207" t="e">
        <v>#DIV/0!</v>
      </c>
      <c r="V57" s="207" t="e">
        <v>#DIV/0!</v>
      </c>
      <c r="W57" s="207" t="e">
        <v>#DIV/0!</v>
      </c>
      <c r="X57" s="207" t="e">
        <v>#DIV/0!</v>
      </c>
      <c r="Y57" s="207" t="e">
        <v>#DIV/0!</v>
      </c>
      <c r="Z57" s="207" t="e">
        <v>#DIV/0!</v>
      </c>
      <c r="AA57" s="207" t="e">
        <v>#DIV/0!</v>
      </c>
      <c r="AB57" s="207" t="e">
        <v>#DIV/0!</v>
      </c>
      <c r="AC57" s="207" t="e">
        <v>#DIV/0!</v>
      </c>
      <c r="AD57" s="207" t="e">
        <v>#DIV/0!</v>
      </c>
      <c r="AE57" s="207" t="e">
        <v>#DIV/0!</v>
      </c>
      <c r="AF57" s="207" t="e">
        <v>#DIV/0!</v>
      </c>
      <c r="AG57" s="207" t="e">
        <v>#DIV/0!</v>
      </c>
      <c r="AH57" s="207" t="e">
        <v>#DIV/0!</v>
      </c>
      <c r="AI57" s="207" t="e">
        <v>#DIV/0!</v>
      </c>
      <c r="AJ57" s="208" t="e">
        <v>#DIV/0!</v>
      </c>
      <c r="AK57" s="214"/>
      <c r="AL57" s="212">
        <v>39.991463935125907</v>
      </c>
      <c r="DC57" s="16"/>
    </row>
    <row r="58" spans="2:107 14889:14902" x14ac:dyDescent="0.25">
      <c r="B58" s="49">
        <v>2</v>
      </c>
      <c r="C58" s="115" t="s">
        <v>67</v>
      </c>
      <c r="D58" s="258"/>
      <c r="E58" s="11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46"/>
      <c r="AH58" s="46"/>
      <c r="AI58" s="46"/>
      <c r="AJ58" s="47"/>
      <c r="AL58" s="260" t="s">
        <v>66</v>
      </c>
      <c r="DC58" s="16"/>
    </row>
    <row r="59" spans="2:107 14889:14902" x14ac:dyDescent="0.25">
      <c r="B59" s="49"/>
      <c r="C59" s="72" t="s">
        <v>65</v>
      </c>
      <c r="D59" s="209">
        <v>8</v>
      </c>
      <c r="E59" s="7" t="s">
        <v>63</v>
      </c>
      <c r="F59" s="1">
        <v>185</v>
      </c>
      <c r="G59" s="1">
        <v>7462</v>
      </c>
      <c r="H59" s="1">
        <v>3928</v>
      </c>
      <c r="I59" s="1">
        <v>5100</v>
      </c>
      <c r="J59" s="1">
        <v>10759</v>
      </c>
      <c r="K59" s="1">
        <v>0</v>
      </c>
      <c r="L59" s="1">
        <v>4956</v>
      </c>
      <c r="M59" s="1">
        <v>10073</v>
      </c>
      <c r="N59" s="1">
        <v>9741</v>
      </c>
      <c r="O59" s="1">
        <v>10112</v>
      </c>
      <c r="P59" s="1">
        <v>8900</v>
      </c>
      <c r="Q59" s="1">
        <v>3436</v>
      </c>
      <c r="R59" s="1">
        <v>8536</v>
      </c>
      <c r="S59" s="1">
        <v>11174</v>
      </c>
      <c r="T59" s="1">
        <v>2514</v>
      </c>
      <c r="U59" s="1">
        <v>6648</v>
      </c>
      <c r="V59" s="1">
        <v>5680</v>
      </c>
      <c r="W59" s="1">
        <v>798</v>
      </c>
      <c r="X59" s="1">
        <v>9018</v>
      </c>
      <c r="Y59" s="1">
        <v>4480</v>
      </c>
      <c r="Z59" s="1"/>
      <c r="AA59" s="1">
        <v>3856</v>
      </c>
      <c r="AB59" s="1">
        <v>2288</v>
      </c>
      <c r="AC59" s="1">
        <v>5472</v>
      </c>
      <c r="AD59" s="1">
        <v>1328</v>
      </c>
      <c r="AE59" s="1"/>
      <c r="AF59" s="1"/>
      <c r="AG59" s="62"/>
      <c r="AH59" s="62"/>
      <c r="AI59" s="62"/>
      <c r="AJ59" s="63">
        <v>2304</v>
      </c>
      <c r="AL59" s="116">
        <v>138748</v>
      </c>
      <c r="AR59" s="12"/>
      <c r="DC59" s="16"/>
    </row>
    <row r="60" spans="2:107 14889:14902" x14ac:dyDescent="0.25">
      <c r="B60" s="81"/>
      <c r="C60" s="117"/>
      <c r="D60" s="78"/>
      <c r="E60" s="7" t="s">
        <v>29</v>
      </c>
      <c r="F60" s="207">
        <v>0.78761408218458939</v>
      </c>
      <c r="G60" s="207">
        <v>0.77908193202296117</v>
      </c>
      <c r="H60" s="207">
        <v>0.8308497384557787</v>
      </c>
      <c r="I60" s="207">
        <v>0.89007254963899707</v>
      </c>
      <c r="J60" s="207">
        <v>1.2439358272942114</v>
      </c>
      <c r="K60" s="207">
        <v>0</v>
      </c>
      <c r="L60" s="207">
        <v>1.0212934322754279</v>
      </c>
      <c r="M60" s="207">
        <v>1.0928872816910729</v>
      </c>
      <c r="N60" s="207">
        <v>0.83411184342913214</v>
      </c>
      <c r="O60" s="207">
        <v>0.86172956076676199</v>
      </c>
      <c r="P60" s="207">
        <v>0.79190230950745466</v>
      </c>
      <c r="Q60" s="207">
        <v>0.85583767977323799</v>
      </c>
      <c r="R60" s="207">
        <v>0.96103507170046698</v>
      </c>
      <c r="S60" s="207">
        <v>1.2348639649366711</v>
      </c>
      <c r="T60" s="207">
        <v>0.36104743500224107</v>
      </c>
      <c r="U60" s="207">
        <v>0.55866476962813327</v>
      </c>
      <c r="V60" s="207">
        <v>0.64375736694169916</v>
      </c>
      <c r="W60" s="207">
        <v>1.3006062976725992</v>
      </c>
      <c r="X60" s="207">
        <v>0.80600184474141445</v>
      </c>
      <c r="Y60" s="207">
        <v>0.75478055766152807</v>
      </c>
      <c r="Z60" s="207" t="e">
        <v>#DIV/0!</v>
      </c>
      <c r="AA60" s="207">
        <v>1.0978060960124814</v>
      </c>
      <c r="AB60" s="207">
        <v>0.7505699804812439</v>
      </c>
      <c r="AC60" s="207">
        <v>0.9619509039385139</v>
      </c>
      <c r="AD60" s="207">
        <v>0.79202724382868828</v>
      </c>
      <c r="AE60" s="207" t="e">
        <v>#DIV/0!</v>
      </c>
      <c r="AF60" s="207" t="e">
        <v>#DIV/0!</v>
      </c>
      <c r="AG60" s="207" t="e">
        <v>#DIV/0!</v>
      </c>
      <c r="AH60" s="207" t="e">
        <v>#DIV/0!</v>
      </c>
      <c r="AI60" s="207" t="e">
        <v>#DIV/0!</v>
      </c>
      <c r="AJ60" s="208">
        <v>1.2288917572512081</v>
      </c>
      <c r="AL60" s="307">
        <v>0.86352909997633054</v>
      </c>
      <c r="BQ60" s="18">
        <v>0</v>
      </c>
      <c r="BR60" s="18">
        <v>10.212934322754279</v>
      </c>
      <c r="DC60" s="16"/>
    </row>
    <row r="61" spans="2:107 14889:14902" s="3" customFormat="1" x14ac:dyDescent="0.25">
      <c r="B61" s="49"/>
      <c r="C61" s="118" t="s">
        <v>64</v>
      </c>
      <c r="D61" s="308">
        <v>18</v>
      </c>
      <c r="E61" s="119" t="s">
        <v>63</v>
      </c>
      <c r="F61" s="261">
        <v>2901</v>
      </c>
      <c r="G61" s="261"/>
      <c r="H61" s="261"/>
      <c r="I61" s="261"/>
      <c r="J61" s="261"/>
      <c r="K61" s="261">
        <v>2220</v>
      </c>
      <c r="L61" s="261"/>
      <c r="M61" s="261"/>
      <c r="N61" s="261"/>
      <c r="O61" s="261"/>
      <c r="P61" s="261"/>
      <c r="Q61" s="261"/>
      <c r="R61" s="261"/>
      <c r="S61" s="261"/>
      <c r="T61" s="261">
        <v>8720</v>
      </c>
      <c r="U61" s="261">
        <v>2600</v>
      </c>
      <c r="V61" s="262"/>
      <c r="W61" s="262"/>
      <c r="X61" s="262"/>
      <c r="Y61" s="262"/>
      <c r="Z61" s="262"/>
      <c r="AA61" s="261"/>
      <c r="AB61" s="261"/>
      <c r="AC61" s="261"/>
      <c r="AD61" s="261"/>
      <c r="AE61" s="261"/>
      <c r="AF61" s="261"/>
      <c r="AG61" s="263"/>
      <c r="AH61" s="263"/>
      <c r="AI61" s="263"/>
      <c r="AJ61" s="264"/>
      <c r="AL61" s="265">
        <v>16441</v>
      </c>
      <c r="DC61" s="16"/>
      <c r="UZQ61" s="190"/>
      <c r="UZR61" s="190"/>
      <c r="UZS61" s="190"/>
      <c r="UZT61" s="190"/>
      <c r="UZU61" s="190"/>
      <c r="UZV61" s="190"/>
      <c r="UZW61" s="190"/>
      <c r="UZX61" s="190"/>
      <c r="UZY61" s="190"/>
      <c r="UZZ61" s="190"/>
      <c r="VAA61" s="190"/>
      <c r="VAB61" s="190"/>
      <c r="VAC61" s="190"/>
      <c r="VAD61" s="190"/>
    </row>
    <row r="62" spans="2:107 14889:14902" s="3" customFormat="1" x14ac:dyDescent="0.25">
      <c r="B62" s="81"/>
      <c r="C62" s="120"/>
      <c r="D62" s="266"/>
      <c r="E62" s="121" t="s">
        <v>29</v>
      </c>
      <c r="F62" s="309">
        <v>1.3749509860024054</v>
      </c>
      <c r="G62" s="309" t="e">
        <v>#DIV/0!</v>
      </c>
      <c r="H62" s="309" t="e">
        <v>#DIV/0!</v>
      </c>
      <c r="I62" s="309" t="e">
        <v>#DIV/0!</v>
      </c>
      <c r="J62" s="309" t="e">
        <v>#DIV/0!</v>
      </c>
      <c r="K62" s="309">
        <v>1.8010599800972953</v>
      </c>
      <c r="L62" s="309" t="e">
        <v>#DIV/0!</v>
      </c>
      <c r="M62" s="309" t="e">
        <v>#DIV/0!</v>
      </c>
      <c r="N62" s="309" t="e">
        <v>#DIV/0!</v>
      </c>
      <c r="O62" s="309" t="e">
        <v>#DIV/0!</v>
      </c>
      <c r="P62" s="309" t="e">
        <v>#DIV/0!</v>
      </c>
      <c r="Q62" s="309" t="e">
        <v>#DIV/0!</v>
      </c>
      <c r="R62" s="309" t="e">
        <v>#DIV/0!</v>
      </c>
      <c r="S62" s="309" t="e">
        <v>#DIV/0!</v>
      </c>
      <c r="T62" s="309">
        <v>1.9224680875660569</v>
      </c>
      <c r="U62" s="309">
        <v>2.0233018130968499</v>
      </c>
      <c r="V62" s="309" t="e">
        <v>#DIV/0!</v>
      </c>
      <c r="W62" s="309" t="e">
        <v>#DIV/0!</v>
      </c>
      <c r="X62" s="309" t="e">
        <v>#DIV/0!</v>
      </c>
      <c r="Y62" s="309" t="e">
        <v>#DIV/0!</v>
      </c>
      <c r="Z62" s="309" t="e">
        <v>#DIV/0!</v>
      </c>
      <c r="AA62" s="309" t="e">
        <v>#DIV/0!</v>
      </c>
      <c r="AB62" s="309" t="e">
        <v>#DIV/0!</v>
      </c>
      <c r="AC62" s="309" t="e">
        <v>#DIV/0!</v>
      </c>
      <c r="AD62" s="309" t="e">
        <v>#DIV/0!</v>
      </c>
      <c r="AE62" s="309" t="e">
        <v>#DIV/0!</v>
      </c>
      <c r="AF62" s="309" t="e">
        <v>#DIV/0!</v>
      </c>
      <c r="AG62" s="309" t="e">
        <v>#DIV/0!</v>
      </c>
      <c r="AH62" s="309" t="e">
        <v>#DIV/0!</v>
      </c>
      <c r="AI62" s="309" t="e">
        <v>#DIV/0!</v>
      </c>
      <c r="AJ62" s="310" t="e">
        <v>#DIV/0!</v>
      </c>
      <c r="AL62" s="307">
        <v>1.794209849396091</v>
      </c>
      <c r="DC62" s="16"/>
      <c r="UZQ62" s="190"/>
      <c r="UZR62" s="190"/>
      <c r="UZS62" s="190"/>
      <c r="UZT62" s="190"/>
      <c r="UZU62" s="190"/>
      <c r="UZV62" s="190"/>
      <c r="UZW62" s="190"/>
      <c r="UZX62" s="190"/>
      <c r="UZY62" s="190"/>
      <c r="UZZ62" s="190"/>
      <c r="VAA62" s="190"/>
      <c r="VAB62" s="190"/>
      <c r="VAC62" s="190"/>
      <c r="VAD62" s="190"/>
    </row>
    <row r="63" spans="2:107 14889:14902" x14ac:dyDescent="0.25">
      <c r="B63" s="81"/>
      <c r="C63" s="72" t="s">
        <v>62</v>
      </c>
      <c r="D63" s="209">
        <v>0.55000000000000004</v>
      </c>
      <c r="E63" s="7" t="s">
        <v>16</v>
      </c>
      <c r="F63" s="1">
        <v>162.07400000000001</v>
      </c>
      <c r="G63" s="1">
        <v>521.202</v>
      </c>
      <c r="H63" s="1">
        <v>226.20400000000001</v>
      </c>
      <c r="I63" s="1">
        <v>299.66199999999998</v>
      </c>
      <c r="J63" s="1">
        <v>535.19399999999996</v>
      </c>
      <c r="K63" s="1">
        <v>31.481999999999999</v>
      </c>
      <c r="L63" s="1">
        <v>300.82799999999997</v>
      </c>
      <c r="M63" s="1">
        <v>496.71600000000001</v>
      </c>
      <c r="N63" s="1">
        <v>630.80600000000004</v>
      </c>
      <c r="O63" s="1">
        <v>608.65200000000004</v>
      </c>
      <c r="P63" s="1">
        <v>589.99599999999998</v>
      </c>
      <c r="Q63" s="267">
        <v>191.22399999999999</v>
      </c>
      <c r="R63" s="1">
        <v>485.05599999999998</v>
      </c>
      <c r="S63" s="1">
        <v>550.35199999999998</v>
      </c>
      <c r="T63" s="1">
        <v>637.80200000000002</v>
      </c>
      <c r="U63" s="1">
        <v>670.45</v>
      </c>
      <c r="V63" s="1">
        <v>437.24</v>
      </c>
      <c r="W63" s="1">
        <v>68.793999999999997</v>
      </c>
      <c r="X63" s="1">
        <v>585.33199999999999</v>
      </c>
      <c r="Y63" s="1">
        <v>328.81200000000001</v>
      </c>
      <c r="Z63" s="1"/>
      <c r="AA63" s="1">
        <v>221.54</v>
      </c>
      <c r="AB63" s="1">
        <v>139.91999999999999</v>
      </c>
      <c r="AC63" s="1">
        <v>348.63400000000001</v>
      </c>
      <c r="AD63" s="1">
        <v>86.284000000000006</v>
      </c>
      <c r="AE63" s="1"/>
      <c r="AF63" s="1"/>
      <c r="AG63" s="62"/>
      <c r="AH63" s="62"/>
      <c r="AI63" s="62"/>
      <c r="AJ63" s="63">
        <v>116.6</v>
      </c>
      <c r="AL63" s="265">
        <v>9270.8559999999998</v>
      </c>
      <c r="DC63" s="16"/>
    </row>
    <row r="64" spans="2:107 14889:14902" ht="15.75" thickBot="1" x14ac:dyDescent="0.3">
      <c r="B64" s="114"/>
      <c r="C64" s="122"/>
      <c r="D64" s="78"/>
      <c r="E64" s="123" t="s">
        <v>29</v>
      </c>
      <c r="F64" s="268">
        <v>6.9121196871348281E-2</v>
      </c>
      <c r="G64" s="268">
        <v>5.4416920548677479E-2</v>
      </c>
      <c r="H64" s="268">
        <v>4.7846622769259411E-2</v>
      </c>
      <c r="I64" s="268">
        <v>5.2298219680376692E-2</v>
      </c>
      <c r="J64" s="268">
        <v>6.1878147704516967E-2</v>
      </c>
      <c r="K64" s="268">
        <v>2.8690160483363862E-2</v>
      </c>
      <c r="L64" s="268">
        <v>6.1992264052573118E-2</v>
      </c>
      <c r="M64" s="268">
        <v>5.3892047951202525E-2</v>
      </c>
      <c r="N64" s="268">
        <v>5.401527107136405E-2</v>
      </c>
      <c r="O64" s="268">
        <v>5.1868415804965512E-2</v>
      </c>
      <c r="P64" s="268">
        <v>5.249653876406294E-2</v>
      </c>
      <c r="Q64" s="268">
        <v>4.7630007123678007E-2</v>
      </c>
      <c r="R64" s="268">
        <v>5.4610570259927563E-2</v>
      </c>
      <c r="S64" s="268">
        <v>6.0820641921498719E-2</v>
      </c>
      <c r="T64" s="268">
        <v>5.5466300718937711E-2</v>
      </c>
      <c r="U64" s="268">
        <v>5.0850105765489588E-2</v>
      </c>
      <c r="V64" s="268">
        <v>4.9555716746758544E-2</v>
      </c>
      <c r="W64" s="268">
        <v>0.11212269378707868</v>
      </c>
      <c r="X64" s="268">
        <v>5.2315221976733384E-2</v>
      </c>
      <c r="Y64" s="268">
        <v>5.539752337629518E-2</v>
      </c>
      <c r="Z64" s="268" t="e">
        <v>#DIV/0!</v>
      </c>
      <c r="AA64" s="268">
        <v>6.3072604385530362E-2</v>
      </c>
      <c r="AB64" s="268">
        <v>4.5900241114045295E-2</v>
      </c>
      <c r="AC64" s="268">
        <v>6.1288156331085503E-2</v>
      </c>
      <c r="AD64" s="268">
        <v>5.146030023080915E-2</v>
      </c>
      <c r="AE64" s="268" t="e">
        <v>#DIV/0!</v>
      </c>
      <c r="AF64" s="268" t="e">
        <v>#DIV/0!</v>
      </c>
      <c r="AG64" s="268" t="e">
        <v>#DIV/0!</v>
      </c>
      <c r="AH64" s="268" t="e">
        <v>#DIV/0!</v>
      </c>
      <c r="AI64" s="268" t="e">
        <v>#DIV/0!</v>
      </c>
      <c r="AJ64" s="269">
        <v>6.2191310284501242E-2</v>
      </c>
      <c r="AL64" s="270">
        <v>5.4586175487476657E-2</v>
      </c>
      <c r="DC64" s="16"/>
    </row>
    <row r="65" spans="2:107" s="23" customFormat="1" x14ac:dyDescent="0.25">
      <c r="B65" s="124">
        <v>3</v>
      </c>
      <c r="C65" s="125" t="s">
        <v>61</v>
      </c>
      <c r="D65" s="271">
        <v>0.8</v>
      </c>
      <c r="E65" s="126" t="s">
        <v>29</v>
      </c>
      <c r="F65" s="311">
        <v>-0.59579150282755744</v>
      </c>
      <c r="G65" s="311">
        <v>-0.73700607855133782</v>
      </c>
      <c r="H65" s="311">
        <v>-0.74454966378929244</v>
      </c>
      <c r="I65" s="311">
        <v>-0.65952630687956271</v>
      </c>
      <c r="J65" s="311">
        <v>-0.62618797663588133</v>
      </c>
      <c r="K65" s="311">
        <v>-0.69624809762054485</v>
      </c>
      <c r="L65" s="311">
        <v>-0.64768467668314555</v>
      </c>
      <c r="M65" s="311">
        <v>-0.73408868737434729</v>
      </c>
      <c r="N65" s="311">
        <v>-0.73932056833663151</v>
      </c>
      <c r="O65" s="311">
        <v>-0.72273817294925924</v>
      </c>
      <c r="P65" s="311">
        <v>-0.76939092924842245</v>
      </c>
      <c r="Q65" s="311">
        <v>-0.7671653241273495</v>
      </c>
      <c r="R65" s="311">
        <v>-0.76119471881055023</v>
      </c>
      <c r="S65" s="311">
        <v>-0.68119755502681578</v>
      </c>
      <c r="T65" s="311">
        <v>-0.69328310248536607</v>
      </c>
      <c r="U65" s="311">
        <v>-0.70482516649816496</v>
      </c>
      <c r="V65" s="311">
        <v>-0.64307734155408469</v>
      </c>
      <c r="W65" s="311">
        <v>-0.7252754416845949</v>
      </c>
      <c r="X65" s="311">
        <v>-0.76336901263433365</v>
      </c>
      <c r="Y65" s="311">
        <v>-0.64543846348243616</v>
      </c>
      <c r="Z65" s="311" t="e">
        <v>#DIV/0!</v>
      </c>
      <c r="AA65" s="311">
        <v>-0.72029290013267055</v>
      </c>
      <c r="AB65" s="311">
        <v>-0.66462184460445817</v>
      </c>
      <c r="AC65" s="311">
        <v>-0.62002939294428694</v>
      </c>
      <c r="AD65" s="311">
        <v>-0.62026229938391253</v>
      </c>
      <c r="AE65" s="311"/>
      <c r="AF65" s="311"/>
      <c r="AG65" s="311"/>
      <c r="AH65" s="311"/>
      <c r="AI65" s="311"/>
      <c r="AJ65" s="312">
        <v>-98.355610552254575</v>
      </c>
      <c r="AL65" s="313">
        <v>-0.66393505845833911</v>
      </c>
      <c r="DC65" s="324"/>
    </row>
    <row r="66" spans="2:107" s="21" customFormat="1" x14ac:dyDescent="0.25">
      <c r="B66" s="89"/>
      <c r="C66" s="110" t="s">
        <v>60</v>
      </c>
      <c r="D66" s="272">
        <v>22</v>
      </c>
      <c r="E66" s="91" t="s">
        <v>29</v>
      </c>
      <c r="F66" s="207">
        <v>21.99</v>
      </c>
      <c r="G66" s="207">
        <v>21.98</v>
      </c>
      <c r="H66" s="207">
        <v>21.94</v>
      </c>
      <c r="I66" s="207">
        <v>21.94</v>
      </c>
      <c r="J66" s="207">
        <v>21.94</v>
      </c>
      <c r="K66" s="207">
        <v>21.94</v>
      </c>
      <c r="L66" s="207">
        <v>22.05</v>
      </c>
      <c r="M66" s="207">
        <v>21.97</v>
      </c>
      <c r="N66" s="207">
        <v>21.99</v>
      </c>
      <c r="O66" s="207">
        <v>22.01</v>
      </c>
      <c r="P66" s="207">
        <v>21.98</v>
      </c>
      <c r="Q66" s="273">
        <v>21.98</v>
      </c>
      <c r="R66" s="207">
        <v>21.99</v>
      </c>
      <c r="S66" s="207">
        <v>21.98</v>
      </c>
      <c r="T66" s="207">
        <v>21.98</v>
      </c>
      <c r="U66" s="207">
        <v>21.97</v>
      </c>
      <c r="V66" s="207">
        <v>21.97</v>
      </c>
      <c r="W66" s="207">
        <v>21.99</v>
      </c>
      <c r="X66" s="207">
        <v>22</v>
      </c>
      <c r="Y66" s="207">
        <v>21.98</v>
      </c>
      <c r="Z66" s="207"/>
      <c r="AA66" s="207">
        <v>21.97</v>
      </c>
      <c r="AB66" s="207">
        <v>21.96</v>
      </c>
      <c r="AC66" s="207">
        <v>21.94</v>
      </c>
      <c r="AD66" s="207">
        <v>21.94</v>
      </c>
      <c r="AE66" s="207"/>
      <c r="AF66" s="207"/>
      <c r="AG66" s="215"/>
      <c r="AH66" s="215"/>
      <c r="AI66" s="215"/>
      <c r="AJ66" s="208">
        <v>21.97</v>
      </c>
      <c r="AL66" s="127">
        <v>21.974000000000004</v>
      </c>
      <c r="DC66" s="322"/>
    </row>
    <row r="67" spans="2:107" s="21" customFormat="1" ht="15.75" thickBot="1" x14ac:dyDescent="0.3">
      <c r="B67" s="128"/>
      <c r="C67" s="129" t="s">
        <v>59</v>
      </c>
      <c r="D67" s="78"/>
      <c r="E67" s="130" t="s">
        <v>16</v>
      </c>
      <c r="F67" s="207">
        <v>3764.6113999999998</v>
      </c>
      <c r="G67" s="207">
        <v>9102.1476000000002</v>
      </c>
      <c r="H67" s="207">
        <v>4789.8032000000003</v>
      </c>
      <c r="I67" s="207">
        <v>6218.9400000000005</v>
      </c>
      <c r="J67" s="207">
        <v>13119.524600000001</v>
      </c>
      <c r="K67" s="207">
        <v>2707.0680000000002</v>
      </c>
      <c r="L67" s="207">
        <v>6048.7979999999998</v>
      </c>
      <c r="M67" s="207">
        <v>12286.0381</v>
      </c>
      <c r="N67" s="207">
        <v>11883.045900000001</v>
      </c>
      <c r="O67" s="207">
        <v>12337.6512</v>
      </c>
      <c r="P67" s="207">
        <v>10856.22</v>
      </c>
      <c r="Q67" s="207">
        <v>4191.2327999999998</v>
      </c>
      <c r="R67" s="207">
        <v>10413.0664</v>
      </c>
      <c r="S67" s="207">
        <v>13630.0452</v>
      </c>
      <c r="T67" s="207">
        <v>13703.233200000001</v>
      </c>
      <c r="U67" s="207">
        <v>11279.785599999999</v>
      </c>
      <c r="V67" s="207">
        <v>6927.8959999999997</v>
      </c>
      <c r="W67" s="207">
        <v>973.48019999999997</v>
      </c>
      <c r="X67" s="207">
        <v>11001.96</v>
      </c>
      <c r="Y67" s="207">
        <v>5464.7039999999997</v>
      </c>
      <c r="Z67" s="207">
        <v>0</v>
      </c>
      <c r="AA67" s="207">
        <v>4703.1632</v>
      </c>
      <c r="AB67" s="207">
        <v>2790.4448000000002</v>
      </c>
      <c r="AC67" s="207">
        <v>6672.5568000000003</v>
      </c>
      <c r="AD67" s="207">
        <v>1619.3632</v>
      </c>
      <c r="AE67" s="207">
        <v>0</v>
      </c>
      <c r="AF67" s="207">
        <v>0</v>
      </c>
      <c r="AG67" s="207">
        <v>0</v>
      </c>
      <c r="AH67" s="207">
        <v>0</v>
      </c>
      <c r="AI67" s="207">
        <v>0</v>
      </c>
      <c r="AJ67" s="208">
        <v>2810.1887999999999</v>
      </c>
      <c r="AL67" s="127">
        <v>189290.23086000001</v>
      </c>
      <c r="DC67" s="322"/>
    </row>
    <row r="68" spans="2:107" x14ac:dyDescent="0.25">
      <c r="B68" s="49">
        <v>4</v>
      </c>
      <c r="C68" s="43" t="s">
        <v>58</v>
      </c>
      <c r="D68" s="44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45"/>
      <c r="AD68" s="25"/>
      <c r="AE68" s="25"/>
      <c r="AF68" s="25"/>
      <c r="AG68" s="46"/>
      <c r="AH68" s="46"/>
      <c r="AI68" s="46"/>
      <c r="AJ68" s="47"/>
      <c r="AK68" s="12"/>
      <c r="AL68" s="259" t="s">
        <v>45</v>
      </c>
      <c r="DC68" s="16"/>
    </row>
    <row r="69" spans="2:107" s="14" customFormat="1" x14ac:dyDescent="0.25">
      <c r="B69" s="49"/>
      <c r="C69" s="131" t="s">
        <v>57</v>
      </c>
      <c r="D69" s="132"/>
      <c r="E69" s="61" t="s">
        <v>16</v>
      </c>
      <c r="F69" s="33"/>
      <c r="G69" s="33">
        <v>91877</v>
      </c>
      <c r="H69" s="33"/>
      <c r="I69" s="33"/>
      <c r="J69" s="33"/>
      <c r="K69" s="33">
        <v>70000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133"/>
      <c r="AH69" s="133"/>
      <c r="AI69" s="133"/>
      <c r="AJ69" s="134"/>
      <c r="AK69" s="13"/>
      <c r="AL69" s="135">
        <v>161877</v>
      </c>
      <c r="BI69" s="13"/>
      <c r="DC69" s="325"/>
    </row>
    <row r="70" spans="2:107" s="3" customFormat="1" x14ac:dyDescent="0.25">
      <c r="B70" s="81"/>
      <c r="C70" s="136" t="s">
        <v>52</v>
      </c>
      <c r="D70" s="137"/>
      <c r="E70" s="7" t="s">
        <v>16</v>
      </c>
      <c r="F70" s="274">
        <v>22465.05</v>
      </c>
      <c r="G70" s="275"/>
      <c r="H70" s="4"/>
      <c r="I70" s="4">
        <v>50529.89</v>
      </c>
      <c r="J70" s="4">
        <v>38465.35</v>
      </c>
      <c r="K70" s="4"/>
      <c r="L70" s="4"/>
      <c r="M70" s="4">
        <v>781.01</v>
      </c>
      <c r="N70" s="276">
        <v>43.34</v>
      </c>
      <c r="O70" s="276"/>
      <c r="P70" s="4"/>
      <c r="Q70" s="4"/>
      <c r="R70" s="4"/>
      <c r="S70" s="4">
        <v>682.59</v>
      </c>
      <c r="T70" s="4">
        <v>6396.14</v>
      </c>
      <c r="U70" s="275">
        <v>6372.67</v>
      </c>
      <c r="V70" s="4">
        <v>7239.45</v>
      </c>
      <c r="W70" s="4">
        <v>4334.82</v>
      </c>
      <c r="X70" s="4">
        <v>15755.61</v>
      </c>
      <c r="Y70" s="4">
        <v>25469</v>
      </c>
      <c r="Z70" s="4"/>
      <c r="AA70" s="4"/>
      <c r="AB70" s="275"/>
      <c r="AC70" s="4"/>
      <c r="AD70" s="4">
        <v>0</v>
      </c>
      <c r="AE70" s="4"/>
      <c r="AF70" s="4"/>
      <c r="AG70" s="74"/>
      <c r="AH70" s="74"/>
      <c r="AI70" s="74"/>
      <c r="AJ70" s="75"/>
      <c r="AK70" s="14"/>
      <c r="AL70" s="135">
        <v>178545.74999999997</v>
      </c>
      <c r="DC70" s="16"/>
    </row>
    <row r="71" spans="2:107" s="3" customFormat="1" x14ac:dyDescent="0.25">
      <c r="B71" s="81"/>
      <c r="C71" s="138" t="s">
        <v>44</v>
      </c>
      <c r="D71" s="78"/>
      <c r="E71" s="7" t="s">
        <v>16</v>
      </c>
      <c r="F71" s="207">
        <v>22556.219999999998</v>
      </c>
      <c r="G71" s="207">
        <v>0</v>
      </c>
      <c r="H71" s="207">
        <v>0</v>
      </c>
      <c r="I71" s="207">
        <v>50640.18</v>
      </c>
      <c r="J71" s="207">
        <v>38553</v>
      </c>
      <c r="K71" s="207">
        <v>0</v>
      </c>
      <c r="L71" s="207">
        <v>0</v>
      </c>
      <c r="M71" s="207">
        <v>814.5</v>
      </c>
      <c r="N71" s="207">
        <v>43.44</v>
      </c>
      <c r="O71" s="207">
        <v>0</v>
      </c>
      <c r="P71" s="207">
        <v>0</v>
      </c>
      <c r="Q71" s="207">
        <v>0</v>
      </c>
      <c r="R71" s="207">
        <v>0</v>
      </c>
      <c r="S71" s="207">
        <v>738.48</v>
      </c>
      <c r="T71" s="207">
        <v>6439.98</v>
      </c>
      <c r="U71" s="207">
        <v>6429.12</v>
      </c>
      <c r="V71" s="207">
        <v>7276.2</v>
      </c>
      <c r="W71" s="207">
        <v>4365.7199999999993</v>
      </c>
      <c r="X71" s="207">
        <v>15855.599999999999</v>
      </c>
      <c r="Y71" s="207">
        <v>25542.719999999998</v>
      </c>
      <c r="Z71" s="207">
        <v>0</v>
      </c>
      <c r="AA71" s="207">
        <v>0</v>
      </c>
      <c r="AB71" s="207">
        <v>0</v>
      </c>
      <c r="AC71" s="207">
        <v>0</v>
      </c>
      <c r="AD71" s="207">
        <v>0</v>
      </c>
      <c r="AE71" s="207">
        <v>0</v>
      </c>
      <c r="AF71" s="139">
        <v>0</v>
      </c>
      <c r="AG71" s="139">
        <v>0</v>
      </c>
      <c r="AH71" s="139">
        <v>0</v>
      </c>
      <c r="AI71" s="139">
        <v>0</v>
      </c>
      <c r="AJ71" s="140">
        <v>0</v>
      </c>
      <c r="AL71" s="76">
        <v>179255.16</v>
      </c>
      <c r="DC71" s="16"/>
    </row>
    <row r="72" spans="2:107" s="3" customFormat="1" x14ac:dyDescent="0.25">
      <c r="B72" s="81"/>
      <c r="C72" s="138" t="s">
        <v>43</v>
      </c>
      <c r="D72" s="78"/>
      <c r="E72" s="7" t="s">
        <v>16</v>
      </c>
      <c r="F72" s="207">
        <v>-91.169999999998254</v>
      </c>
      <c r="G72" s="207">
        <v>0</v>
      </c>
      <c r="H72" s="207">
        <v>0</v>
      </c>
      <c r="I72" s="207">
        <v>-110.29000000000087</v>
      </c>
      <c r="J72" s="207">
        <v>-87.650000000001455</v>
      </c>
      <c r="K72" s="207">
        <v>0</v>
      </c>
      <c r="L72" s="207">
        <v>0</v>
      </c>
      <c r="M72" s="207">
        <v>-33.490000000000009</v>
      </c>
      <c r="N72" s="207">
        <v>-9.9999999999994316E-2</v>
      </c>
      <c r="O72" s="207">
        <v>0</v>
      </c>
      <c r="P72" s="207">
        <v>0</v>
      </c>
      <c r="Q72" s="207">
        <v>0</v>
      </c>
      <c r="R72" s="207">
        <v>0</v>
      </c>
      <c r="S72" s="207">
        <v>-55.889999999999986</v>
      </c>
      <c r="T72" s="207">
        <v>-43.839999999999236</v>
      </c>
      <c r="U72" s="207">
        <v>-56.449999999999818</v>
      </c>
      <c r="V72" s="207">
        <v>-36.75</v>
      </c>
      <c r="W72" s="207">
        <v>-30.899999999999636</v>
      </c>
      <c r="X72" s="207">
        <v>-99.989999999997963</v>
      </c>
      <c r="Y72" s="207">
        <v>-73.719999999997526</v>
      </c>
      <c r="Z72" s="207">
        <v>0</v>
      </c>
      <c r="AA72" s="207">
        <v>0</v>
      </c>
      <c r="AB72" s="207">
        <v>0</v>
      </c>
      <c r="AC72" s="207">
        <v>0</v>
      </c>
      <c r="AD72" s="207">
        <v>0</v>
      </c>
      <c r="AE72" s="207">
        <v>0</v>
      </c>
      <c r="AF72" s="207">
        <v>0</v>
      </c>
      <c r="AG72" s="207">
        <v>0</v>
      </c>
      <c r="AH72" s="207">
        <v>0</v>
      </c>
      <c r="AI72" s="207">
        <v>0</v>
      </c>
      <c r="AJ72" s="208">
        <v>0</v>
      </c>
      <c r="AL72" s="76">
        <v>-720.23999999999478</v>
      </c>
      <c r="DC72" s="16"/>
    </row>
    <row r="73" spans="2:107" s="3" customFormat="1" x14ac:dyDescent="0.25">
      <c r="B73" s="81"/>
      <c r="C73" s="138" t="s">
        <v>56</v>
      </c>
      <c r="D73" s="78"/>
      <c r="E73" s="5" t="s">
        <v>16</v>
      </c>
      <c r="F73" s="207">
        <v>0</v>
      </c>
      <c r="G73" s="207"/>
      <c r="H73" s="207">
        <v>0</v>
      </c>
      <c r="I73" s="207">
        <v>0</v>
      </c>
      <c r="J73" s="207">
        <v>0</v>
      </c>
      <c r="K73" s="207">
        <v>0</v>
      </c>
      <c r="L73" s="207">
        <v>0</v>
      </c>
      <c r="M73" s="207">
        <v>0</v>
      </c>
      <c r="N73" s="207">
        <v>0</v>
      </c>
      <c r="O73" s="207">
        <v>0</v>
      </c>
      <c r="P73" s="207">
        <v>0</v>
      </c>
      <c r="Q73" s="207">
        <v>0</v>
      </c>
      <c r="R73" s="207">
        <v>0</v>
      </c>
      <c r="S73" s="207"/>
      <c r="T73" s="207">
        <v>0</v>
      </c>
      <c r="U73" s="207">
        <v>0</v>
      </c>
      <c r="V73" s="207">
        <v>0</v>
      </c>
      <c r="W73" s="207">
        <v>0</v>
      </c>
      <c r="X73" s="207">
        <v>0</v>
      </c>
      <c r="Y73" s="207">
        <v>0</v>
      </c>
      <c r="Z73" s="207">
        <v>0</v>
      </c>
      <c r="AA73" s="207">
        <v>0</v>
      </c>
      <c r="AB73" s="207">
        <v>0</v>
      </c>
      <c r="AC73" s="207">
        <v>0</v>
      </c>
      <c r="AD73" s="207">
        <v>0</v>
      </c>
      <c r="AE73" s="207"/>
      <c r="AF73" s="207">
        <v>0</v>
      </c>
      <c r="AG73" s="207">
        <v>0</v>
      </c>
      <c r="AH73" s="207">
        <v>0</v>
      </c>
      <c r="AI73" s="207">
        <v>0</v>
      </c>
      <c r="AJ73" s="208">
        <v>0</v>
      </c>
      <c r="AL73" s="76">
        <v>0</v>
      </c>
      <c r="DC73" s="16"/>
    </row>
    <row r="74" spans="2:107" s="3" customFormat="1" x14ac:dyDescent="0.25">
      <c r="B74" s="81"/>
      <c r="C74" s="138" t="s">
        <v>33</v>
      </c>
      <c r="D74" s="78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62"/>
      <c r="AH74" s="62"/>
      <c r="AI74" s="62"/>
      <c r="AJ74" s="63"/>
      <c r="AL74" s="80" t="s">
        <v>33</v>
      </c>
      <c r="DC74" s="16"/>
    </row>
    <row r="75" spans="2:107" s="9" customFormat="1" x14ac:dyDescent="0.2">
      <c r="B75" s="100"/>
      <c r="C75" s="141" t="s">
        <v>55</v>
      </c>
      <c r="D75" s="60"/>
      <c r="E75" s="8" t="s">
        <v>36</v>
      </c>
      <c r="F75" s="6">
        <v>2077</v>
      </c>
      <c r="G75" s="6"/>
      <c r="H75" s="6"/>
      <c r="I75" s="6"/>
      <c r="J75" s="6">
        <v>3550</v>
      </c>
      <c r="K75" s="6"/>
      <c r="L75" s="6"/>
      <c r="M75" s="6">
        <v>75</v>
      </c>
      <c r="N75" s="6"/>
      <c r="O75" s="6"/>
      <c r="P75" s="6"/>
      <c r="Q75" s="6"/>
      <c r="R75" s="6"/>
      <c r="S75" s="6">
        <v>68</v>
      </c>
      <c r="T75" s="6">
        <v>593</v>
      </c>
      <c r="U75" s="6">
        <v>592</v>
      </c>
      <c r="V75" s="6">
        <v>670</v>
      </c>
      <c r="W75" s="6">
        <v>402</v>
      </c>
      <c r="X75" s="6">
        <v>1460</v>
      </c>
      <c r="Y75" s="6"/>
      <c r="Z75" s="6"/>
      <c r="AA75" s="6"/>
      <c r="AB75" s="6"/>
      <c r="AC75" s="6"/>
      <c r="AD75" s="6"/>
      <c r="AE75" s="6"/>
      <c r="AF75" s="6"/>
      <c r="AG75" s="142"/>
      <c r="AH75" s="142"/>
      <c r="AI75" s="142"/>
      <c r="AJ75" s="143"/>
      <c r="AL75" s="64">
        <v>9487</v>
      </c>
      <c r="DC75" s="323"/>
    </row>
    <row r="76" spans="2:107" s="9" customFormat="1" x14ac:dyDescent="0.2">
      <c r="B76" s="100"/>
      <c r="C76" s="141" t="s">
        <v>54</v>
      </c>
      <c r="D76" s="60"/>
      <c r="E76" s="8" t="s">
        <v>36</v>
      </c>
      <c r="F76" s="6"/>
      <c r="G76" s="6"/>
      <c r="H76" s="6"/>
      <c r="I76" s="6">
        <v>4663</v>
      </c>
      <c r="J76" s="6"/>
      <c r="K76" s="6"/>
      <c r="L76" s="6"/>
      <c r="M76" s="6"/>
      <c r="N76" s="6">
        <v>4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2352</v>
      </c>
      <c r="Z76" s="6"/>
      <c r="AA76" s="6"/>
      <c r="AB76" s="6"/>
      <c r="AC76" s="6"/>
      <c r="AD76" s="6"/>
      <c r="AE76" s="6"/>
      <c r="AF76" s="6"/>
      <c r="AG76" s="142"/>
      <c r="AH76" s="142"/>
      <c r="AI76" s="142"/>
      <c r="AJ76" s="143"/>
      <c r="AL76" s="64">
        <v>7019</v>
      </c>
      <c r="DC76" s="323"/>
    </row>
    <row r="77" spans="2:107" s="3" customFormat="1" x14ac:dyDescent="0.25">
      <c r="B77" s="81"/>
      <c r="C77" s="138" t="s">
        <v>32</v>
      </c>
      <c r="D77" s="78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62"/>
      <c r="AH77" s="62"/>
      <c r="AI77" s="62"/>
      <c r="AJ77" s="63"/>
      <c r="AL77" s="80" t="s">
        <v>32</v>
      </c>
      <c r="DC77" s="16"/>
    </row>
    <row r="78" spans="2:107" s="3" customFormat="1" x14ac:dyDescent="0.25">
      <c r="B78" s="81"/>
      <c r="C78" s="72" t="s">
        <v>55</v>
      </c>
      <c r="D78" s="78"/>
      <c r="E78" s="7" t="s">
        <v>32</v>
      </c>
      <c r="F78" s="1">
        <v>24924</v>
      </c>
      <c r="G78" s="1">
        <v>0</v>
      </c>
      <c r="H78" s="1">
        <v>0</v>
      </c>
      <c r="I78" s="1">
        <v>0</v>
      </c>
      <c r="J78" s="1">
        <v>42600</v>
      </c>
      <c r="K78" s="1">
        <v>0</v>
      </c>
      <c r="L78" s="1">
        <v>0</v>
      </c>
      <c r="M78" s="1">
        <v>900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816</v>
      </c>
      <c r="T78" s="1">
        <v>7116</v>
      </c>
      <c r="U78" s="1">
        <v>7104</v>
      </c>
      <c r="V78" s="1">
        <v>8040</v>
      </c>
      <c r="W78" s="1">
        <v>4824</v>
      </c>
      <c r="X78" s="1">
        <v>17520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63">
        <v>0</v>
      </c>
      <c r="AL78" s="64">
        <v>113844</v>
      </c>
      <c r="DC78" s="16"/>
    </row>
    <row r="79" spans="2:107" s="3" customFormat="1" x14ac:dyDescent="0.25">
      <c r="B79" s="81"/>
      <c r="C79" s="72" t="s">
        <v>54</v>
      </c>
      <c r="D79" s="78"/>
      <c r="E79" s="7" t="s">
        <v>32</v>
      </c>
      <c r="F79" s="1">
        <v>0</v>
      </c>
      <c r="G79" s="1">
        <v>0</v>
      </c>
      <c r="H79" s="1">
        <v>0</v>
      </c>
      <c r="I79" s="1">
        <v>27978</v>
      </c>
      <c r="J79" s="1">
        <v>0</v>
      </c>
      <c r="K79" s="1">
        <v>0</v>
      </c>
      <c r="L79" s="1">
        <v>0</v>
      </c>
      <c r="M79" s="1">
        <v>0</v>
      </c>
      <c r="N79" s="1">
        <v>24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14112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63">
        <v>0</v>
      </c>
      <c r="AL79" s="64">
        <v>42114</v>
      </c>
      <c r="DC79" s="16"/>
    </row>
    <row r="80" spans="2:107" s="3" customFormat="1" x14ac:dyDescent="0.25">
      <c r="B80" s="81"/>
      <c r="C80" s="138" t="s">
        <v>41</v>
      </c>
      <c r="D80" s="78"/>
      <c r="E80" s="7" t="s">
        <v>40</v>
      </c>
      <c r="F80" s="144">
        <v>594.66308823529414</v>
      </c>
      <c r="G80" s="145">
        <v>0</v>
      </c>
      <c r="H80" s="145">
        <v>0</v>
      </c>
      <c r="I80" s="145">
        <v>1337.5559117647058</v>
      </c>
      <c r="J80" s="145">
        <v>1018.2004411764706</v>
      </c>
      <c r="K80" s="145">
        <v>0</v>
      </c>
      <c r="L80" s="145">
        <v>0</v>
      </c>
      <c r="M80" s="145">
        <v>20.673794117647056</v>
      </c>
      <c r="N80" s="145">
        <v>1.1472352941176471</v>
      </c>
      <c r="O80" s="145">
        <v>0</v>
      </c>
      <c r="P80" s="145">
        <v>0</v>
      </c>
      <c r="Q80" s="145">
        <v>0</v>
      </c>
      <c r="R80" s="145">
        <v>0</v>
      </c>
      <c r="S80" s="145">
        <v>18.068558823529415</v>
      </c>
      <c r="T80" s="145">
        <v>169.30958823529411</v>
      </c>
      <c r="U80" s="145">
        <v>168.68832352941178</v>
      </c>
      <c r="V80" s="145">
        <v>191.63249999999999</v>
      </c>
      <c r="W80" s="145">
        <v>114.74523529411765</v>
      </c>
      <c r="X80" s="145">
        <v>417.06026470588239</v>
      </c>
      <c r="Y80" s="145">
        <v>674.17941176470583</v>
      </c>
      <c r="Z80" s="145">
        <v>0</v>
      </c>
      <c r="AA80" s="145">
        <v>0</v>
      </c>
      <c r="AB80" s="145">
        <v>0</v>
      </c>
      <c r="AC80" s="145">
        <v>0</v>
      </c>
      <c r="AD80" s="145">
        <v>0</v>
      </c>
      <c r="AE80" s="145">
        <v>0</v>
      </c>
      <c r="AF80" s="145">
        <v>0</v>
      </c>
      <c r="AG80" s="145">
        <v>0</v>
      </c>
      <c r="AH80" s="145">
        <v>0</v>
      </c>
      <c r="AI80" s="145">
        <v>0</v>
      </c>
      <c r="AJ80" s="146">
        <v>0</v>
      </c>
      <c r="AL80" s="64">
        <v>4725.924352941176</v>
      </c>
      <c r="DC80" s="16"/>
    </row>
    <row r="81" spans="2:107 14889:15281" s="3" customFormat="1" x14ac:dyDescent="0.25">
      <c r="B81" s="81"/>
      <c r="C81" s="138" t="s">
        <v>39</v>
      </c>
      <c r="D81" s="78"/>
      <c r="E81" s="7" t="s">
        <v>38</v>
      </c>
      <c r="F81" s="1">
        <v>4.1539999999999999</v>
      </c>
      <c r="G81" s="1">
        <v>0</v>
      </c>
      <c r="H81" s="1">
        <v>0</v>
      </c>
      <c r="I81" s="1">
        <v>9.3260000000000005</v>
      </c>
      <c r="J81" s="1">
        <v>7.1</v>
      </c>
      <c r="K81" s="1">
        <v>0</v>
      </c>
      <c r="L81" s="1">
        <v>0</v>
      </c>
      <c r="M81" s="1">
        <v>0.15</v>
      </c>
      <c r="N81" s="1">
        <v>8.0000000000000002E-3</v>
      </c>
      <c r="O81" s="1">
        <v>0</v>
      </c>
      <c r="P81" s="1">
        <v>0</v>
      </c>
      <c r="Q81" s="1">
        <v>0</v>
      </c>
      <c r="R81" s="1">
        <v>0</v>
      </c>
      <c r="S81" s="1">
        <v>0.13600000000000001</v>
      </c>
      <c r="T81" s="1">
        <v>1.1859999999999999</v>
      </c>
      <c r="U81" s="1">
        <v>1.1839999999999999</v>
      </c>
      <c r="V81" s="1">
        <v>1.34</v>
      </c>
      <c r="W81" s="1">
        <v>0.80400000000000005</v>
      </c>
      <c r="X81" s="1">
        <v>2.92</v>
      </c>
      <c r="Y81" s="1">
        <v>4.7039999999999997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63">
        <v>0</v>
      </c>
      <c r="AL81" s="64">
        <v>33.011999999999993</v>
      </c>
      <c r="DC81" s="16"/>
    </row>
    <row r="82" spans="2:107 14889:15281" s="3" customFormat="1" x14ac:dyDescent="0.25">
      <c r="B82" s="49"/>
      <c r="C82" s="43" t="s">
        <v>37</v>
      </c>
      <c r="D82" s="44"/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45"/>
      <c r="AD82" s="25"/>
      <c r="AE82" s="25"/>
      <c r="AF82" s="25"/>
      <c r="AG82" s="46"/>
      <c r="AH82" s="46"/>
      <c r="AI82" s="46"/>
      <c r="AJ82" s="47"/>
      <c r="AK82" s="12"/>
      <c r="AL82" s="259" t="s">
        <v>34</v>
      </c>
      <c r="DC82" s="16"/>
      <c r="UZQ82" s="190"/>
      <c r="UZR82" s="190"/>
      <c r="UZS82" s="190"/>
      <c r="UZT82" s="190"/>
      <c r="UZU82" s="190"/>
      <c r="UZV82" s="190"/>
      <c r="UZW82" s="190"/>
      <c r="UZX82" s="190"/>
      <c r="UZY82" s="190"/>
      <c r="UZZ82" s="190"/>
      <c r="VAA82" s="190"/>
      <c r="VAB82" s="190"/>
      <c r="VAC82" s="190"/>
      <c r="VAD82" s="190"/>
      <c r="VAE82" s="190"/>
      <c r="VAF82" s="190"/>
      <c r="VAG82" s="190"/>
      <c r="VAH82" s="190"/>
      <c r="VAI82" s="190"/>
      <c r="VAJ82" s="190"/>
      <c r="VAK82" s="190"/>
      <c r="VAL82" s="190"/>
      <c r="VAM82" s="190"/>
      <c r="VAN82" s="190"/>
      <c r="VAO82" s="190"/>
      <c r="VAP82" s="190"/>
      <c r="VAQ82" s="190"/>
      <c r="VAR82" s="190"/>
      <c r="VAS82" s="190"/>
      <c r="VAT82" s="190"/>
      <c r="VAU82" s="190"/>
      <c r="VAV82" s="190"/>
      <c r="VAW82" s="190"/>
      <c r="VAX82" s="190"/>
      <c r="VAY82" s="190"/>
      <c r="VAZ82" s="190"/>
      <c r="VBA82" s="190"/>
      <c r="VBB82" s="190"/>
      <c r="VBC82" s="190"/>
      <c r="VBD82" s="190"/>
      <c r="VBE82" s="190"/>
      <c r="VBF82" s="190"/>
      <c r="VBG82" s="190"/>
      <c r="VBH82" s="190"/>
      <c r="VBI82" s="190"/>
      <c r="VBJ82" s="190"/>
      <c r="VBK82" s="190"/>
      <c r="VBL82" s="190"/>
      <c r="VBM82" s="190"/>
      <c r="VBN82" s="190"/>
      <c r="VBO82" s="190"/>
      <c r="VBP82" s="190"/>
      <c r="VBQ82" s="190"/>
      <c r="VBR82" s="190"/>
      <c r="VBS82" s="190"/>
      <c r="VBT82" s="190"/>
      <c r="VBU82" s="190"/>
      <c r="VBV82" s="190"/>
      <c r="VBW82" s="190"/>
      <c r="VBX82" s="190"/>
      <c r="VBY82" s="190"/>
      <c r="VBZ82" s="190"/>
      <c r="VCA82" s="190"/>
      <c r="VCB82" s="190"/>
      <c r="VCC82" s="190"/>
      <c r="VCD82" s="190"/>
      <c r="VCE82" s="190"/>
      <c r="VCF82" s="190"/>
      <c r="VCG82" s="190"/>
      <c r="VCH82" s="190"/>
      <c r="VCI82" s="190"/>
      <c r="VCJ82" s="190"/>
      <c r="VCK82" s="190"/>
      <c r="VCL82" s="190"/>
      <c r="VCM82" s="190"/>
      <c r="VCN82" s="190"/>
      <c r="VCO82" s="190"/>
      <c r="VCP82" s="190"/>
      <c r="VCQ82" s="190"/>
      <c r="VCR82" s="190"/>
      <c r="VCS82" s="190"/>
      <c r="VCT82" s="190"/>
      <c r="VCU82" s="190"/>
      <c r="VCV82" s="190"/>
      <c r="VCW82" s="190"/>
      <c r="VCX82" s="190"/>
      <c r="VCY82" s="190"/>
      <c r="VCZ82" s="190"/>
      <c r="VDA82" s="190"/>
      <c r="VDB82" s="190"/>
      <c r="VDC82" s="190"/>
      <c r="VDD82" s="190"/>
      <c r="VDE82" s="190"/>
      <c r="VDF82" s="190"/>
      <c r="VDG82" s="190"/>
      <c r="VDH82" s="190"/>
      <c r="VDI82" s="190"/>
      <c r="VDJ82" s="190"/>
      <c r="VDK82" s="190"/>
      <c r="VDL82" s="190"/>
      <c r="VDM82" s="190"/>
      <c r="VDN82" s="190"/>
      <c r="VDO82" s="190"/>
      <c r="VDP82" s="190"/>
      <c r="VDQ82" s="190"/>
      <c r="VDR82" s="190"/>
      <c r="VDS82" s="190"/>
      <c r="VDT82" s="190"/>
      <c r="VDU82" s="190"/>
      <c r="VDV82" s="190"/>
      <c r="VDW82" s="190"/>
      <c r="VDX82" s="190"/>
      <c r="VDY82" s="190"/>
      <c r="VDZ82" s="190"/>
      <c r="VEA82" s="190"/>
      <c r="VEB82" s="190"/>
      <c r="VEC82" s="190"/>
      <c r="VED82" s="190"/>
      <c r="VEE82" s="190"/>
      <c r="VEF82" s="190"/>
      <c r="VEG82" s="190"/>
      <c r="VEH82" s="190"/>
      <c r="VEI82" s="190"/>
      <c r="VEJ82" s="190"/>
      <c r="VEK82" s="190"/>
      <c r="VEL82" s="190"/>
      <c r="VEM82" s="190"/>
      <c r="VEN82" s="190"/>
      <c r="VEO82" s="190"/>
      <c r="VEP82" s="190"/>
      <c r="VEQ82" s="190"/>
      <c r="VER82" s="190"/>
      <c r="VES82" s="190"/>
      <c r="VET82" s="190"/>
      <c r="VEU82" s="190"/>
      <c r="VEV82" s="190"/>
      <c r="VEW82" s="190"/>
      <c r="VEX82" s="190"/>
      <c r="VEY82" s="190"/>
      <c r="VEZ82" s="190"/>
      <c r="VFA82" s="190"/>
      <c r="VFB82" s="190"/>
      <c r="VFC82" s="190"/>
      <c r="VFD82" s="190"/>
      <c r="VFE82" s="190"/>
      <c r="VFF82" s="190"/>
      <c r="VFG82" s="190"/>
      <c r="VFH82" s="190"/>
      <c r="VFI82" s="190"/>
      <c r="VFJ82" s="190"/>
      <c r="VFK82" s="190"/>
      <c r="VFL82" s="190"/>
      <c r="VFM82" s="190"/>
      <c r="VFN82" s="190"/>
      <c r="VFO82" s="190"/>
      <c r="VFP82" s="190"/>
      <c r="VFQ82" s="190"/>
      <c r="VFR82" s="190"/>
      <c r="VFS82" s="190"/>
      <c r="VFT82" s="190"/>
      <c r="VFU82" s="190"/>
      <c r="VFV82" s="190"/>
      <c r="VFW82" s="190"/>
      <c r="VFX82" s="190"/>
      <c r="VFY82" s="190"/>
      <c r="VFZ82" s="190"/>
      <c r="VGA82" s="190"/>
      <c r="VGB82" s="190"/>
      <c r="VGC82" s="190"/>
      <c r="VGD82" s="190"/>
      <c r="VGE82" s="190"/>
      <c r="VGF82" s="190"/>
      <c r="VGG82" s="190"/>
      <c r="VGH82" s="190"/>
      <c r="VGI82" s="190"/>
      <c r="VGJ82" s="190"/>
      <c r="VGK82" s="190"/>
      <c r="VGL82" s="190"/>
      <c r="VGM82" s="190"/>
      <c r="VGN82" s="190"/>
      <c r="VGO82" s="190"/>
      <c r="VGP82" s="190"/>
      <c r="VGQ82" s="190"/>
      <c r="VGR82" s="190"/>
      <c r="VGS82" s="190"/>
      <c r="VGT82" s="190"/>
      <c r="VGU82" s="190"/>
      <c r="VGV82" s="190"/>
      <c r="VGW82" s="190"/>
      <c r="VGX82" s="190"/>
      <c r="VGY82" s="190"/>
      <c r="VGZ82" s="190"/>
      <c r="VHA82" s="190"/>
      <c r="VHB82" s="190"/>
      <c r="VHC82" s="190"/>
      <c r="VHD82" s="190"/>
      <c r="VHE82" s="190"/>
      <c r="VHF82" s="190"/>
      <c r="VHG82" s="190"/>
      <c r="VHH82" s="190"/>
      <c r="VHI82" s="190"/>
      <c r="VHJ82" s="190"/>
      <c r="VHK82" s="190"/>
      <c r="VHL82" s="190"/>
      <c r="VHM82" s="190"/>
      <c r="VHN82" s="190"/>
      <c r="VHO82" s="190"/>
      <c r="VHP82" s="190"/>
      <c r="VHQ82" s="190"/>
      <c r="VHR82" s="190"/>
      <c r="VHS82" s="190"/>
      <c r="VHT82" s="190"/>
      <c r="VHU82" s="190"/>
      <c r="VHV82" s="190"/>
      <c r="VHW82" s="190"/>
      <c r="VHX82" s="190"/>
      <c r="VHY82" s="190"/>
      <c r="VHZ82" s="190"/>
      <c r="VIA82" s="190"/>
      <c r="VIB82" s="190"/>
      <c r="VIC82" s="190"/>
      <c r="VID82" s="190"/>
      <c r="VIE82" s="190"/>
      <c r="VIF82" s="190"/>
      <c r="VIG82" s="190"/>
      <c r="VIH82" s="190"/>
      <c r="VII82" s="190"/>
      <c r="VIJ82" s="190"/>
      <c r="VIK82" s="190"/>
      <c r="VIL82" s="190"/>
      <c r="VIM82" s="190"/>
      <c r="VIN82" s="190"/>
      <c r="VIO82" s="190"/>
      <c r="VIP82" s="190"/>
      <c r="VIQ82" s="190"/>
      <c r="VIR82" s="190"/>
      <c r="VIS82" s="190"/>
      <c r="VIT82" s="190"/>
      <c r="VIU82" s="190"/>
      <c r="VIV82" s="190"/>
      <c r="VIW82" s="190"/>
      <c r="VIX82" s="190"/>
      <c r="VIY82" s="190"/>
      <c r="VIZ82" s="190"/>
      <c r="VJA82" s="190"/>
      <c r="VJB82" s="190"/>
      <c r="VJC82" s="190"/>
      <c r="VJD82" s="190"/>
      <c r="VJE82" s="190"/>
      <c r="VJF82" s="190"/>
      <c r="VJG82" s="190"/>
      <c r="VJH82" s="190"/>
      <c r="VJI82" s="190"/>
      <c r="VJJ82" s="190"/>
      <c r="VJK82" s="190"/>
      <c r="VJL82" s="190"/>
      <c r="VJM82" s="190"/>
      <c r="VJN82" s="190"/>
      <c r="VJO82" s="190"/>
      <c r="VJP82" s="190"/>
      <c r="VJQ82" s="190"/>
      <c r="VJR82" s="190"/>
      <c r="VJS82" s="190"/>
      <c r="VJT82" s="190"/>
      <c r="VJU82" s="190"/>
      <c r="VJV82" s="190"/>
      <c r="VJW82" s="190"/>
      <c r="VJX82" s="190"/>
      <c r="VJY82" s="190"/>
      <c r="VJZ82" s="190"/>
      <c r="VKA82" s="190"/>
      <c r="VKB82" s="190"/>
      <c r="VKC82" s="190"/>
      <c r="VKD82" s="190"/>
      <c r="VKE82" s="190"/>
      <c r="VKF82" s="190"/>
      <c r="VKG82" s="190"/>
      <c r="VKH82" s="190"/>
      <c r="VKI82" s="190"/>
      <c r="VKJ82" s="190"/>
      <c r="VKK82" s="190"/>
      <c r="VKL82" s="190"/>
      <c r="VKM82" s="190"/>
      <c r="VKN82" s="190"/>
      <c r="VKO82" s="190"/>
      <c r="VKP82" s="190"/>
      <c r="VKQ82" s="190"/>
      <c r="VKR82" s="190"/>
      <c r="VKS82" s="190"/>
      <c r="VKT82" s="190"/>
      <c r="VKU82" s="190"/>
      <c r="VKV82" s="190"/>
      <c r="VKW82" s="190"/>
      <c r="VKX82" s="190"/>
      <c r="VKY82" s="190"/>
      <c r="VKZ82" s="190"/>
      <c r="VLA82" s="190"/>
      <c r="VLB82" s="190"/>
      <c r="VLC82" s="190"/>
      <c r="VLD82" s="190"/>
      <c r="VLE82" s="190"/>
      <c r="VLF82" s="190"/>
      <c r="VLG82" s="190"/>
      <c r="VLH82" s="190"/>
      <c r="VLI82" s="190"/>
      <c r="VLJ82" s="190"/>
      <c r="VLK82" s="190"/>
      <c r="VLL82" s="190"/>
      <c r="VLM82" s="190"/>
      <c r="VLN82" s="190"/>
      <c r="VLO82" s="190"/>
      <c r="VLP82" s="190"/>
      <c r="VLQ82" s="190"/>
      <c r="VLR82" s="190"/>
      <c r="VLS82" s="190"/>
      <c r="VLT82" s="190"/>
      <c r="VLU82" s="190"/>
      <c r="VLV82" s="190"/>
      <c r="VLW82" s="190"/>
      <c r="VLX82" s="190"/>
      <c r="VLY82" s="190"/>
      <c r="VLZ82" s="190"/>
      <c r="VMA82" s="190"/>
      <c r="VMB82" s="190"/>
      <c r="VMC82" s="190"/>
      <c r="VMD82" s="190"/>
      <c r="VME82" s="190"/>
      <c r="VMF82" s="190"/>
      <c r="VMG82" s="190"/>
      <c r="VMH82" s="190"/>
      <c r="VMI82" s="190"/>
      <c r="VMJ82" s="190"/>
      <c r="VMK82" s="190"/>
      <c r="VML82" s="190"/>
      <c r="VMM82" s="190"/>
      <c r="VMN82" s="190"/>
      <c r="VMO82" s="190"/>
      <c r="VMP82" s="190"/>
      <c r="VMQ82" s="190"/>
      <c r="VMR82" s="190"/>
      <c r="VMS82" s="190"/>
      <c r="VMT82" s="190"/>
      <c r="VMU82" s="190"/>
      <c r="VMV82" s="190"/>
      <c r="VMW82" s="190"/>
      <c r="VMX82" s="190"/>
      <c r="VMY82" s="190"/>
      <c r="VMZ82" s="190"/>
      <c r="VNA82" s="190"/>
      <c r="VNB82" s="190"/>
      <c r="VNC82" s="190"/>
      <c r="VND82" s="190"/>
      <c r="VNE82" s="190"/>
      <c r="VNF82" s="190"/>
      <c r="VNG82" s="190"/>
      <c r="VNH82" s="190"/>
      <c r="VNI82" s="190"/>
      <c r="VNJ82" s="190"/>
      <c r="VNK82" s="190"/>
      <c r="VNL82" s="190"/>
      <c r="VNM82" s="190"/>
      <c r="VNN82" s="190"/>
      <c r="VNO82" s="190"/>
      <c r="VNP82" s="190"/>
      <c r="VNQ82" s="190"/>
      <c r="VNR82" s="190"/>
      <c r="VNS82" s="190"/>
      <c r="VNT82" s="190"/>
      <c r="VNU82" s="190"/>
      <c r="VNV82" s="190"/>
      <c r="VNW82" s="190"/>
      <c r="VNX82" s="190"/>
      <c r="VNY82" s="190"/>
      <c r="VNZ82" s="190"/>
      <c r="VOA82" s="190"/>
      <c r="VOB82" s="190"/>
      <c r="VOC82" s="190"/>
      <c r="VOD82" s="190"/>
      <c r="VOE82" s="190"/>
      <c r="VOF82" s="190"/>
      <c r="VOG82" s="190"/>
      <c r="VOH82" s="190"/>
      <c r="VOI82" s="190"/>
      <c r="VOJ82" s="190"/>
      <c r="VOK82" s="190"/>
      <c r="VOL82" s="190"/>
      <c r="VOM82" s="190"/>
      <c r="VON82" s="190"/>
      <c r="VOO82" s="190"/>
      <c r="VOP82" s="190"/>
      <c r="VOQ82" s="190"/>
      <c r="VOR82" s="190"/>
      <c r="VOS82" s="190"/>
    </row>
    <row r="83" spans="2:107 14889:15281" s="3" customFormat="1" x14ac:dyDescent="0.25">
      <c r="B83" s="81"/>
      <c r="C83" s="138" t="s">
        <v>33</v>
      </c>
      <c r="D83" s="78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62"/>
      <c r="AH83" s="62"/>
      <c r="AI83" s="62"/>
      <c r="AJ83" s="63"/>
      <c r="AL83" s="80" t="s">
        <v>33</v>
      </c>
      <c r="DC83" s="16"/>
    </row>
    <row r="84" spans="2:107 14889:15281" s="3" customFormat="1" x14ac:dyDescent="0.25">
      <c r="B84" s="81"/>
      <c r="C84" s="72" t="s">
        <v>55</v>
      </c>
      <c r="D84" s="78"/>
      <c r="E84" s="7" t="s">
        <v>36</v>
      </c>
      <c r="F84" s="1">
        <v>4</v>
      </c>
      <c r="G84" s="1"/>
      <c r="H84" s="1"/>
      <c r="I84" s="1"/>
      <c r="J84" s="1"/>
      <c r="K84" s="1"/>
      <c r="L84" s="1"/>
      <c r="M84" s="1">
        <v>3</v>
      </c>
      <c r="N84" s="1"/>
      <c r="O84" s="1"/>
      <c r="P84" s="1"/>
      <c r="Q84" s="1"/>
      <c r="R84" s="1"/>
      <c r="S84" s="1">
        <v>5</v>
      </c>
      <c r="T84" s="1">
        <v>3</v>
      </c>
      <c r="U84" s="1">
        <v>4</v>
      </c>
      <c r="V84" s="1">
        <v>2</v>
      </c>
      <c r="W84" s="1">
        <v>2</v>
      </c>
      <c r="X84" s="1">
        <v>6</v>
      </c>
      <c r="Y84" s="1"/>
      <c r="Z84" s="1"/>
      <c r="AA84" s="1"/>
      <c r="AB84" s="1"/>
      <c r="AC84" s="1"/>
      <c r="AD84" s="1"/>
      <c r="AE84" s="1"/>
      <c r="AF84" s="1"/>
      <c r="AG84" s="62"/>
      <c r="AH84" s="62"/>
      <c r="AI84" s="62"/>
      <c r="AJ84" s="63"/>
      <c r="AL84" s="64">
        <v>29</v>
      </c>
      <c r="DC84" s="16"/>
    </row>
    <row r="85" spans="2:107 14889:15281" s="3" customFormat="1" x14ac:dyDescent="0.25">
      <c r="B85" s="81"/>
      <c r="C85" s="72" t="s">
        <v>54</v>
      </c>
      <c r="D85" s="78"/>
      <c r="E85" s="7" t="s">
        <v>36</v>
      </c>
      <c r="F85" s="1"/>
      <c r="G85" s="1"/>
      <c r="H85" s="1"/>
      <c r="I85" s="1"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2</v>
      </c>
      <c r="Z85" s="1"/>
      <c r="AA85" s="1"/>
      <c r="AB85" s="1"/>
      <c r="AC85" s="1"/>
      <c r="AD85" s="1"/>
      <c r="AE85" s="1"/>
      <c r="AF85" s="1"/>
      <c r="AG85" s="62"/>
      <c r="AH85" s="62"/>
      <c r="AI85" s="62"/>
      <c r="AJ85" s="63"/>
      <c r="AL85" s="64">
        <v>3</v>
      </c>
      <c r="DC85" s="16"/>
    </row>
    <row r="86" spans="2:107 14889:15281" s="3" customFormat="1" x14ac:dyDescent="0.25">
      <c r="B86" s="81"/>
      <c r="C86" s="138" t="s">
        <v>32</v>
      </c>
      <c r="D86" s="78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62"/>
      <c r="AH86" s="62"/>
      <c r="AI86" s="62"/>
      <c r="AJ86" s="63"/>
      <c r="AL86" s="80" t="s">
        <v>32</v>
      </c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DC86" s="16"/>
    </row>
    <row r="87" spans="2:107 14889:15281" s="3" customFormat="1" x14ac:dyDescent="0.25">
      <c r="B87" s="81"/>
      <c r="C87" s="72" t="s">
        <v>55</v>
      </c>
      <c r="D87" s="78"/>
      <c r="E87" s="7" t="s">
        <v>32</v>
      </c>
      <c r="F87" s="6">
        <v>48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/>
      <c r="M87" s="6">
        <v>36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60</v>
      </c>
      <c r="T87" s="6">
        <v>36</v>
      </c>
      <c r="U87" s="6">
        <v>48</v>
      </c>
      <c r="V87" s="6">
        <v>24</v>
      </c>
      <c r="W87" s="6">
        <v>24</v>
      </c>
      <c r="X87" s="6">
        <v>72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143">
        <v>0</v>
      </c>
      <c r="AL87" s="64">
        <v>348</v>
      </c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DC87" s="16"/>
    </row>
    <row r="88" spans="2:107 14889:15281" s="3" customFormat="1" x14ac:dyDescent="0.25">
      <c r="B88" s="81"/>
      <c r="C88" s="72" t="s">
        <v>54</v>
      </c>
      <c r="D88" s="78"/>
      <c r="E88" s="7" t="s">
        <v>32</v>
      </c>
      <c r="F88" s="6">
        <v>0</v>
      </c>
      <c r="G88" s="6">
        <v>0</v>
      </c>
      <c r="H88" s="6">
        <v>0</v>
      </c>
      <c r="I88" s="6">
        <v>6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12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143">
        <v>0</v>
      </c>
      <c r="AL88" s="64">
        <v>18</v>
      </c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DC88" s="16"/>
    </row>
    <row r="89" spans="2:107 14889:15281" x14ac:dyDescent="0.25">
      <c r="B89" s="49"/>
      <c r="C89" s="43" t="s">
        <v>35</v>
      </c>
      <c r="D89" s="44"/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45"/>
      <c r="AD89" s="25"/>
      <c r="AE89" s="25"/>
      <c r="AF89" s="25"/>
      <c r="AG89" s="46"/>
      <c r="AH89" s="46"/>
      <c r="AI89" s="46"/>
      <c r="AJ89" s="47"/>
      <c r="AK89" s="12"/>
      <c r="AL89" s="259" t="s">
        <v>34</v>
      </c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DC89" s="16"/>
    </row>
    <row r="90" spans="2:107 14889:15281" s="3" customFormat="1" x14ac:dyDescent="0.25">
      <c r="B90" s="81"/>
      <c r="C90" s="138" t="s">
        <v>33</v>
      </c>
      <c r="D90" s="78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62"/>
      <c r="AH90" s="62"/>
      <c r="AI90" s="62"/>
      <c r="AJ90" s="63"/>
      <c r="AL90" s="80" t="s">
        <v>33</v>
      </c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DC90" s="16"/>
    </row>
    <row r="91" spans="2:107 14889:15281" s="3" customFormat="1" x14ac:dyDescent="0.25">
      <c r="B91" s="81"/>
      <c r="C91" s="72" t="s">
        <v>55</v>
      </c>
      <c r="D91" s="209">
        <v>0.3</v>
      </c>
      <c r="E91" s="7" t="s">
        <v>29</v>
      </c>
      <c r="F91" s="207">
        <v>0.19258545979778527</v>
      </c>
      <c r="G91" s="207" t="e">
        <v>#DIV/0!</v>
      </c>
      <c r="H91" s="207" t="e">
        <v>#DIV/0!</v>
      </c>
      <c r="I91" s="207" t="e">
        <v>#DIV/0!</v>
      </c>
      <c r="J91" s="207">
        <v>0</v>
      </c>
      <c r="K91" s="207" t="e">
        <v>#DIV/0!</v>
      </c>
      <c r="L91" s="207" t="e">
        <v>#DIV/0!</v>
      </c>
      <c r="M91" s="207">
        <v>4</v>
      </c>
      <c r="N91" s="207" t="e">
        <v>#DIV/0!</v>
      </c>
      <c r="O91" s="207" t="e">
        <v>#DIV/0!</v>
      </c>
      <c r="P91" s="207" t="e">
        <v>#DIV/0!</v>
      </c>
      <c r="Q91" s="207" t="e">
        <v>#DIV/0!</v>
      </c>
      <c r="R91" s="207" t="e">
        <v>#DIV/0!</v>
      </c>
      <c r="S91" s="207">
        <v>7.3529411764705888</v>
      </c>
      <c r="T91" s="207">
        <v>0.50590219224283306</v>
      </c>
      <c r="U91" s="207">
        <v>0.67567567567567566</v>
      </c>
      <c r="V91" s="207">
        <v>0.29850746268656719</v>
      </c>
      <c r="W91" s="207">
        <v>0.49751243781094528</v>
      </c>
      <c r="X91" s="207">
        <v>0.41095890410958902</v>
      </c>
      <c r="Y91" s="207" t="e">
        <v>#DIV/0!</v>
      </c>
      <c r="Z91" s="207" t="e">
        <v>#DIV/0!</v>
      </c>
      <c r="AA91" s="207" t="e">
        <v>#DIV/0!</v>
      </c>
      <c r="AB91" s="207" t="e">
        <v>#DIV/0!</v>
      </c>
      <c r="AC91" s="207" t="e">
        <v>#DIV/0!</v>
      </c>
      <c r="AD91" s="207" t="e">
        <v>#DIV/0!</v>
      </c>
      <c r="AE91" s="207" t="e">
        <v>#DIV/0!</v>
      </c>
      <c r="AF91" s="207" t="e">
        <v>#DIV/0!</v>
      </c>
      <c r="AG91" s="207" t="e">
        <v>#DIV/0!</v>
      </c>
      <c r="AH91" s="207" t="e">
        <v>#DIV/0!</v>
      </c>
      <c r="AI91" s="207" t="e">
        <v>#DIV/0!</v>
      </c>
      <c r="AJ91" s="208" t="e">
        <v>#DIV/0!</v>
      </c>
      <c r="AL91" s="76">
        <v>0.30568145883841047</v>
      </c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DC91" s="16"/>
    </row>
    <row r="92" spans="2:107 14889:15281" s="3" customFormat="1" x14ac:dyDescent="0.25">
      <c r="B92" s="81"/>
      <c r="C92" s="72" t="s">
        <v>54</v>
      </c>
      <c r="D92" s="209">
        <v>0.3</v>
      </c>
      <c r="E92" s="7" t="s">
        <v>29</v>
      </c>
      <c r="F92" s="207" t="e">
        <v>#DIV/0!</v>
      </c>
      <c r="G92" s="207" t="e">
        <v>#DIV/0!</v>
      </c>
      <c r="H92" s="207" t="e">
        <v>#DIV/0!</v>
      </c>
      <c r="I92" s="207">
        <v>2.144542140253056E-2</v>
      </c>
      <c r="J92" s="207" t="e">
        <v>#DIV/0!</v>
      </c>
      <c r="K92" s="207" t="e">
        <v>#DIV/0!</v>
      </c>
      <c r="L92" s="207" t="e">
        <v>#DIV/0!</v>
      </c>
      <c r="M92" s="207" t="e">
        <v>#DIV/0!</v>
      </c>
      <c r="N92" s="207">
        <v>0</v>
      </c>
      <c r="O92" s="207" t="e">
        <v>#DIV/0!</v>
      </c>
      <c r="P92" s="207" t="e">
        <v>#DIV/0!</v>
      </c>
      <c r="Q92" s="207" t="e">
        <v>#DIV/0!</v>
      </c>
      <c r="R92" s="207" t="e">
        <v>#DIV/0!</v>
      </c>
      <c r="S92" s="207" t="e">
        <v>#DIV/0!</v>
      </c>
      <c r="T92" s="207" t="e">
        <v>#DIV/0!</v>
      </c>
      <c r="U92" s="207" t="e">
        <v>#DIV/0!</v>
      </c>
      <c r="V92" s="207" t="e">
        <v>#DIV/0!</v>
      </c>
      <c r="W92" s="207" t="e">
        <v>#DIV/0!</v>
      </c>
      <c r="X92" s="207" t="e">
        <v>#DIV/0!</v>
      </c>
      <c r="Y92" s="207">
        <v>8.5034013605442174E-2</v>
      </c>
      <c r="Z92" s="207" t="e">
        <v>#DIV/0!</v>
      </c>
      <c r="AA92" s="207" t="e">
        <v>#DIV/0!</v>
      </c>
      <c r="AB92" s="207" t="e">
        <v>#DIV/0!</v>
      </c>
      <c r="AC92" s="207" t="e">
        <v>#DIV/0!</v>
      </c>
      <c r="AD92" s="207" t="e">
        <v>#DIV/0!</v>
      </c>
      <c r="AE92" s="207" t="e">
        <v>#DIV/0!</v>
      </c>
      <c r="AF92" s="207" t="e">
        <v>#DIV/0!</v>
      </c>
      <c r="AG92" s="207" t="e">
        <v>#DIV/0!</v>
      </c>
      <c r="AH92" s="207" t="e">
        <v>#DIV/0!</v>
      </c>
      <c r="AI92" s="207" t="e">
        <v>#DIV/0!</v>
      </c>
      <c r="AJ92" s="208" t="e">
        <v>#DIV/0!</v>
      </c>
      <c r="AL92" s="76">
        <v>4.2741131215272829E-2</v>
      </c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DC92" s="16"/>
    </row>
    <row r="93" spans="2:107 14889:15281" s="3" customFormat="1" x14ac:dyDescent="0.25">
      <c r="B93" s="81"/>
      <c r="C93" s="138" t="s">
        <v>32</v>
      </c>
      <c r="D93" s="209"/>
      <c r="E93" s="5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8"/>
      <c r="AL93" s="80" t="s">
        <v>32</v>
      </c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DC93" s="16"/>
    </row>
    <row r="94" spans="2:107 14889:15281" s="3" customFormat="1" x14ac:dyDescent="0.25">
      <c r="B94" s="81"/>
      <c r="C94" s="72" t="s">
        <v>55</v>
      </c>
      <c r="D94" s="209">
        <v>0.5</v>
      </c>
      <c r="E94" s="7" t="s">
        <v>29</v>
      </c>
      <c r="F94" s="207">
        <v>0.19258545979778527</v>
      </c>
      <c r="G94" s="207" t="e">
        <v>#DIV/0!</v>
      </c>
      <c r="H94" s="207" t="e">
        <v>#DIV/0!</v>
      </c>
      <c r="I94" s="207" t="e">
        <v>#DIV/0!</v>
      </c>
      <c r="J94" s="207">
        <v>0</v>
      </c>
      <c r="K94" s="207" t="e">
        <v>#DIV/0!</v>
      </c>
      <c r="L94" s="147" t="e">
        <v>#DIV/0!</v>
      </c>
      <c r="M94" s="207">
        <v>4</v>
      </c>
      <c r="N94" s="207" t="e">
        <v>#DIV/0!</v>
      </c>
      <c r="O94" s="207" t="e">
        <v>#DIV/0!</v>
      </c>
      <c r="P94" s="207" t="e">
        <v>#DIV/0!</v>
      </c>
      <c r="Q94" s="207" t="e">
        <v>#DIV/0!</v>
      </c>
      <c r="R94" s="207" t="e">
        <v>#DIV/0!</v>
      </c>
      <c r="S94" s="207">
        <v>7.3529411764705888</v>
      </c>
      <c r="T94" s="207">
        <v>0.50590219224283306</v>
      </c>
      <c r="U94" s="207">
        <v>0.67567567567567566</v>
      </c>
      <c r="V94" s="207">
        <v>0.29850746268656719</v>
      </c>
      <c r="W94" s="207">
        <v>0.49751243781094528</v>
      </c>
      <c r="X94" s="207">
        <v>0.41095890410958902</v>
      </c>
      <c r="Y94" s="207" t="e">
        <v>#DIV/0!</v>
      </c>
      <c r="Z94" s="207" t="e">
        <v>#DIV/0!</v>
      </c>
      <c r="AA94" s="207" t="e">
        <v>#DIV/0!</v>
      </c>
      <c r="AB94" s="207" t="e">
        <v>#DIV/0!</v>
      </c>
      <c r="AC94" s="207" t="e">
        <v>#DIV/0!</v>
      </c>
      <c r="AD94" s="207" t="e">
        <v>#DIV/0!</v>
      </c>
      <c r="AE94" s="207" t="e">
        <v>#DIV/0!</v>
      </c>
      <c r="AF94" s="207" t="e">
        <v>#DIV/0!</v>
      </c>
      <c r="AG94" s="207" t="e">
        <v>#DIV/0!</v>
      </c>
      <c r="AH94" s="207" t="e">
        <v>#DIV/0!</v>
      </c>
      <c r="AI94" s="207" t="e">
        <v>#DIV/0!</v>
      </c>
      <c r="AJ94" s="208" t="e">
        <v>#DIV/0!</v>
      </c>
      <c r="AL94" s="76">
        <v>0.30568145883841047</v>
      </c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DC94" s="16"/>
    </row>
    <row r="95" spans="2:107 14889:15281" s="3" customFormat="1" ht="15.75" thickBot="1" x14ac:dyDescent="0.3">
      <c r="B95" s="114"/>
      <c r="C95" s="72" t="s">
        <v>54</v>
      </c>
      <c r="D95" s="209">
        <v>0.5</v>
      </c>
      <c r="E95" s="7" t="s">
        <v>29</v>
      </c>
      <c r="F95" s="207" t="e">
        <v>#DIV/0!</v>
      </c>
      <c r="G95" s="207" t="e">
        <v>#DIV/0!</v>
      </c>
      <c r="H95" s="207" t="e">
        <v>#DIV/0!</v>
      </c>
      <c r="I95" s="207">
        <v>2.144542140253056E-2</v>
      </c>
      <c r="J95" s="207" t="e">
        <v>#DIV/0!</v>
      </c>
      <c r="K95" s="207" t="e">
        <v>#DIV/0!</v>
      </c>
      <c r="L95" s="207" t="e">
        <v>#DIV/0!</v>
      </c>
      <c r="M95" s="207" t="e">
        <v>#DIV/0!</v>
      </c>
      <c r="N95" s="207">
        <v>0</v>
      </c>
      <c r="O95" s="207" t="e">
        <v>#DIV/0!</v>
      </c>
      <c r="P95" s="207" t="e">
        <v>#DIV/0!</v>
      </c>
      <c r="Q95" s="207" t="e">
        <v>#DIV/0!</v>
      </c>
      <c r="R95" s="207" t="e">
        <v>#DIV/0!</v>
      </c>
      <c r="S95" s="207" t="e">
        <v>#DIV/0!</v>
      </c>
      <c r="T95" s="207" t="e">
        <v>#DIV/0!</v>
      </c>
      <c r="U95" s="207" t="e">
        <v>#DIV/0!</v>
      </c>
      <c r="V95" s="207" t="e">
        <v>#DIV/0!</v>
      </c>
      <c r="W95" s="207" t="e">
        <v>#DIV/0!</v>
      </c>
      <c r="X95" s="207" t="e">
        <v>#DIV/0!</v>
      </c>
      <c r="Y95" s="207">
        <v>8.5034013605442174E-2</v>
      </c>
      <c r="Z95" s="207" t="e">
        <v>#DIV/0!</v>
      </c>
      <c r="AA95" s="207" t="e">
        <v>#DIV/0!</v>
      </c>
      <c r="AB95" s="207" t="e">
        <v>#DIV/0!</v>
      </c>
      <c r="AC95" s="207" t="e">
        <v>#DIV/0!</v>
      </c>
      <c r="AD95" s="207" t="e">
        <v>#DIV/0!</v>
      </c>
      <c r="AE95" s="207" t="e">
        <v>#DIV/0!</v>
      </c>
      <c r="AF95" s="207" t="e">
        <v>#DIV/0!</v>
      </c>
      <c r="AG95" s="207" t="e">
        <v>#DIV/0!</v>
      </c>
      <c r="AH95" s="207" t="e">
        <v>#DIV/0!</v>
      </c>
      <c r="AI95" s="207" t="e">
        <v>#DIV/0!</v>
      </c>
      <c r="AJ95" s="208" t="e">
        <v>#DIV/0!</v>
      </c>
      <c r="AL95" s="76">
        <v>4.2741131215272829E-2</v>
      </c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DC95" s="16"/>
    </row>
    <row r="96" spans="2:107 14889:15281" s="3" customFormat="1" x14ac:dyDescent="0.25">
      <c r="B96" s="49">
        <v>5</v>
      </c>
      <c r="C96" s="43" t="s">
        <v>53</v>
      </c>
      <c r="D96" s="44"/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45"/>
      <c r="AD96" s="25"/>
      <c r="AE96" s="25"/>
      <c r="AF96" s="25"/>
      <c r="AG96" s="46"/>
      <c r="AH96" s="46"/>
      <c r="AI96" s="46"/>
      <c r="AJ96" s="47"/>
      <c r="AK96" s="12"/>
      <c r="AL96" s="259" t="s">
        <v>45</v>
      </c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DC96" s="16"/>
      <c r="UZQ96" s="190"/>
      <c r="UZR96" s="190"/>
      <c r="UZS96" s="190"/>
      <c r="UZT96" s="190"/>
      <c r="UZU96" s="190"/>
      <c r="UZV96" s="190"/>
      <c r="UZW96" s="190"/>
      <c r="UZX96" s="190"/>
      <c r="UZY96" s="190"/>
      <c r="UZZ96" s="190"/>
      <c r="VAA96" s="190"/>
      <c r="VAB96" s="190"/>
      <c r="VAC96" s="190"/>
      <c r="VAD96" s="190"/>
      <c r="VAE96" s="190"/>
      <c r="VAF96" s="190"/>
      <c r="VAG96" s="190"/>
      <c r="VAH96" s="190"/>
      <c r="VAI96" s="190"/>
      <c r="VAJ96" s="190"/>
      <c r="VAK96" s="190"/>
      <c r="VAL96" s="190"/>
      <c r="VAM96" s="190"/>
      <c r="VAN96" s="190"/>
      <c r="VAO96" s="190"/>
      <c r="VAP96" s="190"/>
      <c r="VAQ96" s="190"/>
      <c r="VAR96" s="190"/>
      <c r="VAS96" s="190"/>
      <c r="VAT96" s="190"/>
      <c r="VAU96" s="190"/>
      <c r="VAV96" s="190"/>
      <c r="VAW96" s="190"/>
      <c r="VAX96" s="190"/>
      <c r="VAY96" s="190"/>
      <c r="VAZ96" s="190"/>
      <c r="VBA96" s="190"/>
      <c r="VBB96" s="190"/>
      <c r="VBC96" s="190"/>
      <c r="VBD96" s="190"/>
      <c r="VBE96" s="190"/>
      <c r="VBF96" s="190"/>
      <c r="VBG96" s="190"/>
      <c r="VBH96" s="190"/>
      <c r="VBI96" s="190"/>
      <c r="VBJ96" s="190"/>
      <c r="VBK96" s="190"/>
      <c r="VBL96" s="190"/>
      <c r="VBM96" s="190"/>
      <c r="VBN96" s="190"/>
      <c r="VBO96" s="190"/>
      <c r="VBP96" s="190"/>
      <c r="VBQ96" s="190"/>
      <c r="VBR96" s="190"/>
      <c r="VBS96" s="190"/>
      <c r="VBT96" s="190"/>
      <c r="VBU96" s="190"/>
      <c r="VBV96" s="190"/>
      <c r="VBW96" s="190"/>
      <c r="VBX96" s="190"/>
      <c r="VBY96" s="190"/>
      <c r="VBZ96" s="190"/>
      <c r="VCA96" s="190"/>
      <c r="VCB96" s="190"/>
      <c r="VCC96" s="190"/>
      <c r="VCD96" s="190"/>
      <c r="VCE96" s="190"/>
      <c r="VCF96" s="190"/>
      <c r="VCG96" s="190"/>
      <c r="VCH96" s="190"/>
      <c r="VCI96" s="190"/>
      <c r="VCJ96" s="190"/>
      <c r="VCK96" s="190"/>
      <c r="VCL96" s="190"/>
      <c r="VCM96" s="190"/>
      <c r="VCN96" s="190"/>
      <c r="VCO96" s="190"/>
      <c r="VCP96" s="190"/>
      <c r="VCQ96" s="190"/>
      <c r="VCR96" s="190"/>
      <c r="VCS96" s="190"/>
      <c r="VCT96" s="190"/>
      <c r="VCU96" s="190"/>
      <c r="VCV96" s="190"/>
      <c r="VCW96" s="190"/>
      <c r="VCX96" s="190"/>
      <c r="VCY96" s="190"/>
      <c r="VCZ96" s="190"/>
      <c r="VDA96" s="190"/>
      <c r="VDB96" s="190"/>
      <c r="VDC96" s="190"/>
      <c r="VDD96" s="190"/>
      <c r="VDE96" s="190"/>
      <c r="VDF96" s="190"/>
      <c r="VDG96" s="190"/>
      <c r="VDH96" s="190"/>
      <c r="VDI96" s="190"/>
      <c r="VDJ96" s="190"/>
      <c r="VDK96" s="190"/>
      <c r="VDL96" s="190"/>
      <c r="VDM96" s="190"/>
      <c r="VDN96" s="190"/>
      <c r="VDO96" s="190"/>
      <c r="VDP96" s="190"/>
      <c r="VDQ96" s="190"/>
      <c r="VDR96" s="190"/>
      <c r="VDS96" s="190"/>
      <c r="VDT96" s="190"/>
      <c r="VDU96" s="190"/>
      <c r="VDV96" s="190"/>
      <c r="VDW96" s="190"/>
      <c r="VDX96" s="190"/>
      <c r="VDY96" s="190"/>
      <c r="VDZ96" s="190"/>
      <c r="VEA96" s="190"/>
      <c r="VEB96" s="190"/>
      <c r="VEC96" s="190"/>
      <c r="VED96" s="190"/>
      <c r="VEE96" s="190"/>
      <c r="VEF96" s="190"/>
      <c r="VEG96" s="190"/>
      <c r="VEH96" s="190"/>
      <c r="VEI96" s="190"/>
      <c r="VEJ96" s="190"/>
      <c r="VEK96" s="190"/>
      <c r="VEL96" s="190"/>
      <c r="VEM96" s="190"/>
      <c r="VEN96" s="190"/>
      <c r="VEO96" s="190"/>
      <c r="VEP96" s="190"/>
      <c r="VEQ96" s="190"/>
      <c r="VER96" s="190"/>
      <c r="VES96" s="190"/>
      <c r="VET96" s="190"/>
      <c r="VEU96" s="190"/>
      <c r="VEV96" s="190"/>
      <c r="VEW96" s="190"/>
      <c r="VEX96" s="190"/>
      <c r="VEY96" s="190"/>
      <c r="VEZ96" s="190"/>
      <c r="VFA96" s="190"/>
      <c r="VFB96" s="190"/>
      <c r="VFC96" s="190"/>
      <c r="VFD96" s="190"/>
      <c r="VFE96" s="190"/>
      <c r="VFF96" s="190"/>
      <c r="VFG96" s="190"/>
      <c r="VFH96" s="190"/>
      <c r="VFI96" s="190"/>
      <c r="VFJ96" s="190"/>
      <c r="VFK96" s="190"/>
      <c r="VFL96" s="190"/>
      <c r="VFM96" s="190"/>
      <c r="VFN96" s="190"/>
      <c r="VFO96" s="190"/>
      <c r="VFP96" s="190"/>
      <c r="VFQ96" s="190"/>
      <c r="VFR96" s="190"/>
      <c r="VFS96" s="190"/>
      <c r="VFT96" s="190"/>
      <c r="VFU96" s="190"/>
      <c r="VFV96" s="190"/>
      <c r="VFW96" s="190"/>
      <c r="VFX96" s="190"/>
      <c r="VFY96" s="190"/>
      <c r="VFZ96" s="190"/>
      <c r="VGA96" s="190"/>
      <c r="VGB96" s="190"/>
      <c r="VGC96" s="190"/>
      <c r="VGD96" s="190"/>
      <c r="VGE96" s="190"/>
      <c r="VGF96" s="190"/>
      <c r="VGG96" s="190"/>
      <c r="VGH96" s="190"/>
      <c r="VGI96" s="190"/>
      <c r="VGJ96" s="190"/>
      <c r="VGK96" s="190"/>
      <c r="VGL96" s="190"/>
      <c r="VGM96" s="190"/>
      <c r="VGN96" s="190"/>
      <c r="VGO96" s="190"/>
      <c r="VGP96" s="190"/>
      <c r="VGQ96" s="190"/>
      <c r="VGR96" s="190"/>
      <c r="VGS96" s="190"/>
      <c r="VGT96" s="190"/>
      <c r="VGU96" s="190"/>
      <c r="VGV96" s="190"/>
      <c r="VGW96" s="190"/>
      <c r="VGX96" s="190"/>
      <c r="VGY96" s="190"/>
      <c r="VGZ96" s="190"/>
      <c r="VHA96" s="190"/>
      <c r="VHB96" s="190"/>
      <c r="VHC96" s="190"/>
      <c r="VHD96" s="190"/>
      <c r="VHE96" s="190"/>
      <c r="VHF96" s="190"/>
      <c r="VHG96" s="190"/>
      <c r="VHH96" s="190"/>
      <c r="VHI96" s="190"/>
      <c r="VHJ96" s="190"/>
      <c r="VHK96" s="190"/>
      <c r="VHL96" s="190"/>
      <c r="VHM96" s="190"/>
      <c r="VHN96" s="190"/>
      <c r="VHO96" s="190"/>
      <c r="VHP96" s="190"/>
      <c r="VHQ96" s="190"/>
      <c r="VHR96" s="190"/>
      <c r="VHS96" s="190"/>
      <c r="VHT96" s="190"/>
      <c r="VHU96" s="190"/>
      <c r="VHV96" s="190"/>
      <c r="VHW96" s="190"/>
      <c r="VHX96" s="190"/>
      <c r="VHY96" s="190"/>
      <c r="VHZ96" s="190"/>
      <c r="VIA96" s="190"/>
      <c r="VIB96" s="190"/>
      <c r="VIC96" s="190"/>
      <c r="VID96" s="190"/>
      <c r="VIE96" s="190"/>
      <c r="VIF96" s="190"/>
      <c r="VIG96" s="190"/>
      <c r="VIH96" s="190"/>
      <c r="VII96" s="190"/>
      <c r="VIJ96" s="190"/>
      <c r="VIK96" s="190"/>
      <c r="VIL96" s="190"/>
      <c r="VIM96" s="190"/>
      <c r="VIN96" s="190"/>
      <c r="VIO96" s="190"/>
      <c r="VIP96" s="190"/>
      <c r="VIQ96" s="190"/>
      <c r="VIR96" s="190"/>
      <c r="VIS96" s="190"/>
      <c r="VIT96" s="190"/>
      <c r="VIU96" s="190"/>
      <c r="VIV96" s="190"/>
      <c r="VIW96" s="190"/>
      <c r="VIX96" s="190"/>
      <c r="VIY96" s="190"/>
      <c r="VIZ96" s="190"/>
      <c r="VJA96" s="190"/>
      <c r="VJB96" s="190"/>
      <c r="VJC96" s="190"/>
      <c r="VJD96" s="190"/>
      <c r="VJE96" s="190"/>
      <c r="VJF96" s="190"/>
      <c r="VJG96" s="190"/>
      <c r="VJH96" s="190"/>
      <c r="VJI96" s="190"/>
      <c r="VJJ96" s="190"/>
      <c r="VJK96" s="190"/>
      <c r="VJL96" s="190"/>
      <c r="VJM96" s="190"/>
      <c r="VJN96" s="190"/>
      <c r="VJO96" s="190"/>
      <c r="VJP96" s="190"/>
      <c r="VJQ96" s="190"/>
      <c r="VJR96" s="190"/>
      <c r="VJS96" s="190"/>
      <c r="VJT96" s="190"/>
      <c r="VJU96" s="190"/>
      <c r="VJV96" s="190"/>
      <c r="VJW96" s="190"/>
      <c r="VJX96" s="190"/>
      <c r="VJY96" s="190"/>
      <c r="VJZ96" s="190"/>
      <c r="VKA96" s="190"/>
      <c r="VKB96" s="190"/>
      <c r="VKC96" s="190"/>
      <c r="VKD96" s="190"/>
      <c r="VKE96" s="190"/>
      <c r="VKF96" s="190"/>
      <c r="VKG96" s="190"/>
      <c r="VKH96" s="190"/>
      <c r="VKI96" s="190"/>
      <c r="VKJ96" s="190"/>
      <c r="VKK96" s="190"/>
      <c r="VKL96" s="190"/>
      <c r="VKM96" s="190"/>
      <c r="VKN96" s="190"/>
      <c r="VKO96" s="190"/>
      <c r="VKP96" s="190"/>
      <c r="VKQ96" s="190"/>
      <c r="VKR96" s="190"/>
      <c r="VKS96" s="190"/>
      <c r="VKT96" s="190"/>
      <c r="VKU96" s="190"/>
      <c r="VKV96" s="190"/>
      <c r="VKW96" s="190"/>
      <c r="VKX96" s="190"/>
      <c r="VKY96" s="190"/>
      <c r="VKZ96" s="190"/>
      <c r="VLA96" s="190"/>
      <c r="VLB96" s="190"/>
      <c r="VLC96" s="190"/>
      <c r="VLD96" s="190"/>
      <c r="VLE96" s="190"/>
      <c r="VLF96" s="190"/>
      <c r="VLG96" s="190"/>
      <c r="VLH96" s="190"/>
      <c r="VLI96" s="190"/>
      <c r="VLJ96" s="190"/>
      <c r="VLK96" s="190"/>
      <c r="VLL96" s="190"/>
      <c r="VLM96" s="190"/>
      <c r="VLN96" s="190"/>
      <c r="VLO96" s="190"/>
      <c r="VLP96" s="190"/>
      <c r="VLQ96" s="190"/>
      <c r="VLR96" s="190"/>
      <c r="VLS96" s="190"/>
      <c r="VLT96" s="190"/>
      <c r="VLU96" s="190"/>
      <c r="VLV96" s="190"/>
      <c r="VLW96" s="190"/>
      <c r="VLX96" s="190"/>
      <c r="VLY96" s="190"/>
      <c r="VLZ96" s="190"/>
      <c r="VMA96" s="190"/>
      <c r="VMB96" s="190"/>
      <c r="VMC96" s="190"/>
      <c r="VMD96" s="190"/>
      <c r="VME96" s="190"/>
      <c r="VMF96" s="190"/>
      <c r="VMG96" s="190"/>
      <c r="VMH96" s="190"/>
      <c r="VMI96" s="190"/>
      <c r="VMJ96" s="190"/>
      <c r="VMK96" s="190"/>
      <c r="VML96" s="190"/>
      <c r="VMM96" s="190"/>
      <c r="VMN96" s="190"/>
      <c r="VMO96" s="190"/>
      <c r="VMP96" s="190"/>
      <c r="VMQ96" s="190"/>
      <c r="VMR96" s="190"/>
      <c r="VMS96" s="190"/>
      <c r="VMT96" s="190"/>
      <c r="VMU96" s="190"/>
      <c r="VMV96" s="190"/>
      <c r="VMW96" s="190"/>
      <c r="VMX96" s="190"/>
      <c r="VMY96" s="190"/>
      <c r="VMZ96" s="190"/>
      <c r="VNA96" s="190"/>
      <c r="VNB96" s="190"/>
      <c r="VNC96" s="190"/>
      <c r="VND96" s="190"/>
      <c r="VNE96" s="190"/>
      <c r="VNF96" s="190"/>
      <c r="VNG96" s="190"/>
      <c r="VNH96" s="190"/>
      <c r="VNI96" s="190"/>
      <c r="VNJ96" s="190"/>
      <c r="VNK96" s="190"/>
      <c r="VNL96" s="190"/>
      <c r="VNM96" s="190"/>
      <c r="VNN96" s="190"/>
      <c r="VNO96" s="190"/>
      <c r="VNP96" s="190"/>
      <c r="VNQ96" s="190"/>
      <c r="VNR96" s="190"/>
      <c r="VNS96" s="190"/>
      <c r="VNT96" s="190"/>
      <c r="VNU96" s="190"/>
      <c r="VNV96" s="190"/>
      <c r="VNW96" s="190"/>
      <c r="VNX96" s="190"/>
      <c r="VNY96" s="190"/>
      <c r="VNZ96" s="190"/>
      <c r="VOA96" s="190"/>
      <c r="VOB96" s="190"/>
      <c r="VOC96" s="190"/>
      <c r="VOD96" s="190"/>
      <c r="VOE96" s="190"/>
      <c r="VOF96" s="190"/>
      <c r="VOG96" s="190"/>
      <c r="VOH96" s="190"/>
      <c r="VOI96" s="190"/>
      <c r="VOJ96" s="190"/>
      <c r="VOK96" s="190"/>
      <c r="VOL96" s="190"/>
      <c r="VOM96" s="190"/>
      <c r="VON96" s="190"/>
      <c r="VOO96" s="190"/>
      <c r="VOP96" s="190"/>
      <c r="VOQ96" s="190"/>
      <c r="VOR96" s="190"/>
      <c r="VOS96" s="190"/>
    </row>
    <row r="97" spans="2:107 14889:15281" s="3" customFormat="1" x14ac:dyDescent="0.25">
      <c r="B97" s="81"/>
      <c r="C97" s="136" t="s">
        <v>52</v>
      </c>
      <c r="D97" s="137"/>
      <c r="E97" s="7" t="s">
        <v>16</v>
      </c>
      <c r="F97" s="216"/>
      <c r="G97" s="216"/>
      <c r="H97" s="216"/>
      <c r="I97" s="207"/>
      <c r="J97" s="216"/>
      <c r="K97" s="216"/>
      <c r="L97" s="216"/>
      <c r="M97" s="216"/>
      <c r="N97" s="216"/>
      <c r="O97" s="216"/>
      <c r="P97" s="207"/>
      <c r="Q97" s="216"/>
      <c r="R97" s="216"/>
      <c r="S97" s="216"/>
      <c r="T97" s="216"/>
      <c r="U97" s="216"/>
      <c r="V97" s="216"/>
      <c r="W97" s="207"/>
      <c r="X97" s="216">
        <v>50933.49</v>
      </c>
      <c r="Y97" s="216"/>
      <c r="Z97" s="216"/>
      <c r="AA97" s="216"/>
      <c r="AB97" s="216"/>
      <c r="AC97" s="216"/>
      <c r="AD97" s="207"/>
      <c r="AE97" s="216"/>
      <c r="AF97" s="6"/>
      <c r="AG97" s="6"/>
      <c r="AH97" s="6"/>
      <c r="AI97" s="142"/>
      <c r="AJ97" s="143"/>
      <c r="AK97" s="14"/>
      <c r="AL97" s="135">
        <v>50933.49</v>
      </c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DC97" s="16"/>
    </row>
    <row r="98" spans="2:107 14889:15281" s="3" customFormat="1" x14ac:dyDescent="0.25">
      <c r="B98" s="81"/>
      <c r="C98" s="138" t="s">
        <v>44</v>
      </c>
      <c r="D98" s="78"/>
      <c r="E98" s="7" t="s">
        <v>16</v>
      </c>
      <c r="F98" s="207">
        <v>0</v>
      </c>
      <c r="G98" s="207">
        <v>0</v>
      </c>
      <c r="H98" s="207">
        <v>0</v>
      </c>
      <c r="I98" s="207">
        <v>0</v>
      </c>
      <c r="J98" s="207">
        <v>0</v>
      </c>
      <c r="K98" s="207">
        <v>0</v>
      </c>
      <c r="L98" s="207">
        <v>0</v>
      </c>
      <c r="M98" s="207">
        <v>0</v>
      </c>
      <c r="N98" s="207">
        <v>0</v>
      </c>
      <c r="O98" s="207">
        <v>0</v>
      </c>
      <c r="P98" s="207">
        <v>0</v>
      </c>
      <c r="Q98" s="207">
        <v>0</v>
      </c>
      <c r="R98" s="207">
        <v>0</v>
      </c>
      <c r="S98" s="207">
        <v>0</v>
      </c>
      <c r="T98" s="207">
        <v>0</v>
      </c>
      <c r="U98" s="207">
        <v>0</v>
      </c>
      <c r="V98" s="207">
        <v>0</v>
      </c>
      <c r="W98" s="207">
        <v>0</v>
      </c>
      <c r="X98" s="207">
        <v>51052.86</v>
      </c>
      <c r="Y98" s="207">
        <v>0</v>
      </c>
      <c r="Z98" s="207">
        <v>0</v>
      </c>
      <c r="AA98" s="207">
        <v>0</v>
      </c>
      <c r="AB98" s="207">
        <v>0</v>
      </c>
      <c r="AC98" s="207">
        <v>0</v>
      </c>
      <c r="AD98" s="207">
        <v>0</v>
      </c>
      <c r="AE98" s="207">
        <v>0</v>
      </c>
      <c r="AF98" s="207">
        <v>0</v>
      </c>
      <c r="AG98" s="207">
        <v>0</v>
      </c>
      <c r="AH98" s="207">
        <v>0</v>
      </c>
      <c r="AI98" s="207">
        <v>0</v>
      </c>
      <c r="AJ98" s="208">
        <v>0</v>
      </c>
      <c r="AL98" s="76">
        <v>51052.86</v>
      </c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DC98" s="16"/>
    </row>
    <row r="99" spans="2:107 14889:15281" s="3" customFormat="1" x14ac:dyDescent="0.25">
      <c r="B99" s="81"/>
      <c r="C99" s="138" t="s">
        <v>43</v>
      </c>
      <c r="D99" s="78"/>
      <c r="E99" s="7" t="s">
        <v>16</v>
      </c>
      <c r="F99" s="207">
        <v>0</v>
      </c>
      <c r="G99" s="207">
        <v>0</v>
      </c>
      <c r="H99" s="207">
        <v>0</v>
      </c>
      <c r="I99" s="207">
        <v>0</v>
      </c>
      <c r="J99" s="207">
        <v>0</v>
      </c>
      <c r="K99" s="207">
        <v>0</v>
      </c>
      <c r="L99" s="207">
        <v>0</v>
      </c>
      <c r="M99" s="207">
        <v>0</v>
      </c>
      <c r="N99" s="207">
        <v>0</v>
      </c>
      <c r="O99" s="207">
        <v>0</v>
      </c>
      <c r="P99" s="207">
        <v>0</v>
      </c>
      <c r="Q99" s="207">
        <v>0</v>
      </c>
      <c r="R99" s="207">
        <v>0</v>
      </c>
      <c r="S99" s="207">
        <v>0</v>
      </c>
      <c r="T99" s="207">
        <v>0</v>
      </c>
      <c r="U99" s="207">
        <v>0</v>
      </c>
      <c r="V99" s="207">
        <v>0</v>
      </c>
      <c r="W99" s="207">
        <v>0</v>
      </c>
      <c r="X99" s="207">
        <v>-119.37000000000262</v>
      </c>
      <c r="Y99" s="207">
        <v>0</v>
      </c>
      <c r="Z99" s="207">
        <v>0</v>
      </c>
      <c r="AA99" s="207">
        <v>0</v>
      </c>
      <c r="AB99" s="207">
        <v>0</v>
      </c>
      <c r="AC99" s="207">
        <v>0</v>
      </c>
      <c r="AD99" s="207">
        <v>0</v>
      </c>
      <c r="AE99" s="207">
        <v>0</v>
      </c>
      <c r="AF99" s="207">
        <v>0</v>
      </c>
      <c r="AG99" s="207">
        <v>0</v>
      </c>
      <c r="AH99" s="207">
        <v>0</v>
      </c>
      <c r="AI99" s="207">
        <v>0</v>
      </c>
      <c r="AJ99" s="208">
        <v>0</v>
      </c>
      <c r="AL99" s="76">
        <v>-119.37000000000262</v>
      </c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DC99" s="16"/>
    </row>
    <row r="100" spans="2:107 14889:15281" s="3" customFormat="1" x14ac:dyDescent="0.25">
      <c r="B100" s="81"/>
      <c r="C100" s="138" t="s">
        <v>56</v>
      </c>
      <c r="D100" s="78"/>
      <c r="E100" s="5" t="s">
        <v>16</v>
      </c>
      <c r="F100" s="207">
        <v>0</v>
      </c>
      <c r="G100" s="207"/>
      <c r="H100" s="207">
        <v>0</v>
      </c>
      <c r="I100" s="207">
        <v>0</v>
      </c>
      <c r="J100" s="207">
        <v>0</v>
      </c>
      <c r="K100" s="207">
        <v>0</v>
      </c>
      <c r="L100" s="207">
        <v>0</v>
      </c>
      <c r="M100" s="207">
        <v>0</v>
      </c>
      <c r="N100" s="207">
        <v>0</v>
      </c>
      <c r="O100" s="207">
        <v>0</v>
      </c>
      <c r="P100" s="207">
        <v>0</v>
      </c>
      <c r="Q100" s="207">
        <v>0</v>
      </c>
      <c r="R100" s="207">
        <v>0</v>
      </c>
      <c r="S100" s="207"/>
      <c r="T100" s="207">
        <v>0</v>
      </c>
      <c r="U100" s="207">
        <v>0</v>
      </c>
      <c r="V100" s="207"/>
      <c r="W100" s="207">
        <v>0</v>
      </c>
      <c r="X100" s="207">
        <v>0</v>
      </c>
      <c r="Y100" s="207"/>
      <c r="Z100" s="207">
        <v>0</v>
      </c>
      <c r="AA100" s="207">
        <v>0</v>
      </c>
      <c r="AB100" s="207">
        <v>0</v>
      </c>
      <c r="AC100" s="207">
        <v>0</v>
      </c>
      <c r="AD100" s="207">
        <v>0</v>
      </c>
      <c r="AE100" s="207"/>
      <c r="AF100" s="207">
        <v>0</v>
      </c>
      <c r="AG100" s="207">
        <v>0</v>
      </c>
      <c r="AH100" s="207">
        <v>0</v>
      </c>
      <c r="AI100" s="207">
        <v>0</v>
      </c>
      <c r="AJ100" s="208">
        <v>0</v>
      </c>
      <c r="AL100" s="76">
        <v>0</v>
      </c>
      <c r="DC100" s="16"/>
    </row>
    <row r="101" spans="2:107 14889:15281" s="3" customFormat="1" x14ac:dyDescent="0.25">
      <c r="B101" s="81"/>
      <c r="C101" s="138" t="s">
        <v>33</v>
      </c>
      <c r="D101" s="78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63"/>
      <c r="AL101" s="80" t="s">
        <v>33</v>
      </c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DC101" s="16"/>
    </row>
    <row r="102" spans="2:107 14889:15281" s="9" customFormat="1" x14ac:dyDescent="0.25">
      <c r="B102" s="100"/>
      <c r="C102" s="59" t="s">
        <v>51</v>
      </c>
      <c r="D102" s="60"/>
      <c r="E102" s="8" t="s">
        <v>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>
        <v>0</v>
      </c>
      <c r="AH102" s="6">
        <v>0</v>
      </c>
      <c r="AI102" s="6">
        <v>0</v>
      </c>
      <c r="AJ102" s="143"/>
      <c r="AL102" s="148">
        <v>0</v>
      </c>
      <c r="CK102" s="323"/>
      <c r="CL102" s="323"/>
      <c r="CM102" s="323"/>
      <c r="CN102" s="323"/>
      <c r="CO102" s="323"/>
      <c r="CP102" s="323"/>
      <c r="CQ102" s="323"/>
      <c r="CR102" s="323"/>
      <c r="CS102" s="323"/>
      <c r="CT102" s="323"/>
      <c r="DC102" s="323"/>
    </row>
    <row r="103" spans="2:107 14889:15281" s="9" customFormat="1" x14ac:dyDescent="0.2">
      <c r="B103" s="100"/>
      <c r="C103" s="59" t="s">
        <v>50</v>
      </c>
      <c r="D103" s="60"/>
      <c r="E103" s="8" t="s">
        <v>36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>
        <v>4701</v>
      </c>
      <c r="Y103" s="6"/>
      <c r="Z103" s="6"/>
      <c r="AA103" s="6"/>
      <c r="AB103" s="6"/>
      <c r="AC103" s="6"/>
      <c r="AD103" s="1"/>
      <c r="AE103" s="6"/>
      <c r="AF103" s="6"/>
      <c r="AG103" s="6">
        <v>0</v>
      </c>
      <c r="AH103" s="6">
        <v>0</v>
      </c>
      <c r="AI103" s="6">
        <v>0</v>
      </c>
      <c r="AJ103" s="143">
        <v>0</v>
      </c>
      <c r="AL103" s="148">
        <v>4701</v>
      </c>
      <c r="CK103" s="323"/>
      <c r="CL103" s="323"/>
      <c r="CM103" s="323"/>
      <c r="CN103" s="323"/>
      <c r="CO103" s="323"/>
      <c r="CP103" s="323"/>
      <c r="CQ103" s="323"/>
      <c r="CR103" s="323"/>
      <c r="CS103" s="323"/>
      <c r="CT103" s="323"/>
      <c r="DC103" s="323"/>
    </row>
    <row r="104" spans="2:107 14889:15281" s="3" customFormat="1" x14ac:dyDescent="0.25">
      <c r="B104" s="81"/>
      <c r="C104" s="138" t="s">
        <v>32</v>
      </c>
      <c r="D104" s="78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63"/>
      <c r="AL104" s="80" t="s">
        <v>32</v>
      </c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DC104" s="16"/>
    </row>
    <row r="105" spans="2:107 14889:15281" s="3" customFormat="1" x14ac:dyDescent="0.25">
      <c r="B105" s="81"/>
      <c r="C105" s="59" t="s">
        <v>51</v>
      </c>
      <c r="D105" s="78"/>
      <c r="E105" s="7" t="s">
        <v>32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63">
        <v>0</v>
      </c>
      <c r="AL105" s="64">
        <v>0</v>
      </c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DC105" s="16"/>
    </row>
    <row r="106" spans="2:107 14889:15281" s="3" customFormat="1" x14ac:dyDescent="0.25">
      <c r="B106" s="81"/>
      <c r="C106" s="59" t="s">
        <v>50</v>
      </c>
      <c r="D106" s="78"/>
      <c r="E106" s="7" t="s">
        <v>32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28206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63">
        <v>0</v>
      </c>
      <c r="AL106" s="64">
        <v>28206</v>
      </c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DC106" s="16"/>
    </row>
    <row r="107" spans="2:107 14889:15281" s="3" customFormat="1" x14ac:dyDescent="0.25">
      <c r="B107" s="81"/>
      <c r="C107" s="138" t="s">
        <v>41</v>
      </c>
      <c r="D107" s="78"/>
      <c r="E107" s="7" t="s">
        <v>40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1348.2394411764706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63">
        <v>0</v>
      </c>
      <c r="AL107" s="64">
        <v>1348.2394411764706</v>
      </c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DC107" s="16"/>
    </row>
    <row r="108" spans="2:107 14889:15281" s="3" customFormat="1" x14ac:dyDescent="0.25">
      <c r="B108" s="81"/>
      <c r="C108" s="138" t="s">
        <v>39</v>
      </c>
      <c r="D108" s="78"/>
      <c r="E108" s="7" t="s">
        <v>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9.4019999999999992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277">
        <v>0</v>
      </c>
      <c r="AG108" s="277">
        <v>0</v>
      </c>
      <c r="AH108" s="277">
        <v>0</v>
      </c>
      <c r="AI108" s="277">
        <v>0</v>
      </c>
      <c r="AJ108" s="278">
        <v>0</v>
      </c>
      <c r="AL108" s="64">
        <v>9.4019999999999992</v>
      </c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DC108" s="16"/>
    </row>
    <row r="109" spans="2:107 14889:15281" s="3" customFormat="1" x14ac:dyDescent="0.25">
      <c r="B109" s="49"/>
      <c r="C109" s="43" t="s">
        <v>37</v>
      </c>
      <c r="D109" s="44"/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45"/>
      <c r="AD109" s="25"/>
      <c r="AE109" s="25"/>
      <c r="AF109" s="25"/>
      <c r="AG109" s="46"/>
      <c r="AH109" s="46"/>
      <c r="AI109" s="46"/>
      <c r="AJ109" s="47"/>
      <c r="AK109" s="12"/>
      <c r="AL109" s="259" t="s">
        <v>34</v>
      </c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DC109" s="16"/>
      <c r="UZQ109" s="190"/>
      <c r="UZR109" s="190"/>
      <c r="UZS109" s="190"/>
      <c r="UZT109" s="190"/>
      <c r="UZU109" s="190"/>
      <c r="UZV109" s="190"/>
      <c r="UZW109" s="190"/>
      <c r="UZX109" s="190"/>
      <c r="UZY109" s="190"/>
      <c r="UZZ109" s="190"/>
      <c r="VAA109" s="190"/>
      <c r="VAB109" s="190"/>
      <c r="VAC109" s="190"/>
      <c r="VAD109" s="190"/>
      <c r="VAE109" s="190"/>
      <c r="VAF109" s="190"/>
      <c r="VAG109" s="190"/>
      <c r="VAH109" s="190"/>
      <c r="VAI109" s="190"/>
      <c r="VAJ109" s="190"/>
      <c r="VAK109" s="190"/>
      <c r="VAL109" s="190"/>
      <c r="VAM109" s="190"/>
      <c r="VAN109" s="190"/>
      <c r="VAO109" s="190"/>
      <c r="VAP109" s="190"/>
      <c r="VAQ109" s="190"/>
      <c r="VAR109" s="190"/>
      <c r="VAS109" s="190"/>
      <c r="VAT109" s="190"/>
      <c r="VAU109" s="190"/>
      <c r="VAV109" s="190"/>
      <c r="VAW109" s="190"/>
      <c r="VAX109" s="190"/>
      <c r="VAY109" s="190"/>
      <c r="VAZ109" s="190"/>
      <c r="VBA109" s="190"/>
      <c r="VBB109" s="190"/>
      <c r="VBC109" s="190"/>
      <c r="VBD109" s="190"/>
      <c r="VBE109" s="190"/>
      <c r="VBF109" s="190"/>
      <c r="VBG109" s="190"/>
      <c r="VBH109" s="190"/>
      <c r="VBI109" s="190"/>
      <c r="VBJ109" s="190"/>
      <c r="VBK109" s="190"/>
      <c r="VBL109" s="190"/>
      <c r="VBM109" s="190"/>
      <c r="VBN109" s="190"/>
      <c r="VBO109" s="190"/>
      <c r="VBP109" s="190"/>
      <c r="VBQ109" s="190"/>
      <c r="VBR109" s="190"/>
      <c r="VBS109" s="190"/>
      <c r="VBT109" s="190"/>
      <c r="VBU109" s="190"/>
      <c r="VBV109" s="190"/>
      <c r="VBW109" s="190"/>
      <c r="VBX109" s="190"/>
      <c r="VBY109" s="190"/>
      <c r="VBZ109" s="190"/>
      <c r="VCA109" s="190"/>
      <c r="VCB109" s="190"/>
      <c r="VCC109" s="190"/>
      <c r="VCD109" s="190"/>
      <c r="VCE109" s="190"/>
      <c r="VCF109" s="190"/>
      <c r="VCG109" s="190"/>
      <c r="VCH109" s="190"/>
      <c r="VCI109" s="190"/>
      <c r="VCJ109" s="190"/>
      <c r="VCK109" s="190"/>
      <c r="VCL109" s="190"/>
      <c r="VCM109" s="190"/>
      <c r="VCN109" s="190"/>
      <c r="VCO109" s="190"/>
      <c r="VCP109" s="190"/>
      <c r="VCQ109" s="190"/>
      <c r="VCR109" s="190"/>
      <c r="VCS109" s="190"/>
      <c r="VCT109" s="190"/>
      <c r="VCU109" s="190"/>
      <c r="VCV109" s="190"/>
      <c r="VCW109" s="190"/>
      <c r="VCX109" s="190"/>
      <c r="VCY109" s="190"/>
      <c r="VCZ109" s="190"/>
      <c r="VDA109" s="190"/>
      <c r="VDB109" s="190"/>
      <c r="VDC109" s="190"/>
      <c r="VDD109" s="190"/>
      <c r="VDE109" s="190"/>
      <c r="VDF109" s="190"/>
      <c r="VDG109" s="190"/>
      <c r="VDH109" s="190"/>
      <c r="VDI109" s="190"/>
      <c r="VDJ109" s="190"/>
      <c r="VDK109" s="190"/>
      <c r="VDL109" s="190"/>
      <c r="VDM109" s="190"/>
      <c r="VDN109" s="190"/>
      <c r="VDO109" s="190"/>
      <c r="VDP109" s="190"/>
      <c r="VDQ109" s="190"/>
      <c r="VDR109" s="190"/>
      <c r="VDS109" s="190"/>
      <c r="VDT109" s="190"/>
      <c r="VDU109" s="190"/>
      <c r="VDV109" s="190"/>
      <c r="VDW109" s="190"/>
      <c r="VDX109" s="190"/>
      <c r="VDY109" s="190"/>
      <c r="VDZ109" s="190"/>
      <c r="VEA109" s="190"/>
      <c r="VEB109" s="190"/>
      <c r="VEC109" s="190"/>
      <c r="VED109" s="190"/>
      <c r="VEE109" s="190"/>
      <c r="VEF109" s="190"/>
      <c r="VEG109" s="190"/>
      <c r="VEH109" s="190"/>
      <c r="VEI109" s="190"/>
      <c r="VEJ109" s="190"/>
      <c r="VEK109" s="190"/>
      <c r="VEL109" s="190"/>
      <c r="VEM109" s="190"/>
      <c r="VEN109" s="190"/>
      <c r="VEO109" s="190"/>
      <c r="VEP109" s="190"/>
      <c r="VEQ109" s="190"/>
      <c r="VER109" s="190"/>
      <c r="VES109" s="190"/>
      <c r="VET109" s="190"/>
      <c r="VEU109" s="190"/>
      <c r="VEV109" s="190"/>
      <c r="VEW109" s="190"/>
      <c r="VEX109" s="190"/>
      <c r="VEY109" s="190"/>
      <c r="VEZ109" s="190"/>
      <c r="VFA109" s="190"/>
      <c r="VFB109" s="190"/>
      <c r="VFC109" s="190"/>
      <c r="VFD109" s="190"/>
      <c r="VFE109" s="190"/>
      <c r="VFF109" s="190"/>
      <c r="VFG109" s="190"/>
      <c r="VFH109" s="190"/>
      <c r="VFI109" s="190"/>
      <c r="VFJ109" s="190"/>
      <c r="VFK109" s="190"/>
      <c r="VFL109" s="190"/>
      <c r="VFM109" s="190"/>
      <c r="VFN109" s="190"/>
      <c r="VFO109" s="190"/>
      <c r="VFP109" s="190"/>
      <c r="VFQ109" s="190"/>
      <c r="VFR109" s="190"/>
      <c r="VFS109" s="190"/>
      <c r="VFT109" s="190"/>
      <c r="VFU109" s="190"/>
      <c r="VFV109" s="190"/>
      <c r="VFW109" s="190"/>
      <c r="VFX109" s="190"/>
      <c r="VFY109" s="190"/>
      <c r="VFZ109" s="190"/>
      <c r="VGA109" s="190"/>
      <c r="VGB109" s="190"/>
      <c r="VGC109" s="190"/>
      <c r="VGD109" s="190"/>
      <c r="VGE109" s="190"/>
      <c r="VGF109" s="190"/>
      <c r="VGG109" s="190"/>
      <c r="VGH109" s="190"/>
      <c r="VGI109" s="190"/>
      <c r="VGJ109" s="190"/>
      <c r="VGK109" s="190"/>
      <c r="VGL109" s="190"/>
      <c r="VGM109" s="190"/>
      <c r="VGN109" s="190"/>
      <c r="VGO109" s="190"/>
      <c r="VGP109" s="190"/>
      <c r="VGQ109" s="190"/>
      <c r="VGR109" s="190"/>
      <c r="VGS109" s="190"/>
      <c r="VGT109" s="190"/>
      <c r="VGU109" s="190"/>
      <c r="VGV109" s="190"/>
      <c r="VGW109" s="190"/>
      <c r="VGX109" s="190"/>
      <c r="VGY109" s="190"/>
      <c r="VGZ109" s="190"/>
      <c r="VHA109" s="190"/>
      <c r="VHB109" s="190"/>
      <c r="VHC109" s="190"/>
      <c r="VHD109" s="190"/>
      <c r="VHE109" s="190"/>
      <c r="VHF109" s="190"/>
      <c r="VHG109" s="190"/>
      <c r="VHH109" s="190"/>
      <c r="VHI109" s="190"/>
      <c r="VHJ109" s="190"/>
      <c r="VHK109" s="190"/>
      <c r="VHL109" s="190"/>
      <c r="VHM109" s="190"/>
      <c r="VHN109" s="190"/>
      <c r="VHO109" s="190"/>
      <c r="VHP109" s="190"/>
      <c r="VHQ109" s="190"/>
      <c r="VHR109" s="190"/>
      <c r="VHS109" s="190"/>
      <c r="VHT109" s="190"/>
      <c r="VHU109" s="190"/>
      <c r="VHV109" s="190"/>
      <c r="VHW109" s="190"/>
      <c r="VHX109" s="190"/>
      <c r="VHY109" s="190"/>
      <c r="VHZ109" s="190"/>
      <c r="VIA109" s="190"/>
      <c r="VIB109" s="190"/>
      <c r="VIC109" s="190"/>
      <c r="VID109" s="190"/>
      <c r="VIE109" s="190"/>
      <c r="VIF109" s="190"/>
      <c r="VIG109" s="190"/>
      <c r="VIH109" s="190"/>
      <c r="VII109" s="190"/>
      <c r="VIJ109" s="190"/>
      <c r="VIK109" s="190"/>
      <c r="VIL109" s="190"/>
      <c r="VIM109" s="190"/>
      <c r="VIN109" s="190"/>
      <c r="VIO109" s="190"/>
      <c r="VIP109" s="190"/>
      <c r="VIQ109" s="190"/>
      <c r="VIR109" s="190"/>
      <c r="VIS109" s="190"/>
      <c r="VIT109" s="190"/>
      <c r="VIU109" s="190"/>
      <c r="VIV109" s="190"/>
      <c r="VIW109" s="190"/>
      <c r="VIX109" s="190"/>
      <c r="VIY109" s="190"/>
      <c r="VIZ109" s="190"/>
      <c r="VJA109" s="190"/>
      <c r="VJB109" s="190"/>
      <c r="VJC109" s="190"/>
      <c r="VJD109" s="190"/>
      <c r="VJE109" s="190"/>
      <c r="VJF109" s="190"/>
      <c r="VJG109" s="190"/>
      <c r="VJH109" s="190"/>
      <c r="VJI109" s="190"/>
      <c r="VJJ109" s="190"/>
      <c r="VJK109" s="190"/>
      <c r="VJL109" s="190"/>
      <c r="VJM109" s="190"/>
      <c r="VJN109" s="190"/>
      <c r="VJO109" s="190"/>
      <c r="VJP109" s="190"/>
      <c r="VJQ109" s="190"/>
      <c r="VJR109" s="190"/>
      <c r="VJS109" s="190"/>
      <c r="VJT109" s="190"/>
      <c r="VJU109" s="190"/>
      <c r="VJV109" s="190"/>
      <c r="VJW109" s="190"/>
      <c r="VJX109" s="190"/>
      <c r="VJY109" s="190"/>
      <c r="VJZ109" s="190"/>
      <c r="VKA109" s="190"/>
      <c r="VKB109" s="190"/>
      <c r="VKC109" s="190"/>
      <c r="VKD109" s="190"/>
      <c r="VKE109" s="190"/>
      <c r="VKF109" s="190"/>
      <c r="VKG109" s="190"/>
      <c r="VKH109" s="190"/>
      <c r="VKI109" s="190"/>
      <c r="VKJ109" s="190"/>
      <c r="VKK109" s="190"/>
      <c r="VKL109" s="190"/>
      <c r="VKM109" s="190"/>
      <c r="VKN109" s="190"/>
      <c r="VKO109" s="190"/>
      <c r="VKP109" s="190"/>
      <c r="VKQ109" s="190"/>
      <c r="VKR109" s="190"/>
      <c r="VKS109" s="190"/>
      <c r="VKT109" s="190"/>
      <c r="VKU109" s="190"/>
      <c r="VKV109" s="190"/>
      <c r="VKW109" s="190"/>
      <c r="VKX109" s="190"/>
      <c r="VKY109" s="190"/>
      <c r="VKZ109" s="190"/>
      <c r="VLA109" s="190"/>
      <c r="VLB109" s="190"/>
      <c r="VLC109" s="190"/>
      <c r="VLD109" s="190"/>
      <c r="VLE109" s="190"/>
      <c r="VLF109" s="190"/>
      <c r="VLG109" s="190"/>
      <c r="VLH109" s="190"/>
      <c r="VLI109" s="190"/>
      <c r="VLJ109" s="190"/>
      <c r="VLK109" s="190"/>
      <c r="VLL109" s="190"/>
      <c r="VLM109" s="190"/>
      <c r="VLN109" s="190"/>
      <c r="VLO109" s="190"/>
      <c r="VLP109" s="190"/>
      <c r="VLQ109" s="190"/>
      <c r="VLR109" s="190"/>
      <c r="VLS109" s="190"/>
      <c r="VLT109" s="190"/>
      <c r="VLU109" s="190"/>
      <c r="VLV109" s="190"/>
      <c r="VLW109" s="190"/>
      <c r="VLX109" s="190"/>
      <c r="VLY109" s="190"/>
      <c r="VLZ109" s="190"/>
      <c r="VMA109" s="190"/>
      <c r="VMB109" s="190"/>
      <c r="VMC109" s="190"/>
      <c r="VMD109" s="190"/>
      <c r="VME109" s="190"/>
      <c r="VMF109" s="190"/>
      <c r="VMG109" s="190"/>
      <c r="VMH109" s="190"/>
      <c r="VMI109" s="190"/>
      <c r="VMJ109" s="190"/>
      <c r="VMK109" s="190"/>
      <c r="VML109" s="190"/>
      <c r="VMM109" s="190"/>
      <c r="VMN109" s="190"/>
      <c r="VMO109" s="190"/>
      <c r="VMP109" s="190"/>
      <c r="VMQ109" s="190"/>
      <c r="VMR109" s="190"/>
      <c r="VMS109" s="190"/>
      <c r="VMT109" s="190"/>
      <c r="VMU109" s="190"/>
      <c r="VMV109" s="190"/>
      <c r="VMW109" s="190"/>
      <c r="VMX109" s="190"/>
      <c r="VMY109" s="190"/>
      <c r="VMZ109" s="190"/>
      <c r="VNA109" s="190"/>
      <c r="VNB109" s="190"/>
      <c r="VNC109" s="190"/>
      <c r="VND109" s="190"/>
      <c r="VNE109" s="190"/>
      <c r="VNF109" s="190"/>
      <c r="VNG109" s="190"/>
      <c r="VNH109" s="190"/>
      <c r="VNI109" s="190"/>
      <c r="VNJ109" s="190"/>
      <c r="VNK109" s="190"/>
      <c r="VNL109" s="190"/>
      <c r="VNM109" s="190"/>
      <c r="VNN109" s="190"/>
      <c r="VNO109" s="190"/>
      <c r="VNP109" s="190"/>
      <c r="VNQ109" s="190"/>
      <c r="VNR109" s="190"/>
      <c r="VNS109" s="190"/>
      <c r="VNT109" s="190"/>
      <c r="VNU109" s="190"/>
      <c r="VNV109" s="190"/>
      <c r="VNW109" s="190"/>
      <c r="VNX109" s="190"/>
      <c r="VNY109" s="190"/>
      <c r="VNZ109" s="190"/>
      <c r="VOA109" s="190"/>
      <c r="VOB109" s="190"/>
      <c r="VOC109" s="190"/>
      <c r="VOD109" s="190"/>
      <c r="VOE109" s="190"/>
      <c r="VOF109" s="190"/>
      <c r="VOG109" s="190"/>
      <c r="VOH109" s="190"/>
      <c r="VOI109" s="190"/>
      <c r="VOJ109" s="190"/>
      <c r="VOK109" s="190"/>
      <c r="VOL109" s="190"/>
      <c r="VOM109" s="190"/>
      <c r="VON109" s="190"/>
      <c r="VOO109" s="190"/>
      <c r="VOP109" s="190"/>
      <c r="VOQ109" s="190"/>
      <c r="VOR109" s="190"/>
      <c r="VOS109" s="190"/>
    </row>
    <row r="110" spans="2:107 14889:15281" s="3" customFormat="1" x14ac:dyDescent="0.25">
      <c r="B110" s="81"/>
      <c r="C110" s="138" t="s">
        <v>33</v>
      </c>
      <c r="D110" s="78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62"/>
      <c r="AH110" s="62"/>
      <c r="AI110" s="62"/>
      <c r="AJ110" s="63"/>
      <c r="AL110" s="80" t="s">
        <v>33</v>
      </c>
      <c r="DC110" s="16"/>
    </row>
    <row r="111" spans="2:107 14889:15281" s="3" customFormat="1" x14ac:dyDescent="0.25">
      <c r="B111" s="81"/>
      <c r="C111" s="59" t="s">
        <v>51</v>
      </c>
      <c r="D111" s="78"/>
      <c r="E111" s="7" t="s">
        <v>36</v>
      </c>
      <c r="F111" s="6"/>
      <c r="G111" s="6"/>
      <c r="H111" s="6"/>
      <c r="I111" s="1"/>
      <c r="J111" s="6"/>
      <c r="K111" s="6"/>
      <c r="L111" s="6"/>
      <c r="M111" s="6"/>
      <c r="N111" s="6"/>
      <c r="O111" s="6"/>
      <c r="P111" s="1"/>
      <c r="Q111" s="6"/>
      <c r="R111" s="6"/>
      <c r="S111" s="6"/>
      <c r="T111" s="6"/>
      <c r="U111" s="6"/>
      <c r="V111" s="6"/>
      <c r="W111" s="1"/>
      <c r="X111" s="6"/>
      <c r="Y111" s="6"/>
      <c r="Z111" s="6"/>
      <c r="AA111" s="6"/>
      <c r="AB111" s="6"/>
      <c r="AC111" s="6"/>
      <c r="AD111" s="1"/>
      <c r="AE111" s="6"/>
      <c r="AF111" s="6">
        <v>0</v>
      </c>
      <c r="AG111" s="6">
        <v>0</v>
      </c>
      <c r="AH111" s="6">
        <v>0</v>
      </c>
      <c r="AI111" s="6">
        <v>0</v>
      </c>
      <c r="AJ111" s="143">
        <v>0</v>
      </c>
      <c r="AL111" s="64">
        <v>0</v>
      </c>
      <c r="DC111" s="16"/>
    </row>
    <row r="112" spans="2:107 14889:15281" s="3" customFormat="1" x14ac:dyDescent="0.25">
      <c r="B112" s="81"/>
      <c r="C112" s="59" t="s">
        <v>50</v>
      </c>
      <c r="D112" s="78"/>
      <c r="E112" s="7" t="s">
        <v>36</v>
      </c>
      <c r="F112" s="6"/>
      <c r="G112" s="6"/>
      <c r="H112" s="6"/>
      <c r="I112" s="1"/>
      <c r="J112" s="6"/>
      <c r="K112" s="6"/>
      <c r="L112" s="6"/>
      <c r="M112" s="6"/>
      <c r="N112" s="6"/>
      <c r="O112" s="6"/>
      <c r="P112" s="1"/>
      <c r="Q112" s="6"/>
      <c r="R112" s="6"/>
      <c r="S112" s="6"/>
      <c r="T112" s="6"/>
      <c r="U112" s="6"/>
      <c r="V112" s="6"/>
      <c r="W112" s="1"/>
      <c r="X112" s="6">
        <v>1</v>
      </c>
      <c r="Y112" s="6"/>
      <c r="Z112" s="6"/>
      <c r="AA112" s="6"/>
      <c r="AB112" s="6"/>
      <c r="AC112" s="6"/>
      <c r="AD112" s="1"/>
      <c r="AE112" s="6"/>
      <c r="AF112" s="6">
        <v>0</v>
      </c>
      <c r="AG112" s="6">
        <v>0</v>
      </c>
      <c r="AH112" s="6">
        <v>0</v>
      </c>
      <c r="AI112" s="6">
        <v>0</v>
      </c>
      <c r="AJ112" s="143">
        <v>0</v>
      </c>
      <c r="AL112" s="64">
        <v>1</v>
      </c>
      <c r="DC112" s="16"/>
    </row>
    <row r="113" spans="2:107 14889:15281" s="3" customFormat="1" x14ac:dyDescent="0.25">
      <c r="B113" s="81"/>
      <c r="C113" s="138" t="s">
        <v>32</v>
      </c>
      <c r="D113" s="78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63"/>
      <c r="AL113" s="80" t="s">
        <v>32</v>
      </c>
      <c r="DC113" s="16"/>
    </row>
    <row r="114" spans="2:107 14889:15281" s="3" customFormat="1" x14ac:dyDescent="0.25">
      <c r="B114" s="81"/>
      <c r="C114" s="59" t="s">
        <v>51</v>
      </c>
      <c r="D114" s="78"/>
      <c r="E114" s="7" t="s">
        <v>32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143">
        <v>0</v>
      </c>
      <c r="AL114" s="64">
        <v>0</v>
      </c>
      <c r="DC114" s="16"/>
    </row>
    <row r="115" spans="2:107 14889:15281" s="3" customFormat="1" x14ac:dyDescent="0.25">
      <c r="B115" s="81"/>
      <c r="C115" s="59" t="s">
        <v>50</v>
      </c>
      <c r="D115" s="78"/>
      <c r="E115" s="7" t="s">
        <v>32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6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143">
        <v>0</v>
      </c>
      <c r="AL115" s="64">
        <v>6</v>
      </c>
      <c r="DC115" s="16"/>
    </row>
    <row r="116" spans="2:107 14889:15281" s="3" customFormat="1" x14ac:dyDescent="0.25">
      <c r="B116" s="49"/>
      <c r="C116" s="43" t="s">
        <v>35</v>
      </c>
      <c r="D116" s="44"/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45"/>
      <c r="AD116" s="25"/>
      <c r="AE116" s="25"/>
      <c r="AF116" s="25"/>
      <c r="AG116" s="46"/>
      <c r="AH116" s="46"/>
      <c r="AI116" s="46"/>
      <c r="AJ116" s="47"/>
      <c r="AK116" s="12"/>
      <c r="AL116" s="259" t="s">
        <v>34</v>
      </c>
      <c r="DC116" s="16"/>
      <c r="UZQ116" s="190"/>
      <c r="UZR116" s="190"/>
      <c r="UZS116" s="190"/>
      <c r="UZT116" s="190"/>
      <c r="UZU116" s="190"/>
      <c r="UZV116" s="190"/>
      <c r="UZW116" s="190"/>
      <c r="UZX116" s="190"/>
      <c r="UZY116" s="190"/>
      <c r="UZZ116" s="190"/>
      <c r="VAA116" s="190"/>
      <c r="VAB116" s="190"/>
      <c r="VAC116" s="190"/>
      <c r="VAD116" s="190"/>
      <c r="VAE116" s="190"/>
      <c r="VAF116" s="190"/>
      <c r="VAG116" s="190"/>
      <c r="VAH116" s="190"/>
      <c r="VAI116" s="190"/>
      <c r="VAJ116" s="190"/>
      <c r="VAK116" s="190"/>
      <c r="VAL116" s="190"/>
      <c r="VAM116" s="190"/>
      <c r="VAN116" s="190"/>
      <c r="VAO116" s="190"/>
      <c r="VAP116" s="190"/>
      <c r="VAQ116" s="190"/>
      <c r="VAR116" s="190"/>
      <c r="VAS116" s="190"/>
      <c r="VAT116" s="190"/>
      <c r="VAU116" s="190"/>
      <c r="VAV116" s="190"/>
      <c r="VAW116" s="190"/>
      <c r="VAX116" s="190"/>
      <c r="VAY116" s="190"/>
      <c r="VAZ116" s="190"/>
      <c r="VBA116" s="190"/>
      <c r="VBB116" s="190"/>
      <c r="VBC116" s="190"/>
      <c r="VBD116" s="190"/>
      <c r="VBE116" s="190"/>
      <c r="VBF116" s="190"/>
      <c r="VBG116" s="190"/>
      <c r="VBH116" s="190"/>
      <c r="VBI116" s="190"/>
      <c r="VBJ116" s="190"/>
      <c r="VBK116" s="190"/>
      <c r="VBL116" s="190"/>
      <c r="VBM116" s="190"/>
      <c r="VBN116" s="190"/>
      <c r="VBO116" s="190"/>
      <c r="VBP116" s="190"/>
      <c r="VBQ116" s="190"/>
      <c r="VBR116" s="190"/>
      <c r="VBS116" s="190"/>
      <c r="VBT116" s="190"/>
      <c r="VBU116" s="190"/>
      <c r="VBV116" s="190"/>
      <c r="VBW116" s="190"/>
      <c r="VBX116" s="190"/>
      <c r="VBY116" s="190"/>
      <c r="VBZ116" s="190"/>
      <c r="VCA116" s="190"/>
      <c r="VCB116" s="190"/>
      <c r="VCC116" s="190"/>
      <c r="VCD116" s="190"/>
      <c r="VCE116" s="190"/>
      <c r="VCF116" s="190"/>
      <c r="VCG116" s="190"/>
      <c r="VCH116" s="190"/>
      <c r="VCI116" s="190"/>
      <c r="VCJ116" s="190"/>
      <c r="VCK116" s="190"/>
      <c r="VCL116" s="190"/>
      <c r="VCM116" s="190"/>
      <c r="VCN116" s="190"/>
      <c r="VCO116" s="190"/>
      <c r="VCP116" s="190"/>
      <c r="VCQ116" s="190"/>
      <c r="VCR116" s="190"/>
      <c r="VCS116" s="190"/>
      <c r="VCT116" s="190"/>
      <c r="VCU116" s="190"/>
      <c r="VCV116" s="190"/>
      <c r="VCW116" s="190"/>
      <c r="VCX116" s="190"/>
      <c r="VCY116" s="190"/>
      <c r="VCZ116" s="190"/>
      <c r="VDA116" s="190"/>
      <c r="VDB116" s="190"/>
      <c r="VDC116" s="190"/>
      <c r="VDD116" s="190"/>
      <c r="VDE116" s="190"/>
      <c r="VDF116" s="190"/>
      <c r="VDG116" s="190"/>
      <c r="VDH116" s="190"/>
      <c r="VDI116" s="190"/>
      <c r="VDJ116" s="190"/>
      <c r="VDK116" s="190"/>
      <c r="VDL116" s="190"/>
      <c r="VDM116" s="190"/>
      <c r="VDN116" s="190"/>
      <c r="VDO116" s="190"/>
      <c r="VDP116" s="190"/>
      <c r="VDQ116" s="190"/>
      <c r="VDR116" s="190"/>
      <c r="VDS116" s="190"/>
      <c r="VDT116" s="190"/>
      <c r="VDU116" s="190"/>
      <c r="VDV116" s="190"/>
      <c r="VDW116" s="190"/>
      <c r="VDX116" s="190"/>
      <c r="VDY116" s="190"/>
      <c r="VDZ116" s="190"/>
      <c r="VEA116" s="190"/>
      <c r="VEB116" s="190"/>
      <c r="VEC116" s="190"/>
      <c r="VED116" s="190"/>
      <c r="VEE116" s="190"/>
      <c r="VEF116" s="190"/>
      <c r="VEG116" s="190"/>
      <c r="VEH116" s="190"/>
      <c r="VEI116" s="190"/>
      <c r="VEJ116" s="190"/>
      <c r="VEK116" s="190"/>
      <c r="VEL116" s="190"/>
      <c r="VEM116" s="190"/>
      <c r="VEN116" s="190"/>
      <c r="VEO116" s="190"/>
      <c r="VEP116" s="190"/>
      <c r="VEQ116" s="190"/>
      <c r="VER116" s="190"/>
      <c r="VES116" s="190"/>
      <c r="VET116" s="190"/>
      <c r="VEU116" s="190"/>
      <c r="VEV116" s="190"/>
      <c r="VEW116" s="190"/>
      <c r="VEX116" s="190"/>
      <c r="VEY116" s="190"/>
      <c r="VEZ116" s="190"/>
      <c r="VFA116" s="190"/>
      <c r="VFB116" s="190"/>
      <c r="VFC116" s="190"/>
      <c r="VFD116" s="190"/>
      <c r="VFE116" s="190"/>
      <c r="VFF116" s="190"/>
      <c r="VFG116" s="190"/>
      <c r="VFH116" s="190"/>
      <c r="VFI116" s="190"/>
      <c r="VFJ116" s="190"/>
      <c r="VFK116" s="190"/>
      <c r="VFL116" s="190"/>
      <c r="VFM116" s="190"/>
      <c r="VFN116" s="190"/>
      <c r="VFO116" s="190"/>
      <c r="VFP116" s="190"/>
      <c r="VFQ116" s="190"/>
      <c r="VFR116" s="190"/>
      <c r="VFS116" s="190"/>
      <c r="VFT116" s="190"/>
      <c r="VFU116" s="190"/>
      <c r="VFV116" s="190"/>
      <c r="VFW116" s="190"/>
      <c r="VFX116" s="190"/>
      <c r="VFY116" s="190"/>
      <c r="VFZ116" s="190"/>
      <c r="VGA116" s="190"/>
      <c r="VGB116" s="190"/>
      <c r="VGC116" s="190"/>
      <c r="VGD116" s="190"/>
      <c r="VGE116" s="190"/>
      <c r="VGF116" s="190"/>
      <c r="VGG116" s="190"/>
      <c r="VGH116" s="190"/>
      <c r="VGI116" s="190"/>
      <c r="VGJ116" s="190"/>
      <c r="VGK116" s="190"/>
      <c r="VGL116" s="190"/>
      <c r="VGM116" s="190"/>
      <c r="VGN116" s="190"/>
      <c r="VGO116" s="190"/>
      <c r="VGP116" s="190"/>
      <c r="VGQ116" s="190"/>
      <c r="VGR116" s="190"/>
      <c r="VGS116" s="190"/>
      <c r="VGT116" s="190"/>
      <c r="VGU116" s="190"/>
      <c r="VGV116" s="190"/>
      <c r="VGW116" s="190"/>
      <c r="VGX116" s="190"/>
      <c r="VGY116" s="190"/>
      <c r="VGZ116" s="190"/>
      <c r="VHA116" s="190"/>
      <c r="VHB116" s="190"/>
      <c r="VHC116" s="190"/>
      <c r="VHD116" s="190"/>
      <c r="VHE116" s="190"/>
      <c r="VHF116" s="190"/>
      <c r="VHG116" s="190"/>
      <c r="VHH116" s="190"/>
      <c r="VHI116" s="190"/>
      <c r="VHJ116" s="190"/>
      <c r="VHK116" s="190"/>
      <c r="VHL116" s="190"/>
      <c r="VHM116" s="190"/>
      <c r="VHN116" s="190"/>
      <c r="VHO116" s="190"/>
      <c r="VHP116" s="190"/>
      <c r="VHQ116" s="190"/>
      <c r="VHR116" s="190"/>
      <c r="VHS116" s="190"/>
      <c r="VHT116" s="190"/>
      <c r="VHU116" s="190"/>
      <c r="VHV116" s="190"/>
      <c r="VHW116" s="190"/>
      <c r="VHX116" s="190"/>
      <c r="VHY116" s="190"/>
      <c r="VHZ116" s="190"/>
      <c r="VIA116" s="190"/>
      <c r="VIB116" s="190"/>
      <c r="VIC116" s="190"/>
      <c r="VID116" s="190"/>
      <c r="VIE116" s="190"/>
      <c r="VIF116" s="190"/>
      <c r="VIG116" s="190"/>
      <c r="VIH116" s="190"/>
      <c r="VII116" s="190"/>
      <c r="VIJ116" s="190"/>
      <c r="VIK116" s="190"/>
      <c r="VIL116" s="190"/>
      <c r="VIM116" s="190"/>
      <c r="VIN116" s="190"/>
      <c r="VIO116" s="190"/>
      <c r="VIP116" s="190"/>
      <c r="VIQ116" s="190"/>
      <c r="VIR116" s="190"/>
      <c r="VIS116" s="190"/>
      <c r="VIT116" s="190"/>
      <c r="VIU116" s="190"/>
      <c r="VIV116" s="190"/>
      <c r="VIW116" s="190"/>
      <c r="VIX116" s="190"/>
      <c r="VIY116" s="190"/>
      <c r="VIZ116" s="190"/>
      <c r="VJA116" s="190"/>
      <c r="VJB116" s="190"/>
      <c r="VJC116" s="190"/>
      <c r="VJD116" s="190"/>
      <c r="VJE116" s="190"/>
      <c r="VJF116" s="190"/>
      <c r="VJG116" s="190"/>
      <c r="VJH116" s="190"/>
      <c r="VJI116" s="190"/>
      <c r="VJJ116" s="190"/>
      <c r="VJK116" s="190"/>
      <c r="VJL116" s="190"/>
      <c r="VJM116" s="190"/>
      <c r="VJN116" s="190"/>
      <c r="VJO116" s="190"/>
      <c r="VJP116" s="190"/>
      <c r="VJQ116" s="190"/>
      <c r="VJR116" s="190"/>
      <c r="VJS116" s="190"/>
      <c r="VJT116" s="190"/>
      <c r="VJU116" s="190"/>
      <c r="VJV116" s="190"/>
      <c r="VJW116" s="190"/>
      <c r="VJX116" s="190"/>
      <c r="VJY116" s="190"/>
      <c r="VJZ116" s="190"/>
      <c r="VKA116" s="190"/>
      <c r="VKB116" s="190"/>
      <c r="VKC116" s="190"/>
      <c r="VKD116" s="190"/>
      <c r="VKE116" s="190"/>
      <c r="VKF116" s="190"/>
      <c r="VKG116" s="190"/>
      <c r="VKH116" s="190"/>
      <c r="VKI116" s="190"/>
      <c r="VKJ116" s="190"/>
      <c r="VKK116" s="190"/>
      <c r="VKL116" s="190"/>
      <c r="VKM116" s="190"/>
      <c r="VKN116" s="190"/>
      <c r="VKO116" s="190"/>
      <c r="VKP116" s="190"/>
      <c r="VKQ116" s="190"/>
      <c r="VKR116" s="190"/>
      <c r="VKS116" s="190"/>
      <c r="VKT116" s="190"/>
      <c r="VKU116" s="190"/>
      <c r="VKV116" s="190"/>
      <c r="VKW116" s="190"/>
      <c r="VKX116" s="190"/>
      <c r="VKY116" s="190"/>
      <c r="VKZ116" s="190"/>
      <c r="VLA116" s="190"/>
      <c r="VLB116" s="190"/>
      <c r="VLC116" s="190"/>
      <c r="VLD116" s="190"/>
      <c r="VLE116" s="190"/>
      <c r="VLF116" s="190"/>
      <c r="VLG116" s="190"/>
      <c r="VLH116" s="190"/>
      <c r="VLI116" s="190"/>
      <c r="VLJ116" s="190"/>
      <c r="VLK116" s="190"/>
      <c r="VLL116" s="190"/>
      <c r="VLM116" s="190"/>
      <c r="VLN116" s="190"/>
      <c r="VLO116" s="190"/>
      <c r="VLP116" s="190"/>
      <c r="VLQ116" s="190"/>
      <c r="VLR116" s="190"/>
      <c r="VLS116" s="190"/>
      <c r="VLT116" s="190"/>
      <c r="VLU116" s="190"/>
      <c r="VLV116" s="190"/>
      <c r="VLW116" s="190"/>
      <c r="VLX116" s="190"/>
      <c r="VLY116" s="190"/>
      <c r="VLZ116" s="190"/>
      <c r="VMA116" s="190"/>
      <c r="VMB116" s="190"/>
      <c r="VMC116" s="190"/>
      <c r="VMD116" s="190"/>
      <c r="VME116" s="190"/>
      <c r="VMF116" s="190"/>
      <c r="VMG116" s="190"/>
      <c r="VMH116" s="190"/>
      <c r="VMI116" s="190"/>
      <c r="VMJ116" s="190"/>
      <c r="VMK116" s="190"/>
      <c r="VML116" s="190"/>
      <c r="VMM116" s="190"/>
      <c r="VMN116" s="190"/>
      <c r="VMO116" s="190"/>
      <c r="VMP116" s="190"/>
      <c r="VMQ116" s="190"/>
      <c r="VMR116" s="190"/>
      <c r="VMS116" s="190"/>
      <c r="VMT116" s="190"/>
      <c r="VMU116" s="190"/>
      <c r="VMV116" s="190"/>
      <c r="VMW116" s="190"/>
      <c r="VMX116" s="190"/>
      <c r="VMY116" s="190"/>
      <c r="VMZ116" s="190"/>
      <c r="VNA116" s="190"/>
      <c r="VNB116" s="190"/>
      <c r="VNC116" s="190"/>
      <c r="VND116" s="190"/>
      <c r="VNE116" s="190"/>
      <c r="VNF116" s="190"/>
      <c r="VNG116" s="190"/>
      <c r="VNH116" s="190"/>
      <c r="VNI116" s="190"/>
      <c r="VNJ116" s="190"/>
      <c r="VNK116" s="190"/>
      <c r="VNL116" s="190"/>
      <c r="VNM116" s="190"/>
      <c r="VNN116" s="190"/>
      <c r="VNO116" s="190"/>
      <c r="VNP116" s="190"/>
      <c r="VNQ116" s="190"/>
      <c r="VNR116" s="190"/>
      <c r="VNS116" s="190"/>
      <c r="VNT116" s="190"/>
      <c r="VNU116" s="190"/>
      <c r="VNV116" s="190"/>
      <c r="VNW116" s="190"/>
      <c r="VNX116" s="190"/>
      <c r="VNY116" s="190"/>
      <c r="VNZ116" s="190"/>
      <c r="VOA116" s="190"/>
      <c r="VOB116" s="190"/>
      <c r="VOC116" s="190"/>
      <c r="VOD116" s="190"/>
      <c r="VOE116" s="190"/>
      <c r="VOF116" s="190"/>
      <c r="VOG116" s="190"/>
      <c r="VOH116" s="190"/>
      <c r="VOI116" s="190"/>
      <c r="VOJ116" s="190"/>
      <c r="VOK116" s="190"/>
      <c r="VOL116" s="190"/>
      <c r="VOM116" s="190"/>
      <c r="VON116" s="190"/>
      <c r="VOO116" s="190"/>
      <c r="VOP116" s="190"/>
      <c r="VOQ116" s="190"/>
      <c r="VOR116" s="190"/>
      <c r="VOS116" s="190"/>
    </row>
    <row r="117" spans="2:107 14889:15281" s="3" customFormat="1" x14ac:dyDescent="0.25">
      <c r="B117" s="81"/>
      <c r="C117" s="138" t="s">
        <v>33</v>
      </c>
      <c r="D117" s="78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62"/>
      <c r="AH117" s="62"/>
      <c r="AI117" s="62"/>
      <c r="AJ117" s="63"/>
      <c r="AL117" s="80" t="s">
        <v>33</v>
      </c>
      <c r="DC117" s="16"/>
    </row>
    <row r="118" spans="2:107 14889:15281" s="3" customFormat="1" x14ac:dyDescent="0.25">
      <c r="B118" s="81"/>
      <c r="C118" s="59" t="s">
        <v>51</v>
      </c>
      <c r="D118" s="209">
        <v>0.3</v>
      </c>
      <c r="E118" s="7" t="s">
        <v>29</v>
      </c>
      <c r="F118" s="207" t="e">
        <v>#DIV/0!</v>
      </c>
      <c r="G118" s="207" t="e">
        <v>#DIV/0!</v>
      </c>
      <c r="H118" s="207" t="e">
        <v>#DIV/0!</v>
      </c>
      <c r="I118" s="207" t="e">
        <v>#DIV/0!</v>
      </c>
      <c r="J118" s="207" t="e">
        <v>#DIV/0!</v>
      </c>
      <c r="K118" s="207" t="e">
        <v>#DIV/0!</v>
      </c>
      <c r="L118" s="207" t="e">
        <v>#DIV/0!</v>
      </c>
      <c r="M118" s="207" t="e">
        <v>#DIV/0!</v>
      </c>
      <c r="N118" s="207" t="e">
        <v>#DIV/0!</v>
      </c>
      <c r="O118" s="207" t="e">
        <v>#DIV/0!</v>
      </c>
      <c r="P118" s="207" t="e">
        <v>#DIV/0!</v>
      </c>
      <c r="Q118" s="207" t="e">
        <v>#DIV/0!</v>
      </c>
      <c r="R118" s="207" t="e">
        <v>#DIV/0!</v>
      </c>
      <c r="S118" s="207" t="e">
        <v>#DIV/0!</v>
      </c>
      <c r="T118" s="207" t="e">
        <v>#DIV/0!</v>
      </c>
      <c r="U118" s="207" t="e">
        <v>#DIV/0!</v>
      </c>
      <c r="V118" s="207" t="e">
        <v>#DIV/0!</v>
      </c>
      <c r="W118" s="207" t="e">
        <v>#DIV/0!</v>
      </c>
      <c r="X118" s="207" t="e">
        <v>#DIV/0!</v>
      </c>
      <c r="Y118" s="207" t="e">
        <v>#DIV/0!</v>
      </c>
      <c r="Z118" s="207" t="e">
        <v>#DIV/0!</v>
      </c>
      <c r="AA118" s="207" t="e">
        <v>#DIV/0!</v>
      </c>
      <c r="AB118" s="207" t="e">
        <v>#DIV/0!</v>
      </c>
      <c r="AC118" s="207" t="e">
        <v>#DIV/0!</v>
      </c>
      <c r="AD118" s="207" t="e">
        <v>#DIV/0!</v>
      </c>
      <c r="AE118" s="207" t="e">
        <v>#DIV/0!</v>
      </c>
      <c r="AF118" s="207" t="e">
        <v>#DIV/0!</v>
      </c>
      <c r="AG118" s="207" t="e">
        <v>#DIV/0!</v>
      </c>
      <c r="AH118" s="207" t="e">
        <v>#DIV/0!</v>
      </c>
      <c r="AI118" s="207" t="e">
        <v>#DIV/0!</v>
      </c>
      <c r="AJ118" s="208" t="e">
        <v>#DIV/0!</v>
      </c>
      <c r="AL118" s="76" t="e">
        <v>#DIV/0!</v>
      </c>
      <c r="DC118" s="16"/>
    </row>
    <row r="119" spans="2:107 14889:15281" s="3" customFormat="1" x14ac:dyDescent="0.25">
      <c r="B119" s="81"/>
      <c r="C119" s="59" t="s">
        <v>50</v>
      </c>
      <c r="D119" s="209">
        <v>0.3</v>
      </c>
      <c r="E119" s="7" t="s">
        <v>29</v>
      </c>
      <c r="F119" s="207" t="e">
        <v>#DIV/0!</v>
      </c>
      <c r="G119" s="207" t="e">
        <v>#DIV/0!</v>
      </c>
      <c r="H119" s="207" t="e">
        <v>#DIV/0!</v>
      </c>
      <c r="I119" s="207" t="e">
        <v>#DIV/0!</v>
      </c>
      <c r="J119" s="207" t="e">
        <v>#DIV/0!</v>
      </c>
      <c r="K119" s="207" t="e">
        <v>#DIV/0!</v>
      </c>
      <c r="L119" s="207" t="e">
        <v>#DIV/0!</v>
      </c>
      <c r="M119" s="207" t="e">
        <v>#DIV/0!</v>
      </c>
      <c r="N119" s="207" t="e">
        <v>#DIV/0!</v>
      </c>
      <c r="O119" s="207" t="e">
        <v>#DIV/0!</v>
      </c>
      <c r="P119" s="207" t="e">
        <v>#DIV/0!</v>
      </c>
      <c r="Q119" s="207" t="e">
        <v>#DIV/0!</v>
      </c>
      <c r="R119" s="207" t="e">
        <v>#DIV/0!</v>
      </c>
      <c r="S119" s="207" t="e">
        <v>#DIV/0!</v>
      </c>
      <c r="T119" s="207" t="e">
        <v>#DIV/0!</v>
      </c>
      <c r="U119" s="207" t="e">
        <v>#DIV/0!</v>
      </c>
      <c r="V119" s="207" t="e">
        <v>#DIV/0!</v>
      </c>
      <c r="W119" s="207" t="e">
        <v>#DIV/0!</v>
      </c>
      <c r="X119" s="207">
        <v>2.1272069772388852E-2</v>
      </c>
      <c r="Y119" s="207" t="e">
        <v>#DIV/0!</v>
      </c>
      <c r="Z119" s="207" t="e">
        <v>#DIV/0!</v>
      </c>
      <c r="AA119" s="207" t="e">
        <v>#DIV/0!</v>
      </c>
      <c r="AB119" s="207" t="e">
        <v>#DIV/0!</v>
      </c>
      <c r="AC119" s="207" t="e">
        <v>#DIV/0!</v>
      </c>
      <c r="AD119" s="207" t="e">
        <v>#DIV/0!</v>
      </c>
      <c r="AE119" s="207" t="e">
        <v>#DIV/0!</v>
      </c>
      <c r="AF119" s="207" t="e">
        <v>#DIV/0!</v>
      </c>
      <c r="AG119" s="207" t="e">
        <v>#DIV/0!</v>
      </c>
      <c r="AH119" s="207" t="e">
        <v>#DIV/0!</v>
      </c>
      <c r="AI119" s="207" t="e">
        <v>#DIV/0!</v>
      </c>
      <c r="AJ119" s="208" t="e">
        <v>#DIV/0!</v>
      </c>
      <c r="AL119" s="76">
        <v>2.1272069772388852E-2</v>
      </c>
      <c r="DC119" s="16"/>
    </row>
    <row r="120" spans="2:107 14889:15281" s="3" customFormat="1" x14ac:dyDescent="0.25">
      <c r="B120" s="81"/>
      <c r="C120" s="138" t="s">
        <v>32</v>
      </c>
      <c r="D120" s="209"/>
      <c r="E120" s="5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8"/>
      <c r="AL120" s="80" t="s">
        <v>32</v>
      </c>
      <c r="DC120" s="16"/>
    </row>
    <row r="121" spans="2:107 14889:15281" s="3" customFormat="1" x14ac:dyDescent="0.25">
      <c r="B121" s="81"/>
      <c r="C121" s="59" t="s">
        <v>51</v>
      </c>
      <c r="D121" s="209">
        <v>0.5</v>
      </c>
      <c r="E121" s="7" t="s">
        <v>29</v>
      </c>
      <c r="F121" s="207" t="e">
        <v>#DIV/0!</v>
      </c>
      <c r="G121" s="207" t="e">
        <v>#DIV/0!</v>
      </c>
      <c r="H121" s="207" t="e">
        <v>#DIV/0!</v>
      </c>
      <c r="I121" s="207" t="e">
        <v>#DIV/0!</v>
      </c>
      <c r="J121" s="207" t="e">
        <v>#DIV/0!</v>
      </c>
      <c r="K121" s="207" t="e">
        <v>#DIV/0!</v>
      </c>
      <c r="L121" s="207" t="e">
        <v>#DIV/0!</v>
      </c>
      <c r="M121" s="207" t="e">
        <v>#DIV/0!</v>
      </c>
      <c r="N121" s="207" t="e">
        <v>#DIV/0!</v>
      </c>
      <c r="O121" s="207" t="e">
        <v>#DIV/0!</v>
      </c>
      <c r="P121" s="207" t="e">
        <v>#DIV/0!</v>
      </c>
      <c r="Q121" s="207" t="e">
        <v>#DIV/0!</v>
      </c>
      <c r="R121" s="207" t="e">
        <v>#DIV/0!</v>
      </c>
      <c r="S121" s="207" t="e">
        <v>#DIV/0!</v>
      </c>
      <c r="T121" s="207" t="e">
        <v>#DIV/0!</v>
      </c>
      <c r="U121" s="207" t="e">
        <v>#DIV/0!</v>
      </c>
      <c r="V121" s="207" t="e">
        <v>#DIV/0!</v>
      </c>
      <c r="W121" s="207" t="e">
        <v>#DIV/0!</v>
      </c>
      <c r="X121" s="207" t="e">
        <v>#DIV/0!</v>
      </c>
      <c r="Y121" s="207" t="e">
        <v>#DIV/0!</v>
      </c>
      <c r="Z121" s="207" t="e">
        <v>#DIV/0!</v>
      </c>
      <c r="AA121" s="207" t="e">
        <v>#DIV/0!</v>
      </c>
      <c r="AB121" s="207" t="e">
        <v>#DIV/0!</v>
      </c>
      <c r="AC121" s="207" t="e">
        <v>#DIV/0!</v>
      </c>
      <c r="AD121" s="207" t="e">
        <v>#DIV/0!</v>
      </c>
      <c r="AE121" s="207" t="e">
        <v>#DIV/0!</v>
      </c>
      <c r="AF121" s="207" t="e">
        <v>#DIV/0!</v>
      </c>
      <c r="AG121" s="207" t="e">
        <v>#DIV/0!</v>
      </c>
      <c r="AH121" s="207" t="e">
        <v>#DIV/0!</v>
      </c>
      <c r="AI121" s="207" t="e">
        <v>#DIV/0!</v>
      </c>
      <c r="AJ121" s="208" t="e">
        <v>#DIV/0!</v>
      </c>
      <c r="AL121" s="76" t="e">
        <v>#DIV/0!</v>
      </c>
      <c r="DC121" s="16"/>
    </row>
    <row r="122" spans="2:107 14889:15281" s="3" customFormat="1" x14ac:dyDescent="0.25">
      <c r="B122" s="81"/>
      <c r="C122" s="59" t="s">
        <v>50</v>
      </c>
      <c r="D122" s="209">
        <v>0.5</v>
      </c>
      <c r="E122" s="7" t="s">
        <v>29</v>
      </c>
      <c r="F122" s="207" t="e">
        <v>#DIV/0!</v>
      </c>
      <c r="G122" s="207" t="e">
        <v>#DIV/0!</v>
      </c>
      <c r="H122" s="207" t="e">
        <v>#DIV/0!</v>
      </c>
      <c r="I122" s="207" t="e">
        <v>#DIV/0!</v>
      </c>
      <c r="J122" s="207" t="e">
        <v>#DIV/0!</v>
      </c>
      <c r="K122" s="207" t="e">
        <v>#DIV/0!</v>
      </c>
      <c r="L122" s="207" t="e">
        <v>#DIV/0!</v>
      </c>
      <c r="M122" s="207" t="e">
        <v>#DIV/0!</v>
      </c>
      <c r="N122" s="207" t="e">
        <v>#DIV/0!</v>
      </c>
      <c r="O122" s="207" t="e">
        <v>#DIV/0!</v>
      </c>
      <c r="P122" s="207" t="e">
        <v>#DIV/0!</v>
      </c>
      <c r="Q122" s="207" t="e">
        <v>#DIV/0!</v>
      </c>
      <c r="R122" s="207" t="e">
        <v>#DIV/0!</v>
      </c>
      <c r="S122" s="207" t="e">
        <v>#DIV/0!</v>
      </c>
      <c r="T122" s="207" t="e">
        <v>#DIV/0!</v>
      </c>
      <c r="U122" s="207" t="e">
        <v>#DIV/0!</v>
      </c>
      <c r="V122" s="207" t="e">
        <v>#DIV/0!</v>
      </c>
      <c r="W122" s="207" t="e">
        <v>#DIV/0!</v>
      </c>
      <c r="X122" s="207">
        <v>2.1272069772388852E-2</v>
      </c>
      <c r="Y122" s="207" t="e">
        <v>#DIV/0!</v>
      </c>
      <c r="Z122" s="207" t="e">
        <v>#DIV/0!</v>
      </c>
      <c r="AA122" s="207" t="e">
        <v>#DIV/0!</v>
      </c>
      <c r="AB122" s="207" t="e">
        <v>#DIV/0!</v>
      </c>
      <c r="AC122" s="207" t="e">
        <v>#DIV/0!</v>
      </c>
      <c r="AD122" s="207" t="e">
        <v>#DIV/0!</v>
      </c>
      <c r="AE122" s="207" t="e">
        <v>#DIV/0!</v>
      </c>
      <c r="AF122" s="207" t="e">
        <v>#DIV/0!</v>
      </c>
      <c r="AG122" s="207" t="e">
        <v>#DIV/0!</v>
      </c>
      <c r="AH122" s="207" t="e">
        <v>#DIV/0!</v>
      </c>
      <c r="AI122" s="207" t="e">
        <v>#DIV/0!</v>
      </c>
      <c r="AJ122" s="208" t="e">
        <v>#DIV/0!</v>
      </c>
      <c r="AL122" s="76">
        <v>2.1272069772388852E-2</v>
      </c>
      <c r="DC122" s="16"/>
    </row>
    <row r="123" spans="2:107 14889:15281" s="3" customFormat="1" x14ac:dyDescent="0.25">
      <c r="B123" s="81"/>
      <c r="C123" s="43" t="s">
        <v>49</v>
      </c>
      <c r="D123" s="217"/>
      <c r="E123" s="26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9"/>
      <c r="AH123" s="219"/>
      <c r="AI123" s="219"/>
      <c r="AJ123" s="220"/>
      <c r="AK123" s="221"/>
      <c r="AL123" s="259" t="s">
        <v>45</v>
      </c>
    </row>
    <row r="124" spans="2:107 14889:15281" s="3" customFormat="1" x14ac:dyDescent="0.25">
      <c r="B124" s="81"/>
      <c r="C124" s="136" t="s">
        <v>126</v>
      </c>
      <c r="D124" s="209"/>
      <c r="E124" s="7" t="s">
        <v>16</v>
      </c>
      <c r="F124" s="222">
        <v>65274</v>
      </c>
      <c r="G124" s="222">
        <v>33760</v>
      </c>
      <c r="H124" s="222"/>
      <c r="I124" s="222">
        <v>45638</v>
      </c>
      <c r="J124" s="222"/>
      <c r="K124" s="222"/>
      <c r="L124" s="222">
        <v>55027</v>
      </c>
      <c r="M124" s="222">
        <v>45636</v>
      </c>
      <c r="N124" s="222">
        <v>57810</v>
      </c>
      <c r="O124" s="222"/>
      <c r="P124" s="222"/>
      <c r="Q124" s="222">
        <v>55696</v>
      </c>
      <c r="R124" s="222">
        <v>131283</v>
      </c>
      <c r="S124" s="222"/>
      <c r="T124" s="222">
        <v>60860</v>
      </c>
      <c r="U124" s="222"/>
      <c r="V124" s="222"/>
      <c r="W124" s="222">
        <v>69236</v>
      </c>
      <c r="X124" s="222">
        <v>54303</v>
      </c>
      <c r="Y124" s="222"/>
      <c r="Z124" s="222"/>
      <c r="AA124" s="222"/>
      <c r="AB124" s="222"/>
      <c r="AC124" s="222"/>
      <c r="AD124" s="222"/>
      <c r="AE124" s="222"/>
      <c r="AF124" s="222"/>
      <c r="AG124" s="223"/>
      <c r="AH124" s="223"/>
      <c r="AI124" s="223"/>
      <c r="AJ124" s="224"/>
      <c r="AK124" s="225"/>
      <c r="AL124" s="135">
        <v>674523</v>
      </c>
    </row>
    <row r="125" spans="2:107 14889:15281" s="3" customFormat="1" x14ac:dyDescent="0.25">
      <c r="B125" s="81"/>
      <c r="C125" s="136" t="s">
        <v>127</v>
      </c>
      <c r="D125" s="209"/>
      <c r="E125" s="7" t="s">
        <v>16</v>
      </c>
      <c r="F125" s="216">
        <v>41478.36</v>
      </c>
      <c r="G125" s="216">
        <v>22987.58</v>
      </c>
      <c r="H125" s="216">
        <v>23065.55</v>
      </c>
      <c r="I125" s="216">
        <v>22927.469999999998</v>
      </c>
      <c r="J125" s="216">
        <v>155.94999999999999</v>
      </c>
      <c r="K125" s="216">
        <v>282.66000000000003</v>
      </c>
      <c r="L125" s="216">
        <v>34604.29</v>
      </c>
      <c r="M125" s="216">
        <v>21602.69</v>
      </c>
      <c r="N125" s="216">
        <v>45971</v>
      </c>
      <c r="O125" s="216"/>
      <c r="P125" s="216"/>
      <c r="Q125" s="216">
        <v>70206.2</v>
      </c>
      <c r="R125" s="216">
        <v>69951.960000000006</v>
      </c>
      <c r="S125" s="216">
        <v>35493.07</v>
      </c>
      <c r="T125" s="216">
        <v>20033.419999999998</v>
      </c>
      <c r="U125" s="216">
        <v>22907.98</v>
      </c>
      <c r="V125" s="216"/>
      <c r="W125" s="216">
        <v>45815.05</v>
      </c>
      <c r="X125" s="216">
        <v>331.4</v>
      </c>
      <c r="Y125" s="216"/>
      <c r="Z125" s="216">
        <v>22907.98</v>
      </c>
      <c r="AA125" s="216"/>
      <c r="AB125" s="216"/>
      <c r="AC125" s="216"/>
      <c r="AD125" s="216">
        <v>50.9</v>
      </c>
      <c r="AE125" s="216"/>
      <c r="AF125" s="216"/>
      <c r="AG125" s="226"/>
      <c r="AH125" s="226"/>
      <c r="AI125" s="226"/>
      <c r="AJ125" s="227"/>
      <c r="AK125" s="228"/>
      <c r="AL125" s="279">
        <v>500773.51</v>
      </c>
    </row>
    <row r="126" spans="2:107 14889:15281" s="3" customFormat="1" x14ac:dyDescent="0.25">
      <c r="B126" s="81"/>
      <c r="C126" s="138" t="s">
        <v>44</v>
      </c>
      <c r="D126" s="209"/>
      <c r="E126" s="7" t="s">
        <v>16</v>
      </c>
      <c r="F126" s="207">
        <v>41579.08524</v>
      </c>
      <c r="G126" s="207">
        <v>22998.705839999999</v>
      </c>
      <c r="H126" s="207">
        <v>23076.733679999998</v>
      </c>
      <c r="I126" s="207">
        <v>22949.938439999998</v>
      </c>
      <c r="J126" s="207">
        <v>156.05568</v>
      </c>
      <c r="K126" s="207">
        <v>282.85091999999997</v>
      </c>
      <c r="L126" s="207">
        <v>34644.360959999998</v>
      </c>
      <c r="M126" s="207">
        <v>21613.71168</v>
      </c>
      <c r="N126" s="207">
        <v>46016.918639999996</v>
      </c>
      <c r="O126" s="207">
        <v>0</v>
      </c>
      <c r="P126" s="207">
        <v>0</v>
      </c>
      <c r="Q126" s="207">
        <v>70264.069919999994</v>
      </c>
      <c r="R126" s="207">
        <v>70010.479439999996</v>
      </c>
      <c r="S126" s="207">
        <v>35522.174160000002</v>
      </c>
      <c r="T126" s="207">
        <v>20043.401399999999</v>
      </c>
      <c r="U126" s="207">
        <v>22920.678</v>
      </c>
      <c r="V126" s="207">
        <v>0</v>
      </c>
      <c r="W126" s="207">
        <v>45919.383840000002</v>
      </c>
      <c r="X126" s="207">
        <v>331.61831999999998</v>
      </c>
      <c r="Y126" s="207">
        <v>0</v>
      </c>
      <c r="Z126" s="207">
        <v>22940.184959999999</v>
      </c>
      <c r="AA126" s="207">
        <v>0</v>
      </c>
      <c r="AB126" s="207">
        <v>0</v>
      </c>
      <c r="AC126" s="207">
        <v>0</v>
      </c>
      <c r="AD126" s="207">
        <v>0</v>
      </c>
      <c r="AE126" s="207">
        <v>0</v>
      </c>
      <c r="AF126" s="207">
        <v>0</v>
      </c>
      <c r="AG126" s="207">
        <v>0</v>
      </c>
      <c r="AH126" s="207">
        <v>0</v>
      </c>
      <c r="AI126" s="207">
        <v>0</v>
      </c>
      <c r="AJ126" s="208">
        <v>0</v>
      </c>
      <c r="AK126" s="214"/>
      <c r="AL126" s="76">
        <v>389115.0846</v>
      </c>
    </row>
    <row r="127" spans="2:107 14889:15281" s="3" customFormat="1" x14ac:dyDescent="0.25">
      <c r="B127" s="81"/>
      <c r="C127" s="138" t="s">
        <v>43</v>
      </c>
      <c r="D127" s="209"/>
      <c r="E127" s="7" t="s">
        <v>16</v>
      </c>
      <c r="F127" s="207">
        <v>-100.72523999999976</v>
      </c>
      <c r="G127" s="207">
        <v>-11.12583999999697</v>
      </c>
      <c r="H127" s="207">
        <v>-11.183679999998276</v>
      </c>
      <c r="I127" s="207">
        <v>-22.468440000000555</v>
      </c>
      <c r="J127" s="207">
        <v>-0.10568000000000666</v>
      </c>
      <c r="K127" s="207">
        <v>-0.19091999999994869</v>
      </c>
      <c r="L127" s="207">
        <v>-40.070959999997285</v>
      </c>
      <c r="M127" s="207">
        <v>-11.021680000001652</v>
      </c>
      <c r="N127" s="207">
        <v>-45.91863999999623</v>
      </c>
      <c r="O127" s="207">
        <v>0</v>
      </c>
      <c r="P127" s="207">
        <v>0</v>
      </c>
      <c r="Q127" s="207">
        <v>-57.869919999997364</v>
      </c>
      <c r="R127" s="207">
        <v>-58.519439999989117</v>
      </c>
      <c r="S127" s="207">
        <v>-29.104160000002594</v>
      </c>
      <c r="T127" s="207">
        <v>-9.9814000000005763</v>
      </c>
      <c r="U127" s="207">
        <v>-12.69800000000032</v>
      </c>
      <c r="V127" s="207">
        <v>0</v>
      </c>
      <c r="W127" s="207">
        <v>-104.33383999999933</v>
      </c>
      <c r="X127" s="207">
        <v>-0.21832000000000562</v>
      </c>
      <c r="Y127" s="207">
        <v>0</v>
      </c>
      <c r="Z127" s="207">
        <v>-32.204959999999119</v>
      </c>
      <c r="AA127" s="207">
        <v>0</v>
      </c>
      <c r="AB127" s="207">
        <v>0</v>
      </c>
      <c r="AC127" s="207">
        <v>0</v>
      </c>
      <c r="AD127" s="207">
        <v>50.9</v>
      </c>
      <c r="AE127" s="207">
        <v>0</v>
      </c>
      <c r="AF127" s="207">
        <v>0</v>
      </c>
      <c r="AG127" s="207">
        <v>0</v>
      </c>
      <c r="AH127" s="207">
        <v>0</v>
      </c>
      <c r="AI127" s="207">
        <v>0</v>
      </c>
      <c r="AJ127" s="208">
        <v>0</v>
      </c>
      <c r="AK127" s="214"/>
      <c r="AL127" s="76">
        <v>-496.84111999997901</v>
      </c>
    </row>
    <row r="128" spans="2:107 14889:15281" s="3" customFormat="1" x14ac:dyDescent="0.25">
      <c r="B128" s="81"/>
      <c r="C128" s="138" t="s">
        <v>33</v>
      </c>
      <c r="D128" s="209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62"/>
      <c r="AH128" s="62"/>
      <c r="AI128" s="62"/>
      <c r="AJ128" s="63"/>
      <c r="AK128" s="149"/>
      <c r="AL128" s="80" t="s">
        <v>33</v>
      </c>
    </row>
    <row r="129" spans="2:38" s="3" customFormat="1" x14ac:dyDescent="0.2">
      <c r="B129" s="81"/>
      <c r="C129" s="59" t="s">
        <v>48</v>
      </c>
      <c r="D129" s="209"/>
      <c r="E129" s="8" t="s">
        <v>36</v>
      </c>
      <c r="F129" s="6">
        <v>15</v>
      </c>
      <c r="G129" s="6">
        <v>2358</v>
      </c>
      <c r="H129" s="6">
        <v>2366</v>
      </c>
      <c r="I129" s="6">
        <v>2339</v>
      </c>
      <c r="J129" s="6">
        <v>16</v>
      </c>
      <c r="K129" s="6">
        <v>29</v>
      </c>
      <c r="L129" s="6">
        <v>3552</v>
      </c>
      <c r="M129" s="6">
        <v>2216</v>
      </c>
      <c r="N129" s="6">
        <v>4718</v>
      </c>
      <c r="O129" s="6"/>
      <c r="P129" s="6"/>
      <c r="Q129" s="6">
        <v>7178</v>
      </c>
      <c r="R129" s="6">
        <v>7178</v>
      </c>
      <c r="S129" s="6">
        <v>3642</v>
      </c>
      <c r="T129" s="6">
        <v>2055</v>
      </c>
      <c r="U129" s="6">
        <v>2350</v>
      </c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142"/>
      <c r="AH129" s="142"/>
      <c r="AI129" s="142"/>
      <c r="AJ129" s="143"/>
      <c r="AK129" s="150"/>
      <c r="AL129" s="148">
        <v>40012</v>
      </c>
    </row>
    <row r="130" spans="2:38" s="3" customFormat="1" x14ac:dyDescent="0.2">
      <c r="B130" s="81"/>
      <c r="C130" s="59" t="s">
        <v>47</v>
      </c>
      <c r="D130" s="209"/>
      <c r="E130" s="8" t="s">
        <v>36</v>
      </c>
      <c r="F130" s="6">
        <v>4248</v>
      </c>
      <c r="G130" s="6"/>
      <c r="H130" s="6"/>
      <c r="I130" s="6">
        <v>14</v>
      </c>
      <c r="J130" s="6"/>
      <c r="K130" s="6"/>
      <c r="L130" s="6"/>
      <c r="M130" s="6"/>
      <c r="N130" s="6"/>
      <c r="O130" s="6"/>
      <c r="P130" s="6"/>
      <c r="Q130" s="6">
        <v>26</v>
      </c>
      <c r="R130" s="6"/>
      <c r="S130" s="6"/>
      <c r="T130" s="6"/>
      <c r="U130" s="6"/>
      <c r="V130" s="6"/>
      <c r="W130" s="6">
        <v>4708</v>
      </c>
      <c r="X130" s="6">
        <v>34</v>
      </c>
      <c r="Y130" s="6"/>
      <c r="Z130" s="6">
        <v>2352</v>
      </c>
      <c r="AA130" s="6"/>
      <c r="AB130" s="6"/>
      <c r="AC130" s="6"/>
      <c r="AD130" s="6"/>
      <c r="AE130" s="6"/>
      <c r="AF130" s="6"/>
      <c r="AG130" s="142"/>
      <c r="AH130" s="142"/>
      <c r="AI130" s="142"/>
      <c r="AJ130" s="143"/>
      <c r="AK130" s="150"/>
      <c r="AL130" s="148">
        <v>11382</v>
      </c>
    </row>
    <row r="131" spans="2:38" s="3" customFormat="1" x14ac:dyDescent="0.25">
      <c r="B131" s="81"/>
      <c r="C131" s="138" t="s">
        <v>32</v>
      </c>
      <c r="D131" s="209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62"/>
      <c r="AH131" s="62"/>
      <c r="AI131" s="62"/>
      <c r="AJ131" s="63"/>
      <c r="AK131" s="149"/>
      <c r="AL131" s="80" t="s">
        <v>32</v>
      </c>
    </row>
    <row r="132" spans="2:38" s="3" customFormat="1" x14ac:dyDescent="0.25">
      <c r="B132" s="81"/>
      <c r="C132" s="59" t="s">
        <v>48</v>
      </c>
      <c r="D132" s="209"/>
      <c r="E132" s="7" t="s">
        <v>32</v>
      </c>
      <c r="F132" s="1">
        <v>180</v>
      </c>
      <c r="G132" s="1">
        <v>28296</v>
      </c>
      <c r="H132" s="1">
        <v>28392</v>
      </c>
      <c r="I132" s="1">
        <v>28068</v>
      </c>
      <c r="J132" s="1">
        <v>192</v>
      </c>
      <c r="K132" s="1">
        <v>348</v>
      </c>
      <c r="L132" s="1">
        <v>42624</v>
      </c>
      <c r="M132" s="1">
        <v>26592</v>
      </c>
      <c r="N132" s="1">
        <v>56616</v>
      </c>
      <c r="O132" s="1">
        <v>0</v>
      </c>
      <c r="P132" s="1">
        <v>0</v>
      </c>
      <c r="Q132" s="1">
        <v>86136</v>
      </c>
      <c r="R132" s="1">
        <v>86136</v>
      </c>
      <c r="S132" s="1">
        <v>43704</v>
      </c>
      <c r="T132" s="1">
        <v>24660</v>
      </c>
      <c r="U132" s="1">
        <v>28200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63">
        <v>0</v>
      </c>
      <c r="AK132" s="149"/>
      <c r="AL132" s="64">
        <v>480144</v>
      </c>
    </row>
    <row r="133" spans="2:38" s="3" customFormat="1" x14ac:dyDescent="0.25">
      <c r="B133" s="81"/>
      <c r="C133" s="59" t="s">
        <v>47</v>
      </c>
      <c r="D133" s="209"/>
      <c r="E133" s="7" t="s">
        <v>32</v>
      </c>
      <c r="F133" s="1">
        <v>25488</v>
      </c>
      <c r="G133" s="1">
        <v>0</v>
      </c>
      <c r="H133" s="1">
        <v>0</v>
      </c>
      <c r="I133" s="1">
        <v>84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156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28248</v>
      </c>
      <c r="X133" s="1">
        <v>204</v>
      </c>
      <c r="Y133" s="1">
        <v>0</v>
      </c>
      <c r="Z133" s="1">
        <v>14112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63">
        <v>0</v>
      </c>
      <c r="AK133" s="149"/>
      <c r="AL133" s="64">
        <v>68292</v>
      </c>
    </row>
    <row r="134" spans="2:38" s="3" customFormat="1" x14ac:dyDescent="0.25">
      <c r="B134" s="81"/>
      <c r="C134" s="138" t="s">
        <v>41</v>
      </c>
      <c r="D134" s="209"/>
      <c r="E134" s="7" t="s">
        <v>40</v>
      </c>
      <c r="F134" s="1">
        <v>1097.956588235294</v>
      </c>
      <c r="G134" s="1">
        <v>608.4947647058824</v>
      </c>
      <c r="H134" s="1">
        <v>610.55867647058824</v>
      </c>
      <c r="I134" s="1">
        <v>606.90361764705881</v>
      </c>
      <c r="J134" s="1">
        <v>4.1280882352941175</v>
      </c>
      <c r="K134" s="1">
        <v>7.4821764705882359</v>
      </c>
      <c r="L134" s="1">
        <v>915.99591176470597</v>
      </c>
      <c r="M134" s="1">
        <v>571.83591176470588</v>
      </c>
      <c r="N134" s="1">
        <v>1216.879411764706</v>
      </c>
      <c r="O134" s="1">
        <v>0</v>
      </c>
      <c r="P134" s="1">
        <v>0</v>
      </c>
      <c r="Q134" s="1">
        <v>1858.399411764706</v>
      </c>
      <c r="R134" s="1">
        <v>1851.6695294117649</v>
      </c>
      <c r="S134" s="1">
        <v>939.52244117647058</v>
      </c>
      <c r="T134" s="1">
        <v>530.29641176470579</v>
      </c>
      <c r="U134" s="1">
        <v>606.38770588235298</v>
      </c>
      <c r="V134" s="1">
        <v>0</v>
      </c>
      <c r="W134" s="1">
        <v>1212.7513235294118</v>
      </c>
      <c r="X134" s="1">
        <v>8.7723529411764698</v>
      </c>
      <c r="Y134" s="1">
        <v>0</v>
      </c>
      <c r="Z134" s="1">
        <v>606.38770588235298</v>
      </c>
      <c r="AA134" s="1">
        <v>0</v>
      </c>
      <c r="AB134" s="1">
        <v>0</v>
      </c>
      <c r="AC134" s="1">
        <v>0</v>
      </c>
      <c r="AD134" s="1">
        <v>1.3473529411764706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63">
        <v>0</v>
      </c>
      <c r="AK134" s="149"/>
      <c r="AL134" s="64">
        <v>13255.769382352941</v>
      </c>
    </row>
    <row r="135" spans="2:38" s="3" customFormat="1" x14ac:dyDescent="0.25">
      <c r="B135" s="81"/>
      <c r="C135" s="138" t="s">
        <v>39</v>
      </c>
      <c r="D135" s="209"/>
      <c r="E135" s="7" t="s">
        <v>38</v>
      </c>
      <c r="F135" s="1">
        <v>8.5259999999999998</v>
      </c>
      <c r="G135" s="1">
        <v>4.7160000000000002</v>
      </c>
      <c r="H135" s="1">
        <v>4.7320000000000002</v>
      </c>
      <c r="I135" s="1">
        <v>4.7060000000000004</v>
      </c>
      <c r="J135" s="1">
        <v>3.2000000000000001E-2</v>
      </c>
      <c r="K135" s="1">
        <v>5.8000000000000003E-2</v>
      </c>
      <c r="L135" s="1">
        <v>7.1040000000000001</v>
      </c>
      <c r="M135" s="1">
        <v>4.4320000000000004</v>
      </c>
      <c r="N135" s="1">
        <v>9.4359999999999999</v>
      </c>
      <c r="O135" s="1">
        <v>0</v>
      </c>
      <c r="P135" s="1">
        <v>0</v>
      </c>
      <c r="Q135" s="1">
        <v>14.407999999999999</v>
      </c>
      <c r="R135" s="1">
        <v>14.356</v>
      </c>
      <c r="S135" s="1">
        <v>7.2839999999999998</v>
      </c>
      <c r="T135" s="1">
        <v>4.1100000000000003</v>
      </c>
      <c r="U135" s="1">
        <v>4.7</v>
      </c>
      <c r="V135" s="1">
        <v>0</v>
      </c>
      <c r="W135" s="1">
        <v>9.4160000000000004</v>
      </c>
      <c r="X135" s="1">
        <v>6.8000000000000005E-2</v>
      </c>
      <c r="Y135" s="1">
        <v>0</v>
      </c>
      <c r="Z135" s="1">
        <v>4.7039999999999997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63">
        <v>0</v>
      </c>
      <c r="AK135" s="149"/>
      <c r="AL135" s="64">
        <v>102.788</v>
      </c>
    </row>
    <row r="136" spans="2:38" s="3" customFormat="1" x14ac:dyDescent="0.25">
      <c r="B136" s="81"/>
      <c r="C136" s="43" t="s">
        <v>37</v>
      </c>
      <c r="D136" s="217"/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46"/>
      <c r="AH136" s="46"/>
      <c r="AI136" s="46"/>
      <c r="AJ136" s="47"/>
      <c r="AK136" s="221"/>
      <c r="AL136" s="259" t="s">
        <v>34</v>
      </c>
    </row>
    <row r="137" spans="2:38" s="3" customFormat="1" x14ac:dyDescent="0.25">
      <c r="B137" s="81"/>
      <c r="C137" s="138" t="s">
        <v>33</v>
      </c>
      <c r="D137" s="209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62"/>
      <c r="AH137" s="62"/>
      <c r="AI137" s="62"/>
      <c r="AJ137" s="63"/>
      <c r="AK137" s="214"/>
      <c r="AL137" s="80" t="s">
        <v>33</v>
      </c>
    </row>
    <row r="138" spans="2:38" s="3" customFormat="1" x14ac:dyDescent="0.25">
      <c r="B138" s="81"/>
      <c r="C138" s="59" t="s">
        <v>48</v>
      </c>
      <c r="D138" s="209"/>
      <c r="E138" s="7" t="s">
        <v>36</v>
      </c>
      <c r="F138" s="6"/>
      <c r="G138" s="6"/>
      <c r="H138" s="6"/>
      <c r="I138" s="6">
        <v>1</v>
      </c>
      <c r="J138" s="6"/>
      <c r="K138" s="6"/>
      <c r="L138" s="6">
        <v>2</v>
      </c>
      <c r="M138" s="6"/>
      <c r="N138" s="6">
        <v>2</v>
      </c>
      <c r="O138" s="6"/>
      <c r="P138" s="6"/>
      <c r="Q138" s="6">
        <v>2</v>
      </c>
      <c r="R138" s="6">
        <v>2</v>
      </c>
      <c r="S138" s="6">
        <v>1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142"/>
      <c r="AH138" s="142"/>
      <c r="AI138" s="142"/>
      <c r="AJ138" s="143"/>
      <c r="AK138" s="214"/>
      <c r="AL138" s="64">
        <v>10</v>
      </c>
    </row>
    <row r="139" spans="2:38" s="3" customFormat="1" x14ac:dyDescent="0.25">
      <c r="B139" s="81"/>
      <c r="C139" s="59" t="s">
        <v>47</v>
      </c>
      <c r="D139" s="209"/>
      <c r="E139" s="7" t="s">
        <v>36</v>
      </c>
      <c r="F139" s="6">
        <v>8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>
        <v>8</v>
      </c>
      <c r="X139" s="6"/>
      <c r="Y139" s="6"/>
      <c r="Z139" s="6">
        <v>2</v>
      </c>
      <c r="AA139" s="6"/>
      <c r="AB139" s="6"/>
      <c r="AC139" s="6"/>
      <c r="AD139" s="6"/>
      <c r="AE139" s="6"/>
      <c r="AF139" s="6"/>
      <c r="AG139" s="142"/>
      <c r="AH139" s="142"/>
      <c r="AI139" s="142"/>
      <c r="AJ139" s="143"/>
      <c r="AK139" s="214"/>
      <c r="AL139" s="64">
        <v>18</v>
      </c>
    </row>
    <row r="140" spans="2:38" s="3" customFormat="1" x14ac:dyDescent="0.25">
      <c r="B140" s="81"/>
      <c r="C140" s="138" t="s">
        <v>32</v>
      </c>
      <c r="D140" s="209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142"/>
      <c r="AH140" s="142"/>
      <c r="AI140" s="142"/>
      <c r="AJ140" s="143"/>
      <c r="AK140" s="214"/>
      <c r="AL140" s="80" t="s">
        <v>32</v>
      </c>
    </row>
    <row r="141" spans="2:38" s="3" customFormat="1" x14ac:dyDescent="0.25">
      <c r="B141" s="81"/>
      <c r="C141" s="59" t="s">
        <v>48</v>
      </c>
      <c r="D141" s="209"/>
      <c r="E141" s="7" t="s">
        <v>32</v>
      </c>
      <c r="F141" s="6">
        <v>0</v>
      </c>
      <c r="G141" s="6">
        <v>0</v>
      </c>
      <c r="H141" s="6">
        <v>0</v>
      </c>
      <c r="I141" s="6">
        <v>12</v>
      </c>
      <c r="J141" s="6">
        <v>0</v>
      </c>
      <c r="K141" s="6">
        <v>0</v>
      </c>
      <c r="L141" s="6">
        <v>24</v>
      </c>
      <c r="M141" s="6">
        <v>0</v>
      </c>
      <c r="N141" s="6">
        <v>24</v>
      </c>
      <c r="O141" s="6">
        <v>0</v>
      </c>
      <c r="P141" s="6">
        <v>0</v>
      </c>
      <c r="Q141" s="6">
        <v>24</v>
      </c>
      <c r="R141" s="6">
        <v>24</v>
      </c>
      <c r="S141" s="6">
        <v>12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143">
        <v>0</v>
      </c>
      <c r="AK141" s="214"/>
      <c r="AL141" s="64">
        <v>120</v>
      </c>
    </row>
    <row r="142" spans="2:38" s="3" customFormat="1" x14ac:dyDescent="0.25">
      <c r="B142" s="81"/>
      <c r="C142" s="59" t="s">
        <v>47</v>
      </c>
      <c r="D142" s="209"/>
      <c r="E142" s="7" t="s">
        <v>32</v>
      </c>
      <c r="F142" s="6">
        <v>48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48</v>
      </c>
      <c r="X142" s="6">
        <v>0</v>
      </c>
      <c r="Y142" s="6">
        <v>0</v>
      </c>
      <c r="Z142" s="6">
        <v>12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151">
        <v>0</v>
      </c>
      <c r="AK142" s="214"/>
      <c r="AL142" s="64">
        <v>108</v>
      </c>
    </row>
    <row r="143" spans="2:38" s="3" customFormat="1" x14ac:dyDescent="0.25">
      <c r="B143" s="81"/>
      <c r="C143" s="43" t="s">
        <v>35</v>
      </c>
      <c r="D143" s="217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152"/>
      <c r="AH143" s="152"/>
      <c r="AI143" s="152"/>
      <c r="AJ143" s="153"/>
      <c r="AK143" s="221"/>
      <c r="AL143" s="154"/>
    </row>
    <row r="144" spans="2:38" s="3" customFormat="1" x14ac:dyDescent="0.25">
      <c r="B144" s="81"/>
      <c r="C144" s="138" t="s">
        <v>33</v>
      </c>
      <c r="D144" s="209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142"/>
      <c r="AH144" s="142"/>
      <c r="AI144" s="142"/>
      <c r="AJ144" s="143"/>
      <c r="AK144" s="214"/>
      <c r="AL144" s="64"/>
    </row>
    <row r="145" spans="2:107 14889:15281" s="3" customFormat="1" x14ac:dyDescent="0.25">
      <c r="B145" s="81"/>
      <c r="C145" s="59" t="s">
        <v>48</v>
      </c>
      <c r="D145" s="209"/>
      <c r="E145" s="7" t="s">
        <v>29</v>
      </c>
      <c r="F145" s="6">
        <v>0</v>
      </c>
      <c r="G145" s="6">
        <v>0</v>
      </c>
      <c r="H145" s="6">
        <v>0</v>
      </c>
      <c r="I145" s="6">
        <v>4.2753313381787089E-2</v>
      </c>
      <c r="J145" s="6">
        <v>0</v>
      </c>
      <c r="K145" s="6">
        <v>0</v>
      </c>
      <c r="L145" s="6">
        <v>5.6306306306306307E-2</v>
      </c>
      <c r="M145" s="6">
        <v>0</v>
      </c>
      <c r="N145" s="6">
        <v>4.2390843577787198E-2</v>
      </c>
      <c r="O145" s="6" t="e">
        <v>#DIV/0!</v>
      </c>
      <c r="P145" s="6" t="e">
        <v>#DIV/0!</v>
      </c>
      <c r="Q145" s="6">
        <v>2.7862914460852609E-2</v>
      </c>
      <c r="R145" s="6">
        <v>2.7862914460852609E-2</v>
      </c>
      <c r="S145" s="6">
        <v>2.7457440966501923E-2</v>
      </c>
      <c r="T145" s="6">
        <v>0</v>
      </c>
      <c r="U145" s="6">
        <v>0</v>
      </c>
      <c r="V145" s="6" t="e">
        <v>#DIV/0!</v>
      </c>
      <c r="W145" s="6" t="e">
        <v>#DIV/0!</v>
      </c>
      <c r="X145" s="6" t="e">
        <v>#DIV/0!</v>
      </c>
      <c r="Y145" s="6" t="e">
        <v>#DIV/0!</v>
      </c>
      <c r="Z145" s="6" t="e">
        <v>#DIV/0!</v>
      </c>
      <c r="AA145" s="6" t="e">
        <v>#DIV/0!</v>
      </c>
      <c r="AB145" s="6" t="e">
        <v>#DIV/0!</v>
      </c>
      <c r="AC145" s="6" t="e">
        <v>#DIV/0!</v>
      </c>
      <c r="AD145" s="6" t="e">
        <v>#DIV/0!</v>
      </c>
      <c r="AE145" s="6" t="e">
        <v>#DIV/0!</v>
      </c>
      <c r="AF145" s="6" t="e">
        <v>#DIV/0!</v>
      </c>
      <c r="AG145" s="6" t="e">
        <v>#DIV/0!</v>
      </c>
      <c r="AH145" s="6" t="e">
        <v>#DIV/0!</v>
      </c>
      <c r="AI145" s="6" t="e">
        <v>#DIV/0!</v>
      </c>
      <c r="AJ145" s="143" t="e">
        <v>#DIV/0!</v>
      </c>
      <c r="AK145" s="150"/>
      <c r="AL145" s="64" t="e">
        <v>#DIV/0!</v>
      </c>
    </row>
    <row r="146" spans="2:107 14889:15281" s="3" customFormat="1" x14ac:dyDescent="0.25">
      <c r="B146" s="81"/>
      <c r="C146" s="59" t="s">
        <v>102</v>
      </c>
      <c r="D146" s="209"/>
      <c r="E146" s="7" t="s">
        <v>29</v>
      </c>
      <c r="F146" s="6">
        <v>0.18832391713747645</v>
      </c>
      <c r="G146" s="6" t="e">
        <v>#DIV/0!</v>
      </c>
      <c r="H146" s="6" t="e">
        <v>#DIV/0!</v>
      </c>
      <c r="I146" s="6">
        <v>0</v>
      </c>
      <c r="J146" s="6" t="e">
        <v>#DIV/0!</v>
      </c>
      <c r="K146" s="6" t="e">
        <v>#DIV/0!</v>
      </c>
      <c r="L146" s="6" t="e">
        <v>#DIV/0!</v>
      </c>
      <c r="M146" s="6" t="e">
        <v>#DIV/0!</v>
      </c>
      <c r="N146" s="6" t="e">
        <v>#DIV/0!</v>
      </c>
      <c r="O146" s="6" t="e">
        <v>#DIV/0!</v>
      </c>
      <c r="P146" s="6" t="e">
        <v>#DIV/0!</v>
      </c>
      <c r="Q146" s="6">
        <v>0</v>
      </c>
      <c r="R146" s="6" t="e">
        <v>#DIV/0!</v>
      </c>
      <c r="S146" s="6" t="e">
        <v>#DIV/0!</v>
      </c>
      <c r="T146" s="6" t="e">
        <v>#DIV/0!</v>
      </c>
      <c r="U146" s="6" t="e">
        <v>#DIV/0!</v>
      </c>
      <c r="V146" s="6" t="e">
        <v>#DIV/0!</v>
      </c>
      <c r="W146" s="6">
        <v>0.16992353440951571</v>
      </c>
      <c r="X146" s="6">
        <v>0</v>
      </c>
      <c r="Y146" s="6" t="e">
        <v>#DIV/0!</v>
      </c>
      <c r="Z146" s="6">
        <v>8.5034013605442174E-2</v>
      </c>
      <c r="AA146" s="6" t="e">
        <v>#DIV/0!</v>
      </c>
      <c r="AB146" s="6" t="e">
        <v>#DIV/0!</v>
      </c>
      <c r="AC146" s="6" t="e">
        <v>#DIV/0!</v>
      </c>
      <c r="AD146" s="6" t="e">
        <v>#DIV/0!</v>
      </c>
      <c r="AE146" s="6" t="e">
        <v>#DIV/0!</v>
      </c>
      <c r="AF146" s="6" t="e">
        <v>#DIV/0!</v>
      </c>
      <c r="AG146" s="6" t="e">
        <v>#DIV/0!</v>
      </c>
      <c r="AH146" s="6" t="e">
        <v>#DIV/0!</v>
      </c>
      <c r="AI146" s="6" t="e">
        <v>#DIV/0!</v>
      </c>
      <c r="AJ146" s="143" t="e">
        <v>#DIV/0!</v>
      </c>
      <c r="AK146" s="150"/>
      <c r="AL146" s="64" t="e">
        <v>#DIV/0!</v>
      </c>
    </row>
    <row r="147" spans="2:107 14889:15281" s="3" customFormat="1" x14ac:dyDescent="0.25">
      <c r="B147" s="81"/>
      <c r="C147" s="138" t="s">
        <v>32</v>
      </c>
      <c r="D147" s="209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143"/>
      <c r="AK147" s="150"/>
      <c r="AL147" s="64"/>
    </row>
    <row r="148" spans="2:107 14889:15281" s="3" customFormat="1" x14ac:dyDescent="0.25">
      <c r="B148" s="81"/>
      <c r="C148" s="59" t="s">
        <v>48</v>
      </c>
      <c r="D148" s="209"/>
      <c r="E148" s="7" t="s">
        <v>29</v>
      </c>
      <c r="F148" s="6">
        <v>0</v>
      </c>
      <c r="G148" s="6">
        <v>0</v>
      </c>
      <c r="H148" s="6">
        <v>0</v>
      </c>
      <c r="I148" s="6">
        <v>4.2753313381787089E-2</v>
      </c>
      <c r="J148" s="6">
        <v>0</v>
      </c>
      <c r="K148" s="6">
        <v>0</v>
      </c>
      <c r="L148" s="6">
        <v>5.6306306306306307E-2</v>
      </c>
      <c r="M148" s="6">
        <v>0</v>
      </c>
      <c r="N148" s="6">
        <v>4.2390843577787198E-2</v>
      </c>
      <c r="O148" s="6" t="e">
        <v>#DIV/0!</v>
      </c>
      <c r="P148" s="6" t="e">
        <v>#DIV/0!</v>
      </c>
      <c r="Q148" s="6">
        <v>2.7862914460852609E-2</v>
      </c>
      <c r="R148" s="6">
        <v>2.7862914460852609E-2</v>
      </c>
      <c r="S148" s="6">
        <v>2.7457440966501923E-2</v>
      </c>
      <c r="T148" s="6">
        <v>0</v>
      </c>
      <c r="U148" s="6">
        <v>0</v>
      </c>
      <c r="V148" s="6" t="e">
        <v>#DIV/0!</v>
      </c>
      <c r="W148" s="6" t="e">
        <v>#DIV/0!</v>
      </c>
      <c r="X148" s="6" t="e">
        <v>#DIV/0!</v>
      </c>
      <c r="Y148" s="6" t="e">
        <v>#DIV/0!</v>
      </c>
      <c r="Z148" s="6" t="e">
        <v>#DIV/0!</v>
      </c>
      <c r="AA148" s="6" t="e">
        <v>#DIV/0!</v>
      </c>
      <c r="AB148" s="6" t="e">
        <v>#DIV/0!</v>
      </c>
      <c r="AC148" s="6" t="e">
        <v>#DIV/0!</v>
      </c>
      <c r="AD148" s="6" t="e">
        <v>#DIV/0!</v>
      </c>
      <c r="AE148" s="6" t="e">
        <v>#DIV/0!</v>
      </c>
      <c r="AF148" s="6" t="e">
        <v>#DIV/0!</v>
      </c>
      <c r="AG148" s="6" t="e">
        <v>#DIV/0!</v>
      </c>
      <c r="AH148" s="6" t="e">
        <v>#DIV/0!</v>
      </c>
      <c r="AI148" s="6" t="e">
        <v>#DIV/0!</v>
      </c>
      <c r="AJ148" s="143" t="e">
        <v>#DIV/0!</v>
      </c>
      <c r="AK148" s="150"/>
      <c r="AL148" s="64" t="e">
        <v>#DIV/0!</v>
      </c>
    </row>
    <row r="149" spans="2:107 14889:15281" s="3" customFormat="1" ht="15.75" thickBot="1" x14ac:dyDescent="0.3">
      <c r="B149" s="114"/>
      <c r="C149" s="59" t="s">
        <v>102</v>
      </c>
      <c r="D149" s="209"/>
      <c r="E149" s="7" t="s">
        <v>29</v>
      </c>
      <c r="F149" s="6">
        <v>0.18832391713747645</v>
      </c>
      <c r="G149" s="6" t="e">
        <v>#DIV/0!</v>
      </c>
      <c r="H149" s="6" t="e">
        <v>#DIV/0!</v>
      </c>
      <c r="I149" s="6">
        <v>0</v>
      </c>
      <c r="J149" s="6" t="e">
        <v>#DIV/0!</v>
      </c>
      <c r="K149" s="6" t="e">
        <v>#DIV/0!</v>
      </c>
      <c r="L149" s="6" t="e">
        <v>#DIV/0!</v>
      </c>
      <c r="M149" s="6" t="e">
        <v>#DIV/0!</v>
      </c>
      <c r="N149" s="6" t="e">
        <v>#DIV/0!</v>
      </c>
      <c r="O149" s="6" t="e">
        <v>#DIV/0!</v>
      </c>
      <c r="P149" s="6" t="e">
        <v>#DIV/0!</v>
      </c>
      <c r="Q149" s="6">
        <v>0</v>
      </c>
      <c r="R149" s="6" t="e">
        <v>#DIV/0!</v>
      </c>
      <c r="S149" s="6" t="e">
        <v>#DIV/0!</v>
      </c>
      <c r="T149" s="6" t="e">
        <v>#DIV/0!</v>
      </c>
      <c r="U149" s="6" t="e">
        <v>#DIV/0!</v>
      </c>
      <c r="V149" s="6" t="e">
        <v>#DIV/0!</v>
      </c>
      <c r="W149" s="6">
        <v>0.16992353440951571</v>
      </c>
      <c r="X149" s="6">
        <v>0</v>
      </c>
      <c r="Y149" s="6" t="e">
        <v>#DIV/0!</v>
      </c>
      <c r="Z149" s="6">
        <v>8.5034013605442174E-2</v>
      </c>
      <c r="AA149" s="6" t="e">
        <v>#DIV/0!</v>
      </c>
      <c r="AB149" s="6" t="e">
        <v>#DIV/0!</v>
      </c>
      <c r="AC149" s="6" t="e">
        <v>#DIV/0!</v>
      </c>
      <c r="AD149" s="6" t="e">
        <v>#DIV/0!</v>
      </c>
      <c r="AE149" s="6" t="e">
        <v>#DIV/0!</v>
      </c>
      <c r="AF149" s="6" t="e">
        <v>#DIV/0!</v>
      </c>
      <c r="AG149" s="6" t="e">
        <v>#DIV/0!</v>
      </c>
      <c r="AH149" s="6" t="e">
        <v>#DIV/0!</v>
      </c>
      <c r="AI149" s="6" t="e">
        <v>#DIV/0!</v>
      </c>
      <c r="AJ149" s="143" t="e">
        <v>#DIV/0!</v>
      </c>
      <c r="AK149" s="150"/>
      <c r="AL149" s="64" t="e">
        <v>#DIV/0!</v>
      </c>
    </row>
    <row r="150" spans="2:107 14889:15281" s="3" customFormat="1" x14ac:dyDescent="0.25">
      <c r="B150" s="49">
        <v>6</v>
      </c>
      <c r="C150" s="43" t="s">
        <v>46</v>
      </c>
      <c r="D150" s="44"/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45"/>
      <c r="AD150" s="25"/>
      <c r="AE150" s="25"/>
      <c r="AF150" s="25"/>
      <c r="AG150" s="46"/>
      <c r="AH150" s="46"/>
      <c r="AI150" s="46"/>
      <c r="AJ150" s="47"/>
      <c r="AK150" s="12"/>
      <c r="AL150" s="259" t="s">
        <v>45</v>
      </c>
      <c r="DC150" s="16"/>
      <c r="UZQ150" s="190"/>
      <c r="UZR150" s="190"/>
      <c r="UZS150" s="190"/>
      <c r="UZT150" s="190"/>
      <c r="UZU150" s="190"/>
      <c r="UZV150" s="190"/>
      <c r="UZW150" s="190"/>
      <c r="UZX150" s="190"/>
      <c r="UZY150" s="190"/>
      <c r="UZZ150" s="190"/>
      <c r="VAA150" s="190"/>
      <c r="VAB150" s="190"/>
      <c r="VAC150" s="190"/>
      <c r="VAD150" s="190"/>
      <c r="VAE150" s="190"/>
      <c r="VAF150" s="190"/>
      <c r="VAG150" s="190"/>
      <c r="VAH150" s="190"/>
      <c r="VAI150" s="190"/>
      <c r="VAJ150" s="190"/>
      <c r="VAK150" s="190"/>
      <c r="VAL150" s="190"/>
      <c r="VAM150" s="190"/>
      <c r="VAN150" s="190"/>
      <c r="VAO150" s="190"/>
      <c r="VAP150" s="190"/>
      <c r="VAQ150" s="190"/>
      <c r="VAR150" s="190"/>
      <c r="VAS150" s="190"/>
      <c r="VAT150" s="190"/>
      <c r="VAU150" s="190"/>
      <c r="VAV150" s="190"/>
      <c r="VAW150" s="190"/>
      <c r="VAX150" s="190"/>
      <c r="VAY150" s="190"/>
      <c r="VAZ150" s="190"/>
      <c r="VBA150" s="190"/>
      <c r="VBB150" s="190"/>
      <c r="VBC150" s="190"/>
      <c r="VBD150" s="190"/>
      <c r="VBE150" s="190"/>
      <c r="VBF150" s="190"/>
      <c r="VBG150" s="190"/>
      <c r="VBH150" s="190"/>
      <c r="VBI150" s="190"/>
      <c r="VBJ150" s="190"/>
      <c r="VBK150" s="190"/>
      <c r="VBL150" s="190"/>
      <c r="VBM150" s="190"/>
      <c r="VBN150" s="190"/>
      <c r="VBO150" s="190"/>
      <c r="VBP150" s="190"/>
      <c r="VBQ150" s="190"/>
      <c r="VBR150" s="190"/>
      <c r="VBS150" s="190"/>
      <c r="VBT150" s="190"/>
      <c r="VBU150" s="190"/>
      <c r="VBV150" s="190"/>
      <c r="VBW150" s="190"/>
      <c r="VBX150" s="190"/>
      <c r="VBY150" s="190"/>
      <c r="VBZ150" s="190"/>
      <c r="VCA150" s="190"/>
      <c r="VCB150" s="190"/>
      <c r="VCC150" s="190"/>
      <c r="VCD150" s="190"/>
      <c r="VCE150" s="190"/>
      <c r="VCF150" s="190"/>
      <c r="VCG150" s="190"/>
      <c r="VCH150" s="190"/>
      <c r="VCI150" s="190"/>
      <c r="VCJ150" s="190"/>
      <c r="VCK150" s="190"/>
      <c r="VCL150" s="190"/>
      <c r="VCM150" s="190"/>
      <c r="VCN150" s="190"/>
      <c r="VCO150" s="190"/>
      <c r="VCP150" s="190"/>
      <c r="VCQ150" s="190"/>
      <c r="VCR150" s="190"/>
      <c r="VCS150" s="190"/>
      <c r="VCT150" s="190"/>
      <c r="VCU150" s="190"/>
      <c r="VCV150" s="190"/>
      <c r="VCW150" s="190"/>
      <c r="VCX150" s="190"/>
      <c r="VCY150" s="190"/>
      <c r="VCZ150" s="190"/>
      <c r="VDA150" s="190"/>
      <c r="VDB150" s="190"/>
      <c r="VDC150" s="190"/>
      <c r="VDD150" s="190"/>
      <c r="VDE150" s="190"/>
      <c r="VDF150" s="190"/>
      <c r="VDG150" s="190"/>
      <c r="VDH150" s="190"/>
      <c r="VDI150" s="190"/>
      <c r="VDJ150" s="190"/>
      <c r="VDK150" s="190"/>
      <c r="VDL150" s="190"/>
      <c r="VDM150" s="190"/>
      <c r="VDN150" s="190"/>
      <c r="VDO150" s="190"/>
      <c r="VDP150" s="190"/>
      <c r="VDQ150" s="190"/>
      <c r="VDR150" s="190"/>
      <c r="VDS150" s="190"/>
      <c r="VDT150" s="190"/>
      <c r="VDU150" s="190"/>
      <c r="VDV150" s="190"/>
      <c r="VDW150" s="190"/>
      <c r="VDX150" s="190"/>
      <c r="VDY150" s="190"/>
      <c r="VDZ150" s="190"/>
      <c r="VEA150" s="190"/>
      <c r="VEB150" s="190"/>
      <c r="VEC150" s="190"/>
      <c r="VED150" s="190"/>
      <c r="VEE150" s="190"/>
      <c r="VEF150" s="190"/>
      <c r="VEG150" s="190"/>
      <c r="VEH150" s="190"/>
      <c r="VEI150" s="190"/>
      <c r="VEJ150" s="190"/>
      <c r="VEK150" s="190"/>
      <c r="VEL150" s="190"/>
      <c r="VEM150" s="190"/>
      <c r="VEN150" s="190"/>
      <c r="VEO150" s="190"/>
      <c r="VEP150" s="190"/>
      <c r="VEQ150" s="190"/>
      <c r="VER150" s="190"/>
      <c r="VES150" s="190"/>
      <c r="VET150" s="190"/>
      <c r="VEU150" s="190"/>
      <c r="VEV150" s="190"/>
      <c r="VEW150" s="190"/>
      <c r="VEX150" s="190"/>
      <c r="VEY150" s="190"/>
      <c r="VEZ150" s="190"/>
      <c r="VFA150" s="190"/>
      <c r="VFB150" s="190"/>
      <c r="VFC150" s="190"/>
      <c r="VFD150" s="190"/>
      <c r="VFE150" s="190"/>
      <c r="VFF150" s="190"/>
      <c r="VFG150" s="190"/>
      <c r="VFH150" s="190"/>
      <c r="VFI150" s="190"/>
      <c r="VFJ150" s="190"/>
      <c r="VFK150" s="190"/>
      <c r="VFL150" s="190"/>
      <c r="VFM150" s="190"/>
      <c r="VFN150" s="190"/>
      <c r="VFO150" s="190"/>
      <c r="VFP150" s="190"/>
      <c r="VFQ150" s="190"/>
      <c r="VFR150" s="190"/>
      <c r="VFS150" s="190"/>
      <c r="VFT150" s="190"/>
      <c r="VFU150" s="190"/>
      <c r="VFV150" s="190"/>
      <c r="VFW150" s="190"/>
      <c r="VFX150" s="190"/>
      <c r="VFY150" s="190"/>
      <c r="VFZ150" s="190"/>
      <c r="VGA150" s="190"/>
      <c r="VGB150" s="190"/>
      <c r="VGC150" s="190"/>
      <c r="VGD150" s="190"/>
      <c r="VGE150" s="190"/>
      <c r="VGF150" s="190"/>
      <c r="VGG150" s="190"/>
      <c r="VGH150" s="190"/>
      <c r="VGI150" s="190"/>
      <c r="VGJ150" s="190"/>
      <c r="VGK150" s="190"/>
      <c r="VGL150" s="190"/>
      <c r="VGM150" s="190"/>
      <c r="VGN150" s="190"/>
      <c r="VGO150" s="190"/>
      <c r="VGP150" s="190"/>
      <c r="VGQ150" s="190"/>
      <c r="VGR150" s="190"/>
      <c r="VGS150" s="190"/>
      <c r="VGT150" s="190"/>
      <c r="VGU150" s="190"/>
      <c r="VGV150" s="190"/>
      <c r="VGW150" s="190"/>
      <c r="VGX150" s="190"/>
      <c r="VGY150" s="190"/>
      <c r="VGZ150" s="190"/>
      <c r="VHA150" s="190"/>
      <c r="VHB150" s="190"/>
      <c r="VHC150" s="190"/>
      <c r="VHD150" s="190"/>
      <c r="VHE150" s="190"/>
      <c r="VHF150" s="190"/>
      <c r="VHG150" s="190"/>
      <c r="VHH150" s="190"/>
      <c r="VHI150" s="190"/>
      <c r="VHJ150" s="190"/>
      <c r="VHK150" s="190"/>
      <c r="VHL150" s="190"/>
      <c r="VHM150" s="190"/>
      <c r="VHN150" s="190"/>
      <c r="VHO150" s="190"/>
      <c r="VHP150" s="190"/>
      <c r="VHQ150" s="190"/>
      <c r="VHR150" s="190"/>
      <c r="VHS150" s="190"/>
      <c r="VHT150" s="190"/>
      <c r="VHU150" s="190"/>
      <c r="VHV150" s="190"/>
      <c r="VHW150" s="190"/>
      <c r="VHX150" s="190"/>
      <c r="VHY150" s="190"/>
      <c r="VHZ150" s="190"/>
      <c r="VIA150" s="190"/>
      <c r="VIB150" s="190"/>
      <c r="VIC150" s="190"/>
      <c r="VID150" s="190"/>
      <c r="VIE150" s="190"/>
      <c r="VIF150" s="190"/>
      <c r="VIG150" s="190"/>
      <c r="VIH150" s="190"/>
      <c r="VII150" s="190"/>
      <c r="VIJ150" s="190"/>
      <c r="VIK150" s="190"/>
      <c r="VIL150" s="190"/>
      <c r="VIM150" s="190"/>
      <c r="VIN150" s="190"/>
      <c r="VIO150" s="190"/>
      <c r="VIP150" s="190"/>
      <c r="VIQ150" s="190"/>
      <c r="VIR150" s="190"/>
      <c r="VIS150" s="190"/>
      <c r="VIT150" s="190"/>
      <c r="VIU150" s="190"/>
      <c r="VIV150" s="190"/>
      <c r="VIW150" s="190"/>
      <c r="VIX150" s="190"/>
      <c r="VIY150" s="190"/>
      <c r="VIZ150" s="190"/>
      <c r="VJA150" s="190"/>
      <c r="VJB150" s="190"/>
      <c r="VJC150" s="190"/>
      <c r="VJD150" s="190"/>
      <c r="VJE150" s="190"/>
      <c r="VJF150" s="190"/>
      <c r="VJG150" s="190"/>
      <c r="VJH150" s="190"/>
      <c r="VJI150" s="190"/>
      <c r="VJJ150" s="190"/>
      <c r="VJK150" s="190"/>
      <c r="VJL150" s="190"/>
      <c r="VJM150" s="190"/>
      <c r="VJN150" s="190"/>
      <c r="VJO150" s="190"/>
      <c r="VJP150" s="190"/>
      <c r="VJQ150" s="190"/>
      <c r="VJR150" s="190"/>
      <c r="VJS150" s="190"/>
      <c r="VJT150" s="190"/>
      <c r="VJU150" s="190"/>
      <c r="VJV150" s="190"/>
      <c r="VJW150" s="190"/>
      <c r="VJX150" s="190"/>
      <c r="VJY150" s="190"/>
      <c r="VJZ150" s="190"/>
      <c r="VKA150" s="190"/>
      <c r="VKB150" s="190"/>
      <c r="VKC150" s="190"/>
      <c r="VKD150" s="190"/>
      <c r="VKE150" s="190"/>
      <c r="VKF150" s="190"/>
      <c r="VKG150" s="190"/>
      <c r="VKH150" s="190"/>
      <c r="VKI150" s="190"/>
      <c r="VKJ150" s="190"/>
      <c r="VKK150" s="190"/>
      <c r="VKL150" s="190"/>
      <c r="VKM150" s="190"/>
      <c r="VKN150" s="190"/>
      <c r="VKO150" s="190"/>
      <c r="VKP150" s="190"/>
      <c r="VKQ150" s="190"/>
      <c r="VKR150" s="190"/>
      <c r="VKS150" s="190"/>
      <c r="VKT150" s="190"/>
      <c r="VKU150" s="190"/>
      <c r="VKV150" s="190"/>
      <c r="VKW150" s="190"/>
      <c r="VKX150" s="190"/>
      <c r="VKY150" s="190"/>
      <c r="VKZ150" s="190"/>
      <c r="VLA150" s="190"/>
      <c r="VLB150" s="190"/>
      <c r="VLC150" s="190"/>
      <c r="VLD150" s="190"/>
      <c r="VLE150" s="190"/>
      <c r="VLF150" s="190"/>
      <c r="VLG150" s="190"/>
      <c r="VLH150" s="190"/>
      <c r="VLI150" s="190"/>
      <c r="VLJ150" s="190"/>
      <c r="VLK150" s="190"/>
      <c r="VLL150" s="190"/>
      <c r="VLM150" s="190"/>
      <c r="VLN150" s="190"/>
      <c r="VLO150" s="190"/>
      <c r="VLP150" s="190"/>
      <c r="VLQ150" s="190"/>
      <c r="VLR150" s="190"/>
      <c r="VLS150" s="190"/>
      <c r="VLT150" s="190"/>
      <c r="VLU150" s="190"/>
      <c r="VLV150" s="190"/>
      <c r="VLW150" s="190"/>
      <c r="VLX150" s="190"/>
      <c r="VLY150" s="190"/>
      <c r="VLZ150" s="190"/>
      <c r="VMA150" s="190"/>
      <c r="VMB150" s="190"/>
      <c r="VMC150" s="190"/>
      <c r="VMD150" s="190"/>
      <c r="VME150" s="190"/>
      <c r="VMF150" s="190"/>
      <c r="VMG150" s="190"/>
      <c r="VMH150" s="190"/>
      <c r="VMI150" s="190"/>
      <c r="VMJ150" s="190"/>
      <c r="VMK150" s="190"/>
      <c r="VML150" s="190"/>
      <c r="VMM150" s="190"/>
      <c r="VMN150" s="190"/>
      <c r="VMO150" s="190"/>
      <c r="VMP150" s="190"/>
      <c r="VMQ150" s="190"/>
      <c r="VMR150" s="190"/>
      <c r="VMS150" s="190"/>
      <c r="VMT150" s="190"/>
      <c r="VMU150" s="190"/>
      <c r="VMV150" s="190"/>
      <c r="VMW150" s="190"/>
      <c r="VMX150" s="190"/>
      <c r="VMY150" s="190"/>
      <c r="VMZ150" s="190"/>
      <c r="VNA150" s="190"/>
      <c r="VNB150" s="190"/>
      <c r="VNC150" s="190"/>
      <c r="VND150" s="190"/>
      <c r="VNE150" s="190"/>
      <c r="VNF150" s="190"/>
      <c r="VNG150" s="190"/>
      <c r="VNH150" s="190"/>
      <c r="VNI150" s="190"/>
      <c r="VNJ150" s="190"/>
      <c r="VNK150" s="190"/>
      <c r="VNL150" s="190"/>
      <c r="VNM150" s="190"/>
      <c r="VNN150" s="190"/>
      <c r="VNO150" s="190"/>
      <c r="VNP150" s="190"/>
      <c r="VNQ150" s="190"/>
      <c r="VNR150" s="190"/>
      <c r="VNS150" s="190"/>
      <c r="VNT150" s="190"/>
      <c r="VNU150" s="190"/>
      <c r="VNV150" s="190"/>
      <c r="VNW150" s="190"/>
      <c r="VNX150" s="190"/>
      <c r="VNY150" s="190"/>
      <c r="VNZ150" s="190"/>
      <c r="VOA150" s="190"/>
      <c r="VOB150" s="190"/>
      <c r="VOC150" s="190"/>
      <c r="VOD150" s="190"/>
      <c r="VOE150" s="190"/>
      <c r="VOF150" s="190"/>
      <c r="VOG150" s="190"/>
      <c r="VOH150" s="190"/>
      <c r="VOI150" s="190"/>
      <c r="VOJ150" s="190"/>
      <c r="VOK150" s="190"/>
      <c r="VOL150" s="190"/>
      <c r="VOM150" s="190"/>
      <c r="VON150" s="190"/>
      <c r="VOO150" s="190"/>
      <c r="VOP150" s="190"/>
      <c r="VOQ150" s="190"/>
      <c r="VOR150" s="190"/>
      <c r="VOS150" s="190"/>
    </row>
    <row r="151" spans="2:107 14889:15281" s="3" customFormat="1" x14ac:dyDescent="0.25">
      <c r="B151" s="81"/>
      <c r="C151" s="136" t="s">
        <v>127</v>
      </c>
      <c r="D151" s="137"/>
      <c r="E151" s="7" t="s">
        <v>16</v>
      </c>
      <c r="F151" s="222">
        <v>11077.46</v>
      </c>
      <c r="G151" s="222">
        <v>13337.14</v>
      </c>
      <c r="H151" s="222">
        <v>13649.05</v>
      </c>
      <c r="I151" s="222">
        <v>12927.77</v>
      </c>
      <c r="J151" s="222">
        <v>2525.29</v>
      </c>
      <c r="K151" s="222">
        <v>3900.02</v>
      </c>
      <c r="L151" s="222">
        <v>3900.02</v>
      </c>
      <c r="M151" s="222">
        <v>2944.81</v>
      </c>
      <c r="N151" s="222">
        <v>2090.64</v>
      </c>
      <c r="O151" s="222">
        <v>1906.53</v>
      </c>
      <c r="P151" s="222"/>
      <c r="Q151" s="222">
        <v>13649.05</v>
      </c>
      <c r="R151" s="222"/>
      <c r="S151" s="222">
        <v>6931.74</v>
      </c>
      <c r="T151" s="222">
        <v>5860.38</v>
      </c>
      <c r="U151" s="222">
        <v>6824.52</v>
      </c>
      <c r="V151" s="222">
        <v>6824.52</v>
      </c>
      <c r="W151" s="222">
        <v>6824.52</v>
      </c>
      <c r="X151" s="222">
        <v>8286.57</v>
      </c>
      <c r="Y151" s="222">
        <v>19537.86</v>
      </c>
      <c r="Z151" s="222">
        <v>13650.67</v>
      </c>
      <c r="AA151" s="222"/>
      <c r="AB151" s="222"/>
      <c r="AC151" s="222"/>
      <c r="AD151" s="222">
        <v>146.21</v>
      </c>
      <c r="AE151" s="222"/>
      <c r="AF151" s="222"/>
      <c r="AG151" s="222"/>
      <c r="AH151" s="222"/>
      <c r="AI151" s="223"/>
      <c r="AJ151" s="224"/>
      <c r="AK151" s="14"/>
      <c r="AL151" s="279">
        <v>156794.77000000002</v>
      </c>
      <c r="DC151" s="16"/>
    </row>
    <row r="152" spans="2:107 14889:15281" s="3" customFormat="1" x14ac:dyDescent="0.25">
      <c r="B152" s="81"/>
      <c r="C152" s="138" t="s">
        <v>44</v>
      </c>
      <c r="D152" s="78"/>
      <c r="E152" s="7" t="s">
        <v>16</v>
      </c>
      <c r="F152" s="207">
        <v>11157.98112</v>
      </c>
      <c r="G152" s="207">
        <v>13420.788479999999</v>
      </c>
      <c r="H152" s="207">
        <v>13693.885919999999</v>
      </c>
      <c r="I152" s="207">
        <v>12981.881879999999</v>
      </c>
      <c r="J152" s="207">
        <v>2526.1513199999999</v>
      </c>
      <c r="K152" s="207">
        <v>3911.1454799999997</v>
      </c>
      <c r="L152" s="207">
        <v>3911.1454799999997</v>
      </c>
      <c r="M152" s="207">
        <v>2955.3044399999999</v>
      </c>
      <c r="N152" s="207">
        <v>1882.42164</v>
      </c>
      <c r="O152" s="207">
        <v>1716.61248</v>
      </c>
      <c r="P152" s="207">
        <v>0</v>
      </c>
      <c r="Q152" s="207">
        <v>13752.406799999999</v>
      </c>
      <c r="R152" s="207">
        <v>0</v>
      </c>
      <c r="S152" s="207">
        <v>7081.0264799999995</v>
      </c>
      <c r="T152" s="207">
        <v>5959.3762799999995</v>
      </c>
      <c r="U152" s="207">
        <v>6924.9708000000001</v>
      </c>
      <c r="V152" s="207">
        <v>6924.9708000000001</v>
      </c>
      <c r="W152" s="207">
        <v>6944.4777599999998</v>
      </c>
      <c r="X152" s="207">
        <v>8534.2950000000001</v>
      </c>
      <c r="Y152" s="207">
        <v>19643.508719999998</v>
      </c>
      <c r="Z152" s="207">
        <v>13869.448559999999</v>
      </c>
      <c r="AA152" s="207">
        <v>0</v>
      </c>
      <c r="AB152" s="207">
        <v>0</v>
      </c>
      <c r="AC152" s="207">
        <v>0</v>
      </c>
      <c r="AD152" s="207">
        <v>0</v>
      </c>
      <c r="AE152" s="207">
        <v>0</v>
      </c>
      <c r="AF152" s="207">
        <v>0</v>
      </c>
      <c r="AG152" s="207">
        <v>0</v>
      </c>
      <c r="AH152" s="207">
        <v>0</v>
      </c>
      <c r="AI152" s="207">
        <v>0</v>
      </c>
      <c r="AJ152" s="208">
        <v>0</v>
      </c>
      <c r="AL152" s="76">
        <v>157791.79943999997</v>
      </c>
      <c r="DC152" s="16"/>
    </row>
    <row r="153" spans="2:107 14889:15281" s="3" customFormat="1" x14ac:dyDescent="0.25">
      <c r="B153" s="81"/>
      <c r="C153" s="138" t="s">
        <v>43</v>
      </c>
      <c r="D153" s="78"/>
      <c r="E153" s="7" t="s">
        <v>16</v>
      </c>
      <c r="F153" s="207">
        <v>-80.521120000001247</v>
      </c>
      <c r="G153" s="207">
        <v>-83.648479999999836</v>
      </c>
      <c r="H153" s="207">
        <v>-44.835919999999533</v>
      </c>
      <c r="I153" s="207">
        <v>-54.111879999998564</v>
      </c>
      <c r="J153" s="207">
        <v>-0.86131999999997788</v>
      </c>
      <c r="K153" s="207">
        <v>-11.125479999999698</v>
      </c>
      <c r="L153" s="207">
        <v>-11.125479999999698</v>
      </c>
      <c r="M153" s="207">
        <v>-10.49443999999994</v>
      </c>
      <c r="N153" s="207">
        <v>208.21835999999985</v>
      </c>
      <c r="O153" s="207">
        <v>189.91751999999997</v>
      </c>
      <c r="P153" s="207">
        <v>0</v>
      </c>
      <c r="Q153" s="207">
        <v>-103.35679999999957</v>
      </c>
      <c r="R153" s="1">
        <v>0</v>
      </c>
      <c r="S153" s="1">
        <v>0</v>
      </c>
      <c r="T153" s="207">
        <v>-98.996279999999388</v>
      </c>
      <c r="U153" s="207">
        <v>-100.45079999999962</v>
      </c>
      <c r="V153" s="207">
        <v>-100.45079999999962</v>
      </c>
      <c r="W153" s="207">
        <v>-119.95775999999933</v>
      </c>
      <c r="X153" s="207">
        <v>-247.72500000000036</v>
      </c>
      <c r="Y153" s="207">
        <v>-105.64871999999741</v>
      </c>
      <c r="Z153" s="207">
        <v>-218.77855999999883</v>
      </c>
      <c r="AA153" s="207">
        <v>0</v>
      </c>
      <c r="AB153" s="207">
        <v>0</v>
      </c>
      <c r="AC153" s="207">
        <v>0</v>
      </c>
      <c r="AD153" s="207">
        <v>146.21</v>
      </c>
      <c r="AE153" s="207">
        <v>0</v>
      </c>
      <c r="AF153" s="207">
        <v>0</v>
      </c>
      <c r="AG153" s="207">
        <v>0</v>
      </c>
      <c r="AH153" s="207">
        <v>0</v>
      </c>
      <c r="AI153" s="207">
        <v>0</v>
      </c>
      <c r="AJ153" s="208">
        <v>0</v>
      </c>
      <c r="AL153" s="76">
        <v>-847.74295999999276</v>
      </c>
      <c r="DC153" s="16"/>
    </row>
    <row r="154" spans="2:107 14889:15281" s="3" customFormat="1" x14ac:dyDescent="0.25">
      <c r="B154" s="81"/>
      <c r="C154" s="138" t="s">
        <v>33</v>
      </c>
      <c r="D154" s="78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62"/>
      <c r="AJ154" s="63"/>
      <c r="AL154" s="80" t="s">
        <v>33</v>
      </c>
      <c r="DC154" s="16"/>
    </row>
    <row r="155" spans="2:107 14889:15281" s="3" customFormat="1" x14ac:dyDescent="0.2">
      <c r="B155" s="81"/>
      <c r="C155" s="59" t="s">
        <v>128</v>
      </c>
      <c r="D155" s="78"/>
      <c r="E155" s="8" t="s">
        <v>36</v>
      </c>
      <c r="F155" s="1"/>
      <c r="G155" s="1"/>
      <c r="H155" s="1"/>
      <c r="I155" s="1"/>
      <c r="J155" s="1"/>
      <c r="K155" s="1"/>
      <c r="L155" s="1"/>
      <c r="M155" s="1"/>
      <c r="N155" s="1">
        <v>193</v>
      </c>
      <c r="O155" s="1">
        <v>176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62"/>
      <c r="AJ155" s="63"/>
      <c r="AL155" s="148">
        <v>369</v>
      </c>
      <c r="DC155" s="16"/>
    </row>
    <row r="156" spans="2:107 14889:15281" s="9" customFormat="1" x14ac:dyDescent="0.25">
      <c r="B156" s="100"/>
      <c r="C156" s="59" t="s">
        <v>31</v>
      </c>
      <c r="D156" s="60"/>
      <c r="E156" s="8" t="s">
        <v>36</v>
      </c>
      <c r="F156" s="6"/>
      <c r="G156" s="6"/>
      <c r="H156" s="6"/>
      <c r="I156" s="6"/>
      <c r="J156" s="6">
        <v>259</v>
      </c>
      <c r="K156" s="6">
        <v>401</v>
      </c>
      <c r="L156" s="6">
        <v>401</v>
      </c>
      <c r="M156" s="6">
        <v>303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42"/>
      <c r="AJ156" s="143"/>
      <c r="AL156" s="148">
        <v>1364</v>
      </c>
      <c r="DC156" s="323"/>
    </row>
    <row r="157" spans="2:107 14889:15281" s="9" customFormat="1" x14ac:dyDescent="0.25">
      <c r="B157" s="100"/>
      <c r="C157" s="59" t="s">
        <v>30</v>
      </c>
      <c r="D157" s="60"/>
      <c r="E157" s="8" t="s">
        <v>36</v>
      </c>
      <c r="F157" s="6">
        <v>1144</v>
      </c>
      <c r="G157" s="6">
        <v>1376</v>
      </c>
      <c r="H157" s="6">
        <v>1404</v>
      </c>
      <c r="I157" s="6">
        <v>1331</v>
      </c>
      <c r="J157" s="6"/>
      <c r="K157" s="6"/>
      <c r="L157" s="6"/>
      <c r="M157" s="6"/>
      <c r="N157" s="6"/>
      <c r="O157" s="6"/>
      <c r="P157" s="6"/>
      <c r="Q157" s="6">
        <v>1410</v>
      </c>
      <c r="R157" s="6"/>
      <c r="S157" s="6">
        <v>726</v>
      </c>
      <c r="T157" s="6">
        <v>611</v>
      </c>
      <c r="U157" s="6">
        <v>710</v>
      </c>
      <c r="V157" s="6">
        <v>710</v>
      </c>
      <c r="W157" s="6">
        <v>712</v>
      </c>
      <c r="X157" s="6">
        <v>875</v>
      </c>
      <c r="Y157" s="6">
        <v>2014</v>
      </c>
      <c r="Z157" s="6">
        <v>1422</v>
      </c>
      <c r="AA157" s="6"/>
      <c r="AB157" s="6"/>
      <c r="AC157" s="6"/>
      <c r="AD157" s="6"/>
      <c r="AE157" s="6"/>
      <c r="AF157" s="6"/>
      <c r="AG157" s="6"/>
      <c r="AH157" s="6"/>
      <c r="AI157" s="142"/>
      <c r="AJ157" s="143"/>
      <c r="AL157" s="148">
        <v>14445</v>
      </c>
      <c r="DC157" s="323"/>
    </row>
    <row r="158" spans="2:107 14889:15281" s="9" customFormat="1" x14ac:dyDescent="0.25">
      <c r="B158" s="100"/>
      <c r="C158" s="59" t="s">
        <v>42</v>
      </c>
      <c r="D158" s="60"/>
      <c r="E158" s="8" t="s">
        <v>36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142"/>
      <c r="AJ158" s="143"/>
      <c r="AL158" s="148">
        <v>0</v>
      </c>
      <c r="DC158" s="323"/>
    </row>
    <row r="159" spans="2:107 14889:15281" s="3" customFormat="1" x14ac:dyDescent="0.25">
      <c r="B159" s="81"/>
      <c r="C159" s="138" t="s">
        <v>32</v>
      </c>
      <c r="D159" s="78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62"/>
      <c r="AJ159" s="63"/>
      <c r="AL159" s="80" t="s">
        <v>32</v>
      </c>
      <c r="DC159" s="16"/>
    </row>
    <row r="160" spans="2:107 14889:15281" s="3" customFormat="1" x14ac:dyDescent="0.25">
      <c r="B160" s="81"/>
      <c r="C160" s="59" t="s">
        <v>128</v>
      </c>
      <c r="D160" s="78"/>
      <c r="E160" s="7" t="s">
        <v>32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4632</v>
      </c>
      <c r="O160" s="1">
        <v>4224</v>
      </c>
      <c r="P160" s="1">
        <v>0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62"/>
      <c r="AJ160" s="63"/>
      <c r="AL160" s="80"/>
      <c r="DC160" s="16"/>
    </row>
    <row r="161" spans="2:107 14889:15281" s="3" customFormat="1" x14ac:dyDescent="0.25">
      <c r="B161" s="81"/>
      <c r="C161" s="59" t="s">
        <v>31</v>
      </c>
      <c r="D161" s="78"/>
      <c r="E161" s="7" t="s">
        <v>32</v>
      </c>
      <c r="F161" s="1">
        <v>0</v>
      </c>
      <c r="G161" s="1">
        <v>0</v>
      </c>
      <c r="H161" s="1">
        <v>0</v>
      </c>
      <c r="I161" s="1">
        <v>0</v>
      </c>
      <c r="J161" s="1">
        <v>6216</v>
      </c>
      <c r="K161" s="1">
        <v>9624</v>
      </c>
      <c r="L161" s="1">
        <v>9624</v>
      </c>
      <c r="M161" s="1">
        <v>7272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63">
        <v>0</v>
      </c>
      <c r="AL161" s="64">
        <v>32736</v>
      </c>
      <c r="DC161" s="16"/>
    </row>
    <row r="162" spans="2:107 14889:15281" s="3" customFormat="1" x14ac:dyDescent="0.25">
      <c r="B162" s="81"/>
      <c r="C162" s="59" t="s">
        <v>30</v>
      </c>
      <c r="D162" s="78"/>
      <c r="E162" s="7" t="s">
        <v>32</v>
      </c>
      <c r="F162" s="1">
        <v>13728</v>
      </c>
      <c r="G162" s="1">
        <v>16512</v>
      </c>
      <c r="H162" s="1">
        <v>16848</v>
      </c>
      <c r="I162" s="1">
        <v>15972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16920</v>
      </c>
      <c r="R162" s="1">
        <v>0</v>
      </c>
      <c r="S162" s="1">
        <v>8712</v>
      </c>
      <c r="T162" s="1">
        <v>7332</v>
      </c>
      <c r="U162" s="1">
        <v>8520</v>
      </c>
      <c r="V162" s="1">
        <v>8520</v>
      </c>
      <c r="W162" s="1">
        <v>8544</v>
      </c>
      <c r="X162" s="1">
        <v>10500</v>
      </c>
      <c r="Y162" s="1">
        <v>24168</v>
      </c>
      <c r="Z162" s="1">
        <v>17064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63">
        <v>0</v>
      </c>
      <c r="AL162" s="64">
        <v>173340</v>
      </c>
      <c r="DC162" s="16"/>
    </row>
    <row r="163" spans="2:107 14889:15281" s="3" customFormat="1" x14ac:dyDescent="0.25">
      <c r="B163" s="81"/>
      <c r="C163" s="59" t="s">
        <v>42</v>
      </c>
      <c r="D163" s="78"/>
      <c r="E163" s="7" t="s">
        <v>32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63">
        <v>0</v>
      </c>
      <c r="AL163" s="64">
        <v>0</v>
      </c>
      <c r="DC163" s="16"/>
    </row>
    <row r="164" spans="2:107 14889:15281" s="3" customFormat="1" x14ac:dyDescent="0.25">
      <c r="B164" s="81"/>
      <c r="C164" s="138" t="s">
        <v>41</v>
      </c>
      <c r="D164" s="78"/>
      <c r="E164" s="7" t="s">
        <v>40</v>
      </c>
      <c r="F164" s="1">
        <v>293.22688235294117</v>
      </c>
      <c r="G164" s="1">
        <v>353.04194117647057</v>
      </c>
      <c r="H164" s="1">
        <v>361.29838235294119</v>
      </c>
      <c r="I164" s="1">
        <v>342.20567647058823</v>
      </c>
      <c r="J164" s="1">
        <v>66.845911764705889</v>
      </c>
      <c r="K164" s="1">
        <v>103.23582352941176</v>
      </c>
      <c r="L164" s="1">
        <v>103.23582352941176</v>
      </c>
      <c r="M164" s="1">
        <v>77.950852941176478</v>
      </c>
      <c r="N164" s="1">
        <v>55.340470588235284</v>
      </c>
      <c r="O164" s="1">
        <v>50.466970588235299</v>
      </c>
      <c r="P164" s="1">
        <v>0</v>
      </c>
      <c r="Q164" s="1">
        <v>361.29838235294119</v>
      </c>
      <c r="R164" s="1">
        <v>0</v>
      </c>
      <c r="S164" s="1">
        <v>183.48723529411765</v>
      </c>
      <c r="T164" s="1">
        <v>155.12770588235293</v>
      </c>
      <c r="U164" s="1">
        <v>180.64905882352943</v>
      </c>
      <c r="V164" s="1">
        <v>180.64905882352943</v>
      </c>
      <c r="W164" s="1">
        <v>180.64905882352943</v>
      </c>
      <c r="X164" s="1">
        <v>219.35038235294115</v>
      </c>
      <c r="Y164" s="1">
        <v>517.17864705882357</v>
      </c>
      <c r="Z164" s="1">
        <v>361.34126470588239</v>
      </c>
      <c r="AA164" s="1">
        <v>0</v>
      </c>
      <c r="AB164" s="1">
        <v>0</v>
      </c>
      <c r="AC164" s="1">
        <v>0</v>
      </c>
      <c r="AD164" s="1">
        <v>3.8702647058823532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63">
        <v>0</v>
      </c>
      <c r="AL164" s="64">
        <v>4150.4497941176469</v>
      </c>
      <c r="DC164" s="16"/>
    </row>
    <row r="165" spans="2:107 14889:15281" s="3" customFormat="1" x14ac:dyDescent="0.25">
      <c r="B165" s="81"/>
      <c r="C165" s="138" t="s">
        <v>39</v>
      </c>
      <c r="D165" s="78"/>
      <c r="E165" s="7" t="s">
        <v>38</v>
      </c>
      <c r="F165" s="1">
        <v>2.2879999999999998</v>
      </c>
      <c r="G165" s="1">
        <v>2.7519999999999998</v>
      </c>
      <c r="H165" s="1">
        <v>2.8079999999999998</v>
      </c>
      <c r="I165" s="1">
        <v>2.6619999999999999</v>
      </c>
      <c r="J165" s="1">
        <v>0.51800000000000002</v>
      </c>
      <c r="K165" s="1">
        <v>0.80200000000000005</v>
      </c>
      <c r="L165" s="1">
        <v>0.80200000000000005</v>
      </c>
      <c r="M165" s="1">
        <v>0.60599999999999998</v>
      </c>
      <c r="N165" s="1">
        <v>0</v>
      </c>
      <c r="O165" s="1">
        <v>0</v>
      </c>
      <c r="P165" s="1">
        <v>0</v>
      </c>
      <c r="Q165" s="1">
        <v>2.82</v>
      </c>
      <c r="R165" s="1">
        <v>0</v>
      </c>
      <c r="S165" s="1">
        <v>1.452</v>
      </c>
      <c r="T165" s="1">
        <v>1.222</v>
      </c>
      <c r="U165" s="1">
        <v>1.42</v>
      </c>
      <c r="V165" s="1">
        <v>1.42</v>
      </c>
      <c r="W165" s="1">
        <v>1.4239999999999999</v>
      </c>
      <c r="X165" s="1">
        <v>1.75</v>
      </c>
      <c r="Y165" s="1">
        <v>4.0279999999999996</v>
      </c>
      <c r="Z165" s="1">
        <v>2.8439999999999999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63">
        <v>0</v>
      </c>
      <c r="AL165" s="64">
        <v>31.618000000000002</v>
      </c>
      <c r="DC165" s="16"/>
    </row>
    <row r="166" spans="2:107 14889:15281" s="3" customFormat="1" x14ac:dyDescent="0.25">
      <c r="B166" s="49"/>
      <c r="C166" s="43" t="s">
        <v>37</v>
      </c>
      <c r="D166" s="44"/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45"/>
      <c r="AD166" s="25"/>
      <c r="AE166" s="25"/>
      <c r="AF166" s="25"/>
      <c r="AG166" s="46"/>
      <c r="AH166" s="46"/>
      <c r="AI166" s="46"/>
      <c r="AJ166" s="47"/>
      <c r="AK166" s="12"/>
      <c r="AL166" s="259" t="s">
        <v>34</v>
      </c>
      <c r="DC166" s="16"/>
      <c r="UZQ166" s="190"/>
      <c r="UZR166" s="190"/>
      <c r="UZS166" s="190"/>
      <c r="UZT166" s="190"/>
      <c r="UZU166" s="190"/>
      <c r="UZV166" s="190"/>
      <c r="UZW166" s="190"/>
      <c r="UZX166" s="190"/>
      <c r="UZY166" s="190"/>
      <c r="UZZ166" s="190"/>
      <c r="VAA166" s="190"/>
      <c r="VAB166" s="190"/>
      <c r="VAC166" s="190"/>
      <c r="VAD166" s="190"/>
      <c r="VAE166" s="190"/>
      <c r="VAF166" s="190"/>
      <c r="VAG166" s="190"/>
      <c r="VAH166" s="190"/>
      <c r="VAI166" s="190"/>
      <c r="VAJ166" s="190"/>
      <c r="VAK166" s="190"/>
      <c r="VAL166" s="190"/>
      <c r="VAM166" s="190"/>
      <c r="VAN166" s="190"/>
      <c r="VAO166" s="190"/>
      <c r="VAP166" s="190"/>
      <c r="VAQ166" s="190"/>
      <c r="VAR166" s="190"/>
      <c r="VAS166" s="190"/>
      <c r="VAT166" s="190"/>
      <c r="VAU166" s="190"/>
      <c r="VAV166" s="190"/>
      <c r="VAW166" s="190"/>
      <c r="VAX166" s="190"/>
      <c r="VAY166" s="190"/>
      <c r="VAZ166" s="190"/>
      <c r="VBA166" s="190"/>
      <c r="VBB166" s="190"/>
      <c r="VBC166" s="190"/>
      <c r="VBD166" s="190"/>
      <c r="VBE166" s="190"/>
      <c r="VBF166" s="190"/>
      <c r="VBG166" s="190"/>
      <c r="VBH166" s="190"/>
      <c r="VBI166" s="190"/>
      <c r="VBJ166" s="190"/>
      <c r="VBK166" s="190"/>
      <c r="VBL166" s="190"/>
      <c r="VBM166" s="190"/>
      <c r="VBN166" s="190"/>
      <c r="VBO166" s="190"/>
      <c r="VBP166" s="190"/>
      <c r="VBQ166" s="190"/>
      <c r="VBR166" s="190"/>
      <c r="VBS166" s="190"/>
      <c r="VBT166" s="190"/>
      <c r="VBU166" s="190"/>
      <c r="VBV166" s="190"/>
      <c r="VBW166" s="190"/>
      <c r="VBX166" s="190"/>
      <c r="VBY166" s="190"/>
      <c r="VBZ166" s="190"/>
      <c r="VCA166" s="190"/>
      <c r="VCB166" s="190"/>
      <c r="VCC166" s="190"/>
      <c r="VCD166" s="190"/>
      <c r="VCE166" s="190"/>
      <c r="VCF166" s="190"/>
      <c r="VCG166" s="190"/>
      <c r="VCH166" s="190"/>
      <c r="VCI166" s="190"/>
      <c r="VCJ166" s="190"/>
      <c r="VCK166" s="190"/>
      <c r="VCL166" s="190"/>
      <c r="VCM166" s="190"/>
      <c r="VCN166" s="190"/>
      <c r="VCO166" s="190"/>
      <c r="VCP166" s="190"/>
      <c r="VCQ166" s="190"/>
      <c r="VCR166" s="190"/>
      <c r="VCS166" s="190"/>
      <c r="VCT166" s="190"/>
      <c r="VCU166" s="190"/>
      <c r="VCV166" s="190"/>
      <c r="VCW166" s="190"/>
      <c r="VCX166" s="190"/>
      <c r="VCY166" s="190"/>
      <c r="VCZ166" s="190"/>
      <c r="VDA166" s="190"/>
      <c r="VDB166" s="190"/>
      <c r="VDC166" s="190"/>
      <c r="VDD166" s="190"/>
      <c r="VDE166" s="190"/>
      <c r="VDF166" s="190"/>
      <c r="VDG166" s="190"/>
      <c r="VDH166" s="190"/>
      <c r="VDI166" s="190"/>
      <c r="VDJ166" s="190"/>
      <c r="VDK166" s="190"/>
      <c r="VDL166" s="190"/>
      <c r="VDM166" s="190"/>
      <c r="VDN166" s="190"/>
      <c r="VDO166" s="190"/>
      <c r="VDP166" s="190"/>
      <c r="VDQ166" s="190"/>
      <c r="VDR166" s="190"/>
      <c r="VDS166" s="190"/>
      <c r="VDT166" s="190"/>
      <c r="VDU166" s="190"/>
      <c r="VDV166" s="190"/>
      <c r="VDW166" s="190"/>
      <c r="VDX166" s="190"/>
      <c r="VDY166" s="190"/>
      <c r="VDZ166" s="190"/>
      <c r="VEA166" s="190"/>
      <c r="VEB166" s="190"/>
      <c r="VEC166" s="190"/>
      <c r="VED166" s="190"/>
      <c r="VEE166" s="190"/>
      <c r="VEF166" s="190"/>
      <c r="VEG166" s="190"/>
      <c r="VEH166" s="190"/>
      <c r="VEI166" s="190"/>
      <c r="VEJ166" s="190"/>
      <c r="VEK166" s="190"/>
      <c r="VEL166" s="190"/>
      <c r="VEM166" s="190"/>
      <c r="VEN166" s="190"/>
      <c r="VEO166" s="190"/>
      <c r="VEP166" s="190"/>
      <c r="VEQ166" s="190"/>
      <c r="VER166" s="190"/>
      <c r="VES166" s="190"/>
      <c r="VET166" s="190"/>
      <c r="VEU166" s="190"/>
      <c r="VEV166" s="190"/>
      <c r="VEW166" s="190"/>
      <c r="VEX166" s="190"/>
      <c r="VEY166" s="190"/>
      <c r="VEZ166" s="190"/>
      <c r="VFA166" s="190"/>
      <c r="VFB166" s="190"/>
      <c r="VFC166" s="190"/>
      <c r="VFD166" s="190"/>
      <c r="VFE166" s="190"/>
      <c r="VFF166" s="190"/>
      <c r="VFG166" s="190"/>
      <c r="VFH166" s="190"/>
      <c r="VFI166" s="190"/>
      <c r="VFJ166" s="190"/>
      <c r="VFK166" s="190"/>
      <c r="VFL166" s="190"/>
      <c r="VFM166" s="190"/>
      <c r="VFN166" s="190"/>
      <c r="VFO166" s="190"/>
      <c r="VFP166" s="190"/>
      <c r="VFQ166" s="190"/>
      <c r="VFR166" s="190"/>
      <c r="VFS166" s="190"/>
      <c r="VFT166" s="190"/>
      <c r="VFU166" s="190"/>
      <c r="VFV166" s="190"/>
      <c r="VFW166" s="190"/>
      <c r="VFX166" s="190"/>
      <c r="VFY166" s="190"/>
      <c r="VFZ166" s="190"/>
      <c r="VGA166" s="190"/>
      <c r="VGB166" s="190"/>
      <c r="VGC166" s="190"/>
      <c r="VGD166" s="190"/>
      <c r="VGE166" s="190"/>
      <c r="VGF166" s="190"/>
      <c r="VGG166" s="190"/>
      <c r="VGH166" s="190"/>
      <c r="VGI166" s="190"/>
      <c r="VGJ166" s="190"/>
      <c r="VGK166" s="190"/>
      <c r="VGL166" s="190"/>
      <c r="VGM166" s="190"/>
      <c r="VGN166" s="190"/>
      <c r="VGO166" s="190"/>
      <c r="VGP166" s="190"/>
      <c r="VGQ166" s="190"/>
      <c r="VGR166" s="190"/>
      <c r="VGS166" s="190"/>
      <c r="VGT166" s="190"/>
      <c r="VGU166" s="190"/>
      <c r="VGV166" s="190"/>
      <c r="VGW166" s="190"/>
      <c r="VGX166" s="190"/>
      <c r="VGY166" s="190"/>
      <c r="VGZ166" s="190"/>
      <c r="VHA166" s="190"/>
      <c r="VHB166" s="190"/>
      <c r="VHC166" s="190"/>
      <c r="VHD166" s="190"/>
      <c r="VHE166" s="190"/>
      <c r="VHF166" s="190"/>
      <c r="VHG166" s="190"/>
      <c r="VHH166" s="190"/>
      <c r="VHI166" s="190"/>
      <c r="VHJ166" s="190"/>
      <c r="VHK166" s="190"/>
      <c r="VHL166" s="190"/>
      <c r="VHM166" s="190"/>
      <c r="VHN166" s="190"/>
      <c r="VHO166" s="190"/>
      <c r="VHP166" s="190"/>
      <c r="VHQ166" s="190"/>
      <c r="VHR166" s="190"/>
      <c r="VHS166" s="190"/>
      <c r="VHT166" s="190"/>
      <c r="VHU166" s="190"/>
      <c r="VHV166" s="190"/>
      <c r="VHW166" s="190"/>
      <c r="VHX166" s="190"/>
      <c r="VHY166" s="190"/>
      <c r="VHZ166" s="190"/>
      <c r="VIA166" s="190"/>
      <c r="VIB166" s="190"/>
      <c r="VIC166" s="190"/>
      <c r="VID166" s="190"/>
      <c r="VIE166" s="190"/>
      <c r="VIF166" s="190"/>
      <c r="VIG166" s="190"/>
      <c r="VIH166" s="190"/>
      <c r="VII166" s="190"/>
      <c r="VIJ166" s="190"/>
      <c r="VIK166" s="190"/>
      <c r="VIL166" s="190"/>
      <c r="VIM166" s="190"/>
      <c r="VIN166" s="190"/>
      <c r="VIO166" s="190"/>
      <c r="VIP166" s="190"/>
      <c r="VIQ166" s="190"/>
      <c r="VIR166" s="190"/>
      <c r="VIS166" s="190"/>
      <c r="VIT166" s="190"/>
      <c r="VIU166" s="190"/>
      <c r="VIV166" s="190"/>
      <c r="VIW166" s="190"/>
      <c r="VIX166" s="190"/>
      <c r="VIY166" s="190"/>
      <c r="VIZ166" s="190"/>
      <c r="VJA166" s="190"/>
      <c r="VJB166" s="190"/>
      <c r="VJC166" s="190"/>
      <c r="VJD166" s="190"/>
      <c r="VJE166" s="190"/>
      <c r="VJF166" s="190"/>
      <c r="VJG166" s="190"/>
      <c r="VJH166" s="190"/>
      <c r="VJI166" s="190"/>
      <c r="VJJ166" s="190"/>
      <c r="VJK166" s="190"/>
      <c r="VJL166" s="190"/>
      <c r="VJM166" s="190"/>
      <c r="VJN166" s="190"/>
      <c r="VJO166" s="190"/>
      <c r="VJP166" s="190"/>
      <c r="VJQ166" s="190"/>
      <c r="VJR166" s="190"/>
      <c r="VJS166" s="190"/>
      <c r="VJT166" s="190"/>
      <c r="VJU166" s="190"/>
      <c r="VJV166" s="190"/>
      <c r="VJW166" s="190"/>
      <c r="VJX166" s="190"/>
      <c r="VJY166" s="190"/>
      <c r="VJZ166" s="190"/>
      <c r="VKA166" s="190"/>
      <c r="VKB166" s="190"/>
      <c r="VKC166" s="190"/>
      <c r="VKD166" s="190"/>
      <c r="VKE166" s="190"/>
      <c r="VKF166" s="190"/>
      <c r="VKG166" s="190"/>
      <c r="VKH166" s="190"/>
      <c r="VKI166" s="190"/>
      <c r="VKJ166" s="190"/>
      <c r="VKK166" s="190"/>
      <c r="VKL166" s="190"/>
      <c r="VKM166" s="190"/>
      <c r="VKN166" s="190"/>
      <c r="VKO166" s="190"/>
      <c r="VKP166" s="190"/>
      <c r="VKQ166" s="190"/>
      <c r="VKR166" s="190"/>
      <c r="VKS166" s="190"/>
      <c r="VKT166" s="190"/>
      <c r="VKU166" s="190"/>
      <c r="VKV166" s="190"/>
      <c r="VKW166" s="190"/>
      <c r="VKX166" s="190"/>
      <c r="VKY166" s="190"/>
      <c r="VKZ166" s="190"/>
      <c r="VLA166" s="190"/>
      <c r="VLB166" s="190"/>
      <c r="VLC166" s="190"/>
      <c r="VLD166" s="190"/>
      <c r="VLE166" s="190"/>
      <c r="VLF166" s="190"/>
      <c r="VLG166" s="190"/>
      <c r="VLH166" s="190"/>
      <c r="VLI166" s="190"/>
      <c r="VLJ166" s="190"/>
      <c r="VLK166" s="190"/>
      <c r="VLL166" s="190"/>
      <c r="VLM166" s="190"/>
      <c r="VLN166" s="190"/>
      <c r="VLO166" s="190"/>
      <c r="VLP166" s="190"/>
      <c r="VLQ166" s="190"/>
      <c r="VLR166" s="190"/>
      <c r="VLS166" s="190"/>
      <c r="VLT166" s="190"/>
      <c r="VLU166" s="190"/>
      <c r="VLV166" s="190"/>
      <c r="VLW166" s="190"/>
      <c r="VLX166" s="190"/>
      <c r="VLY166" s="190"/>
      <c r="VLZ166" s="190"/>
      <c r="VMA166" s="190"/>
      <c r="VMB166" s="190"/>
      <c r="VMC166" s="190"/>
      <c r="VMD166" s="190"/>
      <c r="VME166" s="190"/>
      <c r="VMF166" s="190"/>
      <c r="VMG166" s="190"/>
      <c r="VMH166" s="190"/>
      <c r="VMI166" s="190"/>
      <c r="VMJ166" s="190"/>
      <c r="VMK166" s="190"/>
      <c r="VML166" s="190"/>
      <c r="VMM166" s="190"/>
      <c r="VMN166" s="190"/>
      <c r="VMO166" s="190"/>
      <c r="VMP166" s="190"/>
      <c r="VMQ166" s="190"/>
      <c r="VMR166" s="190"/>
      <c r="VMS166" s="190"/>
      <c r="VMT166" s="190"/>
      <c r="VMU166" s="190"/>
      <c r="VMV166" s="190"/>
      <c r="VMW166" s="190"/>
      <c r="VMX166" s="190"/>
      <c r="VMY166" s="190"/>
      <c r="VMZ166" s="190"/>
      <c r="VNA166" s="190"/>
      <c r="VNB166" s="190"/>
      <c r="VNC166" s="190"/>
      <c r="VND166" s="190"/>
      <c r="VNE166" s="190"/>
      <c r="VNF166" s="190"/>
      <c r="VNG166" s="190"/>
      <c r="VNH166" s="190"/>
      <c r="VNI166" s="190"/>
      <c r="VNJ166" s="190"/>
      <c r="VNK166" s="190"/>
      <c r="VNL166" s="190"/>
      <c r="VNM166" s="190"/>
      <c r="VNN166" s="190"/>
      <c r="VNO166" s="190"/>
      <c r="VNP166" s="190"/>
      <c r="VNQ166" s="190"/>
      <c r="VNR166" s="190"/>
      <c r="VNS166" s="190"/>
      <c r="VNT166" s="190"/>
      <c r="VNU166" s="190"/>
      <c r="VNV166" s="190"/>
      <c r="VNW166" s="190"/>
      <c r="VNX166" s="190"/>
      <c r="VNY166" s="190"/>
      <c r="VNZ166" s="190"/>
      <c r="VOA166" s="190"/>
      <c r="VOB166" s="190"/>
      <c r="VOC166" s="190"/>
      <c r="VOD166" s="190"/>
      <c r="VOE166" s="190"/>
      <c r="VOF166" s="190"/>
      <c r="VOG166" s="190"/>
      <c r="VOH166" s="190"/>
      <c r="VOI166" s="190"/>
      <c r="VOJ166" s="190"/>
      <c r="VOK166" s="190"/>
      <c r="VOL166" s="190"/>
      <c r="VOM166" s="190"/>
      <c r="VON166" s="190"/>
      <c r="VOO166" s="190"/>
      <c r="VOP166" s="190"/>
      <c r="VOQ166" s="190"/>
      <c r="VOR166" s="190"/>
      <c r="VOS166" s="190"/>
    </row>
    <row r="167" spans="2:107 14889:15281" s="3" customFormat="1" x14ac:dyDescent="0.25">
      <c r="B167" s="81"/>
      <c r="C167" s="138" t="s">
        <v>33</v>
      </c>
      <c r="D167" s="78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62"/>
      <c r="AH167" s="62"/>
      <c r="AI167" s="62"/>
      <c r="AJ167" s="63"/>
      <c r="AL167" s="80" t="s">
        <v>33</v>
      </c>
      <c r="DC167" s="16"/>
    </row>
    <row r="168" spans="2:107 14889:15281" s="3" customFormat="1" x14ac:dyDescent="0.25">
      <c r="B168" s="81"/>
      <c r="C168" s="59" t="s">
        <v>128</v>
      </c>
      <c r="D168" s="78"/>
      <c r="E168" s="7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62"/>
      <c r="AH168" s="62"/>
      <c r="AI168" s="62"/>
      <c r="AJ168" s="63"/>
      <c r="AL168" s="80"/>
      <c r="DC168" s="16"/>
    </row>
    <row r="169" spans="2:107 14889:15281" s="3" customFormat="1" x14ac:dyDescent="0.25">
      <c r="B169" s="81"/>
      <c r="C169" s="59" t="s">
        <v>31</v>
      </c>
      <c r="D169" s="78"/>
      <c r="E169" s="7" t="s">
        <v>36</v>
      </c>
      <c r="F169" s="1">
        <v>0</v>
      </c>
      <c r="G169" s="1"/>
      <c r="H169" s="1"/>
      <c r="I169" s="1"/>
      <c r="J169" s="1"/>
      <c r="K169" s="1">
        <v>1</v>
      </c>
      <c r="L169" s="1">
        <v>1</v>
      </c>
      <c r="M169" s="1">
        <v>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62"/>
      <c r="AH169" s="62"/>
      <c r="AI169" s="62"/>
      <c r="AJ169" s="63"/>
      <c r="AL169" s="64">
        <v>3</v>
      </c>
      <c r="DC169" s="16"/>
    </row>
    <row r="170" spans="2:107 14889:15281" s="3" customFormat="1" x14ac:dyDescent="0.25">
      <c r="B170" s="81"/>
      <c r="C170" s="59" t="s">
        <v>30</v>
      </c>
      <c r="D170" s="78"/>
      <c r="E170" s="7" t="s">
        <v>36</v>
      </c>
      <c r="F170" s="1">
        <v>8</v>
      </c>
      <c r="G170" s="1">
        <v>8</v>
      </c>
      <c r="H170" s="1">
        <v>4</v>
      </c>
      <c r="I170" s="1">
        <v>5</v>
      </c>
      <c r="J170" s="1"/>
      <c r="K170" s="1"/>
      <c r="L170" s="1"/>
      <c r="M170" s="1"/>
      <c r="N170" s="1"/>
      <c r="O170" s="1"/>
      <c r="P170" s="1"/>
      <c r="Q170" s="1">
        <v>10</v>
      </c>
      <c r="R170" s="1"/>
      <c r="S170" s="1">
        <v>15</v>
      </c>
      <c r="T170" s="1">
        <v>10</v>
      </c>
      <c r="U170" s="1">
        <v>10</v>
      </c>
      <c r="V170" s="1">
        <v>10</v>
      </c>
      <c r="W170" s="1">
        <v>12</v>
      </c>
      <c r="X170" s="1">
        <v>25</v>
      </c>
      <c r="Y170" s="1">
        <v>10</v>
      </c>
      <c r="Z170" s="1">
        <v>22</v>
      </c>
      <c r="AA170" s="1"/>
      <c r="AB170" s="1"/>
      <c r="AC170" s="1"/>
      <c r="AD170" s="1"/>
      <c r="AE170" s="1"/>
      <c r="AF170" s="1"/>
      <c r="AG170" s="62"/>
      <c r="AH170" s="62"/>
      <c r="AI170" s="62"/>
      <c r="AJ170" s="63"/>
      <c r="AL170" s="64">
        <v>149</v>
      </c>
      <c r="DC170" s="16"/>
    </row>
    <row r="171" spans="2:107 14889:15281" s="3" customFormat="1" x14ac:dyDescent="0.25">
      <c r="B171" s="81"/>
      <c r="C171" s="138" t="s">
        <v>32</v>
      </c>
      <c r="D171" s="78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62"/>
      <c r="AH171" s="62"/>
      <c r="AI171" s="62"/>
      <c r="AJ171" s="63"/>
      <c r="AL171" s="80" t="s">
        <v>32</v>
      </c>
      <c r="DC171" s="16"/>
    </row>
    <row r="172" spans="2:107 14889:15281" s="3" customFormat="1" x14ac:dyDescent="0.25">
      <c r="B172" s="81"/>
      <c r="C172" s="59" t="s">
        <v>128</v>
      </c>
      <c r="D172" s="78"/>
      <c r="E172" s="7" t="s">
        <v>32</v>
      </c>
      <c r="F172" s="6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62">
        <v>0</v>
      </c>
      <c r="AH172" s="62">
        <v>0</v>
      </c>
      <c r="AI172" s="62">
        <v>0</v>
      </c>
      <c r="AJ172" s="63">
        <v>0</v>
      </c>
      <c r="AL172" s="80"/>
      <c r="DC172" s="16"/>
    </row>
    <row r="173" spans="2:107 14889:15281" s="3" customFormat="1" x14ac:dyDescent="0.25">
      <c r="B173" s="81"/>
      <c r="C173" s="59" t="s">
        <v>31</v>
      </c>
      <c r="D173" s="78"/>
      <c r="E173" s="7" t="s">
        <v>32</v>
      </c>
      <c r="F173" s="6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24</v>
      </c>
      <c r="L173" s="1">
        <v>24</v>
      </c>
      <c r="M173" s="1">
        <v>24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62">
        <v>0</v>
      </c>
      <c r="AH173" s="62">
        <v>0</v>
      </c>
      <c r="AI173" s="62">
        <v>0</v>
      </c>
      <c r="AJ173" s="63">
        <v>0</v>
      </c>
      <c r="AL173" s="64">
        <v>72</v>
      </c>
      <c r="DC173" s="16"/>
    </row>
    <row r="174" spans="2:107 14889:15281" s="3" customFormat="1" x14ac:dyDescent="0.25">
      <c r="B174" s="81"/>
      <c r="C174" s="59" t="s">
        <v>30</v>
      </c>
      <c r="D174" s="78"/>
      <c r="E174" s="7" t="s">
        <v>32</v>
      </c>
      <c r="F174" s="6">
        <v>96</v>
      </c>
      <c r="G174" s="1">
        <v>96</v>
      </c>
      <c r="H174" s="1">
        <v>48</v>
      </c>
      <c r="I174" s="1">
        <v>60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120</v>
      </c>
      <c r="R174" s="1">
        <v>0</v>
      </c>
      <c r="S174" s="1">
        <v>180</v>
      </c>
      <c r="T174" s="1">
        <v>120</v>
      </c>
      <c r="U174" s="1">
        <v>120</v>
      </c>
      <c r="V174" s="1">
        <v>120</v>
      </c>
      <c r="W174" s="1">
        <v>144</v>
      </c>
      <c r="X174" s="1">
        <v>300</v>
      </c>
      <c r="Y174" s="1">
        <v>120</v>
      </c>
      <c r="Z174" s="1">
        <v>264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62">
        <v>0</v>
      </c>
      <c r="AH174" s="62">
        <v>0</v>
      </c>
      <c r="AI174" s="62">
        <v>0</v>
      </c>
      <c r="AJ174" s="63">
        <v>0</v>
      </c>
      <c r="AL174" s="64">
        <v>1788</v>
      </c>
      <c r="DC174" s="16"/>
    </row>
    <row r="175" spans="2:107 14889:15281" s="3" customFormat="1" x14ac:dyDescent="0.25">
      <c r="B175" s="49"/>
      <c r="C175" s="43" t="s">
        <v>35</v>
      </c>
      <c r="D175" s="44"/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45"/>
      <c r="AD175" s="25"/>
      <c r="AE175" s="25"/>
      <c r="AF175" s="25"/>
      <c r="AG175" s="46"/>
      <c r="AH175" s="46"/>
      <c r="AI175" s="46"/>
      <c r="AJ175" s="47"/>
      <c r="AK175" s="12"/>
      <c r="AL175" s="259" t="s">
        <v>34</v>
      </c>
      <c r="DC175" s="16"/>
      <c r="UZQ175" s="190"/>
      <c r="UZR175" s="190"/>
      <c r="UZS175" s="190"/>
      <c r="UZT175" s="190"/>
      <c r="UZU175" s="190"/>
      <c r="UZV175" s="190"/>
      <c r="UZW175" s="190"/>
      <c r="UZX175" s="190"/>
      <c r="UZY175" s="190"/>
      <c r="UZZ175" s="190"/>
      <c r="VAA175" s="190"/>
      <c r="VAB175" s="190"/>
      <c r="VAC175" s="190"/>
      <c r="VAD175" s="190"/>
      <c r="VAE175" s="190"/>
      <c r="VAF175" s="190"/>
      <c r="VAG175" s="190"/>
      <c r="VAH175" s="190"/>
      <c r="VAI175" s="190"/>
      <c r="VAJ175" s="190"/>
      <c r="VAK175" s="190"/>
      <c r="VAL175" s="190"/>
      <c r="VAM175" s="190"/>
      <c r="VAN175" s="190"/>
      <c r="VAO175" s="190"/>
      <c r="VAP175" s="190"/>
      <c r="VAQ175" s="190"/>
      <c r="VAR175" s="190"/>
      <c r="VAS175" s="190"/>
      <c r="VAT175" s="190"/>
      <c r="VAU175" s="190"/>
      <c r="VAV175" s="190"/>
      <c r="VAW175" s="190"/>
      <c r="VAX175" s="190"/>
      <c r="VAY175" s="190"/>
      <c r="VAZ175" s="190"/>
      <c r="VBA175" s="190"/>
      <c r="VBB175" s="190"/>
      <c r="VBC175" s="190"/>
      <c r="VBD175" s="190"/>
      <c r="VBE175" s="190"/>
      <c r="VBF175" s="190"/>
      <c r="VBG175" s="190"/>
      <c r="VBH175" s="190"/>
      <c r="VBI175" s="190"/>
      <c r="VBJ175" s="190"/>
      <c r="VBK175" s="190"/>
      <c r="VBL175" s="190"/>
      <c r="VBM175" s="190"/>
      <c r="VBN175" s="190"/>
      <c r="VBO175" s="190"/>
      <c r="VBP175" s="190"/>
      <c r="VBQ175" s="190"/>
      <c r="VBR175" s="190"/>
      <c r="VBS175" s="190"/>
      <c r="VBT175" s="190"/>
      <c r="VBU175" s="190"/>
      <c r="VBV175" s="190"/>
      <c r="VBW175" s="190"/>
      <c r="VBX175" s="190"/>
      <c r="VBY175" s="190"/>
      <c r="VBZ175" s="190"/>
      <c r="VCA175" s="190"/>
      <c r="VCB175" s="190"/>
      <c r="VCC175" s="190"/>
      <c r="VCD175" s="190"/>
      <c r="VCE175" s="190"/>
      <c r="VCF175" s="190"/>
      <c r="VCG175" s="190"/>
      <c r="VCH175" s="190"/>
      <c r="VCI175" s="190"/>
      <c r="VCJ175" s="190"/>
      <c r="VCK175" s="190"/>
      <c r="VCL175" s="190"/>
      <c r="VCM175" s="190"/>
      <c r="VCN175" s="190"/>
      <c r="VCO175" s="190"/>
      <c r="VCP175" s="190"/>
      <c r="VCQ175" s="190"/>
      <c r="VCR175" s="190"/>
      <c r="VCS175" s="190"/>
      <c r="VCT175" s="190"/>
      <c r="VCU175" s="190"/>
      <c r="VCV175" s="190"/>
      <c r="VCW175" s="190"/>
      <c r="VCX175" s="190"/>
      <c r="VCY175" s="190"/>
      <c r="VCZ175" s="190"/>
      <c r="VDA175" s="190"/>
      <c r="VDB175" s="190"/>
      <c r="VDC175" s="190"/>
      <c r="VDD175" s="190"/>
      <c r="VDE175" s="190"/>
      <c r="VDF175" s="190"/>
      <c r="VDG175" s="190"/>
      <c r="VDH175" s="190"/>
      <c r="VDI175" s="190"/>
      <c r="VDJ175" s="190"/>
      <c r="VDK175" s="190"/>
      <c r="VDL175" s="190"/>
      <c r="VDM175" s="190"/>
      <c r="VDN175" s="190"/>
      <c r="VDO175" s="190"/>
      <c r="VDP175" s="190"/>
      <c r="VDQ175" s="190"/>
      <c r="VDR175" s="190"/>
      <c r="VDS175" s="190"/>
      <c r="VDT175" s="190"/>
      <c r="VDU175" s="190"/>
      <c r="VDV175" s="190"/>
      <c r="VDW175" s="190"/>
      <c r="VDX175" s="190"/>
      <c r="VDY175" s="190"/>
      <c r="VDZ175" s="190"/>
      <c r="VEA175" s="190"/>
      <c r="VEB175" s="190"/>
      <c r="VEC175" s="190"/>
      <c r="VED175" s="190"/>
      <c r="VEE175" s="190"/>
      <c r="VEF175" s="190"/>
      <c r="VEG175" s="190"/>
      <c r="VEH175" s="190"/>
      <c r="VEI175" s="190"/>
      <c r="VEJ175" s="190"/>
      <c r="VEK175" s="190"/>
      <c r="VEL175" s="190"/>
      <c r="VEM175" s="190"/>
      <c r="VEN175" s="190"/>
      <c r="VEO175" s="190"/>
      <c r="VEP175" s="190"/>
      <c r="VEQ175" s="190"/>
      <c r="VER175" s="190"/>
      <c r="VES175" s="190"/>
      <c r="VET175" s="190"/>
      <c r="VEU175" s="190"/>
      <c r="VEV175" s="190"/>
      <c r="VEW175" s="190"/>
      <c r="VEX175" s="190"/>
      <c r="VEY175" s="190"/>
      <c r="VEZ175" s="190"/>
      <c r="VFA175" s="190"/>
      <c r="VFB175" s="190"/>
      <c r="VFC175" s="190"/>
      <c r="VFD175" s="190"/>
      <c r="VFE175" s="190"/>
      <c r="VFF175" s="190"/>
      <c r="VFG175" s="190"/>
      <c r="VFH175" s="190"/>
      <c r="VFI175" s="190"/>
      <c r="VFJ175" s="190"/>
      <c r="VFK175" s="190"/>
      <c r="VFL175" s="190"/>
      <c r="VFM175" s="190"/>
      <c r="VFN175" s="190"/>
      <c r="VFO175" s="190"/>
      <c r="VFP175" s="190"/>
      <c r="VFQ175" s="190"/>
      <c r="VFR175" s="190"/>
      <c r="VFS175" s="190"/>
      <c r="VFT175" s="190"/>
      <c r="VFU175" s="190"/>
      <c r="VFV175" s="190"/>
      <c r="VFW175" s="190"/>
      <c r="VFX175" s="190"/>
      <c r="VFY175" s="190"/>
      <c r="VFZ175" s="190"/>
      <c r="VGA175" s="190"/>
      <c r="VGB175" s="190"/>
      <c r="VGC175" s="190"/>
      <c r="VGD175" s="190"/>
      <c r="VGE175" s="190"/>
      <c r="VGF175" s="190"/>
      <c r="VGG175" s="190"/>
      <c r="VGH175" s="190"/>
      <c r="VGI175" s="190"/>
      <c r="VGJ175" s="190"/>
      <c r="VGK175" s="190"/>
      <c r="VGL175" s="190"/>
      <c r="VGM175" s="190"/>
      <c r="VGN175" s="190"/>
      <c r="VGO175" s="190"/>
      <c r="VGP175" s="190"/>
      <c r="VGQ175" s="190"/>
      <c r="VGR175" s="190"/>
      <c r="VGS175" s="190"/>
      <c r="VGT175" s="190"/>
      <c r="VGU175" s="190"/>
      <c r="VGV175" s="190"/>
      <c r="VGW175" s="190"/>
      <c r="VGX175" s="190"/>
      <c r="VGY175" s="190"/>
      <c r="VGZ175" s="190"/>
      <c r="VHA175" s="190"/>
      <c r="VHB175" s="190"/>
      <c r="VHC175" s="190"/>
      <c r="VHD175" s="190"/>
      <c r="VHE175" s="190"/>
      <c r="VHF175" s="190"/>
      <c r="VHG175" s="190"/>
      <c r="VHH175" s="190"/>
      <c r="VHI175" s="190"/>
      <c r="VHJ175" s="190"/>
      <c r="VHK175" s="190"/>
      <c r="VHL175" s="190"/>
      <c r="VHM175" s="190"/>
      <c r="VHN175" s="190"/>
      <c r="VHO175" s="190"/>
      <c r="VHP175" s="190"/>
      <c r="VHQ175" s="190"/>
      <c r="VHR175" s="190"/>
      <c r="VHS175" s="190"/>
      <c r="VHT175" s="190"/>
      <c r="VHU175" s="190"/>
      <c r="VHV175" s="190"/>
      <c r="VHW175" s="190"/>
      <c r="VHX175" s="190"/>
      <c r="VHY175" s="190"/>
      <c r="VHZ175" s="190"/>
      <c r="VIA175" s="190"/>
      <c r="VIB175" s="190"/>
      <c r="VIC175" s="190"/>
      <c r="VID175" s="190"/>
      <c r="VIE175" s="190"/>
      <c r="VIF175" s="190"/>
      <c r="VIG175" s="190"/>
      <c r="VIH175" s="190"/>
      <c r="VII175" s="190"/>
      <c r="VIJ175" s="190"/>
      <c r="VIK175" s="190"/>
      <c r="VIL175" s="190"/>
      <c r="VIM175" s="190"/>
      <c r="VIN175" s="190"/>
      <c r="VIO175" s="190"/>
      <c r="VIP175" s="190"/>
      <c r="VIQ175" s="190"/>
      <c r="VIR175" s="190"/>
      <c r="VIS175" s="190"/>
      <c r="VIT175" s="190"/>
      <c r="VIU175" s="190"/>
      <c r="VIV175" s="190"/>
      <c r="VIW175" s="190"/>
      <c r="VIX175" s="190"/>
      <c r="VIY175" s="190"/>
      <c r="VIZ175" s="190"/>
      <c r="VJA175" s="190"/>
      <c r="VJB175" s="190"/>
      <c r="VJC175" s="190"/>
      <c r="VJD175" s="190"/>
      <c r="VJE175" s="190"/>
      <c r="VJF175" s="190"/>
      <c r="VJG175" s="190"/>
      <c r="VJH175" s="190"/>
      <c r="VJI175" s="190"/>
      <c r="VJJ175" s="190"/>
      <c r="VJK175" s="190"/>
      <c r="VJL175" s="190"/>
      <c r="VJM175" s="190"/>
      <c r="VJN175" s="190"/>
      <c r="VJO175" s="190"/>
      <c r="VJP175" s="190"/>
      <c r="VJQ175" s="190"/>
      <c r="VJR175" s="190"/>
      <c r="VJS175" s="190"/>
      <c r="VJT175" s="190"/>
      <c r="VJU175" s="190"/>
      <c r="VJV175" s="190"/>
      <c r="VJW175" s="190"/>
      <c r="VJX175" s="190"/>
      <c r="VJY175" s="190"/>
      <c r="VJZ175" s="190"/>
      <c r="VKA175" s="190"/>
      <c r="VKB175" s="190"/>
      <c r="VKC175" s="190"/>
      <c r="VKD175" s="190"/>
      <c r="VKE175" s="190"/>
      <c r="VKF175" s="190"/>
      <c r="VKG175" s="190"/>
      <c r="VKH175" s="190"/>
      <c r="VKI175" s="190"/>
      <c r="VKJ175" s="190"/>
      <c r="VKK175" s="190"/>
      <c r="VKL175" s="190"/>
      <c r="VKM175" s="190"/>
      <c r="VKN175" s="190"/>
      <c r="VKO175" s="190"/>
      <c r="VKP175" s="190"/>
      <c r="VKQ175" s="190"/>
      <c r="VKR175" s="190"/>
      <c r="VKS175" s="190"/>
      <c r="VKT175" s="190"/>
      <c r="VKU175" s="190"/>
      <c r="VKV175" s="190"/>
      <c r="VKW175" s="190"/>
      <c r="VKX175" s="190"/>
      <c r="VKY175" s="190"/>
      <c r="VKZ175" s="190"/>
      <c r="VLA175" s="190"/>
      <c r="VLB175" s="190"/>
      <c r="VLC175" s="190"/>
      <c r="VLD175" s="190"/>
      <c r="VLE175" s="190"/>
      <c r="VLF175" s="190"/>
      <c r="VLG175" s="190"/>
      <c r="VLH175" s="190"/>
      <c r="VLI175" s="190"/>
      <c r="VLJ175" s="190"/>
      <c r="VLK175" s="190"/>
      <c r="VLL175" s="190"/>
      <c r="VLM175" s="190"/>
      <c r="VLN175" s="190"/>
      <c r="VLO175" s="190"/>
      <c r="VLP175" s="190"/>
      <c r="VLQ175" s="190"/>
      <c r="VLR175" s="190"/>
      <c r="VLS175" s="190"/>
      <c r="VLT175" s="190"/>
      <c r="VLU175" s="190"/>
      <c r="VLV175" s="190"/>
      <c r="VLW175" s="190"/>
      <c r="VLX175" s="190"/>
      <c r="VLY175" s="190"/>
      <c r="VLZ175" s="190"/>
      <c r="VMA175" s="190"/>
      <c r="VMB175" s="190"/>
      <c r="VMC175" s="190"/>
      <c r="VMD175" s="190"/>
      <c r="VME175" s="190"/>
      <c r="VMF175" s="190"/>
      <c r="VMG175" s="190"/>
      <c r="VMH175" s="190"/>
      <c r="VMI175" s="190"/>
      <c r="VMJ175" s="190"/>
      <c r="VMK175" s="190"/>
      <c r="VML175" s="190"/>
      <c r="VMM175" s="190"/>
      <c r="VMN175" s="190"/>
      <c r="VMO175" s="190"/>
      <c r="VMP175" s="190"/>
      <c r="VMQ175" s="190"/>
      <c r="VMR175" s="190"/>
      <c r="VMS175" s="190"/>
      <c r="VMT175" s="190"/>
      <c r="VMU175" s="190"/>
      <c r="VMV175" s="190"/>
      <c r="VMW175" s="190"/>
      <c r="VMX175" s="190"/>
      <c r="VMY175" s="190"/>
      <c r="VMZ175" s="190"/>
      <c r="VNA175" s="190"/>
      <c r="VNB175" s="190"/>
      <c r="VNC175" s="190"/>
      <c r="VND175" s="190"/>
      <c r="VNE175" s="190"/>
      <c r="VNF175" s="190"/>
      <c r="VNG175" s="190"/>
      <c r="VNH175" s="190"/>
      <c r="VNI175" s="190"/>
      <c r="VNJ175" s="190"/>
      <c r="VNK175" s="190"/>
      <c r="VNL175" s="190"/>
      <c r="VNM175" s="190"/>
      <c r="VNN175" s="190"/>
      <c r="VNO175" s="190"/>
      <c r="VNP175" s="190"/>
      <c r="VNQ175" s="190"/>
      <c r="VNR175" s="190"/>
      <c r="VNS175" s="190"/>
      <c r="VNT175" s="190"/>
      <c r="VNU175" s="190"/>
      <c r="VNV175" s="190"/>
      <c r="VNW175" s="190"/>
      <c r="VNX175" s="190"/>
      <c r="VNY175" s="190"/>
      <c r="VNZ175" s="190"/>
      <c r="VOA175" s="190"/>
      <c r="VOB175" s="190"/>
      <c r="VOC175" s="190"/>
      <c r="VOD175" s="190"/>
      <c r="VOE175" s="190"/>
      <c r="VOF175" s="190"/>
      <c r="VOG175" s="190"/>
      <c r="VOH175" s="190"/>
      <c r="VOI175" s="190"/>
      <c r="VOJ175" s="190"/>
      <c r="VOK175" s="190"/>
      <c r="VOL175" s="190"/>
      <c r="VOM175" s="190"/>
      <c r="VON175" s="190"/>
      <c r="VOO175" s="190"/>
      <c r="VOP175" s="190"/>
      <c r="VOQ175" s="190"/>
      <c r="VOR175" s="190"/>
      <c r="VOS175" s="190"/>
    </row>
    <row r="176" spans="2:107 14889:15281" s="3" customFormat="1" x14ac:dyDescent="0.25">
      <c r="B176" s="81"/>
      <c r="C176" s="138" t="s">
        <v>33</v>
      </c>
      <c r="D176" s="78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62"/>
      <c r="AH176" s="62"/>
      <c r="AI176" s="62"/>
      <c r="AJ176" s="63"/>
      <c r="AL176" s="80" t="s">
        <v>33</v>
      </c>
      <c r="DC176" s="16"/>
    </row>
    <row r="177" spans="2:107" s="3" customFormat="1" x14ac:dyDescent="0.25">
      <c r="B177" s="81"/>
      <c r="C177" s="59" t="s">
        <v>128</v>
      </c>
      <c r="D177" s="209">
        <v>0.3</v>
      </c>
      <c r="E177" s="7" t="s">
        <v>29</v>
      </c>
      <c r="F177" s="207" t="e">
        <v>#DIV/0!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62"/>
      <c r="AH177" s="62"/>
      <c r="AI177" s="62"/>
      <c r="AJ177" s="63"/>
      <c r="AL177" s="80"/>
      <c r="DC177" s="16"/>
    </row>
    <row r="178" spans="2:107" s="3" customFormat="1" x14ac:dyDescent="0.25">
      <c r="B178" s="81"/>
      <c r="C178" s="59" t="s">
        <v>31</v>
      </c>
      <c r="D178" s="209">
        <v>0.3</v>
      </c>
      <c r="E178" s="7" t="s">
        <v>29</v>
      </c>
      <c r="F178" s="207" t="e">
        <v>#DIV/0!</v>
      </c>
      <c r="G178" s="207" t="e">
        <v>#DIV/0!</v>
      </c>
      <c r="H178" s="207" t="e">
        <v>#DIV/0!</v>
      </c>
      <c r="I178" s="207" t="e">
        <v>#DIV/0!</v>
      </c>
      <c r="J178" s="207">
        <v>0</v>
      </c>
      <c r="K178" s="207">
        <v>0.24937655860349126</v>
      </c>
      <c r="L178" s="207">
        <v>0.24937655860349126</v>
      </c>
      <c r="M178" s="207">
        <v>0.33003300330033003</v>
      </c>
      <c r="N178" s="207" t="e">
        <v>#DIV/0!</v>
      </c>
      <c r="O178" s="207" t="e">
        <v>#DIV/0!</v>
      </c>
      <c r="P178" s="207" t="e">
        <v>#DIV/0!</v>
      </c>
      <c r="Q178" s="207" t="e">
        <v>#DIV/0!</v>
      </c>
      <c r="R178" s="207" t="e">
        <v>#DIV/0!</v>
      </c>
      <c r="S178" s="207" t="e">
        <v>#DIV/0!</v>
      </c>
      <c r="T178" s="207" t="e">
        <v>#DIV/0!</v>
      </c>
      <c r="U178" s="207" t="e">
        <v>#DIV/0!</v>
      </c>
      <c r="V178" s="207" t="e">
        <v>#DIV/0!</v>
      </c>
      <c r="W178" s="207" t="e">
        <v>#DIV/0!</v>
      </c>
      <c r="X178" s="207" t="e">
        <v>#DIV/0!</v>
      </c>
      <c r="Y178" s="207" t="e">
        <v>#DIV/0!</v>
      </c>
      <c r="Z178" s="207" t="e">
        <v>#DIV/0!</v>
      </c>
      <c r="AA178" s="207" t="e">
        <v>#DIV/0!</v>
      </c>
      <c r="AB178" s="207" t="e">
        <v>#DIV/0!</v>
      </c>
      <c r="AC178" s="207" t="e">
        <v>#DIV/0!</v>
      </c>
      <c r="AD178" s="207" t="e">
        <v>#DIV/0!</v>
      </c>
      <c r="AE178" s="207" t="e">
        <v>#DIV/0!</v>
      </c>
      <c r="AF178" s="207" t="e">
        <v>#DIV/0!</v>
      </c>
      <c r="AG178" s="207" t="e">
        <v>#DIV/0!</v>
      </c>
      <c r="AH178" s="207" t="e">
        <v>#DIV/0!</v>
      </c>
      <c r="AI178" s="207" t="e">
        <v>#DIV/0!</v>
      </c>
      <c r="AJ178" s="208" t="e">
        <v>#DIV/0!</v>
      </c>
      <c r="AL178" s="76">
        <v>0.21994134897360706</v>
      </c>
      <c r="DC178" s="16"/>
    </row>
    <row r="179" spans="2:107" s="3" customFormat="1" x14ac:dyDescent="0.25">
      <c r="B179" s="81"/>
      <c r="C179" s="59" t="s">
        <v>30</v>
      </c>
      <c r="D179" s="209">
        <v>0.3</v>
      </c>
      <c r="E179" s="7" t="s">
        <v>29</v>
      </c>
      <c r="F179" s="207" t="e">
        <v>#DIV/0!</v>
      </c>
      <c r="G179" s="207" t="e">
        <v>#DIV/0!</v>
      </c>
      <c r="H179" s="207" t="e">
        <v>#DIV/0!</v>
      </c>
      <c r="I179" s="207" t="e">
        <v>#DIV/0!</v>
      </c>
      <c r="J179" s="207" t="e">
        <v>#DIV/0!</v>
      </c>
      <c r="K179" s="207" t="e">
        <v>#DIV/0!</v>
      </c>
      <c r="L179" s="207" t="e">
        <v>#DIV/0!</v>
      </c>
      <c r="M179" s="207" t="e">
        <v>#DIV/0!</v>
      </c>
      <c r="N179" s="207" t="e">
        <v>#DIV/0!</v>
      </c>
      <c r="O179" s="207" t="e">
        <v>#DIV/0!</v>
      </c>
      <c r="P179" s="207" t="e">
        <v>#DIV/0!</v>
      </c>
      <c r="Q179" s="207" t="e">
        <v>#DIV/0!</v>
      </c>
      <c r="R179" s="207" t="e">
        <v>#DIV/0!</v>
      </c>
      <c r="S179" s="207" t="e">
        <v>#DIV/0!</v>
      </c>
      <c r="T179" s="207" t="e">
        <v>#DIV/0!</v>
      </c>
      <c r="U179" s="207" t="e">
        <v>#DIV/0!</v>
      </c>
      <c r="V179" s="207" t="e">
        <v>#DIV/0!</v>
      </c>
      <c r="W179" s="207" t="e">
        <v>#DIV/0!</v>
      </c>
      <c r="X179" s="207" t="e">
        <v>#DIV/0!</v>
      </c>
      <c r="Y179" s="207" t="e">
        <v>#DIV/0!</v>
      </c>
      <c r="Z179" s="207" t="e">
        <v>#DIV/0!</v>
      </c>
      <c r="AA179" s="207" t="e">
        <v>#DIV/0!</v>
      </c>
      <c r="AB179" s="207" t="e">
        <v>#DIV/0!</v>
      </c>
      <c r="AC179" s="207" t="e">
        <v>#DIV/0!</v>
      </c>
      <c r="AD179" s="207" t="e">
        <v>#DIV/0!</v>
      </c>
      <c r="AE179" s="207" t="e">
        <v>#DIV/0!</v>
      </c>
      <c r="AF179" s="207" t="e">
        <v>#DIV/0!</v>
      </c>
      <c r="AG179" s="207" t="e">
        <v>#DIV/0!</v>
      </c>
      <c r="AH179" s="207" t="e">
        <v>#DIV/0!</v>
      </c>
      <c r="AI179" s="207" t="e">
        <v>#DIV/0!</v>
      </c>
      <c r="AJ179" s="208" t="e">
        <v>#DIV/0!</v>
      </c>
      <c r="AL179" s="76" t="e">
        <v>#DIV/0!</v>
      </c>
      <c r="DC179" s="16"/>
    </row>
    <row r="180" spans="2:107" s="3" customFormat="1" x14ac:dyDescent="0.25">
      <c r="B180" s="81"/>
      <c r="C180" s="138" t="s">
        <v>32</v>
      </c>
      <c r="D180" s="209"/>
      <c r="E180" s="5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8"/>
      <c r="AL180" s="80" t="s">
        <v>32</v>
      </c>
      <c r="DC180" s="16"/>
    </row>
    <row r="181" spans="2:107" s="3" customFormat="1" x14ac:dyDescent="0.25">
      <c r="B181" s="81"/>
      <c r="C181" s="59" t="s">
        <v>128</v>
      </c>
      <c r="D181" s="209">
        <v>0.5</v>
      </c>
      <c r="E181" s="7" t="s">
        <v>29</v>
      </c>
      <c r="F181" s="207" t="e">
        <v>#DIV/0!</v>
      </c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8"/>
      <c r="AL181" s="80"/>
      <c r="DC181" s="16"/>
    </row>
    <row r="182" spans="2:107" s="3" customFormat="1" x14ac:dyDescent="0.25">
      <c r="B182" s="81"/>
      <c r="C182" s="59" t="s">
        <v>31</v>
      </c>
      <c r="D182" s="209">
        <v>0.5</v>
      </c>
      <c r="E182" s="7" t="s">
        <v>29</v>
      </c>
      <c r="F182" s="207" t="e">
        <v>#DIV/0!</v>
      </c>
      <c r="G182" s="207" t="e">
        <v>#DIV/0!</v>
      </c>
      <c r="H182" s="207" t="e">
        <v>#DIV/0!</v>
      </c>
      <c r="I182" s="207" t="e">
        <v>#DIV/0!</v>
      </c>
      <c r="J182" s="207">
        <v>0</v>
      </c>
      <c r="K182" s="207">
        <v>0.24937655860349126</v>
      </c>
      <c r="L182" s="207">
        <v>0.24937655860349126</v>
      </c>
      <c r="M182" s="207">
        <v>0.33003300330033003</v>
      </c>
      <c r="N182" s="207" t="e">
        <v>#DIV/0!</v>
      </c>
      <c r="O182" s="207" t="e">
        <v>#DIV/0!</v>
      </c>
      <c r="P182" s="207" t="e">
        <v>#DIV/0!</v>
      </c>
      <c r="Q182" s="207" t="e">
        <v>#DIV/0!</v>
      </c>
      <c r="R182" s="207" t="e">
        <v>#DIV/0!</v>
      </c>
      <c r="S182" s="207" t="e">
        <v>#DIV/0!</v>
      </c>
      <c r="T182" s="207" t="e">
        <v>#DIV/0!</v>
      </c>
      <c r="U182" s="207" t="e">
        <v>#DIV/0!</v>
      </c>
      <c r="V182" s="207" t="e">
        <v>#DIV/0!</v>
      </c>
      <c r="W182" s="207" t="e">
        <v>#DIV/0!</v>
      </c>
      <c r="X182" s="207" t="e">
        <v>#DIV/0!</v>
      </c>
      <c r="Y182" s="207" t="e">
        <v>#DIV/0!</v>
      </c>
      <c r="Z182" s="207" t="e">
        <v>#DIV/0!</v>
      </c>
      <c r="AA182" s="207" t="e">
        <v>#DIV/0!</v>
      </c>
      <c r="AB182" s="207" t="e">
        <v>#DIV/0!</v>
      </c>
      <c r="AC182" s="207" t="e">
        <v>#DIV/0!</v>
      </c>
      <c r="AD182" s="207" t="e">
        <v>#DIV/0!</v>
      </c>
      <c r="AE182" s="207" t="e">
        <v>#DIV/0!</v>
      </c>
      <c r="AF182" s="207" t="e">
        <v>#DIV/0!</v>
      </c>
      <c r="AG182" s="207" t="e">
        <v>#DIV/0!</v>
      </c>
      <c r="AH182" s="207" t="e">
        <v>#DIV/0!</v>
      </c>
      <c r="AI182" s="207" t="e">
        <v>#DIV/0!</v>
      </c>
      <c r="AJ182" s="208" t="e">
        <v>#DIV/0!</v>
      </c>
      <c r="AL182" s="76">
        <v>0.21994134897360706</v>
      </c>
      <c r="DC182" s="16"/>
    </row>
    <row r="183" spans="2:107" s="3" customFormat="1" ht="15.75" thickBot="1" x14ac:dyDescent="0.3">
      <c r="B183" s="114"/>
      <c r="C183" s="59" t="s">
        <v>30</v>
      </c>
      <c r="D183" s="209">
        <v>0.5</v>
      </c>
      <c r="E183" s="7" t="s">
        <v>29</v>
      </c>
      <c r="F183" s="207" t="e">
        <v>#DIV/0!</v>
      </c>
      <c r="G183" s="207" t="e">
        <v>#DIV/0!</v>
      </c>
      <c r="H183" s="207" t="e">
        <v>#DIV/0!</v>
      </c>
      <c r="I183" s="207" t="e">
        <v>#DIV/0!</v>
      </c>
      <c r="J183" s="207" t="e">
        <v>#DIV/0!</v>
      </c>
      <c r="K183" s="207" t="e">
        <v>#DIV/0!</v>
      </c>
      <c r="L183" s="207" t="e">
        <v>#DIV/0!</v>
      </c>
      <c r="M183" s="207" t="e">
        <v>#DIV/0!</v>
      </c>
      <c r="N183" s="207" t="e">
        <v>#DIV/0!</v>
      </c>
      <c r="O183" s="207" t="e">
        <v>#DIV/0!</v>
      </c>
      <c r="P183" s="207" t="e">
        <v>#DIV/0!</v>
      </c>
      <c r="Q183" s="207" t="e">
        <v>#DIV/0!</v>
      </c>
      <c r="R183" s="207" t="e">
        <v>#DIV/0!</v>
      </c>
      <c r="S183" s="207" t="e">
        <v>#DIV/0!</v>
      </c>
      <c r="T183" s="207" t="e">
        <v>#DIV/0!</v>
      </c>
      <c r="U183" s="207" t="e">
        <v>#DIV/0!</v>
      </c>
      <c r="V183" s="207" t="e">
        <v>#DIV/0!</v>
      </c>
      <c r="W183" s="207" t="e">
        <v>#DIV/0!</v>
      </c>
      <c r="X183" s="207" t="e">
        <v>#DIV/0!</v>
      </c>
      <c r="Y183" s="207" t="e">
        <v>#DIV/0!</v>
      </c>
      <c r="Z183" s="207" t="e">
        <v>#DIV/0!</v>
      </c>
      <c r="AA183" s="207" t="e">
        <v>#DIV/0!</v>
      </c>
      <c r="AB183" s="207" t="e">
        <v>#DIV/0!</v>
      </c>
      <c r="AC183" s="207" t="e">
        <v>#DIV/0!</v>
      </c>
      <c r="AD183" s="207" t="e">
        <v>#DIV/0!</v>
      </c>
      <c r="AE183" s="207" t="e">
        <v>#DIV/0!</v>
      </c>
      <c r="AF183" s="207" t="e">
        <v>#DIV/0!</v>
      </c>
      <c r="AG183" s="207" t="e">
        <v>#DIV/0!</v>
      </c>
      <c r="AH183" s="207" t="e">
        <v>#DIV/0!</v>
      </c>
      <c r="AI183" s="207" t="e">
        <v>#DIV/0!</v>
      </c>
      <c r="AJ183" s="208" t="e">
        <v>#DIV/0!</v>
      </c>
      <c r="AL183" s="76" t="e">
        <v>#DIV/0!</v>
      </c>
      <c r="DC183" s="16"/>
    </row>
    <row r="184" spans="2:107" s="3" customFormat="1" x14ac:dyDescent="0.25">
      <c r="B184" s="49">
        <v>7</v>
      </c>
      <c r="C184" s="43" t="s">
        <v>98</v>
      </c>
      <c r="D184" s="217"/>
      <c r="E184" s="314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29"/>
      <c r="AH184" s="229"/>
      <c r="AI184" s="229"/>
      <c r="AJ184" s="230"/>
      <c r="AK184" s="315"/>
      <c r="AL184" s="259" t="s">
        <v>45</v>
      </c>
    </row>
    <row r="185" spans="2:107" s="3" customFormat="1" x14ac:dyDescent="0.25">
      <c r="B185" s="81"/>
      <c r="C185" s="131" t="s">
        <v>103</v>
      </c>
      <c r="D185" s="209"/>
      <c r="E185" s="7" t="s">
        <v>16</v>
      </c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3"/>
      <c r="AH185" s="223"/>
      <c r="AI185" s="223"/>
      <c r="AJ185" s="224"/>
      <c r="AK185" s="214"/>
      <c r="AL185" s="135">
        <v>0</v>
      </c>
    </row>
    <row r="186" spans="2:107" s="3" customFormat="1" x14ac:dyDescent="0.25">
      <c r="B186" s="81"/>
      <c r="C186" s="59" t="s">
        <v>104</v>
      </c>
      <c r="D186" s="209"/>
      <c r="E186" s="7" t="s">
        <v>16</v>
      </c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15"/>
      <c r="AH186" s="215"/>
      <c r="AI186" s="215"/>
      <c r="AJ186" s="208"/>
      <c r="AK186" s="214"/>
      <c r="AL186" s="135">
        <v>0</v>
      </c>
    </row>
    <row r="187" spans="2:107" s="3" customFormat="1" x14ac:dyDescent="0.25">
      <c r="B187" s="81"/>
      <c r="C187" s="59" t="s">
        <v>44</v>
      </c>
      <c r="D187" s="209"/>
      <c r="E187" s="7" t="s">
        <v>16</v>
      </c>
      <c r="F187" s="207">
        <v>0</v>
      </c>
      <c r="G187" s="207">
        <v>0</v>
      </c>
      <c r="H187" s="207">
        <v>0</v>
      </c>
      <c r="I187" s="207">
        <v>0</v>
      </c>
      <c r="J187" s="207">
        <v>0</v>
      </c>
      <c r="K187" s="207">
        <v>0</v>
      </c>
      <c r="L187" s="207">
        <v>0</v>
      </c>
      <c r="M187" s="207">
        <v>0</v>
      </c>
      <c r="N187" s="207">
        <v>0</v>
      </c>
      <c r="O187" s="207">
        <v>0</v>
      </c>
      <c r="P187" s="207">
        <v>0</v>
      </c>
      <c r="Q187" s="207">
        <v>0</v>
      </c>
      <c r="R187" s="207">
        <v>0</v>
      </c>
      <c r="S187" s="207">
        <v>0</v>
      </c>
      <c r="T187" s="207">
        <v>0</v>
      </c>
      <c r="U187" s="207">
        <v>0</v>
      </c>
      <c r="V187" s="207">
        <v>0</v>
      </c>
      <c r="W187" s="207">
        <v>0</v>
      </c>
      <c r="X187" s="207">
        <v>0</v>
      </c>
      <c r="Y187" s="207">
        <v>0</v>
      </c>
      <c r="Z187" s="207">
        <v>0</v>
      </c>
      <c r="AA187" s="207">
        <v>0</v>
      </c>
      <c r="AB187" s="207">
        <v>0</v>
      </c>
      <c r="AC187" s="207">
        <v>0</v>
      </c>
      <c r="AD187" s="207">
        <v>0</v>
      </c>
      <c r="AE187" s="207">
        <v>0</v>
      </c>
      <c r="AF187" s="207">
        <v>0</v>
      </c>
      <c r="AG187" s="207">
        <v>0</v>
      </c>
      <c r="AH187" s="207">
        <v>0</v>
      </c>
      <c r="AI187" s="207">
        <v>0</v>
      </c>
      <c r="AJ187" s="208">
        <v>0</v>
      </c>
      <c r="AK187" s="214"/>
      <c r="AL187" s="135">
        <v>0</v>
      </c>
    </row>
    <row r="188" spans="2:107" s="3" customFormat="1" x14ac:dyDescent="0.25">
      <c r="B188" s="81"/>
      <c r="C188" s="59" t="s">
        <v>43</v>
      </c>
      <c r="D188" s="209"/>
      <c r="E188" s="7" t="s">
        <v>16</v>
      </c>
      <c r="F188" s="207">
        <v>0</v>
      </c>
      <c r="G188" s="207">
        <v>0</v>
      </c>
      <c r="H188" s="207">
        <v>0</v>
      </c>
      <c r="I188" s="207">
        <v>0</v>
      </c>
      <c r="J188" s="207">
        <v>0</v>
      </c>
      <c r="K188" s="207">
        <v>0</v>
      </c>
      <c r="L188" s="207">
        <v>0</v>
      </c>
      <c r="M188" s="207">
        <v>0</v>
      </c>
      <c r="N188" s="207">
        <v>0</v>
      </c>
      <c r="O188" s="207">
        <v>0</v>
      </c>
      <c r="P188" s="207">
        <v>0</v>
      </c>
      <c r="Q188" s="207">
        <v>0</v>
      </c>
      <c r="R188" s="207">
        <v>0</v>
      </c>
      <c r="S188" s="207">
        <v>0</v>
      </c>
      <c r="T188" s="207">
        <v>0</v>
      </c>
      <c r="U188" s="207">
        <v>0</v>
      </c>
      <c r="V188" s="207">
        <v>0</v>
      </c>
      <c r="W188" s="207">
        <v>0</v>
      </c>
      <c r="X188" s="207">
        <v>0</v>
      </c>
      <c r="Y188" s="207">
        <v>0</v>
      </c>
      <c r="Z188" s="207">
        <v>0</v>
      </c>
      <c r="AA188" s="207">
        <v>0</v>
      </c>
      <c r="AB188" s="207">
        <v>0</v>
      </c>
      <c r="AC188" s="207">
        <v>0</v>
      </c>
      <c r="AD188" s="207">
        <v>0</v>
      </c>
      <c r="AE188" s="207">
        <v>0</v>
      </c>
      <c r="AF188" s="207">
        <v>0</v>
      </c>
      <c r="AG188" s="207">
        <v>0</v>
      </c>
      <c r="AH188" s="207">
        <v>0</v>
      </c>
      <c r="AI188" s="207">
        <v>0</v>
      </c>
      <c r="AJ188" s="208">
        <v>0</v>
      </c>
      <c r="AK188" s="214"/>
      <c r="AL188" s="135">
        <v>0</v>
      </c>
    </row>
    <row r="189" spans="2:107" s="3" customFormat="1" x14ac:dyDescent="0.25">
      <c r="B189" s="81"/>
      <c r="C189" s="138" t="s">
        <v>56</v>
      </c>
      <c r="D189" s="209"/>
      <c r="E189" s="5" t="s">
        <v>16</v>
      </c>
      <c r="F189" s="207">
        <v>0</v>
      </c>
      <c r="G189" s="207">
        <v>0</v>
      </c>
      <c r="H189" s="207">
        <v>0</v>
      </c>
      <c r="I189" s="207">
        <v>0</v>
      </c>
      <c r="J189" s="207">
        <v>0</v>
      </c>
      <c r="K189" s="207">
        <v>0</v>
      </c>
      <c r="L189" s="207">
        <v>0</v>
      </c>
      <c r="M189" s="207">
        <v>0</v>
      </c>
      <c r="N189" s="207">
        <v>0</v>
      </c>
      <c r="O189" s="207">
        <v>0</v>
      </c>
      <c r="P189" s="207">
        <v>0</v>
      </c>
      <c r="Q189" s="207">
        <v>0</v>
      </c>
      <c r="R189" s="207">
        <v>0</v>
      </c>
      <c r="S189" s="207">
        <v>0</v>
      </c>
      <c r="T189" s="207">
        <v>0</v>
      </c>
      <c r="U189" s="207">
        <v>0</v>
      </c>
      <c r="V189" s="207">
        <v>0</v>
      </c>
      <c r="W189" s="207">
        <v>0</v>
      </c>
      <c r="X189" s="207">
        <v>0</v>
      </c>
      <c r="Y189" s="207">
        <v>0</v>
      </c>
      <c r="Z189" s="207">
        <v>0</v>
      </c>
      <c r="AA189" s="207">
        <v>0</v>
      </c>
      <c r="AB189" s="207">
        <v>0</v>
      </c>
      <c r="AC189" s="207">
        <v>0</v>
      </c>
      <c r="AD189" s="207">
        <v>0</v>
      </c>
      <c r="AE189" s="207">
        <v>0</v>
      </c>
      <c r="AF189" s="207">
        <v>0</v>
      </c>
      <c r="AG189" s="207"/>
      <c r="AH189" s="207"/>
      <c r="AI189" s="215"/>
      <c r="AJ189" s="208"/>
      <c r="AK189" s="214"/>
      <c r="AL189" s="76">
        <v>0</v>
      </c>
    </row>
    <row r="190" spans="2:107" s="3" customFormat="1" x14ac:dyDescent="0.25">
      <c r="B190" s="81"/>
      <c r="C190" s="59" t="s">
        <v>33</v>
      </c>
      <c r="D190" s="209"/>
      <c r="E190" s="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15"/>
      <c r="AH190" s="215"/>
      <c r="AI190" s="215"/>
      <c r="AJ190" s="208"/>
      <c r="AK190" s="214"/>
      <c r="AL190" s="76" t="s">
        <v>33</v>
      </c>
    </row>
    <row r="191" spans="2:107" s="3" customFormat="1" x14ac:dyDescent="0.25">
      <c r="B191" s="81"/>
      <c r="C191" s="59" t="s">
        <v>99</v>
      </c>
      <c r="D191" s="209"/>
      <c r="E191" s="7" t="s">
        <v>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62"/>
      <c r="AH191" s="62"/>
      <c r="AI191" s="62"/>
      <c r="AJ191" s="63"/>
      <c r="AK191" s="214"/>
      <c r="AL191" s="148">
        <v>0</v>
      </c>
    </row>
    <row r="192" spans="2:107" s="3" customFormat="1" x14ac:dyDescent="0.25">
      <c r="B192" s="81"/>
      <c r="C192" s="59" t="s">
        <v>129</v>
      </c>
      <c r="D192" s="209"/>
      <c r="E192" s="7" t="s">
        <v>36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62"/>
      <c r="AH192" s="62"/>
      <c r="AI192" s="62"/>
      <c r="AJ192" s="63"/>
      <c r="AK192" s="214"/>
      <c r="AL192" s="148">
        <v>0</v>
      </c>
    </row>
    <row r="193" spans="2:38" s="3" customFormat="1" x14ac:dyDescent="0.25">
      <c r="B193" s="81"/>
      <c r="C193" s="155" t="s">
        <v>32</v>
      </c>
      <c r="D193" s="209"/>
      <c r="E193" s="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15"/>
      <c r="AH193" s="215"/>
      <c r="AI193" s="215"/>
      <c r="AJ193" s="208"/>
      <c r="AK193" s="214"/>
      <c r="AL193" s="76" t="s">
        <v>32</v>
      </c>
    </row>
    <row r="194" spans="2:38" s="3" customFormat="1" x14ac:dyDescent="0.25">
      <c r="B194" s="81"/>
      <c r="C194" s="59" t="s">
        <v>99</v>
      </c>
      <c r="D194" s="209"/>
      <c r="E194" s="7" t="s">
        <v>32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63">
        <v>0</v>
      </c>
      <c r="AK194" s="149"/>
      <c r="AL194" s="64">
        <v>0</v>
      </c>
    </row>
    <row r="195" spans="2:38" s="3" customFormat="1" x14ac:dyDescent="0.25">
      <c r="B195" s="81"/>
      <c r="C195" s="59" t="s">
        <v>129</v>
      </c>
      <c r="D195" s="209"/>
      <c r="E195" s="7" t="s">
        <v>32</v>
      </c>
      <c r="F195" s="1"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62"/>
      <c r="AJ195" s="63"/>
      <c r="AK195" s="149"/>
      <c r="AL195" s="64"/>
    </row>
    <row r="196" spans="2:38" s="3" customFormat="1" x14ac:dyDescent="0.25">
      <c r="B196" s="81"/>
      <c r="C196" s="59" t="s">
        <v>41</v>
      </c>
      <c r="D196" s="209"/>
      <c r="E196" s="7" t="s">
        <v>40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63">
        <v>0</v>
      </c>
      <c r="AK196" s="149"/>
      <c r="AL196" s="64">
        <v>0</v>
      </c>
    </row>
    <row r="197" spans="2:38" s="3" customFormat="1" x14ac:dyDescent="0.25">
      <c r="B197" s="81"/>
      <c r="C197" s="59" t="s">
        <v>39</v>
      </c>
      <c r="D197" s="209"/>
      <c r="E197" s="7" t="s">
        <v>38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63">
        <v>0</v>
      </c>
      <c r="AK197" s="149"/>
      <c r="AL197" s="156">
        <v>0</v>
      </c>
    </row>
    <row r="198" spans="2:38" s="3" customFormat="1" x14ac:dyDescent="0.25">
      <c r="B198" s="81"/>
      <c r="C198" s="43" t="s">
        <v>37</v>
      </c>
      <c r="D198" s="217"/>
      <c r="E198" s="26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1"/>
      <c r="AH198" s="281"/>
      <c r="AI198" s="281"/>
      <c r="AJ198" s="282"/>
      <c r="AK198" s="283"/>
      <c r="AL198" s="284" t="s">
        <v>34</v>
      </c>
    </row>
    <row r="199" spans="2:38" s="3" customFormat="1" x14ac:dyDescent="0.25">
      <c r="B199" s="81"/>
      <c r="C199" s="59" t="s">
        <v>33</v>
      </c>
      <c r="D199" s="209"/>
      <c r="E199" s="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15"/>
      <c r="AH199" s="215"/>
      <c r="AI199" s="215"/>
      <c r="AJ199" s="208"/>
      <c r="AK199" s="214"/>
      <c r="AL199" s="76"/>
    </row>
    <row r="200" spans="2:38" s="3" customFormat="1" x14ac:dyDescent="0.25">
      <c r="B200" s="81"/>
      <c r="C200" s="59" t="s">
        <v>99</v>
      </c>
      <c r="D200" s="209"/>
      <c r="E200" s="7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62"/>
      <c r="AH200" s="62"/>
      <c r="AI200" s="62"/>
      <c r="AJ200" s="63"/>
      <c r="AK200" s="214"/>
      <c r="AL200" s="148">
        <v>0</v>
      </c>
    </row>
    <row r="201" spans="2:38" s="3" customFormat="1" x14ac:dyDescent="0.25">
      <c r="B201" s="81"/>
      <c r="C201" s="59" t="s">
        <v>129</v>
      </c>
      <c r="D201" s="209"/>
      <c r="E201" s="7" t="s">
        <v>36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62"/>
      <c r="AH201" s="62"/>
      <c r="AI201" s="62"/>
      <c r="AJ201" s="63"/>
      <c r="AK201" s="214"/>
      <c r="AL201" s="148">
        <v>0</v>
      </c>
    </row>
    <row r="202" spans="2:38" s="3" customFormat="1" x14ac:dyDescent="0.25">
      <c r="B202" s="81"/>
      <c r="C202" s="59" t="s">
        <v>32</v>
      </c>
      <c r="D202" s="209"/>
      <c r="E202" s="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15"/>
      <c r="AH202" s="215"/>
      <c r="AI202" s="215"/>
      <c r="AJ202" s="208"/>
      <c r="AK202" s="214"/>
      <c r="AL202" s="76"/>
    </row>
    <row r="203" spans="2:38" s="3" customFormat="1" x14ac:dyDescent="0.25">
      <c r="B203" s="81"/>
      <c r="C203" s="59" t="s">
        <v>99</v>
      </c>
      <c r="D203" s="209"/>
      <c r="E203" s="7" t="s">
        <v>32</v>
      </c>
      <c r="F203" s="1">
        <v>0</v>
      </c>
      <c r="G203" s="1">
        <v>0</v>
      </c>
      <c r="H203" s="1">
        <v>0</v>
      </c>
      <c r="I203" s="1"/>
      <c r="J203" s="1">
        <v>0</v>
      </c>
      <c r="K203" s="1"/>
      <c r="L203" s="1"/>
      <c r="M203" s="1"/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63">
        <v>0</v>
      </c>
      <c r="AK203" s="214"/>
      <c r="AL203" s="148">
        <v>0</v>
      </c>
    </row>
    <row r="204" spans="2:38" s="3" customFormat="1" x14ac:dyDescent="0.25">
      <c r="B204" s="81"/>
      <c r="C204" s="59" t="s">
        <v>129</v>
      </c>
      <c r="D204" s="209"/>
      <c r="E204" s="7" t="s">
        <v>32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63">
        <v>0</v>
      </c>
      <c r="AK204" s="214"/>
      <c r="AL204" s="148">
        <v>0</v>
      </c>
    </row>
    <row r="205" spans="2:38" s="3" customFormat="1" x14ac:dyDescent="0.25">
      <c r="B205" s="81"/>
      <c r="C205" s="43" t="s">
        <v>35</v>
      </c>
      <c r="D205" s="231"/>
      <c r="E205" s="157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9"/>
      <c r="AH205" s="159"/>
      <c r="AI205" s="159"/>
      <c r="AJ205" s="160"/>
      <c r="AK205" s="214"/>
      <c r="AL205" s="259" t="s">
        <v>34</v>
      </c>
    </row>
    <row r="206" spans="2:38" s="3" customFormat="1" x14ac:dyDescent="0.25">
      <c r="B206" s="81"/>
      <c r="C206" s="138" t="s">
        <v>33</v>
      </c>
      <c r="D206" s="209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62"/>
      <c r="AH206" s="62"/>
      <c r="AI206" s="62"/>
      <c r="AJ206" s="63"/>
      <c r="AK206" s="214"/>
      <c r="AL206" s="148"/>
    </row>
    <row r="207" spans="2:38" s="3" customFormat="1" x14ac:dyDescent="0.25">
      <c r="B207" s="81"/>
      <c r="C207" s="59" t="s">
        <v>99</v>
      </c>
      <c r="D207" s="209">
        <v>0.3</v>
      </c>
      <c r="E207" s="7" t="s">
        <v>29</v>
      </c>
      <c r="F207" s="1" t="e">
        <v>#DIV/0!</v>
      </c>
      <c r="G207" s="1" t="e">
        <v>#DIV/0!</v>
      </c>
      <c r="H207" s="1" t="e">
        <v>#DIV/0!</v>
      </c>
      <c r="I207" s="1" t="e">
        <v>#DIV/0!</v>
      </c>
      <c r="J207" s="1" t="e">
        <v>#DIV/0!</v>
      </c>
      <c r="K207" s="1" t="e">
        <v>#DIV/0!</v>
      </c>
      <c r="L207" s="1" t="e">
        <v>#DIV/0!</v>
      </c>
      <c r="M207" s="1" t="e">
        <v>#DIV/0!</v>
      </c>
      <c r="N207" s="1" t="e">
        <v>#DIV/0!</v>
      </c>
      <c r="O207" s="1" t="e">
        <v>#DIV/0!</v>
      </c>
      <c r="P207" s="1" t="e">
        <v>#DIV/0!</v>
      </c>
      <c r="Q207" s="1" t="e">
        <v>#DIV/0!</v>
      </c>
      <c r="R207" s="1" t="e">
        <v>#DIV/0!</v>
      </c>
      <c r="S207" s="1" t="e">
        <v>#DIV/0!</v>
      </c>
      <c r="T207" s="1" t="e">
        <v>#DIV/0!</v>
      </c>
      <c r="U207" s="1" t="e">
        <v>#DIV/0!</v>
      </c>
      <c r="V207" s="1" t="e">
        <v>#DIV/0!</v>
      </c>
      <c r="W207" s="1" t="e">
        <v>#DIV/0!</v>
      </c>
      <c r="X207" s="1" t="e">
        <v>#DIV/0!</v>
      </c>
      <c r="Y207" s="1" t="e">
        <v>#DIV/0!</v>
      </c>
      <c r="Z207" s="1" t="e">
        <v>#DIV/0!</v>
      </c>
      <c r="AA207" s="1" t="e">
        <v>#DIV/0!</v>
      </c>
      <c r="AB207" s="1" t="e">
        <v>#DIV/0!</v>
      </c>
      <c r="AC207" s="1" t="e">
        <v>#DIV/0!</v>
      </c>
      <c r="AD207" s="1" t="e">
        <v>#DIV/0!</v>
      </c>
      <c r="AE207" s="1" t="e">
        <v>#DIV/0!</v>
      </c>
      <c r="AF207" s="1" t="e">
        <v>#DIV/0!</v>
      </c>
      <c r="AG207" s="1" t="e">
        <v>#DIV/0!</v>
      </c>
      <c r="AH207" s="1" t="e">
        <v>#DIV/0!</v>
      </c>
      <c r="AI207" s="1" t="e">
        <v>#DIV/0!</v>
      </c>
      <c r="AJ207" s="63" t="e">
        <v>#DIV/0!</v>
      </c>
      <c r="AK207" s="214"/>
      <c r="AL207" s="161" t="e">
        <v>#DIV/0!</v>
      </c>
    </row>
    <row r="208" spans="2:38" s="3" customFormat="1" x14ac:dyDescent="0.25">
      <c r="B208" s="81"/>
      <c r="C208" s="59" t="s">
        <v>129</v>
      </c>
      <c r="D208" s="209">
        <v>0.3</v>
      </c>
      <c r="E208" s="7" t="s">
        <v>29</v>
      </c>
      <c r="F208" s="1" t="e">
        <v>#DIV/0!</v>
      </c>
      <c r="G208" s="1" t="e">
        <v>#DIV/0!</v>
      </c>
      <c r="H208" s="1" t="e">
        <v>#DIV/0!</v>
      </c>
      <c r="I208" s="1" t="e">
        <v>#DIV/0!</v>
      </c>
      <c r="J208" s="1" t="e">
        <v>#DIV/0!</v>
      </c>
      <c r="K208" s="1" t="e">
        <v>#DIV/0!</v>
      </c>
      <c r="L208" s="1" t="e">
        <v>#DIV/0!</v>
      </c>
      <c r="M208" s="1" t="e">
        <v>#DIV/0!</v>
      </c>
      <c r="N208" s="1" t="e">
        <v>#DIV/0!</v>
      </c>
      <c r="O208" s="1" t="e">
        <v>#DIV/0!</v>
      </c>
      <c r="P208" s="1" t="e">
        <v>#DIV/0!</v>
      </c>
      <c r="Q208" s="1" t="e">
        <v>#DIV/0!</v>
      </c>
      <c r="R208" s="1" t="e">
        <v>#DIV/0!</v>
      </c>
      <c r="S208" s="1" t="e">
        <v>#DIV/0!</v>
      </c>
      <c r="T208" s="1" t="e">
        <v>#DIV/0!</v>
      </c>
      <c r="U208" s="1" t="e">
        <v>#DIV/0!</v>
      </c>
      <c r="V208" s="1" t="e">
        <v>#DIV/0!</v>
      </c>
      <c r="W208" s="1" t="e">
        <v>#DIV/0!</v>
      </c>
      <c r="X208" s="1" t="e">
        <v>#DIV/0!</v>
      </c>
      <c r="Y208" s="1" t="e">
        <v>#DIV/0!</v>
      </c>
      <c r="Z208" s="1" t="e">
        <v>#DIV/0!</v>
      </c>
      <c r="AA208" s="1" t="e">
        <v>#DIV/0!</v>
      </c>
      <c r="AB208" s="1" t="e">
        <v>#DIV/0!</v>
      </c>
      <c r="AC208" s="1" t="e">
        <v>#DIV/0!</v>
      </c>
      <c r="AD208" s="1" t="e">
        <v>#DIV/0!</v>
      </c>
      <c r="AE208" s="1" t="e">
        <v>#DIV/0!</v>
      </c>
      <c r="AF208" s="1" t="e">
        <v>#DIV/0!</v>
      </c>
      <c r="AG208" s="1" t="e">
        <v>#DIV/0!</v>
      </c>
      <c r="AH208" s="1" t="e">
        <v>#DIV/0!</v>
      </c>
      <c r="AI208" s="1" t="e">
        <v>#DIV/0!</v>
      </c>
      <c r="AJ208" s="63" t="e">
        <v>#DIV/0!</v>
      </c>
      <c r="AK208" s="214"/>
      <c r="AL208" s="161" t="e">
        <v>#DIV/0!</v>
      </c>
    </row>
    <row r="209" spans="2:107 14889:15281" s="3" customFormat="1" x14ac:dyDescent="0.25">
      <c r="B209" s="81"/>
      <c r="C209" s="138" t="s">
        <v>32</v>
      </c>
      <c r="D209" s="209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62"/>
      <c r="AH209" s="62"/>
      <c r="AI209" s="62"/>
      <c r="AJ209" s="63"/>
      <c r="AK209" s="214"/>
      <c r="AL209" s="148"/>
    </row>
    <row r="210" spans="2:107 14889:15281" s="3" customFormat="1" x14ac:dyDescent="0.25">
      <c r="B210" s="81"/>
      <c r="C210" s="59" t="s">
        <v>99</v>
      </c>
      <c r="D210" s="209">
        <v>0.5</v>
      </c>
      <c r="E210" s="7" t="s">
        <v>29</v>
      </c>
      <c r="F210" s="1" t="e">
        <v>#DIV/0!</v>
      </c>
      <c r="G210" s="1" t="e">
        <v>#DIV/0!</v>
      </c>
      <c r="H210" s="1" t="e">
        <v>#DIV/0!</v>
      </c>
      <c r="I210" s="1" t="e">
        <v>#DIV/0!</v>
      </c>
      <c r="J210" s="1" t="e">
        <v>#DIV/0!</v>
      </c>
      <c r="K210" s="1" t="e">
        <v>#DIV/0!</v>
      </c>
      <c r="L210" s="1" t="e">
        <v>#DIV/0!</v>
      </c>
      <c r="M210" s="1" t="e">
        <v>#DIV/0!</v>
      </c>
      <c r="N210" s="1" t="e">
        <v>#DIV/0!</v>
      </c>
      <c r="O210" s="1" t="e">
        <v>#DIV/0!</v>
      </c>
      <c r="P210" s="1" t="e">
        <v>#DIV/0!</v>
      </c>
      <c r="Q210" s="1" t="e">
        <v>#DIV/0!</v>
      </c>
      <c r="R210" s="1" t="e">
        <v>#DIV/0!</v>
      </c>
      <c r="S210" s="1" t="e">
        <v>#DIV/0!</v>
      </c>
      <c r="T210" s="1" t="e">
        <v>#DIV/0!</v>
      </c>
      <c r="U210" s="1" t="e">
        <v>#DIV/0!</v>
      </c>
      <c r="V210" s="1" t="e">
        <v>#DIV/0!</v>
      </c>
      <c r="W210" s="1" t="e">
        <v>#DIV/0!</v>
      </c>
      <c r="X210" s="1" t="e">
        <v>#DIV/0!</v>
      </c>
      <c r="Y210" s="1" t="e">
        <v>#DIV/0!</v>
      </c>
      <c r="Z210" s="1" t="e">
        <v>#DIV/0!</v>
      </c>
      <c r="AA210" s="1" t="e">
        <v>#DIV/0!</v>
      </c>
      <c r="AB210" s="1" t="e">
        <v>#DIV/0!</v>
      </c>
      <c r="AC210" s="1" t="e">
        <v>#DIV/0!</v>
      </c>
      <c r="AD210" s="1" t="e">
        <v>#DIV/0!</v>
      </c>
      <c r="AE210" s="1" t="e">
        <v>#DIV/0!</v>
      </c>
      <c r="AF210" s="1" t="e">
        <v>#DIV/0!</v>
      </c>
      <c r="AG210" s="1" t="e">
        <v>#DIV/0!</v>
      </c>
      <c r="AH210" s="1" t="e">
        <v>#DIV/0!</v>
      </c>
      <c r="AI210" s="1" t="e">
        <v>#DIV/0!</v>
      </c>
      <c r="AJ210" s="63" t="e">
        <v>#DIV/0!</v>
      </c>
      <c r="AK210" s="214"/>
      <c r="AL210" s="76" t="e">
        <v>#DIV/0!</v>
      </c>
    </row>
    <row r="211" spans="2:107 14889:15281" s="3" customFormat="1" x14ac:dyDescent="0.25">
      <c r="B211" s="81"/>
      <c r="C211" s="59" t="s">
        <v>129</v>
      </c>
      <c r="D211" s="209">
        <v>0.5</v>
      </c>
      <c r="E211" s="7" t="s">
        <v>29</v>
      </c>
      <c r="F211" s="1" t="e">
        <v>#DIV/0!</v>
      </c>
      <c r="G211" s="1" t="e">
        <v>#DIV/0!</v>
      </c>
      <c r="H211" s="1" t="e">
        <v>#DIV/0!</v>
      </c>
      <c r="I211" s="1" t="e">
        <v>#DIV/0!</v>
      </c>
      <c r="J211" s="1" t="e">
        <v>#DIV/0!</v>
      </c>
      <c r="K211" s="1" t="e">
        <v>#DIV/0!</v>
      </c>
      <c r="L211" s="1" t="e">
        <v>#DIV/0!</v>
      </c>
      <c r="M211" s="1" t="e">
        <v>#DIV/0!</v>
      </c>
      <c r="N211" s="1" t="e">
        <v>#DIV/0!</v>
      </c>
      <c r="O211" s="1" t="e">
        <v>#DIV/0!</v>
      </c>
      <c r="P211" s="1" t="e">
        <v>#DIV/0!</v>
      </c>
      <c r="Q211" s="1" t="e">
        <v>#DIV/0!</v>
      </c>
      <c r="R211" s="1" t="e">
        <v>#DIV/0!</v>
      </c>
      <c r="S211" s="1" t="e">
        <v>#DIV/0!</v>
      </c>
      <c r="T211" s="1" t="e">
        <v>#DIV/0!</v>
      </c>
      <c r="U211" s="1" t="e">
        <v>#DIV/0!</v>
      </c>
      <c r="V211" s="1" t="e">
        <v>#DIV/0!</v>
      </c>
      <c r="W211" s="1" t="e">
        <v>#DIV/0!</v>
      </c>
      <c r="X211" s="1" t="e">
        <v>#DIV/0!</v>
      </c>
      <c r="Y211" s="1" t="e">
        <v>#DIV/0!</v>
      </c>
      <c r="Z211" s="1" t="e">
        <v>#DIV/0!</v>
      </c>
      <c r="AA211" s="1" t="e">
        <v>#DIV/0!</v>
      </c>
      <c r="AB211" s="1" t="e">
        <v>#DIV/0!</v>
      </c>
      <c r="AC211" s="1" t="e">
        <v>#DIV/0!</v>
      </c>
      <c r="AD211" s="1" t="e">
        <v>#DIV/0!</v>
      </c>
      <c r="AE211" s="1" t="e">
        <v>#DIV/0!</v>
      </c>
      <c r="AF211" s="1" t="e">
        <v>#DIV/0!</v>
      </c>
      <c r="AG211" s="1" t="e">
        <v>#DIV/0!</v>
      </c>
      <c r="AH211" s="1" t="e">
        <v>#DIV/0!</v>
      </c>
      <c r="AI211" s="1" t="e">
        <v>#DIV/0!</v>
      </c>
      <c r="AJ211" s="63" t="e">
        <v>#DIV/0!</v>
      </c>
      <c r="AK211" s="214"/>
      <c r="AL211" s="76" t="e">
        <v>#DIV/0!</v>
      </c>
    </row>
    <row r="212" spans="2:107 14889:15281" s="3" customFormat="1" x14ac:dyDescent="0.25">
      <c r="B212" s="81"/>
      <c r="C212" s="162" t="s">
        <v>105</v>
      </c>
      <c r="D212" s="232"/>
      <c r="E212" s="28" t="s">
        <v>16</v>
      </c>
      <c r="F212" s="316">
        <v>0</v>
      </c>
      <c r="G212" s="316">
        <v>0</v>
      </c>
      <c r="H212" s="316">
        <v>0</v>
      </c>
      <c r="I212" s="316">
        <v>0</v>
      </c>
      <c r="J212" s="316">
        <v>0</v>
      </c>
      <c r="K212" s="316">
        <v>0</v>
      </c>
      <c r="L212" s="316">
        <v>0</v>
      </c>
      <c r="M212" s="316">
        <v>0</v>
      </c>
      <c r="N212" s="316">
        <v>0</v>
      </c>
      <c r="O212" s="316">
        <v>0</v>
      </c>
      <c r="P212" s="316">
        <v>0</v>
      </c>
      <c r="Q212" s="316">
        <v>0</v>
      </c>
      <c r="R212" s="316">
        <v>0</v>
      </c>
      <c r="S212" s="316">
        <v>0</v>
      </c>
      <c r="T212" s="316">
        <v>0</v>
      </c>
      <c r="U212" s="316">
        <v>0</v>
      </c>
      <c r="V212" s="316">
        <v>0</v>
      </c>
      <c r="W212" s="316">
        <v>0</v>
      </c>
      <c r="X212" s="316">
        <v>0</v>
      </c>
      <c r="Y212" s="316">
        <v>0</v>
      </c>
      <c r="Z212" s="316">
        <v>0</v>
      </c>
      <c r="AA212" s="316">
        <v>0</v>
      </c>
      <c r="AB212" s="316">
        <v>0</v>
      </c>
      <c r="AC212" s="316">
        <v>0</v>
      </c>
      <c r="AD212" s="316">
        <v>0</v>
      </c>
      <c r="AE212" s="316">
        <v>0</v>
      </c>
      <c r="AF212" s="316">
        <v>0</v>
      </c>
      <c r="AG212" s="316">
        <v>0</v>
      </c>
      <c r="AH212" s="316">
        <v>0</v>
      </c>
      <c r="AI212" s="316">
        <v>0</v>
      </c>
      <c r="AJ212" s="317">
        <v>0</v>
      </c>
      <c r="AK212" s="233"/>
      <c r="AL212" s="285">
        <v>0</v>
      </c>
    </row>
    <row r="213" spans="2:107 14889:15281" s="3" customFormat="1" x14ac:dyDescent="0.25">
      <c r="B213" s="81"/>
      <c r="C213" s="101" t="s">
        <v>130</v>
      </c>
      <c r="D213" s="234"/>
      <c r="E213" s="29" t="s">
        <v>16</v>
      </c>
      <c r="F213" s="235">
        <v>65274</v>
      </c>
      <c r="G213" s="235">
        <v>33760</v>
      </c>
      <c r="H213" s="235">
        <v>0</v>
      </c>
      <c r="I213" s="235">
        <v>45638</v>
      </c>
      <c r="J213" s="235">
        <v>0</v>
      </c>
      <c r="K213" s="235">
        <v>0</v>
      </c>
      <c r="L213" s="235">
        <v>55027</v>
      </c>
      <c r="M213" s="235">
        <v>45636</v>
      </c>
      <c r="N213" s="235">
        <v>57810</v>
      </c>
      <c r="O213" s="235">
        <v>0</v>
      </c>
      <c r="P213" s="235">
        <v>0</v>
      </c>
      <c r="Q213" s="235">
        <v>55696</v>
      </c>
      <c r="R213" s="235">
        <v>131283</v>
      </c>
      <c r="S213" s="235">
        <v>0</v>
      </c>
      <c r="T213" s="235">
        <v>60860</v>
      </c>
      <c r="U213" s="235">
        <v>0</v>
      </c>
      <c r="V213" s="235">
        <v>0</v>
      </c>
      <c r="W213" s="235">
        <v>69236</v>
      </c>
      <c r="X213" s="235">
        <v>54303</v>
      </c>
      <c r="Y213" s="235">
        <v>0</v>
      </c>
      <c r="Z213" s="235">
        <v>0</v>
      </c>
      <c r="AA213" s="235">
        <v>0</v>
      </c>
      <c r="AB213" s="235">
        <v>0</v>
      </c>
      <c r="AC213" s="235">
        <v>0</v>
      </c>
      <c r="AD213" s="235">
        <v>0</v>
      </c>
      <c r="AE213" s="235">
        <v>0</v>
      </c>
      <c r="AF213" s="235">
        <v>0</v>
      </c>
      <c r="AG213" s="235">
        <v>0</v>
      </c>
      <c r="AH213" s="235">
        <v>0</v>
      </c>
      <c r="AI213" s="235">
        <v>0</v>
      </c>
      <c r="AJ213" s="236">
        <v>0</v>
      </c>
      <c r="AK213" s="233"/>
      <c r="AL213" s="70">
        <v>674523</v>
      </c>
    </row>
    <row r="214" spans="2:107 14889:15281" s="3" customFormat="1" x14ac:dyDescent="0.25">
      <c r="B214" s="81"/>
      <c r="C214" s="163" t="s">
        <v>100</v>
      </c>
      <c r="D214" s="237"/>
      <c r="E214" s="30" t="s">
        <v>16</v>
      </c>
      <c r="F214" s="238">
        <v>0</v>
      </c>
      <c r="G214" s="238">
        <v>91877</v>
      </c>
      <c r="H214" s="238">
        <v>0</v>
      </c>
      <c r="I214" s="238">
        <v>0</v>
      </c>
      <c r="J214" s="238">
        <v>0</v>
      </c>
      <c r="K214" s="238">
        <v>70000</v>
      </c>
      <c r="L214" s="238">
        <v>0</v>
      </c>
      <c r="M214" s="238">
        <v>0</v>
      </c>
      <c r="N214" s="238">
        <v>0</v>
      </c>
      <c r="O214" s="238">
        <v>0</v>
      </c>
      <c r="P214" s="238">
        <v>0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0</v>
      </c>
      <c r="Z214" s="238">
        <v>0</v>
      </c>
      <c r="AA214" s="238">
        <v>0</v>
      </c>
      <c r="AB214" s="238">
        <v>0</v>
      </c>
      <c r="AC214" s="238">
        <v>0</v>
      </c>
      <c r="AD214" s="238">
        <v>0</v>
      </c>
      <c r="AE214" s="238">
        <v>0</v>
      </c>
      <c r="AF214" s="238">
        <v>0</v>
      </c>
      <c r="AG214" s="238">
        <v>0</v>
      </c>
      <c r="AH214" s="238">
        <v>0</v>
      </c>
      <c r="AI214" s="238">
        <v>0</v>
      </c>
      <c r="AJ214" s="239">
        <v>0</v>
      </c>
      <c r="AK214" s="233"/>
      <c r="AL214" s="164">
        <v>161877</v>
      </c>
    </row>
    <row r="215" spans="2:107 14889:15281" s="3" customFormat="1" x14ac:dyDescent="0.25">
      <c r="B215" s="81"/>
      <c r="C215" s="165" t="s">
        <v>101</v>
      </c>
      <c r="D215" s="240"/>
      <c r="E215" s="31" t="s">
        <v>97</v>
      </c>
      <c r="F215" s="241">
        <v>65274</v>
      </c>
      <c r="G215" s="241">
        <v>125637</v>
      </c>
      <c r="H215" s="241">
        <v>0</v>
      </c>
      <c r="I215" s="241">
        <v>45638</v>
      </c>
      <c r="J215" s="241">
        <v>0</v>
      </c>
      <c r="K215" s="241">
        <v>70000</v>
      </c>
      <c r="L215" s="241">
        <v>55027</v>
      </c>
      <c r="M215" s="241">
        <v>45636</v>
      </c>
      <c r="N215" s="241">
        <v>57810</v>
      </c>
      <c r="O215" s="241">
        <v>0</v>
      </c>
      <c r="P215" s="241">
        <v>0</v>
      </c>
      <c r="Q215" s="241">
        <v>55696</v>
      </c>
      <c r="R215" s="241">
        <v>131283</v>
      </c>
      <c r="S215" s="241">
        <v>0</v>
      </c>
      <c r="T215" s="241">
        <v>60860</v>
      </c>
      <c r="U215" s="241">
        <v>0</v>
      </c>
      <c r="V215" s="241">
        <v>0</v>
      </c>
      <c r="W215" s="241">
        <v>69236</v>
      </c>
      <c r="X215" s="241">
        <v>54303</v>
      </c>
      <c r="Y215" s="241">
        <v>0</v>
      </c>
      <c r="Z215" s="241">
        <v>0</v>
      </c>
      <c r="AA215" s="241">
        <v>0</v>
      </c>
      <c r="AB215" s="241">
        <v>0</v>
      </c>
      <c r="AC215" s="241">
        <v>0</v>
      </c>
      <c r="AD215" s="241">
        <v>0</v>
      </c>
      <c r="AE215" s="241">
        <v>0</v>
      </c>
      <c r="AF215" s="241">
        <v>0</v>
      </c>
      <c r="AG215" s="241">
        <v>0</v>
      </c>
      <c r="AH215" s="241">
        <v>0</v>
      </c>
      <c r="AI215" s="241">
        <v>0</v>
      </c>
      <c r="AJ215" s="242">
        <v>0</v>
      </c>
      <c r="AK215" s="233"/>
      <c r="AL215" s="32">
        <v>836400</v>
      </c>
    </row>
    <row r="216" spans="2:107 14889:15281" s="3" customFormat="1" ht="15.75" thickBot="1" x14ac:dyDescent="0.3">
      <c r="B216" s="81"/>
      <c r="C216" s="286" t="s">
        <v>106</v>
      </c>
      <c r="D216" s="240"/>
      <c r="E216" s="287" t="s">
        <v>16</v>
      </c>
      <c r="F216" s="288">
        <v>75020.87</v>
      </c>
      <c r="G216" s="288">
        <v>36324.720000000001</v>
      </c>
      <c r="H216" s="288">
        <v>36714.6</v>
      </c>
      <c r="I216" s="288">
        <v>86385.13</v>
      </c>
      <c r="J216" s="288">
        <v>41146.589999999997</v>
      </c>
      <c r="K216" s="288">
        <v>4182.68</v>
      </c>
      <c r="L216" s="288">
        <v>38504.31</v>
      </c>
      <c r="M216" s="288">
        <v>25328.51</v>
      </c>
      <c r="N216" s="288">
        <v>48104.979999999996</v>
      </c>
      <c r="O216" s="288">
        <v>1906.53</v>
      </c>
      <c r="P216" s="288">
        <v>0</v>
      </c>
      <c r="Q216" s="288">
        <v>83855.25</v>
      </c>
      <c r="R216" s="288">
        <v>69951.960000000006</v>
      </c>
      <c r="S216" s="288">
        <v>43107.399999999994</v>
      </c>
      <c r="T216" s="288">
        <v>32289.94</v>
      </c>
      <c r="U216" s="288">
        <v>36105.17</v>
      </c>
      <c r="V216" s="288">
        <v>14063.970000000001</v>
      </c>
      <c r="W216" s="288">
        <v>56974.390000000007</v>
      </c>
      <c r="X216" s="288">
        <v>75307.070000000007</v>
      </c>
      <c r="Y216" s="288">
        <v>45006.86</v>
      </c>
      <c r="Z216" s="288">
        <v>36558.65</v>
      </c>
      <c r="AA216" s="288">
        <v>0</v>
      </c>
      <c r="AB216" s="288">
        <v>0</v>
      </c>
      <c r="AC216" s="288">
        <v>0</v>
      </c>
      <c r="AD216" s="288">
        <v>197.11</v>
      </c>
      <c r="AE216" s="288">
        <v>0</v>
      </c>
      <c r="AF216" s="288">
        <v>0</v>
      </c>
      <c r="AG216" s="288">
        <v>0</v>
      </c>
      <c r="AH216" s="288">
        <v>0</v>
      </c>
      <c r="AI216" s="288">
        <v>0</v>
      </c>
      <c r="AJ216" s="289">
        <v>0</v>
      </c>
      <c r="AK216" s="290"/>
      <c r="AL216" s="291">
        <v>887036.69000000006</v>
      </c>
    </row>
    <row r="217" spans="2:107 14889:15281" s="3" customFormat="1" x14ac:dyDescent="0.25">
      <c r="B217" s="205">
        <v>8</v>
      </c>
      <c r="C217" s="111" t="s">
        <v>28</v>
      </c>
      <c r="D217" s="44"/>
      <c r="E217" s="11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46"/>
      <c r="AH217" s="46"/>
      <c r="AI217" s="46"/>
      <c r="AJ217" s="47"/>
      <c r="AL217" s="260" t="s">
        <v>27</v>
      </c>
      <c r="DC217" s="16"/>
      <c r="UZQ217" s="190"/>
      <c r="UZR217" s="190"/>
      <c r="UZS217" s="190"/>
      <c r="UZT217" s="190"/>
      <c r="UZU217" s="190"/>
      <c r="UZV217" s="190"/>
      <c r="UZW217" s="190"/>
      <c r="UZX217" s="190"/>
      <c r="UZY217" s="190"/>
      <c r="UZZ217" s="190"/>
      <c r="VAA217" s="190"/>
      <c r="VAB217" s="190"/>
      <c r="VAC217" s="190"/>
      <c r="VAD217" s="190"/>
      <c r="VAE217" s="190"/>
      <c r="VAF217" s="190"/>
      <c r="VAG217" s="190"/>
      <c r="VAH217" s="190"/>
      <c r="VAI217" s="190"/>
      <c r="VAJ217" s="190"/>
      <c r="VAK217" s="190"/>
      <c r="VAL217" s="190"/>
      <c r="VAM217" s="190"/>
      <c r="VAN217" s="190"/>
      <c r="VAO217" s="190"/>
      <c r="VAP217" s="190"/>
      <c r="VAQ217" s="190"/>
      <c r="VAR217" s="190"/>
      <c r="VAS217" s="190"/>
      <c r="VAT217" s="190"/>
      <c r="VAU217" s="190"/>
      <c r="VAV217" s="190"/>
      <c r="VAW217" s="190"/>
      <c r="VAX217" s="190"/>
      <c r="VAY217" s="190"/>
      <c r="VAZ217" s="190"/>
      <c r="VBA217" s="190"/>
      <c r="VBB217" s="190"/>
      <c r="VBC217" s="190"/>
      <c r="VBD217" s="190"/>
      <c r="VBE217" s="190"/>
      <c r="VBF217" s="190"/>
      <c r="VBG217" s="190"/>
      <c r="VBH217" s="190"/>
      <c r="VBI217" s="190"/>
      <c r="VBJ217" s="190"/>
      <c r="VBK217" s="190"/>
      <c r="VBL217" s="190"/>
      <c r="VBM217" s="190"/>
      <c r="VBN217" s="190"/>
      <c r="VBO217" s="190"/>
      <c r="VBP217" s="190"/>
      <c r="VBQ217" s="190"/>
      <c r="VBR217" s="190"/>
      <c r="VBS217" s="190"/>
      <c r="VBT217" s="190"/>
      <c r="VBU217" s="190"/>
      <c r="VBV217" s="190"/>
      <c r="VBW217" s="190"/>
      <c r="VBX217" s="190"/>
      <c r="VBY217" s="190"/>
      <c r="VBZ217" s="190"/>
      <c r="VCA217" s="190"/>
      <c r="VCB217" s="190"/>
      <c r="VCC217" s="190"/>
      <c r="VCD217" s="190"/>
      <c r="VCE217" s="190"/>
      <c r="VCF217" s="190"/>
      <c r="VCG217" s="190"/>
      <c r="VCH217" s="190"/>
      <c r="VCI217" s="190"/>
      <c r="VCJ217" s="190"/>
      <c r="VCK217" s="190"/>
      <c r="VCL217" s="190"/>
      <c r="VCM217" s="190"/>
      <c r="VCN217" s="190"/>
      <c r="VCO217" s="190"/>
      <c r="VCP217" s="190"/>
      <c r="VCQ217" s="190"/>
      <c r="VCR217" s="190"/>
      <c r="VCS217" s="190"/>
      <c r="VCT217" s="190"/>
      <c r="VCU217" s="190"/>
      <c r="VCV217" s="190"/>
      <c r="VCW217" s="190"/>
      <c r="VCX217" s="190"/>
      <c r="VCY217" s="190"/>
      <c r="VCZ217" s="190"/>
      <c r="VDA217" s="190"/>
      <c r="VDB217" s="190"/>
      <c r="VDC217" s="190"/>
      <c r="VDD217" s="190"/>
      <c r="VDE217" s="190"/>
      <c r="VDF217" s="190"/>
      <c r="VDG217" s="190"/>
      <c r="VDH217" s="190"/>
      <c r="VDI217" s="190"/>
      <c r="VDJ217" s="190"/>
      <c r="VDK217" s="190"/>
      <c r="VDL217" s="190"/>
      <c r="VDM217" s="190"/>
      <c r="VDN217" s="190"/>
      <c r="VDO217" s="190"/>
      <c r="VDP217" s="190"/>
      <c r="VDQ217" s="190"/>
      <c r="VDR217" s="190"/>
      <c r="VDS217" s="190"/>
      <c r="VDT217" s="190"/>
      <c r="VDU217" s="190"/>
      <c r="VDV217" s="190"/>
      <c r="VDW217" s="190"/>
      <c r="VDX217" s="190"/>
      <c r="VDY217" s="190"/>
      <c r="VDZ217" s="190"/>
      <c r="VEA217" s="190"/>
      <c r="VEB217" s="190"/>
      <c r="VEC217" s="190"/>
      <c r="VED217" s="190"/>
      <c r="VEE217" s="190"/>
      <c r="VEF217" s="190"/>
      <c r="VEG217" s="190"/>
      <c r="VEH217" s="190"/>
      <c r="VEI217" s="190"/>
      <c r="VEJ217" s="190"/>
      <c r="VEK217" s="190"/>
      <c r="VEL217" s="190"/>
      <c r="VEM217" s="190"/>
      <c r="VEN217" s="190"/>
      <c r="VEO217" s="190"/>
      <c r="VEP217" s="190"/>
      <c r="VEQ217" s="190"/>
      <c r="VER217" s="190"/>
      <c r="VES217" s="190"/>
      <c r="VET217" s="190"/>
      <c r="VEU217" s="190"/>
      <c r="VEV217" s="190"/>
      <c r="VEW217" s="190"/>
      <c r="VEX217" s="190"/>
      <c r="VEY217" s="190"/>
      <c r="VEZ217" s="190"/>
      <c r="VFA217" s="190"/>
      <c r="VFB217" s="190"/>
      <c r="VFC217" s="190"/>
      <c r="VFD217" s="190"/>
      <c r="VFE217" s="190"/>
      <c r="VFF217" s="190"/>
      <c r="VFG217" s="190"/>
      <c r="VFH217" s="190"/>
      <c r="VFI217" s="190"/>
      <c r="VFJ217" s="190"/>
      <c r="VFK217" s="190"/>
      <c r="VFL217" s="190"/>
      <c r="VFM217" s="190"/>
      <c r="VFN217" s="190"/>
      <c r="VFO217" s="190"/>
      <c r="VFP217" s="190"/>
      <c r="VFQ217" s="190"/>
      <c r="VFR217" s="190"/>
      <c r="VFS217" s="190"/>
      <c r="VFT217" s="190"/>
      <c r="VFU217" s="190"/>
      <c r="VFV217" s="190"/>
      <c r="VFW217" s="190"/>
      <c r="VFX217" s="190"/>
      <c r="VFY217" s="190"/>
      <c r="VFZ217" s="190"/>
      <c r="VGA217" s="190"/>
      <c r="VGB217" s="190"/>
      <c r="VGC217" s="190"/>
      <c r="VGD217" s="190"/>
      <c r="VGE217" s="190"/>
      <c r="VGF217" s="190"/>
      <c r="VGG217" s="190"/>
      <c r="VGH217" s="190"/>
      <c r="VGI217" s="190"/>
      <c r="VGJ217" s="190"/>
      <c r="VGK217" s="190"/>
      <c r="VGL217" s="190"/>
      <c r="VGM217" s="190"/>
      <c r="VGN217" s="190"/>
      <c r="VGO217" s="190"/>
      <c r="VGP217" s="190"/>
      <c r="VGQ217" s="190"/>
      <c r="VGR217" s="190"/>
      <c r="VGS217" s="190"/>
      <c r="VGT217" s="190"/>
      <c r="VGU217" s="190"/>
      <c r="VGV217" s="190"/>
      <c r="VGW217" s="190"/>
      <c r="VGX217" s="190"/>
      <c r="VGY217" s="190"/>
      <c r="VGZ217" s="190"/>
      <c r="VHA217" s="190"/>
      <c r="VHB217" s="190"/>
      <c r="VHC217" s="190"/>
      <c r="VHD217" s="190"/>
      <c r="VHE217" s="190"/>
      <c r="VHF217" s="190"/>
      <c r="VHG217" s="190"/>
      <c r="VHH217" s="190"/>
      <c r="VHI217" s="190"/>
      <c r="VHJ217" s="190"/>
      <c r="VHK217" s="190"/>
      <c r="VHL217" s="190"/>
      <c r="VHM217" s="190"/>
      <c r="VHN217" s="190"/>
      <c r="VHO217" s="190"/>
      <c r="VHP217" s="190"/>
      <c r="VHQ217" s="190"/>
      <c r="VHR217" s="190"/>
      <c r="VHS217" s="190"/>
      <c r="VHT217" s="190"/>
      <c r="VHU217" s="190"/>
      <c r="VHV217" s="190"/>
      <c r="VHW217" s="190"/>
      <c r="VHX217" s="190"/>
      <c r="VHY217" s="190"/>
      <c r="VHZ217" s="190"/>
      <c r="VIA217" s="190"/>
      <c r="VIB217" s="190"/>
      <c r="VIC217" s="190"/>
      <c r="VID217" s="190"/>
      <c r="VIE217" s="190"/>
      <c r="VIF217" s="190"/>
      <c r="VIG217" s="190"/>
      <c r="VIH217" s="190"/>
      <c r="VII217" s="190"/>
      <c r="VIJ217" s="190"/>
      <c r="VIK217" s="190"/>
      <c r="VIL217" s="190"/>
      <c r="VIM217" s="190"/>
      <c r="VIN217" s="190"/>
      <c r="VIO217" s="190"/>
      <c r="VIP217" s="190"/>
      <c r="VIQ217" s="190"/>
      <c r="VIR217" s="190"/>
      <c r="VIS217" s="190"/>
      <c r="VIT217" s="190"/>
      <c r="VIU217" s="190"/>
      <c r="VIV217" s="190"/>
      <c r="VIW217" s="190"/>
      <c r="VIX217" s="190"/>
      <c r="VIY217" s="190"/>
      <c r="VIZ217" s="190"/>
      <c r="VJA217" s="190"/>
      <c r="VJB217" s="190"/>
      <c r="VJC217" s="190"/>
      <c r="VJD217" s="190"/>
      <c r="VJE217" s="190"/>
      <c r="VJF217" s="190"/>
      <c r="VJG217" s="190"/>
      <c r="VJH217" s="190"/>
      <c r="VJI217" s="190"/>
      <c r="VJJ217" s="190"/>
      <c r="VJK217" s="190"/>
      <c r="VJL217" s="190"/>
      <c r="VJM217" s="190"/>
      <c r="VJN217" s="190"/>
      <c r="VJO217" s="190"/>
      <c r="VJP217" s="190"/>
      <c r="VJQ217" s="190"/>
      <c r="VJR217" s="190"/>
      <c r="VJS217" s="190"/>
      <c r="VJT217" s="190"/>
      <c r="VJU217" s="190"/>
      <c r="VJV217" s="190"/>
      <c r="VJW217" s="190"/>
      <c r="VJX217" s="190"/>
      <c r="VJY217" s="190"/>
      <c r="VJZ217" s="190"/>
      <c r="VKA217" s="190"/>
      <c r="VKB217" s="190"/>
      <c r="VKC217" s="190"/>
      <c r="VKD217" s="190"/>
      <c r="VKE217" s="190"/>
      <c r="VKF217" s="190"/>
      <c r="VKG217" s="190"/>
      <c r="VKH217" s="190"/>
      <c r="VKI217" s="190"/>
      <c r="VKJ217" s="190"/>
      <c r="VKK217" s="190"/>
      <c r="VKL217" s="190"/>
      <c r="VKM217" s="190"/>
      <c r="VKN217" s="190"/>
      <c r="VKO217" s="190"/>
      <c r="VKP217" s="190"/>
      <c r="VKQ217" s="190"/>
      <c r="VKR217" s="190"/>
      <c r="VKS217" s="190"/>
      <c r="VKT217" s="190"/>
      <c r="VKU217" s="190"/>
      <c r="VKV217" s="190"/>
      <c r="VKW217" s="190"/>
      <c r="VKX217" s="190"/>
      <c r="VKY217" s="190"/>
      <c r="VKZ217" s="190"/>
      <c r="VLA217" s="190"/>
      <c r="VLB217" s="190"/>
      <c r="VLC217" s="190"/>
      <c r="VLD217" s="190"/>
      <c r="VLE217" s="190"/>
      <c r="VLF217" s="190"/>
      <c r="VLG217" s="190"/>
      <c r="VLH217" s="190"/>
      <c r="VLI217" s="190"/>
      <c r="VLJ217" s="190"/>
      <c r="VLK217" s="190"/>
      <c r="VLL217" s="190"/>
      <c r="VLM217" s="190"/>
      <c r="VLN217" s="190"/>
      <c r="VLO217" s="190"/>
      <c r="VLP217" s="190"/>
      <c r="VLQ217" s="190"/>
      <c r="VLR217" s="190"/>
      <c r="VLS217" s="190"/>
      <c r="VLT217" s="190"/>
      <c r="VLU217" s="190"/>
      <c r="VLV217" s="190"/>
      <c r="VLW217" s="190"/>
      <c r="VLX217" s="190"/>
      <c r="VLY217" s="190"/>
      <c r="VLZ217" s="190"/>
      <c r="VMA217" s="190"/>
      <c r="VMB217" s="190"/>
      <c r="VMC217" s="190"/>
      <c r="VMD217" s="190"/>
      <c r="VME217" s="190"/>
      <c r="VMF217" s="190"/>
      <c r="VMG217" s="190"/>
      <c r="VMH217" s="190"/>
      <c r="VMI217" s="190"/>
      <c r="VMJ217" s="190"/>
      <c r="VMK217" s="190"/>
      <c r="VML217" s="190"/>
      <c r="VMM217" s="190"/>
      <c r="VMN217" s="190"/>
      <c r="VMO217" s="190"/>
      <c r="VMP217" s="190"/>
      <c r="VMQ217" s="190"/>
      <c r="VMR217" s="190"/>
      <c r="VMS217" s="190"/>
      <c r="VMT217" s="190"/>
      <c r="VMU217" s="190"/>
      <c r="VMV217" s="190"/>
      <c r="VMW217" s="190"/>
      <c r="VMX217" s="190"/>
      <c r="VMY217" s="190"/>
      <c r="VMZ217" s="190"/>
      <c r="VNA217" s="190"/>
      <c r="VNB217" s="190"/>
      <c r="VNC217" s="190"/>
      <c r="VND217" s="190"/>
      <c r="VNE217" s="190"/>
      <c r="VNF217" s="190"/>
      <c r="VNG217" s="190"/>
      <c r="VNH217" s="190"/>
      <c r="VNI217" s="190"/>
      <c r="VNJ217" s="190"/>
      <c r="VNK217" s="190"/>
      <c r="VNL217" s="190"/>
      <c r="VNM217" s="190"/>
      <c r="VNN217" s="190"/>
      <c r="VNO217" s="190"/>
      <c r="VNP217" s="190"/>
      <c r="VNQ217" s="190"/>
      <c r="VNR217" s="190"/>
      <c r="VNS217" s="190"/>
      <c r="VNT217" s="190"/>
      <c r="VNU217" s="190"/>
      <c r="VNV217" s="190"/>
      <c r="VNW217" s="190"/>
      <c r="VNX217" s="190"/>
      <c r="VNY217" s="190"/>
      <c r="VNZ217" s="190"/>
      <c r="VOA217" s="190"/>
      <c r="VOB217" s="190"/>
      <c r="VOC217" s="190"/>
      <c r="VOD217" s="190"/>
      <c r="VOE217" s="190"/>
      <c r="VOF217" s="190"/>
      <c r="VOG217" s="190"/>
      <c r="VOH217" s="190"/>
      <c r="VOI217" s="190"/>
      <c r="VOJ217" s="190"/>
      <c r="VOK217" s="190"/>
      <c r="VOL217" s="190"/>
      <c r="VOM217" s="190"/>
      <c r="VON217" s="190"/>
      <c r="VOO217" s="190"/>
      <c r="VOP217" s="190"/>
      <c r="VOQ217" s="190"/>
      <c r="VOR217" s="190"/>
      <c r="VOS217" s="190"/>
    </row>
    <row r="218" spans="2:107 14889:15281" s="3" customFormat="1" x14ac:dyDescent="0.25">
      <c r="B218" s="49"/>
      <c r="C218" s="72" t="s">
        <v>26</v>
      </c>
      <c r="D218" s="78"/>
      <c r="E218" s="7" t="s">
        <v>22</v>
      </c>
      <c r="F218" s="292">
        <v>1046.8776</v>
      </c>
      <c r="G218" s="10">
        <v>1056.4046000000001</v>
      </c>
      <c r="H218" s="10">
        <v>1172.2626</v>
      </c>
      <c r="I218" s="2">
        <v>1148.7092</v>
      </c>
      <c r="J218" s="2">
        <v>1150.2701999999999</v>
      </c>
      <c r="K218" s="2">
        <v>1218.8791000000001</v>
      </c>
      <c r="L218" s="2">
        <v>1102.8414</v>
      </c>
      <c r="M218" s="2">
        <v>1081.5752</v>
      </c>
      <c r="N218" s="2">
        <v>1189.7067999999999</v>
      </c>
      <c r="O218" s="2">
        <v>1205.7248</v>
      </c>
      <c r="P218" s="2">
        <v>1228.9638</v>
      </c>
      <c r="Q218" s="2">
        <v>1273.4577999999999</v>
      </c>
      <c r="R218" s="2">
        <v>1242.3240000000001</v>
      </c>
      <c r="S218" s="2">
        <v>1298.8268</v>
      </c>
      <c r="T218" s="2">
        <v>1300.4851000000001</v>
      </c>
      <c r="U218" s="2">
        <v>1299.4631999999999</v>
      </c>
      <c r="V218" s="2">
        <v>1296.884</v>
      </c>
      <c r="W218" s="2">
        <v>1194.6294</v>
      </c>
      <c r="X218" s="2">
        <v>992.29520000000002</v>
      </c>
      <c r="Y218" s="2">
        <v>1326.3407</v>
      </c>
      <c r="Z218" s="2">
        <v>1230.6783</v>
      </c>
      <c r="AA218" s="2">
        <v>1039.4096</v>
      </c>
      <c r="AB218" s="2">
        <v>919.27279999999996</v>
      </c>
      <c r="AC218" s="2">
        <v>461.71019999999999</v>
      </c>
      <c r="AD218" s="293">
        <v>1012.0379</v>
      </c>
      <c r="AE218" s="2">
        <v>961.72670000000005</v>
      </c>
      <c r="AF218" s="2">
        <v>931.1431</v>
      </c>
      <c r="AG218" s="166">
        <v>674.09550000000002</v>
      </c>
      <c r="AH218" s="166">
        <v>0</v>
      </c>
      <c r="AI218" s="166">
        <v>0</v>
      </c>
      <c r="AJ218" s="167">
        <v>278.99520000000001</v>
      </c>
      <c r="AL218" s="294">
        <v>31335.9908</v>
      </c>
      <c r="DC218" s="16"/>
    </row>
    <row r="219" spans="2:107 14889:15281" s="21" customFormat="1" x14ac:dyDescent="0.25">
      <c r="B219" s="89"/>
      <c r="C219" s="110" t="s">
        <v>25</v>
      </c>
      <c r="D219" s="168">
        <v>1371.13</v>
      </c>
      <c r="E219" s="91" t="s">
        <v>22</v>
      </c>
      <c r="F219" s="2">
        <v>1014.4052</v>
      </c>
      <c r="G219" s="10">
        <v>1134.3705</v>
      </c>
      <c r="H219" s="10">
        <v>1128.4764</v>
      </c>
      <c r="I219" s="2">
        <v>1126.9557</v>
      </c>
      <c r="J219" s="10">
        <v>1177.5020999999999</v>
      </c>
      <c r="K219" s="11">
        <v>1086.1703</v>
      </c>
      <c r="L219" s="11">
        <v>1050.4173000000001</v>
      </c>
      <c r="M219" s="2">
        <v>1160.4259</v>
      </c>
      <c r="N219" s="2">
        <v>1175.5542</v>
      </c>
      <c r="O219" s="2">
        <v>1197.9109000000001</v>
      </c>
      <c r="P219" s="2">
        <v>1242.7397000000001</v>
      </c>
      <c r="Q219" s="2">
        <v>1218.6838</v>
      </c>
      <c r="R219" s="2">
        <v>1265.5372</v>
      </c>
      <c r="S219" s="2">
        <v>1278.1955</v>
      </c>
      <c r="T219" s="2">
        <v>1272.8139000000001</v>
      </c>
      <c r="U219" s="2">
        <v>1283.0727999999999</v>
      </c>
      <c r="V219" s="2">
        <v>1169.8207</v>
      </c>
      <c r="W219" s="2">
        <v>956.60389999999995</v>
      </c>
      <c r="X219" s="2">
        <v>1309.3035</v>
      </c>
      <c r="Y219" s="2">
        <v>1212.5304000000001</v>
      </c>
      <c r="Z219" s="2">
        <v>1032.9802</v>
      </c>
      <c r="AA219" s="2">
        <v>887.83569999999997</v>
      </c>
      <c r="AB219" s="2">
        <v>808.16499999999996</v>
      </c>
      <c r="AC219" s="2">
        <v>937.09339999999997</v>
      </c>
      <c r="AD219" s="2">
        <v>914.44690000000003</v>
      </c>
      <c r="AE219" s="2">
        <v>897.99507000000006</v>
      </c>
      <c r="AF219" s="2">
        <v>641.68269999999995</v>
      </c>
      <c r="AG219" s="166">
        <v>65.6126</v>
      </c>
      <c r="AH219" s="166">
        <v>0</v>
      </c>
      <c r="AI219" s="166">
        <v>35.6693</v>
      </c>
      <c r="AJ219" s="167">
        <v>1060.3261</v>
      </c>
      <c r="AL219" s="169">
        <v>30743.296870000009</v>
      </c>
      <c r="DC219" s="322"/>
    </row>
    <row r="220" spans="2:107 14889:15281" s="3" customFormat="1" x14ac:dyDescent="0.25">
      <c r="B220" s="81"/>
      <c r="C220" s="136" t="s">
        <v>12</v>
      </c>
      <c r="D220" s="78"/>
      <c r="E220" s="5"/>
      <c r="F220" s="2"/>
      <c r="G220" s="10"/>
      <c r="H220" s="10"/>
      <c r="I220" s="1"/>
      <c r="J220" s="10"/>
      <c r="K220" s="11"/>
      <c r="L220" s="1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07"/>
      <c r="AD220" s="207"/>
      <c r="AE220" s="207"/>
      <c r="AF220" s="207">
        <v>931.1431</v>
      </c>
      <c r="AG220" s="215"/>
      <c r="AH220" s="215"/>
      <c r="AI220" s="215"/>
      <c r="AJ220" s="208"/>
      <c r="AL220" s="170" t="s">
        <v>12</v>
      </c>
      <c r="DC220" s="16"/>
      <c r="UZQ220" s="190"/>
      <c r="UZR220" s="190"/>
      <c r="UZS220" s="190"/>
      <c r="UZT220" s="190"/>
      <c r="UZU220" s="190"/>
      <c r="UZV220" s="190"/>
      <c r="UZW220" s="190"/>
      <c r="UZX220" s="190"/>
      <c r="UZY220" s="190"/>
      <c r="UZZ220" s="190"/>
      <c r="VAA220" s="190"/>
      <c r="VAB220" s="190"/>
      <c r="VAC220" s="190"/>
      <c r="VAD220" s="190"/>
      <c r="VAE220" s="190"/>
      <c r="VAF220" s="190"/>
      <c r="VAG220" s="190"/>
      <c r="VAH220" s="190"/>
      <c r="VAI220" s="190"/>
      <c r="VAJ220" s="190"/>
      <c r="VAK220" s="190"/>
      <c r="VAL220" s="190"/>
      <c r="VAM220" s="190"/>
      <c r="VAN220" s="190"/>
      <c r="VAO220" s="190"/>
      <c r="VAP220" s="190"/>
      <c r="VAQ220" s="190"/>
      <c r="VAR220" s="190"/>
      <c r="VAS220" s="190"/>
      <c r="VAT220" s="190"/>
      <c r="VAU220" s="190"/>
      <c r="VAV220" s="190"/>
      <c r="VAW220" s="190"/>
      <c r="VAX220" s="190"/>
      <c r="VAY220" s="190"/>
      <c r="VAZ220" s="190"/>
      <c r="VBA220" s="190"/>
      <c r="VBB220" s="190"/>
      <c r="VBC220" s="190"/>
      <c r="VBD220" s="190"/>
      <c r="VBE220" s="190"/>
      <c r="VBF220" s="190"/>
      <c r="VBG220" s="190"/>
      <c r="VBH220" s="190"/>
      <c r="VBI220" s="190"/>
      <c r="VBJ220" s="190"/>
      <c r="VBK220" s="190"/>
      <c r="VBL220" s="190"/>
      <c r="VBM220" s="190"/>
      <c r="VBN220" s="190"/>
      <c r="VBO220" s="190"/>
      <c r="VBP220" s="190"/>
      <c r="VBQ220" s="190"/>
      <c r="VBR220" s="190"/>
      <c r="VBS220" s="190"/>
      <c r="VBT220" s="190"/>
      <c r="VBU220" s="190"/>
      <c r="VBV220" s="190"/>
      <c r="VBW220" s="190"/>
      <c r="VBX220" s="190"/>
      <c r="VBY220" s="190"/>
      <c r="VBZ220" s="190"/>
      <c r="VCA220" s="190"/>
      <c r="VCB220" s="190"/>
      <c r="VCC220" s="190"/>
      <c r="VCD220" s="190"/>
      <c r="VCE220" s="190"/>
      <c r="VCF220" s="190"/>
      <c r="VCG220" s="190"/>
      <c r="VCH220" s="190"/>
      <c r="VCI220" s="190"/>
      <c r="VCJ220" s="190"/>
      <c r="VCK220" s="190"/>
      <c r="VCL220" s="190"/>
      <c r="VCM220" s="190"/>
      <c r="VCN220" s="190"/>
      <c r="VCO220" s="190"/>
      <c r="VCP220" s="190"/>
      <c r="VCQ220" s="190"/>
      <c r="VCR220" s="190"/>
      <c r="VCS220" s="190"/>
      <c r="VCT220" s="190"/>
      <c r="VCU220" s="190"/>
      <c r="VCV220" s="190"/>
      <c r="VCW220" s="190"/>
      <c r="VCX220" s="190"/>
      <c r="VCY220" s="190"/>
      <c r="VCZ220" s="190"/>
      <c r="VDA220" s="190"/>
      <c r="VDB220" s="190"/>
      <c r="VDC220" s="190"/>
      <c r="VDD220" s="190"/>
      <c r="VDE220" s="190"/>
      <c r="VDF220" s="190"/>
      <c r="VDG220" s="190"/>
      <c r="VDH220" s="190"/>
      <c r="VDI220" s="190"/>
      <c r="VDJ220" s="190"/>
      <c r="VDK220" s="190"/>
      <c r="VDL220" s="190"/>
      <c r="VDM220" s="190"/>
      <c r="VDN220" s="190"/>
      <c r="VDO220" s="190"/>
      <c r="VDP220" s="190"/>
      <c r="VDQ220" s="190"/>
      <c r="VDR220" s="190"/>
      <c r="VDS220" s="190"/>
      <c r="VDT220" s="190"/>
      <c r="VDU220" s="190"/>
      <c r="VDV220" s="190"/>
      <c r="VDW220" s="190"/>
      <c r="VDX220" s="190"/>
      <c r="VDY220" s="190"/>
      <c r="VDZ220" s="190"/>
      <c r="VEA220" s="190"/>
      <c r="VEB220" s="190"/>
      <c r="VEC220" s="190"/>
      <c r="VED220" s="190"/>
      <c r="VEE220" s="190"/>
      <c r="VEF220" s="190"/>
      <c r="VEG220" s="190"/>
      <c r="VEH220" s="190"/>
      <c r="VEI220" s="190"/>
      <c r="VEJ220" s="190"/>
      <c r="VEK220" s="190"/>
      <c r="VEL220" s="190"/>
      <c r="VEM220" s="190"/>
      <c r="VEN220" s="190"/>
      <c r="VEO220" s="190"/>
      <c r="VEP220" s="190"/>
      <c r="VEQ220" s="190"/>
      <c r="VER220" s="190"/>
      <c r="VES220" s="190"/>
      <c r="VET220" s="190"/>
      <c r="VEU220" s="190"/>
      <c r="VEV220" s="190"/>
      <c r="VEW220" s="190"/>
      <c r="VEX220" s="190"/>
      <c r="VEY220" s="190"/>
      <c r="VEZ220" s="190"/>
      <c r="VFA220" s="190"/>
      <c r="VFB220" s="190"/>
      <c r="VFC220" s="190"/>
      <c r="VFD220" s="190"/>
      <c r="VFE220" s="190"/>
      <c r="VFF220" s="190"/>
      <c r="VFG220" s="190"/>
      <c r="VFH220" s="190"/>
      <c r="VFI220" s="190"/>
      <c r="VFJ220" s="190"/>
      <c r="VFK220" s="190"/>
      <c r="VFL220" s="190"/>
      <c r="VFM220" s="190"/>
      <c r="VFN220" s="190"/>
      <c r="VFO220" s="190"/>
      <c r="VFP220" s="190"/>
      <c r="VFQ220" s="190"/>
      <c r="VFR220" s="190"/>
      <c r="VFS220" s="190"/>
      <c r="VFT220" s="190"/>
      <c r="VFU220" s="190"/>
      <c r="VFV220" s="190"/>
      <c r="VFW220" s="190"/>
      <c r="VFX220" s="190"/>
      <c r="VFY220" s="190"/>
      <c r="VFZ220" s="190"/>
      <c r="VGA220" s="190"/>
      <c r="VGB220" s="190"/>
      <c r="VGC220" s="190"/>
      <c r="VGD220" s="190"/>
      <c r="VGE220" s="190"/>
      <c r="VGF220" s="190"/>
      <c r="VGG220" s="190"/>
      <c r="VGH220" s="190"/>
      <c r="VGI220" s="190"/>
      <c r="VGJ220" s="190"/>
      <c r="VGK220" s="190"/>
      <c r="VGL220" s="190"/>
      <c r="VGM220" s="190"/>
      <c r="VGN220" s="190"/>
      <c r="VGO220" s="190"/>
      <c r="VGP220" s="190"/>
      <c r="VGQ220" s="190"/>
      <c r="VGR220" s="190"/>
      <c r="VGS220" s="190"/>
      <c r="VGT220" s="190"/>
      <c r="VGU220" s="190"/>
      <c r="VGV220" s="190"/>
      <c r="VGW220" s="190"/>
      <c r="VGX220" s="190"/>
      <c r="VGY220" s="190"/>
      <c r="VGZ220" s="190"/>
      <c r="VHA220" s="190"/>
      <c r="VHB220" s="190"/>
      <c r="VHC220" s="190"/>
      <c r="VHD220" s="190"/>
      <c r="VHE220" s="190"/>
      <c r="VHF220" s="190"/>
      <c r="VHG220" s="190"/>
      <c r="VHH220" s="190"/>
      <c r="VHI220" s="190"/>
      <c r="VHJ220" s="190"/>
      <c r="VHK220" s="190"/>
      <c r="VHL220" s="190"/>
      <c r="VHM220" s="190"/>
      <c r="VHN220" s="190"/>
      <c r="VHO220" s="190"/>
      <c r="VHP220" s="190"/>
      <c r="VHQ220" s="190"/>
      <c r="VHR220" s="190"/>
      <c r="VHS220" s="190"/>
      <c r="VHT220" s="190"/>
      <c r="VHU220" s="190"/>
      <c r="VHV220" s="190"/>
      <c r="VHW220" s="190"/>
      <c r="VHX220" s="190"/>
      <c r="VHY220" s="190"/>
      <c r="VHZ220" s="190"/>
      <c r="VIA220" s="190"/>
      <c r="VIB220" s="190"/>
      <c r="VIC220" s="190"/>
      <c r="VID220" s="190"/>
      <c r="VIE220" s="190"/>
      <c r="VIF220" s="190"/>
      <c r="VIG220" s="190"/>
      <c r="VIH220" s="190"/>
      <c r="VII220" s="190"/>
      <c r="VIJ220" s="190"/>
      <c r="VIK220" s="190"/>
      <c r="VIL220" s="190"/>
      <c r="VIM220" s="190"/>
      <c r="VIN220" s="190"/>
      <c r="VIO220" s="190"/>
      <c r="VIP220" s="190"/>
      <c r="VIQ220" s="190"/>
      <c r="VIR220" s="190"/>
      <c r="VIS220" s="190"/>
      <c r="VIT220" s="190"/>
      <c r="VIU220" s="190"/>
      <c r="VIV220" s="190"/>
      <c r="VIW220" s="190"/>
      <c r="VIX220" s="190"/>
      <c r="VIY220" s="190"/>
      <c r="VIZ220" s="190"/>
      <c r="VJA220" s="190"/>
      <c r="VJB220" s="190"/>
      <c r="VJC220" s="190"/>
      <c r="VJD220" s="190"/>
      <c r="VJE220" s="190"/>
      <c r="VJF220" s="190"/>
      <c r="VJG220" s="190"/>
      <c r="VJH220" s="190"/>
      <c r="VJI220" s="190"/>
      <c r="VJJ220" s="190"/>
      <c r="VJK220" s="190"/>
      <c r="VJL220" s="190"/>
      <c r="VJM220" s="190"/>
      <c r="VJN220" s="190"/>
      <c r="VJO220" s="190"/>
      <c r="VJP220" s="190"/>
      <c r="VJQ220" s="190"/>
      <c r="VJR220" s="190"/>
      <c r="VJS220" s="190"/>
      <c r="VJT220" s="190"/>
      <c r="VJU220" s="190"/>
      <c r="VJV220" s="190"/>
      <c r="VJW220" s="190"/>
      <c r="VJX220" s="190"/>
      <c r="VJY220" s="190"/>
      <c r="VJZ220" s="190"/>
      <c r="VKA220" s="190"/>
      <c r="VKB220" s="190"/>
      <c r="VKC220" s="190"/>
      <c r="VKD220" s="190"/>
      <c r="VKE220" s="190"/>
      <c r="VKF220" s="190"/>
      <c r="VKG220" s="190"/>
      <c r="VKH220" s="190"/>
      <c r="VKI220" s="190"/>
      <c r="VKJ220" s="190"/>
      <c r="VKK220" s="190"/>
      <c r="VKL220" s="190"/>
      <c r="VKM220" s="190"/>
      <c r="VKN220" s="190"/>
      <c r="VKO220" s="190"/>
      <c r="VKP220" s="190"/>
      <c r="VKQ220" s="190"/>
      <c r="VKR220" s="190"/>
      <c r="VKS220" s="190"/>
      <c r="VKT220" s="190"/>
      <c r="VKU220" s="190"/>
      <c r="VKV220" s="190"/>
      <c r="VKW220" s="190"/>
      <c r="VKX220" s="190"/>
      <c r="VKY220" s="190"/>
      <c r="VKZ220" s="190"/>
      <c r="VLA220" s="190"/>
      <c r="VLB220" s="190"/>
      <c r="VLC220" s="190"/>
      <c r="VLD220" s="190"/>
      <c r="VLE220" s="190"/>
      <c r="VLF220" s="190"/>
      <c r="VLG220" s="190"/>
      <c r="VLH220" s="190"/>
      <c r="VLI220" s="190"/>
      <c r="VLJ220" s="190"/>
      <c r="VLK220" s="190"/>
      <c r="VLL220" s="190"/>
      <c r="VLM220" s="190"/>
      <c r="VLN220" s="190"/>
      <c r="VLO220" s="190"/>
      <c r="VLP220" s="190"/>
      <c r="VLQ220" s="190"/>
      <c r="VLR220" s="190"/>
      <c r="VLS220" s="190"/>
      <c r="VLT220" s="190"/>
      <c r="VLU220" s="190"/>
      <c r="VLV220" s="190"/>
      <c r="VLW220" s="190"/>
      <c r="VLX220" s="190"/>
      <c r="VLY220" s="190"/>
      <c r="VLZ220" s="190"/>
      <c r="VMA220" s="190"/>
      <c r="VMB220" s="190"/>
      <c r="VMC220" s="190"/>
      <c r="VMD220" s="190"/>
      <c r="VME220" s="190"/>
      <c r="VMF220" s="190"/>
      <c r="VMG220" s="190"/>
      <c r="VMH220" s="190"/>
      <c r="VMI220" s="190"/>
      <c r="VMJ220" s="190"/>
      <c r="VMK220" s="190"/>
      <c r="VML220" s="190"/>
      <c r="VMM220" s="190"/>
      <c r="VMN220" s="190"/>
      <c r="VMO220" s="190"/>
      <c r="VMP220" s="190"/>
      <c r="VMQ220" s="190"/>
      <c r="VMR220" s="190"/>
      <c r="VMS220" s="190"/>
      <c r="VMT220" s="190"/>
      <c r="VMU220" s="190"/>
      <c r="VMV220" s="190"/>
      <c r="VMW220" s="190"/>
      <c r="VMX220" s="190"/>
      <c r="VMY220" s="190"/>
      <c r="VMZ220" s="190"/>
      <c r="VNA220" s="190"/>
      <c r="VNB220" s="190"/>
      <c r="VNC220" s="190"/>
      <c r="VND220" s="190"/>
      <c r="VNE220" s="190"/>
      <c r="VNF220" s="190"/>
      <c r="VNG220" s="190"/>
      <c r="VNH220" s="190"/>
      <c r="VNI220" s="190"/>
      <c r="VNJ220" s="190"/>
      <c r="VNK220" s="190"/>
      <c r="VNL220" s="190"/>
      <c r="VNM220" s="190"/>
      <c r="VNN220" s="190"/>
      <c r="VNO220" s="190"/>
      <c r="VNP220" s="190"/>
      <c r="VNQ220" s="190"/>
      <c r="VNR220" s="190"/>
      <c r="VNS220" s="190"/>
      <c r="VNT220" s="190"/>
      <c r="VNU220" s="190"/>
      <c r="VNV220" s="190"/>
      <c r="VNW220" s="190"/>
      <c r="VNX220" s="190"/>
      <c r="VNY220" s="190"/>
      <c r="VNZ220" s="190"/>
      <c r="VOA220" s="190"/>
      <c r="VOB220" s="190"/>
      <c r="VOC220" s="190"/>
      <c r="VOD220" s="190"/>
      <c r="VOE220" s="190"/>
      <c r="VOF220" s="190"/>
      <c r="VOG220" s="190"/>
      <c r="VOH220" s="190"/>
      <c r="VOI220" s="190"/>
      <c r="VOJ220" s="190"/>
      <c r="VOK220" s="190"/>
      <c r="VOL220" s="190"/>
      <c r="VOM220" s="190"/>
      <c r="VON220" s="190"/>
      <c r="VOO220" s="190"/>
      <c r="VOP220" s="190"/>
      <c r="VOQ220" s="190"/>
      <c r="VOR220" s="190"/>
      <c r="VOS220" s="190"/>
    </row>
    <row r="221" spans="2:107 14889:15281" s="3" customFormat="1" x14ac:dyDescent="0.25">
      <c r="B221" s="81"/>
      <c r="C221" s="72" t="s">
        <v>24</v>
      </c>
      <c r="D221" s="209">
        <v>205.67</v>
      </c>
      <c r="E221" s="7" t="s">
        <v>22</v>
      </c>
      <c r="F221" s="2">
        <v>86.015100000000004</v>
      </c>
      <c r="G221" s="2">
        <v>148.2809</v>
      </c>
      <c r="H221" s="10">
        <v>68.876300000000001</v>
      </c>
      <c r="I221" s="2">
        <v>103.7581</v>
      </c>
      <c r="J221" s="10">
        <v>172.02969999999999</v>
      </c>
      <c r="K221" s="11">
        <v>41.491199999999999</v>
      </c>
      <c r="L221" s="11">
        <v>147.09520000000001</v>
      </c>
      <c r="M221" s="2">
        <v>158.50640000000001</v>
      </c>
      <c r="N221" s="2">
        <v>166.18559999999999</v>
      </c>
      <c r="O221" s="2">
        <v>153.3338</v>
      </c>
      <c r="P221" s="2">
        <v>156.80080000000001</v>
      </c>
      <c r="Q221" s="2">
        <v>61.090699999999998</v>
      </c>
      <c r="R221" s="2">
        <v>160.36000000000001</v>
      </c>
      <c r="S221" s="2">
        <v>144.14689999999999</v>
      </c>
      <c r="T221" s="2">
        <v>166.2337</v>
      </c>
      <c r="U221" s="2">
        <v>167.7354</v>
      </c>
      <c r="V221" s="2">
        <v>115.605</v>
      </c>
      <c r="W221" s="2">
        <v>65.874399999999994</v>
      </c>
      <c r="X221" s="2">
        <v>163.06909999999999</v>
      </c>
      <c r="Y221" s="2">
        <v>128.9101</v>
      </c>
      <c r="Z221" s="2">
        <v>0</v>
      </c>
      <c r="AA221" s="2">
        <v>131.79329999999999</v>
      </c>
      <c r="AB221" s="2">
        <v>44.328200000000002</v>
      </c>
      <c r="AC221" s="295">
        <v>129.917</v>
      </c>
      <c r="AD221" s="296">
        <v>52.8902</v>
      </c>
      <c r="AE221" s="2"/>
      <c r="AF221" s="2"/>
      <c r="AG221" s="166"/>
      <c r="AH221" s="166"/>
      <c r="AI221" s="295"/>
      <c r="AJ221" s="297"/>
      <c r="AL221" s="171">
        <v>2934.3270999999995</v>
      </c>
      <c r="AN221" s="17"/>
      <c r="DB221" s="17"/>
      <c r="DC221" s="16"/>
      <c r="UZQ221" s="190"/>
      <c r="UZR221" s="190"/>
      <c r="UZS221" s="190"/>
      <c r="UZT221" s="190"/>
      <c r="UZU221" s="190"/>
      <c r="UZV221" s="190"/>
      <c r="UZW221" s="190"/>
      <c r="UZX221" s="190"/>
      <c r="UZY221" s="190"/>
      <c r="UZZ221" s="190"/>
      <c r="VAA221" s="190"/>
      <c r="VAB221" s="190"/>
      <c r="VAC221" s="190"/>
      <c r="VAD221" s="190"/>
      <c r="VAE221" s="190"/>
      <c r="VAF221" s="190"/>
      <c r="VAG221" s="190"/>
      <c r="VAH221" s="190"/>
      <c r="VAI221" s="190"/>
      <c r="VAJ221" s="190"/>
      <c r="VAK221" s="190"/>
      <c r="VAL221" s="190"/>
      <c r="VAM221" s="190"/>
      <c r="VAN221" s="190"/>
      <c r="VAO221" s="190"/>
      <c r="VAP221" s="190"/>
      <c r="VAQ221" s="190"/>
      <c r="VAR221" s="190"/>
      <c r="VAS221" s="190"/>
      <c r="VAT221" s="190"/>
      <c r="VAU221" s="190"/>
      <c r="VAV221" s="190"/>
      <c r="VAW221" s="190"/>
      <c r="VAX221" s="190"/>
      <c r="VAY221" s="190"/>
      <c r="VAZ221" s="190"/>
      <c r="VBA221" s="190"/>
      <c r="VBB221" s="190"/>
      <c r="VBC221" s="190"/>
      <c r="VBD221" s="190"/>
      <c r="VBE221" s="190"/>
      <c r="VBF221" s="190"/>
      <c r="VBG221" s="190"/>
      <c r="VBH221" s="190"/>
      <c r="VBI221" s="190"/>
      <c r="VBJ221" s="190"/>
      <c r="VBK221" s="190"/>
      <c r="VBL221" s="190"/>
      <c r="VBM221" s="190"/>
      <c r="VBN221" s="190"/>
      <c r="VBO221" s="190"/>
      <c r="VBP221" s="190"/>
      <c r="VBQ221" s="190"/>
      <c r="VBR221" s="190"/>
      <c r="VBS221" s="190"/>
      <c r="VBT221" s="190"/>
      <c r="VBU221" s="190"/>
      <c r="VBV221" s="190"/>
      <c r="VBW221" s="190"/>
      <c r="VBX221" s="190"/>
      <c r="VBY221" s="190"/>
      <c r="VBZ221" s="190"/>
      <c r="VCA221" s="190"/>
      <c r="VCB221" s="190"/>
      <c r="VCC221" s="190"/>
      <c r="VCD221" s="190"/>
      <c r="VCE221" s="190"/>
      <c r="VCF221" s="190"/>
      <c r="VCG221" s="190"/>
      <c r="VCH221" s="190"/>
      <c r="VCI221" s="190"/>
      <c r="VCJ221" s="190"/>
      <c r="VCK221" s="190"/>
      <c r="VCL221" s="190"/>
      <c r="VCM221" s="190"/>
      <c r="VCN221" s="190"/>
      <c r="VCO221" s="190"/>
      <c r="VCP221" s="190"/>
      <c r="VCQ221" s="190"/>
      <c r="VCR221" s="190"/>
      <c r="VCS221" s="190"/>
      <c r="VCT221" s="190"/>
      <c r="VCU221" s="190"/>
      <c r="VCV221" s="190"/>
      <c r="VCW221" s="190"/>
      <c r="VCX221" s="190"/>
      <c r="VCY221" s="190"/>
      <c r="VCZ221" s="190"/>
      <c r="VDA221" s="190"/>
      <c r="VDB221" s="190"/>
      <c r="VDC221" s="190"/>
      <c r="VDD221" s="190"/>
      <c r="VDE221" s="190"/>
      <c r="VDF221" s="190"/>
      <c r="VDG221" s="190"/>
      <c r="VDH221" s="190"/>
      <c r="VDI221" s="190"/>
      <c r="VDJ221" s="190"/>
      <c r="VDK221" s="190"/>
      <c r="VDL221" s="190"/>
      <c r="VDM221" s="190"/>
      <c r="VDN221" s="190"/>
      <c r="VDO221" s="190"/>
      <c r="VDP221" s="190"/>
      <c r="VDQ221" s="190"/>
      <c r="VDR221" s="190"/>
      <c r="VDS221" s="190"/>
      <c r="VDT221" s="190"/>
      <c r="VDU221" s="190"/>
      <c r="VDV221" s="190"/>
      <c r="VDW221" s="190"/>
      <c r="VDX221" s="190"/>
      <c r="VDY221" s="190"/>
      <c r="VDZ221" s="190"/>
      <c r="VEA221" s="190"/>
      <c r="VEB221" s="190"/>
      <c r="VEC221" s="190"/>
      <c r="VED221" s="190"/>
      <c r="VEE221" s="190"/>
      <c r="VEF221" s="190"/>
      <c r="VEG221" s="190"/>
      <c r="VEH221" s="190"/>
      <c r="VEI221" s="190"/>
      <c r="VEJ221" s="190"/>
      <c r="VEK221" s="190"/>
      <c r="VEL221" s="190"/>
      <c r="VEM221" s="190"/>
      <c r="VEN221" s="190"/>
      <c r="VEO221" s="190"/>
      <c r="VEP221" s="190"/>
      <c r="VEQ221" s="190"/>
      <c r="VER221" s="190"/>
      <c r="VES221" s="190"/>
      <c r="VET221" s="190"/>
      <c r="VEU221" s="190"/>
      <c r="VEV221" s="190"/>
      <c r="VEW221" s="190"/>
      <c r="VEX221" s="190"/>
      <c r="VEY221" s="190"/>
      <c r="VEZ221" s="190"/>
      <c r="VFA221" s="190"/>
      <c r="VFB221" s="190"/>
      <c r="VFC221" s="190"/>
      <c r="VFD221" s="190"/>
      <c r="VFE221" s="190"/>
      <c r="VFF221" s="190"/>
      <c r="VFG221" s="190"/>
      <c r="VFH221" s="190"/>
      <c r="VFI221" s="190"/>
      <c r="VFJ221" s="190"/>
      <c r="VFK221" s="190"/>
      <c r="VFL221" s="190"/>
      <c r="VFM221" s="190"/>
      <c r="VFN221" s="190"/>
      <c r="VFO221" s="190"/>
      <c r="VFP221" s="190"/>
      <c r="VFQ221" s="190"/>
      <c r="VFR221" s="190"/>
      <c r="VFS221" s="190"/>
      <c r="VFT221" s="190"/>
      <c r="VFU221" s="190"/>
      <c r="VFV221" s="190"/>
      <c r="VFW221" s="190"/>
      <c r="VFX221" s="190"/>
      <c r="VFY221" s="190"/>
      <c r="VFZ221" s="190"/>
      <c r="VGA221" s="190"/>
      <c r="VGB221" s="190"/>
      <c r="VGC221" s="190"/>
      <c r="VGD221" s="190"/>
      <c r="VGE221" s="190"/>
      <c r="VGF221" s="190"/>
      <c r="VGG221" s="190"/>
      <c r="VGH221" s="190"/>
      <c r="VGI221" s="190"/>
      <c r="VGJ221" s="190"/>
      <c r="VGK221" s="190"/>
      <c r="VGL221" s="190"/>
      <c r="VGM221" s="190"/>
      <c r="VGN221" s="190"/>
      <c r="VGO221" s="190"/>
      <c r="VGP221" s="190"/>
      <c r="VGQ221" s="190"/>
      <c r="VGR221" s="190"/>
      <c r="VGS221" s="190"/>
      <c r="VGT221" s="190"/>
      <c r="VGU221" s="190"/>
      <c r="VGV221" s="190"/>
      <c r="VGW221" s="190"/>
      <c r="VGX221" s="190"/>
      <c r="VGY221" s="190"/>
      <c r="VGZ221" s="190"/>
      <c r="VHA221" s="190"/>
      <c r="VHB221" s="190"/>
      <c r="VHC221" s="190"/>
      <c r="VHD221" s="190"/>
      <c r="VHE221" s="190"/>
      <c r="VHF221" s="190"/>
      <c r="VHG221" s="190"/>
      <c r="VHH221" s="190"/>
      <c r="VHI221" s="190"/>
      <c r="VHJ221" s="190"/>
      <c r="VHK221" s="190"/>
      <c r="VHL221" s="190"/>
      <c r="VHM221" s="190"/>
      <c r="VHN221" s="190"/>
      <c r="VHO221" s="190"/>
      <c r="VHP221" s="190"/>
      <c r="VHQ221" s="190"/>
      <c r="VHR221" s="190"/>
      <c r="VHS221" s="190"/>
      <c r="VHT221" s="190"/>
      <c r="VHU221" s="190"/>
      <c r="VHV221" s="190"/>
      <c r="VHW221" s="190"/>
      <c r="VHX221" s="190"/>
      <c r="VHY221" s="190"/>
      <c r="VHZ221" s="190"/>
      <c r="VIA221" s="190"/>
      <c r="VIB221" s="190"/>
      <c r="VIC221" s="190"/>
      <c r="VID221" s="190"/>
      <c r="VIE221" s="190"/>
      <c r="VIF221" s="190"/>
      <c r="VIG221" s="190"/>
      <c r="VIH221" s="190"/>
      <c r="VII221" s="190"/>
      <c r="VIJ221" s="190"/>
      <c r="VIK221" s="190"/>
      <c r="VIL221" s="190"/>
      <c r="VIM221" s="190"/>
      <c r="VIN221" s="190"/>
      <c r="VIO221" s="190"/>
      <c r="VIP221" s="190"/>
      <c r="VIQ221" s="190"/>
      <c r="VIR221" s="190"/>
      <c r="VIS221" s="190"/>
      <c r="VIT221" s="190"/>
      <c r="VIU221" s="190"/>
      <c r="VIV221" s="190"/>
      <c r="VIW221" s="190"/>
      <c r="VIX221" s="190"/>
      <c r="VIY221" s="190"/>
      <c r="VIZ221" s="190"/>
      <c r="VJA221" s="190"/>
      <c r="VJB221" s="190"/>
      <c r="VJC221" s="190"/>
      <c r="VJD221" s="190"/>
      <c r="VJE221" s="190"/>
      <c r="VJF221" s="190"/>
      <c r="VJG221" s="190"/>
      <c r="VJH221" s="190"/>
      <c r="VJI221" s="190"/>
      <c r="VJJ221" s="190"/>
      <c r="VJK221" s="190"/>
      <c r="VJL221" s="190"/>
      <c r="VJM221" s="190"/>
      <c r="VJN221" s="190"/>
      <c r="VJO221" s="190"/>
      <c r="VJP221" s="190"/>
      <c r="VJQ221" s="190"/>
      <c r="VJR221" s="190"/>
      <c r="VJS221" s="190"/>
      <c r="VJT221" s="190"/>
      <c r="VJU221" s="190"/>
      <c r="VJV221" s="190"/>
      <c r="VJW221" s="190"/>
      <c r="VJX221" s="190"/>
      <c r="VJY221" s="190"/>
      <c r="VJZ221" s="190"/>
      <c r="VKA221" s="190"/>
      <c r="VKB221" s="190"/>
      <c r="VKC221" s="190"/>
      <c r="VKD221" s="190"/>
      <c r="VKE221" s="190"/>
      <c r="VKF221" s="190"/>
      <c r="VKG221" s="190"/>
      <c r="VKH221" s="190"/>
      <c r="VKI221" s="190"/>
      <c r="VKJ221" s="190"/>
      <c r="VKK221" s="190"/>
      <c r="VKL221" s="190"/>
      <c r="VKM221" s="190"/>
      <c r="VKN221" s="190"/>
      <c r="VKO221" s="190"/>
      <c r="VKP221" s="190"/>
      <c r="VKQ221" s="190"/>
      <c r="VKR221" s="190"/>
      <c r="VKS221" s="190"/>
      <c r="VKT221" s="190"/>
      <c r="VKU221" s="190"/>
      <c r="VKV221" s="190"/>
      <c r="VKW221" s="190"/>
      <c r="VKX221" s="190"/>
      <c r="VKY221" s="190"/>
      <c r="VKZ221" s="190"/>
      <c r="VLA221" s="190"/>
      <c r="VLB221" s="190"/>
      <c r="VLC221" s="190"/>
      <c r="VLD221" s="190"/>
      <c r="VLE221" s="190"/>
      <c r="VLF221" s="190"/>
      <c r="VLG221" s="190"/>
      <c r="VLH221" s="190"/>
      <c r="VLI221" s="190"/>
      <c r="VLJ221" s="190"/>
      <c r="VLK221" s="190"/>
      <c r="VLL221" s="190"/>
      <c r="VLM221" s="190"/>
      <c r="VLN221" s="190"/>
      <c r="VLO221" s="190"/>
      <c r="VLP221" s="190"/>
      <c r="VLQ221" s="190"/>
      <c r="VLR221" s="190"/>
      <c r="VLS221" s="190"/>
      <c r="VLT221" s="190"/>
      <c r="VLU221" s="190"/>
      <c r="VLV221" s="190"/>
      <c r="VLW221" s="190"/>
      <c r="VLX221" s="190"/>
      <c r="VLY221" s="190"/>
      <c r="VLZ221" s="190"/>
      <c r="VMA221" s="190"/>
      <c r="VMB221" s="190"/>
      <c r="VMC221" s="190"/>
      <c r="VMD221" s="190"/>
      <c r="VME221" s="190"/>
      <c r="VMF221" s="190"/>
      <c r="VMG221" s="190"/>
      <c r="VMH221" s="190"/>
      <c r="VMI221" s="190"/>
      <c r="VMJ221" s="190"/>
      <c r="VMK221" s="190"/>
      <c r="VML221" s="190"/>
      <c r="VMM221" s="190"/>
      <c r="VMN221" s="190"/>
      <c r="VMO221" s="190"/>
      <c r="VMP221" s="190"/>
      <c r="VMQ221" s="190"/>
      <c r="VMR221" s="190"/>
      <c r="VMS221" s="190"/>
      <c r="VMT221" s="190"/>
      <c r="VMU221" s="190"/>
      <c r="VMV221" s="190"/>
      <c r="VMW221" s="190"/>
      <c r="VMX221" s="190"/>
      <c r="VMY221" s="190"/>
      <c r="VMZ221" s="190"/>
      <c r="VNA221" s="190"/>
      <c r="VNB221" s="190"/>
      <c r="VNC221" s="190"/>
      <c r="VND221" s="190"/>
      <c r="VNE221" s="190"/>
      <c r="VNF221" s="190"/>
      <c r="VNG221" s="190"/>
      <c r="VNH221" s="190"/>
      <c r="VNI221" s="190"/>
      <c r="VNJ221" s="190"/>
      <c r="VNK221" s="190"/>
      <c r="VNL221" s="190"/>
      <c r="VNM221" s="190"/>
      <c r="VNN221" s="190"/>
      <c r="VNO221" s="190"/>
      <c r="VNP221" s="190"/>
      <c r="VNQ221" s="190"/>
      <c r="VNR221" s="190"/>
      <c r="VNS221" s="190"/>
      <c r="VNT221" s="190"/>
      <c r="VNU221" s="190"/>
      <c r="VNV221" s="190"/>
      <c r="VNW221" s="190"/>
      <c r="VNX221" s="190"/>
      <c r="VNY221" s="190"/>
      <c r="VNZ221" s="190"/>
      <c r="VOA221" s="190"/>
      <c r="VOB221" s="190"/>
      <c r="VOC221" s="190"/>
      <c r="VOD221" s="190"/>
      <c r="VOE221" s="190"/>
      <c r="VOF221" s="190"/>
      <c r="VOG221" s="190"/>
      <c r="VOH221" s="190"/>
      <c r="VOI221" s="190"/>
      <c r="VOJ221" s="190"/>
      <c r="VOK221" s="190"/>
      <c r="VOL221" s="190"/>
      <c r="VOM221" s="190"/>
      <c r="VON221" s="190"/>
      <c r="VOO221" s="190"/>
      <c r="VOP221" s="190"/>
      <c r="VOQ221" s="190"/>
      <c r="VOR221" s="190"/>
      <c r="VOS221" s="190"/>
    </row>
    <row r="222" spans="2:107 14889:15281" s="3" customFormat="1" x14ac:dyDescent="0.25">
      <c r="B222" s="81"/>
      <c r="C222" s="72" t="s">
        <v>23</v>
      </c>
      <c r="D222" s="209">
        <v>1165.46</v>
      </c>
      <c r="E222" s="7" t="s">
        <v>22</v>
      </c>
      <c r="F222" s="2">
        <v>928.39010000000007</v>
      </c>
      <c r="G222" s="10">
        <v>986.08960000000002</v>
      </c>
      <c r="H222" s="10">
        <v>1059.6001000000001</v>
      </c>
      <c r="I222" s="2">
        <v>1023.1976</v>
      </c>
      <c r="J222" s="10">
        <v>1005.4723999999999</v>
      </c>
      <c r="K222" s="11">
        <v>1044.6791000000001</v>
      </c>
      <c r="L222" s="11">
        <v>903.32210000000009</v>
      </c>
      <c r="M222" s="2">
        <v>1001.9195</v>
      </c>
      <c r="N222" s="2">
        <v>1009.3686</v>
      </c>
      <c r="O222" s="2">
        <v>1044.5771</v>
      </c>
      <c r="P222" s="2">
        <v>1085.9389000000001</v>
      </c>
      <c r="Q222" s="2">
        <v>1157.5931</v>
      </c>
      <c r="R222" s="2">
        <v>1105.1772000000001</v>
      </c>
      <c r="S222" s="2">
        <v>1134.0486000000001</v>
      </c>
      <c r="T222" s="2">
        <v>1106.5802000000001</v>
      </c>
      <c r="U222" s="2">
        <v>1115.3373999999999</v>
      </c>
      <c r="V222" s="2">
        <v>1054.2157</v>
      </c>
      <c r="W222" s="2">
        <v>890.72949999999992</v>
      </c>
      <c r="X222" s="2">
        <v>1146.2344000000001</v>
      </c>
      <c r="Y222" s="2">
        <v>1083.6203</v>
      </c>
      <c r="Z222" s="2">
        <v>1032.9802</v>
      </c>
      <c r="AA222" s="2">
        <v>756.04240000000004</v>
      </c>
      <c r="AB222" s="2">
        <v>763.83679999999993</v>
      </c>
      <c r="AC222" s="2">
        <v>807.17639999999994</v>
      </c>
      <c r="AD222" s="2">
        <v>861.55669999999998</v>
      </c>
      <c r="AE222" s="2">
        <v>897.99507000000006</v>
      </c>
      <c r="AF222" s="2">
        <v>641.68269999999995</v>
      </c>
      <c r="AG222" s="2">
        <v>65.6126</v>
      </c>
      <c r="AH222" s="2">
        <v>0</v>
      </c>
      <c r="AI222" s="2">
        <v>35.6693</v>
      </c>
      <c r="AJ222" s="2">
        <v>1060.3261</v>
      </c>
      <c r="AL222" s="171">
        <v>27808.969770000003</v>
      </c>
      <c r="DC222" s="16"/>
      <c r="UZQ222" s="190"/>
      <c r="UZR222" s="190"/>
      <c r="UZS222" s="190"/>
      <c r="UZT222" s="190"/>
      <c r="UZU222" s="190"/>
      <c r="UZV222" s="190"/>
      <c r="UZW222" s="190"/>
      <c r="UZX222" s="190"/>
      <c r="UZY222" s="190"/>
      <c r="UZZ222" s="190"/>
      <c r="VAA222" s="190"/>
      <c r="VAB222" s="190"/>
      <c r="VAC222" s="190"/>
      <c r="VAD222" s="190"/>
      <c r="VAE222" s="190"/>
      <c r="VAF222" s="190"/>
      <c r="VAG222" s="190"/>
      <c r="VAH222" s="190"/>
      <c r="VAI222" s="190"/>
      <c r="VAJ222" s="190"/>
      <c r="VAK222" s="190"/>
      <c r="VAL222" s="190"/>
      <c r="VAM222" s="190"/>
      <c r="VAN222" s="190"/>
      <c r="VAO222" s="190"/>
      <c r="VAP222" s="190"/>
      <c r="VAQ222" s="190"/>
      <c r="VAR222" s="190"/>
      <c r="VAS222" s="190"/>
      <c r="VAT222" s="190"/>
      <c r="VAU222" s="190"/>
      <c r="VAV222" s="190"/>
      <c r="VAW222" s="190"/>
      <c r="VAX222" s="190"/>
      <c r="VAY222" s="190"/>
      <c r="VAZ222" s="190"/>
      <c r="VBA222" s="190"/>
      <c r="VBB222" s="190"/>
      <c r="VBC222" s="190"/>
      <c r="VBD222" s="190"/>
      <c r="VBE222" s="190"/>
      <c r="VBF222" s="190"/>
      <c r="VBG222" s="190"/>
      <c r="VBH222" s="190"/>
      <c r="VBI222" s="190"/>
      <c r="VBJ222" s="190"/>
      <c r="VBK222" s="190"/>
      <c r="VBL222" s="190"/>
      <c r="VBM222" s="190"/>
      <c r="VBN222" s="190"/>
      <c r="VBO222" s="190"/>
      <c r="VBP222" s="190"/>
      <c r="VBQ222" s="190"/>
      <c r="VBR222" s="190"/>
      <c r="VBS222" s="190"/>
      <c r="VBT222" s="190"/>
      <c r="VBU222" s="190"/>
      <c r="VBV222" s="190"/>
      <c r="VBW222" s="190"/>
      <c r="VBX222" s="190"/>
      <c r="VBY222" s="190"/>
      <c r="VBZ222" s="190"/>
      <c r="VCA222" s="190"/>
      <c r="VCB222" s="190"/>
      <c r="VCC222" s="190"/>
      <c r="VCD222" s="190"/>
      <c r="VCE222" s="190"/>
      <c r="VCF222" s="190"/>
      <c r="VCG222" s="190"/>
      <c r="VCH222" s="190"/>
      <c r="VCI222" s="190"/>
      <c r="VCJ222" s="190"/>
      <c r="VCK222" s="190"/>
      <c r="VCL222" s="190"/>
      <c r="VCM222" s="190"/>
      <c r="VCN222" s="190"/>
      <c r="VCO222" s="190"/>
      <c r="VCP222" s="190"/>
      <c r="VCQ222" s="190"/>
      <c r="VCR222" s="190"/>
      <c r="VCS222" s="190"/>
      <c r="VCT222" s="190"/>
      <c r="VCU222" s="190"/>
      <c r="VCV222" s="190"/>
      <c r="VCW222" s="190"/>
      <c r="VCX222" s="190"/>
      <c r="VCY222" s="190"/>
      <c r="VCZ222" s="190"/>
      <c r="VDA222" s="190"/>
      <c r="VDB222" s="190"/>
      <c r="VDC222" s="190"/>
      <c r="VDD222" s="190"/>
      <c r="VDE222" s="190"/>
      <c r="VDF222" s="190"/>
      <c r="VDG222" s="190"/>
      <c r="VDH222" s="190"/>
      <c r="VDI222" s="190"/>
      <c r="VDJ222" s="190"/>
      <c r="VDK222" s="190"/>
      <c r="VDL222" s="190"/>
      <c r="VDM222" s="190"/>
      <c r="VDN222" s="190"/>
      <c r="VDO222" s="190"/>
      <c r="VDP222" s="190"/>
      <c r="VDQ222" s="190"/>
      <c r="VDR222" s="190"/>
      <c r="VDS222" s="190"/>
      <c r="VDT222" s="190"/>
      <c r="VDU222" s="190"/>
      <c r="VDV222" s="190"/>
      <c r="VDW222" s="190"/>
      <c r="VDX222" s="190"/>
      <c r="VDY222" s="190"/>
      <c r="VDZ222" s="190"/>
      <c r="VEA222" s="190"/>
      <c r="VEB222" s="190"/>
      <c r="VEC222" s="190"/>
      <c r="VED222" s="190"/>
      <c r="VEE222" s="190"/>
      <c r="VEF222" s="190"/>
      <c r="VEG222" s="190"/>
      <c r="VEH222" s="190"/>
      <c r="VEI222" s="190"/>
      <c r="VEJ222" s="190"/>
      <c r="VEK222" s="190"/>
      <c r="VEL222" s="190"/>
      <c r="VEM222" s="190"/>
      <c r="VEN222" s="190"/>
      <c r="VEO222" s="190"/>
      <c r="VEP222" s="190"/>
      <c r="VEQ222" s="190"/>
      <c r="VER222" s="190"/>
      <c r="VES222" s="190"/>
      <c r="VET222" s="190"/>
      <c r="VEU222" s="190"/>
      <c r="VEV222" s="190"/>
      <c r="VEW222" s="190"/>
      <c r="VEX222" s="190"/>
      <c r="VEY222" s="190"/>
      <c r="VEZ222" s="190"/>
      <c r="VFA222" s="190"/>
      <c r="VFB222" s="190"/>
      <c r="VFC222" s="190"/>
      <c r="VFD222" s="190"/>
      <c r="VFE222" s="190"/>
      <c r="VFF222" s="190"/>
      <c r="VFG222" s="190"/>
      <c r="VFH222" s="190"/>
      <c r="VFI222" s="190"/>
      <c r="VFJ222" s="190"/>
      <c r="VFK222" s="190"/>
      <c r="VFL222" s="190"/>
      <c r="VFM222" s="190"/>
      <c r="VFN222" s="190"/>
      <c r="VFO222" s="190"/>
      <c r="VFP222" s="190"/>
      <c r="VFQ222" s="190"/>
      <c r="VFR222" s="190"/>
      <c r="VFS222" s="190"/>
      <c r="VFT222" s="190"/>
      <c r="VFU222" s="190"/>
      <c r="VFV222" s="190"/>
      <c r="VFW222" s="190"/>
      <c r="VFX222" s="190"/>
      <c r="VFY222" s="190"/>
      <c r="VFZ222" s="190"/>
      <c r="VGA222" s="190"/>
      <c r="VGB222" s="190"/>
      <c r="VGC222" s="190"/>
      <c r="VGD222" s="190"/>
      <c r="VGE222" s="190"/>
      <c r="VGF222" s="190"/>
      <c r="VGG222" s="190"/>
      <c r="VGH222" s="190"/>
      <c r="VGI222" s="190"/>
      <c r="VGJ222" s="190"/>
      <c r="VGK222" s="190"/>
      <c r="VGL222" s="190"/>
      <c r="VGM222" s="190"/>
      <c r="VGN222" s="190"/>
      <c r="VGO222" s="190"/>
      <c r="VGP222" s="190"/>
      <c r="VGQ222" s="190"/>
      <c r="VGR222" s="190"/>
      <c r="VGS222" s="190"/>
      <c r="VGT222" s="190"/>
      <c r="VGU222" s="190"/>
      <c r="VGV222" s="190"/>
      <c r="VGW222" s="190"/>
      <c r="VGX222" s="190"/>
      <c r="VGY222" s="190"/>
      <c r="VGZ222" s="190"/>
      <c r="VHA222" s="190"/>
      <c r="VHB222" s="190"/>
      <c r="VHC222" s="190"/>
      <c r="VHD222" s="190"/>
      <c r="VHE222" s="190"/>
      <c r="VHF222" s="190"/>
      <c r="VHG222" s="190"/>
      <c r="VHH222" s="190"/>
      <c r="VHI222" s="190"/>
      <c r="VHJ222" s="190"/>
      <c r="VHK222" s="190"/>
      <c r="VHL222" s="190"/>
      <c r="VHM222" s="190"/>
      <c r="VHN222" s="190"/>
      <c r="VHO222" s="190"/>
      <c r="VHP222" s="190"/>
      <c r="VHQ222" s="190"/>
      <c r="VHR222" s="190"/>
      <c r="VHS222" s="190"/>
      <c r="VHT222" s="190"/>
      <c r="VHU222" s="190"/>
      <c r="VHV222" s="190"/>
      <c r="VHW222" s="190"/>
      <c r="VHX222" s="190"/>
      <c r="VHY222" s="190"/>
      <c r="VHZ222" s="190"/>
      <c r="VIA222" s="190"/>
      <c r="VIB222" s="190"/>
      <c r="VIC222" s="190"/>
      <c r="VID222" s="190"/>
      <c r="VIE222" s="190"/>
      <c r="VIF222" s="190"/>
      <c r="VIG222" s="190"/>
      <c r="VIH222" s="190"/>
      <c r="VII222" s="190"/>
      <c r="VIJ222" s="190"/>
      <c r="VIK222" s="190"/>
      <c r="VIL222" s="190"/>
      <c r="VIM222" s="190"/>
      <c r="VIN222" s="190"/>
      <c r="VIO222" s="190"/>
      <c r="VIP222" s="190"/>
      <c r="VIQ222" s="190"/>
      <c r="VIR222" s="190"/>
      <c r="VIS222" s="190"/>
      <c r="VIT222" s="190"/>
      <c r="VIU222" s="190"/>
      <c r="VIV222" s="190"/>
      <c r="VIW222" s="190"/>
      <c r="VIX222" s="190"/>
      <c r="VIY222" s="190"/>
      <c r="VIZ222" s="190"/>
      <c r="VJA222" s="190"/>
      <c r="VJB222" s="190"/>
      <c r="VJC222" s="190"/>
      <c r="VJD222" s="190"/>
      <c r="VJE222" s="190"/>
      <c r="VJF222" s="190"/>
      <c r="VJG222" s="190"/>
      <c r="VJH222" s="190"/>
      <c r="VJI222" s="190"/>
      <c r="VJJ222" s="190"/>
      <c r="VJK222" s="190"/>
      <c r="VJL222" s="190"/>
      <c r="VJM222" s="190"/>
      <c r="VJN222" s="190"/>
      <c r="VJO222" s="190"/>
      <c r="VJP222" s="190"/>
      <c r="VJQ222" s="190"/>
      <c r="VJR222" s="190"/>
      <c r="VJS222" s="190"/>
      <c r="VJT222" s="190"/>
      <c r="VJU222" s="190"/>
      <c r="VJV222" s="190"/>
      <c r="VJW222" s="190"/>
      <c r="VJX222" s="190"/>
      <c r="VJY222" s="190"/>
      <c r="VJZ222" s="190"/>
      <c r="VKA222" s="190"/>
      <c r="VKB222" s="190"/>
      <c r="VKC222" s="190"/>
      <c r="VKD222" s="190"/>
      <c r="VKE222" s="190"/>
      <c r="VKF222" s="190"/>
      <c r="VKG222" s="190"/>
      <c r="VKH222" s="190"/>
      <c r="VKI222" s="190"/>
      <c r="VKJ222" s="190"/>
      <c r="VKK222" s="190"/>
      <c r="VKL222" s="190"/>
      <c r="VKM222" s="190"/>
      <c r="VKN222" s="190"/>
      <c r="VKO222" s="190"/>
      <c r="VKP222" s="190"/>
      <c r="VKQ222" s="190"/>
      <c r="VKR222" s="190"/>
      <c r="VKS222" s="190"/>
      <c r="VKT222" s="190"/>
      <c r="VKU222" s="190"/>
      <c r="VKV222" s="190"/>
      <c r="VKW222" s="190"/>
      <c r="VKX222" s="190"/>
      <c r="VKY222" s="190"/>
      <c r="VKZ222" s="190"/>
      <c r="VLA222" s="190"/>
      <c r="VLB222" s="190"/>
      <c r="VLC222" s="190"/>
      <c r="VLD222" s="190"/>
      <c r="VLE222" s="190"/>
      <c r="VLF222" s="190"/>
      <c r="VLG222" s="190"/>
      <c r="VLH222" s="190"/>
      <c r="VLI222" s="190"/>
      <c r="VLJ222" s="190"/>
      <c r="VLK222" s="190"/>
      <c r="VLL222" s="190"/>
      <c r="VLM222" s="190"/>
      <c r="VLN222" s="190"/>
      <c r="VLO222" s="190"/>
      <c r="VLP222" s="190"/>
      <c r="VLQ222" s="190"/>
      <c r="VLR222" s="190"/>
      <c r="VLS222" s="190"/>
      <c r="VLT222" s="190"/>
      <c r="VLU222" s="190"/>
      <c r="VLV222" s="190"/>
      <c r="VLW222" s="190"/>
      <c r="VLX222" s="190"/>
      <c r="VLY222" s="190"/>
      <c r="VLZ222" s="190"/>
      <c r="VMA222" s="190"/>
      <c r="VMB222" s="190"/>
      <c r="VMC222" s="190"/>
      <c r="VMD222" s="190"/>
      <c r="VME222" s="190"/>
      <c r="VMF222" s="190"/>
      <c r="VMG222" s="190"/>
      <c r="VMH222" s="190"/>
      <c r="VMI222" s="190"/>
      <c r="VMJ222" s="190"/>
      <c r="VMK222" s="190"/>
      <c r="VML222" s="190"/>
      <c r="VMM222" s="190"/>
      <c r="VMN222" s="190"/>
      <c r="VMO222" s="190"/>
      <c r="VMP222" s="190"/>
      <c r="VMQ222" s="190"/>
      <c r="VMR222" s="190"/>
      <c r="VMS222" s="190"/>
      <c r="VMT222" s="190"/>
      <c r="VMU222" s="190"/>
      <c r="VMV222" s="190"/>
      <c r="VMW222" s="190"/>
      <c r="VMX222" s="190"/>
      <c r="VMY222" s="190"/>
      <c r="VMZ222" s="190"/>
      <c r="VNA222" s="190"/>
      <c r="VNB222" s="190"/>
      <c r="VNC222" s="190"/>
      <c r="VND222" s="190"/>
      <c r="VNE222" s="190"/>
      <c r="VNF222" s="190"/>
      <c r="VNG222" s="190"/>
      <c r="VNH222" s="190"/>
      <c r="VNI222" s="190"/>
      <c r="VNJ222" s="190"/>
      <c r="VNK222" s="190"/>
      <c r="VNL222" s="190"/>
      <c r="VNM222" s="190"/>
      <c r="VNN222" s="190"/>
      <c r="VNO222" s="190"/>
      <c r="VNP222" s="190"/>
      <c r="VNQ222" s="190"/>
      <c r="VNR222" s="190"/>
      <c r="VNS222" s="190"/>
      <c r="VNT222" s="190"/>
      <c r="VNU222" s="190"/>
      <c r="VNV222" s="190"/>
      <c r="VNW222" s="190"/>
      <c r="VNX222" s="190"/>
      <c r="VNY222" s="190"/>
      <c r="VNZ222" s="190"/>
      <c r="VOA222" s="190"/>
      <c r="VOB222" s="190"/>
      <c r="VOC222" s="190"/>
      <c r="VOD222" s="190"/>
      <c r="VOE222" s="190"/>
      <c r="VOF222" s="190"/>
      <c r="VOG222" s="190"/>
      <c r="VOH222" s="190"/>
      <c r="VOI222" s="190"/>
      <c r="VOJ222" s="190"/>
      <c r="VOK222" s="190"/>
      <c r="VOL222" s="190"/>
      <c r="VOM222" s="190"/>
      <c r="VON222" s="190"/>
      <c r="VOO222" s="190"/>
      <c r="VOP222" s="190"/>
      <c r="VOQ222" s="190"/>
      <c r="VOR222" s="190"/>
      <c r="VOS222" s="190"/>
    </row>
    <row r="223" spans="2:107 14889:15281" s="14" customFormat="1" ht="15.75" thickBot="1" x14ac:dyDescent="0.3">
      <c r="B223" s="172"/>
      <c r="C223" s="173" t="s">
        <v>1</v>
      </c>
      <c r="D223" s="243">
        <v>1371.13</v>
      </c>
      <c r="E223" s="123" t="s">
        <v>22</v>
      </c>
      <c r="F223" s="174">
        <v>1014.4052</v>
      </c>
      <c r="G223" s="15">
        <v>1134.3705</v>
      </c>
      <c r="H223" s="15">
        <v>1128.4764</v>
      </c>
      <c r="I223" s="174">
        <v>1126.9557</v>
      </c>
      <c r="J223" s="174">
        <v>1177.5020999999999</v>
      </c>
      <c r="K223" s="174">
        <v>1086.1703</v>
      </c>
      <c r="L223" s="174">
        <v>1050.4173000000001</v>
      </c>
      <c r="M223" s="174">
        <v>1160.4259</v>
      </c>
      <c r="N223" s="174">
        <v>1175.5542</v>
      </c>
      <c r="O223" s="174">
        <v>1197.9109000000001</v>
      </c>
      <c r="P223" s="174">
        <v>1242.7397000000001</v>
      </c>
      <c r="Q223" s="174">
        <v>1218.6838</v>
      </c>
      <c r="R223" s="174">
        <v>1265.5372</v>
      </c>
      <c r="S223" s="174">
        <v>1278.1955</v>
      </c>
      <c r="T223" s="174">
        <v>1272.8139000000001</v>
      </c>
      <c r="U223" s="174">
        <v>1283.0727999999999</v>
      </c>
      <c r="V223" s="174">
        <v>1169.8207</v>
      </c>
      <c r="W223" s="174">
        <v>956.60389999999995</v>
      </c>
      <c r="X223" s="174">
        <v>1309.3035</v>
      </c>
      <c r="Y223" s="174">
        <v>1212.5304000000001</v>
      </c>
      <c r="Z223" s="174">
        <v>1032.9802</v>
      </c>
      <c r="AA223" s="174">
        <v>887.83569999999997</v>
      </c>
      <c r="AB223" s="174">
        <v>808.16499999999996</v>
      </c>
      <c r="AC223" s="174">
        <v>937.09339999999997</v>
      </c>
      <c r="AD223" s="174">
        <v>914.44690000000003</v>
      </c>
      <c r="AE223" s="174">
        <v>897.99507000000006</v>
      </c>
      <c r="AF223" s="174">
        <v>641.68269999999995</v>
      </c>
      <c r="AG223" s="174">
        <v>65.6126</v>
      </c>
      <c r="AH223" s="174">
        <v>0</v>
      </c>
      <c r="AI223" s="174">
        <v>35.6693</v>
      </c>
      <c r="AJ223" s="175">
        <v>1060.3261</v>
      </c>
      <c r="AL223" s="298">
        <v>30743.296870000002</v>
      </c>
      <c r="AN223" s="327"/>
      <c r="DC223" s="325"/>
    </row>
    <row r="224" spans="2:107 14889:15281" s="14" customFormat="1" x14ac:dyDescent="0.25">
      <c r="B224" s="49">
        <v>9</v>
      </c>
      <c r="C224" s="176" t="s">
        <v>21</v>
      </c>
      <c r="D224" s="177"/>
      <c r="E224" s="177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9"/>
      <c r="AH224" s="179"/>
      <c r="AI224" s="179"/>
      <c r="AJ224" s="180"/>
      <c r="AL224" s="244" t="s">
        <v>20</v>
      </c>
      <c r="DC224" s="325"/>
    </row>
    <row r="225" spans="2:107 14889:15281" s="14" customFormat="1" x14ac:dyDescent="0.25">
      <c r="B225" s="49"/>
      <c r="C225" s="72" t="s">
        <v>4</v>
      </c>
      <c r="D225" s="66">
        <v>408000</v>
      </c>
      <c r="E225" s="7" t="s">
        <v>16</v>
      </c>
      <c r="F225" s="33">
        <v>221657</v>
      </c>
      <c r="G225" s="33">
        <v>244726</v>
      </c>
      <c r="H225" s="33">
        <v>251883</v>
      </c>
      <c r="I225" s="33">
        <v>252418</v>
      </c>
      <c r="J225" s="33">
        <v>271133</v>
      </c>
      <c r="K225" s="33">
        <v>248449</v>
      </c>
      <c r="L225" s="33">
        <v>220943</v>
      </c>
      <c r="M225" s="33">
        <v>261831</v>
      </c>
      <c r="N225" s="33">
        <v>251018</v>
      </c>
      <c r="O225" s="33">
        <v>276855</v>
      </c>
      <c r="P225" s="33">
        <v>285769</v>
      </c>
      <c r="Q225" s="33">
        <v>305320</v>
      </c>
      <c r="R225" s="33">
        <v>359265</v>
      </c>
      <c r="S225" s="33">
        <v>258573</v>
      </c>
      <c r="T225" s="33">
        <v>299095</v>
      </c>
      <c r="U225" s="33">
        <v>302829</v>
      </c>
      <c r="V225" s="33">
        <v>259232</v>
      </c>
      <c r="W225" s="33">
        <v>238554</v>
      </c>
      <c r="X225" s="33">
        <v>298648</v>
      </c>
      <c r="Y225" s="33">
        <v>289025</v>
      </c>
      <c r="Z225" s="33">
        <v>255416</v>
      </c>
      <c r="AA225" s="33">
        <v>152631</v>
      </c>
      <c r="AB225" s="33">
        <v>125085</v>
      </c>
      <c r="AC225" s="33">
        <v>181235</v>
      </c>
      <c r="AD225" s="33">
        <v>190948</v>
      </c>
      <c r="AE225" s="33">
        <v>157054</v>
      </c>
      <c r="AF225" s="33">
        <v>77426</v>
      </c>
      <c r="AG225" s="133">
        <v>2E-3</v>
      </c>
      <c r="AH225" s="133">
        <v>0</v>
      </c>
      <c r="AI225" s="133">
        <v>11900</v>
      </c>
      <c r="AJ225" s="134">
        <v>207000</v>
      </c>
      <c r="AL225" s="181">
        <v>6755918.0020000003</v>
      </c>
      <c r="DC225" s="325"/>
    </row>
    <row r="226" spans="2:107 14889:15281" s="14" customFormat="1" x14ac:dyDescent="0.25">
      <c r="B226" s="49"/>
      <c r="C226" s="138" t="s">
        <v>19</v>
      </c>
      <c r="D226" s="137"/>
      <c r="E226" s="5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133"/>
      <c r="AH226" s="133"/>
      <c r="AI226" s="133"/>
      <c r="AJ226" s="134"/>
      <c r="AL226" s="299" t="s">
        <v>19</v>
      </c>
      <c r="DC226" s="325"/>
    </row>
    <row r="227" spans="2:107 14889:15281" s="3" customFormat="1" x14ac:dyDescent="0.25">
      <c r="B227" s="81"/>
      <c r="C227" s="72" t="s">
        <v>18</v>
      </c>
      <c r="D227" s="66">
        <v>180000</v>
      </c>
      <c r="E227" s="7" t="s">
        <v>16</v>
      </c>
      <c r="F227" s="1">
        <v>157400</v>
      </c>
      <c r="G227" s="1">
        <v>174500</v>
      </c>
      <c r="H227" s="1">
        <v>164200</v>
      </c>
      <c r="I227" s="1">
        <v>158600</v>
      </c>
      <c r="J227" s="1">
        <v>175000</v>
      </c>
      <c r="K227" s="1">
        <v>205200</v>
      </c>
      <c r="L227" s="1">
        <v>146600</v>
      </c>
      <c r="M227" s="1">
        <v>170500</v>
      </c>
      <c r="N227" s="1">
        <v>173200</v>
      </c>
      <c r="O227" s="1">
        <v>167800</v>
      </c>
      <c r="P227" s="1">
        <v>163500</v>
      </c>
      <c r="Q227" s="1">
        <v>152700</v>
      </c>
      <c r="R227" s="1">
        <v>175000</v>
      </c>
      <c r="S227" s="1">
        <v>171100</v>
      </c>
      <c r="T227" s="1">
        <v>169900</v>
      </c>
      <c r="U227" s="1">
        <v>177300</v>
      </c>
      <c r="V227" s="1">
        <v>170500</v>
      </c>
      <c r="W227" s="1">
        <v>143000</v>
      </c>
      <c r="X227" s="1">
        <v>173000</v>
      </c>
      <c r="Y227" s="1">
        <v>166000</v>
      </c>
      <c r="Z227" s="1">
        <v>131200</v>
      </c>
      <c r="AA227" s="1">
        <v>154300</v>
      </c>
      <c r="AB227" s="1">
        <v>113800</v>
      </c>
      <c r="AC227" s="1">
        <v>163400</v>
      </c>
      <c r="AD227" s="1">
        <v>126500</v>
      </c>
      <c r="AE227" s="1">
        <v>130500</v>
      </c>
      <c r="AF227" s="1"/>
      <c r="AG227" s="62"/>
      <c r="AH227" s="62"/>
      <c r="AI227" s="62"/>
      <c r="AJ227" s="63">
        <v>147000</v>
      </c>
      <c r="AL227" s="64">
        <v>4321700</v>
      </c>
      <c r="DC227" s="16"/>
      <c r="UZQ227" s="190"/>
      <c r="UZR227" s="190"/>
      <c r="UZS227" s="190"/>
      <c r="UZT227" s="190"/>
      <c r="UZU227" s="190"/>
      <c r="UZV227" s="190"/>
      <c r="UZW227" s="190"/>
      <c r="UZX227" s="190"/>
      <c r="UZY227" s="190"/>
      <c r="UZZ227" s="190"/>
      <c r="VAA227" s="190"/>
      <c r="VAB227" s="190"/>
      <c r="VAC227" s="190"/>
      <c r="VAD227" s="190"/>
      <c r="VAE227" s="190"/>
      <c r="VAF227" s="190"/>
      <c r="VAG227" s="190"/>
      <c r="VAH227" s="190"/>
      <c r="VAI227" s="190"/>
      <c r="VAJ227" s="190"/>
      <c r="VAK227" s="190"/>
      <c r="VAL227" s="190"/>
      <c r="VAM227" s="190"/>
      <c r="VAN227" s="190"/>
      <c r="VAO227" s="190"/>
      <c r="VAP227" s="190"/>
      <c r="VAQ227" s="190"/>
      <c r="VAR227" s="190"/>
      <c r="VAS227" s="190"/>
      <c r="VAT227" s="190"/>
      <c r="VAU227" s="190"/>
      <c r="VAV227" s="190"/>
      <c r="VAW227" s="190"/>
      <c r="VAX227" s="190"/>
      <c r="VAY227" s="190"/>
      <c r="VAZ227" s="190"/>
      <c r="VBA227" s="190"/>
      <c r="VBB227" s="190"/>
      <c r="VBC227" s="190"/>
      <c r="VBD227" s="190"/>
      <c r="VBE227" s="190"/>
      <c r="VBF227" s="190"/>
      <c r="VBG227" s="190"/>
      <c r="VBH227" s="190"/>
      <c r="VBI227" s="190"/>
      <c r="VBJ227" s="190"/>
      <c r="VBK227" s="190"/>
      <c r="VBL227" s="190"/>
      <c r="VBM227" s="190"/>
      <c r="VBN227" s="190"/>
      <c r="VBO227" s="190"/>
      <c r="VBP227" s="190"/>
      <c r="VBQ227" s="190"/>
      <c r="VBR227" s="190"/>
      <c r="VBS227" s="190"/>
      <c r="VBT227" s="190"/>
      <c r="VBU227" s="190"/>
      <c r="VBV227" s="190"/>
      <c r="VBW227" s="190"/>
      <c r="VBX227" s="190"/>
      <c r="VBY227" s="190"/>
      <c r="VBZ227" s="190"/>
      <c r="VCA227" s="190"/>
      <c r="VCB227" s="190"/>
      <c r="VCC227" s="190"/>
      <c r="VCD227" s="190"/>
      <c r="VCE227" s="190"/>
      <c r="VCF227" s="190"/>
      <c r="VCG227" s="190"/>
      <c r="VCH227" s="190"/>
      <c r="VCI227" s="190"/>
      <c r="VCJ227" s="190"/>
      <c r="VCK227" s="190"/>
      <c r="VCL227" s="190"/>
      <c r="VCM227" s="190"/>
      <c r="VCN227" s="190"/>
      <c r="VCO227" s="190"/>
      <c r="VCP227" s="190"/>
      <c r="VCQ227" s="190"/>
      <c r="VCR227" s="190"/>
      <c r="VCS227" s="190"/>
      <c r="VCT227" s="190"/>
      <c r="VCU227" s="190"/>
      <c r="VCV227" s="190"/>
      <c r="VCW227" s="190"/>
      <c r="VCX227" s="190"/>
      <c r="VCY227" s="190"/>
      <c r="VCZ227" s="190"/>
      <c r="VDA227" s="190"/>
      <c r="VDB227" s="190"/>
      <c r="VDC227" s="190"/>
      <c r="VDD227" s="190"/>
      <c r="VDE227" s="190"/>
      <c r="VDF227" s="190"/>
      <c r="VDG227" s="190"/>
      <c r="VDH227" s="190"/>
      <c r="VDI227" s="190"/>
      <c r="VDJ227" s="190"/>
      <c r="VDK227" s="190"/>
      <c r="VDL227" s="190"/>
      <c r="VDM227" s="190"/>
      <c r="VDN227" s="190"/>
      <c r="VDO227" s="190"/>
      <c r="VDP227" s="190"/>
      <c r="VDQ227" s="190"/>
      <c r="VDR227" s="190"/>
      <c r="VDS227" s="190"/>
      <c r="VDT227" s="190"/>
      <c r="VDU227" s="190"/>
      <c r="VDV227" s="190"/>
      <c r="VDW227" s="190"/>
      <c r="VDX227" s="190"/>
      <c r="VDY227" s="190"/>
      <c r="VDZ227" s="190"/>
      <c r="VEA227" s="190"/>
      <c r="VEB227" s="190"/>
      <c r="VEC227" s="190"/>
      <c r="VED227" s="190"/>
      <c r="VEE227" s="190"/>
      <c r="VEF227" s="190"/>
      <c r="VEG227" s="190"/>
      <c r="VEH227" s="190"/>
      <c r="VEI227" s="190"/>
      <c r="VEJ227" s="190"/>
      <c r="VEK227" s="190"/>
      <c r="VEL227" s="190"/>
      <c r="VEM227" s="190"/>
      <c r="VEN227" s="190"/>
      <c r="VEO227" s="190"/>
      <c r="VEP227" s="190"/>
      <c r="VEQ227" s="190"/>
      <c r="VER227" s="190"/>
      <c r="VES227" s="190"/>
      <c r="VET227" s="190"/>
      <c r="VEU227" s="190"/>
      <c r="VEV227" s="190"/>
      <c r="VEW227" s="190"/>
      <c r="VEX227" s="190"/>
      <c r="VEY227" s="190"/>
      <c r="VEZ227" s="190"/>
      <c r="VFA227" s="190"/>
      <c r="VFB227" s="190"/>
      <c r="VFC227" s="190"/>
      <c r="VFD227" s="190"/>
      <c r="VFE227" s="190"/>
      <c r="VFF227" s="190"/>
      <c r="VFG227" s="190"/>
      <c r="VFH227" s="190"/>
      <c r="VFI227" s="190"/>
      <c r="VFJ227" s="190"/>
      <c r="VFK227" s="190"/>
      <c r="VFL227" s="190"/>
      <c r="VFM227" s="190"/>
      <c r="VFN227" s="190"/>
      <c r="VFO227" s="190"/>
      <c r="VFP227" s="190"/>
      <c r="VFQ227" s="190"/>
      <c r="VFR227" s="190"/>
      <c r="VFS227" s="190"/>
      <c r="VFT227" s="190"/>
      <c r="VFU227" s="190"/>
      <c r="VFV227" s="190"/>
      <c r="VFW227" s="190"/>
      <c r="VFX227" s="190"/>
      <c r="VFY227" s="190"/>
      <c r="VFZ227" s="190"/>
      <c r="VGA227" s="190"/>
      <c r="VGB227" s="190"/>
      <c r="VGC227" s="190"/>
      <c r="VGD227" s="190"/>
      <c r="VGE227" s="190"/>
      <c r="VGF227" s="190"/>
      <c r="VGG227" s="190"/>
      <c r="VGH227" s="190"/>
      <c r="VGI227" s="190"/>
      <c r="VGJ227" s="190"/>
      <c r="VGK227" s="190"/>
      <c r="VGL227" s="190"/>
      <c r="VGM227" s="190"/>
      <c r="VGN227" s="190"/>
      <c r="VGO227" s="190"/>
      <c r="VGP227" s="190"/>
      <c r="VGQ227" s="190"/>
      <c r="VGR227" s="190"/>
      <c r="VGS227" s="190"/>
      <c r="VGT227" s="190"/>
      <c r="VGU227" s="190"/>
      <c r="VGV227" s="190"/>
      <c r="VGW227" s="190"/>
      <c r="VGX227" s="190"/>
      <c r="VGY227" s="190"/>
      <c r="VGZ227" s="190"/>
      <c r="VHA227" s="190"/>
      <c r="VHB227" s="190"/>
      <c r="VHC227" s="190"/>
      <c r="VHD227" s="190"/>
      <c r="VHE227" s="190"/>
      <c r="VHF227" s="190"/>
      <c r="VHG227" s="190"/>
      <c r="VHH227" s="190"/>
      <c r="VHI227" s="190"/>
      <c r="VHJ227" s="190"/>
      <c r="VHK227" s="190"/>
      <c r="VHL227" s="190"/>
      <c r="VHM227" s="190"/>
      <c r="VHN227" s="190"/>
      <c r="VHO227" s="190"/>
      <c r="VHP227" s="190"/>
      <c r="VHQ227" s="190"/>
      <c r="VHR227" s="190"/>
      <c r="VHS227" s="190"/>
      <c r="VHT227" s="190"/>
      <c r="VHU227" s="190"/>
      <c r="VHV227" s="190"/>
      <c r="VHW227" s="190"/>
      <c r="VHX227" s="190"/>
      <c r="VHY227" s="190"/>
      <c r="VHZ227" s="190"/>
      <c r="VIA227" s="190"/>
      <c r="VIB227" s="190"/>
      <c r="VIC227" s="190"/>
      <c r="VID227" s="190"/>
      <c r="VIE227" s="190"/>
      <c r="VIF227" s="190"/>
      <c r="VIG227" s="190"/>
      <c r="VIH227" s="190"/>
      <c r="VII227" s="190"/>
      <c r="VIJ227" s="190"/>
      <c r="VIK227" s="190"/>
      <c r="VIL227" s="190"/>
      <c r="VIM227" s="190"/>
      <c r="VIN227" s="190"/>
      <c r="VIO227" s="190"/>
      <c r="VIP227" s="190"/>
      <c r="VIQ227" s="190"/>
      <c r="VIR227" s="190"/>
      <c r="VIS227" s="190"/>
      <c r="VIT227" s="190"/>
      <c r="VIU227" s="190"/>
      <c r="VIV227" s="190"/>
      <c r="VIW227" s="190"/>
      <c r="VIX227" s="190"/>
      <c r="VIY227" s="190"/>
      <c r="VIZ227" s="190"/>
      <c r="VJA227" s="190"/>
      <c r="VJB227" s="190"/>
      <c r="VJC227" s="190"/>
      <c r="VJD227" s="190"/>
      <c r="VJE227" s="190"/>
      <c r="VJF227" s="190"/>
      <c r="VJG227" s="190"/>
      <c r="VJH227" s="190"/>
      <c r="VJI227" s="190"/>
      <c r="VJJ227" s="190"/>
      <c r="VJK227" s="190"/>
      <c r="VJL227" s="190"/>
      <c r="VJM227" s="190"/>
      <c r="VJN227" s="190"/>
      <c r="VJO227" s="190"/>
      <c r="VJP227" s="190"/>
      <c r="VJQ227" s="190"/>
      <c r="VJR227" s="190"/>
      <c r="VJS227" s="190"/>
      <c r="VJT227" s="190"/>
      <c r="VJU227" s="190"/>
      <c r="VJV227" s="190"/>
      <c r="VJW227" s="190"/>
      <c r="VJX227" s="190"/>
      <c r="VJY227" s="190"/>
      <c r="VJZ227" s="190"/>
      <c r="VKA227" s="190"/>
      <c r="VKB227" s="190"/>
      <c r="VKC227" s="190"/>
      <c r="VKD227" s="190"/>
      <c r="VKE227" s="190"/>
      <c r="VKF227" s="190"/>
      <c r="VKG227" s="190"/>
      <c r="VKH227" s="190"/>
      <c r="VKI227" s="190"/>
      <c r="VKJ227" s="190"/>
      <c r="VKK227" s="190"/>
      <c r="VKL227" s="190"/>
      <c r="VKM227" s="190"/>
      <c r="VKN227" s="190"/>
      <c r="VKO227" s="190"/>
      <c r="VKP227" s="190"/>
      <c r="VKQ227" s="190"/>
      <c r="VKR227" s="190"/>
      <c r="VKS227" s="190"/>
      <c r="VKT227" s="190"/>
      <c r="VKU227" s="190"/>
      <c r="VKV227" s="190"/>
      <c r="VKW227" s="190"/>
      <c r="VKX227" s="190"/>
      <c r="VKY227" s="190"/>
      <c r="VKZ227" s="190"/>
      <c r="VLA227" s="190"/>
      <c r="VLB227" s="190"/>
      <c r="VLC227" s="190"/>
      <c r="VLD227" s="190"/>
      <c r="VLE227" s="190"/>
      <c r="VLF227" s="190"/>
      <c r="VLG227" s="190"/>
      <c r="VLH227" s="190"/>
      <c r="VLI227" s="190"/>
      <c r="VLJ227" s="190"/>
      <c r="VLK227" s="190"/>
      <c r="VLL227" s="190"/>
      <c r="VLM227" s="190"/>
      <c r="VLN227" s="190"/>
      <c r="VLO227" s="190"/>
      <c r="VLP227" s="190"/>
      <c r="VLQ227" s="190"/>
      <c r="VLR227" s="190"/>
      <c r="VLS227" s="190"/>
      <c r="VLT227" s="190"/>
      <c r="VLU227" s="190"/>
      <c r="VLV227" s="190"/>
      <c r="VLW227" s="190"/>
      <c r="VLX227" s="190"/>
      <c r="VLY227" s="190"/>
      <c r="VLZ227" s="190"/>
      <c r="VMA227" s="190"/>
      <c r="VMB227" s="190"/>
      <c r="VMC227" s="190"/>
      <c r="VMD227" s="190"/>
      <c r="VME227" s="190"/>
      <c r="VMF227" s="190"/>
      <c r="VMG227" s="190"/>
      <c r="VMH227" s="190"/>
      <c r="VMI227" s="190"/>
      <c r="VMJ227" s="190"/>
      <c r="VMK227" s="190"/>
      <c r="VML227" s="190"/>
      <c r="VMM227" s="190"/>
      <c r="VMN227" s="190"/>
      <c r="VMO227" s="190"/>
      <c r="VMP227" s="190"/>
      <c r="VMQ227" s="190"/>
      <c r="VMR227" s="190"/>
      <c r="VMS227" s="190"/>
      <c r="VMT227" s="190"/>
      <c r="VMU227" s="190"/>
      <c r="VMV227" s="190"/>
      <c r="VMW227" s="190"/>
      <c r="VMX227" s="190"/>
      <c r="VMY227" s="190"/>
      <c r="VMZ227" s="190"/>
      <c r="VNA227" s="190"/>
      <c r="VNB227" s="190"/>
      <c r="VNC227" s="190"/>
      <c r="VND227" s="190"/>
      <c r="VNE227" s="190"/>
      <c r="VNF227" s="190"/>
      <c r="VNG227" s="190"/>
      <c r="VNH227" s="190"/>
      <c r="VNI227" s="190"/>
      <c r="VNJ227" s="190"/>
      <c r="VNK227" s="190"/>
      <c r="VNL227" s="190"/>
      <c r="VNM227" s="190"/>
      <c r="VNN227" s="190"/>
      <c r="VNO227" s="190"/>
      <c r="VNP227" s="190"/>
      <c r="VNQ227" s="190"/>
      <c r="VNR227" s="190"/>
      <c r="VNS227" s="190"/>
      <c r="VNT227" s="190"/>
      <c r="VNU227" s="190"/>
      <c r="VNV227" s="190"/>
      <c r="VNW227" s="190"/>
      <c r="VNX227" s="190"/>
      <c r="VNY227" s="190"/>
      <c r="VNZ227" s="190"/>
      <c r="VOA227" s="190"/>
      <c r="VOB227" s="190"/>
      <c r="VOC227" s="190"/>
      <c r="VOD227" s="190"/>
      <c r="VOE227" s="190"/>
      <c r="VOF227" s="190"/>
      <c r="VOG227" s="190"/>
      <c r="VOH227" s="190"/>
      <c r="VOI227" s="190"/>
      <c r="VOJ227" s="190"/>
      <c r="VOK227" s="190"/>
      <c r="VOL227" s="190"/>
      <c r="VOM227" s="190"/>
      <c r="VON227" s="190"/>
      <c r="VOO227" s="190"/>
      <c r="VOP227" s="190"/>
      <c r="VOQ227" s="190"/>
      <c r="VOR227" s="190"/>
      <c r="VOS227" s="190"/>
    </row>
    <row r="228" spans="2:107 14889:15281" s="3" customFormat="1" x14ac:dyDescent="0.25">
      <c r="B228" s="81"/>
      <c r="C228" s="72" t="s">
        <v>17</v>
      </c>
      <c r="D228" s="66">
        <v>122000</v>
      </c>
      <c r="E228" s="7" t="s">
        <v>16</v>
      </c>
      <c r="F228" s="1">
        <v>57600</v>
      </c>
      <c r="G228" s="1">
        <v>66900</v>
      </c>
      <c r="H228" s="1">
        <v>78000</v>
      </c>
      <c r="I228" s="1">
        <v>73900</v>
      </c>
      <c r="J228" s="1">
        <v>89700</v>
      </c>
      <c r="K228" s="1">
        <v>84600</v>
      </c>
      <c r="L228" s="1">
        <v>65600</v>
      </c>
      <c r="M228" s="1">
        <v>78100</v>
      </c>
      <c r="N228" s="1">
        <v>75500</v>
      </c>
      <c r="O228" s="1">
        <v>75600</v>
      </c>
      <c r="P228" s="1">
        <v>75400</v>
      </c>
      <c r="Q228" s="1">
        <v>94800</v>
      </c>
      <c r="R228" s="1">
        <v>102700</v>
      </c>
      <c r="S228" s="1">
        <v>103800</v>
      </c>
      <c r="T228" s="1">
        <v>79800</v>
      </c>
      <c r="U228" s="1">
        <v>93800</v>
      </c>
      <c r="V228" s="1">
        <v>65500</v>
      </c>
      <c r="W228" s="1">
        <v>83000</v>
      </c>
      <c r="X228" s="1">
        <v>106600</v>
      </c>
      <c r="Y228" s="1">
        <v>75800</v>
      </c>
      <c r="Z228" s="1">
        <v>41800</v>
      </c>
      <c r="AA228" s="1"/>
      <c r="AB228" s="1">
        <v>500</v>
      </c>
      <c r="AC228" s="1">
        <v>26300</v>
      </c>
      <c r="AD228" s="1">
        <v>55800</v>
      </c>
      <c r="AE228" s="1">
        <v>270</v>
      </c>
      <c r="AF228" s="1"/>
      <c r="AG228" s="62"/>
      <c r="AH228" s="62"/>
      <c r="AI228" s="62"/>
      <c r="AJ228" s="326"/>
      <c r="AL228" s="64">
        <v>1751370</v>
      </c>
      <c r="DC228" s="16"/>
      <c r="UZQ228" s="190"/>
      <c r="UZR228" s="190"/>
      <c r="UZS228" s="190"/>
      <c r="UZT228" s="190"/>
      <c r="UZU228" s="190"/>
      <c r="UZV228" s="190"/>
      <c r="UZW228" s="190"/>
      <c r="UZX228" s="190"/>
      <c r="UZY228" s="190"/>
      <c r="UZZ228" s="190"/>
      <c r="VAA228" s="190"/>
      <c r="VAB228" s="190"/>
      <c r="VAC228" s="190"/>
      <c r="VAD228" s="190"/>
      <c r="VAE228" s="190"/>
      <c r="VAF228" s="190"/>
      <c r="VAG228" s="190"/>
      <c r="VAH228" s="190"/>
      <c r="VAI228" s="190"/>
      <c r="VAJ228" s="190"/>
      <c r="VAK228" s="190"/>
      <c r="VAL228" s="190"/>
      <c r="VAM228" s="190"/>
      <c r="VAN228" s="190"/>
      <c r="VAO228" s="190"/>
      <c r="VAP228" s="190"/>
      <c r="VAQ228" s="190"/>
      <c r="VAR228" s="190"/>
      <c r="VAS228" s="190"/>
      <c r="VAT228" s="190"/>
      <c r="VAU228" s="190"/>
      <c r="VAV228" s="190"/>
      <c r="VAW228" s="190"/>
      <c r="VAX228" s="190"/>
      <c r="VAY228" s="190"/>
      <c r="VAZ228" s="190"/>
      <c r="VBA228" s="190"/>
      <c r="VBB228" s="190"/>
      <c r="VBC228" s="190"/>
      <c r="VBD228" s="190"/>
      <c r="VBE228" s="190"/>
      <c r="VBF228" s="190"/>
      <c r="VBG228" s="190"/>
      <c r="VBH228" s="190"/>
      <c r="VBI228" s="190"/>
      <c r="VBJ228" s="190"/>
      <c r="VBK228" s="190"/>
      <c r="VBL228" s="190"/>
      <c r="VBM228" s="190"/>
      <c r="VBN228" s="190"/>
      <c r="VBO228" s="190"/>
      <c r="VBP228" s="190"/>
      <c r="VBQ228" s="190"/>
      <c r="VBR228" s="190"/>
      <c r="VBS228" s="190"/>
      <c r="VBT228" s="190"/>
      <c r="VBU228" s="190"/>
      <c r="VBV228" s="190"/>
      <c r="VBW228" s="190"/>
      <c r="VBX228" s="190"/>
      <c r="VBY228" s="190"/>
      <c r="VBZ228" s="190"/>
      <c r="VCA228" s="190"/>
      <c r="VCB228" s="190"/>
      <c r="VCC228" s="190"/>
      <c r="VCD228" s="190"/>
      <c r="VCE228" s="190"/>
      <c r="VCF228" s="190"/>
      <c r="VCG228" s="190"/>
      <c r="VCH228" s="190"/>
      <c r="VCI228" s="190"/>
      <c r="VCJ228" s="190"/>
      <c r="VCK228" s="190"/>
      <c r="VCL228" s="190"/>
      <c r="VCM228" s="190"/>
      <c r="VCN228" s="190"/>
      <c r="VCO228" s="190"/>
      <c r="VCP228" s="190"/>
      <c r="VCQ228" s="190"/>
      <c r="VCR228" s="190"/>
      <c r="VCS228" s="190"/>
      <c r="VCT228" s="190"/>
      <c r="VCU228" s="190"/>
      <c r="VCV228" s="190"/>
      <c r="VCW228" s="190"/>
      <c r="VCX228" s="190"/>
      <c r="VCY228" s="190"/>
      <c r="VCZ228" s="190"/>
      <c r="VDA228" s="190"/>
      <c r="VDB228" s="190"/>
      <c r="VDC228" s="190"/>
      <c r="VDD228" s="190"/>
      <c r="VDE228" s="190"/>
      <c r="VDF228" s="190"/>
      <c r="VDG228" s="190"/>
      <c r="VDH228" s="190"/>
      <c r="VDI228" s="190"/>
      <c r="VDJ228" s="190"/>
      <c r="VDK228" s="190"/>
      <c r="VDL228" s="190"/>
      <c r="VDM228" s="190"/>
      <c r="VDN228" s="190"/>
      <c r="VDO228" s="190"/>
      <c r="VDP228" s="190"/>
      <c r="VDQ228" s="190"/>
      <c r="VDR228" s="190"/>
      <c r="VDS228" s="190"/>
      <c r="VDT228" s="190"/>
      <c r="VDU228" s="190"/>
      <c r="VDV228" s="190"/>
      <c r="VDW228" s="190"/>
      <c r="VDX228" s="190"/>
      <c r="VDY228" s="190"/>
      <c r="VDZ228" s="190"/>
      <c r="VEA228" s="190"/>
      <c r="VEB228" s="190"/>
      <c r="VEC228" s="190"/>
      <c r="VED228" s="190"/>
      <c r="VEE228" s="190"/>
      <c r="VEF228" s="190"/>
      <c r="VEG228" s="190"/>
      <c r="VEH228" s="190"/>
      <c r="VEI228" s="190"/>
      <c r="VEJ228" s="190"/>
      <c r="VEK228" s="190"/>
      <c r="VEL228" s="190"/>
      <c r="VEM228" s="190"/>
      <c r="VEN228" s="190"/>
      <c r="VEO228" s="190"/>
      <c r="VEP228" s="190"/>
      <c r="VEQ228" s="190"/>
      <c r="VER228" s="190"/>
      <c r="VES228" s="190"/>
      <c r="VET228" s="190"/>
      <c r="VEU228" s="190"/>
      <c r="VEV228" s="190"/>
      <c r="VEW228" s="190"/>
      <c r="VEX228" s="190"/>
      <c r="VEY228" s="190"/>
      <c r="VEZ228" s="190"/>
      <c r="VFA228" s="190"/>
      <c r="VFB228" s="190"/>
      <c r="VFC228" s="190"/>
      <c r="VFD228" s="190"/>
      <c r="VFE228" s="190"/>
      <c r="VFF228" s="190"/>
      <c r="VFG228" s="190"/>
      <c r="VFH228" s="190"/>
      <c r="VFI228" s="190"/>
      <c r="VFJ228" s="190"/>
      <c r="VFK228" s="190"/>
      <c r="VFL228" s="190"/>
      <c r="VFM228" s="190"/>
      <c r="VFN228" s="190"/>
      <c r="VFO228" s="190"/>
      <c r="VFP228" s="190"/>
      <c r="VFQ228" s="190"/>
      <c r="VFR228" s="190"/>
      <c r="VFS228" s="190"/>
      <c r="VFT228" s="190"/>
      <c r="VFU228" s="190"/>
      <c r="VFV228" s="190"/>
      <c r="VFW228" s="190"/>
      <c r="VFX228" s="190"/>
      <c r="VFY228" s="190"/>
      <c r="VFZ228" s="190"/>
      <c r="VGA228" s="190"/>
      <c r="VGB228" s="190"/>
      <c r="VGC228" s="190"/>
      <c r="VGD228" s="190"/>
      <c r="VGE228" s="190"/>
      <c r="VGF228" s="190"/>
      <c r="VGG228" s="190"/>
      <c r="VGH228" s="190"/>
      <c r="VGI228" s="190"/>
      <c r="VGJ228" s="190"/>
      <c r="VGK228" s="190"/>
      <c r="VGL228" s="190"/>
      <c r="VGM228" s="190"/>
      <c r="VGN228" s="190"/>
      <c r="VGO228" s="190"/>
      <c r="VGP228" s="190"/>
      <c r="VGQ228" s="190"/>
      <c r="VGR228" s="190"/>
      <c r="VGS228" s="190"/>
      <c r="VGT228" s="190"/>
      <c r="VGU228" s="190"/>
      <c r="VGV228" s="190"/>
      <c r="VGW228" s="190"/>
      <c r="VGX228" s="190"/>
      <c r="VGY228" s="190"/>
      <c r="VGZ228" s="190"/>
      <c r="VHA228" s="190"/>
      <c r="VHB228" s="190"/>
      <c r="VHC228" s="190"/>
      <c r="VHD228" s="190"/>
      <c r="VHE228" s="190"/>
      <c r="VHF228" s="190"/>
      <c r="VHG228" s="190"/>
      <c r="VHH228" s="190"/>
      <c r="VHI228" s="190"/>
      <c r="VHJ228" s="190"/>
      <c r="VHK228" s="190"/>
      <c r="VHL228" s="190"/>
      <c r="VHM228" s="190"/>
      <c r="VHN228" s="190"/>
      <c r="VHO228" s="190"/>
      <c r="VHP228" s="190"/>
      <c r="VHQ228" s="190"/>
      <c r="VHR228" s="190"/>
      <c r="VHS228" s="190"/>
      <c r="VHT228" s="190"/>
      <c r="VHU228" s="190"/>
      <c r="VHV228" s="190"/>
      <c r="VHW228" s="190"/>
      <c r="VHX228" s="190"/>
      <c r="VHY228" s="190"/>
      <c r="VHZ228" s="190"/>
      <c r="VIA228" s="190"/>
      <c r="VIB228" s="190"/>
      <c r="VIC228" s="190"/>
      <c r="VID228" s="190"/>
      <c r="VIE228" s="190"/>
      <c r="VIF228" s="190"/>
      <c r="VIG228" s="190"/>
      <c r="VIH228" s="190"/>
      <c r="VII228" s="190"/>
      <c r="VIJ228" s="190"/>
      <c r="VIK228" s="190"/>
      <c r="VIL228" s="190"/>
      <c r="VIM228" s="190"/>
      <c r="VIN228" s="190"/>
      <c r="VIO228" s="190"/>
      <c r="VIP228" s="190"/>
      <c r="VIQ228" s="190"/>
      <c r="VIR228" s="190"/>
      <c r="VIS228" s="190"/>
      <c r="VIT228" s="190"/>
      <c r="VIU228" s="190"/>
      <c r="VIV228" s="190"/>
      <c r="VIW228" s="190"/>
      <c r="VIX228" s="190"/>
      <c r="VIY228" s="190"/>
      <c r="VIZ228" s="190"/>
      <c r="VJA228" s="190"/>
      <c r="VJB228" s="190"/>
      <c r="VJC228" s="190"/>
      <c r="VJD228" s="190"/>
      <c r="VJE228" s="190"/>
      <c r="VJF228" s="190"/>
      <c r="VJG228" s="190"/>
      <c r="VJH228" s="190"/>
      <c r="VJI228" s="190"/>
      <c r="VJJ228" s="190"/>
      <c r="VJK228" s="190"/>
      <c r="VJL228" s="190"/>
      <c r="VJM228" s="190"/>
      <c r="VJN228" s="190"/>
      <c r="VJO228" s="190"/>
      <c r="VJP228" s="190"/>
      <c r="VJQ228" s="190"/>
      <c r="VJR228" s="190"/>
      <c r="VJS228" s="190"/>
      <c r="VJT228" s="190"/>
      <c r="VJU228" s="190"/>
      <c r="VJV228" s="190"/>
      <c r="VJW228" s="190"/>
      <c r="VJX228" s="190"/>
      <c r="VJY228" s="190"/>
      <c r="VJZ228" s="190"/>
      <c r="VKA228" s="190"/>
      <c r="VKB228" s="190"/>
      <c r="VKC228" s="190"/>
      <c r="VKD228" s="190"/>
      <c r="VKE228" s="190"/>
      <c r="VKF228" s="190"/>
      <c r="VKG228" s="190"/>
      <c r="VKH228" s="190"/>
      <c r="VKI228" s="190"/>
      <c r="VKJ228" s="190"/>
      <c r="VKK228" s="190"/>
      <c r="VKL228" s="190"/>
      <c r="VKM228" s="190"/>
      <c r="VKN228" s="190"/>
      <c r="VKO228" s="190"/>
      <c r="VKP228" s="190"/>
      <c r="VKQ228" s="190"/>
      <c r="VKR228" s="190"/>
      <c r="VKS228" s="190"/>
      <c r="VKT228" s="190"/>
      <c r="VKU228" s="190"/>
      <c r="VKV228" s="190"/>
      <c r="VKW228" s="190"/>
      <c r="VKX228" s="190"/>
      <c r="VKY228" s="190"/>
      <c r="VKZ228" s="190"/>
      <c r="VLA228" s="190"/>
      <c r="VLB228" s="190"/>
      <c r="VLC228" s="190"/>
      <c r="VLD228" s="190"/>
      <c r="VLE228" s="190"/>
      <c r="VLF228" s="190"/>
      <c r="VLG228" s="190"/>
      <c r="VLH228" s="190"/>
      <c r="VLI228" s="190"/>
      <c r="VLJ228" s="190"/>
      <c r="VLK228" s="190"/>
      <c r="VLL228" s="190"/>
      <c r="VLM228" s="190"/>
      <c r="VLN228" s="190"/>
      <c r="VLO228" s="190"/>
      <c r="VLP228" s="190"/>
      <c r="VLQ228" s="190"/>
      <c r="VLR228" s="190"/>
      <c r="VLS228" s="190"/>
      <c r="VLT228" s="190"/>
      <c r="VLU228" s="190"/>
      <c r="VLV228" s="190"/>
      <c r="VLW228" s="190"/>
      <c r="VLX228" s="190"/>
      <c r="VLY228" s="190"/>
      <c r="VLZ228" s="190"/>
      <c r="VMA228" s="190"/>
      <c r="VMB228" s="190"/>
      <c r="VMC228" s="190"/>
      <c r="VMD228" s="190"/>
      <c r="VME228" s="190"/>
      <c r="VMF228" s="190"/>
      <c r="VMG228" s="190"/>
      <c r="VMH228" s="190"/>
      <c r="VMI228" s="190"/>
      <c r="VMJ228" s="190"/>
      <c r="VMK228" s="190"/>
      <c r="VML228" s="190"/>
      <c r="VMM228" s="190"/>
      <c r="VMN228" s="190"/>
      <c r="VMO228" s="190"/>
      <c r="VMP228" s="190"/>
      <c r="VMQ228" s="190"/>
      <c r="VMR228" s="190"/>
      <c r="VMS228" s="190"/>
      <c r="VMT228" s="190"/>
      <c r="VMU228" s="190"/>
      <c r="VMV228" s="190"/>
      <c r="VMW228" s="190"/>
      <c r="VMX228" s="190"/>
      <c r="VMY228" s="190"/>
      <c r="VMZ228" s="190"/>
      <c r="VNA228" s="190"/>
      <c r="VNB228" s="190"/>
      <c r="VNC228" s="190"/>
      <c r="VND228" s="190"/>
      <c r="VNE228" s="190"/>
      <c r="VNF228" s="190"/>
      <c r="VNG228" s="190"/>
      <c r="VNH228" s="190"/>
      <c r="VNI228" s="190"/>
      <c r="VNJ228" s="190"/>
      <c r="VNK228" s="190"/>
      <c r="VNL228" s="190"/>
      <c r="VNM228" s="190"/>
      <c r="VNN228" s="190"/>
      <c r="VNO228" s="190"/>
      <c r="VNP228" s="190"/>
      <c r="VNQ228" s="190"/>
      <c r="VNR228" s="190"/>
      <c r="VNS228" s="190"/>
      <c r="VNT228" s="190"/>
      <c r="VNU228" s="190"/>
      <c r="VNV228" s="190"/>
      <c r="VNW228" s="190"/>
      <c r="VNX228" s="190"/>
      <c r="VNY228" s="190"/>
      <c r="VNZ228" s="190"/>
      <c r="VOA228" s="190"/>
      <c r="VOB228" s="190"/>
      <c r="VOC228" s="190"/>
      <c r="VOD228" s="190"/>
      <c r="VOE228" s="190"/>
      <c r="VOF228" s="190"/>
      <c r="VOG228" s="190"/>
      <c r="VOH228" s="190"/>
      <c r="VOI228" s="190"/>
      <c r="VOJ228" s="190"/>
      <c r="VOK228" s="190"/>
      <c r="VOL228" s="190"/>
      <c r="VOM228" s="190"/>
      <c r="VON228" s="190"/>
      <c r="VOO228" s="190"/>
      <c r="VOP228" s="190"/>
      <c r="VOQ228" s="190"/>
      <c r="VOR228" s="190"/>
      <c r="VOS228" s="190"/>
    </row>
    <row r="229" spans="2:107 14889:15281" s="3" customFormat="1" x14ac:dyDescent="0.25">
      <c r="B229" s="81"/>
      <c r="C229" s="72" t="s">
        <v>8</v>
      </c>
      <c r="D229" s="66">
        <v>106000</v>
      </c>
      <c r="E229" s="7" t="s">
        <v>16</v>
      </c>
      <c r="F229" s="1">
        <v>6657</v>
      </c>
      <c r="G229" s="1">
        <v>3326</v>
      </c>
      <c r="H229" s="1">
        <v>9683</v>
      </c>
      <c r="I229" s="1">
        <v>19918</v>
      </c>
      <c r="J229" s="1">
        <v>6433</v>
      </c>
      <c r="K229" s="1">
        <v>-41351</v>
      </c>
      <c r="L229" s="1">
        <v>8743</v>
      </c>
      <c r="M229" s="1">
        <v>13231</v>
      </c>
      <c r="N229" s="1">
        <v>2318</v>
      </c>
      <c r="O229" s="1">
        <v>33455</v>
      </c>
      <c r="P229" s="1">
        <v>46869</v>
      </c>
      <c r="Q229" s="1">
        <v>57820</v>
      </c>
      <c r="R229" s="1">
        <v>81565</v>
      </c>
      <c r="S229" s="1">
        <v>-16327</v>
      </c>
      <c r="T229" s="1">
        <v>49395</v>
      </c>
      <c r="U229" s="1">
        <v>31729</v>
      </c>
      <c r="V229" s="1">
        <v>23232</v>
      </c>
      <c r="W229" s="1">
        <v>12554</v>
      </c>
      <c r="X229" s="1">
        <v>19048</v>
      </c>
      <c r="Y229" s="1">
        <v>47225</v>
      </c>
      <c r="Z229" s="1">
        <v>82416</v>
      </c>
      <c r="AA229" s="1">
        <v>-1669</v>
      </c>
      <c r="AB229" s="1">
        <v>10785</v>
      </c>
      <c r="AC229" s="1">
        <v>-8465</v>
      </c>
      <c r="AD229" s="1">
        <v>8648</v>
      </c>
      <c r="AE229" s="1">
        <v>26284</v>
      </c>
      <c r="AF229" s="1">
        <v>77426</v>
      </c>
      <c r="AG229" s="1">
        <v>2E-3</v>
      </c>
      <c r="AH229" s="1">
        <v>0</v>
      </c>
      <c r="AI229" s="1">
        <v>11900</v>
      </c>
      <c r="AJ229" s="63">
        <v>60000</v>
      </c>
      <c r="AL229" s="64">
        <v>682848.00199999998</v>
      </c>
      <c r="DC229" s="16"/>
      <c r="UZQ229" s="190"/>
      <c r="UZR229" s="190"/>
      <c r="UZS229" s="190"/>
      <c r="UZT229" s="190"/>
      <c r="UZU229" s="190"/>
      <c r="UZV229" s="190"/>
      <c r="UZW229" s="190"/>
      <c r="UZX229" s="190"/>
      <c r="UZY229" s="190"/>
      <c r="UZZ229" s="190"/>
      <c r="VAA229" s="190"/>
      <c r="VAB229" s="190"/>
      <c r="VAC229" s="190"/>
      <c r="VAD229" s="190"/>
      <c r="VAE229" s="190"/>
      <c r="VAF229" s="190"/>
      <c r="VAG229" s="190"/>
      <c r="VAH229" s="190"/>
      <c r="VAI229" s="190"/>
      <c r="VAJ229" s="190"/>
      <c r="VAK229" s="190"/>
      <c r="VAL229" s="190"/>
      <c r="VAM229" s="190"/>
      <c r="VAN229" s="190"/>
      <c r="VAO229" s="190"/>
      <c r="VAP229" s="190"/>
      <c r="VAQ229" s="190"/>
      <c r="VAR229" s="190"/>
      <c r="VAS229" s="190"/>
      <c r="VAT229" s="190"/>
      <c r="VAU229" s="190"/>
      <c r="VAV229" s="190"/>
      <c r="VAW229" s="190"/>
      <c r="VAX229" s="190"/>
      <c r="VAY229" s="190"/>
      <c r="VAZ229" s="190"/>
      <c r="VBA229" s="190"/>
      <c r="VBB229" s="190"/>
      <c r="VBC229" s="190"/>
      <c r="VBD229" s="190"/>
      <c r="VBE229" s="190"/>
      <c r="VBF229" s="190"/>
      <c r="VBG229" s="190"/>
      <c r="VBH229" s="190"/>
      <c r="VBI229" s="190"/>
      <c r="VBJ229" s="190"/>
      <c r="VBK229" s="190"/>
      <c r="VBL229" s="190"/>
      <c r="VBM229" s="190"/>
      <c r="VBN229" s="190"/>
      <c r="VBO229" s="190"/>
      <c r="VBP229" s="190"/>
      <c r="VBQ229" s="190"/>
      <c r="VBR229" s="190"/>
      <c r="VBS229" s="190"/>
      <c r="VBT229" s="190"/>
      <c r="VBU229" s="190"/>
      <c r="VBV229" s="190"/>
      <c r="VBW229" s="190"/>
      <c r="VBX229" s="190"/>
      <c r="VBY229" s="190"/>
      <c r="VBZ229" s="190"/>
      <c r="VCA229" s="190"/>
      <c r="VCB229" s="190"/>
      <c r="VCC229" s="190"/>
      <c r="VCD229" s="190"/>
      <c r="VCE229" s="190"/>
      <c r="VCF229" s="190"/>
      <c r="VCG229" s="190"/>
      <c r="VCH229" s="190"/>
      <c r="VCI229" s="190"/>
      <c r="VCJ229" s="190"/>
      <c r="VCK229" s="190"/>
      <c r="VCL229" s="190"/>
      <c r="VCM229" s="190"/>
      <c r="VCN229" s="190"/>
      <c r="VCO229" s="190"/>
      <c r="VCP229" s="190"/>
      <c r="VCQ229" s="190"/>
      <c r="VCR229" s="190"/>
      <c r="VCS229" s="190"/>
      <c r="VCT229" s="190"/>
      <c r="VCU229" s="190"/>
      <c r="VCV229" s="190"/>
      <c r="VCW229" s="190"/>
      <c r="VCX229" s="190"/>
      <c r="VCY229" s="190"/>
      <c r="VCZ229" s="190"/>
      <c r="VDA229" s="190"/>
      <c r="VDB229" s="190"/>
      <c r="VDC229" s="190"/>
      <c r="VDD229" s="190"/>
      <c r="VDE229" s="190"/>
      <c r="VDF229" s="190"/>
      <c r="VDG229" s="190"/>
      <c r="VDH229" s="190"/>
      <c r="VDI229" s="190"/>
      <c r="VDJ229" s="190"/>
      <c r="VDK229" s="190"/>
      <c r="VDL229" s="190"/>
      <c r="VDM229" s="190"/>
      <c r="VDN229" s="190"/>
      <c r="VDO229" s="190"/>
      <c r="VDP229" s="190"/>
      <c r="VDQ229" s="190"/>
      <c r="VDR229" s="190"/>
      <c r="VDS229" s="190"/>
      <c r="VDT229" s="190"/>
      <c r="VDU229" s="190"/>
      <c r="VDV229" s="190"/>
      <c r="VDW229" s="190"/>
      <c r="VDX229" s="190"/>
      <c r="VDY229" s="190"/>
      <c r="VDZ229" s="190"/>
      <c r="VEA229" s="190"/>
      <c r="VEB229" s="190"/>
      <c r="VEC229" s="190"/>
      <c r="VED229" s="190"/>
      <c r="VEE229" s="190"/>
      <c r="VEF229" s="190"/>
      <c r="VEG229" s="190"/>
      <c r="VEH229" s="190"/>
      <c r="VEI229" s="190"/>
      <c r="VEJ229" s="190"/>
      <c r="VEK229" s="190"/>
      <c r="VEL229" s="190"/>
      <c r="VEM229" s="190"/>
      <c r="VEN229" s="190"/>
      <c r="VEO229" s="190"/>
      <c r="VEP229" s="190"/>
      <c r="VEQ229" s="190"/>
      <c r="VER229" s="190"/>
      <c r="VES229" s="190"/>
      <c r="VET229" s="190"/>
      <c r="VEU229" s="190"/>
      <c r="VEV229" s="190"/>
      <c r="VEW229" s="190"/>
      <c r="VEX229" s="190"/>
      <c r="VEY229" s="190"/>
      <c r="VEZ229" s="190"/>
      <c r="VFA229" s="190"/>
      <c r="VFB229" s="190"/>
      <c r="VFC229" s="190"/>
      <c r="VFD229" s="190"/>
      <c r="VFE229" s="190"/>
      <c r="VFF229" s="190"/>
      <c r="VFG229" s="190"/>
      <c r="VFH229" s="190"/>
      <c r="VFI229" s="190"/>
      <c r="VFJ229" s="190"/>
      <c r="VFK229" s="190"/>
      <c r="VFL229" s="190"/>
      <c r="VFM229" s="190"/>
      <c r="VFN229" s="190"/>
      <c r="VFO229" s="190"/>
      <c r="VFP229" s="190"/>
      <c r="VFQ229" s="190"/>
      <c r="VFR229" s="190"/>
      <c r="VFS229" s="190"/>
      <c r="VFT229" s="190"/>
      <c r="VFU229" s="190"/>
      <c r="VFV229" s="190"/>
      <c r="VFW229" s="190"/>
      <c r="VFX229" s="190"/>
      <c r="VFY229" s="190"/>
      <c r="VFZ229" s="190"/>
      <c r="VGA229" s="190"/>
      <c r="VGB229" s="190"/>
      <c r="VGC229" s="190"/>
      <c r="VGD229" s="190"/>
      <c r="VGE229" s="190"/>
      <c r="VGF229" s="190"/>
      <c r="VGG229" s="190"/>
      <c r="VGH229" s="190"/>
      <c r="VGI229" s="190"/>
      <c r="VGJ229" s="190"/>
      <c r="VGK229" s="190"/>
      <c r="VGL229" s="190"/>
      <c r="VGM229" s="190"/>
      <c r="VGN229" s="190"/>
      <c r="VGO229" s="190"/>
      <c r="VGP229" s="190"/>
      <c r="VGQ229" s="190"/>
      <c r="VGR229" s="190"/>
      <c r="VGS229" s="190"/>
      <c r="VGT229" s="190"/>
      <c r="VGU229" s="190"/>
      <c r="VGV229" s="190"/>
      <c r="VGW229" s="190"/>
      <c r="VGX229" s="190"/>
      <c r="VGY229" s="190"/>
      <c r="VGZ229" s="190"/>
      <c r="VHA229" s="190"/>
      <c r="VHB229" s="190"/>
      <c r="VHC229" s="190"/>
      <c r="VHD229" s="190"/>
      <c r="VHE229" s="190"/>
      <c r="VHF229" s="190"/>
      <c r="VHG229" s="190"/>
      <c r="VHH229" s="190"/>
      <c r="VHI229" s="190"/>
      <c r="VHJ229" s="190"/>
      <c r="VHK229" s="190"/>
      <c r="VHL229" s="190"/>
      <c r="VHM229" s="190"/>
      <c r="VHN229" s="190"/>
      <c r="VHO229" s="190"/>
      <c r="VHP229" s="190"/>
      <c r="VHQ229" s="190"/>
      <c r="VHR229" s="190"/>
      <c r="VHS229" s="190"/>
      <c r="VHT229" s="190"/>
      <c r="VHU229" s="190"/>
      <c r="VHV229" s="190"/>
      <c r="VHW229" s="190"/>
      <c r="VHX229" s="190"/>
      <c r="VHY229" s="190"/>
      <c r="VHZ229" s="190"/>
      <c r="VIA229" s="190"/>
      <c r="VIB229" s="190"/>
      <c r="VIC229" s="190"/>
      <c r="VID229" s="190"/>
      <c r="VIE229" s="190"/>
      <c r="VIF229" s="190"/>
      <c r="VIG229" s="190"/>
      <c r="VIH229" s="190"/>
      <c r="VII229" s="190"/>
      <c r="VIJ229" s="190"/>
      <c r="VIK229" s="190"/>
      <c r="VIL229" s="190"/>
      <c r="VIM229" s="190"/>
      <c r="VIN229" s="190"/>
      <c r="VIO229" s="190"/>
      <c r="VIP229" s="190"/>
      <c r="VIQ229" s="190"/>
      <c r="VIR229" s="190"/>
      <c r="VIS229" s="190"/>
      <c r="VIT229" s="190"/>
      <c r="VIU229" s="190"/>
      <c r="VIV229" s="190"/>
      <c r="VIW229" s="190"/>
      <c r="VIX229" s="190"/>
      <c r="VIY229" s="190"/>
      <c r="VIZ229" s="190"/>
      <c r="VJA229" s="190"/>
      <c r="VJB229" s="190"/>
      <c r="VJC229" s="190"/>
      <c r="VJD229" s="190"/>
      <c r="VJE229" s="190"/>
      <c r="VJF229" s="190"/>
      <c r="VJG229" s="190"/>
      <c r="VJH229" s="190"/>
      <c r="VJI229" s="190"/>
      <c r="VJJ229" s="190"/>
      <c r="VJK229" s="190"/>
      <c r="VJL229" s="190"/>
      <c r="VJM229" s="190"/>
      <c r="VJN229" s="190"/>
      <c r="VJO229" s="190"/>
      <c r="VJP229" s="190"/>
      <c r="VJQ229" s="190"/>
      <c r="VJR229" s="190"/>
      <c r="VJS229" s="190"/>
      <c r="VJT229" s="190"/>
      <c r="VJU229" s="190"/>
      <c r="VJV229" s="190"/>
      <c r="VJW229" s="190"/>
      <c r="VJX229" s="190"/>
      <c r="VJY229" s="190"/>
      <c r="VJZ229" s="190"/>
      <c r="VKA229" s="190"/>
      <c r="VKB229" s="190"/>
      <c r="VKC229" s="190"/>
      <c r="VKD229" s="190"/>
      <c r="VKE229" s="190"/>
      <c r="VKF229" s="190"/>
      <c r="VKG229" s="190"/>
      <c r="VKH229" s="190"/>
      <c r="VKI229" s="190"/>
      <c r="VKJ229" s="190"/>
      <c r="VKK229" s="190"/>
      <c r="VKL229" s="190"/>
      <c r="VKM229" s="190"/>
      <c r="VKN229" s="190"/>
      <c r="VKO229" s="190"/>
      <c r="VKP229" s="190"/>
      <c r="VKQ229" s="190"/>
      <c r="VKR229" s="190"/>
      <c r="VKS229" s="190"/>
      <c r="VKT229" s="190"/>
      <c r="VKU229" s="190"/>
      <c r="VKV229" s="190"/>
      <c r="VKW229" s="190"/>
      <c r="VKX229" s="190"/>
      <c r="VKY229" s="190"/>
      <c r="VKZ229" s="190"/>
      <c r="VLA229" s="190"/>
      <c r="VLB229" s="190"/>
      <c r="VLC229" s="190"/>
      <c r="VLD229" s="190"/>
      <c r="VLE229" s="190"/>
      <c r="VLF229" s="190"/>
      <c r="VLG229" s="190"/>
      <c r="VLH229" s="190"/>
      <c r="VLI229" s="190"/>
      <c r="VLJ229" s="190"/>
      <c r="VLK229" s="190"/>
      <c r="VLL229" s="190"/>
      <c r="VLM229" s="190"/>
      <c r="VLN229" s="190"/>
      <c r="VLO229" s="190"/>
      <c r="VLP229" s="190"/>
      <c r="VLQ229" s="190"/>
      <c r="VLR229" s="190"/>
      <c r="VLS229" s="190"/>
      <c r="VLT229" s="190"/>
      <c r="VLU229" s="190"/>
      <c r="VLV229" s="190"/>
      <c r="VLW229" s="190"/>
      <c r="VLX229" s="190"/>
      <c r="VLY229" s="190"/>
      <c r="VLZ229" s="190"/>
      <c r="VMA229" s="190"/>
      <c r="VMB229" s="190"/>
      <c r="VMC229" s="190"/>
      <c r="VMD229" s="190"/>
      <c r="VME229" s="190"/>
      <c r="VMF229" s="190"/>
      <c r="VMG229" s="190"/>
      <c r="VMH229" s="190"/>
      <c r="VMI229" s="190"/>
      <c r="VMJ229" s="190"/>
      <c r="VMK229" s="190"/>
      <c r="VML229" s="190"/>
      <c r="VMM229" s="190"/>
      <c r="VMN229" s="190"/>
      <c r="VMO229" s="190"/>
      <c r="VMP229" s="190"/>
      <c r="VMQ229" s="190"/>
      <c r="VMR229" s="190"/>
      <c r="VMS229" s="190"/>
      <c r="VMT229" s="190"/>
      <c r="VMU229" s="190"/>
      <c r="VMV229" s="190"/>
      <c r="VMW229" s="190"/>
      <c r="VMX229" s="190"/>
      <c r="VMY229" s="190"/>
      <c r="VMZ229" s="190"/>
      <c r="VNA229" s="190"/>
      <c r="VNB229" s="190"/>
      <c r="VNC229" s="190"/>
      <c r="VND229" s="190"/>
      <c r="VNE229" s="190"/>
      <c r="VNF229" s="190"/>
      <c r="VNG229" s="190"/>
      <c r="VNH229" s="190"/>
      <c r="VNI229" s="190"/>
      <c r="VNJ229" s="190"/>
      <c r="VNK229" s="190"/>
      <c r="VNL229" s="190"/>
      <c r="VNM229" s="190"/>
      <c r="VNN229" s="190"/>
      <c r="VNO229" s="190"/>
      <c r="VNP229" s="190"/>
      <c r="VNQ229" s="190"/>
      <c r="VNR229" s="190"/>
      <c r="VNS229" s="190"/>
      <c r="VNT229" s="190"/>
      <c r="VNU229" s="190"/>
      <c r="VNV229" s="190"/>
      <c r="VNW229" s="190"/>
      <c r="VNX229" s="190"/>
      <c r="VNY229" s="190"/>
      <c r="VNZ229" s="190"/>
      <c r="VOA229" s="190"/>
      <c r="VOB229" s="190"/>
      <c r="VOC229" s="190"/>
      <c r="VOD229" s="190"/>
      <c r="VOE229" s="190"/>
      <c r="VOF229" s="190"/>
      <c r="VOG229" s="190"/>
      <c r="VOH229" s="190"/>
      <c r="VOI229" s="190"/>
      <c r="VOJ229" s="190"/>
      <c r="VOK229" s="190"/>
      <c r="VOL229" s="190"/>
      <c r="VOM229" s="190"/>
      <c r="VON229" s="190"/>
      <c r="VOO229" s="190"/>
      <c r="VOP229" s="190"/>
      <c r="VOQ229" s="190"/>
      <c r="VOR229" s="190"/>
      <c r="VOS229" s="190"/>
    </row>
    <row r="230" spans="2:107 14889:15281" s="14" customFormat="1" ht="15.75" thickBot="1" x14ac:dyDescent="0.3">
      <c r="B230" s="172"/>
      <c r="C230" s="136" t="s">
        <v>1</v>
      </c>
      <c r="D230" s="182">
        <v>408000</v>
      </c>
      <c r="E230" s="7" t="s">
        <v>16</v>
      </c>
      <c r="F230" s="33">
        <v>221657</v>
      </c>
      <c r="G230" s="33">
        <v>244726</v>
      </c>
      <c r="H230" s="33">
        <v>251883</v>
      </c>
      <c r="I230" s="33">
        <v>252418</v>
      </c>
      <c r="J230" s="33">
        <v>271133</v>
      </c>
      <c r="K230" s="33">
        <v>248449</v>
      </c>
      <c r="L230" s="33">
        <v>220943</v>
      </c>
      <c r="M230" s="33">
        <v>261831</v>
      </c>
      <c r="N230" s="33">
        <v>251018</v>
      </c>
      <c r="O230" s="33">
        <v>276855</v>
      </c>
      <c r="P230" s="33">
        <v>285769</v>
      </c>
      <c r="Q230" s="33">
        <v>305320</v>
      </c>
      <c r="R230" s="33">
        <v>359265</v>
      </c>
      <c r="S230" s="33">
        <v>258573</v>
      </c>
      <c r="T230" s="33">
        <v>299095</v>
      </c>
      <c r="U230" s="33">
        <v>302829</v>
      </c>
      <c r="V230" s="33">
        <v>259232</v>
      </c>
      <c r="W230" s="33">
        <v>238554</v>
      </c>
      <c r="X230" s="33">
        <v>298648</v>
      </c>
      <c r="Y230" s="33">
        <v>289025</v>
      </c>
      <c r="Z230" s="33">
        <v>255416</v>
      </c>
      <c r="AA230" s="33">
        <v>152631</v>
      </c>
      <c r="AB230" s="33">
        <v>125085</v>
      </c>
      <c r="AC230" s="33">
        <v>181235</v>
      </c>
      <c r="AD230" s="33">
        <v>190948</v>
      </c>
      <c r="AE230" s="33">
        <v>157054</v>
      </c>
      <c r="AF230" s="33">
        <v>77426</v>
      </c>
      <c r="AG230" s="33">
        <v>2E-3</v>
      </c>
      <c r="AH230" s="33">
        <v>0</v>
      </c>
      <c r="AI230" s="33">
        <v>11900</v>
      </c>
      <c r="AJ230" s="134">
        <v>207000</v>
      </c>
      <c r="AL230" s="181">
        <v>6755918.0020000003</v>
      </c>
      <c r="DC230" s="325"/>
    </row>
    <row r="231" spans="2:107 14889:15281" s="3" customFormat="1" x14ac:dyDescent="0.25">
      <c r="B231" s="49">
        <v>10</v>
      </c>
      <c r="C231" s="111" t="s">
        <v>15</v>
      </c>
      <c r="D231" s="258"/>
      <c r="E231" s="11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18"/>
      <c r="AD231" s="218"/>
      <c r="AE231" s="218"/>
      <c r="AF231" s="218"/>
      <c r="AG231" s="219"/>
      <c r="AH231" s="219"/>
      <c r="AI231" s="219"/>
      <c r="AJ231" s="220"/>
      <c r="AL231" s="244" t="s">
        <v>14</v>
      </c>
      <c r="DC231" s="16"/>
      <c r="UZQ231" s="190"/>
      <c r="UZR231" s="190"/>
      <c r="UZS231" s="190"/>
      <c r="UZT231" s="190"/>
      <c r="UZU231" s="190"/>
      <c r="UZV231" s="190"/>
      <c r="UZW231" s="190"/>
      <c r="UZX231" s="190"/>
      <c r="UZY231" s="190"/>
      <c r="UZZ231" s="190"/>
      <c r="VAA231" s="190"/>
      <c r="VAB231" s="190"/>
      <c r="VAC231" s="190"/>
      <c r="VAD231" s="190"/>
      <c r="VAE231" s="190"/>
      <c r="VAF231" s="190"/>
      <c r="VAG231" s="190"/>
      <c r="VAH231" s="190"/>
      <c r="VAI231" s="190"/>
      <c r="VAJ231" s="190"/>
      <c r="VAK231" s="190"/>
      <c r="VAL231" s="190"/>
      <c r="VAM231" s="190"/>
      <c r="VAN231" s="190"/>
      <c r="VAO231" s="190"/>
      <c r="VAP231" s="190"/>
      <c r="VAQ231" s="190"/>
      <c r="VAR231" s="190"/>
      <c r="VAS231" s="190"/>
      <c r="VAT231" s="190"/>
      <c r="VAU231" s="190"/>
      <c r="VAV231" s="190"/>
      <c r="VAW231" s="190"/>
      <c r="VAX231" s="190"/>
      <c r="VAY231" s="190"/>
      <c r="VAZ231" s="190"/>
      <c r="VBA231" s="190"/>
      <c r="VBB231" s="190"/>
      <c r="VBC231" s="190"/>
      <c r="VBD231" s="190"/>
      <c r="VBE231" s="190"/>
      <c r="VBF231" s="190"/>
      <c r="VBG231" s="190"/>
      <c r="VBH231" s="190"/>
      <c r="VBI231" s="190"/>
      <c r="VBJ231" s="190"/>
      <c r="VBK231" s="190"/>
      <c r="VBL231" s="190"/>
      <c r="VBM231" s="190"/>
      <c r="VBN231" s="190"/>
      <c r="VBO231" s="190"/>
      <c r="VBP231" s="190"/>
      <c r="VBQ231" s="190"/>
      <c r="VBR231" s="190"/>
      <c r="VBS231" s="190"/>
      <c r="VBT231" s="190"/>
      <c r="VBU231" s="190"/>
      <c r="VBV231" s="190"/>
      <c r="VBW231" s="190"/>
      <c r="VBX231" s="190"/>
      <c r="VBY231" s="190"/>
      <c r="VBZ231" s="190"/>
      <c r="VCA231" s="190"/>
      <c r="VCB231" s="190"/>
      <c r="VCC231" s="190"/>
      <c r="VCD231" s="190"/>
      <c r="VCE231" s="190"/>
      <c r="VCF231" s="190"/>
      <c r="VCG231" s="190"/>
      <c r="VCH231" s="190"/>
      <c r="VCI231" s="190"/>
      <c r="VCJ231" s="190"/>
      <c r="VCK231" s="190"/>
      <c r="VCL231" s="190"/>
      <c r="VCM231" s="190"/>
      <c r="VCN231" s="190"/>
      <c r="VCO231" s="190"/>
      <c r="VCP231" s="190"/>
      <c r="VCQ231" s="190"/>
      <c r="VCR231" s="190"/>
      <c r="VCS231" s="190"/>
      <c r="VCT231" s="190"/>
      <c r="VCU231" s="190"/>
      <c r="VCV231" s="190"/>
      <c r="VCW231" s="190"/>
      <c r="VCX231" s="190"/>
      <c r="VCY231" s="190"/>
      <c r="VCZ231" s="190"/>
      <c r="VDA231" s="190"/>
      <c r="VDB231" s="190"/>
      <c r="VDC231" s="190"/>
      <c r="VDD231" s="190"/>
      <c r="VDE231" s="190"/>
      <c r="VDF231" s="190"/>
      <c r="VDG231" s="190"/>
      <c r="VDH231" s="190"/>
      <c r="VDI231" s="190"/>
      <c r="VDJ231" s="190"/>
      <c r="VDK231" s="190"/>
      <c r="VDL231" s="190"/>
      <c r="VDM231" s="190"/>
      <c r="VDN231" s="190"/>
      <c r="VDO231" s="190"/>
      <c r="VDP231" s="190"/>
      <c r="VDQ231" s="190"/>
      <c r="VDR231" s="190"/>
      <c r="VDS231" s="190"/>
      <c r="VDT231" s="190"/>
      <c r="VDU231" s="190"/>
      <c r="VDV231" s="190"/>
      <c r="VDW231" s="190"/>
      <c r="VDX231" s="190"/>
      <c r="VDY231" s="190"/>
      <c r="VDZ231" s="190"/>
      <c r="VEA231" s="190"/>
      <c r="VEB231" s="190"/>
      <c r="VEC231" s="190"/>
      <c r="VED231" s="190"/>
      <c r="VEE231" s="190"/>
      <c r="VEF231" s="190"/>
      <c r="VEG231" s="190"/>
      <c r="VEH231" s="190"/>
      <c r="VEI231" s="190"/>
      <c r="VEJ231" s="190"/>
      <c r="VEK231" s="190"/>
      <c r="VEL231" s="190"/>
      <c r="VEM231" s="190"/>
      <c r="VEN231" s="190"/>
      <c r="VEO231" s="190"/>
      <c r="VEP231" s="190"/>
      <c r="VEQ231" s="190"/>
      <c r="VER231" s="190"/>
      <c r="VES231" s="190"/>
      <c r="VET231" s="190"/>
      <c r="VEU231" s="190"/>
      <c r="VEV231" s="190"/>
      <c r="VEW231" s="190"/>
      <c r="VEX231" s="190"/>
      <c r="VEY231" s="190"/>
      <c r="VEZ231" s="190"/>
      <c r="VFA231" s="190"/>
      <c r="VFB231" s="190"/>
      <c r="VFC231" s="190"/>
      <c r="VFD231" s="190"/>
      <c r="VFE231" s="190"/>
      <c r="VFF231" s="190"/>
      <c r="VFG231" s="190"/>
      <c r="VFH231" s="190"/>
      <c r="VFI231" s="190"/>
      <c r="VFJ231" s="190"/>
      <c r="VFK231" s="190"/>
      <c r="VFL231" s="190"/>
      <c r="VFM231" s="190"/>
      <c r="VFN231" s="190"/>
      <c r="VFO231" s="190"/>
      <c r="VFP231" s="190"/>
      <c r="VFQ231" s="190"/>
      <c r="VFR231" s="190"/>
      <c r="VFS231" s="190"/>
      <c r="VFT231" s="190"/>
      <c r="VFU231" s="190"/>
      <c r="VFV231" s="190"/>
      <c r="VFW231" s="190"/>
      <c r="VFX231" s="190"/>
      <c r="VFY231" s="190"/>
      <c r="VFZ231" s="190"/>
      <c r="VGA231" s="190"/>
      <c r="VGB231" s="190"/>
      <c r="VGC231" s="190"/>
      <c r="VGD231" s="190"/>
      <c r="VGE231" s="190"/>
      <c r="VGF231" s="190"/>
      <c r="VGG231" s="190"/>
      <c r="VGH231" s="190"/>
      <c r="VGI231" s="190"/>
      <c r="VGJ231" s="190"/>
      <c r="VGK231" s="190"/>
      <c r="VGL231" s="190"/>
      <c r="VGM231" s="190"/>
      <c r="VGN231" s="190"/>
      <c r="VGO231" s="190"/>
      <c r="VGP231" s="190"/>
      <c r="VGQ231" s="190"/>
      <c r="VGR231" s="190"/>
      <c r="VGS231" s="190"/>
      <c r="VGT231" s="190"/>
      <c r="VGU231" s="190"/>
      <c r="VGV231" s="190"/>
      <c r="VGW231" s="190"/>
      <c r="VGX231" s="190"/>
      <c r="VGY231" s="190"/>
      <c r="VGZ231" s="190"/>
      <c r="VHA231" s="190"/>
      <c r="VHB231" s="190"/>
      <c r="VHC231" s="190"/>
      <c r="VHD231" s="190"/>
      <c r="VHE231" s="190"/>
      <c r="VHF231" s="190"/>
      <c r="VHG231" s="190"/>
      <c r="VHH231" s="190"/>
      <c r="VHI231" s="190"/>
      <c r="VHJ231" s="190"/>
      <c r="VHK231" s="190"/>
      <c r="VHL231" s="190"/>
      <c r="VHM231" s="190"/>
      <c r="VHN231" s="190"/>
      <c r="VHO231" s="190"/>
      <c r="VHP231" s="190"/>
      <c r="VHQ231" s="190"/>
      <c r="VHR231" s="190"/>
      <c r="VHS231" s="190"/>
      <c r="VHT231" s="190"/>
      <c r="VHU231" s="190"/>
      <c r="VHV231" s="190"/>
      <c r="VHW231" s="190"/>
      <c r="VHX231" s="190"/>
      <c r="VHY231" s="190"/>
      <c r="VHZ231" s="190"/>
      <c r="VIA231" s="190"/>
      <c r="VIB231" s="190"/>
      <c r="VIC231" s="190"/>
      <c r="VID231" s="190"/>
      <c r="VIE231" s="190"/>
      <c r="VIF231" s="190"/>
      <c r="VIG231" s="190"/>
      <c r="VIH231" s="190"/>
      <c r="VII231" s="190"/>
      <c r="VIJ231" s="190"/>
      <c r="VIK231" s="190"/>
      <c r="VIL231" s="190"/>
      <c r="VIM231" s="190"/>
      <c r="VIN231" s="190"/>
      <c r="VIO231" s="190"/>
      <c r="VIP231" s="190"/>
      <c r="VIQ231" s="190"/>
      <c r="VIR231" s="190"/>
      <c r="VIS231" s="190"/>
      <c r="VIT231" s="190"/>
      <c r="VIU231" s="190"/>
      <c r="VIV231" s="190"/>
      <c r="VIW231" s="190"/>
      <c r="VIX231" s="190"/>
      <c r="VIY231" s="190"/>
      <c r="VIZ231" s="190"/>
      <c r="VJA231" s="190"/>
      <c r="VJB231" s="190"/>
      <c r="VJC231" s="190"/>
      <c r="VJD231" s="190"/>
      <c r="VJE231" s="190"/>
      <c r="VJF231" s="190"/>
      <c r="VJG231" s="190"/>
      <c r="VJH231" s="190"/>
      <c r="VJI231" s="190"/>
      <c r="VJJ231" s="190"/>
      <c r="VJK231" s="190"/>
      <c r="VJL231" s="190"/>
      <c r="VJM231" s="190"/>
      <c r="VJN231" s="190"/>
      <c r="VJO231" s="190"/>
      <c r="VJP231" s="190"/>
      <c r="VJQ231" s="190"/>
      <c r="VJR231" s="190"/>
      <c r="VJS231" s="190"/>
      <c r="VJT231" s="190"/>
      <c r="VJU231" s="190"/>
      <c r="VJV231" s="190"/>
      <c r="VJW231" s="190"/>
      <c r="VJX231" s="190"/>
      <c r="VJY231" s="190"/>
      <c r="VJZ231" s="190"/>
      <c r="VKA231" s="190"/>
      <c r="VKB231" s="190"/>
      <c r="VKC231" s="190"/>
      <c r="VKD231" s="190"/>
      <c r="VKE231" s="190"/>
      <c r="VKF231" s="190"/>
      <c r="VKG231" s="190"/>
      <c r="VKH231" s="190"/>
      <c r="VKI231" s="190"/>
      <c r="VKJ231" s="190"/>
      <c r="VKK231" s="190"/>
      <c r="VKL231" s="190"/>
      <c r="VKM231" s="190"/>
      <c r="VKN231" s="190"/>
      <c r="VKO231" s="190"/>
      <c r="VKP231" s="190"/>
      <c r="VKQ231" s="190"/>
      <c r="VKR231" s="190"/>
      <c r="VKS231" s="190"/>
      <c r="VKT231" s="190"/>
      <c r="VKU231" s="190"/>
      <c r="VKV231" s="190"/>
      <c r="VKW231" s="190"/>
      <c r="VKX231" s="190"/>
      <c r="VKY231" s="190"/>
      <c r="VKZ231" s="190"/>
      <c r="VLA231" s="190"/>
      <c r="VLB231" s="190"/>
      <c r="VLC231" s="190"/>
      <c r="VLD231" s="190"/>
      <c r="VLE231" s="190"/>
      <c r="VLF231" s="190"/>
      <c r="VLG231" s="190"/>
      <c r="VLH231" s="190"/>
      <c r="VLI231" s="190"/>
      <c r="VLJ231" s="190"/>
      <c r="VLK231" s="190"/>
      <c r="VLL231" s="190"/>
      <c r="VLM231" s="190"/>
      <c r="VLN231" s="190"/>
      <c r="VLO231" s="190"/>
      <c r="VLP231" s="190"/>
      <c r="VLQ231" s="190"/>
      <c r="VLR231" s="190"/>
      <c r="VLS231" s="190"/>
      <c r="VLT231" s="190"/>
      <c r="VLU231" s="190"/>
      <c r="VLV231" s="190"/>
      <c r="VLW231" s="190"/>
      <c r="VLX231" s="190"/>
      <c r="VLY231" s="190"/>
      <c r="VLZ231" s="190"/>
      <c r="VMA231" s="190"/>
      <c r="VMB231" s="190"/>
      <c r="VMC231" s="190"/>
      <c r="VMD231" s="190"/>
      <c r="VME231" s="190"/>
      <c r="VMF231" s="190"/>
      <c r="VMG231" s="190"/>
      <c r="VMH231" s="190"/>
      <c r="VMI231" s="190"/>
      <c r="VMJ231" s="190"/>
      <c r="VMK231" s="190"/>
      <c r="VML231" s="190"/>
      <c r="VMM231" s="190"/>
      <c r="VMN231" s="190"/>
      <c r="VMO231" s="190"/>
      <c r="VMP231" s="190"/>
      <c r="VMQ231" s="190"/>
      <c r="VMR231" s="190"/>
      <c r="VMS231" s="190"/>
      <c r="VMT231" s="190"/>
      <c r="VMU231" s="190"/>
      <c r="VMV231" s="190"/>
      <c r="VMW231" s="190"/>
      <c r="VMX231" s="190"/>
      <c r="VMY231" s="190"/>
      <c r="VMZ231" s="190"/>
      <c r="VNA231" s="190"/>
      <c r="VNB231" s="190"/>
      <c r="VNC231" s="190"/>
      <c r="VND231" s="190"/>
      <c r="VNE231" s="190"/>
      <c r="VNF231" s="190"/>
      <c r="VNG231" s="190"/>
      <c r="VNH231" s="190"/>
      <c r="VNI231" s="190"/>
      <c r="VNJ231" s="190"/>
      <c r="VNK231" s="190"/>
      <c r="VNL231" s="190"/>
      <c r="VNM231" s="190"/>
      <c r="VNN231" s="190"/>
      <c r="VNO231" s="190"/>
      <c r="VNP231" s="190"/>
      <c r="VNQ231" s="190"/>
      <c r="VNR231" s="190"/>
      <c r="VNS231" s="190"/>
      <c r="VNT231" s="190"/>
      <c r="VNU231" s="190"/>
      <c r="VNV231" s="190"/>
      <c r="VNW231" s="190"/>
      <c r="VNX231" s="190"/>
      <c r="VNY231" s="190"/>
      <c r="VNZ231" s="190"/>
      <c r="VOA231" s="190"/>
      <c r="VOB231" s="190"/>
      <c r="VOC231" s="190"/>
      <c r="VOD231" s="190"/>
      <c r="VOE231" s="190"/>
      <c r="VOF231" s="190"/>
      <c r="VOG231" s="190"/>
      <c r="VOH231" s="190"/>
      <c r="VOI231" s="190"/>
      <c r="VOJ231" s="190"/>
      <c r="VOK231" s="190"/>
      <c r="VOL231" s="190"/>
      <c r="VOM231" s="190"/>
      <c r="VON231" s="190"/>
      <c r="VOO231" s="190"/>
      <c r="VOP231" s="190"/>
      <c r="VOQ231" s="190"/>
      <c r="VOR231" s="190"/>
      <c r="VOS231" s="190"/>
    </row>
    <row r="232" spans="2:107 14889:15281" s="9" customFormat="1" x14ac:dyDescent="0.25">
      <c r="B232" s="100"/>
      <c r="C232" s="141" t="s">
        <v>13</v>
      </c>
      <c r="D232" s="245">
        <v>1100</v>
      </c>
      <c r="E232" s="8" t="s">
        <v>137</v>
      </c>
      <c r="F232" s="246">
        <v>799</v>
      </c>
      <c r="G232" s="246">
        <v>449</v>
      </c>
      <c r="H232" s="246">
        <v>883</v>
      </c>
      <c r="I232" s="246">
        <v>553</v>
      </c>
      <c r="J232" s="246">
        <v>647</v>
      </c>
      <c r="K232" s="246">
        <v>796</v>
      </c>
      <c r="L232" s="246">
        <v>554</v>
      </c>
      <c r="M232" s="246">
        <v>806</v>
      </c>
      <c r="N232" s="246">
        <v>917</v>
      </c>
      <c r="O232" s="246">
        <v>719</v>
      </c>
      <c r="P232" s="246">
        <v>884</v>
      </c>
      <c r="Q232" s="246">
        <v>649</v>
      </c>
      <c r="R232" s="246">
        <v>896</v>
      </c>
      <c r="S232" s="246">
        <v>869</v>
      </c>
      <c r="T232" s="246">
        <v>988</v>
      </c>
      <c r="U232" s="246">
        <v>670</v>
      </c>
      <c r="V232" s="246">
        <v>650</v>
      </c>
      <c r="W232" s="246">
        <v>557</v>
      </c>
      <c r="X232" s="246">
        <v>1056</v>
      </c>
      <c r="Y232" s="246">
        <v>978</v>
      </c>
      <c r="Z232" s="246">
        <v>565</v>
      </c>
      <c r="AA232" s="246">
        <v>460</v>
      </c>
      <c r="AB232" s="246">
        <v>375</v>
      </c>
      <c r="AC232" s="246">
        <v>499</v>
      </c>
      <c r="AD232" s="246">
        <v>618</v>
      </c>
      <c r="AE232" s="247">
        <v>617</v>
      </c>
      <c r="AF232" s="247">
        <v>245</v>
      </c>
      <c r="AG232" s="248">
        <v>0</v>
      </c>
      <c r="AH232" s="248">
        <v>0</v>
      </c>
      <c r="AI232" s="248">
        <v>0</v>
      </c>
      <c r="AJ232" s="249">
        <v>574</v>
      </c>
      <c r="AK232" s="183"/>
      <c r="AL232" s="250">
        <v>19273</v>
      </c>
      <c r="DC232" s="323"/>
    </row>
    <row r="233" spans="2:107 14889:15281" s="9" customFormat="1" x14ac:dyDescent="0.25">
      <c r="B233" s="100"/>
      <c r="C233" s="184" t="s">
        <v>12</v>
      </c>
      <c r="D233" s="60"/>
      <c r="E233" s="61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26"/>
      <c r="AH233" s="226"/>
      <c r="AI233" s="226"/>
      <c r="AJ233" s="227"/>
      <c r="AL233" s="300" t="s">
        <v>12</v>
      </c>
      <c r="DC233" s="323"/>
    </row>
    <row r="234" spans="2:107 14889:15281" s="9" customFormat="1" x14ac:dyDescent="0.25">
      <c r="B234" s="100"/>
      <c r="C234" s="141" t="s">
        <v>11</v>
      </c>
      <c r="D234" s="251">
        <v>91.5</v>
      </c>
      <c r="E234" s="8" t="s">
        <v>137</v>
      </c>
      <c r="F234" s="216">
        <v>107</v>
      </c>
      <c r="G234" s="216">
        <v>85</v>
      </c>
      <c r="H234" s="216">
        <v>101</v>
      </c>
      <c r="I234" s="216">
        <v>113</v>
      </c>
      <c r="J234" s="216">
        <v>66</v>
      </c>
      <c r="K234" s="216">
        <v>52</v>
      </c>
      <c r="L234" s="216">
        <v>139</v>
      </c>
      <c r="M234" s="216">
        <v>146</v>
      </c>
      <c r="N234" s="216">
        <v>134</v>
      </c>
      <c r="O234" s="216">
        <v>115</v>
      </c>
      <c r="P234" s="216">
        <v>33</v>
      </c>
      <c r="Q234" s="216">
        <v>131</v>
      </c>
      <c r="R234" s="216">
        <v>99</v>
      </c>
      <c r="S234" s="216">
        <v>94</v>
      </c>
      <c r="T234" s="216">
        <v>120</v>
      </c>
      <c r="U234" s="216">
        <v>83</v>
      </c>
      <c r="V234" s="216">
        <v>111</v>
      </c>
      <c r="W234" s="216">
        <v>40</v>
      </c>
      <c r="X234" s="216">
        <v>98</v>
      </c>
      <c r="Y234" s="216">
        <v>78</v>
      </c>
      <c r="Z234" s="216">
        <v>21</v>
      </c>
      <c r="AA234" s="216">
        <v>64</v>
      </c>
      <c r="AB234" s="216">
        <v>89</v>
      </c>
      <c r="AC234" s="216">
        <v>48</v>
      </c>
      <c r="AD234" s="216">
        <v>99</v>
      </c>
      <c r="AE234" s="216">
        <v>96</v>
      </c>
      <c r="AF234" s="216"/>
      <c r="AG234" s="226"/>
      <c r="AH234" s="226"/>
      <c r="AI234" s="226"/>
      <c r="AJ234" s="227">
        <v>90</v>
      </c>
      <c r="AL234" s="252">
        <v>2452</v>
      </c>
      <c r="AM234" s="323"/>
      <c r="DC234" s="323"/>
    </row>
    <row r="235" spans="2:107 14889:15281" s="9" customFormat="1" x14ac:dyDescent="0.25">
      <c r="B235" s="100"/>
      <c r="C235" s="141" t="s">
        <v>10</v>
      </c>
      <c r="D235" s="251">
        <v>179.63</v>
      </c>
      <c r="E235" s="8" t="s">
        <v>137</v>
      </c>
      <c r="F235" s="216">
        <v>77</v>
      </c>
      <c r="G235" s="216">
        <v>73</v>
      </c>
      <c r="H235" s="216">
        <v>75</v>
      </c>
      <c r="I235" s="216">
        <v>85</v>
      </c>
      <c r="J235" s="216">
        <v>104</v>
      </c>
      <c r="K235" s="216">
        <v>87</v>
      </c>
      <c r="L235" s="216">
        <v>72</v>
      </c>
      <c r="M235" s="216">
        <v>84</v>
      </c>
      <c r="N235" s="216">
        <v>96</v>
      </c>
      <c r="O235" s="216">
        <v>92</v>
      </c>
      <c r="P235" s="216">
        <v>95</v>
      </c>
      <c r="Q235" s="216">
        <v>105</v>
      </c>
      <c r="R235" s="216">
        <v>143</v>
      </c>
      <c r="S235" s="216">
        <v>67</v>
      </c>
      <c r="T235" s="216">
        <v>119</v>
      </c>
      <c r="U235" s="216">
        <v>103</v>
      </c>
      <c r="V235" s="216">
        <v>53</v>
      </c>
      <c r="W235" s="216">
        <v>89</v>
      </c>
      <c r="X235" s="216">
        <v>147</v>
      </c>
      <c r="Y235" s="216">
        <v>70</v>
      </c>
      <c r="Z235" s="216">
        <v>45</v>
      </c>
      <c r="AA235" s="216">
        <v>11</v>
      </c>
      <c r="AB235" s="216">
        <v>1</v>
      </c>
      <c r="AC235" s="216">
        <v>8</v>
      </c>
      <c r="AD235" s="216">
        <v>72</v>
      </c>
      <c r="AE235" s="216">
        <v>8</v>
      </c>
      <c r="AF235" s="216"/>
      <c r="AG235" s="226"/>
      <c r="AH235" s="226"/>
      <c r="AI235" s="226"/>
      <c r="AJ235" s="227"/>
      <c r="AL235" s="252">
        <v>1981</v>
      </c>
      <c r="AM235" s="323"/>
      <c r="DC235" s="323"/>
    </row>
    <row r="236" spans="2:107 14889:15281" s="9" customFormat="1" x14ac:dyDescent="0.25">
      <c r="B236" s="100"/>
      <c r="C236" s="141" t="s">
        <v>9</v>
      </c>
      <c r="D236" s="245">
        <v>491.59</v>
      </c>
      <c r="E236" s="8" t="s">
        <v>137</v>
      </c>
      <c r="F236" s="216">
        <v>318</v>
      </c>
      <c r="G236" s="216">
        <v>312</v>
      </c>
      <c r="H236" s="216">
        <v>360.7</v>
      </c>
      <c r="I236" s="216">
        <v>276</v>
      </c>
      <c r="J236" s="216">
        <v>290.3</v>
      </c>
      <c r="K236" s="216">
        <v>343.1</v>
      </c>
      <c r="L236" s="216">
        <v>281.10000000000002</v>
      </c>
      <c r="M236" s="216">
        <v>202.6</v>
      </c>
      <c r="N236" s="216">
        <v>368</v>
      </c>
      <c r="O236" s="216">
        <v>320</v>
      </c>
      <c r="P236" s="216">
        <v>352.7</v>
      </c>
      <c r="Q236" s="216">
        <v>339.1</v>
      </c>
      <c r="R236" s="216">
        <v>376.8</v>
      </c>
      <c r="S236" s="216">
        <v>352</v>
      </c>
      <c r="T236" s="216">
        <v>320</v>
      </c>
      <c r="U236" s="216">
        <v>384</v>
      </c>
      <c r="V236" s="216">
        <v>288</v>
      </c>
      <c r="W236" s="216">
        <v>320</v>
      </c>
      <c r="X236" s="216">
        <v>384</v>
      </c>
      <c r="Y236" s="216">
        <v>384</v>
      </c>
      <c r="Z236" s="216">
        <v>320</v>
      </c>
      <c r="AA236" s="216">
        <v>256</v>
      </c>
      <c r="AB236" s="216">
        <v>272</v>
      </c>
      <c r="AC236" s="216">
        <v>304</v>
      </c>
      <c r="AD236" s="216">
        <v>112</v>
      </c>
      <c r="AE236" s="216">
        <v>304</v>
      </c>
      <c r="AF236" s="216">
        <v>176</v>
      </c>
      <c r="AG236" s="226">
        <v>0</v>
      </c>
      <c r="AH236" s="226">
        <v>0</v>
      </c>
      <c r="AI236" s="226">
        <v>230.4</v>
      </c>
      <c r="AJ236" s="227">
        <v>457</v>
      </c>
      <c r="AL236" s="252">
        <v>9003.7999999999993</v>
      </c>
      <c r="DC236" s="323"/>
    </row>
    <row r="237" spans="2:107 14889:15281" s="9" customFormat="1" x14ac:dyDescent="0.25">
      <c r="B237" s="100"/>
      <c r="C237" s="141" t="s">
        <v>8</v>
      </c>
      <c r="D237" s="245">
        <v>337.28</v>
      </c>
      <c r="E237" s="8" t="s">
        <v>137</v>
      </c>
      <c r="F237" s="216">
        <v>297</v>
      </c>
      <c r="G237" s="216">
        <v>-21</v>
      </c>
      <c r="H237" s="216">
        <v>346.29999999999995</v>
      </c>
      <c r="I237" s="216">
        <v>79</v>
      </c>
      <c r="J237" s="216">
        <v>186.7</v>
      </c>
      <c r="K237" s="216">
        <v>313.89999999999998</v>
      </c>
      <c r="L237" s="216">
        <v>61.899999999999977</v>
      </c>
      <c r="M237" s="216">
        <v>373.4</v>
      </c>
      <c r="N237" s="216">
        <v>319</v>
      </c>
      <c r="O237" s="216">
        <v>192</v>
      </c>
      <c r="P237" s="216">
        <v>403.3</v>
      </c>
      <c r="Q237" s="216">
        <v>73.899999999999977</v>
      </c>
      <c r="R237" s="216">
        <v>277.20000000000005</v>
      </c>
      <c r="S237" s="216">
        <v>356</v>
      </c>
      <c r="T237" s="216">
        <v>429</v>
      </c>
      <c r="U237" s="216">
        <v>100</v>
      </c>
      <c r="V237" s="216">
        <v>198</v>
      </c>
      <c r="W237" s="216">
        <v>108</v>
      </c>
      <c r="X237" s="216">
        <v>427</v>
      </c>
      <c r="Y237" s="216">
        <v>446</v>
      </c>
      <c r="Z237" s="216">
        <v>179</v>
      </c>
      <c r="AA237" s="216">
        <v>129</v>
      </c>
      <c r="AB237" s="216">
        <v>13</v>
      </c>
      <c r="AC237" s="216">
        <v>139</v>
      </c>
      <c r="AD237" s="216">
        <v>335</v>
      </c>
      <c r="AE237" s="216">
        <v>209</v>
      </c>
      <c r="AF237" s="216">
        <v>69</v>
      </c>
      <c r="AG237" s="216">
        <v>0</v>
      </c>
      <c r="AH237" s="216">
        <v>0</v>
      </c>
      <c r="AI237" s="216">
        <v>-230.4</v>
      </c>
      <c r="AJ237" s="227">
        <v>27</v>
      </c>
      <c r="AL237" s="252">
        <v>5836.2000000000007</v>
      </c>
      <c r="DC237" s="323"/>
    </row>
    <row r="238" spans="2:107 14889:15281" s="9" customFormat="1" ht="15.75" thickBot="1" x14ac:dyDescent="0.3">
      <c r="B238" s="185"/>
      <c r="C238" s="141" t="s">
        <v>7</v>
      </c>
      <c r="D238" s="245">
        <v>330</v>
      </c>
      <c r="E238" s="8" t="s">
        <v>137</v>
      </c>
      <c r="F238" s="216">
        <v>130</v>
      </c>
      <c r="G238" s="216">
        <v>144</v>
      </c>
      <c r="H238" s="216">
        <v>198</v>
      </c>
      <c r="I238" s="216">
        <v>179</v>
      </c>
      <c r="J238" s="216">
        <v>290</v>
      </c>
      <c r="K238" s="216">
        <v>180</v>
      </c>
      <c r="L238" s="216">
        <v>188</v>
      </c>
      <c r="M238" s="216">
        <v>201</v>
      </c>
      <c r="N238" s="216">
        <v>330</v>
      </c>
      <c r="O238" s="216">
        <v>284</v>
      </c>
      <c r="P238" s="216">
        <v>280</v>
      </c>
      <c r="Q238" s="216">
        <v>214</v>
      </c>
      <c r="R238" s="216">
        <v>212</v>
      </c>
      <c r="S238" s="216">
        <v>300</v>
      </c>
      <c r="T238" s="216">
        <v>234</v>
      </c>
      <c r="U238" s="216">
        <v>257</v>
      </c>
      <c r="V238" s="216">
        <v>179</v>
      </c>
      <c r="W238" s="216">
        <v>195</v>
      </c>
      <c r="X238" s="216">
        <v>289</v>
      </c>
      <c r="Y238" s="216">
        <v>329</v>
      </c>
      <c r="Z238" s="216">
        <v>162</v>
      </c>
      <c r="AA238" s="216">
        <v>133</v>
      </c>
      <c r="AB238" s="216">
        <v>118</v>
      </c>
      <c r="AC238" s="216">
        <v>156</v>
      </c>
      <c r="AD238" s="216">
        <v>228</v>
      </c>
      <c r="AE238" s="216">
        <v>132</v>
      </c>
      <c r="AF238" s="216">
        <v>134</v>
      </c>
      <c r="AG238" s="226">
        <v>0</v>
      </c>
      <c r="AH238" s="226">
        <v>0</v>
      </c>
      <c r="AI238" s="226"/>
      <c r="AJ238" s="227">
        <v>24</v>
      </c>
      <c r="AL238" s="252">
        <v>5700</v>
      </c>
      <c r="DC238" s="323"/>
    </row>
    <row r="239" spans="2:107 14889:15281" s="3" customFormat="1" x14ac:dyDescent="0.25">
      <c r="B239" s="124">
        <v>11</v>
      </c>
      <c r="C239" s="111" t="s">
        <v>6</v>
      </c>
      <c r="D239" s="258"/>
      <c r="E239" s="11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46"/>
      <c r="AH239" s="46"/>
      <c r="AI239" s="46"/>
      <c r="AJ239" s="47"/>
      <c r="AL239" s="186" t="s">
        <v>5</v>
      </c>
      <c r="DC239" s="16"/>
      <c r="UZQ239" s="190"/>
      <c r="UZR239" s="190"/>
      <c r="UZS239" s="190"/>
      <c r="UZT239" s="190"/>
      <c r="UZU239" s="190"/>
      <c r="UZV239" s="190"/>
      <c r="UZW239" s="190"/>
      <c r="UZX239" s="190"/>
      <c r="UZY239" s="190"/>
      <c r="UZZ239" s="190"/>
      <c r="VAA239" s="190"/>
      <c r="VAB239" s="190"/>
      <c r="VAC239" s="190"/>
      <c r="VAD239" s="190"/>
      <c r="VAE239" s="190"/>
      <c r="VAF239" s="190"/>
      <c r="VAG239" s="190"/>
      <c r="VAH239" s="190"/>
      <c r="VAI239" s="190"/>
      <c r="VAJ239" s="190"/>
      <c r="VAK239" s="190"/>
      <c r="VAL239" s="190"/>
      <c r="VAM239" s="190"/>
      <c r="VAN239" s="190"/>
      <c r="VAO239" s="190"/>
      <c r="VAP239" s="190"/>
      <c r="VAQ239" s="190"/>
      <c r="VAR239" s="190"/>
      <c r="VAS239" s="190"/>
      <c r="VAT239" s="190"/>
      <c r="VAU239" s="190"/>
      <c r="VAV239" s="190"/>
      <c r="VAW239" s="190"/>
      <c r="VAX239" s="190"/>
      <c r="VAY239" s="190"/>
      <c r="VAZ239" s="190"/>
      <c r="VBA239" s="190"/>
      <c r="VBB239" s="190"/>
      <c r="VBC239" s="190"/>
      <c r="VBD239" s="190"/>
      <c r="VBE239" s="190"/>
      <c r="VBF239" s="190"/>
      <c r="VBG239" s="190"/>
      <c r="VBH239" s="190"/>
      <c r="VBI239" s="190"/>
      <c r="VBJ239" s="190"/>
      <c r="VBK239" s="190"/>
      <c r="VBL239" s="190"/>
      <c r="VBM239" s="190"/>
      <c r="VBN239" s="190"/>
      <c r="VBO239" s="190"/>
      <c r="VBP239" s="190"/>
      <c r="VBQ239" s="190"/>
      <c r="VBR239" s="190"/>
      <c r="VBS239" s="190"/>
      <c r="VBT239" s="190"/>
      <c r="VBU239" s="190"/>
      <c r="VBV239" s="190"/>
      <c r="VBW239" s="190"/>
      <c r="VBX239" s="190"/>
      <c r="VBY239" s="190"/>
      <c r="VBZ239" s="190"/>
      <c r="VCA239" s="190"/>
      <c r="VCB239" s="190"/>
      <c r="VCC239" s="190"/>
      <c r="VCD239" s="190"/>
      <c r="VCE239" s="190"/>
      <c r="VCF239" s="190"/>
      <c r="VCG239" s="190"/>
      <c r="VCH239" s="190"/>
      <c r="VCI239" s="190"/>
      <c r="VCJ239" s="190"/>
      <c r="VCK239" s="190"/>
      <c r="VCL239" s="190"/>
      <c r="VCM239" s="190"/>
      <c r="VCN239" s="190"/>
      <c r="VCO239" s="190"/>
      <c r="VCP239" s="190"/>
      <c r="VCQ239" s="190"/>
      <c r="VCR239" s="190"/>
      <c r="VCS239" s="190"/>
      <c r="VCT239" s="190"/>
      <c r="VCU239" s="190"/>
      <c r="VCV239" s="190"/>
      <c r="VCW239" s="190"/>
      <c r="VCX239" s="190"/>
      <c r="VCY239" s="190"/>
      <c r="VCZ239" s="190"/>
      <c r="VDA239" s="190"/>
      <c r="VDB239" s="190"/>
      <c r="VDC239" s="190"/>
      <c r="VDD239" s="190"/>
      <c r="VDE239" s="190"/>
      <c r="VDF239" s="190"/>
      <c r="VDG239" s="190"/>
      <c r="VDH239" s="190"/>
      <c r="VDI239" s="190"/>
      <c r="VDJ239" s="190"/>
      <c r="VDK239" s="190"/>
      <c r="VDL239" s="190"/>
      <c r="VDM239" s="190"/>
      <c r="VDN239" s="190"/>
      <c r="VDO239" s="190"/>
      <c r="VDP239" s="190"/>
      <c r="VDQ239" s="190"/>
      <c r="VDR239" s="190"/>
      <c r="VDS239" s="190"/>
      <c r="VDT239" s="190"/>
      <c r="VDU239" s="190"/>
      <c r="VDV239" s="190"/>
      <c r="VDW239" s="190"/>
      <c r="VDX239" s="190"/>
      <c r="VDY239" s="190"/>
      <c r="VDZ239" s="190"/>
      <c r="VEA239" s="190"/>
      <c r="VEB239" s="190"/>
      <c r="VEC239" s="190"/>
      <c r="VED239" s="190"/>
      <c r="VEE239" s="190"/>
      <c r="VEF239" s="190"/>
      <c r="VEG239" s="190"/>
      <c r="VEH239" s="190"/>
      <c r="VEI239" s="190"/>
      <c r="VEJ239" s="190"/>
      <c r="VEK239" s="190"/>
      <c r="VEL239" s="190"/>
      <c r="VEM239" s="190"/>
      <c r="VEN239" s="190"/>
      <c r="VEO239" s="190"/>
      <c r="VEP239" s="190"/>
      <c r="VEQ239" s="190"/>
      <c r="VER239" s="190"/>
      <c r="VES239" s="190"/>
      <c r="VET239" s="190"/>
      <c r="VEU239" s="190"/>
      <c r="VEV239" s="190"/>
      <c r="VEW239" s="190"/>
      <c r="VEX239" s="190"/>
      <c r="VEY239" s="190"/>
      <c r="VEZ239" s="190"/>
      <c r="VFA239" s="190"/>
      <c r="VFB239" s="190"/>
      <c r="VFC239" s="190"/>
      <c r="VFD239" s="190"/>
      <c r="VFE239" s="190"/>
      <c r="VFF239" s="190"/>
      <c r="VFG239" s="190"/>
      <c r="VFH239" s="190"/>
      <c r="VFI239" s="190"/>
      <c r="VFJ239" s="190"/>
      <c r="VFK239" s="190"/>
      <c r="VFL239" s="190"/>
      <c r="VFM239" s="190"/>
      <c r="VFN239" s="190"/>
      <c r="VFO239" s="190"/>
      <c r="VFP239" s="190"/>
      <c r="VFQ239" s="190"/>
      <c r="VFR239" s="190"/>
      <c r="VFS239" s="190"/>
      <c r="VFT239" s="190"/>
      <c r="VFU239" s="190"/>
      <c r="VFV239" s="190"/>
      <c r="VFW239" s="190"/>
      <c r="VFX239" s="190"/>
      <c r="VFY239" s="190"/>
      <c r="VFZ239" s="190"/>
      <c r="VGA239" s="190"/>
      <c r="VGB239" s="190"/>
      <c r="VGC239" s="190"/>
      <c r="VGD239" s="190"/>
      <c r="VGE239" s="190"/>
      <c r="VGF239" s="190"/>
      <c r="VGG239" s="190"/>
      <c r="VGH239" s="190"/>
      <c r="VGI239" s="190"/>
      <c r="VGJ239" s="190"/>
      <c r="VGK239" s="190"/>
      <c r="VGL239" s="190"/>
      <c r="VGM239" s="190"/>
      <c r="VGN239" s="190"/>
      <c r="VGO239" s="190"/>
      <c r="VGP239" s="190"/>
      <c r="VGQ239" s="190"/>
      <c r="VGR239" s="190"/>
      <c r="VGS239" s="190"/>
      <c r="VGT239" s="190"/>
      <c r="VGU239" s="190"/>
      <c r="VGV239" s="190"/>
      <c r="VGW239" s="190"/>
      <c r="VGX239" s="190"/>
      <c r="VGY239" s="190"/>
      <c r="VGZ239" s="190"/>
      <c r="VHA239" s="190"/>
      <c r="VHB239" s="190"/>
      <c r="VHC239" s="190"/>
      <c r="VHD239" s="190"/>
      <c r="VHE239" s="190"/>
      <c r="VHF239" s="190"/>
      <c r="VHG239" s="190"/>
      <c r="VHH239" s="190"/>
      <c r="VHI239" s="190"/>
      <c r="VHJ239" s="190"/>
      <c r="VHK239" s="190"/>
      <c r="VHL239" s="190"/>
      <c r="VHM239" s="190"/>
      <c r="VHN239" s="190"/>
      <c r="VHO239" s="190"/>
      <c r="VHP239" s="190"/>
      <c r="VHQ239" s="190"/>
      <c r="VHR239" s="190"/>
      <c r="VHS239" s="190"/>
      <c r="VHT239" s="190"/>
      <c r="VHU239" s="190"/>
      <c r="VHV239" s="190"/>
      <c r="VHW239" s="190"/>
      <c r="VHX239" s="190"/>
      <c r="VHY239" s="190"/>
      <c r="VHZ239" s="190"/>
      <c r="VIA239" s="190"/>
      <c r="VIB239" s="190"/>
      <c r="VIC239" s="190"/>
      <c r="VID239" s="190"/>
      <c r="VIE239" s="190"/>
      <c r="VIF239" s="190"/>
      <c r="VIG239" s="190"/>
      <c r="VIH239" s="190"/>
      <c r="VII239" s="190"/>
      <c r="VIJ239" s="190"/>
      <c r="VIK239" s="190"/>
      <c r="VIL239" s="190"/>
      <c r="VIM239" s="190"/>
      <c r="VIN239" s="190"/>
      <c r="VIO239" s="190"/>
      <c r="VIP239" s="190"/>
      <c r="VIQ239" s="190"/>
      <c r="VIR239" s="190"/>
      <c r="VIS239" s="190"/>
      <c r="VIT239" s="190"/>
      <c r="VIU239" s="190"/>
      <c r="VIV239" s="190"/>
      <c r="VIW239" s="190"/>
      <c r="VIX239" s="190"/>
      <c r="VIY239" s="190"/>
      <c r="VIZ239" s="190"/>
      <c r="VJA239" s="190"/>
      <c r="VJB239" s="190"/>
      <c r="VJC239" s="190"/>
      <c r="VJD239" s="190"/>
      <c r="VJE239" s="190"/>
      <c r="VJF239" s="190"/>
      <c r="VJG239" s="190"/>
      <c r="VJH239" s="190"/>
      <c r="VJI239" s="190"/>
      <c r="VJJ239" s="190"/>
      <c r="VJK239" s="190"/>
      <c r="VJL239" s="190"/>
      <c r="VJM239" s="190"/>
      <c r="VJN239" s="190"/>
      <c r="VJO239" s="190"/>
      <c r="VJP239" s="190"/>
      <c r="VJQ239" s="190"/>
      <c r="VJR239" s="190"/>
      <c r="VJS239" s="190"/>
      <c r="VJT239" s="190"/>
      <c r="VJU239" s="190"/>
      <c r="VJV239" s="190"/>
      <c r="VJW239" s="190"/>
      <c r="VJX239" s="190"/>
      <c r="VJY239" s="190"/>
      <c r="VJZ239" s="190"/>
      <c r="VKA239" s="190"/>
      <c r="VKB239" s="190"/>
      <c r="VKC239" s="190"/>
      <c r="VKD239" s="190"/>
      <c r="VKE239" s="190"/>
      <c r="VKF239" s="190"/>
      <c r="VKG239" s="190"/>
      <c r="VKH239" s="190"/>
      <c r="VKI239" s="190"/>
      <c r="VKJ239" s="190"/>
      <c r="VKK239" s="190"/>
      <c r="VKL239" s="190"/>
      <c r="VKM239" s="190"/>
      <c r="VKN239" s="190"/>
      <c r="VKO239" s="190"/>
      <c r="VKP239" s="190"/>
      <c r="VKQ239" s="190"/>
      <c r="VKR239" s="190"/>
      <c r="VKS239" s="190"/>
      <c r="VKT239" s="190"/>
      <c r="VKU239" s="190"/>
      <c r="VKV239" s="190"/>
      <c r="VKW239" s="190"/>
      <c r="VKX239" s="190"/>
      <c r="VKY239" s="190"/>
      <c r="VKZ239" s="190"/>
      <c r="VLA239" s="190"/>
      <c r="VLB239" s="190"/>
      <c r="VLC239" s="190"/>
      <c r="VLD239" s="190"/>
      <c r="VLE239" s="190"/>
      <c r="VLF239" s="190"/>
      <c r="VLG239" s="190"/>
      <c r="VLH239" s="190"/>
      <c r="VLI239" s="190"/>
      <c r="VLJ239" s="190"/>
      <c r="VLK239" s="190"/>
      <c r="VLL239" s="190"/>
      <c r="VLM239" s="190"/>
      <c r="VLN239" s="190"/>
      <c r="VLO239" s="190"/>
      <c r="VLP239" s="190"/>
      <c r="VLQ239" s="190"/>
      <c r="VLR239" s="190"/>
      <c r="VLS239" s="190"/>
      <c r="VLT239" s="190"/>
      <c r="VLU239" s="190"/>
      <c r="VLV239" s="190"/>
      <c r="VLW239" s="190"/>
      <c r="VLX239" s="190"/>
      <c r="VLY239" s="190"/>
      <c r="VLZ239" s="190"/>
      <c r="VMA239" s="190"/>
      <c r="VMB239" s="190"/>
      <c r="VMC239" s="190"/>
      <c r="VMD239" s="190"/>
      <c r="VME239" s="190"/>
      <c r="VMF239" s="190"/>
      <c r="VMG239" s="190"/>
      <c r="VMH239" s="190"/>
      <c r="VMI239" s="190"/>
      <c r="VMJ239" s="190"/>
      <c r="VMK239" s="190"/>
      <c r="VML239" s="190"/>
      <c r="VMM239" s="190"/>
      <c r="VMN239" s="190"/>
      <c r="VMO239" s="190"/>
      <c r="VMP239" s="190"/>
      <c r="VMQ239" s="190"/>
      <c r="VMR239" s="190"/>
      <c r="VMS239" s="190"/>
      <c r="VMT239" s="190"/>
      <c r="VMU239" s="190"/>
      <c r="VMV239" s="190"/>
      <c r="VMW239" s="190"/>
      <c r="VMX239" s="190"/>
      <c r="VMY239" s="190"/>
      <c r="VMZ239" s="190"/>
      <c r="VNA239" s="190"/>
      <c r="VNB239" s="190"/>
      <c r="VNC239" s="190"/>
      <c r="VND239" s="190"/>
      <c r="VNE239" s="190"/>
      <c r="VNF239" s="190"/>
      <c r="VNG239" s="190"/>
      <c r="VNH239" s="190"/>
      <c r="VNI239" s="190"/>
      <c r="VNJ239" s="190"/>
      <c r="VNK239" s="190"/>
      <c r="VNL239" s="190"/>
      <c r="VNM239" s="190"/>
      <c r="VNN239" s="190"/>
      <c r="VNO239" s="190"/>
      <c r="VNP239" s="190"/>
      <c r="VNQ239" s="190"/>
      <c r="VNR239" s="190"/>
      <c r="VNS239" s="190"/>
      <c r="VNT239" s="190"/>
      <c r="VNU239" s="190"/>
      <c r="VNV239" s="190"/>
      <c r="VNW239" s="190"/>
      <c r="VNX239" s="190"/>
      <c r="VNY239" s="190"/>
      <c r="VNZ239" s="190"/>
      <c r="VOA239" s="190"/>
      <c r="VOB239" s="190"/>
      <c r="VOC239" s="190"/>
      <c r="VOD239" s="190"/>
      <c r="VOE239" s="190"/>
      <c r="VOF239" s="190"/>
      <c r="VOG239" s="190"/>
      <c r="VOH239" s="190"/>
      <c r="VOI239" s="190"/>
      <c r="VOJ239" s="190"/>
      <c r="VOK239" s="190"/>
      <c r="VOL239" s="190"/>
      <c r="VOM239" s="190"/>
      <c r="VON239" s="190"/>
      <c r="VOO239" s="190"/>
      <c r="VOP239" s="190"/>
      <c r="VOQ239" s="190"/>
      <c r="VOR239" s="190"/>
      <c r="VOS239" s="190"/>
    </row>
    <row r="240" spans="2:107 14889:15281" s="3" customFormat="1" x14ac:dyDescent="0.25">
      <c r="B240" s="124"/>
      <c r="C240" s="187" t="s">
        <v>4</v>
      </c>
      <c r="D240" s="188"/>
      <c r="E240" s="18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62"/>
      <c r="AH240" s="62"/>
      <c r="AI240" s="62"/>
      <c r="AJ240" s="63"/>
      <c r="AL240" s="58" t="s">
        <v>4</v>
      </c>
      <c r="DC240" s="16"/>
      <c r="UZQ240" s="190"/>
      <c r="UZR240" s="190"/>
      <c r="UZS240" s="190"/>
      <c r="UZT240" s="190"/>
      <c r="UZU240" s="190"/>
      <c r="UZV240" s="190"/>
      <c r="UZW240" s="190"/>
      <c r="UZX240" s="190"/>
      <c r="UZY240" s="190"/>
      <c r="UZZ240" s="190"/>
      <c r="VAA240" s="190"/>
      <c r="VAB240" s="190"/>
      <c r="VAC240" s="190"/>
      <c r="VAD240" s="190"/>
      <c r="VAE240" s="190"/>
      <c r="VAF240" s="190"/>
      <c r="VAG240" s="190"/>
      <c r="VAH240" s="190"/>
      <c r="VAI240" s="190"/>
      <c r="VAJ240" s="190"/>
      <c r="VAK240" s="190"/>
      <c r="VAL240" s="190"/>
      <c r="VAM240" s="190"/>
      <c r="VAN240" s="190"/>
      <c r="VAO240" s="190"/>
      <c r="VAP240" s="190"/>
      <c r="VAQ240" s="190"/>
      <c r="VAR240" s="190"/>
      <c r="VAS240" s="190"/>
      <c r="VAT240" s="190"/>
      <c r="VAU240" s="190"/>
      <c r="VAV240" s="190"/>
      <c r="VAW240" s="190"/>
      <c r="VAX240" s="190"/>
      <c r="VAY240" s="190"/>
      <c r="VAZ240" s="190"/>
      <c r="VBA240" s="190"/>
      <c r="VBB240" s="190"/>
      <c r="VBC240" s="190"/>
      <c r="VBD240" s="190"/>
      <c r="VBE240" s="190"/>
      <c r="VBF240" s="190"/>
      <c r="VBG240" s="190"/>
      <c r="VBH240" s="190"/>
      <c r="VBI240" s="190"/>
      <c r="VBJ240" s="190"/>
      <c r="VBK240" s="190"/>
      <c r="VBL240" s="190"/>
      <c r="VBM240" s="190"/>
      <c r="VBN240" s="190"/>
      <c r="VBO240" s="190"/>
      <c r="VBP240" s="190"/>
      <c r="VBQ240" s="190"/>
      <c r="VBR240" s="190"/>
      <c r="VBS240" s="190"/>
      <c r="VBT240" s="190"/>
      <c r="VBU240" s="190"/>
      <c r="VBV240" s="190"/>
      <c r="VBW240" s="190"/>
      <c r="VBX240" s="190"/>
      <c r="VBY240" s="190"/>
      <c r="VBZ240" s="190"/>
      <c r="VCA240" s="190"/>
      <c r="VCB240" s="190"/>
      <c r="VCC240" s="190"/>
      <c r="VCD240" s="190"/>
      <c r="VCE240" s="190"/>
      <c r="VCF240" s="190"/>
      <c r="VCG240" s="190"/>
      <c r="VCH240" s="190"/>
      <c r="VCI240" s="190"/>
      <c r="VCJ240" s="190"/>
      <c r="VCK240" s="190"/>
      <c r="VCL240" s="190"/>
      <c r="VCM240" s="190"/>
      <c r="VCN240" s="190"/>
      <c r="VCO240" s="190"/>
      <c r="VCP240" s="190"/>
      <c r="VCQ240" s="190"/>
      <c r="VCR240" s="190"/>
      <c r="VCS240" s="190"/>
      <c r="VCT240" s="190"/>
      <c r="VCU240" s="190"/>
      <c r="VCV240" s="190"/>
      <c r="VCW240" s="190"/>
      <c r="VCX240" s="190"/>
      <c r="VCY240" s="190"/>
      <c r="VCZ240" s="190"/>
      <c r="VDA240" s="190"/>
      <c r="VDB240" s="190"/>
      <c r="VDC240" s="190"/>
      <c r="VDD240" s="190"/>
      <c r="VDE240" s="190"/>
      <c r="VDF240" s="190"/>
      <c r="VDG240" s="190"/>
      <c r="VDH240" s="190"/>
      <c r="VDI240" s="190"/>
      <c r="VDJ240" s="190"/>
      <c r="VDK240" s="190"/>
      <c r="VDL240" s="190"/>
      <c r="VDM240" s="190"/>
      <c r="VDN240" s="190"/>
      <c r="VDO240" s="190"/>
      <c r="VDP240" s="190"/>
      <c r="VDQ240" s="190"/>
      <c r="VDR240" s="190"/>
      <c r="VDS240" s="190"/>
      <c r="VDT240" s="190"/>
      <c r="VDU240" s="190"/>
      <c r="VDV240" s="190"/>
      <c r="VDW240" s="190"/>
      <c r="VDX240" s="190"/>
      <c r="VDY240" s="190"/>
      <c r="VDZ240" s="190"/>
      <c r="VEA240" s="190"/>
      <c r="VEB240" s="190"/>
      <c r="VEC240" s="190"/>
      <c r="VED240" s="190"/>
      <c r="VEE240" s="190"/>
      <c r="VEF240" s="190"/>
      <c r="VEG240" s="190"/>
      <c r="VEH240" s="190"/>
      <c r="VEI240" s="190"/>
      <c r="VEJ240" s="190"/>
      <c r="VEK240" s="190"/>
      <c r="VEL240" s="190"/>
      <c r="VEM240" s="190"/>
      <c r="VEN240" s="190"/>
      <c r="VEO240" s="190"/>
      <c r="VEP240" s="190"/>
      <c r="VEQ240" s="190"/>
      <c r="VER240" s="190"/>
      <c r="VES240" s="190"/>
      <c r="VET240" s="190"/>
      <c r="VEU240" s="190"/>
      <c r="VEV240" s="190"/>
      <c r="VEW240" s="190"/>
      <c r="VEX240" s="190"/>
      <c r="VEY240" s="190"/>
      <c r="VEZ240" s="190"/>
      <c r="VFA240" s="190"/>
      <c r="VFB240" s="190"/>
      <c r="VFC240" s="190"/>
      <c r="VFD240" s="190"/>
      <c r="VFE240" s="190"/>
      <c r="VFF240" s="190"/>
      <c r="VFG240" s="190"/>
      <c r="VFH240" s="190"/>
      <c r="VFI240" s="190"/>
      <c r="VFJ240" s="190"/>
      <c r="VFK240" s="190"/>
      <c r="VFL240" s="190"/>
      <c r="VFM240" s="190"/>
      <c r="VFN240" s="190"/>
      <c r="VFO240" s="190"/>
      <c r="VFP240" s="190"/>
      <c r="VFQ240" s="190"/>
      <c r="VFR240" s="190"/>
      <c r="VFS240" s="190"/>
      <c r="VFT240" s="190"/>
      <c r="VFU240" s="190"/>
      <c r="VFV240" s="190"/>
      <c r="VFW240" s="190"/>
      <c r="VFX240" s="190"/>
      <c r="VFY240" s="190"/>
      <c r="VFZ240" s="190"/>
      <c r="VGA240" s="190"/>
      <c r="VGB240" s="190"/>
      <c r="VGC240" s="190"/>
      <c r="VGD240" s="190"/>
      <c r="VGE240" s="190"/>
      <c r="VGF240" s="190"/>
      <c r="VGG240" s="190"/>
      <c r="VGH240" s="190"/>
      <c r="VGI240" s="190"/>
      <c r="VGJ240" s="190"/>
      <c r="VGK240" s="190"/>
      <c r="VGL240" s="190"/>
      <c r="VGM240" s="190"/>
      <c r="VGN240" s="190"/>
      <c r="VGO240" s="190"/>
      <c r="VGP240" s="190"/>
      <c r="VGQ240" s="190"/>
      <c r="VGR240" s="190"/>
      <c r="VGS240" s="190"/>
      <c r="VGT240" s="190"/>
      <c r="VGU240" s="190"/>
      <c r="VGV240" s="190"/>
      <c r="VGW240" s="190"/>
      <c r="VGX240" s="190"/>
      <c r="VGY240" s="190"/>
      <c r="VGZ240" s="190"/>
      <c r="VHA240" s="190"/>
      <c r="VHB240" s="190"/>
      <c r="VHC240" s="190"/>
      <c r="VHD240" s="190"/>
      <c r="VHE240" s="190"/>
      <c r="VHF240" s="190"/>
      <c r="VHG240" s="190"/>
      <c r="VHH240" s="190"/>
      <c r="VHI240" s="190"/>
      <c r="VHJ240" s="190"/>
      <c r="VHK240" s="190"/>
      <c r="VHL240" s="190"/>
      <c r="VHM240" s="190"/>
      <c r="VHN240" s="190"/>
      <c r="VHO240" s="190"/>
      <c r="VHP240" s="190"/>
      <c r="VHQ240" s="190"/>
      <c r="VHR240" s="190"/>
      <c r="VHS240" s="190"/>
      <c r="VHT240" s="190"/>
      <c r="VHU240" s="190"/>
      <c r="VHV240" s="190"/>
      <c r="VHW240" s="190"/>
      <c r="VHX240" s="190"/>
      <c r="VHY240" s="190"/>
      <c r="VHZ240" s="190"/>
      <c r="VIA240" s="190"/>
      <c r="VIB240" s="190"/>
      <c r="VIC240" s="190"/>
      <c r="VID240" s="190"/>
      <c r="VIE240" s="190"/>
      <c r="VIF240" s="190"/>
      <c r="VIG240" s="190"/>
      <c r="VIH240" s="190"/>
      <c r="VII240" s="190"/>
      <c r="VIJ240" s="190"/>
      <c r="VIK240" s="190"/>
      <c r="VIL240" s="190"/>
      <c r="VIM240" s="190"/>
      <c r="VIN240" s="190"/>
      <c r="VIO240" s="190"/>
      <c r="VIP240" s="190"/>
      <c r="VIQ240" s="190"/>
      <c r="VIR240" s="190"/>
      <c r="VIS240" s="190"/>
      <c r="VIT240" s="190"/>
      <c r="VIU240" s="190"/>
      <c r="VIV240" s="190"/>
      <c r="VIW240" s="190"/>
      <c r="VIX240" s="190"/>
      <c r="VIY240" s="190"/>
      <c r="VIZ240" s="190"/>
      <c r="VJA240" s="190"/>
      <c r="VJB240" s="190"/>
      <c r="VJC240" s="190"/>
      <c r="VJD240" s="190"/>
      <c r="VJE240" s="190"/>
      <c r="VJF240" s="190"/>
      <c r="VJG240" s="190"/>
      <c r="VJH240" s="190"/>
      <c r="VJI240" s="190"/>
      <c r="VJJ240" s="190"/>
      <c r="VJK240" s="190"/>
      <c r="VJL240" s="190"/>
      <c r="VJM240" s="190"/>
      <c r="VJN240" s="190"/>
      <c r="VJO240" s="190"/>
      <c r="VJP240" s="190"/>
      <c r="VJQ240" s="190"/>
      <c r="VJR240" s="190"/>
      <c r="VJS240" s="190"/>
      <c r="VJT240" s="190"/>
      <c r="VJU240" s="190"/>
      <c r="VJV240" s="190"/>
      <c r="VJW240" s="190"/>
      <c r="VJX240" s="190"/>
      <c r="VJY240" s="190"/>
      <c r="VJZ240" s="190"/>
      <c r="VKA240" s="190"/>
      <c r="VKB240" s="190"/>
      <c r="VKC240" s="190"/>
      <c r="VKD240" s="190"/>
      <c r="VKE240" s="190"/>
      <c r="VKF240" s="190"/>
      <c r="VKG240" s="190"/>
      <c r="VKH240" s="190"/>
      <c r="VKI240" s="190"/>
      <c r="VKJ240" s="190"/>
      <c r="VKK240" s="190"/>
      <c r="VKL240" s="190"/>
      <c r="VKM240" s="190"/>
      <c r="VKN240" s="190"/>
      <c r="VKO240" s="190"/>
      <c r="VKP240" s="190"/>
      <c r="VKQ240" s="190"/>
      <c r="VKR240" s="190"/>
      <c r="VKS240" s="190"/>
      <c r="VKT240" s="190"/>
      <c r="VKU240" s="190"/>
      <c r="VKV240" s="190"/>
      <c r="VKW240" s="190"/>
      <c r="VKX240" s="190"/>
      <c r="VKY240" s="190"/>
      <c r="VKZ240" s="190"/>
      <c r="VLA240" s="190"/>
      <c r="VLB240" s="190"/>
      <c r="VLC240" s="190"/>
      <c r="VLD240" s="190"/>
      <c r="VLE240" s="190"/>
      <c r="VLF240" s="190"/>
      <c r="VLG240" s="190"/>
      <c r="VLH240" s="190"/>
      <c r="VLI240" s="190"/>
      <c r="VLJ240" s="190"/>
      <c r="VLK240" s="190"/>
      <c r="VLL240" s="190"/>
      <c r="VLM240" s="190"/>
      <c r="VLN240" s="190"/>
      <c r="VLO240" s="190"/>
      <c r="VLP240" s="190"/>
      <c r="VLQ240" s="190"/>
      <c r="VLR240" s="190"/>
      <c r="VLS240" s="190"/>
      <c r="VLT240" s="190"/>
      <c r="VLU240" s="190"/>
      <c r="VLV240" s="190"/>
      <c r="VLW240" s="190"/>
      <c r="VLX240" s="190"/>
      <c r="VLY240" s="190"/>
      <c r="VLZ240" s="190"/>
      <c r="VMA240" s="190"/>
      <c r="VMB240" s="190"/>
      <c r="VMC240" s="190"/>
      <c r="VMD240" s="190"/>
      <c r="VME240" s="190"/>
      <c r="VMF240" s="190"/>
      <c r="VMG240" s="190"/>
      <c r="VMH240" s="190"/>
      <c r="VMI240" s="190"/>
      <c r="VMJ240" s="190"/>
      <c r="VMK240" s="190"/>
      <c r="VML240" s="190"/>
      <c r="VMM240" s="190"/>
      <c r="VMN240" s="190"/>
      <c r="VMO240" s="190"/>
      <c r="VMP240" s="190"/>
      <c r="VMQ240" s="190"/>
      <c r="VMR240" s="190"/>
      <c r="VMS240" s="190"/>
      <c r="VMT240" s="190"/>
      <c r="VMU240" s="190"/>
      <c r="VMV240" s="190"/>
      <c r="VMW240" s="190"/>
      <c r="VMX240" s="190"/>
      <c r="VMY240" s="190"/>
      <c r="VMZ240" s="190"/>
      <c r="VNA240" s="190"/>
      <c r="VNB240" s="190"/>
      <c r="VNC240" s="190"/>
      <c r="VND240" s="190"/>
      <c r="VNE240" s="190"/>
      <c r="VNF240" s="190"/>
      <c r="VNG240" s="190"/>
      <c r="VNH240" s="190"/>
      <c r="VNI240" s="190"/>
      <c r="VNJ240" s="190"/>
      <c r="VNK240" s="190"/>
      <c r="VNL240" s="190"/>
      <c r="VNM240" s="190"/>
      <c r="VNN240" s="190"/>
      <c r="VNO240" s="190"/>
      <c r="VNP240" s="190"/>
      <c r="VNQ240" s="190"/>
      <c r="VNR240" s="190"/>
      <c r="VNS240" s="190"/>
      <c r="VNT240" s="190"/>
      <c r="VNU240" s="190"/>
      <c r="VNV240" s="190"/>
      <c r="VNW240" s="190"/>
      <c r="VNX240" s="190"/>
      <c r="VNY240" s="190"/>
      <c r="VNZ240" s="190"/>
      <c r="VOA240" s="190"/>
      <c r="VOB240" s="190"/>
      <c r="VOC240" s="190"/>
      <c r="VOD240" s="190"/>
      <c r="VOE240" s="190"/>
      <c r="VOF240" s="190"/>
      <c r="VOG240" s="190"/>
      <c r="VOH240" s="190"/>
      <c r="VOI240" s="190"/>
      <c r="VOJ240" s="190"/>
      <c r="VOK240" s="190"/>
      <c r="VOL240" s="190"/>
      <c r="VOM240" s="190"/>
      <c r="VON240" s="190"/>
      <c r="VOO240" s="190"/>
      <c r="VOP240" s="190"/>
      <c r="VOQ240" s="190"/>
      <c r="VOR240" s="190"/>
      <c r="VOS240" s="190"/>
    </row>
    <row r="241" spans="2:107 14889:15281" s="3" customFormat="1" x14ac:dyDescent="0.25">
      <c r="B241" s="124"/>
      <c r="C241" s="110" t="s">
        <v>3</v>
      </c>
      <c r="D241" s="66">
        <v>28770</v>
      </c>
      <c r="E241" s="79" t="s">
        <v>2</v>
      </c>
      <c r="F241" s="1">
        <v>23100</v>
      </c>
      <c r="G241" s="1">
        <v>24700</v>
      </c>
      <c r="H241" s="1">
        <v>21800</v>
      </c>
      <c r="I241" s="1">
        <v>26100</v>
      </c>
      <c r="J241" s="1">
        <v>26400</v>
      </c>
      <c r="K241" s="1">
        <v>26600</v>
      </c>
      <c r="L241" s="1">
        <v>22300</v>
      </c>
      <c r="M241" s="1">
        <v>25900</v>
      </c>
      <c r="N241" s="1">
        <v>25600</v>
      </c>
      <c r="O241" s="1">
        <v>25300</v>
      </c>
      <c r="P241" s="1">
        <v>24200</v>
      </c>
      <c r="Q241" s="1">
        <v>26700</v>
      </c>
      <c r="R241" s="1">
        <v>27300</v>
      </c>
      <c r="S241" s="1">
        <v>27200</v>
      </c>
      <c r="T241" s="1">
        <v>24800</v>
      </c>
      <c r="U241" s="1">
        <v>26600</v>
      </c>
      <c r="V241" s="1">
        <v>23000</v>
      </c>
      <c r="W241" s="1">
        <v>23900</v>
      </c>
      <c r="X241" s="1">
        <v>27500</v>
      </c>
      <c r="Y241" s="1">
        <v>25200</v>
      </c>
      <c r="Z241" s="1">
        <v>20300</v>
      </c>
      <c r="AA241" s="1">
        <v>16700</v>
      </c>
      <c r="AB241" s="1">
        <v>14500</v>
      </c>
      <c r="AC241" s="1">
        <v>18700</v>
      </c>
      <c r="AD241" s="1">
        <v>19000</v>
      </c>
      <c r="AE241" s="1">
        <v>14400</v>
      </c>
      <c r="AF241" s="1">
        <v>13400</v>
      </c>
      <c r="AG241" s="62">
        <v>10000</v>
      </c>
      <c r="AH241" s="62">
        <v>2900</v>
      </c>
      <c r="AI241" s="62">
        <v>6700</v>
      </c>
      <c r="AJ241" s="63">
        <v>13400</v>
      </c>
      <c r="AL241" s="116">
        <v>654200</v>
      </c>
      <c r="DC241" s="16"/>
      <c r="UZQ241" s="190"/>
      <c r="UZR241" s="190"/>
      <c r="UZS241" s="190"/>
      <c r="UZT241" s="190"/>
      <c r="UZU241" s="190"/>
      <c r="UZV241" s="190"/>
      <c r="UZW241" s="190"/>
      <c r="UZX241" s="190"/>
      <c r="UZY241" s="190"/>
      <c r="UZZ241" s="190"/>
      <c r="VAA241" s="190"/>
      <c r="VAB241" s="190"/>
      <c r="VAC241" s="190"/>
      <c r="VAD241" s="190"/>
      <c r="VAE241" s="190"/>
      <c r="VAF241" s="190"/>
      <c r="VAG241" s="190"/>
      <c r="VAH241" s="190"/>
      <c r="VAI241" s="190"/>
      <c r="VAJ241" s="190"/>
      <c r="VAK241" s="190"/>
      <c r="VAL241" s="190"/>
      <c r="VAM241" s="190"/>
      <c r="VAN241" s="190"/>
      <c r="VAO241" s="190"/>
      <c r="VAP241" s="190"/>
      <c r="VAQ241" s="190"/>
      <c r="VAR241" s="190"/>
      <c r="VAS241" s="190"/>
      <c r="VAT241" s="190"/>
      <c r="VAU241" s="190"/>
      <c r="VAV241" s="190"/>
      <c r="VAW241" s="190"/>
      <c r="VAX241" s="190"/>
      <c r="VAY241" s="190"/>
      <c r="VAZ241" s="190"/>
      <c r="VBA241" s="190"/>
      <c r="VBB241" s="190"/>
      <c r="VBC241" s="190"/>
      <c r="VBD241" s="190"/>
      <c r="VBE241" s="190"/>
      <c r="VBF241" s="190"/>
      <c r="VBG241" s="190"/>
      <c r="VBH241" s="190"/>
      <c r="VBI241" s="190"/>
      <c r="VBJ241" s="190"/>
      <c r="VBK241" s="190"/>
      <c r="VBL241" s="190"/>
      <c r="VBM241" s="190"/>
      <c r="VBN241" s="190"/>
      <c r="VBO241" s="190"/>
      <c r="VBP241" s="190"/>
      <c r="VBQ241" s="190"/>
      <c r="VBR241" s="190"/>
      <c r="VBS241" s="190"/>
      <c r="VBT241" s="190"/>
      <c r="VBU241" s="190"/>
      <c r="VBV241" s="190"/>
      <c r="VBW241" s="190"/>
      <c r="VBX241" s="190"/>
      <c r="VBY241" s="190"/>
      <c r="VBZ241" s="190"/>
      <c r="VCA241" s="190"/>
      <c r="VCB241" s="190"/>
      <c r="VCC241" s="190"/>
      <c r="VCD241" s="190"/>
      <c r="VCE241" s="190"/>
      <c r="VCF241" s="190"/>
      <c r="VCG241" s="190"/>
      <c r="VCH241" s="190"/>
      <c r="VCI241" s="190"/>
      <c r="VCJ241" s="190"/>
      <c r="VCK241" s="190"/>
      <c r="VCL241" s="190"/>
      <c r="VCM241" s="190"/>
      <c r="VCN241" s="190"/>
      <c r="VCO241" s="190"/>
      <c r="VCP241" s="190"/>
      <c r="VCQ241" s="190"/>
      <c r="VCR241" s="190"/>
      <c r="VCS241" s="190"/>
      <c r="VCT241" s="190"/>
      <c r="VCU241" s="190"/>
      <c r="VCV241" s="190"/>
      <c r="VCW241" s="190"/>
      <c r="VCX241" s="190"/>
      <c r="VCY241" s="190"/>
      <c r="VCZ241" s="190"/>
      <c r="VDA241" s="190"/>
      <c r="VDB241" s="190"/>
      <c r="VDC241" s="190"/>
      <c r="VDD241" s="190"/>
      <c r="VDE241" s="190"/>
      <c r="VDF241" s="190"/>
      <c r="VDG241" s="190"/>
      <c r="VDH241" s="190"/>
      <c r="VDI241" s="190"/>
      <c r="VDJ241" s="190"/>
      <c r="VDK241" s="190"/>
      <c r="VDL241" s="190"/>
      <c r="VDM241" s="190"/>
      <c r="VDN241" s="190"/>
      <c r="VDO241" s="190"/>
      <c r="VDP241" s="190"/>
      <c r="VDQ241" s="190"/>
      <c r="VDR241" s="190"/>
      <c r="VDS241" s="190"/>
      <c r="VDT241" s="190"/>
      <c r="VDU241" s="190"/>
      <c r="VDV241" s="190"/>
      <c r="VDW241" s="190"/>
      <c r="VDX241" s="190"/>
      <c r="VDY241" s="190"/>
      <c r="VDZ241" s="190"/>
      <c r="VEA241" s="190"/>
      <c r="VEB241" s="190"/>
      <c r="VEC241" s="190"/>
      <c r="VED241" s="190"/>
      <c r="VEE241" s="190"/>
      <c r="VEF241" s="190"/>
      <c r="VEG241" s="190"/>
      <c r="VEH241" s="190"/>
      <c r="VEI241" s="190"/>
      <c r="VEJ241" s="190"/>
      <c r="VEK241" s="190"/>
      <c r="VEL241" s="190"/>
      <c r="VEM241" s="190"/>
      <c r="VEN241" s="190"/>
      <c r="VEO241" s="190"/>
      <c r="VEP241" s="190"/>
      <c r="VEQ241" s="190"/>
      <c r="VER241" s="190"/>
      <c r="VES241" s="190"/>
      <c r="VET241" s="190"/>
      <c r="VEU241" s="190"/>
      <c r="VEV241" s="190"/>
      <c r="VEW241" s="190"/>
      <c r="VEX241" s="190"/>
      <c r="VEY241" s="190"/>
      <c r="VEZ241" s="190"/>
      <c r="VFA241" s="190"/>
      <c r="VFB241" s="190"/>
      <c r="VFC241" s="190"/>
      <c r="VFD241" s="190"/>
      <c r="VFE241" s="190"/>
      <c r="VFF241" s="190"/>
      <c r="VFG241" s="190"/>
      <c r="VFH241" s="190"/>
      <c r="VFI241" s="190"/>
      <c r="VFJ241" s="190"/>
      <c r="VFK241" s="190"/>
      <c r="VFL241" s="190"/>
      <c r="VFM241" s="190"/>
      <c r="VFN241" s="190"/>
      <c r="VFO241" s="190"/>
      <c r="VFP241" s="190"/>
      <c r="VFQ241" s="190"/>
      <c r="VFR241" s="190"/>
      <c r="VFS241" s="190"/>
      <c r="VFT241" s="190"/>
      <c r="VFU241" s="190"/>
      <c r="VFV241" s="190"/>
      <c r="VFW241" s="190"/>
      <c r="VFX241" s="190"/>
      <c r="VFY241" s="190"/>
      <c r="VFZ241" s="190"/>
      <c r="VGA241" s="190"/>
      <c r="VGB241" s="190"/>
      <c r="VGC241" s="190"/>
      <c r="VGD241" s="190"/>
      <c r="VGE241" s="190"/>
      <c r="VGF241" s="190"/>
      <c r="VGG241" s="190"/>
      <c r="VGH241" s="190"/>
      <c r="VGI241" s="190"/>
      <c r="VGJ241" s="190"/>
      <c r="VGK241" s="190"/>
      <c r="VGL241" s="190"/>
      <c r="VGM241" s="190"/>
      <c r="VGN241" s="190"/>
      <c r="VGO241" s="190"/>
      <c r="VGP241" s="190"/>
      <c r="VGQ241" s="190"/>
      <c r="VGR241" s="190"/>
      <c r="VGS241" s="190"/>
      <c r="VGT241" s="190"/>
      <c r="VGU241" s="190"/>
      <c r="VGV241" s="190"/>
      <c r="VGW241" s="190"/>
      <c r="VGX241" s="190"/>
      <c r="VGY241" s="190"/>
      <c r="VGZ241" s="190"/>
      <c r="VHA241" s="190"/>
      <c r="VHB241" s="190"/>
      <c r="VHC241" s="190"/>
      <c r="VHD241" s="190"/>
      <c r="VHE241" s="190"/>
      <c r="VHF241" s="190"/>
      <c r="VHG241" s="190"/>
      <c r="VHH241" s="190"/>
      <c r="VHI241" s="190"/>
      <c r="VHJ241" s="190"/>
      <c r="VHK241" s="190"/>
      <c r="VHL241" s="190"/>
      <c r="VHM241" s="190"/>
      <c r="VHN241" s="190"/>
      <c r="VHO241" s="190"/>
      <c r="VHP241" s="190"/>
      <c r="VHQ241" s="190"/>
      <c r="VHR241" s="190"/>
      <c r="VHS241" s="190"/>
      <c r="VHT241" s="190"/>
      <c r="VHU241" s="190"/>
      <c r="VHV241" s="190"/>
      <c r="VHW241" s="190"/>
      <c r="VHX241" s="190"/>
      <c r="VHY241" s="190"/>
      <c r="VHZ241" s="190"/>
      <c r="VIA241" s="190"/>
      <c r="VIB241" s="190"/>
      <c r="VIC241" s="190"/>
      <c r="VID241" s="190"/>
      <c r="VIE241" s="190"/>
      <c r="VIF241" s="190"/>
      <c r="VIG241" s="190"/>
      <c r="VIH241" s="190"/>
      <c r="VII241" s="190"/>
      <c r="VIJ241" s="190"/>
      <c r="VIK241" s="190"/>
      <c r="VIL241" s="190"/>
      <c r="VIM241" s="190"/>
      <c r="VIN241" s="190"/>
      <c r="VIO241" s="190"/>
      <c r="VIP241" s="190"/>
      <c r="VIQ241" s="190"/>
      <c r="VIR241" s="190"/>
      <c r="VIS241" s="190"/>
      <c r="VIT241" s="190"/>
      <c r="VIU241" s="190"/>
      <c r="VIV241" s="190"/>
      <c r="VIW241" s="190"/>
      <c r="VIX241" s="190"/>
      <c r="VIY241" s="190"/>
      <c r="VIZ241" s="190"/>
      <c r="VJA241" s="190"/>
      <c r="VJB241" s="190"/>
      <c r="VJC241" s="190"/>
      <c r="VJD241" s="190"/>
      <c r="VJE241" s="190"/>
      <c r="VJF241" s="190"/>
      <c r="VJG241" s="190"/>
      <c r="VJH241" s="190"/>
      <c r="VJI241" s="190"/>
      <c r="VJJ241" s="190"/>
      <c r="VJK241" s="190"/>
      <c r="VJL241" s="190"/>
      <c r="VJM241" s="190"/>
      <c r="VJN241" s="190"/>
      <c r="VJO241" s="190"/>
      <c r="VJP241" s="190"/>
      <c r="VJQ241" s="190"/>
      <c r="VJR241" s="190"/>
      <c r="VJS241" s="190"/>
      <c r="VJT241" s="190"/>
      <c r="VJU241" s="190"/>
      <c r="VJV241" s="190"/>
      <c r="VJW241" s="190"/>
      <c r="VJX241" s="190"/>
      <c r="VJY241" s="190"/>
      <c r="VJZ241" s="190"/>
      <c r="VKA241" s="190"/>
      <c r="VKB241" s="190"/>
      <c r="VKC241" s="190"/>
      <c r="VKD241" s="190"/>
      <c r="VKE241" s="190"/>
      <c r="VKF241" s="190"/>
      <c r="VKG241" s="190"/>
      <c r="VKH241" s="190"/>
      <c r="VKI241" s="190"/>
      <c r="VKJ241" s="190"/>
      <c r="VKK241" s="190"/>
      <c r="VKL241" s="190"/>
      <c r="VKM241" s="190"/>
      <c r="VKN241" s="190"/>
      <c r="VKO241" s="190"/>
      <c r="VKP241" s="190"/>
      <c r="VKQ241" s="190"/>
      <c r="VKR241" s="190"/>
      <c r="VKS241" s="190"/>
      <c r="VKT241" s="190"/>
      <c r="VKU241" s="190"/>
      <c r="VKV241" s="190"/>
      <c r="VKW241" s="190"/>
      <c r="VKX241" s="190"/>
      <c r="VKY241" s="190"/>
      <c r="VKZ241" s="190"/>
      <c r="VLA241" s="190"/>
      <c r="VLB241" s="190"/>
      <c r="VLC241" s="190"/>
      <c r="VLD241" s="190"/>
      <c r="VLE241" s="190"/>
      <c r="VLF241" s="190"/>
      <c r="VLG241" s="190"/>
      <c r="VLH241" s="190"/>
      <c r="VLI241" s="190"/>
      <c r="VLJ241" s="190"/>
      <c r="VLK241" s="190"/>
      <c r="VLL241" s="190"/>
      <c r="VLM241" s="190"/>
      <c r="VLN241" s="190"/>
      <c r="VLO241" s="190"/>
      <c r="VLP241" s="190"/>
      <c r="VLQ241" s="190"/>
      <c r="VLR241" s="190"/>
      <c r="VLS241" s="190"/>
      <c r="VLT241" s="190"/>
      <c r="VLU241" s="190"/>
      <c r="VLV241" s="190"/>
      <c r="VLW241" s="190"/>
      <c r="VLX241" s="190"/>
      <c r="VLY241" s="190"/>
      <c r="VLZ241" s="190"/>
      <c r="VMA241" s="190"/>
      <c r="VMB241" s="190"/>
      <c r="VMC241" s="190"/>
      <c r="VMD241" s="190"/>
      <c r="VME241" s="190"/>
      <c r="VMF241" s="190"/>
      <c r="VMG241" s="190"/>
      <c r="VMH241" s="190"/>
      <c r="VMI241" s="190"/>
      <c r="VMJ241" s="190"/>
      <c r="VMK241" s="190"/>
      <c r="VML241" s="190"/>
      <c r="VMM241" s="190"/>
      <c r="VMN241" s="190"/>
      <c r="VMO241" s="190"/>
      <c r="VMP241" s="190"/>
      <c r="VMQ241" s="190"/>
      <c r="VMR241" s="190"/>
      <c r="VMS241" s="190"/>
      <c r="VMT241" s="190"/>
      <c r="VMU241" s="190"/>
      <c r="VMV241" s="190"/>
      <c r="VMW241" s="190"/>
      <c r="VMX241" s="190"/>
      <c r="VMY241" s="190"/>
      <c r="VMZ241" s="190"/>
      <c r="VNA241" s="190"/>
      <c r="VNB241" s="190"/>
      <c r="VNC241" s="190"/>
      <c r="VND241" s="190"/>
      <c r="VNE241" s="190"/>
      <c r="VNF241" s="190"/>
      <c r="VNG241" s="190"/>
      <c r="VNH241" s="190"/>
      <c r="VNI241" s="190"/>
      <c r="VNJ241" s="190"/>
      <c r="VNK241" s="190"/>
      <c r="VNL241" s="190"/>
      <c r="VNM241" s="190"/>
      <c r="VNN241" s="190"/>
      <c r="VNO241" s="190"/>
      <c r="VNP241" s="190"/>
      <c r="VNQ241" s="190"/>
      <c r="VNR241" s="190"/>
      <c r="VNS241" s="190"/>
      <c r="VNT241" s="190"/>
      <c r="VNU241" s="190"/>
      <c r="VNV241" s="190"/>
      <c r="VNW241" s="190"/>
      <c r="VNX241" s="190"/>
      <c r="VNY241" s="190"/>
      <c r="VNZ241" s="190"/>
      <c r="VOA241" s="190"/>
      <c r="VOB241" s="190"/>
      <c r="VOC241" s="190"/>
      <c r="VOD241" s="190"/>
      <c r="VOE241" s="190"/>
      <c r="VOF241" s="190"/>
      <c r="VOG241" s="190"/>
      <c r="VOH241" s="190"/>
      <c r="VOI241" s="190"/>
      <c r="VOJ241" s="190"/>
      <c r="VOK241" s="190"/>
      <c r="VOL241" s="190"/>
      <c r="VOM241" s="190"/>
      <c r="VON241" s="190"/>
      <c r="VOO241" s="190"/>
      <c r="VOP241" s="190"/>
      <c r="VOQ241" s="190"/>
      <c r="VOR241" s="190"/>
      <c r="VOS241" s="190"/>
    </row>
    <row r="242" spans="2:107 14889:15281" s="3" customFormat="1" x14ac:dyDescent="0.25">
      <c r="B242" s="124"/>
      <c r="C242" s="187" t="s">
        <v>1</v>
      </c>
      <c r="D242" s="137"/>
      <c r="E242" s="91" t="s">
        <v>0</v>
      </c>
      <c r="F242" s="33">
        <v>23100</v>
      </c>
      <c r="G242" s="33">
        <v>24700</v>
      </c>
      <c r="H242" s="33">
        <v>21800</v>
      </c>
      <c r="I242" s="33">
        <v>26100</v>
      </c>
      <c r="J242" s="33">
        <v>26400</v>
      </c>
      <c r="K242" s="33">
        <v>26600</v>
      </c>
      <c r="L242" s="33">
        <v>22300</v>
      </c>
      <c r="M242" s="33">
        <v>25900</v>
      </c>
      <c r="N242" s="33">
        <v>25600</v>
      </c>
      <c r="O242" s="33">
        <v>25300</v>
      </c>
      <c r="P242" s="33">
        <v>24200</v>
      </c>
      <c r="Q242" s="33">
        <v>26700</v>
      </c>
      <c r="R242" s="33">
        <v>27300</v>
      </c>
      <c r="S242" s="33">
        <v>27200</v>
      </c>
      <c r="T242" s="33">
        <v>24800</v>
      </c>
      <c r="U242" s="33">
        <v>26600</v>
      </c>
      <c r="V242" s="33">
        <v>23000</v>
      </c>
      <c r="W242" s="33">
        <v>23900</v>
      </c>
      <c r="X242" s="33">
        <v>27500</v>
      </c>
      <c r="Y242" s="33">
        <v>25200</v>
      </c>
      <c r="Z242" s="33">
        <v>20300</v>
      </c>
      <c r="AA242" s="33">
        <v>16700</v>
      </c>
      <c r="AB242" s="33">
        <v>14500</v>
      </c>
      <c r="AC242" s="33">
        <v>18700</v>
      </c>
      <c r="AD242" s="33">
        <v>19000</v>
      </c>
      <c r="AE242" s="33">
        <v>14400</v>
      </c>
      <c r="AF242" s="33">
        <v>13400</v>
      </c>
      <c r="AG242" s="33">
        <v>10000</v>
      </c>
      <c r="AH242" s="33">
        <v>2900</v>
      </c>
      <c r="AI242" s="33">
        <v>6700</v>
      </c>
      <c r="AJ242" s="134">
        <v>13400</v>
      </c>
      <c r="AK242" s="21"/>
      <c r="AL242" s="181">
        <v>654200</v>
      </c>
      <c r="DC242" s="16"/>
      <c r="UZQ242" s="190"/>
      <c r="UZR242" s="190"/>
      <c r="UZS242" s="190"/>
      <c r="UZT242" s="190"/>
      <c r="UZU242" s="190"/>
      <c r="UZV242" s="190"/>
      <c r="UZW242" s="190"/>
      <c r="UZX242" s="190"/>
      <c r="UZY242" s="190"/>
      <c r="UZZ242" s="190"/>
      <c r="VAA242" s="190"/>
      <c r="VAB242" s="190"/>
      <c r="VAC242" s="190"/>
      <c r="VAD242" s="190"/>
      <c r="VAE242" s="190"/>
      <c r="VAF242" s="190"/>
      <c r="VAG242" s="190"/>
      <c r="VAH242" s="190"/>
      <c r="VAI242" s="190"/>
      <c r="VAJ242" s="190"/>
      <c r="VAK242" s="190"/>
      <c r="VAL242" s="190"/>
      <c r="VAM242" s="190"/>
      <c r="VAN242" s="190"/>
      <c r="VAO242" s="190"/>
      <c r="VAP242" s="190"/>
      <c r="VAQ242" s="190"/>
      <c r="VAR242" s="190"/>
      <c r="VAS242" s="190"/>
      <c r="VAT242" s="190"/>
      <c r="VAU242" s="190"/>
      <c r="VAV242" s="190"/>
      <c r="VAW242" s="190"/>
      <c r="VAX242" s="190"/>
      <c r="VAY242" s="190"/>
      <c r="VAZ242" s="190"/>
      <c r="VBA242" s="190"/>
      <c r="VBB242" s="190"/>
      <c r="VBC242" s="190"/>
      <c r="VBD242" s="190"/>
      <c r="VBE242" s="190"/>
      <c r="VBF242" s="190"/>
      <c r="VBG242" s="190"/>
      <c r="VBH242" s="190"/>
      <c r="VBI242" s="190"/>
      <c r="VBJ242" s="190"/>
      <c r="VBK242" s="190"/>
      <c r="VBL242" s="190"/>
      <c r="VBM242" s="190"/>
      <c r="VBN242" s="190"/>
      <c r="VBO242" s="190"/>
      <c r="VBP242" s="190"/>
      <c r="VBQ242" s="190"/>
      <c r="VBR242" s="190"/>
      <c r="VBS242" s="190"/>
      <c r="VBT242" s="190"/>
      <c r="VBU242" s="190"/>
      <c r="VBV242" s="190"/>
      <c r="VBW242" s="190"/>
      <c r="VBX242" s="190"/>
      <c r="VBY242" s="190"/>
      <c r="VBZ242" s="190"/>
      <c r="VCA242" s="190"/>
      <c r="VCB242" s="190"/>
      <c r="VCC242" s="190"/>
      <c r="VCD242" s="190"/>
      <c r="VCE242" s="190"/>
      <c r="VCF242" s="190"/>
      <c r="VCG242" s="190"/>
      <c r="VCH242" s="190"/>
      <c r="VCI242" s="190"/>
      <c r="VCJ242" s="190"/>
      <c r="VCK242" s="190"/>
      <c r="VCL242" s="190"/>
      <c r="VCM242" s="190"/>
      <c r="VCN242" s="190"/>
      <c r="VCO242" s="190"/>
      <c r="VCP242" s="190"/>
      <c r="VCQ242" s="190"/>
      <c r="VCR242" s="190"/>
      <c r="VCS242" s="190"/>
      <c r="VCT242" s="190"/>
      <c r="VCU242" s="190"/>
      <c r="VCV242" s="190"/>
      <c r="VCW242" s="190"/>
      <c r="VCX242" s="190"/>
      <c r="VCY242" s="190"/>
      <c r="VCZ242" s="190"/>
      <c r="VDA242" s="190"/>
      <c r="VDB242" s="190"/>
      <c r="VDC242" s="190"/>
      <c r="VDD242" s="190"/>
      <c r="VDE242" s="190"/>
      <c r="VDF242" s="190"/>
      <c r="VDG242" s="190"/>
      <c r="VDH242" s="190"/>
      <c r="VDI242" s="190"/>
      <c r="VDJ242" s="190"/>
      <c r="VDK242" s="190"/>
      <c r="VDL242" s="190"/>
      <c r="VDM242" s="190"/>
      <c r="VDN242" s="190"/>
      <c r="VDO242" s="190"/>
      <c r="VDP242" s="190"/>
      <c r="VDQ242" s="190"/>
      <c r="VDR242" s="190"/>
      <c r="VDS242" s="190"/>
      <c r="VDT242" s="190"/>
      <c r="VDU242" s="190"/>
      <c r="VDV242" s="190"/>
      <c r="VDW242" s="190"/>
      <c r="VDX242" s="190"/>
      <c r="VDY242" s="190"/>
      <c r="VDZ242" s="190"/>
      <c r="VEA242" s="190"/>
      <c r="VEB242" s="190"/>
      <c r="VEC242" s="190"/>
      <c r="VED242" s="190"/>
      <c r="VEE242" s="190"/>
      <c r="VEF242" s="190"/>
      <c r="VEG242" s="190"/>
      <c r="VEH242" s="190"/>
      <c r="VEI242" s="190"/>
      <c r="VEJ242" s="190"/>
      <c r="VEK242" s="190"/>
      <c r="VEL242" s="190"/>
      <c r="VEM242" s="190"/>
      <c r="VEN242" s="190"/>
      <c r="VEO242" s="190"/>
      <c r="VEP242" s="190"/>
      <c r="VEQ242" s="190"/>
      <c r="VER242" s="190"/>
      <c r="VES242" s="190"/>
      <c r="VET242" s="190"/>
      <c r="VEU242" s="190"/>
      <c r="VEV242" s="190"/>
      <c r="VEW242" s="190"/>
      <c r="VEX242" s="190"/>
      <c r="VEY242" s="190"/>
      <c r="VEZ242" s="190"/>
      <c r="VFA242" s="190"/>
      <c r="VFB242" s="190"/>
      <c r="VFC242" s="190"/>
      <c r="VFD242" s="190"/>
      <c r="VFE242" s="190"/>
      <c r="VFF242" s="190"/>
      <c r="VFG242" s="190"/>
      <c r="VFH242" s="190"/>
      <c r="VFI242" s="190"/>
      <c r="VFJ242" s="190"/>
      <c r="VFK242" s="190"/>
      <c r="VFL242" s="190"/>
      <c r="VFM242" s="190"/>
      <c r="VFN242" s="190"/>
      <c r="VFO242" s="190"/>
      <c r="VFP242" s="190"/>
      <c r="VFQ242" s="190"/>
      <c r="VFR242" s="190"/>
      <c r="VFS242" s="190"/>
      <c r="VFT242" s="190"/>
      <c r="VFU242" s="190"/>
      <c r="VFV242" s="190"/>
      <c r="VFW242" s="190"/>
      <c r="VFX242" s="190"/>
      <c r="VFY242" s="190"/>
      <c r="VFZ242" s="190"/>
      <c r="VGA242" s="190"/>
      <c r="VGB242" s="190"/>
      <c r="VGC242" s="190"/>
      <c r="VGD242" s="190"/>
      <c r="VGE242" s="190"/>
      <c r="VGF242" s="190"/>
      <c r="VGG242" s="190"/>
      <c r="VGH242" s="190"/>
      <c r="VGI242" s="190"/>
      <c r="VGJ242" s="190"/>
      <c r="VGK242" s="190"/>
      <c r="VGL242" s="190"/>
      <c r="VGM242" s="190"/>
      <c r="VGN242" s="190"/>
      <c r="VGO242" s="190"/>
      <c r="VGP242" s="190"/>
      <c r="VGQ242" s="190"/>
      <c r="VGR242" s="190"/>
      <c r="VGS242" s="190"/>
      <c r="VGT242" s="190"/>
      <c r="VGU242" s="190"/>
      <c r="VGV242" s="190"/>
      <c r="VGW242" s="190"/>
      <c r="VGX242" s="190"/>
      <c r="VGY242" s="190"/>
      <c r="VGZ242" s="190"/>
      <c r="VHA242" s="190"/>
      <c r="VHB242" s="190"/>
      <c r="VHC242" s="190"/>
      <c r="VHD242" s="190"/>
      <c r="VHE242" s="190"/>
      <c r="VHF242" s="190"/>
      <c r="VHG242" s="190"/>
      <c r="VHH242" s="190"/>
      <c r="VHI242" s="190"/>
      <c r="VHJ242" s="190"/>
      <c r="VHK242" s="190"/>
      <c r="VHL242" s="190"/>
      <c r="VHM242" s="190"/>
      <c r="VHN242" s="190"/>
      <c r="VHO242" s="190"/>
      <c r="VHP242" s="190"/>
      <c r="VHQ242" s="190"/>
      <c r="VHR242" s="190"/>
      <c r="VHS242" s="190"/>
      <c r="VHT242" s="190"/>
      <c r="VHU242" s="190"/>
      <c r="VHV242" s="190"/>
      <c r="VHW242" s="190"/>
      <c r="VHX242" s="190"/>
      <c r="VHY242" s="190"/>
      <c r="VHZ242" s="190"/>
      <c r="VIA242" s="190"/>
      <c r="VIB242" s="190"/>
      <c r="VIC242" s="190"/>
      <c r="VID242" s="190"/>
      <c r="VIE242" s="190"/>
      <c r="VIF242" s="190"/>
      <c r="VIG242" s="190"/>
      <c r="VIH242" s="190"/>
      <c r="VII242" s="190"/>
      <c r="VIJ242" s="190"/>
      <c r="VIK242" s="190"/>
      <c r="VIL242" s="190"/>
      <c r="VIM242" s="190"/>
      <c r="VIN242" s="190"/>
      <c r="VIO242" s="190"/>
      <c r="VIP242" s="190"/>
      <c r="VIQ242" s="190"/>
      <c r="VIR242" s="190"/>
      <c r="VIS242" s="190"/>
      <c r="VIT242" s="190"/>
      <c r="VIU242" s="190"/>
      <c r="VIV242" s="190"/>
      <c r="VIW242" s="190"/>
      <c r="VIX242" s="190"/>
      <c r="VIY242" s="190"/>
      <c r="VIZ242" s="190"/>
      <c r="VJA242" s="190"/>
      <c r="VJB242" s="190"/>
      <c r="VJC242" s="190"/>
      <c r="VJD242" s="190"/>
      <c r="VJE242" s="190"/>
      <c r="VJF242" s="190"/>
      <c r="VJG242" s="190"/>
      <c r="VJH242" s="190"/>
      <c r="VJI242" s="190"/>
      <c r="VJJ242" s="190"/>
      <c r="VJK242" s="190"/>
      <c r="VJL242" s="190"/>
      <c r="VJM242" s="190"/>
      <c r="VJN242" s="190"/>
      <c r="VJO242" s="190"/>
      <c r="VJP242" s="190"/>
      <c r="VJQ242" s="190"/>
      <c r="VJR242" s="190"/>
      <c r="VJS242" s="190"/>
      <c r="VJT242" s="190"/>
      <c r="VJU242" s="190"/>
      <c r="VJV242" s="190"/>
      <c r="VJW242" s="190"/>
      <c r="VJX242" s="190"/>
      <c r="VJY242" s="190"/>
      <c r="VJZ242" s="190"/>
      <c r="VKA242" s="190"/>
      <c r="VKB242" s="190"/>
      <c r="VKC242" s="190"/>
      <c r="VKD242" s="190"/>
      <c r="VKE242" s="190"/>
      <c r="VKF242" s="190"/>
      <c r="VKG242" s="190"/>
      <c r="VKH242" s="190"/>
      <c r="VKI242" s="190"/>
      <c r="VKJ242" s="190"/>
      <c r="VKK242" s="190"/>
      <c r="VKL242" s="190"/>
      <c r="VKM242" s="190"/>
      <c r="VKN242" s="190"/>
      <c r="VKO242" s="190"/>
      <c r="VKP242" s="190"/>
      <c r="VKQ242" s="190"/>
      <c r="VKR242" s="190"/>
      <c r="VKS242" s="190"/>
      <c r="VKT242" s="190"/>
      <c r="VKU242" s="190"/>
      <c r="VKV242" s="190"/>
      <c r="VKW242" s="190"/>
      <c r="VKX242" s="190"/>
      <c r="VKY242" s="190"/>
      <c r="VKZ242" s="190"/>
      <c r="VLA242" s="190"/>
      <c r="VLB242" s="190"/>
      <c r="VLC242" s="190"/>
      <c r="VLD242" s="190"/>
      <c r="VLE242" s="190"/>
      <c r="VLF242" s="190"/>
      <c r="VLG242" s="190"/>
      <c r="VLH242" s="190"/>
      <c r="VLI242" s="190"/>
      <c r="VLJ242" s="190"/>
      <c r="VLK242" s="190"/>
      <c r="VLL242" s="190"/>
      <c r="VLM242" s="190"/>
      <c r="VLN242" s="190"/>
      <c r="VLO242" s="190"/>
      <c r="VLP242" s="190"/>
      <c r="VLQ242" s="190"/>
      <c r="VLR242" s="190"/>
      <c r="VLS242" s="190"/>
      <c r="VLT242" s="190"/>
      <c r="VLU242" s="190"/>
      <c r="VLV242" s="190"/>
      <c r="VLW242" s="190"/>
      <c r="VLX242" s="190"/>
      <c r="VLY242" s="190"/>
      <c r="VLZ242" s="190"/>
      <c r="VMA242" s="190"/>
      <c r="VMB242" s="190"/>
      <c r="VMC242" s="190"/>
      <c r="VMD242" s="190"/>
      <c r="VME242" s="190"/>
      <c r="VMF242" s="190"/>
      <c r="VMG242" s="190"/>
      <c r="VMH242" s="190"/>
      <c r="VMI242" s="190"/>
      <c r="VMJ242" s="190"/>
      <c r="VMK242" s="190"/>
      <c r="VML242" s="190"/>
      <c r="VMM242" s="190"/>
      <c r="VMN242" s="190"/>
      <c r="VMO242" s="190"/>
      <c r="VMP242" s="190"/>
      <c r="VMQ242" s="190"/>
      <c r="VMR242" s="190"/>
      <c r="VMS242" s="190"/>
      <c r="VMT242" s="190"/>
      <c r="VMU242" s="190"/>
      <c r="VMV242" s="190"/>
      <c r="VMW242" s="190"/>
      <c r="VMX242" s="190"/>
      <c r="VMY242" s="190"/>
      <c r="VMZ242" s="190"/>
      <c r="VNA242" s="190"/>
      <c r="VNB242" s="190"/>
      <c r="VNC242" s="190"/>
      <c r="VND242" s="190"/>
      <c r="VNE242" s="190"/>
      <c r="VNF242" s="190"/>
      <c r="VNG242" s="190"/>
      <c r="VNH242" s="190"/>
      <c r="VNI242" s="190"/>
      <c r="VNJ242" s="190"/>
      <c r="VNK242" s="190"/>
      <c r="VNL242" s="190"/>
      <c r="VNM242" s="190"/>
      <c r="VNN242" s="190"/>
      <c r="VNO242" s="190"/>
      <c r="VNP242" s="190"/>
      <c r="VNQ242" s="190"/>
      <c r="VNR242" s="190"/>
      <c r="VNS242" s="190"/>
      <c r="VNT242" s="190"/>
      <c r="VNU242" s="190"/>
      <c r="VNV242" s="190"/>
      <c r="VNW242" s="190"/>
      <c r="VNX242" s="190"/>
      <c r="VNY242" s="190"/>
      <c r="VNZ242" s="190"/>
      <c r="VOA242" s="190"/>
      <c r="VOB242" s="190"/>
      <c r="VOC242" s="190"/>
      <c r="VOD242" s="190"/>
      <c r="VOE242" s="190"/>
      <c r="VOF242" s="190"/>
      <c r="VOG242" s="190"/>
      <c r="VOH242" s="190"/>
      <c r="VOI242" s="190"/>
      <c r="VOJ242" s="190"/>
      <c r="VOK242" s="190"/>
      <c r="VOL242" s="190"/>
      <c r="VOM242" s="190"/>
      <c r="VON242" s="190"/>
      <c r="VOO242" s="190"/>
      <c r="VOP242" s="190"/>
      <c r="VOQ242" s="190"/>
      <c r="VOR242" s="190"/>
      <c r="VOS242" s="190"/>
    </row>
    <row r="243" spans="2:107 14889:15281" s="3" customFormat="1" x14ac:dyDescent="0.25">
      <c r="B243" s="124"/>
      <c r="C243" s="187" t="s">
        <v>18</v>
      </c>
      <c r="D243" s="79"/>
      <c r="E243" s="9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134"/>
      <c r="AK243" s="21"/>
      <c r="AL243" s="301" t="s">
        <v>18</v>
      </c>
      <c r="DC243" s="16"/>
      <c r="UZQ243" s="190"/>
      <c r="UZR243" s="190"/>
      <c r="UZS243" s="190"/>
      <c r="UZT243" s="190"/>
      <c r="UZU243" s="190"/>
      <c r="UZV243" s="190"/>
      <c r="UZW243" s="190"/>
      <c r="UZX243" s="190"/>
      <c r="UZY243" s="190"/>
      <c r="UZZ243" s="190"/>
      <c r="VAA243" s="190"/>
      <c r="VAB243" s="190"/>
      <c r="VAC243" s="190"/>
      <c r="VAD243" s="190"/>
      <c r="VAE243" s="190"/>
      <c r="VAF243" s="190"/>
      <c r="VAG243" s="190"/>
      <c r="VAH243" s="190"/>
      <c r="VAI243" s="190"/>
      <c r="VAJ243" s="190"/>
      <c r="VAK243" s="190"/>
      <c r="VAL243" s="190"/>
      <c r="VAM243" s="190"/>
      <c r="VAN243" s="190"/>
      <c r="VAO243" s="190"/>
      <c r="VAP243" s="190"/>
      <c r="VAQ243" s="190"/>
      <c r="VAR243" s="190"/>
      <c r="VAS243" s="190"/>
      <c r="VAT243" s="190"/>
      <c r="VAU243" s="190"/>
      <c r="VAV243" s="190"/>
      <c r="VAW243" s="190"/>
      <c r="VAX243" s="190"/>
      <c r="VAY243" s="190"/>
      <c r="VAZ243" s="190"/>
      <c r="VBA243" s="190"/>
      <c r="VBB243" s="190"/>
      <c r="VBC243" s="190"/>
      <c r="VBD243" s="190"/>
      <c r="VBE243" s="190"/>
      <c r="VBF243" s="190"/>
      <c r="VBG243" s="190"/>
      <c r="VBH243" s="190"/>
      <c r="VBI243" s="190"/>
      <c r="VBJ243" s="190"/>
      <c r="VBK243" s="190"/>
      <c r="VBL243" s="190"/>
      <c r="VBM243" s="190"/>
      <c r="VBN243" s="190"/>
      <c r="VBO243" s="190"/>
      <c r="VBP243" s="190"/>
      <c r="VBQ243" s="190"/>
      <c r="VBR243" s="190"/>
      <c r="VBS243" s="190"/>
      <c r="VBT243" s="190"/>
      <c r="VBU243" s="190"/>
      <c r="VBV243" s="190"/>
      <c r="VBW243" s="190"/>
      <c r="VBX243" s="190"/>
      <c r="VBY243" s="190"/>
      <c r="VBZ243" s="190"/>
      <c r="VCA243" s="190"/>
      <c r="VCB243" s="190"/>
      <c r="VCC243" s="190"/>
      <c r="VCD243" s="190"/>
      <c r="VCE243" s="190"/>
      <c r="VCF243" s="190"/>
      <c r="VCG243" s="190"/>
      <c r="VCH243" s="190"/>
      <c r="VCI243" s="190"/>
      <c r="VCJ243" s="190"/>
      <c r="VCK243" s="190"/>
      <c r="VCL243" s="190"/>
      <c r="VCM243" s="190"/>
      <c r="VCN243" s="190"/>
      <c r="VCO243" s="190"/>
      <c r="VCP243" s="190"/>
      <c r="VCQ243" s="190"/>
      <c r="VCR243" s="190"/>
      <c r="VCS243" s="190"/>
      <c r="VCT243" s="190"/>
      <c r="VCU243" s="190"/>
      <c r="VCV243" s="190"/>
      <c r="VCW243" s="190"/>
      <c r="VCX243" s="190"/>
      <c r="VCY243" s="190"/>
      <c r="VCZ243" s="190"/>
      <c r="VDA243" s="190"/>
      <c r="VDB243" s="190"/>
      <c r="VDC243" s="190"/>
      <c r="VDD243" s="190"/>
      <c r="VDE243" s="190"/>
      <c r="VDF243" s="190"/>
      <c r="VDG243" s="190"/>
      <c r="VDH243" s="190"/>
      <c r="VDI243" s="190"/>
      <c r="VDJ243" s="190"/>
      <c r="VDK243" s="190"/>
      <c r="VDL243" s="190"/>
      <c r="VDM243" s="190"/>
      <c r="VDN243" s="190"/>
      <c r="VDO243" s="190"/>
      <c r="VDP243" s="190"/>
      <c r="VDQ243" s="190"/>
      <c r="VDR243" s="190"/>
      <c r="VDS243" s="190"/>
      <c r="VDT243" s="190"/>
      <c r="VDU243" s="190"/>
      <c r="VDV243" s="190"/>
      <c r="VDW243" s="190"/>
      <c r="VDX243" s="190"/>
      <c r="VDY243" s="190"/>
      <c r="VDZ243" s="190"/>
      <c r="VEA243" s="190"/>
      <c r="VEB243" s="190"/>
      <c r="VEC243" s="190"/>
      <c r="VED243" s="190"/>
      <c r="VEE243" s="190"/>
      <c r="VEF243" s="190"/>
      <c r="VEG243" s="190"/>
      <c r="VEH243" s="190"/>
      <c r="VEI243" s="190"/>
      <c r="VEJ243" s="190"/>
      <c r="VEK243" s="190"/>
      <c r="VEL243" s="190"/>
      <c r="VEM243" s="190"/>
      <c r="VEN243" s="190"/>
      <c r="VEO243" s="190"/>
      <c r="VEP243" s="190"/>
      <c r="VEQ243" s="190"/>
      <c r="VER243" s="190"/>
      <c r="VES243" s="190"/>
      <c r="VET243" s="190"/>
      <c r="VEU243" s="190"/>
      <c r="VEV243" s="190"/>
      <c r="VEW243" s="190"/>
      <c r="VEX243" s="190"/>
      <c r="VEY243" s="190"/>
      <c r="VEZ243" s="190"/>
      <c r="VFA243" s="190"/>
      <c r="VFB243" s="190"/>
      <c r="VFC243" s="190"/>
      <c r="VFD243" s="190"/>
      <c r="VFE243" s="190"/>
      <c r="VFF243" s="190"/>
      <c r="VFG243" s="190"/>
      <c r="VFH243" s="190"/>
      <c r="VFI243" s="190"/>
      <c r="VFJ243" s="190"/>
      <c r="VFK243" s="190"/>
      <c r="VFL243" s="190"/>
      <c r="VFM243" s="190"/>
      <c r="VFN243" s="190"/>
      <c r="VFO243" s="190"/>
      <c r="VFP243" s="190"/>
      <c r="VFQ243" s="190"/>
      <c r="VFR243" s="190"/>
      <c r="VFS243" s="190"/>
      <c r="VFT243" s="190"/>
      <c r="VFU243" s="190"/>
      <c r="VFV243" s="190"/>
      <c r="VFW243" s="190"/>
      <c r="VFX243" s="190"/>
      <c r="VFY243" s="190"/>
      <c r="VFZ243" s="190"/>
      <c r="VGA243" s="190"/>
      <c r="VGB243" s="190"/>
      <c r="VGC243" s="190"/>
      <c r="VGD243" s="190"/>
      <c r="VGE243" s="190"/>
      <c r="VGF243" s="190"/>
      <c r="VGG243" s="190"/>
      <c r="VGH243" s="190"/>
      <c r="VGI243" s="190"/>
      <c r="VGJ243" s="190"/>
      <c r="VGK243" s="190"/>
      <c r="VGL243" s="190"/>
      <c r="VGM243" s="190"/>
      <c r="VGN243" s="190"/>
      <c r="VGO243" s="190"/>
      <c r="VGP243" s="190"/>
      <c r="VGQ243" s="190"/>
      <c r="VGR243" s="190"/>
      <c r="VGS243" s="190"/>
      <c r="VGT243" s="190"/>
      <c r="VGU243" s="190"/>
      <c r="VGV243" s="190"/>
      <c r="VGW243" s="190"/>
      <c r="VGX243" s="190"/>
      <c r="VGY243" s="190"/>
      <c r="VGZ243" s="190"/>
      <c r="VHA243" s="190"/>
      <c r="VHB243" s="190"/>
      <c r="VHC243" s="190"/>
      <c r="VHD243" s="190"/>
      <c r="VHE243" s="190"/>
      <c r="VHF243" s="190"/>
      <c r="VHG243" s="190"/>
      <c r="VHH243" s="190"/>
      <c r="VHI243" s="190"/>
      <c r="VHJ243" s="190"/>
      <c r="VHK243" s="190"/>
      <c r="VHL243" s="190"/>
      <c r="VHM243" s="190"/>
      <c r="VHN243" s="190"/>
      <c r="VHO243" s="190"/>
      <c r="VHP243" s="190"/>
      <c r="VHQ243" s="190"/>
      <c r="VHR243" s="190"/>
      <c r="VHS243" s="190"/>
      <c r="VHT243" s="190"/>
      <c r="VHU243" s="190"/>
      <c r="VHV243" s="190"/>
      <c r="VHW243" s="190"/>
      <c r="VHX243" s="190"/>
      <c r="VHY243" s="190"/>
      <c r="VHZ243" s="190"/>
      <c r="VIA243" s="190"/>
      <c r="VIB243" s="190"/>
      <c r="VIC243" s="190"/>
      <c r="VID243" s="190"/>
      <c r="VIE243" s="190"/>
      <c r="VIF243" s="190"/>
      <c r="VIG243" s="190"/>
      <c r="VIH243" s="190"/>
      <c r="VII243" s="190"/>
      <c r="VIJ243" s="190"/>
      <c r="VIK243" s="190"/>
      <c r="VIL243" s="190"/>
      <c r="VIM243" s="190"/>
      <c r="VIN243" s="190"/>
      <c r="VIO243" s="190"/>
      <c r="VIP243" s="190"/>
      <c r="VIQ243" s="190"/>
      <c r="VIR243" s="190"/>
      <c r="VIS243" s="190"/>
      <c r="VIT243" s="190"/>
      <c r="VIU243" s="190"/>
      <c r="VIV243" s="190"/>
      <c r="VIW243" s="190"/>
      <c r="VIX243" s="190"/>
      <c r="VIY243" s="190"/>
      <c r="VIZ243" s="190"/>
      <c r="VJA243" s="190"/>
      <c r="VJB243" s="190"/>
      <c r="VJC243" s="190"/>
      <c r="VJD243" s="190"/>
      <c r="VJE243" s="190"/>
      <c r="VJF243" s="190"/>
      <c r="VJG243" s="190"/>
      <c r="VJH243" s="190"/>
      <c r="VJI243" s="190"/>
      <c r="VJJ243" s="190"/>
      <c r="VJK243" s="190"/>
      <c r="VJL243" s="190"/>
      <c r="VJM243" s="190"/>
      <c r="VJN243" s="190"/>
      <c r="VJO243" s="190"/>
      <c r="VJP243" s="190"/>
      <c r="VJQ243" s="190"/>
      <c r="VJR243" s="190"/>
      <c r="VJS243" s="190"/>
      <c r="VJT243" s="190"/>
      <c r="VJU243" s="190"/>
      <c r="VJV243" s="190"/>
      <c r="VJW243" s="190"/>
      <c r="VJX243" s="190"/>
      <c r="VJY243" s="190"/>
      <c r="VJZ243" s="190"/>
      <c r="VKA243" s="190"/>
      <c r="VKB243" s="190"/>
      <c r="VKC243" s="190"/>
      <c r="VKD243" s="190"/>
      <c r="VKE243" s="190"/>
      <c r="VKF243" s="190"/>
      <c r="VKG243" s="190"/>
      <c r="VKH243" s="190"/>
      <c r="VKI243" s="190"/>
      <c r="VKJ243" s="190"/>
      <c r="VKK243" s="190"/>
      <c r="VKL243" s="190"/>
      <c r="VKM243" s="190"/>
      <c r="VKN243" s="190"/>
      <c r="VKO243" s="190"/>
      <c r="VKP243" s="190"/>
      <c r="VKQ243" s="190"/>
      <c r="VKR243" s="190"/>
      <c r="VKS243" s="190"/>
      <c r="VKT243" s="190"/>
      <c r="VKU243" s="190"/>
      <c r="VKV243" s="190"/>
      <c r="VKW243" s="190"/>
      <c r="VKX243" s="190"/>
      <c r="VKY243" s="190"/>
      <c r="VKZ243" s="190"/>
      <c r="VLA243" s="190"/>
      <c r="VLB243" s="190"/>
      <c r="VLC243" s="190"/>
      <c r="VLD243" s="190"/>
      <c r="VLE243" s="190"/>
      <c r="VLF243" s="190"/>
      <c r="VLG243" s="190"/>
      <c r="VLH243" s="190"/>
      <c r="VLI243" s="190"/>
      <c r="VLJ243" s="190"/>
      <c r="VLK243" s="190"/>
      <c r="VLL243" s="190"/>
      <c r="VLM243" s="190"/>
      <c r="VLN243" s="190"/>
      <c r="VLO243" s="190"/>
      <c r="VLP243" s="190"/>
      <c r="VLQ243" s="190"/>
      <c r="VLR243" s="190"/>
      <c r="VLS243" s="190"/>
      <c r="VLT243" s="190"/>
      <c r="VLU243" s="190"/>
      <c r="VLV243" s="190"/>
      <c r="VLW243" s="190"/>
      <c r="VLX243" s="190"/>
      <c r="VLY243" s="190"/>
      <c r="VLZ243" s="190"/>
      <c r="VMA243" s="190"/>
      <c r="VMB243" s="190"/>
      <c r="VMC243" s="190"/>
      <c r="VMD243" s="190"/>
      <c r="VME243" s="190"/>
      <c r="VMF243" s="190"/>
      <c r="VMG243" s="190"/>
      <c r="VMH243" s="190"/>
      <c r="VMI243" s="190"/>
      <c r="VMJ243" s="190"/>
      <c r="VMK243" s="190"/>
      <c r="VML243" s="190"/>
      <c r="VMM243" s="190"/>
      <c r="VMN243" s="190"/>
      <c r="VMO243" s="190"/>
      <c r="VMP243" s="190"/>
      <c r="VMQ243" s="190"/>
      <c r="VMR243" s="190"/>
      <c r="VMS243" s="190"/>
      <c r="VMT243" s="190"/>
      <c r="VMU243" s="190"/>
      <c r="VMV243" s="190"/>
      <c r="VMW243" s="190"/>
      <c r="VMX243" s="190"/>
      <c r="VMY243" s="190"/>
      <c r="VMZ243" s="190"/>
      <c r="VNA243" s="190"/>
      <c r="VNB243" s="190"/>
      <c r="VNC243" s="190"/>
      <c r="VND243" s="190"/>
      <c r="VNE243" s="190"/>
      <c r="VNF243" s="190"/>
      <c r="VNG243" s="190"/>
      <c r="VNH243" s="190"/>
      <c r="VNI243" s="190"/>
      <c r="VNJ243" s="190"/>
      <c r="VNK243" s="190"/>
      <c r="VNL243" s="190"/>
      <c r="VNM243" s="190"/>
      <c r="VNN243" s="190"/>
      <c r="VNO243" s="190"/>
      <c r="VNP243" s="190"/>
      <c r="VNQ243" s="190"/>
      <c r="VNR243" s="190"/>
      <c r="VNS243" s="190"/>
      <c r="VNT243" s="190"/>
      <c r="VNU243" s="190"/>
      <c r="VNV243" s="190"/>
      <c r="VNW243" s="190"/>
      <c r="VNX243" s="190"/>
      <c r="VNY243" s="190"/>
      <c r="VNZ243" s="190"/>
      <c r="VOA243" s="190"/>
      <c r="VOB243" s="190"/>
      <c r="VOC243" s="190"/>
      <c r="VOD243" s="190"/>
      <c r="VOE243" s="190"/>
      <c r="VOF243" s="190"/>
      <c r="VOG243" s="190"/>
      <c r="VOH243" s="190"/>
      <c r="VOI243" s="190"/>
      <c r="VOJ243" s="190"/>
      <c r="VOK243" s="190"/>
      <c r="VOL243" s="190"/>
      <c r="VOM243" s="190"/>
      <c r="VON243" s="190"/>
      <c r="VOO243" s="190"/>
      <c r="VOP243" s="190"/>
      <c r="VOQ243" s="190"/>
      <c r="VOR243" s="190"/>
      <c r="VOS243" s="190"/>
    </row>
    <row r="244" spans="2:107 14889:15281" x14ac:dyDescent="0.25">
      <c r="B244" s="81"/>
      <c r="C244" s="193" t="s">
        <v>131</v>
      </c>
      <c r="D244" s="194">
        <v>5404.17</v>
      </c>
      <c r="E244" s="79" t="s">
        <v>2</v>
      </c>
      <c r="F244" s="195">
        <v>2200</v>
      </c>
      <c r="G244" s="195">
        <v>3000</v>
      </c>
      <c r="H244" s="195">
        <v>2400</v>
      </c>
      <c r="I244" s="195">
        <v>2500</v>
      </c>
      <c r="J244" s="195">
        <v>3100</v>
      </c>
      <c r="K244" s="195">
        <v>2100</v>
      </c>
      <c r="L244" s="195">
        <v>2400</v>
      </c>
      <c r="M244" s="195">
        <v>3100</v>
      </c>
      <c r="N244" s="195">
        <v>3700</v>
      </c>
      <c r="O244" s="195">
        <v>3500</v>
      </c>
      <c r="P244" s="195">
        <v>3500</v>
      </c>
      <c r="Q244" s="195">
        <v>2300</v>
      </c>
      <c r="R244" s="302">
        <v>3200</v>
      </c>
      <c r="S244" s="302">
        <v>3200</v>
      </c>
      <c r="T244" s="302">
        <v>3300</v>
      </c>
      <c r="U244" s="302">
        <v>3700</v>
      </c>
      <c r="V244" s="302">
        <v>3000</v>
      </c>
      <c r="W244" s="302">
        <v>2000</v>
      </c>
      <c r="X244" s="302">
        <v>3400</v>
      </c>
      <c r="Y244" s="302">
        <v>2500</v>
      </c>
      <c r="Z244" s="319">
        <v>1600</v>
      </c>
      <c r="AA244" s="319">
        <v>2400</v>
      </c>
      <c r="AB244" s="319">
        <v>2000</v>
      </c>
      <c r="AC244" s="319">
        <v>2700</v>
      </c>
      <c r="AD244" s="319">
        <v>1800</v>
      </c>
      <c r="AE244" s="195">
        <v>1700</v>
      </c>
      <c r="AF244" s="195">
        <v>900</v>
      </c>
      <c r="AG244" s="195">
        <v>400</v>
      </c>
      <c r="AH244" s="195">
        <v>0</v>
      </c>
      <c r="AI244" s="195">
        <v>100</v>
      </c>
      <c r="AJ244" s="196">
        <v>1400</v>
      </c>
      <c r="AL244" s="116">
        <v>73100</v>
      </c>
      <c r="DC244" s="16"/>
    </row>
    <row r="245" spans="2:107 14889:15281" x14ac:dyDescent="0.25">
      <c r="B245" s="81"/>
      <c r="C245" s="193" t="s">
        <v>132</v>
      </c>
      <c r="D245" s="194">
        <v>3850.42</v>
      </c>
      <c r="E245" s="79" t="s">
        <v>2</v>
      </c>
      <c r="F245" s="195">
        <v>2690</v>
      </c>
      <c r="G245" s="195">
        <v>2700</v>
      </c>
      <c r="H245" s="195">
        <v>2810</v>
      </c>
      <c r="I245" s="195">
        <v>2810</v>
      </c>
      <c r="J245" s="195">
        <v>2790</v>
      </c>
      <c r="K245" s="195">
        <v>2960</v>
      </c>
      <c r="L245" s="195">
        <v>2500</v>
      </c>
      <c r="M245" s="195">
        <v>2780</v>
      </c>
      <c r="N245" s="195">
        <v>2760</v>
      </c>
      <c r="O245" s="195">
        <v>2760</v>
      </c>
      <c r="P245" s="195">
        <v>2750</v>
      </c>
      <c r="Q245" s="195">
        <v>1374</v>
      </c>
      <c r="R245" s="302">
        <v>2860</v>
      </c>
      <c r="S245" s="302">
        <v>2800</v>
      </c>
      <c r="T245" s="302">
        <v>2620</v>
      </c>
      <c r="U245" s="302">
        <v>2820</v>
      </c>
      <c r="V245" s="302">
        <v>2760</v>
      </c>
      <c r="W245" s="302">
        <v>2770</v>
      </c>
      <c r="X245" s="302">
        <v>2800</v>
      </c>
      <c r="Y245" s="302">
        <v>2640</v>
      </c>
      <c r="Z245" s="319">
        <v>2670</v>
      </c>
      <c r="AA245" s="319">
        <v>2720</v>
      </c>
      <c r="AB245" s="319">
        <v>2680</v>
      </c>
      <c r="AC245" s="319">
        <v>2710</v>
      </c>
      <c r="AD245" s="319">
        <v>2550</v>
      </c>
      <c r="AE245" s="195">
        <v>2830</v>
      </c>
      <c r="AF245" s="195">
        <v>2700</v>
      </c>
      <c r="AG245" s="195">
        <v>2110</v>
      </c>
      <c r="AH245" s="195">
        <v>0</v>
      </c>
      <c r="AI245" s="195">
        <v>810</v>
      </c>
      <c r="AJ245" s="196">
        <v>2430</v>
      </c>
      <c r="AL245" s="116">
        <v>77964</v>
      </c>
      <c r="DC245" s="16"/>
    </row>
    <row r="246" spans="2:107 14889:15281" x14ac:dyDescent="0.25">
      <c r="B246" s="81"/>
      <c r="C246" s="197" t="s">
        <v>17</v>
      </c>
      <c r="D246" s="195"/>
      <c r="E246" s="198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302"/>
      <c r="S246" s="302"/>
      <c r="T246" s="302"/>
      <c r="U246" s="302"/>
      <c r="V246" s="302"/>
      <c r="W246" s="302"/>
      <c r="X246" s="302"/>
      <c r="Y246" s="302"/>
      <c r="Z246" s="319"/>
      <c r="AA246" s="319"/>
      <c r="AB246" s="319"/>
      <c r="AC246" s="319"/>
      <c r="AD246" s="319"/>
      <c r="AE246" s="195"/>
      <c r="AF246" s="195"/>
      <c r="AG246" s="195"/>
      <c r="AH246" s="195"/>
      <c r="AI246" s="195"/>
      <c r="AJ246" s="196"/>
      <c r="AL246" s="204" t="s">
        <v>17</v>
      </c>
      <c r="DC246" s="16"/>
    </row>
    <row r="247" spans="2:107 14889:15281" x14ac:dyDescent="0.25">
      <c r="B247" s="81"/>
      <c r="C247" s="193" t="s">
        <v>133</v>
      </c>
      <c r="D247" s="194">
        <v>5759.67</v>
      </c>
      <c r="E247" s="79" t="s">
        <v>2</v>
      </c>
      <c r="F247" s="195">
        <v>3900</v>
      </c>
      <c r="G247" s="195">
        <v>4800</v>
      </c>
      <c r="H247" s="195">
        <v>4400</v>
      </c>
      <c r="I247" s="195">
        <v>4900</v>
      </c>
      <c r="J247" s="195">
        <v>5600</v>
      </c>
      <c r="K247" s="195">
        <v>5000</v>
      </c>
      <c r="L247" s="195">
        <v>4500</v>
      </c>
      <c r="M247" s="195">
        <v>4700</v>
      </c>
      <c r="N247" s="195">
        <v>5400</v>
      </c>
      <c r="O247" s="195">
        <v>5400</v>
      </c>
      <c r="P247" s="195">
        <v>5000</v>
      </c>
      <c r="Q247" s="195">
        <v>5700</v>
      </c>
      <c r="R247" s="302">
        <v>6000</v>
      </c>
      <c r="S247" s="302">
        <v>5800</v>
      </c>
      <c r="T247" s="302">
        <v>4600</v>
      </c>
      <c r="U247" s="302">
        <v>5300</v>
      </c>
      <c r="V247" s="302">
        <v>4000</v>
      </c>
      <c r="W247" s="302">
        <v>5200</v>
      </c>
      <c r="X247" s="302">
        <v>5900</v>
      </c>
      <c r="Y247" s="302">
        <v>4500</v>
      </c>
      <c r="Z247" s="319">
        <v>2800</v>
      </c>
      <c r="AA247" s="319">
        <v>100</v>
      </c>
      <c r="AB247" s="319">
        <v>100</v>
      </c>
      <c r="AC247" s="319">
        <v>1400</v>
      </c>
      <c r="AD247" s="319">
        <v>3100</v>
      </c>
      <c r="AE247" s="195">
        <v>100</v>
      </c>
      <c r="AF247" s="195">
        <v>0</v>
      </c>
      <c r="AG247" s="195">
        <v>0</v>
      </c>
      <c r="AH247" s="195">
        <v>100</v>
      </c>
      <c r="AI247" s="195">
        <v>0</v>
      </c>
      <c r="AJ247" s="196">
        <v>200</v>
      </c>
      <c r="AL247" s="116">
        <v>108500</v>
      </c>
      <c r="DC247" s="16"/>
    </row>
    <row r="248" spans="2:107 14889:15281" x14ac:dyDescent="0.25">
      <c r="B248" s="81"/>
      <c r="C248" s="193" t="s">
        <v>132</v>
      </c>
      <c r="D248" s="194">
        <v>1308.96</v>
      </c>
      <c r="E248" s="79" t="s">
        <v>2</v>
      </c>
      <c r="F248" s="195">
        <v>1152</v>
      </c>
      <c r="G248" s="195">
        <v>1174</v>
      </c>
      <c r="H248" s="195">
        <v>1012</v>
      </c>
      <c r="I248" s="195">
        <v>1373</v>
      </c>
      <c r="J248" s="195">
        <v>1424</v>
      </c>
      <c r="K248" s="195">
        <v>1445</v>
      </c>
      <c r="L248" s="195">
        <v>1198</v>
      </c>
      <c r="M248" s="195">
        <v>1233</v>
      </c>
      <c r="N248" s="195">
        <v>1357</v>
      </c>
      <c r="O248" s="195">
        <v>1307</v>
      </c>
      <c r="P248" s="195">
        <v>1365</v>
      </c>
      <c r="Q248" s="195">
        <v>1374</v>
      </c>
      <c r="R248" s="302">
        <v>1396</v>
      </c>
      <c r="S248" s="302">
        <v>1338</v>
      </c>
      <c r="T248" s="302">
        <v>1292</v>
      </c>
      <c r="U248" s="302">
        <v>1301</v>
      </c>
      <c r="V248" s="302">
        <v>1147</v>
      </c>
      <c r="W248" s="302">
        <v>1301</v>
      </c>
      <c r="X248" s="302">
        <v>1414</v>
      </c>
      <c r="Y248" s="302">
        <v>1329</v>
      </c>
      <c r="Z248" s="319">
        <v>950</v>
      </c>
      <c r="AA248" s="319">
        <v>53</v>
      </c>
      <c r="AB248" s="319">
        <v>0</v>
      </c>
      <c r="AC248" s="319">
        <v>2700</v>
      </c>
      <c r="AD248" s="319">
        <v>802</v>
      </c>
      <c r="AE248" s="195">
        <v>0</v>
      </c>
      <c r="AF248" s="195">
        <v>0</v>
      </c>
      <c r="AG248" s="195">
        <v>28</v>
      </c>
      <c r="AH248" s="195">
        <v>0</v>
      </c>
      <c r="AI248" s="195">
        <v>0</v>
      </c>
      <c r="AJ248" s="196">
        <v>0</v>
      </c>
      <c r="AL248" s="116">
        <v>30465</v>
      </c>
      <c r="DC248" s="16"/>
    </row>
    <row r="249" spans="2:107 14889:15281" x14ac:dyDescent="0.25">
      <c r="B249" s="81"/>
      <c r="C249" s="197" t="s">
        <v>8</v>
      </c>
      <c r="D249" s="194"/>
      <c r="E249" s="79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302"/>
      <c r="S249" s="302"/>
      <c r="T249" s="302"/>
      <c r="U249" s="302"/>
      <c r="V249" s="302"/>
      <c r="W249" s="302"/>
      <c r="X249" s="302"/>
      <c r="Y249" s="302"/>
      <c r="Z249" s="319"/>
      <c r="AA249" s="319"/>
      <c r="AB249" s="319"/>
      <c r="AC249" s="319"/>
      <c r="AD249" s="319"/>
      <c r="AE249" s="195"/>
      <c r="AF249" s="195"/>
      <c r="AG249" s="195"/>
      <c r="AH249" s="195"/>
      <c r="AI249" s="195"/>
      <c r="AJ249" s="196"/>
      <c r="AL249" s="204" t="s">
        <v>8</v>
      </c>
      <c r="DC249" s="16"/>
    </row>
    <row r="250" spans="2:107 14889:15281" x14ac:dyDescent="0.25">
      <c r="B250" s="81"/>
      <c r="C250" s="193" t="s">
        <v>134</v>
      </c>
      <c r="D250" s="194">
        <v>11.81</v>
      </c>
      <c r="E250" s="79" t="s">
        <v>2</v>
      </c>
      <c r="F250" s="195">
        <v>5.82</v>
      </c>
      <c r="G250" s="195">
        <v>1.37</v>
      </c>
      <c r="H250" s="195">
        <v>0.76</v>
      </c>
      <c r="I250" s="195">
        <v>1.05</v>
      </c>
      <c r="J250" s="195">
        <v>0.59</v>
      </c>
      <c r="K250" s="195">
        <v>0.63</v>
      </c>
      <c r="L250" s="195">
        <v>0.64</v>
      </c>
      <c r="M250" s="195">
        <v>14.91</v>
      </c>
      <c r="N250" s="195">
        <v>1.03</v>
      </c>
      <c r="O250" s="195">
        <v>0.78</v>
      </c>
      <c r="P250" s="195">
        <v>0.62</v>
      </c>
      <c r="Q250" s="195">
        <v>0.55000000000000004</v>
      </c>
      <c r="R250" s="254">
        <v>0.32</v>
      </c>
      <c r="S250" s="254">
        <v>11.81</v>
      </c>
      <c r="T250" s="254">
        <v>0.44</v>
      </c>
      <c r="U250" s="254">
        <v>0.37</v>
      </c>
      <c r="V250" s="254">
        <v>0.41</v>
      </c>
      <c r="W250" s="254">
        <v>0.46</v>
      </c>
      <c r="X250" s="254">
        <v>0.69</v>
      </c>
      <c r="Y250" s="254">
        <v>0.57999999999999996</v>
      </c>
      <c r="Z250" s="320">
        <v>27.61</v>
      </c>
      <c r="AA250" s="320">
        <v>3.7</v>
      </c>
      <c r="AB250" s="320">
        <v>0.56000000000000005</v>
      </c>
      <c r="AC250" s="320">
        <v>0.24</v>
      </c>
      <c r="AD250" s="320">
        <v>0.16</v>
      </c>
      <c r="AE250" s="195">
        <v>0.13</v>
      </c>
      <c r="AF250" s="195">
        <v>0.28999999999999998</v>
      </c>
      <c r="AG250" s="195">
        <v>1.28</v>
      </c>
      <c r="AH250" s="195">
        <v>0.32</v>
      </c>
      <c r="AI250" s="195">
        <v>0.31</v>
      </c>
      <c r="AJ250" s="196">
        <v>0.32</v>
      </c>
      <c r="AL250" s="303">
        <v>78.749999999999986</v>
      </c>
      <c r="DC250" s="16"/>
    </row>
    <row r="251" spans="2:107 14889:15281" ht="15.75" thickBot="1" x14ac:dyDescent="0.3">
      <c r="B251" s="114"/>
      <c r="C251" s="199" t="s">
        <v>135</v>
      </c>
      <c r="D251" s="200">
        <v>241.12</v>
      </c>
      <c r="E251" s="201" t="s">
        <v>2</v>
      </c>
      <c r="F251" s="202">
        <v>250.4</v>
      </c>
      <c r="G251" s="202">
        <v>256.7</v>
      </c>
      <c r="H251" s="202">
        <v>242.3</v>
      </c>
      <c r="I251" s="202">
        <v>223.3</v>
      </c>
      <c r="J251" s="202">
        <v>229.6</v>
      </c>
      <c r="K251" s="202">
        <v>255.7</v>
      </c>
      <c r="L251" s="202">
        <v>199</v>
      </c>
      <c r="M251" s="202">
        <v>233</v>
      </c>
      <c r="N251" s="202">
        <v>239.8</v>
      </c>
      <c r="O251" s="202">
        <v>220.1</v>
      </c>
      <c r="P251" s="202">
        <v>212.6</v>
      </c>
      <c r="Q251" s="202">
        <v>251.5</v>
      </c>
      <c r="R251" s="318">
        <v>246.1</v>
      </c>
      <c r="S251" s="318">
        <v>241.12</v>
      </c>
      <c r="T251" s="318">
        <v>226.5</v>
      </c>
      <c r="U251" s="318">
        <v>234.1</v>
      </c>
      <c r="V251" s="318">
        <v>227.6</v>
      </c>
      <c r="W251" s="318">
        <v>257.89999999999998</v>
      </c>
      <c r="X251" s="318">
        <v>246.9</v>
      </c>
      <c r="Y251" s="318">
        <v>228.5</v>
      </c>
      <c r="Z251" s="321">
        <v>233.1</v>
      </c>
      <c r="AA251" s="321">
        <v>230.3</v>
      </c>
      <c r="AB251" s="321">
        <v>236.6</v>
      </c>
      <c r="AC251" s="321">
        <v>229.1</v>
      </c>
      <c r="AD251" s="321">
        <v>231.9</v>
      </c>
      <c r="AE251" s="202">
        <v>249.4</v>
      </c>
      <c r="AF251" s="202">
        <v>250.1</v>
      </c>
      <c r="AG251" s="202">
        <v>248.7</v>
      </c>
      <c r="AH251" s="202">
        <v>190</v>
      </c>
      <c r="AI251" s="202">
        <v>202.9</v>
      </c>
      <c r="AJ251" s="203">
        <v>246.1</v>
      </c>
      <c r="AL251" s="304">
        <v>7270.92</v>
      </c>
      <c r="DC251" s="16"/>
    </row>
    <row r="252" spans="2:107 14889:15281" x14ac:dyDescent="0.25">
      <c r="DC252" s="16"/>
    </row>
    <row r="281" spans="2:107 14889:15281" s="3" customFormat="1" x14ac:dyDescent="0.25">
      <c r="B281" s="38"/>
      <c r="E281" s="14"/>
      <c r="Y281" s="19"/>
      <c r="DC281" s="16"/>
      <c r="UZQ281" s="190"/>
      <c r="UZR281" s="190"/>
      <c r="UZS281" s="190"/>
      <c r="UZT281" s="190"/>
      <c r="UZU281" s="190"/>
      <c r="UZV281" s="190"/>
      <c r="UZW281" s="190"/>
      <c r="UZX281" s="190"/>
      <c r="UZY281" s="190"/>
      <c r="UZZ281" s="190"/>
      <c r="VAA281" s="190"/>
      <c r="VAB281" s="190"/>
      <c r="VAC281" s="190"/>
      <c r="VAD281" s="190"/>
      <c r="VAE281" s="190"/>
      <c r="VAF281" s="190"/>
      <c r="VAG281" s="190"/>
      <c r="VAH281" s="190"/>
      <c r="VAI281" s="190"/>
      <c r="VAJ281" s="190"/>
      <c r="VAK281" s="190"/>
      <c r="VAL281" s="190"/>
      <c r="VAM281" s="190"/>
      <c r="VAN281" s="190"/>
      <c r="VAO281" s="190"/>
      <c r="VAP281" s="190"/>
      <c r="VAQ281" s="190"/>
      <c r="VAR281" s="190"/>
      <c r="VAS281" s="190"/>
      <c r="VAT281" s="190"/>
      <c r="VAU281" s="190"/>
      <c r="VAV281" s="190"/>
      <c r="VAW281" s="190"/>
      <c r="VAX281" s="190"/>
      <c r="VAY281" s="190"/>
      <c r="VAZ281" s="190"/>
      <c r="VBA281" s="190"/>
      <c r="VBB281" s="190"/>
      <c r="VBC281" s="190"/>
      <c r="VBD281" s="190"/>
      <c r="VBE281" s="190"/>
      <c r="VBF281" s="190"/>
      <c r="VBG281" s="190"/>
      <c r="VBH281" s="190"/>
      <c r="VBI281" s="190"/>
      <c r="VBJ281" s="190"/>
      <c r="VBK281" s="190"/>
      <c r="VBL281" s="190"/>
      <c r="VBM281" s="190"/>
      <c r="VBN281" s="190"/>
      <c r="VBO281" s="190"/>
      <c r="VBP281" s="190"/>
      <c r="VBQ281" s="190"/>
      <c r="VBR281" s="190"/>
      <c r="VBS281" s="190"/>
      <c r="VBT281" s="190"/>
      <c r="VBU281" s="190"/>
      <c r="VBV281" s="190"/>
      <c r="VBW281" s="190"/>
      <c r="VBX281" s="190"/>
      <c r="VBY281" s="190"/>
      <c r="VBZ281" s="190"/>
      <c r="VCA281" s="190"/>
      <c r="VCB281" s="190"/>
      <c r="VCC281" s="190"/>
      <c r="VCD281" s="190"/>
      <c r="VCE281" s="190"/>
      <c r="VCF281" s="190"/>
      <c r="VCG281" s="190"/>
      <c r="VCH281" s="190"/>
      <c r="VCI281" s="190"/>
      <c r="VCJ281" s="190"/>
      <c r="VCK281" s="190"/>
      <c r="VCL281" s="190"/>
      <c r="VCM281" s="190"/>
      <c r="VCN281" s="190"/>
      <c r="VCO281" s="190"/>
      <c r="VCP281" s="190"/>
      <c r="VCQ281" s="190"/>
      <c r="VCR281" s="190"/>
      <c r="VCS281" s="190"/>
      <c r="VCT281" s="190"/>
      <c r="VCU281" s="190"/>
      <c r="VCV281" s="190"/>
      <c r="VCW281" s="190"/>
      <c r="VCX281" s="190"/>
      <c r="VCY281" s="190"/>
      <c r="VCZ281" s="190"/>
      <c r="VDA281" s="190"/>
      <c r="VDB281" s="190"/>
      <c r="VDC281" s="190"/>
      <c r="VDD281" s="190"/>
      <c r="VDE281" s="190"/>
      <c r="VDF281" s="190"/>
      <c r="VDG281" s="190"/>
      <c r="VDH281" s="190"/>
      <c r="VDI281" s="190"/>
      <c r="VDJ281" s="190"/>
      <c r="VDK281" s="190"/>
      <c r="VDL281" s="190"/>
      <c r="VDM281" s="190"/>
      <c r="VDN281" s="190"/>
      <c r="VDO281" s="190"/>
      <c r="VDP281" s="190"/>
      <c r="VDQ281" s="190"/>
      <c r="VDR281" s="190"/>
      <c r="VDS281" s="190"/>
      <c r="VDT281" s="190"/>
      <c r="VDU281" s="190"/>
      <c r="VDV281" s="190"/>
      <c r="VDW281" s="190"/>
      <c r="VDX281" s="190"/>
      <c r="VDY281" s="190"/>
      <c r="VDZ281" s="190"/>
      <c r="VEA281" s="190"/>
      <c r="VEB281" s="190"/>
      <c r="VEC281" s="190"/>
      <c r="VED281" s="190"/>
      <c r="VEE281" s="190"/>
      <c r="VEF281" s="190"/>
      <c r="VEG281" s="190"/>
      <c r="VEH281" s="190"/>
      <c r="VEI281" s="190"/>
      <c r="VEJ281" s="190"/>
      <c r="VEK281" s="190"/>
      <c r="VEL281" s="190"/>
      <c r="VEM281" s="190"/>
      <c r="VEN281" s="190"/>
      <c r="VEO281" s="190"/>
      <c r="VEP281" s="190"/>
      <c r="VEQ281" s="190"/>
      <c r="VER281" s="190"/>
      <c r="VES281" s="190"/>
      <c r="VET281" s="190"/>
      <c r="VEU281" s="190"/>
      <c r="VEV281" s="190"/>
      <c r="VEW281" s="190"/>
      <c r="VEX281" s="190"/>
      <c r="VEY281" s="190"/>
      <c r="VEZ281" s="190"/>
      <c r="VFA281" s="190"/>
      <c r="VFB281" s="190"/>
      <c r="VFC281" s="190"/>
      <c r="VFD281" s="190"/>
      <c r="VFE281" s="190"/>
      <c r="VFF281" s="190"/>
      <c r="VFG281" s="190"/>
      <c r="VFH281" s="190"/>
      <c r="VFI281" s="190"/>
      <c r="VFJ281" s="190"/>
      <c r="VFK281" s="190"/>
      <c r="VFL281" s="190"/>
      <c r="VFM281" s="190"/>
      <c r="VFN281" s="190"/>
      <c r="VFO281" s="190"/>
      <c r="VFP281" s="190"/>
      <c r="VFQ281" s="190"/>
      <c r="VFR281" s="190"/>
      <c r="VFS281" s="190"/>
      <c r="VFT281" s="190"/>
      <c r="VFU281" s="190"/>
      <c r="VFV281" s="190"/>
      <c r="VFW281" s="190"/>
      <c r="VFX281" s="190"/>
      <c r="VFY281" s="190"/>
      <c r="VFZ281" s="190"/>
      <c r="VGA281" s="190"/>
      <c r="VGB281" s="190"/>
      <c r="VGC281" s="190"/>
      <c r="VGD281" s="190"/>
      <c r="VGE281" s="190"/>
      <c r="VGF281" s="190"/>
      <c r="VGG281" s="190"/>
      <c r="VGH281" s="190"/>
      <c r="VGI281" s="190"/>
      <c r="VGJ281" s="190"/>
      <c r="VGK281" s="190"/>
      <c r="VGL281" s="190"/>
      <c r="VGM281" s="190"/>
      <c r="VGN281" s="190"/>
      <c r="VGO281" s="190"/>
      <c r="VGP281" s="190"/>
      <c r="VGQ281" s="190"/>
      <c r="VGR281" s="190"/>
      <c r="VGS281" s="190"/>
      <c r="VGT281" s="190"/>
      <c r="VGU281" s="190"/>
      <c r="VGV281" s="190"/>
      <c r="VGW281" s="190"/>
      <c r="VGX281" s="190"/>
      <c r="VGY281" s="190"/>
      <c r="VGZ281" s="190"/>
      <c r="VHA281" s="190"/>
      <c r="VHB281" s="190"/>
      <c r="VHC281" s="190"/>
      <c r="VHD281" s="190"/>
      <c r="VHE281" s="190"/>
      <c r="VHF281" s="190"/>
      <c r="VHG281" s="190"/>
      <c r="VHH281" s="190"/>
      <c r="VHI281" s="190"/>
      <c r="VHJ281" s="190"/>
      <c r="VHK281" s="190"/>
      <c r="VHL281" s="190"/>
      <c r="VHM281" s="190"/>
      <c r="VHN281" s="190"/>
      <c r="VHO281" s="190"/>
      <c r="VHP281" s="190"/>
      <c r="VHQ281" s="190"/>
      <c r="VHR281" s="190"/>
      <c r="VHS281" s="190"/>
      <c r="VHT281" s="190"/>
      <c r="VHU281" s="190"/>
      <c r="VHV281" s="190"/>
      <c r="VHW281" s="190"/>
      <c r="VHX281" s="190"/>
      <c r="VHY281" s="190"/>
      <c r="VHZ281" s="190"/>
      <c r="VIA281" s="190"/>
      <c r="VIB281" s="190"/>
      <c r="VIC281" s="190"/>
      <c r="VID281" s="190"/>
      <c r="VIE281" s="190"/>
      <c r="VIF281" s="190"/>
      <c r="VIG281" s="190"/>
      <c r="VIH281" s="190"/>
      <c r="VII281" s="190"/>
      <c r="VIJ281" s="190"/>
      <c r="VIK281" s="190"/>
      <c r="VIL281" s="190"/>
      <c r="VIM281" s="190"/>
      <c r="VIN281" s="190"/>
      <c r="VIO281" s="190"/>
      <c r="VIP281" s="190"/>
      <c r="VIQ281" s="190"/>
      <c r="VIR281" s="190"/>
      <c r="VIS281" s="190"/>
      <c r="VIT281" s="190"/>
      <c r="VIU281" s="190"/>
      <c r="VIV281" s="190"/>
      <c r="VIW281" s="190"/>
      <c r="VIX281" s="190"/>
      <c r="VIY281" s="190"/>
      <c r="VIZ281" s="190"/>
      <c r="VJA281" s="190"/>
      <c r="VJB281" s="190"/>
      <c r="VJC281" s="190"/>
      <c r="VJD281" s="190"/>
      <c r="VJE281" s="190"/>
      <c r="VJF281" s="190"/>
      <c r="VJG281" s="190"/>
      <c r="VJH281" s="190"/>
      <c r="VJI281" s="190"/>
      <c r="VJJ281" s="190"/>
      <c r="VJK281" s="190"/>
      <c r="VJL281" s="190"/>
      <c r="VJM281" s="190"/>
      <c r="VJN281" s="190"/>
      <c r="VJO281" s="190"/>
      <c r="VJP281" s="190"/>
      <c r="VJQ281" s="190"/>
      <c r="VJR281" s="190"/>
      <c r="VJS281" s="190"/>
      <c r="VJT281" s="190"/>
      <c r="VJU281" s="190"/>
      <c r="VJV281" s="190"/>
      <c r="VJW281" s="190"/>
      <c r="VJX281" s="190"/>
      <c r="VJY281" s="190"/>
      <c r="VJZ281" s="190"/>
      <c r="VKA281" s="190"/>
      <c r="VKB281" s="190"/>
      <c r="VKC281" s="190"/>
      <c r="VKD281" s="190"/>
      <c r="VKE281" s="190"/>
      <c r="VKF281" s="190"/>
      <c r="VKG281" s="190"/>
      <c r="VKH281" s="190"/>
      <c r="VKI281" s="190"/>
      <c r="VKJ281" s="190"/>
      <c r="VKK281" s="190"/>
      <c r="VKL281" s="190"/>
      <c r="VKM281" s="190"/>
      <c r="VKN281" s="190"/>
      <c r="VKO281" s="190"/>
      <c r="VKP281" s="190"/>
      <c r="VKQ281" s="190"/>
      <c r="VKR281" s="190"/>
      <c r="VKS281" s="190"/>
      <c r="VKT281" s="190"/>
      <c r="VKU281" s="190"/>
      <c r="VKV281" s="190"/>
      <c r="VKW281" s="190"/>
      <c r="VKX281" s="190"/>
      <c r="VKY281" s="190"/>
      <c r="VKZ281" s="190"/>
      <c r="VLA281" s="190"/>
      <c r="VLB281" s="190"/>
      <c r="VLC281" s="190"/>
      <c r="VLD281" s="190"/>
      <c r="VLE281" s="190"/>
      <c r="VLF281" s="190"/>
      <c r="VLG281" s="190"/>
      <c r="VLH281" s="190"/>
      <c r="VLI281" s="190"/>
      <c r="VLJ281" s="190"/>
      <c r="VLK281" s="190"/>
      <c r="VLL281" s="190"/>
      <c r="VLM281" s="190"/>
      <c r="VLN281" s="190"/>
      <c r="VLO281" s="190"/>
      <c r="VLP281" s="190"/>
      <c r="VLQ281" s="190"/>
      <c r="VLR281" s="190"/>
      <c r="VLS281" s="190"/>
      <c r="VLT281" s="190"/>
      <c r="VLU281" s="190"/>
      <c r="VLV281" s="190"/>
      <c r="VLW281" s="190"/>
      <c r="VLX281" s="190"/>
      <c r="VLY281" s="190"/>
      <c r="VLZ281" s="190"/>
      <c r="VMA281" s="190"/>
      <c r="VMB281" s="190"/>
      <c r="VMC281" s="190"/>
      <c r="VMD281" s="190"/>
      <c r="VME281" s="190"/>
      <c r="VMF281" s="190"/>
      <c r="VMG281" s="190"/>
      <c r="VMH281" s="190"/>
      <c r="VMI281" s="190"/>
      <c r="VMJ281" s="190"/>
      <c r="VMK281" s="190"/>
      <c r="VML281" s="190"/>
      <c r="VMM281" s="190"/>
      <c r="VMN281" s="190"/>
      <c r="VMO281" s="190"/>
      <c r="VMP281" s="190"/>
      <c r="VMQ281" s="190"/>
      <c r="VMR281" s="190"/>
      <c r="VMS281" s="190"/>
      <c r="VMT281" s="190"/>
      <c r="VMU281" s="190"/>
      <c r="VMV281" s="190"/>
      <c r="VMW281" s="190"/>
      <c r="VMX281" s="190"/>
      <c r="VMY281" s="190"/>
      <c r="VMZ281" s="190"/>
      <c r="VNA281" s="190"/>
      <c r="VNB281" s="190"/>
      <c r="VNC281" s="190"/>
      <c r="VND281" s="190"/>
      <c r="VNE281" s="190"/>
      <c r="VNF281" s="190"/>
      <c r="VNG281" s="190"/>
      <c r="VNH281" s="190"/>
      <c r="VNI281" s="190"/>
      <c r="VNJ281" s="190"/>
      <c r="VNK281" s="190"/>
      <c r="VNL281" s="190"/>
      <c r="VNM281" s="190"/>
      <c r="VNN281" s="190"/>
      <c r="VNO281" s="190"/>
      <c r="VNP281" s="190"/>
      <c r="VNQ281" s="190"/>
      <c r="VNR281" s="190"/>
      <c r="VNS281" s="190"/>
      <c r="VNT281" s="190"/>
      <c r="VNU281" s="190"/>
      <c r="VNV281" s="190"/>
      <c r="VNW281" s="190"/>
      <c r="VNX281" s="190"/>
      <c r="VNY281" s="190"/>
      <c r="VNZ281" s="190"/>
      <c r="VOA281" s="190"/>
      <c r="VOB281" s="190"/>
      <c r="VOC281" s="190"/>
      <c r="VOD281" s="190"/>
      <c r="VOE281" s="190"/>
      <c r="VOF281" s="190"/>
      <c r="VOG281" s="190"/>
      <c r="VOH281" s="190"/>
      <c r="VOI281" s="190"/>
      <c r="VOJ281" s="190"/>
      <c r="VOK281" s="190"/>
      <c r="VOL281" s="190"/>
      <c r="VOM281" s="190"/>
      <c r="VON281" s="190"/>
      <c r="VOO281" s="190"/>
      <c r="VOP281" s="190"/>
      <c r="VOQ281" s="190"/>
      <c r="VOR281" s="190"/>
      <c r="VOS281" s="190"/>
    </row>
  </sheetData>
  <mergeCells count="7">
    <mergeCell ref="AL5:AL6"/>
    <mergeCell ref="B5:B6"/>
    <mergeCell ref="C5:C6"/>
    <mergeCell ref="D5:D6"/>
    <mergeCell ref="E5:E6"/>
    <mergeCell ref="B2:T2"/>
    <mergeCell ref="F5:T5"/>
  </mergeCells>
  <pageMargins left="0" right="0" top="0" bottom="0" header="0.31496062992125984" footer="0.31496062992125984"/>
  <pageSetup paperSize="9" scale="27" orientation="landscape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Maret - 24</vt:lpstr>
      <vt:lpstr>'Maret - 24'!Print_Area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2025-04-16T07:54:43Z</cp:lastPrinted>
  <dcterms:created xsi:type="dcterms:W3CDTF">2022-09-06T08:59:53Z</dcterms:created>
  <dcterms:modified xsi:type="dcterms:W3CDTF">2025-04-16T07:54:52Z</dcterms:modified>
</cp:coreProperties>
</file>